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tables/table88.xml" ContentType="application/vnd.openxmlformats-officedocument.spreadsheetml.table+xml"/>
  <Override PartName="/xl/tables/table89.xml" ContentType="application/vnd.openxmlformats-officedocument.spreadsheetml.table+xml"/>
  <Override PartName="/xl/drawings/drawing1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TestExcel\"/>
    </mc:Choice>
  </mc:AlternateContent>
  <xr:revisionPtr revIDLastSave="0" documentId="13_ncr:1_{6E444E70-D34B-4AF6-97FB-C9C15D825D18}" xr6:coauthVersionLast="47" xr6:coauthVersionMax="47" xr10:uidLastSave="{00000000-0000-0000-0000-000000000000}"/>
  <bookViews>
    <workbookView xWindow="885" yWindow="495" windowWidth="35745" windowHeight="18900" firstSheet="1" activeTab="1" xr2:uid="{992023F3-CAB7-4E5B-A348-08D563A0EF40}"/>
  </bookViews>
  <sheets>
    <sheet name="Home" sheetId="71" r:id="rId1"/>
    <sheet name="Results" sheetId="13" r:id="rId2"/>
    <sheet name="Input - Enterprise" sheetId="72" r:id="rId3"/>
    <sheet name="Input - Site" sheetId="75" r:id="rId4"/>
    <sheet name="Input - Pasture Beef" sheetId="79" r:id="rId5"/>
    <sheet name="Input - Pasture Beef (Enteric)" sheetId="76" r:id="rId6"/>
    <sheet name="Input - Pasture" sheetId="99" r:id="rId7"/>
    <sheet name="Input - Fertiliser" sheetId="84" r:id="rId8"/>
    <sheet name="Input - Fuel" sheetId="95" r:id="rId9"/>
    <sheet name="Input - Electricity" sheetId="92" r:id="rId10"/>
    <sheet name="3.2.1.1-2 Enteric Methane" sheetId="77" r:id="rId11"/>
    <sheet name="4.2.1.1-2 Methane" sheetId="80" r:id="rId12"/>
    <sheet name="4.2.1.3-4 Soil direct N20" sheetId="81" r:id="rId13"/>
    <sheet name="4.2.1.5-6 Soil Atmos Dep" sheetId="82" r:id="rId14"/>
    <sheet name="4.2.1.7-8 Soil leach runoff" sheetId="83" r:id="rId15"/>
    <sheet name="5.1.1.1-2 Inorganic fert N2O" sheetId="85" r:id="rId16"/>
    <sheet name="5.1.1.3-4 Inorganic fert CO2" sheetId="86" r:id="rId17"/>
    <sheet name="5.2.1.1-2 Organic Fert N2O" sheetId="87" r:id="rId18"/>
    <sheet name="5.3.1.1-2 Lime CO2" sheetId="88" r:id="rId19"/>
    <sheet name="5.4.1.1-4 Atmos deposition" sheetId="89" r:id="rId20"/>
    <sheet name="5.5.1.1-2 Leaching and runoff" sheetId="90" r:id="rId21"/>
    <sheet name="6.2.1.1-2 Pasture residue N2O" sheetId="100" r:id="rId22"/>
    <sheet name="6.3.1.1-2 Leach runoff pasture" sheetId="101" r:id="rId23"/>
    <sheet name="8.1.1.1-2 Transport fuel" sheetId="96" r:id="rId24"/>
    <sheet name="8.2.1.1-2 Stationary fuel" sheetId="97" r:id="rId25"/>
    <sheet name="14.1.1-2 Purchased electricity" sheetId="93" r:id="rId26"/>
    <sheet name="Constants - Pasture Beef" sheetId="78" r:id="rId27"/>
    <sheet name="Constants - Ag Residue" sheetId="102" r:id="rId28"/>
    <sheet name="Constants - Common Livestock" sheetId="103" r:id="rId29"/>
    <sheet name="Constants - Electricity" sheetId="94" r:id="rId30"/>
    <sheet name="Constants - Fertiliser" sheetId="91" r:id="rId31"/>
    <sheet name="Constants - Fuel" sheetId="98" r:id="rId32"/>
    <sheet name="Constants - Common" sheetId="74" r:id="rId33"/>
    <sheet name="Acknowledgements" sheetId="105" r:id="rId34"/>
    <sheet name="Overview" sheetId="104" r:id="rId35"/>
  </sheets>
  <externalReferences>
    <externalReference r:id="rId36"/>
    <externalReference r:id="rId37"/>
    <externalReference r:id="rId38"/>
    <externalReference r:id="rId39"/>
    <externalReference r:id="rId40"/>
  </externalReferences>
  <definedNames>
    <definedName name="_Toc225350871" localSheetId="19">'5.4.1.1-4 Atmos deposition'!$C$1</definedName>
    <definedName name="_Toc225350871" localSheetId="20">'5.5.1.1-2 Leaching and runoff'!$C$1</definedName>
    <definedName name="AgResidue_Equations_CropResidue.VEERG_6_1_1_1__1__NitrousOxideEmissionsFromCropResidues">_xlfn.LAMBDA(_xlpm.M_c,_xlpm.EF_Ni,_xlpm.C_N2O, _xlpm.M_c * _xlpm.EF_Ni * _xlpm.C_N2O * 10 ^ (-3))</definedName>
    <definedName name="AgResidue_Equations_CropResidue.VEERG_6_1_1_1__1__NitrousOxideEmissionsFromCropResidues_Arguments">_xlfn.LAMBDA(_xlfn.MAKEARRAY(5, 4, _xlfn.LAMBDA(_xlpm.r,_xlpm.c, INDEX({"M_c","mass of nitrogen in crop c residues returned to the soil","kg N","Calculated from 6.1.1.1 (2)";"EF_Ni","emission factor for crop residues returned to the soil","kg N2O-N/kg N","Constant";"C_N2O","factor to convert elemental mass of nitrous oxide to molecular mass","dimensionless","Constant";"c","Crop type","","Input";"i","Wet or dry climate zone","","Input"}, _xlpm.r, _xlpm.c))))</definedName>
    <definedName name="AgResidue_Equations_CropResidue.VEERG_6_1_1_1__1__NitrousOxideEmissionsFromCropResidues_FunctionName">_xlfn.LAMBDA("VEERG_6_1_1_1__1__NitrousOxideEmissionsFromCropResidues")</definedName>
    <definedName name="AgResidue_Equations_CropResidue.VEERG_6_1_1_1__1__NitrousOxideEmissionsFromCropResidues_LatexEquation">_xlfn.LAMBDA("E=\sum\nolimits_c\left(M_{c}\times EF_{N}\right)\times C_{g,N2O}\times 10^{-3}")</definedName>
    <definedName name="AgResidue_Equations_CropResidue.VEERG_6_1_1_1__1__NitrousOxideEmissionsFromCropResidues_NIRReference">_xlfn.LAMBDA("")</definedName>
    <definedName name="AgResidue_Equations_CropResidue.VEERG_6_1_1_1__1__NitrousOxideEmissionsFromCropResidues_Source">_xlfn.LAMBDA("VEERG 2026: 6.1.1.1, Equation (1)")</definedName>
    <definedName name="AgResidue_Equations_CropResidue.VEERG_6_1_1_1__1__NitrousOxideEmissionsFromCropResidues_Title">_xlfn.LAMBDA("Nitrous oxide emissions from the return of crop residues across all crops c to the soil")</definedName>
    <definedName name="AgResidue_Equations_CropResidue.VEERG_6_1_1_1__1__NitrousOxideEmissionsFromCropResidues_Unit">_xlfn.LAMBDA("t N2O")</definedName>
    <definedName name="AgResidue_Equations_CropResidue.VEERG_6_1_1_1__1__NitrousOxideEmissionsFromCropResidues_Variable">_xlfn.LAMBDA("E")</definedName>
    <definedName name="AgResidue_Equations_CropResidue.VEERG_6_1_1_1__2__MassOfNitrogenInCropResidues">_xlfn.LAMBDA(_xlpm.P_c,_xlpm.R_AGc,_xlpm.F_c,_xlpm.FFOD_c,_xlpm.DM_c,_xlpm.NC_AGc,_xlpm.R_BGc,_xlpm.NC_BGc, (_xlpm.P_c * _xlpm.R_AGc * (1 - _xlpm.F_c - _xlpm.FFOD_c) * _xlpm.DM_c * _xlpm.NC_AGc) + (_xlpm.P_c * _xlpm.R_AGc * _xlpm.R_BGc * _xlpm.DM_c * _xlpm.NC_BGc))</definedName>
    <definedName name="AgResidue_Equations_CropResidue.VEERG_6_1_1_1__2__MassOfNitrogenInCropResidues_Arguments">_xlfn.LAMBDA(_xlfn.MAKEARRAY(10, 4, _xlfn.LAMBDA(_xlpm.r,_xlpm.c, INDEX({"P_c","annual production of crop c","kg","Input";"R_AGc","residue to crop ratio for crop c","","Constant";"R_BGc","below ground-residue to above ground residue ratio for crop c","","Constant";"F_c","fraction of crop residue that is burnt for crop c","fraction","Input";"FFOD_c","fraction of the crop residue that is removed for crop c","fraction","Constant";"DM_c","dry matter content of crop c","kg dry weight/kg crop residue","Constant";"NC_AGc","nitrogen content of above-ground crop residue of crop c","kg N/kg DM","Constant";"NC_BGc","nitrogen content of below-ground crop residue of crop c","kg N/kg DM","Constant";"c","Crop type","","Input";"State","State or territory","","Input"}, _xlpm.r, _xlpm.c))))</definedName>
    <definedName name="AgResidue_Equations_CropResidue.VEERG_6_1_1_1__2__MassOfNitrogenInCropResidues_Arguments_Method2">_xlfn.LAMBDA(_xlfn.MAKEARRAY(10, 4, _xlfn.LAMBDA(_xlpm.r,_xlpm.c, INDEX({"P_c","annual production of crop c","kg","Input";"R_AGc","residue to crop ratio for crop c","","Constant";"R_BGc","below ground-residue to above ground residue ratio for crop c","","Constant";"F_c","fraction of crop residue that is burnt for crop c","fraction","Input";"FFOD_c","fraction of the crop residue that is removed for crop c","fraction","Calculated from 6.1.1.2 (1)";"DM_c","dry matter content of crop c","kg dry weight/kg crop residue","Constant";"NC_AGc","nitrogen content of above-ground crop residue of crop c","kg N/kg DM","Constant";"NC_BGc","nitrogen content of below-ground crop residue of crop c","kg N/kg DM","Constant";"c","Crop type","","Input";"State","State or territory","","Input"}, _xlpm.r, _xlpm.c))))</definedName>
    <definedName name="AgResidue_Equations_CropResidue.VEERG_6_1_1_1__2__MassOfNitrogenInCropResidues_LatexEquation">_xlfn.LAMBDA("M_{c}=(P_{c}\times R_{AGc}\times(1-F_{c}-FFOD_{c})\times DM_{c}\times NC_{AGc})+(P_{c}\times R_{AGc}\times R_{BGc}\times DM_{c}\times NC_{BGc})")</definedName>
    <definedName name="AgResidue_Equations_CropResidue.VEERG_6_1_1_1__2__MassOfNitrogenInCropResidues_NIRReference">_xlfn.LAMBDA("")</definedName>
    <definedName name="AgResidue_Equations_CropResidue.VEERG_6_1_1_1__2__MassOfNitrogenInCropResidues_Source">_xlfn.LAMBDA("VEERG 2026: 6.1.1.1, Equation (2)")</definedName>
    <definedName name="AgResidue_Equations_CropResidue.VEERG_6_1_1_1__2__MassOfNitrogenInCropResidues_Title">_xlfn.LAMBDA("Mass of nitrogen in crop residues returned to the soil")</definedName>
    <definedName name="AgResidue_Equations_CropResidue.VEERG_6_1_1_1__2__MassOfNitrogenInCropResidues_Unit">_xlfn.LAMBDA("kg N")</definedName>
    <definedName name="AgResidue_Equations_CropResidue.VEERG_6_1_1_1__2__MassOfNitrogenInCropResidues_Variable">_xlfn.LAMBDA("M_c")</definedName>
    <definedName name="AgResidue_Equations_CropResidue.VEERG_6_1_1_2__1__FractionOfCropResidueRemovedBaled">_xlfn.LAMBDA(_xlpm.B,_xlpm.M_B,_xlpm.P_c,_xlpm.R_AGc, IFERROR((_xlpm.B * _xlpm.M_B) / (_xlpm.P_c * _xlpm.R_AGc), 0))</definedName>
    <definedName name="AgResidue_Equations_CropResidue.VEERG_6_1_1_2__1__FractionOfCropResidueRemovedBaled_Arguments">_xlfn.LAMBDA(_xlfn.MAKEARRAY(5, 4, _xlfn.LAMBDA(_xlpm.r,_xlpm.c, INDEX({"B","number of bales generated","","Input";"M_B","mass of each bale","kg","Input";"P_c","annual production of crop c","kg","Input";"R_AGc","residue to crop ratio for crop c","","Constant";"c","Crop type","","Input"}, _xlpm.r, _xlpm.c))))</definedName>
    <definedName name="AgResidue_Equations_CropResidue.VEERG_6_1_1_2__1__FractionOfCropResidueRemovedBaled_LatexEquation">_xlfn.LAMBDA("FFOD_{c,baled}=\frac{B\times M_{B}}{P_{c}\times R_{AG,c}}")</definedName>
    <definedName name="AgResidue_Equations_CropResidue.VEERG_6_1_1_2__1__FractionOfCropResidueRemovedBaled_NIRReference">_xlfn.LAMBDA("")</definedName>
    <definedName name="AgResidue_Equations_CropResidue.VEERG_6_1_1_2__1__FractionOfCropResidueRemovedBaled_Source">_xlfn.LAMBDA("VEERG 2026: 6.1.1.2, Equation (1)")</definedName>
    <definedName name="AgResidue_Equations_CropResidue.VEERG_6_1_1_2__1__FractionOfCropResidueRemovedBaled_Title">_xlfn.LAMBDA("Fraction of crop residue that is removed for crop c, calculated where residues are baled")</definedName>
    <definedName name="AgResidue_Equations_CropResidue.VEERG_6_1_1_2__1__FractionOfCropResidueRemovedBaled_Unit">_xlfn.LAMBDA("dimensionless")</definedName>
    <definedName name="AgResidue_Equations_CropResidue.VEERG_6_1_1_2__1__FractionOfCropResidueRemovedBaled_Variable">_xlfn.LAMBDA("FFOD_cbaled")</definedName>
    <definedName name="AgResidue_Equations_CropResidue.VEERG_6_1_1_2__1__FractionOfCropResidueRemovedBaled_Variation">_xlfn.LAMBDA("VARIATION FROM SOURCE: Added 'baled' to variable subscript")</definedName>
    <definedName name="AgResidue_Equations_CropResidue.VEERG_6_1_1_2__1a__FractionOfCropResidueRemoved">_xlfn.LAMBDA(_xlpm.FFOD_cbaled,_xlpm.FFOD_cother, _xlpm.FFOD_cbaled + _xlpm.FFOD_cother)</definedName>
    <definedName name="AgResidue_Equations_CropResidue.VEERG_6_1_1_2__1a__FractionOfCropResidueRemoved_Arguments">_xlfn.LAMBDA(_xlfn.MAKEARRAY(2, 4, _xlfn.LAMBDA(_xlpm.r,_xlpm.c, INDEX({"FFOD_cbaled","Fraction of crop residue that is removed for crop c, calculated where residues are baled","fraction","Calculated from 6.1.1.2, (1)";"FFOD_cother","Fraction of crop residue that is removed for crop c, calculated where residues are removed by other means","fraction","Input"}, _xlpm.r, _xlpm.c))))</definedName>
    <definedName name="AgResidue_Equations_CropResidue.VEERG_6_1_1_2__1a__FractionOfCropResidueRemoved_LatexEquation">_xlfn.LAMBDA("FFOD_{c} = FFOD_{c,baled} + FFOD_{c,other}")</definedName>
    <definedName name="AgResidue_Equations_CropResidue.VEERG_6_1_1_2__1a__FractionOfCropResidueRemoved_NIRReference">_xlfn.LAMBDA("")</definedName>
    <definedName name="AgResidue_Equations_CropResidue.VEERG_6_1_1_2__1a__FractionOfCropResidueRemoved_Source">_xlfn.LAMBDA("")</definedName>
    <definedName name="AgResidue_Equations_CropResidue.VEERG_6_1_1_2__1a__FractionOfCropResidueRemoved_Title">_xlfn.LAMBDA("Fraction of crop residue that is removed for crop c")</definedName>
    <definedName name="AgResidue_Equations_CropResidue.VEERG_6_1_1_2__1a__FractionOfCropResidueRemoved_Unit">_xlfn.LAMBDA("dimensionless")</definedName>
    <definedName name="AgResidue_Equations_CropResidue.VEERG_6_1_1_2__1a__FractionOfCropResidueRemoved_Variable">_xlfn.LAMBDA("FFOD_c")</definedName>
    <definedName name="AgResidue_Equations_CropResidue.VEERG_6_1_1_2__1a__FractionOfCropResidueRemoved_Variation">_xlfn.LAMBDA("VARIATION FROM SOURCE: Added this equation to accommodate user-defined residue removal other than baling.")</definedName>
    <definedName name="AgResidue_Equations_FieldBurning.VEERG_6_4_1_1__1__MethaneEmissionsFromBurningOfCropResidues" localSheetId="21">_xlfn.LAMBDA(_xlpm.M_burnc,_xlpm.CC_c,_xlpm.EF_CH4,_xlpm.C_CH4, (_xlpm.M_burnc * _xlpm.CC_c) * _xlpm.EF_CH4 * _xlpm.C_CH4 * 10 ^ (-3))</definedName>
    <definedName name="AgResidue_Equations_FieldBurning.VEERG_6_4_1_1__1__MethaneEmissionsFromBurningOfCropResidues" localSheetId="22">_xlfn.LAMBDA(_xlpm.M_burnc,_xlpm.CC_c,_xlpm.EF_CH4,_xlpm.C_CH4, (_xlpm.M_burnc * _xlpm.CC_c) * _xlpm.EF_CH4 * _xlpm.C_CH4 * 10 ^ (-3))</definedName>
    <definedName name="AgResidue_Equations_FieldBurning.VEERG_6_4_1_1__1__MethaneEmissionsFromBurningOfCropResidues" localSheetId="27">_xlfn.LAMBDA(_xlpm.M_burnc,_xlpm.CC_c,_xlpm.EF_CH4,_xlpm.C_CH4, (_xlpm.M_burnc * _xlpm.CC_c) * _xlpm.EF_CH4 * _xlpm.C_CH4 * 10 ^ (-3))</definedName>
    <definedName name="AgResidue_Equations_FieldBurning.VEERG_6_4_1_1__1__MethaneEmissionsFromBurningOfCropResidues" localSheetId="6">_xlfn.LAMBDA(_xlpm.M_burnc,_xlpm.CC_c,_xlpm.EF_CH4,_xlpm.C_CH4, (_xlpm.M_burnc * _xlpm.CC_c) * _xlpm.EF_CH4 * _xlpm.C_CH4 * 10 ^ (-3))</definedName>
    <definedName name="AgResidue_Equations_FieldBurning.VEERG_6_4_1_1__1__MethaneEmissionsFromBurningOfCropResidues">_xlfn.LAMBDA(_xlpm.Mburnc,_xlpm.CCc,_xlpm.EFCH4,_xlpm.C_CH4, _xlpm.Mburnc * _xlpm.CCc * _xlpm.EFCH4 * _xlpm.C_CH4 * 10 ^ (-3))</definedName>
    <definedName name="AgResidue_Equations_FieldBurning.VEERG_6_4_1_1__1__MethaneEmissionsFromBurningOfCropResidues_Arguments" localSheetId="21">_xlfn.LAMBDA(_xlfn.MAKEARRAY(5, 4, _xlfn.LAMBDA(_xlpm.r,_xlpm.c, INDEX({"M_burnc","mass of residue burnt for crop type c","kg","Calculated from 6.4.1.1 (3)";"CC_c","carbon mass fraction in the residues of crop type c","fraction","Constant";"EF_CH4","emission factor for methane from burning of crop residues","kg CH4 / kg CH4 burnt","Constant";"C_CH4","factor to convert elemental mass of methane to molecular mass","dimensionless","Constant";"c","Crop type","","Input"}, _xlpm.r, _xlpm.c))))</definedName>
    <definedName name="AgResidue_Equations_FieldBurning.VEERG_6_4_1_1__1__MethaneEmissionsFromBurningOfCropResidues_Arguments" localSheetId="22">_xlfn.LAMBDA(_xlfn.MAKEARRAY(5, 4, _xlfn.LAMBDA(_xlpm.r,_xlpm.c, INDEX({"M_burnc","mass of residue burnt for crop type c","kg","Calculated from 6.4.1.1 (3)";"CC_c","carbon mass fraction in the residues of crop type c","fraction","Constant";"EF_CH4","emission factor for methane from burning of crop residues","kg CH4 / kg CH4 burnt","Constant";"C_CH4","factor to convert elemental mass of methane to molecular mass","dimensionless","Constant";"c","Crop type","","Input"}, _xlpm.r, _xlpm.c))))</definedName>
    <definedName name="AgResidue_Equations_FieldBurning.VEERG_6_4_1_1__1__MethaneEmissionsFromBurningOfCropResidues_Arguments" localSheetId="27">_xlfn.LAMBDA(_xlfn.MAKEARRAY(5, 4, _xlfn.LAMBDA(_xlpm.r,_xlpm.c, INDEX({"M_burnc","mass of residue burnt for crop type c","kg","Calculated from 6.4.1.1 (3)";"CC_c","carbon mass fraction in the residues of crop type c","fraction","Constant";"EF_CH4","emission factor for methane from burning of crop residues","kg CH4 / kg CH4 burnt","Constant";"C_CH4","factor to convert elemental mass of methane to molecular mass","dimensionless","Constant";"c","Crop type","","Input"}, _xlpm.r, _xlpm.c))))</definedName>
    <definedName name="AgResidue_Equations_FieldBurning.VEERG_6_4_1_1__1__MethaneEmissionsFromBurningOfCropResidues_Arguments" localSheetId="6">_xlfn.LAMBDA(_xlfn.MAKEARRAY(5, 4, _xlfn.LAMBDA(_xlpm.r,_xlpm.c, INDEX({"M_burnc","mass of residue burnt for crop type c","kg","Calculated from 6.4.1.1 (3)";"CC_c","carbon mass fraction in the residues of crop type c","fraction","Constant";"EF_CH4","emission factor for methane from burning of crop residues","kg CH4 / kg CH4 burnt","Constant";"C_CH4","factor to convert elemental mass of methane to molecular mass","dimensionless","Constant";"c","Crop type","","Input"}, _xlpm.r, _xlpm.c))))</definedName>
    <definedName name="AgResidue_Equations_FieldBurning.VEERG_6_4_1_1__1__MethaneEmissionsFromBurningOfCropResidues_Arguments">_xlfn.LAMBDA(_xlfn.MAKEARRAY(5, 2, _xlfn.LAMBDA(_xlpm.r,_xlpm.c, INDEX({"Mburnc","mass of residue burnt for crop type c (kg)";"CCc","carbon mass fraction in the residues of crop type c (dimensionless)";"EFCH4","emission factor for methane from burning of crop residues (kg CH4/kg CH4 burnt)";"CCH4","factor to convert elemental mass of methane to molecular mass (dimensionless)";"c","Crop type"}, _xlpm.r, _xlpm.c))))</definedName>
    <definedName name="AgResidue_Equations_FieldBurning.VEERG_6_4_1_1__1__MethaneEmissionsFromBurningOfCropResidues_FunctionName">_xlfn.LAMBDA("VEERG_6_4_1_1__1__MethaneEmissionsFromBurningOfCropResidues")</definedName>
    <definedName name="AgResidue_Equations_FieldBurning.VEERG_6_4_1_1__1__MethaneEmissionsFromBurningOfCropResidues_LatexEquation" localSheetId="21">_xlfn.LAMBDA("E_{CH4}=\sum\nolimits_c(M_{burn,c}\times CC_{c})\times EF_{CH4}\times C_{CH4}\times 10^{-3}")</definedName>
    <definedName name="AgResidue_Equations_FieldBurning.VEERG_6_4_1_1__1__MethaneEmissionsFromBurningOfCropResidues_LatexEquation" localSheetId="22">_xlfn.LAMBDA("E_{CH4}=\sum\nolimits_c(M_{burn,c}\times CC_{c})\times EF_{CH4}\times C_{CH4}\times 10^{-3}")</definedName>
    <definedName name="AgResidue_Equations_FieldBurning.VEERG_6_4_1_1__1__MethaneEmissionsFromBurningOfCropResidues_LatexEquation" localSheetId="27">_xlfn.LAMBDA("E_{CH4}=\sum\nolimits_c(M_{burn,c}\times CC_{c})\times EF_{CH4}\times C_{CH4}\times 10^{-3}")</definedName>
    <definedName name="AgResidue_Equations_FieldBurning.VEERG_6_4_1_1__1__MethaneEmissionsFromBurningOfCropResidues_LatexEquation" localSheetId="6">_xlfn.LAMBDA("E_{CH4}=\sum\nolimits_c(M_{burn,c}\times CC_{c})\times EF_{CH4}\times C_{CH4}\times 10^{-3}")</definedName>
    <definedName name="AgResidue_Equations_FieldBurning.VEERG_6_4_1_1__1__MethaneEmissionsFromBurningOfCropResidues_LatexEquation">_xlfn.LAMBDA("E_{CH4}=\sum_{c}(M_{burn,c}\times CC_{c}\times EF_{CH4}\times C_{CH4}\times 10^{-3})")</definedName>
    <definedName name="AgResidue_Equations_FieldBurning.VEERG_6_4_1_1__1__MethaneEmissionsFromBurningOfCropResidues_NIRReference">_xlfn.LAMBDA("")</definedName>
    <definedName name="AgResidue_Equations_FieldBurning.VEERG_6_4_1_1__1__MethaneEmissionsFromBurningOfCropResidues_Source">_xlfn.LAMBDA("VEERG 2026: 6.4.1.1, Equation (1)")</definedName>
    <definedName name="AgResidue_Equations_FieldBurning.VEERG_6_4_1_1__1__MethaneEmissionsFromBurningOfCropResidues_Title">_xlfn.LAMBDA("Methane emissions from the burning of crop residues")</definedName>
    <definedName name="AgResidue_Equations_FieldBurning.VEERG_6_4_1_1__1__MethaneEmissionsFromBurningOfCropResidues_Unit">_xlfn.LAMBDA("t CH4")</definedName>
    <definedName name="AgResidue_Equations_FieldBurning.VEERG_6_4_1_1__1__MethaneEmissionsFromBurningOfCropResidues_Variable">_xlfn.LAMBDA("ECH4")</definedName>
    <definedName name="AgResidue_Equations_FieldBurning.VEERG_6_4_1_1__2__NitrousOxideEmissionsFromBurningOfCropResidues" localSheetId="21">_xlfn.LAMBDA(_xlpm.M_burnc,_xlpm.NC_AGc,_xlpm.EF_N2O,_xlpm.C_N2O, (_xlpm.M_burnc * _xlpm.NC_AGc) * _xlpm.EF_N2O * _xlpm.C_N2O * 10 ^ (-3))</definedName>
    <definedName name="AgResidue_Equations_FieldBurning.VEERG_6_4_1_1__2__NitrousOxideEmissionsFromBurningOfCropResidues" localSheetId="22">_xlfn.LAMBDA(_xlpm.M_burnc,_xlpm.NC_AGc,_xlpm.EF_N2O,_xlpm.C_N2O, (_xlpm.M_burnc * _xlpm.NC_AGc) * _xlpm.EF_N2O * _xlpm.C_N2O * 10 ^ (-3))</definedName>
    <definedName name="AgResidue_Equations_FieldBurning.VEERG_6_4_1_1__2__NitrousOxideEmissionsFromBurningOfCropResidues" localSheetId="27">_xlfn.LAMBDA(_xlpm.M_burnc,_xlpm.NC_AGc,_xlpm.EF_N2O,_xlpm.C_N2O, (_xlpm.M_burnc * _xlpm.NC_AGc) * _xlpm.EF_N2O * _xlpm.C_N2O * 10 ^ (-3))</definedName>
    <definedName name="AgResidue_Equations_FieldBurning.VEERG_6_4_1_1__2__NitrousOxideEmissionsFromBurningOfCropResidues" localSheetId="6">_xlfn.LAMBDA(_xlpm.M_burnc,_xlpm.NC_AGc,_xlpm.EF_N2O,_xlpm.C_N2O, (_xlpm.M_burnc * _xlpm.NC_AGc) * _xlpm.EF_N2O * _xlpm.C_N2O * 10 ^ (-3))</definedName>
    <definedName name="AgResidue_Equations_FieldBurning.VEERG_6_4_1_1__2__NitrousOxideEmissionsFromBurningOfCropResidues">_xlfn.LAMBDA(_xlpm.Mburnc,_xlpm.NCAGc,_xlpm.EFN2O,_xlpm.CN2O, _xlpm.Mburnc * _xlpm.NCAGc * _xlpm.EFN2O * _xlpm.CN2O * 10 ^ (-3))</definedName>
    <definedName name="AgResidue_Equations_FieldBurning.VEERG_6_4_1_1__2__NitrousOxideEmissionsFromBurningOfCropResidues_Arguments" localSheetId="21">_xlfn.LAMBDA(_xlfn.MAKEARRAY(5, 4, _xlfn.LAMBDA(_xlpm.r,_xlpm.c, INDEX({"M_burnc","mass of residue burnt for crop type c","kg","Calculated from 6.4.1.1 (3)";"NC_AGc","nitrogen content in the above-ground residue of crop type c","kg N/kg DM","Constant";"EF_N2O","emission factor for nitrous oxide from burning of crop residues","kg N2O/kg N2O burnt","Constant";"C_N2O","factor to convert elemental mass of nitrous oxide to molecular mass","dimensionless","Constant";"c","Crop type","","Input"}, _xlpm.r, _xlpm.c))))</definedName>
    <definedName name="AgResidue_Equations_FieldBurning.VEERG_6_4_1_1__2__NitrousOxideEmissionsFromBurningOfCropResidues_Arguments" localSheetId="22">_xlfn.LAMBDA(_xlfn.MAKEARRAY(5, 4, _xlfn.LAMBDA(_xlpm.r,_xlpm.c, INDEX({"M_burnc","mass of residue burnt for crop type c","kg","Calculated from 6.4.1.1 (3)";"NC_AGc","nitrogen content in the above-ground residue of crop type c","kg N/kg DM","Constant";"EF_N2O","emission factor for nitrous oxide from burning of crop residues","kg N2O/kg N2O burnt","Constant";"C_N2O","factor to convert elemental mass of nitrous oxide to molecular mass","dimensionless","Constant";"c","Crop type","","Input"}, _xlpm.r, _xlpm.c))))</definedName>
    <definedName name="AgResidue_Equations_FieldBurning.VEERG_6_4_1_1__2__NitrousOxideEmissionsFromBurningOfCropResidues_Arguments" localSheetId="27">_xlfn.LAMBDA(_xlfn.MAKEARRAY(5, 4, _xlfn.LAMBDA(_xlpm.r,_xlpm.c, INDEX({"M_burnc","mass of residue burnt for crop type c","kg","Calculated from 6.4.1.1 (3)";"NC_AGc","nitrogen content in the above-ground residue of crop type c","kg N/kg DM","Constant";"EF_N2O","emission factor for nitrous oxide from burning of crop residues","kg N2O/kg N2O burnt","Constant";"C_N2O","factor to convert elemental mass of nitrous oxide to molecular mass","dimensionless","Constant";"c","Crop type","","Input"}, _xlpm.r, _xlpm.c))))</definedName>
    <definedName name="AgResidue_Equations_FieldBurning.VEERG_6_4_1_1__2__NitrousOxideEmissionsFromBurningOfCropResidues_Arguments" localSheetId="6">_xlfn.LAMBDA(_xlfn.MAKEARRAY(5, 4, _xlfn.LAMBDA(_xlpm.r,_xlpm.c, INDEX({"M_burnc","mass of residue burnt for crop type c","kg","Calculated from 6.4.1.1 (3)";"NC_AGc","nitrogen content in the above-ground residue of crop type c","kg N/kg DM","Constant";"EF_N2O","emission factor for nitrous oxide from burning of crop residues","kg N2O/kg N2O burnt","Constant";"C_N2O","factor to convert elemental mass of nitrous oxide to molecular mass","dimensionless","Constant";"c","Crop type","","Input"}, _xlpm.r, _xlpm.c))))</definedName>
    <definedName name="AgResidue_Equations_FieldBurning.VEERG_6_4_1_1__2__NitrousOxideEmissionsFromBurningOfCropResidues_Arguments">_xlfn.LAMBDA(_xlfn.MAKEARRAY(5, 2, _xlfn.LAMBDA(_xlpm.r,_xlpm.c, INDEX({"Mburnc","mass of residue burnt for crop type c (kg)";"NCAGc","nitrogen content in the above-ground residue of crop type c (kg N/kg DM)";"EFN2O","emission factor for nitrous oxide from burning of crop residues (kg N2O/kg N2O burnt)";"CN2O","factor to convert elemental mass of nitrous oxide to molecular mass (dimensionless)";"c","Crop type"}, _xlpm.r, _xlpm.c))))</definedName>
    <definedName name="AgResidue_Equations_FieldBurning.VEERG_6_4_1_1__2__NitrousOxideEmissionsFromBurningOfCropResidues_FunctionName">_xlfn.LAMBDA("VEERG_6_4_1_1__2__NitrousOxideEmissionsFromBurningOfCropResidues")</definedName>
    <definedName name="AgResidue_Equations_FieldBurning.VEERG_6_4_1_1__2__NitrousOxideEmissionsFromBurningOfCropResidues_LatexEquation" localSheetId="21">_xlfn.LAMBDA("E_{N2O}=\sum\nolimits_c(M_{burn,c}\times NC_{AGc})\times EF_{N2O}\times C_{N2O}\times 10^{-3}")</definedName>
    <definedName name="AgResidue_Equations_FieldBurning.VEERG_6_4_1_1__2__NitrousOxideEmissionsFromBurningOfCropResidues_LatexEquation" localSheetId="22">_xlfn.LAMBDA("E_{N2O}=\sum\nolimits_c(M_{burn,c}\times NC_{AGc})\times EF_{N2O}\times C_{N2O}\times 10^{-3}")</definedName>
    <definedName name="AgResidue_Equations_FieldBurning.VEERG_6_4_1_1__2__NitrousOxideEmissionsFromBurningOfCropResidues_LatexEquation" localSheetId="27">_xlfn.LAMBDA("E_{N2O}=\sum\nolimits_c(M_{burn,c}\times NC_{AGc})\times EF_{N2O}\times C_{N2O}\times 10^{-3}")</definedName>
    <definedName name="AgResidue_Equations_FieldBurning.VEERG_6_4_1_1__2__NitrousOxideEmissionsFromBurningOfCropResidues_LatexEquation" localSheetId="6">_xlfn.LAMBDA("E_{N2O}=\sum\nolimits_c(M_{burn,c}\times NC_{AGc})\times EF_{N2O}\times C_{N2O}\times 10^{-3}")</definedName>
    <definedName name="AgResidue_Equations_FieldBurning.VEERG_6_4_1_1__2__NitrousOxideEmissionsFromBurningOfCropResidues_LatexEquation">_xlfn.LAMBDA("E_{N2O}=\sum_{c}(M_{burn,c}\times NC_{AGc}\times EF_{N2O}\times C_{N2O}\times 10^{-3})")</definedName>
    <definedName name="AgResidue_Equations_FieldBurning.VEERG_6_4_1_1__2__NitrousOxideEmissionsFromBurningOfCropResidues_NIRReference">_xlfn.LAMBDA("")</definedName>
    <definedName name="AgResidue_Equations_FieldBurning.VEERG_6_4_1_1__2__NitrousOxideEmissionsFromBurningOfCropResidues_Source">_xlfn.LAMBDA("VEERG 2026: 6.4.1.1, Equation (2)")</definedName>
    <definedName name="AgResidue_Equations_FieldBurning.VEERG_6_4_1_1__2__NitrousOxideEmissionsFromBurningOfCropResidues_Title">_xlfn.LAMBDA("Nitrous oxide emissions from the burning of crop residues")</definedName>
    <definedName name="AgResidue_Equations_FieldBurning.VEERG_6_4_1_1__2__NitrousOxideEmissionsFromBurningOfCropResidues_Unit">_xlfn.LAMBDA("t N2O")</definedName>
    <definedName name="AgResidue_Equations_FieldBurning.VEERG_6_4_1_1__2__NitrousOxideEmissionsFromBurningOfCropResidues_Variable">_xlfn.LAMBDA("EN2O")</definedName>
    <definedName name="AgResidue_Equations_FieldBurning.VEERG_6_4_1_1__3__MassOfCropResidueBurnt" localSheetId="21">_xlfn.LAMBDA(_xlpm.P_c,_xlpm.R_AGc,_xlpm.S_c,_xlpm.DM_c,_xlpm.Z_c,_xlpm.F_c, _xlpm.P_c * _xlpm.R_AGc * _xlpm.S_c * _xlpm.DM_c * _xlpm.Z_c * _xlpm.F_c)</definedName>
    <definedName name="AgResidue_Equations_FieldBurning.VEERG_6_4_1_1__3__MassOfCropResidueBurnt" localSheetId="22">_xlfn.LAMBDA(_xlpm.P_c,_xlpm.R_AGc,_xlpm.S_c,_xlpm.DM_c,_xlpm.Z_c,_xlpm.F_c, _xlpm.P_c * _xlpm.R_AGc * _xlpm.S_c * _xlpm.DM_c * _xlpm.Z_c * _xlpm.F_c)</definedName>
    <definedName name="AgResidue_Equations_FieldBurning.VEERG_6_4_1_1__3__MassOfCropResidueBurnt" localSheetId="27">_xlfn.LAMBDA(_xlpm.P_c,_xlpm.R_AGc,_xlpm.S_c,_xlpm.DM_c,_xlpm.Z_c,_xlpm.F_c, _xlpm.P_c * _xlpm.R_AGc * _xlpm.S_c * _xlpm.DM_c * _xlpm.Z_c * _xlpm.F_c)</definedName>
    <definedName name="AgResidue_Equations_FieldBurning.VEERG_6_4_1_1__3__MassOfCropResidueBurnt" localSheetId="6">_xlfn.LAMBDA(_xlpm.P_c,_xlpm.R_AGc,_xlpm.S_c,_xlpm.DM_c,_xlpm.Z_c,_xlpm.F_c, _xlpm.P_c * _xlpm.R_AGc * _xlpm.S_c * _xlpm.DM_c * _xlpm.Z_c * _xlpm.F_c)</definedName>
    <definedName name="AgResidue_Equations_FieldBurning.VEERG_6_4_1_1__3__MassOfCropResidueBurnt">_xlfn.LAMBDA(_xlpm.Pc,_xlpm.RAGc,_xlpm.Sc,_xlpm.DMc,_xlpm.Zc,_xlpm.Fc, _xlpm.Pc * _xlpm.RAGc * _xlpm.Sc * _xlpm.DMc * _xlpm.Zc * _xlpm.Fc)</definedName>
    <definedName name="AgResidue_Equations_FieldBurning.VEERG_6_4_1_1__3__MassOfCropResidueBurnt_Arguments" localSheetId="21">_xlfn.LAMBDA(_xlfn.MAKEARRAY(7, 4, _xlfn.LAMBDA(_xlpm.r,_xlpm.c, INDEX({"P_c","annual production of crop type c","kg","Input";"R_AGc","residue to crop ratio of crop type c","kg crop residue/kg crop","Constant";"S_c","fraction of residues of crop type c remaining at burning","fraction","Constant";"DM_c","dry matter content of crop type c","kg dry weight/kg crop residue","Constant";"Z_c","burning efficiency (ratio of fuel burnt to fuel load) of crop type c","","Constant";"F_c","fraction of the annual production of crop type c that is burnt","fraction","Constant";"c","Crop type","","Input"}, _xlpm.r, _xlpm.c))))</definedName>
    <definedName name="AgResidue_Equations_FieldBurning.VEERG_6_4_1_1__3__MassOfCropResidueBurnt_Arguments" localSheetId="22">_xlfn.LAMBDA(_xlfn.MAKEARRAY(7, 4, _xlfn.LAMBDA(_xlpm.r,_xlpm.c, INDEX({"P_c","annual production of crop type c","kg","Input";"R_AGc","residue to crop ratio of crop type c","kg crop residue/kg crop","Constant";"S_c","fraction of residues of crop type c remaining at burning","fraction","Constant";"DM_c","dry matter content of crop type c","kg dry weight/kg crop residue","Constant";"Z_c","burning efficiency (ratio of fuel burnt to fuel load) of crop type c","","Constant";"F_c","fraction of the annual production of crop type c that is burnt","fraction","Constant";"c","Crop type","","Input"}, _xlpm.r, _xlpm.c))))</definedName>
    <definedName name="AgResidue_Equations_FieldBurning.VEERG_6_4_1_1__3__MassOfCropResidueBurnt_Arguments" localSheetId="27">_xlfn.LAMBDA(_xlfn.MAKEARRAY(7, 4, _xlfn.LAMBDA(_xlpm.r,_xlpm.c, INDEX({"P_c","annual production of crop type c","kg","Input";"R_AGc","residue to crop ratio of crop type c","kg crop residue/kg crop","Constant";"S_c","fraction of residues of crop type c remaining at burning","fraction","Constant";"DM_c","dry matter content of crop type c","kg dry weight/kg crop residue","Constant";"Z_c","burning efficiency (ratio of fuel burnt to fuel load) of crop type c","","Constant";"F_c","fraction of the annual production of crop type c that is burnt","fraction","Constant";"c","Crop type","","Input"}, _xlpm.r, _xlpm.c))))</definedName>
    <definedName name="AgResidue_Equations_FieldBurning.VEERG_6_4_1_1__3__MassOfCropResidueBurnt_Arguments" localSheetId="6">_xlfn.LAMBDA(_xlfn.MAKEARRAY(7, 4, _xlfn.LAMBDA(_xlpm.r,_xlpm.c, INDEX({"P_c","annual production of crop type c","kg","Input";"R_AGc","residue to crop ratio of crop type c","kg crop residue/kg crop","Constant";"S_c","fraction of residues of crop type c remaining at burning","fraction","Constant";"DM_c","dry matter content of crop type c","kg dry weight/kg crop residue","Constant";"Z_c","burning efficiency (ratio of fuel burnt to fuel load) of crop type c","","Constant";"F_c","fraction of the annual production of crop type c that is burnt","fraction","Constant";"c","Crop type","","Input"}, _xlpm.r, _xlpm.c))))</definedName>
    <definedName name="AgResidue_Equations_FieldBurning.VEERG_6_4_1_1__3__MassOfCropResidueBurnt_Arguments">_xlfn.LAMBDA(_xlfn.MAKEARRAY(7, 2, _xlfn.LAMBDA(_xlpm.r,_xlpm.c, INDEX({"Pc","annual production of crop type c (kg)";"RAGc","residue to crop ratio of crop type c (kg crop residue/kg crop)";"Sc","fraction of residues of crop type c remaining at burning (dimensionless)";"DMc","dry matter content of crop type c (kg dry weight/kg crop residue)";"Zc","burning efficiency (ratio of fuel burnt to fuel load) of crop type c (dimensionless)";"Fc","fraction of the annual production of crop type c that is burnt (dimensionless)";"c","Crop type"}, _xlpm.r, _xlpm.c))))</definedName>
    <definedName name="AgResidue_Equations_FieldBurning.VEERG_6_4_1_1__3__MassOfCropResidueBurnt_FunctionName">_xlfn.LAMBDA("VEERG_6_4_1_1__3__MassOfCropResidueBurnt")</definedName>
    <definedName name="AgResidue_Equations_FieldBurning.VEERG_6_4_1_1__3__MassOfCropResidueBurnt_LatexEquation">_xlfn.LAMBDA("M_{burn,c}=P_{c}\times R_{AGc}\times S_{c}\times DM_{c}\times Z_{c}\times F_{c}")</definedName>
    <definedName name="AgResidue_Equations_FieldBurning.VEERG_6_4_1_1__3__MassOfCropResidueBurnt_NIRReference">_xlfn.LAMBDA("")</definedName>
    <definedName name="AgResidue_Equations_FieldBurning.VEERG_6_4_1_1__3__MassOfCropResidueBurnt_Source">_xlfn.LAMBDA("VEERG 2026: 6.4.1.1, Equation (3)")</definedName>
    <definedName name="AgResidue_Equations_FieldBurning.VEERG_6_4_1_1__3__MassOfCropResidueBurnt_Title">_xlfn.LAMBDA("Mass of residue of crop c burnt")</definedName>
    <definedName name="AgResidue_Equations_FieldBurning.VEERG_6_4_1_1__3__MassOfCropResidueBurnt_Unit">_xlfn.LAMBDA("kg")</definedName>
    <definedName name="AgResidue_Equations_FieldBurning.VEERG_6_4_1_1__3__MassOfCropResidueBurnt_Variable" localSheetId="21">_xlfn.LAMBDA("M_burnc")</definedName>
    <definedName name="AgResidue_Equations_FieldBurning.VEERG_6_4_1_1__3__MassOfCropResidueBurnt_Variable" localSheetId="22">_xlfn.LAMBDA("M_burnc")</definedName>
    <definedName name="AgResidue_Equations_FieldBurning.VEERG_6_4_1_1__3__MassOfCropResidueBurnt_Variable" localSheetId="27">_xlfn.LAMBDA("M_burnc")</definedName>
    <definedName name="AgResidue_Equations_FieldBurning.VEERG_6_4_1_1__3__MassOfCropResidueBurnt_Variable" localSheetId="6">_xlfn.LAMBDA("M_burnc")</definedName>
    <definedName name="AgResidue_Equations_FieldBurning.VEERG_6_4_1_1__3__MassOfCropResidueBurnt_Variable">_xlfn.LAMBDA("Mburnc")</definedName>
    <definedName name="AgResidue_Equations_Leaching.VEERG_6_3_1_1__1__LeachingAndRunoffEmissionsCropAndPastureResidue">_xlfn.LAMBDA(_xlpm.M_leachcp,_xlpm.EF_leach,_xlpm.C_N2O, (_xlpm.M_leachcp * _xlpm.EF_leach) * _xlpm.C_N2O * 10 ^ (-3))</definedName>
    <definedName name="AgResidue_Equations_Leaching.VEERG_6_3_1_1__1__LeachingAndRunoffEmissionsCropAndPastureResidue_Arguments">_xlfn.LAMBDA(_xlfn.MAKEARRAY(5, 4, _xlfn.LAMBDA(_xlpm.r,_xlpm.c, INDEX({"M_leachcp","mass of nitrogen lost through leaching and runoff from the crop residue c or pasture residue p","kg N","Calculated from 6.3.1.1 (2)";"EF_leach","emission factor for leaching and runoff","kg N2O-N/kg N","Constant";"C_N2O","factor to convert elemental mass of nitrous oxide to molecular mass","dimensionless","Constant";"c","Crop residue type","","Input";"p","Pasture residue type","","Input"}, _xlpm.r, _xlpm.c))))</definedName>
    <definedName name="AgResidue_Equations_Leaching.VEERG_6_3_1_1__1__LeachingAndRunoffEmissionsCropAndPastureResidue_LatexEquation">_xlfn.LAMBDA("E_{N2O}=\sum\nolimits_c\sum\nolimits_p(M_{leach,cp}\times EF_{leach}\times C_{N2O}\times 10^{-3})")</definedName>
    <definedName name="AgResidue_Equations_Leaching.VEERG_6_3_1_1__1__LeachingAndRunoffEmissionsCropAndPastureResidue_NIRReference">_xlfn.LAMBDA("")</definedName>
    <definedName name="AgResidue_Equations_Leaching.VEERG_6_3_1_1__1__LeachingAndRunoffEmissionsCropAndPastureResidue_Source">_xlfn.LAMBDA("VEERG 2026: 6.3.1.1, Equation (1)")</definedName>
    <definedName name="AgResidue_Equations_Leaching.VEERG_6_3_1_1__1__LeachingAndRunoffEmissionsCropAndPastureResidue_Title">_xlfn.LAMBDA("Nitrous oxide leaching and runoff emissions from crop and pasture residues returned to the soil")</definedName>
    <definedName name="AgResidue_Equations_Leaching.VEERG_6_3_1_1__1__LeachingAndRunoffEmissionsCropAndPastureResidue_Unit">_xlfn.LAMBDA("t N2O")</definedName>
    <definedName name="AgResidue_Equations_Leaching.VEERG_6_3_1_1__1__LeachingAndRunoffEmissionsCropAndPastureResidue_Variable">_xlfn.LAMBDA("EN2O")</definedName>
    <definedName name="AgResidue_Equations_Leaching.VEERG_6_3_1_1__2__MassOfNitrogenLostThroughLeachingAndRunoff">_xlfn.LAMBDA(_xlpm.M_cp,_xlpm.FracWET_j,_xlpm.FracLEACH, _xlpm.M_cp * _xlpm.FracWET_j * _xlpm.FracLEACH)</definedName>
    <definedName name="AgResidue_Equations_Leaching.VEERG_6_3_1_1__2__MassOfNitrogenLostThroughLeachingAndRunoff_Arguments">_xlfn.LAMBDA(_xlfn.MAKEARRAY(7, 4, _xlfn.LAMBDA(_xlpm.r,_xlpm.c, INDEX({"M_cp","mass of nitrogen in crop residues c or pasture residues p applied to soils","kg N","Calc from 6.1.1.1 (2) and 6.2.1.1 (2)";"FracWET_j","fraction of N that is available for leaching and runoff from the leaching zone z and irrigation type ir","fraction","Constant";"FracLEACH","fraction of N that is lost through leaching and runoff","fraction","Constant";"z","Location in leaching zone","","Input";"c","Crop residue type","","Input";"p","Pasture residue type","","Input";"ir","Irrigation type","","Input"}, _xlpm.r, _xlpm.c))))</definedName>
    <definedName name="AgResidue_Equations_Leaching.VEERG_6_3_1_1__2__MassOfNitrogenLostThroughLeachingAndRunoff_LatexEquation">_xlfn.LAMBDA("M_{leach,cp}=M_{cp}\times FracWET_{j}\times FracLEACH")</definedName>
    <definedName name="AgResidue_Equations_Leaching.VEERG_6_3_1_1__2__MassOfNitrogenLostThroughLeachingAndRunoff_NIRReference">_xlfn.LAMBDA("")</definedName>
    <definedName name="AgResidue_Equations_Leaching.VEERG_6_3_1_1__2__MassOfNitrogenLostThroughLeachingAndRunoff_Source">_xlfn.LAMBDA("VEERG 2026: 6.3.1.1, Equation (2)")</definedName>
    <definedName name="AgResidue_Equations_Leaching.VEERG_6_3_1_1__2__MassOfNitrogenLostThroughLeachingAndRunoff_Title">_xlfn.LAMBDA("Mass of nitrogen lost through leaching and runoff")</definedName>
    <definedName name="AgResidue_Equations_Leaching.VEERG_6_3_1_1__2__MassOfNitrogenLostThroughLeachingAndRunoff_Unit">_xlfn.LAMBDA("kg N")</definedName>
    <definedName name="AgResidue_Equations_Leaching.VEERG_6_3_1_1__2__MassOfNitrogenLostThroughLeachingAndRunoff_Variable">_xlfn.LAMBDA("M_leachcp")</definedName>
    <definedName name="AgResidue_Equations_Leaching.VEERG_6_3_1_1__2__MassOfNitrogenLostThroughLeachingAndRunoff_Variation">_xlfn.LAMBDA("")</definedName>
    <definedName name="AgResidue_Equations_PastureResidue.VEERG_6_2_1_1__1__NitrousOxideEmissionsFromPastureResidues">_xlfn.LAMBDA(_xlpm.M_p,_xlpm.EF_Ni,_xlpm.C_N2O, (_xlpm.M_p * _xlpm.EF_Ni) * _xlpm.C_N2O * 10 ^ (-3))</definedName>
    <definedName name="AgResidue_Equations_PastureResidue.VEERG_6_2_1_1__1__NitrousOxideEmissionsFromPastureResidues_Arguments">_xlfn.LAMBDA(_xlfn.MAKEARRAY(5, 4, _xlfn.LAMBDA(_xlpm.r,_xlpm.c, INDEX({"M_p","mass of nitrogen in pasture p residues returned to the soil","kg N","Calculated from 6.2.1.1 (2)";"EF_Ni","emission factor for crop residues returned to the soil in climate zone i","kg N2O-N/kg N","Constant";"C_N2O","factor to convert elemental mass of nitrous oxide to molecular mass","dimensionless","Constant";"p","Pasture type","","Input";"i","Wet or dry climate zone","","Input"}, _xlpm.r, _xlpm.c))))</definedName>
    <definedName name="AgResidue_Equations_PastureResidue.VEERG_6_2_1_1__1__NitrousOxideEmissionsFromPastureResidues_LatexEquation">_xlfn.LAMBDA("E_{N2O}=\sum\nolimits_p\left(M_p\times EF_{Ni}\right)\times C_{N2O}\times{10}^{-3}")</definedName>
    <definedName name="AgResidue_Equations_PastureResidue.VEERG_6_2_1_1__1__NitrousOxideEmissionsFromPastureResidues_NIRReference">_xlfn.LAMBDA("")</definedName>
    <definedName name="AgResidue_Equations_PastureResidue.VEERG_6_2_1_1__1__NitrousOxideEmissionsFromPastureResidues_Source">_xlfn.LAMBDA("VEERG 2026: 6.2.1.1, Equation (1)")</definedName>
    <definedName name="AgResidue_Equations_PastureResidue.VEERG_6_2_1_1__1__NitrousOxideEmissionsFromPastureResidues_Title">_xlfn.LAMBDA("Nitrous oxide emissions from the return of pasture residues from all pasture types to the soil")</definedName>
    <definedName name="AgResidue_Equations_PastureResidue.VEERG_6_2_1_1__1__NitrousOxideEmissionsFromPastureResidues_Unit">_xlfn.LAMBDA("t N2O")</definedName>
    <definedName name="AgResidue_Equations_PastureResidue.VEERG_6_2_1_1__1__NitrousOxideEmissionsFromPastureResidues_Variable">_xlfn.LAMBDA("EN2O")</definedName>
    <definedName name="AgResidue_Equations_PastureResidue.VEERG_6_2_1_1__2__MassOfNitrogenInPastureResidues">_xlfn.LAMBDA(_xlpm.A_p,_xlpm.Y_p,_xlpm.FFOD_p,_xlpm.NC_AGp,_xlpm.R_BGp,_xlpm.NC_BGp, (_xlpm.A_p * (_xlpm.Y_p * 10 ^ (-3)) * (1 - _xlpm.FFOD_p) * _xlpm.NC_AGp) + (_xlpm.A_p * (_xlpm.Y_p * 10 ^ (-3)) * _xlpm.R_BGp * _xlpm.NC_BGp))</definedName>
    <definedName name="AgResidue_Equations_PastureResidue.VEERG_6_2_1_1__2__MassOfNitrogenInPastureResidues_Arguments">_xlfn.LAMBDA(_xlfn.MAKEARRAY(7, 4, _xlfn.LAMBDA(_xlpm.r,_xlpm.c, INDEX({"A_p","area of pasture renewed or removed","ha","Input";"Y_p","average yield of pasture crop","t DM/ha","Constant";"NC_AGp","N content of above-ground pasture residue","kg N/kg DM","Constant";"R_BGp","below-ground residue to above-ground residue ratio for pasture crop","","Constant";"NC_BGp","N content of below-ground pasture crop residue","kg N/kg DM","Constant";"FFOD_p","fraction of pasture yield that is removed","fraction","Constant";"p","Pasture type","","Input"}, _xlpm.r, _xlpm.c))))</definedName>
    <definedName name="AgResidue_Equations_PastureResidue.VEERG_6_2_1_1__2__MassOfNitrogenInPastureResidues_Arguments_Method2">_xlfn.LAMBDA(_xlfn.MAKEARRAY(7, 4, _xlfn.LAMBDA(_xlpm.r,_xlpm.c, INDEX({"A_p","area of pasture renewed or removed","ha","Input";"Y_p","average yield of pasture crop","t DM/ha","Input";"NC_AGp","N content of above-ground pasture residue","kg N/kg DM","Constant";"R_BGp","below-ground residue to above-ground residue ratio for pasture crop","","Constant";"NC_BGp","N content of below-ground pasture crop residue","kg N/kg DM","Constant";"FFOD_p","fraction of pasture yield that is removed","fraction","Constant";"p","Pasture type","","Input"}, _xlpm.r, _xlpm.c))))</definedName>
    <definedName name="AgResidue_Equations_PastureResidue.VEERG_6_2_1_1__2__MassOfNitrogenInPastureResidues_LatexEquation">_xlfn.LAMBDA("M_p = (A_p \times (Y_p \times 10^{-3}) \times (1- FFOD_p) \times NC_{AGp}) + (A_p \times (Y_p \times 10^{-3})\times R_{BGp} \times NC_{BGp})")</definedName>
    <definedName name="AgResidue_Equations_PastureResidue.VEERG_6_2_1_1__2__MassOfNitrogenInPastureResidues_NIRReference">_xlfn.LAMBDA("")</definedName>
    <definedName name="AgResidue_Equations_PastureResidue.VEERG_6_2_1_1__2__MassOfNitrogenInPastureResidues_Source">_xlfn.LAMBDA("VEERG 2026: 6.2.1.1, Equation (2)")</definedName>
    <definedName name="AgResidue_Equations_PastureResidue.VEERG_6_2_1_1__2__MassOfNitrogenInPastureResidues_Title">_xlfn.LAMBDA("Mass of nitrogen in pasture residues returned to the soil")</definedName>
    <definedName name="AgResidue_Equations_PastureResidue.VEERG_6_2_1_1__2__MassOfNitrogenInPastureResidues_Unit">_xlfn.LAMBDA("kg N")</definedName>
    <definedName name="AgResidue_Equations_PastureResidue.VEERG_6_2_1_1__2__MassOfNitrogenInPastureResidues_Variable">_xlfn.LAMBDA("Mp")</definedName>
    <definedName name="Agresidue_SourceData.BurningOfAgriculturalResiduesEFs_Data">_xlfn.LAMBDA(_xlfn.MAKEARRAY(6, 3, _xlfn.LAMBDA(_xlpm.r,_xlpm.c, INDEX({"Gas species","Emission factor EFg (Gg element in species/ Gg element in fuel burnt)","Elemental to molecular mass conversion factor (Cg)";"CH4",0.0035,"16/12";"N2O",0.0076,"44/28";"NOx",0.21,"46/14";"CO",0.078,"28/12";"NMVOC",0.0091,"14/12"}, _xlpm.r, _xlpm.c))))</definedName>
    <definedName name="Agresidue_SourceData.BurningOfAgriculturalResiduesEFs_Description">_xlfn.LAMBDA(("Burning of agricultural residues - EFs"))</definedName>
    <definedName name="Agresidue_SourceData.BurningOfAgriculturalResiduesEFs_Source">_xlfn.LAMBDA(("National Inventory Report 2023 volume 2: Table 5.31: Burning of agricultural residues - EFs"))</definedName>
    <definedName name="Agresidue_SourceData.BurningOfAgriculturalResiduesEFs_Title">_xlfn.LAMBDA(("Table 5.31 Burning of agricultural residues - EFs"))</definedName>
    <definedName name="Agresidue_SourceData.CropAttributes_Data">_xlfn.LAMBDA(_xlfn.MAKEARRAY(20, 9, _xlfn.LAMBDA(_xlpm.r,_xlpm.c, INDEX({"Crop type","Residue: Crop ratio","Below-ground: above-ground residue ratio","Dry matter content","Carbon fraction in dry matter","N content above-ground","N content below-ground","Fraction of residue remaining at time of burning","Burning efficiencyt";"c","RAGc","RBGc","DMc","CCc","NCAGc","NCBGc","Sc","Zc";"Wheat",1.5,0.29,0.88,0.4,0.006,0.01,0.5,0.9;"Barley",1.24,0.32,0.88,0.4,0.007,0.01,0.5,0.85;"Maize",0.81,0.39,0.85,0.42,0.005,0.007,1,0.8;"Oats",1.42,0.43,0.88,0.4,0.006,0.01,0.5,0.85;"Rice",1.31,0.16,0.8,0.42,0.007,0.01,1,0.8;"Sorghum",1.5,0.22,0.8,0.4,0.008,0.007,0.5,0.85;"Triticale",1.5,0.42,0.88,0.4,0.006,0.01,0.5,0.85;"Other cereals",1.46,0.36,0.88,0.4,0.006,0.01,0.5,0.85;"Pulses",1.37,0.51,0.87,0.4,0.009,0.01,0.5,0.85;"Tubers and roots",0.34,0.43,0.25,0.4,0.02,0.01,"n/a",0.85;"Peanuts",1.07,0.2,0.8,0.42,0.016,0.014,0.5,0.85;"Sugar cane",0.25,0.45,0.2,0.4,0.005,0.007,1,0.8;"Cotton",1.9,0.3,0.9,0.4,0.01,0.01,"n/a",0.85;"Hops",1.5,0.29,0.88,0.4,0.006,"n/a","n/a",0.85;"Oilseeds",2.08,0.33,0.96,0.4,0.009,0.01,0.5,0.85;"Forage crops",1.34,0.37,0.88,0.4,0.006,0.01,"n/a",0.85;"Other annual crops",1,0.22,0.85,0.4,0.008,0.009,"n/a","n/a";"Other perennial crops",1.5,0.29,0.88,0.4,0.006,"n/a","n/a","n/a"}, _xlpm.r, _xlpm.c))))</definedName>
    <definedName name="Agresidue_SourceData.CropAttributes_Description">_xlfn.LAMBDA(("Crop attributes"))</definedName>
    <definedName name="Agresidue_SourceData.CropAttributes_Source">_xlfn.LAMBDA(("VEERG 2026: Table A.2.1.1: Crop attributes"))</definedName>
    <definedName name="Agresidue_SourceData.CropAttributes_Title">_xlfn.LAMBDA(("Table A.2.1.1: Crop attributes"))</definedName>
    <definedName name="Agresidue_SourceData.CropAttributes_Variation">_xlfn.LAMBDA(("VARIATION FROM SOURCE: 'N/A' values passed as zero for calculations."))</definedName>
    <definedName name="Agresidue_SourceData.CropFractionRemoved_CustomisedData">_xlfn.LAMBDA(_xlfn.MAKEARRAY(144, 3, _xlfn.LAMBDA(_xlpm.r,_xlpm.c, INDEX({"Crop type c","State","Fraction removed FFODc";"Rice","NSW",0.06;"Rice","VIC",0.06;"Rice","QLD",0.06;"Rice","SA",0.06;"Rice","WA",0.06;"Rice","TAS",0.06;"Rice","NT",0.06;"Rice","ACT",0.06;"Tubers and roots","NSW",1;"Tubers and roots","VIC",1;"Tubers and roots","QLD",1;"Tubers and roots","SA",1;"Tubers and roots","WA",1;"Tubers and roots","TAS",1;"Tubers and roots","NT",1;"Tubers and roots","ACT",1;"Cotton","NSW",0;"Cotton","VIC",0;"Cotton","QLD",0;"Cotton","SA",0;"Cotton","WA",0;"Cotton","TAS",0;"Cotton","NT",0;"Cotton","ACT",0;"Hops","NSW",0;"Hops","VIC",0;"Hops","QLD",0;"Hops","SA",0;"Hops","WA",0;"Hops","TAS",0;"Hops","NT",0;"Hops","ACT",0;"Forage crops","NSW",0.8;"Forage crops","VIC",0.8;"Forage crops","QLD",0.8;"Forage crops","SA",0.8;"Forage crops","WA",0.8;"Forage crops","TAS",0.8;"Forage crops","NT",0.8;"Forage crops","ACT",0.8;"Sugar Cane","NSW",0;"Sugar Cane","VIC","N/A";"Sugar Cane","QLD",0.03;"Sugar Cane","SA","N/A";"Sugar Cane","WA",0;"Sugar Cane","TAS","N/A";"Sugar Cane","NT","N/A";"Sugar Cane","ACT","N/A";"Wheat","NSW",0.05;"Wheat","VIC",0.07;"Wheat","QLD",0.04;"Wheat","SA",0.09;"Wheat","WA",0.11;"Wheat","TAS",0.16;"Wheat","NT",0.01;"Wheat","ACT",0;"Barley","NSW",0.05;"Barley","VIC",0.07;"Barley","QLD",0.04;"Barley","SA",0.09;"Barley","WA",0.11;"Barley","TAS",0.16;"Barley","NT",0.01;"Barley","ACT",0;"Maize","NSW",0.05;"Maize","VIC",0.07;"Maize","QLD",0.04;"Maize","SA",0.09;"Maize","WA",0.11;"Maize","TAS",0.16;"Maize","NT",0.01;"Maize","ACT",0;"Oats","NSW",0.05;"Oats","VIC",0.07;"Oats","QLD",0.04;"Oats","SA",0.09;"Oats","WA",0.11;"Oats","TAS",0.16;"Oats","NT",0.01;"Oats","ACT",0;"Sorghum","NSW",0.05;"Sorghum","VIC",0.07;"Sorghum","QLD",0.04;"Sorghum","SA",0.09;"Sorghum","WA",0.11;"Sorghum","TAS",0.16;"Sorghum","NT",0.01;"Sorghum","ACT",0;"Triticale","NSW",0.05;"Triticale","VIC",0.07;"Triticale","QLD",0.04;"Triticale","SA",0.09;"Triticale","WA",0.11;"Triticale","TAS",0.16;"Triticale","NT",0.01;"Triticale","ACT",0;"Other cereals","NSW",0.05;"Other cereals","VIC",0.07;"Other cereals","QLD",0.04;"Other cereals","SA",0.09;"Other cereals","WA",0.11;"Other cereals","TAS",0.16;"Other cereals","NT",0.01;"Other cereals","ACT",0;"Pulses","NSW",0.05;"Pulses","VIC",0.07;"Pulses","QLD",0.04;"Pulses","SA",0.09;"Pulses","WA",0.11;"Pulses","TAS",0.16;"Pulses","NT",0.01;"Pulses","ACT",0;"Peanuts","NSW",0.05;"Peanuts","VIC",0.07;"Peanuts","QLD",0.04;"Peanuts","SA",0.09;"Peanuts","WA",0.11;"Peanuts","TAS",0.16;"Peanuts","NT",0.01;"Peanuts","ACT",0;"Oilseeds","NSW",0.05;"Oilseeds","VIC",0.07;"Oilseeds","QLD",0.04;"Oilseeds","SA",0.09;"Oilseeds","WA",0.11;"Oilseeds","TAS",0.16;"Oilseeds","NT",0.01;"Oilseeds","ACT",0;"Other annual crops","NSW",0.05;"Other annual crops","VIC",0.07;"Other annual crops","QLD",0.04;"Other annual crops","SA",0.09;"Other annual crops","WA",0.11;"Other annual crops","TAS",0.16;"Other annual crops","NT",0.01;"Other annual crops","ACT",0;"Other perennial crops","NSW",0.05;"Other perennial crops","VIC",0.07;"Other perennial crops","QLD",0.04;"Other perennial crops","SA",0.09;"Other perennial crops","WA",0.11;"Other perennial crops","TAS",0.16;"Other perennial crops","NT",0.01;"Other perennial crops","ACT",0}, _xlpm.r, _xlpm.c))))</definedName>
    <definedName name="Agresidue_SourceData.CropFractionRemoved_Data">_xlfn.LAMBDA(_xlfn.MAKEARRAY(20, 3, _xlfn.LAMBDA(_xlpm.r,_xlpm.c, INDEX({"Crop type c","State","Fraction removed FFODc";"Rice","All states",0.06;"Tubers and roots","All states",1;"Cotton","All states",0;"Hops","All states",0;"Forage crops","All states",0.8;"Sugar Cane","NSW",0;"Sugar Cane","QLD",0.03;"Sugar Cane","WA",0;"All other crop types","NSW",0.05;"All other crop types","VIC",0.07;"All other crop types","QLD",0.04;"All other crop types","SA",0.09;"All other crop types","WA",0.11;"All other crop types","TAS",0.16;"All other crop types","NT",0.01;"All other crop types","ACT",0}, _xlpm.r, _xlpm.c))))</definedName>
    <definedName name="Agresidue_SourceData.CropFractionRemoved_Description">_xlfn.LAMBDA(("Crop attributes - Fraction removed (FFODc)"))</definedName>
    <definedName name="Agresidue_SourceData.CropFractionRemoved_Source">_xlfn.LAMBDA(("VEERG 2026: Table A.2.1.2: Crop attributes - Fraction removed (FFODc)"))</definedName>
    <definedName name="Agresidue_SourceData.CropFractionRemoved_Title">_xlfn.LAMBDA(("Table A.2.1.2: Crop attributes - Fraction removed (FFODc)"))</definedName>
    <definedName name="Agresidue_SourceData.CropFractionRemoved_Variation">_xlfn.LAMBDA(("VARIATION OF SOURCE DATA: Split 'All other crop types' into individual crop types for each state. Listed all states for Sugar Cane, with 'N/A' for states where it is not grown."))</definedName>
    <definedName name="Agresidue_SourceData.CropPurposeAndYield_Data">_xlfn.LAMBDA(_xlfn.MAKEARRAY(4, 8, _xlfn.LAMBDA(_xlpm.r,_xlpm.c, INDEX({"Purpose","Per hectare unit","harvest term","harvest endpoint","Harvest uit","Yield note","Residue crop ratio note","Total production note";"Cash grain crop","grain","yield","harvest","grain","Yield is the grain harvested from the plant","Residue to crop ratio is provided from default values","Total production is the total grain harvested";"Cash crop for hay/silage","above ground biomass","yield","harvest","plant biomass","Yield is the whole plant harvested for hay/silage","Residue to crop ratio is 0 assuming the whole plant is harvested for hay/silage","Total production is the total whole plant biomass harvested as hay/silage";"Cover crop","above ground biomass","mass","end of crop cycle","above ground biomass","Yield is the whole plant kept as cover crop","Residue to crop ratio is 1 assuming the whole plant is kept as cover crop","Total production is the total whole plant biomass kept as cover crop"}, _xlpm.r, _xlpm.c))))</definedName>
    <definedName name="Agresidue_SourceData.CropPurposeAndYield_Title">_xlfn.LAMBDA(("Crop purpose and yield"))</definedName>
    <definedName name="Agresidue_SourceData.N2OEFOrganicFertiliser_Data">_xlfn.LAMBDA(_xlfn.MAKEARRAY(3, 2, _xlfn.LAMBDA(_xlpm.r,_xlpm.c, INDEX({"Climate zone i","EF i N2O";"Wet climate zone",0.006;"Dry climate zone",0.005}, _xlpm.r, _xlpm.c))))</definedName>
    <definedName name="Agresidue_SourceData.N2OEFOrganicFertiliser_NIRReference">_xlfn.LAMBDA("IPCC 2019 Refinement Volume 4 Table 11.1 [1, p. 11]")</definedName>
    <definedName name="Agresidue_SourceData.N2OEFOrganicFertiliser_Source">_xlfn.LAMBDA("VEERG 2026: Table A.2.1.4")</definedName>
    <definedName name="Agresidue_SourceData.N2OEFOrganicFertiliser_Title">_xlfn.LAMBDA("Emission factor for organic fertiliser and crop residues returned to the soil")</definedName>
    <definedName name="Agresidue_SourceData.N2OEFOrganicFertiliser_Unit">_xlfn.LAMBDA("kg N2O - N / kg N")</definedName>
    <definedName name="Agresidue_SourceData.PastureAttributes_Data">_xlfn.LAMBDA(_xlfn.MAKEARRAY(6, 6, _xlfn.LAMBDA(_xlpm.r,_xlpm.c, INDEX({"Pasture type","Average Yield (t DM ha) Yp","Below-ground: above-ground residue ratio RBGp","N content Above-ground NCAGp","N content Below-ground NCBGp","Fraction of pasture yield that is removed FFODp";"Annual grass",4.41,0.4,0.015,0.012,0.8;"Grass clover mixture",8.34,0.8,0.025,0.016,0.8;"Lucerne",8.62,0.4,0.027,0.019,0.8;"Other legume",5.62,0.4,0.027,0.022,0.8;"Perennial pasture",8.35,0.8,0.015,0.012,0.8}, _xlpm.r, _xlpm.c))))</definedName>
    <definedName name="Agresidue_SourceData.PastureAttributes_Description">_xlfn.LAMBDA(("Pasture attributes"))</definedName>
    <definedName name="Agresidue_SourceData.PastureAttributes_Source">_xlfn.LAMBDA(("VEERG 2026: Table A.2.1.3: Pasture attributes"))</definedName>
    <definedName name="Agresidue_SourceData.PastureAttributes_Title">_xlfn.LAMBDA(("Table A.2.1.3 Pasture attributes"))</definedName>
    <definedName name="AgResidues_Equations_CropResidues.VEERG_6_1_1_1__1__NitrousOxideEmissionsFromCropResidues">_xlfn.LAMBDA(_xlpm.Mc,_xlpm.EFNi,_xlpm.CgN2O, _xlpm.Mc * _xlpm.EFNi * _xlpm.CgN2O * 10 ^ (-3))</definedName>
    <definedName name="AgResidues_Equations_CropResidues.VEERG_6_1_1_1__1__NitrousOxideEmissionsFromCropResidues_Arguments">_xlfn.LAMBDA(_xlfn.MAKEARRAY(5, 2, _xlfn.LAMBDA(_xlpm.r,_xlpm.c, INDEX({"Mc","mass of nitrogen in crop c residues returned to the soil (kg N)";"EFNi","emission factor for crop residues returned to the soil (kg N2O-N/kg N)";"CgN2O","factor to convert elemental mass of nitrous oxide to molecular mass (dimensionless)";"c","Crop type";"i","Climate zone"}, _xlpm.r, _xlpm.c))))</definedName>
    <definedName name="AgResidues_Equations_CropResidues.VEERG_6_1_1_1__1__NitrousOxideEmissionsFromCropResidues_FunctionName">_xlfn.LAMBDA("VEERG_6_1_1_1__1__NitrousOxideEmissionsFromCropResidues")</definedName>
    <definedName name="AgResidues_Equations_CropResidues.VEERG_6_1_1_1__1__NitrousOxideEmissionsFromCropResidues_LatexEquation">_xlfn.LAMBDA("E=\sum_{c}{M_{c}\times EF_{N}\times C_{g,N2O}\times 10^{-3}}")</definedName>
    <definedName name="AgResidues_Equations_CropResidues.VEERG_6_1_1_1__1__NitrousOxideEmissionsFromCropResidues_NIRReference">_xlfn.LAMBDA("")</definedName>
    <definedName name="AgResidues_Equations_CropResidues.VEERG_6_1_1_1__1__NitrousOxideEmissionsFromCropResidues_Source">_xlfn.LAMBDA("VEERG 2026: 6.1.1.1, Equation (1)")</definedName>
    <definedName name="AgResidues_Equations_CropResidues.VEERG_6_1_1_1__1__NitrousOxideEmissionsFromCropResidues_Title">_xlfn.LAMBDA("Nitrous oxide emissions from the return of crop residues across all crops c to the soil")</definedName>
    <definedName name="AgResidues_Equations_CropResidues.VEERG_6_1_1_1__1__NitrousOxideEmissionsFromCropResidues_Unit">_xlfn.LAMBDA("t N2O")</definedName>
    <definedName name="AgResidues_Equations_CropResidues.VEERG_6_1_1_1__1__NitrousOxideEmissionsFromCropResidues_Variable">_xlfn.LAMBDA("E")</definedName>
    <definedName name="AgResidues_Equations_CropResidues.VEERG_6_1_1_1__2__MassOfNitrogenInCropResidues">_xlfn.LAMBDA(_xlpm.Pc,_xlpm.RAGc,_xlpm.Fc,_xlpm.FFODc,_xlpm.DMc,_xlpm.NCAGc,_xlpm.RBGc,_xlpm.NCBGc, (_xlpm.Pc * _xlpm.RAGc * (1 - _xlpm.Fc - _xlpm.FFODc) * _xlpm.DMc * _xlpm.NCAGc) + (_xlpm.Pc * _xlpm.RAGc * _xlpm.RBGc * _xlpm.DMc * _xlpm.NCBGc))</definedName>
    <definedName name="AgResidues_Equations_CropResidues.VEERG_6_1_1_1__2__MassOfNitrogenInCropResidues_Arguments">_xlfn.LAMBDA(_xlfn.MAKEARRAY(10, 2, _xlfn.LAMBDA(_xlpm.r,_xlpm.c, INDEX({"Pc","annual production of crop c (kg)";"RAGc","residue to crop ratio for crop c (dimensionless)";"RBGc","below ground-residue to above ground residue ratio for crop c (dimensionless)";"Fc","fraction of crop residue that is burnt for crop c (dimensionless)";"FFODc","fraction of the crop residue that is removed for crop c (dimensionless)";"DMc","dry matter content of crop c (kg dry weight/kg crop residue)";"NCAGc","nitrogen content of above-ground crop residue of crop c (kg N/kg DM)";"NCBGc","nitrogen content of below-ground crop residue of crop c (kg N/kg DM)";"c","Crop type";"State","State or territory"}, _xlpm.r, _xlpm.c))))</definedName>
    <definedName name="AgResidues_Equations_CropResidues.VEERG_6_1_1_1__2__MassOfNitrogenInCropResidues_LatexEquation">_xlfn.LAMBDA("M_{c}=(P_{c}\times R_{AGc}\times(1-F_{c}-FFOD_{c})\times DM_{c}\times NC_{AGc})+(P_{c}\times R_{AGc}\times R_{BGc}\times DM_{c}\times NC_{BGc})")</definedName>
    <definedName name="AgResidues_Equations_CropResidues.VEERG_6_1_1_1__2__MassOfNitrogenInCropResidues_NIRReference">_xlfn.LAMBDA("")</definedName>
    <definedName name="AgResidues_Equations_CropResidues.VEERG_6_1_1_1__2__MassOfNitrogenInCropResidues_Source">_xlfn.LAMBDA("VEERG 2026: 6.1.1.1, Equation (2)")</definedName>
    <definedName name="AgResidues_Equations_CropResidues.VEERG_6_1_1_1__2__MassOfNitrogenInCropResidues_Title">_xlfn.LAMBDA("Mass of nitrogen in crop residues returned to the soil")</definedName>
    <definedName name="AgResidues_Equations_CropResidues.VEERG_6_1_1_1__2__MassOfNitrogenInCropResidues_Unit">_xlfn.LAMBDA("kg N")</definedName>
    <definedName name="AgResidues_Equations_CropResidues.VEERG_6_1_1_1__2__MassOfNitrogenInCropResidues_Variable">_xlfn.LAMBDA("Mc")</definedName>
    <definedName name="AgResidues_Equations_CropResidues.VEERG_6_1_1_2__1__FractionOfCropResidueRemovedBaled">_xlfn.LAMBDA(_xlpm.B,_xlpm.MB,_xlpm.Pc,_xlpm.RAGc, IFERROR((_xlpm.B * _xlpm.MB) / (_xlpm.Pc * _xlpm.RAGc), 0))</definedName>
    <definedName name="AgResidues_Equations_CropResidues.VEERG_6_1_1_2__1__FractionOfCropResidueRemovedBaled_Arguments">_xlfn.LAMBDA(_xlfn.MAKEARRAY(5, 2, _xlfn.LAMBDA(_xlpm.r,_xlpm.c, INDEX({"B","number of bales generated (dimensionless)";"MB","mass of each bale (kg)";"Pc","annual production of crop c (kg)";"RAGc","residue to crop ratio for crop c (dimensionless)";"c","Crop type"}, _xlpm.r, _xlpm.c))))</definedName>
    <definedName name="AgResidues_Equations_CropResidues.VEERG_6_1_1_2__1__FractionOfCropResidueRemovedBaled_LatexEquation">_xlfn.LAMBDA("FFOD_{c,baled}=\frac{B\times M_{B}}{P_{c}\times R_{AG,c}}")</definedName>
    <definedName name="AgResidues_Equations_CropResidues.VEERG_6_1_1_2__1__FractionOfCropResidueRemovedBaled_NIRReference">_xlfn.LAMBDA("")</definedName>
    <definedName name="AgResidues_Equations_CropResidues.VEERG_6_1_1_2__1__FractionOfCropResidueRemovedBaled_Source">_xlfn.LAMBDA("VEERG 2026: 6.1.1.2, Equation (1)")</definedName>
    <definedName name="AgResidues_Equations_CropResidues.VEERG_6_1_1_2__1__FractionOfCropResidueRemovedBaled_Title">_xlfn.LAMBDA("Fraction of crop residue that is removed for crop c, calculated where residues are baled")</definedName>
    <definedName name="AgResidues_Equations_CropResidues.VEERG_6_1_1_2__1__FractionOfCropResidueRemovedBaled_Unit">_xlfn.LAMBDA("dimensionless")</definedName>
    <definedName name="AgResidues_Equations_CropResidues.VEERG_6_1_1_2__1__FractionOfCropResidueRemovedBaled_Variable">_xlfn.LAMBDA("FFODcbaled")</definedName>
    <definedName name="AgResidues_Equations_CropResidues.VEERG_6_1_1_2__1__FractionOfCropResidueRemovedBaled_Variation">_xlfn.LAMBDA("VARIATION FROM SOURCE: Added 'baled' to variable subscript")</definedName>
    <definedName name="AgResidues_Equations_CropResidues.VEERG_6_1_1_2__1a__FractionOfCropResidueRemoved">_xlfn.LAMBDA(_xlpm.FFODcbaled,_xlpm.FFODcother, _xlpm.FFODcbaled + _xlpm.FFODcother)</definedName>
    <definedName name="AgResidues_Equations_CropResidues.VEERG_6_1_1_2__1a__FractionOfCropResidueRemoved_Arguments">_xlfn.LAMBDA(_xlfn.MAKEARRAY(2, 2, _xlfn.LAMBDA(_xlpm.r,_xlpm.c, INDEX({"FFODcbaled","Fraction of crop residue that is removed for crop c, calculated where residues are baled";"FFODcother","Fraction of crop residue that is removed for crop c, calculated where residues are removed by other means"}, _xlpm.r, _xlpm.c))))</definedName>
    <definedName name="AgResidues_Equations_CropResidues.VEERG_6_1_1_2__1a__FractionOfCropResidueRemoved_LatexEquation">_xlfn.LAMBDA("FFOD_{c} = FFOD_{c,baled} + FFOD_{c,other}")</definedName>
    <definedName name="AgResidues_Equations_CropResidues.VEERG_6_1_1_2__1a__FractionOfCropResidueRemoved_NIRReference">_xlfn.LAMBDA("")</definedName>
    <definedName name="AgResidues_Equations_CropResidues.VEERG_6_1_1_2__1a__FractionOfCropResidueRemoved_Source">_xlfn.LAMBDA("")</definedName>
    <definedName name="AgResidues_Equations_CropResidues.VEERG_6_1_1_2__1a__FractionOfCropResidueRemoved_Title">_xlfn.LAMBDA("Fraction of crop residue that is removed for crop c")</definedName>
    <definedName name="AgResidues_Equations_CropResidues.VEERG_6_1_1_2__1a__FractionOfCropResidueRemoved_Unit">_xlfn.LAMBDA("dimensionless")</definedName>
    <definedName name="AgResidues_Equations_CropResidues.VEERG_6_1_1_2__1a__FractionOfCropResidueRemoved_Variable">_xlfn.LAMBDA("FFODc")</definedName>
    <definedName name="AgResidues_Equations_CropResidues.VEERG_6_1_1_2__1a__FractionOfCropResidueRemoved_Variation">_xlfn.LAMBDA("VARIATION FROM SOURCE: Added this equation to accommodate user-defined residue removal other than baling.")</definedName>
    <definedName name="AgResidues_Equations_Leaching.VEERG_6_3_1_1__1__LeachingAndRunoffEmissionsCropAndPastureResidue">_xlfn.LAMBDA(_xlpm.Mleachcp,_xlpm.EFleach,_xlpm.CgN2O, _xlpm.Mleachcp * _xlpm.EFleach * _xlpm.CgN2O * 10 ^ (-3))</definedName>
    <definedName name="AgResidues_Equations_Leaching.VEERG_6_3_1_1__1__LeachingAndRunoffEmissionsCropAndPastureResidue_Arguments">_xlfn.LAMBDA(_xlfn.MAKEARRAY(5, 2, _xlfn.LAMBDA(_xlpm.r,_xlpm.c, INDEX({"Mleachcp","mass of nitrogen lost through leaching and runoff from the crop residue c or pasture residue p (kg N)";"EFleach","emission factor for leaching and runoff (kg N2O-N/kg N)";"CgN2O","factor to convert elemental mass of nitrous oxide to molecular mass (dimensionless)";"c","Crop residue type";"p","Pasture residue type"}, _xlpm.r, _xlpm.c))))</definedName>
    <definedName name="AgResidues_Equations_Leaching.VEERG_6_3_1_1__1__LeachingAndRunoffEmissionsCropAndPastureResidue_LatexEquation">_xlfn.LAMBDA("E_{N2O}=\sum_{c}\sum_{p}(M_{leach,cp}\times EF_{leach}\times Cg_{N2O}\times 10^{-3})")</definedName>
    <definedName name="AgResidues_Equations_Leaching.VEERG_6_3_1_1__1__LeachingAndRunoffEmissionsCropAndPastureResidue_NIRReference">_xlfn.LAMBDA("")</definedName>
    <definedName name="AgResidues_Equations_Leaching.VEERG_6_3_1_1__1__LeachingAndRunoffEmissionsCropAndPastureResidue_Source">_xlfn.LAMBDA("VEERG 2026: 6.3.1.1, Equation (1)")</definedName>
    <definedName name="AgResidues_Equations_Leaching.VEERG_6_3_1_1__1__LeachingAndRunoffEmissionsCropAndPastureResidue_Title">_xlfn.LAMBDA("Nitrous oxide leaching and runoff emissions from crop and pasture residues returned to the soil")</definedName>
    <definedName name="AgResidues_Equations_Leaching.VEERG_6_3_1_1__1__LeachingAndRunoffEmissionsCropAndPastureResidue_Unit">_xlfn.LAMBDA("t N2O")</definedName>
    <definedName name="AgResidues_Equations_Leaching.VEERG_6_3_1_1__1__LeachingAndRunoffEmissionsCropAndPastureResidue_Variable">_xlfn.LAMBDA("EN2O")</definedName>
    <definedName name="AgResidues_Equations_Leaching.VEERG_6_3_1_1__2__MassOfNitrogenLostThroughLeachingAndRunoff">_xlfn.LAMBDA(_xlpm.Mcp,_xlpm.FracWETzir,_xlpm.FracLEACH, _xlpm.Mcp * _xlpm.FracWETzir * _xlpm.FracLEACH)</definedName>
    <definedName name="AgResidues_Equations_Leaching.VEERG_6_3_1_1__2__MassOfNitrogenLostThroughLeachingAndRunoff_Arguments">_xlfn.LAMBDA(_xlfn.MAKEARRAY(7, 2, _xlfn.LAMBDA(_xlpm.r,_xlpm.c, INDEX({"Mcp","mass of nitrogen in crop residues c or pasture residues p applied to soils (kg N)";"FracWETzir","fraction of N that is available for leaching and runoff from the leaching zone z and irrigation type ir (dimensionless)";"FracLEACH","fraction of N that is lost through leaching and runoff (dimensionless)";"z","Location in leaching zone (dimensionless)";"c","Crop residue type";"p","Pasture residue type";"ir","Irrigation type"}, _xlpm.r, _xlpm.c))))</definedName>
    <definedName name="AgResidues_Equations_Leaching.VEERG_6_3_1_1__2__MassOfNitrogenLostThroughLeachingAndRunoff_LatexEquation">_xlfn.LAMBDA("M_{leach,cp}=M_{cp}\times FracWET_{z,ir}\times FracLEACH")</definedName>
    <definedName name="AgResidues_Equations_Leaching.VEERG_6_3_1_1__2__MassOfNitrogenLostThroughLeachingAndRunoff_NIRReference">_xlfn.LAMBDA("")</definedName>
    <definedName name="AgResidues_Equations_Leaching.VEERG_6_3_1_1__2__MassOfNitrogenLostThroughLeachingAndRunoff_Source">_xlfn.LAMBDA("VEERG 2026: 6.3.1.1, Equation (2)")</definedName>
    <definedName name="AgResidues_Equations_Leaching.VEERG_6_3_1_1__2__MassOfNitrogenLostThroughLeachingAndRunoff_Title">_xlfn.LAMBDA("Mass of nitrogen lost through leaching and runoff")</definedName>
    <definedName name="AgResidues_Equations_Leaching.VEERG_6_3_1_1__2__MassOfNitrogenLostThroughLeachingAndRunoff_Unit">_xlfn.LAMBDA("kg N")</definedName>
    <definedName name="AgResidues_Equations_Leaching.VEERG_6_3_1_1__2__MassOfNitrogenLostThroughLeachingAndRunoff_Variable">_xlfn.LAMBDA("Mleachcp")</definedName>
    <definedName name="AgResidues_Equations_Leaching.VEERG_6_3_1_1__2__MassOfNitrogenLostThroughLeachingAndRunoff_Variation">_xlfn.LAMBDA("VARIATION FROM SOURCE: Added criteria for leaching zone z and irrigation type ir. Removed production system criteria j.")</definedName>
    <definedName name="AgResidues_Equations_PastureResidues.VEERG_6_2_1_1__1__NitrousOxideEmissionsFromPastureResidues">_xlfn.LAMBDA(_xlpm.Mp,_xlpm.EFNi,_xlpm.CN2O, _xlpm.Mp * _xlpm.EFNi * _xlpm.CN2O * 10 ^ (-3))</definedName>
    <definedName name="AgResidues_Equations_PastureResidues.VEERG_6_2_1_1__1__NitrousOxideEmissionsFromPastureResidues_Arguments">_xlfn.LAMBDA(_xlfn.MAKEARRAY(5, 2, _xlfn.LAMBDA(_xlpm.r,_xlpm.c, INDEX({"Mp","mass of nitrogen in pasture p residues returned to the soil (kg N)";"EFNi","emission factor for crop residues returned to the soil in climate zone i (kg N2O-N/kg N)";"CgN2O","factor to convert elemental mass of nitrous oxide to molecular mass (dimensionless)";"p","Pasture type";"i","Climate zone"}, _xlpm.r, _xlpm.c))))</definedName>
    <definedName name="AgResidues_Equations_PastureResidues.VEERG_6_2_1_1__1__NitrousOxideEmissionsFromPastureResidues_FunctionName">_xlfn.LAMBDA("VEERG_6_2_1_1__1__NitrousOxideEmissionsFromPastureResidues")</definedName>
    <definedName name="AgResidues_Equations_PastureResidues.VEERG_6_2_1_1__1__NitrousOxideEmissionsFromPastureResidues_LatexEquation">_xlfn.LAMBDA("E_{N2O}=\sum_{p}\left(M_p\times EF_{Ni}\times C_{N2O}\times{10}^{-3}\right)")</definedName>
    <definedName name="AgResidues_Equations_PastureResidues.VEERG_6_2_1_1__1__NitrousOxideEmissionsFromPastureResidues_NIRReference">_xlfn.LAMBDA("")</definedName>
    <definedName name="AgResidues_Equations_PastureResidues.VEERG_6_2_1_1__1__NitrousOxideEmissionsFromPastureResidues_Source">_xlfn.LAMBDA("VEERG 2026: 6.2.1.1, Equation (1)")</definedName>
    <definedName name="AgResidues_Equations_PastureResidues.VEERG_6_2_1_1__1__NitrousOxideEmissionsFromPastureResidues_Title">_xlfn.LAMBDA("Nitrous oxide emissions from the return of pasture residues from all pasture types to the soil")</definedName>
    <definedName name="AgResidues_Equations_PastureResidues.VEERG_6_2_1_1__1__NitrousOxideEmissionsFromPastureResidues_Unit">_xlfn.LAMBDA("t N2O")</definedName>
    <definedName name="AgResidues_Equations_PastureResidues.VEERG_6_2_1_1__1__NitrousOxideEmissionsFromPastureResidues_Variable">_xlfn.LAMBDA("EN2O")</definedName>
    <definedName name="AgResidues_Equations_PastureResidues.VEERG_6_2_1_1__2__MassOfNitrogenInPastureResidues">_xlfn.LAMBDA(_xlpm.Ap,_xlpm.Yp,_xlpm.FFODp,_xlpm.NCAGp,_xlpm.RBGp,_xlpm.NCBGp, (_xlpm.Ap * (_xlpm.Yp * 10 ^ (-3)) * (1 - _xlpm.FFODp) * _xlpm.NCAGp) + (_xlpm.Ap * (_xlpm.Yp * 10 ^ (-3)) * _xlpm.RBGp * _xlpm.NCBGp))</definedName>
    <definedName name="AgResidues_Equations_PastureResidues.VEERG_6_2_1_1__2__MassOfNitrogenInPastureResidues_Arguments">_xlfn.LAMBDA(_xlfn.MAKEARRAY(7, 2, _xlfn.LAMBDA(_xlpm.r,_xlpm.c, INDEX({"Ap","area of pasture renewed or removed (ha)";"Yp","average yield of pasture crop (t DM/ha)";"NCAGp","N content of above-ground pasture residue (kg N/kg DM)";"RBGp","below-ground residue to above-ground residue ratio for pasture crop (dimensionless)";"NCBGp","N content of below-ground pasture crop residue (kg N/kg DM)";"FFODp","fraction of pasture yield that is removed (dimensionless)";"p","Pasture type"}, _xlpm.r, _xlpm.c))))</definedName>
    <definedName name="AgResidues_Equations_PastureResidues.VEERG_6_2_1_1__2__MassOfNitrogenInPastureResidues_FunctionName">_xlfn.LAMBDA("VEERG_6_2_1_1__2__MassOfNitrogenInPastureResidues")</definedName>
    <definedName name="AgResidues_Equations_PastureResidues.VEERG_6_2_1_1__2__MassOfNitrogenInPastureResidues_LatexEquation">_xlfn.LAMBDA("M_p = (A_p \times (Y_p \times 10^{-3}) \times (1- FFOD_p) \times NC_{AGp}) + (A_p \times (Y_p \times 10^{-3})\times R_{BGp} \times NC_{BGp})")</definedName>
    <definedName name="AgResidues_Equations_PastureResidues.VEERG_6_2_1_1__2__MassOfNitrogenInPastureResidues_NIRReference">_xlfn.LAMBDA("")</definedName>
    <definedName name="AgResidues_Equations_PastureResidues.VEERG_6_2_1_1__2__MassOfNitrogenInPastureResidues_Source">_xlfn.LAMBDA("VEERG 2026: 6.2.1.1, Equation (2)")</definedName>
    <definedName name="AgResidues_Equations_PastureResidues.VEERG_6_2_1_1__2__MassOfNitrogenInPastureResidues_Title">_xlfn.LAMBDA("Mass of nitrogen in pasture residues returned to the soil")</definedName>
    <definedName name="AgResidues_Equations_PastureResidues.VEERG_6_2_1_1__2__MassOfNitrogenInPastureResidues_Unit">_xlfn.LAMBDA("kg N")</definedName>
    <definedName name="AgResidues_Equations_PastureResidues.VEERG_6_2_1_1__2__MassOfNitrogenInPastureResidues_Variable">_xlfn.LAMBDA("Mp")</definedName>
    <definedName name="AgResidues_SourceData.BurningOfAgriculturalResiduesEFs_Data">_xlfn.LAMBDA(_xlfn.MAKEARRAY(6, 3, _xlfn.LAMBDA(_xlpm.r,_xlpm.c, INDEX({"Gas species","Emission factor EFg (Gg element in species/ Gg element in fuel burnt)","Elemental to molecular mass conversion factor (Cg)";"CH4",0.0035,"16/12";"N2O",0.0076,"44/28";"NOx",0.21,"46/14";"CO",0.078,"28/12";"NMVOC",0.0091,"14/12"}, _xlpm.r, _xlpm.c))))</definedName>
    <definedName name="AgResidues_SourceData.BurningOfAgriculturalResiduesEFs_Description">_xlfn.LAMBDA(("Burning of agricultural residues - EFs"))</definedName>
    <definedName name="AgResidues_SourceData.BurningOfAgriculturalResiduesEFs_Source">_xlfn.LAMBDA(("National Inventory Report 2023 volume 2: Table 5.31: Burning of agricultural residues - EFs"))</definedName>
    <definedName name="AgResidues_SourceData.BurningOfAgriculturalResiduesEFs_Title">_xlfn.LAMBDA(("Table 5.31 Burning of agricultural residues - EFs"))</definedName>
    <definedName name="AgResidues_SourceData.CropAttributes_Data">_xlfn.LAMBDA(_xlfn.MAKEARRAY(20, 9, _xlfn.LAMBDA(_xlpm.r,_xlpm.c, INDEX({"Crop type","Residue: Crop ratio","Below-ground: above-ground residue ratio","Dry matter content","Carbon fraction in dry matter","N content above-ground","N content below-ground","Fraction of residue remaining at time of burning","Burning efficiencyt";"c","RAGc","RBGc","DMc","CCc","NCAGc","NCBGc","Sc","Zc";"Wheat",1.5,0.29,0.88,0.4,0.006,0.01,0.5,0.9;"Barley",1.24,0.32,0.88,0.4,0.007,0.01,0.5,0.85;"Maize",0.81,0.39,0.85,0.42,0.005,0.007,1,0.8;"Oats",1.42,0.43,0.88,0.4,0.006,0.01,0.5,0.85;"Rice",1.31,0.16,0.8,0.42,0.007,0.01,1,0.8;"Sorghum",1.5,0.22,0.8,0.4,0.008,0.007,0.5,0.85;"Triticale",1.5,0.42,0.88,0.4,0.006,0.01,0.5,0.85;"Other cereals",1.46,0.36,0.88,0.4,0.006,0.01,0.5,0.85;"Pulses",1.37,0.51,0.87,0.4,0.009,0.01,0.5,0.85;"Tubers and roots",0.34,0.43,0.25,0.4,0.02,0.01,"n/a",0.85;"Peanuts",1.07,0.2,0.8,0.42,0.016,0.014,0.5,0.85;"Sugar cane",0.25,0.45,0.2,0.4,0.005,0.007,1,0.8;"Cotton",1.9,0.3,0.9,0.4,0.01,0.01,"n/a",0.85;"Hops",1.5,0.29,0.88,0.4,0.006,"n/a","n/a",0.85;"Oilseeds",2.08,0.33,0.96,0.4,0.009,0.01,0.5,0.85;"Forage crops",1.34,0.37,0.88,0.4,0.006,0.01,"n/a",0.85;"Other annual crops",1,0.22,0.85,0.4,0.008,0.009,"n/a","n/a";"Other perennial crops",1.5,0.29,0.88,0.4,0.006,"n/a","n/a","n/a"}, _xlpm.r, _xlpm.c))))</definedName>
    <definedName name="AgResidues_SourceData.CropAttributes_Description">_xlfn.LAMBDA(("Crop attributes"))</definedName>
    <definedName name="AgResidues_SourceData.CropAttributes_Source">_xlfn.LAMBDA(("VEERG 2026: Table A.2.1.1: Crop attributes"))</definedName>
    <definedName name="AgResidues_SourceData.CropAttributes_Title">_xlfn.LAMBDA(("Table A.2.1.1: Crop attributes"))</definedName>
    <definedName name="AgResidues_SourceData.CropAttributes_Variation">_xlfn.LAMBDA(("VARIATION FROM SOURCE: 'N/A' values passed as zero for calculations."))</definedName>
    <definedName name="AgResidues_SourceData.CropFractionRemoved_CustomisedData">_xlfn.LAMBDA(_xlfn.MAKEARRAY(144, 3, _xlfn.LAMBDA(_xlpm.r,_xlpm.c, INDEX({"Crop type c","State","Fraction removed FFODc";"Rice","NSW",0.06;"Rice","VIC",0.06;"Rice","QLD",0.06;"Rice","SA",0.06;"Rice","WA",0.06;"Rice","TAS",0.06;"Rice","NT",0.06;"Rice","ACT",0.06;"Tubers and roots","NSW",1;"Tubers and roots","VIC",1;"Tubers and roots","QLD",1;"Tubers and roots","SA",1;"Tubers and roots","WA",1;"Tubers and roots","TAS",1;"Tubers and roots","NT",1;"Tubers and roots","ACT",1;"Cotton","NSW",0;"Cotton","VIC",0;"Cotton","QLD",0;"Cotton","SA",0;"Cotton","WA",0;"Cotton","TAS",0;"Cotton","NT",0;"Cotton","ACT",0;"Hops","NSW",0;"Hops","VIC",0;"Hops","QLD",0;"Hops","SA",0;"Hops","WA",0;"Hops","TAS",0;"Hops","NT",0;"Hops","ACT",0;"Forage crops","NSW",0.8;"Forage crops","VIC",0.8;"Forage crops","QLD",0.8;"Forage crops","SA",0.8;"Forage crops","WA",0.8;"Forage crops","TAS",0.8;"Forage crops","NT",0.8;"Forage crops","ACT",0.8;"Sugar Cane","NSW",0;"Sugar Cane","VIC","N/A";"Sugar Cane","QLD",0.03;"Sugar Cane","SA","N/A";"Sugar Cane","WA",0;"Sugar Cane","TAS","N/A";"Sugar Cane","NT","N/A";"Sugar Cane","ACT","N/A";"Wheat","NSW",0.05;"Wheat","VIC",0.07;"Wheat","QLD",0.04;"Wheat","SA",0.09;"Wheat","WA",0.11;"Wheat","TAS",0.16;"Wheat","NT",0.01;"Wheat","ACT",0;"Barley","NSW",0.05;"Barley","VIC",0.07;"Barley","QLD",0.04;"Barley","SA",0.09;"Barley","WA",0.11;"Barley","TAS",0.16;"Barley","NT",0.01;"Barley","ACT",0;"Maize","NSW",0.05;"Maize","VIC",0.07;"Maize","QLD",0.04;"Maize","SA",0.09;"Maize","WA",0.11;"Maize","TAS",0.16;"Maize","NT",0.01;"Maize","ACT",0;"Oats","NSW",0.05;"Oats","VIC",0.07;"Oats","QLD",0.04;"Oats","SA",0.09;"Oats","WA",0.11;"Oats","TAS",0.16;"Oats","NT",0.01;"Oats","ACT",0;"Sorghum","NSW",0.05;"Sorghum","VIC",0.07;"Sorghum","QLD",0.04;"Sorghum","SA",0.09;"Sorghum","WA",0.11;"Sorghum","TAS",0.16;"Sorghum","NT",0.01;"Sorghum","ACT",0;"Triticale","NSW",0.05;"Triticale","VIC",0.07;"Triticale","QLD",0.04;"Triticale","SA",0.09;"Triticale","WA",0.11;"Triticale","TAS",0.16;"Triticale","NT",0.01;"Triticale","ACT",0;"Other cereals","NSW",0.05;"Other cereals","VIC",0.07;"Other cereals","QLD",0.04;"Other cereals","SA",0.09;"Other cereals","WA",0.11;"Other cereals","TAS",0.16;"Other cereals","NT",0.01;"Other cereals","ACT",0;"Pulses","NSW",0.05;"Pulses","VIC",0.07;"Pulses","QLD",0.04;"Pulses","SA",0.09;"Pulses","WA",0.11;"Pulses","TAS",0.16;"Pulses","NT",0.01;"Pulses","ACT",0;"Peanuts","NSW",0.05;"Peanuts","VIC",0.07;"Peanuts","QLD",0.04;"Peanuts","SA",0.09;"Peanuts","WA",0.11;"Peanuts","TAS",0.16;"Peanuts","NT",0.01;"Peanuts","ACT",0;"Oilseeds","NSW",0.05;"Oilseeds","VIC",0.07;"Oilseeds","QLD",0.04;"Oilseeds","SA",0.09;"Oilseeds","WA",0.11;"Oilseeds","TAS",0.16;"Oilseeds","NT",0.01;"Oilseeds","ACT",0;"Other annual crops","NSW",0.05;"Other annual crops","VIC",0.07;"Other annual crops","QLD",0.04;"Other annual crops","SA",0.09;"Other annual crops","WA",0.11;"Other annual crops","TAS",0.16;"Other annual crops","NT",0.01;"Other annual crops","ACT",0;"Other perennial crops","NSW",0.05;"Other perennial crops","VIC",0.07;"Other perennial crops","QLD",0.04;"Other perennial crops","SA",0.09;"Other perennial crops","WA",0.11;"Other perennial crops","TAS",0.16;"Other perennial crops","NT",0.01;"Other perennial crops","ACT",0}, _xlpm.r, _xlpm.c))))</definedName>
    <definedName name="AgResidues_SourceData.CropFractionRemoved_Data">_xlfn.LAMBDA(_xlfn.MAKEARRAY(20, 3, _xlfn.LAMBDA(_xlpm.r,_xlpm.c, INDEX({"Crop type c","State","Fraction removed FFODc";"Rice","All states",0.06;"Tubers and roots","All states",1;"Cotton","All states",0;"Hops","All states",0;"Forage crops","All states",0.8;"Sugar Cane","NSW",0;"Sugar Cane","QLD",0.03;"Sugar Cane","WA",0;"All other crop types","NSW",0.05;"All other crop types","VIC",0.07;"All other crop types","QLD",0.04;"All other crop types","SA",0.09;"All other crop types","WA",0.11;"All other crop types","TAS",0.16;"All other crop types","NT",0.01;"All other crop types","ACT",0}, _xlpm.r, _xlpm.c))))</definedName>
    <definedName name="AgResidues_SourceData.CropFractionRemoved_Description">_xlfn.LAMBDA(("Crop attributes - Fraction removed (FFODc)"))</definedName>
    <definedName name="AgResidues_SourceData.CropFractionRemoved_Source">_xlfn.LAMBDA(("VEERG 2026: Table A.2.1.2: Crop attributes - Fraction removed (FFODc)"))</definedName>
    <definedName name="AgResidues_SourceData.CropFractionRemoved_Title">_xlfn.LAMBDA(("Table A.2.1.2: Crop attributes - Fraction removed (FFODc)"))</definedName>
    <definedName name="AgResidues_SourceData.CropFractionRemoved_Variation">_xlfn.LAMBDA(("VARIATION OF SOURCE DATA: Split 'All other crop types' into individual crop types for each state. Listed all states for Sugar Cane, with 'N/A' for states where it is not grown."))</definedName>
    <definedName name="AgResidues_SourceData.PastureAttributes_Data">_xlfn.LAMBDA(_xlfn.MAKEARRAY(6, 6, _xlfn.LAMBDA(_xlpm.r,_xlpm.c, INDEX({"Pasture type","Average Yield (t DM ha) Yp","Below-ground: above-ground residue ratio RBGp","N content Above-ground NCAGp","N content Below-ground NCBGp","Fraction of pasture yield that is removed FFODp";"Annual grass",4.41,0.4,0.015,0.012,0.8;"Grass clover mixture",8.34,0.8,0.025,0.016,0.8;"Lucerne",8.62,0.4,0.027,0.019,0.8;"Other legume",5.62,0.4,0.027,0.022,0.8;"Perennial pasture",8.35,0.8,0.015,0.012,0.8}, _xlpm.r, _xlpm.c))))</definedName>
    <definedName name="AgResidues_SourceData.PastureAttributes_Description">_xlfn.LAMBDA(("Pasture attributes"))</definedName>
    <definedName name="AgResidues_SourceData.PastureAttributes_Source">_xlfn.LAMBDA(("VEERG 2026: Table A.2.1.3: Pasture attributes"))</definedName>
    <definedName name="AgResidues_SourceData.PastureAttributes_Title">_xlfn.LAMBDA(("Table A.2.1.3 Pasture attributes"))</definedName>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_xlpm.rows, IF(_xlpm.n = 0, "", _xlfn.HSTACK(_xlpm.startsText &amp; " to " &amp; _xlpm.endsText &amp; _xlpm.tag)), _xlpm.rows))</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IFERROR(_xlfn.XLOOKUP(_xlpm.LookupValue1, _xlpm.LookupArray1, _xlfn.XLOOKUP(_xlpm.LookupValue2, _xlpm.LookupArray2, _xlpm.ReturnArray)), IF(_xlfn.ISOMITTED(_xlpm.ValueIfFalse), "", _xlpm.ValueIfFalse)))</definedName>
    <definedName name="Common_InputFunctions.Utility_LookupValueInTableTwoColumns">_xlfn.LAMBDA(_xlpm.LookupValue1,_xlpm.LookupValue2,_xlpm.LookupArray1,_xlpm.LookupArray2,_xlpm.ReturnArray,_xlop.ValueIFFalse, _xlfn.XLOOKUP(1, (_xlpm.LookupArray1 = _xlpm.LookupValue1) * (_xlpm.LookupArray2 = _xlpm.LookupValue2), _xlpm.ReturnArray, IF(_xlfn.ISOMITTED(_xlpm.ValueIFFalse), "", _xlpm.ValueIFFalse)))</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AgSoils_Equations.AgSoils_AtmosphericDeposition">_xlfn.LAMBDA(_xlpm.Mvolm,_xlpm.Efad,_xlpm.CgN2O, (_xlpm.Mvolm * _xlpm.Efad * _xlpm.CgN2O * 10 ^ -3))</definedName>
    <definedName name="CommonAgSoils_Equations.AgSoils_AtmosphericDeposition_Arguments">_xlfn.LAMBDA(_xlfn.MAKEARRAY(3, 3, _xlfn.LAMBDA(_xlpm.r,_xlpm.c, INDEX({"Mvolm","Mass of nitrogen volatilised from urine and faeces deposited on pasture","kg N";"EFad","Emission factor for atmospheric deposition","kg N2O-N/kg N";"CgN2O","Factor to convert elemental mass of N2O to molecular mass",""}, _xlpm.r, _xlpm.c))))</definedName>
    <definedName name="CommonAgSoils_Equations.AgSoils_AtmosphericDeposition_GWP">_xlfn.LAMBDA(_xlpm.EN2Oad,_xlpm.GWPN2O, (_xlpm.EN2Oad * _xlpm.GWPN2O))</definedName>
    <definedName name="CommonAgSoils_Equations.AgSoils_AtmosphericDeposition_NIRReference">_xlfn.LAMBDA("National Inventory Report Volume 1, 2023: 3.D.B_4")</definedName>
    <definedName name="CommonAgSoils_Equations.AgSoils_AtmosphericDeposition_ReadableEquation">_xlfn.LAMBDA("EN2Oad = Mvolm * EFad * CgN2O * 10 ^ - 3")</definedName>
    <definedName name="CommonAgSoils_Equations.AgSoils_AtmosphericDeposition_Title">_xlfn.LAMBDA("Atmospheric deposition emissions from urine and dung deposited by grazing animals on pasture, range and paddock")</definedName>
    <definedName name="CommonAgSoils_Equations.AgSoils_AtmosphericDeposition_Unit">_xlfn.LAMBDA("t N2O")</definedName>
    <definedName name="CommonAgSoils_Equations.AgSoils_AtmosphericDeposition_Variable">_xlfn.LAMBDA("EN2Oad")</definedName>
    <definedName name="CommonAgSoils_Equations.AgSoils_LeachingAndRunoff">_xlfn.LAMBDA(_xlpm.Mleach,_xlpm.EFleach,_xlpm.CgN2O, (_xlpm.Mleach * _xlpm.EFleach * _xlpm.CgN2O * 10 ^ -3))</definedName>
    <definedName name="CommonAgSoils_Equations.AgSoils_LeachingAndRunoff_Arguments">_xlfn.LAMBDA(_xlfn.MAKEARRAY(3, 3, _xlfn.LAMBDA(_xlpm.r,_xlpm.c, INDEX({"Mleach","Mass of nitrogen lost to leached and run off","kg N";"EFleach","Emission factor for leaching and runoff","kg N2O-N/kg N";"CgN2O","Factor to convert elemental mass of N2O to molecular mass",""}, _xlpm.r, _xlpm.c))))</definedName>
    <definedName name="CommonAgSoils_Equations.AgSoils_LeachingAndRunoff_GWP">_xlfn.LAMBDA(_xlpm.EN2Oleach,_xlpm.GWPN2O, (_xlpm.EN2Oleach * _xlpm.GWPN2O))</definedName>
    <definedName name="CommonAgSoils_Equations.AgSoils_LeachingAndRunoff_NIRReference">_xlfn.LAMBDA("National Inventory Report Volume 1, 2023: 3.D.B_10")</definedName>
    <definedName name="CommonAgSoils_Equations.AgSoils_LeachingAndRunoff_ReadableEquation">_xlfn.LAMBDA("EN2Oleach = Mleach * EFleach * CgN2O * 10 ^ - 3")</definedName>
    <definedName name="CommonAgSoils_Equations.AgSoils_LeachingAndRunoff_Title">_xlfn.LAMBDA("Leaching and runoff emissions from crop residue,inorganic and organic fertiliser applied to soil, urine and dung deposited on pasture")</definedName>
    <definedName name="CommonAgSoils_Equations.AgSoils_LeachingAndRunoff_Unit">_xlfn.LAMBDA("t N2O")</definedName>
    <definedName name="CommonAgSoils_Equations.AgSoils_LeachingAndRunoff_Variable">_xlfn.LAMBDA("EN2Oleach")</definedName>
    <definedName name="CommonAgSoils_Equations.AgSoils_MassAnimalWasteNLost">_xlfn.LAMBDA(_xlpm.MNjm,_xlpm.UNjm,_xlpm.FNjm,_xlpm.FracWET,_xlpm.FracLEACH, (_xlpm.MNjm + _xlpm.UNjm + _xlpm.FNjm) * _xlpm.FracWET * _xlpm.FracLEACH)</definedName>
    <definedName name="CommonAgSoils_Equations.AgSoils_MassAnimalWasteNLost_Arguments">_xlfn.LAMBDA(_xlfn.MAKEARRAY(3, 3, _xlfn.LAMBDA(_xlpm.r,_xlpm.c, INDEX({"MNjm","Mass of nitrogen in manure applied to soils","kg N";"UNjm","Mass of nitrogen in urine deposited on pasture, range and paddock","kg N";"FNjm","Mass of nitrogen in dung deposited on pasture,range and paddock","kg N";"FracWET","Fraction of nitrogen available for leaching and runoff in the climate zone of the entity","fraction";"FracLEACH","Fraction of nitrogen that is lost through leaching and runoff","fraction"}, _xlpm.r, _xlpm.c))))</definedName>
    <definedName name="CommonAgSoils_Equations.AgSoils_MassAnimalWasteNLost_NIRReference">_xlfn.LAMBDA("National Inventory Report Volume 1, 2023: 3.D.B_6")</definedName>
    <definedName name="CommonAgSoils_Equations.AgSoils_MassAnimalWasteNLost_ReadableEquation">_xlfn.LAMBDA("Mleachanimalwaste=(MNjm+UNjm+FNjm)*FracWET*FracLEACH")</definedName>
    <definedName name="CommonAgSoils_Equations.AgSoils_MassAnimalWasteNLost_Title">_xlfn.LAMBDA("Mass of nitrogen lost from manure, urine and dung to leaching and runoff")</definedName>
    <definedName name="CommonAgSoils_Equations.AgSoils_MassAnimalWasteNLost_Unit">_xlfn.LAMBDA("kg N")</definedName>
    <definedName name="CommonAgSoils_Equations.AgSoils_MassAnimalWasteNLost_Variable">_xlfn.LAMBDA("Mleachanimalwaste")</definedName>
    <definedName name="CommonAgSoils_Equations.AgSoils_MassCropResidueNLost">_xlfn.LAMBDA(_xlpm.M,_xlpm.FracWET,_xlpm.FracLEACH, _xlpm.M * _xlpm.FracWET * _xlpm.FracLEACH)</definedName>
    <definedName name="CommonAgSoils_Equations.AgSoils_MassCropResidueNLost_Arguments">_xlfn.LAMBDA(_xlfn.MAKEARRAY(3, 3, _xlfn.LAMBDA(_xlpm.r,_xlpm.c, INDEX({"M","Mass of nitrogen in crop residue applied to soils","kg N";"FracWET","Fraction of nitrogen available for leaching and runoff in the climate zone of the entity","fraction";"FracLEACH","Fraction of nitrogen that is lost through leaching and runoff","fraction"}, _xlpm.r, _xlpm.c))))</definedName>
    <definedName name="CommonAgSoils_Equations.AgSoils_MassCropResidueNLost_NIRReference">_xlfn.LAMBDA("National Inventory Report Volume 1, 2023: 3.D.B_8")</definedName>
    <definedName name="CommonAgSoils_Equations.AgSoils_MassCropResidueNLost_ReadableEquation">_xlfn.LAMBDA("Mleachresidue = M * FracWET * FracLEACH")</definedName>
    <definedName name="CommonAgSoils_Equations.AgSoils_MassCropResidueNLost_Title">_xlfn.LAMBDA("Mass of nitrogen lost from crop residue to leaching and runoff")</definedName>
    <definedName name="CommonAgSoils_Equations.AgSoils_MassCropResidueNLost_Unit">_xlfn.LAMBDA("kg N")</definedName>
    <definedName name="CommonAgSoils_Equations.AgSoils_MassCropResidueNLost_Variable">_xlfn.LAMBDA("Mleachresidue")</definedName>
    <definedName name="CommonAgSoils_Equations.AgSoils_MassInorganicFertiliserNLost">_xlfn.LAMBDA(_xlpm.M,_xlpm.FracWET,_xlpm.FracLEACH, _xlpm.M * _xlpm.FracWET * _xlpm.FracLEACH)</definedName>
    <definedName name="CommonAgSoils_Equations.AgSoils_MassInorganicFertiliserNLost_Arguments">_xlfn.LAMBDA(_xlfn.MAKEARRAY(3, 3, _xlfn.LAMBDA(_xlpm.r,_xlpm.c, INDEX({"M","Mass of nitrogen in inorganic fertiliser applied to soils","kg N";"FracWET","Fraction of nitrogen available for leaching and runoff in the climate zone of the entity","fraction";"FracLEACH","Fraction of nitrogen that is lost through leaching and runoff","fraction"}, _xlpm.r, _xlpm.c))))</definedName>
    <definedName name="CommonAgSoils_Equations.AgSoils_MassInorganicFertiliserNLost_NIRReference">_xlfn.LAMBDA("National Inventory Report Volume 1, 2023: 3.D.B_5")</definedName>
    <definedName name="CommonAgSoils_Equations.AgSoils_MassInorganicFertiliserNLost_ReadableEquation">_xlfn.LAMBDA("Mleachinorganic = M * FracWET * FracLEACH")</definedName>
    <definedName name="CommonAgSoils_Equations.AgSoils_MassInorganicFertiliserNLost_Title">_xlfn.LAMBDA("Mass of nitrogen lost from inorganic fertiliser to leaching and runoff")</definedName>
    <definedName name="CommonAgSoils_Equations.AgSoils_MassInorganicFertiliserNLost_Unit">_xlfn.LAMBDA("kg N")</definedName>
    <definedName name="CommonAgSoils_Equations.AgSoils_MassInorganicFertiliserNLost_Variable">_xlfn.LAMBDA("Mleachinorganic")</definedName>
    <definedName name="CommonAgSoils_Equations.AgSoils_MassVolatilisedAnimalWaste">_xlfn.LAMBDA(_xlpm.MNjm,_xlpm.UNjm,_xlpm.FNjm,_xlpm.FracGASMsoil, (_xlpm.MNjm + _xlpm.UNjm + _xlpm.FNjm) * _xlpm.FracGASMsoil)</definedName>
    <definedName name="CommonAgSoils_Equations.AgSoils_MassVolatilisedAnimalWaste_Arguments">_xlfn.LAMBDA(_xlfn.MAKEARRAY(4, 3, _xlfn.LAMBDA(_xlpm.r,_xlpm.c, INDEX({"MNjm","Mass of manure nitrogen applied to soils","kg N";"UNjm","Mass of urine nitrogen excreted on pasture, range and paddock for each dairy cattle class","kg N";"FNjm","Mass of faecal nitrogen excreted on pasture, range and paddock for each dairy cattle class","kg N";"FracGASMsoil","Fraction of nitrogen volatilised from urine and faeces deposited on pasture","(kg NH3-N + NOx-N)/kg N"}, _xlpm.r, _xlpm.c))))</definedName>
    <definedName name="CommonAgSoils_Equations.AgSoils_MassVolatilisedAnimalWaste_NIRReference">_xlfn.LAMBDA("National Inventory Report Volume 1, 2023: 3.D.B_2")</definedName>
    <definedName name="CommonAgSoils_Equations.AgSoils_MassVolatilisedAnimalWaste_ReadableEquation">_xlfn.LAMBDA("Mvolm = (MNjm + UNjm + FNjm) * FracGASMsoil")</definedName>
    <definedName name="CommonAgSoils_Equations.AgSoils_MassVolatilisedAnimalWaste_Title">_xlfn.LAMBDA("Mass of nitrogen volatilised from manure, urine and faeces deposited on soils")</definedName>
    <definedName name="CommonAgSoils_Equations.AgSoils_MassVolatilisedAnimalWaste_Unit">_xlfn.LAMBDA("kg N")</definedName>
    <definedName name="CommonAgSoils_Equations.AgSoils_MassVolatilisedAnimalWaste_Variable">_xlfn.LAMBDA("Mvolm")</definedName>
    <definedName name="CommonAgSoils_Equations.Agsoils_MassVolatilisedInorganicFertiliser">_xlfn.LAMBDA(_xlpm.MNf,_xlpm.FracGASFf, _xlpm.MNf * _xlpm.FracGASFf)</definedName>
    <definedName name="CommonAgSoils_Equations.Agsoils_MassVolatilisedInorganicFertiliser_Arguments">_xlfn.LAMBDA(_xlfn.MAKEARRAY(2, 3, _xlfn.LAMBDA(_xlpm.r,_xlpm.c, INDEX({"MNf","Mass of nitrogen in inorganic fertiliser applied","kg N";"FracGASFf","Fraction of inorganic fertiliser that volatilises","(kg NH3–N + NOx–N)/kg N"}, _xlpm.r, _xlpm.c))))</definedName>
    <definedName name="CommonAgSoils_Equations.Agsoils_MassVolatilisedInorganicFertiliser_NIRReference">_xlfn.LAMBDA("National Inventory Report Volume 1, 2023: 3.D.B_1")</definedName>
    <definedName name="CommonAgSoils_Equations.Agsoils_MassVolatilisedInorganicFertiliser_ReadableEquation">_xlfn.LAMBDA("Mvolinorganic = MNf * FracGASFf")</definedName>
    <definedName name="CommonAgSoils_Equations.Agsoils_MassVolatilisedInorganicFertiliser_Title">_xlfn.LAMBDA("Mass of nitrogen volatilised from inorganic fertiliser deposited on soils")</definedName>
    <definedName name="CommonAgSoils_Equations.Agsoils_MassVolatilisedInorganicFertiliser_Unit">_xlfn.LAMBDA("kg N")</definedName>
    <definedName name="CommonAgSoils_Equations.Agsoils_MassVolatilisedInorganicFertiliser_Variable">_xlfn.LAMBDA("Mvolinorganic")</definedName>
    <definedName name="CommonAgSoils_Equations.AgSoils_UrineAndDungDeposited">_xlfn.LAMBDA(_xlpm.AFjm,_xlpm.AUjm,_xlpm.EFPRP,_xlpm.CgN2O, ((_xlpm.AFjm * _xlpm.EFPRP * _xlpm.CgN2O) + (_xlpm.AUjm * _xlpm.EFPRP * _xlpm.CgN2O)) * 10 ^ -3)</definedName>
    <definedName name="CommonAgSoils_Equations.AgSoils_UrineAndDungDeposited_Arguments">_xlfn.LAMBDA(_xlfn.MAKEARRAY(4, 3, _xlfn.LAMBDA(_xlpm.r,_xlpm.c, INDEX({"AFjm","mass of N in dung deposited on pasture, range and paddock","kg N";"AUjm","mass of N in urine deposited on pasture, range and paddock","kg N";"EFPRP","direct N2O emission factor for pasture, range and paddock","kg N2O-N/kg N";"CgN2O","factor to convert elemental mass of N2O to molecular mass",""}, _xlpm.r, _xlpm.c))))</definedName>
    <definedName name="CommonAgSoils_Equations.AgSoils_UrineAndDungDeposited_GWP">_xlfn.LAMBDA(_xlpm.EN2Odir,_xlpm.GWPN2O, (_xlpm.EN2Odir * _xlpm.GWPN2O))</definedName>
    <definedName name="CommonAgSoils_Equations.AgSoils_UrineAndDungDeposited_NIRReference">_xlfn.LAMBDA("National Inventory Report Volume 1, 2023: 3.D.a.3")</definedName>
    <definedName name="CommonAgSoils_Equations.AgSoils_UrineAndDungDeposited_ReadableEquation">_xlfn.LAMBDA("EN2Odir = ((AFjm=14 * EFPRP * CgN2O) + (AUjm=14 * EFPRP * CgN2O)) * 10^-3")</definedName>
    <definedName name="CommonAgSoils_Equations.AgSoils_UrineAndDungDeposited_Title">_xlfn.LAMBDA("Nitrous oxide production from urine and dung deposited by grazing animals on pasture, range and paddock")</definedName>
    <definedName name="CommonAgSoils_Equations.AgSoils_UrineAndDungDeposited_Unit">_xlfn.LAMBDA("t N2O")</definedName>
    <definedName name="CommonAgSoils_Equations.AgSoils_UrineAndDungDeposited_Variable">_xlfn.LAMBDA("EN2Odir")</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[0]!Common_InputFunctions.Utility_LookupValueInTableNumber(_xlpm.CropType,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Cropping_SourceData.CommonCropping_SourceData_FracWETIrrigation_Data">_xlfn.LAMBDA(_xlfn.MAKEARRAY(6, 2, _xlfn.LAMBDA(_xlpm.r,_xlpm.c, INDEX({"Irrigation type ir","FracWET";"Not irrigated",0;"Drip irrigation",0;"Sprinkler irrigation",1;"Surface irrigation",1;"Other irrigation",1}, _xlpm.r, _xlpm.c))))</definedName>
    <definedName name="CommonCropping_SourceData.CommonCropping_SourceData_FracWETIrrigation_NIRReference">_xlfn.LAMBDA("IPCC 2019 Refinement Volume 4: Chapter 11: N2O Emissions from Managed Soils, and CO2 Emissions from Lime and Urea Application")</definedName>
    <definedName name="CommonCropping_SourceData.CommonCropping_SourceData_FracWETIrrigation_Source">_xlfn.LAMBDA("VEERG 2026: Chapter 1, section 1.8.2 Leaching, climate and rainfall zones")</definedName>
    <definedName name="CommonCropping_SourceData.CommonCropping_SourceData_FracWETIrrigation_Title">_xlfn.LAMBDA("FracWET for irrigation types")</definedName>
    <definedName name="CommonCropping_SourceData.CommonCropping_SourceData_FracWETIrrigation_Unit">_xlfn.LAMBDA("dimensionless")</definedName>
    <definedName name="CommonCropping_SourceData.CommonCropping_SourceData_FracWETIrrigation_Variation">_xlfn.LAMBDA("VARIATION FROM SOURCE DATA: Table created based on VEERG text 'Areas are subject to leaching (i.e., in the leaching zone) when... the land is irrigated (except drip irrigation).'")</definedName>
    <definedName name="CommonCropping_SourceData.CommonCropping_SourceData_N2OEFOrganicFertiliser_Data">_xlfn.LAMBDA(_xlfn.MAKEARRAY(3, 2, _xlfn.LAMBDA(_xlpm.r,_xlpm.c, INDEX({"Climate zone i","EF i N2O";"Wet climate zone",0.006;"Dry climate zone",0.005}, _xlpm.r, _xlpm.c))))</definedName>
    <definedName name="CommonCropping_SourceData.CommonCropping_SourceData_N2OEFOrganicFertiliser_NIRReference">_xlfn.LAMBDA("IPCC 2019 Refinement Volume 4 Table 11.1 [1, p. 11]")</definedName>
    <definedName name="CommonCropping_SourceData.CommonCropping_SourceData_N2OEFOrganicFertiliser_Source">_xlfn.LAMBDA("VEERG 2026: Table A.2.1.4")</definedName>
    <definedName name="CommonCropping_SourceData.CommonCropping_SourceData_N2OEFOrganicFertiliser_Title">_xlfn.LAMBDA("Emission factor for organic fertiliser and crop residues returned to the soil")</definedName>
    <definedName name="CommonCropping_SourceData.CommonCropping_SourceData_N2OEFOrganicFertiliser_Unit">_xlfn.LAMBDA("kg N2O - N / kg N")</definedName>
    <definedName name="CommonCropping_SourceData.CommonCropping_SourceData_N2OEFsInorganicFertiliser_Data">_xlfn.LAMBDA(_xlfn.MAKEARRAY(8, 2, _xlfn.LAMBDA(_xlpm.r,_xlpm.c, INDEX({"Production system","Emission factor";"Irrigated pasture",0.0059;"Irrigated crop",0.007;"Non-irrigated pasture",0.0018;"Non-irrigated crop",0.0041;"Sugar cane",0.0199;"Cotton",0.0053;"Horticulture",0.0064}, _xlpm.r, _xlpm.c))))</definedName>
    <definedName name="CommonCropping_SourceData.CommonCropping_SourceData_N2OEFsInorganicFertiliser_Source">_xlfn.LAMBDA("National Inventory Report 2023 Volume 1: Table 5.21")</definedName>
    <definedName name="CommonCropping_SourceData.CommonCropping_SourceData_N2OEFsInorganicFertiliser_Title">_xlfn.LAMBDA("Nitrous oxide EFs for inorganic fertiliser")</definedName>
    <definedName name="CommonCropping_SourceData.CommonCropping_SourceData_N2OEFsInorganicFertiliser_Unit">_xlfn.LAMBDA("Gg N2O-N/ Gg N")</definedName>
    <definedName name="CommonCropping_SourceData.CommonCropping_SourceData_UreaCO2EF_Data">_xlfn.LAMBDA(0.2)</definedName>
    <definedName name="CommonCropping_SourceData.CommonCropping_SourceData_UreaCO2EF_Source">_xlfn.LAMBDA("National Inventory Report 2023 Volume 1: Equation 3.H_1")</definedName>
    <definedName name="CommonCropping_SourceData.CommonCropping_SourceData_UreaCO2EF_Title">_xlfn.LAMBDA("Emission factor for carbon emissions from urea application")</definedName>
    <definedName name="CommonCropping_SourceData.CommonCropping_SourceData_UreaCO2EF_Unit">_xlfn.LAMBDA("tonne C/tonne urea")</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lectricity_Equations.VEERG_10_1_1__1_Scope2Electricity_LocationBased">_xlfn.LAMBDA(_xlpm.Qelec,_xlpm.EF2elec, _xlpm.Qelec * _xlpm.EF2elec * 10 ^ -3)</definedName>
    <definedName name="Electricity_Equations.VEERG_10_1_1__1_Scope2Electricity_LocationBased_Arguments">_xlfn.LAMBDA(_xlfn.MAKEARRAY(3, 3, _xlfn.LAMBDA(_xlpm.r,_xlpm.c, INDEX({"Qelec","Amount of electricity purchased from the grid","kWh";"EF2,elec","Location - based Scope 2 emission factor for electricity","kg CO2e / kWh";"2","Scope 2",""}, _xlpm.r, _xlpm.c))))</definedName>
    <definedName name="Electricity_Equations.VEERG_10_1_1__1_Scope2Electricity_LocationBased_NIRReference">_xlfn.LAMBDA("Australian National Greenhouse Accounts Factors 2025 - 2.2 Estimating emissions from stationary energy sources")</definedName>
    <definedName name="Electricity_Equations.VEERG_10_1_1__1_Scope2Electricity_LocationBased_ReadableEquation">_xlfn.LAMBDA("E2,elec = Qelec * EF2,elec * 10 ^ - 3")</definedName>
    <definedName name="Electricity_Equations.VEERG_10_1_1__1_Scope2Electricity_LocationBased_Source">_xlfn.LAMBDA("VEERG 2026: 10.1.1, Equation (1)")</definedName>
    <definedName name="Electricity_Equations.VEERG_10_1_1__1_Scope2Electricity_LocationBased_Title">_xlfn.LAMBDA("Location-based Scope 2 emissions from purchased electricity")</definedName>
    <definedName name="Electricity_Equations.VEERG_10_1_1__1_Scope2Electricity_LocationBased_Unit">_xlfn.LAMBDA("t CO2-e")</definedName>
    <definedName name="Electricity_Equations.VEERG_10_1_1__1_Scope2Electricity_LocationBased_Variable">_xlfn.LAMBDA("E2elec")</definedName>
    <definedName name="Electricity_Equations.VEERG_11_9_1_1__1_Scope3Electricity_LocationBased">_xlfn.LAMBDA(_xlpm.Qelec,_xlpm.EF3elec, _xlpm.Qelec * _xlpm.EF3elec * 10 ^ -3)</definedName>
    <definedName name="Electricity_Equations.VEERG_11_9_1_1__1_Scope3Electricity_LocationBased_Arguments">_xlfn.LAMBDA(_xlfn.MAKEARRAY(3, 3, _xlfn.LAMBDA(_xlpm.r,_xlpm.c, INDEX({"Qelec","Amount of electricity purchased from the grid","kWh";"EF3,elec","Location - based Scope 3 emission factor for electricity","kg CO2e / kWh";"3","Scope 3",""}, _xlpm.r, _xlpm.c))))</definedName>
    <definedName name="Electricity_Equations.VEERG_11_9_1_1__1_Scope3Electricity_LocationBased_NIRReference">_xlfn.LAMBDA("Australian National Greenhouse Accounts Factors 2025 - 2.2 Estimating emissions from stationary energy sources")</definedName>
    <definedName name="Electricity_Equations.VEERG_11_9_1_1__1_Scope3Electricity_LocationBased_ReadableEquation">_xlfn.LAMBDA("E3,elec = Qelec * EF3,elec * 10 ^ - 3")</definedName>
    <definedName name="Electricity_Equations.VEERG_11_9_1_1__1_Scope3Electricity_LocationBased_Source">_xlfn.LAMBDA("VEERG 2026: 11.9.1.1, Equation (1)")</definedName>
    <definedName name="Electricity_Equations.VEERG_11_9_1_1__1_Scope3Electricity_LocationBased_Title">_xlfn.LAMBDA("Location-based Scope 3 emissions from purchased electricity")</definedName>
    <definedName name="Electricity_Equations.VEERG_11_9_1_1__1_Scope3Electricity_LocationBased_Unit">_xlfn.LAMBDA("t CO2-e")</definedName>
    <definedName name="Electricity_Equations.VEERG_11_9_1_1__1_Scope3Electricity_LocationBased_Variable">_xlfn.LAMBDA("E3elec")</definedName>
    <definedName name="Electricity_Equations.VEERG_14_1_1__1_LocationBasedScopeElectricityEmissions">_xlfn.LAMBDA(_xlpm.Q_elec,_xlpm.EF_2elec, _xlpm.Q_elec * _xlpm.EF_2elec * 10 ^ -3)</definedName>
    <definedName name="Electricity_Equations.VEERG_14_1_1__1_LocationBasedScopeElectricityEmissions_Arguments">_xlfn.LAMBDA(_xlfn.MAKEARRAY(3, 4, _xlfn.LAMBDA(_xlpm.r,_xlpm.c, INDEX({"Q_elec","amount of electricity purchased from the grid","kWh","Input";"EF_2elec","location-based Scope 2 emission factor for electricity","kg CO2e/kWh","Constant";"g","Grid electricity was purchased from","","Input"}, _xlpm.r, _xlpm.c))))</definedName>
    <definedName name="Electricity_Equations.VEERG_14_1_1__1_LocationBasedScopeElectricityEmissions_LatexEquation">_xlfn.LAMBDA("E_{2,elec}=Q_{elec}\times EF_{2,elec}\times 10^{-3}")</definedName>
    <definedName name="Electricity_Equations.VEERG_14_1_1__1_LocationBasedScopeElectricityEmissions_NIRReference">_xlfn.LAMBDA("")</definedName>
    <definedName name="Electricity_Equations.VEERG_14_1_1__1_LocationBasedScopeElectricityEmissions_Source">_xlfn.LAMBDA("VEERG 2026: 14.1.1, Equation (1)")</definedName>
    <definedName name="Electricity_Equations.VEERG_14_1_1__1_LocationBasedScopeElectricityEmissions_Title">_xlfn.LAMBDA("Location-based Scope 2 emissions from purchased electricity")</definedName>
    <definedName name="Electricity_Equations.VEERG_14_1_1__1_LocationBasedScopeElectricityEmissions_Unit">_xlfn.LAMBDA("t CO2e")</definedName>
    <definedName name="Electricity_Equations.VEERG_14_1_1__1_LocationBasedScopeElectricityEmissions_Variable">_xlfn.LAMBDA("E_2elec")</definedName>
    <definedName name="Electricity_Equations.VEERG_14_1_1__1_LocationBasedScopeElectricityEmissions_Variation">_xlfn.LAMBDA("Added g variable to capture which grid electricity was purchased from")</definedName>
    <definedName name="Electricity_Equations.VEERG_14_1_2__1_MarketBasedScopeElectricityEmissions">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_Arguments">_xlfn.LAMBDA(_xlfn.MAKEARRAY(7, 4, _xlfn.LAMBDA(_xlpm.r,_xlpm.c, INDEX({"Q_elec","amount of electricity purchased from the grid","kWh","Input";"RPP","Renewable Power Percentage under the Large-scale Renewable Energy Target (LRET)","per cent","Input";"JRPP","jurisdictional renewable power percentage for the applicable period (ACT only)","per cent","Input";"REC_surrendered","Renewable Energy Certificates voluntarily surrendered in the reporting year","MWh","Input";"REC_onsite","Renewable Energy Certificates issued for electricity produced on-site during the year and consumed by the entity","MWh","Input";"EF_RMF2elec","Scope 2 residual mix emission factor for electricity","kg CO2e/kWh","Constant";"i","state","","Input"}, _xlpm.r, _xlpm.c))))</definedName>
    <definedName name="Electricity_Equations.VEERG_14_1_2__1_MarketBasedScopeElectricityEmissions_LatexEquation">_xlfn.LAMBDA("E_{2,elec}=(Q_{elec} \times (1-(RPP+JRPP)) - ((REC_{surrendered}-REC_{onsite})\times 10^{-3})) \times EF_{RMF2,elec} \times 10^{-3}")</definedName>
    <definedName name="Electricity_Equations.VEERG_14_1_2__1_MarketBasedScopeElectricityEmissions_NIRReference">_xlfn.LAMBDA("")</definedName>
    <definedName name="Electricity_Equations.VEERG_14_1_2__1_MarketBasedScopeElectricityEmissions_Source">_xlfn.LAMBDA("VEERG 2026: 14.1.2, Equation (1)")</definedName>
    <definedName name="Electricity_Equations.VEERG_14_1_2__1_MarketBasedScopeElectricityEmissions_Title">_xlfn.LAMBDA("Market-based Scope 2 emissions from purchased electricity")</definedName>
    <definedName name="Electricity_Equations.VEERG_14_1_2__1_MarketBasedScopeElectricityEmissions_Unit">_xlfn.LAMBDA("t CO2e")</definedName>
    <definedName name="Electricity_Equations.VEERG_14_1_2__1_MarketBasedScopeElectricityEmissions_Variable">_xlfn.LAMBDA("E_2elec")</definedName>
    <definedName name="Electricity_Equations.VEERG_14_1_2__1_MarketBasedScopeElectricityEmissions_Variation">_xlfn.LAMBDA("VARIATION ON SOURCE: In order to convert megawatt hours to kilowatt hours, the REC_surrendered and REC_onsite variables are multiplied by 10^3 instead of 10^-3.")</definedName>
    <definedName name="Electricity_Equations.VEERG_14_1_2__1_MarketBasedScopeElectricityEmissionsVariation">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Variation_LatexEquation">_xlfn.LAMBDA("E_{2,elec}=(Q_{elec} \times (1-(RPP+JRPP)) - ((REC_{surrendered}-REC_{onsite})\times 10^{3})) \times EF_{RMF2,elec} \times 10^{-3}")</definedName>
    <definedName name="Electricity_SourceData.Electricity_Scope2LocationBased_Description">_xlfn.LAMBDA(("Indirect (scope 2 and scope 3) location-based emission factors associated with the consumption and losses of purchased or acquired electricity"))</definedName>
    <definedName name="Electricity_SourceData.Electricity_Scope2MarketBased_Description">_xlfn.LAMBDA(("Table 2a Indirect (scope 2 and scope 3) emission factors from consumption of purchased or acquired electricity: market-based factors "))</definedName>
    <definedName name="Electricity_SourceData.Electricity_Scope2Scope3LocationBased_Data">_xlfn.LAMBDA(_xlfn.MAKEARRAY(11,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definedName>
    <definedName name="Electricity_SourceData.Electricity_Scope2Scope3LocationBased_Source">_xlfn.LAMBDA(("Australian National Greenhouse Accounts Factors 2025 - Table 1"))</definedName>
    <definedName name="Electricity_SourceData.Electricity_Scope2Scope3LocationBased_Title">_xlfn.LAMBDA(("Electricity scope 2 and scope 3 location-based emission factors"))</definedName>
    <definedName name="Electricity_SourceData.Electricity_Scope2Scope3LocationBased_Variation">_xlfn.LAMBDA(("VARIATION OF SOURCE DATA: NSW and ACT split into separate rows."))</definedName>
    <definedName name="Electricity_SourceData.Electricity_Scope2Scope3MarketBased_Data">_xlfn.LAMBDA(_xlfn.MAKEARRAY(2, 5, _xlfn.LAMBDA(_xlpm.r,_xlpm.c, INDEX({"State, Territory or grid description","Scope 2 Emission Factors (kg CO2-e/kWh)","Scope 2 Emission Factors (kg CO2-e/GJ)","Scope 3 Emission Factors (kg CO2 - e / kWh)","Scope 3 Emission Factors (kg CO2 - e / GJ)";"National",0.81,226,0.1,29}, _xlpm.r, _xlpm.c))))</definedName>
    <definedName name="Electricity_SourceData.Electricity_Scope2Scope3MarketBased_Source">_xlfn.LAMBDA(("Australian National Greenhouse Accounts Factors 2025 - Table 2a"))</definedName>
    <definedName name="Electricity_SourceData.Electricity_Scope2Scope3MarketBased_Title">_xlfn.LAMBDA(("Electricity scope 2 and scope 3 market-based emission factors"))</definedName>
    <definedName name="Electricity_SourceData.Electricity_Scope2Scope3MarketBased_Variation">_xlfn.LAMBDA((""))</definedName>
    <definedName name="EntericMethane_Dairy_Equations.VEERG_3_3_1_1__1_TotalAnnualMethaneFromEntericFermentation">_xlfn.LAMBDA(_xlpm.N_j124,_xlpm.M_j124,_xlpm.D_j124,_xlpm.N_j35,_xlpm.M_j35,_xlpm.D_j35,_xlpm.MPW_ENTERIC_j35, ((_xlpm.N_j124 * _xlpm.M_j124 * _xlpm.D_j124) + (_xlpm.N_j35 * _xlpm.M_j35 * _xlpm.D_j35) + (_xlpm.N_j35 * _xlpm.MPW_ENTERIC_j35 * _xlpm.D_j35)) * 10 ^ -3)</definedName>
    <definedName name="EntericMethane_Dairy_Equations.VEERG_3_3_1_1__1_TotalAnnualMethaneFromEntericFermentation_Arguments">_xlfn.LAMBDA(_xlfn.MAKEARRAY(8, 4, _xlfn.LAMBDA(_xlpm.r,_xlpm.c, INDEX({"N_j124","number of dairy cattle in classes j=1,2,4","head","Input";"M_j124","daily enteric methane production for classes j=1,2,4","kg CH4/head/day","Calculated from 3.3.1.1 (2)";"D_j124","duration of stay on the farm for classes j=1,2,4","days","Input";"N_j35","number of dairy cattle in classes j=3,5","head","Input";"M_j35","daily enteric methane production for weaned classes j=3,5","kg CH4/head/day","Calculated from 3.3.1.1 (2)";"D_j35","duration of stay on the farm for weaned classes j=3,5","days","Input";"DPW_j35","duration of stay on the farm for pre-weaned heifer and bull calves","days","Input";"MPW_ENTERIC_j35","daily methane production for pre-weaned heifer and bull calves","kg CH4/head/day","Constant"}, _xlpm.r, _xlpm.c))))</definedName>
    <definedName name="EntericMethane_Dairy_Equations.VEERG_3_3_1_1__1_TotalAnnualMethaneFromEntericFermentation_LatexEquation">_xlfn.LAMBDA("E_{enteric}=\sum\nolimits_j((N_{j=1,2,4}\times M_{j=1,2,4}\times D_{j=1,2,4})+(N_{j=3,5}\times M_{j=3,5}\times D_{j=3,5})+(N_{j=3,5}\times MPW_{ENTERIC,j=3,5}\times D_{j=3,5}))\times 10^{-3}")</definedName>
    <definedName name="EntericMethane_Dairy_Equations.VEERG_3_3_1_1__1_TotalAnnualMethaneFromEntericFermentation_LatexEquationVariation">_xlfn.LAMBDA("E_{enteric}=\sum\nolimits_j((N_{j=1,2,4}\times M_{j=1,2,4}\times D_{j=1,2,4})+(N_{j=3,5}\times M_{j=3,5}\times D_{j=3,5})+(N_{j=3,5}\times MPW_{ENTERIC,j=3,5}\times DPW_{j=3,5}))\times 10^{-3}")</definedName>
    <definedName name="EntericMethane_Dairy_Equations.VEERG_3_3_1_1__1_TotalAnnualMethaneFromEntericFermentation_NIRReference">_xlfn.LAMBDA("")</definedName>
    <definedName name="EntericMethane_Dairy_Equations.VEERG_3_3_1_1__1_TotalAnnualMethaneFromEntericFermentation_Source">_xlfn.LAMBDA("VEERG 2026: 3.3.1.1, Equation (1)")</definedName>
    <definedName name="EntericMethane_Dairy_Equations.VEERG_3_3_1_1__1_TotalAnnualMethaneFromEntericFermentation_Title">_xlfn.LAMBDA("Total annual methane production from enteric fermentation in dairy cattle")</definedName>
    <definedName name="EntericMethane_Dairy_Equations.VEERG_3_3_1_1__1_TotalAnnualMethaneFromEntericFermentation_Unit">_xlfn.LAMBDA("t CH4")</definedName>
    <definedName name="EntericMethane_Dairy_Equations.VEERG_3_3_1_1__1_TotalAnnualMethaneFromEntericFermentation_Variable">_xlfn.LAMBDA("E_enteric")</definedName>
    <definedName name="EntericMethane_Dairy_Equations.VEERG_3_3_1_1__1_TotalAnnualMethaneFromEntericFermentation_Variation">_xlfn.LAMBDA("VARIATION ON SOURCE: Added 'DPW' variable to allow for a separate handling of pre-weaned duration.")</definedName>
    <definedName name="EntericMethane_Dairy_Equations.VEERG_3_3_1_1__1_TotalAnnualMethaneFromEntericFermentationVariation">_xlfn.LAMBDA(_xlpm.N_j124,_xlpm.M_j124,_xlpm.D_j124,_xlpm.N_j35,_xlpm.M_j35,_xlpm.D_j35,_xlpm.DPW_j35,_xlpm.MPW_ENTERIC_j35, ((_xlpm.N_j124 * _xlpm.M_j124 * _xlpm.D_j124) + (_xlpm.N_j35 * _xlpm.M_j35 * _xlpm.D_j35) + (_xlpm.N_j35 * _xlpm.MPW_ENTERIC_j35 * _xlpm.DPW_j35)) * 10 ^ -3)</definedName>
    <definedName name="EntericMethane_Dairy_Equations.VEERG_3_3_1_1__2_DailyEntericMethaneProduction">_xlfn.LAMBDA(_xlpm.I_j, 20.7 * _xlpm.I_j * 10 ^ -3)</definedName>
    <definedName name="EntericMethane_Dairy_Equations.VEERG_3_3_1_1__2_DailyEntericMethaneProduction_Arguments">_xlfn.LAMBDA(_xlfn.MAKEARRAY(1, 4, _xlfn.LAMBDA(_xlpm.r,_xlpm.c, INDEX({"I_j","dry matter feed intake","kg DM/head/day","Calculated from 3.3.1.1 (3)"}, _xlpm.r, _xlpm.c))))</definedName>
    <definedName name="EntericMethane_Dairy_Equations.VEERG_3_3_1_1__2_DailyEntericMethaneProduction_LatexEquation">_xlfn.LAMBDA("M_j=20.7\times I_j\times 10^{-3}")</definedName>
    <definedName name="EntericMethane_Dairy_Equations.VEERG_3_3_1_1__2_DailyEntericMethaneProduction_NIRReference">_xlfn.LAMBDA("Charmley et al. (2015)")</definedName>
    <definedName name="EntericMethane_Dairy_Equations.VEERG_3_3_1_1__2_DailyEntericMethaneProduction_Source">_xlfn.LAMBDA("VEERG 2026: 3.3.1.1, Equation (2)")</definedName>
    <definedName name="EntericMethane_Dairy_Equations.VEERG_3_3_1_1__2_DailyEntericMethaneProduction_Title">_xlfn.LAMBDA("Daily production of enteric methane")</definedName>
    <definedName name="EntericMethane_Dairy_Equations.VEERG_3_3_1_1__2_DailyEntericMethaneProduction_Unit">_xlfn.LAMBDA("kg CH4/head/day")</definedName>
    <definedName name="EntericMethane_Dairy_Equations.VEERG_3_3_1_1__2_DailyEntericMethaneProduction_Variable">_xlfn.LAMBDA("M_j")</definedName>
    <definedName name="EntericMethane_Dairy_Equations.VEERG_3_3_1_1__3_DryMatterFeedIntake">_xlfn.LAMBDA(_xlpm.W_j,_xlpm.LWG_j,_xlpm.MR_j,_xlpm.MI_j, (1.185 + 0.00454 * _xlpm.W_j - 0.0000026 * _xlpm.W_j ^ 2 + 0.315 * _xlpm.LWG_j) ^ 2 * _xlpm.MR_j + _xlpm.MI_j)</definedName>
    <definedName name="EntericMethane_Dairy_Equations.VEERG_3_3_1_1__3_DryMatterFeedIntake_Arguments">_xlfn.LAMBDA(_xlfn.MAKEARRAY(4, 4, _xlfn.LAMBDA(_xlpm.r,_xlpm.c, INDEX({"W_j","liveweight","kg","Input";"LWG_j","liveweight gain","kg/head/day","Input";"MR_j","increase in metabolic rate when producing milk","fraction","Constant";"MI_j","additional intake required for milk production","kg DM/head/day","Calculated from 3.3.1.1 (4)"}, _xlpm.r, _xlpm.c))))</definedName>
    <definedName name="EntericMethane_Dairy_Equations.VEERG_3_3_1_1__3_DryMatterFeedIntake_LatexEquation">_xlfn.LAMBDA("I_j=(1.185+0.00454\times W_j-0.0000026\times W_j^2+0.315\times LWG_j)^2\times MR_j+MI_j")</definedName>
    <definedName name="EntericMethane_Dairy_Equations.VEERG_3_3_1_1__3_DryMatterFeedIntake_NIRReference">_xlfn.LAMBDA("")</definedName>
    <definedName name="EntericMethane_Dairy_Equations.VEERG_3_3_1_1__3_DryMatterFeedIntake_Source">_xlfn.LAMBDA("VEERG 2026: 3.3.1.1, Equation (3)")</definedName>
    <definedName name="EntericMethane_Dairy_Equations.VEERG_3_3_1_1__3_DryMatterFeedIntake_Title">_xlfn.LAMBDA("Feed intake")</definedName>
    <definedName name="EntericMethane_Dairy_Equations.VEERG_3_3_1_1__3_DryMatterFeedIntake_Unit">_xlfn.LAMBDA("kg DM/head/day")</definedName>
    <definedName name="EntericMethane_Dairy_Equations.VEERG_3_3_1_1__3_DryMatterFeedIntake_Variable">_xlfn.LAMBDA("I_j")</definedName>
    <definedName name="EntericMethane_Dairy_Equations.VEERG_3_3_1_1__4_AdditionalIntakeForMilkProduction">_xlfn.LAMBDA(_xlpm.MP_j,_xlpm.NE,_xlpm.GEC,_xlpm.k,_xlpm.qm_j, (_xlpm.MP_j * 1.03 * _xlpm.NE) / (_xlpm.GEC * _xlpm.k * _xlpm.qm_j))</definedName>
    <definedName name="EntericMethane_Dairy_Equations.VEERG_3_3_1_1__4_AdditionalIntakeForMilkProduction_Arguments">_xlfn.LAMBDA(_xlfn.MAKEARRAY(7, 4, _xlfn.LAMBDA(_xlpm.r,_xlpm.c, INDEX({"MPU","input milk production unit","","Input";"MP_j","milk production (if input as litres of milk)","L/head/day","Input";"MP_j","milk production (if input as milk solids)","L/head/day","Calculated from 3.3.1.1 (5)";"NE","net energy","MJ net energy/kg milk","Constant";"GEC","gross energy content","MJ/kgDM","Constant";"k","efficiency of metabolizable energy use for milk production","fraction","Constant";"qm_j","metabolisability of the diet","fraction","Calculated from 3.3.1.1 (6)"}, _xlpm.r, _xlpm.c))))</definedName>
    <definedName name="EntericMethane_Dairy_Equations.VEERG_3_3_1_1__4_AdditionalIntakeForMilkProduction_LatexEquation">_xlfn.LAMBDA("MI_j=\frac{MP_j\times 1.03\times NE}{GEC\times k\times qm_j}")</definedName>
    <definedName name="EntericMethane_Dairy_Equations.VEERG_3_3_1_1__4_AdditionalIntakeForMilkProduction_NIRReference">_xlfn.LAMBDA("")</definedName>
    <definedName name="EntericMethane_Dairy_Equations.VEERG_3_3_1_1__4_AdditionalIntakeForMilkProduction_Source">_xlfn.LAMBDA("VEERG 2026: 3.3.1.1, Equation (4)")</definedName>
    <definedName name="EntericMethane_Dairy_Equations.VEERG_3_3_1_1__4_AdditionalIntakeForMilkProduction_Title">_xlfn.LAMBDA("Additional intake required for milk production")</definedName>
    <definedName name="EntericMethane_Dairy_Equations.VEERG_3_3_1_1__4_AdditionalIntakeForMilkProduction_Unit">_xlfn.LAMBDA("kg DM/head/day")</definedName>
    <definedName name="EntericMethane_Dairy_Equations.VEERG_3_3_1_1__4_AdditionalIntakeForMilkProduction_Variable">_xlfn.LAMBDA("MI_j")</definedName>
    <definedName name="EntericMethane_Dairy_Equations.VEERG_3_3_1_1__4_AdditionalIntakeForMilkProduction_Variation">_xlfn.LAMBDA("VARATION ON SOURCE: Added milk production unit variable to allow for use of either milk solids or litres of milk.")</definedName>
    <definedName name="EntericMethane_Dairy_Equations.VEERG_3_3_1_1__5_MilkProductionFromMilkSolids">_xlfn.LAMBDA(_xlpm.MS_j,_xlpm.FC_j,_xlpm.PC_j, _xlpm.MS_j / (0.01 * (_xlpm.FC_j + _xlpm.PC_j)))</definedName>
    <definedName name="EntericMethane_Dairy_Equations.VEERG_3_3_1_1__5_MilkProductionFromMilkSolids_Arguments">_xlfn.LAMBDA(_xlfn.MAKEARRAY(4, 4, _xlfn.LAMBDA(_xlpm.r,_xlpm.c, INDEX({"MPU","input milk production unit","","Input";"MS_j","daily production of milk solids","kg MS/head/day","Input";"FC_j","fat content in fat and protein corrected milk","per cent","Constant";"PC_j","protein content in fat and protein corrected milk","per cent","Constant"}, _xlpm.r, _xlpm.c))))</definedName>
    <definedName name="EntericMethane_Dairy_Equations.VEERG_3_3_1_1__5_MilkProductionFromMilkSolids_Arguments_Method2">_xlfn.LAMBDA(_xlfn.MAKEARRAY(4, 4, _xlfn.LAMBDA(_xlpm.r,_xlpm.c, INDEX({"MPU","milk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LatexEquation">_xlfn.LAMBDA("MP_j=\frac{MS_j}{0.01\times (FC_j+PC_j)}")</definedName>
    <definedName name="EntericMethane_Dairy_Equations.VEERG_3_3_1_1__5_MilkProductionFromMilkSolids_NIRReference">_xlfn.LAMBDA("")</definedName>
    <definedName name="EntericMethane_Dairy_Equations.VEERG_3_3_1_1__5_MilkProductionFromMilkSolids_Source">_xlfn.LAMBDA("VEERG 2026: 3.3.1.1, Equation (5)")</definedName>
    <definedName name="EntericMethane_Dairy_Equations.VEERG_3_3_1_1__5_MilkProductionFromMilkSolids_Title">_xlfn.LAMBDA("Milk production converted from milk solids")</definedName>
    <definedName name="EntericMethane_Dairy_Equations.VEERG_3_3_1_1__5_MilkProductionFromMilkSolids_Unit">_xlfn.LAMBDA("L/head/day")</definedName>
    <definedName name="EntericMethane_Dairy_Equations.VEERG_3_3_1_1__5_MilkProductionFromMilkSolids_Variable">_xlfn.LAMBDA("MP_j")</definedName>
    <definedName name="EntericMethane_Dairy_Equations.VEERG_3_3_1_1__5_MilkProductionFromMilkSolids_Variation">_xlfn.LAMBDA("VARATION ON SOURCE: Added milk production unit variable to allow for use of either milk solids or litres of milk. Converted input FC and PC percent to integer.")</definedName>
    <definedName name="EntericMethane_Dairy_Equations.VEERG_3_3_1_1__6_MetabolisabilityOfDiet">_xlfn.LAMBDA(_xlpm.DMD_j, 0.795 * (_xlpm.DMD_j * 100) - 0.0014)</definedName>
    <definedName name="EntericMethane_Dairy_Equations.VEERG_3_3_1_1__6_MetabolisabilityOfDiet_Arguments">_xlfn.LAMBDA(_xlfn.MAKEARRAY(1, 4, _xlfn.LAMBDA(_xlpm.r,_xlpm.c, INDEX({"DMD_j","dry matter digestibility expressed as a fraction","fraction","Input"}, _xlpm.r, _xlpm.c))))</definedName>
    <definedName name="EntericMethane_Dairy_Equations.VEERG_3_3_1_1__6_MetabolisabilityOfDiet_LatexEquation">_xlfn.LAMBDA("qm_j=0.795\times (DMD_j\times 100)-0.0014")</definedName>
    <definedName name="EntericMethane_Dairy_Equations.VEERG_3_3_1_1__6_MetabolisabilityOfDiet_LatexEquationVariation">_xlfn.LAMBDA("qm_j=0.00795\times (DMD_j\times 100)-0.0014")</definedName>
    <definedName name="EntericMethane_Dairy_Equations.VEERG_3_3_1_1__6_MetabolisabilityOfDiet_NIRReference">_xlfn.LAMBDA("")</definedName>
    <definedName name="EntericMethane_Dairy_Equations.VEERG_3_3_1_1__6_MetabolisabilityOfDiet_Source">_xlfn.LAMBDA("VEERG 2026: 3.3.1.1, Equation (6)")</definedName>
    <definedName name="EntericMethane_Dairy_Equations.VEERG_3_3_1_1__6_MetabolisabilityOfDiet_Title">_xlfn.LAMBDA("Metabolisability of diet")</definedName>
    <definedName name="EntericMethane_Dairy_Equations.VEERG_3_3_1_1__6_MetabolisabilityOfDiet_Unit">_xlfn.LAMBDA("fraction")</definedName>
    <definedName name="EntericMethane_Dairy_Equations.VEERG_3_3_1_1__6_MetabolisabilityOfDiet_Variable">_xlfn.LAMBDA("qm_j")</definedName>
    <definedName name="EntericMethane_Dairy_Equations.VEERG_3_3_1_1__6_MetabolisabilityOfDiet_Variation">_xlfn.LAMBDA("VARIATION ON SOURCE: changed 0.795 to 0.00795 which is the value used in the National Inventory Report")</definedName>
    <definedName name="EntericMethane_Dairy_Equations.VEERG_3_3_1_1__6_MetabolisabilityOfDietVariation">_xlfn.LAMBDA(_xlpm.DMD_j, 0.00795 * (_xlpm.DMD_j * 100) - 0.0014)</definedName>
    <definedName name="EntericMethane_PastureBeef_Equations.VEERG_3_2_1_1__1_TotalAnnualMethaneFromEntericFermentation">_xlfn.LAMBDA(_xlpm.D_j,_xlpm.M_jkl,_xlpm.N_jkl, (_xlpm.D_j * _xlpm.M_jkl * _xlpm.N_jkl) * 10 ^ -3)</definedName>
    <definedName name="EntericMethane_PastureBeef_Equations.VEERG_3_2_1_1__1_TotalAnnualMethaneFromEntericFermentation_Arguments">_xlfn.LAMBDA(_xlfn.MAKEARRAY(3, 4, _xlfn.LAMBDA(_xlpm.r,_xlpm.c, INDEX({"D_j","number of days the animal is on the farm in each time-period","days","Input";"M_jkl","daily production of enteric methane in each time-period, class and subclass","kg CH4/head/day","Calculated from 3.2.1.1, (2)";"N_jkl","number of beef cattle in each time-period, class and subclass","head","Input"}, _xlpm.r, _xlpm.c))))</definedName>
    <definedName name="EntericMethane_PastureBeef_Equations.VEERG_3_2_1_1__1_TotalAnnualMethaneFromEntericFermentation_LatexEquation">_xlfn.LAMBDA("E_{enteric}=\sum_{j}\sum_{k}\sum_{l}(D_j\times M_{jkl}\times N_{jkl})\times 10^{-3}")</definedName>
    <definedName name="EntericMethane_PastureBeef_Equations.VEERG_3_2_1_1__1_TotalAnnualMethaneFromEntericFermentation_NIRReference">_xlfn.LAMBDA("")</definedName>
    <definedName name="EntericMethane_PastureBeef_Equations.VEERG_3_2_1_1__1_TotalAnnualMethaneFromEntericFermentation_Source">_xlfn.LAMBDA("VEERG 2026: 3.2.1.1, Equation (1)")</definedName>
    <definedName name="EntericMethane_PastureBeef_Equations.VEERG_3_2_1_1__1_TotalAnnualMethaneFromEntericFermentation_Title">_xlfn.LAMBDA("Total annual methane production from enteric fermentation in grazing beef cattle")</definedName>
    <definedName name="EntericMethane_PastureBeef_Equations.VEERG_3_2_1_1__1_TotalAnnualMethaneFromEntericFermentation_Unit">_xlfn.LAMBDA("t CH4")</definedName>
    <definedName name="EntericMethane_PastureBeef_Equations.VEERG_3_2_1_1__1_TotalAnnualMethaneFromEntericFermentation_Variable">_xlfn.LAMBDA("E_enteric")</definedName>
    <definedName name="EntericMethane_PastureBeef_Equations.VEERG_3_2_1_1__2_DailyEntericMethaneProduction">_xlfn.LAMBDA(_xlpm.I_jkl, 20.7 * _xlpm.I_jkl * 10 ^ -3)</definedName>
    <definedName name="EntericMethane_PastureBeef_Equations.VEERG_3_2_1_1__2_DailyEntericMethaneProduction_Arguments">_xlfn.LAMBDA(_xlfn.MAKEARRAY(1, 4, _xlfn.LAMBDA(_xlpm.r,_xlpm.c, INDEX({"I_jkl","dry matter intake","kg DM/head/day","Calculated from 3.2.1.1, (3)"}, _xlpm.r, _xlpm.c))))</definedName>
    <definedName name="EntericMethane_PastureBeef_Equations.VEERG_3_2_1_1__2_DailyEntericMethaneProduction_LatexEquation">_xlfn.LAMBDA("M_{jkl}=20.7\times I_{jkl}\times 10^{-3}")</definedName>
    <definedName name="EntericMethane_PastureBeef_Equations.VEERG_3_2_1_1__2_DailyEntericMethaneProduction_NIRReference">_xlfn.LAMBDA("Charmley et al. (2015)")</definedName>
    <definedName name="EntericMethane_PastureBeef_Equations.VEERG_3_2_1_1__2_DailyEntericMethaneProduction_Source">_xlfn.LAMBDA("VEERG 2026: 3.2.1.1, Equation (2)")</definedName>
    <definedName name="EntericMethane_PastureBeef_Equations.VEERG_3_2_1_1__2_DailyEntericMethaneProduction_Title">_xlfn.LAMBDA("Daily production of enteric methane")</definedName>
    <definedName name="EntericMethane_PastureBeef_Equations.VEERG_3_2_1_1__2_DailyEntericMethaneProduction_Unit">_xlfn.LAMBDA("kg CH4/head/day")</definedName>
    <definedName name="EntericMethane_PastureBeef_Equations.VEERG_3_2_1_1__2_DailyEntericMethaneProduction_Variable">_xlfn.LAMBDA("M_jkl")</definedName>
    <definedName name="EntericMethane_PastureBeef_Equations.VEERG_3_2_1_1__3_FeedIntakeForGrazingBeef">_xlfn.LAMBDA(_xlpm.W_jkl,_xlpm.LWG_jkl,_xlpm.MA_jk45, (1.185 + 0.00454 * _xlpm.W_jkl - 0.0000026 * _xlpm.W_jkl ^ 2 + 0.315 * _xlpm.LWG_jkl) ^ 2 * _xlpm.MA_jk45)</definedName>
    <definedName name="EntericMethane_PastureBeef_Equations.VEERG_3_2_1_1__3_FeedIntakeForGrazingBeef_Arguments">_xlfn.LAMBDA(_xlfn.MAKEARRAY(3, 4, _xlfn.LAMBDA(_xlpm.r,_xlpm.c, INDEX({"W_jkl","liveweight (kg)","kg","Input";"LWG_jkl","live weight gain (kg/head/day)","kg/head/day","Input";"MA_jk45","additional intake for milk production in cows greater than 2 years","kg/head/day","Calculated from 3.2.1.1, (4)"}, _xlpm.r, _xlpm.c))))</definedName>
    <definedName name="EntericMethane_PastureBeef_Equations.VEERG_3_2_1_1__3_FeedIntakeForGrazingBeef_LatexEquation">_xlfn.LAMBDA("I_{jkl}=(1.185+0.00454\times W_{jkl}-0.0000026\times W_{jkl}^{2}+0.315\times LWG_{jkl})^2\times MA_{jk=4,5}")</definedName>
    <definedName name="EntericMethane_PastureBeef_Equations.VEERG_3_2_1_1__3_FeedIntakeForGrazingBeef_NIRReference">_xlfn.LAMBDA("Minson and McDonald (1987)")</definedName>
    <definedName name="EntericMethane_PastureBeef_Equations.VEERG_3_2_1_1__3_FeedIntakeForGrazingBeef_Source">_xlfn.LAMBDA("VEERG 2026: 3.2.1.1, Equation (3)")</definedName>
    <definedName name="EntericMethane_PastureBeef_Equations.VEERG_3_2_1_1__3_FeedIntakeForGrazingBeef_Title">_xlfn.LAMBDA("Feed intake for grazing beef cattle")</definedName>
    <definedName name="EntericMethane_PastureBeef_Equations.VEERG_3_2_1_1__3_FeedIntakeForGrazingBeef_Unit">_xlfn.LAMBDA("kg DM/head/day")</definedName>
    <definedName name="EntericMethane_PastureBeef_Equations.VEERG_3_2_1_1__3_FeedIntakeForGrazingBeef_Variable">_xlfn.LAMBDA("I_jkl")</definedName>
    <definedName name="EntericMethane_PastureBeef_Equations.VEERG_3_2_1_1__4_AdditionalIntakeForMilkProduction">_xlfn.LAMBDA(_xlpm.LC_jk45,_xlpm.FA_jk45, (_xlpm.LC_jk45 * _xlpm.FA_jk45) + (1 - _xlpm.LC_jk45))</definedName>
    <definedName name="EntericMethane_PastureBeef_Equations.VEERG_3_2_1_1__4_AdditionalIntakeForMilkProduction_Arguments">_xlfn.LAMBDA(_xlfn.MAKEARRAY(3, 4, _xlfn.LAMBDA(_xlpm.r,_xlpm.c, INDEX({"LC_jk45","proportion of cows greater than 1 year in calf in the season of calving expressed as a fraction","fraction","Input";"FA_jk45","feed adjustment value for lactating cows in the season of calving and the season immediately after calving expressed as a fraction","fraction","Constant";"b","breed of cattle","","Input"}, _xlpm.r, _xlpm.c))))</definedName>
    <definedName name="EntericMethane_PastureBeef_Equations.VEERG_3_2_1_1__4_AdditionalIntakeForMilkProduction_ArgumentsVariation">_xlfn.LAMBDA(_xlfn.MAKEARRAY(4, 4, _xlfn.LAMBDA(_xlpm.r,_xlpm.c, INDEX({"LC_jk45","proportion of cows greater than 1 year in calf in the season of calving expressed as a fraction","fraction","Input";"FA_jk45calv","feed adjustment value for lactating cows in the season of calving expressed as a fraction","fraction","Constant";"FA_jk45after","feed adjustment value for lactating cows in the season immediately after calving expressed as a fraction","fraction","Constant";"b","breed of cattle","","Input"}, _xlpm.r, _xlpm.c))))</definedName>
    <definedName name="EntericMethane_PastureBeef_Equations.VEERG_3_2_1_1__4_AdditionalIntakeForMilkProduction_LatexEquation">_xlfn.LAMBDA("MA_{jk=4,5}=(LC_{jk=4,5}\times FA_{jk=4,5})+(1-LC_{jk=4,5})")</definedName>
    <definedName name="EntericMethane_PastureBeef_Equations.VEERG_3_2_1_1__4_AdditionalIntakeForMilkProduction_LatexEquationVariation">_xlfn.LAMBDA("MA_{jk=4,5}=((LC_{jk=4,5,calv}\times FA_{jk=4,5,calv})+(LC_{jk=4,5,prev}\times FA_{jk=4,5,after}))+(1-(LC_{jk=4,5,calv}+LC_{jk=4,5,prev}))")</definedName>
    <definedName name="EntericMethane_PastureBeef_Equations.VEERG_3_2_1_1__4_AdditionalIntakeForMilkProduction_NIRReference">_xlfn.LAMBDA("")</definedName>
    <definedName name="EntericMethane_PastureBeef_Equations.VEERG_3_2_1_1__4_AdditionalIntakeForMilkProduction_Source">_xlfn.LAMBDA("VEERG 2026: 3.2.1.1, Equation (4)")</definedName>
    <definedName name="EntericMethane_PastureBeef_Equations.VEERG_3_2_1_1__4_AdditionalIntakeForMilkProduction_Title">_xlfn.LAMBDA("Additional intake for milk production in the season of calving and the season after calving")</definedName>
    <definedName name="EntericMethane_PastureBeef_Equations.VEERG_3_2_1_1__4_AdditionalIntakeForMilkProduction_Unit">_xlfn.LAMBDA("fraction")</definedName>
    <definedName name="EntericMethane_PastureBeef_Equations.VEERG_3_2_1_1__4_AdditionalIntakeForMilkProduction_Variable">_xlfn.LAMBDA("MA_jk45")</definedName>
    <definedName name="EntericMethane_PastureBeef_Equations.VEERG_3_2_1_1__4_AdditionalIntakeForMilkProduction_Variation">_xlfn.LAMBDA("VARIATION ON SOURCE: Expanded equation to account for season after calving, rather than doing the same equation twice for both seasons")</definedName>
    <definedName name="EntericMethane_PastureBeef_Equations.VEERG_3_2_1_1__4_AdditionalIntakeForMilkProductionVariation">_xlfn.LAMBDA(_xlpm.LC_jk45calv,_xlpm.LC_jk45prev,_xlpm.FA_jk45calv,_xlpm.FA_jk45after, ((_xlpm.LC_jk45calv * _xlpm.FA_jk45calv) + (_xlpm.LC_jk45prev * _xlpm.FA_jk45after)) + (1 - (_xlpm.LC_jk45calv + _xlpm.LC_jk45prev)))</definedName>
    <definedName name="EntericMethane_Swine_Equations.VEERG_3_5_1_1__1_TotalAnnualMethaneFromEntericFermentation">_xlfn.LAMBDA(_xlpm.N_j,_xlpm.M_j,_xlpm.D_j, (_xlpm.N_j * _xlpm.M_j * _xlpm.D_j) * 10 ^ -3)</definedName>
    <definedName name="EntericMethane_Swine_Equations.VEERG_3_5_1_1__1_TotalAnnualMethaneFromEntericFermentation_Arguments">_xlfn.LAMBDA(_xlfn.MAKEARRAY(3, 4, _xlfn.LAMBDA(_xlpm.r,_xlpm.c, INDEX({"N_j","numbers of swine of each class","head","Input";"M_j","methane production","kg CH4/head/day","Calculated from 3.5.1.1, (2)";"D_j","the average number of days on farm for each swine class","days","Input"}, _xlpm.r, _xlpm.c))))</definedName>
    <definedName name="EntericMethane_Swine_Equations.VEERG_3_5_1_1__1_TotalAnnualMethaneFromEntericFermentation_LatexEquation">_xlfn.LAMBDA("E_{enteric}=\sum\nolimits_j(N_j\times M_j\times D_j)\times 10^{-3}")</definedName>
    <definedName name="EntericMethane_Swine_Equations.VEERG_3_5_1_1__1_TotalAnnualMethaneFromEntericFermentation_NIRReference">_xlfn.LAMBDA("")</definedName>
    <definedName name="EntericMethane_Swine_Equations.VEERG_3_5_1_1__1_TotalAnnualMethaneFromEntericFermentation_Source">_xlfn.LAMBDA("VEERG 2026: 3.5.1.1, Equation (1)")</definedName>
    <definedName name="EntericMethane_Swine_Equations.VEERG_3_5_1_1__1_TotalAnnualMethaneFromEntericFermentation_Title">_xlfn.LAMBDA("Total annual methane production from enteric fermentation in swine")</definedName>
    <definedName name="EntericMethane_Swine_Equations.VEERG_3_5_1_1__1_TotalAnnualMethaneFromEntericFermentation_Unit">_xlfn.LAMBDA("t CH4")</definedName>
    <definedName name="EntericMethane_Swine_Equations.VEERG_3_5_1_1__1_TotalAnnualMethaneFromEntericFermentation_Variable">_xlfn.LAMBDA("E_enteric")</definedName>
    <definedName name="EntericMethane_Swine_Equations.VEERG_3_5_1_1__2_DailyEntericMethaneProduction">_xlfn.LAMBDA(_xlpm.I_j,_xlpm.F, (_xlpm.I_j * 18.6 * 0.007) / _xlpm.F)</definedName>
    <definedName name="EntericMethane_Swine_Equations.VEERG_3_5_1_1__2_DailyEntericMethaneProduction_Arguments">_xlfn.LAMBDA(_xlfn.MAKEARRAY(4, 4, _xlfn.LAMBDA(_xlpm.r,_xlpm.c, INDEX({"I_j","daily feed ingested by each swine class","kg/head/day","Input";"18.6","gross energy (GE) content of feed","MJ GE/kg feed","Constant";"0.007","fraction of GE intake converted to methane by swine","fraction","Constant";"F","megajoules per kilogram of methane","MJ/kg CH4","Constant"}, _xlpm.r, _xlpm.c))))</definedName>
    <definedName name="EntericMethane_Swine_Equations.VEERG_3_5_1_1__2_DailyEntericMethaneProduction_LatexEquation">_xlfn.LAMBDA("M_j=\frac{I_j\times 18.6\times 0.007}{F}")</definedName>
    <definedName name="EntericMethane_Swine_Equations.VEERG_3_5_1_1__2_DailyEntericMethaneProduction_NIRReference">_xlfn.LAMBDA("")</definedName>
    <definedName name="EntericMethane_Swine_Equations.VEERG_3_5_1_1__2_DailyEntericMethaneProduction_Source">_xlfn.LAMBDA("VEERG 2026: 3.5.1.1, Equation (2)")</definedName>
    <definedName name="EntericMethane_Swine_Equations.VEERG_3_5_1_1__2_DailyEntericMethaneProduction_Title">_xlfn.LAMBDA("Total daily production of enteric methane of swine")</definedName>
    <definedName name="EntericMethane_Swine_Equations.VEERG_3_5_1_1__2_DailyEntericMethaneProduction_Unit">_xlfn.LAMBDA("kg CH4/head/day")</definedName>
    <definedName name="EntericMethane_Swine_Equations.VEERG_3_5_1_1__2_DailyEntericMethaneProduction_Variable">_xlfn.LAMBDA("M_j")</definedName>
    <definedName name="Enterprise_PastureBeef_InputFunctions.multiplyCorrespondingCells">_xlfn.LAMBDA(_xlpm.range1,_xlpm.range2,_xlpm.range3, _xlfn.LET(_xlpm.numRows, ROWS(_xlpm.range1), _xlpm.numCols, COLUMNS(_xlpm.range1), _xlpm.result, _xlfn.MAKEARRAY(_xlpm.numRows, _xlpm.numCols, _xlfn.LAMBDA(_xlpm.r,_xlpm.c, IF(ISNUMBER(INDEX(_xlpm.range1, _xlpm.r, _xlpm.c)), INDEX(_xlpm.range1, _xlpm.r, _xlpm.c), 0) * IF(ISNUMBER(INDEX(_xlpm.range2, _xlpm.r, _xlpm.c)), INDEX(_xlpm.range2, _xlpm.r, _xlpm.c), 0) * IF(ISNUMBER(INDEX(_xlpm.range3, _xlpm.r, _xlpm.c)), INDEX(_xlpm.range3, _xlpm.r, _xlpm.c), 0))), _xlpm.result))</definedName>
    <definedName name="Fertiliser_Equations_AtmosphericDeposition.VEERG_5_4_1_1__1_InorganicFertiliserAtmosphericDepositionN2OEmissions">_xlfn.LAMBDA(_xlpm.M_volinorganicjf,_xlpm.EF_N2Oj,_xlpm.C_N2O, (_xlpm.M_volinorganicjf * _xlpm.EF_N2Oj) * _xlpm.C_N2O * 10 ^ -3)</definedName>
    <definedName name="Fertiliser_Equations_AtmosphericDeposition.VEERG_5_4_1_1__1_InorganicFertiliserAtmosphericDepositionN2OEmissions_Arguments">_xlfn.LAMBDA(_xlfn.MAKEARRAY(6, 4, _xlfn.LAMBDA(_xlpm.r,_xlpm.c, INDEX({"M_volinorganicjf","mass of nitrogen volatilised from inorganic fertiliser applied to production system","kg N","Calculated from 5.4.1.1 (2)";"EF_N2Oj","emission factor for atmospheric deposition","kg N2O-N/kg N","Constant";"C_N2O","factor to convert elemental mass of nitrous oxide to molecular mass","","Constant";"j","Production system","","Input";"ir","irrigation method","","Input";"r","rainfall region","","Input"}, _xlpm.r, _xlpm.c))))</definedName>
    <definedName name="Fertiliser_Equations_AtmosphericDeposition.VEERG_5_4_1_1__1_InorganicFertiliserAtmosphericDepositionN2OEmissions_LatexEquation">_xlfn.LAMBDA("E_{ad,inorganic}=\sum\nolimits_{j}\sum\nolimits_{f}((M_{vol,inorganic,jf}\times EF_{N2O,j})\times C_{N2O}\times 10^{-3})")</definedName>
    <definedName name="Fertiliser_Equations_AtmosphericDeposition.VEERG_5_4_1_1__1_InorganicFertiliserAtmosphericDepositionN2OEmissions_NIRReference">_xlfn.LAMBDA("")</definedName>
    <definedName name="Fertiliser_Equations_AtmosphericDeposition.VEERG_5_4_1_1__1_InorganicFertiliserAtmosphericDepositionN2OEmissions_Source">_xlfn.LAMBDA("VEERG 2026: 5.4.1.1, Equation (1)")</definedName>
    <definedName name="Fertiliser_Equations_AtmosphericDeposition.VEERG_5_4_1_1__1_InorganicFertiliserAtmosphericDepositionN2OEmissions_Title">_xlfn.LAMBDA("Nitrous oxide emissions from atmospheric deposition from all inorganic fertiliser types f and all production systems j")</definedName>
    <definedName name="Fertiliser_Equations_AtmosphericDeposition.VEERG_5_4_1_1__1_InorganicFertiliserAtmosphericDepositionN2OEmissions_Unit">_xlfn.LAMBDA("t N2O")</definedName>
    <definedName name="Fertiliser_Equations_AtmosphericDeposition.VEERG_5_4_1_1__1_InorganicFertiliserAtmosphericDepositionN2OEmissions_Variable">_xlfn.LAMBDA("E_adinorganic")</definedName>
    <definedName name="Fertiliser_Equations_AtmosphericDeposition.VEERG_5_4_1_1__2_MassOfNitrogenVolatilisedFromInorganicFertiliser">_xlfn.LAMBDA(_xlpm.MN_jf,_xlpm.FracGASF_f, _xlpm.MN_jf * _xlpm.FracGASF_f)</definedName>
    <definedName name="Fertiliser_Equations_AtmosphericDeposition.VEERG_5_4_1_1__2_MassOfNitrogenVolatilisedFromInorganicFertiliser_Arguments">_xlfn.LAMBDA(_xlfn.MAKEARRAY(2, 4, _xlfn.LAMBDA(_xlpm.r,_xlpm.c, INDEX({"MN_jf","mass of nitrogen in inorganic fertiliser applied","kg N","Calculated from 5.1.1.1 (2)";"FracGASF_f","fraction of inorganic fertiliser that volatilises","(kg NH3-N + NOx-N)/kg N","Constant"}, _xlpm.r, _xlpm.c))))</definedName>
    <definedName name="Fertiliser_Equations_AtmosphericDeposition.VEERG_5_4_1_1__2_MassOfNitrogenVolatilisedFromInorganicFertiliser_LatexEquation">_xlfn.LAMBDA("M_{vol,inorganic,jf}={MN}_{jf}\times FracGASF_{f}")</definedName>
    <definedName name="Fertiliser_Equations_AtmosphericDeposition.VEERG_5_4_1_1__2_MassOfNitrogenVolatilisedFromInorganicFertiliser_NIRReference">_xlfn.LAMBDA("")</definedName>
    <definedName name="Fertiliser_Equations_AtmosphericDeposition.VEERG_5_4_1_1__2_MassOfNitrogenVolatilisedFromInorganicFertiliser_Source">_xlfn.LAMBDA("VEERG 2026: 5.4.1.1, Equation (2)")</definedName>
    <definedName name="Fertiliser_Equations_AtmosphericDeposition.VEERG_5_4_1_1__2_MassOfNitrogenVolatilisedFromInorganicFertiliser_Title">_xlfn.LAMBDA("Mass of nitrogen volatilised from inorganic fertiliser applied to production system")</definedName>
    <definedName name="Fertiliser_Equations_AtmosphericDeposition.VEERG_5_4_1_1__2_MassOfNitrogenVolatilisedFromInorganicFertiliser_Unit">_xlfn.LAMBDA("kg N")</definedName>
    <definedName name="Fertiliser_Equations_AtmosphericDeposition.VEERG_5_4_1_1__2_MassOfNitrogenVolatilisedFromInorganicFertiliser_Variable">_xlfn.LAMBDA("M_volinorganicjf")</definedName>
    <definedName name="Fertiliser_Equations_AtmosphericDeposition.VEERG_5_4_1_3__1_OrganicFertiliserAtmosphericDepositionN2OEmissions">_xlfn.LAMBDA(_xlpm.M_volorganicjf,_xlpm.EF_N2Oj,_xlpm.C_N2O, (_xlpm.M_volorganicjf * _xlpm.EF_N2Oj) * _xlpm.C_N2O * 10 ^ -3)</definedName>
    <definedName name="Fertiliser_Equations_AtmosphericDeposition.VEERG_5_4_1_3__1_OrganicFertiliserAtmosphericDepositionN2OEmissions_Arguments">_xlfn.LAMBDA(_xlfn.MAKEARRAY(6, 4, _xlfn.LAMBDA(_xlpm.r,_xlpm.c, INDEX({"M_volorganicjf","mass of nitrogen volatilised from organic fertiliser applied to production system","kg N","Calculated from 5.4.1.3 (2)";"EF_N2Oj","emission factor for atmospheric deposition in production system j","kg N2O-N/kg N","Constant";"C_N2O","factor to convert elemental mass of nitrous oxide to molecular mass","","Constant";"j","Production system","","Input";"ir","irrigation method","","Input";"r","rainfall region","","Input"}, _xlpm.r, _xlpm.c))))</definedName>
    <definedName name="Fertiliser_Equations_AtmosphericDeposition.VEERG_5_4_1_3__1_OrganicFertiliserAtmosphericDepositionN2OEmissions_LatexEquation">_xlfn.LAMBDA("E_{ad,organic}=\sum\nolimits_{j}\sum\nolimits_{f}((M_{vol,organic,jf}\times EF_{N2O,j})\times C_{N2O}\times 10^{-3})")</definedName>
    <definedName name="Fertiliser_Equations_AtmosphericDeposition.VEERG_5_4_1_3__1_OrganicFertiliserAtmosphericDepositionN2OEmissions_NIRReference">_xlfn.LAMBDA("")</definedName>
    <definedName name="Fertiliser_Equations_AtmosphericDeposition.VEERG_5_4_1_3__1_OrganicFertiliserAtmosphericDepositionN2OEmissions_Source">_xlfn.LAMBDA("VEERG 2026: 5.4.1.3, Equation (1)")</definedName>
    <definedName name="Fertiliser_Equations_AtmosphericDeposition.VEERG_5_4_1_3__1_OrganicFertiliserAtmosphericDepositionN2OEmissions_Title">_xlfn.LAMBDA("Nitrous oxide emissions from atmospheric deposition of all organic fertiliser types f and all production systems j")</definedName>
    <definedName name="Fertiliser_Equations_AtmosphericDeposition.VEERG_5_4_1_3__1_OrganicFertiliserAtmosphericDepositionN2OEmissions_Unit">_xlfn.LAMBDA("t N2O")</definedName>
    <definedName name="Fertiliser_Equations_AtmosphericDeposition.VEERG_5_4_1_3__1_OrganicFertiliserAtmosphericDepositionN2OEmissions_Variable">_xlfn.LAMBDA("E_adorganic")</definedName>
    <definedName name="Fertiliser_Equations_AtmosphericDeposition.VEERG_5_4_1_3__2_MassOfNitrogenVolatilisedFromOrganicFertiliser">_xlfn.LAMBDA(_xlpm.MNSoil_jf,_xlpm.FracGASM_soil, _xlpm.MNSoil_jf * _xlpm.FracGASM_soil)</definedName>
    <definedName name="Fertiliser_Equations_AtmosphericDeposition.VEERG_5_4_1_3__2_MassOfNitrogenVolatilisedFromOrganicFertiliser_Arguments">_xlfn.LAMBDA(_xlfn.MAKEARRAY(2, 4, _xlfn.LAMBDA(_xlpm.r,_xlpm.c, INDEX({"MNSoil_jf","mass of nitrogen in organic fertiliser type f applied to production system j","kg N","Calculated from 5.2.1.1 (2)";"FracGASM_soil","fraction of organic fertiliser N that volatilises","(kg NH3-N + NOx-N)/kg N","Constant"}, _xlpm.r, _xlpm.c))))</definedName>
    <definedName name="Fertiliser_Equations_AtmosphericDeposition.VEERG_5_4_1_3__2_MassOfNitrogenVolatilisedFromOrganicFertiliser_LatexEquation">_xlfn.LAMBDA("M_{vol,organic,jf}=MNSoil_{jf}\times FracGASM_{soil}")</definedName>
    <definedName name="Fertiliser_Equations_AtmosphericDeposition.VEERG_5_4_1_3__2_MassOfNitrogenVolatilisedFromOrganicFertiliser_NIRReference">_xlfn.LAMBDA("")</definedName>
    <definedName name="Fertiliser_Equations_AtmosphericDeposition.VEERG_5_4_1_3__2_MassOfNitrogenVolatilisedFromOrganicFertiliser_Source">_xlfn.LAMBDA("VEERG 2026: 5.4.1.3, Equation (2)")</definedName>
    <definedName name="Fertiliser_Equations_AtmosphericDeposition.VEERG_5_4_1_3__2_MassOfNitrogenVolatilisedFromOrganicFertiliser_Title">_xlfn.LAMBDA("Mass of nitrogen volatilised from organic fertiliser applied to production system")</definedName>
    <definedName name="Fertiliser_Equations_AtmosphericDeposition.VEERG_5_4_1_3__2_MassOfNitrogenVolatilisedFromOrganicFertiliser_Unit">_xlfn.LAMBDA("kg N")</definedName>
    <definedName name="Fertiliser_Equations_AtmosphericDeposition.VEERG_5_4_1_3__2_MassOfNitrogenVolatilisedFromOrganicFertiliser_Variable">_xlfn.LAMBDA("M_volorganicjf")</definedName>
    <definedName name="Fertiliser_Equations_InorganicCO2.VEERG_5_1_1_3__1_InorganicFertiliserApplicationCO2Emissions">_xlfn.LAMBDA(_xlpm.MU_jf,_xlpm.EF_ureaCO2,_xlpm.C_CO2, (_xlpm.MU_jf * _xlpm.EF_ureaCO2 * _xlpm.C_CO2) * 10 ^ -3)</definedName>
    <definedName name="Fertiliser_Equations_InorganicCO2.VEERG_5_1_1_3__1_InorganicFertiliserApplicationCO2Emissions_Arguments">_xlfn.LAMBDA(_xlfn.MAKEARRAY(5, 4, _xlfn.LAMBDA(_xlpm.r,_xlpm.c, INDEX({"MU_jf","mass of urea of inorganic fertiliser type f applied to production system j","kg urea","Calculated";"EF_ureaCO2","emission factor for carbon emissions from urea-based fertilisers","kg C/kg urea","Constant";"C_CO2","factor to convert elemental mass of carbon to molecular mass of carbon dioxide","","Constant";"j","Production system","","Input";"f","Inorganic fertiliser type","","Lookup"}, _xlpm.r, _xlpm.c))))</definedName>
    <definedName name="Fertiliser_Equations_InorganicCO2.VEERG_5_1_1_3__1_InorganicFertiliserApplicationCO2Emissions_LatexEquation">_xlfn.LAMBDA("E_{CO2}=\sum_{j}\sum_{f}((MU_{jf}\times EF_{urea,CO2}\times C_{CO2})\times 10^{-3})")</definedName>
    <definedName name="Fertiliser_Equations_InorganicCO2.VEERG_5_1_1_3__1_InorganicFertiliserApplicationCO2Emissions_NIRReference">_xlfn.LAMBDA("")</definedName>
    <definedName name="Fertiliser_Equations_InorganicCO2.VEERG_5_1_1_3__1_InorganicFertiliserApplicationCO2Emissions_Source">_xlfn.LAMBDA("VEERG 2026: 5.1.1.3, Equation (1)")</definedName>
    <definedName name="Fertiliser_Equations_InorganicCO2.VEERG_5_1_1_3__1_InorganicFertiliserApplicationCO2Emissions_Title">_xlfn.LAMBDA("Carbon dioxide emissions resulting from the use of all inorganic, urea-based fertilisers")</definedName>
    <definedName name="Fertiliser_Equations_InorganicCO2.VEERG_5_1_1_3__1_InorganicFertiliserApplicationCO2Emissions_Unit">_xlfn.LAMBDA("t CO2")</definedName>
    <definedName name="Fertiliser_Equations_InorganicCO2.VEERG_5_1_1_3__1_InorganicFertiliserApplicationCO2Emissions_Variable">_xlfn.LAMBDA("E_CO2")</definedName>
    <definedName name="Fertiliser_Equations_InorganicCO2.VEERG_5_1_1_3__2_MassOfUreaInInorganicFertiliser">_xlfn.LAMBDA(_xlpm.TM_jf,_xlpm.FU_f, _xlpm.TM_jf * _xlpm.FU_f)</definedName>
    <definedName name="Fertiliser_Equations_InorganicCO2.VEERG_5_1_1_3__2_MassOfUreaInInorganicFertiliser_Arguments">_xlfn.LAMBDA(_xlfn.MAKEARRAY(2, 4, _xlfn.LAMBDA(_xlpm.r,_xlpm.c, INDEX({"TM_jf","total mass of inorganic fertiliser type f applied to production system j","kg","Input";"FU_f","fraction of urea in fertiliser type f","kg urea/kg","Lookup"}, _xlpm.r, _xlpm.c))))</definedName>
    <definedName name="Fertiliser_Equations_InorganicCO2.VEERG_5_1_1_3__2_MassOfUreaInInorganicFertiliser_LatexEquation">_xlfn.LAMBDA("{MU}_{jf}=TM_{jf}\times FU_f")</definedName>
    <definedName name="Fertiliser_Equations_InorganicCO2.VEERG_5_1_1_3__2_MassOfUreaInInorganicFertiliser_NIRReference">_xlfn.LAMBDA("")</definedName>
    <definedName name="Fertiliser_Equations_InorganicCO2.VEERG_5_1_1_3__2_MassOfUreaInInorganicFertiliser_Source">_xlfn.LAMBDA("VEERG 2026: 5.1.1.3, Equation (2)")</definedName>
    <definedName name="Fertiliser_Equations_InorganicCO2.VEERG_5_1_1_3__2_MassOfUreaInInorganicFertiliser_Title">_xlfn.LAMBDA("Mass of urea applied to production system")</definedName>
    <definedName name="Fertiliser_Equations_InorganicCO2.VEERG_5_1_1_3__2_MassOfUreaInInorganicFertiliser_Unit">_xlfn.LAMBDA("kg urea")</definedName>
    <definedName name="Fertiliser_Equations_InorganicCO2.VEERG_5_1_1_3__2_MassOfUreaInInorganicFertiliser_Variable">_xlfn.LAMBDA("MU_jf")</definedName>
    <definedName name="Fertiliser_Equations_InorganicN2O.VEERG_5_1_1_1__1_InorganicFertiliserApplicationN2OEmissions">_xlfn.LAMBDA(_xlpm.MN_jf,_xlpm.EF_jN2O,_xlpm.C_N2O, (_xlpm.MN_jf * _xlpm.EF_jN2O * _xlpm.C_N2O) * 10 ^ -3)</definedName>
    <definedName name="Fertiliser_Equations_InorganicN2O.VEERG_5_1_1_1__1_InorganicFertiliserApplicationN2OEmissions_Arguments">_xlfn.LAMBDA(_xlfn.MAKEARRAY(7, 4, _xlfn.LAMBDA(_xlpm.r,_xlpm.c, INDEX({"MN_jf","mass of nitrogen in inorganic fertiliser type f applied to production system j","kg N","Calculated from 5.1.1.1 (2)";"EF_jN2O","emission factor for nitrous oxide for inorganic fertilisers","kg N2O-N/kg N applied","Constant";"C_N2O","factor to convert elemental mass of nitrous oxide to molecular mass","","Constant";"j","Production system","","Input";"f","Inorganic fertiliser type","","Constant";"ir","irrigation method","","Input";"z","rainfall zone","","Input"}, _xlpm.r, _xlpm.c))))</definedName>
    <definedName name="Fertiliser_Equations_InorganicN2O.VEERG_5_1_1_1__1_InorganicFertiliserApplicationN2OEmissions_Arguments_Method2">_xlfn.LAMBDA(_xlfn.MAKEARRAY(8, 4, _xlfn.LAMBDA(_xlpm.r,_xlpm.c, INDEX({"MN_jf","mass of nitrogen in inorganic fertiliser type f applied to production system j","kg N","Calculated from 5.1.1.1 (2)";"EF_jN2O","emission factor for nitrous oxide for inorganic fertilisers","kg N2O-N/kg N applied","Calculated from 5.1.1.2 (1)(2)(3)";"C_N2O","factor to convert elemental mass of nitrous oxide to molecular mass","","Constant";"j","Production system","","Input";"c","Crop type","","Input";"f","Inorganic fertiliser type","","Constant";"ir","irrigation method","","Input";"z","rainfall zone","","Input"}, _xlpm.r, _xlpm.c))))</definedName>
    <definedName name="Fertiliser_Equations_InorganicN2O.VEERG_5_1_1_1__1_InorganicFertiliserApplicationN2OEmissions_LatexEquation">_xlfn.LAMBDA("E_{N2O}=\sum_{j}\sum_{f}((MN_{jf}\times EF_{j,N2O}\times C_{N2O})\times 10^{-3})")</definedName>
    <definedName name="Fertiliser_Equations_InorganicN2O.VEERG_5_1_1_1__1_InorganicFertiliserApplicationN2OEmissions_NIRReference">_xlfn.LAMBDA("")</definedName>
    <definedName name="Fertiliser_Equations_InorganicN2O.VEERG_5_1_1_1__1_InorganicFertiliserApplicationN2OEmissions_Source">_xlfn.LAMBDA("VEERG 2026: 5.1.1.1, Equation (1)")</definedName>
    <definedName name="Fertiliser_Equations_InorganicN2O.VEERG_5_1_1_1__1_InorganicFertiliserApplicationN2OEmissions_Title">_xlfn.LAMBDA("Nitrous oxide emissions from the application of all inorganic fertiliser types f to all production systems j")</definedName>
    <definedName name="Fertiliser_Equations_InorganicN2O.VEERG_5_1_1_1__1_InorganicFertiliserApplicationN2OEmissions_Unit">_xlfn.LAMBDA("t N2O")</definedName>
    <definedName name="Fertiliser_Equations_InorganicN2O.VEERG_5_1_1_1__1_InorganicFertiliserApplicationN2OEmissions_Variable">_xlfn.LAMBDA("E_N2O")</definedName>
    <definedName name="Fertiliser_Equations_InorganicN2O.VEERG_5_1_1_1__2_MassOfNitrogenInInorganicFertiliser">_xlfn.LAMBDA(_xlpm.TM_jf,_xlpm.FN_inorganicf, _xlpm.TM_jf * _xlpm.FN_inorganicf)</definedName>
    <definedName name="Fertiliser_Equations_InorganicN2O.VEERG_5_1_1_1__2_MassOfNitrogenInInorganicFertiliser_Arguments">_xlfn.LAMBDA(_xlfn.MAKEARRAY(2, 4, _xlfn.LAMBDA(_xlpm.r,_xlpm.c, INDEX({"TM_jf","total mass of inorganic fertiliser type f applied to production system j","kg","Input";"FN_inorganicf","fraction of nitrogen in inorganic fertiliser type f ","kg N/kg","Constant"}, _xlpm.r, _xlpm.c))))</definedName>
    <definedName name="Fertiliser_Equations_InorganicN2O.VEERG_5_1_1_1__2_MassOfNitrogenInInorganicFertiliser_LatexEquation">_xlfn.LAMBDA("{MN}_{jf}=TM_{jf}\times FN_{inorganic,f}")</definedName>
    <definedName name="Fertiliser_Equations_InorganicN2O.VEERG_5_1_1_1__2_MassOfNitrogenInInorganicFertiliser_NIRReference">_xlfn.LAMBDA("")</definedName>
    <definedName name="Fertiliser_Equations_InorganicN2O.VEERG_5_1_1_1__2_MassOfNitrogenInInorganicFertiliser_Source">_xlfn.LAMBDA("VEERG 2026: 5.1.1.1, Equation (2)")</definedName>
    <definedName name="Fertiliser_Equations_InorganicN2O.VEERG_5_1_1_1__2_MassOfNitrogenInInorganicFertiliser_Title">_xlfn.LAMBDA("Mass of nitrogen in inorganic fertiliser applied to production system")</definedName>
    <definedName name="Fertiliser_Equations_InorganicN2O.VEERG_5_1_1_1__2_MassOfNitrogenInInorganicFertiliser_Unit">_xlfn.LAMBDA("kg N")</definedName>
    <definedName name="Fertiliser_Equations_InorganicN2O.VEERG_5_1_1_1__2_MassOfNitrogenInInorganicFertiliser_Variable">_xlfn.LAMBDA("MN_jf")</definedName>
    <definedName name="Fertiliser_Equations_InorganicN2O.VEERG_5_1_1_2__1_EmissionFactorIrrigatedMaize">_xlfn.LAMBDA(_xlpm.N_fjIrrigatedMaize, (-0.1474 + (0.0061 * _xlpm.N_fjIrrigatedMaize)) * 10 ^ -2)</definedName>
    <definedName name="Fertiliser_Equations_InorganicN2O.VEERG_5_1_1_2__1_EmissionFactorIrrigatedMaize_Arguments">_xlfn.LAMBDA(_xlfn.MAKEARRAY(2, 4, _xlfn.LAMBDA(_xlpm.r,_xlpm.c, INDEX({"N_fjIrrigatedMaize","application rate of inorganic fertiliser type f in the irrigated maize crop","kg N/ha","Input";"f","Inorganic fertiliser type","","Constant"}, _xlpm.r, _xlpm.c))))</definedName>
    <definedName name="Fertiliser_Equations_InorganicN2O.VEERG_5_1_1_2__1_EmissionFactorIrrigatedMaize_LatexEquation">_xlfn.LAMBDA("EF_{fj=irrigatedmaize,N2O}=(-0.1474+(0.0061\times N_{fj=irrigatedmaize}))\times 10^{-2}")</definedName>
    <definedName name="Fertiliser_Equations_InorganicN2O.VEERG_5_1_1_2__1_EmissionFactorIrrigatedMaize_NIRReference">_xlfn.LAMBDA("")</definedName>
    <definedName name="Fertiliser_Equations_InorganicN2O.VEERG_5_1_1_2__1_EmissionFactorIrrigatedMaize_Source">_xlfn.LAMBDA("VEERG 2026: 5.1.1.2, Equation (1)")</definedName>
    <definedName name="Fertiliser_Equations_InorganicN2O.VEERG_5_1_1_2__1_EmissionFactorIrrigatedMaize_Title">_xlfn.LAMBDA("Emission factor for nitrous oxide for irrigated maize")</definedName>
    <definedName name="Fertiliser_Equations_InorganicN2O.VEERG_5_1_1_2__1_EmissionFactorIrrigatedMaize_Unit">_xlfn.LAMBDA("kg N2O-N/kg N applied")</definedName>
    <definedName name="Fertiliser_Equations_InorganicN2O.VEERG_5_1_1_2__1_EmissionFactorIrrigatedMaize_Variable">_xlfn.LAMBDA("EF_fjIrrigatedMaizeN2O")</definedName>
    <definedName name="Fertiliser_Equations_InorganicN2O.VEERG_5_1_1_2__2_EmissionFactorNonIrrigatedGrainsHighRainfall">_xlfn.LAMBDA(_xlpm.N_fjNonIrrigatedGrains, (0.0781 + (0.0075 * _xlpm.N_fjNonIrrigatedGrains)) * 10 ^ -2)</definedName>
    <definedName name="Fertiliser_Equations_InorganicN2O.VEERG_5_1_1_2__2_EmissionFactorNonIrrigatedGrainsHighRainfall_Arguments">_xlfn.LAMBDA(_xlfn.MAKEARRAY(2, 4, _xlfn.LAMBDA(_xlpm.r,_xlpm.c, INDEX({"N_fjNonIrrigatedGrains","application rate of inorganic fertiliser type f in the grains crop","kg N/ha","Input";"f","Inorganic fertiliser type","","Constant"}, _xlpm.r, _xlpm.c))))</definedName>
    <definedName name="Fertiliser_Equations_InorganicN2O.VEERG_5_1_1_2__2_EmissionFactorNonIrrigatedGrainsHighRainfall_LatexEquation">_xlfn.LAMBDA("EF_{fj=nonirrigatedgrains,N2O}=(0.0781+(0.0075\times N_{fj=nonirrigatedgrains}))\times 10^{-2}")</definedName>
    <definedName name="Fertiliser_Equations_InorganicN2O.VEERG_5_1_1_2__2_EmissionFactorNonIrrigatedGrainsHighRainfall_NIRReference">_xlfn.LAMBDA("")</definedName>
    <definedName name="Fertiliser_Equations_InorganicN2O.VEERG_5_1_1_2__2_EmissionFactorNonIrrigatedGrainsHighRainfall_Source">_xlfn.LAMBDA("VEERG 2026: 5.1.1.2, Equation (2)")</definedName>
    <definedName name="Fertiliser_Equations_InorganicN2O.VEERG_5_1_1_2__2_EmissionFactorNonIrrigatedGrainsHighRainfall_Title">_xlfn.LAMBDA("Emission factor for nitrous oxide for non-irrigated grains in high rainfall zone")</definedName>
    <definedName name="Fertiliser_Equations_InorganicN2O.VEERG_5_1_1_2__2_EmissionFactorNonIrrigatedGrainsHighRainfall_Unit">_xlfn.LAMBDA("kg N2O-N/kg N applied")</definedName>
    <definedName name="Fertiliser_Equations_InorganicN2O.VEERG_5_1_1_2__2_EmissionFactorNonIrrigatedGrainsHighRainfall_Variable">_xlfn.LAMBDA("EF_fjNonIrrigatedGrainsN2O")</definedName>
    <definedName name="Fertiliser_Equations_InorganicN2O.VEERG_5_1_1_2__3_EmissionFactorCotton">_xlfn.LAMBDA(_xlpm.N_fjCotton, (0.01 * (0.29 + ((0.007 * (EXP(0.037 * _xlpm.N_fjCotton) - 1)) / _xlpm.N_fjCotton))) * 10 ^ -2)</definedName>
    <definedName name="Fertiliser_Equations_InorganicN2O.VEERG_5_1_1_2__3_EmissionFactorCotton_Arguments">_xlfn.LAMBDA(_xlfn.MAKEARRAY(2, 4, _xlfn.LAMBDA(_xlpm.r,_xlpm.c, INDEX({"N_fjCotton","application rate of inorganic fertiliser type f in the cotton crop","kg N/ha","Input";"f","Inorganic fertiliser type","","Constant"}, _xlpm.r, _xlpm.c))))</definedName>
    <definedName name="Fertiliser_Equations_InorganicN2O.VEERG_5_1_1_2__3_EmissionFactorCotton_LatexEquation">_xlfn.LAMBDA("EF_{fj=cotton,N2O}=(0.01 \times (0.29 + \frac{0.007(e^{0.037 \times N_{fj=cotton}}-1)}{N_{fj=cotton}})) \times 10^{-2}
")</definedName>
    <definedName name="Fertiliser_Equations_InorganicN2O.VEERG_5_1_1_2__3_EmissionFactorCotton_NIRReference">_xlfn.LAMBDA("")</definedName>
    <definedName name="Fertiliser_Equations_InorganicN2O.VEERG_5_1_1_2__3_EmissionFactorCotton_Source">_xlfn.LAMBDA("VEERG 2026: 5.1.1.2, Equation (3)")</definedName>
    <definedName name="Fertiliser_Equations_InorganicN2O.VEERG_5_1_1_2__3_EmissionFactorCotton_Title">_xlfn.LAMBDA("Emission factor for nitrous oxide for cotton")</definedName>
    <definedName name="Fertiliser_Equations_InorganicN2O.VEERG_5_1_1_2__3_EmissionFactorCotton_Unit">_xlfn.LAMBDA("kg N2O-N/kg N applied")</definedName>
    <definedName name="Fertiliser_Equations_InorganicN2O.VEERG_5_1_1_2__3_EmissionFactorCotton_Variable">_xlfn.LAMBDA("EF_fjCottonN2O")</definedName>
    <definedName name="Fertiliser_Equations_LeachingAndRunoff.VEERG_5_5_1_1__1_FertiliserLeachingAndRunoffN2OEmissions">_xlfn.LAMBDA(_xlpm.M_leachinorganicj,_xlpm.M_leachorganicj,_xlpm.EF_leach,_xlpm.C_N2O, (_xlpm.M_leachinorganicj + _xlpm.M_leachorganicj) * _xlpm.EF_leach * _xlpm.C_N2O * 10 ^ -3)</definedName>
    <definedName name="Fertiliser_Equations_LeachingAndRunoff.VEERG_5_5_1_1__1_FertiliserLeachingAndRunoffN2OEmissions_Arguments">_xlfn.LAMBDA(_xlfn.MAKEARRAY(4, 4, _xlfn.LAMBDA(_xlpm.r,_xlpm.c, INDEX({"M_leachinorganicj","mass of nitrogen lost through leaching and runoff from inorganic fertiliser application in production system j","kg N","Calculated from 5.5.1.1 (2)";"M_leachorganicj","mass of nitrogen lost through leaching and runoff from organic fertiliser application","kg N","Calculated from 5.5.1.1 (3)";"EF_leach","emission factor for nitrogen leaching and runoff","kg N2O-N/kg N","Constant";"C_N2O","factor to convert elemental mass of nitrous oxide to molecular mass","","Constant"}, _xlpm.r, _xlpm.c))))</definedName>
    <definedName name="Fertiliser_Equations_LeachingAndRunoff.VEERG_5_5_1_1__1_FertiliserLeachingAndRunoffN2OEmissions_LatexEquation">_xlfn.LAMBDA("E_{fert,leach}=\sum_{j}((M_{leach,inorganic,j}+M_{leach,organic,j})\times EF_{leach}\times C_{N2O}\times 10^{-3})")</definedName>
    <definedName name="Fertiliser_Equations_LeachingAndRunoff.VEERG_5_5_1_1__1_FertiliserLeachingAndRunoffN2OEmissions_NIRReference">_xlfn.LAMBDA("")</definedName>
    <definedName name="Fertiliser_Equations_LeachingAndRunoff.VEERG_5_5_1_1__1_FertiliserLeachingAndRunoffN2OEmissions_Source">_xlfn.LAMBDA("VEERG 2026: 5.5, Equation (1)")</definedName>
    <definedName name="Fertiliser_Equations_LeachingAndRunoff.VEERG_5_5_1_1__1_FertiliserLeachingAndRunoffN2OEmissions_Title">_xlfn.LAMBDA("Nitrous oxide emissions from nitrogen leaching and runoff from the application of all fertilisers across all production systems j")</definedName>
    <definedName name="Fertiliser_Equations_LeachingAndRunoff.VEERG_5_5_1_1__1_FertiliserLeachingAndRunoffN2OEmissions_Unit">_xlfn.LAMBDA("t N2O")</definedName>
    <definedName name="Fertiliser_Equations_LeachingAndRunoff.VEERG_5_5_1_1__1_FertiliserLeachingAndRunoffN2OEmissions_Variable">_xlfn.LAMBDA("E_fertleach")</definedName>
    <definedName name="Fertiliser_Equations_LeachingAndRunoff.VEERG_5_5_1_1__2_MassOfNitrogenLeachedFromInorganicFertiliser">_xlfn.LAMBDA(_xlpm.MN_jf,_xlpm.FracWETj,_xlpm.FracLEACH, _xlpm.MN_jf * _xlpm.FracWETj * _xlpm.FracLEACH)</definedName>
    <definedName name="Fertiliser_Equations_LeachingAndRunoff.VEERG_5_5_1_1__2_MassOfNitrogenLeachedFromInorganicFertiliser_Arguments">_xlfn.LAMBDA(_xlfn.MAKEARRAY(6, 4, _xlfn.LAMBDA(_xlpm.r,_xlpm.c, INDEX({"MN_jf","mass of nitrogen in inorganic fertiliser","kg N","Calculated from 5.1.1.1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2_MassOfNitrogenLeachedFromInorganicFertiliser_LatexEquation">_xlfn.LAMBDA("M_{leach,inorganic,j}=\sum\nolimits_{f}\left({MN}_{jf}\times Frac_{WET,j}\times Frac_{LEACH}\right)")</definedName>
    <definedName name="Fertiliser_Equations_LeachingAndRunoff.VEERG_5_5_1_1__2_MassOfNitrogenLeachedFromInorganicFertiliser_NIRReference">_xlfn.LAMBDA("")</definedName>
    <definedName name="Fertiliser_Equations_LeachingAndRunoff.VEERG_5_5_1_1__2_MassOfNitrogenLeachedFromInorganicFertiliser_Source">_xlfn.LAMBDA("VEERG 2026: 5.5, Equation (2)")</definedName>
    <definedName name="Fertiliser_Equations_LeachingAndRunoff.VEERG_5_5_1_1__2_MassOfNitrogenLeachedFromInorganicFertiliser_Title">_xlfn.LAMBDA("Mass of nitrogen lost through leaching and runoff from inorganic fertiliser application in production system j")</definedName>
    <definedName name="Fertiliser_Equations_LeachingAndRunoff.VEERG_5_5_1_1__2_MassOfNitrogenLeachedFromInorganicFertiliser_Unit">_xlfn.LAMBDA("kg N")</definedName>
    <definedName name="Fertiliser_Equations_LeachingAndRunoff.VEERG_5_5_1_1__2_MassOfNitrogenLeachedFromInorganicFertiliser_Variable">_xlfn.LAMBDA("M_leachinorganicj")</definedName>
    <definedName name="Fertiliser_Equations_LeachingAndRunoff.VEERG_5_5_1_1__3_MassOfNitrogenLeachedFromOrganicFertiliser">_xlfn.LAMBDA(_xlpm.MNSoil_jf,_xlpm.FracWETj,_xlpm.FracLEACH, _xlpm.MNSoil_jf * _xlpm.FracWETj * _xlpm.FracLEACH)</definedName>
    <definedName name="Fertiliser_Equations_LeachingAndRunoff.VEERG_5_5_1_1__3_MassOfNitrogenLeachedFromOrganicFertiliser_Arguments">_xlfn.LAMBDA(_xlfn.MAKEARRAY(6, 4, _xlfn.LAMBDA(_xlpm.r,_xlpm.c, INDEX({"MNSoil_jf","mass of nitrogen in organic fertiliser","kg N","Calculated from 5.2.1.1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3_MassOfNitrogenLeachedFromOrganicFertiliser_LatexEquation">_xlfn.LAMBDA("M_{leach,organic,j}=\sum\nolimits_{f}\left({MNSoil}_{jf}\times Frac_{WET,j}\times Frac_{LEACH}\right)")</definedName>
    <definedName name="Fertiliser_Equations_LeachingAndRunoff.VEERG_5_5_1_1__3_MassOfNitrogenLeachedFromOrganicFertiliser_NIRReference">_xlfn.LAMBDA("")</definedName>
    <definedName name="Fertiliser_Equations_LeachingAndRunoff.VEERG_5_5_1_1__3_MassOfNitrogenLeachedFromOrganicFertiliser_Source">_xlfn.LAMBDA("VEERG 2026: 5.5, Equation (3)")</definedName>
    <definedName name="Fertiliser_Equations_LeachingAndRunoff.VEERG_5_5_1_1__3_MassOfNitrogenLeachedFromOrganicFertiliser_Title">_xlfn.LAMBDA("Mass of nitrogen lost through leaching and runoff from organic fertiliser application in production system j")</definedName>
    <definedName name="Fertiliser_Equations_LeachingAndRunoff.VEERG_5_5_1_1__3_MassOfNitrogenLeachedFromOrganicFertiliser_Unit">_xlfn.LAMBDA("kg N")</definedName>
    <definedName name="Fertiliser_Equations_LeachingAndRunoff.VEERG_5_5_1_1__3_MassOfNitrogenLeachedFromOrganicFertiliser_Variable">_xlfn.LAMBDA("M_leachorganicj")</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Lime.VEERG_5_3_1_1__1_LimeApplicationCO2Emissions">_xlfn.LAMBDA(_xlpm.M_lime,_xlpm.FracLime,_xlpm.P_lime,_xlpm.EF_lime,_xlpm.FracDol,_xlpm.P_dol,_xlpm.EF_dol,_xlpm.C_CO2, ((_xlpm.M_lime * _xlpm.FracLime * _xlpm.P_lime * _xlpm.EF_lime) + (_xlpm.M_lime * _xlpm.FracDol * _xlpm.P_dol * _xlpm.EF_dol)) * _xlpm.C_CO2 * 10 ^ -3)</definedName>
    <definedName name="Fertiliser_Equations_Lime.VEERG_5_3_1_1__1_LimeApplicationCO2Emissions_Arguments">_xlfn.LAMBDA(_xlfn.MAKEARRAY(8, 4, _xlfn.LAMBDA(_xlpm.r,_xlpm.c, INDEX({"M_lime","total mass of lime applied to production system","kg","Input";"FracLime","fraction of lime as limestone (CaCO3)","fraction","Input";"P_lime","fractional purity of limestone","fraction","Constant";"EF_lime","emission factor for limestone fraction of lime","kg C/kg","Constant";"FracDol","fraction of lime as dolomite","fraction","Input";"P_dol","fractional purity of dolomite","fraction","Constant";"EF_dol","emission factor for dolomite fraction of lime","kg C/kg","Constant";"C_CO2","factor to convert elemental mass of carbon dioxide to molecular mass","","Constant"}, _xlpm.r, _xlpm.c))))</definedName>
    <definedName name="Fertiliser_Equations_Lime.VEERG_5_3_1_1__1_LimeApplicationCO2Emissions_LatexEquation">_xlfn.LAMBDA("E_{lime}=[(M_{lime}\times FracLime\times P_{lime}\times EF_{lime})+(M_{lime}\times FracDol\times P_{dol}\times EF_{dol})]\times C_{CO2}\times 10^{-3}")</definedName>
    <definedName name="Fertiliser_Equations_Lime.VEERG_5_3_1_1__1_LimeApplicationCO2Emissions_NIRReference">_xlfn.LAMBDA("")</definedName>
    <definedName name="Fertiliser_Equations_Lime.VEERG_5_3_1_1__1_LimeApplicationCO2Emissions_Source">_xlfn.LAMBDA("VEERG 2026: 5.3.1.1, Equation (1)")</definedName>
    <definedName name="Fertiliser_Equations_Lime.VEERG_5_3_1_1__1_LimeApplicationCO2Emissions_Title">_xlfn.LAMBDA("Emissions from the application of lime and dolomite to production systems")</definedName>
    <definedName name="Fertiliser_Equations_Lime.VEERG_5_3_1_1__1_LimeApplicationCO2Emissions_Unit">_xlfn.LAMBDA("t CO2")</definedName>
    <definedName name="Fertiliser_Equations_Lime.VEERG_5_3_1_1__1_LimeApplicationCO2Emissions_Variable">_xlfn.LAMBDA("E_lime")</definedName>
    <definedName name="Fertiliser_Equations_Organic.VEERG_5_2_1_1__2_MassOfNitrogenInOrganicFertiliser">_xlfn.LAMBDA(_xlpm.Morganicjf,_xlpm.FNorganicf, _xlpm.Morganicjf * _xlpm.FNorganicf)</definedName>
    <definedName name="Fertiliser_Equations_OrganicN2O.VEERG_5_2_1_1__1_OrganicFertiliserApplicationN2OEmissions">_xlfn.LAMBDA(_xlpm.MNSoil_jf,_xlpm.EF_N2Oi,_xlpm.C_N2O, (_xlpm.MNSoil_jf * _xlpm.EF_N2Oi * _xlpm.C_N2O) * 10 ^ -3)</definedName>
    <definedName name="Fertiliser_Equations_OrganicN2O.VEERG_5_2_1_1__1_OrganicFertiliserApplicationN2OEmissions_Arguments">_xlfn.LAMBDA(_xlfn.MAKEARRAY(5, 4, _xlfn.LAMBDA(_xlpm.r,_xlpm.c, INDEX({"MNSoil_jf","mass of nitrogen in organic fertiliser type f applied to production system j","kg N","Calculated from 5.2.1.1 (2)";"EF_N2Oi","emission factor for direct nitrous oxide emissions from organic fertiliser applied to soils and aquatic systems in climate zone i","kg N2O-N/kg N","Lookup";"C_N2O","factor to convert elemental mass of nitrous oxide to molecular mass","","Constant";"j","Production system","","Input";"i","Wet or dry climate zone","","Input"}, _xlpm.r, _xlpm.c))))</definedName>
    <definedName name="Fertiliser_Equations_OrganicN2O.VEERG_5_2_1_1__1_OrganicFertiliserApplicationN2OEmissions_LatexEquation">_xlfn.LAMBDA("E_{N2O}=\sum_{j}\sum_{f}((MNSoil_{jf}\times EF_{N2O,i}\times C_{N2O})\times 10^{-3})")</definedName>
    <definedName name="Fertiliser_Equations_OrganicN2O.VEERG_5_2_1_1__1_OrganicFertiliserApplicationN2OEmissions_NIRReference">_xlfn.LAMBDA("")</definedName>
    <definedName name="Fertiliser_Equations_OrganicN2O.VEERG_5_2_1_1__1_OrganicFertiliserApplicationN2OEmissions_Source">_xlfn.LAMBDA("VEERG 2026: 5.2.1.1, Equation (1)")</definedName>
    <definedName name="Fertiliser_Equations_OrganicN2O.VEERG_5_2_1_1__1_OrganicFertiliserApplicationN2OEmissions_Title">_xlfn.LAMBDA("Nitrous oxide emissions from the application of all organic fertiliser types f to all production systems j")</definedName>
    <definedName name="Fertiliser_Equations_OrganicN2O.VEERG_5_2_1_1__1_OrganicFertiliserApplicationN2OEmissions_Unit">_xlfn.LAMBDA("t N2O")</definedName>
    <definedName name="Fertiliser_Equations_OrganicN2O.VEERG_5_2_1_1__1_OrganicFertiliserApplicationN2OEmissions_Variable">_xlfn.LAMBDA("E_N2O")</definedName>
    <definedName name="Fertiliser_Equations_OrganicN2O.VEERG_5_2_1_1__2_MassOfNitrogenInOrganicFertiliser">_xlfn.LAMBDA(_xlpm.M_organicjf,_xlpm.FN_organicf, _xlpm.M_organicjf * _xlpm.FN_organicf)</definedName>
    <definedName name="Fertiliser_Equations_OrganicN2O.VEERG_5_2_1_1__2_MassOfNitrogenInOrganicFertiliser_Arguments">_xlfn.LAMBDA(_xlfn.MAKEARRAY(3, 4, _xlfn.LAMBDA(_xlpm.r,_xlpm.c, INDEX({"M_organicjf","mass of organic fertiliser type f applied to production system j","kg","Input";"FN_organicf","nitrogen fraction of organic fertiliser type f","kg N/kg","Input";"f","Organic fertiliser type","","Input"}, _xlpm.r, _xlpm.c))))</definedName>
    <definedName name="Fertiliser_Equations_OrganicN2O.VEERG_5_2_1_1__2_MassOfNitrogenInOrganicFertiliser_LatexEquation">_xlfn.LAMBDA("MNSoil_{jf}=M_{organic,jf}\times FN_{organic,f}")</definedName>
    <definedName name="Fertiliser_Equations_OrganicN2O.VEERG_5_2_1_1__2_MassOfNitrogenInOrganicFertiliser_NIRReference">_xlfn.LAMBDA("")</definedName>
    <definedName name="Fertiliser_Equations_OrganicN2O.VEERG_5_2_1_1__2_MassOfNitrogenInOrganicFertiliser_Source">_xlfn.LAMBDA("VEERG 2026: 5.2.1.1, Equation (2)")</definedName>
    <definedName name="Fertiliser_Equations_OrganicN2O.VEERG_5_2_1_1__2_MassOfNitrogenInOrganicFertiliser_Title">_xlfn.LAMBDA("Mass of nitrogen in purchased organic fertilisers applied to production system")</definedName>
    <definedName name="Fertiliser_Equations_OrganicN2O.VEERG_5_2_1_1__2_MassOfNitrogenInOrganicFertiliser_Unit">_xlfn.LAMBDA("kg N")</definedName>
    <definedName name="Fertiliser_Equations_OrganicN2O.VEERG_5_2_1_1__2_MassOfNitrogenInOrganicFertiliser_Variable">_xlfn.LAMBDA("MNSoil_jf")</definedName>
    <definedName name="Fertiliser_InputFunctions.Fertiliser_FertiliserProductLookup">_xlfn.LAMBDA(_xlpm.Product,_xlpm.ProductAttribute,_xlpm.ProductArray,_xlpm.ProductArrayColumn,_xlpm.ProductArrayHeaders, IFERROR(INDEX(_xlpm.ProductArray, _xlfn.XMATCH(TRIM(_xlpm.Product), _xlpm.ProductArrayColumn, 0), _xlfn.XMATCH(TRIM(_xlpm.ProductAttribute), _xlpm.ProductArrayHeaders, 0)), ""))</definedName>
    <definedName name="Fertiliser_InputFunctions.Fertiliser_GetChemicalCompoundElementFraction">_xlfn.LAMBDA(_xlpm.ChemicalCompound,_xlpm.Element,_xlpm.ChemicalCompoundArray,_xlpm.ChemicalCompoundColumn,_xlpm.ElementRow, INDEX(_xlpm.ChemicalCompoundArray, MATCH(_xlpm.ChemicalCompound, _xlpm.ChemicalCompoundColumn, 0), MATCH(_xlpm.Element, _xlpm.ElementRow, 0)))</definedName>
    <definedName name="Fertiliser_InputFunctions.Fertiliser_GetScope3EF">_xlfn.LAMBDA(_xlpm.ChemicalCompound,_xlpm.Scope3Array,_xlpm.ChemicalCompoundColumn,_xlpm.Source,_xlpm.SourceRow, INDEX(_xlpm.Scope3Array, MATCH(_xlpm.ChemicalCompound, _xlpm.ChemicalCompoundColumn, 0), MATCH(_xlpm.Source, _xlpm.SourceRow, 0)))</definedName>
    <definedName name="Fertiliser_InputFunctions.Fertiliser_SumProductApplied" localSheetId="15">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SumProductApplied" localSheetId="16">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SumProductApplied" localSheetId="17">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SumProductApplied" localSheetId="18">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SumProductApplied" localSheetId="19">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SumProductApplied" localSheetId="20">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SumProductApplied" localSheetId="21">_xlfn.LAMBDA(_xlpm.LookupTarget1,_xlpm.LookupArray1,_xlpm.AmountApplied,_xlop.LookupTarget2,_xlop.LookupArray2, _xlfn.LET(_xlpm.criteria1, --(IFERROR(_xlpm.LookupArray1, "") = _xlpm.LookupTarget1), _xlpm.criteria2, IF(_xlfn.ISOMITTED(_xlpm.LookupTarget2), 1, IFERROR(--(_xlpm.LookupArray2 = _xlpm.LookupTarget2), 0)), _xlpm.amounts, IFERROR(_xlpm.AmountApplied * 1, 0), SUMPRODUCT(_xlpm.criteria1 * _xlpm.criteria2 * _xlpm.amounts)))</definedName>
    <definedName name="Fertiliser_InputFunctions.Fertiliser_SumProductApplied" localSheetId="22">_xlfn.LAMBDA(_xlpm.LookupTarget1,_xlpm.LookupArray1,_xlpm.AmountApplied,_xlop.LookupTarget2,_xlop.LookupArray2, _xlfn.LET(_xlpm.criteria1, --(IFERROR(_xlpm.LookupArray1, "") = _xlpm.LookupTarget1), _xlpm.criteria2, IF(_xlfn.ISOMITTED(_xlpm.LookupTarget2), 1, IFERROR(--(_xlpm.LookupArray2 = _xlpm.LookupTarget2), 0)), _xlpm.amounts, IFERROR(_xlpm.AmountApplied * 1, 0), SUMPRODUCT(_xlpm.criteria1 * _xlpm.criteria2 * _xlpm.amounts)))</definedName>
    <definedName name="Fertiliser_InputFunctions.Fertiliser_SumProductApplied" localSheetId="27">_xlfn.LAMBDA(_xlpm.LookupTarget1,_xlpm.LookupArray1,_xlpm.AmountApplied,_xlop.LookupTarget2,_xlop.LookupArray2, _xlfn.LET(_xlpm.criteria1, --(IFERROR(_xlpm.LookupArray1, "") = _xlpm.LookupTarget1), _xlpm.criteria2, IF(_xlfn.ISOMITTED(_xlpm.LookupTarget2), 1, IFERROR(--(_xlpm.LookupArray2 = _xlpm.LookupTarget2), 0)), _xlpm.amounts, IFERROR(_xlpm.AmountApplied * 1, 0), SUMPRODUCT(_xlpm.criteria1 * _xlpm.criteria2 * _xlpm.amounts)))</definedName>
    <definedName name="Fertiliser_InputFunctions.Fertiliser_SumProductApplied" localSheetId="30">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SumProductApplied" localSheetId="7">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SumProductApplied" localSheetId="6">_xlfn.LAMBDA(_xlpm.LookupTarget1,_xlpm.LookupArray1,_xlpm.AmountApplied,_xlop.LookupTarget2,_xlop.LookupArray2, _xlfn.LET(_xlpm.criteria1, --(IFERROR(_xlpm.LookupArray1, "") = _xlpm.LookupTarget1), _xlpm.criteria2, IF(_xlfn.ISOMITTED(_xlpm.LookupTarget2), 1, IFERROR(--(_xlpm.LookupArray2 = _xlpm.LookupTarget2), 0)), _xlpm.amounts, IFERROR(_xlpm.AmountApplied * 1, 0), SUMPRODUCT(_xlpm.criteria1 * _xlpm.criteria2 * _xlpm.amounts)))</definedName>
    <definedName name="Fertiliser_InputFunctions.Fertiliser_SumProductApplied" localSheetId="34">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SumProductApplied">_xlfn.LAMBDA(_xlpm.LookupTarget1,_xlpm.LookupArray1,_xlpm.AmountApplied,_xlop.LookupTarget2,_xlop.LookupArray2, _xlfn.LET(_xlpm.criteria1, --(_xlpm.LookupArray1 = _xlpm.LookupTarget1), _xlpm.criteria2, IF(_xlfn.ISOMITTED(_xlpm.LookupTarget2), 1, --(_xlpm.LookupArray2 = _xlpm.LookupTarget2)), SUMPRODUCT(_xlpm.criteria1 * _xlpm.criteria2 * _xlpm.AmountApplied)))</definedName>
    <definedName name="Fertiliser_InputFunctions.Fertiliser_TotalActiveIngredientAppliedAllIngredients" localSheetId="11">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12">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13">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14">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15">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'5.1.1.1-2 Inorganic fert N2O'!Fertiliser_InputFunctions.Fertiliser_SumProductApplied(_xlpm.ChemicalCompound, _xlpm.ProductIngredient1, _xlpm.calculatedAmount1) + IFERROR('5.1.1.1-2 Inorganic fert N2O'!Fertiliser_InputFunctions.Fertiliser_SumProductApplied(_xlpm.ChemicalCompound, _xlpm.ProductIngredient2, _xlpm.calculatedAmount2), 0) + IFERROR('5.1.1.1-2 Inorganic fert N2O'!Fertiliser_InputFunctions.Fertiliser_SumProductApplied(_xlpm.ChemicalCompound, _xlpm.ProductIngredient3, _xlpm.calculatedAmount3), 0)))</definedName>
    <definedName name="Fertiliser_InputFunctions.Fertiliser_TotalActiveIngredientAppliedAllIngredients" localSheetId="16">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'5.1.1.3-4 Inorganic fert CO2'!Fertiliser_InputFunctions.Fertiliser_SumProductApplied(_xlpm.ChemicalCompound, _xlpm.ProductIngredient1, _xlpm.calculatedAmount1) + IFERROR('5.1.1.3-4 Inorganic fert CO2'!Fertiliser_InputFunctions.Fertiliser_SumProductApplied(_xlpm.ChemicalCompound, _xlpm.ProductIngredient2, _xlpm.calculatedAmount2), 0) + IFERROR('5.1.1.3-4 Inorganic fert CO2'!Fertiliser_InputFunctions.Fertiliser_SumProductApplied(_xlpm.ChemicalCompound, _xlpm.ProductIngredient3, _xlpm.calculatedAmount3), 0)))</definedName>
    <definedName name="Fertiliser_InputFunctions.Fertiliser_TotalActiveIngredientAppliedAllIngredients" localSheetId="17">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'5.2.1.1-2 Organic Fert N2O'!Fertiliser_InputFunctions.Fertiliser_SumProductApplied(_xlpm.ChemicalCompound, _xlpm.ProductIngredient1, _xlpm.calculatedAmount1) + IFERROR('5.2.1.1-2 Organic Fert N2O'!Fertiliser_InputFunctions.Fertiliser_SumProductApplied(_xlpm.ChemicalCompound, _xlpm.ProductIngredient2, _xlpm.calculatedAmount2), 0) + IFERROR('5.2.1.1-2 Organic Fert N2O'!Fertiliser_InputFunctions.Fertiliser_SumProductApplied(_xlpm.ChemicalCompound, _xlpm.ProductIngredient3, _xlpm.calculatedAmount3), 0)))</definedName>
    <definedName name="Fertiliser_InputFunctions.Fertiliser_TotalActiveIngredientAppliedAllIngredients" localSheetId="18">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'5.3.1.1-2 Lime CO2'!Fertiliser_InputFunctions.Fertiliser_SumProductApplied(_xlpm.ChemicalCompound, _xlpm.ProductIngredient1, _xlpm.calculatedAmount1) + IFERROR('5.3.1.1-2 Lime CO2'!Fertiliser_InputFunctions.Fertiliser_SumProductApplied(_xlpm.ChemicalCompound, _xlpm.ProductIngredient2, _xlpm.calculatedAmount2), 0) + IFERROR('5.3.1.1-2 Lime CO2'!Fertiliser_InputFunctions.Fertiliser_SumProductApplied(_xlpm.ChemicalCompound, _xlpm.ProductIngredient3, _xlpm.calculatedAmount3), 0)))</definedName>
    <definedName name="Fertiliser_InputFunctions.Fertiliser_TotalActiveIngredientAppliedAllIngredients" localSheetId="19">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'5.4.1.1-4 Atmos deposition'!Fertiliser_InputFunctions.Fertiliser_SumProductApplied(_xlpm.ChemicalCompound, _xlpm.ProductIngredient1, _xlpm.calculatedAmount1) + IFERROR('5.4.1.1-4 Atmos deposition'!Fertiliser_InputFunctions.Fertiliser_SumProductApplied(_xlpm.ChemicalCompound, _xlpm.ProductIngredient2, _xlpm.calculatedAmount2), 0) + IFERROR('5.4.1.1-4 Atmos deposition'!Fertiliser_InputFunctions.Fertiliser_SumProductApplied(_xlpm.ChemicalCompound, _xlpm.ProductIngredient3, _xlpm.calculatedAmount3), 0)))</definedName>
    <definedName name="Fertiliser_InputFunctions.Fertiliser_TotalActiveIngredientAppliedAllIngredients" localSheetId="20">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'5.5.1.1-2 Leaching and runoff'!Fertiliser_InputFunctions.Fertiliser_SumProductApplied(_xlpm.ChemicalCompound, _xlpm.ProductIngredient1, _xlpm.calculatedAmount1) + IFERROR('5.5.1.1-2 Leaching and runoff'!Fertiliser_InputFunctions.Fertiliser_SumProductApplied(_xlpm.ChemicalCompound, _xlpm.ProductIngredient2, _xlpm.calculatedAmount2), 0) + IFERROR('5.5.1.1-2 Leaching and runoff'!Fertiliser_InputFunctions.Fertiliser_SumProductApplied(_xlpm.ChemicalCompound, _xlpm.ProductIngredient3, _xlpm.calculatedAmount3), 0)))</definedName>
    <definedName name="Fertiliser_InputFunctions.Fertiliser_TotalActiveIngredientAppliedAllIngredients" localSheetId="21">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'6.2.1.1-2 Pasture residue N2O'!Fertiliser_InputFunctions.Fertiliser_SumProductApplied(_xlpm.ChemicalCompound, _xlpm.ProductIngredient1, _xlpm.calculatedAmount1) + IFERROR('6.2.1.1-2 Pasture residue N2O'!Fertiliser_InputFunctions.Fertiliser_SumProductApplied(_xlpm.ChemicalCompound, _xlpm.ProductIngredient2, _xlpm.calculatedAmount2), 0) + IFERROR('6.2.1.1-2 Pasture residue N2O'!Fertiliser_InputFunctions.Fertiliser_SumProductApplied(_xlpm.ChemicalCompound, _xlpm.ProductIngredient3, _xlpm.calculatedAmount3), 0)))</definedName>
    <definedName name="Fertiliser_InputFunctions.Fertiliser_TotalActiveIngredientAppliedAllIngredients" localSheetId="22">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'6.3.1.1-2 Leach runoff pasture'!Fertiliser_InputFunctions.Fertiliser_SumProductApplied(_xlpm.ChemicalCompound, _xlpm.ProductIngredient1, _xlpm.calculatedAmount1) + IFERROR('6.3.1.1-2 Leach runoff pasture'!Fertiliser_InputFunctions.Fertiliser_SumProductApplied(_xlpm.ChemicalCompound, _xlpm.ProductIngredient2, _xlpm.calculatedAmount2), 0) + IFERROR('6.3.1.1-2 Leach runoff pasture'!Fertiliser_InputFunctions.Fertiliser_SumProductApplied(_xlpm.ChemicalCompound, _xlpm.ProductIngredient3, _xlpm.calculatedAmount3), 0)))</definedName>
    <definedName name="Fertiliser_InputFunctions.Fertiliser_TotalActiveIngredientAppliedAllIngredients" localSheetId="27">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'Constants - Ag Residue'!Fertiliser_InputFunctions.Fertiliser_SumProductApplied(_xlpm.ChemicalCompound, _xlpm.ProductIngredient1, _xlpm.calculatedAmount1) + IFERROR('Constants - Ag Residue'!Fertiliser_InputFunctions.Fertiliser_SumProductApplied(_xlpm.ChemicalCompound, _xlpm.ProductIngredient2, _xlpm.calculatedAmount2), 0) + IFERROR('Constants - Ag Residue'!Fertiliser_InputFunctions.Fertiliser_SumProductApplied(_xlpm.ChemicalCompound, _xlpm.ProductIngredient3, _xlpm.calculatedAmount3), 0)))</definedName>
    <definedName name="Fertiliser_InputFunctions.Fertiliser_TotalActiveIngredientAppliedAllIngredients" localSheetId="30">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'Constants - Fertiliser'!Fertiliser_InputFunctions.Fertiliser_SumProductApplied(_xlpm.ChemicalCompound, _xlpm.ProductIngredient1, _xlpm.calculatedAmount1) + IFERROR('Constants - Fertiliser'!Fertiliser_InputFunctions.Fertiliser_SumProductApplied(_xlpm.ChemicalCompound, _xlpm.ProductIngredient2, _xlpm.calculatedAmount2), 0) + IFERROR('Constants - Fertiliser'!Fertiliser_InputFunctions.Fertiliser_SumProductApplied(_xlpm.ChemicalCompound, _xlpm.ProductIngredient3, _xlpm.calculatedAmount3), 0)))</definedName>
    <definedName name="Fertiliser_InputFunctions.Fertiliser_TotalActiveIngredientAppliedAllIngredients" localSheetId="7">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'Input - Fertiliser'!Fertiliser_InputFunctions.Fertiliser_SumProductApplied(_xlpm.ChemicalCompound, _xlpm.ProductIngredient1, _xlpm.calculatedAmount1) + IFERROR('Input - Fertiliser'!Fertiliser_InputFunctions.Fertiliser_SumProductApplied(_xlpm.ChemicalCompound, _xlpm.ProductIngredient2, _xlpm.calculatedAmount2), 0) + IFERROR('Input - Fertiliser'!Fertiliser_InputFunctions.Fertiliser_SumProductApplied(_xlpm.ChemicalCompound, _xlpm.ProductIngredient3, _xlpm.calculatedAmount3), 0)))</definedName>
    <definedName name="Fertiliser_InputFunctions.Fertiliser_TotalActiveIngredientAppliedAllIngredients" localSheetId="6">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'Input - Pasture'!Fertiliser_InputFunctions.Fertiliser_SumProductApplied(_xlpm.ChemicalCompound, _xlpm.ProductIngredient1, _xlpm.calculatedAmount1) + IFERROR('Input - Pasture'!Fertiliser_InputFunctions.Fertiliser_SumProductApplied(_xlpm.ChemicalCompound, _xlpm.ProductIngredient2, _xlpm.calculatedAmount2), 0) + IFERROR('Input - Pasture'!Fertiliser_InputFunctions.Fertiliser_SumProductApplied(_xlpm.ChemicalCompound, _xlpm.ProductIngredient3, _xlpm.calculatedAmount3), 0)))</definedName>
    <definedName name="Fertiliser_InputFunctions.Fertiliser_TotalActiveIngredientAppliedAllIngredients" localSheetId="34">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Overview!Fertiliser_InputFunctions.Fertiliser_SumProductApplied(_xlpm.ChemicalCompound, _xlpm.ProductIngredient1, _xlpm.calculatedAmount1) + IFERROR(Overview!Fertiliser_InputFunctions.Fertiliser_SumProductApplied(_xlpm.ChemicalCompound, _xlpm.ProductIngredient2, _xlpm.calculatedAmount2), 0) + IFERROR(Overview!Fertiliser_InputFunctions.Fertiliser_SumProductApplied(_xlpm.ChemicalCompound, _xlpm.ProductIngredient3, _xlpm.calculatedAmount3), 0)))</definedName>
    <definedName name="Fertiliser_InputFunctions.Fertiliser_TotalActiveIngredientAppliedAllIngredients">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definedName>
    <definedName name="Fertiliser_InputFunctions.Fertiliser_TotalChemicalCompoundAppliedAllIngredients" localSheetId="11">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12">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13">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14">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15">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'5.1.1.1-2 Inorganic fert N2O'!Fertiliser_InputFunctions.Fertiliser_SumProductApplied(_xlpm.ChemicalCompound, _xlpm.ProductIngredient1, _xlpm.calculatedAmount1) + IFERROR('5.1.1.1-2 Inorganic fert N2O'!Fertiliser_InputFunctions.Fertiliser_SumProductApplied(_xlpm.ChemicalCompound, _xlpm.ProductIngredient2, _xlpm.calculatedAmount2), 0) + IFERROR('5.1.1.1-2 Inorganic fert N2O'!Fertiliser_InputFunctions.Fertiliser_SumProductApplied(_xlpm.ChemicalCompound, _xlpm.ProductIngredient3, _xlpm.calculatedAmount3), 0) + IFERROR('5.1.1.1-2 Inorganic fert N2O'!Fertiliser_InputFunctions.Fertiliser_SumProductApplied(_xlpm.ChemicalCompound, _xlpm.ProductIngredient4, _xlpm.calculatedAmount4), 0) + IFERROR('5.1.1.1-2 Inorganic fert N2O'!Fertiliser_InputFunctions.Fertiliser_SumProductApplied(_xlpm.ChemicalCompound, _xlpm.ProductIngredient5, _xlpm.calculatedAmount5), 0) + IFERROR('5.1.1.1-2 Inorganic fert N2O'!Fertiliser_InputFunctions.Fertiliser_SumProductApplied(_xlpm.ChemicalCompound, _xlpm.ProductIngredient6, _xlpm.calculatedAmount6), 0)))</definedName>
    <definedName name="Fertiliser_InputFunctions.Fertiliser_TotalChemicalCompoundAppliedAllIngredients" localSheetId="16">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'5.1.1.3-4 Inorganic fert CO2'!Fertiliser_InputFunctions.Fertiliser_SumProductApplied(_xlpm.ChemicalCompound, _xlpm.ProductIngredient1, _xlpm.calculatedAmount1) + IFERROR('5.1.1.3-4 Inorganic fert CO2'!Fertiliser_InputFunctions.Fertiliser_SumProductApplied(_xlpm.ChemicalCompound, _xlpm.ProductIngredient2, _xlpm.calculatedAmount2), 0) + IFERROR('5.1.1.3-4 Inorganic fert CO2'!Fertiliser_InputFunctions.Fertiliser_SumProductApplied(_xlpm.ChemicalCompound, _xlpm.ProductIngredient3, _xlpm.calculatedAmount3), 0) + IFERROR('5.1.1.3-4 Inorganic fert CO2'!Fertiliser_InputFunctions.Fertiliser_SumProductApplied(_xlpm.ChemicalCompound, _xlpm.ProductIngredient4, _xlpm.calculatedAmount4), 0) + IFERROR('5.1.1.3-4 Inorganic fert CO2'!Fertiliser_InputFunctions.Fertiliser_SumProductApplied(_xlpm.ChemicalCompound, _xlpm.ProductIngredient5, _xlpm.calculatedAmount5), 0) + IFERROR('5.1.1.3-4 Inorganic fert CO2'!Fertiliser_InputFunctions.Fertiliser_SumProductApplied(_xlpm.ChemicalCompound, _xlpm.ProductIngredient6, _xlpm.calculatedAmount6), 0)))</definedName>
    <definedName name="Fertiliser_InputFunctions.Fertiliser_TotalChemicalCompoundAppliedAllIngredients" localSheetId="17">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'5.2.1.1-2 Organic Fert N2O'!Fertiliser_InputFunctions.Fertiliser_SumProductApplied(_xlpm.ChemicalCompound, _xlpm.ProductIngredient1, _xlpm.calculatedAmount1) + IFERROR('5.2.1.1-2 Organic Fert N2O'!Fertiliser_InputFunctions.Fertiliser_SumProductApplied(_xlpm.ChemicalCompound, _xlpm.ProductIngredient2, _xlpm.calculatedAmount2), 0) + IFERROR('5.2.1.1-2 Organic Fert N2O'!Fertiliser_InputFunctions.Fertiliser_SumProductApplied(_xlpm.ChemicalCompound, _xlpm.ProductIngredient3, _xlpm.calculatedAmount3), 0) + IFERROR('5.2.1.1-2 Organic Fert N2O'!Fertiliser_InputFunctions.Fertiliser_SumProductApplied(_xlpm.ChemicalCompound, _xlpm.ProductIngredient4, _xlpm.calculatedAmount4), 0) + IFERROR('5.2.1.1-2 Organic Fert N2O'!Fertiliser_InputFunctions.Fertiliser_SumProductApplied(_xlpm.ChemicalCompound, _xlpm.ProductIngredient5, _xlpm.calculatedAmount5), 0) + IFERROR('5.2.1.1-2 Organic Fert N2O'!Fertiliser_InputFunctions.Fertiliser_SumProductApplied(_xlpm.ChemicalCompound, _xlpm.ProductIngredient6, _xlpm.calculatedAmount6), 0)))</definedName>
    <definedName name="Fertiliser_InputFunctions.Fertiliser_TotalChemicalCompoundAppliedAllIngredients" localSheetId="18">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'5.3.1.1-2 Lime CO2'!Fertiliser_InputFunctions.Fertiliser_SumProductApplied(_xlpm.ChemicalCompound, _xlpm.ProductIngredient1, _xlpm.calculatedAmount1) + IFERROR('5.3.1.1-2 Lime CO2'!Fertiliser_InputFunctions.Fertiliser_SumProductApplied(_xlpm.ChemicalCompound, _xlpm.ProductIngredient2, _xlpm.calculatedAmount2), 0) + IFERROR('5.3.1.1-2 Lime CO2'!Fertiliser_InputFunctions.Fertiliser_SumProductApplied(_xlpm.ChemicalCompound, _xlpm.ProductIngredient3, _xlpm.calculatedAmount3), 0) + IFERROR('5.3.1.1-2 Lime CO2'!Fertiliser_InputFunctions.Fertiliser_SumProductApplied(_xlpm.ChemicalCompound, _xlpm.ProductIngredient4, _xlpm.calculatedAmount4), 0) + IFERROR('5.3.1.1-2 Lime CO2'!Fertiliser_InputFunctions.Fertiliser_SumProductApplied(_xlpm.ChemicalCompound, _xlpm.ProductIngredient5, _xlpm.calculatedAmount5), 0) + IFERROR('5.3.1.1-2 Lime CO2'!Fertiliser_InputFunctions.Fertiliser_SumProductApplied(_xlpm.ChemicalCompound, _xlpm.ProductIngredient6, _xlpm.calculatedAmount6), 0)))</definedName>
    <definedName name="Fertiliser_InputFunctions.Fertiliser_TotalChemicalCompoundAppliedAllIngredients" localSheetId="19">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'5.4.1.1-4 Atmos deposition'!Fertiliser_InputFunctions.Fertiliser_SumProductApplied(_xlpm.ChemicalCompound, _xlpm.ProductIngredient1, _xlpm.calculatedAmount1) + IFERROR('5.4.1.1-4 Atmos deposition'!Fertiliser_InputFunctions.Fertiliser_SumProductApplied(_xlpm.ChemicalCompound, _xlpm.ProductIngredient2, _xlpm.calculatedAmount2), 0) + IFERROR('5.4.1.1-4 Atmos deposition'!Fertiliser_InputFunctions.Fertiliser_SumProductApplied(_xlpm.ChemicalCompound, _xlpm.ProductIngredient3, _xlpm.calculatedAmount3), 0) + IFERROR('5.4.1.1-4 Atmos deposition'!Fertiliser_InputFunctions.Fertiliser_SumProductApplied(_xlpm.ChemicalCompound, _xlpm.ProductIngredient4, _xlpm.calculatedAmount4), 0) + IFERROR('5.4.1.1-4 Atmos deposition'!Fertiliser_InputFunctions.Fertiliser_SumProductApplied(_xlpm.ChemicalCompound, _xlpm.ProductIngredient5, _xlpm.calculatedAmount5), 0) + IFERROR('5.4.1.1-4 Atmos deposition'!Fertiliser_InputFunctions.Fertiliser_SumProductApplied(_xlpm.ChemicalCompound, _xlpm.ProductIngredient6, _xlpm.calculatedAmount6), 0)))</definedName>
    <definedName name="Fertiliser_InputFunctions.Fertiliser_TotalChemicalCompoundAppliedAllIngredients" localSheetId="20">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'5.5.1.1-2 Leaching and runoff'!Fertiliser_InputFunctions.Fertiliser_SumProductApplied(_xlpm.ChemicalCompound, _xlpm.ProductIngredient1, _xlpm.calculatedAmount1) + IFERROR('5.5.1.1-2 Leaching and runoff'!Fertiliser_InputFunctions.Fertiliser_SumProductApplied(_xlpm.ChemicalCompound, _xlpm.ProductIngredient2, _xlpm.calculatedAmount2), 0) + IFERROR('5.5.1.1-2 Leaching and runoff'!Fertiliser_InputFunctions.Fertiliser_SumProductApplied(_xlpm.ChemicalCompound, _xlpm.ProductIngredient3, _xlpm.calculatedAmount3), 0) + IFERROR('5.5.1.1-2 Leaching and runoff'!Fertiliser_InputFunctions.Fertiliser_SumProductApplied(_xlpm.ChemicalCompound, _xlpm.ProductIngredient4, _xlpm.calculatedAmount4), 0) + IFERROR('5.5.1.1-2 Leaching and runoff'!Fertiliser_InputFunctions.Fertiliser_SumProductApplied(_xlpm.ChemicalCompound, _xlpm.ProductIngredient5, _xlpm.calculatedAmount5), 0) + IFERROR('5.5.1.1-2 Leaching and runoff'!Fertiliser_InputFunctions.Fertiliser_SumProductApplied(_xlpm.ChemicalCompound, _xlpm.ProductIngredient6, _xlpm.calculatedAmount6), 0)))</definedName>
    <definedName name="Fertiliser_InputFunctions.Fertiliser_TotalChemicalCompoundAppliedAllIngredients" localSheetId="21">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IF(_xlfn.ISOMITTED(_xlpm.ProductIngredient2), 0, _xlpm.AmountApplied * _xlpm.ProductIngredientPercent2), _xlpm.calculatedAmount3, IF(_xlfn.ISOMITTED(_xlpm.ProductIngredient3), 0, _xlpm.AmountApplied * _xlpm.ProductIngredientPercent3), _xlpm.calculatedAmount4, IF(_xlfn.ISOMITTED(_xlpm.ProductIngredient4), 0, _xlpm.AmountApplied * _xlpm.ProductIngredientPercent4), _xlpm.calculatedAmount5, IF(_xlfn.ISOMITTED(_xlpm.ProductIngredient5), 0, _xlpm.AmountApplied * _xlpm.ProductIngredientPercent5), _xlpm.calculatedAmount6, IF(_xlfn.ISOMITTED(_xlpm.ProductIngredient6), 0, _xlpm.AmountApplied * _xlpm.ProductIngredientPercent6), '6.2.1.1-2 Pasture residue N2O'!Fertiliser_InputFunctions.Fertiliser_SumProductApplied(_xlpm.ChemicalCompound, _xlpm.ProductIngredient1, _xlpm.calculatedAmount1) + IFERROR(IF(_xlfn.ISOMITTED(_xlpm.ProductIngredient2), 0, '6.2.1.1-2 Pasture residue N2O'!Fertiliser_InputFunctions.Fertiliser_SumProductApplied(_xlpm.ChemicalCompound, _xlpm.ProductIngredient2, _xlpm.calculatedAmount2)), 0) + IFERROR(IF(_xlfn.ISOMITTED(_xlpm.ProductIngredient3), 0, '6.2.1.1-2 Pasture residue N2O'!Fertiliser_InputFunctions.Fertiliser_SumProductApplied(_xlpm.ChemicalCompound, _xlpm.ProductIngredient3, _xlpm.calculatedAmount3)), 0) + IFERROR(IF(_xlfn.ISOMITTED(_xlpm.ProductIngredient4), 0, '6.2.1.1-2 Pasture residue N2O'!Fertiliser_InputFunctions.Fertiliser_SumProductApplied(_xlpm.ChemicalCompound, _xlpm.ProductIngredient4, _xlpm.calculatedAmount4)), 0) + IFERROR(IF(_xlfn.ISOMITTED(_xlpm.ProductIngredient5), 0, '6.2.1.1-2 Pasture residue N2O'!Fertiliser_InputFunctions.Fertiliser_SumProductApplied(_xlpm.ChemicalCompound, _xlpm.ProductIngredient5, _xlpm.calculatedAmount5)), 0) + IFERROR(IF(_xlfn.ISOMITTED(_xlpm.ProductIngredient6), 0, '6.2.1.1-2 Pasture residue N2O'!Fertiliser_InputFunctions.Fertiliser_SumProductApplied(_xlpm.ChemicalCompound, _xlpm.ProductIngredient6, _xlpm.calculatedAmount6)), 0)))</definedName>
    <definedName name="Fertiliser_InputFunctions.Fertiliser_TotalChemicalCompoundAppliedAllIngredients" localSheetId="22">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IF(_xlfn.ISOMITTED(_xlpm.ProductIngredient2), 0, _xlpm.AmountApplied * _xlpm.ProductIngredientPercent2), _xlpm.calculatedAmount3, IF(_xlfn.ISOMITTED(_xlpm.ProductIngredient3), 0, _xlpm.AmountApplied * _xlpm.ProductIngredientPercent3), _xlpm.calculatedAmount4, IF(_xlfn.ISOMITTED(_xlpm.ProductIngredient4), 0, _xlpm.AmountApplied * _xlpm.ProductIngredientPercent4), _xlpm.calculatedAmount5, IF(_xlfn.ISOMITTED(_xlpm.ProductIngredient5), 0, _xlpm.AmountApplied * _xlpm.ProductIngredientPercent5), _xlpm.calculatedAmount6, IF(_xlfn.ISOMITTED(_xlpm.ProductIngredient6), 0, _xlpm.AmountApplied * _xlpm.ProductIngredientPercent6), '6.3.1.1-2 Leach runoff pasture'!Fertiliser_InputFunctions.Fertiliser_SumProductApplied(_xlpm.ChemicalCompound, _xlpm.ProductIngredient1, _xlpm.calculatedAmount1) + IFERROR(IF(_xlfn.ISOMITTED(_xlpm.ProductIngredient2), 0, '6.3.1.1-2 Leach runoff pasture'!Fertiliser_InputFunctions.Fertiliser_SumProductApplied(_xlpm.ChemicalCompound, _xlpm.ProductIngredient2, _xlpm.calculatedAmount2)), 0) + IFERROR(IF(_xlfn.ISOMITTED(_xlpm.ProductIngredient3), 0, '6.3.1.1-2 Leach runoff pasture'!Fertiliser_InputFunctions.Fertiliser_SumProductApplied(_xlpm.ChemicalCompound, _xlpm.ProductIngredient3, _xlpm.calculatedAmount3)), 0) + IFERROR(IF(_xlfn.ISOMITTED(_xlpm.ProductIngredient4), 0, '6.3.1.1-2 Leach runoff pasture'!Fertiliser_InputFunctions.Fertiliser_SumProductApplied(_xlpm.ChemicalCompound, _xlpm.ProductIngredient4, _xlpm.calculatedAmount4)), 0) + IFERROR(IF(_xlfn.ISOMITTED(_xlpm.ProductIngredient5), 0, '6.3.1.1-2 Leach runoff pasture'!Fertiliser_InputFunctions.Fertiliser_SumProductApplied(_xlpm.ChemicalCompound, _xlpm.ProductIngredient5, _xlpm.calculatedAmount5)), 0) + IFERROR(IF(_xlfn.ISOMITTED(_xlpm.ProductIngredient6), 0, '6.3.1.1-2 Leach runoff pasture'!Fertiliser_InputFunctions.Fertiliser_SumProductApplied(_xlpm.ChemicalCompound, _xlpm.ProductIngredient6, _xlpm.calculatedAmount6)), 0)))</definedName>
    <definedName name="Fertiliser_InputFunctions.Fertiliser_TotalChemicalCompoundAppliedAllIngredients" localSheetId="27">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IF(_xlfn.ISOMITTED(_xlpm.ProductIngredient2), 0, _xlpm.AmountApplied * _xlpm.ProductIngredientPercent2), _xlpm.calculatedAmount3, IF(_xlfn.ISOMITTED(_xlpm.ProductIngredient3), 0, _xlpm.AmountApplied * _xlpm.ProductIngredientPercent3), _xlpm.calculatedAmount4, IF(_xlfn.ISOMITTED(_xlpm.ProductIngredient4), 0, _xlpm.AmountApplied * _xlpm.ProductIngredientPercent4), _xlpm.calculatedAmount5, IF(_xlfn.ISOMITTED(_xlpm.ProductIngredient5), 0, _xlpm.AmountApplied * _xlpm.ProductIngredientPercent5), _xlpm.calculatedAmount6, IF(_xlfn.ISOMITTED(_xlpm.ProductIngredient6), 0, _xlpm.AmountApplied * _xlpm.ProductIngredientPercent6), 'Constants - Ag Residue'!Fertiliser_InputFunctions.Fertiliser_SumProductApplied(_xlpm.ChemicalCompound, _xlpm.ProductIngredient1, _xlpm.calculatedAmount1) + IFERROR(IF(_xlfn.ISOMITTED(_xlpm.ProductIngredient2), 0, 'Constants - Ag Residue'!Fertiliser_InputFunctions.Fertiliser_SumProductApplied(_xlpm.ChemicalCompound, _xlpm.ProductIngredient2, _xlpm.calculatedAmount2)), 0) + IFERROR(IF(_xlfn.ISOMITTED(_xlpm.ProductIngredient3), 0, 'Constants - Ag Residue'!Fertiliser_InputFunctions.Fertiliser_SumProductApplied(_xlpm.ChemicalCompound, _xlpm.ProductIngredient3, _xlpm.calculatedAmount3)), 0) + IFERROR(IF(_xlfn.ISOMITTED(_xlpm.ProductIngredient4), 0, 'Constants - Ag Residue'!Fertiliser_InputFunctions.Fertiliser_SumProductApplied(_xlpm.ChemicalCompound, _xlpm.ProductIngredient4, _xlpm.calculatedAmount4)), 0) + IFERROR(IF(_xlfn.ISOMITTED(_xlpm.ProductIngredient5), 0, 'Constants - Ag Residue'!Fertiliser_InputFunctions.Fertiliser_SumProductApplied(_xlpm.ChemicalCompound, _xlpm.ProductIngredient5, _xlpm.calculatedAmount5)), 0) + IFERROR(IF(_xlfn.ISOMITTED(_xlpm.ProductIngredient6), 0, 'Constants - Ag Residue'!Fertiliser_InputFunctions.Fertiliser_SumProductApplied(_xlpm.ChemicalCompound, _xlpm.ProductIngredient6, _xlpm.calculatedAmount6)), 0)))</definedName>
    <definedName name="Fertiliser_InputFunctions.Fertiliser_TotalChemicalCompoundAppliedAllIngredients" localSheetId="30">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'Constants - Fertiliser'!Fertiliser_InputFunctions.Fertiliser_SumProductApplied(_xlpm.ChemicalCompound, _xlpm.ProductIngredient1, _xlpm.calculatedAmount1) + IFERROR('Constants - Fertiliser'!Fertiliser_InputFunctions.Fertiliser_SumProductApplied(_xlpm.ChemicalCompound, _xlpm.ProductIngredient2, _xlpm.calculatedAmount2), 0) + IFERROR('Constants - Fertiliser'!Fertiliser_InputFunctions.Fertiliser_SumProductApplied(_xlpm.ChemicalCompound, _xlpm.ProductIngredient3, _xlpm.calculatedAmount3), 0) + IFERROR('Constants - Fertiliser'!Fertiliser_InputFunctions.Fertiliser_SumProductApplied(_xlpm.ChemicalCompound, _xlpm.ProductIngredient4, _xlpm.calculatedAmount4), 0) + IFERROR('Constants - Fertiliser'!Fertiliser_InputFunctions.Fertiliser_SumProductApplied(_xlpm.ChemicalCompound, _xlpm.ProductIngredient5, _xlpm.calculatedAmount5), 0) + IFERROR('Constants - Fertiliser'!Fertiliser_InputFunctions.Fertiliser_SumProductApplied(_xlpm.ChemicalCompound, _xlpm.ProductIngredient6, _xlpm.calculatedAmount6), 0)))</definedName>
    <definedName name="Fertiliser_InputFunctions.Fertiliser_TotalChemicalCompoundAppliedAllIngredients" localSheetId="7">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'Input - Fertiliser'!Fertiliser_InputFunctions.Fertiliser_SumProductApplied(_xlpm.ChemicalCompound, _xlpm.ProductIngredient1, _xlpm.calculatedAmount1) + IFERROR('Input - Fertiliser'!Fertiliser_InputFunctions.Fertiliser_SumProductApplied(_xlpm.ChemicalCompound, _xlpm.ProductIngredient2, _xlpm.calculatedAmount2), 0) + IFERROR('Input - Fertiliser'!Fertiliser_InputFunctions.Fertiliser_SumProductApplied(_xlpm.ChemicalCompound, _xlpm.ProductIngredient3, _xlpm.calculatedAmount3), 0) + IFERROR('Input - Fertiliser'!Fertiliser_InputFunctions.Fertiliser_SumProductApplied(_xlpm.ChemicalCompound, _xlpm.ProductIngredient4, _xlpm.calculatedAmount4), 0) + IFERROR('Input - Fertiliser'!Fertiliser_InputFunctions.Fertiliser_SumProductApplied(_xlpm.ChemicalCompound, _xlpm.ProductIngredient5, _xlpm.calculatedAmount5), 0) + IFERROR('Input - Fertiliser'!Fertiliser_InputFunctions.Fertiliser_SumProductApplied(_xlpm.ChemicalCompound, _xlpm.ProductIngredient6, _xlpm.calculatedAmount6), 0)))</definedName>
    <definedName name="Fertiliser_InputFunctions.Fertiliser_TotalChemicalCompoundAppliedAllIngredients" localSheetId="6">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IF(_xlfn.ISOMITTED(_xlpm.ProductIngredient2), 0, _xlpm.AmountApplied * _xlpm.ProductIngredientPercent2), _xlpm.calculatedAmount3, IF(_xlfn.ISOMITTED(_xlpm.ProductIngredient3), 0, _xlpm.AmountApplied * _xlpm.ProductIngredientPercent3), _xlpm.calculatedAmount4, IF(_xlfn.ISOMITTED(_xlpm.ProductIngredient4), 0, _xlpm.AmountApplied * _xlpm.ProductIngredientPercent4), _xlpm.calculatedAmount5, IF(_xlfn.ISOMITTED(_xlpm.ProductIngredient5), 0, _xlpm.AmountApplied * _xlpm.ProductIngredientPercent5), _xlpm.calculatedAmount6, IF(_xlfn.ISOMITTED(_xlpm.ProductIngredient6), 0, _xlpm.AmountApplied * _xlpm.ProductIngredientPercent6), 'Input - Pasture'!Fertiliser_InputFunctions.Fertiliser_SumProductApplied(_xlpm.ChemicalCompound, _xlpm.ProductIngredient1, _xlpm.calculatedAmount1) + IFERROR(IF(_xlfn.ISOMITTED(_xlpm.ProductIngredient2), 0, 'Input - Pasture'!Fertiliser_InputFunctions.Fertiliser_SumProductApplied(_xlpm.ChemicalCompound, _xlpm.ProductIngredient2, _xlpm.calculatedAmount2)), 0) + IFERROR(IF(_xlfn.ISOMITTED(_xlpm.ProductIngredient3), 0, 'Input - Pasture'!Fertiliser_InputFunctions.Fertiliser_SumProductApplied(_xlpm.ChemicalCompound, _xlpm.ProductIngredient3, _xlpm.calculatedAmount3)), 0) + IFERROR(IF(_xlfn.ISOMITTED(_xlpm.ProductIngredient4), 0, 'Input - Pasture'!Fertiliser_InputFunctions.Fertiliser_SumProductApplied(_xlpm.ChemicalCompound, _xlpm.ProductIngredient4, _xlpm.calculatedAmount4)), 0) + IFERROR(IF(_xlfn.ISOMITTED(_xlpm.ProductIngredient5), 0, 'Input - Pasture'!Fertiliser_InputFunctions.Fertiliser_SumProductApplied(_xlpm.ChemicalCompound, _xlpm.ProductIngredient5, _xlpm.calculatedAmount5)), 0) + IFERROR(IF(_xlfn.ISOMITTED(_xlpm.ProductIngredient6), 0, 'Input - Pasture'!Fertiliser_InputFunctions.Fertiliser_SumProductApplied(_xlpm.ChemicalCompound, _xlpm.ProductIngredient6, _xlpm.calculatedAmount6)), 0)))</definedName>
    <definedName name="Fertiliser_InputFunctions.Fertiliser_TotalChemicalCompoundAppliedAllIngredients" localSheetId="34">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Overview!Fertiliser_InputFunctions.Fertiliser_SumProductApplied(_xlpm.ChemicalCompound, _xlpm.ProductIngredient1, _xlpm.calculatedAmount1) + IFERROR(Overview!Fertiliser_InputFunctions.Fertiliser_SumProductApplied(_xlpm.ChemicalCompound, _xlpm.ProductIngredient2, _xlpm.calculatedAmount2), 0) + IFERROR(Overview!Fertiliser_InputFunctions.Fertiliser_SumProductApplied(_xlpm.ChemicalCompound, _xlpm.ProductIngredient3, _xlpm.calculatedAmount3), 0) + IFERROR(Overview!Fertiliser_InputFunctions.Fertiliser_SumProductApplied(_xlpm.ChemicalCompound, _xlpm.ProductIngredient4, _xlpm.calculatedAmount4), 0) + IFERROR(Overview!Fertiliser_InputFunctions.Fertiliser_SumProductApplied(_xlpm.ChemicalCompound, _xlpm.ProductIngredient5, _xlpm.calculatedAmount5), 0) + IFERROR(Overview!Fertiliser_InputFunctions.Fertiliser_SumProductApplied(_xlpm.ChemicalCompound, _xlpm.ProductIngredient6, _xlpm.calculatedAmount6), 0)))</definedName>
    <definedName name="Fertiliser_InputFunctions.Fertiliser_TotalChemicalCompoundAppliedAllIngredients">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 + IFERROR(Fertiliser_InputFunctions.Fertiliser_SumProductApplied(_xlpm.ChemicalCompound, _xlpm.ProductIngredient4, _xlpm.calculatedAmount4), 0) + IFERROR(Fertiliser_InputFunctions.Fertiliser_SumProductApplied(_xlpm.ChemicalCompound, _xlpm.ProductIngredient5, _xlpm.calculatedAmount5), 0) + IFERROR(Fertiliser_InputFunctions.Fertiliser_SumProductApplied(_xlpm.ChemicalCompound, _xlpm.ProductIngredient6, _xlpm.calculatedAmount6), 0)))</definedName>
    <definedName name="Fertiliser_InputFunctions.Fertiliser_TotalChemicalCompoundtAppliedBySourceAllIngredients" localSheetId="11">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12">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13">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14">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15">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'5.1.1.1-2 Inorganic fert N2O'!Fertiliser_InputFunctions.Fertiliser_SumProductApplied(_xlpm.ChemicalCompound, _xlpm.ProductIngredient1, _xlpm.calculatedAmount1, _xlpm.Source, _xlpm.ProductIngredientSource) + IFERROR('5.1.1.1-2 Inorganic fert N2O'!Fertiliser_InputFunctions.Fertiliser_SumProductApplied(_xlpm.ChemicalCompound, _xlpm.ProductIngredient2, _xlpm.calculatedAmount2, _xlpm.Source, _xlpm.ProductIngredientSource), 0) + IFERROR('5.1.1.1-2 Inorganic fert N2O'!Fertiliser_InputFunctions.Fertiliser_SumProductApplied(_xlpm.ChemicalCompound, _xlpm.ProductIngredient3, _xlpm.calculatedAmount3, _xlpm.Source, _xlpm.ProductIngredientSource), 0) + IFERROR('5.1.1.1-2 Inorganic fert N2O'!Fertiliser_InputFunctions.Fertiliser_SumProductApplied(_xlpm.ChemicalCompound, _xlpm.ProductIngredient4, _xlpm.calculatedAmount4, _xlpm.Source, _xlpm.ProductIngredientSource), 0) + IFERROR('5.1.1.1-2 Inorganic fert N2O'!Fertiliser_InputFunctions.Fertiliser_SumProductApplied(_xlpm.ChemicalCompound, _xlpm.ProductIngredient5, _xlpm.calculatedAmount5, _xlpm.Source, _xlpm.ProductIngredientSource), 0) + IFERROR('5.1.1.1-2 Inorganic fert N2O'!Fertiliser_InputFunctions.Fertiliser_SumProductApplied(_xlpm.ChemicalCompound,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16">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'5.1.1.3-4 Inorganic fert CO2'!Fertiliser_InputFunctions.Fertiliser_SumProductApplied(_xlpm.ChemicalCompound, _xlpm.ProductIngredient1, _xlpm.calculatedAmount1, _xlpm.Source, _xlpm.ProductIngredientSource) + IFERROR('5.1.1.3-4 Inorganic fert CO2'!Fertiliser_InputFunctions.Fertiliser_SumProductApplied(_xlpm.ChemicalCompound, _xlpm.ProductIngredient2, _xlpm.calculatedAmount2, _xlpm.Source, _xlpm.ProductIngredientSource), 0) + IFERROR('5.1.1.3-4 Inorganic fert CO2'!Fertiliser_InputFunctions.Fertiliser_SumProductApplied(_xlpm.ChemicalCompound, _xlpm.ProductIngredient3, _xlpm.calculatedAmount3, _xlpm.Source, _xlpm.ProductIngredientSource), 0) + IFERROR('5.1.1.3-4 Inorganic fert CO2'!Fertiliser_InputFunctions.Fertiliser_SumProductApplied(_xlpm.ChemicalCompound, _xlpm.ProductIngredient4, _xlpm.calculatedAmount4, _xlpm.Source, _xlpm.ProductIngredientSource), 0) + IFERROR('5.1.1.3-4 Inorganic fert CO2'!Fertiliser_InputFunctions.Fertiliser_SumProductApplied(_xlpm.ChemicalCompound, _xlpm.ProductIngredient5, _xlpm.calculatedAmount5, _xlpm.Source, _xlpm.ProductIngredientSource), 0) + IFERROR('5.1.1.3-4 Inorganic fert CO2'!Fertiliser_InputFunctions.Fertiliser_SumProductApplied(_xlpm.ChemicalCompound,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17">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'5.2.1.1-2 Organic Fert N2O'!Fertiliser_InputFunctions.Fertiliser_SumProductApplied(_xlpm.ChemicalCompound, _xlpm.ProductIngredient1, _xlpm.calculatedAmount1, _xlpm.Source, _xlpm.ProductIngredientSource) + IFERROR('5.2.1.1-2 Organic Fert N2O'!Fertiliser_InputFunctions.Fertiliser_SumProductApplied(_xlpm.ChemicalCompound, _xlpm.ProductIngredient2, _xlpm.calculatedAmount2, _xlpm.Source, _xlpm.ProductIngredientSource), 0) + IFERROR('5.2.1.1-2 Organic Fert N2O'!Fertiliser_InputFunctions.Fertiliser_SumProductApplied(_xlpm.ChemicalCompound, _xlpm.ProductIngredient3, _xlpm.calculatedAmount3, _xlpm.Source, _xlpm.ProductIngredientSource), 0) + IFERROR('5.2.1.1-2 Organic Fert N2O'!Fertiliser_InputFunctions.Fertiliser_SumProductApplied(_xlpm.ChemicalCompound, _xlpm.ProductIngredient4, _xlpm.calculatedAmount4, _xlpm.Source, _xlpm.ProductIngredientSource), 0) + IFERROR('5.2.1.1-2 Organic Fert N2O'!Fertiliser_InputFunctions.Fertiliser_SumProductApplied(_xlpm.ChemicalCompound, _xlpm.ProductIngredient5, _xlpm.calculatedAmount5, _xlpm.Source, _xlpm.ProductIngredientSource), 0) + IFERROR('5.2.1.1-2 Organic Fert N2O'!Fertiliser_InputFunctions.Fertiliser_SumProductApplied(_xlpm.ChemicalCompound,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18">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'5.3.1.1-2 Lime CO2'!Fertiliser_InputFunctions.Fertiliser_SumProductApplied(_xlpm.ChemicalCompound, _xlpm.ProductIngredient1, _xlpm.calculatedAmount1, _xlpm.Source, _xlpm.ProductIngredientSource) + IFERROR('5.3.1.1-2 Lime CO2'!Fertiliser_InputFunctions.Fertiliser_SumProductApplied(_xlpm.ChemicalCompound, _xlpm.ProductIngredient2, _xlpm.calculatedAmount2, _xlpm.Source, _xlpm.ProductIngredientSource), 0) + IFERROR('5.3.1.1-2 Lime CO2'!Fertiliser_InputFunctions.Fertiliser_SumProductApplied(_xlpm.ChemicalCompound, _xlpm.ProductIngredient3, _xlpm.calculatedAmount3, _xlpm.Source, _xlpm.ProductIngredientSource), 0) + IFERROR('5.3.1.1-2 Lime CO2'!Fertiliser_InputFunctions.Fertiliser_SumProductApplied(_xlpm.ChemicalCompound, _xlpm.ProductIngredient4, _xlpm.calculatedAmount4, _xlpm.Source, _xlpm.ProductIngredientSource), 0) + IFERROR('5.3.1.1-2 Lime CO2'!Fertiliser_InputFunctions.Fertiliser_SumProductApplied(_xlpm.ChemicalCompound, _xlpm.ProductIngredient5, _xlpm.calculatedAmount5, _xlpm.Source, _xlpm.ProductIngredientSource), 0) + IFERROR('5.3.1.1-2 Lime CO2'!Fertiliser_InputFunctions.Fertiliser_SumProductApplied(_xlpm.ChemicalCompound,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19">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'5.4.1.1-4 Atmos deposition'!Fertiliser_InputFunctions.Fertiliser_SumProductApplied(_xlpm.ChemicalCompound, _xlpm.ProductIngredient1, _xlpm.calculatedAmount1, _xlpm.Source, _xlpm.ProductIngredientSource) + IFERROR('5.4.1.1-4 Atmos deposition'!Fertiliser_InputFunctions.Fertiliser_SumProductApplied(_xlpm.ChemicalCompound, _xlpm.ProductIngredient2, _xlpm.calculatedAmount2, _xlpm.Source, _xlpm.ProductIngredientSource), 0) + IFERROR('5.4.1.1-4 Atmos deposition'!Fertiliser_InputFunctions.Fertiliser_SumProductApplied(_xlpm.ChemicalCompound, _xlpm.ProductIngredient3, _xlpm.calculatedAmount3, _xlpm.Source, _xlpm.ProductIngredientSource), 0) + IFERROR('5.4.1.1-4 Atmos deposition'!Fertiliser_InputFunctions.Fertiliser_SumProductApplied(_xlpm.ChemicalCompound, _xlpm.ProductIngredient4, _xlpm.calculatedAmount4, _xlpm.Source, _xlpm.ProductIngredientSource), 0) + IFERROR('5.4.1.1-4 Atmos deposition'!Fertiliser_InputFunctions.Fertiliser_SumProductApplied(_xlpm.ChemicalCompound, _xlpm.ProductIngredient5, _xlpm.calculatedAmount5, _xlpm.Source, _xlpm.ProductIngredientSource), 0) + IFERROR('5.4.1.1-4 Atmos deposition'!Fertiliser_InputFunctions.Fertiliser_SumProductApplied(_xlpm.ChemicalCompound,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20">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'5.5.1.1-2 Leaching and runoff'!Fertiliser_InputFunctions.Fertiliser_SumProductApplied(_xlpm.ChemicalCompound, _xlpm.ProductIngredient1, _xlpm.calculatedAmount1, _xlpm.Source, _xlpm.ProductIngredientSource) + IFERROR('5.5.1.1-2 Leaching and runoff'!Fertiliser_InputFunctions.Fertiliser_SumProductApplied(_xlpm.ChemicalCompound, _xlpm.ProductIngredient2, _xlpm.calculatedAmount2, _xlpm.Source, _xlpm.ProductIngredientSource), 0) + IFERROR('5.5.1.1-2 Leaching and runoff'!Fertiliser_InputFunctions.Fertiliser_SumProductApplied(_xlpm.ChemicalCompound, _xlpm.ProductIngredient3, _xlpm.calculatedAmount3, _xlpm.Source, _xlpm.ProductIngredientSource), 0) + IFERROR('5.5.1.1-2 Leaching and runoff'!Fertiliser_InputFunctions.Fertiliser_SumProductApplied(_xlpm.ChemicalCompound, _xlpm.ProductIngredient4, _xlpm.calculatedAmount4, _xlpm.Source, _xlpm.ProductIngredientSource), 0) + IFERROR('5.5.1.1-2 Leaching and runoff'!Fertiliser_InputFunctions.Fertiliser_SumProductApplied(_xlpm.ChemicalCompound, _xlpm.ProductIngredient5, _xlpm.calculatedAmount5, _xlpm.Source, _xlpm.ProductIngredientSource), 0) + IFERROR('5.5.1.1-2 Leaching and runoff'!Fertiliser_InputFunctions.Fertiliser_SumProductApplied(_xlpm.ChemicalCompound,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21">_xlfn.LAMBDA(_xlpm.ChemicalCompound,_xlpm.Source,_xlpm.AmountApplied,_xlpm.ProductIngredient1,_xlpm.ProductIngredientPercent1,_xlpm.ProductIngredient1Source,_xlop.ProductIngredient2,_xlop.ProductIngredientPercent2,_xlop.ProductIngredient2Source,_xlop.ProductIngredient3,_xlop.ProductIngredientPercent3,_xlop.ProductIngredient3Source,_xlop.ProductIngredient4,_xlop.ProductIngredientPercent4,_xlop.ProductIngredient4Source,_xlop.ProductIngredient5,_xlop.ProductIngredientPercent5,_xlop.ProductIngredient5Source,_xlop.ProductIngredient6,_xlop.ProductIngredientPercent6,_xlop.ProductIngredient6Source,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'6.2.1.1-2 Pasture residue N2O'!Fertiliser_InputFunctions.Fertiliser_SumProductApplied(_xlpm.ChemicalCompound, _xlpm.ProductIngredient1, _xlpm.calculatedAmount1, _xlpm.Source, _xlpm.ProductIngredient1Source) + IFERROR('6.2.1.1-2 Pasture residue N2O'!Fertiliser_InputFunctions.Fertiliser_SumProductApplied(_xlpm.ChemicalCompound, _xlpm.ProductIngredient2, _xlpm.calculatedAmount2, _xlpm.Source, _xlpm.ProductIngredient2Source), 0) + IFERROR('6.2.1.1-2 Pasture residue N2O'!Fertiliser_InputFunctions.Fertiliser_SumProductApplied(_xlpm.ChemicalCompound, _xlpm.ProductIngredient3, _xlpm.calculatedAmount3, _xlpm.Source, _xlpm.ProductIngredient3Source), 0) + IFERROR('6.2.1.1-2 Pasture residue N2O'!Fertiliser_InputFunctions.Fertiliser_SumProductApplied(_xlpm.ChemicalCompound, _xlpm.ProductIngredient4, _xlpm.calculatedAmount4, _xlpm.Source, _xlpm.ProductIngredient4Source), 0) + IFERROR('6.2.1.1-2 Pasture residue N2O'!Fertiliser_InputFunctions.Fertiliser_SumProductApplied(_xlpm.ChemicalCompound, _xlpm.ProductIngredient5, _xlpm.calculatedAmount5, _xlpm.Source, _xlpm.ProductIngredient5Source), 0) + IFERROR('6.2.1.1-2 Pasture residue N2O'!Fertiliser_InputFunctions.Fertiliser_SumProductApplied(_xlpm.ChemicalCompound, _xlpm.ProductIngredient6, _xlpm.calculatedAmount6, _xlpm.Source, _xlpm.ProductIngredient6Source), 0)))</definedName>
    <definedName name="Fertiliser_InputFunctions.Fertiliser_TotalChemicalCompoundtAppliedBySourceAllIngredients" localSheetId="22">_xlfn.LAMBDA(_xlpm.ChemicalCompound,_xlpm.Source,_xlpm.AmountApplied,_xlpm.ProductIngredient1,_xlpm.ProductIngredientPercent1,_xlpm.ProductIngredient1Source,_xlop.ProductIngredient2,_xlop.ProductIngredientPercent2,_xlop.ProductIngredient2Source,_xlop.ProductIngredient3,_xlop.ProductIngredientPercent3,_xlop.ProductIngredient3Source,_xlop.ProductIngredient4,_xlop.ProductIngredientPercent4,_xlop.ProductIngredient4Source,_xlop.ProductIngredient5,_xlop.ProductIngredientPercent5,_xlop.ProductIngredient5Source,_xlop.ProductIngredient6,_xlop.ProductIngredientPercent6,_xlop.ProductIngredient6Source,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'6.3.1.1-2 Leach runoff pasture'!Fertiliser_InputFunctions.Fertiliser_SumProductApplied(_xlpm.ChemicalCompound, _xlpm.ProductIngredient1, _xlpm.calculatedAmount1, _xlpm.Source, _xlpm.ProductIngredient1Source) + IFERROR('6.3.1.1-2 Leach runoff pasture'!Fertiliser_InputFunctions.Fertiliser_SumProductApplied(_xlpm.ChemicalCompound, _xlpm.ProductIngredient2, _xlpm.calculatedAmount2, _xlpm.Source, _xlpm.ProductIngredient2Source), 0) + IFERROR('6.3.1.1-2 Leach runoff pasture'!Fertiliser_InputFunctions.Fertiliser_SumProductApplied(_xlpm.ChemicalCompound, _xlpm.ProductIngredient3, _xlpm.calculatedAmount3, _xlpm.Source, _xlpm.ProductIngredient3Source), 0) + IFERROR('6.3.1.1-2 Leach runoff pasture'!Fertiliser_InputFunctions.Fertiliser_SumProductApplied(_xlpm.ChemicalCompound, _xlpm.ProductIngredient4, _xlpm.calculatedAmount4, _xlpm.Source, _xlpm.ProductIngredient4Source), 0) + IFERROR('6.3.1.1-2 Leach runoff pasture'!Fertiliser_InputFunctions.Fertiliser_SumProductApplied(_xlpm.ChemicalCompound, _xlpm.ProductIngredient5, _xlpm.calculatedAmount5, _xlpm.Source, _xlpm.ProductIngredient5Source), 0) + IFERROR('6.3.1.1-2 Leach runoff pasture'!Fertiliser_InputFunctions.Fertiliser_SumProductApplied(_xlpm.ChemicalCompound, _xlpm.ProductIngredient6, _xlpm.calculatedAmount6, _xlpm.Source, _xlpm.ProductIngredient6Source), 0)))</definedName>
    <definedName name="Fertiliser_InputFunctions.Fertiliser_TotalChemicalCompoundtAppliedBySourceAllIngredients" localSheetId="27">_xlfn.LAMBDA(_xlpm.ChemicalCompound,_xlpm.Source,_xlpm.AmountApplied,_xlpm.ProductIngredient1,_xlpm.ProductIngredientPercent1,_xlpm.ProductIngredient1Source,_xlop.ProductIngredient2,_xlop.ProductIngredientPercent2,_xlop.ProductIngredient2Source,_xlop.ProductIngredient3,_xlop.ProductIngredientPercent3,_xlop.ProductIngredient3Source,_xlop.ProductIngredient4,_xlop.ProductIngredientPercent4,_xlop.ProductIngredient4Source,_xlop.ProductIngredient5,_xlop.ProductIngredientPercent5,_xlop.ProductIngredient5Source,_xlop.ProductIngredient6,_xlop.ProductIngredientPercent6,_xlop.ProductIngredient6Source,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'Constants - Ag Residue'!Fertiliser_InputFunctions.Fertiliser_SumProductApplied(_xlpm.ChemicalCompound, _xlpm.ProductIngredient1, _xlpm.calculatedAmount1, _xlpm.Source, _xlpm.ProductIngredient1Source) + IFERROR('Constants - Ag Residue'!Fertiliser_InputFunctions.Fertiliser_SumProductApplied(_xlpm.ChemicalCompound, _xlpm.ProductIngredient2, _xlpm.calculatedAmount2, _xlpm.Source, _xlpm.ProductIngredient2Source), 0) + IFERROR('Constants - Ag Residue'!Fertiliser_InputFunctions.Fertiliser_SumProductApplied(_xlpm.ChemicalCompound, _xlpm.ProductIngredient3, _xlpm.calculatedAmount3, _xlpm.Source, _xlpm.ProductIngredient3Source), 0) + IFERROR('Constants - Ag Residue'!Fertiliser_InputFunctions.Fertiliser_SumProductApplied(_xlpm.ChemicalCompound, _xlpm.ProductIngredient4, _xlpm.calculatedAmount4, _xlpm.Source, _xlpm.ProductIngredient4Source), 0) + IFERROR('Constants - Ag Residue'!Fertiliser_InputFunctions.Fertiliser_SumProductApplied(_xlpm.ChemicalCompound, _xlpm.ProductIngredient5, _xlpm.calculatedAmount5, _xlpm.Source, _xlpm.ProductIngredient5Source), 0) + IFERROR('Constants - Ag Residue'!Fertiliser_InputFunctions.Fertiliser_SumProductApplied(_xlpm.ChemicalCompound, _xlpm.ProductIngredient6, _xlpm.calculatedAmount6, _xlpm.Source, _xlpm.ProductIngredient6Source), 0)))</definedName>
    <definedName name="Fertiliser_InputFunctions.Fertiliser_TotalChemicalCompoundtAppliedBySourceAllIngredients" localSheetId="30">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'Constants - Fertiliser'!Fertiliser_InputFunctions.Fertiliser_SumProductApplied(_xlpm.ChemicalCompound, _xlpm.ProductIngredient1, _xlpm.calculatedAmount1, _xlpm.Source, _xlpm.ProductIngredientSource) + IFERROR('Constants - Fertiliser'!Fertiliser_InputFunctions.Fertiliser_SumProductApplied(_xlpm.ChemicalCompound, _xlpm.ProductIngredient2, _xlpm.calculatedAmount2, _xlpm.Source, _xlpm.ProductIngredientSource), 0) + IFERROR('Constants - Fertiliser'!Fertiliser_InputFunctions.Fertiliser_SumProductApplied(_xlpm.ChemicalCompound, _xlpm.ProductIngredient3, _xlpm.calculatedAmount3, _xlpm.Source, _xlpm.ProductIngredientSource), 0) + IFERROR('Constants - Fertiliser'!Fertiliser_InputFunctions.Fertiliser_SumProductApplied(_xlpm.ChemicalCompound, _xlpm.ProductIngredient4, _xlpm.calculatedAmount4, _xlpm.Source, _xlpm.ProductIngredientSource), 0) + IFERROR('Constants - Fertiliser'!Fertiliser_InputFunctions.Fertiliser_SumProductApplied(_xlpm.ChemicalCompound, _xlpm.ProductIngredient5, _xlpm.calculatedAmount5, _xlpm.Source, _xlpm.ProductIngredientSource), 0) + IFERROR('Constants - Fertiliser'!Fertiliser_InputFunctions.Fertiliser_SumProductApplied(_xlpm.ChemicalCompound,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7">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'Input - Fertiliser'!Fertiliser_InputFunctions.Fertiliser_SumProductApplied(_xlpm.ChemicalCompound, _xlpm.ProductIngredient1, _xlpm.calculatedAmount1, _xlpm.Source, _xlpm.ProductIngredientSource) + IFERROR('Input - Fertiliser'!Fertiliser_InputFunctions.Fertiliser_SumProductApplied(_xlpm.ChemicalCompound, _xlpm.ProductIngredient2, _xlpm.calculatedAmount2, _xlpm.Source, _xlpm.ProductIngredientSource), 0) + IFERROR('Input - Fertiliser'!Fertiliser_InputFunctions.Fertiliser_SumProductApplied(_xlpm.ChemicalCompound, _xlpm.ProductIngredient3, _xlpm.calculatedAmount3, _xlpm.Source, _xlpm.ProductIngredientSource), 0) + IFERROR('Input - Fertiliser'!Fertiliser_InputFunctions.Fertiliser_SumProductApplied(_xlpm.ChemicalCompound, _xlpm.ProductIngredient4, _xlpm.calculatedAmount4, _xlpm.Source, _xlpm.ProductIngredientSource), 0) + IFERROR('Input - Fertiliser'!Fertiliser_InputFunctions.Fertiliser_SumProductApplied(_xlpm.ChemicalCompound, _xlpm.ProductIngredient5, _xlpm.calculatedAmount5, _xlpm.Source, _xlpm.ProductIngredientSource), 0) + IFERROR('Input - Fertiliser'!Fertiliser_InputFunctions.Fertiliser_SumProductApplied(_xlpm.ChemicalCompound,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6">_xlfn.LAMBDA(_xlpm.ChemicalCompound,_xlpm.Source,_xlpm.AmountApplied,_xlpm.ProductIngredient1,_xlpm.ProductIngredientPercent1,_xlpm.ProductIngredient1Source,_xlop.ProductIngredient2,_xlop.ProductIngredientPercent2,_xlop.ProductIngredient2Source,_xlop.ProductIngredient3,_xlop.ProductIngredientPercent3,_xlop.ProductIngredient3Source,_xlop.ProductIngredient4,_xlop.ProductIngredientPercent4,_xlop.ProductIngredient4Source,_xlop.ProductIngredient5,_xlop.ProductIngredientPercent5,_xlop.ProductIngredient5Source,_xlop.ProductIngredient6,_xlop.ProductIngredientPercent6,_xlop.ProductIngredient6Source,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'Input - Pasture'!Fertiliser_InputFunctions.Fertiliser_SumProductApplied(_xlpm.ChemicalCompound, _xlpm.ProductIngredient1, _xlpm.calculatedAmount1, _xlpm.Source, _xlpm.ProductIngredient1Source) + IFERROR('Input - Pasture'!Fertiliser_InputFunctions.Fertiliser_SumProductApplied(_xlpm.ChemicalCompound, _xlpm.ProductIngredient2, _xlpm.calculatedAmount2, _xlpm.Source, _xlpm.ProductIngredient2Source), 0) + IFERROR('Input - Pasture'!Fertiliser_InputFunctions.Fertiliser_SumProductApplied(_xlpm.ChemicalCompound, _xlpm.ProductIngredient3, _xlpm.calculatedAmount3, _xlpm.Source, _xlpm.ProductIngredient3Source), 0) + IFERROR('Input - Pasture'!Fertiliser_InputFunctions.Fertiliser_SumProductApplied(_xlpm.ChemicalCompound, _xlpm.ProductIngredient4, _xlpm.calculatedAmount4, _xlpm.Source, _xlpm.ProductIngredient4Source), 0) + IFERROR('Input - Pasture'!Fertiliser_InputFunctions.Fertiliser_SumProductApplied(_xlpm.ChemicalCompound, _xlpm.ProductIngredient5, _xlpm.calculatedAmount5, _xlpm.Source, _xlpm.ProductIngredient5Source), 0) + IFERROR('Input - Pasture'!Fertiliser_InputFunctions.Fertiliser_SumProductApplied(_xlpm.ChemicalCompound, _xlpm.ProductIngredient6, _xlpm.calculatedAmount6, _xlpm.Source, _xlpm.ProductIngredient6Source), 0)))</definedName>
    <definedName name="Fertiliser_InputFunctions.Fertiliser_TotalChemicalCompoundtAppliedBySourceAllIngredients" localSheetId="34">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Overview!Fertiliser_InputFunctions.Fertiliser_SumProductApplied(_xlpm.ChemicalCompound, _xlpm.ProductIngredient1, _xlpm.calculatedAmount1, _xlpm.Source, _xlpm.ProductIngredientSource) + IFERROR(Overview!Fertiliser_InputFunctions.Fertiliser_SumProductApplied(_xlpm.ChemicalCompound, _xlpm.ProductIngredient2, _xlpm.calculatedAmount2, _xlpm.Source, _xlpm.ProductIngredientSource), 0) + IFERROR(Overview!Fertiliser_InputFunctions.Fertiliser_SumProductApplied(_xlpm.ChemicalCompound, _xlpm.ProductIngredient3, _xlpm.calculatedAmount3, _xlpm.Source, _xlpm.ProductIngredientSource), 0) + IFERROR(Overview!Fertiliser_InputFunctions.Fertiliser_SumProductApplied(_xlpm.ChemicalCompound, _xlpm.ProductIngredient4, _xlpm.calculatedAmount4, _xlpm.Source, _xlpm.ProductIngredientSource), 0) + IFERROR(Overview!Fertiliser_InputFunctions.Fertiliser_SumProductApplied(_xlpm.ChemicalCompound, _xlpm.ProductIngredient5, _xlpm.calculatedAmount5, _xlpm.Source, _xlpm.ProductIngredientSource), 0) + IFERROR(Overview!Fertiliser_InputFunctions.Fertiliser_SumProductApplied(_xlpm.ChemicalCompound, _xlpm.ProductIngredient6, _xlpm.calculatedAmount6, _xlpm.Source, _xlpm.ProductIngredientSource), 0)))</definedName>
    <definedName name="Fertiliser_InputFunctions.Fertiliser_TotalChemicalCompoundtAppliedBySourceAllIngredients">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Fertiliser_InputFunctions.Fertiliser_SumProductApplied(_xlpm.ChemicalCompound, _xlpm.ProductIngredient1, _xlpm.calculatedAmount1, _xlpm.Source, _xlpm.ProductIngredientSource) + IFERROR(Fertiliser_InputFunctions.Fertiliser_SumProductApplied(_xlpm.ChemicalCompound, _xlpm.ProductIngredient2, _xlpm.calculatedAmount2, _xlpm.Source, _xlpm.ProductIngredientSource), 0) + IFERROR(Fertiliser_InputFunctions.Fertiliser_SumProductApplied(_xlpm.ChemicalCompound, _xlpm.ProductIngredient3, _xlpm.calculatedAmount3, _xlpm.Source, _xlpm.ProductIngredientSource), 0) + IFERROR(Fertiliser_InputFunctions.Fertiliser_SumProductApplied(_xlpm.ChemicalCompound, _xlpm.ProductIngredient4, _xlpm.calculatedAmount4, _xlpm.Source, _xlpm.ProductIngredientSource), 0) + IFERROR(Fertiliser_InputFunctions.Fertiliser_SumProductApplied(_xlpm.ChemicalCompound, _xlpm.ProductIngredient5, _xlpm.calculatedAmount5, _xlpm.Source, _xlpm.ProductIngredientSource), 0) + IFERROR(Fertiliser_InputFunctions.Fertiliser_SumProductApplied(_xlpm.ChemicalCompound, _xlpm.ProductIngredient6, _xlpm.calculatedAmount6, _xlpm.Source, _xlpm.ProductIngredientSource), 0)))</definedName>
    <definedName name="Fertiliser_InputFunctions.Fertiliser_TotalSoilAmendmentApplied">_xlfn.LAMBDA(_xlpm.AmountApplied,_xlpm.AmendmentPercent, SUMPRODUCT(_xlpm.AmountApplied * _xlpm.AmendmentPercent))</definedName>
    <definedName name="Fertiliser_SourceData.Fertiliser_ChemicalCompoundElements_Data">_xlfn.LAMBDA(_xlfn.MAKEARRAY(20, 6, _xlfn.LAMBDA(_xlpm.r,_xlpm.c, INDEX({"Fertiliser Type f","FNinorganic,f","FUf","Basis","LifeCycles Scope 3 definition","Source";"Monoammonium phosphate (MAP)",0.1,0,"Ammonium-based fertilisers","Monoammonium phosphate (MAP)","VEERG";"Diammonium phosphate (DAP)",0.18,0,"Ammonium-based fertilisers","Diammonium phosphate (DAP)","VEERG";"Urea",0.46,1,"Urea-based fertilisers","Urea","VEERG";"Sulphate of ammonia (SOA)",0.21,0,"Ammonium-based fertilisers","Sulphate of ammonia (SOA)","VEERG";"Urea-ammonium nitrate (UAN)",0.32,0.35,"Urea-based fertilisers","Urea-ammonium nitrate (UAN)","VEERG";"Ammonium nitrate (AN)",0.337,0,"Ammonium-nitrate based fertilisers","Ammonium nitrate (AN)","VEERG";"Calcium ammonium nitrate (CAN)",0.27,0,"Ammonium-nitrate based fertilisers","Calcium ammonium nitrate (CAN)","VEERG";"Nitrogen - Ammoniacal",1,0,"Ammonium-based fertilisers","Nitrogen - Ammoniacal","LifeCycles";"Nitrogen - Nitrate",1,0,"Nitrate-based fertilisers","Nitrogen from Nitrate","LifeCycles";"Nitrogen - Generic",1,0,"Urea-based fertilisers","Nitrogen from fertiliser","LifeCycles";"Phosphorus - Generic",0,0,"Other fertilisers","Phosphorus from fertiliser","LifeCycles";"Potassium - Generic",0,0,"Other fertilisers","Potassium from fertiliser","LifeCycles";"Sulfur - Generic",0,0,"Other fertilisers","Sulfur from fertiliser","LifeCycles";"Zinc - Generic",0,0,"Other fertilisers","Zinc from fertiliser","LifeCycles";"Muriate of potash (MOP)",0,0,"Other fertilisers","Muriate of potash (MOP)","LifeCycles";"Double superphosphate",0,0,"Other fertilisers","Double superphosphate","LifeCycles";"Single superphosphate (SSP)",0,0,"Other fertilisers","Single superphosphate (SSP)","LifeCycles";"Ammonia",0.8235,0,"Ammonium-based fertilisers","Ammonia","LifeCycles";"Calcium nitrate",0.155,0,"Nitrate-based fertilisers","Calcium nitrate","VEERG"}, _xlpm.r, _xlpm.c))))</definedName>
    <definedName name="Fertiliser_SourceData.Fertiliser_ChemicalCompoundElements_Description">_xlfn.LAMBDA(("Chemical compounds used in fertilisers, along with their elemental composition"))</definedName>
    <definedName name="Fertiliser_SourceData.Fertiliser_ChemicalCompoundElements_Source">_xlfn.LAMBDA(("Table A.2.2.3: Fraction of nitrogen in common inorganic fertilisers (kgN/kg) (FNorganic,f) AND Table A.2.2.4: Fraction of urea in common inorganic fertilisers (kg urea/kg) (FUf)"))</definedName>
    <definedName name="Fertiliser_SourceData.Fertiliser_ChemicalCompoundElements_Title">_xlfn.LAMBDA(("Common inorganic fertilisers"))</definedName>
    <definedName name="Fertiliser_SourceData.Fertiliser_ChemicalCompoundElements_Variation">_xlfn.LAMBDA(_xlfn.MAKEARRAY(12, 1, _xlfn.LAMBDA(_xlpm.r,_xlpm.c, INDEX({"VARIATION ON SOURCE";"Added 'Basis' column to allow cross-referencing with table Table A.2.2.6: Fraction of inorganic fertiliser f that volatilises as NH3 and NOx ((kg NH3-N + NOx-N)/kg N) (FracGASFf)";"Added extra fertiliser types and generic chemical compounds to allow for custom NPKS blends";"Added extra 'Scope 3 definition' column to allow mapping with scope 3 data";"Added 'Source' column";"Combined data from Table A.2.2.3 and Table A.2.2.4 into one table to aid lookup.";"Excluded 'References' column";"Excluded 'Ammonium sulfate' as it is a duplicate of 'Sulphate of ammonia (SOA)'";"Excluded 'Calcium nitrate' as no scope 3 value available.";"Set 'Nitrogen - Generic' basis as 'Urea-based fertilisers, as urea is the most commonly used form of nitrogen in Australian fertilisers";"Set 'Urea-ammonium nitrate' basis as 'Urea-based fertiliser'";"Ammonia has an FN value of 0.8235 based on (14/17)x100, where 14 is the mass of nitrogen in ammonia and 17 is the molar mass of ammonia."}, _xlpm.r, _xlpm.c))))</definedName>
    <definedName name="Fertiliser_SourceData.Fertiliser_EFLeach_Data">_xlfn.LAMBDA(0.011)</definedName>
    <definedName name="Fertiliser_SourceData.Fertiliser_EFLeach_Source">_xlfn.LAMBDA(("VEERG 2026: 5.5.2.3 Constant Parameters"))</definedName>
    <definedName name="Fertiliser_SourceData.Fertiliser_EFLeach_Title">_xlfn.LAMBDA(("Emission factor for nitrogen leaching and runoff"))</definedName>
    <definedName name="Fertiliser_SourceData.Fertiliser_EFLeach_Unit">_xlfn.LAMBDA(("kg N2O-N / kg N"))</definedName>
    <definedName name="Fertiliser_SourceData.Fertiliser_EFLeach_Variable">_xlfn.LAMBDA(("EFLeach"))</definedName>
    <definedName name="Fertiliser_SourceData.Fertiliser_EFLeach_Variation">_xlfn.LAMBDA("")</definedName>
    <definedName name="Fertiliser_SourceData.Fertiliser_EFUreaCO2_Data">_xlfn.LAMBDA(0.2)</definedName>
    <definedName name="Fertiliser_SourceData.Fertiliser_EFUreaCO2_Source">_xlfn.LAMBDA(("VEERG 2026: 5.1.2.2 Constant Parameters"))</definedName>
    <definedName name="Fertiliser_SourceData.Fertiliser_EFUreaCO2_Title">_xlfn.LAMBDA(("Emission factor for carbon emissions from urea application"))</definedName>
    <definedName name="Fertiliser_SourceData.Fertiliser_EFUreaCO2_Unit">_xlfn.LAMBDA(("kg C/kg urea"))</definedName>
    <definedName name="Fertiliser_SourceData.Fertiliser_EFUreaCO2_Variable">_xlfn.LAMBDA(("EFureaCO2"))</definedName>
    <definedName name="Fertiliser_SourceData.Fertiliser_EFUreaCO2_Variation">_xlfn.LAMBDA("")</definedName>
    <definedName name="Fertiliser_SourceData.Fertiliser_FracGASF_Data">_xlfn.LAMBDA(_xlfn.MAKEARRAY(6, 2, _xlfn.LAMBDA(_xlpm.r,_xlpm.c, INDEX({"Fertiliser type f","FracGASFf";"Urea-based fertilisers",0.15;"Ammonium-based fertilisers",0.08;"Nitrate-based fertilisers",0.01;"Ammonium-nitrate based fertilisers",0.05;"Other fertilisers",0.11}, _xlpm.r, _xlpm.c))))</definedName>
    <definedName name="Fertiliser_SourceData.Fertiliser_FracGASF_Source" localSheetId="15">_xlfn.LAMBDA(("Table A.2.2.6: Fraction of inorganic fertiliser f that volatilises as NH3 and NOx ((kg NH3â€“N + NOxâ€“N)/kg N) (FracGASFf)"))</definedName>
    <definedName name="Fertiliser_SourceData.Fertiliser_FracGASF_Source" localSheetId="16">_xlfn.LAMBDA(("Table A.2.2.6: Fraction of inorganic fertiliser f that volatilises as NH3 and NOx ((kg NH3â€“N + NOxâ€“N)/kg N) (FracGASFf)"))</definedName>
    <definedName name="Fertiliser_SourceData.Fertiliser_FracGASF_Source" localSheetId="17">_xlfn.LAMBDA(("Table A.2.2.6: Fraction of inorganic fertiliser f that volatilises as NH3 and NOx ((kg NH3â€“N + NOxâ€“N)/kg N) (FracGASFf)"))</definedName>
    <definedName name="Fertiliser_SourceData.Fertiliser_FracGASF_Source" localSheetId="18">_xlfn.LAMBDA(("Table A.2.2.6: Fraction of inorganic fertiliser f that volatilises as NH3 and NOx ((kg NH3â€“N + NOxâ€“N)/kg N) (FracGASFf)"))</definedName>
    <definedName name="Fertiliser_SourceData.Fertiliser_FracGASF_Source" localSheetId="19">_xlfn.LAMBDA(("Table A.2.2.6: Fraction of inorganic fertiliser f that volatilises as NH3 and NOx ((kg NH3â€“N + NOxâ€“N)/kg N) (FracGASFf)"))</definedName>
    <definedName name="Fertiliser_SourceData.Fertiliser_FracGASF_Source" localSheetId="20">_xlfn.LAMBDA(("Table A.2.2.6: Fraction of inorganic fertiliser f that volatilises as NH3 and NOx ((kg NH3â€“N + NOxâ€“N)/kg N) (FracGASFf)"))</definedName>
    <definedName name="Fertiliser_SourceData.Fertiliser_FracGASF_Source" localSheetId="30">_xlfn.LAMBDA(("Table A.2.2.6: Fraction of inorganic fertiliser f that volatilises as NH3 and NOx ((kg NH3â€“N + NOxâ€“N)/kg N) (FracGASFf)"))</definedName>
    <definedName name="Fertiliser_SourceData.Fertiliser_FracGASF_Source" localSheetId="7">_xlfn.LAMBDA(("Table A.2.2.6: Fraction of inorganic fertiliser f that volatilises as NH3 and NOx ((kg NH3â€“N + NOxâ€“N)/kg N) (FracGASFf)"))</definedName>
    <definedName name="Fertiliser_SourceData.Fertiliser_FracGASF_Source" localSheetId="34">_xlfn.LAMBDA(("Table A.2.2.6: Fraction of inorganic fertiliser f that volatilises as NH3 and NOx ((kg NH3â€“N + NOxâ€“N)/kg N) (FracGASFf)"))</definedName>
    <definedName name="Fertiliser_SourceData.Fertiliser_FracGASF_Source">_xlfn.LAMBDA(("Table A.2.2.6: Fraction of inorganic fertiliser f that volatilises as NH3 and NOx ((kg NH3–N + NOx–N)/kg N) (FracGASFf)"))</definedName>
    <definedName name="Fertiliser_SourceData.Fertiliser_FracGASF_Title">_xlfn.LAMBDA(("Fraction of inorganic fertiliser that volatilises as NH3 and NOx"))</definedName>
    <definedName name="Fertiliser_SourceData.Fertiliser_FracGASF_Variation">_xlfn.LAMBDA("")</definedName>
    <definedName name="Fertiliser_SourceData.Fertiliser_FracGASMSoil_Data">_xlfn.LAMBDA(0.21)</definedName>
    <definedName name="Fertiliser_SourceData.Fertiliser_FracGASMSoil_Source">_xlfn.LAMBDA(("VEERG 2026: 5.4.2.3 Constant Parameters"))</definedName>
    <definedName name="Fertiliser_SourceData.Fertiliser_FracGASMSoil_Title">_xlfn.LAMBDA(("Fraction of organic fertiliser that volatilises as NH3 and NOx"))</definedName>
    <definedName name="Fertiliser_SourceData.Fertiliser_FracGASMSoil_Unit">_xlfn.LAMBDA(("(kg NH3-N + NOx-N)/kg N"))</definedName>
    <definedName name="Fertiliser_SourceData.Fertiliser_FracGASMSoil_Variable">_xlfn.LAMBDA(("FracGASMsoil"))</definedName>
    <definedName name="Fertiliser_SourceData.Fertiliser_FracGASMSoil_Variation">_xlfn.LAMBDA("")</definedName>
    <definedName name="Fertiliser_SourceData.Fertiliser_FracLEACH_Data">_xlfn.LAMBDA(0.24)</definedName>
    <definedName name="Fertiliser_SourceData.Fertiliser_FracLEACH_Source">_xlfn.LAMBDA(("VEERG 2026: 5.5.2.3 Constant Parameters"))</definedName>
    <definedName name="Fertiliser_SourceData.Fertiliser_FracLEACH_Title">_xlfn.LAMBDA(("Fraction of nitrogen that is lost through leaching and runoff"))</definedName>
    <definedName name="Fertiliser_SourceData.Fertiliser_FracLEACH_Unit">_xlfn.LAMBDA(("fraction"))</definedName>
    <definedName name="Fertiliser_SourceData.Fertiliser_FracLEACH_Variable">_xlfn.LAMBDA(("FracLEACH"))</definedName>
    <definedName name="Fertiliser_SourceData.Fertiliser_FracLEACH_Variation">_xlfn.LAMBDA("")</definedName>
    <definedName name="Fertiliser_SourceData.Fertiliser_FractionNCommonFertilisers_Data">_xlfn.LAMBDA(_xlfn.MAKEARRAY(10, 2, _xlfn.LAMBDA(_xlpm.r,_xlpm.c, INDEX({"Fertiliser Type f","FNinorganicf";"Monoammonium phosphate (MAP)",0.1;"Diammonium phosphate (DAP)",0.18;"Urea",0.46;"Sulphate of ammonia (SOA)",0.21;"Urea-ammonium nitrate (UAN)",0.32;"Ammonium nitrate (AN)",0.337;"Calcium ammonium nitrate (CAN)",0.27;"Ammonium Sulfate",0.21;"Calcium Nitrate",0.155}, _xlpm.r, _xlpm.c))))</definedName>
    <definedName name="Fertiliser_SourceData.Fertiliser_FractionNCommonFertilisers_Source">_xlfn.LAMBDA(("VEERG 2026: Table A.2.2.3"))</definedName>
    <definedName name="Fertiliser_SourceData.Fertiliser_FractionNCommonFertilisers_Title">_xlfn.LAMBDA(("Fraction of nitrogen in common inorganic fertilisers (kgN/kg) (FNorganic,f)"))</definedName>
    <definedName name="Fertiliser_SourceData.Fertiliser_FractionNCommonFertilisers_Variation">_xlfn.LAMBDA((""))</definedName>
    <definedName name="Fertiliser_SourceData.Fertiliser_FractionUreaCommonFertilisers_Data">_xlfn.LAMBDA(_xlfn.MAKEARRAY(10, 2, _xlfn.LAMBDA(_xlpm.r,_xlpm.c, INDEX({"Fertiliser Type f","FUf";"Monoammonium phosphate (MAP)",0;"Diammonium phosphate (DAP)",0;"Urea",1;"Sulphate of ammonia (SOA)",0;"Urea-ammonium nitrate (UAN)",0.35;"Ammonium nitrate (AN)",0;"Calcium ammonium nitrate (CAN)",0;"Ammonium Sulfate",0;"Calcium Nitrate",0}, _xlpm.r, _xlpm.c))))</definedName>
    <definedName name="Fertiliser_SourceData.Fertiliser_FractionUreaCommonFertilisers_Source">_xlfn.LAMBDA(("VEERG 2026: Table A.2.2.4"))</definedName>
    <definedName name="Fertiliser_SourceData.Fertiliser_FractionUreaCommonFertilisers_Title">_xlfn.LAMBDA(("Fraction of urea in common inorganic fertilisers (kg urea/kg) (FUf)"))</definedName>
    <definedName name="Fertiliser_SourceData.Fertiliser_FractionUreaCommonFertilisers_Variation">_xlfn.LAMBDA((""))</definedName>
    <definedName name="Fertiliser_SourceData.Fertiliser_LimeDolomiteGypsumConstants_Data">_xlfn.LAMBDA(_xlfn.MAKEARRAY(4, 3, _xlfn.LAMBDA(_xlpm.r,_xlpm.c, INDEX({"Element","P","EF";"Lime (Calcium carbonate)",0.9,0.12;"Dolomite (Magnesium carbonate)",0.95,0.13;"Gypsum",0,0}, _xlpm.r, _xlpm.c))))</definedName>
    <definedName name="Fertiliser_SourceData.Fertiliser_LimeDolomiteGypsumConstants_Description">_xlfn.LAMBDA(("Constants for lime, dolomite and gypsum"))</definedName>
    <definedName name="Fertiliser_SourceData.Fertiliser_LimeDolomiteGypsumConstants_Source">_xlfn.LAMBDA(("VEERG 2026: 5.3.2.3 Constant Parameters"))</definedName>
    <definedName name="Fertiliser_SourceData.Fertiliser_LimeDolomiteGypsumConstants_Title">_xlfn.LAMBDA(("Constants for lime, dolomite and gypsum"))</definedName>
    <definedName name="Fertiliser_SourceData.Fertiliser_LimeDolomiteGypsumConstants_Variation">_xlfn.LAMBDA(("VARIATION FROM SOURCE DATA: Gypsum has been added with placeholder values of 0 for P and EF."))</definedName>
    <definedName name="Fertiliser_SourceData.Fertiliser_Products_Data1" localSheetId="15">_xlfn.LAMBDA(_xlfn.MAKEARRAY(39, 32, _xlfn.LAMBDA(_xlpm.r,_xlpm.c, INDEX({"Include or exclude","Notes","Company","Product Name","Link","Data source","Source images","Unit","Density (l to kg)","Urea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percent","END ROW";"Include","","Campbells fertilisers Australia","Aqua Finish","Aqua Finish - Campbells Fertilisers Australasia","Website","","L",1.26,"","","Potassium - Generic",0.225,"Phosphorus - Generic",0.04,"Nitrogen - Generic",0.026,"","","","","","","","","","","","","","","END ROW";"Include","","Campbells fertilisers Australia","Aqua Grow","Aqua Grow - Campbells Fertilisers Australasia","Website","","L",1.26,"","","Potassium - Generic",0.105,"Nitrogen - Generic",0.096,"Phosphorus - Generic",0.05,"","","","","","","","","","","","","","","END ROW";"Include","","Campbells fertilisers Australia","Aqua Nitro AN","Aqua Nitro AN - Campbells Fertilisers Australasia","Website. Brochure","","L",1.24,"","","Nitrogen - Ammoniacal",0.223,"","","","","","","","","","","","","","","","","","","END ROW";"Include","Use Lime EF for calcium","Campbells fertilisers Australia","Aqua NitroCal","Aqua NitroCal - Campbells Fertilisers Australasia","Website SDS","","L",1.5,"","","Calcium - Generic",0.162,"Nitrogen - Nitrate",0.132,"","","","","","","","","","","","","","","","","END ROW";"Include","Use Lime EF for calcium","Campbells fertilisers Australia","Aqua NitroCal (VI)","Aqua NitroCal (VI) - Campbells Fertilisers Australasia","Website SDS","","L",1.5,"","","Calcium - Generic",0.187,"Nitrogen - Nitrate",0.132,"","","","","","","","","","","","","","","","","END ROW";"Include","Use Lime EF for calcium","Campbells fertilisers Australia","Aqua NitroCal Ultimate","Aqua NitroCal Ultimate - Campbells Fertilisers Australasia","Website SDS","","L",1.5,"","","Calcium - Generic",0.183,"Nitrogen  - Nitrate",0.132,"","","","","","","","","","","","","","","","","END ROW";"Include","","Campbells fertilisers Australia","Aqua Start","Aqua Start - Campbells Fertilisers Australasia","Website SDS","","L",1.25,"","","Nitrogen - Generic",0.103,"Phosphorus - Generic",0.1,"Potassium - Generic",0.034,"","","","","","","","","","","","","","","END ROW";"Include","","Campbells fertilisers Australia","Aqua Thio-Complete","Aqua Thio-Complete - Campbells Fertilisers Australasia","Website SDS","","L",1.43,"","","Potassium - Generic",0.225,"Phosphorus - Generic",0.038,"Nitrogen - Generic",0.025,"","","","","","","","","","","","","","","END ROW";"Include","","Campbells fertilisers Australia","Aqua Thio-Emerge","Aqua Thio-Emerge - Campbells Fertilisers Australasia","Website SDS","","L",1.29,"","","Nitrogen - Generic",0.105,"Phosphorus - Generic",0.094,"Potassium - Generic",0.04,"Sulfur - Generic",0.03,"","","","","","","","","","","","","END ROW";"Include","","Campbells fertilisers Australia","Aqua Thio-Flourish","Aqua Thio-Flourish - Campbells Fertilisers Australasia","Website SDS","","L",1.32,"","","Potassium - Generic",0.108,"Nitrogen - Generic",0.095,"Sulfur - Generic",0.081,"Phosphorus - Generic",0.047,"","","","","","","","","","","","","END ROW";"Exclude - Not relevant","","Campbells fertilisers Australia","Asco Fol Plus","Asco Fol Plus - Campbells Fertilisers Australasia","","Organic - Do not include","","","","","","","","","","","","","","","","","","","","","","","","","END ROW";"Exclude - Not relevant","","Campbells fertilisers Australia","Asco Plus","Asco Plus - Campbells Fertilisers Australasia","","Organic - Do not include","","","","","","","","","","","","","","","","","","","","","","","","","END ROW";"Exclude - Not relevant","","Campbells fertilisers Australia","Asco Rhizo Plus","Asco Rhizo Plus - Campbells Fertilisers Australasia","","Biostimulant - Do not include","","","","","","","","","","","","","","","","","","","","","","","","","END ROW";"Exclude - Not relevant","","Campbells fertilisers Australia","Benefit PZ","Benefit PZ - Campbells Fertilisers Australasia","","Not fertiliser - Do not include","","","","","","","","","","","","","","","","","","","","","","","","","END ROW";"Include - Absent ingredients &lt; 2%","Amount of urea calculated from urea nitrogen amount","Campbells fertilisers Australia","Boost-It","Boost-It - Campbells Fertilisers Australasia","Website SDS","","kg",1,"","","Urea",0.52173913,"Potassium - Generic",0.08,"Sulfur - Generic",0.053,"Phosphorus - Generic",0.052,"Magnesium",0.013,"Zinc",0.002,"Manganese",0.0035,"Iron",0.0013,"Copper",0.0007,"Boron",0.0007,"END ROW";"Exclude - Not relevant","","Campbells fertilisers Australia","Boroplus","Boroplus - Campbells Fertilisers Australasia","","Not fertiliser - Do not include","","","","","","","","","","","","","","","","","","","","","","","","","END ROW";"Exclude - Not relevant","","Campbells fertilisers Australia","Brevisol Range","BreviSol Range - Campbells Fertilisers Australasia","","Not fertiliser - Do not include","","","","","","","","","","","","","","","","","","","","","","","","","END ROW";"Exclude - Not relevant","","Campbells fertilisers Australia","Brexil Line","Brexil Line - Campbells Fertilisers Australasia","","Not fertiliser - Do not include","","","","","","","","","","","","","","","","","","","","","","","","","END ROW";"Include","","Campbells fertilisers Australia","Bronze","Bronze - Campbells Fertilisers Australasia","Website","","kg","","","","Muriate of Potash (MOP)",0.232,"Nitrogen - Generic",0.17,"Sulfur - Generic",0.005,"Magnesium",0.0024,"Phosphorus - Generic",0.0004,"","","","","","","","","","","END ROW";"Exclude - Absent ingredients &gt; 2%","","Campbells fertilisers Australia","Bud-Wiser Dry","Bud-Wiser Dry - Campbells Fertilisers Australasia","","","kg","","","","Sulfur - Generic",0.094,"Magnesium",0.06,"Boron",0.045,"Zinc",0.027,"","","","","","","","","","","","","END ROW";"Exclude - Not relevant","","Campbells fertilisers Australia","Calbit C","Calbit C - Campbells Fertilisers Australasia","","Not fertiliser - Do not include","L","","","","","","","","","","","","","","","","","","","","","","","","END ROW";"Exclude - Not relevant","","Campbells fertilisers Australia","Calcium 175","Calcium 175 - Campbells Fertilisers Australasia","","Not fertiliser - Do not include","L","","","","","","","","","","","","","","","","","","","","","","","","END ROW";"Include","Use Lime EF for calcium","Campbells fertilisers Australia","CalPhos","Calphos - Campbells Fertilisers Australasia","Website","","L",1.285,"","","Phosphorus - Generic",0.135,"Calcium - Generic",0.04,"","","","","","","","","","","","","","","","","END ROW"}, _xlpm.r, _xlpm.c))))</definedName>
    <definedName name="Fertiliser_SourceData.Fertiliser_Products_Data1" localSheetId="16">_xlfn.LAMBDA(_xlfn.MAKEARRAY(39, 32, _xlfn.LAMBDA(_xlpm.r,_xlpm.c, INDEX({"Include or exclude","Notes","Company","Product Name","Link","Data source","Source images","Unit","Density (l to kg)","Urea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percent","END ROW";"Include","","Campbells fertilisers Australia","Aqua Finish","Aqua Finish - Campbells Fertilisers Australasia","Website","","L",1.26,"","","Potassium - Generic",0.225,"Phosphorus - Generic",0.04,"Nitrogen - Generic",0.026,"","","","","","","","","","","","","","","END ROW";"Include","","Campbells fertilisers Australia","Aqua Grow","Aqua Grow - Campbells Fertilisers Australasia","Website","","L",1.26,"","","Potassium - Generic",0.105,"Nitrogen - Generic",0.096,"Phosphorus - Generic",0.05,"","","","","","","","","","","","","","","END ROW";"Include","","Campbells fertilisers Australia","Aqua Nitro AN","Aqua Nitro AN - Campbells Fertilisers Australasia","Website. Brochure","","L",1.24,"","","Nitrogen - Ammoniacal",0.223,"","","","","","","","","","","","","","","","","","","END ROW";"Include","Use Lime EF for calcium","Campbells fertilisers Australia","Aqua NitroCal","Aqua NitroCal - Campbells Fertilisers Australasia","Website SDS","","L",1.5,"","","Calcium - Generic",0.162,"Nitrogen - Nitrate",0.132,"","","","","","","","","","","","","","","","","END ROW";"Include","Use Lime EF for calcium","Campbells fertilisers Australia","Aqua NitroCal (VI)","Aqua NitroCal (VI) - Campbells Fertilisers Australasia","Website SDS","","L",1.5,"","","Calcium - Generic",0.187,"Nitrogen - Nitrate",0.132,"","","","","","","","","","","","","","","","","END ROW";"Include","Use Lime EF for calcium","Campbells fertilisers Australia","Aqua NitroCal Ultimate","Aqua NitroCal Ultimate - Campbells Fertilisers Australasia","Website SDS","","L",1.5,"","","Calcium - Generic",0.183,"Nitrogen  - Nitrate",0.132,"","","","","","","","","","","","","","","","","END ROW";"Include","","Campbells fertilisers Australia","Aqua Start","Aqua Start - Campbells Fertilisers Australasia","Website SDS","","L",1.25,"","","Nitrogen - Generic",0.103,"Phosphorus - Generic",0.1,"Potassium - Generic",0.034,"","","","","","","","","","","","","","","END ROW";"Include","","Campbells fertilisers Australia","Aqua Thio-Complete","Aqua Thio-Complete - Campbells Fertilisers Australasia","Website SDS","","L",1.43,"","","Potassium - Generic",0.225,"Phosphorus - Generic",0.038,"Nitrogen - Generic",0.025,"","","","","","","","","","","","","","","END ROW";"Include","","Campbells fertilisers Australia","Aqua Thio-Emerge","Aqua Thio-Emerge - Campbells Fertilisers Australasia","Website SDS","","L",1.29,"","","Nitrogen - Generic",0.105,"Phosphorus - Generic",0.094,"Potassium - Generic",0.04,"Sulfur - Generic",0.03,"","","","","","","","","","","","","END ROW";"Include","","Campbells fertilisers Australia","Aqua Thio-Flourish","Aqua Thio-Flourish - Campbells Fertilisers Australasia","Website SDS","","L",1.32,"","","Potassium - Generic",0.108,"Nitrogen - Generic",0.095,"Sulfur - Generic",0.081,"Phosphorus - Generic",0.047,"","","","","","","","","","","","","END ROW";"Exclude - Not relevant","","Campbells fertilisers Australia","Asco Fol Plus","Asco Fol Plus - Campbells Fertilisers Australasia","","Organic - Do not include","","","","","","","","","","","","","","","","","","","","","","","","","END ROW";"Exclude - Not relevant","","Campbells fertilisers Australia","Asco Plus","Asco Plus - Campbells Fertilisers Australasia","","Organic - Do not include","","","","","","","","","","","","","","","","","","","","","","","","","END ROW";"Exclude - Not relevant","","Campbells fertilisers Australia","Asco Rhizo Plus","Asco Rhizo Plus - Campbells Fertilisers Australasia","","Biostimulant - Do not include","","","","","","","","","","","","","","","","","","","","","","","","","END ROW";"Exclude - Not relevant","","Campbells fertilisers Australia","Benefit PZ","Benefit PZ - Campbells Fertilisers Australasia","","Not fertiliser - Do not include","","","","","","","","","","","","","","","","","","","","","","","","","END ROW";"Include - Absent ingredients &lt; 2%","Amount of urea calculated from urea nitrogen amount","Campbells fertilisers Australia","Boost-It","Boost-It - Campbells Fertilisers Australasia","Website SDS","","kg",1,"","","Urea",0.52173913,"Potassium - Generic",0.08,"Sulfur - Generic",0.053,"Phosphorus - Generic",0.052,"Magnesium",0.013,"Zinc",0.002,"Manganese",0.0035,"Iron",0.0013,"Copper",0.0007,"Boron",0.0007,"END ROW";"Exclude - Not relevant","","Campbells fertilisers Australia","Boroplus","Boroplus - Campbells Fertilisers Australasia","","Not fertiliser - Do not include","","","","","","","","","","","","","","","","","","","","","","","","","END ROW";"Exclude - Not relevant","","Campbells fertilisers Australia","Brevisol Range","BreviSol Range - Campbells Fertilisers Australasia","","Not fertiliser - Do not include","","","","","","","","","","","","","","","","","","","","","","","","","END ROW";"Exclude - Not relevant","","Campbells fertilisers Australia","Brexil Line","Brexil Line - Campbells Fertilisers Australasia","","Not fertiliser - Do not include","","","","","","","","","","","","","","","","","","","","","","","","","END ROW";"Include","","Campbells fertilisers Australia","Bronze","Bronze - Campbells Fertilisers Australasia","Website","","kg","","","","Muriate of Potash (MOP)",0.232,"Nitrogen - Generic",0.17,"Sulfur - Generic",0.005,"Magnesium",0.0024,"Phosphorus - Generic",0.0004,"","","","","","","","","","","END ROW";"Exclude - Absent ingredients &gt; 2%","","Campbells fertilisers Australia","Bud-Wiser Dry","Bud-Wiser Dry - Campbells Fertilisers Australasia","","","kg","","","","Sulfur - Generic",0.094,"Magnesium",0.06,"Boron",0.045,"Zinc",0.027,"","","","","","","","","","","","","END ROW";"Exclude - Not relevant","","Campbells fertilisers Australia","Calbit C","Calbit C - Campbells Fertilisers Australasia","","Not fertiliser - Do not include","L","","","","","","","","","","","","","","","","","","","","","","","","END ROW";"Exclude - Not relevant","","Campbells fertilisers Australia","Calcium 175","Calcium 175 - Campbells Fertilisers Australasia","","Not fertiliser - Do not include","L","","","","","","","","","","","","","","","","","","","","","","","","END ROW";"Include","Use Lime EF for calcium","Campbells fertilisers Australia","CalPhos","Calphos - Campbells Fertilisers Australasia","Website","","L",1.285,"","","Phosphorus - Generic",0.135,"Calcium - Generic",0.04,"","","","","","","","","","","","","","","","","END ROW"}, _xlpm.r, _xlpm.c))))</definedName>
    <definedName name="Fertiliser_SourceData.Fertiliser_Products_Data1" localSheetId="17">_xlfn.LAMBDA(_xlfn.MAKEARRAY(39, 32, _xlfn.LAMBDA(_xlpm.r,_xlpm.c, INDEX({"Include or exclude","Notes","Company","Product Name","Link","Data source","Source images","Unit","Density (l to kg)","Urea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percent","END ROW";"Include","","Campbells fertilisers Australia","Aqua Finish","Aqua Finish - Campbells Fertilisers Australasia","Website","","L",1.26,"","","Potassium - Generic",0.225,"Phosphorus - Generic",0.04,"Nitrogen - Generic",0.026,"","","","","","","","","","","","","","","END ROW";"Include","","Campbells fertilisers Australia","Aqua Grow","Aqua Grow - Campbells Fertilisers Australasia","Website","","L",1.26,"","","Potassium - Generic",0.105,"Nitrogen - Generic",0.096,"Phosphorus - Generic",0.05,"","","","","","","","","","","","","","","END ROW";"Include","","Campbells fertilisers Australia","Aqua Nitro AN","Aqua Nitro AN - Campbells Fertilisers Australasia","Website. Brochure","","L",1.24,"","","Nitrogen - Ammoniacal",0.223,"","","","","","","","","","","","","","","","","","","END ROW";"Include","Use Lime EF for calcium","Campbells fertilisers Australia","Aqua NitroCal","Aqua NitroCal - Campbells Fertilisers Australasia","Website SDS","","L",1.5,"","","Calcium - Generic",0.162,"Nitrogen - Nitrate",0.132,"","","","","","","","","","","","","","","","","END ROW";"Include","Use Lime EF for calcium","Campbells fertilisers Australia","Aqua NitroCal (VI)","Aqua NitroCal (VI) - Campbells Fertilisers Australasia","Website SDS","","L",1.5,"","","Calcium - Generic",0.187,"Nitrogen - Nitrate",0.132,"","","","","","","","","","","","","","","","","END ROW";"Include","Use Lime EF for calcium","Campbells fertilisers Australia","Aqua NitroCal Ultimate","Aqua NitroCal Ultimate - Campbells Fertilisers Australasia","Website SDS","","L",1.5,"","","Calcium - Generic",0.183,"Nitrogen  - Nitrate",0.132,"","","","","","","","","","","","","","","","","END ROW";"Include","","Campbells fertilisers Australia","Aqua Start","Aqua Start - Campbells Fertilisers Australasia","Website SDS","","L",1.25,"","","Nitrogen - Generic",0.103,"Phosphorus - Generic",0.1,"Potassium - Generic",0.034,"","","","","","","","","","","","","","","END ROW";"Include","","Campbells fertilisers Australia","Aqua Thio-Complete","Aqua Thio-Complete - Campbells Fertilisers Australasia","Website SDS","","L",1.43,"","","Potassium - Generic",0.225,"Phosphorus - Generic",0.038,"Nitrogen - Generic",0.025,"","","","","","","","","","","","","","","END ROW";"Include","","Campbells fertilisers Australia","Aqua Thio-Emerge","Aqua Thio-Emerge - Campbells Fertilisers Australasia","Website SDS","","L",1.29,"","","Nitrogen - Generic",0.105,"Phosphorus - Generic",0.094,"Potassium - Generic",0.04,"Sulfur - Generic",0.03,"","","","","","","","","","","","","END ROW";"Include","","Campbells fertilisers Australia","Aqua Thio-Flourish","Aqua Thio-Flourish - Campbells Fertilisers Australasia","Website SDS","","L",1.32,"","","Potassium - Generic",0.108,"Nitrogen - Generic",0.095,"Sulfur - Generic",0.081,"Phosphorus - Generic",0.047,"","","","","","","","","","","","","END ROW";"Exclude - Not relevant","","Campbells fertilisers Australia","Asco Fol Plus","Asco Fol Plus - Campbells Fertilisers Australasia","","Organic - Do not include","","","","","","","","","","","","","","","","","","","","","","","","","END ROW";"Exclude - Not relevant","","Campbells fertilisers Australia","Asco Plus","Asco Plus - Campbells Fertilisers Australasia","","Organic - Do not include","","","","","","","","","","","","","","","","","","","","","","","","","END ROW";"Exclude - Not relevant","","Campbells fertilisers Australia","Asco Rhizo Plus","Asco Rhizo Plus - Campbells Fertilisers Australasia","","Biostimulant - Do not include","","","","","","","","","","","","","","","","","","","","","","","","","END ROW";"Exclude - Not relevant","","Campbells fertilisers Australia","Benefit PZ","Benefit PZ - Campbells Fertilisers Australasia","","Not fertiliser - Do not include","","","","","","","","","","","","","","","","","","","","","","","","","END ROW";"Include - Absent ingredients &lt; 2%","Amount of urea calculated from urea nitrogen amount","Campbells fertilisers Australia","Boost-It","Boost-It - Campbells Fertilisers Australasia","Website SDS","","kg",1,"","","Urea",0.52173913,"Potassium - Generic",0.08,"Sulfur - Generic",0.053,"Phosphorus - Generic",0.052,"Magnesium",0.013,"Zinc",0.002,"Manganese",0.0035,"Iron",0.0013,"Copper",0.0007,"Boron",0.0007,"END ROW";"Exclude - Not relevant","","Campbells fertilisers Australia","Boroplus","Boroplus - Campbells Fertilisers Australasia","","Not fertiliser - Do not include","","","","","","","","","","","","","","","","","","","","","","","","","END ROW";"Exclude - Not relevant","","Campbells fertilisers Australia","Brevisol Range","BreviSol Range - Campbells Fertilisers Australasia","","Not fertiliser - Do not include","","","","","","","","","","","","","","","","","","","","","","","","","END ROW";"Exclude - Not relevant","","Campbells fertilisers Australia","Brexil Line","Brexil Line - Campbells Fertilisers Australasia","","Not fertiliser - Do not include","","","","","","","","","","","","","","","","","","","","","","","","","END ROW";"Include","","Campbells fertilisers Australia","Bronze","Bronze - Campbells Fertilisers Australasia","Website","","kg","","","","Muriate of Potash (MOP)",0.232,"Nitrogen - Generic",0.17,"Sulfur - Generic",0.005,"Magnesium",0.0024,"Phosphorus - Generic",0.0004,"","","","","","","","","","","END ROW";"Exclude - Absent ingredients &gt; 2%","","Campbells fertilisers Australia","Bud-Wiser Dry","Bud-Wiser Dry - Campbells Fertilisers Australasia","","","kg","","","","Sulfur - Generic",0.094,"Magnesium",0.06,"Boron",0.045,"Zinc",0.027,"","","","","","","","","","","","","END ROW";"Exclude - Not relevant","","Campbells fertilisers Australia","Calbit C","Calbit C - Campbells Fertilisers Australasia","","Not fertiliser - Do not include","L","","","","","","","","","","","","","","","","","","","","","","","","END ROW";"Exclude - Not relevant","","Campbells fertilisers Australia","Calcium 175","Calcium 175 - Campbells Fertilisers Australasia","","Not fertiliser - Do not include","L","","","","","","","","","","","","","","","","","","","","","","","","END ROW";"Include","Use Lime EF for calcium","Campbells fertilisers Australia","CalPhos","Calphos - Campbells Fertilisers Australasia","Website","","L",1.285,"","","Phosphorus - Generic",0.135,"Calcium - Generic",0.04,"","","","","","","","","","","","","","","","","END ROW"}, _xlpm.r, _xlpm.c))))</definedName>
    <definedName name="Fertiliser_SourceData.Fertiliser_Products_Data1" localSheetId="18">_xlfn.LAMBDA(_xlfn.MAKEARRAY(39, 32, _xlfn.LAMBDA(_xlpm.r,_xlpm.c, INDEX({"Include or exclude","Notes","Company","Product Name","Link","Data source","Source images","Unit","Density (l to kg)","Urea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percent","END ROW";"Include","","Campbells fertilisers Australia","Aqua Finish","Aqua Finish - Campbells Fertilisers Australasia","Website","","L",1.26,"","","Potassium - Generic",0.225,"Phosphorus - Generic",0.04,"Nitrogen - Generic",0.026,"","","","","","","","","","","","","","","END ROW";"Include","","Campbells fertilisers Australia","Aqua Grow","Aqua Grow - Campbells Fertilisers Australasia","Website","","L",1.26,"","","Potassium - Generic",0.105,"Nitrogen - Generic",0.096,"Phosphorus - Generic",0.05,"","","","","","","","","","","","","","","END ROW";"Include","","Campbells fertilisers Australia","Aqua Nitro AN","Aqua Nitro AN - Campbells Fertilisers Australasia","Website. Brochure","","L",1.24,"","","Nitrogen - Ammoniacal",0.223,"","","","","","","","","","","","","","","","","","","END ROW";"Include","Use Lime EF for calcium","Campbells fertilisers Australia","Aqua NitroCal","Aqua NitroCal - Campbells Fertilisers Australasia","Website SDS","","L",1.5,"","","Calcium - Generic",0.162,"Nitrogen - Nitrate",0.132,"","","","","","","","","","","","","","","","","END ROW";"Include","Use Lime EF for calcium","Campbells fertilisers Australia","Aqua NitroCal (VI)","Aqua NitroCal (VI) - Campbells Fertilisers Australasia","Website SDS","","L",1.5,"","","Calcium - Generic",0.187,"Nitrogen - Nitrate",0.132,"","","","","","","","","","","","","","","","","END ROW";"Include","Use Lime EF for calcium","Campbells fertilisers Australia","Aqua NitroCal Ultimate","Aqua NitroCal Ultimate - Campbells Fertilisers Australasia","Website SDS","","L",1.5,"","","Calcium - Generic",0.183,"Nitrogen  - Nitrate",0.132,"","","","","","","","","","","","","","","","","END ROW";"Include","","Campbells fertilisers Australia","Aqua Start","Aqua Start - Campbells Fertilisers Australasia","Website SDS","","L",1.25,"","","Nitrogen - Generic",0.103,"Phosphorus - Generic",0.1,"Potassium - Generic",0.034,"","","","","","","","","","","","","","","END ROW";"Include","","Campbells fertilisers Australia","Aqua Thio-Complete","Aqua Thio-Complete - Campbells Fertilisers Australasia","Website SDS","","L",1.43,"","","Potassium - Generic",0.225,"Phosphorus - Generic",0.038,"Nitrogen - Generic",0.025,"","","","","","","","","","","","","","","END ROW";"Include","","Campbells fertilisers Australia","Aqua Thio-Emerge","Aqua Thio-Emerge - Campbells Fertilisers Australasia","Website SDS","","L",1.29,"","","Nitrogen - Generic",0.105,"Phosphorus - Generic",0.094,"Potassium - Generic",0.04,"Sulfur - Generic",0.03,"","","","","","","","","","","","","END ROW";"Include","","Campbells fertilisers Australia","Aqua Thio-Flourish","Aqua Thio-Flourish - Campbells Fertilisers Australasia","Website SDS","","L",1.32,"","","Potassium - Generic",0.108,"Nitrogen - Generic",0.095,"Sulfur - Generic",0.081,"Phosphorus - Generic",0.047,"","","","","","","","","","","","","END ROW";"Exclude - Not relevant","","Campbells fertilisers Australia","Asco Fol Plus","Asco Fol Plus - Campbells Fertilisers Australasia","","Organic - Do not include","","","","","","","","","","","","","","","","","","","","","","","","","END ROW";"Exclude - Not relevant","","Campbells fertilisers Australia","Asco Plus","Asco Plus - Campbells Fertilisers Australasia","","Organic - Do not include","","","","","","","","","","","","","","","","","","","","","","","","","END ROW";"Exclude - Not relevant","","Campbells fertilisers Australia","Asco Rhizo Plus","Asco Rhizo Plus - Campbells Fertilisers Australasia","","Biostimulant - Do not include","","","","","","","","","","","","","","","","","","","","","","","","","END ROW";"Exclude - Not relevant","","Campbells fertilisers Australia","Benefit PZ","Benefit PZ - Campbells Fertilisers Australasia","","Not fertiliser - Do not include","","","","","","","","","","","","","","","","","","","","","","","","","END ROW";"Include - Absent ingredients &lt; 2%","Amount of urea calculated from urea nitrogen amount","Campbells fertilisers Australia","Boost-It","Boost-It - Campbells Fertilisers Australasia","Website SDS","","kg",1,"","","Urea",0.52173913,"Potassium - Generic",0.08,"Sulfur - Generic",0.053,"Phosphorus - Generic",0.052,"Magnesium",0.013,"Zinc",0.002,"Manganese",0.0035,"Iron",0.0013,"Copper",0.0007,"Boron",0.0007,"END ROW";"Exclude - Not relevant","","Campbells fertilisers Australia","Boroplus","Boroplus - Campbells Fertilisers Australasia","","Not fertiliser - Do not include","","","","","","","","","","","","","","","","","","","","","","","","","END ROW";"Exclude - Not relevant","","Campbells fertilisers Australia","Brevisol Range","BreviSol Range - Campbells Fertilisers Australasia","","Not fertiliser - Do not include","","","","","","","","","","","","","","","","","","","","","","","","","END ROW";"Exclude - Not relevant","","Campbells fertilisers Australia","Brexil Line","Brexil Line - Campbells Fertilisers Australasia","","Not fertiliser - Do not include","","","","","","","","","","","","","","","","","","","","","","","","","END ROW";"Include","","Campbells fertilisers Australia","Bronze","Bronze - Campbells Fertilisers Australasia","Website","","kg","","","","Muriate of Potash (MOP)",0.232,"Nitrogen - Generic",0.17,"Sulfur - Generic",0.005,"Magnesium",0.0024,"Phosphorus - Generic",0.0004,"","","","","","","","","","","END ROW";"Exclude - Absent ingredients &gt; 2%","","Campbells fertilisers Australia","Bud-Wiser Dry","Bud-Wiser Dry - Campbells Fertilisers Australasia","","","kg","","","","Sulfur - Generic",0.094,"Magnesium",0.06,"Boron",0.045,"Zinc",0.027,"","","","","","","","","","","","","END ROW";"Exclude - Not relevant","","Campbells fertilisers Australia","Calbit C","Calbit C - Campbells Fertilisers Australasia","","Not fertiliser - Do not include","L","","","","","","","","","","","","","","","","","","","","","","","","END ROW";"Exclude - Not relevant","","Campbells fertilisers Australia","Calcium 175","Calcium 175 - Campbells Fertilisers Australasia","","Not fertiliser - Do not include","L","","","","","","","","","","","","","","","","","","","","","","","","END ROW";"Include","Use Lime EF for calcium","Campbells fertilisers Australia","CalPhos","Calphos - Campbells Fertilisers Australasia","Website","","L",1.285,"","","Phosphorus - Generic",0.135,"Calcium - Generic",0.04,"","","","","","","","","","","","","","","","","END ROW"}, _xlpm.r, _xlpm.c))))</definedName>
    <definedName name="Fertiliser_SourceData.Fertiliser_Products_Data1" localSheetId="19">_xlfn.LAMBDA(_xlfn.MAKEARRAY(39, 32, _xlfn.LAMBDA(_xlpm.r,_xlpm.c, INDEX({"Include or exclude","Notes","Company","Product Name","Link","Data source","Source images","Unit","Density (l to kg)","Urea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percent","END ROW";"Include","","Campbells fertilisers Australia","Aqua Finish","Aqua Finish - Campbells Fertilisers Australasia","Website","","L",1.26,"","","Potassium - Generic",0.225,"Phosphorus - Generic",0.04,"Nitrogen - Generic",0.026,"","","","","","","","","","","","","","","END ROW";"Include","","Campbells fertilisers Australia","Aqua Grow","Aqua Grow - Campbells Fertilisers Australasia","Website","","L",1.26,"","","Potassium - Generic",0.105,"Nitrogen - Generic",0.096,"Phosphorus - Generic",0.05,"","","","","","","","","","","","","","","END ROW";"Include","","Campbells fertilisers Australia","Aqua Nitro AN","Aqua Nitro AN - Campbells Fertilisers Australasia","Website. Brochure","","L",1.24,"","","Nitrogen - Ammoniacal",0.223,"","","","","","","","","","","","","","","","","","","END ROW";"Include","Use Lime EF for calcium","Campbells fertilisers Australia","Aqua NitroCal","Aqua NitroCal - Campbells Fertilisers Australasia","Website SDS","","L",1.5,"","","Calcium - Generic",0.162,"Nitrogen - Nitrate",0.132,"","","","","","","","","","","","","","","","","END ROW";"Include","Use Lime EF for calcium","Campbells fertilisers Australia","Aqua NitroCal (VI)","Aqua NitroCal (VI) - Campbells Fertilisers Australasia","Website SDS","","L",1.5,"","","Calcium - Generic",0.187,"Nitrogen - Nitrate",0.132,"","","","","","","","","","","","","","","","","END ROW";"Include","Use Lime EF for calcium","Campbells fertilisers Australia","Aqua NitroCal Ultimate","Aqua NitroCal Ultimate - Campbells Fertilisers Australasia","Website SDS","","L",1.5,"","","Calcium - Generic",0.183,"Nitrogen  - Nitrate",0.132,"","","","","","","","","","","","","","","","","END ROW";"Include","","Campbells fertilisers Australia","Aqua Start","Aqua Start - Campbells Fertilisers Australasia","Website SDS","","L",1.25,"","","Nitrogen - Generic",0.103,"Phosphorus - Generic",0.1,"Potassium - Generic",0.034,"","","","","","","","","","","","","","","END ROW";"Include","","Campbells fertilisers Australia","Aqua Thio-Complete","Aqua Thio-Complete - Campbells Fertilisers Australasia","Website SDS","","L",1.43,"","","Potassium - Generic",0.225,"Phosphorus - Generic",0.038,"Nitrogen - Generic",0.025,"","","","","","","","","","","","","","","END ROW";"Include","","Campbells fertilisers Australia","Aqua Thio-Emerge","Aqua Thio-Emerge - Campbells Fertilisers Australasia","Website SDS","","L",1.29,"","","Nitrogen - Generic",0.105,"Phosphorus - Generic",0.094,"Potassium - Generic",0.04,"Sulfur - Generic",0.03,"","","","","","","","","","","","","END ROW";"Include","","Campbells fertilisers Australia","Aqua Thio-Flourish","Aqua Thio-Flourish - Campbells Fertilisers Australasia","Website SDS","","L",1.32,"","","Potassium - Generic",0.108,"Nitrogen - Generic",0.095,"Sulfur - Generic",0.081,"Phosphorus - Generic",0.047,"","","","","","","","","","","","","END ROW";"Exclude - Not relevant","","Campbells fertilisers Australia","Asco Fol Plus","Asco Fol Plus - Campbells Fertilisers Australasia","","Organic - Do not include","","","","","","","","","","","","","","","","","","","","","","","","","END ROW";"Exclude - Not relevant","","Campbells fertilisers Australia","Asco Plus","Asco Plus - Campbells Fertilisers Australasia","","Organic - Do not include","","","","","","","","","","","","","","","","","","","","","","","","","END ROW";"Exclude - Not relevant","","Campbells fertilisers Australia","Asco Rhizo Plus","Asco Rhizo Plus - Campbells Fertilisers Australasia","","Biostimulant - Do not include","","","","","","","","","","","","","","","","","","","","","","","","","END ROW";"Exclude - Not relevant","","Campbells fertilisers Australia","Benefit PZ","Benefit PZ - Campbells Fertilisers Australasia","","Not fertiliser - Do not include","","","","","","","","","","","","","","","","","","","","","","","","","END ROW";"Include - Absent ingredients &lt; 2%","Amount of urea calculated from urea nitrogen amount","Campbells fertilisers Australia","Boost-It","Boost-It - Campbells Fertilisers Australasia","Website SDS","","kg",1,"","","Urea",0.52173913,"Potassium - Generic",0.08,"Sulfur - Generic",0.053,"Phosphorus - Generic",0.052,"Magnesium",0.013,"Zinc",0.002,"Manganese",0.0035,"Iron",0.0013,"Copper",0.0007,"Boron",0.0007,"END ROW";"Exclude - Not relevant","","Campbells fertilisers Australia","Boroplus","Boroplus - Campbells Fertilisers Australasia","","Not fertiliser - Do not include","","","","","","","","","","","","","","","","","","","","","","","","","END ROW";"Exclude - Not relevant","","Campbells fertilisers Australia","Brevisol Range","BreviSol Range - Campbells Fertilisers Australasia","","Not fertiliser - Do not include","","","","","","","","","","","","","","","","","","","","","","","","","END ROW";"Exclude - Not relevant","","Campbells fertilisers Australia","Brexil Line","Brexil Line - Campbells Fertilisers Australasia","","Not fertiliser - Do not include","","","","","","","","","","","","","","","","","","","","","","","","","END ROW";"Include","","Campbells fertilisers Australia","Bronze","Bronze - Campbells Fertilisers Australasia","Website","","kg","","","","Muriate of Potash (MOP)",0.232,"Nitrogen - Generic",0.17,"Sulfur - Generic",0.005,"Magnesium",0.0024,"Phosphorus - Generic",0.0004,"","","","","","","","","","","END ROW";"Exclude - Absent ingredients &gt; 2%","","Campbells fertilisers Australia","Bud-Wiser Dry","Bud-Wiser Dry - Campbells Fertilisers Australasia","","","kg","","","","Sulfur - Generic",0.094,"Magnesium",0.06,"Boron",0.045,"Zinc",0.027,"","","","","","","","","","","","","END ROW";"Exclude - Not relevant","","Campbells fertilisers Australia","Calbit C","Calbit C - Campbells Fertilisers Australasia","","Not fertiliser - Do not include","L","","","","","","","","","","","","","","","","","","","","","","","","END ROW";"Exclude - Not relevant","","Campbells fertilisers Australia","Calcium 175","Calcium 175 - Campbells Fertilisers Australasia","","Not fertiliser - Do not include","L","","","","","","","","","","","","","","","","","","","","","","","","END ROW";"Include","Use Lime EF for calcium","Campbells fertilisers Australia","CalPhos","Calphos - Campbells Fertilisers Australasia","Website","","L",1.285,"","","Phosphorus - Generic",0.135,"Calcium - Generic",0.04,"","","","","","","","","","","","","","","","","END ROW"}, _xlpm.r, _xlpm.c))))</definedName>
    <definedName name="Fertiliser_SourceData.Fertiliser_Products_Data1" localSheetId="20">_xlfn.LAMBDA(_xlfn.MAKEARRAY(39, 32, _xlfn.LAMBDA(_xlpm.r,_xlpm.c, INDEX({"Include or exclude","Notes","Company","Product Name","Link","Data source","Source images","Unit","Density (l to kg)","Urea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percent","END ROW";"Include","","Campbells fertilisers Australia","Aqua Finish","Aqua Finish - Campbells Fertilisers Australasia","Website","","L",1.26,"","","Potassium - Generic",0.225,"Phosphorus - Generic",0.04,"Nitrogen - Generic",0.026,"","","","","","","","","","","","","","","END ROW";"Include","","Campbells fertilisers Australia","Aqua Grow","Aqua Grow - Campbells Fertilisers Australasia","Website","","L",1.26,"","","Potassium - Generic",0.105,"Nitrogen - Generic",0.096,"Phosphorus - Generic",0.05,"","","","","","","","","","","","","","","END ROW";"Include","","Campbells fertilisers Australia","Aqua Nitro AN","Aqua Nitro AN - Campbells Fertilisers Australasia","Website. Brochure","","L",1.24,"","","Nitrogen - Ammoniacal",0.223,"","","","","","","","","","","","","","","","","","","END ROW";"Include","Use Lime EF for calcium","Campbells fertilisers Australia","Aqua NitroCal","Aqua NitroCal - Campbells Fertilisers Australasia","Website SDS","","L",1.5,"","","Calcium - Generic",0.162,"Nitrogen - Nitrate",0.132,"","","","","","","","","","","","","","","","","END ROW";"Include","Use Lime EF for calcium","Campbells fertilisers Australia","Aqua NitroCal (VI)","Aqua NitroCal (VI) - Campbells Fertilisers Australasia","Website SDS","","L",1.5,"","","Calcium - Generic",0.187,"Nitrogen - Nitrate",0.132,"","","","","","","","","","","","","","","","","END ROW";"Include","Use Lime EF for calcium","Campbells fertilisers Australia","Aqua NitroCal Ultimate","Aqua NitroCal Ultimate - Campbells Fertilisers Australasia","Website SDS","","L",1.5,"","","Calcium - Generic",0.183,"Nitrogen  - Nitrate",0.132,"","","","","","","","","","","","","","","","","END ROW";"Include","","Campbells fertilisers Australia","Aqua Start","Aqua Start - Campbells Fertilisers Australasia","Website SDS","","L",1.25,"","","Nitrogen - Generic",0.103,"Phosphorus - Generic",0.1,"Potassium - Generic",0.034,"","","","","","","","","","","","","","","END ROW";"Include","","Campbells fertilisers Australia","Aqua Thio-Complete","Aqua Thio-Complete - Campbells Fertilisers Australasia","Website SDS","","L",1.43,"","","Potassium - Generic",0.225,"Phosphorus - Generic",0.038,"Nitrogen - Generic",0.025,"","","","","","","","","","","","","","","END ROW";"Include","","Campbells fertilisers Australia","Aqua Thio-Emerge","Aqua Thio-Emerge - Campbells Fertilisers Australasia","Website SDS","","L",1.29,"","","Nitrogen - Generic",0.105,"Phosphorus - Generic",0.094,"Potassium - Generic",0.04,"Sulfur - Generic",0.03,"","","","","","","","","","","","","END ROW";"Include","","Campbells fertilisers Australia","Aqua Thio-Flourish","Aqua Thio-Flourish - Campbells Fertilisers Australasia","Website SDS","","L",1.32,"","","Potassium - Generic",0.108,"Nitrogen - Generic",0.095,"Sulfur - Generic",0.081,"Phosphorus - Generic",0.047,"","","","","","","","","","","","","END ROW";"Exclude - Not relevant","","Campbells fertilisers Australia","Asco Fol Plus","Asco Fol Plus - Campbells Fertilisers Australasia","","Organic - Do not include","","","","","","","","","","","","","","","","","","","","","","","","","END ROW";"Exclude - Not relevant","","Campbells fertilisers Australia","Asco Plus","Asco Plus - Campbells Fertilisers Australasia","","Organic - Do not include","","","","","","","","","","","","","","","","","","","","","","","","","END ROW";"Exclude - Not relevant","","Campbells fertilisers Australia","Asco Rhizo Plus","Asco Rhizo Plus - Campbells Fertilisers Australasia","","Biostimulant - Do not include","","","","","","","","","","","","","","","","","","","","","","","","","END ROW";"Exclude - Not relevant","","Campbells fertilisers Australia","Benefit PZ","Benefit PZ - Campbells Fertilisers Australasia","","Not fertiliser - Do not include","","","","","","","","","","","","","","","","","","","","","","","","","END ROW";"Include - Absent ingredients &lt; 2%","Amount of urea calculated from urea nitrogen amount","Campbells fertilisers Australia","Boost-It","Boost-It - Campbells Fertilisers Australasia","Website SDS","","kg",1,"","","Urea",0.52173913,"Potassium - Generic",0.08,"Sulfur - Generic",0.053,"Phosphorus - Generic",0.052,"Magnesium",0.013,"Zinc",0.002,"Manganese",0.0035,"Iron",0.0013,"Copper",0.0007,"Boron",0.0007,"END ROW";"Exclude - Not relevant","","Campbells fertilisers Australia","Boroplus","Boroplus - Campbells Fertilisers Australasia","","Not fertiliser - Do not include","","","","","","","","","","","","","","","","","","","","","","","","","END ROW";"Exclude - Not relevant","","Campbells fertilisers Australia","Brevisol Range","BreviSol Range - Campbells Fertilisers Australasia","","Not fertiliser - Do not include","","","","","","","","","","","","","","","","","","","","","","","","","END ROW";"Exclude - Not relevant","","Campbells fertilisers Australia","Brexil Line","Brexil Line - Campbells Fertilisers Australasia","","Not fertiliser - Do not include","","","","","","","","","","","","","","","","","","","","","","","","","END ROW";"Include","","Campbells fertilisers Australia","Bronze","Bronze - Campbells Fertilisers Australasia","Website","","kg","","","","Muriate of Potash (MOP)",0.232,"Nitrogen - Generic",0.17,"Sulfur - Generic",0.005,"Magnesium",0.0024,"Phosphorus - Generic",0.0004,"","","","","","","","","","","END ROW";"Exclude - Absent ingredients &gt; 2%","","Campbells fertilisers Australia","Bud-Wiser Dry","Bud-Wiser Dry - Campbells Fertilisers Australasia","","","kg","","","","Sulfur - Generic",0.094,"Magnesium",0.06,"Boron",0.045,"Zinc",0.027,"","","","","","","","","","","","","END ROW";"Exclude - Not relevant","","Campbells fertilisers Australia","Calbit C","Calbit C - Campbells Fertilisers Australasia","","Not fertiliser - Do not include","L","","","","","","","","","","","","","","","","","","","","","","","","END ROW";"Exclude - Not relevant","","Campbells fertilisers Australia","Calcium 175","Calcium 175 - Campbells Fertilisers Australasia","","Not fertiliser - Do not include","L","","","","","","","","","","","","","","","","","","","","","","","","END ROW";"Include","Use Lime EF for calcium","Campbells fertilisers Australia","CalPhos","Calphos - Campbells Fertilisers Australasia","Website","","L",1.285,"","","Phosphorus - Generic",0.135,"Calcium - Generic",0.04,"","","","","","","","","","","","","","","","","END ROW"}, _xlpm.r, _xlpm.c))))</definedName>
    <definedName name="Fertiliser_SourceData.Fertiliser_Products_Data1" localSheetId="30">_xlfn.LAMBDA(_xlfn.MAKEARRAY(39, 32, _xlfn.LAMBDA(_xlpm.r,_xlpm.c, INDEX({"Include or exclude","Notes","Company","Product Name","Link","Data source","Source images","Unit","Density (l to kg)","Urea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percent","END ROW";"Include","","Campbells fertilisers Australia","Aqua Finish","Aqua Finish - Campbells Fertilisers Australasia","Website","","L",1.26,"","","Potassium - Generic",0.225,"Phosphorus - Generic",0.04,"Nitrogen - Generic",0.026,"","","","","","","","","","","","","","","END ROW";"Include","","Campbells fertilisers Australia","Aqua Grow","Aqua Grow - Campbells Fertilisers Australasia","Website","","L",1.26,"","","Potassium - Generic",0.105,"Nitrogen - Generic",0.096,"Phosphorus - Generic",0.05,"","","","","","","","","","","","","","","END ROW";"Include","","Campbells fertilisers Australia","Aqua Nitro AN","Aqua Nitro AN - Campbells Fertilisers Australasia","Website. Brochure","","L",1.24,"","","Nitrogen - Ammoniacal",0.223,"","","","","","","","","","","","","","","","","","","END ROW";"Include","Use Lime EF for calcium","Campbells fertilisers Australia","Aqua NitroCal","Aqua NitroCal - Campbells Fertilisers Australasia","Website SDS","","L",1.5,"","","Calcium - Generic",0.162,"Nitrogen - Nitrate",0.132,"","","","","","","","","","","","","","","","","END ROW";"Include","Use Lime EF for calcium","Campbells fertilisers Australia","Aqua NitroCal (VI)","Aqua NitroCal (VI) - Campbells Fertilisers Australasia","Website SDS","","L",1.5,"","","Calcium - Generic",0.187,"Nitrogen - Nitrate",0.132,"","","","","","","","","","","","","","","","","END ROW";"Include","Use Lime EF for calcium","Campbells fertilisers Australia","Aqua NitroCal Ultimate","Aqua NitroCal Ultimate - Campbells Fertilisers Australasia","Website SDS","","L",1.5,"","","Calcium - Generic",0.183,"Nitrogen  - Nitrate",0.132,"","","","","","","","","","","","","","","","","END ROW";"Include","","Campbells fertilisers Australia","Aqua Start","Aqua Start - Campbells Fertilisers Australasia","Website SDS","","L",1.25,"","","Nitrogen - Generic",0.103,"Phosphorus - Generic",0.1,"Potassium - Generic",0.034,"","","","","","","","","","","","","","","END ROW";"Include","","Campbells fertilisers Australia","Aqua Thio-Complete","Aqua Thio-Complete - Campbells Fertilisers Australasia","Website SDS","","L",1.43,"","","Potassium - Generic",0.225,"Phosphorus - Generic",0.038,"Nitrogen - Generic",0.025,"","","","","","","","","","","","","","","END ROW";"Include","","Campbells fertilisers Australia","Aqua Thio-Emerge","Aqua Thio-Emerge - Campbells Fertilisers Australasia","Website SDS","","L",1.29,"","","Nitrogen - Generic",0.105,"Phosphorus - Generic",0.094,"Potassium - Generic",0.04,"Sulfur - Generic",0.03,"","","","","","","","","","","","","END ROW";"Include","","Campbells fertilisers Australia","Aqua Thio-Flourish","Aqua Thio-Flourish - Campbells Fertilisers Australasia","Website SDS","","L",1.32,"","","Potassium - Generic",0.108,"Nitrogen - Generic",0.095,"Sulfur - Generic",0.081,"Phosphorus - Generic",0.047,"","","","","","","","","","","","","END ROW";"Exclude - Not relevant","","Campbells fertilisers Australia","Asco Fol Plus","Asco Fol Plus - Campbells Fertilisers Australasia","","Organic - Do not include","","","","","","","","","","","","","","","","","","","","","","","","","END ROW";"Exclude - Not relevant","","Campbells fertilisers Australia","Asco Plus","Asco Plus - Campbells Fertilisers Australasia","","Organic - Do not include","","","","","","","","","","","","","","","","","","","","","","","","","END ROW";"Exclude - Not relevant","","Campbells fertilisers Australia","Asco Rhizo Plus","Asco Rhizo Plus - Campbells Fertilisers Australasia","","Biostimulant - Do not include","","","","","","","","","","","","","","","","","","","","","","","","","END ROW";"Exclude - Not relevant","","Campbells fertilisers Australia","Benefit PZ","Benefit PZ - Campbells Fertilisers Australasia","","Not fertiliser - Do not include","","","","","","","","","","","","","","","","","","","","","","","","","END ROW";"Include - Absent ingredients &lt; 2%","Amount of urea calculated from urea nitrogen amount","Campbells fertilisers Australia","Boost-It","Boost-It - Campbells Fertilisers Australasia","Website SDS","","kg",1,"","","Urea",0.52173913,"Potassium - Generic",0.08,"Sulfur - Generic",0.053,"Phosphorus - Generic",0.052,"Magnesium",0.013,"Zinc",0.002,"Manganese",0.0035,"Iron",0.0013,"Copper",0.0007,"Boron",0.0007,"END ROW";"Exclude - Not relevant","","Campbells fertilisers Australia","Boroplus","Boroplus - Campbells Fertilisers Australasia","","Not fertiliser - Do not include","","","","","","","","","","","","","","","","","","","","","","","","","END ROW";"Exclude - Not relevant","","Campbells fertilisers Australia","Brevisol Range","BreviSol Range - Campbells Fertilisers Australasia","","Not fertiliser - Do not include","","","","","","","","","","","","","","","","","","","","","","","","","END ROW";"Exclude - Not relevant","","Campbells fertilisers Australia","Brexil Line","Brexil Line - Campbells Fertilisers Australasia","","Not fertiliser - Do not include","","","","","","","","","","","","","","","","","","","","","","","","","END ROW";"Include","","Campbells fertilisers Australia","Bronze","Bronze - Campbells Fertilisers Australasia","Website","","kg","","","","Muriate of Potash (MOP)",0.232,"Nitrogen - Generic",0.17,"Sulfur - Generic",0.005,"Magnesium",0.0024,"Phosphorus - Generic",0.0004,"","","","","","","","","","","END ROW";"Exclude - Absent ingredients &gt; 2%","","Campbells fertilisers Australia","Bud-Wiser Dry","Bud-Wiser Dry - Campbells Fertilisers Australasia","","","kg","","","","Sulfur - Generic",0.094,"Magnesium",0.06,"Boron",0.045,"Zinc",0.027,"","","","","","","","","","","","","END ROW";"Exclude - Not relevant","","Campbells fertilisers Australia","Calbit C","Calbit C - Campbells Fertilisers Australasia","","Not fertiliser - Do not include","L","","","","","","","","","","","","","","","","","","","","","","","","END ROW";"Exclude - Not relevant","","Campbells fertilisers Australia","Calcium 175","Calcium 175 - Campbells Fertilisers Australasia","","Not fertiliser - Do not include","L","","","","","","","","","","","","","","","","","","","","","","","","END ROW";"Include","Use Lime EF for calcium","Campbells fertilisers Australia","CalPhos","Calphos - Campbells Fertilisers Australasia","Website","","L",1.285,"","","Phosphorus - Generic",0.135,"Calcium - Generic",0.04,"","","","","","","","","","","","","","","","","END ROW"}, _xlpm.r, _xlpm.c))))</definedName>
    <definedName name="Fertiliser_SourceData.Fertiliser_Products_Data1" localSheetId="7">_xlfn.LAMBDA(_xlfn.MAKEARRAY(39, 32, _xlfn.LAMBDA(_xlpm.r,_xlpm.c, INDEX({"Include or exclude","Notes","Company","Product Name","Link","Data source","Source images","Unit","Density (l to kg)","Urea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percent","END ROW";"Include","","Campbells fertilisers Australia","Aqua Finish","Aqua Finish - Campbells Fertilisers Australasia","Website","","L",1.26,"","","Potassium - Generic",0.225,"Phosphorus - Generic",0.04,"Nitrogen - Generic",0.026,"","","","","","","","","","","","","","","END ROW";"Include","","Campbells fertilisers Australia","Aqua Grow","Aqua Grow - Campbells Fertilisers Australasia","Website","","L",1.26,"","","Potassium - Generic",0.105,"Nitrogen - Generic",0.096,"Phosphorus - Generic",0.05,"","","","","","","","","","","","","","","END ROW";"Include","","Campbells fertilisers Australia","Aqua Nitro AN","Aqua Nitro AN - Campbells Fertilisers Australasia","Website. Brochure","","L",1.24,"","","Nitrogen - Ammoniacal",0.223,"","","","","","","","","","","","","","","","","","","END ROW";"Include","Use Lime EF for calcium","Campbells fertilisers Australia","Aqua NitroCal","Aqua NitroCal - Campbells Fertilisers Australasia","Website SDS","","L",1.5,"","","Calcium - Generic",0.162,"Nitrogen - Nitrate",0.132,"","","","","","","","","","","","","","","","","END ROW";"Include","Use Lime EF for calcium","Campbells fertilisers Australia","Aqua NitroCal (VI)","Aqua NitroCal (VI) - Campbells Fertilisers Australasia","Website SDS","","L",1.5,"","","Calcium - Generic",0.187,"Nitrogen - Nitrate",0.132,"","","","","","","","","","","","","","","","","END ROW";"Include","Use Lime EF for calcium","Campbells fertilisers Australia","Aqua NitroCal Ultimate","Aqua NitroCal Ultimate - Campbells Fertilisers Australasia","Website SDS","","L",1.5,"","","Calcium - Generic",0.183,"Nitrogen  - Nitrate",0.132,"","","","","","","","","","","","","","","","","END ROW";"Include","","Campbells fertilisers Australia","Aqua Start","Aqua Start - Campbells Fertilisers Australasia","Website SDS","","L",1.25,"","","Nitrogen - Generic",0.103,"Phosphorus - Generic",0.1,"Potassium - Generic",0.034,"","","","","","","","","","","","","","","END ROW";"Include","","Campbells fertilisers Australia","Aqua Thio-Complete","Aqua Thio-Complete - Campbells Fertilisers Australasia","Website SDS","","L",1.43,"","","Potassium - Generic",0.225,"Phosphorus - Generic",0.038,"Nitrogen - Generic",0.025,"","","","","","","","","","","","","","","END ROW";"Include","","Campbells fertilisers Australia","Aqua Thio-Emerge","Aqua Thio-Emerge - Campbells Fertilisers Australasia","Website SDS","","L",1.29,"","","Nitrogen - Generic",0.105,"Phosphorus - Generic",0.094,"Potassium - Generic",0.04,"Sulfur - Generic",0.03,"","","","","","","","","","","","","END ROW";"Include","","Campbells fertilisers Australia","Aqua Thio-Flourish","Aqua Thio-Flourish - Campbells Fertilisers Australasia","Website SDS","","L",1.32,"","","Potassium - Generic",0.108,"Nitrogen - Generic",0.095,"Sulfur - Generic",0.081,"Phosphorus - Generic",0.047,"","","","","","","","","","","","","END ROW";"Exclude - Not relevant","","Campbells fertilisers Australia","Asco Fol Plus","Asco Fol Plus - Campbells Fertilisers Australasia","","Organic - Do not include","","","","","","","","","","","","","","","","","","","","","","","","","END ROW";"Exclude - Not relevant","","Campbells fertilisers Australia","Asco Plus","Asco Plus - Campbells Fertilisers Australasia","","Organic - Do not include","","","","","","","","","","","","","","","","","","","","","","","","","END ROW";"Exclude - Not relevant","","Campbells fertilisers Australia","Asco Rhizo Plus","Asco Rhizo Plus - Campbells Fertilisers Australasia","","Biostimulant - Do not include","","","","","","","","","","","","","","","","","","","","","","","","","END ROW";"Exclude - Not relevant","","Campbells fertilisers Australia","Benefit PZ","Benefit PZ - Campbells Fertilisers Australasia","","Not fertiliser - Do not include","","","","","","","","","","","","","","","","","","","","","","","","","END ROW";"Include - Absent ingredients &lt; 2%","Amount of urea calculated from urea nitrogen amount","Campbells fertilisers Australia","Boost-It","Boost-It - Campbells Fertilisers Australasia","Website SDS","","kg",1,"","","Urea",0.52173913,"Potassium - Generic",0.08,"Sulfur - Generic",0.053,"Phosphorus - Generic",0.052,"Magnesium",0.013,"Zinc",0.002,"Manganese",0.0035,"Iron",0.0013,"Copper",0.0007,"Boron",0.0007,"END ROW";"Exclude - Not relevant","","Campbells fertilisers Australia","Boroplus","Boroplus - Campbells Fertilisers Australasia","","Not fertiliser - Do not include","","","","","","","","","","","","","","","","","","","","","","","","","END ROW";"Exclude - Not relevant","","Campbells fertilisers Australia","Brevisol Range","BreviSol Range - Campbells Fertilisers Australasia","","Not fertiliser - Do not include","","","","","","","","","","","","","","","","","","","","","","","","","END ROW";"Exclude - Not relevant","","Campbells fertilisers Australia","Brexil Line","Brexil Line - Campbells Fertilisers Australasia","","Not fertiliser - Do not include","","","","","","","","","","","","","","","","","","","","","","","","","END ROW";"Include","","Campbells fertilisers Australia","Bronze","Bronze - Campbells Fertilisers Australasia","Website","","kg","","","","Muriate of Potash (MOP)",0.232,"Nitrogen - Generic",0.17,"Sulfur - Generic",0.005,"Magnesium",0.0024,"Phosphorus - Generic",0.0004,"","","","","","","","","","","END ROW";"Exclude - Absent ingredients &gt; 2%","","Campbells fertilisers Australia","Bud-Wiser Dry","Bud-Wiser Dry - Campbells Fertilisers Australasia","","","kg","","","","Sulfur - Generic",0.094,"Magnesium",0.06,"Boron",0.045,"Zinc",0.027,"","","","","","","","","","","","","END ROW";"Exclude - Not relevant","","Campbells fertilisers Australia","Calbit C","Calbit C - Campbells Fertilisers Australasia","","Not fertiliser - Do not include","L","","","","","","","","","","","","","","","","","","","","","","","","END ROW";"Exclude - Not relevant","","Campbells fertilisers Australia","Calcium 175","Calcium 175 - Campbells Fertilisers Australasia","","Not fertiliser - Do not include","L","","","","","","","","","","","","","","","","","","","","","","","","END ROW";"Include","Use Lime EF for calcium","Campbells fertilisers Australia","CalPhos","Calphos - Campbells Fertilisers Australasia","Website","","L",1.285,"","","Phosphorus - Generic",0.135,"Calcium - Generic",0.04,"","","","","","","","","","","","","","","","","END ROW"}, _xlpm.r, _xlpm.c))))</definedName>
    <definedName name="Fertiliser_SourceData.Fertiliser_Products_Data1" localSheetId="34">_xlfn.LAMBDA(_xlfn.MAKEARRAY(39, 32, _xlfn.LAMBDA(_xlpm.r,_xlpm.c, INDEX({"Include or exclude","Notes","Company","Product Name","Link","Data source","Source images","Unit","Density (l to kg)","Urea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percent","END ROW";"Include","","Campbells fertilisers Australia","Aqua Finish","Aqua Finish - Campbells Fertilisers Australasia","Website","","L",1.26,"","","Potassium - Generic",0.225,"Phosphorus - Generic",0.04,"Nitrogen - Generic",0.026,"","","","","","","","","","","","","","","END ROW";"Include","","Campbells fertilisers Australia","Aqua Grow","Aqua Grow - Campbells Fertilisers Australasia","Website","","L",1.26,"","","Potassium - Generic",0.105,"Nitrogen - Generic",0.096,"Phosphorus - Generic",0.05,"","","","","","","","","","","","","","","END ROW";"Include","","Campbells fertilisers Australia","Aqua Nitro AN","Aqua Nitro AN - Campbells Fertilisers Australasia","Website. Brochure","","L",1.24,"","","Nitrogen - Ammoniacal",0.223,"","","","","","","","","","","","","","","","","","","END ROW";"Include","Use Lime EF for calcium","Campbells fertilisers Australia","Aqua NitroCal","Aqua NitroCal - Campbells Fertilisers Australasia","Website SDS","","L",1.5,"","","Calcium - Generic",0.162,"Nitrogen - Nitrate",0.132,"","","","","","","","","","","","","","","","","END ROW";"Include","Use Lime EF for calcium","Campbells fertilisers Australia","Aqua NitroCal (VI)","Aqua NitroCal (VI) - Campbells Fertilisers Australasia","Website SDS","","L",1.5,"","","Calcium - Generic",0.187,"Nitrogen - Nitrate",0.132,"","","","","","","","","","","","","","","","","END ROW";"Include","Use Lime EF for calcium","Campbells fertilisers Australia","Aqua NitroCal Ultimate","Aqua NitroCal Ultimate - Campbells Fertilisers Australasia","Website SDS","","L",1.5,"","","Calcium - Generic",0.183,"Nitrogen  - Nitrate",0.132,"","","","","","","","","","","","","","","","","END ROW";"Include","","Campbells fertilisers Australia","Aqua Start","Aqua Start - Campbells Fertilisers Australasia","Website SDS","","L",1.25,"","","Nitrogen - Generic",0.103,"Phosphorus - Generic",0.1,"Potassium - Generic",0.034,"","","","","","","","","","","","","","","END ROW";"Include","","Campbells fertilisers Australia","Aqua Thio-Complete","Aqua Thio-Complete - Campbells Fertilisers Australasia","Website SDS","","L",1.43,"","","Potassium - Generic",0.225,"Phosphorus - Generic",0.038,"Nitrogen - Generic",0.025,"","","","","","","","","","","","","","","END ROW";"Include","","Campbells fertilisers Australia","Aqua Thio-Emerge","Aqua Thio-Emerge - Campbells Fertilisers Australasia","Website SDS","","L",1.29,"","","Nitrogen - Generic",0.105,"Phosphorus - Generic",0.094,"Potassium - Generic",0.04,"Sulfur - Generic",0.03,"","","","","","","","","","","","","END ROW";"Include","","Campbells fertilisers Australia","Aqua Thio-Flourish","Aqua Thio-Flourish - Campbells Fertilisers Australasia","Website SDS","","L",1.32,"","","Potassium - Generic",0.108,"Nitrogen - Generic",0.095,"Sulfur - Generic",0.081,"Phosphorus - Generic",0.047,"","","","","","","","","","","","","END ROW";"Exclude - Not relevant","","Campbells fertilisers Australia","Asco Fol Plus","Asco Fol Plus - Campbells Fertilisers Australasia","","Organic - Do not include","","","","","","","","","","","","","","","","","","","","","","","","","END ROW";"Exclude - Not relevant","","Campbells fertilisers Australia","Asco Plus","Asco Plus - Campbells Fertilisers Australasia","","Organic - Do not include","","","","","","","","","","","","","","","","","","","","","","","","","END ROW";"Exclude - Not relevant","","Campbells fertilisers Australia","Asco Rhizo Plus","Asco Rhizo Plus - Campbells Fertilisers Australasia","","Biostimulant - Do not include","","","","","","","","","","","","","","","","","","","","","","","","","END ROW";"Exclude - Not relevant","","Campbells fertilisers Australia","Benefit PZ","Benefit PZ - Campbells Fertilisers Australasia","","Not fertiliser - Do not include","","","","","","","","","","","","","","","","","","","","","","","","","END ROW";"Include - Absent ingredients &lt; 2%","Amount of urea calculated from urea nitrogen amount","Campbells fertilisers Australia","Boost-It","Boost-It - Campbells Fertilisers Australasia","Website SDS","","kg",1,"","","Urea",0.52173913,"Potassium - Generic",0.08,"Sulfur - Generic",0.053,"Phosphorus - Generic",0.052,"Magnesium",0.013,"Zinc",0.002,"Manganese",0.0035,"Iron",0.0013,"Copper",0.0007,"Boron",0.0007,"END ROW";"Exclude - Not relevant","","Campbells fertilisers Australia","Boroplus","Boroplus - Campbells Fertilisers Australasia","","Not fertiliser - Do not include","","","","","","","","","","","","","","","","","","","","","","","","","END ROW";"Exclude - Not relevant","","Campbells fertilisers Australia","Brevisol Range","BreviSol Range - Campbells Fertilisers Australasia","","Not fertiliser - Do not include","","","","","","","","","","","","","","","","","","","","","","","","","END ROW";"Exclude - Not relevant","","Campbells fertilisers Australia","Brexil Line","Brexil Line - Campbells Fertilisers Australasia","","Not fertiliser - Do not include","","","","","","","","","","","","","","","","","","","","","","","","","END ROW";"Include","","Campbells fertilisers Australia","Bronze","Bronze - Campbells Fertilisers Australasia","Website","","kg","","","","Muriate of Potash (MOP)",0.232,"Nitrogen - Generic",0.17,"Sulfur - Generic",0.005,"Magnesium",0.0024,"Phosphorus - Generic",0.0004,"","","","","","","","","","","END ROW";"Exclude - Absent ingredients &gt; 2%","","Campbells fertilisers Australia","Bud-Wiser Dry","Bud-Wiser Dry - Campbells Fertilisers Australasia","","","kg","","","","Sulfur - Generic",0.094,"Magnesium",0.06,"Boron",0.045,"Zinc",0.027,"","","","","","","","","","","","","END ROW";"Exclude - Not relevant","","Campbells fertilisers Australia","Calbit C","Calbit C - Campbells Fertilisers Australasia","","Not fertiliser - Do not include","L","","","","","","","","","","","","","","","","","","","","","","","","END ROW";"Exclude - Not relevant","","Campbells fertilisers Australia","Calcium 175","Calcium 175 - Campbells Fertilisers Australasia","","Not fertiliser - Do not include","L","","","","","","","","","","","","","","","","","","","","","","","","END ROW";"Include","Use Lime EF for calcium","Campbells fertilisers Australia","CalPhos","Calphos - Campbells Fertilisers Australasia","Website","","L",1.285,"","","Phosphorus - Generic",0.135,"Calcium - Generic",0.04,"","","","","","","","","","","","","","","","","END ROW"}, _xlpm.r, _xlpm.c))))</definedName>
    <definedName name="Fertiliser_SourceData.Fertiliser_Products_Data1">_xlfn.LAMBDA(_xlfn.MAKEARRAY(12, 28, _xlfn.LAMBDA(_xlpm.r,_xlpm.c, INDEX({"Include or exclude","Notes","Company","Product Name","Unit","Density","Urea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percent";"Include","","Campbells fertilisers Australia","Aqua Finish","L",1.26,"","","Potassium - Generic",0.225,"Phosphorus - Generic",0.04,"Nitrogen - Generic",0.026,"","","","","","","","","","","","","","";"Include","","Campbells fertilisers Australia","Aqua Grow","L",1.26,"","","Potassium - Generic",0.105,"Nitrogen - Generic",0.096,"Phosphorus - Generic",0.05,"","","","","","","","","","","","","","";"Include","","Campbells fertilisers Australia","Aqua Nitro AN","L",1.24,"","","Nitrogen - Ammoniacal",0.223,"","","","","","","","","","","","","","","","","","";"Include","","Campbells fertilisers Australia","Aqua Start","L",1.25,"","","Nitrogen - Generic",0.103,"Phosphorus - Generic",0.1,"Potassium - Generic",0.034,"","","","","","","","","","","","","","";"Include","","Campbells fertilisers Australia","Aqua Thio-Complete","L",1.43,"","","Potassium - Generic",0.225,"Phosphorus - Generic",0.038,"Nitrogen - Generic",0.025,"","","","","","","","","","","","","","";"Include","","Campbells fertilisers Australia","Aqua Thio-Emerge","L",1.29,"","","Nitrogen - Generic",0.105,"Phosphorus - Generic",0.094,"Potassium - Generic",0.04,"Sulfur - Generic",0.03,"","","","","","","","","","","","";"Include","","Campbells fertilisers Australia","Aqua Thio-Flourish","L",1.32,"","","Potassium - Generic",0.108,"Nitrogen - Generic",0.095,"Sulfur - Generic",0.081,"Phosphorus - Generic",0.047,"","","","","","","","","","","","";"Include - Absent ingredients &lt; 2%","Amount of urea calculated from urea nitrogen amount","Campbells fertilisers Australia","Boost-It","kg",1,"","","Urea",0.52173913,"Potassium - Generic",0.08,"Sulfur - Generic",0.053,"Phosphorus - Generic",0.052,"Magnesium",0.013,"Zinc",0.002,"Manganese",0.0035,"Iron",0.0013,"Copper",0.0007,"Boron",0.0007;"Include","","Campbells fertilisers Australia","Bronze","kg",1,"","","Muriate of Potash (MOP)",0.232,"Nitrogen - Generic",0.17,"Sulfur - Generic",0.005,"Magnesium",0.0024,"Phosphorus - Generic",0.0004,"","","","","","","","","","";"Include","50/50 nitrate and ammoniacal nitrogen (ammonium nitrate)","Campbells fertilisers Australia","Compass","kg",1,"","","Nitrogen - Ammoniacal",0.075,"Nitrogen - Nitrate",0.075,"Potassium - Generic",0.125,"Phosphorus-Generic",0.065,"Sulfur - Generic",0.06,"","","","","","","","","","";"Include - Absent ingredients &lt; 2%","Controlled release N treated as generic, Amount of urea calculated from urea nitrogen amount","Campbells fertilisers Australia","CoRoN 12-0-10","L",1.215,"","","Urea",0.195652174,"Potassium - Generic",0.1,"Nitrogen - Generic",0.03,"Boron",0.005,"","","","","","","","","","","",""}, _xlpm.r, _xlpm.c))))</definedName>
    <definedName name="Fertiliser_SourceData.Fertiliser_Products_Data2">_xlfn.LAMBDA(_xlfn.MAKEARRAY(31,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link";"Manganese Sulphate","","","","","","","","","","","","","","","","","","","Incitec Pivot Fertilisers";"MAP","","","","","","","","","","","","","","","","","","","Incitec Pivot Fertilisers";"MAP Impact","","","","","","","","","","","","","","","","","","","Impact fertilisers";"MAPSZC","","","","","","","","","","","","","","","","","","","Summit Fertilizers";"Maximum N-Pact 29-0-0","","","","","","","","","","","","","","","","","","","Maximum N-Pact | Loveland (lovelandagriproducts.com.au)";"Microsol 12-6-44","","","","","","","","","","","","","","","","","","","Rigbytaylor Microsol Range";"Microsol 16-32-16","","","","","","","","","","","","","","","","","","","Rigbytaylor Microsol Range";"Microsol 25-5-10","","","","","","","","","","","","","","","","","","","Rigbytaylor Microsol Range";"Microsol 28-0-14","","","","","","","","","","","","","","","","","","","Rigbytaylor Microsol Range";"Mono Potassium Phosphate MKP","","","","","","","","","","","","","","","","","","","Swancrop";"Muriate Of Potash MOP","","","","","","","","","","","","","","","","","","","MountCompass Fertilisers Blends";"NitroPlus","","","","","","","","","","","","","","","","","","","AgroStock Group Nitro Plus";"NutraGold","","","","","","","","","","","","","","","","","","","Swancrop";"Pro Performance 18-3-6","","","","","","","","","","","","","","","","","","","Pro Turf Formula";"SOA","","","","","","","","","","","","","","","","","","","MountCompass Fertilisers Blends";"SSP","","","","","","","","","","","","","","","","","","","Impact fertilisers";"Super Phos","","","","","","","","","","","","","","","","","","","CSBP Super PHOS";"Super SR Extra","","","","","","","","","","","","","","","","","","","CSBP Super Potash";"SuPerfect","","","","","","","","","","","","","","","","","","","Incitec Pivot Fertilisers";"SuperPasture Potash 5:1","","","","","","","","","","","","","","","","","","","CSBP Super Potash";"Trace-it Mn","","","","","","","","","","","","","","","","","","","Campbells fertilisers Australia";"UniSZon","","","","","","","","","","","","","","","","","","","WengfuAustralia uniSZon";"Urea","","","","","","","","","","","","","","","","","","","ProductCard_Adelaide_web.pdf (incitecpivotfertilisers.com.au)";"Wengfu Slam Granular","","","","","","","","","","","","","","","","","","","Straights (wengfu.com.au)";"Yara FlowPhos 10","","","","","","","","","","","","","","","","","","","Crop Nutrition Solutions (Yara Australia)";"Yara FlowPhos 13Z","","","","","","","","","","","","","","","","","","","Crop Nutrition Solutions (Yara Australia)";"Yara FlowPhos 15","","","","","","","","","","","","","","","","","","","Crop Nutrition Solutions (Yara Australia)";"Yara FlowPhos KZ","","","","","","","","","","","","","","","","","","","Crop Nutrition Solutions (Yara Australia)";"Yara KeyPro Trace","","","","","","","","","","","","","","","","","","","Crop Nutrition Solutions (Yara Australia)";"Yara KeyPro Zinc","","","","","","","","","","","","","","","","","","","Crop Nutrition Solutions (Yara Australia)"}, _xlpm.r, _xlpm.c))))</definedName>
    <definedName name="Fertiliser_SourceData.Fertiliser_Products_Data3">_xlfn.LAMBDA(_xlfn.MAKEARRAY(31,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link";"Yara K-Flow 0-0-15","","","","","","","","","","","","","","","","","","","Crop Nutrition Solutions (Yara Australia)";"Yara K-Flow 0-14-30","","","","","","","","","","","","","","","","","","","Crop Nutrition Solutions (Yara Australia)";"Yara K-Flow 0-7-36","","","","","","","","","","","","","","","","","","","Crop Nutrition Solutions (Yara Australia)";"Yara K-Flow 13-0-7","","","","","","","","","","","","","","","","","","","Crop Nutrition Solutions (Yara Australia)";"Yara K-Flow 4-0-12","","","","","","","","","","","","","","","","","","","Crop Nutrition Solutions (Yara Australia)";"Yara Liquids MICRO-SUL","","","","","","","","","","","","","","","","","","","Crop Nutrition Solutions (Yara Australia)";"Yara Liquids N24","","","","","","","","","","","","","","","","","","","Crop Nutrition Solutions (Yara Australia)";"Yara Liquids N25","","","","","","","","","","","","","","","","","","","Crop Nutrition Solutions (Yara Australia)";"Yara Liquids N26","","","","","","","","","","","","","","","","","","","Crop Nutrition Solutions (Yara Australia)";"Yara Liquids N42","","","","","","","","","","","","","","","","","","","Crop Nutrition Solutions (Yara Australia)";"Yara Liquids N-CAL 15+18Ca","","","","","","","","","","","","","","","","","","","Crop Nutrition Solutions (Yara Australia)";"Yara Liquids N-CAL 20+10Ca+B","","","","","","","","","","","","","","","","","","","Crop Nutrition Solutions (Yara Australia)";"Yara Liquids N-CAL 35+6Ca","","","","","","","","","","","","","","","","","","","Crop Nutrition Solutions (Yara Australia)";"Yara Liquids N-FOL 24","","","","","","","","","","","","","","","","","","","Crop Nutrition Solutions (Yara Australia)";"Yara Liquids N-FOL 24+TE","","","","","","","","","","","","","","","","","","","Crop Nutrition Solutions (Yara Australia)";"Yara Liquids P-FOL Zinc","","","","","","","","","","","","","","","","","","","Crop Nutrition Solutions (Yara Australia)";"Yara Liquids SULSA 11-0-0+12S","","","","","","","","","","","","","","","","","","","Crop Nutrition Solutions (Yara Australia)";"Yara Liquids SULSA 24-3-0+6S","","","","","","","","","","","","","","","","","","","Crop Nutrition Solutions (Yara Australia)";"Yara Liquids SULSA 27-0-0+7S","","","","","","","","","","","","","","","","","","","Crop Nutrition Solutions (Yara Australia)";"Yara Liquids SULSA 36-0-0+3S","","","","","","","","","","","","","","","","","","","Crop Nutrition Solutions (Yara Australia)";"YaraLiva CALCINIT B","","","","","","","","","","","","","","","","","","","Crop Nutrition Solutions (Yara Australia)";"YaraLiva NITRABOR","","","","","","","","","","","","","","","","","","","YaraLiva NITRABOR | Yara Australia";"YaraLiva TROPICOTE","","","","","","","","","","","","","","","","","","","Crop Nutrition Solutions (Yara Australia)";"YaraMila Complex","","","","","","","","","","","","","","","","","","","Crop Nutrition Solutions (Yara Australia)";"YaraMila Complex 17-5-10(4)","","","","","","","","","","","","","","","","","","","Crop Nutrition Solutions (Yara Australia)";"YaraMila Complex 21-7-3(4)","","","","","","","","","","","","","","","","","","","Crop Nutrition Solutions (Yara Australia)";"YaraMila UNIVERSAL","","","","","","","","","","","","","","","","","","","Crop Nutrition Solutions (Yara Australia)";"YaraRega 13-2-21","","","","","","","","","","","","","","","","","","","Crop Nutrition Solutions (Yara Australia)";"YaraVita BORTRAC","","","","","","","","","","","","","","","","","","","Crop Nutrition Solutions (Yara Australia)";"YaraVita BRASSITREL DF","","","","","","","","","","","","","","","","","","","Crop Nutrition Solutions (Yara Australia)"}, _xlpm.r, _xlpm.c))))</definedName>
    <definedName name="Fertiliser_SourceData.Fertiliser_Products_Data4">_xlfn.LAMBDA(_xlfn.MAKEARRAY(16,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link";"YaraVita BRASSITREL PRO","","","","","","","","","","","","","","","","","","","Crop Nutrition Solutions (Yara Australia)";"YaraVita BUD BUILDER FL","","","","","","","","","","","","","","","","","","","Crop Nutrition Solutions (Yara Australia)";"YaraVita FRUTREL","","","","","","","","","","","","","","","","","","","Crop Nutrition Solutions (Yara Australia)";"YaraVita GLYTREL ZnP","","","","","","","","","","","","","","","","","","","Crop Nutrition Solutions (Yara Australia)";"YaraVita GRAMITREL","","","","","","","","","","","","","","","","","","","Crop Nutrition Solutions (Yara Australia)";"YaraVita KOMBIPHOS","","","","","","","","","","","","","","","","","","","Crop Nutrition Solutions (Yara Australia)";"YaraVita MANGZINC","","","","","","","","","","","","","","","","","","","Crop Nutrition Solutions (Yara Australia)";"YaraVita MOLYTRAC","","","","","","","","","","","","","","","","","","","Crop Nutrition Solutions (Yara Australia)";"YaraVita SENIPHOS","","","","","","","","","","","","","","","","","","","Crop Nutrition Solutions (Yara Australia)";"YaraVita ZINTRAC","","","","","","","","","","","","","","","","","","","Crop Nutrition Solutions (Yara Australia)";"Zinc Sulphate Monohydrate","","","","","","","","","","","","","","","","","","","Incitec Pivot Fertilisers";"Zincsol","","","","","","","","","","","","","","","","","","","Sulfate Zincsol";"ZincStar","","","","","","","","","","","","","","","","","","","Impact fertilisers";"ZMC-1","","","","","","","","","","","","","","","","","","","Kemgro ZMC-1";"Zn 7000","","","","","","","","","","","","","","","","","","","Rutec Zn 7000"}, _xlpm.r, _xlpm.c))))</definedName>
    <definedName name="Fertiliser_SourceData.Fertiliser_Products_Description">_xlfn.LAMBDA(("Popular fertiliser products used in Australia, along with their chemical compound composition"))</definedName>
    <definedName name="Fertiliser_SourceData.Fertiliser_Products_Source">_xlfn.LAMBDA((""))</definedName>
    <definedName name="Fertiliser_SourceData.Fertiliser_Products_Title">_xlfn.LAMBDA(("Branded fertiliser products and their chemical composition"))</definedName>
    <definedName name="Fertiliser_SourceData.Fertiliser_UreaAmmoniaSourceRegions_Data">_xlfn.LAMBDA(_xlfn.MAKEARRAY(5, 1, _xlfn.LAMBDA(_xlpm.r,_xlpm.c, INDEX({"Source";"Global";"Canada";"China";"Yemen"}, _xlpm.r, _xlpm.c))))</definedName>
    <definedName name="Fertiliser_SourceData.Fertiliser_UreaAmmoniaSourceRegions_Source">_xlfn.LAMBDA("Lifecycles. (2026). Greenhouse Gas Emission Intensities for Material Inputs to Australian Agriculture, Fisheries and Forestry. Version 48. doi 10.5281/zenodo.19656580")</definedName>
    <definedName name="Fertiliser_SourceData.Fertiliser_UreaAmmoniaSourceRegions_Title">_xlfn.LAMBDA("Source regions for urea and ammonia")</definedName>
    <definedName name="Fuel_Equations.VEERG_8_1_1_1__1_FuelCombustionTransport" localSheetId="11">_xlfn.LAMBDA(_xlpm.Q_Transtq,_xlpm.EC_Transq,_xlpm.EF_Trans1tqg, [0]!Fuel_Equations.VEERG_8_FuelCombustion(_xlpm.Q_Transtq, _xlpm.EC_Transq, _xlpm.EF_Trans1tqg))</definedName>
    <definedName name="Fuel_Equations.VEERG_8_1_1_1__1_FuelCombustionTransport" localSheetId="12">_xlfn.LAMBDA(_xlpm.Q_Transtq,_xlpm.EC_Transq,_xlpm.EF_Trans1tqg, [0]!Fuel_Equations.VEERG_8_FuelCombustion(_xlpm.Q_Transtq, _xlpm.EC_Transq, _xlpm.EF_Trans1tqg))</definedName>
    <definedName name="Fuel_Equations.VEERG_8_1_1_1__1_FuelCombustionTransport" localSheetId="13">_xlfn.LAMBDA(_xlpm.Q_Transtq,_xlpm.EC_Transq,_xlpm.EF_Trans1tqg, [0]!Fuel_Equations.VEERG_8_FuelCombustion(_xlpm.Q_Transtq, _xlpm.EC_Transq, _xlpm.EF_Trans1tqg))</definedName>
    <definedName name="Fuel_Equations.VEERG_8_1_1_1__1_FuelCombustionTransport" localSheetId="14">_xlfn.LAMBDA(_xlpm.Q_Transtq,_xlpm.EC_Transq,_xlpm.EF_Trans1tqg, [0]!Fuel_Equations.VEERG_8_FuelCombustion(_xlpm.Q_Transtq, _xlpm.EC_Transq, _xlpm.EF_Trans1tqg))</definedName>
    <definedName name="Fuel_Equations.VEERG_8_1_1_1__1_FuelCombustionTransport" localSheetId="23">_xlfn.LAMBDA(_xlpm.Q_Transtq,_xlpm.EC_Transq,_xlpm.EF_Trans1tqg, [0]!Fuel_Equations.VEERG_8_FuelCombustion(_xlpm.Q_Transtq, _xlpm.EC_Transq, _xlpm.EF_Trans1tqg))</definedName>
    <definedName name="Fuel_Equations.VEERG_8_1_1_1__1_FuelCombustionTransport" localSheetId="24">_xlfn.LAMBDA(_xlpm.Q_Transtq,_xlpm.EC_Transq,_xlpm.EF_Trans1tqg, [0]!Fuel_Equations.VEERG_8_FuelCombustion(_xlpm.Q_Transtq, _xlpm.EC_Transq, _xlpm.EF_Trans1tqg))</definedName>
    <definedName name="Fuel_Equations.VEERG_8_1_1_1__1_FuelCombustionTransport" localSheetId="31">_xlfn.LAMBDA(_xlpm.Q_Transtq,_xlpm.EC_Transq,_xlpm.EF_Trans1tqg, [0]!Fuel_Equations.VEERG_8_FuelCombustion(_xlpm.Q_Transtq, _xlpm.EC_Transq, _xlpm.EF_Trans1tqg))</definedName>
    <definedName name="Fuel_Equations.VEERG_8_1_1_1__1_FuelCombustionTransport" localSheetId="8">_xlfn.LAMBDA(_xlpm.Q_Transtq,_xlpm.EC_Transq,_xlpm.EF_Trans1tqg, [0]!Fuel_Equations.VEERG_8_FuelCombustion(_xlpm.Q_Transtq, _xlpm.EC_Transq, _xlpm.EF_Trans1tqg))</definedName>
    <definedName name="Fuel_Equations.VEERG_8_1_1_1__1_FuelCombustionTransport">_xlfn.LAMBDA(_xlpm.Q_Transtq,_xlpm.EC_Transq,_xlpm.EF_Trans1tqg, Fuel_Equations.VEERG_8_FuelCombustion(_xlpm.Q_Transtq, _xlpm.EC_Transq, _xlpm.EF_Trans1tqg))</definedName>
    <definedName name="Fuel_Equations.VEERG_8_1_1_1__1_FuelCombustionTransport_Arguments">_xlfn.LAMBDA(_xlfn.MAKEARRAY(7, 4, _xlfn.LAMBDA(_xlpm.r,_xlpm.c, INDEX({"Q_Transtq","Amount of fuel type q combusted for transport energy purposes","Varies based on fuel type: kL, m3, GJ","Input";"EC_Transq","Energy content factor for transport energy purposes","GJ / unit of fuel","Constant";"EF_Trans1tqg","Scope 1 emission factor for transport energy purposes for each greenhouse gas","kg CO2e / GJ","Constant";"q","Fuel type","","Constant";"Trans","Transport combustion","","Constant";"g","Greenhouse gas","","Constant";"1","Scope 1","","Constant"}, _xlpm.r, _xlpm.c))))</definedName>
    <definedName name="Fuel_Equations.VEERG_8_1_1_1__1_FuelCombustionTransport_LatexEquation">_xlfn.LAMBDA("E_g=\sum\nolimits_t \sum\nolimits_q\left(Q_{Trans,tq}\times EC_{Trans,q}\times EF_{Trans,1,tqg}\right)\times 10^{-3}")</definedName>
    <definedName name="Fuel_Equations.VEERG_8_1_1_1__1_FuelCombustionTransport_NIRReference">_xlfn.LAMBDA("Australian National Greenhouse Accounts Factors 2025 - 2.3 Estimating emissions from transport fuels")</definedName>
    <definedName name="Fuel_Equations.VEERG_8_1_1_1__1_FuelCombustionTransport_Source">_xlfn.LAMBDA("VEERG 2026: 8.1.1.1, Equation (1)")</definedName>
    <definedName name="Fuel_Equations.VEERG_8_1_1_1__1_FuelCombustionTransport_Title">_xlfn.LAMBDA("Emissions for each GHG from the combustion of fuels for transport energy purposes")</definedName>
    <definedName name="Fuel_Equations.VEERG_8_1_1_1__1_FuelCombustionTransport_Unit">_xlfn.LAMBDA("t CO2-e")</definedName>
    <definedName name="Fuel_Equations.VEERG_8_1_1_1__1_FuelCombustionTransport_Variable">_xlfn.LAMBDA("E_g")</definedName>
    <definedName name="Fuel_Equations.VEERG_8_2_1_1__1_FuelCombustionStationary" localSheetId="11">_xlfn.LAMBDA(_xlpm.Q_SCq,_xlpm.EC_SCq,_xlpm.EF_SC1qg, [0]!Fuel_Equations.VEERG_8_FuelCombustion(_xlpm.Q_SCq, _xlpm.EC_SCq, _xlpm.EF_SC1qg))</definedName>
    <definedName name="Fuel_Equations.VEERG_8_2_1_1__1_FuelCombustionStationary" localSheetId="12">_xlfn.LAMBDA(_xlpm.Q_SCq,_xlpm.EC_SCq,_xlpm.EF_SC1qg, [0]!Fuel_Equations.VEERG_8_FuelCombustion(_xlpm.Q_SCq, _xlpm.EC_SCq, _xlpm.EF_SC1qg))</definedName>
    <definedName name="Fuel_Equations.VEERG_8_2_1_1__1_FuelCombustionStationary" localSheetId="13">_xlfn.LAMBDA(_xlpm.Q_SCq,_xlpm.EC_SCq,_xlpm.EF_SC1qg, [0]!Fuel_Equations.VEERG_8_FuelCombustion(_xlpm.Q_SCq, _xlpm.EC_SCq, _xlpm.EF_SC1qg))</definedName>
    <definedName name="Fuel_Equations.VEERG_8_2_1_1__1_FuelCombustionStationary" localSheetId="14">_xlfn.LAMBDA(_xlpm.Q_SCq,_xlpm.EC_SCq,_xlpm.EF_SC1qg, [0]!Fuel_Equations.VEERG_8_FuelCombustion(_xlpm.Q_SCq, _xlpm.EC_SCq, _xlpm.EF_SC1qg))</definedName>
    <definedName name="Fuel_Equations.VEERG_8_2_1_1__1_FuelCombustionStationary" localSheetId="23">_xlfn.LAMBDA(_xlpm.Q_SCq,_xlpm.EC_SCq,_xlpm.EF_SC1qg, [0]!Fuel_Equations.VEERG_8_FuelCombustion(_xlpm.Q_SCq, _xlpm.EC_SCq, _xlpm.EF_SC1qg))</definedName>
    <definedName name="Fuel_Equations.VEERG_8_2_1_1__1_FuelCombustionStationary" localSheetId="24">_xlfn.LAMBDA(_xlpm.Q_SCq,_xlpm.EC_SCq,_xlpm.EF_SC1qg, [0]!Fuel_Equations.VEERG_8_FuelCombustion(_xlpm.Q_SCq, _xlpm.EC_SCq, _xlpm.EF_SC1qg))</definedName>
    <definedName name="Fuel_Equations.VEERG_8_2_1_1__1_FuelCombustionStationary" localSheetId="31">_xlfn.LAMBDA(_xlpm.Q_SCq,_xlpm.EC_SCq,_xlpm.EF_SC1qg, [0]!Fuel_Equations.VEERG_8_FuelCombustion(_xlpm.Q_SCq, _xlpm.EC_SCq, _xlpm.EF_SC1qg))</definedName>
    <definedName name="Fuel_Equations.VEERG_8_2_1_1__1_FuelCombustionStationary" localSheetId="8">_xlfn.LAMBDA(_xlpm.Q_SCq,_xlpm.EC_SCq,_xlpm.EF_SC1qg, [0]!Fuel_Equations.VEERG_8_FuelCombustion(_xlpm.Q_SCq, _xlpm.EC_SCq, _xlpm.EF_SC1qg))</definedName>
    <definedName name="Fuel_Equations.VEERG_8_2_1_1__1_FuelCombustionStationary">_xlfn.LAMBDA(_xlpm.Q_SCq,_xlpm.EC_SCq,_xlpm.EF_SC1qg, Fuel_Equations.VEERG_8_FuelCombustion(_xlpm.Q_SCq, _xlpm.EC_SCq, _xlpm.EF_SC1qg))</definedName>
    <definedName name="Fuel_Equations.VEERG_8_2_1_1__1_FuelCombustionStationary_Arguments">_xlfn.LAMBDA(_xlfn.MAKEARRAY(7, 4, _xlfn.LAMBDA(_xlpm.r,_xlpm.c, INDEX({"Q_SCq","Amount of fuel type q used for stationary combustion operations","Varies based on fuel type: kL, m3, GJ","Input";"EC_SCq","Energy content factor for stationary combustion operations","GJ / unit of fuel","Constant";"EF_SC1qg","Scope 1 emission factor for stationary combustion for each greenhouse gas","kg CO2e / GJ","Constant";"q","Fuel type","","Constant";"SC","Stationary combustion","","Constant";"g","Greenhouse gas","","Constant";"1","Scope 1","","Constant"}, _xlpm.r, _xlpm.c))))</definedName>
    <definedName name="Fuel_Equations.VEERG_8_2_1_1__1_FuelCombustionStationary_LatexEquation">_xlfn.LAMBDA("E_g=\sum\nolimits_t \sum\nolimits_q\left(Q_{SC,q}\times EC_{SC,q}\times EF_{SC,1,qg}\right)\times 10^{-3}")</definedName>
    <definedName name="Fuel_Equations.VEERG_8_2_1_1__1_FuelCombustionStationary_NIRReference">_xlfn.LAMBDA("Australian National Greenhouse Accounts Factors 2025 - 2.2 Estimating emissions from stationary energy sources - Calculating emissions from stationary combustion of liquid fuels")</definedName>
    <definedName name="Fuel_Equations.VEERG_8_2_1_1__1_FuelCombustionStationary_Source">_xlfn.LAMBDA("VEERG 2026: 8.2.1.1, Equation (1)")</definedName>
    <definedName name="Fuel_Equations.VEERG_8_2_1_1__1_FuelCombustionStationary_Title">_xlfn.LAMBDA("Emissions for each GHG from the stationary combustion of fuels")</definedName>
    <definedName name="Fuel_Equations.VEERG_8_2_1_1__1_FuelCombustionStationary_Unit">_xlfn.LAMBDA("t CO2-e")</definedName>
    <definedName name="Fuel_Equations.VEERG_8_2_1_1__1_FuelCombustionStationary_Variable">_xlfn.LAMBDA("E_g")</definedName>
    <definedName name="Fuel_Equations.VEERG_8_FuelCombustion">_xlfn.LAMBDA(_xlpm.Q,_xlpm.EC,_xlpm.EF, (_xlpm.Q * _xlpm.EC * _xlpm.EF) * 10 ^ -3)</definedName>
    <definedName name="Fuel_InputFunctions.Fuel_GetStationaryFuelString" localSheetId="23">_xlfn.LAMBDA(_xlpm.Cell, RIGHT(_xlpm.Cell, LEN(_xlpm.Cell) - FIND(", ", _xlpm.Cell) - 1))</definedName>
    <definedName name="Fuel_InputFunctions.Fuel_GetStationaryFuelString" localSheetId="24">_xlfn.LAMBDA(_xlpm.Cell, RIGHT(_xlpm.Cell, LEN(_xlpm.Cell) - FIND(", ", _xlpm.Cell) - 1))</definedName>
    <definedName name="Fuel_InputFunctions.Fuel_GetStationaryFuelString" localSheetId="31">_xlfn.LAMBDA(_xlpm.Cell, RIGHT(_xlpm.Cell, LEN(_xlpm.Cell) - FIND(", ", _xlpm.Cell) - 1))</definedName>
    <definedName name="Fuel_InputFunctions.Fuel_GetStationaryFuelString" localSheetId="8">_xlfn.LAMBDA(_xlpm.Cell, RIGHT(_xlpm.Cell, LEN(_xlpm.Cell) - FIND(", ", _xlpm.Cell) - 1))</definedName>
    <definedName name="Fuel_InputFunctions.Fuel_GetStationaryFuelString">_xlfn.LAMBDA(_xlpm.Cell, RIGHT(_xlpm.Cell, LEN(_xlpm.Cell) - FIND(", ", _xlpm.Cell)))</definedName>
    <definedName name="Fuel_InputFunctions.Fuel_GetTransportFuelString">_xlfn.LAMBDA(_xlpm.Cell, LEFT(_xlpm.Cell, FIND(", ", _xlpm.Cell) - 1))</definedName>
    <definedName name="Fuel_InputFunctions.Fuel_TotalConsumption">_xlfn.LAMBDA(_xlpm.FuelConsumptionArray,_xlpm.FuelUseArray,_xlpm.FuelUse,_xlpm.FuelTypeArray,_xlpm.FuelType, IFERROR(SUM(_xlfn._xlws.FILTER(_xlpm.FuelConsumptionArray, (_xlpm.FuelTypeArray = _xlpm.FuelType) * (_xlpm.FuelUseArray = _xlpm.FuelUse))), 0))</definedName>
    <definedName name="Fuel_SourceData.Fuel_Scope1EmissionFactorsStationaryGaseous_Data">_xlfn.LAMBDA(_xlfn.MAKEARRAY(19,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definedName>
    <definedName name="Fuel_SourceData.Fuel_Scope1EmissionFactorsStationaryGaseous_Description">_xlfn.LAMBDA(("Direct (Scope 1) emission factors for the consumption of gaseous fuels including liquefied natural gas  "))</definedName>
    <definedName name="Fuel_SourceData.Fuel_Scope1EmissionFactorsStationaryGaseous_Source">_xlfn.LAMBDA(("Australian National Greenhouse Accounts Factors 2025 - Table 5"))</definedName>
    <definedName name="Fuel_SourceData.Fuel_Scope1EmissionFactorsStationaryGaseous_Title">_xlfn.LAMBDA(("Fuel scope 1 emission factors - Stationary gaseous fuels"))</definedName>
    <definedName name="Fuel_SourceData.Fuel_Scope1EmissionFactorsStationaryGaseous_Variation">_xlfn.LAMBDA(("VARIATION OF SOURCE DATA: 'Natural gas distributed in a pipeline - Gigajoules' and 'Town gas - Gigajoules' were added, each with an energy content factor of 1 GJ per unit of fuel. This is for users who have fuel consumption data in GJ rather than m3."))</definedName>
    <definedName name="Fuel_SourceData.Fuel_Scope1Scope3EmissionFactorsStationaryLiquid_Data">_xlfn.LAMBDA(_xlfn.MAKEARRAY(25,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definedName>
    <definedName name="Fuel_SourceData.Fuel_Scope1Scope3EmissionFactorsStationaryLiquid_Description">_xlfn.LAMBDA(("Direct (Scope 1) and indirect (scope 3) emission factors for the consumption of liquid fuels, including certain petroleum based products for stationary energy purposes."))</definedName>
    <definedName name="Fuel_SourceData.Fuel_Scope1Scope3EmissionFactorsStationaryLiquid_Source">_xlfn.LAMBDA(("Australian National Greenhouse Accounts Factors 2025 - Table 8"))</definedName>
    <definedName name="Fuel_SourceData.Fuel_Scope1Scope3EmissionFactorsStationaryLiquid_Title">_xlfn.LAMBDA(("Fuel scope 1 and 3 emission factors - Stationary liquid fuels"))</definedName>
    <definedName name="Fuel_SourceData.Fuel_Scope1Scope3EmissionFactorsStationaryLiquid_Variation">_xlfn.LAMBDA("VARIATION OF SOURCE DATA: 'NE' values returned as zero for calculations.")</definedName>
    <definedName name="Fuel_SourceData.Fuel_Scope1Scope3EmissionFactorsTransport_Data">_xlfn.LAMBDA(_xlfn.MAKEARRAY(26,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definedName>
    <definedName name="Fuel_SourceData.Fuel_Scope1Scope3EmissionFactorsTransport_Description">_xlfn.LAMBDA(("Direct (scope 1) and indirect (scope 3) emission factors for the consumption of transport fuels in different transport equipment"))</definedName>
    <definedName name="Fuel_SourceData.Fuel_Scope1Scope3EmissionFactorsTransport_Source">_xlfn.LAMBDA(("Australian National Greenhouse Accounts Factors 2025 - Table 9"))</definedName>
    <definedName name="Fuel_SourceData.Fuel_Scope1Scope3EmissionFactorsTransport_Title">_xlfn.LAMBDA(("Fuel scope 1 and 3 emission factors - Transport"))</definedName>
    <definedName name="Fuel_SourceData.Fuel_Scope1Scope3EmissionFactorsTransport_Variation">_xlfn.LAMBDA("VARIATION OF SOURCE DATA: 'NE' values returned as zero for calculations.")</definedName>
    <definedName name="Fuel_SourceData.Fuel_Scope1Scope3EmissionFactorsTransportOffRoad_Data">_xlfn.LAMBDA(_xlfn.MAKEARRAY(5,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definedName>
    <definedName name="Fuel_SourceData.Fuel_Scope1Scope3EmissionFactorsTransportOffRoad_Description">_xlfn.LAMBDA(("Direct (scope 1) and indirect (scope 3) emission factors for the consumption of fuels in off-road equipment and vessels"))</definedName>
    <definedName name="Fuel_SourceData.Fuel_Scope1Scope3EmissionFactorsTransportOffRoad_Source">_xlfn.LAMBDA(("VEERG 2026: Table A.4.2.1"))</definedName>
    <definedName name="Fuel_SourceData.Fuel_Scope1Scope3EmissionFactorsTransportOffRoad_Title">_xlfn.LAMBDA(("Fuel scope 1 and 3 emission factors - Off-road equipment and vessels"))</definedName>
    <definedName name="Fuel_SourceData.Fuel_Scope3EmissionFactorsStationaryGaseous_Appendices">_xlfn.LAMBDA(_xlfn.MAKEARRAY(12, 2, _xlfn.LAMBDA(_xlpm.r,_xlpm.c, INDEX({"-","As Scope 3 factors are calculated at the point where natural gas is delivered to end users, it is necessary to calculate consumption at each of the load centres.";"","Gas reaches end users either from the metro distribution networks or direct from the high - pressure distribution pipelines.";"","Households and commercial users tend to be served by the former, and electricity generators and large industrial plants from the latter.";"-","Metro is defined as located on or east of the dividing range in NSW, including Canberra and Queanbeyan, Melbourne, Brisbane, Adelaide or Perth.";"","Otherwise, the non - metro factor should be used.";"-","Factors are calculated for all natural gas distributed in a pipeline which may include coal seam methane.";"-","Table 6 is not applicable to ethane. See Table 7 Indirect (Scope 3) emissions from the consumption of ethane.";"-","C = Confidential. Scope 3 emission factors for Tasmania and the Northern Territory are not available due to confidentiality constraints that arise";"","from the use of a limited number of NGER data inputs. It is suggested that for Tasmania the use of the Victorian emission factors is appropriate,";"","while for Northern Territory the use of the Western Australian emission factors is appropriate.";"-","Scope 3 emission factors do not include fugitive emission leakage from low pressure natural gas distribution pipeline networks while those from high pressure";"","gas networks are considered negligible."}, _xlpm.r, _xlpm.c))))</definedName>
    <definedName name="Fuel_SourceData.Fuel_Scope3EmissionFactorsStationaryGaseous_Data">_xlfn.LAMBDA(_xlfn.MAKEARRAY(9,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definedName>
    <definedName name="Fuel_SourceData.Fuel_Scope3EmissionFactorsStationaryGaseous_Description">_xlfn.LAMBDA(("Indirect (Scope 3) emission factors for the consumption of natural gas."))</definedName>
    <definedName name="Fuel_SourceData.Fuel_Scope3EmissionFactorsStationaryGaseous_Source">_xlfn.LAMBDA(("Australian National Greenhouse Accounts Factors 2025 - Table 6"))</definedName>
    <definedName name="Fuel_SourceData.Fuel_Scope3EmissionFactorsStationaryGaseous_Title">_xlfn.LAMBDA(("Fuel scope 3 emission factors - Stationary gaseous fuels"))</definedName>
    <definedName name="Fuel_SourceData.Fuel_Scope3EmissionFactorsStationaryGaseous_Variation">_xlfn.LAMBDA(("VARIATION OF SOURCE DATA: NSW and ACT split into separate rows. 'C' Values for Tasmania and Northern Territory replaced with those for Victoria and Western Australia respectively. (See appendices)"))</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Functions_Dairy.CalculateFractionInMMSAfterSolidSeparation">_xlfn.LAMBDA(_xlpm.ProductionSystem,_xlpm.MMSFraction,_xlpm.FractionSeparated, _xlpm.ProductionSystem * (_xlpm.MMSFraction - (_xlpm.MMSFraction * _xlpm.FractionSeparated)))</definedName>
    <definedName name="InputFunctions_Dairy.CalculateFractionInSolidStorage">_xlfn.LAMBDA(_xlpm.ProductionSystem,_xlpm.InitalSolidStorageFraction,_xlpm.MMS1Fraction,_xlpm.MMS1Separated,_xlpm.MMS2Fraction,_xlpm.MMS2Separated,_xlpm.MMS3Fraction,_xlpm.MMS3Separated, _xlpm.ProductionSystem * (_xlpm.InitalSolidStorageFraction + (_xlpm.MMS1Fraction * _xlpm.MMS1Separated) + (_xlpm.MMS2Fraction * _xlpm.MMS2Separated) + (_xlpm.MMS3Fraction * _xlpm.MMS3Separated)))</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1_Table_AE">'4.2.1.3-4 Soil direct N20'!$D$206:$N$210</definedName>
    <definedName name="M1_Table_CP_j">'4.2.1.3-4 Soil direct N20'!$D$152:$N$156</definedName>
    <definedName name="M1_Table_D_j" localSheetId="12">'4.2.1.3-4 Soil direct N20'!$D$198:$N$202</definedName>
    <definedName name="M1_Table_D_j">'3.2.1.1-2 Enteric Methane'!$D$114:$N$118</definedName>
    <definedName name="M1_Table_D_j_Consumer_1">'4.2.1.1-2 Methane'!$D$226:$N$230</definedName>
    <definedName name="M1_Table_DMD_j_k_l">'4.2.1.1-2 Methane'!$D$114:$N$118</definedName>
    <definedName name="M1_Table_E_CH4">'4.2.1.1-2 Methane'!$D$234:$O$242</definedName>
    <definedName name="M1_Table_E_CO2">'5.1.1.3-4 Inorganic fert CO2'!$D$57:$E$76</definedName>
    <definedName name="M1_Table_E_enteric">'3.2.1.1-2 Enteric Methane'!$D$122:$N$126</definedName>
    <definedName name="M1_Table_E_N2O" localSheetId="22">'6.3.1.1-2 Leach runoff pasture'!$N$44:$O$46</definedName>
    <definedName name="M1_Table_E_N2O">'5.1.1.1-2 Inorganic fert N2O'!$D$59:$E$78</definedName>
    <definedName name="M1_Table_E_N2O_Consumer_1" localSheetId="22">'6.3.1.1-2 Leach runoff pasture'!$D$44:$E$46</definedName>
    <definedName name="M1_Table_E_N2O_Consumer_1">'[1]6.3.1'!$D$44:$E$46</definedName>
    <definedName name="M1_Table_I_j_k_l" localSheetId="10">'3.2.1.1-2 Enteric Methane'!$D$63:$N$67</definedName>
    <definedName name="M1_Table_I_j_k_l" localSheetId="11">'4.2.1.1-2 Methane'!$D$83:$N$87</definedName>
    <definedName name="M1_Table_I_j_k_l" localSheetId="12">'4.2.1.1-2 Methane'!$D$83:$N$87</definedName>
    <definedName name="M1_Table_I_j_k_l" localSheetId="13">'4.2.1.1-2 Methane'!$D$83:$N$87</definedName>
    <definedName name="M1_Table_I_j_k_l" localSheetId="14">'4.2.1.1-2 Methane'!$D$83:$N$87</definedName>
    <definedName name="M1_Table_I_j_k_l" localSheetId="4">'4.2.1.1-2 Methane'!$D$83:$N$87</definedName>
    <definedName name="M1_Table_I_j_k_l">#REF!</definedName>
    <definedName name="M1_Table_I_j_k_l_Consumer_1">'4.2.1.3-4 Soil direct N20'!$D$53:$N$57</definedName>
    <definedName name="M1_Table_L_j_k_l">'4.2.1.3-4 Soil direct N20'!$D$61:$N$65</definedName>
    <definedName name="M1_Table_LC_j_k45" localSheetId="11">'4.2.1.1-2 Methane'!$D$21:$H$25</definedName>
    <definedName name="M1_Table_LC_j_k45">'3.2.1.1-2 Enteric Methane'!$D$20:$G$21</definedName>
    <definedName name="M1_Table_LC_j_k45_Consumer_1">'4.2.1.3-4 Soil direct N20'!$D$86:$G$87</definedName>
    <definedName name="M1_Table_LWG_j_k_l" localSheetId="12">'4.2.1.3-4 Soil direct N20'!$D$118:$N$122</definedName>
    <definedName name="M1_Table_LWG_j_k_l">'3.2.1.1-2 Enteric Methane'!$D$55:$N$59</definedName>
    <definedName name="M1_Table_LWG_j_k_l_Consumer_1">'4.2.1.1-2 Methane'!$D$67:$N$71</definedName>
    <definedName name="M1_Table_M_j_k_l">'3.2.1.1-2 Enteric Methane'!$D$84:$N$88</definedName>
    <definedName name="M1_Table_M_j_k_l_m">'4.2.1.1-2 Methane'!$D$176:$O$184</definedName>
    <definedName name="M1_Table_M_leach_cp" localSheetId="22">'6.3.1.1-2 Leach runoff pasture'!$D$23:$I$25</definedName>
    <definedName name="M1_Table_M_leach_cp">'[1]6.3.1'!$D$23:$I$25</definedName>
    <definedName name="M1_Table_MA_j_k45" localSheetId="10">'3.2.1.1-2 Enteric Methane'!$D$25:$P$29</definedName>
    <definedName name="M1_Table_MA_j_k45" localSheetId="11">'4.2.1.1-2 Methane'!$D$29:$R$33</definedName>
    <definedName name="M1_Table_MA_j_k45" localSheetId="12">'4.2.1.1-2 Methane'!$D$29:$R$33</definedName>
    <definedName name="M1_Table_MA_j_k45" localSheetId="13">'4.2.1.1-2 Methane'!$D$29:$R$33</definedName>
    <definedName name="M1_Table_MA_j_k45" localSheetId="14">'4.2.1.1-2 Methane'!$D$29:$R$33</definedName>
    <definedName name="M1_Table_MA_j_k45" localSheetId="4">'4.2.1.1-2 Methane'!$D$29:$R$33</definedName>
    <definedName name="M1_Table_MA_j_k45">#REF!</definedName>
    <definedName name="M1_Table_MC_j_k_136">'4.2.1.3-4 Soil direct N20'!$D$160:$O$164</definedName>
    <definedName name="M1_Table_MCF_i_m">'4.2.1.1-2 Methane'!$D$170:$E$172</definedName>
    <definedName name="M1_Table_MP_j_k45">'4.2.1.3-4 Soil direct N20'!$D$94:$P$98</definedName>
    <definedName name="M1_Table_N_j_k_l" localSheetId="12">'4.2.1.3-4 Soil direct N20'!$D$190:$N$194</definedName>
    <definedName name="M1_Table_N_j_k_l">'3.2.1.1-2 Enteric Methane'!$D$106:$N$110</definedName>
    <definedName name="M1_Table_N_j_k_l_Consumer_1">'4.2.1.1-2 Methane'!$D$218:$N$222</definedName>
    <definedName name="M1_Table_NE_j_k_l">'4.2.1.3-4 Soil direct N20'!$D$168:$N$172</definedName>
    <definedName name="M1_Table_NR_j_k_l">'4.2.1.3-4 Soil direct N20'!$D$126:$N$130</definedName>
    <definedName name="M1_Table_VS_j_k_l" localSheetId="11">'4.2.1.1-2 Methane'!$D$130:$N$134</definedName>
    <definedName name="M1_Table_VS_j_k_l">#REF!</definedName>
    <definedName name="M1_Table_W_j_k_l" localSheetId="12">'4.2.1.3-4 Soil direct N20'!$D$19:$N$23</definedName>
    <definedName name="M1_Table_W_j_k_l">'3.2.1.1-2 Enteric Methane'!$D$47:$N$51</definedName>
    <definedName name="M1_Table_W_j_k_l_Consumer_1">'4.2.1.1-2 Methane'!$D$51:$N$55</definedName>
    <definedName name="M1_Table_Z_j_k_l">'4.2.1.3-4 Soil direct N20'!$D$32:$N$36</definedName>
    <definedName name="M2_Table_AE">'4.2.1.3-4 Soil direct N20'!$U$247:$AE$259</definedName>
    <definedName name="M2_Table_CP_j">'4.2.1.3-4 Soil direct N20'!$U$163:$AE$175</definedName>
    <definedName name="M2_Table_D_j" localSheetId="12">'4.2.1.3-4 Soil direct N20'!$U$231:$AE$243</definedName>
    <definedName name="M2_Table_D_j">'3.2.1.1-2 Enteric Methane'!$U$132:$AE$144</definedName>
    <definedName name="M2_Table_D_j_Consumer_1">'4.2.1.1-2 Methane'!$W$234:$AG$246</definedName>
    <definedName name="M2_Table_DMD_j_k_l">'4.2.1.1-2 Methane'!$W$114:$AG$126</definedName>
    <definedName name="M2_Table_E_CH4">'4.2.1.1-2 Methane'!$W$250:$AH$274</definedName>
    <definedName name="M2_Table_E_enteric">'3.2.1.1-2 Enteric Methane'!$U$148:$AE$161</definedName>
    <definedName name="M2_Table_FertApplications">'5.1.1.1-2 Inorganic fert N2O'!$M$44:$W$54</definedName>
    <definedName name="M2_Table_I_j_k_l" localSheetId="10">'3.2.1.1-2 Enteric Methane'!$U$75:$AE$87</definedName>
    <definedName name="M2_Table_I_j_k_l" localSheetId="11">'4.2.1.1-2 Methane'!$W$75:$AG$87</definedName>
    <definedName name="M2_Table_I_j_k_l" localSheetId="12">'4.2.1.1-2 Methane'!$W$75:$AG$87</definedName>
    <definedName name="M2_Table_I_j_k_l" localSheetId="13">'4.2.1.1-2 Methane'!$W$75:$AG$87</definedName>
    <definedName name="M2_Table_I_j_k_l" localSheetId="14">'4.2.1.1-2 Methane'!$W$75:$AG$87</definedName>
    <definedName name="M2_Table_I_j_k_l" localSheetId="4">'4.2.1.1-2 Methane'!$W$75:$AG$87</definedName>
    <definedName name="M2_Table_I_j_k_l">#REF!</definedName>
    <definedName name="M2_Table_I_j_k_l_Consumer_1">'4.2.1.3-4 Soil direct N20'!$U$55:$AE$67</definedName>
    <definedName name="M2_Table_L_j_k_l">'4.2.1.3-4 Soil direct N20'!$U$71:$AE$83</definedName>
    <definedName name="M2_Table_LC_j_k45" localSheetId="12">'4.2.1.3-4 Soil direct N20'!$U$91:$X$93</definedName>
    <definedName name="M2_Table_LC_j_k45">'3.2.1.1-2 Enteric Methane'!$U$21:$X$23</definedName>
    <definedName name="M2_Table_LC_j_k45_Consumer_1">'4.2.1.1-2 Methane'!$W$21:$Z$23</definedName>
    <definedName name="M2_Table_LW_j_k_l">'4.2.1.3-4 Soil direct N20'!$U$19:$AE$31</definedName>
    <definedName name="M2_Table_LWG_j_k_l" localSheetId="12">'4.2.1.3-4 Soil direct N20'!$U$119:$AE$131</definedName>
    <definedName name="M2_Table_LWG_j_k_l">'3.2.1.1-2 Enteric Methane'!$U$59:$AE$71</definedName>
    <definedName name="M2_Table_LWG_j_k_l_Consumer_1">'4.2.1.1-2 Methane'!$W$59:$AG$71</definedName>
    <definedName name="M2_Table_M_j_k_l">'3.2.1.1-2 Enteric Methane'!$U$96:$AE$108</definedName>
    <definedName name="M2_Table_M_j_k_l_m">'4.2.1.1-2 Methane'!$W$176:$AH$200</definedName>
    <definedName name="M2_Table_M_leach_cp" localSheetId="22">'6.3.1.1-2 Leach runoff pasture'!$N$23:$S$23</definedName>
    <definedName name="M2_Table_M_leach_cp">'[1]6.3.1'!$N$23:$S$23</definedName>
    <definedName name="M2_Table_MA_j_k45" localSheetId="11">'4.2.1.1-2 Methane'!$W$27:$AI$39</definedName>
    <definedName name="M2_Table_MA_j_k45">'3.2.1.1-2 Enteric Methane'!$U$27:$AG$39</definedName>
    <definedName name="M2_Table_MC_j_k_136">'4.2.1.3-4 Soil direct N20'!$U$179:$AF$191</definedName>
    <definedName name="M2_Table_MCF_i_m">'4.2.1.1-2 Methane'!$W$170:$X$172</definedName>
    <definedName name="M2_Table_MP_j_k45">'4.2.1.3-4 Soil direct N20'!$U$99:$AG$111</definedName>
    <definedName name="M2_Table_N_j_k_l" localSheetId="12">'4.2.1.3-4 Soil direct N20'!$U$215:$AE$227</definedName>
    <definedName name="M2_Table_N_j_k_l">'3.2.1.1-2 Enteric Methane'!$U$116:$AE$128</definedName>
    <definedName name="M2_Table_N_j_k_l_Consumer_1">'4.2.1.1-2 Methane'!$W$218:$AG$230</definedName>
    <definedName name="M2_Table_NE_j_k_l">'4.2.1.3-4 Soil direct N20'!$U$195:$AE$207</definedName>
    <definedName name="M2_Table_NR_j_k_l">'4.2.1.3-4 Soil direct N20'!$U$135:$AE$147</definedName>
    <definedName name="M2_Table_VS_j_k_l">'4.2.1.1-2 Methane'!$W$130:$AG$142</definedName>
    <definedName name="M2_Table_W_j_k_l" localSheetId="11">'4.2.1.1-2 Methane'!$W$43:$AG$55</definedName>
    <definedName name="M2_Table_W_j_k_l">'3.2.1.1-2 Enteric Methane'!$U$43:$AE$55</definedName>
    <definedName name="M2_Table_Z_j_k_l">'4.2.1.3-4 Soil direct N20'!$U$35:$AE$47</definedName>
    <definedName name="ManureManagement_Swine_Methane.VEERG_4_5_1_1__1_TotalAnnualMethaneEmissions">_xlfn.LAMBDA(_xlpm.Dj,_xlpm.Mmj,_xlpm.Nj, _xlpm.Dj * _xlpm.Mmj * _xlpm.Nj * 10 ^ -3)</definedName>
    <definedName name="ManureManagement_Swine_Methane.VEERG_4_5_1_1__1_TotalAnnualMethaneEmissions_Arguments">_xlfn.LAMBDA(_xlfn.MAKEARRAY(3, 2, _xlfn.LAMBDA(_xlpm.r,_xlpm.c, INDEX({"Dj","length of stay of each class of swine : days";"Mmj","methane production from manure in each swine class : kg CH4/head/day";"Nj","numbers of swine in each class : head"}, _xlpm.r, _xlpm.c))))</definedName>
    <definedName name="ManureManagement_Swine_Methane.VEERG_4_5_1_1__1_TotalAnnualMethaneEmissions_Source">_xlfn.LAMBDA("VEERG 2026: 4.5.1.1, Equation (1)")</definedName>
    <definedName name="ManureManagement_Swine_Methane.VEERG_4_5_1_1__1_TotalAnnualMethaneEmissions_Title">_xlfn.LAMBDA("Total annual methane emissions from manure management")</definedName>
    <definedName name="ManureManagement_Swine_Methane.VEERG_4_5_1_1__1_TotalAnnualMethaneEmissions_Unit">_xlfn.LAMBDA("t CH4")</definedName>
    <definedName name="ManureManagement_Swine_Methane.VEERG_4_5_1_1__1_TotalAnnualMethaneEmissions_Variable">_xlfn.LAMBDA("ECH4")</definedName>
    <definedName name="ManureManagement_Swine_Methane.VEERG_4_5_1_1__2_MethaneProductionPerClass_Arguments">_xlfn.LAMBDA(_xlfn.MAKEARRAY(1, 2, _xlfn.LAMBDA(_xlpm.r,_xlpm.c, INDEX({"MjmT","methane production from manure per class, MMS, and treatment stage : kg CH4/head/day"}, _xlpm.r, _xlpm.c))))</definedName>
    <definedName name="ManureManagement_Swine_Methane.VEERG_4_5_1_1__2_MethaneProductionPerClass_Source">_xlfn.LAMBDA("VEERG 2026: 4.5.1.1, Equation (2)")</definedName>
    <definedName name="ManureManagement_Swine_Methane.VEERG_4_5_1_1__2_MethaneProductionPerClass_Title">_xlfn.LAMBDA("Methane production from the manure of each class of swine")</definedName>
    <definedName name="ManureManagement_Swine_Methane.VEERG_4_5_1_1__2_MethaneProductionPerClass_Unit">_xlfn.LAMBDA("kg CH4/head/day")</definedName>
    <definedName name="ManureManagement_Swine_Methane.VEERG_4_5_1_1__2_MethaneProductionPerClass_Variable">_xlfn.LAMBDA("Mmj")</definedName>
    <definedName name="ManureManagement_Swine_Methane.VEERG_4_5_1_1__2_MethaneProductionPerClass_Variation">_xlfn.LAMBDA("VARIATION ON SOURCE: Split variable Mjm into MjmT1 and MjmT2 for stage 1 and 2 MMS.")</definedName>
    <definedName name="ManureManagement_Swine_Methane.VEERG_4_5_1_1__2_MethaneProductionPerClassVariation">_xlfn.LAMBDA(_xlpm.MjmT1,_xlpm.MjmT2, SUM(_xlpm.MjmT1, _xlpm.MjmT2))</definedName>
    <definedName name="ManureManagement_Swine_Methane.VEERG_4_5_1_1__3_Stage1MethaneProduction">_xlfn.LAMBDA(_xlpm.VSj,_xlpm.FVSjmT1,_xlpm.MCFim,_xlpm.BO,_xlpm.rho, _xlpm.VSj * _xlpm.FVSjmT1 * _xlpm.MCFim * _xlpm.BO * _xlpm.rho)</definedName>
    <definedName name="ManureManagement_Swine_Methane.VEERG_4_5_1_1__3_Stage1MethaneProduction_Arguments">_xlfn.LAMBDA(_xlfn.MAKEARRAY(5, 2, _xlfn.LAMBDA(_xlpm.r,_xlpm.c, INDEX({"VSj","volatile solid production from swine in each class : kg/head/day";"FVSjmT1","fraction of volatile solids in each primary system : fraction";"MCFim","methane conversion factor for temperate zone and system : fraction";"BO","emissions potential : m3 CH4/kg VS";"rho","density of methane : kg/m3"}, _xlpm.r, _xlpm.c))))</definedName>
    <definedName name="ManureManagement_Swine_Methane.VEERG_4_5_1_1__3_Stage1MethaneProduction_Source">_xlfn.LAMBDA("VEERG 2026: 4.5.1.1, Equation (3)")</definedName>
    <definedName name="ManureManagement_Swine_Methane.VEERG_4_5_1_1__3_Stage1MethaneProduction_Title">_xlfn.LAMBDA("Production of methane in treatment stage 1 MMS")</definedName>
    <definedName name="ManureManagement_Swine_Methane.VEERG_4_5_1_1__3_Stage1MethaneProduction_Unit">_xlfn.LAMBDA("kg CH4/head/day")</definedName>
    <definedName name="ManureManagement_Swine_Methane.VEERG_4_5_1_1__3_Stage1MethaneProduction_Variable">_xlfn.LAMBDA("MijmT1")</definedName>
    <definedName name="ManureManagement_Swine_Methane.VEERG_4_5_1_1__4_FractionVolatileSolidsPrimarySystem">_xlfn.LAMBDA(_xlpm.MMSjmT1,_xlpm.SSm, _xlfn.LET(_xlpm.ssm, IF(ISNUMBER(_xlpm.SSm), _xlpm.SSm, 0), _xlpm.MMSjmT1 * (1 - _xlpm.ssm)))</definedName>
    <definedName name="ManureManagement_Swine_Methane.VEERG_4_5_1_1__4_FractionVolatileSolidsPrimarySystem_Arguments">_xlfn.LAMBDA(_xlfn.MAKEARRAY(2, 2, _xlfn.LAMBDA(_xlpm.r,_xlpm.c, INDEX({"MMSjmT1","fraction of manure to each primary MMS for each class prior to solid separation : fraction";"SSm","fraction of volatile solids separated to solid storage for each MMS : fraction"}, _xlpm.r, _xlpm.c))))</definedName>
    <definedName name="ManureManagement_Swine_Methane.VEERG_4_5_1_1__4_FractionVolatileSolidsPrimarySystem_Source">_xlfn.LAMBDA("VEERG 2026: 4.5.1.1, Equation (4)")</definedName>
    <definedName name="ManureManagement_Swine_Methane.VEERG_4_5_1_1__4_FractionVolatileSolidsPrimarySystem_Title">_xlfn.LAMBDA("Fraction of volatile solids in each primary system other than solid storage")</definedName>
    <definedName name="ManureManagement_Swine_Methane.VEERG_4_5_1_1__4_FractionVolatileSolidsPrimarySystem_Unit">_xlfn.LAMBDA("fraction")</definedName>
    <definedName name="ManureManagement_Swine_Methane.VEERG_4_5_1_1__4_FractionVolatileSolidsPrimarySystem_Variable">_xlfn.LAMBDA("FVSjmT1")</definedName>
    <definedName name="ManureManagement_Swine_Methane.VEERG_4_5_1_1__4_FractionVolatileSolidsPrimarySystem_Variation">_xlfn.LAMBDA("VARIATION ON SOURCE: Added check to convert 'N/A' value to zero.")</definedName>
    <definedName name="ManureManagement_Swine_Methane.VEERG_4_5_1_1__5_FractionVolatileSolidsSolidStorage">_xlfn.LAMBDA(_xlpm.MMSjm4T1,_xlpm.MMSjm179T1,_xlpm.SSm, _xlfn.LET(_xlpm.MMSjm4T1, IF(ISNUMBER(_xlpm.MMSjm4T1), _xlpm.MMSjm4T1, 0), _xlpm.MMSjm179T1, IF(ISNUMBER(_xlpm.MMSjm179T1), _xlpm.MMSjm179T1, 0), _xlpm.SSm, IF(ISNUMBER(_xlpm.SSm), _xlpm.SSm, 0), _xlpm.MMSjm4T1 + (_xlpm.MMSjm179T1 * _xlpm.SSm)))</definedName>
    <definedName name="ManureManagement_Swine_Methane.VEERG_4_5_1_1__5_FractionVolatileSolidsSolidStorage_Arguments">_xlfn.LAMBDA(_xlfn.MAKEARRAY(3, 2, _xlfn.LAMBDA(_xlpm.r,_xlpm.c, INDEX({"MMSjm4T1","fraction of manure in solid storage primary system : fraction";"MMSjm179T1","fraction of manure in MMS 1, 7, and 9 in treatment stage 1 : fraction";"SSm","fraction of volatile solids separated to solid storage for each MMS : fraction"}, _xlpm.r, _xlpm.c))))</definedName>
    <definedName name="ManureManagement_Swine_Methane.VEERG_4_5_1_1__5_FractionVolatileSolidsSolidStorage_Source">_xlfn.LAMBDA("VEERG 2026: 4.5.1.1, Equation (5)")</definedName>
    <definedName name="ManureManagement_Swine_Methane.VEERG_4_5_1_1__5_FractionVolatileSolidsSolidStorage_Title">_xlfn.LAMBDA("Fraction of volatile solids in solid storage")</definedName>
    <definedName name="ManureManagement_Swine_Methane.VEERG_4_5_1_1__5_FractionVolatileSolidsSolidStorage_Unit">_xlfn.LAMBDA("fraction")</definedName>
    <definedName name="ManureManagement_Swine_Methane.VEERG_4_5_1_1__5_FractionVolatileSolidsSolidStorage_Variable">_xlfn.LAMBDA("FVSjm4T1")</definedName>
    <definedName name="ManureManagement_Swine_Methane.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anureManagement_Swine_Methane.VEERG_4_5_1_1__6_Stage2MethaneProduction_Arguments">_xlfn.LAMBDA(_xlfn.MAKEARRAY(6, 2, _xlfn.LAMBDA(_xlpm.r,_xlpm.c, INDEX({"VSTjmT2","volatile solids transferred to treatment stage 2 MMS : kg/head/day";"BO","emissions potential : m3 CH4/kg VS";"MMSjmT2","fraction of manure in each secondary system : fraction";"MCFim","methane conversion factor for temperate zone and system : fraction";"rho","density of methane : kg/m3";"i","state"}, _xlpm.r, _xlpm.c))))</definedName>
    <definedName name="ManureManagement_Swine_Methane.VEERG_4_5_1_1__6_Stage2MethaneProduction_Source">_xlfn.LAMBDA("VEERG 2026: 4.5.1.1, Equation (6)")</definedName>
    <definedName name="ManureManagement_Swine_Methane.VEERG_4_5_1_1__6_Stage2MethaneProduction_Title">_xlfn.LAMBDA("Production of methane in each treatment stage 2 MMS")</definedName>
    <definedName name="ManureManagement_Swine_Methane.VEERG_4_5_1_1__6_Stage2MethaneProduction_Unit">_xlfn.LAMBDA("kg CH4/head/day")</definedName>
    <definedName name="ManureManagement_Swine_Methane.VEERG_4_5_1_1__6_Stage2MethaneProduction_Variable">_xlfn.LAMBDA("MijmT2")</definedName>
    <definedName name="ManureManagement_Swine_Methane.VEERG_4_5_1_1__7_VolatileSolidsTransferredStage2">_xlfn.LAMBDA(_xlpm.VSj,_xlpm.FVSjmT1,_xlpm.VSLmT1, _xlpm.VSj * _xlpm.FVSjmT1 * (1 - _xlpm.VSLmT1))</definedName>
    <definedName name="ManureManagement_Swine_Methane.VEERG_4_5_1_1__7_VolatileSolidsTransferredStage2_Arguments">_xlfn.LAMBDA(_xlfn.MAKEARRAY(3, 2, _xlfn.LAMBDA(_xlpm.r,_xlpm.c, INDEX({"VSj","volatile solid production from swine in each class : kg/head/day";"FVSjmT1","fraction of volatile solids in each primary system : fraction";"VSLmT1","fraction of volatile solids lost during storage in the primary system : fraction"}, _xlpm.r, _xlpm.c))))</definedName>
    <definedName name="ManureManagement_Swine_Methane.VEERG_4_5_1_1__7_VolatileSolidsTransferredStage2_Source">_xlfn.LAMBDA("VEERG 2026: 4.5.1.1, Equation (7)")</definedName>
    <definedName name="ManureManagement_Swine_Methane.VEERG_4_5_1_1__7_VolatileSolidsTransferredStage2_Title">_xlfn.LAMBDA("Volatile solids transferred to treatment stage 2 MMS")</definedName>
    <definedName name="ManureManagement_Swine_Methane.VEERG_4_5_1_1__7_VolatileSolidsTransferredStage2_Unit">_xlfn.LAMBDA("kg VS")</definedName>
    <definedName name="ManureManagement_Swine_Methane.VEERG_4_5_1_1__7_VolatileSolidsTransferredStage2_Variable">_xlfn.LAMBDA("VSTijmT2")</definedName>
    <definedName name="MMS_Dairy_AtmosphericDeposition_Equations.VEERG_4_3_1_5__1_AnnualAtmosphericDepositionEmissionsFromMMS">_xlfn.LAMBDA(_xlpm.MN_ATMOS,_xlpm.EF_N2O,_xlpm.C_N2O, _xlpm.MN_ATMOS * _xlpm.EF_N2O * _xlpm.C_N2O * 10 ^ -3)</definedName>
    <definedName name="MMS_PastureBeef_Methane_Equations.VEERG_4_2_1_1__1_TotalAnnualMethaneProductionFromManureManagement">_xlfn.LAMBDA(_xlpm.N_jkl,_xlpm.M_jklm,_xlpm.D_j, (_xlpm.N_jkl * _xlpm.M_jklm * _xlpm.D_j) * 10 ^ -3)</definedName>
    <definedName name="MMS_PastureBeef_Methane_Equations.VEERG_4_2_1_1__1_TotalAnnualMethaneProductionFromManureManagement_Arguments">_xlfn.LAMBDA(_xlfn.MAKEARRAY(3, 4, _xlfn.LAMBDA(_xlpm.r,_xlpm.c, INDEX({"N_jkl","number of beef cattle in each time-period, class and subclass","head","Input";"M_jklm","methane production from manure in each time-period, class, subclass and MMS","kg/head/day","Calculated from 4.2.1.1 (2)";"D_j","number of days in each time-period for each input class","days","Input"}, _xlpm.r, _xlpm.c))))</definedName>
    <definedName name="MMS_PastureBeef_Methane_Equations.VEERG_4_2_1_1__1_TotalAnnualMethaneProductionFromManureManagement_LatexEquation">_xlfn.LAMBDA("E_{CH4}=\sum_{j}\sum_{k}\sum_{l}\sum_{m}(N_{jkl}\times M_{jklm}\times D_j)\times 10^{-3}")</definedName>
    <definedName name="MMS_PastureBeef_Methane_Equations.VEERG_4_2_1_1__1_TotalAnnualMethaneProductionFromManureManagement_NIRReference">_xlfn.LAMBDA("")</definedName>
    <definedName name="MMS_PastureBeef_Methane_Equations.VEERG_4_2_1_1__1_TotalAnnualMethaneProductionFromManureManagement_Source">_xlfn.LAMBDA("VEERG 2026: 4.2.1.1, Equation (1)")</definedName>
    <definedName name="MMS_PastureBeef_Methane_Equations.VEERG_4_2_1_1__1_TotalAnnualMethaneProductionFromManureManagement_Title">_xlfn.LAMBDA("Total annual methane production from manure management for grazing beef cattle")</definedName>
    <definedName name="MMS_PastureBeef_Methane_Equations.VEERG_4_2_1_1__1_TotalAnnualMethaneProductionFromManureManagement_Unit">_xlfn.LAMBDA("t CH4")</definedName>
    <definedName name="MMS_PastureBeef_Methane_Equations.VEERG_4_2_1_1__1_TotalAnnualMethaneProductionFromManureManagement_Variable">_xlfn.LAMBDA("E_CH4")</definedName>
    <definedName name="MMS_PastureBeef_Methane_Equations.VEERG_4_2_1_1__2_MethaneProductionFromManure">_xlfn.LAMBDA(_xlpm.VS_jkl,_xlpm.B_o,_xlpm.MMS_m,_xlpm.MCF_im,_xlpm.rho, _xlpm.VS_jkl * _xlpm.B_o * _xlpm.MMS_m * _xlpm.MCF_im * _xlpm.rho)</definedName>
    <definedName name="MMS_PastureBeef_Methane_Equations.VEERG_4_2_1_1__2_MethaneProductionFromManure_Arguments">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methane","kg/m3","Constant";"i","state","","Input";"i","region","","Input"}, _xlpm.r, _xlpm.c))))</definedName>
    <definedName name="MMS_PastureBeef_Methane_Equations.VEERG_4_2_1_1__2_MethaneProductionFromManure_Arguments_Method2">_xlfn.LAMBDA(_xlfn.MAKEARRAY(6,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methane","kg/m3","Constant";"MAT","Mean annual temperature","°C","Input"}, _xlpm.r, _xlpm.c))))</definedName>
    <definedName name="MMS_PastureBeef_Methane_Equations.VEERG_4_2_1_1__2_MethaneProductionFromManure_LatexEquation">_xlfn.LAMBDA("M_{jklm}=VS_{jkl}\times B_o\times MMS_m\times MCF_{im}\times \rho")</definedName>
    <definedName name="MMS_PastureBeef_Methane_Equations.VEERG_4_2_1_1__2_MethaneProductionFromManure_NIRReference">_xlfn.LAMBDA("")</definedName>
    <definedName name="MMS_PastureBeef_Methane_Equations.VEERG_4_2_1_1__2_MethaneProductionFromManure_Source">_xlfn.LAMBDA("VEERG 2026: 4.2.1.1, Equation (2)")</definedName>
    <definedName name="MMS_PastureBeef_Methane_Equations.VEERG_4_2_1_1__2_MethaneProductionFromManure_Title">_xlfn.LAMBDA("Methane production from the manure of grazing beef cattle")</definedName>
    <definedName name="MMS_PastureBeef_Methane_Equations.VEERG_4_2_1_1__2_MethaneProductionFromManure_Unit">_xlfn.LAMBDA("kg CH4/head/day")</definedName>
    <definedName name="MMS_PastureBeef_Methane_Equations.VEERG_4_2_1_1__2_MethaneProductionFromManure_Variable">_xlfn.LAMBDA("M_jklm")</definedName>
    <definedName name="MMS_PastureBeef_Methane_Equations.VEERG_4_2_1_1__3_VolatileSolidProductionFromGrazingBeef">_xlfn.LAMBDA(_xlpm.I_jkl,_xlpm.DMD_jkl,_xlpm.A, (_xlpm.I_jkl * (1 - _xlpm.DMD_jkl) + (0.04 * _xlpm.I_jkl)) * (1 - _xlpm.A))</definedName>
    <definedName name="MMS_PastureBeef_Methane_Equations.VEERG_4_2_1_1__3_VolatileSolidProductionFromGrazingBeef_Arguments">_xlfn.LAMBDA(_xlfn.MAKEARRAY(3, 4, _xlfn.LAMBDA(_xlpm.r,_xlpm.c, INDEX({"I_jkl","dry matter intake as calculated in Chapter 3 Section 3.2.1","kg/head/day","Calculated from 3.2.1.1, (3)";"DMD_jkl","dry matter digestibility expressed as a fraction","fraction","Input";"A","ash content of feed intake expressed as a fraction","fraction","Constant"}, _xlpm.r, _xlpm.c))))</definedName>
    <definedName name="MMS_PastureBeef_Methane_Equations.VEERG_4_2_1_1__3_VolatileSolidProductionFromGrazingBeef_LatexEquation">_xlfn.LAMBDA("VS_{jkl}=(I_{jkl}\times (1-DMD_{jkl})+(0.04\times I_{jkl}))\times (1-A)")</definedName>
    <definedName name="MMS_PastureBeef_Methane_Equations.VEERG_4_2_1_1__3_VolatileSolidProductionFromGrazingBeef_NIRReference">_xlfn.LAMBDA("")</definedName>
    <definedName name="MMS_PastureBeef_Methane_Equations.VEERG_4_2_1_1__3_VolatileSolidProductionFromGrazingBeef_Source">_xlfn.LAMBDA("VEERG 2026: 4.2.1.1, Equation (3)")</definedName>
    <definedName name="MMS_PastureBeef_Methane_Equations.VEERG_4_2_1_1__3_VolatileSolidProductionFromGrazingBeef_Title">_xlfn.LAMBDA("Volatile solid production from grazing beef")</definedName>
    <definedName name="MMS_PastureBeef_Methane_Equations.VEERG_4_2_1_1__3_VolatileSolidProductionFromGrazingBeef_Unit">_xlfn.LAMBDA("kg/head/day")</definedName>
    <definedName name="MMS_PastureBeef_Methane_Equations.VEERG_4_2_1_1__3_VolatileSolidProductionFromGrazingBeef_Variable">_xlfn.LAMBDA("VS_jkl")</definedName>
    <definedName name="MMS_PastureBeef_Soil_AtmosphericDeposition_Equations.VEERG_4_2_1_5__1_AtmosphericDepositionEmissionsFromUrineAndDungOnPasture">_xlfn.LAMBDA(_xlpm.M_vol,_xlpm.EF_N2O,_xlpm.C_N2O, _xlpm.M_vol * _xlpm.EF_N2O * _xlpm.C_N2O * 10 ^ -3)</definedName>
    <definedName name="MMS_PastureBeef_Soil_AtmosphericDeposition_Equations.VEERG_4_2_1_5__1_AtmosphericDepositionEmissionsFromUrineAndDungOnPasture_Arguments">_xlfn.LAMBDA(_xlfn.MAKEARRAY(6, 4, _xlfn.LAMBDA(_xlpm.r,_xlpm.c, INDEX({"M_vol","mass of nitrogen volatilised from urine and faeces deposited on pasture","kg N","Calculated from 4.2.1.5 (2)";"EF_N2O","nitrous oxide emission factor for atmospheric deposition","kg N2O-N/kg N","Constant";"C_N2O","factor to convert elemental mass of N2O to molecular mass","","Constant";"j","production system","","Input";"i","irrigation method","","Input";"r","rainfall zone","","Input"}, _xlpm.r, _xlpm.c))))</definedName>
    <definedName name="MMS_PastureBeef_Soil_AtmosphericDeposition_Equations.VEERG_4_2_1_5__1_AtmosphericDepositionEmissionsFromUrineAndDungOnPasture_LatexEquation">_xlfn.LAMBDA("E_{N2O,ad}=M_{vol}\times EF_{N2O}\times C_{N2O}\times 10^{-3}")</definedName>
    <definedName name="MMS_PastureBeef_Soil_AtmosphericDeposition_Equations.VEERG_4_2_1_5__1_AtmosphericDepositionEmissionsFromUrineAndDungOnPasture_NIRReference">_xlfn.LAMBDA("")</definedName>
    <definedName name="MMS_PastureBeef_Soil_AtmosphericDeposition_Equations.VEERG_4_2_1_5__1_AtmosphericDepositionEmissionsFromUrineAndDungOnPasture_Source">_xlfn.LAMBDA("VEERG 2026: 4.2.1.5, Equation (1)")</definedName>
    <definedName name="MMS_PastureBeef_Soil_AtmosphericDeposition_Equations.VEERG_4_2_1_5__1_AtmosphericDepositionEmissionsFromUrineAndDungOnPasture_Title">_xlfn.LAMBDA("Atmospheric deposition emissions from urine and dung deposited on pasture")</definedName>
    <definedName name="MMS_PastureBeef_Soil_AtmosphericDeposition_Equations.VEERG_4_2_1_5__1_AtmosphericDepositionEmissionsFromUrineAndDungOnPasture_Unit">_xlfn.LAMBDA("t N2O")</definedName>
    <definedName name="MMS_PastureBeef_Soil_AtmosphericDeposition_Equations.VEERG_4_2_1_5__1_AtmosphericDepositionEmissionsFromUrineAndDungOnPasture_Variable">_xlfn.LAMBDA("E_N2Oad")</definedName>
    <definedName name="MMS_PastureBeef_Soil_AtmosphericDeposition_Equations.VEERG_4_2_1_5__2_MassOfNitrogenVolatilisedOnPasture">_xlfn.LAMBDA(_xlpm.AE,_xlpm.FracGASMsoil, _xlpm.AE * _xlpm.FracGASMsoil)</definedName>
    <definedName name="MMS_PastureBeef_Soil_AtmosphericDeposition_Equations.VEERG_4_2_1_5__2_MassOfNitrogenVolatilisedOnPasture_Arguments">_xlfn.LAMBDA(_xlfn.MAKEARRAY(2, 4, _xlfn.LAMBDA(_xlpm.r,_xlpm.c, INDEX({"AE","total mass of nitrogen excreted on PRP for beef cattle","kg N","Calculated from 4.2.1.3 (2)";"FracGASMsoil","fraction of nitrogen volatilised from urine and faeces deposited on pasture ((kg NH3-N + NOx-N)/kg N)","fraction","Constant"}, _xlpm.r, _xlpm.c))))</definedName>
    <definedName name="MMS_PastureBeef_Soil_AtmosphericDeposition_Equations.VEERG_4_2_1_5__2_MassOfNitrogenVolatilisedOnPasture_LatexEquation">_xlfn.LAMBDA("M_{vol}=AE\times FracGASMsoil")</definedName>
    <definedName name="MMS_PastureBeef_Soil_AtmosphericDeposition_Equations.VEERG_4_2_1_5__2_MassOfNitrogenVolatilisedOnPasture_NIRReference">_xlfn.LAMBDA("")</definedName>
    <definedName name="MMS_PastureBeef_Soil_AtmosphericDeposition_Equations.VEERG_4_2_1_5__2_MassOfNitrogenVolatilisedOnPasture_Source">_xlfn.LAMBDA("VEERG 2026: 4.2.1.5, Equation (2)")</definedName>
    <definedName name="MMS_PastureBeef_Soil_AtmosphericDeposition_Equations.VEERG_4_2_1_5__2_MassOfNitrogenVolatilisedOnPasture_Title">_xlfn.LAMBDA("Mass of nitrogen volatilised")</definedName>
    <definedName name="MMS_PastureBeef_Soil_AtmosphericDeposition_Equations.VEERG_4_2_1_5__2_MassOfNitrogenVolatilisedOnPasture_Unit">_xlfn.LAMBDA("kg N")</definedName>
    <definedName name="MMS_PastureBeef_Soil_AtmosphericDeposition_Equations.VEERG_4_2_1_5__2_MassOfNitrogenVolatilisedOnPasture_Variable">_xlfn.LAMBDA("M_vol")</definedName>
    <definedName name="MMS_PastureBeef_Soil_LeachingAndRunoff.VEERG_4_2_1_7__1_LeachingAndRunoffEmissionsFromUrineAndDungOnPasture">_xlfn.LAMBDA(_xlpm.M_leach,_xlpm.EF_leach,_xlpm.C_N2O, _xlpm.M_leach * _xlpm.EF_leach * _xlpm.C_N2O * 10 ^ -3)</definedName>
    <definedName name="MMS_PastureBeef_Soil_LeachingAndRunoff.VEERG_4_2_1_7__1_LeachingAndRunoffEmissionsFromUrineAndDungOnPasture_Arguments">_xlfn.LAMBDA(_xlfn.MAKEARRAY(3, 4, _xlfn.LAMBDA(_xlpm.r,_xlpm.c, INDEX({"M_leach","mass of nitrogen lost to leaching and runoff","kg N","Calculated from 4.2.1.7 (2)";"EF_leach","emission factor for leaching and runoff","kg N2O-N/kg N","Constant";"C_N2O","factor to convert elemental mass of N2O to molecular mass","","Constant"}, _xlpm.r, _xlpm.c))))</definedName>
    <definedName name="MMS_PastureBeef_Soil_LeachingAndRunoff.VEERG_4_2_1_7__1_LeachingAndRunoffEmissionsFromUrineAndDungOnPasture_LatexEquation">_xlfn.LAMBDA("E_{N2O,leach}=M_{leach}\times EF_{leach}\times C_{N2O}\times 10^{-3}")</definedName>
    <definedName name="MMS_PastureBeef_Soil_LeachingAndRunoff.VEERG_4_2_1_7__1_LeachingAndRunoffEmissionsFromUrineAndDungOnPasture_NIRReference">_xlfn.LAMBDA("")</definedName>
    <definedName name="MMS_PastureBeef_Soil_LeachingAndRunoff.VEERG_4_2_1_7__1_LeachingAndRunoffEmissionsFromUrineAndDungOnPasture_Source">_xlfn.LAMBDA("VEERG 2026: 4.2.1.7, Equation (1)")</definedName>
    <definedName name="MMS_PastureBeef_Soil_LeachingAndRunoff.VEERG_4_2_1_7__1_LeachingAndRunoffEmissionsFromUrineAndDungOnPasture_Title">_xlfn.LAMBDA("Leaching and runoff emissions from urine and dung deposited on pasture")</definedName>
    <definedName name="MMS_PastureBeef_Soil_LeachingAndRunoff.VEERG_4_2_1_7__1_LeachingAndRunoffEmissionsFromUrineAndDungOnPasture_Unit">_xlfn.LAMBDA("t N2O")</definedName>
    <definedName name="MMS_PastureBeef_Soil_LeachingAndRunoff.VEERG_4_2_1_7__1_LeachingAndRunoffEmissionsFromUrineAndDungOnPasture_Variable">_xlfn.LAMBDA("E_N2Oleach")</definedName>
    <definedName name="MMS_PastureBeef_Soil_LeachingAndRunoff.VEERG_4_2_1_7__2_MassOfNitrogenLostToLeachingAndRunoffOnPasture">_xlfn.LAMBDA(_xlpm.AE,_xlpm.FracWet,_xlpm.FracLEACH, _xlpm.AE * _xlpm.FracWet * _xlpm.FracLEACH)</definedName>
    <definedName name="MMS_PastureBeef_Soil_LeachingAndRunoff.VEERG_4_2_1_7__2_MassOfNitrogenLostToLeachingAndRunoffOnPasture_Arguments">_xlfn.LAMBDA(_xlfn.MAKEARRAY(6, 4, _xlfn.LAMBDA(_xlpm.r,_xlpm.c, INDEX({"AE","total mass of nitrogen excreted on PRP for beef cattle","kg N","Calculated from 4.2.1.3 (2)";"FracWet","fraction of N available for leaching and runoff","fraction","Constant";"FracLEACH","fraction of all N that is lost through leaching and runoff","fraction","Constant";"z","location in leaching zone","","Input";"j","production system","","Input";"ir","irrigation method","","Input"}, _xlpm.r, _xlpm.c))))</definedName>
    <definedName name="MMS_PastureBeef_Soil_LeachingAndRunoff.VEERG_4_2_1_7__2_MassOfNitrogenLostToLeachingAndRunoffOnPasture_LatexEquation">_xlfn.LAMBDA("M_{leach}=AE\times FracWet\times FracLEACH")</definedName>
    <definedName name="MMS_PastureBeef_Soil_LeachingAndRunoff.VEERG_4_2_1_7__2_MassOfNitrogenLostToLeachingAndRunoffOnPasture_NIRReference">_xlfn.LAMBDA("")</definedName>
    <definedName name="MMS_PastureBeef_Soil_LeachingAndRunoff.VEERG_4_2_1_7__2_MassOfNitrogenLostToLeachingAndRunoffOnPasture_Source">_xlfn.LAMBDA("VEERG 2026: 4.2.1.7, Equation (2)")</definedName>
    <definedName name="MMS_PastureBeef_Soil_LeachingAndRunoff.VEERG_4_2_1_7__2_MassOfNitrogenLostToLeachingAndRunoffOnPasture_Title">_xlfn.LAMBDA("Mass of nitrogen lost to leaching and runoff")</definedName>
    <definedName name="MMS_PastureBeef_Soil_LeachingAndRunoff.VEERG_4_2_1_7__2_MassOfNitrogenLostToLeachingAndRunoffOnPasture_Unit">_xlfn.LAMBDA("kg N")</definedName>
    <definedName name="MMS_PastureBeef_Soil_LeachingAndRunoff.VEERG_4_2_1_7__2_MassOfNitrogenLostToLeachingAndRunoffOnPasture_Variable">_xlfn.LAMBDA("M_leach")</definedName>
    <definedName name="MMS_PastureBeef_Soil_N2ODirect_Equations.VEERG_4_2_1_3__1_DirectNitrousOxideEmissionsOnPasture">_xlfn.LAMBDA(_xlpm.AE,_xlpm.EF_PRP,_xlpm.C_N2O, _xlpm.AE * _xlpm.EF_PRP * _xlpm.C_N2O * 10 ^ -3)</definedName>
    <definedName name="MMS_PastureBeef_Soil_N2ODirect_Equations.VEERG_4_2_1_3__1_DirectNitrousOxideEmissionsOnPasture_Arguments">_xlfn.LAMBDA(_xlfn.MAKEARRAY(4, 4, _xlfn.LAMBDA(_xlpm.r,_xlpm.c, INDEX({"AE","total mass of nitrogen excreted on PRP for beef cattle","kg N","Calculated from 4.2.1.3 (2)";"EF_PRP","emission factor for nitrous oxide from urine and dung deposited to soil","kg N2O-N/kg N deposited","Constant";"C_N2O","factor to convert elemental mass of nitrous oxide to molecular mass","","Constant";"z","wet or dry climate zone","","Input"}, _xlpm.r, _xlpm.c))))</definedName>
    <definedName name="MMS_PastureBeef_Soil_N2ODirect_Equations.VEERG_4_2_1_3__1_DirectNitrousOxideEmissionsOnPasture_LatexEquation">_xlfn.LAMBDA("E_{N2O,dir}=AE\times EF_{PRP}\times C_{N2O}\times 10^{-3}")</definedName>
    <definedName name="MMS_PastureBeef_Soil_N2ODirect_Equations.VEERG_4_2_1_3__1_DirectNitrousOxideEmissionsOnPasture_NIRReference">_xlfn.LAMBDA("")</definedName>
    <definedName name="MMS_PastureBeef_Soil_N2ODirect_Equations.VEERG_4_2_1_3__1_DirectNitrousOxideEmissionsOnPasture_Source">_xlfn.LAMBDA("VEERG 2026: 4.2.1.3, Equation (1)")</definedName>
    <definedName name="MMS_PastureBeef_Soil_N2ODirect_Equations.VEERG_4_2_1_3__1_DirectNitrousOxideEmissionsOnPasture_Title">_xlfn.LAMBDA("Total annual direct nitrous oxide emissions from agricultural soils from deposition of urine and dung")</definedName>
    <definedName name="MMS_PastureBeef_Soil_N2ODirect_Equations.VEERG_4_2_1_3__1_DirectNitrousOxideEmissionsOnPasture_Unit">_xlfn.LAMBDA("t N2O")</definedName>
    <definedName name="MMS_PastureBeef_Soil_N2ODirect_Equations.VEERG_4_2_1_3__1_DirectNitrousOxideEmissionsOnPasture_Variable">_xlfn.LAMBDA("E_N2Odir")</definedName>
    <definedName name="MMS_PastureBeef_Soil_N2ODirect_Equations.VEERG_4_2_1_3__2_TotalNitrogenExcretedToPastureRangeAndPaddock">_xlfn.LAMBDA(_xlpm.N_jkl,_xlpm.NE_jkl,_xlpm.D_j, SUM((_xlpm.N_jkl * _xlpm.NE_jkl) * _xlpm.D_j))</definedName>
    <definedName name="MMS_PastureBeef_Soil_N2ODirect_Equations.VEERG_4_2_1_3__2_TotalNitrogenExcretedToPastureRangeAndPaddock_Arguments">_xlfn.LAMBDA(_xlfn.MAKEARRAY(3, 4, _xlfn.LAMBDA(_xlpm.r,_xlpm.c, INDEX({"N_jkl","number of beef cattle by time-period, class and subclass","head","Input";"NE_jkl","nitrogen excreted in each time-period, by each class and subclass","kg N/head/day","Calculated from 4.2.1.3 (3)";"D_j","number of days in each time-period (days)","days","Input"}, _xlpm.r, _xlpm.c))))</definedName>
    <definedName name="MMS_PastureBeef_Soil_N2ODirect_Equations.VEERG_4_2_1_3__2_TotalNitrogenExcretedToPastureRangeAndPaddock_LatexEquation">_xlfn.LAMBDA("AE=\sum_{j}\sum_{k}\sum_{l}(N_{jkl}\times NE_{jkl}\times D_j)")</definedName>
    <definedName name="MMS_PastureBeef_Soil_N2ODirect_Equations.VEERG_4_2_1_3__2_TotalNitrogenExcretedToPastureRangeAndPaddock_NIRReference">_xlfn.LAMBDA("")</definedName>
    <definedName name="MMS_PastureBeef_Soil_N2ODirect_Equations.VEERG_4_2_1_3__2_TotalNitrogenExcretedToPastureRangeAndPaddock_Source">_xlfn.LAMBDA("VEERG 2026: 4.2.1.3, Equation (2)")</definedName>
    <definedName name="MMS_PastureBeef_Soil_N2ODirect_Equations.VEERG_4_2_1_3__2_TotalNitrogenExcretedToPastureRangeAndPaddock_Title">_xlfn.LAMBDA("Total nitrogen excreted to pasture, range and paddock")</definedName>
    <definedName name="MMS_PastureBeef_Soil_N2ODirect_Equations.VEERG_4_2_1_3__2_TotalNitrogenExcretedToPastureRangeAndPaddock_Unit">_xlfn.LAMBDA("kg N")</definedName>
    <definedName name="MMS_PastureBeef_Soil_N2ODirect_Equations.VEERG_4_2_1_3__2_TotalNitrogenExcretedToPastureRangeAndPaddock_Variable">_xlfn.LAMBDA("AE")</definedName>
    <definedName name="MMS_PastureBeef_Soil_N2ODirect_Equations.VEERG_4_2_1_3__3_NitrogenExcreted">_xlfn.LAMBDA(_xlpm.I_jkl,_xlpm.CP_j,_xlpm.MC_jk136,_xlpm.NR_jkl,_xlpm.W_jkl, ((_xlpm.I_jkl * _xlpm.CP_j) / 6.25) + ((0.032 * _xlpm.MC_jk136) / 6.38) - _xlpm.NR_jkl - ((1.1 * 10 ^ -4 * _xlpm.W_jkl ^ 0.75) / 6.25))</definedName>
    <definedName name="MMS_PastureBeef_Soil_N2ODirect_Equations.VEERG_4_2_1_3__3_NitrogenExcreted_Arguments">_xlfn.LAMBDA(_xlfn.MAKEARRAY(7, 4, _xlfn.LAMBDA(_xlpm.r,_xlpm.c, INDEX({"I_jkl","dry matter intake as calculated in Chapter 3 Section 3.2.1 (kg DM/head/day)","kg DM/head/day","Calculated from 3.2.1.1 (3)";"CP_j","crude protein content of dry matter intake","fraction","Input";"MC_jk136","milk intake (kg/head/day)","kg/head/day","Constant";"NR_jkl","the amount of nitrogen retained by the body (kg N/head/day)","kg N/head/day","Calculated from 4.2.1.3 (4)";"W_jkl","liveweight (kg/head)","kg/head","Input";"b","breed of cattle","","Input";"s","Calving season","","Input"}, _xlpm.r, _xlpm.c))))</definedName>
    <definedName name="MMS_PastureBeef_Soil_N2ODirect_Equations.VEERG_4_2_1_3__3_NitrogenExcreted_LatexEquation">_xlfn.LAMBDA("NE_{jkl}= (I_{jkl}\times CP_j \div 6.25)  + (0.032\times MC_{jk=1,3,6} \div 6.38)  - NR_{jkl} - \left[ (1.1\times 10^{-4}\times W_{jkl}^{0.75}) \div  6.25 \right]")</definedName>
    <definedName name="MMS_PastureBeef_Soil_N2ODirect_Equations.VEERG_4_2_1_3__3_NitrogenExcreted_NIRReference">_xlfn.LAMBDA("")</definedName>
    <definedName name="MMS_PastureBeef_Soil_N2ODirect_Equations.VEERG_4_2_1_3__3_NitrogenExcreted_Source">_xlfn.LAMBDA("VEERG 2026: 4.2.1.3, Equation (3)")</definedName>
    <definedName name="MMS_PastureBeef_Soil_N2ODirect_Equations.VEERG_4_2_1_3__3_NitrogenExcreted_Title">_xlfn.LAMBDA("Nitrogen excreted")</definedName>
    <definedName name="MMS_PastureBeef_Soil_N2ODirect_Equations.VEERG_4_2_1_3__3_NitrogenExcreted_Unit">_xlfn.LAMBDA("kg N/head/day")</definedName>
    <definedName name="MMS_PastureBeef_Soil_N2ODirect_Equations.VEERG_4_2_1_3__3_NitrogenExcreted_Variable">_xlfn.LAMBDA("NE_jkl")</definedName>
    <definedName name="MMS_PastureBeef_Soil_N2ODirect_Equations.VEERG_4_2_1_3__4_NitrogenRetainedByBody">_xlfn.LAMBDA(_xlpm.MP_jk5,_xlpm.L_jkl,_xlpm.Z_jkl,_xlpm.LWG_jkl, ((0.032 * _xlpm.MP_jk5) / 6.38) + (((0.212 - 0.008 * (_xlpm.L_jkl - 2) - ((0.14 - 0.008 * (_xlpm.L_jkl - 2)) / (1 + EXP(-6 * (_xlpm.Z_jkl - 0.4))))) * (_xlpm.LWG_jkl * 0.92)) / 6.25))</definedName>
    <definedName name="MMS_PastureBeef_Soil_N2ODirect_Equations.VEERG_4_2_1_3__4_NitrogenRetainedByBody_Arguments">_xlfn.LAMBDA(_xlfn.MAKEARRAY(4, 4, _xlfn.LAMBDA(_xlpm.r,_xlpm.c, INDEX({"MP_jk5","milk production (kg/head/day)","kg/head/day","Calculated from 4.2.1.3 (5)";"L_jkl","intake relative to that needed for maintenance","","Calculated from 4.2.1.3 (6)";"Z_jkl","relative size","","Calculated from 4.2.1.3 (7)";"LWG_jkl","liveweight gain (kg/head/day)","kg/head/day","Input"}, _xlpm.r, _xlpm.c))))</definedName>
    <definedName name="MMS_PastureBeef_Soil_N2ODirect_Equations.VEERG_4_2_1_3__4_NitrogenRetainedByBody_LatexEquation">_xlfn.LAMBDA("NR_{jkl}=(0.032 \times MP_{jk=5} \div 6.38) + \left { \left { 0.212 - 0.008 \times (L_{jkl} -2) - \left[ \frac{0.140-0.008 \times (L_{jkl} - 2)}{1+e^{(-6 \times (Z_{jkl}-0.4))}} \right] \right} \times (LWG_{jkl} \times 0.92) \right} \div 6.25")</definedName>
    <definedName name="MMS_PastureBeef_Soil_N2ODirect_Equations.VEERG_4_2_1_3__4_NitrogenRetainedByBody_NIRReference">_xlfn.LAMBDA("")</definedName>
    <definedName name="MMS_PastureBeef_Soil_N2ODirect_Equations.VEERG_4_2_1_3__4_NitrogenRetainedByBody_Source">_xlfn.LAMBDA("VEERG 2026: 4.2.1.3, Equation (4)")</definedName>
    <definedName name="MMS_PastureBeef_Soil_N2ODirect_Equations.VEERG_4_2_1_3__4_NitrogenRetainedByBody_Title">_xlfn.LAMBDA("Amount of nitrogen retained by the body")</definedName>
    <definedName name="MMS_PastureBeef_Soil_N2ODirect_Equations.VEERG_4_2_1_3__4_NitrogenRetainedByBody_Unit">_xlfn.LAMBDA("kg N/head/day")</definedName>
    <definedName name="MMS_PastureBeef_Soil_N2ODirect_Equations.VEERG_4_2_1_3__4_NitrogenRetainedByBody_Variable">_xlfn.LAMBDA("NR_jkl")</definedName>
    <definedName name="MMS_PastureBeef_Soil_N2ODirect_Equations.VEERG_4_2_1_3__5_MilkProductionForCalvingSeason">_xlfn.LAMBDA(_xlpm.LC_jk5,_xlpm.DMP_jk5, _xlpm.LC_jk5 * _xlpm.DMP_jk5)</definedName>
    <definedName name="MMS_PastureBeef_Soil_N2ODirect_Equations.VEERG_4_2_1_3__5_MilkProductionForCalvingSeason_Arguments">_xlfn.LAMBDA(_xlfn.MAKEARRAY(3, 4, _xlfn.LAMBDA(_xlpm.r,_xlpm.c, INDEX({"LC_jk5","proportion of cows greater than 2 years lactating for the season of calving and season after calving expressed as a fraction","fraction","Input";"DMP_jk5","daily milk production (kg/head/day)","kg/head/day","Constant";"b","breed of cattle","","Input"}, _xlpm.r, _xlpm.c))))</definedName>
    <definedName name="MMS_PastureBeef_Soil_N2ODirect_Equations.VEERG_4_2_1_3__5_MilkProductionForCalvingSeason_ArgumentsVariation">_xlfn.LAMBDA(_xlfn.MAKEARRAY(5, 4, _xlfn.LAMBDA(_xlpm.r,_xlpm.c, INDEX({"LC_jk5curr","proportion of cows greater than 2 years lactating for the season of calving","fraction","Input";"LC_jk5prev","proportion of cows greater than 2 years lactating for the season after calving","fraction","Input";"DMP_jk5calv","daily milk production for the season of calving (kg/head/day)","kg/head/day","Constant";"DMP_jk5after","daily milk production for the season after calving (kg/head/day)","kg/head/day","Constant";"b","breed of cattle","","Input"}, _xlpm.r, _xlpm.c))))</definedName>
    <definedName name="MMS_PastureBeef_Soil_N2ODirect_Equations.VEERG_4_2_1_3__5_MilkProductionForCalvingSeason_LatexEquation">_xlfn.LAMBDA("MP_{jk=5}=LC_{jk=5}\times DMP_{jk=5}")</definedName>
    <definedName name="MMS_PastureBeef_Soil_N2ODirect_Equations.VEERG_4_2_1_3__5_MilkProductionForCalvingSeason_LatexEquationVariation">_xlfn.LAMBDA("MP_{jk=5}=(LC_{jk=5,current}\times DMP_{jk=5,calv})+(LC_{jk=5,prev}\times DMP_{jk=5,after})")</definedName>
    <definedName name="MMS_PastureBeef_Soil_N2ODirect_Equations.VEERG_4_2_1_3__5_MilkProductionForCalvingSeason_NIRReference">_xlfn.LAMBDA("")</definedName>
    <definedName name="MMS_PastureBeef_Soil_N2ODirect_Equations.VEERG_4_2_1_3__5_MilkProductionForCalvingSeason_Source">_xlfn.LAMBDA("VEERG 2026: 4.2.1.3, Equation (5)")</definedName>
    <definedName name="MMS_PastureBeef_Soil_N2ODirect_Equations.VEERG_4_2_1_3__5_MilkProductionForCalvingSeason_Title">_xlfn.LAMBDA("Milk production for the season of calving and season after calving")</definedName>
    <definedName name="MMS_PastureBeef_Soil_N2ODirect_Equations.VEERG_4_2_1_3__5_MilkProductionForCalvingSeason_Unit">_xlfn.LAMBDA("kg/head/day")</definedName>
    <definedName name="MMS_PastureBeef_Soil_N2ODirect_Equations.VEERG_4_2_1_3__5_MilkProductionForCalvingSeason_Variable">_xlfn.LAMBDA("MP_jk5")</definedName>
    <definedName name="MMS_PastureBeef_Soil_N2ODirect_Equations.VEERG_4_2_1_3__5_MilkProductionForCalvingSeason_Variation">_xlfn.LAMBDA("VARIATION ON SOURCE: Split LC and DMP into calving season and after calving season values.")</definedName>
    <definedName name="MMS_PastureBeef_Soil_N2ODirect_Equations.VEERG_4_2_1_3__5_MilkProductionForCalvingSeasonVariation">_xlfn.LAMBDA(_xlpm.LC_jk5curr,_xlpm.LC_jk5prev,_xlpm.DMP_jk5calv,_xlpm.DMP_jk5after, (_xlpm.LC_jk5curr * _xlpm.DMP_jk5calv) + (_xlpm.LC_jk5prev * _xlpm.DMP_jk5after))</definedName>
    <definedName name="MMS_PastureBeef_Soil_N2ODirect_Equations.VEERG_4_2_1_3__6_IntakeRelativeToMaintenance">_xlfn.LAMBDA(_xlpm.I_jkl,_xlpm.W_jkl, _xlpm.I_jkl / ((1.185 + 0.00454 * _xlpm.W_jkl - 0.0000026 * _xlpm.W_jkl ^ 2) ^ 2))</definedName>
    <definedName name="MMS_PastureBeef_Soil_N2ODirect_Equations.VEERG_4_2_1_3__6_IntakeRelativeToMaintenance_Arguments">_xlfn.LAMBDA(_xlfn.MAKEARRAY(2, 4, _xlfn.LAMBDA(_xlpm.r,_xlpm.c, INDEX({"I_jkl","dry matter intake as calculated in Chapter 3 Section 3.2.1 (kg DM/head/day)","kg DM/head/day","Calculated from 3.2.1.1 (3)";"W_jkl","liveweight (kg/head)","kg/head","Input"}, _xlpm.r, _xlpm.c))))</definedName>
    <definedName name="MMS_PastureBeef_Soil_N2ODirect_Equations.VEERG_4_2_1_3__6_IntakeRelativeToMaintenance_LatexEquation">_xlfn.LAMBDA("L_{jkl}=\frac{I_{jkl}}{(1.185+0.00454\times W_{jkl}-0.0000026\times W_{jkl}^{2})^{2}}")</definedName>
    <definedName name="MMS_PastureBeef_Soil_N2ODirect_Equations.VEERG_4_2_1_3__6_IntakeRelativeToMaintenance_NIRReference">_xlfn.LAMBDA("")</definedName>
    <definedName name="MMS_PastureBeef_Soil_N2ODirect_Equations.VEERG_4_2_1_3__6_IntakeRelativeToMaintenance_Source">_xlfn.LAMBDA("VEERG 2026: 4.2.1.3, Equation (6)")</definedName>
    <definedName name="MMS_PastureBeef_Soil_N2ODirect_Equations.VEERG_4_2_1_3__6_IntakeRelativeToMaintenance_Title">_xlfn.LAMBDA("Intake relative to that needed for maintenance")</definedName>
    <definedName name="MMS_PastureBeef_Soil_N2ODirect_Equations.VEERG_4_2_1_3__6_IntakeRelativeToMaintenance_Unit">_xlfn.LAMBDA("ratio")</definedName>
    <definedName name="MMS_PastureBeef_Soil_N2ODirect_Equations.VEERG_4_2_1_3__6_IntakeRelativeToMaintenance_Variable">_xlfn.LAMBDA("L_jkl")</definedName>
    <definedName name="MMS_PastureBeef_Soil_N2ODirect_Equations.VEERG_4_2_1_3__7_RelativeSize">_xlfn.LAMBDA(_xlpm.W_jkl,_xlpm.SRW_k, _xlpm.W_jkl / _xlpm.SRW_k)</definedName>
    <definedName name="MMS_PastureBeef_Soil_N2ODirect_Equations.VEERG_4_2_1_3__7_RelativeSize_Arguments">_xlfn.LAMBDA(_xlfn.MAKEARRAY(3, 4, _xlfn.LAMBDA(_xlpm.r,_xlpm.c, INDEX({"W_jkl","liveweight (kg)","kg","Input";"SRW_k","standard reference weight (kg)","kg","Constant";"i","state","","Input"}, _xlpm.r, _xlpm.c))))</definedName>
    <definedName name="MMS_PastureBeef_Soil_N2ODirect_Equations.VEERG_4_2_1_3__7_RelativeSize_LatexEquation">_xlfn.LAMBDA("Z_{jkl}=\frac{W_{jkl}}{SRW_k}")</definedName>
    <definedName name="MMS_PastureBeef_Soil_N2ODirect_Equations.VEERG_4_2_1_3__7_RelativeSize_NIRReference">_xlfn.LAMBDA("")</definedName>
    <definedName name="MMS_PastureBeef_Soil_N2ODirect_Equations.VEERG_4_2_1_3__7_RelativeSize_Source">_xlfn.LAMBDA("VEERG 2026: 4.2.1.3, Equation (7)")</definedName>
    <definedName name="MMS_PastureBeef_Soil_N2ODirect_Equations.VEERG_4_2_1_3__7_RelativeSize_Title">_xlfn.LAMBDA("Relative size of the cattle")</definedName>
    <definedName name="MMS_PastureBeef_Soil_N2ODirect_Equations.VEERG_4_2_1_3__7_RelativeSize_Unit">_xlfn.LAMBDA("ratio")</definedName>
    <definedName name="MMS_PastureBeef_Soil_N2ODirect_Equations.VEERG_4_2_1_3__7_RelativeSize_Variable">_xlfn.LAMBDA("Z_jkl")</definedName>
    <definedName name="MMS_Poultry_AtmosphericDeposition_Equations.VEERG_4_6_1_5__1_TotalAnnualAtmosphericDepositionEmissionsFromMMS">_xlfn.LAMBDA(_xlpm.MMS_ATMOS,_xlpm.EF_N2O,_xlpm.C_N2O, (_xlpm.MMS_ATMOS * _xlpm.EF_N2O * _xlpm.C_N2O) * 10 ^ -3)</definedName>
    <definedName name="MMS_Poultry_AtmosphericDeposition_Equations.VEERG_4_6_1_5__1_TotalAnnualAtmosphericDepositionEmissionsFromMMS_Arguments">_xlfn.LAMBDA(_xlfn.MAKEARRAY(6, 4, _xlfn.LAMBDA(_xlpm.r,_xlpm.c, INDEX({"MMS_ATMOS","mass of N volatilised from MMS","kg N","Calculated from 4.6.1.5 (2)";"EF_N2O","nitrous oxide emission factor for atmospheric deposition","kg N2O-N/kg N","Constant";"C_N2O","factor to convert elemental mass of nitrous oxide to molecular mass","ratio","Constant";"j","production system","","Input";"ir","irrigation method","","Input";"r","rainfall region","","Input"}, _xlpm.r, _xlpm.c))))</definedName>
    <definedName name="MMS_Poultry_AtmosphericDeposition_Equations.VEERG_4_6_1_5__1_TotalAnnualAtmosphericDepositionEmissionsFromMMS_LatexEquation">_xlfn.LAMBDA("E_{N2O,ad}=(MMS_{ATMOS}\times EF_{N2O}\times C_{N2O})\times10^{-3}")</definedName>
    <definedName name="MMS_Poultry_AtmosphericDeposition_Equations.VEERG_4_6_1_5__1_TotalAnnualAtmosphericDepositionEmissionsFromMMS_NIRReference">_xlfn.LAMBDA("")</definedName>
    <definedName name="MMS_Poultry_AtmosphericDeposition_Equations.VEERG_4_6_1_5__1_TotalAnnualAtmosphericDepositionEmissionsFromMMS_Source">_xlfn.LAMBDA("VEERG 2026: 4.6.1.5, Equation (1)")</definedName>
    <definedName name="MMS_Poultry_AtmosphericDeposition_Equations.VEERG_4_6_1_5__1_TotalAnnualAtmosphericDepositionEmissionsFromMMS_Title">_xlfn.LAMBDA("Total annual atmospheric deposition emissions from manure management")</definedName>
    <definedName name="MMS_Poultry_AtmosphericDeposition_Equations.VEERG_4_6_1_5__1_TotalAnnualAtmosphericDepositionEmissionsFromMMS_Unit">_xlfn.LAMBDA("t N2O")</definedName>
    <definedName name="MMS_Poultry_AtmosphericDeposition_Equations.VEERG_4_6_1_5__1_TotalAnnualAtmosphericDepositionEmissionsFromMMS_Variable">_xlfn.LAMBDA("E_N2Oad")</definedName>
    <definedName name="MMS_Poultry_AtmosphericDeposition_Equations.VEERG_4_6_1_5__2_TotalNitrogenVolatilisedFromMMS">_xlfn.LAMBDA(_xlpm.MN_jkmT,_xlpm.FracGASM_mT, _xlpm.MN_jkmT * _xlpm.FracGASM_mT)</definedName>
    <definedName name="MMS_Poultry_AtmosphericDeposition_Equations.VEERG_4_6_1_5__2_TotalNitrogenVolatilisedFromMMS_Arguments">_xlfn.LAMBDA(_xlfn.MAKEARRAY(2, 4, _xlfn.LAMBDA(_xlpm.r,_xlpm.c, INDEX({"MN_jkmT","nitrogen in each treatment stage MMS (excluding MN_jkm13T2)","kg N","Calculated from 4.6.1.3 (2)(6)";"FracGASM_mT","fraction of N volatilised in each MMS","(kg NH3-N + NOx-N)/kg N","Constant"}, _xlpm.r, _xlpm.c))))</definedName>
    <definedName name="MMS_Poultry_AtmosphericDeposition_Equations.VEERG_4_6_1_5__2_TotalNitrogenVolatilisedFromMMS_LatexEquation">_xlfn.LAMBDA("MMS_{ATMOS}=\sum_{j}\sum_{k}\sum_{m}\sum_{T}(MN_{jkmT}\times FracGASM_{mT})")</definedName>
    <definedName name="MMS_Poultry_AtmosphericDeposition_Equations.VEERG_4_6_1_5__2_TotalNitrogenVolatilisedFromMMS_NIRReference">_xlfn.LAMBDA("")</definedName>
    <definedName name="MMS_Poultry_AtmosphericDeposition_Equations.VEERG_4_6_1_5__2_TotalNitrogenVolatilisedFromMMS_Source">_xlfn.LAMBDA("VEERG 2026: 4.6.1.5, Equation (2)")</definedName>
    <definedName name="MMS_Poultry_AtmosphericDeposition_Equations.VEERG_4_6_1_5__2_TotalNitrogenVolatilisedFromMMS_Title">_xlfn.LAMBDA("Total nitrogen volatilised from manure management systems")</definedName>
    <definedName name="MMS_Poultry_AtmosphericDeposition_Equations.VEERG_4_6_1_5__2_TotalNitrogenVolatilisedFromMMS_Unit">_xlfn.LAMBDA("kg N")</definedName>
    <definedName name="MMS_Poultry_AtmosphericDeposition_Equations.VEERG_4_6_1_5__2_TotalNitrogenVolatilisedFromMMS_Variable">_xlfn.LAMBDA("MMS_ATMOS")</definedName>
    <definedName name="MMS_Poultry_LeachingAndRunoff_Equations.VEERG_4_6_1_7__1_AnnualEmissionsFromLeachingAndRunoffFromMMS">_xlfn.LAMBDA(_xlpm.MNLeach_jkm4,_xlpm.EF_leach,_xlpm.C_N2O, (_xlpm.MNLeach_jkm4 * _xlpm.EF_leach * _xlpm.C_N2O) * 10 ^ -3)</definedName>
    <definedName name="MMS_Poultry_LeachingAndRunoff_Equations.VEERG_4_6_1_7__1_AnnualEmissionsFromLeachingAndRunoffFromMMS_Arguments">_xlfn.LAMBDA(_xlfn.MAKEARRAY(3, 4, _xlfn.LAMBDA(_xlpm.r,_xlpm.c, INDEX({"MNLeach_jkm4","mass of N lost through leaching and runoff from each MMS","kg N","Calculated from 4.6.1.7 (2)";"EF_leach","emission factor for leaching and runoff","kg N2O-N/kg N","Constant";"C_N2O","factor to convert elemental mass of N2O to molecular mass","ratio","Constant"}, _xlpm.r, _xlpm.c))))</definedName>
    <definedName name="MMS_Poultry_LeachingAndRunoff_Equations.VEERG_4_6_1_7__1_AnnualEmissionsFromLeachingAndRunoffFromMMS_LatexEquation">_xlfn.LAMBDA("E_{N2O,leach}=MNLeach_{jkm=4}\times EF_{leach}\times C_{N2O}\times10^{-3}")</definedName>
    <definedName name="MMS_Poultry_LeachingAndRunoff_Equations.VEERG_4_6_1_7__1_AnnualEmissionsFromLeachingAndRunoffFromMMS_NIRReference">_xlfn.LAMBDA("")</definedName>
    <definedName name="MMS_Poultry_LeachingAndRunoff_Equations.VEERG_4_6_1_7__1_AnnualEmissionsFromLeachingAndRunoffFromMMS_Source">_xlfn.LAMBDA("VEERG 2026: 4.6.1.7, Equation (1)")</definedName>
    <definedName name="MMS_Poultry_LeachingAndRunoff_Equations.VEERG_4_6_1_7__1_AnnualEmissionsFromLeachingAndRunoffFromMMS_Title">_xlfn.LAMBDA("Annual emissions from leaching and runoff from each MMS")</definedName>
    <definedName name="MMS_Poultry_LeachingAndRunoff_Equations.VEERG_4_6_1_7__1_AnnualEmissionsFromLeachingAndRunoffFromMMS_Unit">_xlfn.LAMBDA("t N2O")</definedName>
    <definedName name="MMS_Poultry_LeachingAndRunoff_Equations.VEERG_4_6_1_7__1_AnnualEmissionsFromLeachingAndRunoffFromMMS_Variable">_xlfn.LAMBDA("E_N2Oleach")</definedName>
    <definedName name="MMS_Poultry_LeachingAndRunoff_Equations.VEERG_4_6_1_7__2_MassOfNitrogenLostToLeachingAndRunoffFromSolidStorage">_xlfn.LAMBDA(_xlpm.MN_jkm4T2,_xlpm.FracWET,_xlpm.FracLEACH_MS, _xlpm.MN_jkm4T2 * _xlpm.FracWET * _xlpm.FracLEACH_MS)</definedName>
    <definedName name="MMS_Poultry_LeachingAndRunoff_Equations.VEERG_4_6_1_7__2_MassOfNitrogenLostToLeachingAndRunoffFromSolidStorage_Arguments">_xlfn.LAMBDA(_xlfn.MAKEARRAY(6, 4, _xlfn.LAMBDA(_xlpm.r,_xlpm.c, INDEX({"MN_jkm4T2","nitrogen in solid storage MMS treatment stage 2","kg N","Calculated from 4.6.1.3 (6)";"FracWET","fraction of N available for leaching and runoff","fraction","Input";"FracLEACH_MS","fraction of N lost through leaching and runoff","fraction","Input";"z","location in leaching zone","","Input";"j","production system","","Input";"ir","irrigation method","","Input"}, _xlpm.r, _xlpm.c))))</definedName>
    <definedName name="MMS_Poultry_LeachingAndRunoff_Equations.VEERG_4_6_1_7__2_MassOfNitrogenLostToLeachingAndRunoffFromSolidStorage_LatexEquation">_xlfn.LAMBDA("MNLeach_{jkm=4}=MN_{jkm=4,T=2}\times FracWET\times FracLEACH_{MS}")</definedName>
    <definedName name="MMS_Poultry_LeachingAndRunoff_Equations.VEERG_4_6_1_7__2_MassOfNitrogenLostToLeachingAndRunoffFromSolidStorage_NIRReference">_xlfn.LAMBDA("")</definedName>
    <definedName name="MMS_Poultry_LeachingAndRunoff_Equations.VEERG_4_6_1_7__2_MassOfNitrogenLostToLeachingAndRunoffFromSolidStorage_Source">_xlfn.LAMBDA("VEERG 2026: 4.6.1.7, Equation (2)")</definedName>
    <definedName name="MMS_Poultry_LeachingAndRunoff_Equations.VEERG_4_6_1_7__2_MassOfNitrogenLostToLeachingAndRunoffFromSolidStorage_Title">_xlfn.LAMBDA("Mass of nitrogen lost to leaching and runoff from solid storage systems")</definedName>
    <definedName name="MMS_Poultry_LeachingAndRunoff_Equations.VEERG_4_6_1_7__2_MassOfNitrogenLostToLeachingAndRunoffFromSolidStorage_Unit">_xlfn.LAMBDA("kg N")</definedName>
    <definedName name="MMS_Poultry_LeachingAndRunoff_Equations.VEERG_4_6_1_7__2_MassOfNitrogenLostToLeachingAndRunoffFromSolidStorage_Variable">_xlfn.LAMBDA("MNLeach_jkm4")</definedName>
    <definedName name="MMS_Poultry_ManureAppliedToSoils_Equations.VEERG_4_6_1_9__1_MassOfNitrogenAppliedToSoilsScope1">_xlfn.LAMBDA(_xlpm.MN_jmT2,_xlpm.EF_mT2,_xlpm.FracGASM_mT2,_xlpm.MNLeach_MMS,_xlpm.PF, (_xlpm.MN_jmT2 * (1 - _xlpm.EF_mT2 - _xlpm.FracGASM_mT2) - _xlpm.MNLeach_MMS) * _xlpm.PF)</definedName>
    <definedName name="MMS_Poultry_ManureAppliedToSoils_Equations.VEERG_4_6_1_9__1_MassOfNitrogenAppliedToSoilsScope1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1_MassOfNitrogenAppliedToSoilsScope1_LatexEquation">_xlfn.LAMBDA("MNSoil_{scope1}=\sum_{j}\sum_{m}(MN_{jm,T=2}\times(1-EF_{mT=2}-FracGASM_{mT=2})-MNLeach_{MMS})\times PF")</definedName>
    <definedName name="MMS_Poultry_ManureAppliedToSoils_Equations.VEERG_4_6_1_9__1_MassOfNitrogenAppliedToSoilsScope1_NIRReference">_xlfn.LAMBDA("")</definedName>
    <definedName name="MMS_Poultry_ManureAppliedToSoils_Equations.VEERG_4_6_1_9__1_MassOfNitrogenAppliedToSoilsScope1_Source">_xlfn.LAMBDA("VEERG 2026: 4.6.1.9, Equation (1)")</definedName>
    <definedName name="MMS_Poultry_ManureAppliedToSoils_Equations.VEERG_4_6_1_9__1_MassOfNitrogenAppliedToSoilsScope1_Title">_xlfn.LAMBDA("Mass of nitrogen applied to soils for scope 1 emissions")</definedName>
    <definedName name="MMS_Poultry_ManureAppliedToSoils_Equations.VEERG_4_6_1_9__1_MassOfNitrogenAppliedToSoilsScope1_Unit">_xlfn.LAMBDA("kg N")</definedName>
    <definedName name="MMS_Poultry_ManureAppliedToSoils_Equations.VEERG_4_6_1_9__1_MassOfNitrogenAppliedToSoilsScope1_Variable">_xlfn.LAMBDA("MNSoil_scope1")</definedName>
    <definedName name="MMS_Poultry_ManureAppliedToSoils_Equations.VEERG_4_6_1_9__2_MassOfNitrogenAppliedToSoilsScope3">_xlfn.LAMBDA(_xlpm.MN_jmT2,_xlpm.EF_mT2,_xlpm.FracGASM_mT2,_xlpm.MNLeach_MMS,_xlpm.PF, (_xlpm.MN_jmT2 * (1 - _xlpm.EF_mT2 - _xlpm.FracGASM_mT2) - _xlpm.MNLeach_MMS) * (1 - _xlpm.PF))</definedName>
    <definedName name="MMS_Poultry_ManureAppliedToSoils_Equations.VEERG_4_6_1_9__2_MassOfNitrogenAppliedToSoilsScope3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2_MassOfNitrogenAppliedToSoilsScope3_LatexEquation">_xlfn.LAMBDA("MNSoil_{scope3}=\sum_{j}\sum_{m}(MN_{jm,T=2}\times(1-EF_{mT=2}-FracGASM_{mT=2})-MNLeach_{MMS})\times(1-PF)")</definedName>
    <definedName name="MMS_Poultry_ManureAppliedToSoils_Equations.VEERG_4_6_1_9__2_MassOfNitrogenAppliedToSoilsScope3_NIRReference">_xlfn.LAMBDA("")</definedName>
    <definedName name="MMS_Poultry_ManureAppliedToSoils_Equations.VEERG_4_6_1_9__2_MassOfNitrogenAppliedToSoilsScope3_Source">_xlfn.LAMBDA("VEERG 2026: 4.6.1.9, Equation (2)")</definedName>
    <definedName name="MMS_Poultry_ManureAppliedToSoils_Equations.VEERG_4_6_1_9__2_MassOfNitrogenAppliedToSoilsScope3_Title">_xlfn.LAMBDA("Mass of nitrogen applied to soils for scope 3 emissions")</definedName>
    <definedName name="MMS_Poultry_ManureAppliedToSoils_Equations.VEERG_4_6_1_9__2_MassOfNitrogenAppliedToSoilsScope3_Unit">_xlfn.LAMBDA("kg N")</definedName>
    <definedName name="MMS_Poultry_ManureAppliedToSoils_Equations.VEERG_4_6_1_9__2_MassOfNitrogenAppliedToSoilsScope3_Variable">_xlfn.LAMBDA("MNSoil_scope3")</definedName>
    <definedName name="MMS_Poultry_Methane_Equations.VEERG_4_6_1_1__1_TotalAnnualMethaneEmissions">_xlfn.LAMBDA(_xlpm.D_jk,_xlpm.M_jkmT,_xlpm.N_jk, (_xlpm.D_jk * _xlpm.M_jkmT * _xlpm.N_jk) * 10 ^ -3)</definedName>
    <definedName name="MMS_Poultry_Methane_Equations.VEERG_4_6_1_1__1_TotalAnnualMethaneEmissions_Arguments">_xlfn.LAMBDA(_xlfn.MAKEARRAY(3, 4, _xlfn.LAMBDA(_xlpm.r,_xlpm.c, INDEX({"D_jk","duration of stay of each class and subclass of poultry","days","Input";"M_jkmT","methane production from manure per class, subclass, MMS, and treatment stage","kg CH4/bird/day","Calculated from 4.6.1.1 (2)(3)";"N_jk","numbers of poultry in each class and subclass","birds","Input"}, _xlpm.r, _xlpm.c))))</definedName>
    <definedName name="MMS_Poultry_Methane_Equations.VEERG_4_6_1_1__1_TotalAnnualMethaneEmissions_LatexEquation">_xlfn.LAMBDA("E_{CH4}=\sum_{j}\sum_{k}\sum_{m}\sum_{T}(D_{jk}\times M_{jkmT}\times N_{jk})\times10^{-3}")</definedName>
    <definedName name="MMS_Poultry_Methane_Equations.VEERG_4_6_1_1__1_TotalAnnualMethaneEmissions_NIRReference">_xlfn.LAMBDA("")</definedName>
    <definedName name="MMS_Poultry_Methane_Equations.VEERG_4_6_1_1__1_TotalAnnualMethaneEmissions_Source">_xlfn.LAMBDA("VEERG 2026: 4.4.1.1, Equation (1)")</definedName>
    <definedName name="MMS_Poultry_Methane_Equations.VEERG_4_6_1_1__1_TotalAnnualMethaneEmissions_Title">_xlfn.LAMBDA("Total annual methane emissions from manure management")</definedName>
    <definedName name="MMS_Poultry_Methane_Equations.VEERG_4_6_1_1__1_TotalAnnualMethaneEmissions_Unit">_xlfn.LAMBDA("t CH4")</definedName>
    <definedName name="MMS_Poultry_Methane_Equations.VEERG_4_6_1_1__1_TotalAnnualMethaneEmissions_Variable">_xlfn.LAMBDA("E_CH4")</definedName>
    <definedName name="MMS_Poultry_Methane_Equations.VEERG_4_6_1_1__2_Stage1MethaneProduction">_xlfn.LAMBDA(_xlpm.VS_jk,_xlpm.BO_j,_xlpm.MMS_jmT1,_xlpm.MCF_im,_xlpm.rho, _xlpm.VS_jk * _xlpm.BO_j * _xlpm.MMS_jmT1 * _xlpm.MCF_im * _xlpm.rho)</definedName>
    <definedName name="MMS_Poultry_Methane_Equations.VEERG_4_6_1_1__2_Stage1MethaneProduction_Arguments">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methane","kg/m3","Constant";"i","state","","Input"}, _xlpm.r, _xlpm.c))))</definedName>
    <definedName name="MMS_Poultry_Methane_Equations.VEERG_4_6_1_1__2_Stage1MethaneProduction_Arguments_Method2">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methane","kg/m3","Constant";"i","mean annual temperature","°C","Input"}, _xlpm.r, _xlpm.c))))</definedName>
    <definedName name="MMS_Poultry_Methane_Equations.VEERG_4_6_1_1__2_Stage1MethaneProduction_LatexEquation">_xlfn.LAMBDA("M_{jkmT=1}=VS_{jk}\times BO_{j}\times MMS_{jmT=1}\times MCF_{im}\times \rho")</definedName>
    <definedName name="MMS_Poultry_Methane_Equations.VEERG_4_6_1_1__2_Stage1MethaneProduction_NIRReference">_xlfn.LAMBDA("")</definedName>
    <definedName name="MMS_Poultry_Methane_Equations.VEERG_4_6_1_1__2_Stage1MethaneProduction_Source">_xlfn.LAMBDA("VEERG 2026: 4.4.1.1, Equation (2)")</definedName>
    <definedName name="MMS_Poultry_Methane_Equations.VEERG_4_6_1_1__2_Stage1MethaneProduction_Title">_xlfn.LAMBDA("Production of methane in treatment stage 1 MMS")</definedName>
    <definedName name="MMS_Poultry_Methane_Equations.VEERG_4_6_1_1__2_Stage1MethaneProduction_Unit">_xlfn.LAMBDA("kg CH4/bird/day")</definedName>
    <definedName name="MMS_Poultry_Methane_Equations.VEERG_4_6_1_1__2_Stage1MethaneProduction_Variable">_xlfn.LAMBDA("M_jkmT1")</definedName>
    <definedName name="MMS_Poultry_Methane_Equations.VEERG_4_6_1_1__2_Stage1MethaneProduction_Variation">_xlfn.LAMBDA(_xlfn.MAKEARRAY(3, 1, _xlfn.LAMBDA(_xlpm.r,_xlpm.c, INDEX({"VARIATION ON SOURCE:";"Used mean annual temperature instead of temperature zone to determine MCF as MCF values are specific to temperature";"Method 2: Used state based MCF values for 'Belt manure removal' and 'Manure stored in house' MMS as no temperature values exist in Table A.1.8.1"}, _xlpm.r, _xlpm.c))))</definedName>
    <definedName name="MMS_Poultry_Methane_Equations.VEERG_4_6_1_1__3_Stage2MethaneProduction">_xlfn.LAMBDA(_xlpm.VST_jk,_xlpm.BO,_xlpm.MMS_jmT2,_xlpm.MCF_im,_xlpm.rho, _xlpm.VST_jk * _xlpm.BO * _xlpm.MMS_jmT2 * _xlpm.MCF_im * _xlpm.rho)</definedName>
    <definedName name="MMS_Poultry_Methane_Equations.VEERG_4_6_1_1__3_Stage2MethaneProduction_Arguments">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methane","kg/m3","Constant";"i","state","","Input"}, _xlpm.r, _xlpm.c))))</definedName>
    <definedName name="MMS_Poultry_Methane_Equations.VEERG_4_6_1_1__3_Stage2MethaneProduction_Arguments_Method2">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methane","kg/m3","Constant";"i","mean annual temperature","°C","Input"}, _xlpm.r, _xlpm.c))))</definedName>
    <definedName name="MMS_Poultry_Methane_Equations.VEERG_4_6_1_1__3_Stage2MethaneProduction_LatexEquation">_xlfn.LAMBDA("M_{jkmT=2}=VST_{jk}\times BO\times MMS_{jmT=2}\times MCF_{im}\times \rho")</definedName>
    <definedName name="MMS_Poultry_Methane_Equations.VEERG_4_6_1_1__3_Stage2MethaneProduction_NIRReference">_xlfn.LAMBDA("")</definedName>
    <definedName name="MMS_Poultry_Methane_Equations.VEERG_4_6_1_1__3_Stage2MethaneProduction_Source">_xlfn.LAMBDA("VEERG 2026: 4.4.1.1, Equation (3)")</definedName>
    <definedName name="MMS_Poultry_Methane_Equations.VEERG_4_6_1_1__3_Stage2MethaneProduction_Title">_xlfn.LAMBDA("Production of methane in treatment stage 2 MMS")</definedName>
    <definedName name="MMS_Poultry_Methane_Equations.VEERG_4_6_1_1__3_Stage2MethaneProduction_Unit">_xlfn.LAMBDA("kg CH4/bird/day")</definedName>
    <definedName name="MMS_Poultry_Methane_Equations.VEERG_4_6_1_1__3_Stage2MethaneProduction_Variable">_xlfn.LAMBDA("M_jkmT2")</definedName>
    <definedName name="MMS_Poultry_Methane_Equations.VEERG_4_6_1_1__3_Stage2MethaneProduction_Variation">_xlfn.LAMBDA("VARIATION ON SOURCE: Used mean annual temperature instead of temperature zone to determine MCF as MCF values are specific to temperature")</definedName>
    <definedName name="MMS_Poultry_Methane_Equations.VEERG_4_6_1_1__4_VolatileSolidsTransferred">_xlfn.LAMBDA(_xlpm.VS_jk,_xlpm.MMS_jmT1,_xlpm.VSL_mT1, _xlpm.VS_jk * _xlpm.MMS_jmT1 * (1 - _xlpm.VSL_mT1))</definedName>
    <definedName name="MMS_Poultry_Methane_Equations.VEERG_4_6_1_1__4_VolatileSolidsTransferred_Arguments">_xlfn.LAMBDA(_xlfn.MAKEARRAY(3, 4, _xlfn.LAMBDA(_xlpm.r,_xlpm.c, INDEX({"VS_jk","volatile solid production poultry classes","kg VS/bird/day","Calculated from 4.6.1.1 (5)";"MMS_jmT1","fraction of manure in each primary system","fraction","Input";"VSL_mT1","fraction of volatile solids lost during storage in the primary system","fraction","Constant"}, _xlpm.r, _xlpm.c))))</definedName>
    <definedName name="MMS_Poultry_Methane_Equations.VEERG_4_6_1_1__4_VolatileSolidsTransferred_LatexEquation">_xlfn.LAMBDA("VST_{jk}=VS_{jk}\times MMS_{jmT=1}\times (1-VSL_{mT=1})")</definedName>
    <definedName name="MMS_Poultry_Methane_Equations.VEERG_4_6_1_1__4_VolatileSolidsTransferred_NIRReference">_xlfn.LAMBDA("")</definedName>
    <definedName name="MMS_Poultry_Methane_Equations.VEERG_4_6_1_1__4_VolatileSolidsTransferred_Source">_xlfn.LAMBDA("VEERG 2026: 4.4.1.1, Equation (4)")</definedName>
    <definedName name="MMS_Poultry_Methane_Equations.VEERG_4_6_1_1__4_VolatileSolidsTransferred_Title">_xlfn.LAMBDA("Volatile solids transferred to treatment stage 2 MMS")</definedName>
    <definedName name="MMS_Poultry_Methane_Equations.VEERG_4_6_1_1__4_VolatileSolidsTransferred_Unit">_xlfn.LAMBDA("kg VS/bird/day")</definedName>
    <definedName name="MMS_Poultry_Methane_Equations.VEERG_4_6_1_1__4_VolatileSolidsTransferred_Variable">_xlfn.LAMBDA("VST_jk")</definedName>
    <definedName name="MMS_Poultry_Methane_Equations.VEERG_4_6_1_1__5_VolatileSolidProduction">_xlfn.LAMBDA(_xlpm.I_jk,_xlpm.DMD_jk,_xlpm.A_j, _xlpm.I_jk * (1 - _xlpm.DMD_jk) * (1 - _xlpm.A_j))</definedName>
    <definedName name="MMS_Poultry_Methane_Equations.VEERG_4_6_1_1__5_VolatileSolidProduction_Arguments">_xlfn.LAMBDA(_xlfn.MAKEARRAY(3, 4, _xlfn.LAMBDA(_xlpm.r,_xlpm.c, INDEX({"I_jk","dry matter intake for each class and subclass","kg DM/bird/day","Input";"DMD_jk","dry matter digestibility for each class and subclass","fraction","Input";"A_j","ash content of manure for each class and subclass","fraction","Constant"}, _xlpm.r, _xlpm.c))))</definedName>
    <definedName name="MMS_Poultry_Methane_Equations.VEERG_4_6_1_1__5_VolatileSolidProduction_LatexEquation">_xlfn.LAMBDA("VS_{jk}=I_{jk}\times (1-DMD_{jk})\times (1-A_{j})")</definedName>
    <definedName name="MMS_Poultry_Methane_Equations.VEERG_4_6_1_1__5_VolatileSolidProduction_NIRReference">_xlfn.LAMBDA("")</definedName>
    <definedName name="MMS_Poultry_Methane_Equations.VEERG_4_6_1_1__5_VolatileSolidProduction_Source">_xlfn.LAMBDA("VEERG 2026: 4.4.1.1, Equation (5)")</definedName>
    <definedName name="MMS_Poultry_Methane_Equations.VEERG_4_6_1_1__5_VolatileSolidProduction_Title">_xlfn.LAMBDA("Volatile solid production poultry classes")</definedName>
    <definedName name="MMS_Poultry_Methane_Equations.VEERG_4_6_1_1__5_VolatileSolidProduction_Unit">_xlfn.LAMBDA("kg VS/bird/day")</definedName>
    <definedName name="MMS_Poultry_Methane_Equations.VEERG_4_6_1_1__5_VolatileSolidProduction_Variable">_xlfn.LAMBDA("VS_jk")</definedName>
    <definedName name="MMS_Poultry_N2ODirect_Equations.VEERG_4_6_1_3__1_TotalAnnualDirectNitrousOxideEmissionsFromMMS">_xlfn.LAMBDA(_xlpm.MN_jkmT,_xlpm.EF_jm,_xlpm.C_N2O, _xlpm.MN_jkmT * _xlpm.EF_jm * _xlpm.C_N2O * 10 ^ -3)</definedName>
    <definedName name="MMS_Poultry_N2ODirect_Equations.VEERG_4_6_1_3__1_TotalAnnualDirectNitrousOxideEmissionsFromMMS_Arguments">_xlfn.LAMBDA(_xlfn.MAKEARRAY(3, 4, _xlfn.LAMBDA(_xlpm.r,_xlpm.c, INDEX({"MN_jkmT","nitrogen per poultry class, subclass, MMS and treatment stage","kg N","Calculated from 4.6.1.3 (2)(6)";"EF_jm","nitrous oxide emission factor for MMS","kg N2O-N/kg N","Constant";"C_N2O","factor to convert elemental mass of nitrous oxide to molecular mass","ratio","Constant"}, _xlpm.r, _xlpm.c))))</definedName>
    <definedName name="MMS_Poultry_N2ODirect_Equations.VEERG_4_6_1_3__1_TotalAnnualDirectNitrousOxideEmissionsFromMMS_LatexEquation">_xlfn.LAMBDA("E_{N2O,dir}=\sum_{j}\sum_{k}\sum_{m}\sum_{T}(MN_{jkmT}\times EF_{jm}\times C_{N2O})\times10^{-3}")</definedName>
    <definedName name="MMS_Poultry_N2ODirect_Equations.VEERG_4_6_1_3__1_TotalAnnualDirectNitrousOxideEmissionsFromMMS_NIRReference">_xlfn.LAMBDA("")</definedName>
    <definedName name="MMS_Poultry_N2ODirect_Equations.VEERG_4_6_1_3__1_TotalAnnualDirectNitrousOxideEmissionsFromMMS_Source">_xlfn.LAMBDA("VEERG 2026: 4.6.1.3, Equation (1)")</definedName>
    <definedName name="MMS_Poultry_N2ODirect_Equations.VEERG_4_6_1_3__1_TotalAnnualDirectNitrousOxideEmissionsFromMMS_Title">_xlfn.LAMBDA("Total annual direct nitrous oxide emissions from manure management systems")</definedName>
    <definedName name="MMS_Poultry_N2ODirect_Equations.VEERG_4_6_1_3__1_TotalAnnualDirectNitrousOxideEmissionsFromMMS_Unit">_xlfn.LAMBDA("t N2O")</definedName>
    <definedName name="MMS_Poultry_N2ODirect_Equations.VEERG_4_6_1_3__1_TotalAnnualDirectNitrousOxideEmissionsFromMMS_Variable">_xlfn.LAMBDA("E_N2Odir")</definedName>
    <definedName name="MMS_Poultry_N2ODirect_Equations.VEERG_4_6_1_3__2_Stage1NitrogenInMMS">_xlfn.LAMBDA(_xlpm.AE_jk,_xlpm.MMS_jmT1, _xlpm.AE_jk * _xlpm.MMS_jmT1)</definedName>
    <definedName name="MMS_Poultry_N2ODirect_Equations.VEERG_4_6_1_3__2_Stage1NitrogenInMMS_Arguments">_xlfn.LAMBDA(_xlfn.MAKEARRAY(2, 4, _xlfn.LAMBDA(_xlpm.r,_xlpm.c, INDEX({"AE_jk","total nitrogen excreted by each poultry class and subclass","kg N","Calculated from 4.6.1.3 (3)";"MMS_jmT1","fraction of manure in each primary system","fraction","Input"}, _xlpm.r, _xlpm.c))))</definedName>
    <definedName name="MMS_Poultry_N2ODirect_Equations.VEERG_4_6_1_3__2_Stage1NitrogenInMMS_LatexEquation">_xlfn.LAMBDA("MN_{jkm,T=1}=AE_{jk}\times MMS_{jm,T=1}")</definedName>
    <definedName name="MMS_Poultry_N2ODirect_Equations.VEERG_4_6_1_3__2_Stage1NitrogenInMMS_NIRReference">_xlfn.LAMBDA("")</definedName>
    <definedName name="MMS_Poultry_N2ODirect_Equations.VEERG_4_6_1_3__2_Stage1NitrogenInMMS_Source">_xlfn.LAMBDA("VEERG 2026: 4.6.1.3, Equation (2)")</definedName>
    <definedName name="MMS_Poultry_N2ODirect_Equations.VEERG_4_6_1_3__2_Stage1NitrogenInMMS_Title">_xlfn.LAMBDA("Nitrogen in treatment stage 1 MMS")</definedName>
    <definedName name="MMS_Poultry_N2ODirect_Equations.VEERG_4_6_1_3__2_Stage1NitrogenInMMS_Unit">_xlfn.LAMBDA("kg N")</definedName>
    <definedName name="MMS_Poultry_N2ODirect_Equations.VEERG_4_6_1_3__2_Stage1NitrogenInMMS_Variable">_xlfn.LAMBDA("MN_jkmT1")</definedName>
    <definedName name="MMS_Poultry_N2ODirect_Equations.VEERG_4_6_1_3__3_AnnualNitrogenExcretion">_xlfn.LAMBDA(_xlpm.N_jk,_xlpm.NE_jk,_xlpm.D_jk, _xlpm.N_jk * _xlpm.NE_jk * _xlpm.D_jk)</definedName>
    <definedName name="MMS_Poultry_N2ODirect_Equations.VEERG_4_6_1_3__3_AnnualNitrogenExcretion_Arguments">_xlfn.LAMBDA(_xlfn.MAKEARRAY(3, 4, _xlfn.LAMBDA(_xlpm.r,_xlpm.c, INDEX({"N_jk","number of poultry in each class and subclass","bird","Input";"NE_jk","nitrogen excretion","kg N/bird/day","Calculated from 4.6.1.3 (4)";"D_jk","duration of stay of each class and subclass","days","Input"}, _xlpm.r, _xlpm.c))))</definedName>
    <definedName name="MMS_Poultry_N2ODirect_Equations.VEERG_4_6_1_3__3_AnnualNitrogenExcretion_LatexEquation">_xlfn.LAMBDA("AE_{jk}=N_{jk}\times NE_{jk}\times D_{jk}")</definedName>
    <definedName name="MMS_Poultry_N2ODirect_Equations.VEERG_4_6_1_3__3_AnnualNitrogenExcretion_NIRReference">_xlfn.LAMBDA("")</definedName>
    <definedName name="MMS_Poultry_N2ODirect_Equations.VEERG_4_6_1_3__3_AnnualNitrogenExcretion_Source">_xlfn.LAMBDA("VEERG 2026: 4.6.1.3, Equation (3)")</definedName>
    <definedName name="MMS_Poultry_N2ODirect_Equations.VEERG_4_6_1_3__3_AnnualNitrogenExcretion_Title">_xlfn.LAMBDA("Annual nitrogen excretion for each poultry class and subclass")</definedName>
    <definedName name="MMS_Poultry_N2ODirect_Equations.VEERG_4_6_1_3__3_AnnualNitrogenExcretion_Unit">_xlfn.LAMBDA("kg N")</definedName>
    <definedName name="MMS_Poultry_N2ODirect_Equations.VEERG_4_6_1_3__3_AnnualNitrogenExcretion_Variable">_xlfn.LAMBDA("AE_jk")</definedName>
    <definedName name="MMS_Poultry_N2ODirect_Equations.VEERG_4_6_1_3__4_NitrogenExcretionPerBird">_xlfn.LAMBDA(_xlpm.NI_jk,_xlpm.NR_jk, _xlpm.NI_jk * (1 - _xlpm.NR_jk))</definedName>
    <definedName name="MMS_Poultry_N2ODirect_Equations.VEERG_4_6_1_3__4_NitrogenExcretionPerBird_Arguments">_xlfn.LAMBDA(_xlfn.MAKEARRAY(2, 4, _xlfn.LAMBDA(_xlpm.r,_xlpm.c, INDEX({"NI_jk","nitrogen intake","kg N/bird/day","Calculated from 4.6.1.3 (5)";"NR_jk","nitrogen retention expressed as a fraction of intake","fraction","Constant"}, _xlpm.r, _xlpm.c))))</definedName>
    <definedName name="MMS_Poultry_N2ODirect_Equations.VEERG_4_6_1_3__4_NitrogenExcretionPerBird_LatexEquation">_xlfn.LAMBDA("NE_{jk}=NI_{jk}\times(1-NR_{jk})")</definedName>
    <definedName name="MMS_Poultry_N2ODirect_Equations.VEERG_4_6_1_3__4_NitrogenExcretionPerBird_NIRReference">_xlfn.LAMBDA("")</definedName>
    <definedName name="MMS_Poultry_N2ODirect_Equations.VEERG_4_6_1_3__4_NitrogenExcretionPerBird_Source">_xlfn.LAMBDA("VEERG 2026: 4.6.1.3, Equation (4)")</definedName>
    <definedName name="MMS_Poultry_N2ODirect_Equations.VEERG_4_6_1_3__4_NitrogenExcretionPerBird_Title">_xlfn.LAMBDA("Nitrogen excretion per bird per day")</definedName>
    <definedName name="MMS_Poultry_N2ODirect_Equations.VEERG_4_6_1_3__4_NitrogenExcretionPerBird_Unit">_xlfn.LAMBDA("kg N/bird/day")</definedName>
    <definedName name="MMS_Poultry_N2ODirect_Equations.VEERG_4_6_1_3__4_NitrogenExcretionPerBird_Variable">_xlfn.LAMBDA("NE_jk")</definedName>
    <definedName name="MMS_Poultry_N2ODirect_Equations.VEERG_4_6_1_3__5_NitrogenIntake">_xlfn.LAMBDA(_xlpm.I_jk,_xlpm.CP_jk, _xlpm.I_jk * _xlpm.CP_jk / 6.25)</definedName>
    <definedName name="MMS_Poultry_N2ODirect_Equations.VEERG_4_6_1_3__5_NitrogenIntake_Arguments">_xlfn.LAMBDA(_xlfn.MAKEARRAY(3, 4, _xlfn.LAMBDA(_xlpm.r,_xlpm.c, INDEX({"I_jk","dry matter intake for each class and subclass","kg DM/bird/day","Input";"CP_jk","crude protein content of feed","fraction","Input";"6.25","factor for converting crude protein into nitrogen","ratio","Constant"}, _xlpm.r, _xlpm.c))))</definedName>
    <definedName name="MMS_Poultry_N2ODirect_Equations.VEERG_4_6_1_3__5_NitrogenIntake_LatexEquation">_xlfn.LAMBDA("NI_{jk}=I_{jk}\times CP_{jk}\div 6.25")</definedName>
    <definedName name="MMS_Poultry_N2ODirect_Equations.VEERG_4_6_1_3__5_NitrogenIntake_NIRReference">_xlfn.LAMBDA("")</definedName>
    <definedName name="MMS_Poultry_N2ODirect_Equations.VEERG_4_6_1_3__5_NitrogenIntake_Source">_xlfn.LAMBDA("VEERG 2026: 4.6.1.3, Equation (5)")</definedName>
    <definedName name="MMS_Poultry_N2ODirect_Equations.VEERG_4_6_1_3__5_NitrogenIntake_Title">_xlfn.LAMBDA("Nitrogen intake of poultry")</definedName>
    <definedName name="MMS_Poultry_N2ODirect_Equations.VEERG_4_6_1_3__5_NitrogenIntake_Unit">_xlfn.LAMBDA("kg N/bird/day")</definedName>
    <definedName name="MMS_Poultry_N2ODirect_Equations.VEERG_4_6_1_3__5_NitrogenIntake_Variable">_xlfn.LAMBDA("NI_jk")</definedName>
    <definedName name="MMS_Poultry_N2ODirect_Equations.VEERG_4_6_1_3__6_Stage2NitrogenInMMS">_xlfn.LAMBDA(_xlpm.NT_jkmT2,_xlpm.MMS_mT2, _xlpm.NT_jkmT2 * _xlpm.MMS_mT2)</definedName>
    <definedName name="MMS_Poultry_N2ODirect_Equations.VEERG_4_6_1_3__6_Stage2NitrogenInMMS_Arguments">_xlfn.LAMBDA(_xlfn.MAKEARRAY(2, 4, _xlfn.LAMBDA(_xlpm.r,_xlpm.c, INDEX({"NT_jkmT2","nitrogen transferred to secondary treatment MMS","kg N","Calculated from 4.6.1.3 (7)";"MMS_mT2","fraction of manure in each secondary system","fraction","Input"}, _xlpm.r, _xlpm.c))))</definedName>
    <definedName name="MMS_Poultry_N2ODirect_Equations.VEERG_4_6_1_3__6_Stage2NitrogenInMMS_LatexEquation">_xlfn.LAMBDA("MN_{jkm,T=2}=NT_{jkm,T=2}\times MMS_{m,T=2}")</definedName>
    <definedName name="MMS_Poultry_N2ODirect_Equations.VEERG_4_6_1_3__6_Stage2NitrogenInMMS_NIRReference">_xlfn.LAMBDA("")</definedName>
    <definedName name="MMS_Poultry_N2ODirect_Equations.VEERG_4_6_1_3__6_Stage2NitrogenInMMS_Source">_xlfn.LAMBDA("VEERG 2026: 4.6.1.3, Equation (6)")</definedName>
    <definedName name="MMS_Poultry_N2ODirect_Equations.VEERG_4_6_1_3__6_Stage2NitrogenInMMS_Title">_xlfn.LAMBDA("Nitrogen in treatment stage 2 MMS")</definedName>
    <definedName name="MMS_Poultry_N2ODirect_Equations.VEERG_4_6_1_3__6_Stage2NitrogenInMMS_Unit">_xlfn.LAMBDA("kg N")</definedName>
    <definedName name="MMS_Poultry_N2ODirect_Equations.VEERG_4_6_1_3__6_Stage2NitrogenInMMS_Variable">_xlfn.LAMBDA("MN_jkmT2")</definedName>
    <definedName name="MMS_Poultry_N2ODirect_Equations.VEERG_4_6_1_3__7_NitrogenTransferredToStage2MMS">_xlfn.LAMBDA(_xlpm.MN_jkmT1,_xlpm.FracGASM_mT1,_xlpm.EF_mT1, _xlpm.MN_jkmT1 * (1 - _xlpm.FracGASM_mT1 - _xlpm.EF_mT1))</definedName>
    <definedName name="MMS_Poultry_N2ODirect_Equations.VEERG_4_6_1_3__7_NitrogenTransferredToStage2MMS_Arguments">_xlfn.LAMBDA(_xlfn.MAKEARRAY(3, 4, _xlfn.LAMBDA(_xlpm.r,_xlpm.c, INDEX({"MN_jkmT1","nitrogen in MMS treatment stage 1","kg N","Calculated from 4.6.1.3 (6)";"FracGASM_mT1","fraction of N volatilised from MMS treatment at stage 1","fraction","Constant";"EF_mT1","nitrous oxide emission factor for MMS treatment at stage 1","kg N2O-N/kg N","Constant"}, _xlpm.r, _xlpm.c))))</definedName>
    <definedName name="MMS_Poultry_N2ODirect_Equations.VEERG_4_6_1_3__7_NitrogenTransferredToStage2MMS_LatexEquation">_xlfn.LAMBDA("NT_{jkm,T=2}=MN_{jkm,T=1}\times(1-FracGASM_{m,T=1}-EF_{m,T=1})")</definedName>
    <definedName name="MMS_Poultry_N2ODirect_Equations.VEERG_4_6_1_3__7_NitrogenTransferredToStage2MMS_NIRReference">_xlfn.LAMBDA("")</definedName>
    <definedName name="MMS_Poultry_N2ODirect_Equations.VEERG_4_6_1_3__7_NitrogenTransferredToStage2MMS_Source">_xlfn.LAMBDA("VEERG 2026: 4.6.1.3, Equation (7)")</definedName>
    <definedName name="MMS_Poultry_N2ODirect_Equations.VEERG_4_6_1_3__7_NitrogenTransferredToStage2MMS_Title">_xlfn.LAMBDA("Nitrogen transferred to treatment stage 2 MMS")</definedName>
    <definedName name="MMS_Poultry_N2ODirect_Equations.VEERG_4_6_1_3__7_NitrogenTransferredToStage2MMS_Unit">_xlfn.LAMBDA("kg N")</definedName>
    <definedName name="MMS_Poultry_N2ODirect_Equations.VEERG_4_6_1_3__7_NitrogenTransferredToStage2MMS_Variable">_xlfn.LAMBDA("NT_jkmT2")</definedName>
    <definedName name="MMS_Poultry_Soil_AtmosphericDeposition_Equations.VEERG_4_6_1_12__1_AtmosphericDepositionEmissionsFromPoultryManureOnPasture">_xlfn.LAMBDA(_xlpm.M_vol_m14,_xlpm.EF_N2O,_xlpm.C_N2O, _xlpm.M_vol_m14 * _xlpm.EF_N2O * _xlpm.C_N2O * 10 ^ -3)</definedName>
    <definedName name="MMS_Poultry_Soil_AtmosphericDeposition_Equations.VEERG_4_6_1_12__1_AtmosphericDepositionEmissionsFromPoultryManureOnPasture_Arguments">_xlfn.LAMBDA(_xlfn.MAKEARRAY(6,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system","dimensionless","Input";"ir","irrigation method","dimensionless","Input";"r","rainfall region","dimensionless","Input"}, _xlpm.r, _xlpm.c))))</definedName>
    <definedName name="MMS_Poultry_Soil_AtmosphericDeposition_Equations.VEERG_4_6_1_12__1_AtmosphericDepositionEmissionsFromPoultryManureOnPasture_LatexEquation">_xlfn.LAMBDA("E_{N2O,ad}=M_{vol,m=14}\times EF_{N2O}\times C_{N2O}\times 10^{-3}")</definedName>
    <definedName name="MMS_Poultry_Soil_AtmosphericDeposition_Equations.VEERG_4_6_1_12__1_AtmosphericDepositionEmissionsFromPoultryManureOnPasture_NIRReference">_xlfn.LAMBDA("")</definedName>
    <definedName name="MMS_Poultry_Soil_AtmosphericDeposition_Equations.VEERG_4_6_1_12__1_AtmosphericDepositionEmissionsFromPoultryManureOnPasture_Source">_xlfn.LAMBDA("VEERG 2026: 4.6.1.12, Equation (1)")</definedName>
    <definedName name="MMS_Poultry_Soil_AtmosphericDeposition_Equations.VEERG_4_6_1_12__1_AtmosphericDepositionEmissionsFromPoultryManureOnPasture_Title">_xlfn.LAMBDA("Atmospheric deposition emissions from poultry manure deposited on pasture")</definedName>
    <definedName name="MMS_Poultry_Soil_AtmosphericDeposition_Equations.VEERG_4_6_1_12__1_AtmosphericDepositionEmissionsFromPoultryManureOnPasture_Unit">_xlfn.LAMBDA("t N2O")</definedName>
    <definedName name="MMS_Poultry_Soil_AtmosphericDeposition_Equations.VEERG_4_6_1_12__1_AtmosphericDepositionEmissionsFromPoultryManureOnPasture_Variable">_xlfn.LAMBDA("E_N2Oad")</definedName>
    <definedName name="MMS_Poultry_Soil_AtmosphericDeposition_Equations.VEERG_4_6_1_12__2_MassOfNitrogenVolatilisedFromPoultryManureOnPasture">_xlfn.LAMBDA(_xlpm.MN_jkm14T1,_xlpm.FracGASMsoil, _xlpm.MN_jkm14T1 * _xlpm.FracGASMsoil)</definedName>
    <definedName name="MMS_Poultry_Soil_AtmosphericDeposition_Equations.VEERG_4_6_1_12__2_MassOfNitrogenVolatilisedFromPoultryManureOnPasture_Arguments">_xlfn.LAMBDA(_xlfn.MAKEARRAY(2, 4, _xlfn.LAMBDA(_xlpm.r,_xlpm.c, INDEX({"MN_jkm14T1","mass of nitrogen excreted directly on pasture by poultry class and subclass","kg N","Calculated from 4.6.1.3 (2)";"FracGASMsoil","fraction of nitrogen volatilised from manure deposited on pasture","(kg NH3-N + NOx-N)/kg N","Constant"}, _xlpm.r, _xlpm.c))))</definedName>
    <definedName name="MMS_Poultry_Soil_AtmosphericDeposition_Equations.VEERG_4_6_1_12__2_MassOfNitrogenVolatilisedFromPoultryManureOnPasture_LatexEquation">_xlfn.LAMBDA("M_{vol,m=14}=\sum_{j}\sum_{k}(MN_{jkm=14,T=1}\times FracGASMsoil)")</definedName>
    <definedName name="MMS_Poultry_Soil_AtmosphericDeposition_Equations.VEERG_4_6_1_12__2_MassOfNitrogenVolatilisedFromPoultryManureOnPasture_NIRReference">_xlfn.LAMBDA("")</definedName>
    <definedName name="MMS_Poultry_Soil_AtmosphericDeposition_Equations.VEERG_4_6_1_12__2_MassOfNitrogenVolatilisedFromPoultryManureOnPasture_Source">_xlfn.LAMBDA("VEERG 2026: 4.6.1.12, Equation (2)")</definedName>
    <definedName name="MMS_Poultry_Soil_AtmosphericDeposition_Equations.VEERG_4_6_1_12__2_MassOfNitrogenVolatilisedFromPoultryManureOnPasture_Title">_xlfn.LAMBDA("Mass of nitrogen volatilised from poultry manure deposited on pasture")</definedName>
    <definedName name="MMS_Poultry_Soil_AtmosphericDeposition_Equations.VEERG_4_6_1_12__2_MassOfNitrogenVolatilisedFromPoultryManureOnPasture_Unit">_xlfn.LAMBDA("kg N")</definedName>
    <definedName name="MMS_Poultry_Soil_AtmosphericDeposition_Equations.VEERG_4_6_1_12__2_MassOfNitrogenVolatilisedFromPoultryManureOnPasture_Variable">_xlfn.LAMBDA("M_vol_m14")</definedName>
    <definedName name="MMS_Poultry_Soil_LeachingAndRunoff_Equations.VEERG_4_6_1_14__1_LeachingAndRunoffEmissionsFromPoultryManureOnPasture">_xlfn.LAMBDA(_xlpm.M_leach_m14,_xlpm.EF_leach,_xlpm.C_N2O, _xlpm.M_leach_m14 * _xlpm.EF_leach * _xlpm.C_N2O * 10 ^ -3)</definedName>
    <definedName name="MMS_Poultry_Soil_LeachingAndRunoff_Equations.VEERG_4_6_1_14__1_LeachingAndRunoffEmissionsFromPoultryManureOnPasture_Arguments">_xlfn.LAMBDA(_xlfn.MAKEARRAY(3, 4, _xlfn.LAMBDA(_xlpm.r,_xlpm.c, INDEX({"M_leach_m14","mass of nitrogen lost to leaching and runoff from poultry manure deposited on pasture","kg N","Calculated from 4.6.1.14 (2)";"EF_leach","emission factor for leaching and runoff (kg N2O-N/kg N)","kg N2O-N/kg N","Constant";"C_N2O","factor to convert elemental mass of N2O to molecular mass","ratio","Constant"}, _xlpm.r, _xlpm.c))))</definedName>
    <definedName name="MMS_Poultry_Soil_LeachingAndRunoff_Equations.VEERG_4_6_1_14__1_LeachingAndRunoffEmissionsFromPoultryManureOnPasture_LatexEquation">_xlfn.LAMBDA("E_{N2O,leach}=M_{leach,m=14}\times EF_{leach}\times C_{N2O}\times 10^{-3}")</definedName>
    <definedName name="MMS_Poultry_Soil_LeachingAndRunoff_Equations.VEERG_4_6_1_14__1_LeachingAndRunoffEmissionsFromPoultryManureOnPasture_NIRReference">_xlfn.LAMBDA("")</definedName>
    <definedName name="MMS_Poultry_Soil_LeachingAndRunoff_Equations.VEERG_4_6_1_14__1_LeachingAndRunoffEmissionsFromPoultryManureOnPasture_Source">_xlfn.LAMBDA("VEERG 2026: 4.6.1.14, Equation (1)")</definedName>
    <definedName name="MMS_Poultry_Soil_LeachingAndRunoff_Equations.VEERG_4_6_1_14__1_LeachingAndRunoffEmissionsFromPoultryManureOnPasture_Title">_xlfn.LAMBDA("Leaching and runoff emissions from poultry manure deposited on pasture")</definedName>
    <definedName name="MMS_Poultry_Soil_LeachingAndRunoff_Equations.VEERG_4_6_1_14__1_LeachingAndRunoffEmissionsFromPoultryManureOnPasture_Unit">_xlfn.LAMBDA("t N2O")</definedName>
    <definedName name="MMS_Poultry_Soil_LeachingAndRunoff_Equations.VEERG_4_6_1_14__1_LeachingAndRunoffEmissionsFromPoultryManureOnPasture_Variable">_xlfn.LAMBDA("E_N2Oleach")</definedName>
    <definedName name="MMS_Poultry_Soil_LeachingAndRunoff_Equations.VEERG_4_6_1_14__2_MassOfNitrogenLostToLeachingAndRunoffFromPoultryManureOnPasture">_xlfn.LAMBDA(_xlpm.MN_jkm14T1,_xlpm.FracWet,_xlpm.FracLEACH_MS, _xlpm.MN_jkm14T1 * _xlpm.FracWet * _xlpm.FracLEACH_MS)</definedName>
    <definedName name="MMS_Poultry_Soil_LeachingAndRunoff_Equations.VEERG_4_6_1_14__2_MassOfNitrogenLostToLeachingAndRunoffFromPoultryManureOnPasture_Arguments">_xlfn.LAMBDA(_xlfn.MAKEARRAY(6, 4, _xlfn.LAMBDA(_xlpm.r,_xlpm.c, INDEX({"MN_jkm14T1","mass of nitrogen excreted directly on pasture by poultry class and subclass","kg N","Calculated from 4.6.1.3 (2)";"FracWet","fraction of N available for leaching and runoff","fraction","Constant";"FracLEACH_MS","fraction of N that is lost through leaching and runoff","fraction","Constant";"z","location in leaching zone","","Input";"j","production system","","Input";"ir","irrigation method","","Input"}, _xlpm.r, _xlpm.c))))</definedName>
    <definedName name="MMS_Poultry_Soil_LeachingAndRunoff_Equations.VEERG_4_6_1_14__2_MassOfNitrogenLostToLeachingAndRunoffFromPoultryManureOnPasture_LatexEquation">_xlfn.LAMBDA("M_{leach,m=14}=\sum_{j}\sum_{k}(MN_{jkm=14,T=1}\times FracWet\times FracLEACH_MS)")</definedName>
    <definedName name="MMS_Poultry_Soil_LeachingAndRunoff_Equations.VEERG_4_6_1_14__2_MassOfNitrogenLostToLeachingAndRunoffFromPoultryManureOnPasture_NIRReference">_xlfn.LAMBDA("")</definedName>
    <definedName name="MMS_Poultry_Soil_LeachingAndRunoff_Equations.VEERG_4_6_1_14__2_MassOfNitrogenLostToLeachingAndRunoffFromPoultryManureOnPasture_Source">_xlfn.LAMBDA("VEERG 2026: 4.6.1.14, Equation (2)")</definedName>
    <definedName name="MMS_Poultry_Soil_LeachingAndRunoff_Equations.VEERG_4_6_1_14__2_MassOfNitrogenLostToLeachingAndRunoffFromPoultryManureOnPasture_Title">_xlfn.LAMBDA("Mass of nitrogen lost to leaching and runoff from poultry manure deposited on pasture")</definedName>
    <definedName name="MMS_Poultry_Soil_LeachingAndRunoff_Equations.VEERG_4_6_1_14__2_MassOfNitrogenLostToLeachingAndRunoffFromPoultryManureOnPasture_Unit">_xlfn.LAMBDA("kg N")</definedName>
    <definedName name="MMS_Poultry_Soil_LeachingAndRunoff_Equations.VEERG_4_6_1_14__2_MassOfNitrogenLostToLeachingAndRunoffFromPoultryManureOnPasture_Variable">_xlfn.LAMBDA("M_leach_m14")</definedName>
    <definedName name="MMS_Poultry_Soil_N2ODirect_Equations.VEERG_4_6_1_10__1_DirectNitrousOxideEmissionsFromPoultryManure">_xlfn.LAMBDA(_xlpm.MN_jkm14T1,_xlpm.EF_PRP,_xlpm.C_N2O, _xlpm.MN_jkm14T1 * _xlpm.EF_PRP * _xlpm.C_N2O * 10 ^ -3)</definedName>
    <definedName name="MMS_Poultry_Soil_N2ODirect_Equations.VEERG_4_6_1_10__1_DirectNitrousOxideEmissionsFromPoultryManure_Arguments">_xlfn.LAMBDA(_xlfn.MAKEARRAY(3, 4, _xlfn.LAMBDA(_xlpm.r,_xlpm.c, INDEX({"MN_jkm14T1","mass of nitrogen excreted directly on pasture by poultry class and subclass","kg N","Calculated from 4.6.1.3 (2)";"EF_PRP","nitrous oxide emission factor for manure deposited on pasture","kg N2O-N/kg N deposited","Constant";"C_N2O","factor to convert elemental mass of N2O to molecular mass","ratio","Constant"}, _xlpm.r, _xlpm.c))))</definedName>
    <definedName name="MMS_Poultry_Soil_N2ODirect_Equations.VEERG_4_6_1_10__1_DirectNitrousOxideEmissionsFromPoultryManure_LatexEquation">_xlfn.LAMBDA("EM_{N2O,PRP,dir}=\sum_{j}\sum_{k}(MN_{jkm=14,T=1}\times EF_{PRP}\times C_{N2O})\times 10^{-3}")</definedName>
    <definedName name="MMS_Poultry_Soil_N2ODirect_Equations.VEERG_4_6_1_10__1_DirectNitrousOxideEmissionsFromPoultryManure_NIRReference">_xlfn.LAMBDA("")</definedName>
    <definedName name="MMS_Poultry_Soil_N2ODirect_Equations.VEERG_4_6_1_10__1_DirectNitrousOxideEmissionsFromPoultryManure_Source">_xlfn.LAMBDA("VEERG 2026: 4.6.1.10, Equation (1)")</definedName>
    <definedName name="MMS_Poultry_Soil_N2ODirect_Equations.VEERG_4_6_1_10__1_DirectNitrousOxideEmissionsFromPoultryManure_Title">_xlfn.LAMBDA("Direct nitrous oxide emissions from poultry manure on pasture")</definedName>
    <definedName name="MMS_Poultry_Soil_N2ODirect_Equations.VEERG_4_6_1_10__1_DirectNitrousOxideEmissionsFromPoultryManure_Unit">_xlfn.LAMBDA("t N2O")</definedName>
    <definedName name="MMS_Poultry_Soil_N2ODirect_Equations.VEERG_4_6_1_10__1_DirectNitrousOxideEmissionsFromPoultryManure_Variable">_xlfn.LAMBDA("EM_N2OPRPdir")</definedName>
    <definedName name="MMS_Swine_AtmosphericDeposition_Equations.VEERG_4_5_1_5__1_AnnualAtmosphericDepositionEmissionsFromMMS">_xlfn.LAMBDA(_xlpm.MMS_ATMOS,_xlpm.EF_N2O,_xlpm.C_N2O, _xlpm.MMS_ATMOS * _xlpm.EF_N2O * _xlpm.C_N2O * 10 ^ -3)</definedName>
    <definedName name="MMS_Swine_AtmosphericDeposition_Equations.VEERG_4_5_1_5__1_AnnualAtmosphericDepositionEmissionsFromMMS_Arguments">_xlfn.LAMBDA(_xlfn.MAKEARRAY(6, 4, _xlfn.LAMBDA(_xlpm.r,_xlpm.c, INDEX({"MMS_ATMOS","mass of N volatilised from MMS","kg N","Calculated from 4.5.1.5 (2)";"EF_N2O","nitrous oxide emission factor for atmospheric deposition","kg N2O-N/kg N","Constant";"C_N2O","factor to convert elemental mass of N2O to molecular mass","","Constant";"j","production system","","Input";"ir","irrigation method","","Input";"r","rainfall region","","Input"}, _xlpm.r, _xlpm.c))))</definedName>
    <definedName name="MMS_Swine_AtmosphericDeposition_Equations.VEERG_4_5_1_5__1_AnnualAtmosphericDepositionEmissionsFromMMS_LatexEquation">_xlfn.LAMBDA("E_{N2O,ad}=MMS_{ATMOS}\times EF_{N2O}\times C_{N2O}\times 10^{-3}")</definedName>
    <definedName name="MMS_Swine_AtmosphericDeposition_Equations.VEERG_4_5_1_5__1_AnnualAtmosphericDepositionEmissionsFromMMS_NIRReference">_xlfn.LAMBDA("")</definedName>
    <definedName name="MMS_Swine_AtmosphericDeposition_Equations.VEERG_4_5_1_5__1_AnnualAtmosphericDepositionEmissionsFromMMS_Source">_xlfn.LAMBDA("VEERG 2026: 4.5.1.1, Equation (1)")</definedName>
    <definedName name="MMS_Swine_AtmosphericDeposition_Equations.VEERG_4_5_1_5__1_AnnualAtmosphericDepositionEmissionsFromMMS_Title">_xlfn.LAMBDA("Annual atmospheric deposition emissions from MMS")</definedName>
    <definedName name="MMS_Swine_AtmosphericDeposition_Equations.VEERG_4_5_1_5__1_AnnualAtmosphericDepositionEmissionsFromMMS_Unit">_xlfn.LAMBDA("t N2O")</definedName>
    <definedName name="MMS_Swine_AtmosphericDeposition_Equations.VEERG_4_5_1_5__1_AnnualAtmosphericDepositionEmissionsFromMMS_Variable">_xlfn.LAMBDA("E_N2OMMSad")</definedName>
    <definedName name="MMS_Swine_AtmosphericDeposition_Equations.VEERG_4_5_1_5__2_TotalNitrogenVolatilisedFromMMS">_xlfn.LAMBDA(_xlpm.MN_jmT,_xlpm.FracGASMmT, _xlpm.MN_jmT * _xlpm.FracGASMmT)</definedName>
    <definedName name="MMS_Swine_AtmosphericDeposition_Equations.VEERG_4_5_1_5__2_TotalNitrogenVolatilisedFromMMS_Arguments">_xlfn.LAMBDA(_xlfn.MAKEARRAY(2, 4, _xlfn.LAMBDA(_xlpm.r,_xlpm.c, INDEX({"MN_jmT","nitrogen per swine class, MMS and treatment stage","kg N","Calculated from 4.5.1.3 (2)(6)";"FracGASMmT","fraction of N volatilised in each MMS","(kg NH3-N + NOx-N)/kg N","Constant"}, _xlpm.r, _xlpm.c))))</definedName>
    <definedName name="MMS_Swine_AtmosphericDeposition_Equations.VEERG_4_5_1_5__2_TotalNitrogenVolatilisedFromMMS_LatexEquation">_xlfn.LAMBDA("MMS_{ATMOS}=\sum_{j}\sum_{m}\sum_{T}(MN_{jmT}\times FracGASM_{mT})")</definedName>
    <definedName name="MMS_Swine_AtmosphericDeposition_Equations.VEERG_4_5_1_5__2_TotalNitrogenVolatilisedFromMMS_NIRReference">_xlfn.LAMBDA("")</definedName>
    <definedName name="MMS_Swine_AtmosphericDeposition_Equations.VEERG_4_5_1_5__2_TotalNitrogenVolatilisedFromMMS_Source">_xlfn.LAMBDA("VEERG 2026: 4.5.1.1, Equation (2)")</definedName>
    <definedName name="MMS_Swine_AtmosphericDeposition_Equations.VEERG_4_5_1_5__2_TotalNitrogenVolatilisedFromMMS_Title">_xlfn.LAMBDA("Total nitrogen volatilised from MMS")</definedName>
    <definedName name="MMS_Swine_AtmosphericDeposition_Equations.VEERG_4_5_1_5__2_TotalNitrogenVolatilisedFromMMS_Unit">_xlfn.LAMBDA("kg N")</definedName>
    <definedName name="MMS_Swine_AtmosphericDeposition_Equations.VEERG_4_5_1_5__2_TotalNitrogenVolatilisedFromMMS_Variable">_xlfn.LAMBDA("MMS_ATMOS")</definedName>
    <definedName name="MMS_Swine_LeachingAndRunoff_Equations.VEERG_4_5_1_7__1_AnnualEmissionsFromLeachingAndRunoffFromMMS">_xlfn.LAMBDA(_xlpm.MNLeach_jm5,_xlpm.EF_leach,_xlpm.C_N2O, _xlpm.MNLeach_jm5 * _xlpm.EF_leach * _xlpm.C_N2O * 10 ^ -3)</definedName>
    <definedName name="MMS_Swine_LeachingAndRunoff_Equations.VEERG_4_5_1_7__1_AnnualEmissionsFromLeachingAndRunoffFromMMS_Arguments">_xlfn.LAMBDA(_xlfn.MAKEARRAY(3, 4, _xlfn.LAMBDA(_xlpm.r,_xlpm.c, INDEX({"MNLeach_jm5","mass of N lost through leaching and runoff from drylot MMS","kg N","Calculated from 4.5.1.7 (2)";"EF_leach","emission factor for leaching and runoff","kg N2O-N/kg N","Constant";"C_N2O","factor to convert elemental mass of N2O to molecular mass","","Constant"}, _xlpm.r, _xlpm.c))))</definedName>
    <definedName name="MMS_Swine_LeachingAndRunoff_Equations.VEERG_4_5_1_7__1_AnnualEmissionsFromLeachingAndRunoffFromMMS_LatexEquation">_xlfn.LAMBDA("E_{N2O,leach}=MNLeach_{jm=5}\times EF_{leach}\times C_{N2O}\times 10^{-3}")</definedName>
    <definedName name="MMS_Swine_LeachingAndRunoff_Equations.VEERG_4_5_1_7__1_AnnualEmissionsFromLeachingAndRunoffFromMMS_NIRReference">_xlfn.LAMBDA("")</definedName>
    <definedName name="MMS_Swine_LeachingAndRunoff_Equations.VEERG_4_5_1_7__1_AnnualEmissionsFromLeachingAndRunoffFromMMS_Source">_xlfn.LAMBDA("VEERG 2026: 4.5.1.7, Equation (1)")</definedName>
    <definedName name="MMS_Swine_LeachingAndRunoff_Equations.VEERG_4_5_1_7__1_AnnualEmissionsFromLeachingAndRunoffFromMMS_Title">_xlfn.LAMBDA("Annual emissions from leaching and runoff from each MMS")</definedName>
    <definedName name="MMS_Swine_LeachingAndRunoff_Equations.VEERG_4_5_1_7__1_AnnualEmissionsFromLeachingAndRunoffFromMMS_Unit">_xlfn.LAMBDA("t N2O")</definedName>
    <definedName name="MMS_Swine_LeachingAndRunoff_Equations.VEERG_4_5_1_7__1_AnnualEmissionsFromLeachingAndRunoffFromMMS_Variable">_xlfn.LAMBDA("E_N2Oleach")</definedName>
    <definedName name="MMS_Swine_LeachingAndRunoff_Equations.VEERG_4_5_1_7__2_MassOfNitrogenLostToLeachingAndRunoffFromDrylotMMS">_xlfn.LAMBDA(_xlpm.MN_jm5T1,_xlpm.FracWET,_xlpm.FracLEACH_MS, _xlpm.MN_jm5T1 * _xlpm.FracWET * _xlpm.FracLEACH_MS)</definedName>
    <definedName name="MMS_Swine_LeachingAndRunoff_Equations.VEERG_4_5_1_7__2_MassOfNitrogenLostToLeachingAndRunoffFromDrylotMMS_Arguments">_xlfn.LAMBDA(_xlfn.MAKEARRAY(6, 4, _xlfn.LAMBDA(_xlpm.r,_xlpm.c, INDEX({"MN_jm5T1","nitrogen in treatment stage 1 drylot MMS","kg N","Calculated from 4.5.1.3 (2)";"FracWET","fraction of N available for leaching and runoff","fraction","Constant";"FracLEACH_MS","fraction of N lost through leaching and runoff","fraction","Constant";"z","location in leaching zone","","Input";"j","production system","","Input";"ir","irrigation method","","Input"}, _xlpm.r, _xlpm.c))))</definedName>
    <definedName name="MMS_Swine_LeachingAndRunoff_Equations.VEERG_4_5_1_7__2_MassOfNitrogenLostToLeachingAndRunoffFromDrylotMMS_LatexEquation">_xlfn.LAMBDA("MNLeach_{jm=5}=MN_{jm=5,T=1}\times FracWET\times FracLEACH_{MS}")</definedName>
    <definedName name="MMS_Swine_LeachingAndRunoff_Equations.VEERG_4_5_1_7__2_MassOfNitrogenLostToLeachingAndRunoffFromDrylotMMS_NIRReference">_xlfn.LAMBDA("")</definedName>
    <definedName name="MMS_Swine_LeachingAndRunoff_Equations.VEERG_4_5_1_7__2_MassOfNitrogenLostToLeachingAndRunoffFromDrylotMMS_Source">_xlfn.LAMBDA("VEERG 2026: 4.5.1.7, Equation (2)")</definedName>
    <definedName name="MMS_Swine_LeachingAndRunoff_Equations.VEERG_4_5_1_7__2_MassOfNitrogenLostToLeachingAndRunoffFromDrylotMMS_Title">_xlfn.LAMBDA("Mass of nitrogen lost to leaching and runoff from drylot MMS")</definedName>
    <definedName name="MMS_Swine_LeachingAndRunoff_Equations.VEERG_4_5_1_7__2_MassOfNitrogenLostToLeachingAndRunoffFromDrylotMMS_Unit">_xlfn.LAMBDA("kg N")</definedName>
    <definedName name="MMS_Swine_LeachingAndRunoff_Equations.VEERG_4_5_1_7__2_MassOfNitrogenLostToLeachingAndRunoffFromDrylotMMS_Variable">_xlfn.LAMBDA("MNLeach_jm5")</definedName>
    <definedName name="MMS_Swine_ManureAppliedToSoils_Equations.VEERG_4_5_1_9__1_MassOfNitrogenAppliedToSoilsScope1">_xlfn.LAMBDA(_xlpm.MN_jmT2,_xlpm.EF_mT2,_xlpm.FracGASM_mT2,_xlpm.MNLeach_jm5,_xlpm.PF, (_xlpm.MN_jmT2 * (1 - _xlpm.EF_mT2 - _xlpm.FracGASM_mT2) - _xlpm.MNLeach_jm5) * _xlpm.PF)</definedName>
    <definedName name="MMS_Swine_ManureAppliedToSoils_Equations.VEERG_4_5_1_9__1_MassOfNitrogenAppliedToSoilsScope1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1_MassOfNitrogenAppliedToSoilsScope1_LatexEquation">_xlfn.LAMBDA("MNSoil_{scope1}=\sum_{j}\sum_{m}(MN_{jmT=2}\times(1-EF_{mT=2}-FracGASM_{mT=2})-MNLeach_{jm=5})\times PF")</definedName>
    <definedName name="MMS_Swine_ManureAppliedToSoils_Equations.VEERG_4_5_1_9__1_MassOfNitrogenAppliedToSoilsScope1_NIRReference">_xlfn.LAMBDA("")</definedName>
    <definedName name="MMS_Swine_ManureAppliedToSoils_Equations.VEERG_4_5_1_9__1_MassOfNitrogenAppliedToSoilsScope1_Source">_xlfn.LAMBDA("VEERG 2026: 4.5.1.9, Equation (1)")</definedName>
    <definedName name="MMS_Swine_ManureAppliedToSoils_Equations.VEERG_4_5_1_9__1_MassOfNitrogenAppliedToSoilsScope1_Title">_xlfn.LAMBDA("Mass of nitrogen applied to soils for scope 1 emissions")</definedName>
    <definedName name="MMS_Swine_ManureAppliedToSoils_Equations.VEERG_4_5_1_9__1_MassOfNitrogenAppliedToSoilsScope1_Unit">_xlfn.LAMBDA("kg N")</definedName>
    <definedName name="MMS_Swine_ManureAppliedToSoils_Equations.VEERG_4_5_1_9__1_MassOfNitrogenAppliedToSoilsScope1_Variable">_xlfn.LAMBDA("MNSoil_scope1")</definedName>
    <definedName name="MMS_Swine_ManureAppliedToSoils_Equations.VEERG_4_5_1_9__2_MassOfNitrogenAppliedToSoilsScope3">_xlfn.LAMBDA(_xlpm.MN_jmT2,_xlpm.EF_mT2,_xlpm.FracGASM_mT2,_xlpm.MNLeach_jm5,_xlpm.PF, (_xlpm.MN_jmT2 * (1 - _xlpm.EF_mT2 - _xlpm.FracGASM_mT2) - _xlpm.MNLeach_jm5) * (1 - _xlpm.PF))</definedName>
    <definedName name="MMS_Swine_ManureAppliedToSoils_Equations.VEERG_4_5_1_9__2_MassOfNitrogenAppliedToSoilsScope3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2_MassOfNitrogenAppliedToSoilsScope3_LatexEquation">_xlfn.LAMBDA("MNSoil_{scope3}=\sum_{j}\sum_{m}(MN_{jmT=2}\times(1-EF_{mT=2}-FracGASM_{mT=2})-MNLeach_{jm=5})\times(1-PF)")</definedName>
    <definedName name="MMS_Swine_ManureAppliedToSoils_Equations.VEERG_4_5_1_9__2_MassOfNitrogenAppliedToSoilsScope3_NIRReference">_xlfn.LAMBDA("")</definedName>
    <definedName name="MMS_Swine_ManureAppliedToSoils_Equations.VEERG_4_5_1_9__2_MassOfNitrogenAppliedToSoilsScope3_Source">_xlfn.LAMBDA("VEERG 2026: 4.5.1.9, Equation (2)")</definedName>
    <definedName name="MMS_Swine_ManureAppliedToSoils_Equations.VEERG_4_5_1_9__2_MassOfNitrogenAppliedToSoilsScope3_Title">_xlfn.LAMBDA("Mass of nitrogen applied to soils for scope 3 emissions")</definedName>
    <definedName name="MMS_Swine_ManureAppliedToSoils_Equations.VEERG_4_5_1_9__2_MassOfNitrogenAppliedToSoilsScope3_Unit">_xlfn.LAMBDA("kg N")</definedName>
    <definedName name="MMS_Swine_ManureAppliedToSoils_Equations.VEERG_4_5_1_9__2_MassOfNitrogenAppliedToSoilsScope3_Variable">_xlfn.LAMBDA("MNSoil_scope3")</definedName>
    <definedName name="MMS_Swine_Methane_Equations.VEERG_4_5_1_1__1_TotalAnnualMethaneEmissions">_xlfn.LAMBDA(_xlpm.Dj,_xlpm.Mmj,_xlpm.Nj, _xlpm.Dj * _xlpm.Mmj * _xlpm.Nj * 10 ^ -3)</definedName>
    <definedName name="MMS_Swine_Methane_Equations.VEERG_4_5_1_1__1_TotalAnnualMethaneEmissions_Arguments">_xlfn.LAMBDA(_xlfn.MAKEARRAY(3, 4, _xlfn.LAMBDA(_xlpm.r,_xlpm.c, INDEX({"Dj","length of stay of each class of swine","days","Input";"Mmj","methane production from manure in each swine class","kg CH4/head/day","Calculated from 4.5.1.1 (2)";"Nj","numbers of swine in each class","head","Input"}, _xlpm.r, _xlpm.c))))</definedName>
    <definedName name="MMS_Swine_Methane_Equations.VEERG_4_5_1_1__1_TotalAnnualMethaneEmissions_LatexEquation">_xlfn.LAMBDA("{E}_{CH4}=\sum_{j}(D_{j}\times M_{mj}\times N_{j})\times10^{-3}")</definedName>
    <definedName name="MMS_Swine_Methane_Equations.VEERG_4_5_1_1__1_TotalAnnualMethaneEmissions_NIRReference">_xlfn.LAMBDA("")</definedName>
    <definedName name="MMS_Swine_Methane_Equations.VEERG_4_5_1_1__1_TotalAnnualMethaneEmissions_Source">_xlfn.LAMBDA("VEERG 2026: 4.5.1.1, Equation (1)")</definedName>
    <definedName name="MMS_Swine_Methane_Equations.VEERG_4_5_1_1__1_TotalAnnualMethaneEmissions_Title">_xlfn.LAMBDA("Total annual methane emissions from manure management")</definedName>
    <definedName name="MMS_Swine_Methane_Equations.VEERG_4_5_1_1__1_TotalAnnualMethaneEmissions_Unit">_xlfn.LAMBDA("t CH4")</definedName>
    <definedName name="MMS_Swine_Methane_Equations.VEERG_4_5_1_1__1_TotalAnnualMethaneEmissions_Variable">_xlfn.LAMBDA("ECH4")</definedName>
    <definedName name="MMS_Swine_Methane_Equations.VEERG_4_5_1_1__2_MethaneProductionPerClass">_xlfn.LAMBDA(_xlpm.MjmT, SUM(_xlpm.MjmT))</definedName>
    <definedName name="MMS_Swine_Methane_Equations.VEERG_4_5_1_1__2_MethaneProductionPerClass_Arguments">_xlfn.LAMBDA(_xlfn.MAKEARRAY(1, 4, _xlfn.LAMBDA(_xlpm.r,_xlpm.c, INDEX({"MjmT","methane production from manure per class, MMS, and treatment stage","kg CH4/head/day","Calculated from 4.5.1.1 (3) and (6)"}, _xlpm.r, _xlpm.c))))</definedName>
    <definedName name="MMS_Swine_Methane_Equations.VEERG_4_5_1_1__2_MethaneProductionPerClass_LatexEquation">_xlfn.LAMBDA("M_{mj}=\sum_{m}\sum_{T}M_{jmT}")</definedName>
    <definedName name="MMS_Swine_Methane_Equations.VEERG_4_5_1_1__2_MethaneProductionPerClass_NIRReference">_xlfn.LAMBDA("")</definedName>
    <definedName name="MMS_Swine_Methane_Equations.VEERG_4_5_1_1__2_MethaneProductionPerClass_Source">_xlfn.LAMBDA("VEERG 2026: 4.5.1.1, Equation (2)")</definedName>
    <definedName name="MMS_Swine_Methane_Equations.VEERG_4_5_1_1__2_MethaneProductionPerClass_Title">_xlfn.LAMBDA("Methane production from the manure of each class of swine")</definedName>
    <definedName name="MMS_Swine_Methane_Equations.VEERG_4_5_1_1__2_MethaneProductionPerClass_Unit">_xlfn.LAMBDA("kg CH4/head/day")</definedName>
    <definedName name="MMS_Swine_Methane_Equations.VEERG_4_5_1_1__2_MethaneProductionPerClass_Variable">_xlfn.LAMBDA("Mmj")</definedName>
    <definedName name="MMS_Swine_Methane_Equations.VEERG_4_5_1_1__2_MethaneProductionPerClass_Variation">_xlfn.LAMBDA("VARIATION ON SOURCE: Split variable Mjm into MjmT1 and MjmT2 for stage 1 and 2 MMS.")</definedName>
    <definedName name="MMS_Swine_Methane_Equations.VEERG_4_5_1_1__2_MethaneProductionPerClassVariation">_xlfn.LAMBDA(_xlpm.MjmT1,_xlpm.MjmT2, SUM(_xlpm.MjmT1, _xlpm.MjmT2))</definedName>
    <definedName name="MMS_Swine_Methane_Equations.VEERG_4_5_1_1__3_Stage1MethaneProduction">_xlfn.LAMBDA(_xlpm.VSj,_xlpm.FVSjmT1,_xlpm.MCFim,_xlpm.BO,_xlpm.rho, _xlpm.VSj * _xlpm.FVSjmT1 * _xlpm.MCFim * _xlpm.BO * _xlpm.rho)</definedName>
    <definedName name="MMS_Swine_Methane_Equations.VEERG_4_5_1_1__3_Stage1MethaneProduction_Arguments">_xlfn.LAMBDA(_xlfn.MAKEARRAY(5, 4, _xlfn.LAMBDA(_xlpm.r,_xlpm.c, INDEX({"VSj","volatile solid production from swine in each class","kg/head/day","Input";"FVSjmT1","fraction of volatile solids in each primary system","fraction","Calculated from 4.5.1.1 (4)(5)";"MCFim","methane conversion factor for temperate zone and system","fraction","Constant";"BO","emissions potential","m3 CH4/kg VS","Constant";"rho","density of methane","kg/m3","Constant"}, _xlpm.r, _xlpm.c))))</definedName>
    <definedName name="MMS_Swine_Methane_Equations.VEERG_4_5_1_1__3_Stage1MethaneProduction_LatexEquation">_xlfn.LAMBDA("M_{ijm,T=1}=VS_{j}\times FVS_{jm,T=1}\times MCF_{im}\times BO\times \rho")</definedName>
    <definedName name="MMS_Swine_Methane_Equations.VEERG_4_5_1_1__3_Stage1MethaneProduction_NIRReference">_xlfn.LAMBDA("")</definedName>
    <definedName name="MMS_Swine_Methane_Equations.VEERG_4_5_1_1__3_Stage1MethaneProduction_Source">_xlfn.LAMBDA("VEERG 2026: 4.5.1.1, Equation (3)")</definedName>
    <definedName name="MMS_Swine_Methane_Equations.VEERG_4_5_1_1__3_Stage1MethaneProduction_Title">_xlfn.LAMBDA("Production of methane in treatment stage 1 MMS")</definedName>
    <definedName name="MMS_Swine_Methane_Equations.VEERG_4_5_1_1__3_Stage1MethaneProduction_Unit">_xlfn.LAMBDA("kg CH4/head/day")</definedName>
    <definedName name="MMS_Swine_Methane_Equations.VEERG_4_5_1_1__3_Stage1MethaneProduction_Variable">_xlfn.LAMBDA("MijmT1")</definedName>
    <definedName name="MMS_Swine_Methane_Equations.VEERG_4_5_1_1__4_FractionVolatileSolidsPrimarySystem">_xlfn.LAMBDA(_xlpm.MMSjmT1,_xlpm.SSm, _xlpm.MMSjmT1 * (1 - _xlpm.SSm))</definedName>
    <definedName name="MMS_Swine_Methane_Equations.VEERG_4_5_1_1__4_FractionVolatileSolidsPrimarySystem_Arguments">_xlfn.LAMBDA(_xlfn.MAKEARRAY(2, 4, _xlfn.LAMBDA(_xlpm.r,_xlpm.c, INDEX({"MMSjmT1","fraction of manure to each primary MMS for each class prior to solid separation","fraction","Input";"SSm","fraction of volatile solids separated to solid storage for each MMS","fraction","Input"}, _xlpm.r, _xlpm.c))))</definedName>
    <definedName name="MMS_Swine_Methane_Equations.VEERG_4_5_1_1__4_FractionVolatileSolidsPrimarySystem_LatexEquation">_xlfn.LAMBDA("FVS_{jm,T=1}=MMS_{jm,T=1}\times(1-SS_{m})")</definedName>
    <definedName name="MMS_Swine_Methane_Equations.VEERG_4_5_1_1__4_FractionVolatileSolidsPrimarySystem_NIRReference">_xlfn.LAMBDA("")</definedName>
    <definedName name="MMS_Swine_Methane_Equations.VEERG_4_5_1_1__4_FractionVolatileSolidsPrimarySystem_Source">_xlfn.LAMBDA("VEERG 2026: 4.5.1.1, Equation (4)")</definedName>
    <definedName name="MMS_Swine_Methane_Equations.VEERG_4_5_1_1__4_FractionVolatileSolidsPrimarySystem_Title">_xlfn.LAMBDA("Fraction of volatile solids in each primary system other than solid storage")</definedName>
    <definedName name="MMS_Swine_Methane_Equations.VEERG_4_5_1_1__4_FractionVolatileSolidsPrimarySystem_Unit">_xlfn.LAMBDA("fraction")</definedName>
    <definedName name="MMS_Swine_Methane_Equations.VEERG_4_5_1_1__4_FractionVolatileSolidsPrimarySystem_Variable">_xlfn.LAMBDA("FVSjmT1")</definedName>
    <definedName name="MMS_Swine_Methane_Equations.VEERG_4_5_1_1__4_FractionVolatileSolidsPrimarySystem_Variation">_xlfn.LAMBDA("")</definedName>
    <definedName name="MMS_Swine_Methane_Equations.VEERG_4_5_1_1__5_FractionVolatileSolidsSolidStorage">_xlfn.LAMBDA(_xlpm.MMSjm4T1,_xlpm.MMSjm179T1,_xlpm.SSm, _xlpm.MMSjm4T1 + (_xlpm.MMSjm179T1 * _xlpm.SSm))</definedName>
    <definedName name="MMS_Swine_Methane_Equations.VEERG_4_5_1_1__5_FractionVolatileSolidsSolidStorage_Arguments">_xlfn.LAMBDA(_xlfn.MAKEARRAY(3, 4, _xlfn.LAMBDA(_xlpm.r,_xlpm.c, INDEX({"MMSjm4T1","fraction of manure in solid storage primary system","fraction","Input";"MMSjm179T1","fraction of manure in MMS 1, 7, and 9 in treatment stage 1","fraction","Input";"SSm","fraction of volatile solids separated to solid storage for each MMS","fraction","Input"}, _xlpm.r, _xlpm.c))))</definedName>
    <definedName name="MMS_Swine_Methane_Equations.VEERG_4_5_1_1__5_FractionVolatileSolidsSolidStorage_LatexEquation">_xlfn.LAMBDA("FVS_{j,m=4,T=1}=MMS_{j,m=4,T=1}+(MMS_{j,m=1,7,9,T=1}\times SS_{m})")</definedName>
    <definedName name="MMS_Swine_Methane_Equations.VEERG_4_5_1_1__5_FractionVolatileSolidsSolidStorage_LatexEquationVariation">_xlfn.LAMBDA("FVS_{j,m=4,T=1}=MMS_{j,m=4,T=1}+(MMS_{j,m=1,T=1}\times SS_{m=1,T=1})+(MMS_{j,m=7,T=1}\times SS_{m=7,T=1})+(MMS_{j,m=9,T=1}\times SS_{m=9,T=1})")</definedName>
    <definedName name="MMS_Swine_Methane_Equations.VEERG_4_5_1_1__5_FractionVolatileSolidsSolidStorage_NIRReference">_xlfn.LAMBDA("")</definedName>
    <definedName name="MMS_Swine_Methane_Equations.VEERG_4_5_1_1__5_FractionVolatileSolidsSolidStorage_Source">_xlfn.LAMBDA("VEERG 2026: 4.5.1.1, Equation (5)")</definedName>
    <definedName name="MMS_Swine_Methane_Equations.VEERG_4_5_1_1__5_FractionVolatileSolidsSolidStorage_Title">_xlfn.LAMBDA("Fraction of volatile solids in solid storage")</definedName>
    <definedName name="MMS_Swine_Methane_Equations.VEERG_4_5_1_1__5_FractionVolatileSolidsSolidStorage_Unit">_xlfn.LAMBDA("fraction")</definedName>
    <definedName name="MMS_Swine_Methane_Equations.VEERG_4_5_1_1__5_FractionVolatileSolidsSolidStorage_Variable">_xlfn.LAMBDA("FVSjm4T1")</definedName>
    <definedName name="MMS_Swine_Methane_Equations.VEERG_4_5_1_1__5_FractionVolatileSolidsSolidStorage_Variation">_xlfn.LAMBDA("VARIATION ON SOURCE: Split equation for MMSm=1,7,9 into separate items to allow for calculation")</definedName>
    <definedName name="MMS_Swine_Methane_Equations.VEERG_4_5_1_1__5_FractionVolatileSolidsSolidStorageVariation">_xlfn.LAMBDA(_xlpm.MMSjm4T1,_xlpm.MMSjmT1_1,_xlpm.MMSjmT1_2,_xlpm.MMSjmT1_3,_xlpm.MMSjmT1_4,_xlpm.MMSjmT1_5,_xlpm.SSjmT1_1,_xlpm.SSjmT1_2,_xlpm.SSjmT1_3,_xlpm.SSjmT1_4,_xlpm.SSjmT1_5, _xlpm.MMSjm4T1 + (_xlpm.MMSjmT1_1 * _xlpm.SSjmT1_1) + (_xlpm.MMSjmT1_2 * _xlpm.SSjmT1_2) + (_xlpm.MMSjmT1_3 * _xlpm.SSjmT1_3) + (_xlpm.MMSjmT1_4 * _xlpm.SSjmT1_4) + (_xlpm.MMSjmT1_5 * _xlpm.SSjmT1_5))</definedName>
    <definedName name="MMS_Swine_Methane_Equations.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MS_Swine_Methane_Equations.VEERG_4_5_1_1__6_Stage2MethaneProduction_Arguments">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methane","kg/m3","Constant";"i","state","","Input"}, _xlpm.r, _xlpm.c))))</definedName>
    <definedName name="MMS_Swine_Methane_Equations.VEERG_4_5_1_1__6_Stage2MethaneProduction_Arguments_Method2">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methane","kg/m3","Constant";"MAT","Mean annual temperature","°C","Input"}, _xlpm.r, _xlpm.c))))</definedName>
    <definedName name="MMS_Swine_Methane_Equations.VEERG_4_5_1_1__6_Stage2MethaneProduction_LatexEquation">_xlfn.LAMBDA("M_{ijm,T=2}=VST_{jm,T=2}\times BO\times MMS_{jm,T=2}\times MCF_{im}\times \rho")</definedName>
    <definedName name="MMS_Swine_Methane_Equations.VEERG_4_5_1_1__6_Stage2MethaneProduction_NIRReference">_xlfn.LAMBDA("")</definedName>
    <definedName name="MMS_Swine_Methane_Equations.VEERG_4_5_1_1__6_Stage2MethaneProduction_Source">_xlfn.LAMBDA("VEERG 2026: 4.5.1.1, Equation (6)")</definedName>
    <definedName name="MMS_Swine_Methane_Equations.VEERG_4_5_1_1__6_Stage2MethaneProduction_Title">_xlfn.LAMBDA("Production of methane in each treatment stage 2 MMS")</definedName>
    <definedName name="MMS_Swine_Methane_Equations.VEERG_4_5_1_1__6_Stage2MethaneProduction_Unit">_xlfn.LAMBDA("kg CH4/head/day")</definedName>
    <definedName name="MMS_Swine_Methane_Equations.VEERG_4_5_1_1__6_Stage2MethaneProduction_Variable">_xlfn.LAMBDA("MijmT2")</definedName>
    <definedName name="MMS_Swine_Methane_Equations.VEERG_4_5_1_1__7_VolatileSolidsTransferredStage2">_xlfn.LAMBDA(_xlpm.VSj,_xlpm.FVSjmT1,_xlpm.VSLmT1, _xlpm.VSj * _xlpm.FVSjmT1 * (1 - _xlpm.VSLmT1))</definedName>
    <definedName name="MMS_Swine_Methane_Equations.VEERG_4_5_1_1__7_VolatileSolidsTransferredStage2_Arguments">_xlfn.LAMBDA(_xlfn.MAKEARRAY(3, 4, _xlfn.LAMBDA(_xlpm.r,_xlpm.c, INDEX({"VSj","volatile solid production from swine in each class","kg/head/day","Input";"FVSjmT1","fraction of volatile solids in each primary system","fraction","Calculated from 4.5.1.1 (4)(5)";"VSLmT1","fraction of volatile solids lost during storage in the primary system","fraction","Lookup"}, _xlpm.r, _xlpm.c))))</definedName>
    <definedName name="MMS_Swine_Methane_Equations.VEERG_4_5_1_1__7_VolatileSolidsTransferredStage2_LatexEquation">_xlfn.LAMBDA("VST_{ijm,T=2}=VS_{j}\times FVS_{jm,T=1}\times(1-VSL_{m,T=1})")</definedName>
    <definedName name="MMS_Swine_Methane_Equations.VEERG_4_5_1_1__7_VolatileSolidsTransferredStage2_NIRReference">_xlfn.LAMBDA("")</definedName>
    <definedName name="MMS_Swine_Methane_Equations.VEERG_4_5_1_1__7_VolatileSolidsTransferredStage2_Source">_xlfn.LAMBDA("VEERG 2026: 4.5.1.1, Equation (7)")</definedName>
    <definedName name="MMS_Swine_Methane_Equations.VEERG_4_5_1_1__7_VolatileSolidsTransferredStage2_Title">_xlfn.LAMBDA("Volatile solids transferred to treatment stage 2 MMS")</definedName>
    <definedName name="MMS_Swine_Methane_Equations.VEERG_4_5_1_1__7_VolatileSolidsTransferredStage2_Unit">_xlfn.LAMBDA("kg VS")</definedName>
    <definedName name="MMS_Swine_Methane_Equations.VEERG_4_5_1_1__7_VolatileSolidsTransferredStage2_Variable">_xlfn.LAMBDA("VSTijmT2")</definedName>
    <definedName name="MMS_Swine_N2ODirect_Equations.VEERG_4_5_1_3__1_TotalAnnualDirectNitrousOxideEmissionsFromMMS">_xlfn.LAMBDA(_xlpm.MN_jmT,_xlpm.EF_jm,_xlpm.C_N2O, _xlpm.MN_jmT * _xlpm.EF_jm * _xlpm.C_N2O * 10 ^ -3)</definedName>
    <definedName name="MMS_Swine_N2ODirect_Equations.VEERG_4_5_1_3__1_TotalAnnualDirectNitrousOxideEmissionsFromMMS_Arguments">_xlfn.LAMBDA(_xlfn.MAKEARRAY(3, 4, _xlfn.LAMBDA(_xlpm.r,_xlpm.c, INDEX({"MN_jmT","nitrogen per swine class, MMS and treatment stage","kg N","Calculated from 4.5.1.3 (2)(6)";"EF_jm","nitrous oxide emission factor for MMS","kg N2O-N/kg N","Constant";"C_N2O","factor to convert elemental mass of nitrous oxide to molecular mass","","Constant"}, _xlpm.r, _xlpm.c))))</definedName>
    <definedName name="MMS_Swine_N2ODirect_Equations.VEERG_4_5_1_3__1_TotalAnnualDirectNitrousOxideEmissionsFromMMS_LatexEquation">_xlfn.LAMBDA("E_{N2O,dir}=\sum_{j}\sum_{m}\sum_{T}(MN_{jmT}\times EF_{jm}\times C_{N2O})\times10^{-3}")</definedName>
    <definedName name="MMS_Swine_N2ODirect_Equations.VEERG_4_5_1_3__1_TotalAnnualDirectNitrousOxideEmissionsFromMMS_NIRReference">_xlfn.LAMBDA("")</definedName>
    <definedName name="MMS_Swine_N2ODirect_Equations.VEERG_4_5_1_3__1_TotalAnnualDirectNitrousOxideEmissionsFromMMS_Source">_xlfn.LAMBDA("VEERG 2026: 4.5.1.3, Equation (1)")</definedName>
    <definedName name="MMS_Swine_N2ODirect_Equations.VEERG_4_5_1_3__1_TotalAnnualDirectNitrousOxideEmissionsFromMMS_Title">_xlfn.LAMBDA("Total annual direct nitrous oxide emissions from manure management systems")</definedName>
    <definedName name="MMS_Swine_N2ODirect_Equations.VEERG_4_5_1_3__1_TotalAnnualDirectNitrousOxideEmissionsFromMMS_Unit">_xlfn.LAMBDA("t N2O")</definedName>
    <definedName name="MMS_Swine_N2ODirect_Equations.VEERG_4_5_1_3__1_TotalAnnualDirectNitrousOxideEmissionsFromMMS_Variable">_xlfn.LAMBDA("E_N2Odir")</definedName>
    <definedName name="MMS_Swine_N2ODirect_Equations.VEERG_4_5_1_3__2_Stage1NitrogenInMMS">_xlfn.LAMBDA(_xlpm.AE_j,_xlpm.FN_jmT1, _xlpm.AE_j * _xlpm.FN_jmT1)</definedName>
    <definedName name="MMS_Swine_N2ODirect_Equations.VEERG_4_5_1_3__2_Stage1NitrogenInMMS_Arguments">_xlfn.LAMBDA(_xlfn.MAKEARRAY(2, 4, _xlfn.LAMBDA(_xlpm.r,_xlpm.c, INDEX({"AE_j","total nitrogen excreted by each swine class","kg N","Calculated from 4.5.1.3 (5)";"FN_jmT1","fraction of nitrogen in each primary MMS system","fraction","Calculated from 4.5.1.3 (3)(4)"}, _xlpm.r, _xlpm.c))))</definedName>
    <definedName name="MMS_Swine_N2ODirect_Equations.VEERG_4_5_1_3__2_Stage1NitrogenInMMS_LatexEquation">_xlfn.LAMBDA("MN_{jm,T=1}=AE_{j}\times FN_{jm,T=1}")</definedName>
    <definedName name="MMS_Swine_N2ODirect_Equations.VEERG_4_5_1_3__2_Stage1NitrogenInMMS_NIRReference">_xlfn.LAMBDA("")</definedName>
    <definedName name="MMS_Swine_N2ODirect_Equations.VEERG_4_5_1_3__2_Stage1NitrogenInMMS_Source">_xlfn.LAMBDA("VEERG 2026: 4.5.1.3, Equation (2)")</definedName>
    <definedName name="MMS_Swine_N2ODirect_Equations.VEERG_4_5_1_3__2_Stage1NitrogenInMMS_Title">_xlfn.LAMBDA("Nitrogen in treatment stage 1 MMS")</definedName>
    <definedName name="MMS_Swine_N2ODirect_Equations.VEERG_4_5_1_3__2_Stage1NitrogenInMMS_Unit">_xlfn.LAMBDA("kg N")</definedName>
    <definedName name="MMS_Swine_N2ODirect_Equations.VEERG_4_5_1_3__2_Stage1NitrogenInMMS_Variable">_xlfn.LAMBDA("MN_jmT1")</definedName>
    <definedName name="MMS_Swine_N2ODirect_Equations.VEERG_4_5_1_3__3_FractionOfNitrogenInPrimaryMMS">_xlfn.LAMBDA(_xlpm.MMS_jmT1,_xlpm.SN_m, _xlpm.MMS_jmT1 * (1 - _xlpm.SN_m))</definedName>
    <definedName name="MMS_Swine_N2ODirect_Equations.VEERG_4_5_1_3__3_FractionOfNitrogenInPrimaryMMS_Arguments">_xlfn.LAMBDA(_xlfn.MAKEARRAY(2, 4, _xlfn.LAMBDA(_xlpm.r,_xlpm.c, INDEX({"MMS_jmT1","fraction of manure in primary MMS","fraction","Input";"SN_m","fraction of nitrogen separated to solid storage for each MMS","fraction","Input"}, _xlpm.r, _xlpm.c))))</definedName>
    <definedName name="MMS_Swine_N2ODirect_Equations.VEERG_4_5_1_3__3_FractionOfNitrogenInPrimaryMMS_LatexEquation">_xlfn.LAMBDA("FN_{jm,T=1}=MMS_{jm,T=1}\times(1-SN_{m})")</definedName>
    <definedName name="MMS_Swine_N2ODirect_Equations.VEERG_4_5_1_3__3_FractionOfNitrogenInPrimaryMMS_NIRReference">_xlfn.LAMBDA("")</definedName>
    <definedName name="MMS_Swine_N2ODirect_Equations.VEERG_4_5_1_3__3_FractionOfNitrogenInPrimaryMMS_Source">_xlfn.LAMBDA("VEERG 2026: 4.5.1.3, Equation (3)")</definedName>
    <definedName name="MMS_Swine_N2ODirect_Equations.VEERG_4_5_1_3__3_FractionOfNitrogenInPrimaryMMS_Title">_xlfn.LAMBDA("Fraction of nitrogen in each primary MMS (excluding solid storage)")</definedName>
    <definedName name="MMS_Swine_N2ODirect_Equations.VEERG_4_5_1_3__3_FractionOfNitrogenInPrimaryMMS_Unit">_xlfn.LAMBDA("fraction")</definedName>
    <definedName name="MMS_Swine_N2ODirect_Equations.VEERG_4_5_1_3__3_FractionOfNitrogenInPrimaryMMS_Variable">_xlfn.LAMBDA("FN_jmT1")</definedName>
    <definedName name="MMS_Swine_N2ODirect_Equations.VEERG_4_5_1_3__4_FractionOfNitrogenInSolidStorage">_xlfn.LAMBDA(_xlpm.MMS_jm4T1,_xlpm.MMS_jm179T1,_xlpm.SN_m, _xlpm.MMS_jm4T1 + (_xlpm.MMS_jm179T1 * _xlpm.SN_m))</definedName>
    <definedName name="MMS_Swine_N2ODirect_Equations.VEERG_4_5_1_3__4_FractionOfNitrogenInSolidStorage_Arguments">_xlfn.LAMBDA(_xlfn.MAKEARRAY(3, 4, _xlfn.LAMBDA(_xlpm.r,_xlpm.c, INDEX({"MMS_jm4T1","fraction of manure in solid storage MMS","fraction","Input";"MMS_jm179T1","fraction of manure in primary liquid systems (m=1,7,9)","fraction","Input";"SN_m","fraction of nitrogen separated to solid storage for each MMS","fraction","Input"}, _xlpm.r, _xlpm.c))))</definedName>
    <definedName name="MMS_Swine_N2ODirect_Equations.VEERG_4_5_1_3__4_FractionOfNitrogenInSolidStorage_LatexEquation">_xlfn.LAMBDA("FN_{jm=4,T=1}=MMS_{jm=4,T=1}+(MMS_{jm=1,7,9,T=1}\times SN_{m})")</definedName>
    <definedName name="MMS_Swine_N2ODirect_Equations.VEERG_4_5_1_3__4_FractionOfNitrogenInSolidStorage_LatexEquationVariation">_xlfn.LAMBDA("FN_{jm=4,T=1}=MMS_{jm=4,T=1}+(MMS_{j,m=1,T=1}\times SS_{m=1,T=1})+(MMS_{j,m=7,T=1}\times SS_{m=7,T=1})+(MMS_{j,m=9,T=1}\times SS_{m=9,T=1})")</definedName>
    <definedName name="MMS_Swine_N2ODirect_Equations.VEERG_4_5_1_3__4_FractionOfNitrogenInSolidStorage_NIRReference">_xlfn.LAMBDA("")</definedName>
    <definedName name="MMS_Swine_N2ODirect_Equations.VEERG_4_5_1_3__4_FractionOfNitrogenInSolidStorage_Source">_xlfn.LAMBDA("VEERG 2026: 4.5.1.3, Equation (4)")</definedName>
    <definedName name="MMS_Swine_N2ODirect_Equations.VEERG_4_5_1_3__4_FractionOfNitrogenInSolidStorage_Title">_xlfn.LAMBDA("Fraction of nitrogen in solid storage")</definedName>
    <definedName name="MMS_Swine_N2ODirect_Equations.VEERG_4_5_1_3__4_FractionOfNitrogenInSolidStorage_Unit">_xlfn.LAMBDA("fraction")</definedName>
    <definedName name="MMS_Swine_N2ODirect_Equations.VEERG_4_5_1_3__4_FractionOfNitrogenInSolidStorage_Variable">_xlfn.LAMBDA("FN_jm4T1")</definedName>
    <definedName name="MMS_Swine_N2ODirect_Equations.VEERG_4_5_1_3__4_FractionOfNitrogenInSolidStorage_Variation">_xlfn.LAMBDA("VARIATION ON SOURCE: Split equation for MMSm=1,7,9 into separate items to allow for calculation")</definedName>
    <definedName name="MMS_Swine_N2ODirect_Equations.VEERG_4_5_1_3__4_FractionOfNitrogenInSolidStorageVariation">_xlfn.LAMBDA(_xlpm.MMS_jm4T1,_xlpm.MMSjmT1_1,_xlpm.MMSjmT1_2,_xlpm.MMSjmT1_3,_xlpm.MMSjmT1_4,_xlpm.MMSjmT1_5,_xlpm.SSjmT1_1,_xlpm.SSjmT1_2,_xlpm.SSjmT1_3,_xlpm.SSjmT1_4,_xlpm.SSjmT1_5, _xlpm.MMS_jm4T1 + (_xlpm.MMSjmT1_1 * _xlpm.SSjmT1_1) + (_xlpm.MMSjmT1_2 * _xlpm.SSjmT1_2) + (_xlpm.MMSjmT1_3 * _xlpm.SSjmT1_3) + (_xlpm.MMSjmT1_4 * _xlpm.SSjmT1_4) + (_xlpm.MMSjmT1_5 * _xlpm.SSjmT1_5))</definedName>
    <definedName name="MMS_Swine_N2ODirect_Equations.VEERG_4_5_1_3__5_AnnualNitrogenExcretion">_xlfn.LAMBDA(_xlpm.N_j,_xlpm.NW_j,_xlpm.D_j, _xlpm.N_j * _xlpm.NW_j * _xlpm.D_j)</definedName>
    <definedName name="MMS_Swine_N2ODirect_Equations.VEERG_4_5_1_3__5_AnnualNitrogenExcretion_Arguments">_xlfn.LAMBDA(_xlfn.MAKEARRAY(3, 4, _xlfn.LAMBDA(_xlpm.r,_xlpm.c, INDEX({"N_j","number of swine in each group","head","Input";"NW_j","nitrogen produced in swine manure and waste feed in each class","kg N/head/day","Input";"D_j","duration of stay of swine group","days","Input"}, _xlpm.r, _xlpm.c))))</definedName>
    <definedName name="MMS_Swine_N2ODirect_Equations.VEERG_4_5_1_3__5_AnnualNitrogenExcretion_LatexEquation">_xlfn.LAMBDA("AE_{j}=N_{j}\times NW_{j}\times D_{j}")</definedName>
    <definedName name="MMS_Swine_N2ODirect_Equations.VEERG_4_5_1_3__5_AnnualNitrogenExcretion_NIRReference">_xlfn.LAMBDA("")</definedName>
    <definedName name="MMS_Swine_N2ODirect_Equations.VEERG_4_5_1_3__5_AnnualNitrogenExcretion_Source">_xlfn.LAMBDA("VEERG 2026: 4.5.1.3, Equation (5)")</definedName>
    <definedName name="MMS_Swine_N2ODirect_Equations.VEERG_4_5_1_3__5_AnnualNitrogenExcretion_Title">_xlfn.LAMBDA("Annual nitrogen excretion from each swine group")</definedName>
    <definedName name="MMS_Swine_N2ODirect_Equations.VEERG_4_5_1_3__5_AnnualNitrogenExcretion_Unit">_xlfn.LAMBDA("kg N")</definedName>
    <definedName name="MMS_Swine_N2ODirect_Equations.VEERG_4_5_1_3__5_AnnualNitrogenExcretion_Variable">_xlfn.LAMBDA("AE_j")</definedName>
    <definedName name="MMS_Swine_N2ODirect_Equations.VEERG_4_5_1_3__6_Stage2NitrogenInMMS">_xlfn.LAMBDA(_xlpm.NT_jmT2,_xlpm.MMS_jmT2, _xlpm.NT_jmT2 * _xlpm.MMS_jmT2)</definedName>
    <definedName name="MMS_Swine_N2ODirect_Equations.VEERG_4_5_1_3__6_Stage2NitrogenInMMS_Arguments">_xlfn.LAMBDA(_xlfn.MAKEARRAY(2, 4, _xlfn.LAMBDA(_xlpm.r,_xlpm.c, INDEX({"NT_jmT2","nitrogen transferred to secondary treatment MMS","kg N","Calculated from 4.5.1.3 (7)";"MMS_jmT2","fraction of manure in each secondary system","fraction","Input"}, _xlpm.r, _xlpm.c))))</definedName>
    <definedName name="MMS_Swine_N2ODirect_Equations.VEERG_4_5_1_3__6_Stage2NitrogenInMMS_LatexEquation">_xlfn.LAMBDA("MN_{jm,T=2}=NT_{jm,T=2}\times MMS_{jm,T=2}")</definedName>
    <definedName name="MMS_Swine_N2ODirect_Equations.VEERG_4_5_1_3__6_Stage2NitrogenInMMS_NIRReference">_xlfn.LAMBDA("")</definedName>
    <definedName name="MMS_Swine_N2ODirect_Equations.VEERG_4_5_1_3__6_Stage2NitrogenInMMS_Source">_xlfn.LAMBDA("VEERG 2026: 4.5.1.3, Equation (6)")</definedName>
    <definedName name="MMS_Swine_N2ODirect_Equations.VEERG_4_5_1_3__6_Stage2NitrogenInMMS_Title">_xlfn.LAMBDA("Nitrogen in treatment stage 2 MMS")</definedName>
    <definedName name="MMS_Swine_N2ODirect_Equations.VEERG_4_5_1_3__6_Stage2NitrogenInMMS_Unit">_xlfn.LAMBDA("kg N")</definedName>
    <definedName name="MMS_Swine_N2ODirect_Equations.VEERG_4_5_1_3__6_Stage2NitrogenInMMS_Variable">_xlfn.LAMBDA("MN_jmT2")</definedName>
    <definedName name="MMS_Swine_N2ODirect_Equations.VEERG_4_5_1_3__7_NitrogenTransferredToStage2MMS">_xlfn.LAMBDA(_xlpm.MN_jmT1,_xlpm.FracGASMmT1,_xlpm.EF_mT1, _xlpm.MN_jmT1 * (1 - _xlpm.FracGASMmT1 - _xlpm.EF_mT1))</definedName>
    <definedName name="MMS_Swine_N2ODirect_Equations.VEERG_4_5_1_3__7_NitrogenTransferredToStage2MMS_Arguments">_xlfn.LAMBDA(_xlfn.MAKEARRAY(3, 4, _xlfn.LAMBDA(_xlpm.r,_xlpm.c, INDEX({"MN_jmT1","nitrogen per swine class in treatment stage 1 MMS","kg N","Calculated from 4.5.1.3 (2)(6)";"FracGASMmT1","fraction of N volatilised from MMS treatment at stage 1","fraction","Lookup";"EF_mT1","nitrous oxide emission factor for MMS treatment at stage 1","kg N2O-N/kg N","Lookup"}, _xlpm.r, _xlpm.c))))</definedName>
    <definedName name="MMS_Swine_N2ODirect_Equations.VEERG_4_5_1_3__7_NitrogenTransferredToStage2MMS_LatexEquation">_xlfn.LAMBDA("NT_{jm,T=2}=MN_{jm,T=1}\times(1-FracGASM_{m,T=1}-EF_{m,T=1})")</definedName>
    <definedName name="MMS_Swine_N2ODirect_Equations.VEERG_4_5_1_3__7_NitrogenTransferredToStage2MMS_NIRReference">_xlfn.LAMBDA("")</definedName>
    <definedName name="MMS_Swine_N2ODirect_Equations.VEERG_4_5_1_3__7_NitrogenTransferredToStage2MMS_Source">_xlfn.LAMBDA("VEERG 2026: 4.5.1.3, Equation (7)")</definedName>
    <definedName name="MMS_Swine_N2ODirect_Equations.VEERG_4_5_1_3__7_NitrogenTransferredToStage2MMS_Title">_xlfn.LAMBDA("Nitrogen transferred to treatment stage 2 MMS")</definedName>
    <definedName name="MMS_Swine_N2ODirect_Equations.VEERG_4_5_1_3__7_NitrogenTransferredToStage2MMS_Unit">_xlfn.LAMBDA("kg N")</definedName>
    <definedName name="MMS_Swine_N2ODirect_Equations.VEERG_4_5_1_3__7_NitrogenTransferredToStage2MMS_Variable">_xlfn.LAMBDA("NT_jmT2")</definedName>
    <definedName name="Range_LivestockStartingValues">#REF!</definedName>
    <definedName name="Result_CarbonRemovalsFromPlantings">Results!$E$53</definedName>
    <definedName name="Result_EmissionsForWholeProductionCycle_Method1">Results!$E$42</definedName>
    <definedName name="Result_EmissionsForWholeProductionCycle_Method2">Results!$F$42</definedName>
    <definedName name="Result_Enterprise_Method1">Results!$H$28</definedName>
    <definedName name="Result_Enterprise_Method2">Results!$I$28</definedName>
    <definedName name="Result_NetEmissions_Method1">Results!$E$59</definedName>
    <definedName name="Result_NetEmissions_Method2">Results!$F$59</definedName>
    <definedName name="Scope3_Equations.VEERG_15_1_1_1__1_EmissionsFromPurchasedLivestock">_xlfn.LAMBDA(_xlpm.N_co,_xlpm.W_co,_xlpm.EF_co, (_xlpm.N_co * _xlpm.W_co * _xlpm.EF_co) * 10 ^ -3)</definedName>
    <definedName name="Scope3_Equations.VEERG_15_1_1_1__1_EmissionsFromPurchasedLivestock_Arguments">_xlfn.LAMBDA(_xlfn.MAKEARRAY(5, 4, _xlfn.LAMBDA(_xlpm.r,_xlpm.c, INDEX({"N_co","number of animals purchased in livestock type c from origin o","head","Input";"W_co","average liveweight of purchased livestock at point of purchase","kg/head","Input";"EF_co","emission factor per livestock type and origin","kg CO2e/kg","Constant";"c","livestock type","","Input";"o","origin","","Input"}, _xlpm.r, _xlpm.c))))</definedName>
    <definedName name="Scope3_Equations.VEERG_15_1_1_1__1_EmissionsFromPurchasedLivestock_LatexEquation">_xlfn.LAMBDA("E=\sum\nolimits_c\sum\nolimits_o\left(N_{co}\times W_{co}\times EF_{co}\right)\times 10^{-3}")</definedName>
    <definedName name="Scope3_Equations.VEERG_15_1_1_1__1_EmissionsFromPurchasedLivestock_NIRReference">_xlfn.LAMBDA("")</definedName>
    <definedName name="Scope3_Equations.VEERG_15_1_1_1__1_EmissionsFromPurchasedLivestock_Source">_xlfn.LAMBDA("VEERG 2026: 15.1.1.1, Equation (1)")</definedName>
    <definedName name="Scope3_Equations.VEERG_15_1_1_1__1_EmissionsFromPurchasedLivestock_Title">_xlfn.LAMBDA("Total emissions from purchased livestock")</definedName>
    <definedName name="Scope3_Equations.VEERG_15_1_1_1__1_EmissionsFromPurchasedLivestock_Unit">_xlfn.LAMBDA("t CO2e")</definedName>
    <definedName name="Scope3_Equations.VEERG_15_1_1_1__1_EmissionsFromPurchasedLivestock_Variable">_xlfn.LAMBDA("E")</definedName>
    <definedName name="Scope3_Equations.VEERG_15_10_1_1__1_OtherPurchasedGoodsAndServices">_xlfn.LAMBDA(_xlpm.activity_data,_xlpm.emission_factor, _xlpm.activity_data * _xlpm.emission_factor)</definedName>
    <definedName name="Scope3_Equations.VEERG_15_10_1_1__1_OtherPurchasedGoodsAndServices_Arguments">_xlfn.LAMBDA(_xlfn.MAKEARRAY(2, 4, _xlfn.LAMBDA(_xlpm.r,_xlpm.c, INDEX({"activity_data","measured activity for the purchased good or service","varies","Input";"emission_factor","lifecycle emissions per unit of activity","varies","Constant"}, _xlpm.r, _xlpm.c))))</definedName>
    <definedName name="Scope3_Equations.VEERG_15_10_1_1__1_OtherPurchasedGoodsAndServices_LatexEquation">_xlfn.LAMBDA("emissions=activity\_data\times emission\_factor")</definedName>
    <definedName name="Scope3_Equations.VEERG_15_10_1_1__1_OtherPurchasedGoodsAndServices_NIRReference">_xlfn.LAMBDA("")</definedName>
    <definedName name="Scope3_Equations.VEERG_15_10_1_1__1_OtherPurchasedGoodsAndServices_Source">_xlfn.LAMBDA("VEERG 2026: 15.10, generic placeholder equation")</definedName>
    <definedName name="Scope3_Equations.VEERG_15_10_1_1__1_OtherPurchasedGoodsAndServices_Title">_xlfn.LAMBDA("Other purchased goods and services generic estimate")</definedName>
    <definedName name="Scope3_Equations.VEERG_15_10_1_1__1_OtherPurchasedGoodsAndServices_Unit">_xlfn.LAMBDA("t CO2e")</definedName>
    <definedName name="Scope3_Equations.VEERG_15_10_1_1__1_OtherPurchasedGoodsAndServices_Variable">_xlfn.LAMBDA("emissions")</definedName>
    <definedName name="Scope3_Equations.VEERG_15_11_1_1__1_TotalUpstreamEmissionsFromFuel">_xlfn.LAMBDA(_xlpm.E_WTTtransq,_xlpm.E_WTTSCq, _xlpm.E_WTTtransq + _xlpm.E_WTTSCq)</definedName>
    <definedName name="Scope3_Equations.VEERG_15_11_1_1__1_TotalUpstreamEmissionsFromFuel_Arguments">_xlfn.LAMBDA(_xlfn.MAKEARRAY(2, 4, _xlfn.LAMBDA(_xlpm.r,_xlpm.c, INDEX({"E_WTTtransq","upstream emissions from scope 1 transport fuel use","t CO2e","Calculated by 15.11.1.1 (2)";"E_WTTSCq","upstream emissions from scope 1 stationary combustion fuel use","t CO2e","Calculated by 15.11.1.1 (3)"}, _xlpm.r, _xlpm.c))))</definedName>
    <definedName name="Scope3_Equations.VEERG_15_11_1_1__1_TotalUpstreamEmissionsFromFuel_LatexEquation">_xlfn.LAMBDA("E=\sum\nolimits_qE_{WTT,trans,q}+\sum\nolimits_qE_{WTT,SC,q}")</definedName>
    <definedName name="Scope3_Equations.VEERG_15_11_1_1__1_TotalUpstreamEmissionsFromFuel_NIRReference">_xlfn.LAMBDA("")</definedName>
    <definedName name="Scope3_Equations.VEERG_15_11_1_1__1_TotalUpstreamEmissionsFromFuel_Source">_xlfn.LAMBDA("VEERG 2026: 15.11.1.1, Equation (1)")</definedName>
    <definedName name="Scope3_Equations.VEERG_15_11_1_1__1_TotalUpstreamEmissionsFromFuel_Title">_xlfn.LAMBDA("Total upstream emissions from scope 1 fuel consumption")</definedName>
    <definedName name="Scope3_Equations.VEERG_15_11_1_1__1_TotalUpstreamEmissionsFromFuel_Unit">_xlfn.LAMBDA("t CO2e")</definedName>
    <definedName name="Scope3_Equations.VEERG_15_11_1_1__1_TotalUpstreamEmissionsFromFuel_Variable">_xlfn.LAMBDA("E")</definedName>
    <definedName name="Scope3_Equations.VEERG_15_11_1_1__2_UpstreamTransportFuelEmissions">_xlfn.LAMBDA(_xlpm.Q_Transq,_xlpm.EC_Transq,_xlpm.EF_Trans3q, (_xlpm.Q_Transq * _xlpm.EC_Transq * _xlpm.EF_Trans3q) * 10 ^ -3)</definedName>
    <definedName name="Scope3_Equations.VEERG_15_11_1_1__2_UpstreamTransportFuelEmissions_Arguments">_xlfn.LAMBDA(_xlfn.MAKEARRAY(3, 4, _xlfn.LAMBDA(_xlpm.r,_xlpm.c, INDEX({"Q_Transq","amount of fuel q combusted for transport energy purposes","kL","Input";"EC_Transq","energy content factor for transport energy purposes","GJ/kL or GJ/m3","Constant";"EF_Trans3q","scope 3 emission factor for transport energy purposes","kg CO2e/GJ","Constant"}, _xlpm.r, _xlpm.c))))</definedName>
    <definedName name="Scope3_Equations.VEERG_15_11_1_1__2_UpstreamTransportFuelEmissions_LatexEquation">_xlfn.LAMBDA("E_{WTT,trans,q}=Q_{Trans,q}\times EC_{Trans,q}\times EF_{Trans,3,q}\times 10^{-3}")</definedName>
    <definedName name="Scope3_Equations.VEERG_15_11_1_1__2_UpstreamTransportFuelEmissions_NIRReference">_xlfn.LAMBDA("")</definedName>
    <definedName name="Scope3_Equations.VEERG_15_11_1_1__2_UpstreamTransportFuelEmissions_Source">_xlfn.LAMBDA("VEERG 2026: 15.11.1.1, Equation (2)")</definedName>
    <definedName name="Scope3_Equations.VEERG_15_11_1_1__2_UpstreamTransportFuelEmissions_Title">_xlfn.LAMBDA("Upstream emissions from scope 1 fuel use for transport purposes")</definedName>
    <definedName name="Scope3_Equations.VEERG_15_11_1_1__2_UpstreamTransportFuelEmissions_Unit">_xlfn.LAMBDA("t CO2e")</definedName>
    <definedName name="Scope3_Equations.VEERG_15_11_1_1__2_UpstreamTransportFuelEmissions_Variable">_xlfn.LAMBDA("E_WTTtransq")</definedName>
    <definedName name="Scope3_Equations.VEERG_15_11_1_1__3_UpstreamStationaryFuelEmissions">_xlfn.LAMBDA(_xlpm.Q_SCq,_xlpm.EC_SCq,_xlpm.EF_SC3q, (_xlpm.Q_SCq * _xlpm.EC_SCq * _xlpm.EF_SC3q) * 10 ^ -3)</definedName>
    <definedName name="Scope3_Equations.VEERG_15_11_1_1__3_UpstreamStationaryFuelEmissions_Arguments">_xlfn.LAMBDA(_xlfn.MAKEARRAY(5, 4, _xlfn.LAMBDA(_xlpm.r,_xlpm.c, INDEX({"Q_SCq","amount of fuel q used for stationary combustion operations","kL","Input";"EC_SCq","energy content factor for stationary combustion operations","GJ/kL","Constant";"EF_SC3q","scope 3 emission factor for stationary combustion operations","kg CO2e/GJ","Constant";"i","state","","Input";"m","metropolitan/non-metropolitan location","","Input"}, _xlpm.r, _xlpm.c))))</definedName>
    <definedName name="Scope3_Equations.VEERG_15_11_1_1__3_UpstreamStationaryFuelEmissions_LatexEquation">_xlfn.LAMBDA("E_{WTT,SC,q}=Q_{SC,q}\times EC_{SC,q}\times EF_{SC,3,q}\times 10^{-3}")</definedName>
    <definedName name="Scope3_Equations.VEERG_15_11_1_1__3_UpstreamStationaryFuelEmissions_NIRReference">_xlfn.LAMBDA("")</definedName>
    <definedName name="Scope3_Equations.VEERG_15_11_1_1__3_UpstreamStationaryFuelEmissions_Source">_xlfn.LAMBDA("VEERG 2026: 15.11.1.1, Equation (3)")</definedName>
    <definedName name="Scope3_Equations.VEERG_15_11_1_1__3_UpstreamStationaryFuelEmissions_Title">_xlfn.LAMBDA("Upstream emissions from scope 1 stationary combustion fuel use")</definedName>
    <definedName name="Scope3_Equations.VEERG_15_11_1_1__3_UpstreamStationaryFuelEmissions_Unit">_xlfn.LAMBDA("t CO2e")</definedName>
    <definedName name="Scope3_Equations.VEERG_15_11_1_1__3_UpstreamStationaryFuelEmissions_Variable">_xlfn.LAMBDA("E_WTTSCq")</definedName>
    <definedName name="Scope3_Equations.VEERG_15_11_1_1__3_UpstreamStationaryFuelEmissions_Variation">_xlfn.LAMBDA("VARIATION ON SOURCE: Added 'state' and 'metro/non-metro' arguments as gaseous scope 3 EFs are state and metro/non-metro location-based.")</definedName>
    <definedName name="Scope3_Equations.VEERG_15_12_1_1__1_UpstreamPurchasedElectricityLocationBased">_xlfn.LAMBDA(_xlpm.Q_elec,_xlpm.EF_3elec, (_xlpm.Q_elec * _xlpm.EF_3elec) * 10 ^ -3)</definedName>
    <definedName name="Scope3_Equations.VEERG_15_12_1_1__1_UpstreamPurchasedElectricityLocationBased_Arguments" localSheetId="23">_xlfn.LAMBDA(_xlfn.MAKEARRAY(2, 4, _xlfn.LAMBDA(_xlpm.r,_xlpm.c, INDEX({"Q_elec","amount of electricity purchased from the grid","kWh","Input";"EF_3elec","scope 3 emission factor for purchased electricity","kg CO2e/kWh","Constant"}, _xlpm.r, _xlpm.c))))</definedName>
    <definedName name="Scope3_Equations.VEERG_15_12_1_1__1_UpstreamPurchasedElectricityLocationBased_Arguments" localSheetId="24">_xlfn.LAMBDA(_xlfn.MAKEARRAY(2, 4, _xlfn.LAMBDA(_xlpm.r,_xlpm.c, INDEX({"Q_elec","amount of electricity purchased from the grid","kWh","Input";"EF_3elec","scope 3 emission factor for purchased electricity","kg CO2e/kWh","Constant"}, _xlpm.r, _xlpm.c))))</definedName>
    <definedName name="Scope3_Equations.VEERG_15_12_1_1__1_UpstreamPurchasedElectricityLocationBased_Arguments" localSheetId="31">_xlfn.LAMBDA(_xlfn.MAKEARRAY(2, 4, _xlfn.LAMBDA(_xlpm.r,_xlpm.c, INDEX({"Q_elec","amount of electricity purchased from the grid","kWh","Input";"EF_3elec","scope 3 emission factor for purchased electricity","kg CO2e/kWh","Constant"}, _xlpm.r, _xlpm.c))))</definedName>
    <definedName name="Scope3_Equations.VEERG_15_12_1_1__1_UpstreamPurchasedElectricityLocationBased_Arguments" localSheetId="8">_xlfn.LAMBDA(_xlfn.MAKEARRAY(2, 4, _xlfn.LAMBDA(_xlpm.r,_xlpm.c, INDEX({"Q_elec","amount of electricity purchased from the grid","kWh","Input";"EF_3elec","scope 3 emission factor for purchased electricity","kg CO2e/kWh","Constant"}, _xlpm.r, _xlpm.c))))</definedName>
    <definedName name="Scope3_Equations.VEERG_15_12_1_1__1_UpstreamPurchasedElectricityLocationBased_Arguments">_xlfn.LAMBDA(_xlfn.MAKEARRAY(3, 4, _xlfn.LAMBDA(_xlpm.r,_xlpm.c, INDEX({"Q_elec","amount of electricity purchased from the grid","kWh","Input";"EF_3elec","scope 3 emission factor for purchased electricity","kg CO2e/kWh","Constant";"g","grid electricity was purchased from","","Input"}, _xlpm.r, _xlpm.c))))</definedName>
    <definedName name="Scope3_Equations.VEERG_15_12_1_1__1_UpstreamPurchasedElectricityLocationBased_LatexEquation">_xlfn.LAMBDA("E_{3,elec}=Q_{elec}\times EF_{3,elec}\times 10^{-3}")</definedName>
    <definedName name="Scope3_Equations.VEERG_15_12_1_1__1_UpstreamPurchasedElectricityLocationBased_NIRReference">_xlfn.LAMBDA("")</definedName>
    <definedName name="Scope3_Equations.VEERG_15_12_1_1__1_UpstreamPurchasedElectricityLocationBased_Source">_xlfn.LAMBDA("VEERG 2026: 15.12.1.1, Equation (1)")</definedName>
    <definedName name="Scope3_Equations.VEERG_15_12_1_1__1_UpstreamPurchasedElectricityLocationBased_Title">_xlfn.LAMBDA("Scope 3 emissions from purchased electricity location based")</definedName>
    <definedName name="Scope3_Equations.VEERG_15_12_1_1__1_UpstreamPurchasedElectricityLocationBased_Unit">_xlfn.LAMBDA("t CO2e")</definedName>
    <definedName name="Scope3_Equations.VEERG_15_12_1_1__1_UpstreamPurchasedElectricityLocationBased_Variable">_xlfn.LAMBDA("E_3elec")</definedName>
    <definedName name="Scope3_Equations.VEERG_15_12_1_2__1_UpstreamPurchasedElectricityMarketBased">_xlfn.LAMBDA(_xlpm.Q_elec,_xlpm.RPP,_xlpm.JRPP,_xlpm.REC_surrendered,_xlpm.REC_onsite,_xlpm.EF_RMF3elec, ((_xlpm.Q_elec * (1 - (_xlpm.RPP + _xlpm.JRPP))) - ((_xlpm.REC_surrendered - _xlpm.REC_onsite) * 10 ^ -3)) * _xlpm.EF_RMF3elec * 10 ^ -3)</definedName>
    <definedName name="Scope3_Equations.VEERG_15_12_1_2__1_UpstreamPurchasedElectricityMarketBased_Arguments" localSheetId="23">_xlfn.LAMBDA(_xlfn.MAKEARRAY(6,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 _xlpm.r, _xlpm.c))))</definedName>
    <definedName name="Scope3_Equations.VEERG_15_12_1_2__1_UpstreamPurchasedElectricityMarketBased_Arguments" localSheetId="24">_xlfn.LAMBDA(_xlfn.MAKEARRAY(6,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 _xlpm.r, _xlpm.c))))</definedName>
    <definedName name="Scope3_Equations.VEERG_15_12_1_2__1_UpstreamPurchasedElectricityMarketBased_Arguments" localSheetId="31">_xlfn.LAMBDA(_xlfn.MAKEARRAY(6,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 _xlpm.r, _xlpm.c))))</definedName>
    <definedName name="Scope3_Equations.VEERG_15_12_1_2__1_UpstreamPurchasedElectricityMarketBased_Arguments" localSheetId="8">_xlfn.LAMBDA(_xlfn.MAKEARRAY(6,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 _xlpm.r, _xlpm.c))))</definedName>
    <definedName name="Scope3_Equations.VEERG_15_12_1_2__1_UpstreamPurchasedElectricityMarketBased_Arguments">_xlfn.LAMBDA(_xlfn.MAKEARRAY(7,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definedName>
    <definedName name="Scope3_Equations.VEERG_15_12_1_2__1_UpstreamPurchasedElectricityMarketBased_LatexEquation" localSheetId="23">_xlfn.LAMBDA("E_{3,elec}=\left[Q_{elec}\times\left(1-(RPP+JRPP)\right)-\left(REC_{surrendered}-REC_{onsite}\right)\times 10^{-3}\right]\times EF_{RMF3,elec}\times 10^{-3}")</definedName>
    <definedName name="Scope3_Equations.VEERG_15_12_1_2__1_UpstreamPurchasedElectricityMarketBased_LatexEquation" localSheetId="24">_xlfn.LAMBDA("E_{3,elec}=\left[Q_{elec}\times\left(1-(RPP+JRPP)\right)-\left(REC_{surrendered}-REC_{onsite}\right)\times 10^{-3}\right]\times EF_{RMF3,elec}\times 10^{-3}")</definedName>
    <definedName name="Scope3_Equations.VEERG_15_12_1_2__1_UpstreamPurchasedElectricityMarketBased_LatexEquation" localSheetId="31">_xlfn.LAMBDA("E_{3,elec}=\left[Q_{elec}\times\left(1-(RPP+JRPP)\right)-\left(REC_{surrendered}-REC_{onsite}\right)\times 10^{-3}\right]\times EF_{RMF3,elec}\times 10^{-3}")</definedName>
    <definedName name="Scope3_Equations.VEERG_15_12_1_2__1_UpstreamPurchasedElectricityMarketBased_LatexEquation" localSheetId="8">_xlfn.LAMBDA("E_{3,elec}=\left[Q_{elec}\times\left(1-(RPP+JRPP)\right)-\left(REC_{surrendered}-REC_{onsite}\right)\times 10^{-3}\right]\times EF_{RMF3,elec}\times 10^{-3}")</definedName>
    <definedName name="Scope3_Equations.VEERG_15_12_1_2__1_UpstreamPurchasedElectricityMarketBased_LatexEquation">_xlfn.LAMBDA("E_{3,elec}= [ Q_{elec}\times\left(1-(RPP+JRPP)\right)-\left\left((REC_{surrendered}-REC_{onsite}\right)\times 10^{-3}\right)\right]\times EF_{RMF3,elec}\times 10^{-3}")</definedName>
    <definedName name="Scope3_Equations.VEERG_15_12_1_2__1_UpstreamPurchasedElectricityMarketBased_LatexEquationVariation">_xlfn.LAMBDA("E_{3,elec}= [ Q_{elec}\times\left(1-(RPP+JRPP)\right)-\left\left((REC_{surrendered}-REC_{onsite}\right)\times 10^{3}\right)\right]\times EF_{RMF3,elec}\times 10^{-3}")</definedName>
    <definedName name="Scope3_Equations.VEERG_15_12_1_2__1_UpstreamPurchasedElectricityMarketBased_NIRReference">_xlfn.LAMBDA("")</definedName>
    <definedName name="Scope3_Equations.VEERG_15_12_1_2__1_UpstreamPurchasedElectricityMarketBased_Source">_xlfn.LAMBDA("VEERG 2026: 15.12.1.2, Equation (1)")</definedName>
    <definedName name="Scope3_Equations.VEERG_15_12_1_2__1_UpstreamPurchasedElectricityMarketBased_Title">_xlfn.LAMBDA("Scope 3 emissions from purchased electricity market based")</definedName>
    <definedName name="Scope3_Equations.VEERG_15_12_1_2__1_UpstreamPurchasedElectricityMarketBased_Unit">_xlfn.LAMBDA("t CO2e")</definedName>
    <definedName name="Scope3_Equations.VEERG_15_12_1_2__1_UpstreamPurchasedElectricityMarketBased_Variable">_xlfn.LAMBDA("E_3elec")</definedName>
    <definedName name="Scope3_Equations.VEERG_15_12_1_2__1_UpstreamPurchasedElectricityMarketBased_Variation">_xlfn.LAMBDA("VARIATION ON SOURCE: In order to convert megawatt hours to kilowatt hours, the REC_surrendered and REC_onsite variables are multiplied by 10^3 instead of 10^-3.")</definedName>
    <definedName name="Scope3_Equations.VEERG_15_12_1_2__1_UpstreamPurchasedElectricityMarketBasedVariation">_xlfn.LAMBDA(_xlpm.Q_elec,_xlpm.RPP,_xlpm.JRPP,_xlpm.REC_surrendered,_xlpm.REC_onsite,_xlpm.EF_RMF3elec, ((_xlpm.Q_elec * (1 - (_xlpm.RPP + _xlpm.JRPP))) - ((_xlpm.REC_surrendered - _xlpm.REC_onsite) * 10 ^ 3)) * _xlpm.EF_RMF3elec * 10 ^ -3)</definedName>
    <definedName name="Scope3_Equations.VEERG_15_13_1_1__1_EmissionsFromManureSentOffSite">_xlfn.LAMBDA(_xlpm.E_N2O,_xlpm.E_ad,_xlpm.E_leach, _xlpm.E_N2O + _xlpm.E_ad + _xlpm.E_leach)</definedName>
    <definedName name="Scope3_Equations.VEERG_15_13_1_1__1_EmissionsFromManureSentOffSite_Arguments">_xlfn.LAMBDA(_xlfn.MAKEARRAY(3, 4, _xlfn.LAMBDA(_xlpm.r,_xlpm.c, INDEX({"E_N2O","direct nitrous oxide emissions from application of manure to soils outside of scope 1 boundary","t N2O","Calculated";"E_ad","nitrous oxide emissions from atmospheric deposition of manure to soils","t N2O","Calculated";"E_leach","nitrous oxide emissions from nitrogen leaching and runoff of manure to soils","t N2O","Calculated"}, _xlpm.r, _xlpm.c))))</definedName>
    <definedName name="Scope3_Equations.VEERG_15_13_1_1__1_EmissionsFromManureSentOffSite_LatexEquation">_xlfn.LAMBDA("E=E_{N2O}+E_{ad}+E_{leach}")</definedName>
    <definedName name="Scope3_Equations.VEERG_15_13_1_1__1_EmissionsFromManureSentOffSite_NIRReference">_xlfn.LAMBDA("")</definedName>
    <definedName name="Scope3_Equations.VEERG_15_13_1_1__1_EmissionsFromManureSentOffSite_Source">_xlfn.LAMBDA("VEERG 2026: 15.13.1.1, Equation (1)")</definedName>
    <definedName name="Scope3_Equations.VEERG_15_13_1_1__1_EmissionsFromManureSentOffSite_Title">_xlfn.LAMBDA("Emissions from manure sent off site applied to soils in another farming system or enterprise")</definedName>
    <definedName name="Scope3_Equations.VEERG_15_13_1_1__1_EmissionsFromManureSentOffSite_Unit">_xlfn.LAMBDA("t N2O")</definedName>
    <definedName name="Scope3_Equations.VEERG_15_13_1_1__1_EmissionsFromManureSentOffSite_Variable">_xlfn.LAMBDA("E")</definedName>
    <definedName name="Scope3_Equations.VEERG_15_13_1_3__1_EmissionsFromSolidWasteTreatmentFacility">_xlfn.LAMBDA(_xlpm.E_N2O,_xlpm.E_ad,_xlpm.E_leach, _xlpm.E_N2O + _xlpm.E_ad + _xlpm.E_leach)</definedName>
    <definedName name="Scope3_Equations.VEERG_15_13_1_3__1_EmissionsFromSolidWasteTreatmentFacility_Arguments">_xlfn.LAMBDA("")</definedName>
    <definedName name="Scope3_Equations.VEERG_15_13_1_3__1_EmissionsFromSolidWasteTreatmentFacility_LatexEquation">_xlfn.LAMBDA("")</definedName>
    <definedName name="Scope3_Equations.VEERG_15_13_1_3__1_EmissionsFromSolidWasteTreatmentFacility_NIRReference">_xlfn.LAMBDA("")</definedName>
    <definedName name="Scope3_Equations.VEERG_15_13_1_3__1_EmissionsFromSolidWasteTreatmentFacility_Source">_xlfn.LAMBDA("VEERG 2026: 15.13.1.3")</definedName>
    <definedName name="Scope3_Equations.VEERG_15_13_1_3__1_EmissionsFromSolidWasteTreatmentFacility_Title">_xlfn.LAMBDA("Emissions from solid waste sent to a treatment facility")</definedName>
    <definedName name="Scope3_Equations.VEERG_15_13_1_3__1_EmissionsFromSolidWasteTreatmentFacility_Unit">_xlfn.LAMBDA("t CO2e")</definedName>
    <definedName name="Scope3_Equations.VEERG_15_13_1_3__1_EmissionsFromSolidWasteTreatmentFacility_Variable">_xlfn.LAMBDA("E")</definedName>
    <definedName name="Scope3_Equations.VEERG_15_14_1_1__1_EmbeddedEmissionsFromUpstreamFreight">_xlfn.LAMBDA(_xlpm.W_f,_xlpm.D_f,_xlpm.EF_f, (_xlpm.W_f * _xlpm.D_f) * _xlpm.EF_f)</definedName>
    <definedName name="Scope3_Equations.VEERG_15_14_1_1__1_EmbeddedEmissionsFromUpstreamFreight_Arguments">_xlfn.LAMBDA(_xlfn.MAKEARRAY(4, 4, _xlfn.LAMBDA(_xlpm.r,_xlpm.c, INDEX({"W_f","total mass of goods transported per freight type f","t","Input";"D_f","total distance transported per freight type f","km","Input";"EF_f","emission factor for freight type f","t CO2e/(t km)","Constant";"f","freight type","","Input"}, _xlpm.r, _xlpm.c))))</definedName>
    <definedName name="Scope3_Equations.VEERG_15_14_1_1__1_EmbeddedEmissionsFromUpstreamFreight_LatexEquation">_xlfn.LAMBDA("E=\sum\nolimits_f\left((W_f\times D_f)\times EF_f\right)")</definedName>
    <definedName name="Scope3_Equations.VEERG_15_14_1_1__1_EmbeddedEmissionsFromUpstreamFreight_NIRReference">_xlfn.LAMBDA("")</definedName>
    <definedName name="Scope3_Equations.VEERG_15_14_1_1__1_EmbeddedEmissionsFromUpstreamFreight_Source">_xlfn.LAMBDA("VEERG 2026: 15.14.1.1, Equation (1)")</definedName>
    <definedName name="Scope3_Equations.VEERG_15_14_1_1__1_EmbeddedEmissionsFromUpstreamFreight_Title">_xlfn.LAMBDA("Embedded emissions from upstream freight")</definedName>
    <definedName name="Scope3_Equations.VEERG_15_14_1_1__1_EmbeddedEmissionsFromUpstreamFreight_Unit">_xlfn.LAMBDA("t CO2e")</definedName>
    <definedName name="Scope3_Equations.VEERG_15_14_1_1__1_EmbeddedEmissionsFromUpstreamFreight_Variable">_xlfn.LAMBDA("E")</definedName>
    <definedName name="Scope3_Equations.VEERG_15_2_1_1__1_EmissionsFromPurchasedFeed">_xlfn.LAMBDA(_xlpm.Q_j,_xlpm.EF_j, _xlpm.Q_j * _xlpm.EF_j)</definedName>
    <definedName name="Scope3_Equations.VEERG_15_2_1_1__1_EmissionsFromPurchasedFeed_Arguments">_xlfn.LAMBDA(_xlfn.MAKEARRAY(3, 4, _xlfn.LAMBDA(_xlpm.r,_xlpm.c, INDEX({"Q_j","quantity of feed type j purchased","t","Input";"EF_j","emission factor of purchased feed","kg CO2e/kg","Constant";"j","feed type","","Input"}, _xlpm.r, _xlpm.c))))</definedName>
    <definedName name="Scope3_Equations.VEERG_15_2_1_1__1_EmissionsFromPurchasedFeed_LatexEquation">_xlfn.LAMBDA("E=\sum\nolimits_j\left(Q_j\times EF_j\right)")</definedName>
    <definedName name="Scope3_Equations.VEERG_15_2_1_1__1_EmissionsFromPurchasedFeed_NIRReference">_xlfn.LAMBDA("")</definedName>
    <definedName name="Scope3_Equations.VEERG_15_2_1_1__1_EmissionsFromPurchasedFeed_Source">_xlfn.LAMBDA("VEERG 2026: 15.2.1.1, Equation (1)")</definedName>
    <definedName name="Scope3_Equations.VEERG_15_2_1_1__1_EmissionsFromPurchasedFeed_Title">_xlfn.LAMBDA("Emissions from purchased feed")</definedName>
    <definedName name="Scope3_Equations.VEERG_15_2_1_1__1_EmissionsFromPurchasedFeed_Unit">_xlfn.LAMBDA("t CO2e")</definedName>
    <definedName name="Scope3_Equations.VEERG_15_2_1_1__1_EmissionsFromPurchasedFeed_Variable">_xlfn.LAMBDA("E")</definedName>
    <definedName name="Scope3_Equations.VEERG_15_3_1_1__1_EmissionsFromPurchasedMineralSupplements">_xlfn.LAMBDA(_xlpm.Q_m,_xlpm.EF_m, _xlpm.Q_m * _xlpm.EF_m)</definedName>
    <definedName name="Scope3_Equations.VEERG_15_3_1_1__1_EmissionsFromPurchasedMineralSupplements_Arguments">_xlfn.LAMBDA(_xlfn.MAKEARRAY(3, 4, _xlfn.LAMBDA(_xlpm.r,_xlpm.c, INDEX({"Q_m","total quantity of mineral supplement type m used","t","Input";"EF_m","emission factor of purchased mineral supplement","kg CO2e/kg","Constant";"m","mineral supplement type","","Input"}, _xlpm.r, _xlpm.c))))</definedName>
    <definedName name="Scope3_Equations.VEERG_15_3_1_1__1_EmissionsFromPurchasedMineralSupplements_LatexEquation">_xlfn.LAMBDA("E=\sum\nolimits_m\left(Q_m\times EF_m\right)")</definedName>
    <definedName name="Scope3_Equations.VEERG_15_3_1_1__1_EmissionsFromPurchasedMineralSupplements_NIRReference">_xlfn.LAMBDA("")</definedName>
    <definedName name="Scope3_Equations.VEERG_15_3_1_1__1_EmissionsFromPurchasedMineralSupplements_Source">_xlfn.LAMBDA("VEERG 2026: 15.3.1.1, Equation (1)")</definedName>
    <definedName name="Scope3_Equations.VEERG_15_3_1_1__1_EmissionsFromPurchasedMineralSupplements_Title">_xlfn.LAMBDA("Total emissions from purchased mineral supplements")</definedName>
    <definedName name="Scope3_Equations.VEERG_15_3_1_1__1_EmissionsFromPurchasedMineralSupplements_Unit">_xlfn.LAMBDA("t CO2e")</definedName>
    <definedName name="Scope3_Equations.VEERG_15_3_1_1__1_EmissionsFromPurchasedMineralSupplements_Variable">_xlfn.LAMBDA("E")</definedName>
    <definedName name="Scope3_Equations.VEERG_15_4_1_1__1_EmissionsFromPurchasedFertiliser">_xlfn.LAMBDA(_xlpm.TM_jf,_xlpm.EF_f, (_xlpm.TM_jf * _xlpm.EF_f) * 10 ^ -3)</definedName>
    <definedName name="Scope3_Equations.VEERG_15_4_1_1__1_EmissionsFromPurchasedFertiliser_Arguments">_xlfn.LAMBDA(_xlfn.MAKEARRAY(4, 4, _xlfn.LAMBDA(_xlpm.r,_xlpm.c, INDEX({"TM_jf","quantity of inorganic fertiliser type f purchased and applied to production system j","kg","Input";"EF_f","emission factor of purchased inorganic fertiliser","kg CO2e/kg","Constant";"j","production system","","Input";"f","inorganic fertiliser type","","Input"}, _xlpm.r, _xlpm.c))))</definedName>
    <definedName name="Scope3_Equations.VEERG_15_4_1_1__1_EmissionsFromPurchasedFertiliser_LatexEquation">_xlfn.LAMBDA("E=\sum\nolimits_f\sum\nolimits_j\left(TM_{jf}\times EF_f\right)\times 10^{-3}")</definedName>
    <definedName name="Scope3_Equations.VEERG_15_4_1_1__1_EmissionsFromPurchasedFertiliser_NIRReference">_xlfn.LAMBDA("")</definedName>
    <definedName name="Scope3_Equations.VEERG_15_4_1_1__1_EmissionsFromPurchasedFertiliser_Source">_xlfn.LAMBDA("VEERG 2026: 15.4.1.1, Equation (1)")</definedName>
    <definedName name="Scope3_Equations.VEERG_15_4_1_1__1_EmissionsFromPurchasedFertiliser_Title">_xlfn.LAMBDA("Emissions from purchased fertiliser")</definedName>
    <definedName name="Scope3_Equations.VEERG_15_4_1_1__1_EmissionsFromPurchasedFertiliser_Unit">_xlfn.LAMBDA("t CO2e")</definedName>
    <definedName name="Scope3_Equations.VEERG_15_4_1_1__1_EmissionsFromPurchasedFertiliser_Variable">_xlfn.LAMBDA("E")</definedName>
    <definedName name="Scope3_Equations.VEERG_15_4_1_1__2_EmissionsFromPurchasedFertiliserComponents">_xlfn.LAMBDA(_xlpm.F_cf,_xlpm.TM_jf,_xlpm.EF_c, ((_xlpm.F_cf * _xlpm.TM_jf) / 100) * _xlpm.EF_c)</definedName>
    <definedName name="Scope3_Equations.VEERG_15_4_1_1__2_EmissionsFromPurchasedFertiliserComponents_Arguments">_xlfn.LAMBDA(_xlfn.MAKEARRAY(6, 4, _xlfn.LAMBDA(_xlpm.r,_xlpm.c, INDEX({"F_cf","fraction of component c contained within the inorganic fertiliser f","wt%","Input";"TM_jf","quantity of inorganic fertiliser type f purchased and applied to production system j","kg","Input";"EF_c","emission factor for the production of component c","kg CO2e/kg component","Constant";"c","fertiliser component","","Input";"f","inorganic fertiliser type","","Input";"j","production system","","Input"}, _xlpm.r, _xlpm.c))))</definedName>
    <definedName name="Scope3_Equations.VEERG_15_4_1_1__2_EmissionsFromPurchasedFertiliserComponents_LatexEquation">_xlfn.LAMBDA("E=\sum\nolimits_f\sum\nolimits_c\sum\nolimits_j\left(\frac{F_{cf}\times TM_{jf}}{100}\times EF_c\right)")</definedName>
    <definedName name="Scope3_Equations.VEERG_15_4_1_1__2_EmissionsFromPurchasedFertiliserComponents_LatexEquationVariation">_xlfn.LAMBDA("E=\sum\nolimits_f\sum\nolimits_c\sum\nolimits_j\left(F_{cf}\times TM_{jf}\times EF_c\right)\times 10^{-3}")</definedName>
    <definedName name="Scope3_Equations.VEERG_15_4_1_1__2_EmissionsFromPurchasedFertiliserComponents_NIRReference">_xlfn.LAMBDA("")</definedName>
    <definedName name="Scope3_Equations.VEERG_15_4_1_1__2_EmissionsFromPurchasedFertiliserComponents_Source">_xlfn.LAMBDA("VEERG 2026: 15.4.1.1, Equation (2)")</definedName>
    <definedName name="Scope3_Equations.VEERG_15_4_1_1__2_EmissionsFromPurchasedFertiliserComponents_Title">_xlfn.LAMBDA("Emissions from purchased fertiliser components")</definedName>
    <definedName name="Scope3_Equations.VEERG_15_4_1_1__2_EmissionsFromPurchasedFertiliserComponents_Unit">_xlfn.LAMBDA("t CO2e")</definedName>
    <definedName name="Scope3_Equations.VEERG_15_4_1_1__2_EmissionsFromPurchasedFertiliserComponents_Variable">_xlfn.LAMBDA("E")</definedName>
    <definedName name="Scope3_Equations.VEERG_15_4_1_1__2_EmissionsFromPurchasedFertiliserComponents_Variation">_xlfn.LAMBDA("VARIATION ON SOURCE: removes division by 100 for F_cf, treating F_cf as fraction instead of percent because it is a fraction in scope 1 equations. Convert kg to tonnes by mutiplying by 10^-3.")</definedName>
    <definedName name="Scope3_Equations.VEERG_15_4_1_1__2_EmissionsFromPurchasedFertiliserComponentsVariation">_xlfn.LAMBDA(_xlpm.F_cf,_xlpm.TM_jf,_xlpm.EF_c, (_xlpm.F_cf * _xlpm.TM_jf) * _xlpm.EF_c * 10 ^ -3)</definedName>
    <definedName name="Scope3_Equations.VEERG_15_4_1_1__X_EmissionFactorFromPurchasedFertiliserComponents">_xlfn.LAMBDA(_xlpm.F_cf,_xlpm.EF_c, _xlpm.F_cf * _xlpm.EF_c)</definedName>
    <definedName name="Scope3_Equations.VEERG_15_4_1_1__X_EmissionFactorFromPurchasedFertiliserComponents_Arguments">_xlfn.LAMBDA(_xlfn.MAKEARRAY(4, 4, _xlfn.LAMBDA(_xlpm.r,_xlpm.c, INDEX({"F_cf","fraction of component c contained within the inorganic fertiliser f","wt%","Input";"EF_c","emission factor for the production of component c","kg CO2e/kg component","Constant";"c","fertiliser component","","Input";"f","inorganic fertiliser type","","Input"}, _xlpm.r, _xlpm.c))))</definedName>
    <definedName name="Scope3_Equations.VEERG_15_4_1_1__X_EmissionFactorFromPurchasedFertiliserComponents_LatexEquation">_xlfn.LAMBDA("EF_f=\sum\nolimits_c\left(F_{cf}\times EF_c\right)")</definedName>
    <definedName name="Scope3_Equations.VEERG_15_4_1_1__X_EmissionFactorFromPurchasedFertiliserComponents_NIRReference">_xlfn.LAMBDA("")</definedName>
    <definedName name="Scope3_Equations.VEERG_15_4_1_1__X_EmissionFactorFromPurchasedFertiliserComponents_Source">_xlfn.LAMBDA("GAF")</definedName>
    <definedName name="Scope3_Equations.VEERG_15_4_1_1__X_EmissionFactorFromPurchasedFertiliserComponents_Title">_xlfn.LAMBDA("Emission factor for fertiliser product derived from components")</definedName>
    <definedName name="Scope3_Equations.VEERG_15_4_1_1__X_EmissionFactorFromPurchasedFertiliserComponents_Unit">_xlfn.LAMBDA("kg CO2e/kg fertiliser")</definedName>
    <definedName name="Scope3_Equations.VEERG_15_4_1_1__X_EmissionFactorFromPurchasedFertiliserComponents_Variable">_xlfn.LAMBDA("EF_f")</definedName>
    <definedName name="Scope3_Equations.VEERG_15_4_1_1__X_EmissionFactorFromPurchasedFertiliserComponents_Variation">_xlfn.LAMBDA("VARIATION ON SOURCE: This equation is added to calculate an EF value from fertiliser components that can be used in 15.4.1.1 (1)")</definedName>
    <definedName name="Scope3_Equations.VEERG_15_5_1_1__1_EmissionsFromPurchasedAgrichemicals">_xlfn.LAMBDA(_xlpm.Q_h,_xlpm.EF_h, (_xlpm.Q_h * _xlpm.EF_h) * 10 ^ -3)</definedName>
    <definedName name="Scope3_Equations.VEERG_15_5_1_1__1_EmissionsFromPurchasedAgrichemicals_Arguments">_xlfn.LAMBDA(_xlfn.MAKEARRAY(3, 4, _xlfn.LAMBDA(_xlpm.r,_xlpm.c, INDEX({"Q_h","quantity of active ingredients in agrichemical type h purchased and applied to soils","kg ai","Input";"EF_h","emission factor for purchased agrichemical active ingredient","kg CO2e/kg ai","Constant";"h","agrichemical type","","Input"}, _xlpm.r, _xlpm.c))))</definedName>
    <definedName name="Scope3_Equations.VEERG_15_5_1_1__1_EmissionsFromPurchasedAgrichemicals_LatexEquation">_xlfn.LAMBDA("E=\sum\nolimits_h\left(Q_h\times EF_h\right)\times 10^{-3}")</definedName>
    <definedName name="Scope3_Equations.VEERG_15_5_1_1__1_EmissionsFromPurchasedAgrichemicals_NIRReference">_xlfn.LAMBDA("")</definedName>
    <definedName name="Scope3_Equations.VEERG_15_5_1_1__1_EmissionsFromPurchasedAgrichemicals_Source">_xlfn.LAMBDA("VEERG 2026: 15.5.1.1, Equation (1)")</definedName>
    <definedName name="Scope3_Equations.VEERG_15_5_1_1__1_EmissionsFromPurchasedAgrichemicals_Title">_xlfn.LAMBDA("Total emissions from purchased agrichemicals")</definedName>
    <definedName name="Scope3_Equations.VEERG_15_5_1_1__1_EmissionsFromPurchasedAgrichemicals_Unit">_xlfn.LAMBDA("t CO2e")</definedName>
    <definedName name="Scope3_Equations.VEERG_15_5_1_1__1_EmissionsFromPurchasedAgrichemicals_Variable">_xlfn.LAMBDA("E")</definedName>
    <definedName name="Scope3_Equations.VEERG_15_6_1_1__1_EmissionsFromPurchasedLime">_xlfn.LAMBDA(_xlpm.M_lime,_xlpm.EF_l, _xlpm.M_lime * _xlpm.EF_l)</definedName>
    <definedName name="Scope3_Equations.VEERG_15_6_1_1__1_EmissionsFromPurchasedLime_Arguments">_xlfn.LAMBDA(_xlfn.MAKEARRAY(2, 4, _xlfn.LAMBDA(_xlpm.r,_xlpm.c, INDEX({"M_lime","total quantity of lime applied to soils","t","Input";"EF_l","emission factor for purchased lime","t CO2e/t","Constant"}, _xlpm.r, _xlpm.c))))</definedName>
    <definedName name="Scope3_Equations.VEERG_15_6_1_1__1_EmissionsFromPurchasedLime_LatexEquation">_xlfn.LAMBDA("E=M_{lime}\times EF_l")</definedName>
    <definedName name="Scope3_Equations.VEERG_15_6_1_1__1_EmissionsFromPurchasedLime_NIRReference">_xlfn.LAMBDA("")</definedName>
    <definedName name="Scope3_Equations.VEERG_15_6_1_1__1_EmissionsFromPurchasedLime_Source">_xlfn.LAMBDA("VEERG 2026: 15.6.1.1, Equation (1)")</definedName>
    <definedName name="Scope3_Equations.VEERG_15_6_1_1__1_EmissionsFromPurchasedLime_Title">_xlfn.LAMBDA("Embedded emissions for purchased lime")</definedName>
    <definedName name="Scope3_Equations.VEERG_15_6_1_1__1_EmissionsFromPurchasedLime_Unit">_xlfn.LAMBDA("t CO2e")</definedName>
    <definedName name="Scope3_Equations.VEERG_15_6_1_1__1_EmissionsFromPurchasedLime_Variable">_xlfn.LAMBDA("E")</definedName>
    <definedName name="Scope3_Equations.VEERG_15_7_1_1__1_EmissionsFromPurchasedServices">_xlfn.LAMBDA(_xlpm.A_p,_xlpm.EF_p, (_xlpm.A_p * _xlpm.EF_p) * 10 ^ -3)</definedName>
    <definedName name="Scope3_Equations.VEERG_15_7_1_1__1_EmissionsFromPurchasedServices_Arguments">_xlfn.LAMBDA(_xlfn.MAKEARRAY(3, 4, _xlfn.LAMBDA(_xlpm.r,_xlpm.c, INDEX({"A_p","activity data of the service that was purchased","ha or h","Input";"EF_p","life cycle emission factor for the purchased service","kg CO2e/ha or kg CO2e/h","Constant";"p","service type","","Input"}, _xlpm.r, _xlpm.c))))</definedName>
    <definedName name="Scope3_Equations.VEERG_15_7_1_1__1_EmissionsFromPurchasedServices_LatexEquation">_xlfn.LAMBDA("E=\sum\nolimits_p\left(A_p\times EF_p\right)\times 10^{-3}")</definedName>
    <definedName name="Scope3_Equations.VEERG_15_7_1_1__1_EmissionsFromPurchasedServices_NIRReference">_xlfn.LAMBDA("")</definedName>
    <definedName name="Scope3_Equations.VEERG_15_7_1_1__1_EmissionsFromPurchasedServices_Source">_xlfn.LAMBDA("VEERG 2026: 15.7.1.1, Equation (1)")</definedName>
    <definedName name="Scope3_Equations.VEERG_15_7_1_1__1_EmissionsFromPurchasedServices_Title">_xlfn.LAMBDA("Emissions of purchased services and contractor operations")</definedName>
    <definedName name="Scope3_Equations.VEERG_15_7_1_1__1_EmissionsFromPurchasedServices_Unit">_xlfn.LAMBDA("t CO2e")</definedName>
    <definedName name="Scope3_Equations.VEERG_15_7_1_1__1_EmissionsFromPurchasedServices_Variable">_xlfn.LAMBDA("E")</definedName>
    <definedName name="Scope3_Equations.VEERG_15_8_1_1__1_EmissionsFromPurchasedPackaging">_xlfn.LAMBDA(_xlpm.Q_p,_xlpm.EF_p, (_xlpm.Q_p * _xlpm.EF_p) * 10 ^ -3)</definedName>
    <definedName name="Scope3_Equations.VEERG_15_8_1_1__1_EmissionsFromPurchasedPackaging_Arguments">_xlfn.LAMBDA(_xlfn.MAKEARRAY(3, 4, _xlfn.LAMBDA(_xlpm.r,_xlpm.c, INDEX({"Q_p","units of packaging type p","units","Input";"EF_p","emission factor for packaging type p","kg CO2e/unit","Constant";"p","packaging type","","Input"}, _xlpm.r, _xlpm.c))))</definedName>
    <definedName name="Scope3_Equations.VEERG_15_8_1_1__1_EmissionsFromPurchasedPackaging_LatexEquation">_xlfn.LAMBDA("E=\sum\nolimits_p\left(Q_p\times EF_p\right)\times 10^{-3}")</definedName>
    <definedName name="Scope3_Equations.VEERG_15_8_1_1__1_EmissionsFromPurchasedPackaging_NIRReference">_xlfn.LAMBDA("")</definedName>
    <definedName name="Scope3_Equations.VEERG_15_8_1_1__1_EmissionsFromPurchasedPackaging_Source">_xlfn.LAMBDA("VEERG 2026: 15.8.1.1, Equation (1)")</definedName>
    <definedName name="Scope3_Equations.VEERG_15_8_1_1__1_EmissionsFromPurchasedPackaging_Title">_xlfn.LAMBDA("Embedded emissions from use of packaging materials")</definedName>
    <definedName name="Scope3_Equations.VEERG_15_8_1_1__1_EmissionsFromPurchasedPackaging_Unit">_xlfn.LAMBDA("t CO2e")</definedName>
    <definedName name="Scope3_Equations.VEERG_15_8_1_1__1_EmissionsFromPurchasedPackaging_Variable">_xlfn.LAMBDA("E")</definedName>
    <definedName name="Scope3_Equations.VEERG_15_8_1_1__1_EmissionsFromPurchasedPackaging_Variation">_xlfn.LAMBDA("VARIATION ON SOURCE: Changed unit of Q from 'units' to 'kg' as EF data is in kg.")</definedName>
    <definedName name="Scope3_Equations.VEERG_15_9_1_1__1_EmissionsFromPurchasedGrowMedia">_xlfn.LAMBDA(_xlpm.Q_g,_xlpm.EF_g, (_xlpm.Q_g * _xlpm.EF_g) * 10 ^ -3)</definedName>
    <definedName name="Scope3_Equations.VEERG_15_9_1_1__1_EmissionsFromPurchasedGrowMedia_Arguments">_xlfn.LAMBDA(_xlfn.MAKEARRAY(3, 4, _xlfn.LAMBDA(_xlpm.r,_xlpm.c, INDEX({"Q_g","total quantity of grow media type g","kg or m3","Input";"EF_g","emission factor for grow media type g","kg CO2e/kg or kg CO2e/m3","Constant";"g","grow media type","","Input"}, _xlpm.r, _xlpm.c))))</definedName>
    <definedName name="Scope3_Equations.VEERG_15_9_1_1__1_EmissionsFromPurchasedGrowMedia_LatexEquation">_xlfn.LAMBDA("E=\sum\nolimits_g\left(Q_g\times EF_g\right)\times 10^{-3}")</definedName>
    <definedName name="Scope3_Equations.VEERG_15_9_1_1__1_EmissionsFromPurchasedGrowMedia_NIRReference">_xlfn.LAMBDA("")</definedName>
    <definedName name="Scope3_Equations.VEERG_15_9_1_1__1_EmissionsFromPurchasedGrowMedia_Source">_xlfn.LAMBDA("VEERG 2026: 15.9.1.1, Equation (1)")</definedName>
    <definedName name="Scope3_Equations.VEERG_15_9_1_1__1_EmissionsFromPurchasedGrowMedia_Title">_xlfn.LAMBDA("Embedded emissions from use of grow media products")</definedName>
    <definedName name="Scope3_Equations.VEERG_15_9_1_1__1_EmissionsFromPurchasedGrowMedia_Unit">_xlfn.LAMBDA("t CO2e")</definedName>
    <definedName name="Scope3_Equations.VEERG_15_9_1_1__1_EmissionsFromPurchasedGrowMedia_Variable">_xlfn.LAMBDA("E")</definedName>
    <definedName name="Scope3_InputFunctions.GetLiveweight_PastureBeef">_xlfn.LAMBDA(_xlpm.PurchaseDate,_xlpm.LivestockClass,_xlpm.SourceRegion,_xlpm.SourceRegionLeftArray,_xlpm.SourceRegionRightArray,_xlpm.SeasonArray,_xlpm.LivestockClassArray,_xlpm.LiveweightArray, _xlfn.LET(_xlpm.Season, _xlfn.IFS(MONTH(_xlpm.PurchaseDate) &lt;= 2, "Summer", MONTH(_xlpm.PurchaseDate) &lt;= 5, "Autumn", MONTH(_xlpm.PurchaseDate) &lt;= 8, "Winter", MONTH(_xlpm.PurchaseDate) &lt;= 11, "Spring", MONTH(_xlpm.PurchaseDate) = 12, "Summer"), _xlpm.SourceRegionRight, IF(ISNUMBER(FIND(" - ", _xlpm.SourceRegion)), MID(_xlpm.SourceRegion, FIND(" - ", _xlpm.SourceRegion) + 3, LEN(_xlpm.SourceRegion)), "n/a"), _xlpm.SourceRegionLeft, IF(ISNUMBER(FIND(" - ", _xlpm.SourceRegion)), LEFT(_xlpm.SourceRegion, FIND(" - ", _xlpm.SourceRegion) - 1), _xlpm.SourceRegion), IFERROR(_xlfn.XLOOKUP(1, (_xlpm.SourceRegionLeftArray = _xlpm.SourceRegionLeft) * (_xlpm.SourceRegionRightArray = _xlpm.SourceRegionRight) * (_xlpm.SeasonArray = _xlpm.Season), _xlfn.XLOOKUP(_xlpm.LivestockClass, _xlpm.LivestockClassArray, _xlpm.LiveweightArray, 0), 0), 0)))</definedName>
    <definedName name="Scope3_SourceData.Scope3_Chemicals_Data">_xlfn.LAMBDA(_xlfn.MAKEARRAY(8, 7, _xlfn.LAMBDA(_xlpm.r,_xlpm.c, INDEX({"Category","Sub-category","Product name","Region of origin","Product Unit","GHG emission intensity","System boundary";"Chemicals","Cleaning chemicals","Alkaline cleaner","Global","kg",0.722,"at manufacturer";"Chemicals","Cleaning chemicals","Bleach","Global","kg",0.804,"at manufacturer";"Chemicals","Cleaning chemicals","Phosphoric acid","Global","kg",0.907,"at manufacturer";"Chemicals","Pharmacy chemicals","Parasite control for cattle (external), dipping","Global","p (head)",0.0547,"at manufacturer";"Chemicals","Pharmacy chemicals","Parasite control for cattle (internal)","Global","p (head)",0.0142,"at manufacturer";"Chemicals","Pharmacy chemicals","Parasite control for sheep (external)","Global","p (head)",0.0143,"at manufacturer";"Chemicals","Pharmacy chemicals","Parasite control for sheep (internal)","Global","p (head)",0.00426,"at manufacturer"}, _xlpm.r, _xlpm.c))))</definedName>
    <definedName name="Scope3_SourceData.Scope3_Chemicals_Source">_xlfn.LAMBDA(("Lifecycles. (2026). Greenhouse Gas Emission Intensities for Material Inputs to Australian Agriculture, Fisheries and Forestry. Version 48. doi 10.5281/zenodo.19656580"))</definedName>
    <definedName name="Scope3_SourceData.Scope3_Chemicals_Title">_xlfn.LAMBDA(("Chemicals scope 3"))</definedName>
    <definedName name="Scope3_SourceData.Scope3_Chemicals_Variation">_xlfn.LAMBDA((""))</definedName>
    <definedName name="Scope3_SourceData.Scope3_Feed_Data">_xlfn.LAMBDA(_xlfn.MAKEARRAY(78, 7, _xlfn.LAMBDA(_xlpm.r,_xlpm.c, INDEX({"Category","Sub-category","Product name","Region of origin","Product Unit","GHG emission intensity","System boundary";"Feed","Aquaculture feed","Sardines (whole)","SA","kg",0.376,"at market";"Feed","Grain","Barley grain","Australia","kg",0.239,"at market";"Feed","Grain","Barley grain","NSW","kg",0.256,"at market";"Feed","Grain","Barley grain","NT","kg",0.332,"at market";"Feed","Grain","Barley grain","QLD","kg",0.269,"at market";"Feed","Grain","Barley grain","SA","kg",0.223,"at market";"Feed","Grain","Barley grain","TAS","kg",0.307,"at market";"Feed","Grain","Barley grain","VIC","kg",0.241,"at market";"Feed","Grain","Barley grain","WA","kg",0.236,"at market";"Feed","Grain","Maize grain","Australia","kg",0.181,"at market";"Feed","Grain","Maize grain","NSW","kg",0.169,"at market";"Feed","Grain","Maize grain","NT","kg",0.256,"at market";"Feed","Grain","Maize grain","QLD","kg",0.186,"at market";"Feed","Grain","Maize grain","SA","kg",0.176,"at market";"Feed","Grain","Maize grain","VIC","kg",0.159,"at market";"Feed","Grain","Maize grain","WA","kg",0.285,"at market";"Feed","Grain","Sorghum grain","Australia","kg",0.232,"at market";"Feed","Grain","Sorghum grain","NSW","kg",0.232,"at market";"Feed","Grain","Sorghum grain","QLD","kg",0.231,"at market";"Feed","Grain","Sorghum grain","SA","kg",0.218,"at market";"Feed","Grain","Sorghum grain","VIC","kg",0.246,"at market";"Feed","Grain","Wheat grain","Australia","kg",0.268,"at market";"Feed","Grain","Wheat grain","NSW","kg",0.282,"at market";"Feed","Grain","Wheat grain","NT","kg",0.385,"at market";"Feed","Grain","Wheat grain","QLD","kg",0.296,"at market";"Feed","Grain","Wheat grain","SA","kg",0.241,"at market";"Feed","Grain","Wheat grain","TAS","kg",0.338,"at market";"Feed","Grain","Wheat grain","VIC","kg",0.266,"at market";"Feed","Grain","Wheat grain","WA","kg",0.261,"at market";"Feed","Hay","Cereal hay","Australia","kg",0.117,"at market";"Feed","Hay","Cereal hay","NSW","kg",0.116,"at market";"Feed","Hay","Cereal hay","QLD","kg",0.118,"at market";"Feed","Hay","Cereal hay","SA","kg",0.111,"at market";"Feed","Hay","Cereal hay","TAS","kg",0.139,"at market";"Feed","Hay","Cereal hay","VIC","kg",0.116,"at market";"Feed","Hay","Cereal hay","WA","kg",0.122,"at market";"Feed","Hay","Cereal silage","Australia","kg",0.0744,"at market";"Feed","Hay","Cereal silage","NSW","kg",0.0739,"at market";"Feed","Hay","Cereal silage","QLD","kg",0.079,"at market";"Feed","Hay","Cereal silage","SA","kg",0.0706,"at market";"Feed","Hay","Cereal silage","TAS","kg",0.0808,"at market";"Feed","Hay","Cereal silage","VIC","kg",0.0736,"at market";"Feed","Hay","Lucerne hay","Australia","kg",0.117,"at market";"Feed","Hay","Lucerne hay","NSW","kg",0.113,"at market";"Feed","Hay","Lucerne hay","QLD","kg",0.143,"at market";"Feed","Hay","Lucerne hay","SA","kg",0.106,"at market";"Feed","Hay","Lucerne hay","TAS","kg",0.113,"at market";"Feed","Hay","Lucerne hay","VIC","kg",0.106,"at market";"Feed","Hay","Maize silage","VIC","kg",0.163,"at market";"Feed","Hay","Oaten hay","Australia","kg",0.12,"at market";"Feed","Hay","Oaten hay","NSW","kg",0.119,"at market";"Feed","Hay","Oaten hay","QLD","kg",0.117,"at market";"Feed","Hay","Oaten hay","SA","kg",0.114,"at market";"Feed","Hay","Oaten hay","VIC","kg",0.118,"at market";"Feed","Hay","Oaten hay","WA","kg",0.124,"at market";"Feed","Hay","Pasture hay","Australia","kg",0.339,"at market";"Feed","Hay","Pasture hay","NSW","kg",0.311,"at market";"Feed","Hay","Pasture hay","QLD","kg",0.254,"at market";"Feed","Hay","Pasture hay","SA","kg",0.313,"at market";"Feed","Hay","Pasture hay","TAS","kg",0.398,"at market";"Feed","Hay","Pasture hay","VIC","kg",0.345,"at market";"Feed","Hay","Pasture hay","WA","kg",0.368,"at market";"Feed","Meal","Canola meal","Australia","kg",0.244,"at market";"Feed","Meal","Meat meal","Australia","kg",0.408,"at market";"Feed","Meal","Soybean meal","Brazil","kg",0.426,"at market";"Feed","Meal","Wheat bran","Australia","kg",0.196,"at market";"Feed","Mixed rations","Feed for chickens","Australia","kg",0.594,"at market";"Feed","Mixed rations","Feed for dairy calves","Australia","kg",0.419,"at market";"Feed","Mixed rations","Feed for dairy cows","Australia","kg",0.333,"at market";"Feed","Mixed rations","Feed for pigs","Australia","kg",0.403,"at market";"Feed","Other","Bentonite","Australia","kg",0.0652,"at market";"Feed","Other","Canola oil","Australia","kg",0.87,"at market";"Feed","Other","Cotton seed","Australia","kg",0.197,"at market";"Feed","Other","Lick block, dry season mix","Australia","kg",0.881,"at market";"Feed","Other","Lick block, mineral","Australia","kg",0.677,"at market";"Feed","Other","Lick block, weaner","Australia","kg",0.231,"at market";"Feed","Other","Molasses","QLD","kg",0.184,"at market"}, _xlpm.r, _xlpm.c))))</definedName>
    <definedName name="Scope3_SourceData.Scope3_Feed_Source">_xlfn.LAMBDA(("Lifecycles. (2026). Greenhouse Gas Emission Intensities for Material Inputs to Australian Agriculture, Fisheries and Forestry. Version 48. doi 10.5281/zenodo.19656580"))</definedName>
    <definedName name="Scope3_SourceData.Scope3_Feed_Title">_xlfn.LAMBDA(("Feed scope 3"))</definedName>
    <definedName name="Scope3_SourceData.Scope3_Feed_Variation">_xlfn.LAMBDA((""))</definedName>
    <definedName name="Scope3_SourceData.Scope3_InorganicFertilisers_Data">_xlfn.LAMBDA(_xlfn.MAKEARRAY(26, 7, _xlfn.LAMBDA(_xlpm.r,_xlpm.c, INDEX({"Category","Sub-category","Product name","Region of origin","Product Unit","GHG emission intensity","System boundary";"Fertilisers","Inorganic fertilisers","Ammonia, AU market mix","Global","kg",2.32,"at market";"Fertilisers","Inorganic fertilisers","Ammonia, Canada","Canada","kg",2.12,"at market";"Fertilisers","Inorganic fertilisers","Ammonia, China","China","kg",4.17,"at market";"Fertilisers","Inorganic fertilisers","Ammonia, Yemen","Yemen","kg",2.26,"at market";"Fertilisers","Inorganic fertilisers","Ammonium nitrate, AU market mix","Global","kg",2.21,"at market";"Fertilisers","Inorganic fertilisers","Calcium ammonium nitrate, AU market mix","Global","kg",1.15,"at market";"Fertilisers","Inorganic fertilisers","Calcium nitrate","Global","kg",0.75,"at market";"Fertilisers","Inorganic fertilisers","Diammonium phosphate, AU market mix","Global","kg",1.34,"at market";"Fertilisers","Inorganic fertilisers","Double superphosphate, AU market mix","Global","kg",0.392,"at market";"Fertilisers","Inorganic fertilisers","Monoammonium phosphate, AU market mix","Global","kg",0.827,"at market";"Fertilisers","Inorganic fertilisers","Muriate of potash, AU market mix","Global","kg",0.549,"at market";"Fertilisers","Inorganic fertilisers","Nitrogen from ammonia, AU market mix","Global","kg N",2.83,"at market";"Fertilisers","Inorganic fertilisers","Nitrogen from fertilizer, AU market mix","Global","kg N",4.2,"at market";"Fertilisers","Inorganic fertilisers","Nitrogen from nitrate fertilizer, AU market mix","Global","kg N",5.47,"at market";"Fertilisers","Inorganic fertilisers","Phosphorus from fertilizer, AU market mix","Global","kg P",3.96,"at market";"Fertilisers","Inorganic fertilisers","Potassium from fertilizer, AU market mix","Global","kg K",0.909,"at market";"Fertilisers","Inorganic fertilisers","Single superphosphate, AU market mix","Global","kg",0.227,"at market";"Fertilisers","Inorganic fertilisers","Sulfur from fertilizer, AU market mix","Global","kg S",2.5,"at market";"Fertilisers","Inorganic fertilisers","Ammonium sulphate, AU market mix","Global","kg",0.865,"at market";"Fertilisers","Inorganic fertilisers","Urea ammonium nitrate, AU market mix","Global","kg",1.75,"at market";"Fertilisers","Inorganic fertilisers","Urea, AU market mix","Global","kg",0.968,"at market";"Fertilisers","Inorganic fertilisers","Urea, Canada","Canada","kg",0.823,"at market";"Fertilisers","Inorganic fertilisers","Urea, China","China","kg",2.09,"at market";"Fertilisers","Inorganic fertilisers","Urea, Yemen","Yemen","kg",0.963,"at market";"Fertilisers","Inorganic fertilisers","Zinc from fertilizer","Global","kg Zn",4.82,"at market"}, _xlpm.r, _xlpm.c))))</definedName>
    <definedName name="Scope3_SourceData.Scope3_InorganicFertilisers_Source">_xlfn.LAMBDA(("Lifecycles. (2026). Greenhouse Gas Emission Intensities for Material Inputs to Australian Agriculture, Fisheries and Forestry. Version 48. doi 10.5281/zenodo.19656580"))</definedName>
    <definedName name="Scope3_SourceData.Scope3_InorganicFertilisers_Title">_xlfn.LAMBDA(("Inorganic fertiliser chemical compound scope 3"))</definedName>
    <definedName name="Scope3_SourceData.Scope3_InorganicFertilisers_Variation">_xlfn.LAMBDA((""))</definedName>
    <definedName name="Scope3_SourceData.Scope3_Livestock_Data">_xlfn.LAMBDA(_xlfn.MAKEARRAY(42, 7, _xlfn.LAMBDA(_xlpm.r,_xlpm.c, INDEX({"Category","Sub-category","Product name","Region of origin","Product Unit","GHG emission intensity","System boundary";"Animals","Beef cattle","Cattle, for manufacturing beef","Australia","kg liveweight",11,"at market";"Animals","Beef cattle","Cattle, for manufacturing beef","NSW","kg liveweight",8.21,"at market";"Animals","Beef cattle","Cattle, for manufacturing beef","NT","kg liveweight",12.2,"at market";"Animals","Beef cattle","Cattle, for manufacturing beef","QLD","kg liveweight",10.9,"at market";"Animals","Beef cattle","Cattle, for manufacturing beef","SA","kg liveweight",7.63,"at market";"Animals","Beef cattle","Cattle, for manufacturing beef","TAS","kg liveweight",8.75,"at market";"Animals","Beef cattle","Cattle, for manufacturing beef","VIC","kg liveweight",8.17,"at market";"Animals","Beef cattle","Cattle, for manufacturing beef","WA","kg liveweight",13.1,"at market";"Animals","Beef cattle","Cattle, for prime beef","Australia","kg liveweight",14.5,"at market";"Animals","Beef cattle","Cattle, for prime beef","NSW","kg liveweight",11.3,"at market";"Animals","Beef cattle","Cattle, for prime beef","NT","kg liveweight",18.9,"at market";"Animals","Beef cattle","Cattle, for prime beef","QLD","kg liveweight",13.9,"at market";"Animals","Beef cattle","Cattle, for prime beef","SA","kg liveweight",12.3,"at market";"Animals","Beef cattle","Cattle, for prime beef","TAS","kg liveweight",11.5,"at market";"Animals","Beef cattle","Cattle, for prime beef","VIC","kg liveweight",11.5,"at market";"Animals","Beef cattle","Cattle, for prime beef","WA","kg liveweight",20.8,"at market";"Animals","Beef cattle","Cattle, weaners","Australia","kg liveweight",15.5,"at market";"Animals","Beef cattle","Cattle, weaners","NSW","kg liveweight",12.7,"at market";"Animals","Beef cattle","Cattle, weaners","NT","kg liveweight",19.1,"at market";"Animals","Beef cattle","Cattle, weaners","QLD","kg liveweight",20.5,"at market";"Animals","Beef cattle","Cattle, weaners","SA","kg liveweight",10.8,"at market";"Animals","Beef cattle","Cattle, weaners","TAS","kg liveweight",13.4,"at market";"Animals","Beef cattle","Cattle, weaners","VIC","kg liveweight",12,"at market";"Animals","Beef cattle","Cattle, weaners","WA","kg liveweight",12.4,"at market";"Animals","Chickens","Chickens","Australia","kg liveweight",1.36,"at market";"Animals","Dairy cattle","Dairy cows","VIC","kg liveweight",4.41,"at market";"Animals","Pigs","Pigs","Australia","kg liveweight",3.38,"at market";"Animals","Sheep","Sheep, for mutton","Australia","kg liveweight",6.81,"at market";"Animals","Sheep","Sheep, for mutton","NSW","kg liveweight",2.26,"at market";"Animals","Sheep","Sheep, for mutton","QLD","kg liveweight",6.33,"at market";"Animals","Sheep","Sheep, for mutton","SA","kg liveweight",6.18,"at market";"Animals","Sheep","Sheep, for mutton","TAS","kg liveweight",7.5,"at market";"Animals","Sheep","Sheep, for mutton","VIC","kg liveweight",8.08,"at market";"Animals","Sheep","Sheep, for mutton","WA","kg liveweight",5.45,"at market";"Animals","Sheep","Sheep, for prime lamb","Australia","kg liveweight",7.15,"at market";"Animals","Sheep","Sheep, for prime lamb","NSW","kg liveweight",8.29,"at market";"Animals","Sheep","Sheep, for prime lamb","QLD","kg liveweight",6.39,"at market";"Animals","Sheep","Sheep, for prime lamb","SA","kg liveweight",6.87,"at market";"Animals","Sheep","Sheep, for prime lamb","TAS","kg liveweight",8.66,"at market";"Animals","Sheep","Sheep, for prime lamb","VIC","kg liveweight",10,"at market";"Animals","Sheep","Sheep, for prime lamb","WA","kg liveweight",5.67,"at market"}, _xlpm.r, _xlpm.c))))</definedName>
    <definedName name="Scope3_SourceData.Scope3_Livestock_Source">_xlfn.LAMBDA(("Lifecycles. (2026). Greenhouse Gas Emission Intensities for Material Inputs to Australian Agriculture, Fisheries and Forestry. Version 48. doi 10.5281/zenodo.19656580"))</definedName>
    <definedName name="Scope3_SourceData.Scope3_Livestock_Title">_xlfn.LAMBDA(("Livestock scope 3"))</definedName>
    <definedName name="Scope3_SourceData.Scope3_Livestock_Variation">_xlfn.LAMBDA((""))</definedName>
    <definedName name="Scope3_SourceData.Scope3_Other_Data">_xlfn.LAMBDA(_xlfn.MAKEARRAY(9, 7, _xlfn.LAMBDA(_xlpm.r,_xlpm.c, INDEX({"Category","Sub-category","Product name","Region of origin","Product Unit","GHG emission intensity","System boundary";"Other","Other","Animal ear tags (large)","Australia","p",0.0424,"at market";"Other","Other","Animal ear tags (small)","Australia","p",0.0293,"at market";"Other","Other","Barley grain (for seed)","Australia","kg",0.239,"at market";"Other","Other","Maize grain (for seed)","Australia","kg",0.181,"at market";"Other","Other","Nylon netting","Global","kg",9.81,"at market";"Other","Other","Oat grain (for seed)","Australia","kg",0.27,"at market";"Other","Other","Sorghum grain (for seed)","Australia","kg",0.232,"at market";"Other","Other","Wheat grain (for seed)","Australia","kg",0.268,"at market"}, _xlpm.r, _xlpm.c))))</definedName>
    <definedName name="Scope3_SourceData.Scope3_Other_Source">_xlfn.LAMBDA(("Lifecycles. (2026). Greenhouse Gas Emission Intensities for Material Inputs to Australian Agriculture, Fisheries and Forestry. Version 48. doi 10.5281/zenodo.19656580"))</definedName>
    <definedName name="Scope3_SourceData.Scope3_Other_Title">_xlfn.LAMBDA(("Other agricultural inputs scope 3"))</definedName>
    <definedName name="Scope3_SourceData.Scope3_Other_Variation">_xlfn.LAMBDA((""))</definedName>
    <definedName name="Scope3_SourceData.Scope3_Packaging_Data">_xlfn.LAMBDA(_xlfn.MAKEARRAY(5, 7, _xlfn.LAMBDA(_xlpm.r,_xlpm.c, INDEX({"Category","Sub-category","Product name","Region of origin","Product Unit","GHG emission intensity","System boundary";"Packaging","Packaging","Corrugated board","Global","kg",1.05,"at manufacturer";"Packaging","Packaging","Plastic crate polypropylene","Global","p",3.99,"at manufacturer";"Packaging","Packaging","Plastic film LDPE","Global","kg",3.44,"at manufacturer";"Packaging","Packaging","Plastic sheet HDPE","Global","kg",3.72,"at manufacturer"}, _xlpm.r, _xlpm.c))))</definedName>
    <definedName name="Scope3_SourceData.Scope3_Packaging_Source">_xlfn.LAMBDA(("Lifecycles. (2026). Greenhouse Gas Emission Intensities for Material Inputs to Australian Agriculture, Fisheries and Forestry. Version 48. doi 10.5281/zenodo.19656580"))</definedName>
    <definedName name="Scope3_SourceData.Scope3_Packaging_Title">_xlfn.LAMBDA(("Packaging scope 3"))</definedName>
    <definedName name="Scope3_SourceData.Scope3_Packaging_Variation">_xlfn.LAMBDA((""))</definedName>
    <definedName name="Scope3_SourceData.Scope3_Pesticides_Data">_xlfn.LAMBDA(_xlfn.MAKEARRAY(13, 7, _xlfn.LAMBDA(_xlpm.r,_xlpm.c, INDEX({"Category","Sub-category","Product name","Region of origin","Product Unit","GHG emission intensity","System boundary";"Pesticides","Pesticides","2,4-D","Global","kg AI",5.2,"at market";"Pesticides","Pesticides","Atrazine","Global","kg AI",8.38,"at market";"Pesticides","Pesticides","Diuron","Global","kg AI",8.8,"at market";"Pesticides","Pesticides","Glyphosate","Global","kg AI",10.3,"at market";"Pesticides","Pesticides","Mancozeb","Global","kg AI",4.55,"at market";"Pesticides","Pesticides","MCPA","Global","kg AI",5.6,"at market";"Pesticides","Pesticides","Metolachlor","Global","kg AI",8.06,"at market";"Pesticides","Pesticides","Metsulfuron-methyl","Global","kg AI",8.8,"at market";"Pesticides","Pesticides","Pesticides (generic)","Global","kg AI",9.16,"at market";"Pesticides","Pesticides","Tri-allate","Global","kg AI",8.57,"at market";"Pesticides","Pesticides","Tribenuron methyl","Global","kg AI",8.8,"at market";"Pesticides","Pesticides","Trifluralin","Global","kg AI",6.16,"at market"}, _xlpm.r, _xlpm.c))))</definedName>
    <definedName name="Scope3_SourceData.Scope3_Pesticides_Source">_xlfn.LAMBDA(("Lifecycles. (2026). Greenhouse Gas Emission Intensities for Material Inputs to Australian Agriculture, Fisheries and Forestry. Version 48. doi 10.5281/zenodo.19656580"))</definedName>
    <definedName name="Scope3_SourceData.Scope3_Pesticides_Title">_xlfn.LAMBDA(("Pesticides scope 3"))</definedName>
    <definedName name="Scope3_SourceData.Scope3_Pesticides_Variation">_xlfn.LAMBDA((""))</definedName>
    <definedName name="Scope3_SourceData.Scope3_SoilAmendments_Data">_xlfn.LAMBDA(_xlfn.MAKEARRAY(4, 7, _xlfn.LAMBDA(_xlpm.r,_xlpm.c, INDEX({"Category","Sub-category","Product name","Region of origin","Product Unit","GHG emission intensity","System boundary";"Soil ameliorants","Soil ameliorants","Dolomite","Australia","kg",0.0652,"at market";"Soil ameliorants","Soil ameliorants","Gypsum","Australia","kg",0.0652,"at market";"Soil ameliorants","Soil ameliorants","Limestone (crushed)","Australia","kg",0.0485,"at market"}, _xlpm.r, _xlpm.c))))</definedName>
    <definedName name="Scope3_SourceData.Scope3_SoilAmendments_Source">_xlfn.LAMBDA(("Lifecycles. (2026). Greenhouse Gas Emission Intensities for Material Inputs to Australian Agriculture, Fisheries and Forestry. Version 48. doi 10.5281/zenodo.19656580"))</definedName>
    <definedName name="Scope3_SourceData.Scope3_SoilAmendments_Title">_xlfn.LAMBDA(("Soil amendments scope 3"))</definedName>
    <definedName name="Scope3_SourceData.Scope3_SoilAmendments_Variation">_xlfn.LAMBDA((""))</definedName>
    <definedName name="SourceData_Dairy.NIR_2023_Vol1_Dairy_3_B_1_a_AshContent_Data">_xlfn.LAMBDA(0.8)</definedName>
    <definedName name="SourceData_Dairy.NIR_2023_Vol1_Dairy_3_B_1_a_AshContent_Source">_xlfn.LAMBDA("Equation 3.B.1a_2")</definedName>
    <definedName name="SourceData_Dairy.NIR_2023_Vol1_Dairy_3_B_1_a_AshContent_Title">_xlfn.LAMBDA("A = ash content expressed as a fraction")</definedName>
    <definedName name="SourceData_Dairy.NIR_2023_Vol1_Dairy_3_B_1_a_AshContent_Unit">_xlfn.LAMBDA("fraction")</definedName>
    <definedName name="SourceData_Dairy.NIR_2023_Vol1_Dairy_3_B_1_a_EmissionsPotential_Data">_xlfn.LAMBDA(0.24)</definedName>
    <definedName name="SourceData_Dairy.NIR_2023_Vol1_Dairy_3_B_1_a_EmissionsPotential_Source">_xlfn.LAMBDA("Equation 3.B.1a_2")</definedName>
    <definedName name="SourceData_Dairy.NIR_2023_Vol1_Dairy_3_B_1_a_EmissionsPotential_Title">_xlfn.LAMBDA("B0 = emissions potential")</definedName>
    <definedName name="SourceData_Dairy.NIR_2023_Vol1_Dairy_3_B_1_a_EmissionsPotential_Unit">_xlfn.LAMBDA("m3 CH4/kg VS")</definedName>
    <definedName name="SourceData_Dairy.NIR_2023_Vol2_A5_5_1_1_DairyCattleLiveWeight_Data">_xlfn.LAMBDA(_xlfn.MAKEARRAY(2, 6, _xlfn.LAMBDA(_xlpm.r,_xlpm.c, INDEX({"Time period","Milking Cows","Heifers &gt;1","Heifers &lt;1 (weaned)","Bulls &gt;1","Bulls &lt;1 (weaned)";"2020–2023",550,370,179,600,225}, _xlpm.r, _xlpm.c))))</definedName>
    <definedName name="SourceData_Dairy.NIR_2023_Vol2_A5_5_1_1_DairyCattleLiveWeight_Source">_xlfn.LAMBDA("National Inventory Report 2023 Volume 2: Table A5.5.1.1")</definedName>
    <definedName name="SourceData_Dairy.NIR_2023_Vol2_A5_5_1_1_DairyCattleLiveWeight_Title">_xlfn.LAMBDA("Table A5.5.1.1 Dairy cattle – Liveweight")</definedName>
    <definedName name="SourceData_Dairy.NIR_2023_Vol2_A5_5_1_1_DairyCattleLiveWeight_Unit">_xlfn.LAMBDA("kg")</definedName>
    <definedName name="SourceData_Dairy.NIR_2023_Vol2_A5_5_1_2_DairyCattleLiveWeightGain_Data">_xlfn.LAMBDA(_xlfn.MAKEARRAY(2, 6, _xlfn.LAMBDA(_xlpm.r,_xlpm.c, INDEX({"Time period","Milking Cows","Heifers &gt;1","Heifers &lt;1 (weaned)","Bulls &gt;1","Bulls &lt;1 (weaned)";"2020–2023",0.016,0.6,0.57,0.1,0.8}, _xlpm.r, _xlpm.c))))</definedName>
    <definedName name="SourceData_Dairy.NIR_2023_Vol2_A5_5_1_2_DairyCattleLiveWeightGain_Source">_xlfn.LAMBDA("National Inventory Report 2023 Volume 2: Table A5.5.1.2")</definedName>
    <definedName name="SourceData_Dairy.NIR_2023_Vol2_A5_5_1_2_DairyCattleLiveWeightGain_Title">_xlfn.LAMBDA("Table A5.5.1.2 Dairy cattle – Liveweight gain")</definedName>
    <definedName name="SourceData_Dairy.NIR_2023_Vol2_A5_5_1_2_DairyCattleLiveWeightGain_Unit">_xlfn.LAMBDA("kg/day")</definedName>
    <definedName name="SourceData_Dairy.NIR_2023_Vol2_A5_5_1_3_DairyCattleStandardReferenceWeight_Data">_xlfn.LAMBDA(_xlfn.MAKEARRAY(2, 6, _xlfn.LAMBDA(_xlpm.r,_xlpm.c, INDEX({"Time period","Milking Cows","Heifers &gt;1","Heifers &lt;1 (weaned)","Bulls &gt;1","Bulls &lt;1 (weaned)";"2020–2023",590,590,590,770,770}, _xlpm.r, _xlpm.c))))</definedName>
    <definedName name="SourceData_Dairy.NIR_2023_Vol2_A5_5_1_3_DairyCattleStandardReferenceWeight_Source">_xlfn.LAMBDA("National Inventory Report 2023 Volume 2: Table A5.5.1.3")</definedName>
    <definedName name="SourceData_Dairy.NIR_2023_Vol2_A5_5_1_3_DairyCattleStandardReferenceWeight_Title">_xlfn.LAMBDA("Table A5.5.1.3 Dairy cattle – Standard reference weights")</definedName>
    <definedName name="SourceData_Dairy.NIR_2023_Vol2_A5_5_1_3_DairyCattleStandardReferenceWeight_Unit">_xlfn.LAMBDA("kg")</definedName>
    <definedName name="SourceData_Dairy.NIR_2023_Vol2_A5_5_1_4_DairyCattleDMDAndCP_Data">_xlfn.LAMBDA(_xlfn.MAKEARRAY(2, 3, _xlfn.LAMBDA(_xlpm.r,_xlpm.c, INDEX({"State","DMD","CP";"All",75,20}, _xlpm.r, _xlpm.c))))</definedName>
    <definedName name="SourceData_Dairy.NIR_2023_Vol2_A5_5_1_4_DairyCattleDMDAndCP_Source">_xlfn.LAMBDA("National Inventory Report 2023 Volume 2: Table A5.5.1.4")</definedName>
    <definedName name="SourceData_Dairy.NIR_2023_Vol2_A5_5_1_4_DairyCattleDMDAndCP_Title">_xlfn.LAMBDA("Table A5.5.1.4 Dairy cattle – Dry matter digestibility and crude protein content of feed intake")</definedName>
    <definedName name="SourceData_Dairy.NIR_2023_Vol2_A5_5_1_4_DairyCattleDMDAndCP_Unit">_xlfn.LAMBDA("per cent")</definedName>
    <definedName name="SourceData_Dairy.NIR_2023_Vol2_A5_5_1_5_DairyCattlePreWeanedData_Data">_xlfn.LAMBDA(_xlfn.MAKEARRAY(3, 6, _xlfn.LAMBDA(_xlpm.r,_xlpm.c, INDEX({"Date range","Class","CH4 production","Volatile solids","Faecal N","Urinary N";"2005+","Heifers&lt;1",0.0176,0.2685,0.0055,0.0082;"All years","Bulls&lt;1",0.0204,0.3003,0.005,0.0042}, _xlpm.r, _xlpm.c))))</definedName>
    <definedName name="SourceData_Dairy.NIR_2023_Vol2_A5_5_1_5_DairyCattlePreWeanedData_Source">_xlfn.LAMBDA("National Inventory Report 2023 Volume 2: Table A5.5.1.5")</definedName>
    <definedName name="SourceData_Dairy.NIR_2023_Vol2_A5_5_1_5_DairyCattlePreWeanedData_Title">_xlfn.LAMBDA("Table A5.5.1.5 Dairy cattle – Data for pre-weaned calves")</definedName>
    <definedName name="SourceData_Dairy.NIR_2023_Vol2_A5_5_1_5_DairyCattlePreWeanedData_Unit">_xlfn.LAMBDA("kg/day")</definedName>
    <definedName name="SourceData_Dairy.NIR_2023_Vol2_A5_5_1_7_DairyCattleMCFsForMMS_Data">_xlfn.LAMBDA(_xlfn.MAKEARRAY(6, 9, _xlfn.LAMBDA(_xlpm.r,_xlpm.c, INDEX({"MMS","ACT","NSW","NT","QLD","SA","TAS","VIC","WA";"Pasture",0.01,0.01,0.02,0.01,0.01,0.01,0.01,0.01;"Anaerobic lagoon",0.72,0.76,0.8,0.78,0.74,0.69,0.73,0.76;"Sump and dispersal systems (b)",0.005,0.005,0.01,0.005,0.005,0.001,0.005,0.005;"Drains to paddocks (c)",0.15,0.18,0.5,0.24,0.17,0.13,0.17,0.18;"Solid Storage",0.02,0.02,0.02,0.02,0.02,0.02,0.02,0.02}, _xlpm.r, _xlpm.c))))</definedName>
    <definedName name="SourceData_Dairy.NIR_2023_Vol2_A5_5_1_7_DairyCattleMCFsForMMS_Source">_xlfn.LAMBDA("National Inventory Report 2023 Volume 2: Table A5.5.1.7")</definedName>
    <definedName name="SourceData_Dairy.NIR_2023_Vol2_A5_5_1_7_DairyCattleMCFsForMMS_Title">_xlfn.LAMBDA("Table A5.5.1.7 Dairy cattle – MCFs")</definedName>
    <definedName name="SourceData_Dairy.NIR_2023_Vol2_A5_5_1_7_DairyCattleMCFsForMMS_Unit">_xlfn.LAMBDA("")</definedName>
    <definedName name="SourceData_Dairy.NIR_2023_Vol2_A5_5_1_9_DairyCattleNO2EFAndFracN_Data">_xlfn.LAMBDA(_xlfn.MAKEARRAY(6, 3, _xlfn.LAMBDA(_xlpm.r,_xlpm.c, INDEX({"MMS","EF (kg N2O-N/kg N excreted)","FracGASMm (kg N2O-N/kg N excreted)";"Void at Pasture",0,0;"Anaerobic lagoon",0,0.35;"Daily Spread – Sump and Dispersal",0,0.07;"Daily Spread – Drains to Paddock",0,0.2;"Solid Storage",0.005,0.3}, _xlpm.r, _xlpm.c))))</definedName>
    <definedName name="SourceData_Dairy.NIR_2023_Vol2_A5_5_1_9_DairyCattleNO2EFAndFracN_Source">_xlfn.LAMBDA("National Inventory Report 2023 Volume 2: Table A5.5.1.9")</definedName>
    <definedName name="SourceData_Dairy.NIR_2023_Vol2_A5_5_1_9_DairyCattleNO2EFAndFracN_Title">_xlfn.LAMBDA("Table A5.5.1.9 Dairy cattle – Nitrous oxide EFs and fraction of N volatilised by MMS")</definedName>
    <definedName name="SourceData_Dairy.NIR_2023_Vol2_A5_5_1_9_DairyCattleNO2EFAndFracN_Unit">_xlfn.LAMBDA("kg N2O-N/kg N excreted")</definedName>
    <definedName name="SourceData_Dairy.SourceData_Dairy_AllocationOfWasteToMMS_Data">_xlfn.LAMBDA(_xlfn.MAKEARRAY(6, 10, _xlfn.LAMBDA(_xlpm.r,_xlpm.c, INDEX({"MMSSymbol","MMS","ACT","NSW","NT","QLD","SA","TAS","VIC","WA";"14","Pasture",78.6,78.6,78.7,78.7,80.5,86.5,83.9,79.9;"1","Anaerobic lagoon",9,9,7.3,7.3,10.4,8.4,10.8,10;"3a","Daily Spread: Sump and dispersal",2,2,3.3,3.3,1.4,2.4,0.9,1.9;"3b","Daily Spread: Drains to paddocks",1.9,1.9,2.4,2.4,0.8,0.8,0.2,0.9;"4","Solid Storage",8.4,8.4,8.4,8.4,6.9,2,4.2,7.4}, _xlpm.r, _xlpm.c))))</definedName>
    <definedName name="SourceData_Dairy.SourceData_Dairy_AllocationOfWasteToMMS_Source">_xlfn.LAMBDA("National Inventory Report 2023 Volume 2 Table A5.5.1.8")</definedName>
    <definedName name="SourceData_Dairy.SourceData_Dairy_AllocationOfWasteToMMS_Title">_xlfn.LAMBDA("Table A5.5.1.8 Dairy cattle – Allocation of waste to MMS – Milking cows (per cent)")</definedName>
    <definedName name="SourceData_Dairy.SourceData_Dairy_AllocationOfWasteToMMS_Unit">_xlfn.LAMBDA("percent")</definedName>
    <definedName name="SourceData_Dairy.SourceData_Dairy_AllocationOfWasteToMMS_Variable">_xlfn.LAMBDA("")</definedName>
    <definedName name="SourceData_Dairy.SourceData_Dairy_AshContent_Data">_xlfn.LAMBDA(0.08)</definedName>
    <definedName name="SourceData_Dairy.SourceData_Dairy_AshContent_Source">_xlfn.LAMBDA("VEERG 2026: 4.3.2.3 CONSTANTS")</definedName>
    <definedName name="SourceData_Dairy.SourceData_Dairy_AshContent_Title">_xlfn.LAMBDA("Ash content of manure")</definedName>
    <definedName name="SourceData_Dairy.SourceData_Dairy_AshContent_Unit">_xlfn.LAMBDA("fraction")</definedName>
    <definedName name="SourceData_Dairy.SourceData_Dairy_AshContent_Variable">_xlfn.LAMBDA("A")</definedName>
    <definedName name="SourceData_Dairy.SourceData_Dairy_AshContent_Variation">_xlfn.LAMBDA("")</definedName>
    <definedName name="SourceData_Dairy.SourceData_Dairy_CrudeProtein_Data">_xlfn.LAMBDA(0.2)</definedName>
    <definedName name="SourceData_Dairy.SourceData_Dairy_CrudeProtein_Source">_xlfn.LAMBDA("VEERG 2026: 4.3.2.2	DATA (METHOD 1 AND 2 OPTIONS)")</definedName>
    <definedName name="SourceData_Dairy.SourceData_Dairy_CrudeProtein_Title">_xlfn.LAMBDA("Crude protein content of feed intake")</definedName>
    <definedName name="SourceData_Dairy.SourceData_Dairy_CrudeProtein_Unit">_xlfn.LAMBDA("fraction")</definedName>
    <definedName name="SourceData_Dairy.SourceData_Dairy_CrudeProtein_Variable">_xlfn.LAMBDA("CP")</definedName>
    <definedName name="SourceData_Dairy.SourceData_Dairy_CrudeProtein_Variation">_xlfn.LAMBDA("")</definedName>
    <definedName name="SourceData_Dairy.SourceData_Dairy_DryMatterDigestibility_Data">_xlfn.LAMBDA(0.75)</definedName>
    <definedName name="SourceData_Dairy.SourceData_Dairy_DryMatterDigestibility_Source">_xlfn.LAMBDA("VEERG 2026: 3.3.2.2	DATA (METHOD 1 AND 2 OPTIONS)")</definedName>
    <definedName name="SourceData_Dairy.SourceData_Dairy_DryMatterDigestibility_Title">_xlfn.LAMBDA("Dry matter digestibility")</definedName>
    <definedName name="SourceData_Dairy.SourceData_Dairy_DryMatterDigestibility_Unit">_xlfn.LAMBDA("fraction")</definedName>
    <definedName name="SourceData_Dairy.SourceData_Dairy_DryMatterDigestibility_Variable">_xlfn.LAMBDA("DMD")</definedName>
    <definedName name="SourceData_Dairy.SourceData_Dairy_DryMatterDigestibility_Variation">_xlfn.LAMBDA("")</definedName>
    <definedName name="SourceData_Dairy.SourceData_Dairy_DurationOfStay_Data">_xlfn.LAMBDA(_xlfn.MAKEARRAY(6, 3, _xlfn.LAMBDA(_xlpm.r,_xlpm.c, INDEX({"Animal class j","Duration (weaned)","Duration (pre-weaned)";"Milking cows",365,0;"Heifers &gt; 1 year",365,0;"Heifers &lt; 1 year",281,84;"Bulls &gt; 1 year",365,0;"Bulls &lt; 1 year",281,84}, _xlpm.r, _xlpm.c))))</definedName>
    <definedName name="SourceData_Dairy.SourceData_Dairy_DurationOfStay_Source">_xlfn.LAMBDA("VEERG 2026: 4.3.2.2	DATA (METHOD 1 AND 2 OPTIONS)")</definedName>
    <definedName name="SourceData_Dairy.SourceData_Dairy_DurationOfStay_Title">_xlfn.LAMBDA("Duration of stay for each dairy cattle input class")</definedName>
    <definedName name="SourceData_Dairy.SourceData_Dairy_DurationOfStay_Unit">_xlfn.LAMBDA("days")</definedName>
    <definedName name="SourceData_Dairy.SourceData_Dairy_DurationOfStay_Variable">_xlfn.LAMBDA("D")</definedName>
    <definedName name="SourceData_Dairy.SourceData_Dairy_DurationOfStay_Variation">_xlfn.LAMBDA("VARIATION OF SOURCE: Converted free text in document to table, matching livestock class names.")</definedName>
    <definedName name="SourceData_Dairy.SourceData_Dairy_EfficiencyOfUseOfMetabolizableEnergy_Data">_xlfn.LAMBDA(0.6)</definedName>
    <definedName name="SourceData_Dairy.SourceData_Dairy_EfficiencyOfUseOfMetabolizableEnergy_Source">_xlfn.LAMBDA("VEERG 2026: 3.3.2.3 CONSTANTS")</definedName>
    <definedName name="SourceData_Dairy.SourceData_Dairy_EfficiencyOfUseOfMetabolizableEnergy_Title">_xlfn.LAMBDA("Efficiency of use of metabolizable energy for milk production")</definedName>
    <definedName name="SourceData_Dairy.SourceData_Dairy_EfficiencyOfUseOfMetabolizableEnergy_Unit">_xlfn.LAMBDA("fraction")</definedName>
    <definedName name="SourceData_Dairy.SourceData_Dairy_EfficiencyOfUseOfMetabolizableEnergy_Variable">_xlfn.LAMBDA("k")</definedName>
    <definedName name="SourceData_Dairy.SourceData_Dairy_EfficiencyOfUseOfMetabolizableEnergy_Variation">_xlfn.LAMBDA("")</definedName>
    <definedName name="SourceData_Dairy.SourceData_Dairy_EFNitrousOxidePerMMS_Data">_xlfn.LAMBDA(_xlfn.MAKEARRAY(6, 3, _xlfn.LAMBDA(_xlpm.r,_xlpm.c, INDEX({"MMS m","EFm","NIR reference";"m=14 Pasture",0,"Pasture range and paddock";"m=1 Anerobic Lagoon",0,"Anaerobic lagoon";"m=2 Daily Spread: Sump and dispersal",0,"Sump and dispersal system";"m=3 Daily Spread: Drains to paddocks",0,"Drains to paddock";"m=4 Solid Storage",0.005,"Solid storage"}, _xlpm.r, _xlpm.c))))</definedName>
    <definedName name="SourceData_Dairy.SourceData_Dairy_EFNitrousOxidePerMMS_Source">_xlfn.LAMBDA("VEERG 2026: Table A.1.3.11")</definedName>
    <definedName name="SourceData_Dairy.SourceData_Dairy_EFNitrousOxidePerMMS_Title">_xlfn.LAMBDA("Table A.1.3.11: Dairy cattle - EF for nitrous oxide per MMS (kg N2O-N/kg N) (EFm)")</definedName>
    <definedName name="SourceData_Dairy.SourceData_Dairy_EFNitrousOxidePerMMS_Unit">_xlfn.LAMBDA("kg N2O-N/kg N")</definedName>
    <definedName name="SourceData_Dairy.SourceData_Dairy_EFNitrousOxidePerMMS_Variable">_xlfn.LAMBDA("EFm")</definedName>
    <definedName name="SourceData_Dairy.SourceData_Dairy_EFNitrousOxidePerMMS_Variation">_xlfn.LAMBDA("VARIATION OF SOURCE: Added 'NIR reference' column to aid lookup")</definedName>
    <definedName name="SourceData_Dairy.SourceData_Dairy_EmissionFactorForLeachingAndRunoff_Data">_xlfn.LAMBDA(0.011)</definedName>
    <definedName name="SourceData_Dairy.SourceData_Dairy_EmissionFactorForLeachingAndRunoff_Source">_xlfn.LAMBDA("VEERG 2026: 4.3.2.3 CONSTANTS")</definedName>
    <definedName name="SourceData_Dairy.SourceData_Dairy_EmissionFactorForLeachingAndRunoff_Title">_xlfn.LAMBDA("Emission factor for leaching and runoff")</definedName>
    <definedName name="SourceData_Dairy.SourceData_Dairy_EmissionFactorForLeachingAndRunoff_Unit">_xlfn.LAMBDA("kg N2O-N/kg N")</definedName>
    <definedName name="SourceData_Dairy.SourceData_Dairy_EmissionFactorForLeachingAndRunoff_Variable">_xlfn.LAMBDA("EF_leach")</definedName>
    <definedName name="SourceData_Dairy.SourceData_Dairy_EmissionFactorForLeachingAndRunoff_Variation">_xlfn.LAMBDA("")</definedName>
    <definedName name="SourceData_Dairy.SourceData_Dairy_FatContentInMilk_Data">_xlfn.LAMBDA(4)</definedName>
    <definedName name="SourceData_Dairy.SourceData_Dairy_FatContentInMilk_Source">_xlfn.LAMBDA("VEERG 2026: 3.3.2.2 DATA (METHOD 1 AND 2 OPTIONS)")</definedName>
    <definedName name="SourceData_Dairy.SourceData_Dairy_FatContentInMilk_Title">_xlfn.LAMBDA("Fat content in fat and protein corrected milk")</definedName>
    <definedName name="SourceData_Dairy.SourceData_Dairy_FatContentInMilk_Unit">_xlfn.LAMBDA("percent")</definedName>
    <definedName name="SourceData_Dairy.SourceData_Dairy_FatContentInMilk_Variable">_xlfn.LAMBDA("FC_j")</definedName>
    <definedName name="SourceData_Dairy.SourceData_Dairy_FatContentInMilk_Variation">_xlfn.LAMBDA("")</definedName>
    <definedName name="SourceData_Dairy.SourceData_Dairy_FracGASMSoil_Data">_xlfn.LAMBDA(0.21)</definedName>
    <definedName name="SourceData_Dairy.SourceData_Dairy_FracGASMSoil_Source">_xlfn.LAMBDA("VEERG 2026: 4.3.2.3 CONSTANTS")</definedName>
    <definedName name="SourceData_Dairy.SourceData_Dairy_FracGASMSoil_Title">_xlfn.LAMBDA("Fraction of nitrogen volatilized from urine and faeces deposited on pasture")</definedName>
    <definedName name="SourceData_Dairy.SourceData_Dairy_FracGASMSoil_Unit">_xlfn.LAMBDA("(kg NH3-N + NOx-N)/kg N")</definedName>
    <definedName name="SourceData_Dairy.SourceData_Dairy_FracGASMSoil_Variable">_xlfn.LAMBDA("FracGASMsoil")</definedName>
    <definedName name="SourceData_Dairy.SourceData_Dairy_FracGASMSoil_Variation">_xlfn.LAMBDA("")</definedName>
    <definedName name="SourceData_Dairy.SourceData_Dairy_FractionOfNitrogenLostThroughLeachingAndRunoff_Data">_xlfn.LAMBDA(0.02)</definedName>
    <definedName name="SourceData_Dairy.SourceData_Dairy_FractionOfNitrogenLostThroughLeachingAndRunoff_Source">_xlfn.LAMBDA("VEERG 2026: 4.3.2.3 CONSTANTS")</definedName>
    <definedName name="SourceData_Dairy.SourceData_Dairy_FractionOfNitrogenLostThroughLeachingAndRunoff_Title">_xlfn.LAMBDA("Fraction of N that is lost through leaching and runoff")</definedName>
    <definedName name="SourceData_Dairy.SourceData_Dairy_FractionOfNitrogenLostThroughLeachingAndRunoff_Unit">_xlfn.LAMBDA("Dimensionless")</definedName>
    <definedName name="SourceData_Dairy.SourceData_Dairy_FractionOfNitrogenLostThroughLeachingAndRunoff_Variable">_xlfn.LAMBDA("Frac_LEACH_MS")</definedName>
    <definedName name="SourceData_Dairy.SourceData_Dairy_FractionOfNitrogenLostThroughLeachingAndRunoff_Variation">_xlfn.LAMBDA("")</definedName>
    <definedName name="SourceData_Dairy.SourceData_Dairy_FractionVolatileSolidsVoidedMMS_Data">_xlfn.LAMBDA(_xlfn.MAKEARRAY(5, 4, _xlfn.LAMBDA(_xlpm.r,_xlpm.c, INDEX({"Area","Pasture","Milking Shed","Feedpad";"System 1: Grazed Only",0.89,0.11,0;"System 2: On feedpad for &lt;10 hr/day for &lt;3 months/year",0.79,0.11,0.1;"System 3: Pasture-grazed 3-9 months/year",0.534,0.11,0.356;"System 4: Zero grazing",0,0.11,0.89}, _xlpm.r, _xlpm.c))))</definedName>
    <definedName name="SourceData_Dairy.SourceData_Dairy_FractionVolatileSolidsVoidedMMS_Source">_xlfn.LAMBDA("VEERG 2026: Table A.1.3.10")</definedName>
    <definedName name="SourceData_Dairy.SourceData_Dairy_FractionVolatileSolidsVoidedMMS_Title">_xlfn.LAMBDA("Table A.1.3.10: Dairy cattle - Fraction of volatile solids voided to each manure management system (fraction) (MMSjm)")</definedName>
    <definedName name="SourceData_Dairy.SourceData_Dairy_FractionVolatileSolidsVoidedMMS_Unit">_xlfn.LAMBDA("fraction")</definedName>
    <definedName name="SourceData_Dairy.SourceData_Dairy_FractionVolatileSolidsVoidedMMS_Variable">_xlfn.LAMBDA("MMSjm")</definedName>
    <definedName name="SourceData_Dairy.SourceData_Dairy_FractionVolatileSolidsVoidedMMS_Variation">_xlfn.LAMBDA("VARIATION OF SOURCE: Excluded 'Annual fraction of time spent per area' row as this information is in the table title.")</definedName>
    <definedName name="SourceData_Dairy.SourceData_Dairy_GrossEnergyContent_Data">_xlfn.LAMBDA(18.4)</definedName>
    <definedName name="SourceData_Dairy.SourceData_Dairy_GrossEnergyContent_Source">_xlfn.LAMBDA("VEERG 2026: 3.3.2.3 CONSTANTS")</definedName>
    <definedName name="SourceData_Dairy.SourceData_Dairy_GrossEnergyContent_Title">_xlfn.LAMBDA("Gross energy content of feed dry matter")</definedName>
    <definedName name="SourceData_Dairy.SourceData_Dairy_GrossEnergyContent_Unit">_xlfn.LAMBDA("MJ / kgDM")</definedName>
    <definedName name="SourceData_Dairy.SourceData_Dairy_GrossEnergyContent_Variable">_xlfn.LAMBDA("GEC")</definedName>
    <definedName name="SourceData_Dairy.SourceData_Dairy_GrossEnergyContent_Variation">_xlfn.LAMBDA("")</definedName>
    <definedName name="SourceData_Dairy.SourceData_Dairy_IncreasedMetabolicRateMilk_Data">_xlfn.LAMBDA(_xlfn.MAKEARRAY(3, 2, _xlfn.LAMBDA(_xlpm.r,_xlpm.c, INDEX({"Animal Class j","MRj";"Milking cows, and house cows",1.1;"All other cattle classes",1}, _xlpm.r, _xlpm.c))))</definedName>
    <definedName name="SourceData_Dairy.SourceData_Dairy_IncreasedMetabolicRateMilk_Source">_xlfn.LAMBDA("VEERG 2026: Table A.1.3.9")</definedName>
    <definedName name="SourceData_Dairy.SourceData_Dairy_IncreasedMetabolicRateMilk_Title">_xlfn.LAMBDA("Table A.1.3.9: Dairy cattle - Increased metabolic rate when producing milk (MRj)")</definedName>
    <definedName name="SourceData_Dairy.SourceData_Dairy_IncreasedMetabolicRateMilk_Unit">_xlfn.LAMBDA("")</definedName>
    <definedName name="SourceData_Dairy.SourceData_Dairy_IncreasedMetabolicRateMilk_Variable">_xlfn.LAMBDA("MRj")</definedName>
    <definedName name="SourceData_Dairy.SourceData_Dairy_IncreasedMetabolicRateMilk_Variation">_xlfn.LAMBDA("")</definedName>
    <definedName name="SourceData_Dairy.SourceData_Dairy_LiveweightBulls_Data">_xlfn.LAMBDA(_xlfn.MAKEARRAY(2, 3, _xlfn.LAMBDA(_xlpm.r,_xlpm.c, INDEX({"Breed","Bulls &gt;1","Bulls &lt;1 (weaned)";"All breeds",600,225}, _xlpm.r, _xlpm.c))))</definedName>
    <definedName name="SourceData_Dairy.SourceData_Dairy_LiveweightBulls_Source">_xlfn.LAMBDA("VEERG 2026: Table A.1.3.2")</definedName>
    <definedName name="SourceData_Dairy.SourceData_Dairy_LiveweightBulls_Title">_xlfn.LAMBDA("Table A.1.3.2: Dairy cattle - Liveweight (kg) - Bulls (Wj)")</definedName>
    <definedName name="SourceData_Dairy.SourceData_Dairy_LiveweightBulls_Unit">_xlfn.LAMBDA("kg")</definedName>
    <definedName name="SourceData_Dairy.SourceData_Dairy_LiveweightBulls_Variable">_xlfn.LAMBDA("Wj")</definedName>
    <definedName name="SourceData_Dairy.SourceData_Dairy_LiveweightBulls_Variation">_xlfn.LAMBDA("")</definedName>
    <definedName name="SourceData_Dairy.SourceData_Dairy_LiveweightCowsAndHeifers_Data">_xlfn.LAMBDA(_xlfn.MAKEARRAY(11, 4, _xlfn.LAMBDA(_xlpm.r,_xlpm.c, INDEX({"Breed","Milking Cows","Heifers &gt;1","Heifers &lt;1 (weaned)";"Medium Friesian",550,380,155;"Large Friesian",600,415,170;"Holstein-Friesian",650,450,185;"Friesian crossbred",500,350,145;"Jersey",400,275,115;"Jersey crossbred",450,315,130;"Ayrshire",540,375,150;"Guernsey",480,335,140;"Brown Swiss",600,415,170;"Illawarra/Aussie Red",550,375,150}, _xlpm.r, _xlpm.c))))</definedName>
    <definedName name="SourceData_Dairy.SourceData_Dairy_LiveweightCowsAndHeifers_Source">_xlfn.LAMBDA("VEERG 2026: Table A.1.3.1")</definedName>
    <definedName name="SourceData_Dairy.SourceData_Dairy_LiveweightCowsAndHeifers_Title">_xlfn.LAMBDA("Table A.1.3.1: Dairy cattle - Liveweight (kg) - Cows and Heifers (Wj)")</definedName>
    <definedName name="SourceData_Dairy.SourceData_Dairy_LiveweightCowsAndHeifers_Unit">_xlfn.LAMBDA("kg")</definedName>
    <definedName name="SourceData_Dairy.SourceData_Dairy_LiveweightCowsAndHeifers_Variable">_xlfn.LAMBDA("Wj")</definedName>
    <definedName name="SourceData_Dairy.SourceData_Dairy_LiveweightCowsAndHeifers_Variation">_xlfn.LAMBDA("VARIATION OF SOURCE: Excluded 'Reference', as the value is consistently 'Dairy Australia [1]' and is not used in calculation.")</definedName>
    <definedName name="SourceData_Dairy.SourceData_Dairy_LiveweightGain_Data">_xlfn.LAMBDA(_xlfn.MAKEARRAY(2, 5, _xlfn.LAMBDA(_xlpm.r,_xlpm.c, INDEX({"Milking Cows","Heifers &gt;1","Heifers &lt;1 (weaned)","Bulls &gt;1","Bulls &lt;1 (weaned)";0.016,0.6,0.57,0.1,0.8}, _xlpm.r, _xlpm.c))))</definedName>
    <definedName name="SourceData_Dairy.SourceData_Dairy_LiveweightGain_Source">_xlfn.LAMBDA("VEERG 2026: Table A.1.3.3")</definedName>
    <definedName name="SourceData_Dairy.SourceData_Dairy_LiveweightGain_Title">_xlfn.LAMBDA("Table A.1.3.3: Dairy cattle - Liveweight gain (kg) (LWGj)")</definedName>
    <definedName name="SourceData_Dairy.SourceData_Dairy_LiveweightGain_Unit">_xlfn.LAMBDA("kg")</definedName>
    <definedName name="SourceData_Dairy.SourceData_Dairy_LiveweightGain_Variable">_xlfn.LAMBDA("LWGj")</definedName>
    <definedName name="SourceData_Dairy.SourceData_Dairy_LiveweightGain_Variation">_xlfn.LAMBDA("")</definedName>
    <definedName name="SourceData_Dairy.SourceData_Dairy_MCF_Data">_xlfn.LAMBDA(_xlfn.MAKEARRAY(7,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definedName>
    <definedName name="SourceData_Dairy.SourceData_Dairy_MCF_Source">_xlfn.LAMBDA("VEERG 2026: Table A.1.3.6")</definedName>
    <definedName name="SourceData_Dairy.SourceData_Dairy_MCF_Title">_xlfn.LAMBDA("Table A.1.3.6: Dairy cattle - Dairy cattle - MCFs (fraction) (MCFjm)")</definedName>
    <definedName name="SourceData_Dairy.SourceData_Dairy_MCF_Unit">_xlfn.LAMBDA("fraction")</definedName>
    <definedName name="SourceData_Dairy.SourceData_Dairy_MCF_Variable">_xlfn.LAMBDA("MCFjm")</definedName>
    <definedName name="SourceData_Dairy.SourceData_Dairy_MCF_Variation">_xlfn.LAMBDA("VARIATION OF SOURCE: Added 'NIR reference' column to aid lookup")</definedName>
    <definedName name="SourceData_Dairy.SourceData_Dairy_MethaneEmissionsPotential_Data">_xlfn.LAMBDA(0.24)</definedName>
    <definedName name="SourceData_Dairy.SourceData_Dairy_MethaneEmissionsPotential_Source">_xlfn.LAMBDA("VEERG 2026: 4.3.2.3 CONSTANTS")</definedName>
    <definedName name="SourceData_Dairy.SourceData_Dairy_MethaneEmissionsPotential_Title">_xlfn.LAMBDA("Methane emissions potential")</definedName>
    <definedName name="SourceData_Dairy.SourceData_Dairy_MethaneEmissionsPotential_Unit">_xlfn.LAMBDA("m3 CH4/kgVS")</definedName>
    <definedName name="SourceData_Dairy.SourceData_Dairy_MethaneEmissionsPotential_Variable">_xlfn.LAMBDA("B_o")</definedName>
    <definedName name="SourceData_Dairy.SourceData_Dairy_MethaneEmissionsPotential_Variation">_xlfn.LAMBDA("")</definedName>
    <definedName name="SourceData_Dairy.SourceData_Dairy_MethaneProductionPreWeanedCalves_Data">_xlfn.LAMBDA(_xlfn.MAKEARRAY(3, 2, _xlfn.LAMBDA(_xlpm.r,_xlpm.c, INDEX({"Animal Class j","MPWENTERIC";"Heifers &lt; 1 year",0.0176;"Bulls &lt; 1 year",0.0204}, _xlpm.r, _xlpm.c))))</definedName>
    <definedName name="SourceData_Dairy.SourceData_Dairy_MethaneProductionPreWeanedCalves_Source">_xlfn.LAMBDA("VEERG 2026: Table A.1.3.8")</definedName>
    <definedName name="SourceData_Dairy.SourceData_Dairy_MethaneProductionPreWeanedCalves_Title">_xlfn.LAMBDA("Table A.1.3.8: Dairy cattle - Methane production for pre-weaned heifer and bull calves (kg CH4/head/day) (MPWENTERIC,j=3,5)")</definedName>
    <definedName name="SourceData_Dairy.SourceData_Dairy_MethaneProductionPreWeanedCalves_Unit">_xlfn.LAMBDA("kg CH4/head/day")</definedName>
    <definedName name="SourceData_Dairy.SourceData_Dairy_MethaneProductionPreWeanedCalves_Variable">_xlfn.LAMBDA("MPWENTERIC,j=3,5")</definedName>
    <definedName name="SourceData_Dairy.SourceData_Dairy_MethaneProductionPreWeanedCalves_Variation">_xlfn.LAMBDA("")</definedName>
    <definedName name="SourceData_Dairy.SourceData_Dairy_NetEnergy_Data">_xlfn.LAMBDA(3.054)</definedName>
    <definedName name="SourceData_Dairy.SourceData_Dairy_NetEnergy_Source">_xlfn.LAMBDA("VEERG 2026: 3.3.2.3 CONSTANTS")</definedName>
    <definedName name="SourceData_Dairy.SourceData_Dairy_NetEnergy_Title">_xlfn.LAMBDA("Net energy required for milk production")</definedName>
    <definedName name="SourceData_Dairy.SourceData_Dairy_NetEnergy_Unit">_xlfn.LAMBDA("MJ net energy / kg milk")</definedName>
    <definedName name="SourceData_Dairy.SourceData_Dairy_NetEnergy_Variable">_xlfn.LAMBDA("NE")</definedName>
    <definedName name="SourceData_Dairy.SourceData_Dairy_NetEnergy_Variation">_xlfn.LAMBDA("")</definedName>
    <definedName name="SourceData_Dairy.SourceData_Dairy_NitrousOxideEFsAndFracGASM_Data">_xlfn.LAMBDA(_xlfn.MAKEARRAY(6, 4, _xlfn.LAMBDA(_xlpm.r,_xlpm.c, INDEX({"MMS m","EFm (kg N2O-N/kg N excreted)","FracGASMm (kg N2O-N/kg N excreted)","NIR reference";"M=14 Pasture",0,0,"Pasture range and paddock";"M=1 Anaerobic lagoon",0,0.35,"Anaerobic lagoon";"M=2 Daily Spread - Sump and Dispersal",0,0.07,"Sump and dispersal system";"M=3 Daily Spread - Drains to Paddock",0,0.2,"Drains to paddock";"M=3 Solid Storage",0.005,0.3,"Solid storage"}, _xlpm.r, _xlpm.c))))</definedName>
    <definedName name="SourceData_Dairy.SourceData_Dairy_NitrousOxideEFsAndFracGASM_Source">_xlfn.LAMBDA("VEERG 2026: Table A.1.3.7")</definedName>
    <definedName name="SourceData_Dairy.SourceData_Dairy_NitrousOxideEFsAndFracGASM_Title">_xlfn.LAMBDA("Table A.1.3.7: Dairy cattle - Nitrous oxide EFs and fraction of N volatilised by MMS")</definedName>
    <definedName name="SourceData_Dairy.SourceData_Dairy_NitrousOxideEFsAndFracGASM_Unit">_xlfn.LAMBDA("kg N2O-N/kg N excreted")</definedName>
    <definedName name="SourceData_Dairy.SourceData_Dairy_NitrousOxideEFsAndFracGASM_Variable">_xlfn.LAMBDA("EFm; FracGASMm")</definedName>
    <definedName name="SourceData_Dairy.SourceData_Dairy_NitrousOxideEFsAndFracGASM_Variation">_xlfn.LAMBDA("VARIATION OF SOURCE: Added 'NIR reference' column to aid lookup")</definedName>
    <definedName name="SourceData_Dairy.SourceData_Dairy_PreWeanedCalves_Data">_xlfn.LAMBDA(_xlfn.MAKEARRAY(4, 4, _xlfn.LAMBDA(_xlpm.r,_xlpm.c, INDEX({"Animal class j","CH4 production","Volatile solids (VSj=3,5)","Nitrogen Excreted (NPWj=3,5)";"","(kg/day)","(kg/day)","(kg/day)";"Heifers&lt;1",0.0176,0.2685,0.0137;"Bulls&lt;1",0.0204,0.3003,0.0092}, _xlpm.r, _xlpm.c))))</definedName>
    <definedName name="SourceData_Dairy.SourceData_Dairy_PreWeanedCalves_Source">_xlfn.LAMBDA("VEERG 2026: Table A.1.3.5")</definedName>
    <definedName name="SourceData_Dairy.SourceData_Dairy_PreWeanedCalves_Title">_xlfn.LAMBDA("Table A.1.3.5: Dairy cattle - Data for pre - weaned calves")</definedName>
    <definedName name="SourceData_Dairy.SourceData_Dairy_PreWeanedCalves_Unit">_xlfn.LAMBDA("kg/day")</definedName>
    <definedName name="SourceData_Dairy.SourceData_Dairy_PreWeanedCalves_Variable">_xlfn.LAMBDA("VSj=3,5; NPWj=3,5")</definedName>
    <definedName name="SourceData_Dairy.SourceData_Dairy_PreWeanedCalves_Variation">_xlfn.LAMBDA("VARIATION OF SOURCE: Added 'Animal class j' column header")</definedName>
    <definedName name="SourceData_Dairy.SourceData_Dairy_ProteinContentInMilk_Data">_xlfn.LAMBDA(3.3)</definedName>
    <definedName name="SourceData_Dairy.SourceData_Dairy_ProteinContentInMilk_Source">_xlfn.LAMBDA("VEERG 2026: 3.3.2.2 DATA (METHOD 1 AND 2 OPTIONS)")</definedName>
    <definedName name="SourceData_Dairy.SourceData_Dairy_ProteinContentInMilk_Title">_xlfn.LAMBDA("Protein content in fat and protein corrected milk")</definedName>
    <definedName name="SourceData_Dairy.SourceData_Dairy_ProteinContentInMilk_Unit">_xlfn.LAMBDA("percent")</definedName>
    <definedName name="SourceData_Dairy.SourceData_Dairy_ProteinContentInMilk_Variable">_xlfn.LAMBDA("PC_j")</definedName>
    <definedName name="SourceData_Dairy.SourceData_Dairy_ProteinContentInMilk_Variation">_xlfn.LAMBDA("")</definedName>
    <definedName name="SourceData_Dairy.SourceData_Dairy_ReferenceWeights_Data">_xlfn.LAMBDA(_xlfn.MAKEARRAY(2, 5, _xlfn.LAMBDA(_xlpm.r,_xlpm.c, INDEX({"Milking Cows","Heifers &gt;1","Heifers &lt;1 (weaned)","Bulls &gt;1","Bulls &lt;1 (weaned)";590,590,590,770,770}, _xlpm.r, _xlpm.c))))</definedName>
    <definedName name="SourceData_Dairy.SourceData_Dairy_ReferenceWeights_Source">_xlfn.LAMBDA("VEERG 2026: Table A.1.3.4")</definedName>
    <definedName name="SourceData_Dairy.SourceData_Dairy_ReferenceWeights_Title">_xlfn.LAMBDA("Table A.1.3.4: Dairy cattle - Reference weights (kg) (WRj)")</definedName>
    <definedName name="SourceData_Dairy.SourceData_Dairy_ReferenceWeights_Unit">_xlfn.LAMBDA("kg")</definedName>
    <definedName name="SourceData_Dairy.SourceData_Dairy_ReferenceWeights_Variable">_xlfn.LAMBDA("WRj")</definedName>
    <definedName name="SourceData_Dairy.SourceData_Dairy_ReferenceWeights_Variation">_xlfn.LAMBDA("")</definedName>
    <definedName name="SourceData_Dairy.SourceData_Dairy_Symbols_Livestock_Dairy_DairyCattleClasses_Data">_xlfn.LAMBDA(_xlfn.MAKEARRAY(6, 3, _xlfn.LAMBDA(_xlpm.r,_xlpm.c, INDEX({"Symbol","State/ territory (i)","";1,"Milking cows","Milking cows (1)";2,"Heifers &gt; 1 year","Heifers &gt; 1 year (2)";3,"Heifers &lt; 1 year","Heifers &lt; 1 year (3)";4,"Bulls &gt; 1 year","Bulls &gt; 1 year (4)";5,"Bulls &lt; 1 year","Bulls &lt; 1 year (5)"}, _xlpm.r, _xlpm.c))))</definedName>
    <definedName name="SourceData_Dairy.SourceData_Dairy_Symbols_Livestock_Dairy_DairyCattleClasses_Source">_xlfn.LAMBDA("National Inventory Report 2023 Volume 1")</definedName>
    <definedName name="SourceData_Dairy.SourceData_Dairy_Symbols_Livestock_Dairy_DairyCattleClasses_Title">_xlfn.LAMBDA("Table 5.2 Symbols used in algorithms for dairy cattle - Dairy cattle classes (j)")</definedName>
    <definedName name="SourceData_Dairy.SourceData_Dairy_Symbols_Livestock_Dairy_DairyCattleClasses_Unit">_xlfn.LAMBDA("")</definedName>
    <definedName name="SourceData_Dairy.SourceData_Dairy_Symbols_Livestock_Dairy_DairyCattleClasses_Variable">_xlfn.LAMBDA("j")</definedName>
    <definedName name="SourceData_Dairy.SourceData_Dairy_Symbols_Livestock_Dairy_StateTerritory_Data">_xlfn.LAMBDA(_xlfn.MAKEARRAY(9, 2, _xlfn.LAMBDA(_xlpm.r,_xlpm.c, INDEX({"Symbol","State/ territory (i)";1,"ACT";2,"Northern Territory";3,"NSW";4,"Queensland";5,"Tasmania";6,"South Australia";7,"Victoria";8,"Western Australia"}, _xlpm.r, _xlpm.c))))</definedName>
    <definedName name="SourceData_Dairy.SourceData_Dairy_Symbols_Livestock_Dairy_StateTerritory_Source">_xlfn.LAMBDA("National Inventory Report 2023 Volume 1")</definedName>
    <definedName name="SourceData_Dairy.SourceData_Dairy_Symbols_Livestock_Dairy_StateTerritory_Title">_xlfn.LAMBDA("Table 5.2 Symbols used in algorithms for dairy cattle - State/Territory (i)")</definedName>
    <definedName name="SourceData_Dairy.SourceData_Dairy_Symbols_Livestock_Dairy_StateTerritory_Unit">_xlfn.LAMBDA("")</definedName>
    <definedName name="SourceData_Dairy.SourceData_Dairy_Symbols_Livestock_Dairy_StateTerritory_Variable">_xlfn.LAMBDA("s")</definedName>
    <definedName name="SourceData_Feedlot.SourceData_Feedlot_AshContent_Data">_xlfn.LAMBDA(0.16)</definedName>
    <definedName name="SourceData_Feedlot.SourceData_Feedlot_AshContent_Source">_xlfn.LAMBDA("VEERG 2026: 4.1.2.3 CONSTANTS")</definedName>
    <definedName name="SourceData_Feedlot.SourceData_Feedlot_AshContent_Title">_xlfn.LAMBDA("Ash content of manure.")</definedName>
    <definedName name="SourceData_Feedlot.SourceData_Feedlot_AshContent_Unit">_xlfn.LAMBDA("Fraction")</definedName>
    <definedName name="SourceData_Feedlot.SourceData_Feedlot_AshContent_Variable">_xlfn.LAMBDA("A")</definedName>
    <definedName name="SourceData_Feedlot.SourceData_Feedlot_AshContent_Variation">_xlfn.LAMBDA("")</definedName>
    <definedName name="SourceData_Feedlot.SourceData_Feedlot_MCF_Data">_xlfn.LAMBDA(_xlfn.MAKEARRAY(6, 11, _xlfn.LAMBDA(_xlpm.r,_xlpm.c, INDEX({"Treatment stage T","MMS m","NSW","ACT","QLD","NT","SA","VIC","WA","TAS","NIR definition";"Primary","Dry lot (Feedpad)",0.01,0.01,0.03,"No data",0.01,0.01,0.01,"No data","Drylot (feed pad)";"Secondary","Solid Storage (Stockpile)",0.02,0.02,0.02,"No data",0.02,0.02,0.02,"No data","Solid storage";"Secondary","Composting (Passive Windrow)",0.01,0.01,0.01,"No data",0.01,0.01,0.01,"No data","Composting (passive windrow)";"Secondary","Direct Application to soil",0,0,0,"No data",0,0,0,"No data","Direct application";"Tertiary","Uncovered anaerobic lagoon (Effluent pond)",0.75,0.75,0.77,"No data",0.75,0.75,0.77,"No data","Anaerobic lagoon"}, _xlpm.r, _xlpm.c))))</definedName>
    <definedName name="SourceData_Feedlot.SourceData_Feedlot_MCF_Source">_xlfn.LAMBDA("VEERG 2026: Table A.1.7.4: Feedlot - MCFs")</definedName>
    <definedName name="SourceData_Feedlot.SourceData_Feedlot_MCF_Title">_xlfn.LAMBDA("Feedlot - MCFs")</definedName>
    <definedName name="SourceData_Feedlot.SourceData_Feedlot_MCF_Unit">_xlfn.LAMBDA("")</definedName>
    <definedName name="SourceData_Feedlot.SourceData_Feedlot_MCF_Variation">_xlfn.LAMBDA(_xlfn.MAKEARRAY(4, 1, _xlfn.LAMBDA(_xlpm.r,_xlpm.c, INDEX({"VARIATION ON SOURCE:";"Duplicated NSW values for ACT";"Added NT and TAS columns with 'no data' values";"Added 'NIR definition' column with MMS names that match NIR definitions."}, _xlpm.r, _xlpm.c))))</definedName>
    <definedName name="SourceData_Feedlot.SourceData_Feedlot_MethaneEmissionsPotential_Data">_xlfn.LAMBDA(0.19)</definedName>
    <definedName name="SourceData_Feedlot.SourceData_Feedlot_MethaneEmissionsPotential_Source">_xlfn.LAMBDA("VEERG 2026: 4.1.2.3 CONSTANTS")</definedName>
    <definedName name="SourceData_Feedlot.SourceData_Feedlot_MethaneEmissionsPotential_Title">_xlfn.LAMBDA("Methane emissions potential.")</definedName>
    <definedName name="SourceData_Feedlot.SourceData_Feedlot_MethaneEmissionsPotential_Unit">_xlfn.LAMBDA("m3 CH4 / kg VS")</definedName>
    <definedName name="SourceData_Feedlot.SourceData_Feedlot_MethaneEmissionsPotential_Variable">_xlfn.LAMBDA("B0")</definedName>
    <definedName name="SourceData_Feedlot.SourceData_Feedlot_MethaneEmissionsPotential_Variation">_xlfn.LAMBDA("")</definedName>
    <definedName name="SourceData_Feedlot.SourceData_Feedlot_MMSm1T3_Data">_xlfn.LAMBDA(0.02)</definedName>
    <definedName name="SourceData_Feedlot.SourceData_Feedlot_MMSm1T3_Source">_xlfn.LAMBDA("VEERG 2026: 4.1.2.3 CONSTANTS")</definedName>
    <definedName name="SourceData_Feedlot.SourceData_Feedlot_MMSm1T3_Title">_xlfn.LAMBDA("Fraction of volatile solids to each tertiary system assumed that 2 per cent is run - off from the feed pad.")</definedName>
    <definedName name="SourceData_Feedlot.SourceData_Feedlot_MMSm1T3_Unit">_xlfn.LAMBDA("Fraction")</definedName>
    <definedName name="SourceData_Feedlot.SourceData_Feedlot_MMSm1T3_Variable">_xlfn.LAMBDA("MMSm1T3")</definedName>
    <definedName name="SourceData_Feedlot.SourceData_Feedlot_MMSm1T3_Variation">_xlfn.LAMBDA("")</definedName>
    <definedName name="SourceData_Feedlot.SourceData_Feedlot_VSL_Data">_xlfn.LAMBDA(0.5)</definedName>
    <definedName name="SourceData_Feedlot.SourceData_Feedlot_VSL_Source">_xlfn.LAMBDA("VEERG 2026: 4.1.2.3 CONSTANTS")</definedName>
    <definedName name="SourceData_Feedlot.SourceData_Feedlot_VSL_Title">_xlfn.LAMBDA("Feedlot - Fraction of volatile solids lost during storage in the primary system")</definedName>
    <definedName name="SourceData_Feedlot.SourceData_Feedlot_VSL_Unit">_xlfn.LAMBDA("Fraction")</definedName>
    <definedName name="SourceData_Feedlot.SourceData_Feedlot_VSL_Variable">_xlfn.LAMBDA("VSL")</definedName>
    <definedName name="SourceData_Feedlot.SourceData_Feedlot_VSL_Variation">_xlfn.LAMBDA("")</definedName>
    <definedName name="SourceData_PastureBeef.NIR_2023_Vol2_A5_5_2_1_PastureBeef_Liveweight_Data">_xlfn.LAMBDA(_xlfn.MAKEARRAY(61, 15, _xlfn.LAMBDA(_xlpm.r,_xlpm.c, INDEX({"State","Region","Season","Bulls &lt; 1","Bulls &gt; 1","Cows &lt; 1","Cows 1-2","Cows &gt; 2","Cows 2-3","Cows &gt; 3","Steers &lt; 1","Steers &gt; 1","Steers 1-2","Steers 2-3","Steers &gt; 3";"ACT","","Spring",80,480,75,300,440,"","",75,380,"","","";"ACT","","Summer",170,520,160,360,470,"","",160,420,"","","";"ACT","","Autumn",240,550,220,390,490,"","",220,450,"","","";"ACT","","Winter",280,560,260,410,500,"","",260,460,"","","";"NSW","","Spring",80,480,75,300,440,"","",75,380,"","","";"NSW","","Summer",170,520,160,360,470,"","",160,420,"","","";"NSW","","Autumn",240,550,220,390,490,"","",220,450,"","","";"NSW","","Winter",280,560,260,410,500,"","",260,460,"","","";"SA","","Spring",250,800,220,400,500,"","",230,420,"","","";"SA","","Summer",320,800,280,420,500,"","",290,420,"","","";"SA","","Autumn",80,700,70,300,450,"","",75,400,"","","";"SA","","Winter",160,700,140,350,450,"","",150,400,"","","";"TAS","","Spring",105,700,85,300,490,"","",90,480,"","","";"TAS","","Summer",480,750,150,350,530,"","",160,460,"","","";"TAS","","Autumn",250,725,200,360,500,"","",215,490,"","","";"TAS","","Winter",260,700,210,380,460,"","",230,470,"","","";"VIC","","Spring",250,820,240,410,560,"","",240,510,"","","";"VIC","","Summer",280,850,260,440,550,"","",270,520,"","","";"VIC","","Autumn",100,700,95,300,450,"","",95,410,"","","";"VIC","","Winter",150,720,140,320,470,"","",140,440,"","","";"WA","South West","Spring",340,800,260,420,550,"","",300,480,"","","";"WA","South West","Summer",380,780,300,450,530,"","",340,470,"","","";"WA","South West","Autumn",100,680,80,320,480,"","",100,340,"","","";"WA","South West","Winter",190,700,150,330,490,"","",170,360,"","","";"WA","Pilbara","Spring",80,450,70,260,340,"","",80,370,"","","";"WA","Pilbara","Summer",150,500,140,310,360,"","",150,400,"","","";"WA","Pilbara","Autumn",230,550,220,330,380,"","",230,420,"","","";"WA","Pilbara","Winter",250,500,240,340,360,"","",250,390,"","","";"WA","Kimberley","Spring:",220,500,180,300,320,"","",210,340,"","","";"WA","Kimberley","Summer:",110,550,90,220,380,"","",100,390,"","","";"WA","Kimberley","Autumn:",170,600,140,270,390,"","",160,430,"","","";"WA","Kimberley","Winter:",200,550,150,280,350,"","",190,400,"","","";"NT","Alice Springs","Spring",220,706,208,323,"",415,467,223,"",371,493,585;"NT","Alice Springs","Summer",110,703,112,256,"",368,465,108,"",280,421,543;"NT","Alice Springs","Autumn",170,721,169,306,"",392,464,176,"",339,470,580;"NT","Alice Springs","Winter",200,727,211,338,"",432,492,222,"",377,498,590;"NT","Barkly","Spring",220,620,227,319,"",398,452,216,"",334,0,0;"NT","Barkly","Summer",110,650,108,262,"",346,430,111,"",236,0,0;"NT","Barkly","Autumn",170,670,170,266,"",363,444,169,"",282,0,0;"NT","Barkly","Winter",200,660,225,307,"",398,452,214,"",326,0,0;"NT","Northern","Spring",220,620,177,267,"",365,406,231,"",249,324,0;"NT","Northern","Summer",110,650,102,203,"",299,380,102,"",218,263,0;"NT","Northern","Autumn",170,670,173,250,"",336,414,175,"",243,304,0;"NT","Northern","Winter",200,660,202,272,"",365,390,208,"",260,337,0;"QLD","High","Spring",260,705,215,302,"",416,519,234,"",455,551,660;"QLD","High","Summer",153,703,118,277,"",397,483,111,"",304,521,547;"QLD","High","Autumn",168,718,191,319,"",440,506,188,"",326,520,582;"QLD","High","Winter",235,722,207,352,"",470,514,209,"",421,512,605;"QLD","Moderate/High","Spring",230,674,217,"",344,357,467,242,"",370,550,620;"QLD","Moderate/High","Summer",113,669,113,"",283,361,477,120,"",273,545,553;"QLD","Moderate/High","Autumn",172,685,172,"",309,376,471,238,"",329,573,620;"QLD","Moderate/High","Winter",241,692,208,"",344,364,484,260,"",350,567,620;"QLD","Moderate/Low","Spring",236,674,178,"",310,428,466,193,"",370,519,565;"QLD","Moderate/Low","Summer",120,669,112,"",250,390,448,115,"",273,433,556;"QLD","Moderate/Low","Autumn",125,685,140,"",277,407,455,141,"",296,445,593;"QLD","Moderate/Low","Winter",180,692,183,"",316,438,468,189,"",354,500,553;"QLD","Low","Spring",190,617,174,"",265,371,415,170,"",272,392,531;"QLD","Low","Summer",119,591,140,"",205,310,405,133,"",218,315,445;"QLD","Low","Autumn",175,610,163,"",232,351,427,146,"",242,320,471;"QLD","Low","Winter",192,615,162,"",255,364,420,157,"",261,342,484}, _xlpm.r, _xlpm.c))))</definedName>
    <definedName name="SourceData_PastureBeef.NIR_2023_Vol2_A5_5_2_1_PastureBeef_Liveweight_Source">_xlfn.LAMBDA("National Inventory Report 2023 Volume 2 - Table A5.5.2.1")</definedName>
    <definedName name="SourceData_PastureBeef.NIR_2023_Vol2_A5_5_2_1_PastureBeef_Liveweight_Title">_xlfn.LAMBDA("Beef cattle - Liveweight")</definedName>
    <definedName name="SourceData_PastureBeef.NIR_2023_Vol2_A5_5_2_1_PastureBeef_Liveweight_Unit">_xlfn.LAMBDA("kg/head/day")</definedName>
    <definedName name="SourceData_PastureBeef.NIR_2023_Vol2_A5_5_2_1_PastureBeef_Liveweight_Variation">_xlfn.LAMBDA("")</definedName>
    <definedName name="SourceData_PastureBeef.NIR_2023_Vol2_A5_5_2_2_PastureBeef_LiveweightGain_Data">_xlfn.LAMBDA(_xlfn.MAKEARRAY(61, 15, _xlfn.LAMBDA(_xlpm.r,_xlpm.c, INDEX({"State","Region","Season","Bulls &lt; 1","Bulls &gt; 1","Cows &lt; 1","Cows 1-2","Cows &gt; 2","Cows 2-3","Cows &gt; 3","Steers &lt; 1","Steers &gt; 1","Steers 1-2","Steers 2-3","Steers &gt; 3";"ACT","","Spring",0.5,0.2,0.5,0.4,0.3,"","",0.5,0.4,"","","";"ACT","","Summer",1,0.4,0.9,0.7,0.3,"","",0.9,0.4,"","","";"ACT","","Autumn",0.8,0.3,0.7,0.3,0.2,"","",0.7,0.3,"","","";"ACT","","Winter",0.4,0.1,0.4,0.2,0.1,"","",0.4,0.1,"","","";"NSW","","Spring",0.5,0.2,0.5,0.4,0.3,"","",0.5,0.4,"","","";"NSW","","Summer",1,0.4,0.9,0.7,0.3,"","",0.9,0.4,"","","";"NSW","","Autumn",0.8,0.3,0.7,0.3,0.2,"","",0.7,0.3,"","","";"NSW","","Winter",0.4,0.1,0.4,0.2,0.1,"","",0.4,0.1,"","","";"SA","","Spring",0.99,1.1,0.88,0.55,0.55,"","",0.88,0.22,"","","";"SA","","Summer",0.77,0,0.66,0.22,0,"","",0.66,0,"","","";"SA","","Autumn",0.9,-1.1,0.7,0.22,-0.55,"","",0.8,-0.22,"","","";"SA","","Winter",0.88,0,0.77,0.55,0,"","",0.82,0,"","","";"TAS","","Spring",1,0.5,1,1,-0.44,"","",1,0.5,"","","";"TAS","","Summer",0.82,0.55,0.71,0.55,0.99,"","",0.77,0.5,"","","";"TAS","","Autumn",0.77,0.5,0.55,0.11,-0.33,"","",0.6,0.33,"","","";"TAS","","Winter",0.11,-0.27,0.11,0.22,-0.44,"","",0.16,-0.22,"","","";"VIC","","Spring",1.1,1.1,1.1,0.99,0.99,"","",1.1,0.77,"","","";"VIC","","Summer",0.33,0.33,0.22,0.33,-0.1,"","",0.33,0.11,"","","";"VIC","","Autumn",0.5,0.2,0.55,0.44,0.2,"","",0.55,0.2,"","","";"VIC","","Winter",0.55,0.22,0.49,0.22,0.22,"","",0.49,0.33,"","","";"WA","South West","Spring",1.64,1.1,1.21,0.99,0.66,"","",1.42,1.1,"","","";"WA","South West","Summer",0.44,-0.22,0.44,0.33,-0.22,"","",0.44,-0.11,"","","";"WA","South West","Autumn",0.6,0,0.6,0.22,-0.55,"","",0.6,0,"","","";"WA","South West","Winter",0.99,0.22,0.77,0.11,0.11,"","",0.77,0.44,"","","";"WA","Pilbara","Spring",0.7,-0.55,0.7,0.22,-0.22,"","",0.7,-0.22,"","","";"WA","Pilbara","Summer",0.77,0.55,0.77,0.66,0.55,"","",0.77,0.33,"","","";"WA","Pilbara","Autumn",0.88,0.55,0.88,0.22,0.22,"","",0.88,0.22,"","","";"WA","Pilbara","Winter",0.22,-0.55,0.22,0.11,-0.22,"","",0.22,-0.33,"","","";"WA","Kimberley","Spring",0.22,-0.55,0.33,0.22,-0.33,"","",0.22,-0.55,"","","";"WA","Kimberley","Summer",0.8,0.55,0.7,0.44,0.66,"","",0.8,0.55,"","","";"WA","Kimberley","Autumn",0.66,0.55,0.55,0.55,0.11,"","",0.66,0.55,"","","";"WA","Kimberley","Winter",0.33,-0.55,0.11,0.11,-0.44,"","",0.33,-0.55,"","","";"NT","Alice Springs","Spring",0.22,-0.23,0.25,0.17,"",0.18,-0.28,0.32,"",0.24,0.25,-0.05;"NT","Alice Springs","Summer",0.66,0.2,0.62,0.54,"",0.38,0.27,0.75,"",0.64,0.55,0.48;"NT","Alice Springs","Autumn",0.49,0.13,0.54,0.45,"",0.35,0.15,0.63,"",0.54,0.42,0.26;"NT","Alice Springs","Winter",0.27,-0.8,0.22,0.09,"",0.12,0.02,0.25,"",0.18,0.12,0.03;"NT","Barkly","Spring",0.22,-0.44,0.2,0.21,"",0.18,0.01,0.12,"",0.09,0,0;"NT","Barkly","Summer",0.66,0.22,0.68,0.22,"",0.24,0.25,0.64,"",0.37,0,0;"NT","Barkly","Autumn",0.49,0.05,0.64,0.25,"",0.29,0.12,0.57,"",0.49,0,0;"NT","Barkly","Winter",0.27,-0.27,0.31,0.29,"",0.19,0.04,0.26,"",0.28,0,0;"NT","Northern","Spring",0.22,-0.44,0,0.15,"",0.08,0.17,0.06,"",0.02,-0.14,0;"NT","Northern","Summer",0.66,0.22,0.79,0.4,"",0.38,0.27,0.8,"",0.16,0.3,0;"NT","Northern","Autumn",0.49,0.05,0.55,0.38,"",0.36,0.06,0.58,"",0.23,0.4,0;"NT","Northern","Winter",0.27,-0.27,0.02,0.09,"",0.16,-0.04,0.21,"",0.03,0.11,0;"QLD","High","Spring",0.27,-0.19,0.38,0.25,"",0.07,0.05,0.52,"",0.55,0.19,0.6;"QLD","High","Summer",0.16,0.16,0.8,0.57,"",0.76,0.49,0.84,"",0.51,0.36,0.17;"QLD","High","Autumn",0.45,0.1,0.49,0.41,"",0.4,0.17,0.54,"",0.64,-0.05,0.32;"QLD","High","Winter",0.51,-0.07,0.13,-0.09,"",-0.13,0.07,0.25,"",0.71,0.17,0.43;"QLD","Moderate/High","Spring",-0.12,-0.19,0.41,0.09,"",0.41,-0.19,0.07,"",1.07,-0.08,0;"QLD","Moderate/High","Summer",0.65,0.19,0.65,0.51,"",0.18,0.63,1.3,"",0.48,1.12,0.38;"QLD","Moderate/High","Autumn",0.7,0.13,0.52,0.34,"",0.02,0.04,0.77,"",0.42,0.12,0.74;"QLD","Moderate/High","Winter",0.32,-0.06,0.25,0.19,"",-0.1,-0.02,0.02,"",0.23,-0.13,0;"QLD","Moderate/Low","Spring",0.62,-0.19,0.37,0.41,"",0.06,-0.02,0.47,"",0.44,0.3,0.13;"QLD","Moderate/Low","Summer",0.05,0.19,0.31,0.54,"",0.53,0.15,0.28,"",0.57,0.42,0.4;"QLD","Moderate/Low","Autumn",0.33,0.13,0.39,0.36,"",0.26,0.11,0.4,"",0.44,0.37,-0.01;"QLD","Moderate/Low","Winter",0.61,-0.06,0.21,0.18,"",0.12,0.06,0.29,"",0.41,0.41,-0.15;"QLD","Low","Spring",-0.2,0.02,0.24,0.3,"",0.23,-0.05,0.34,"",0.3,0.57,0.52;"QLD","Low","Summer",0.62,0.21,0.25,0.32,"",0.47,0.31,0.14,"",0.4,0.26,0.43;"QLD","Low","Autumn",0.4,0.13,0.12,0.27,"",0.3,0.08,0.13,"",0.24,0.15,0.21;"QLD","Low","Winter",0.08,0.04,0.06,0.18,"",0.11,-0.07,0.13,"",0.16,0.4,0.33}, _xlpm.r, _xlpm.c))))</definedName>
    <definedName name="SourceData_PastureBeef.NIR_2023_Vol2_A5_5_2_2_PastureBeef_LiveweightGain_Source">_xlfn.LAMBDA("National Inventory Report 2023 Volume 2 - Table A5.5.2.2")</definedName>
    <definedName name="SourceData_PastureBeef.NIR_2023_Vol2_A5_5_2_2_PastureBeef_LiveweightGain_Title">_xlfn.LAMBDA("Beef cattle - Liveweight gain")</definedName>
    <definedName name="SourceData_PastureBeef.NIR_2023_Vol2_A5_5_2_2_PastureBeef_LiveweightGain_Unit">_xlfn.LAMBDA("kg/head/day")</definedName>
    <definedName name="SourceData_PastureBeef.NIR_2023_Vol2_A5_5_2_2_PastureBeef_LiveweightGain_Variation">_xlfn.LAMBDA("VARIATION OF SOURCE DATA: ACT and NSW split. 'NO' replaced with 0.")</definedName>
    <definedName name="SourceData_PastureBeef.NIR_2023_Vol2_A5_5_2_3_PastureBeef_DryMatterDigestibility_Data">_xlfn.LAMBDA(_xlfn.MAKEARRAY(11, 6, _xlfn.LAMBDA(_xlpm.r,_xlpm.c, INDEX({"State","Region","Spring","Summer","Autumn","Winter";"ACT","",55,65,60,50;"NSW","",55,65,60,50;"NT","",55,61,57,54;"QLD","",53,57,55,51;"SA","",70,55,55,75;"TAS","",75,60,70,75;"VIC","",80,55,60,76;"WA","South West",80,58,50,75;"WA","Pilbara",40,65,55,45;"WA","Kimberley",40,65,55,45}, _xlpm.r, _xlpm.c))))</definedName>
    <definedName name="SourceData_PastureBeef.NIR_2023_Vol2_A5_5_2_3_PastureBeef_DryMatterDigestibility_Source">_xlfn.LAMBDA("National Inventory Report 2023 Volume 2 - Table A5.5.2.3")</definedName>
    <definedName name="SourceData_PastureBeef.NIR_2023_Vol2_A5_5_2_3_PastureBeef_DryMatterDigestibility_Title">_xlfn.LAMBDA("Beef cattle - Dry matter digestibility of feed intake (per cent)")</definedName>
    <definedName name="SourceData_PastureBeef.NIR_2023_Vol2_A5_5_2_3_PastureBeef_DryMatterDigestibility_Unit">_xlfn.LAMBDA("per cent")</definedName>
    <definedName name="SourceData_PastureBeef.NIR_2023_Vol2_A5_5_2_3_PastureBeef_DryMatterDigestibility_Variation">_xlfn.LAMBDA("VARIATION OF SOURCE DATA: ACT and NSW split.")</definedName>
    <definedName name="SourceData_PastureBeef.NIR_2023_Vol2_A5_5_2_4_PastureBeef_CrudeProteinContent_Data">_xlfn.LAMBDA(_xlfn.MAKEARRAY(11, 6, _xlfn.LAMBDA(_xlpm.r,_xlpm.c, INDEX({"State","Region","Spring","Summer","Autumn","Winter";"ACT","",0.07,0.13,0.1,0.06;"NSW","",0.07,0.13,0.1,0.06;"NT","",0.058,0.092,0.075,0.053;"QLD","",0.072,0.099,0.078,0.059;"SA","",0.16,0.07,0.09,0.2;"TAS","",0.2,0.1,0.16,0.2;"VIC","",0.25,0.07,0.1,0.21;"WA","South West",0.2,0.09,0.06,0.2;"WA","Pilbara",0.04,0.12,0.09,0.06;"WA","Kimberley",0.04,0.12,0.09,0.06}, _xlpm.r, _xlpm.c))))</definedName>
    <definedName name="SourceData_PastureBeef.NIR_2023_Vol2_A5_5_2_4_PastureBeef_CrudeProteinContent_Source">_xlfn.LAMBDA("National Inventory Report 2023 Volume 2 - Table A5.5.2.4")</definedName>
    <definedName name="SourceData_PastureBeef.NIR_2023_Vol2_A5_5_2_4_PastureBeef_CrudeProteinContent_Title">_xlfn.LAMBDA("Beef cattle - Crude protein content of feed intake (fraction)")</definedName>
    <definedName name="SourceData_PastureBeef.NIR_2023_Vol2_A5_5_2_4_PastureBeef_CrudeProteinContent_Unit">_xlfn.LAMBDA("fraction")</definedName>
    <definedName name="SourceData_PastureBeef.NIR_2023_Vol2_A5_5_2_4_PastureBeef_CrudeProteinContent_Variation">_xlfn.LAMBDA("VARIATION OF SOURCE DATA: ACT and NSW split.")</definedName>
    <definedName name="SourceData_PastureBeef.NIR_2023_Vol2_A5_5_2_5_PastureBeef_CrudeProteinContent_Data">_xlfn.LAMBDA(_xlfn.MAKEARRAY(41, 5, _xlfn.LAMBDA(_xlpm.r,_xlpm.c, INDEX({"State","Region","Season","Feed adjustment","Milk intake / production (kg/day)";"ACT","","Spring",1.3,6;"ACT","","Summer",1.1,4;"ACT","","Autumn",0,0;"ACT","","Winter",0,0;"NSW","","Spring",1.3,6;"NSW","","Summer",1.1,4;"NSW","","Autumn",0,0;"NSW","","Winter",0,0;"NT","","Spring",0,0;"NT","","Summer",1.3,4;"NT","","Autumn",1.1,3;"NT","","Winter",0,0;"QLD","","Spring",0,0;"QLD","","Summer",1.3,4;"QLD","","Autumn",1.1,3;"QLD","","Winter",0,0;"SA","","Spring",0,0;"SA","","Summer",0,0;"SA","","Autumn",1.3,6;"SA","","Winter",1.1,4;"TAS","","Spring",1.3,6;"TAS","","Summer",1.1,4;"TAS","","Autumn",0,0;"TAS","","Winter",0,0;"VIC","","Spring",0,0;"VIC","","Summer",0,0;"VIC","","Autumn",1.3,6;"VIC","","Winter",1.1,4;"WA","South West","Spring",0,0;"WA","South West","Summer",0,0;"WA","South West","Autumn",1.3,6;"WA","South West","Winter",1.1,4;"WA","Pilbara","Spring",1.3,4;"WA","Pilbara","Summer",1.1,3;"WA","Pilbara","Autumn",0,0;"WA","Pilbara","Winter",0,0;"WA","Kimberley","Spring",0,0;"WA","Kimberley","Summer",1.3,4;"WA","Kimberley","Autumn",1.1,3;"WA","Kimberley","Winter",0,0}, _xlpm.r, _xlpm.c))))</definedName>
    <definedName name="SourceData_PastureBeef.NIR_2023_Vol2_A5_5_2_5_PastureBeef_CrudeProteinContent_Source">_xlfn.LAMBDA("National Inventory Report 2023 Volume 2 - Table A5.5.2.5")</definedName>
    <definedName name="SourceData_PastureBeef.NIR_2023_Vol2_A5_5_2_5_PastureBeef_CrudeProteinContent_Title">_xlfn.LAMBDA("Beef Cattle - Feed intake adjustment and milk production and production")</definedName>
    <definedName name="SourceData_PastureBeef.NIR_2023_Vol2_A5_5_2_5_PastureBeef_CrudeProteinContent_Unit">_xlfn.LAMBDA("")</definedName>
    <definedName name="SourceData_PastureBeef.NIR_2023_Vol2_A5_5_2_5_PastureBeef_CrudeProteinContent_Variation">_xlfn.LAMBDA("VARIATION OF SOURCE DATA: ACT and NSW split. State names replaced by abbreviations to aid data lookup.")</definedName>
    <definedName name="SourceData_PastureBeef.NIR_2023_Vol2_A5_5_2_6_PastureBeef_StandardReferenceWeights_Data">_xlfn.LAMBDA(_xlfn.MAKEARRAY(9, 8, _xlfn.LAMBDA(_xlpm.r,_xlpm.c, INDEX({"State","Bulls &lt; 1","Bulls &gt; 1","Cows &lt; 1","Cows 1-2","Cows &gt; 2","Steers &lt; 1","Steers &gt; 1";"ACT",700,700,600,500,500,500,600;"NSW",700,700,600,500,500,500,600;"Northern Territory",770,770,660,550,550,550,660;"Queensland",770,770,660,550,550,550,660;"South Australia",770,770,660,550,550,550,660;"Tasmania",770,770,660,550,550,550,660;"Victoria",770,770,660,550,550,550,660;"Western Australia",770,770,660,550,550,550,660}, _xlpm.r, _xlpm.c))))</definedName>
    <definedName name="SourceData_PastureBeef.NIR_2023_Vol2_A5_5_2_6_PastureBeef_StandardReferenceWeights_Source">_xlfn.LAMBDA("National Inventory Report 2023 Volume 2 - Table A5.5.2.6")</definedName>
    <definedName name="SourceData_PastureBeef.NIR_2023_Vol2_A5_5_2_6_PastureBeef_StandardReferenceWeights_Title">_xlfn.LAMBDA("Beef cattle - Standard reference weights (kg)")</definedName>
    <definedName name="SourceData_PastureBeef.NIR_2023_Vol2_A5_5_2_6_PastureBeef_StandardReferenceWeights_Unit">_xlfn.LAMBDA("kg")</definedName>
    <definedName name="SourceData_PastureBeef.NIR_2023_Vol2_A5_5_2_6_PastureBeef_StandardReferenceWeights_Variation">_xlfn.LAMBDA(_xlfn.MAKEARRAY(4, 1, _xlfn.LAMBDA(_xlpm.r,_xlpm.c, INDEX({"VARIATION OF SOURCE DATA:";"ACT and NSW split.";"State names replaced by abbreviations to aid data lookup.";"Pluralised 'Steer' to 'Steers' for consistency."}, _xlpm.r, _xlpm.c))))</definedName>
    <definedName name="SourceData_PastureBeef.SourceData_PastureBeef_AshContentOfFeedIntake_Data">_xlfn.LAMBDA(0.08)</definedName>
    <definedName name="SourceData_PastureBeef.SourceData_PastureBeef_AshContentOfFeedIntake_Source">_xlfn.LAMBDA("VEERG 2026: 4.2.2.3 CONSTANTS")</definedName>
    <definedName name="SourceData_PastureBeef.SourceData_PastureBeef_AshContentOfFeedIntake_Title">_xlfn.LAMBDA("Ash content of feed intake")</definedName>
    <definedName name="SourceData_PastureBeef.SourceData_PastureBeef_AshContentOfFeedIntake_Unit">_xlfn.LAMBDA("fraction")</definedName>
    <definedName name="SourceData_PastureBeef.SourceData_PastureBeef_AshContentOfFeedIntake_Variable">_xlfn.LAMBDA("A")</definedName>
    <definedName name="SourceData_PastureBeef.SourceData_PastureBeef_AshContentOfFeedIntake_Variation">_xlfn.LAMBDA("")</definedName>
    <definedName name="SourceData_PastureBeef.SourceData_PastureBeef_CrudeProteinContent_Data">_xlfn.LAMBDA(_xlfn.MAKEARRAY(16, 6, _xlfn.LAMBDA(_xlpm.r,_xlpm.c, INDEX({"State","Region","Spring","Summer","Autumn","Winter";"ACT","n/a",0.07,0.13,0.1,0.06;"NSW","n/a",0.07,0.13,0.1,0.06;"NT","Alice Springs",0.058,0.092,0.075,0.053;"NT","Barkly",0.058,0.092,0.075,0.053;"NT","Northern",0.058,0.092,0.075,0.053;"QLD","High",0.072,0.099,0.078,0.059;"QLD","Moderate/High",0.072,0.099,0.078,0.059;"QLD","Moderate/Low",0.072,0.099,0.078,0.059;"QLD","Low",0.072,0.099,0.078,0.059;"SA","n/a",0.16,0.07,0.09,0.2;"TAS","n/a",0.2,0.1,0.16,0.2;"VIC","n/a",0.25,0.07,0.1,0.21;"WA","South West",0.2,0.09,0.06,0.2;"WA","Pilbara",0.04,0.12,0.09,0.06;"WA","Kimberley",0.04,0.12,0.09,0.06}, _xlpm.r, _xlpm.c))))</definedName>
    <definedName name="SourceData_PastureBeef.SourceData_PastureBeef_CrudeProteinContent_Source">_xlfn.LAMBDA("VEERG 2026: Table A.1.2.6")</definedName>
    <definedName name="SourceData_PastureBeef.SourceData_PastureBeef_CrudeProteinContent_Title">_xlfn.LAMBDA("Beef pasture cattle - Crude protein content of feed intake (fraction) (CPj)")</definedName>
    <definedName name="SourceData_PastureBeef.SourceData_PastureBeef_CrudeProteinContent_Unit">_xlfn.LAMBDA("fraction")</definedName>
    <definedName name="SourceData_PastureBeef.SourceData_PastureBeef_CrudeProteinContent_Variable">_xlfn.LAMBDA("CPj")</definedName>
    <definedName name="SourceData_PastureBeef.SourceData_PastureBeef_CrudeProteinContent_Variation">_xlfn.LAMBDA("VARIATION ON SOURCE: Split ACT and NSW into separate rows. Duplicated QLD and NT rows with regions from table A.1.2.2 to aid lookup")</definedName>
    <definedName name="SourceData_PastureBeef.SourceData_PastureBeef_DryMatterDigestibility_Data">_xlfn.LAMBDA(_xlfn.MAKEARRAY(16, 6, _xlfn.LAMBDA(_xlpm.r,_xlpm.c, INDEX({"State","Region","Spring","Summer","Autumn","Winter";"ACT","n/a",0.55,0.65,0.6,0.5;"NSW","n/a",0.55,0.65,0.6,0.5;"NT","Alice Springs",0.55,0.61,0.57,0.54;"NT","Barkly",0.55,0.61,0.57,0.54;"NT","Northern",0.55,0.61,0.57,0.54;"QLD","High",0.53,0.57,0.55,0.51;"QLD","Moderate/High",0.53,0.57,0.55,0.51;"QLD","Moderate/Low",0.53,0.57,0.55,0.51;"QLD","Low",0.53,0.57,0.55,0.51;"SA","n/a",0.7,0.55,0.55,0.75;"TAS","n/a",0.75,0.6,0.7,0.75;"VIC","n/a",0.8,0.55,0.6,0.76;"WA","South West",0.8,0.58,0.5,0.75;"WA","Pilbara",0.4,0.65,0.55,0.45;"WA","Kimberley",0.4,0.65,0.55,0.45}, _xlpm.r, _xlpm.c))))</definedName>
    <definedName name="SourceData_PastureBeef.SourceData_PastureBeef_DryMatterDigestibility_Source">_xlfn.LAMBDA("VEERG 2026: Table A.1.2.5")</definedName>
    <definedName name="SourceData_PastureBeef.SourceData_PastureBeef_DryMatterDigestibility_Title">_xlfn.LAMBDA("Beef pasture cattle - Dry matter digestibility of feed intake (fraction) (DMDj)")</definedName>
    <definedName name="SourceData_PastureBeef.SourceData_PastureBeef_DryMatterDigestibility_Unit">_xlfn.LAMBDA("fraction")</definedName>
    <definedName name="SourceData_PastureBeef.SourceData_PastureBeef_DryMatterDigestibility_Variable">_xlfn.LAMBDA("DMDj")</definedName>
    <definedName name="SourceData_PastureBeef.SourceData_PastureBeef_DryMatterDigestibility_Variation">_xlfn.LAMBDA("VARIATION ON SOURCE: Split ACT and NSW into separate rows. Duplicated QLD and NT rows with regions from table A.1.2.2 to aid lookup")</definedName>
    <definedName name="SourceData_PastureBeef.SourceData_PastureBeef_FeedAdjustmentAndMilkProduction_Data">_xlfn.LAMBDA(_xlfn.MAKEARRAY(9, 4, _xlfn.LAMBDA(_xlpm.r,_xlpm.c, INDEX({"Breed","Season","Feed adjustment (MCjk=1,3,6)","Milk intake / production (DMPjk=5)";"Hereford or Shorthorn breeds","Spring",1.3,6;"Hereford or Shorthorn breeds","Summer",1.1,4;"Hereford or Shorthorn breeds","Autumn",0,0;"Hereford or Shorthorn breeds","Winter",0,0;"Northern Brahman cross breed","Spring",0,0;"Northern Brahman cross breed","Summer",1.3,4;"Northern Brahman cross breed","Autumn",1.1,3;"Northern Brahman cross breed","Winter",0,0}, _xlpm.r, _xlpm.c))))</definedName>
    <definedName name="SourceData_PastureBeef.SourceData_PastureBeef_FeedAdjustmentAndMilkProduction_Source">_xlfn.LAMBDA("VEERG 2026: Table A.1.2.7")</definedName>
    <definedName name="SourceData_PastureBeef.SourceData_PastureBeef_FeedAdjustmentAndMilkProduction_Title">_xlfn.LAMBDA("Beef pasture cattle - Feed intake adjustment and milk production (kg/head/day)")</definedName>
    <definedName name="SourceData_PastureBeef.SourceData_PastureBeef_FeedAdjustmentAndMilkProduction_Unit">_xlfn.LAMBDA("")</definedName>
    <definedName name="SourceData_PastureBeef.SourceData_PastureBeef_FeedAdjustmentAndMilkProduction_Variable">_xlfn.LAMBDA("MCjk=1,3,6; DMPjk=5")</definedName>
    <definedName name="SourceData_PastureBeef.SourceData_PastureBeef_FeedAdjustmentAndMilkProduction_Variation">_xlfn.LAMBDA("")</definedName>
    <definedName name="SourceData_PastureBeef.SourceData_PastureBeef_FracGASMSoil_Data">_xlfn.LAMBDA(0.21)</definedName>
    <definedName name="SourceData_PastureBeef.SourceData_PastureBeef_FracGASMSoil_Source">_xlfn.LAMBDA("VEERG 2026: 4.2.2.3 CONSTANTS")</definedName>
    <definedName name="SourceData_PastureBeef.SourceData_PastureBeef_FracGASMSoil_Title">_xlfn.LAMBDA("Fraction of nitrogen volatilised from urine and faeces deposited on pasture")</definedName>
    <definedName name="SourceData_PastureBeef.SourceData_PastureBeef_FracGASMSoil_Unit">_xlfn.LAMBDA("fraction")</definedName>
    <definedName name="SourceData_PastureBeef.SourceData_PastureBeef_FracGASMSoil_Variable">_xlfn.LAMBDA("FracGASMSoil")</definedName>
    <definedName name="SourceData_PastureBeef.SourceData_PastureBeef_FracGASMSoil_Variation">_xlfn.LAMBDA("")</definedName>
    <definedName name="SourceData_PastureBeef.SourceData_PastureBeef_FracLEACH_Data">_xlfn.LAMBDA(0.24)</definedName>
    <definedName name="SourceData_PastureBeef.SourceData_PastureBeef_FracLEACH_Source">_xlfn.LAMBDA("VEERG 2026: 4.2.2.3 CONSTANTS")</definedName>
    <definedName name="SourceData_PastureBeef.SourceData_PastureBeef_FracLEACH_Title">_xlfn.LAMBDA("Default fraction of N that is lost through leaching and runoff")</definedName>
    <definedName name="SourceData_PastureBeef.SourceData_PastureBeef_FracLEACH_Unit">_xlfn.LAMBDA("fraction")</definedName>
    <definedName name="SourceData_PastureBeef.SourceData_PastureBeef_FracLEACH_Variable">_xlfn.LAMBDA("FracLEACH")</definedName>
    <definedName name="SourceData_PastureBeef.SourceData_PastureBeef_FracLEACH_Variation">_xlfn.LAMBDA("")</definedName>
    <definedName name="SourceData_PastureBeef.SourceData_PastureBeef_FractionOfManureToMMS_Data">_xlfn.LAMBDA(_xlfn.MAKEARRAY(16, 4, _xlfn.LAMBDA(_xlpm.r,_xlpm.c, INDEX({"State","Region","Pasture range and paddock","Uncovered Anaerobic lagoon";"ACT","n/a",99.192,0.808;"NSW","n/a",99.452,0.548;"SA","n/a",99.759,0.241;"TAS","n/a",99.122,0.878;"VIC","n/a",98.894,1.106;"WA","South West",99.622,0.378;"WA","Pilbara",99.999,0.001;"WA","Kimberley",99.999,0.001;"NT","Alice Springs",99.999,0.001;"NT","Barkly",99.994,0.006;"NT","Northern",99.999,0.001;"QLD","High",99.773,0.227;"QLD","Moderate/High",99.898,0.102;"QLD","Moderate/Low",99.979,0.021;"QLD","Low",99.977,0.023}, _xlpm.r, _xlpm.c))))</definedName>
    <definedName name="SourceData_PastureBeef.SourceData_PastureBeef_FractionOfManureToMMS_Source">_xlfn.LAMBDA("VEERG 2026: Table A.1.2.9")</definedName>
    <definedName name="SourceData_PastureBeef.SourceData_PastureBeef_FractionOfManureToMMS_Title">_xlfn.LAMBDA("Beef pasture cattle - Fraction of manure to each manure management system (fraction) (MMSm)")</definedName>
    <definedName name="SourceData_PastureBeef.SourceData_PastureBeef_FractionOfManureToMMS_Unit">_xlfn.LAMBDA("fraction")</definedName>
    <definedName name="SourceData_PastureBeef.SourceData_PastureBeef_FractionOfManureToMMS_Variable">_xlfn.LAMBDA("MMSm")</definedName>
    <definedName name="SourceData_PastureBeef.SourceData_PastureBeef_FractionOfManureToMMS_Variation">_xlfn.LAMBDA("VARIATION ON SOURCE: Removed comma from 'Pasture range and paddock' to aid lookup")</definedName>
    <definedName name="SourceData_PastureBeef.SourceData_PastureBeef_Liveweight_Data">_xlfn.LAMBDA(_xlfn.MAKEARRAY(29, 10, _xlfn.LAMBDA(_xlpm.r,_xlpm.c, INDEX({"State","Region","Season","Bull &lt; 1","Bull &gt; 1","Cow &lt; 1","Cow 1-2","Cow &gt; 2","Steer &lt; 1","Steer &gt; 1";"ACT/NSW","n/a","Spring",80,480,75,300,440,75,380;"ACT/NSW","n/a","Summer",170,520,160,360,470,160,420;"ACT/NSW","n/a","Autumn",240,550,220,390,490,220,450;"ACT/NSW","n/a","Winter",280,560,260,410,500,260,460;"South Australia","n/a","Spring",250,800,220,400,500,230,420;"South Australia","n/a","Summer",320,800,280,420,500,290,420;"South Australia","n/a","Autumn",80,700,70,300,450,75,400;"South Australia","n/a","Winter",160,700,140,350,450,150,400;"Tasmania","n/a","Spring",105,700,85,300,490,90,480;"Tasmania","n/a","Summer",480,750,150,350,530,160,460;"Tasmania","n/a","Autumn",250,725,200,360,500,215,490;"Tasmania","n/a","Winter",260,700,210,380,460,230,470;"Victoria","n/a","Spring",250,820,240,410,560,240,510;"Victoria","n/a","Summer",280,850,260,440,550,270,520;"Victoria","n/a","Autumn",100,700,95,300,450,95,410;"Victoria","n/a","Winter",150,720,140,320,470,140,440;"Western Australia","South West","Spring",340,800,260,420,550,300,480;"Western Australia","South West","Summer",380,780,300,450,530,340,470;"Western Australia","South West","Autumn",100,680,80,320,480,100,340;"Western Australia","South West","Winter",190,700,150,330,490,170,360;"Western Australia","Pilbara","Spring",80,450,70,260,340,80,370;"Western Australia","Pilbara","Summer",150,500,140,310,360,150,400;"Western Australia","Pilbara","Autumn",230,550,220,330,380,230,420;"Western Australia","Pilbara","Winter",250,500,240,340,360,250,390;"Western Australia","Kimberley","Spring",220,500,180,300,320,210,340;"Western Australia","Kimberley","Summer",110,550,90,220,380,100,390;"Western Australia","Kimberley","Autumn",170,600,140,270,390,160,430;"Western Australia","Kimberley","Winter",200,550,150,280,350,190,400}, _xlpm.r, _xlpm.c))))</definedName>
    <definedName name="SourceData_PastureBeef.SourceData_PastureBeef_Liveweight_Source">_xlfn.LAMBDA("VEERG 2026: Table A.1.2.1")</definedName>
    <definedName name="SourceData_PastureBeef.SourceData_PastureBeef_Liveweight_Title">_xlfn.LAMBDA("Beef pasture cattle - Liveweight (kg) (Wjkl)")</definedName>
    <definedName name="SourceData_PastureBeef.SourceData_PastureBeef_Liveweight_Unit">_xlfn.LAMBDA("kg")</definedName>
    <definedName name="SourceData_PastureBeef.SourceData_PastureBeef_Liveweight_Variable">_xlfn.LAMBDA("Wjkl")</definedName>
    <definedName name="SourceData_PastureBeef.SourceData_PastureBeef_Liveweight_Variation">_xlfn.LAMBDA("")</definedName>
    <definedName name="SourceData_PastureBeef.SourceData_PastureBeef_LiveweightGain_Data">_xlfn.LAMBDA(_xlfn.MAKEARRAY(29, 10, _xlfn.LAMBDA(_xlpm.r,_xlpm.c, INDEX({"State","Region","Season","Bull &lt;1","Bull &gt;1","Cow &lt;1","Cow 1-2","Cow &gt;2","Steer &lt;1","Steer &gt;1";"ACT/NSW","n/a","Spring",0.5,0.2,0.5,0.4,0.3,0.5,0.4;"ACT/NSW","n/a","Summer",1,0.4,0.9,0.7,0.3,0.9,0.4;"ACT/NSW","n/a","Autumn",0.8,0.3,0.7,0.3,0.2,0.7,0.3;"ACT/NSW","n/a","Winter",0.4,0.1,0.4,0.2,0.1,0.4,0.1;"South Australia","n/a","Spring",0.99,1.1,0.88,0.55,0.55,0.88,0.22;"South Australia","n/a","Summer",0.77,0,0.66,0.22,0,0.66,0;"South Australia","n/a","Autumn",0.9,-1.1,0.7,0.22,-0.55,0.8,-0.22;"South Australia","n/a","Winter",0.88,0,0.77,0.55,0,0.82,0;"Tasmania","n/a","Spring",1,0.5,1,1,-0.44,1,0.5;"Tasmania","n/a","Summer",0.82,0.55,0.71,0.55,0.99,0.77,0.5;"Tasmania","n/a","Autumn",0.77,0.5,0.55,0.11,-0.33,0.6,0.33;"Tasmania","n/a","Winter",0.11,-0.27,0.11,0.22,-0.44,0.16,-0.22;"Victoria","n/a","Spring",1.1,1.1,1.1,0.99,0.99,1.1,0.77;"Victoria","n/a","Summer",0.33,0.33,0.22,0.33,-0.1,0.33,0.11;"Victoria","n/a","Autumn",0.5,0.2,0.55,0.44,0.2,0.55,0.2;"Victoria","n/a","Winter",0.55,0.22,0.49,0.22,0.22,0.49,0.33;"Western Australia","South West","Spring",1.64,1.1,1.21,0.99,0.66,1.42,1.1;"Western Australia","South West","Summer",0.44,-0.22,0.44,0.33,-0.22,0.44,-0.11;"Western Australia","South West","Autumn",0.6,0,0.6,0.22,-0.55,0.6,0;"Western Australia","South West","Winter",0.99,0.22,0.77,0.11,0.11,0.77,0.44;"Western Australia","Pilbara","Spring",0.7,-0.55,0.7,0.22,-0.22,0.7,-0.22;"Western Australia","Pilbara","Summer",0.77,0.55,0.77,0.66,0.55,0.77,0.33;"Western Australia","Pilbara","Autumn",0.88,0.55,0.88,0.22,0.22,0.88,0.22;"Western Australia","Pilbara","Winter",0.22,-0.55,0.22,0.11,-0.22,0.22,-0.33;"Western Australia","Kimberley","Spring",0.22,-0.55,0.33,0.22,-0.33,0.22,-0.55;"Western Australia","Kimberley","Summer",0.8,0.55,0.7,0.44,0.66,0.8,0.55;"Western Australia","Kimberley","Autumn",0.66,0.55,0.55,0.55,0.11,0.66,0.55;"Western Australia","Kimberley","Winter",0.33,-0.55,0.11,0.11,-0.44,0.33,-0.55}, _xlpm.r, _xlpm.c))))</definedName>
    <definedName name="SourceData_PastureBeef.SourceData_PastureBeef_LiveweightGain_Source">_xlfn.LAMBDA("VEERG 2026: Table A.1.2.3")</definedName>
    <definedName name="SourceData_PastureBeef.SourceData_PastureBeef_LiveweightGain_Title">_xlfn.LAMBDA("Beef pasture cattle - Liveweight gain (kg) (LWGjkl)")</definedName>
    <definedName name="SourceData_PastureBeef.SourceData_PastureBeef_LiveweightGain_Unit">_xlfn.LAMBDA("kg")</definedName>
    <definedName name="SourceData_PastureBeef.SourceData_PastureBeef_LiveweightGain_Variable">_xlfn.LAMBDA("LWGjkl")</definedName>
    <definedName name="SourceData_PastureBeef.SourceData_PastureBeef_LiveweightGain_Variation">_xlfn.LAMBDA("VARIATION ON SOURCE: Replaced 'n/a' with 'South West' for first four rows of Western Australia to be consistent with table A.1.2.1")</definedName>
    <definedName name="SourceData_PastureBeef.SourceData_PastureBeef_LiveweightGainNTQLD_Data">_xlfn.LAMBDA(_xlfn.MAKEARRAY(29, 13, _xlfn.LAMBDA(_xlpm.r,_xlpm.c, INDEX({"State","Region","Season","Bull &lt;1","Bull &gt;1","Cow &lt;1","Cow 1-2","Cow 2-3","Cow &gt;3","Steer &lt;1","Steer 1-2","Steer 2-3","Steer &gt;3";"Northern Territory","Alice Springs","Spring",0.22,-0.23,0.25,0.17,0.18,-0.28,0.32,0.24,0.25,-0.05;"Northern Territory","Alice Springs","Summer",0.66,0.2,0.62,0.54,0.38,0.27,0.75,0.64,0.55,0.48;"Northern Territory","Alice Springs","Autumn",0.49,0.13,0.54,0.45,0.35,0.15,0.63,0.54,0.42,0.26;"Northern Territory","Alice Springs","Winter",0.27,-0.8,0.22,0.09,0.12,0.02,0.25,0.18,0.12,0.03;"Northern Territory","Barkly","Spring",0.22,-0.44,0.2,0.21,0.18,0.01,0.12,0.09,"NO","NO";"Northern Territory","Barkly","Summer",0.66,0.22,0.68,0.22,0.24,0.25,0.64,0.37,"NO","NO";"Northern Territory","Barkly","Autumn",0.49,0.05,0.64,0.25,0.29,0.12,0.57,0.49,"NO","NO";"Northern Territory","Barkly","Winter",0.27,-0.27,0.31,0.29,0.19,0.04,0.26,0.28,"NO","NO";"Northern Territory","Northern","Spring",0.22,-0.44,0,0.15,0.08,0.17,0.06,0.02,-0.14,"NO";"Northern Territory","Northern","Summer",0.66,0.22,0.79,0.4,0.38,0.27,0.8,0.16,0.3,"NO";"Northern Territory","Northern","Autumn",0.49,0.05,0.55,0.38,0.36,0.06,0.58,0.23,0.4,"NO";"Northern Territory","Northern","Winter",0.27,-0.27,0.02,0.09,0.16,-0.04,0.21,0.03,0.11,"NO";"Queensland","High","Spring",0.27,-0.19,0.38,0.25,0.07,0.05,0.52,0.55,0.19,0.6;"Queensland","High","Summer",0.16,0.16,0.8,0.57,0.76,0.49,0.84,0.51,0.36,0.17;"Queensland","High","Autumn",0.45,0.1,0.49,0.41,0.4,0.17,0.54,0.64,-0.05,0.32;"Queensland","High","Winter",0.51,-0.07,0.13,-0.09,-0.13,0.07,0.25,0.71,0.17,0.43;"Queensland","Moderate/High","Spring",-0.12,-0.19,0.41,0.09,0.41,-0.19,0.07,1.07,-0.08,0;"Queensland","Moderate/High","Summer",0.65,0.19,0.65,0.51,0.18,0.63,1.3,0.48,1.12,0.38;"Queensland","Moderate/High","Autumn",0.7,0.13,0.52,0.34,0.02,0.04,0.77,0.42,0.12,0.74;"Queensland","Moderate/High","Winter",0.32,-0.06,0.25,0.19,-0.1,-0.02,0.02,0.23,-0.13,0;"Queensland","Moderate/Low","Spring",0.62,-0.19,0.37,0.41,0.06,-0.02,0.47,0.44,0.3,0.13;"Queensland","Moderate/Low","Summer",0.05,0.19,0.31,0.54,0.53,0.15,0.28,0.57,0.42,0.4;"Queensland","Moderate/Low","Autumn",0.33,0.13,0.39,0.36,0.26,0.11,0.4,0.44,0.37,-0.01;"Queensland","Moderate/Low","Winter",0.61,-0.06,0.21,0.18,0.12,0.06,0.29,0.41,0.41,-0.15;"Queensland","Low","Spring",-0.2,0.02,0.24,0.3,0.23,-0.05,0.34,0.3,0.57,0.52;"Queensland","Low","Summer",0.62,0.21,0.25,0.32,0.47,0.31,0.14,0.4,0.26,0.43;"Queensland","Low","Autumn",0.4,0.13,0.12,0.27,0.3,0.08,0.13,0.24,0.15,0.21;"Queensland","Low","Winter",0.08,0.04,0.06,0.18,0.11,-0.07,0.13,0.16,0.4,0.33}, _xlpm.r, _xlpm.c))))</definedName>
    <definedName name="SourceData_PastureBeef.SourceData_PastureBeef_LiveweightGainNTQLD_Source">_xlfn.LAMBDA("VEERG 2026: Table A.1.2.4")</definedName>
    <definedName name="SourceData_PastureBeef.SourceData_PastureBeef_LiveweightGainNTQLD_Title">_xlfn.LAMBDA("Beef pasture cattle - Liveweight gain (kg) (LWGjkl) for NT and QLD")</definedName>
    <definedName name="SourceData_PastureBeef.SourceData_PastureBeef_LiveweightGainNTQLD_Unit">_xlfn.LAMBDA("kg")</definedName>
    <definedName name="SourceData_PastureBeef.SourceData_PastureBeef_LiveweightGainNTQLD_Variable">_xlfn.LAMBDA("LWGjkl")</definedName>
    <definedName name="SourceData_PastureBeef.SourceData_PastureBeef_LiveweightGainNTQLD_Variation">_xlfn.LAMBDA("")</definedName>
    <definedName name="SourceData_PastureBeef.SourceData_PastureBeef_LiveweightNTQLD_Data">_xlfn.LAMBDA(_xlfn.MAKEARRAY(29, 13, _xlfn.LAMBDA(_xlpm.r,_xlpm.c, INDEX({"State","Region","Season","Bull &lt;1","Bull &gt;1","Cows &lt;1","Cows 1-2","Cows 2-3","Cows &gt;3","Steer &lt;1","Steer 1-2","Steer 2-3","Steer &gt;3";"Northern Territory","Alice Springs","Spring",220,706,208,323,415,467,223,371,493,585;"Northern Territory","Alice Springs","Summer",110,703,112,256,368,465,108,280,421,543;"Northern Territory","Alice Springs","Autumn",170,721,169,306,392,464,176,339,470,580;"Northern Territory","Alice Springs","Winter",200,727,211,338,432,492,222,377,498,590;"Northern Territory","Barkly","Spring",220,620,227,319,398,452,216,334,"NO","NO";"Northern Territory","Barkly","Summer",110,650,108,262,346,430,111,236,"NO","NO";"Northern Territory","Barkly","Autumn",170,670,170,266,363,444,169,282,"NO","NO";"Northern Territory","Barkly","Winter",200,660,225,307,398,452,214,326,"NO","NO";"Northern Territory","Northern","Spring",220,620,177,267,365,406,231,249,324,"NO";"Northern Territory","Northern","Summer",110,650,102,203,299,380,102,218,263,"NO";"Northern Territory","Northern","Autumn",170,670,173,250,336,414,175,243,304,"NO";"Northern Territory","Northern","Winter",200,660,202,272,365,390,208,260,337,"NO";"Queensland","High","Spring",260,705,215,302,416,519,234,455,551,660;"Queensland","High","Summer",153,703,118,277,397,483,111,304,521,547;"Queensland","High","Autumn",168,718,191,319,440,506,188,326,520,582;"Queensland","High","Winter",235,722,207,352,470,514,209,421,512,605;"Queensland","Moderate/High","Spring",230,674,217,344,357,467,242,370,550,620;"Queensland","Moderate/High","Summer",113,669,113,283,361,477,120,273,545,553;"Queensland","Moderate/High","Autumn",172,685,172,309,376,471,238,329,573,620;"Queensland","Moderate/High","Winter",241,692,208,344,364,484,260,350,567,620;"Queensland","Moderate/Low","Spring",236,674,178,310,428,466,193,370,519,565;"Queensland","Moderate/Low","Summer",120,669,112,250,390,448,115,273,433,556;"Queensland","Moderate/Low","Autumn",125,685,140,277,407,455,141,296,445,593;"Queensland","Moderate/Low","Winter",180,692,183,316,438,468,189,354,500,553;"Queensland","Low","Spring",190,617,174,265,371,415,170,272,392,531;"Queensland","Low","Summer",119,591,140,205,310,405,133,218,315,445;"Queensland","Low","Autumn",175,610,163,232,351,427,146,242,320,471;"Queensland","Low","Winter",192,615,162,255,364,420,157,261,342,484}, _xlpm.r, _xlpm.c))))</definedName>
    <definedName name="SourceData_PastureBeef.SourceData_PastureBeef_LiveweightNTQLD_Source">_xlfn.LAMBDA("VEERG 2026: Table A.1.2.2")</definedName>
    <definedName name="SourceData_PastureBeef.SourceData_PastureBeef_LiveweightNTQLD_Title">_xlfn.LAMBDA("Beef pasture cattle - Liveweight (kg) (Wjkl) for NT and QLD")</definedName>
    <definedName name="SourceData_PastureBeef.SourceData_PastureBeef_LiveweightNTQLD_Unit">_xlfn.LAMBDA("kg")</definedName>
    <definedName name="SourceData_PastureBeef.SourceData_PastureBeef_LiveweightNTQLD_Variable">_xlfn.LAMBDA("Wjkl")</definedName>
    <definedName name="SourceData_PastureBeef.SourceData_PastureBeef_LiveweightNTQLD_Variation">_xlfn.LAMBDA("")</definedName>
    <definedName name="SourceData_PastureBeef.SourceData_PastureBeef_MethaneConversionFactorPerRegion_Data">_xlfn.LAMBDA(_xlfn.MAKEARRAY(16, 4, _xlfn.LAMBDA(_xlpm.r,_xlpm.c, INDEX({"State","Region","Pasture range and paddock","Uncovered Anaerobic lagoon";"ACT","n/a",0.0047,0.71;"NSW","n/a",0.0047,0.75;"SA","n/a",0.0047,0.74;"TAS","n/a",0.0047,0.7;"VIC","n/a",0.0047,0.74;"WA","South West",0.0047,0.76;"WA","Pilbara",0.0047,0.76;"WA","Kimberley",0.0047,0.76;"NT","Alice Springs",0.0047,0.8;"NT","Barkly",0.0047,0.8;"NT","Northern",0.0047,0.8;"QLD","High",0.0047,0.78;"QLD","Moderate/High",0.0047,0.78;"QLD","Moderate/Low",0.0047,0.78;"QLD","Low",0.0047,0.78}, _xlpm.r, _xlpm.c))))</definedName>
    <definedName name="SourceData_PastureBeef.SourceData_PastureBeef_MethaneConversionFactorPerRegion_Source">_xlfn.LAMBDA("VEERG 2026: Table A.1.2.10")</definedName>
    <definedName name="SourceData_PastureBeef.SourceData_PastureBeef_MethaneConversionFactorPerRegion_Title">_xlfn.LAMBDA("Beef pasture cattle - Methane conversion factor per region (fraction) (MCFim)")</definedName>
    <definedName name="SourceData_PastureBeef.SourceData_PastureBeef_MethaneConversionFactorPerRegion_Unit">_xlfn.LAMBDA("fraction")</definedName>
    <definedName name="SourceData_PastureBeef.SourceData_PastureBeef_MethaneConversionFactorPerRegion_Variable">_xlfn.LAMBDA("MCFim")</definedName>
    <definedName name="SourceData_PastureBeef.SourceData_PastureBeef_MethaneConversionFactorPerRegion_Variation">_xlfn.LAMBDA("VARIATION ON SOURCE: Removed comma from 'Pasture range and paddock' to aid lookup")</definedName>
    <definedName name="SourceData_PastureBeef.SourceData_PastureBeef_MethaneEmissionsPotential_Data">_xlfn.LAMBDA(0.19)</definedName>
    <definedName name="SourceData_PastureBeef.SourceData_PastureBeef_MethaneEmissionsPotential_Source">_xlfn.LAMBDA("VEERG 2026: 4.2.2.3 CONSTANTS")</definedName>
    <definedName name="SourceData_PastureBeef.SourceData_PastureBeef_MethaneEmissionsPotential_Title">_xlfn.LAMBDA("Methane emissions potential")</definedName>
    <definedName name="SourceData_PastureBeef.SourceData_PastureBeef_MethaneEmissionsPotential_Unit">_xlfn.LAMBDA("m3 CH4 / kg VS")</definedName>
    <definedName name="SourceData_PastureBeef.SourceData_PastureBeef_MethaneEmissionsPotential_Variable">_xlfn.LAMBDA("B0")</definedName>
    <definedName name="SourceData_PastureBeef.SourceData_PastureBeef_MethaneEmissionsPotential_Variation">_xlfn.LAMBDA("")</definedName>
    <definedName name="SourceData_PastureBeef.SourceData_PastureBeef_StandardReferenceWeights_Data">_xlfn.LAMBDA(_xlfn.MAKEARRAY(9, 9, _xlfn.LAMBDA(_xlpm.r,_xlpm.c, INDEX({"State","Bulls &lt;1","Bulls &gt;1","Cows &lt;1","Cows 1-2","Cows &gt;2","Steer &lt;1","Steer &gt;1","State abbreviation";"ACT",700,700,500,500,500,600,600,"ACT";"NSW",700,700,500,500,500,600,600,"NSW";"Northern Territory",770,770,550,550,550,660,660,"NT";"Queensland",770,770,550,550,550,660,660,"QLD";"South Australia",770,770,550,550,550,660,660,"SA";"Tasmania",770,770,550,550,550,660,660,"TAS";"Victoria",770,770,550,550,550,660,660,"VIC";"Western Australia",770,770,550,550,550,660,660,"WA"}, _xlpm.r, _xlpm.c))))</definedName>
    <definedName name="SourceData_PastureBeef.SourceData_PastureBeef_StandardReferenceWeights_Source">_xlfn.LAMBDA("VEERG 2026: Table A.1.2.8")</definedName>
    <definedName name="SourceData_PastureBeef.SourceData_PastureBeef_StandardReferenceWeights_Title">_xlfn.LAMBDA("Beef pasture cattle - Standard reference weights (kg) (SRWk)")</definedName>
    <definedName name="SourceData_PastureBeef.SourceData_PastureBeef_StandardReferenceWeights_Unit">_xlfn.LAMBDA("kg")</definedName>
    <definedName name="SourceData_PastureBeef.SourceData_PastureBeef_StandardReferenceWeights_Variable">_xlfn.LAMBDA("SRWk")</definedName>
    <definedName name="SourceData_PastureBeef.SourceData_PastureBeef_StandardReferenceWeights_Variation">_xlfn.LAMBDA("VARIATION ON SOURCE: Split ACT and NSW into separate rows. Added 'State abbreviation' column to aid lookup.")</definedName>
    <definedName name="SourceData_Poultry.SourceData_Poultry_DietProperties_Data">_xlfn.LAMBDA(_xlfn.MAKEARRAY(6,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definedName>
    <definedName name="SourceData_Poultry.SourceData_Poultry_DietProperties_Source">_xlfn.LAMBDA("VEERG 2026: Table A.1.7.1: Poultry - Diet properties")</definedName>
    <definedName name="SourceData_Poultry.SourceData_Poultry_DietProperties_Title">_xlfn.LAMBDA("Poultry - Diet properties")</definedName>
    <definedName name="SourceData_Poultry.SourceData_Poultry_DietProperties_Unit">_xlfn.LAMBDA("")</definedName>
    <definedName name="SourceData_Poultry.SourceData_Poultry_DietProperties_Variation">_xlfn.LAMBDA("")</definedName>
    <definedName name="SourceData_Poultry.SourceData_Poultry_EFmT_Data">_xlfn.LAMBDA(_xlfn.MAKEARRAY(9, 3, _xlfn.LAMBDA(_xlpm.r,_xlpm.c, INDEX({"MMS m","EFmT","NIR reference";"Poultry manure with litter (housing)",0.001,"Poultry manure with bedding";"Poultry manure without litter (housing)",0.001,"Belt manure removal";"Poultry manure without litter (housing)",0.001,"Manure stored in house";"Pasture range and paddock (free range)",0.02,"Pasture range and paddock";"Solid storage (stockpile)",0.005,"Solid storage";"Composting (passive windrow)",0.01,"Composting (passive windrow)";"Direct processing",0,"Direct processing";"Anaerobic digester / covered pond",0,"Digester / covered lagoons"}, _xlpm.r, _xlpm.c))))</definedName>
    <definedName name="SourceData_Poultry.SourceData_Poultry_EFmT_Source">_xlfn.LAMBDA("VEERG 2026: Table A.1.7.3")</definedName>
    <definedName name="SourceData_Poultry.SourceData_Poultry_EFmT_Title">_xlfn.LAMBDA("Poultry - Nitrous oxide EFs by MMS (kgN2O-N/kgN) (EFmT)")</definedName>
    <definedName name="SourceData_Poultry.SourceData_Poultry_EFmT_Unit">_xlfn.LAMBDA("kgN2O - N / kgN")</definedName>
    <definedName name="SourceData_Poultry.SourceData_Poultry_EFmT_Variation">_xlfn.LAMBDA("VARIATION ON SOURCE: Added 'NIR definition column'. Duplicated 'Poultry manure without litter' row for NIR MMS 'Belt manure removal' and 'Manure stored in house'.")</definedName>
    <definedName name="SourceData_Poultry.SourceData_Poultry_FracGAMSSoil_Data">_xlfn.LAMBDA(0.21)</definedName>
    <definedName name="SourceData_Poultry.SourceData_Poultry_FracGAMSSoil_Source">_xlfn.LAMBDA("VEERG 2026: 4.6.2.3 CONSTANTS")</definedName>
    <definedName name="SourceData_Poultry.SourceData_Poultry_FracGAMSSoil_Title">_xlfn.LAMBDA("Fraction of nitrogen volatilised from urine and faeces deposited on pasture")</definedName>
    <definedName name="SourceData_Poultry.SourceData_Poultry_FracGAMSSoil_Unit">_xlfn.LAMBDA("(kg NH3-N + NOx-N)/kg N")</definedName>
    <definedName name="SourceData_Poultry.SourceData_Poultry_FracGAMSSoil_Variable">_xlfn.LAMBDA("FracGASM_soil")</definedName>
    <definedName name="SourceData_Poultry.SourceData_Poultry_FracGAMSSoil_Variation">_xlfn.LAMBDA("VARIATION ON SOURCE: This constant is not documented in the draft, used the same value of 0.21 as all other livestock.")</definedName>
    <definedName name="SourceData_Poultry.SourceData_Poultry_FracGASMmT_Data">_xlfn.LAMBDA(_xlfn.MAKEARRAY(8, 3, _xlfn.LAMBDA(_xlpm.r,_xlpm.c, INDEX({"MMS m","FracGASMmT","NIR reference";"Poultry manure with litter (housing)",0.3,"Poultry manure with bedding";"Poultry manure without litter (housing) Belt manure removal",0.05,"Belt manure removal";"Poultry manure without litter (housing) Manure stored in house under cages or slat",0.4,"Manure stored in house";"Solid storage (stockpile)",0.2,"Solid storage";"Composting (passive windrow)",0.2,"Composting (passive windrow)";"Direct processing",0,"Direct processing";"Anaerobic digester / covered pond",0,"Digester / covered lagoons"}, _xlpm.r, _xlpm.c))))</definedName>
    <definedName name="SourceData_Poultry.SourceData_Poultry_FracGASMmT_Source">_xlfn.LAMBDA("VEERG 2026: Table A.1.7.2")</definedName>
    <definedName name="SourceData_Poultry.SourceData_Poultry_FracGASMmT_Title">_xlfn.LAMBDA("Poultry - Fraction of N volatilised by MMS ((kg NH3-N + NOx-N)/kgN) (FracGASMmT)")</definedName>
    <definedName name="SourceData_Poultry.SourceData_Poultry_FracGASMmT_Unit">_xlfn.LAMBDA("(kg NH3-N + NOx-N)/kgN")</definedName>
    <definedName name="SourceData_Poultry.SourceData_Poultry_FracGASMmT_Variation">_xlfn.LAMBDA("VARIATION ON SOURCE: Added 'NIR definition column'.")</definedName>
    <definedName name="SourceData_Poultry.SourceData_Poultry_FractionOfNitrogenLostThroughLeachingAndRunoff_Data">_xlfn.LAMBDA(0.02)</definedName>
    <definedName name="SourceData_Poultry.SourceData_Poultry_FractionOfNitrogenLostThroughLeachingAndRunoff_Source">_xlfn.LAMBDA("VEERG 2026: 4.6.2.3 CONSTANTS")</definedName>
    <definedName name="SourceData_Poultry.SourceData_Poultry_FractionOfNitrogenLostThroughLeachingAndRunoff_Title">_xlfn.LAMBDA("Fraction of N that is lost through leaching and runoff")</definedName>
    <definedName name="SourceData_Poultry.SourceData_Poultry_FractionOfNitrogenLostThroughLeachingAndRunoff_Unit">_xlfn.LAMBDA("Dimensionless")</definedName>
    <definedName name="SourceData_Poultry.SourceData_Poultry_FractionOfNitrogenLostThroughLeachingAndRunoff_Variable">_xlfn.LAMBDA("Frac_LEACH_MS")</definedName>
    <definedName name="SourceData_Poultry.SourceData_Poultry_FractionOfNitrogenLostThroughLeachingAndRunoff_Variation">_xlfn.LAMBDA("")</definedName>
    <definedName name="SourceData_Poultry.SourceData_Poultry_Liveweights_Data">_xlfn.LAMBDA(_xlfn.MAKEARRAY(9, 3, _xlfn.LAMBDA(_xlpm.r,_xlpm.c, INDEX({"Livestock Class j","Average Liveweight (kg)";"Chicken",1.3;"Hen &gt;/=1 yr",2;"Pullets",1.4;"Broilers",1.2}, _xlpm.r, _xlpm.c))))</definedName>
    <definedName name="SourceData_Poultry.SourceData_Poultry_Liveweights_Source">_xlfn.LAMBDA("VEERG 2026: Table A.1.7.5")</definedName>
    <definedName name="SourceData_Poultry.SourceData_Poultry_Liveweights_Title">_xlfn.LAMBDA("Poultry - Liveweights (Wco) (kg)")</definedName>
    <definedName name="SourceData_Poultry.SourceData_Poultry_Liveweights_Unit">_xlfn.LAMBDA("kg")</definedName>
    <definedName name="SourceData_Poultry.SourceData_Poultry_Liveweights_Variation">_xlfn.LAMBDA("")</definedName>
    <definedName name="SourceData_Poultry.SourceData_Poultry_MCF_Data">_xlfn.LAMBDA(_xlfn.MAKEARRAY(10, 11, _xlfn.LAMBDA(_xlpm.r,_xlpm.c, INDEX({"MMS m","All states","NSW","ACT","QLD","NT","VIC","SA","WA","TAS","NIR definition";"Poultry manure with litter",0.015,0.015,0.015,0.015,0.015,0.015,0.015,0.015,0.015,"Poultry manure with bedding";"Poultry manure without litter",0.015,0.015,0.015,0.015,0.015,0.015,0.015,0.015,0.015,"Belt manure removal";"Poultry manure without litter",0.015,0.015,0.015,0.015,0.015,0.015,0.015,0.015,0.015,"Manure stored in house";"Pasture range and paddock","n/a",0.01,0.01,0.03,0.03,0.01,0.01,0.01,0.01,"Pasture range and paddock";"Solid storage",0.02,0.02,0.02,0.02,0.02,0.02,0.02,0.02,0.02,"Solid storage";"Composting (passive windrow)","n/a",0.01,0.01,0.01,0.01,0.01,0.01,0.01,0.005,"Composting (passive windrow)";"Anaerobic digester / Covered pond",0.1,0.1,0.1,0.1,0.1,0.1,0.1,0.1,0.1,"Digester / covered lagoons";"Direct processing",0,0,0,0,0,0,0,0,0,"Direct processing";"Direct application to soil",0,0,0,0,0,0,0,0,0,"Direct application"}, _xlpm.r, _xlpm.c))))</definedName>
    <definedName name="SourceData_Poultry.SourceData_Poultry_MCF_Notes">_xlfn.LAMBDA("'Pasture range and paddock' applies MCF for drylot.")</definedName>
    <definedName name="SourceData_Poultry.SourceData_Poultry_MCF_Source">_xlfn.LAMBDA("VEERG 2026: Table A.1.7.4: Poultry - MCFs")</definedName>
    <definedName name="SourceData_Poultry.SourceData_Poultry_MCF_Title">_xlfn.LAMBDA("Poultry - MCFs")</definedName>
    <definedName name="SourceData_Poultry.SourceData_Poultry_MCF_Unit">_xlfn.LAMBDA("")</definedName>
    <definedName name="SourceData_Poultry.SourceData_Poultry_MCF_Variation">_xlfn.LAMBDA(_xlfn.MAKEARRAY(5, 1, _xlfn.LAMBDA(_xlpm.r,_xlpm.c, INDEX({"VARIATION ON SOURCE:";"Split NSW and ACT into separate states. Split QLD and NT into separate states.";"Included values for each state when 'All states' value is given.";"Added 'NIR definition' column with MMS names that match NIR definitions.";"Duplicated 'Poultry manure without litter' row for NIR MMS 'Belt manure removal' and 'Manure stored in house'"}, _xlpm.r, _xlpm.c))))</definedName>
    <definedName name="SourceData_Poultry.SourceData_Poultry_MethaneEmissionsPotential_Data">_xlfn.LAMBDA(_xlfn.MAKEARRAY(3, 2, _xlfn.LAMBDA(_xlpm.r,_xlpm.c, INDEX({"Poultry class","B0";"Layers",0.39;"Meat chickens",0.36}, _xlpm.r, _xlpm.c))))</definedName>
    <definedName name="SourceData_Poultry.SourceData_Poultry_MethaneEmissionsPotential_Source">_xlfn.LAMBDA("VEERG 2026: 4.6.2.3 CONSTANT: Poultry - Methane emissions potential per class")</definedName>
    <definedName name="SourceData_Poultry.SourceData_Poultry_MethaneEmissionsPotential_Title">_xlfn.LAMBDA("Poultry - Methane emissions potential per class")</definedName>
    <definedName name="SourceData_Poultry.SourceData_Poultry_MethaneEmissionsPotential_Unit">_xlfn.LAMBDA("m3 CH4/kg VS")</definedName>
    <definedName name="SourceData_Poultry.SourceData_Poultry_MethaneEmissionsPotential_Variation">_xlfn.LAMBDA("")</definedName>
    <definedName name="SourceData_Poultry.SourceData_Poultry_ProductionSystems_Data">_xlfn.LAMBDA(_xlfn.MAKEARRAY(4, 1, _xlfn.LAMBDA(_xlpm.r,_xlpm.c, INDEX({"Production system";"Free range";"Barn";"Cage"}, _xlpm.r, _xlpm.c))))</definedName>
    <definedName name="SourceData_Poultry.SourceData_Poultry_ProductionSystems_Source">_xlfn.LAMBDA("VEERG 2026: 4.6 Poultry")</definedName>
    <definedName name="SourceData_Poultry.SourceData_Poultry_ProductionSystems_Title">_xlfn.LAMBDA("Poultry - Production systems")</definedName>
    <definedName name="SourceData_Poultry.SourceData_Poultry_ProductionSystems_Unit">_xlfn.LAMBDA("")</definedName>
    <definedName name="SourceData_Poultry.SourceData_Poultry_ProductionSystems_Variation">_xlfn.LAMBDA("")</definedName>
    <definedName name="SourceData_Poultry.SourceData_Poultry_VSL_Data">_xlfn.LAMBDA(_xlfn.MAKEARRAY(4, 3, _xlfn.LAMBDA(_xlpm.r,_xlpm.c, INDEX({"MMS","VSL","NIR definition";"Poultry manure with litter",0.15,"Poultry manure with bedding";"Poultry manure without litter - stored in house",0.2,"Manure stored in house";"Poultry manure without litter - belt removal",0,"Belt manure removal"}, _xlpm.r, _xlpm.c))))</definedName>
    <definedName name="SourceData_Poultry.SourceData_Poultry_VSL_Source">_xlfn.LAMBDA("VEERG 2026: 4.6.2.3 CONSTANT")</definedName>
    <definedName name="SourceData_Poultry.SourceData_Poultry_VSL_Title">_xlfn.LAMBDA("Poultry - Fraction of volatile solids lost in the primary MMS")</definedName>
    <definedName name="SourceData_Poultry.SourceData_Poultry_VSL_Unit">_xlfn.LAMBDA("")</definedName>
    <definedName name="SourceData_Poultry.SourceData_Poultry_VSL_Variation">_xlfn.LAMBDA("VARIATION ON SOURCE: Table generated from line items. Added 'NIR definition column'.")</definedName>
    <definedName name="SourceData_Swine.SourceData_Swine_AverageLiveweight_Data">_xlfn.LAMBDA(_xlfn.MAKEARRAY(6, 2, _xlfn.LAMBDA(_xlpm.r,_xlpm.c, INDEX({"Livestock Type j","Average Liveweight (kg)";"Sows",188;"Boars",206;"Gilts",125;"Slaughter pigs",39;"Slaughter pigs at turnoff",97}, _xlpm.r, _xlpm.c))))</definedName>
    <definedName name="SourceData_Swine.SourceData_Swine_AverageLiveweight_Source">_xlfn.LAMBDA("VEERG 2026: Table A.1.6.5: Swine - Average liveweight (inventory defaults) (kg) (Wco)")</definedName>
    <definedName name="SourceData_Swine.SourceData_Swine_AverageLiveweight_Title">_xlfn.LAMBDA("Swine - Average liveweight (inventory defaults) (kg) (Wco)")</definedName>
    <definedName name="SourceData_Swine.SourceData_Swine_AverageLiveweight_Unit">_xlfn.LAMBDA("kg")</definedName>
    <definedName name="SourceData_Swine.SourceData_Swine_AverageLiveweight_Variation">_xlfn.LAMBDA(".")</definedName>
    <definedName name="SourceData_Swine.SourceData_Swine_FeedIntake_Data">_xlfn.LAMBDA(_xlfn.MAKEARRAY(5, 2, _xlfn.LAMBDA(_xlpm.r,_xlpm.c, INDEX({"Class","Ij";"Boars",2.62;"Sows",2.3;"Gilts",2.5;"Others",1.71}, _xlpm.r, _xlpm.c))))</definedName>
    <definedName name="SourceData_Swine.SourceData_Swine_FeedIntake_Source">_xlfn.LAMBDA("VEERG 2026: Table A.1.6.1: Swine - Intake and manure characteristics derived from PigBal")</definedName>
    <definedName name="SourceData_Swine.SourceData_Swine_FeedIntake_Title">_xlfn.LAMBDA("Swine - Feed intake - ingested as fed  (Ij) - 2020 to 2024")</definedName>
    <definedName name="SourceData_Swine.SourceData_Swine_FeedIntake_Unit">_xlfn.LAMBDA("kg/head/day")</definedName>
    <definedName name="SourceData_Swine.SourceData_Swine_FeedIntake_Variation">_xlfn.LAMBDA("VARIATION ON SOURCE DATA: Only uses data for 2020-2024. Use 'Slaughter pigs' data for 'Other j=4' class.")</definedName>
    <definedName name="SourceData_Swine.SourceData_Swine_FracLEACH_DrylotMMS_Data">_xlfn.LAMBDA(0.02)</definedName>
    <definedName name="SourceData_Swine.SourceData_Swine_FracLEACH_DrylotMMS_Source">_xlfn.LAMBDA("VEERG 2026: 4.5.2.3 CONSTANT")</definedName>
    <definedName name="SourceData_Swine.SourceData_Swine_FracLEACH_DrylotMMS_Title">_xlfn.LAMBDA("Fraction of nitrogen lost through leaching and runoff for drylot MMS")</definedName>
    <definedName name="SourceData_Swine.SourceData_Swine_FracLEACH_DrylotMMS_Unit">_xlfn.LAMBDA("fraction")</definedName>
    <definedName name="SourceData_Swine.SourceData_Swine_FracLEACH_DrylotMMS_Variable">_xlfn.LAMBDA("FracLEACH_MS")</definedName>
    <definedName name="SourceData_Swine.SourceData_Swine_FracLEACH_DrylotMMS_Variation">_xlfn.LAMBDA("VARIATION ON SOURCE: Text refers to 'solid storage' MMS, but equation refers to 'drylot' MMS.")</definedName>
    <definedName name="SourceData_Swine.SourceData_Swine_FractionNVolatilised_Data">_xlfn.LAMBDA(_xlfn.MAKEARRAY(7, 3, _xlfn.LAMBDA(_xlpm.r,_xlpm.c, INDEX({"MMSm","FracGASMmT","NIR reference";"Outdoor (Dry lot)",0.3,"Drylot (feed pad)";"Deep litter",0.125,"Deep litter";"Stockpile (Solid storage)",0.2,"Solid storage";"Effluent pond (Uncovered anaerobic lagoon)",0.55,"Anaerobic lagoon";"Anaerobic digester / Covered lagoon",0,"Digester / covered lagoons";"Short HRT tank storage &lt; 1 month (pit storage)",0.25,"Pit storage"}, _xlpm.r, _xlpm.c))))</definedName>
    <definedName name="SourceData_Swine.SourceData_Swine_FractionNVolatilised_Source">_xlfn.LAMBDA("VEERG 2026: Table A.1.6.2: Swine - Fraction of N volatilised by MMS ((kg NH3-N + NOx-N)/kgN) (FracGASMmT)")</definedName>
    <definedName name="SourceData_Swine.SourceData_Swine_FractionNVolatilised_Title">_xlfn.LAMBDA("Swine - Fraction of nitrogen volatilised (FracGASMmT)")</definedName>
    <definedName name="SourceData_Swine.SourceData_Swine_FractionNVolatilised_Unit">_xlfn.LAMBDA("(kg NH3-N + NOx-N)/kgN")</definedName>
    <definedName name="SourceData_Swine.SourceData_Swine_FractionNVolatilised_Variation">_xlfn.LAMBDA("VARIATION ON SOURCE DATA: Added 'NIR reference column to aid lookup.")</definedName>
    <definedName name="SourceData_Swine.SourceData_Swine_MegajoulesPerKilogramMethane_Data">_xlfn.LAMBDA(55.22)</definedName>
    <definedName name="SourceData_Swine.SourceData_Swine_MegajoulesPerKilogramMethane_Source">_xlfn.LAMBDA("VEERG 2026: 3.5.2.3 CONSTANT")</definedName>
    <definedName name="SourceData_Swine.SourceData_Swine_MegajoulesPerKilogramMethane_Title">_xlfn.LAMBDA("Megajoules per kilogram of methane")</definedName>
    <definedName name="SourceData_Swine.SourceData_Swine_MegajoulesPerKilogramMethane_Unit">_xlfn.LAMBDA("MJ / kg CH4")</definedName>
    <definedName name="SourceData_Swine.SourceData_Swine_MegajoulesPerKilogramMethane_Variable">_xlfn.LAMBDA("F")</definedName>
    <definedName name="SourceData_Swine.SourceData_Swine_MegajoulesPerKilogramMethane_Variation">_xlfn.LAMBDA("")</definedName>
    <definedName name="SourceData_Swine.SourceData_Swine_MethaneVolatileSolidsEmissionsPotential_Data">_xlfn.LAMBDA(0.19)</definedName>
    <definedName name="SourceData_Swine.SourceData_Swine_MethaneVolatileSolidsEmissionsPotential_Source">_xlfn.LAMBDA("IPCC (2019), Chapter 10 [4]")</definedName>
    <definedName name="SourceData_Swine.SourceData_Swine_MethaneVolatileSolidsEmissionsPotential_Title">_xlfn.LAMBDA("Emissions potential of methane per kilogram of volatile solids")</definedName>
    <definedName name="SourceData_Swine.SourceData_Swine_MethaneVolatileSolidsEmissionsPotential_Unit">_xlfn.LAMBDA("m3 CH4 / kg VS")</definedName>
    <definedName name="SourceData_Swine.SourceData_Swine_MethaneVolatileSolidsEmissionsPotential_Variable">_xlfn.LAMBDA("B0")</definedName>
    <definedName name="SourceData_Swine.SourceData_Swine_MethaneVolatileSolidsEmissionsPotential_Variation">_xlfn.LAMBDA("")</definedName>
    <definedName name="SourceData_Swine.SourceData_Swine_MMS_MCFs_Data">_xlfn.LAMBDA(_xlfn.MAKEARRAY(8,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definedName>
    <definedName name="SourceData_Swine.SourceData_Swine_MMS_MCFs_Source">_xlfn.LAMBDA("VEERG 2026: Table A.1.6.4: Swine - MCFs (MCFim)")</definedName>
    <definedName name="SourceData_Swine.SourceData_Swine_MMS_MCFs_Title">_xlfn.LAMBDA("Methane conversion factor for temperature zone and manure management system.")</definedName>
    <definedName name="SourceData_Swine.SourceData_Swine_MMS_MCFs_Unit">_xlfn.LAMBDA("")</definedName>
    <definedName name="SourceData_Swine.SourceData_Swine_MMS_MCFs_Variation">_xlfn.LAMBDA("VARIATION ON SOURCE DATA: Added columns for ACT, split QLD and NT. Added extra column with MMS names that match NIR definitions")</definedName>
    <definedName name="SourceData_Swine.SourceData_Swine_NitrogenInWaste_Data">_xlfn.LAMBDA(_xlfn.MAKEARRAY(5, 4, _xlfn.LAMBDA(_xlpm.r,_xlpm.c, INDEX({"Class","NWj","NWj daily","Class name";"Boars",0.046,0.046,"Boars";"Sows",0.049,0.049,"Sows";"Gilts",0.046,0.046,"Gilts";"Others (kg/head/year)",11.4,0.0312,"Others"}, _xlpm.r, _xlpm.c))))</definedName>
    <definedName name="SourceData_Swine.SourceData_Swine_NitrogenInWaste_Source">_xlfn.LAMBDA("VEERG 2026: Table A.1.6.1: Swine - Intake and manure characteristics derived from PigBal")</definedName>
    <definedName name="SourceData_Swine.SourceData_Swine_NitrogenInWaste_Title">_xlfn.LAMBDA("Swine - Nitrogen in waste (NWj) - 2020 to 2024")</definedName>
    <definedName name="SourceData_Swine.SourceData_Swine_NitrogenInWaste_Unit">_xlfn.LAMBDA("kg/head/day")</definedName>
    <definedName name="SourceData_Swine.SourceData_Swine_NitrogenInWaste_Variation">_xlfn.LAMBDA("VARIATION ON SOURCE DATA: Only uses data for 2020-2024. Use 'Slaughter pigs' data for 'Other j=4' class. Added 'NWj daily' column to provide daily value for Others class. Added 'Class name' column to aid lookup.")</definedName>
    <definedName name="SourceData_Swine.SourceData_Swine_NitrousOxideEFs_Data">_xlfn.LAMBDA(_xlfn.MAKEARRAY(7, 3, _xlfn.LAMBDA(_xlpm.r,_xlpm.c, INDEX({"MMSm","EFmT","NIR reference";"Outdoor (Dry lot)",0.02,"Drylot (feed pad)";"Deep litter",0.01,"Deep litter";"Stockpile (Solid storage)",0.005,"Solid storage";"Effluent pond (Uncovered anaerobic lagoon)",0,"Anaerobic lagoon";"Anaerobic digestor / Covered lagoon",0,"Digester / covered lagoons";"Short HRT tank storage &lt; 1 month (pit storage)",0.002,"Pit storage"}, _xlpm.r, _xlpm.c))))</definedName>
    <definedName name="SourceData_Swine.SourceData_Swine_NitrousOxideEFs_Source">_xlfn.LAMBDA("VEERG 2026: Table A.1.6.3: Swine - Nitrous oxide EFs by MMS (kgN2O-N/kgN) (EFmT)")</definedName>
    <definedName name="SourceData_Swine.SourceData_Swine_NitrousOxideEFs_Title">_xlfn.LAMBDA("Swine - Nitrous oxide EFs by MMS (EFmT)")</definedName>
    <definedName name="SourceData_Swine.SourceData_Swine_NitrousOxideEFs_Unit">_xlfn.LAMBDA("kgN2O - N / kgN")</definedName>
    <definedName name="SourceData_Swine.SourceData_Swine_NitrousOxideEFs_Variation">_xlfn.LAMBDA("VARIATION ON SOURCE DATA: Added 'NIR reference column to aid lookup.")</definedName>
    <definedName name="SourceData_Swine.SourceData_Swine_ProductionSystems_Data">_xlfn.LAMBDA(_xlfn.MAKEARRAY(4, 1, _xlfn.LAMBDA(_xlpm.r,_xlpm.c, INDEX({"Production system";"Conventional housing";"Deep litter housing";"Outdoor/free range"}, _xlpm.r, _xlpm.c))))</definedName>
    <definedName name="SourceData_Swine.SourceData_Swine_ProductionSystems_Source">_xlfn.LAMBDA("VEERG 2026: 4.5 Swine Figure 4.8")</definedName>
    <definedName name="SourceData_Swine.SourceData_Swine_ProductionSystems_Title">_xlfn.LAMBDA("Swine production systems")</definedName>
    <definedName name="SourceData_Swine.SourceData_Swine_ProductionSystems_Unit">_xlfn.LAMBDA("")</definedName>
    <definedName name="SourceData_Swine.SourceData_Swine_ProductionSystems_Variation">_xlfn.LAMBDA("")</definedName>
    <definedName name="SourceData_Swine.SourceData_Swine_VolatileSolids_Data">_xlfn.LAMBDA(_xlfn.MAKEARRAY(5, 2, _xlfn.LAMBDA(_xlpm.r,_xlpm.c, INDEX({"Class","VSj";"Boars",0.4;"Sows",0.46;"Gilts",0.55;"Others",0.39}, _xlpm.r, _xlpm.c))))</definedName>
    <definedName name="SourceData_Swine.SourceData_Swine_VolatileSolids_Source">_xlfn.LAMBDA("VEERG 2026: Table A.1.6.1: Swine - Intake and manure characteristics derived from PigBal")</definedName>
    <definedName name="SourceData_Swine.SourceData_Swine_VolatileSolids_Title">_xlfn.LAMBDA("Swine - Volatile solids (VSj) - 2020 to 2024")</definedName>
    <definedName name="SourceData_Swine.SourceData_Swine_VolatileSolids_Unit">_xlfn.LAMBDA("kg/head/day")</definedName>
    <definedName name="SourceData_Swine.SourceData_Swine_VolatileSolids_Variation">_xlfn.LAMBDA("VARIATION ON SOURCE DATA: Only uses data for 2020-2024. Use 'Slaughter pigs' data for 'Other j=4' class.")</definedName>
    <definedName name="Step1">#REF!</definedName>
    <definedName name="Step2">#REF!</definedName>
    <definedName name="Step3">#REF!</definedName>
    <definedName name="Table_E_ad_inorganic">'5.4.1.1-4 Atmos deposition'!$D$58:$F$77</definedName>
    <definedName name="Table_E_ad_organic">'5.4.1.1-4 Atmos deposition'!$D$133:$F$136</definedName>
    <definedName name="Table_E_g">'8.2.1.1-2 Stationary fuel'!$D$24:$Q$40</definedName>
    <definedName name="Table_E_g_Consumer_1">'8.1.1.1-2 Transport fuel'!$D$24:$Q$39</definedName>
    <definedName name="Table_E_lime">'5.3.1.1-2 Lime CO2'!$D$24:$H$27</definedName>
    <definedName name="Table_M_leach_inorganic_j">'5.5.1.1-2 Leaching and runoff'!$D$22:$F$41</definedName>
    <definedName name="Table_M_leach_organic_j">'5.5.1.1-2 Leaching and runoff'!$D$64:$F$75</definedName>
    <definedName name="Table_M_vol_inorganic_j_f">'5.4.1.1-4 Atmos deposition'!$D$18:$H$37</definedName>
    <definedName name="Table_M_vol_organic_j_f">'5.4.1.1-4 Atmos deposition'!$D$101:$F$104</definedName>
    <definedName name="Table_MMS_m">'4.2.1.1-2 Methane'!$D$164:$F$166</definedName>
    <definedName name="Table_MN_j_f">'5.1.1.1-2 Inorganic fert N2O'!$D$18:$G$37</definedName>
    <definedName name="Table_MNSoil_j_f">'5.2.1.1-2 Organic Fert N2O'!$D$19:$I$22</definedName>
    <definedName name="Table_MU_j_f">'5.1.1.3-4 Inorganic fert CO2'!$D$18:$G$37</definedName>
    <definedName name="Table_SRW_k">'4.2.1.3-4 Soil direct N20'!$D$27:$M$28</definedName>
    <definedName name="ValidLivestockClass">_xlfn.UNIQUE(_xlfn._xlws.FILTER(#REF!,#REF! =#REF!))</definedName>
    <definedName name="VEERG_14_1_1__1_LocationBasedScopeElectricityEmissions_Result_Method1">'14.1.1-2 Purchased electricity'!$E$18</definedName>
    <definedName name="VEERG_14_1_2__1_MarketBasedScopeElectricityEmissionsVariation_Result_Method1">'14.1.1-2 Purchased electricity'!$E$39</definedName>
    <definedName name="VEERG_3_2_1_1__1_TotalAnnualMethaneFromEntericFermentation_Result_Method1">'3.2.1.1-2 Enteric Methane'!$E$128</definedName>
    <definedName name="VEERG_3_2_1_1__1_TotalAnnualMethaneFromEntericFermentation_Result_Method2">'3.2.1.1-2 Enteric Methane'!$V$161</definedName>
    <definedName name="VEERG_4_2_1_1__1_TotalAnnualMethaneProductionFromManureManagement_Result_Method1">'4.2.1.1-2 Methane'!$E$244</definedName>
    <definedName name="VEERG_4_2_1_1__1_TotalAnnualMethaneProductionFromManureManagement_Result_Method2">'4.2.1.1-2 Methane'!$X$276</definedName>
    <definedName name="VEERG_4_2_1_3__1_DirectNitrousOxideEmissionsOnPasture_Result_Method1">'4.2.1.3-4 Soil direct N20'!$E$229</definedName>
    <definedName name="VEERG_4_2_1_3__1_DirectNitrousOxideEmissionsOnPasture_Result_Method2">'4.2.1.3-4 Soil direct N20'!$V$267</definedName>
    <definedName name="VEERG_4_2_1_5__1_AtmosphericDepositionEmissionsFromUrineAndDungOnPasture_Result_Method1">'4.2.1.5-6 Soil Atmos Dep'!$E$35</definedName>
    <definedName name="VEERG_4_2_1_5__1_AtmosphericDepositionEmissionsFromUrineAndDungOnPasture_Result_Method2">'4.2.1.5-6 Soil Atmos Dep'!$O$35</definedName>
    <definedName name="VEERG_4_2_1_7__1_LeachingAndRunoffEmissionsFromUrineAndDungOnPasture_Result_Method1">'4.2.1.7-8 Soil leach runoff'!$E$36</definedName>
    <definedName name="VEERG_4_2_1_7__1_LeachingAndRunoffEmissionsFromUrineAndDungOnPasture_Result_Method2">'4.2.1.7-8 Soil leach runoff'!$N$36</definedName>
    <definedName name="VEERG_5_1_1_1__1_InorganicFertiliserApplicationN2OEmissions_Result_Method1">'5.1.1.1-2 Inorganic fert N2O'!$E$80</definedName>
    <definedName name="VEERG_5_1_1_1__1_InorganicFertiliserApplicationN2OEmissions_Result_Method2">'5.1.1.1-2 Inorganic fert N2O'!$N$88</definedName>
    <definedName name="VEERG_5_1_1_3__1_InorganicFertiliserApplicationCO2Emissions_Result_Method1">'5.1.1.3-4 Inorganic fert CO2'!$E$78</definedName>
    <definedName name="VEERG_5_2_1_1__2_MassOfNitrogenInOrganicFertiliser_Result_Method1">'5.2.1.1-2 Organic Fert N2O'!$E$50</definedName>
    <definedName name="VEERG_5_3_1_1__1_LimeApplicationCO2Emissions_Result_Method1">'5.3.1.1-2 Lime CO2'!$E$31</definedName>
    <definedName name="VEERG_5_4_1_1__1_InorganicFertiliserAtmosphericDepositionN2OEmissions_Result_Method1">'5.4.1.1-4 Atmos deposition'!$E$79</definedName>
    <definedName name="VEERG_5_4_1_3__1_OrganicFertiliserAtmosphericDepositionN2OEmissions_Result_Method1">'5.4.1.1-4 Atmos deposition'!$E$146</definedName>
    <definedName name="VEERG_5_5_1_1__1_FertiliserLeachingAndRunoffN2OEmissions_result_Method1">'5.5.1.1-2 Leaching and runoff'!$E$94</definedName>
    <definedName name="VEERG_6_1_1_1__1__NitrousOxideEmissionsFromCropResidues_Result_Method1">'[2]6.1.1'!$E$42</definedName>
    <definedName name="VEERG_6_1_1_1__1__NitrousOxideEmissionsFromCropResidues_Result_Method2">'[2]6.1.1'!$N$77</definedName>
    <definedName name="VEERG_6_2_1_1__1__NitrousOxideEmissionsFromPastureResidues_Result_Method1">'6.2.1.1-2 Pasture residue N2O'!$E$40</definedName>
    <definedName name="VEERG_6_2_1_1__1__NitrousOxideEmissionsFromPastureResidues_Result_Method2">'6.2.1.1-2 Pasture residue N2O'!$O$40</definedName>
    <definedName name="VEERG_6_3_1_1__1__LeachingAndRunoffEmissionsCropAndPastureResidue_CropOnly_Result_Method1">'[3]6.3.1'!$E$48</definedName>
    <definedName name="VEERG_6_3_1_1__1__LeachingAndRunoffEmissionsCropAndPastureResidue_CropOnly_Result_Method2">'[3]6.3.1'!$O$48</definedName>
    <definedName name="VEERG_6_3_1_1__1__LeachingAndRunoffEmissionsCropAndPastureResidue_PastureOnly_Result_Method1">'6.3.1.1-2 Leach runoff pasture'!$E$48</definedName>
    <definedName name="VEERG_6_3_1_1__1__LeachingAndRunoffEmissionsCropAndPastureResidue_PastureOnly_Result_Method2">'6.3.1.1-2 Leach runoff pasture'!$O$48</definedName>
    <definedName name="VEERG_6_3_1_1__1__LeachingAndRunoffEmissionsCropAndPastureResidue_Result_Method1" localSheetId="22">'6.3.1.1-2 Leach runoff pasture'!$E$48</definedName>
    <definedName name="VEERG_6_3_1_1__1__LeachingAndRunoffEmissionsCropAndPastureResidue_Result_Method1">'[1]6.3.1'!$E$48</definedName>
    <definedName name="VEERG_6_3_1_1__1__LeachingAndRunoffEmissionsCropAndPastureResidue_Result_Method2" localSheetId="22">'6.3.1.1-2 Leach runoff pasture'!$O$48</definedName>
    <definedName name="VEERG_6_3_1_1__1__LeachingAndRunoffEmissionsCropAndPastureResidue_Result_Method2">'[1]6.3.1'!$O$48</definedName>
    <definedName name="VEERG_6_4_1_1__1__MethaneEmissionsFromBurningOfCropResidues_Result_Method1">'[4]6.4.1'!$E$62</definedName>
    <definedName name="VEERG_6_4_1_1__2__NitrousOxideEmissionsFromBurningOfCropResidues_Result_Method1">'[4]6.4.1'!$E$39</definedName>
    <definedName name="VEERG_8_1_1_1__1_FuelCombustionTransport_Result_CH4">'8.1.1.1-2 Transport fuel'!$E$68</definedName>
    <definedName name="VEERG_8_1_1_1__1_FuelCombustionTransport_Result_CO2">'8.1.1.1-2 Transport fuel'!$E$67</definedName>
    <definedName name="VEERG_8_1_1_1__1_FuelCombustionTransport_Result_N2O">'8.1.1.1-2 Transport fuel'!$E$69</definedName>
    <definedName name="VEERG_8_1_1_1__1_FuelCombustionTransport_Result_Scope3">'8.1.1.1-2 Transport fuel'!$E$70</definedName>
    <definedName name="VEERG_8_2_1_1__1_FuelCombustionStationary_Result_CH4">'8.2.1.1-2 Stationary fuel'!$E$56</definedName>
    <definedName name="VEERG_8_2_1_1__1_FuelCombustionStationary_Result_CO2">'8.2.1.1-2 Stationary fuel'!$E$55</definedName>
    <definedName name="VEERG_8_2_1_1__1_FuelCombustionStationary_Result_N2O">'8.2.1.1-2 Stationary fuel'!$E$57</definedName>
    <definedName name="VEERG_8_2_1_1__1_FuelCombustionStationary_Result_Scope3">'8.2.1.1-2 Stationary fuel'!$E$58</definedName>
    <definedName name="WasteSolid_Equations.VEERG_10_1_1_1__1_EmissionsFromWasteManagement">_xlfn.LAMBDA(_xlpm.Q_wt,_xlpm.EF_wtg, _xlpm.Q_wt * _xlpm.EF_wtg)</definedName>
    <definedName name="WasteSolid_Equations.VEERG_10_1_1_1__1_EmissionsFromWasteManagement_Arguments">_xlfn.LAMBDA(_xlfn.MAKEARRAY(7, 4, _xlfn.LAMBDA(_xlpm.r,_xlpm.c, INDEX({"Q_wt","quantity of solid waste of type w being sent to treatment facility t, on a wet weight basis","t","Sum of Q_volwt and Q_masswt";"EF_wtg","emission factor for greenhouse gas g for the management of waste at treatment facility t","t CO2e/t","Constant";"w","waste type","","Input";"t","treatment facility","","Input";"g","greenhouse gas","","Input";"Q_volwt","quantity of sold waste input as volume and converted to tonnes","tonnes","Calculated from 10.1.1.1 (2)";"Q_masswt","quantity of solid waste input as mass","tonnes","Input"}, _xlpm.r, _xlpm.c))))</definedName>
    <definedName name="WasteSolid_Equations.VEERG_10_1_1_1__1_EmissionsFromWasteManagement_LatexEquation">_xlfn.LAMBDA("E_g=\sum\nolimits_t\sum\nolimits_w(Q_{wt}\times EF_{wtg})")</definedName>
    <definedName name="WasteSolid_Equations.VEERG_10_1_1_1__1_EmissionsFromWasteManagement_NIRReference">_xlfn.LAMBDA("")</definedName>
    <definedName name="WasteSolid_Equations.VEERG_10_1_1_1__1_EmissionsFromWasteManagement_Source">_xlfn.LAMBDA("VEERG 2026: 10.1.1.1, Equation (1)")</definedName>
    <definedName name="WasteSolid_Equations.VEERG_10_1_1_1__1_EmissionsFromWasteManagement_Title">_xlfn.LAMBDA("Emissions from waste management by greenhouse gas")</definedName>
    <definedName name="WasteSolid_Equations.VEERG_10_1_1_1__1_EmissionsFromWasteManagement_Unit">_xlfn.LAMBDA("t CO2e")</definedName>
    <definedName name="WasteSolid_Equations.VEERG_10_1_1_1__1_EmissionsFromWasteManagement_Variable">_xlfn.LAMBDA("E_g")</definedName>
    <definedName name="WasteSolid_Equations.VEERG_10_1_1_1__1_EmissionsFromWasteManagement_Variation">_xlfn.LAMBDA("VARIATION ON SOURCE: Added Q_volwt and Q_masswt variables to clearly track input or calculated Q values")</definedName>
    <definedName name="WasteSolid_Equations.VEERG_10_1_1_1__2_MassOfWasteFromVolume">_xlfn.LAMBDA(_xlpm.V_wt,_xlpm.VTM_w, _xlpm.V_wt * _xlpm.VTM_w)</definedName>
    <definedName name="WasteSolid_Equations.VEERG_10_1_1_1__2_MassOfWasteFromVolume_Arguments">_xlfn.LAMBDA(_xlfn.MAKEARRAY(4, 4, _xlfn.LAMBDA(_xlpm.r,_xlpm.c, INDEX({"V_wt","volume of solid waste type w being sent to treatment facility t","m3","Input";"VTM_w","conversion factor of volume to mass for waste type w","t/m3","Constant";"w","waste type","","Input";"t","treatment facility","","Input"}, _xlpm.r, _xlpm.c))))</definedName>
    <definedName name="WasteSolid_Equations.VEERG_10_1_1_1__2_MassOfWasteFromVolume_LatexEquation">_xlfn.LAMBDA("Q_{wt}=V_{wt}\times VTM_w")</definedName>
    <definedName name="WasteSolid_Equations.VEERG_10_1_1_1__2_MassOfWasteFromVolume_NIRReference">_xlfn.LAMBDA("")</definedName>
    <definedName name="WasteSolid_Equations.VEERG_10_1_1_1__2_MassOfWasteFromVolume_Source">_xlfn.LAMBDA("VEERG 2026: 10.1.1.1, Equation (2)")</definedName>
    <definedName name="WasteSolid_Equations.VEERG_10_1_1_1__2_MassOfWasteFromVolume_Title">_xlfn.LAMBDA("Mass of waste from waste volume")</definedName>
    <definedName name="WasteSolid_Equations.VEERG_10_1_1_1__2_MassOfWasteFromVolume_Unit">_xlfn.LAMBDA("t")</definedName>
    <definedName name="WasteSolid_Equations.VEERG_10_1_1_1__2_MassOfWasteFromVolume_Variable">_xlfn.LAMBDA("Q_wt")</definedName>
    <definedName name="WasteSolid_InputFunctions.WasteSolid_InputFunctions_SumWasteTreatment">_xlfn.LAMBDA(_xlpm.TreatmentArray,_xlpm.WasteArray,_xlpm.TreatmentLocationArray,_xlpm.UnitArray,_xlpm.AmountArray,_xlpm.TreatmentType,_xlpm.WasteType,_xlpm.TreatmentLocationType,_xlpm.UnitType, SUMIFS(_xlpm.AmountArray, _xlpm.TreatmentArray, _xlpm.TreatmentType, _xlpm.WasteArray, _xlpm.WasteType, _xlpm.TreatmentLocationArray, _xlpm.TreatmentLocationType, _xlpm.UnitArray, _xlpm.UnitType))</definedName>
    <definedName name="WasteSolid_SourceData.Waste_EmissionFactorsForWasteTreatment_Data">_xlfn.LAMBDA(_xlfn.MAKEARRAY(21, 4, _xlfn.LAMBDA(_xlpm.r,_xlpm.c, INDEX({"Treatment type t","Waste type w","EFwt","EF source";"Landfill","Food waste (including animal carcasses, spoiled animal feed or crop)",2.1,"NGAF 2025 table 15";"Landfill","Paper and cardboard",3.3,"NGAF 2025 table 15";"Landfill","Green waste (including crop residues or prunnings)",1.6,"NGAF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sludge",0,"";"Incineration","Paper and cardboard",0.0169,"";"Incineration","Textiles",0.3667,"";"Incineration","Rubber and leather",0.4919,"";"Incineration","Inert Waste",0.11,"";"Incineration","Municipal Solid Waste",0.0537,"NGAF 2025 Table 18";"Incineration","Industrial Waste",1.649,"NGAF 2025 Table 18";"Composting","All organic waste",0.046,"NGAF 2025 Table 19";"Anaerobic digestion","All organic waste",0.028,"NGAF 2025 Table 19"}, _xlpm.r, _xlpm.c))))</definedName>
    <definedName name="WasteSolid_SourceData.Waste_EmissionFactorsForWasteTreatment_Source">_xlfn.LAMBDA(("VEERG 2026: Table A.4.1.1"))</definedName>
    <definedName name="WasteSolid_SourceData.Waste_EmissionFactorsForWasteTreatment_Title">_xlfn.LAMBDA(("Emission factors for wastes disposed of at different treatment facilities"))</definedName>
    <definedName name="WasteSolid_SourceData.Waste_EmissionFactorsForWasteTreatment_Unit">_xlfn.LAMBDA(("t CO2e / t"))</definedName>
    <definedName name="WasteSolid_SourceData.Waste_EmissionFactorsForWasteTreatment_Variable">_xlfn.LAMBDA(("EFwt"))</definedName>
    <definedName name="WasteSolid_SourceData.Waste_EmissionFactorsForWasteTreatment_Variation">_xlfn.LAMBDA(("VARIATION ON SOURCE: Fixed typo 'paper and carboard' to 'paper and cardboard'. Added EF source column with specific references."))</definedName>
    <definedName name="WasteSolid_SourceData.Waste_WasteVolumeToMassConversion_Data">_xlfn.LAMBDA(_xlfn.MAKEARRAY(12, 2, _xlfn.LAMBDA(_xlpm.r,_xlpm.c, INDEX({"Waste type w","VTMw";"Food waste (including animal carcasses, spoiled animal feed or crop)",0.5;"Paper and cardboard",0.09;"Green waste (including crop residues or prunings)",0.24;"Wood",0.15;"Textiles",0.14;"Sludge",0.72;"Rubber and leather",0.14;"Inert waste (including concrete, metal, plastic or glass)",0.42;"Municipal solid waste",0.36;"Commercial and industrial waste",0.33;"Construction and demolition waste",0.39}, _xlpm.r, _xlpm.c))))</definedName>
    <definedName name="WasteSolid_SourceData.Waste_WasteVolumeToMassConversion_Source">_xlfn.LAMBDA(("VEERG 2026: Table A.4.1.2"))</definedName>
    <definedName name="WasteSolid_SourceData.Waste_WasteVolumeToMassConversion_Title">_xlfn.LAMBDA(("Volume to mass conversion factor for various waste types"))</definedName>
    <definedName name="WasteSolid_SourceData.Waste_WasteVolumeToMassConversion_Unit">_xlfn.LAMBDA(("t/m3"))</definedName>
    <definedName name="WasteSolid_SourceData.Waste_WasteVolumeToMassConversion_Variable">_xlfn.LAMBDA(("VTMw"))</definedName>
    <definedName name="WasteSolid_SourceData.Waste_WasteVolumeToMassConversion_Variation">_xlfn.LAMBDA(("VARIATION OF SOURCE: Changed column header CFw to VTMw to match title variable."))</definedName>
    <definedName name="X_Cell_Crop_AreaUnderCropping">'[5]Input - Crop'!$E$13</definedName>
    <definedName name="X_Cell_Crop_AverageWeightPerBale">'[5]Input - Crop'!$E$34</definedName>
    <definedName name="X_Cell_Crop_CropPurpose">'[5]Input - Crop'!$E$10</definedName>
    <definedName name="X_Cell_Crop_CropType">'[5]Input - Crop'!$E$9</definedName>
    <definedName name="X_Cell_Crop_IrrigationMethod">'[5]Input - Crop'!$E$11</definedName>
    <definedName name="X_Cell_Crop_NumberOfBales">'[5]Input - Crop'!$E$35</definedName>
    <definedName name="X_Cell_Crop_PercentResidueBaled">'[5]Input - Crop'!$E$33</definedName>
    <definedName name="X_Cell_Crop_PercentResidueBurned">'[5]Input - Crop'!$E$43</definedName>
    <definedName name="X_Cell_Crop_PercentResidueGrazed">'[5]Input - Crop'!$E$39</definedName>
    <definedName name="X_Cell_Crop_TotalProductionOfCrop">'[5]Input - Crop'!$E$22</definedName>
    <definedName name="X_Cell_Crop_YieldPerHectare">'[5]Input - Crop'!$E$17</definedName>
    <definedName name="X_Cell_Electricity_CalculationMethod">'Input - Electricity'!$E$5</definedName>
    <definedName name="X_Cell_Electricity_Location_AmountPurchasedInkWh">'Input - Electricity'!$E$15</definedName>
    <definedName name="X_Cell_Electricity_Location_GridElectricityPurchasedFrom">'Input - Electricity'!$E$17</definedName>
    <definedName name="X_Cell_Electricity_Market_AmountPurchasedExcludingGreenPower">'Input - Electricity'!$E$23</definedName>
    <definedName name="X_Cell_Electricity_Market_AmountPurchasedGreenPower">'Input - Electricity'!$E$27</definedName>
    <definedName name="X_Cell_Electricity_Market_JurisdictionalRenewablePowerPercentage">'Input - Electricity'!$E$25</definedName>
    <definedName name="X_Cell_Electricity_Market_RenewablePowerPercentage">'Input - Electricity'!$E$24</definedName>
    <definedName name="X_Cell_Enterprise_ProductionTimeframeEnd">'Input - Enterprise'!$E$19</definedName>
    <definedName name="X_Cell_Enterprise_ProductionTimeframeStart">'Input - Enterprise'!$E$18</definedName>
    <definedName name="X_Cell_Fertiliser_AreaUnderCropping">'Input - Fertiliser'!$E$9</definedName>
    <definedName name="X_Cell_Fertiliser_CropType">'Input - Fertiliser'!$E$7</definedName>
    <definedName name="X_Cell_Fertiliser_IrrigationMethod">'Input - Fertiliser'!$E$8</definedName>
    <definedName name="X_Cell_Fertiliser_ProductionSystem">'Input - Fertiliser'!$E$6</definedName>
    <definedName name="X_Cell_Fuel_IsMetroLocation">'Input - Fuel'!$E$11</definedName>
    <definedName name="X_Cell_Pasture_AreaRemovedOrRenewed">'Input - Pasture'!$E$25</definedName>
    <definedName name="X_Cell_Pasture_AreaUnderPasture">'Input - Pasture'!$E$12</definedName>
    <definedName name="X_Cell_Pasture_IrrigationMethod">'Input - Pasture'!$E$10</definedName>
    <definedName name="X_Cell_Pasture_PastureType">'Input - Pasture'!$E$9</definedName>
    <definedName name="X_Cell_Pasture_YieldPerHectare">'Input - Pasture'!$E$19</definedName>
    <definedName name="X_Cell_PastureBeef_Breed" localSheetId="10">'Input - Pasture Beef'!$E$9</definedName>
    <definedName name="X_Cell_PastureBeef_Breed" localSheetId="11">'Input - Pasture Beef'!$E$9</definedName>
    <definedName name="X_Cell_PastureBeef_Breed" localSheetId="12">'Input - Pasture Beef'!$E$9</definedName>
    <definedName name="X_Cell_PastureBeef_Breed" localSheetId="13">'Input - Pasture Beef'!$E$9</definedName>
    <definedName name="X_Cell_PastureBeef_Breed" localSheetId="14">'Input - Pasture Beef'!$E$9</definedName>
    <definedName name="X_Cell_PastureBeef_Breed" localSheetId="33">'Input - Pasture Beef'!$E$9</definedName>
    <definedName name="X_Cell_PastureBeef_Breed" localSheetId="28">'Input - Pasture Beef'!$E$9</definedName>
    <definedName name="X_Cell_PastureBeef_Breed" localSheetId="26">'Input - Pasture Beef'!$E$9</definedName>
    <definedName name="X_Cell_PastureBeef_Breed" localSheetId="4">'Input - Pasture Beef'!$E$9</definedName>
    <definedName name="X_Cell_PastureBeef_Breed">'Input - Pasture Beef (Enteric)'!$E$9</definedName>
    <definedName name="X_Cell_PastureBeef_FencedWater" localSheetId="4">'Input - Pasture Beef'!$E$177</definedName>
    <definedName name="X_Cell_PastureBeef_FencedWater">'Input - Pasture Beef (Enteric)'!$E$177</definedName>
    <definedName name="X_Cell_PastureBeef_GrazingIrrigationMethod" localSheetId="11">'Input - Pasture Beef'!$E$185</definedName>
    <definedName name="X_Cell_PastureBeef_GrazingIrrigationMethod" localSheetId="12">'Input - Pasture Beef'!$E$185</definedName>
    <definedName name="X_Cell_PastureBeef_GrazingIrrigationMethod" localSheetId="13">'Input - Pasture Beef'!$E$185</definedName>
    <definedName name="X_Cell_PastureBeef_GrazingIrrigationMethod" localSheetId="14">'Input - Pasture Beef'!$E$185</definedName>
    <definedName name="X_Cell_PastureBeef_GrazingIrrigationMethod" localSheetId="4">'Input - Pasture Beef'!$E$185</definedName>
    <definedName name="X_Cell_PastureBeef_GrazingIrrigationMethod">'Input - Pasture Beef (Enteric)'!$E$185</definedName>
    <definedName name="X_Cell_PastureBeef_GrazingProductionSystem" localSheetId="11">'Input - Pasture Beef'!$E$184</definedName>
    <definedName name="X_Cell_PastureBeef_GrazingProductionSystem" localSheetId="12">'Input - Pasture Beef'!$E$184</definedName>
    <definedName name="X_Cell_PastureBeef_GrazingProductionSystem" localSheetId="13">'Input - Pasture Beef'!$E$184</definedName>
    <definedName name="X_Cell_PastureBeef_GrazingProductionSystem" localSheetId="14">'Input - Pasture Beef'!$E$184</definedName>
    <definedName name="X_Cell_PastureBeef_GrazingProductionSystem" localSheetId="4">'Input - Pasture Beef'!$E$184</definedName>
    <definedName name="X_Cell_PastureBeef_GrazingProductionSystem">'Input - Pasture Beef (Enteric)'!$E$184</definedName>
    <definedName name="X_Cell_PastureBeef_ProductionRegion" localSheetId="11">'Input - Pasture Beef'!$E$8</definedName>
    <definedName name="X_Cell_PastureBeef_ProductionRegion" localSheetId="12">'Input - Pasture Beef'!$E$8</definedName>
    <definedName name="X_Cell_PastureBeef_ProductionRegion" localSheetId="13">'Input - Pasture Beef'!$E$8</definedName>
    <definedName name="X_Cell_PastureBeef_ProductionRegion" localSheetId="14">'Input - Pasture Beef'!$E$8</definedName>
    <definedName name="X_Cell_PastureBeef_ProductionRegion" localSheetId="4">'Input - Pasture Beef'!$E$8</definedName>
    <definedName name="X_Cell_PastureBeef_ProductionRegion">'Input - Pasture Beef (Enteric)'!$E$8</definedName>
    <definedName name="X_Cell_Site_AverageTemperature">'Input - Site'!$E$14</definedName>
    <definedName name="X_Cell_Site_ClimateZone">'Input - Site'!$E$20</definedName>
    <definedName name="X_Cell_Site_Elevation">'Input - Site'!$E$13</definedName>
    <definedName name="X_Cell_Site_FarmName">'Input - Enterprise'!$E$7</definedName>
    <definedName name="X_Cell_Site_FrostDays">'Input - Site'!$E$17</definedName>
    <definedName name="X_Cell_Site_LeachingZone">'Input - Site'!$E$12</definedName>
    <definedName name="X_Cell_Site_MapPetRatio">'Input - Site'!$E$18</definedName>
    <definedName name="X_Cell_Site_PotentialEvapotranspiration">'Input - Site'!$E$16</definedName>
    <definedName name="X_Cell_Site_RainfallZone">'Input - Site'!$E$19</definedName>
    <definedName name="X_Cell_Site_Region">'Input - Site'!$E$11</definedName>
    <definedName name="X_Cell_Site_ReportingEntityName">'Input - Enterprise'!$E$8</definedName>
    <definedName name="X_Cell_Site_StartDate">'Input - Enterprise'!$E$12</definedName>
    <definedName name="X_Cell_Site_State">'Input - Site'!$E$10</definedName>
    <definedName name="X_Cell_Site_TemperatureZone">'Input - Site'!$E$22</definedName>
    <definedName name="X_Cell_Site_TotalRainfall">'Input - Site'!$E$15</definedName>
    <definedName name="X_Cell_Site_WetOrDryClimateZone">'Input - Site'!$E$21</definedName>
    <definedName name="X_Cell_TotalElegibleRECsForElectricityProducedOnSite">'Input - Electricity'!$E$50</definedName>
    <definedName name="X_Cell_TotalElegibleVoluntarilySurrenderedRECs">'Input - Electricity'!$E$41</definedName>
    <definedName name="X_Table_PastureBeef_CrudeProtein_Method1" localSheetId="11">'Input - Pasture Beef'!$D$154:$N$158</definedName>
    <definedName name="X_Table_PastureBeef_CrudeProtein_Method1" localSheetId="12">'Input - Pasture Beef'!$D$154:$N$158</definedName>
    <definedName name="X_Table_PastureBeef_CrudeProtein_Method1" localSheetId="13">'Input - Pasture Beef'!$D$154:$N$158</definedName>
    <definedName name="X_Table_PastureBeef_CrudeProtein_Method1" localSheetId="14">'Input - Pasture Beef'!$D$154:$N$158</definedName>
    <definedName name="X_Table_PastureBeef_CrudeProtein_Method1" localSheetId="4">'Input - Pasture Beef'!$D$154:$N$158</definedName>
    <definedName name="X_Table_PastureBeef_CrudeProtein_Method1">'Input - Pasture Beef (Enteric)'!$D$154:$N$158</definedName>
    <definedName name="X_Table_PastureBeef_CrudeProtein_Method2" localSheetId="11">'Input - Pasture Beef'!$D$160:$N$172</definedName>
    <definedName name="X_Table_PastureBeef_CrudeProtein_Method2" localSheetId="12">'Input - Pasture Beef'!$D$160:$N$172</definedName>
    <definedName name="X_Table_PastureBeef_CrudeProtein_Method2" localSheetId="13">'Input - Pasture Beef'!$D$160:$N$172</definedName>
    <definedName name="X_Table_PastureBeef_CrudeProtein_Method2" localSheetId="14">'Input - Pasture Beef'!$D$160:$N$172</definedName>
    <definedName name="X_Table_PastureBeef_CrudeProtein_Method2" localSheetId="4">'Input - Pasture Beef'!$D$160:$N$172</definedName>
    <definedName name="X_Table_PastureBeef_CrudeProtein_Method2">'Input - Pasture Beef (Enteric)'!$D$160:$N$172</definedName>
    <definedName name="X_Table_PastureBeef_DryMatterDigestibility_Method1" localSheetId="11">'Input - Pasture Beef'!$D$132:$N$136</definedName>
    <definedName name="X_Table_PastureBeef_DryMatterDigestibility_Method1" localSheetId="12">'Input - Pasture Beef'!$D$132:$N$136</definedName>
    <definedName name="X_Table_PastureBeef_DryMatterDigestibility_Method1" localSheetId="13">'Input - Pasture Beef'!$D$132:$N$136</definedName>
    <definedName name="X_Table_PastureBeef_DryMatterDigestibility_Method1" localSheetId="14">'Input - Pasture Beef'!$D$132:$N$136</definedName>
    <definedName name="X_Table_PastureBeef_DryMatterDigestibility_Method1" localSheetId="4">'Input - Pasture Beef'!$D$132:$N$136</definedName>
    <definedName name="X_Table_PastureBeef_DryMatterDigestibility_Method1">'Input - Pasture Beef (Enteric)'!$D$132:$N$136</definedName>
    <definedName name="X_Table_PastureBeef_DryMatterDigestibility_Method2" localSheetId="11">'Input - Pasture Beef'!$D$138:$N$150</definedName>
    <definedName name="X_Table_PastureBeef_DryMatterDigestibility_Method2" localSheetId="12">'Input - Pasture Beef'!$D$138:$N$150</definedName>
    <definedName name="X_Table_PastureBeef_DryMatterDigestibility_Method2" localSheetId="13">'Input - Pasture Beef'!$D$138:$N$150</definedName>
    <definedName name="X_Table_PastureBeef_DryMatterDigestibility_Method2" localSheetId="14">'Input - Pasture Beef'!$D$138:$N$150</definedName>
    <definedName name="X_Table_PastureBeef_DryMatterDigestibility_Method2" localSheetId="4">'Input - Pasture Beef'!$D$138:$N$150</definedName>
    <definedName name="X_Table_PastureBeef_DryMatterDigestibility_Method2">'Input - Pasture Beef (Enteric)'!$D$138:$N$150</definedName>
    <definedName name="X_Table_PastureBeef_Duration_Method1" localSheetId="10">'Input - Pasture Beef'!$D$16:$N$20</definedName>
    <definedName name="X_Table_PastureBeef_Duration_Method1" localSheetId="11">'Input - Pasture Beef'!$D$16:$N$20</definedName>
    <definedName name="X_Table_PastureBeef_Duration_Method1" localSheetId="12">'Input - Pasture Beef'!$D$16:$N$20</definedName>
    <definedName name="X_Table_PastureBeef_Duration_Method1" localSheetId="13">'Input - Pasture Beef'!$D$16:$N$20</definedName>
    <definedName name="X_Table_PastureBeef_Duration_Method1" localSheetId="14">'Input - Pasture Beef'!$D$16:$N$20</definedName>
    <definedName name="X_Table_PastureBeef_Duration_Method1" localSheetId="33">'Input - Pasture Beef'!$D$16:$N$20</definedName>
    <definedName name="X_Table_PastureBeef_Duration_Method1" localSheetId="28">'Input - Pasture Beef'!$D$16:$N$20</definedName>
    <definedName name="X_Table_PastureBeef_Duration_Method1" localSheetId="26">'Input - Pasture Beef'!$D$16:$N$20</definedName>
    <definedName name="X_Table_PastureBeef_Duration_Method1" localSheetId="4">'Input - Pasture Beef'!$D$16:$N$20</definedName>
    <definedName name="X_Table_PastureBeef_Duration_Method1">'Input - Pasture Beef (Enteric)'!$D$16:$N$20</definedName>
    <definedName name="X_Table_PastureBeef_Duration_Method2" localSheetId="10">'Input - Pasture Beef'!$D$22:$N$34</definedName>
    <definedName name="X_Table_PastureBeef_Duration_Method2" localSheetId="11">'Input - Pasture Beef'!$D$22:$N$34</definedName>
    <definedName name="X_Table_PastureBeef_Duration_Method2" localSheetId="12">'Input - Pasture Beef'!$D$22:$N$34</definedName>
    <definedName name="X_Table_PastureBeef_Duration_Method2" localSheetId="13">'Input - Pasture Beef'!$D$22:$N$34</definedName>
    <definedName name="X_Table_PastureBeef_Duration_Method2" localSheetId="14">'Input - Pasture Beef'!$D$22:$N$34</definedName>
    <definedName name="X_Table_PastureBeef_Duration_Method2" localSheetId="33">'Input - Pasture Beef'!$D$22:$N$34</definedName>
    <definedName name="X_Table_PastureBeef_Duration_Method2" localSheetId="28">'Input - Pasture Beef'!$D$22:$N$34</definedName>
    <definedName name="X_Table_PastureBeef_Duration_Method2" localSheetId="26">'Input - Pasture Beef'!$D$22:$N$34</definedName>
    <definedName name="X_Table_PastureBeef_Duration_Method2" localSheetId="4">'Input - Pasture Beef'!$D$22:$N$34</definedName>
    <definedName name="X_Table_PastureBeef_Duration_Method2">'Input - Pasture Beef (Enteric)'!$D$22:$N$34</definedName>
    <definedName name="X_Table_PastureBeef_Head_Method1" localSheetId="10">'Input - Pasture Beef'!$D$38:$N$42</definedName>
    <definedName name="X_Table_PastureBeef_Head_Method1" localSheetId="11">'Input - Pasture Beef'!$D$38:$N$42</definedName>
    <definedName name="X_Table_PastureBeef_Head_Method1" localSheetId="12">'Input - Pasture Beef'!$D$38:$N$42</definedName>
    <definedName name="X_Table_PastureBeef_Head_Method1" localSheetId="13">'Input - Pasture Beef'!$D$38:$N$42</definedName>
    <definedName name="X_Table_PastureBeef_Head_Method1" localSheetId="14">'Input - Pasture Beef'!$D$38:$N$42</definedName>
    <definedName name="X_Table_PastureBeef_Head_Method1" localSheetId="33">'Input - Pasture Beef'!$D$38:$N$42</definedName>
    <definedName name="X_Table_PastureBeef_Head_Method1" localSheetId="28">'Input - Pasture Beef'!$D$38:$N$42</definedName>
    <definedName name="X_Table_PastureBeef_Head_Method1" localSheetId="26">'Input - Pasture Beef'!$D$38:$N$42</definedName>
    <definedName name="X_Table_PastureBeef_Head_Method1" localSheetId="4">'Input - Pasture Beef'!$D$38:$N$42</definedName>
    <definedName name="X_Table_PastureBeef_Head_Method1">'Input - Pasture Beef (Enteric)'!$D$38:$N$42</definedName>
    <definedName name="X_Table_PastureBeef_Head_Method2" localSheetId="10">'Input - Pasture Beef'!$D$44:$N$56</definedName>
    <definedName name="X_Table_PastureBeef_Head_Method2" localSheetId="11">'Input - Pasture Beef'!$D$44:$N$56</definedName>
    <definedName name="X_Table_PastureBeef_Head_Method2" localSheetId="12">'Input - Pasture Beef'!$D$44:$N$56</definedName>
    <definedName name="X_Table_PastureBeef_Head_Method2" localSheetId="13">'Input - Pasture Beef'!$D$44:$N$56</definedName>
    <definedName name="X_Table_PastureBeef_Head_Method2" localSheetId="14">'Input - Pasture Beef'!$D$44:$N$56</definedName>
    <definedName name="X_Table_PastureBeef_Head_Method2" localSheetId="33">'Input - Pasture Beef'!$D$44:$N$56</definedName>
    <definedName name="X_Table_PastureBeef_Head_Method2" localSheetId="28">'Input - Pasture Beef'!$D$44:$N$56</definedName>
    <definedName name="X_Table_PastureBeef_Head_Method2" localSheetId="26">'Input - Pasture Beef'!$D$44:$N$56</definedName>
    <definedName name="X_Table_PastureBeef_Head_Method2" localSheetId="4">'Input - Pasture Beef'!$D$44:$N$56</definedName>
    <definedName name="X_Table_PastureBeef_Head_Method2">'Input - Pasture Beef (Enteric)'!$D$44:$N$56</definedName>
    <definedName name="X_Table_PastureBeef_Liveweight_Method1" localSheetId="10">'Input - Pasture Beef'!$D$60:$N$64</definedName>
    <definedName name="X_Table_PastureBeef_Liveweight_Method1" localSheetId="11">'Input - Pasture Beef'!$D$60:$N$64</definedName>
    <definedName name="X_Table_PastureBeef_Liveweight_Method1" localSheetId="12">'Input - Pasture Beef'!$D$60:$N$64</definedName>
    <definedName name="X_Table_PastureBeef_Liveweight_Method1" localSheetId="13">'Input - Pasture Beef'!$D$60:$N$64</definedName>
    <definedName name="X_Table_PastureBeef_Liveweight_Method1" localSheetId="14">'Input - Pasture Beef'!$D$60:$N$64</definedName>
    <definedName name="X_Table_PastureBeef_Liveweight_Method1" localSheetId="33">'Input - Pasture Beef'!$D$60:$N$64</definedName>
    <definedName name="X_Table_PastureBeef_Liveweight_Method1" localSheetId="28">'Input - Pasture Beef'!$D$60:$N$64</definedName>
    <definedName name="X_Table_PastureBeef_Liveweight_Method1" localSheetId="26">'Input - Pasture Beef'!$D$60:$N$64</definedName>
    <definedName name="X_Table_PastureBeef_Liveweight_Method1" localSheetId="4">'Input - Pasture Beef'!$D$60:$N$64</definedName>
    <definedName name="X_Table_PastureBeef_Liveweight_Method1">'Input - Pasture Beef (Enteric)'!$D$60:$N$64</definedName>
    <definedName name="X_Table_PastureBeef_Liveweight_Method2" localSheetId="10">'Input - Pasture Beef'!$D$66:$N$78</definedName>
    <definedName name="X_Table_PastureBeef_Liveweight_Method2" localSheetId="11">'Input - Pasture Beef'!$D$66:$N$78</definedName>
    <definedName name="X_Table_PastureBeef_Liveweight_Method2" localSheetId="12">'Input - Pasture Beef'!$D$66:$N$78</definedName>
    <definedName name="X_Table_PastureBeef_Liveweight_Method2" localSheetId="13">'Input - Pasture Beef'!$D$66:$N$78</definedName>
    <definedName name="X_Table_PastureBeef_Liveweight_Method2" localSheetId="14">'Input - Pasture Beef'!$D$66:$N$78</definedName>
    <definedName name="X_Table_PastureBeef_Liveweight_Method2" localSheetId="33">'Input - Pasture Beef'!$D$66:$N$78</definedName>
    <definedName name="X_Table_PastureBeef_Liveweight_Method2" localSheetId="28">'Input - Pasture Beef'!$D$66:$N$78</definedName>
    <definedName name="X_Table_PastureBeef_Liveweight_Method2" localSheetId="26">'Input - Pasture Beef'!$D$66:$N$78</definedName>
    <definedName name="X_Table_PastureBeef_Liveweight_Method2" localSheetId="4">'Input - Pasture Beef'!$D$66:$N$78</definedName>
    <definedName name="X_Table_PastureBeef_Liveweight_Method2">'Input - Pasture Beef (Enteric)'!$D$66:$N$78</definedName>
    <definedName name="X_Table_PastureBeef_LiveweightGain_Method1" localSheetId="10">'Input - Pasture Beef'!$D$82:$N$86</definedName>
    <definedName name="X_Table_PastureBeef_LiveweightGain_Method1" localSheetId="11">'Input - Pasture Beef'!$D$82:$N$86</definedName>
    <definedName name="X_Table_PastureBeef_LiveweightGain_Method1" localSheetId="12">'Input - Pasture Beef'!$D$82:$N$86</definedName>
    <definedName name="X_Table_PastureBeef_LiveweightGain_Method1" localSheetId="13">'Input - Pasture Beef'!$D$82:$N$86</definedName>
    <definedName name="X_Table_PastureBeef_LiveweightGain_Method1" localSheetId="14">'Input - Pasture Beef'!$D$82:$N$86</definedName>
    <definedName name="X_Table_PastureBeef_LiveweightGain_Method1" localSheetId="33">'Input - Pasture Beef'!$D$82:$N$86</definedName>
    <definedName name="X_Table_PastureBeef_LiveweightGain_Method1" localSheetId="28">'Input - Pasture Beef'!$D$82:$N$86</definedName>
    <definedName name="X_Table_PastureBeef_LiveweightGain_Method1" localSheetId="26">'Input - Pasture Beef'!$D$82:$N$86</definedName>
    <definedName name="X_Table_PastureBeef_LiveweightGain_Method1" localSheetId="4">'Input - Pasture Beef'!$D$82:$N$86</definedName>
    <definedName name="X_Table_PastureBeef_LiveweightGain_Method1">'Input - Pasture Beef (Enteric)'!$D$82:$N$86</definedName>
    <definedName name="X_Table_PastureBeef_LiveweightGain_Method2" localSheetId="10">'Input - Pasture Beef'!$D$88:$N$100</definedName>
    <definedName name="X_Table_PastureBeef_LiveweightGain_Method2" localSheetId="11">'Input - Pasture Beef'!$D$88:$N$100</definedName>
    <definedName name="X_Table_PastureBeef_LiveweightGain_Method2" localSheetId="12">'Input - Pasture Beef'!$D$88:$N$100</definedName>
    <definedName name="X_Table_PastureBeef_LiveweightGain_Method2" localSheetId="13">'Input - Pasture Beef'!$D$88:$N$100</definedName>
    <definedName name="X_Table_PastureBeef_LiveweightGain_Method2" localSheetId="14">'Input - Pasture Beef'!$D$88:$N$100</definedName>
    <definedName name="X_Table_PastureBeef_LiveweightGain_Method2" localSheetId="33">'Input - Pasture Beef'!$D$88:$N$100</definedName>
    <definedName name="X_Table_PastureBeef_LiveweightGain_Method2" localSheetId="28">'Input - Pasture Beef'!$D$88:$N$100</definedName>
    <definedName name="X_Table_PastureBeef_LiveweightGain_Method2" localSheetId="26">'Input - Pasture Beef'!$D$88:$N$100</definedName>
    <definedName name="X_Table_PastureBeef_LiveweightGain_Method2" localSheetId="4">'Input - Pasture Beef'!$D$88:$N$100</definedName>
    <definedName name="X_Table_PastureBeef_LiveweightGain_Method2">'Input - Pasture Beef (Enteric)'!$D$88:$N$100</definedName>
    <definedName name="X_Table_Result_ActivityPeriodEmissions_RowsToCols">Results!$D$36:$F$41</definedName>
    <definedName name="X_Table_Result_CarbonRemovalsFromPlantings_RowsToCols">Results!$D$47:$E$52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6" i="104" l="1"/>
  <c r="A45" i="104"/>
  <c r="A44" i="104"/>
  <c r="A43" i="104"/>
  <c r="A42" i="104"/>
  <c r="A41" i="104"/>
  <c r="A40" i="104"/>
  <c r="A39" i="104"/>
  <c r="A38" i="104"/>
  <c r="A34" i="104"/>
  <c r="A33" i="104"/>
  <c r="A32" i="104"/>
  <c r="A31" i="104"/>
  <c r="A30" i="104"/>
  <c r="A29" i="104"/>
  <c r="A28" i="104"/>
  <c r="A27" i="104"/>
  <c r="A26" i="104"/>
  <c r="A25" i="104"/>
  <c r="A24" i="104"/>
  <c r="A23" i="104"/>
  <c r="A22" i="104"/>
  <c r="A21" i="104"/>
  <c r="A20" i="104"/>
  <c r="A19" i="104"/>
  <c r="A15" i="104"/>
  <c r="A14" i="104"/>
  <c r="A13" i="104"/>
  <c r="A12" i="104"/>
  <c r="A11" i="104"/>
  <c r="A10" i="104"/>
  <c r="A9" i="104"/>
  <c r="A8" i="104"/>
  <c r="A4" i="104"/>
  <c r="A3" i="104"/>
  <c r="A46" i="105"/>
  <c r="A45" i="105"/>
  <c r="A44" i="105"/>
  <c r="A43" i="105"/>
  <c r="A42" i="105"/>
  <c r="A41" i="105"/>
  <c r="A40" i="105"/>
  <c r="A39" i="105"/>
  <c r="A38" i="105"/>
  <c r="A34" i="105"/>
  <c r="A33" i="105"/>
  <c r="A32" i="105"/>
  <c r="A31" i="105"/>
  <c r="A30" i="105"/>
  <c r="A29" i="105"/>
  <c r="A28" i="105"/>
  <c r="A27" i="105"/>
  <c r="A26" i="105"/>
  <c r="A25" i="105"/>
  <c r="A24" i="105"/>
  <c r="A23" i="105"/>
  <c r="A22" i="105"/>
  <c r="A21" i="105"/>
  <c r="A20" i="105"/>
  <c r="A19" i="105"/>
  <c r="A15" i="105"/>
  <c r="A14" i="105"/>
  <c r="A13" i="105"/>
  <c r="A12" i="105"/>
  <c r="A11" i="105"/>
  <c r="A10" i="105"/>
  <c r="A9" i="105"/>
  <c r="A8" i="105"/>
  <c r="A4" i="105"/>
  <c r="A3" i="105"/>
  <c r="A46" i="74"/>
  <c r="A45" i="74"/>
  <c r="A44" i="74"/>
  <c r="A43" i="74"/>
  <c r="A42" i="74"/>
  <c r="A41" i="74"/>
  <c r="A40" i="74"/>
  <c r="A39" i="74"/>
  <c r="A38" i="74"/>
  <c r="A34" i="74"/>
  <c r="A33" i="74"/>
  <c r="A32" i="74"/>
  <c r="A31" i="74"/>
  <c r="A30" i="74"/>
  <c r="A29" i="74"/>
  <c r="A28" i="74"/>
  <c r="A27" i="74"/>
  <c r="A26" i="74"/>
  <c r="A25" i="74"/>
  <c r="A24" i="74"/>
  <c r="A23" i="74"/>
  <c r="A22" i="74"/>
  <c r="A21" i="74"/>
  <c r="A20" i="74"/>
  <c r="A19" i="74"/>
  <c r="A15" i="74"/>
  <c r="A14" i="74"/>
  <c r="A13" i="74"/>
  <c r="A12" i="74"/>
  <c r="A11" i="74"/>
  <c r="A10" i="74"/>
  <c r="A9" i="74"/>
  <c r="A8" i="74"/>
  <c r="A4" i="74"/>
  <c r="A3" i="74"/>
  <c r="A46" i="98"/>
  <c r="A45" i="98"/>
  <c r="A44" i="98"/>
  <c r="A43" i="98"/>
  <c r="A42" i="98"/>
  <c r="A41" i="98"/>
  <c r="A40" i="98"/>
  <c r="A39" i="98"/>
  <c r="A38" i="98"/>
  <c r="A34" i="98"/>
  <c r="A33" i="98"/>
  <c r="A32" i="98"/>
  <c r="A31" i="98"/>
  <c r="A30" i="98"/>
  <c r="A29" i="98"/>
  <c r="A28" i="98"/>
  <c r="A27" i="98"/>
  <c r="A26" i="98"/>
  <c r="A25" i="98"/>
  <c r="A24" i="98"/>
  <c r="A23" i="98"/>
  <c r="A22" i="98"/>
  <c r="A21" i="98"/>
  <c r="A20" i="98"/>
  <c r="A19" i="98"/>
  <c r="A15" i="98"/>
  <c r="A14" i="98"/>
  <c r="A13" i="98"/>
  <c r="A12" i="98"/>
  <c r="A11" i="98"/>
  <c r="A10" i="98"/>
  <c r="A9" i="98"/>
  <c r="A8" i="98"/>
  <c r="A4" i="98"/>
  <c r="A3" i="98"/>
  <c r="A46" i="91"/>
  <c r="A45" i="91"/>
  <c r="A44" i="91"/>
  <c r="A43" i="91"/>
  <c r="A42" i="91"/>
  <c r="A41" i="91"/>
  <c r="A40" i="91"/>
  <c r="A39" i="91"/>
  <c r="A38" i="91"/>
  <c r="A34" i="91"/>
  <c r="A33" i="91"/>
  <c r="A32" i="91"/>
  <c r="A31" i="91"/>
  <c r="A30" i="91"/>
  <c r="A29" i="91"/>
  <c r="A28" i="91"/>
  <c r="A27" i="91"/>
  <c r="A26" i="91"/>
  <c r="A25" i="91"/>
  <c r="A24" i="91"/>
  <c r="A23" i="91"/>
  <c r="A22" i="91"/>
  <c r="A21" i="91"/>
  <c r="A20" i="91"/>
  <c r="A19" i="91"/>
  <c r="A15" i="91"/>
  <c r="A14" i="91"/>
  <c r="A13" i="91"/>
  <c r="A12" i="91"/>
  <c r="A11" i="91"/>
  <c r="A10" i="91"/>
  <c r="A9" i="91"/>
  <c r="A8" i="91"/>
  <c r="A4" i="91"/>
  <c r="A3" i="91"/>
  <c r="A46" i="94"/>
  <c r="A45" i="94"/>
  <c r="A44" i="94"/>
  <c r="A43" i="94"/>
  <c r="A42" i="94"/>
  <c r="A41" i="94"/>
  <c r="A40" i="94"/>
  <c r="A39" i="94"/>
  <c r="A38" i="94"/>
  <c r="A34" i="94"/>
  <c r="A33" i="94"/>
  <c r="A32" i="94"/>
  <c r="A31" i="94"/>
  <c r="A30" i="94"/>
  <c r="A29" i="94"/>
  <c r="A28" i="94"/>
  <c r="A27" i="94"/>
  <c r="A26" i="94"/>
  <c r="A25" i="94"/>
  <c r="A24" i="94"/>
  <c r="A23" i="94"/>
  <c r="A22" i="94"/>
  <c r="A21" i="94"/>
  <c r="A20" i="94"/>
  <c r="A19" i="94"/>
  <c r="A15" i="94"/>
  <c r="A14" i="94"/>
  <c r="A13" i="94"/>
  <c r="A12" i="94"/>
  <c r="A11" i="94"/>
  <c r="A10" i="94"/>
  <c r="A9" i="94"/>
  <c r="A8" i="94"/>
  <c r="A4" i="94"/>
  <c r="A3" i="94"/>
  <c r="A46" i="103"/>
  <c r="A45" i="103"/>
  <c r="A44" i="103"/>
  <c r="A43" i="103"/>
  <c r="A42" i="103"/>
  <c r="A41" i="103"/>
  <c r="A40" i="103"/>
  <c r="A39" i="103"/>
  <c r="A38" i="103"/>
  <c r="A34" i="103"/>
  <c r="A33" i="103"/>
  <c r="A32" i="103"/>
  <c r="A31" i="103"/>
  <c r="A30" i="103"/>
  <c r="A29" i="103"/>
  <c r="A28" i="103"/>
  <c r="A27" i="103"/>
  <c r="A26" i="103"/>
  <c r="A25" i="103"/>
  <c r="A24" i="103"/>
  <c r="A23" i="103"/>
  <c r="A22" i="103"/>
  <c r="A21" i="103"/>
  <c r="A20" i="103"/>
  <c r="A19" i="103"/>
  <c r="A15" i="103"/>
  <c r="A14" i="103"/>
  <c r="A13" i="103"/>
  <c r="A12" i="103"/>
  <c r="A11" i="103"/>
  <c r="A10" i="103"/>
  <c r="A9" i="103"/>
  <c r="A8" i="103"/>
  <c r="A4" i="103"/>
  <c r="A3" i="103"/>
  <c r="A46" i="102"/>
  <c r="A45" i="102"/>
  <c r="A44" i="102"/>
  <c r="A43" i="102"/>
  <c r="A42" i="102"/>
  <c r="A41" i="102"/>
  <c r="A40" i="102"/>
  <c r="A39" i="102"/>
  <c r="A38" i="102"/>
  <c r="A34" i="102"/>
  <c r="A33" i="102"/>
  <c r="A32" i="102"/>
  <c r="A31" i="102"/>
  <c r="A30" i="102"/>
  <c r="A29" i="102"/>
  <c r="A28" i="102"/>
  <c r="A27" i="102"/>
  <c r="A26" i="102"/>
  <c r="A25" i="102"/>
  <c r="A24" i="102"/>
  <c r="A23" i="102"/>
  <c r="A22" i="102"/>
  <c r="A21" i="102"/>
  <c r="A20" i="102"/>
  <c r="A19" i="102"/>
  <c r="A15" i="102"/>
  <c r="A14" i="102"/>
  <c r="A13" i="102"/>
  <c r="A12" i="102"/>
  <c r="A11" i="102"/>
  <c r="A10" i="102"/>
  <c r="A9" i="102"/>
  <c r="A8" i="102"/>
  <c r="A4" i="102"/>
  <c r="A3" i="102"/>
  <c r="A46" i="78"/>
  <c r="A45" i="78"/>
  <c r="A44" i="78"/>
  <c r="A43" i="78"/>
  <c r="A42" i="78"/>
  <c r="A41" i="78"/>
  <c r="A40" i="78"/>
  <c r="A39" i="78"/>
  <c r="A38" i="78"/>
  <c r="A34" i="78"/>
  <c r="A33" i="78"/>
  <c r="A32" i="78"/>
  <c r="A31" i="78"/>
  <c r="A30" i="78"/>
  <c r="A29" i="78"/>
  <c r="A28" i="78"/>
  <c r="A27" i="78"/>
  <c r="A26" i="78"/>
  <c r="A25" i="78"/>
  <c r="A24" i="78"/>
  <c r="A23" i="78"/>
  <c r="A22" i="78"/>
  <c r="A21" i="78"/>
  <c r="A20" i="78"/>
  <c r="A19" i="78"/>
  <c r="A15" i="78"/>
  <c r="A14" i="78"/>
  <c r="A13" i="78"/>
  <c r="A12" i="78"/>
  <c r="A11" i="78"/>
  <c r="A10" i="78"/>
  <c r="A9" i="78"/>
  <c r="A8" i="78"/>
  <c r="A4" i="78"/>
  <c r="A3" i="78"/>
  <c r="A46" i="93"/>
  <c r="A45" i="93"/>
  <c r="A44" i="93"/>
  <c r="A43" i="93"/>
  <c r="A42" i="93"/>
  <c r="A41" i="93"/>
  <c r="A40" i="93"/>
  <c r="A39" i="93"/>
  <c r="A38" i="93"/>
  <c r="A34" i="93"/>
  <c r="A33" i="93"/>
  <c r="A32" i="93"/>
  <c r="A31" i="93"/>
  <c r="A30" i="93"/>
  <c r="A29" i="93"/>
  <c r="A28" i="93"/>
  <c r="A27" i="93"/>
  <c r="A26" i="93"/>
  <c r="A25" i="93"/>
  <c r="A24" i="93"/>
  <c r="A23" i="93"/>
  <c r="A22" i="93"/>
  <c r="A21" i="93"/>
  <c r="A20" i="93"/>
  <c r="A19" i="93"/>
  <c r="A15" i="93"/>
  <c r="A14" i="93"/>
  <c r="A13" i="93"/>
  <c r="A12" i="93"/>
  <c r="A11" i="93"/>
  <c r="A10" i="93"/>
  <c r="A9" i="93"/>
  <c r="A8" i="93"/>
  <c r="A4" i="93"/>
  <c r="A3" i="93"/>
  <c r="A46" i="97"/>
  <c r="A45" i="97"/>
  <c r="A44" i="97"/>
  <c r="A43" i="97"/>
  <c r="A42" i="97"/>
  <c r="A41" i="97"/>
  <c r="A40" i="97"/>
  <c r="A39" i="97"/>
  <c r="A38" i="97"/>
  <c r="A34" i="97"/>
  <c r="A33" i="97"/>
  <c r="A32" i="97"/>
  <c r="A31" i="97"/>
  <c r="A30" i="97"/>
  <c r="A29" i="97"/>
  <c r="A28" i="97"/>
  <c r="A27" i="97"/>
  <c r="A26" i="97"/>
  <c r="A25" i="97"/>
  <c r="A24" i="97"/>
  <c r="A23" i="97"/>
  <c r="A22" i="97"/>
  <c r="A21" i="97"/>
  <c r="A20" i="97"/>
  <c r="A19" i="97"/>
  <c r="A15" i="97"/>
  <c r="A14" i="97"/>
  <c r="A13" i="97"/>
  <c r="A12" i="97"/>
  <c r="A11" i="97"/>
  <c r="A10" i="97"/>
  <c r="A9" i="97"/>
  <c r="A8" i="97"/>
  <c r="A4" i="97"/>
  <c r="A3" i="97"/>
  <c r="A46" i="96"/>
  <c r="A45" i="96"/>
  <c r="A44" i="96"/>
  <c r="A43" i="96"/>
  <c r="A42" i="96"/>
  <c r="A41" i="96"/>
  <c r="A40" i="96"/>
  <c r="A39" i="96"/>
  <c r="A38" i="96"/>
  <c r="A34" i="96"/>
  <c r="A33" i="96"/>
  <c r="A32" i="96"/>
  <c r="A31" i="96"/>
  <c r="A30" i="96"/>
  <c r="A29" i="96"/>
  <c r="A28" i="96"/>
  <c r="A27" i="96"/>
  <c r="A26" i="96"/>
  <c r="A25" i="96"/>
  <c r="A24" i="96"/>
  <c r="A23" i="96"/>
  <c r="A22" i="96"/>
  <c r="A21" i="96"/>
  <c r="A20" i="96"/>
  <c r="A19" i="96"/>
  <c r="A15" i="96"/>
  <c r="A14" i="96"/>
  <c r="A13" i="96"/>
  <c r="A12" i="96"/>
  <c r="A11" i="96"/>
  <c r="A10" i="96"/>
  <c r="A9" i="96"/>
  <c r="A8" i="96"/>
  <c r="A4" i="96"/>
  <c r="A3" i="96"/>
  <c r="A46" i="101"/>
  <c r="A45" i="101"/>
  <c r="A44" i="101"/>
  <c r="A43" i="101"/>
  <c r="A42" i="101"/>
  <c r="A41" i="101"/>
  <c r="A40" i="101"/>
  <c r="A39" i="101"/>
  <c r="A38" i="101"/>
  <c r="A34" i="101"/>
  <c r="A33" i="101"/>
  <c r="A32" i="101"/>
  <c r="A31" i="101"/>
  <c r="A30" i="101"/>
  <c r="A29" i="101"/>
  <c r="A28" i="101"/>
  <c r="A27" i="101"/>
  <c r="A26" i="101"/>
  <c r="A25" i="101"/>
  <c r="A24" i="101"/>
  <c r="A23" i="101"/>
  <c r="A22" i="101"/>
  <c r="A21" i="101"/>
  <c r="A20" i="101"/>
  <c r="A19" i="101"/>
  <c r="A15" i="101"/>
  <c r="A14" i="101"/>
  <c r="A13" i="101"/>
  <c r="A12" i="101"/>
  <c r="A11" i="101"/>
  <c r="A10" i="101"/>
  <c r="A9" i="101"/>
  <c r="A8" i="101"/>
  <c r="A4" i="101"/>
  <c r="A3" i="101"/>
  <c r="A46" i="100"/>
  <c r="A45" i="100"/>
  <c r="A44" i="100"/>
  <c r="A43" i="100"/>
  <c r="A42" i="100"/>
  <c r="A41" i="100"/>
  <c r="A40" i="100"/>
  <c r="A39" i="100"/>
  <c r="A38" i="100"/>
  <c r="A34" i="100"/>
  <c r="A33" i="100"/>
  <c r="A32" i="100"/>
  <c r="A31" i="100"/>
  <c r="A30" i="100"/>
  <c r="A29" i="100"/>
  <c r="A28" i="100"/>
  <c r="A27" i="100"/>
  <c r="A26" i="100"/>
  <c r="A25" i="100"/>
  <c r="A24" i="100"/>
  <c r="A23" i="100"/>
  <c r="A22" i="100"/>
  <c r="A21" i="100"/>
  <c r="A20" i="100"/>
  <c r="A19" i="100"/>
  <c r="A15" i="100"/>
  <c r="A14" i="100"/>
  <c r="A13" i="100"/>
  <c r="A12" i="100"/>
  <c r="A11" i="100"/>
  <c r="A10" i="100"/>
  <c r="A9" i="100"/>
  <c r="A8" i="100"/>
  <c r="A4" i="100"/>
  <c r="A3" i="100"/>
  <c r="A46" i="90"/>
  <c r="A45" i="90"/>
  <c r="A44" i="90"/>
  <c r="A43" i="90"/>
  <c r="A42" i="90"/>
  <c r="A41" i="90"/>
  <c r="A40" i="90"/>
  <c r="A39" i="90"/>
  <c r="A38" i="90"/>
  <c r="A34" i="90"/>
  <c r="A33" i="90"/>
  <c r="A32" i="90"/>
  <c r="A31" i="90"/>
  <c r="A30" i="90"/>
  <c r="A29" i="90"/>
  <c r="A28" i="90"/>
  <c r="A27" i="90"/>
  <c r="A26" i="90"/>
  <c r="A25" i="90"/>
  <c r="A24" i="90"/>
  <c r="A23" i="90"/>
  <c r="A22" i="90"/>
  <c r="A21" i="90"/>
  <c r="A20" i="90"/>
  <c r="A19" i="90"/>
  <c r="A15" i="90"/>
  <c r="A14" i="90"/>
  <c r="A13" i="90"/>
  <c r="A12" i="90"/>
  <c r="A11" i="90"/>
  <c r="A10" i="90"/>
  <c r="A9" i="90"/>
  <c r="A8" i="90"/>
  <c r="A4" i="90"/>
  <c r="A3" i="90"/>
  <c r="A46" i="89"/>
  <c r="A45" i="89"/>
  <c r="A44" i="89"/>
  <c r="A43" i="89"/>
  <c r="A42" i="89"/>
  <c r="A41" i="89"/>
  <c r="A40" i="89"/>
  <c r="A39" i="89"/>
  <c r="A38" i="89"/>
  <c r="A34" i="89"/>
  <c r="A33" i="89"/>
  <c r="A32" i="89"/>
  <c r="A31" i="89"/>
  <c r="A30" i="89"/>
  <c r="A29" i="89"/>
  <c r="A28" i="89"/>
  <c r="A27" i="89"/>
  <c r="A26" i="89"/>
  <c r="A25" i="89"/>
  <c r="A24" i="89"/>
  <c r="A23" i="89"/>
  <c r="A22" i="89"/>
  <c r="A21" i="89"/>
  <c r="A20" i="89"/>
  <c r="A19" i="89"/>
  <c r="A15" i="89"/>
  <c r="A14" i="89"/>
  <c r="A13" i="89"/>
  <c r="A12" i="89"/>
  <c r="A11" i="89"/>
  <c r="A10" i="89"/>
  <c r="A9" i="89"/>
  <c r="A8" i="89"/>
  <c r="A4" i="89"/>
  <c r="A3" i="89"/>
  <c r="A46" i="88"/>
  <c r="A45" i="88"/>
  <c r="A44" i="88"/>
  <c r="A43" i="88"/>
  <c r="A42" i="88"/>
  <c r="A41" i="88"/>
  <c r="A40" i="88"/>
  <c r="A39" i="88"/>
  <c r="A38" i="88"/>
  <c r="A34" i="88"/>
  <c r="A33" i="88"/>
  <c r="A32" i="88"/>
  <c r="A31" i="88"/>
  <c r="A30" i="88"/>
  <c r="A29" i="88"/>
  <c r="A28" i="88"/>
  <c r="A27" i="88"/>
  <c r="A26" i="88"/>
  <c r="A25" i="88"/>
  <c r="A24" i="88"/>
  <c r="A23" i="88"/>
  <c r="A22" i="88"/>
  <c r="A21" i="88"/>
  <c r="A20" i="88"/>
  <c r="A19" i="88"/>
  <c r="A15" i="88"/>
  <c r="A14" i="88"/>
  <c r="A13" i="88"/>
  <c r="A12" i="88"/>
  <c r="A11" i="88"/>
  <c r="A10" i="88"/>
  <c r="A9" i="88"/>
  <c r="A8" i="88"/>
  <c r="A4" i="88"/>
  <c r="A3" i="88"/>
  <c r="A46" i="87"/>
  <c r="A45" i="87"/>
  <c r="A44" i="87"/>
  <c r="A43" i="87"/>
  <c r="A42" i="87"/>
  <c r="A41" i="87"/>
  <c r="A40" i="87"/>
  <c r="A39" i="87"/>
  <c r="A38" i="87"/>
  <c r="A34" i="87"/>
  <c r="A33" i="87"/>
  <c r="A32" i="87"/>
  <c r="A31" i="87"/>
  <c r="A30" i="87"/>
  <c r="A29" i="87"/>
  <c r="A28" i="87"/>
  <c r="A27" i="87"/>
  <c r="A26" i="87"/>
  <c r="A25" i="87"/>
  <c r="A24" i="87"/>
  <c r="A23" i="87"/>
  <c r="A22" i="87"/>
  <c r="A21" i="87"/>
  <c r="A20" i="87"/>
  <c r="A19" i="87"/>
  <c r="A15" i="87"/>
  <c r="A14" i="87"/>
  <c r="A13" i="87"/>
  <c r="A12" i="87"/>
  <c r="A11" i="87"/>
  <c r="A10" i="87"/>
  <c r="A9" i="87"/>
  <c r="A8" i="87"/>
  <c r="A4" i="87"/>
  <c r="A3" i="87"/>
  <c r="A46" i="86"/>
  <c r="A45" i="86"/>
  <c r="A44" i="86"/>
  <c r="A43" i="86"/>
  <c r="A42" i="86"/>
  <c r="A41" i="86"/>
  <c r="A40" i="86"/>
  <c r="A39" i="86"/>
  <c r="A38" i="86"/>
  <c r="A34" i="86"/>
  <c r="A33" i="86"/>
  <c r="A32" i="86"/>
  <c r="A31" i="86"/>
  <c r="A30" i="86"/>
  <c r="A29" i="86"/>
  <c r="A28" i="86"/>
  <c r="A27" i="86"/>
  <c r="A26" i="86"/>
  <c r="A25" i="86"/>
  <c r="A24" i="86"/>
  <c r="A23" i="86"/>
  <c r="A22" i="86"/>
  <c r="A21" i="86"/>
  <c r="A20" i="86"/>
  <c r="A19" i="86"/>
  <c r="A15" i="86"/>
  <c r="A14" i="86"/>
  <c r="A13" i="86"/>
  <c r="A12" i="86"/>
  <c r="A11" i="86"/>
  <c r="A10" i="86"/>
  <c r="A9" i="86"/>
  <c r="A8" i="86"/>
  <c r="A4" i="86"/>
  <c r="A3" i="86"/>
  <c r="A46" i="85"/>
  <c r="A45" i="85"/>
  <c r="A44" i="85"/>
  <c r="A43" i="85"/>
  <c r="A42" i="85"/>
  <c r="A41" i="85"/>
  <c r="A40" i="85"/>
  <c r="A39" i="85"/>
  <c r="A38" i="85"/>
  <c r="A34" i="85"/>
  <c r="A33" i="85"/>
  <c r="A32" i="85"/>
  <c r="A31" i="85"/>
  <c r="A30" i="85"/>
  <c r="A29" i="85"/>
  <c r="A28" i="85"/>
  <c r="A27" i="85"/>
  <c r="A26" i="85"/>
  <c r="A25" i="85"/>
  <c r="A24" i="85"/>
  <c r="A23" i="85"/>
  <c r="A22" i="85"/>
  <c r="A21" i="85"/>
  <c r="A20" i="85"/>
  <c r="A19" i="85"/>
  <c r="A15" i="85"/>
  <c r="A14" i="85"/>
  <c r="A13" i="85"/>
  <c r="A12" i="85"/>
  <c r="A11" i="85"/>
  <c r="A10" i="85"/>
  <c r="A9" i="85"/>
  <c r="A8" i="85"/>
  <c r="A4" i="85"/>
  <c r="A3" i="85"/>
  <c r="A46" i="83"/>
  <c r="A45" i="83"/>
  <c r="A44" i="83"/>
  <c r="A43" i="83"/>
  <c r="A42" i="83"/>
  <c r="A41" i="83"/>
  <c r="A40" i="83"/>
  <c r="A39" i="83"/>
  <c r="A38" i="83"/>
  <c r="A34" i="83"/>
  <c r="A33" i="83"/>
  <c r="A32" i="83"/>
  <c r="A31" i="83"/>
  <c r="A30" i="83"/>
  <c r="A29" i="83"/>
  <c r="A28" i="83"/>
  <c r="A27" i="83"/>
  <c r="A26" i="83"/>
  <c r="A25" i="83"/>
  <c r="A24" i="83"/>
  <c r="A23" i="83"/>
  <c r="A22" i="83"/>
  <c r="A21" i="83"/>
  <c r="A20" i="83"/>
  <c r="A19" i="83"/>
  <c r="A15" i="83"/>
  <c r="A14" i="83"/>
  <c r="A13" i="83"/>
  <c r="A12" i="83"/>
  <c r="A11" i="83"/>
  <c r="A10" i="83"/>
  <c r="A9" i="83"/>
  <c r="A8" i="83"/>
  <c r="A4" i="83"/>
  <c r="A3" i="83"/>
  <c r="A46" i="82"/>
  <c r="A45" i="82"/>
  <c r="A44" i="82"/>
  <c r="A43" i="82"/>
  <c r="A42" i="82"/>
  <c r="A41" i="82"/>
  <c r="A40" i="82"/>
  <c r="A39" i="82"/>
  <c r="A38" i="82"/>
  <c r="A34" i="82"/>
  <c r="A33" i="82"/>
  <c r="A32" i="82"/>
  <c r="A31" i="82"/>
  <c r="A30" i="82"/>
  <c r="A29" i="82"/>
  <c r="A28" i="82"/>
  <c r="A27" i="82"/>
  <c r="A26" i="82"/>
  <c r="A25" i="82"/>
  <c r="A24" i="82"/>
  <c r="A23" i="82"/>
  <c r="A22" i="82"/>
  <c r="A21" i="82"/>
  <c r="A20" i="82"/>
  <c r="A19" i="82"/>
  <c r="A15" i="82"/>
  <c r="A14" i="82"/>
  <c r="A13" i="82"/>
  <c r="A12" i="82"/>
  <c r="A11" i="82"/>
  <c r="A10" i="82"/>
  <c r="A9" i="82"/>
  <c r="A8" i="82"/>
  <c r="A4" i="82"/>
  <c r="A3" i="82"/>
  <c r="A46" i="81"/>
  <c r="A45" i="81"/>
  <c r="A44" i="81"/>
  <c r="A43" i="81"/>
  <c r="A42" i="81"/>
  <c r="A41" i="81"/>
  <c r="A40" i="81"/>
  <c r="A39" i="81"/>
  <c r="A38" i="81"/>
  <c r="A34" i="81"/>
  <c r="A33" i="81"/>
  <c r="A32" i="81"/>
  <c r="A31" i="81"/>
  <c r="A30" i="81"/>
  <c r="A29" i="81"/>
  <c r="A28" i="81"/>
  <c r="A27" i="81"/>
  <c r="A26" i="81"/>
  <c r="A25" i="81"/>
  <c r="A24" i="81"/>
  <c r="A23" i="81"/>
  <c r="A22" i="81"/>
  <c r="A21" i="81"/>
  <c r="A20" i="81"/>
  <c r="A19" i="81"/>
  <c r="A15" i="81"/>
  <c r="A14" i="81"/>
  <c r="A13" i="81"/>
  <c r="A12" i="81"/>
  <c r="A11" i="81"/>
  <c r="A10" i="81"/>
  <c r="A9" i="81"/>
  <c r="A8" i="81"/>
  <c r="A4" i="81"/>
  <c r="A3" i="81"/>
  <c r="A46" i="80"/>
  <c r="A45" i="80"/>
  <c r="A44" i="80"/>
  <c r="A43" i="80"/>
  <c r="A42" i="80"/>
  <c r="A41" i="80"/>
  <c r="A40" i="80"/>
  <c r="A39" i="80"/>
  <c r="A38" i="80"/>
  <c r="A34" i="80"/>
  <c r="A33" i="80"/>
  <c r="A32" i="80"/>
  <c r="A31" i="80"/>
  <c r="A30" i="80"/>
  <c r="A29" i="80"/>
  <c r="A28" i="80"/>
  <c r="A27" i="80"/>
  <c r="A26" i="80"/>
  <c r="A25" i="80"/>
  <c r="A24" i="80"/>
  <c r="A23" i="80"/>
  <c r="A22" i="80"/>
  <c r="A21" i="80"/>
  <c r="A20" i="80"/>
  <c r="A19" i="80"/>
  <c r="A15" i="80"/>
  <c r="A14" i="80"/>
  <c r="A13" i="80"/>
  <c r="A12" i="80"/>
  <c r="A11" i="80"/>
  <c r="A10" i="80"/>
  <c r="A9" i="80"/>
  <c r="A8" i="80"/>
  <c r="A4" i="80"/>
  <c r="A3" i="80"/>
  <c r="A46" i="77"/>
  <c r="A45" i="77"/>
  <c r="A44" i="77"/>
  <c r="A43" i="77"/>
  <c r="A42" i="77"/>
  <c r="A41" i="77"/>
  <c r="A40" i="77"/>
  <c r="A39" i="77"/>
  <c r="A38" i="77"/>
  <c r="A34" i="77"/>
  <c r="A33" i="77"/>
  <c r="A32" i="77"/>
  <c r="A31" i="77"/>
  <c r="A30" i="77"/>
  <c r="A29" i="77"/>
  <c r="A28" i="77"/>
  <c r="A27" i="77"/>
  <c r="A26" i="77"/>
  <c r="A25" i="77"/>
  <c r="A24" i="77"/>
  <c r="A23" i="77"/>
  <c r="A22" i="77"/>
  <c r="A21" i="77"/>
  <c r="A20" i="77"/>
  <c r="A19" i="77"/>
  <c r="A15" i="77"/>
  <c r="A14" i="77"/>
  <c r="A13" i="77"/>
  <c r="A12" i="77"/>
  <c r="A11" i="77"/>
  <c r="A10" i="77"/>
  <c r="A9" i="77"/>
  <c r="A8" i="77"/>
  <c r="A4" i="77"/>
  <c r="A3" i="77"/>
  <c r="A46" i="92"/>
  <c r="A45" i="92"/>
  <c r="A44" i="92"/>
  <c r="A43" i="92"/>
  <c r="A42" i="92"/>
  <c r="A41" i="92"/>
  <c r="A40" i="92"/>
  <c r="A39" i="92"/>
  <c r="A38" i="92"/>
  <c r="A34" i="92"/>
  <c r="A33" i="92"/>
  <c r="A32" i="92"/>
  <c r="A31" i="92"/>
  <c r="A30" i="92"/>
  <c r="A29" i="92"/>
  <c r="A28" i="92"/>
  <c r="A27" i="92"/>
  <c r="A26" i="92"/>
  <c r="A25" i="92"/>
  <c r="A24" i="92"/>
  <c r="A23" i="92"/>
  <c r="A22" i="92"/>
  <c r="A21" i="92"/>
  <c r="A20" i="92"/>
  <c r="A19" i="92"/>
  <c r="A15" i="92"/>
  <c r="A14" i="92"/>
  <c r="A13" i="92"/>
  <c r="A12" i="92"/>
  <c r="A11" i="92"/>
  <c r="A10" i="92"/>
  <c r="A9" i="92"/>
  <c r="A8" i="92"/>
  <c r="A4" i="92"/>
  <c r="A3" i="92"/>
  <c r="A46" i="95"/>
  <c r="A45" i="95"/>
  <c r="A44" i="95"/>
  <c r="A43" i="95"/>
  <c r="A42" i="95"/>
  <c r="A41" i="95"/>
  <c r="A40" i="95"/>
  <c r="A39" i="95"/>
  <c r="A38" i="95"/>
  <c r="A34" i="95"/>
  <c r="A33" i="95"/>
  <c r="A32" i="95"/>
  <c r="A31" i="95"/>
  <c r="A30" i="95"/>
  <c r="A29" i="95"/>
  <c r="A28" i="95"/>
  <c r="A27" i="95"/>
  <c r="A26" i="95"/>
  <c r="A25" i="95"/>
  <c r="A24" i="95"/>
  <c r="A23" i="95"/>
  <c r="A22" i="95"/>
  <c r="A21" i="95"/>
  <c r="A20" i="95"/>
  <c r="A19" i="95"/>
  <c r="A15" i="95"/>
  <c r="A14" i="95"/>
  <c r="A13" i="95"/>
  <c r="A12" i="95"/>
  <c r="A11" i="95"/>
  <c r="A10" i="95"/>
  <c r="A9" i="95"/>
  <c r="A8" i="95"/>
  <c r="A4" i="95"/>
  <c r="A3" i="95"/>
  <c r="A46" i="84"/>
  <c r="A45" i="84"/>
  <c r="A44" i="84"/>
  <c r="A43" i="84"/>
  <c r="A42" i="84"/>
  <c r="A41" i="84"/>
  <c r="A40" i="84"/>
  <c r="A39" i="84"/>
  <c r="A38" i="84"/>
  <c r="A34" i="84"/>
  <c r="A33" i="84"/>
  <c r="A32" i="84"/>
  <c r="A31" i="84"/>
  <c r="A30" i="84"/>
  <c r="A29" i="84"/>
  <c r="A28" i="84"/>
  <c r="A27" i="84"/>
  <c r="A26" i="84"/>
  <c r="A25" i="84"/>
  <c r="A24" i="84"/>
  <c r="A23" i="84"/>
  <c r="A22" i="84"/>
  <c r="A21" i="84"/>
  <c r="A20" i="84"/>
  <c r="A19" i="84"/>
  <c r="A15" i="84"/>
  <c r="A14" i="84"/>
  <c r="A13" i="84"/>
  <c r="A12" i="84"/>
  <c r="A11" i="84"/>
  <c r="A10" i="84"/>
  <c r="A9" i="84"/>
  <c r="A8" i="84"/>
  <c r="A4" i="84"/>
  <c r="A3" i="84"/>
  <c r="A46" i="99"/>
  <c r="A45" i="99"/>
  <c r="A44" i="99"/>
  <c r="A43" i="99"/>
  <c r="A42" i="99"/>
  <c r="A41" i="99"/>
  <c r="A40" i="99"/>
  <c r="A39" i="99"/>
  <c r="A38" i="99"/>
  <c r="A34" i="99"/>
  <c r="A33" i="99"/>
  <c r="A32" i="99"/>
  <c r="A31" i="99"/>
  <c r="A30" i="99"/>
  <c r="A29" i="99"/>
  <c r="A28" i="99"/>
  <c r="A27" i="99"/>
  <c r="A26" i="99"/>
  <c r="A25" i="99"/>
  <c r="A24" i="99"/>
  <c r="A23" i="99"/>
  <c r="A22" i="99"/>
  <c r="A21" i="99"/>
  <c r="A20" i="99"/>
  <c r="A19" i="99"/>
  <c r="A15" i="99"/>
  <c r="A14" i="99"/>
  <c r="A13" i="99"/>
  <c r="A12" i="99"/>
  <c r="A11" i="99"/>
  <c r="A10" i="99"/>
  <c r="A9" i="99"/>
  <c r="A8" i="99"/>
  <c r="A4" i="99"/>
  <c r="A3" i="99"/>
  <c r="A46" i="76"/>
  <c r="A45" i="76"/>
  <c r="A44" i="76"/>
  <c r="A43" i="76"/>
  <c r="A42" i="76"/>
  <c r="A41" i="76"/>
  <c r="A40" i="76"/>
  <c r="A39" i="76"/>
  <c r="A38" i="76"/>
  <c r="A34" i="76"/>
  <c r="A33" i="76"/>
  <c r="A32" i="76"/>
  <c r="A31" i="76"/>
  <c r="A30" i="76"/>
  <c r="A29" i="76"/>
  <c r="A28" i="76"/>
  <c r="A27" i="76"/>
  <c r="A26" i="76"/>
  <c r="A25" i="76"/>
  <c r="A24" i="76"/>
  <c r="A23" i="76"/>
  <c r="A22" i="76"/>
  <c r="A21" i="76"/>
  <c r="A20" i="76"/>
  <c r="A19" i="76"/>
  <c r="A15" i="76"/>
  <c r="A14" i="76"/>
  <c r="A13" i="76"/>
  <c r="A12" i="76"/>
  <c r="A11" i="76"/>
  <c r="A10" i="76"/>
  <c r="A9" i="76"/>
  <c r="A8" i="76"/>
  <c r="A4" i="76"/>
  <c r="A3" i="76"/>
  <c r="A46" i="79"/>
  <c r="A45" i="79"/>
  <c r="A44" i="79"/>
  <c r="A43" i="79"/>
  <c r="A42" i="79"/>
  <c r="A41" i="79"/>
  <c r="A40" i="79"/>
  <c r="A39" i="79"/>
  <c r="A38" i="79"/>
  <c r="A34" i="79"/>
  <c r="A33" i="79"/>
  <c r="A32" i="79"/>
  <c r="A31" i="79"/>
  <c r="A30" i="79"/>
  <c r="A29" i="79"/>
  <c r="A28" i="79"/>
  <c r="A27" i="79"/>
  <c r="A26" i="79"/>
  <c r="A25" i="79"/>
  <c r="A24" i="79"/>
  <c r="A23" i="79"/>
  <c r="A22" i="79"/>
  <c r="A21" i="79"/>
  <c r="A20" i="79"/>
  <c r="A19" i="79"/>
  <c r="A15" i="79"/>
  <c r="A14" i="79"/>
  <c r="A13" i="79"/>
  <c r="A12" i="79"/>
  <c r="A11" i="79"/>
  <c r="A10" i="79"/>
  <c r="A9" i="79"/>
  <c r="A8" i="79"/>
  <c r="A4" i="79"/>
  <c r="A3" i="79"/>
  <c r="A46" i="75"/>
  <c r="A45" i="75"/>
  <c r="A44" i="75"/>
  <c r="A43" i="75"/>
  <c r="A42" i="75"/>
  <c r="A41" i="75"/>
  <c r="A40" i="75"/>
  <c r="A39" i="75"/>
  <c r="A38" i="75"/>
  <c r="A34" i="75"/>
  <c r="A33" i="75"/>
  <c r="A32" i="75"/>
  <c r="A31" i="75"/>
  <c r="A30" i="75"/>
  <c r="A29" i="75"/>
  <c r="A28" i="75"/>
  <c r="A27" i="75"/>
  <c r="A26" i="75"/>
  <c r="A25" i="75"/>
  <c r="A24" i="75"/>
  <c r="A23" i="75"/>
  <c r="A22" i="75"/>
  <c r="A21" i="75"/>
  <c r="A20" i="75"/>
  <c r="A19" i="75"/>
  <c r="A15" i="75"/>
  <c r="A14" i="75"/>
  <c r="A13" i="75"/>
  <c r="A12" i="75"/>
  <c r="A11" i="75"/>
  <c r="A10" i="75"/>
  <c r="A9" i="75"/>
  <c r="A8" i="75"/>
  <c r="A4" i="75"/>
  <c r="A3" i="75"/>
  <c r="A46" i="72"/>
  <c r="A45" i="72"/>
  <c r="A44" i="72"/>
  <c r="A43" i="72"/>
  <c r="A42" i="72"/>
  <c r="A41" i="72"/>
  <c r="A40" i="72"/>
  <c r="A39" i="72"/>
  <c r="A38" i="72"/>
  <c r="A34" i="72"/>
  <c r="A33" i="72"/>
  <c r="A32" i="72"/>
  <c r="A31" i="72"/>
  <c r="A30" i="72"/>
  <c r="A29" i="72"/>
  <c r="A28" i="72"/>
  <c r="A27" i="72"/>
  <c r="A26" i="72"/>
  <c r="A25" i="72"/>
  <c r="A24" i="72"/>
  <c r="A23" i="72"/>
  <c r="A22" i="72"/>
  <c r="A21" i="72"/>
  <c r="A20" i="72"/>
  <c r="A19" i="72"/>
  <c r="A15" i="72"/>
  <c r="A14" i="72"/>
  <c r="A13" i="72"/>
  <c r="A12" i="72"/>
  <c r="A11" i="72"/>
  <c r="A10" i="72"/>
  <c r="A9" i="72"/>
  <c r="A8" i="72"/>
  <c r="A4" i="72"/>
  <c r="A3" i="72"/>
  <c r="A46" i="13"/>
  <c r="A45" i="13"/>
  <c r="A44" i="13"/>
  <c r="A43" i="13"/>
  <c r="A42" i="13"/>
  <c r="A41" i="13"/>
  <c r="A40" i="13"/>
  <c r="A39" i="13"/>
  <c r="A38" i="13"/>
  <c r="A34" i="13"/>
  <c r="A33" i="13"/>
  <c r="A32" i="13"/>
  <c r="A31" i="13"/>
  <c r="A30" i="13"/>
  <c r="A29" i="13"/>
  <c r="A28" i="13"/>
  <c r="A27" i="13"/>
  <c r="A26" i="13"/>
  <c r="A25" i="13"/>
  <c r="A24" i="13"/>
  <c r="A23" i="13"/>
  <c r="A22" i="13"/>
  <c r="A21" i="13"/>
  <c r="A20" i="13"/>
  <c r="A19" i="13"/>
  <c r="A15" i="13"/>
  <c r="A14" i="13"/>
  <c r="A13" i="13"/>
  <c r="A12" i="13"/>
  <c r="A11" i="13"/>
  <c r="A10" i="13"/>
  <c r="A9" i="13"/>
  <c r="A8" i="13"/>
  <c r="A4" i="13"/>
  <c r="A3" i="13"/>
  <c r="A46" i="71"/>
  <c r="A45" i="71"/>
  <c r="A44" i="71"/>
  <c r="A43" i="71"/>
  <c r="A42" i="71"/>
  <c r="A41" i="71"/>
  <c r="A40" i="71"/>
  <c r="A39" i="71"/>
  <c r="A38" i="71"/>
  <c r="A34" i="71"/>
  <c r="A33" i="71"/>
  <c r="A32" i="71"/>
  <c r="A31" i="71"/>
  <c r="A30" i="71"/>
  <c r="A29" i="71"/>
  <c r="A28" i="71"/>
  <c r="A27" i="71"/>
  <c r="A26" i="71"/>
  <c r="A25" i="71"/>
  <c r="A24" i="71"/>
  <c r="A23" i="71"/>
  <c r="A22" i="71"/>
  <c r="A21" i="71"/>
  <c r="A20" i="71"/>
  <c r="A19" i="71"/>
  <c r="A15" i="71"/>
  <c r="A14" i="71"/>
  <c r="A13" i="71"/>
  <c r="A12" i="71"/>
  <c r="A11" i="71"/>
  <c r="A10" i="71"/>
  <c r="A9" i="71"/>
  <c r="A8" i="71"/>
  <c r="A4" i="71"/>
  <c r="A3" i="71"/>
  <c r="U23" i="77"/>
  <c r="X22" i="77"/>
  <c r="W22" i="77"/>
  <c r="U22" i="77"/>
  <c r="G21" i="77"/>
  <c r="F21" i="77"/>
  <c r="E21" i="77"/>
  <c r="D21" i="77"/>
  <c r="D32" i="97"/>
  <c r="D25" i="97"/>
  <c r="M39" i="96" a="1"/>
  <c r="M39" i="96" s="1"/>
  <c r="F39" i="96"/>
  <c r="D37" i="96"/>
  <c r="D34" i="96"/>
  <c r="D33" i="96"/>
  <c r="D25" i="96"/>
  <c r="D75" i="90"/>
  <c r="D74" i="90"/>
  <c r="D73" i="90"/>
  <c r="D72" i="90"/>
  <c r="D71" i="90"/>
  <c r="D70" i="90"/>
  <c r="D69" i="90"/>
  <c r="D68" i="90"/>
  <c r="D134" i="89" a="1"/>
  <c r="D134" i="89" s="1"/>
  <c r="D102" i="89" a="1"/>
  <c r="D102" i="89" s="1"/>
  <c r="G25" i="88" a="1"/>
  <c r="G25" i="88" s="1"/>
  <c r="F25" i="88" a="1"/>
  <c r="F25" i="88" s="1"/>
  <c r="D25" i="88" a="1"/>
  <c r="D25" i="88" s="1"/>
  <c r="H20" i="87" a="1"/>
  <c r="H20" i="87" s="1"/>
  <c r="E20" i="87" a="1"/>
  <c r="E20" i="87" s="1"/>
  <c r="D20" i="87" a="1"/>
  <c r="D20" i="87" s="1"/>
  <c r="D65" i="90" s="1"/>
  <c r="N82" i="85" a="1"/>
  <c r="N82" i="85" s="1"/>
  <c r="N77" i="85" a="1"/>
  <c r="N77" i="85" s="1"/>
  <c r="W54" i="85"/>
  <c r="W53" i="85"/>
  <c r="N50" i="85" a="1"/>
  <c r="N50" i="85" s="1"/>
  <c r="N45" i="85" a="1"/>
  <c r="N45" i="85" s="1"/>
  <c r="U259" i="81"/>
  <c r="U258" i="81"/>
  <c r="U257" i="81"/>
  <c r="U256" i="81"/>
  <c r="U255" i="81"/>
  <c r="U254" i="81"/>
  <c r="U253" i="81"/>
  <c r="U252" i="81"/>
  <c r="U251" i="81"/>
  <c r="U250" i="81"/>
  <c r="U249" i="81"/>
  <c r="U248" i="81"/>
  <c r="U243" i="81"/>
  <c r="U242" i="81"/>
  <c r="U241" i="81"/>
  <c r="U240" i="81"/>
  <c r="U239" i="81"/>
  <c r="U238" i="81"/>
  <c r="U237" i="81"/>
  <c r="U236" i="81"/>
  <c r="U235" i="81"/>
  <c r="U234" i="81"/>
  <c r="U233" i="81"/>
  <c r="U232" i="81"/>
  <c r="U227" i="81"/>
  <c r="U226" i="81"/>
  <c r="U225" i="81"/>
  <c r="U224" i="81"/>
  <c r="U223" i="81"/>
  <c r="U222" i="81"/>
  <c r="U221" i="81"/>
  <c r="U220" i="81"/>
  <c r="U219" i="81"/>
  <c r="U218" i="81"/>
  <c r="U217" i="81"/>
  <c r="U216" i="81"/>
  <c r="U207" i="81"/>
  <c r="U206" i="81"/>
  <c r="U205" i="81"/>
  <c r="U204" i="81"/>
  <c r="U203" i="81"/>
  <c r="U202" i="81"/>
  <c r="U201" i="81"/>
  <c r="U200" i="81"/>
  <c r="U199" i="81"/>
  <c r="U198" i="81"/>
  <c r="U197" i="81"/>
  <c r="U196" i="81"/>
  <c r="U191" i="81"/>
  <c r="U190" i="81"/>
  <c r="U189" i="81"/>
  <c r="U188" i="81"/>
  <c r="U187" i="81"/>
  <c r="U186" i="81"/>
  <c r="U185" i="81"/>
  <c r="U184" i="81"/>
  <c r="U183" i="81"/>
  <c r="U182" i="81"/>
  <c r="U181" i="81"/>
  <c r="U180" i="81"/>
  <c r="U175" i="81"/>
  <c r="U174" i="81"/>
  <c r="U173" i="81"/>
  <c r="U172" i="81"/>
  <c r="U171" i="81"/>
  <c r="U170" i="81"/>
  <c r="U169" i="81"/>
  <c r="U168" i="81"/>
  <c r="U167" i="81"/>
  <c r="U166" i="81"/>
  <c r="U165" i="81"/>
  <c r="U164" i="81"/>
  <c r="I148" i="81"/>
  <c r="U147" i="81"/>
  <c r="U146" i="81"/>
  <c r="U145" i="81"/>
  <c r="U144" i="81"/>
  <c r="U143" i="81"/>
  <c r="U142" i="81"/>
  <c r="U141" i="81"/>
  <c r="U140" i="81"/>
  <c r="U139" i="81"/>
  <c r="U138" i="81"/>
  <c r="U137" i="81"/>
  <c r="U136" i="81"/>
  <c r="U131" i="81"/>
  <c r="U130" i="81"/>
  <c r="U129" i="81"/>
  <c r="U128" i="81"/>
  <c r="U127" i="81"/>
  <c r="U126" i="81"/>
  <c r="U125" i="81"/>
  <c r="U124" i="81"/>
  <c r="U123" i="81"/>
  <c r="U122" i="81"/>
  <c r="U121" i="81"/>
  <c r="U120" i="81"/>
  <c r="U111" i="81"/>
  <c r="U110" i="81"/>
  <c r="U109" i="81"/>
  <c r="U108" i="81"/>
  <c r="U107" i="81"/>
  <c r="U106" i="81"/>
  <c r="U105" i="81"/>
  <c r="U104" i="81"/>
  <c r="U103" i="81"/>
  <c r="U102" i="81"/>
  <c r="U101" i="81"/>
  <c r="U100" i="81"/>
  <c r="G87" i="81"/>
  <c r="F87" i="81"/>
  <c r="E87" i="81"/>
  <c r="D87" i="81"/>
  <c r="U83" i="81"/>
  <c r="U82" i="81"/>
  <c r="U81" i="81"/>
  <c r="U80" i="81"/>
  <c r="U79" i="81"/>
  <c r="U78" i="81"/>
  <c r="U77" i="81"/>
  <c r="U76" i="81"/>
  <c r="U75" i="81"/>
  <c r="U74" i="81"/>
  <c r="U73" i="81"/>
  <c r="U72" i="81"/>
  <c r="U67" i="81"/>
  <c r="U66" i="81"/>
  <c r="U65" i="81"/>
  <c r="U64" i="81"/>
  <c r="U63" i="81"/>
  <c r="U62" i="81"/>
  <c r="U61" i="81"/>
  <c r="U60" i="81"/>
  <c r="U59" i="81"/>
  <c r="U58" i="81"/>
  <c r="U57" i="81"/>
  <c r="U56" i="81"/>
  <c r="U47" i="81"/>
  <c r="U46" i="81"/>
  <c r="U45" i="81"/>
  <c r="U44" i="81"/>
  <c r="U43" i="81"/>
  <c r="U42" i="81"/>
  <c r="U41" i="81"/>
  <c r="U40" i="81"/>
  <c r="U39" i="81"/>
  <c r="U38" i="81"/>
  <c r="U37" i="81"/>
  <c r="U36" i="81"/>
  <c r="U31" i="81"/>
  <c r="U30" i="81"/>
  <c r="U29" i="81"/>
  <c r="U28" i="81"/>
  <c r="U27" i="81"/>
  <c r="U26" i="81"/>
  <c r="U25" i="81"/>
  <c r="U24" i="81"/>
  <c r="U23" i="81"/>
  <c r="U22" i="81"/>
  <c r="U21" i="81"/>
  <c r="U20" i="81"/>
  <c r="W274" i="80"/>
  <c r="W273" i="80"/>
  <c r="W272" i="80"/>
  <c r="W271" i="80"/>
  <c r="W270" i="80"/>
  <c r="W269" i="80"/>
  <c r="W268" i="80"/>
  <c r="W267" i="80"/>
  <c r="W266" i="80"/>
  <c r="W265" i="80"/>
  <c r="W264" i="80"/>
  <c r="W263" i="80"/>
  <c r="W262" i="80"/>
  <c r="W261" i="80"/>
  <c r="W260" i="80"/>
  <c r="W259" i="80"/>
  <c r="W258" i="80"/>
  <c r="W257" i="80"/>
  <c r="W256" i="80"/>
  <c r="W255" i="80"/>
  <c r="W254" i="80"/>
  <c r="W253" i="80"/>
  <c r="W252" i="80"/>
  <c r="W251" i="80"/>
  <c r="W246" i="80"/>
  <c r="X274" i="80" s="1"/>
  <c r="W245" i="80"/>
  <c r="X261" i="80" s="1"/>
  <c r="W244" i="80"/>
  <c r="W243" i="80"/>
  <c r="X271" i="80" s="1"/>
  <c r="W242" i="80"/>
  <c r="X258" i="80" s="1"/>
  <c r="D242" i="80"/>
  <c r="W241" i="80"/>
  <c r="D241" i="80"/>
  <c r="W240" i="80"/>
  <c r="D240" i="80"/>
  <c r="W239" i="80"/>
  <c r="D239" i="80"/>
  <c r="W238" i="80"/>
  <c r="D238" i="80"/>
  <c r="W237" i="80"/>
  <c r="D237" i="80"/>
  <c r="W236" i="80"/>
  <c r="D236" i="80"/>
  <c r="W235" i="80"/>
  <c r="D235" i="80"/>
  <c r="W230" i="80"/>
  <c r="W229" i="80"/>
  <c r="W228" i="80"/>
  <c r="W227" i="80"/>
  <c r="W226" i="80"/>
  <c r="W225" i="80"/>
  <c r="W224" i="80"/>
  <c r="W223" i="80"/>
  <c r="W222" i="80"/>
  <c r="W221" i="80"/>
  <c r="W220" i="80"/>
  <c r="W219" i="80"/>
  <c r="W200" i="80"/>
  <c r="W199" i="80"/>
  <c r="W198" i="80"/>
  <c r="W197" i="80"/>
  <c r="W196" i="80"/>
  <c r="W195" i="80"/>
  <c r="W194" i="80"/>
  <c r="W193" i="80"/>
  <c r="W192" i="80"/>
  <c r="W191" i="80"/>
  <c r="W190" i="80"/>
  <c r="W189" i="80"/>
  <c r="W188" i="80"/>
  <c r="W187" i="80"/>
  <c r="W186" i="80"/>
  <c r="W185" i="80"/>
  <c r="W184" i="80"/>
  <c r="D184" i="80"/>
  <c r="W183" i="80"/>
  <c r="D183" i="80"/>
  <c r="W182" i="80"/>
  <c r="D182" i="80"/>
  <c r="W181" i="80"/>
  <c r="D181" i="80"/>
  <c r="W180" i="80"/>
  <c r="D180" i="80"/>
  <c r="W179" i="80"/>
  <c r="D179" i="80"/>
  <c r="W178" i="80"/>
  <c r="D178" i="80"/>
  <c r="W177" i="80"/>
  <c r="D177" i="80"/>
  <c r="W172" i="80"/>
  <c r="D172" i="80"/>
  <c r="W171" i="80"/>
  <c r="D171" i="80"/>
  <c r="D166" i="80"/>
  <c r="D165" i="80"/>
  <c r="W87" i="80"/>
  <c r="W86" i="80"/>
  <c r="W85" i="80"/>
  <c r="W84" i="80"/>
  <c r="W83" i="80"/>
  <c r="W82" i="80"/>
  <c r="W81" i="80"/>
  <c r="W80" i="80"/>
  <c r="W79" i="80"/>
  <c r="W78" i="80"/>
  <c r="W77" i="80"/>
  <c r="W76" i="80"/>
  <c r="W71" i="80"/>
  <c r="W70" i="80"/>
  <c r="W69" i="80"/>
  <c r="W68" i="80"/>
  <c r="W67" i="80"/>
  <c r="W66" i="80"/>
  <c r="W65" i="80"/>
  <c r="W64" i="80"/>
  <c r="W63" i="80"/>
  <c r="W62" i="80"/>
  <c r="W61" i="80"/>
  <c r="W60" i="80"/>
  <c r="W55" i="80"/>
  <c r="W54" i="80"/>
  <c r="W53" i="80"/>
  <c r="W52" i="80"/>
  <c r="W51" i="80"/>
  <c r="W50" i="80"/>
  <c r="W49" i="80"/>
  <c r="W48" i="80"/>
  <c r="W47" i="80"/>
  <c r="W46" i="80"/>
  <c r="W45" i="80"/>
  <c r="W44" i="80"/>
  <c r="W39" i="80"/>
  <c r="W38" i="80"/>
  <c r="W37" i="80"/>
  <c r="W36" i="80"/>
  <c r="W35" i="80"/>
  <c r="W34" i="80"/>
  <c r="W33" i="80"/>
  <c r="F33" i="80"/>
  <c r="E33" i="80"/>
  <c r="W32" i="80"/>
  <c r="F32" i="80"/>
  <c r="E32" i="80"/>
  <c r="W31" i="80"/>
  <c r="F31" i="80"/>
  <c r="E31" i="80"/>
  <c r="W30" i="80"/>
  <c r="F30" i="80"/>
  <c r="E30" i="80"/>
  <c r="W29" i="80"/>
  <c r="W28" i="80"/>
  <c r="H25" i="80"/>
  <c r="G25" i="80"/>
  <c r="F25" i="80"/>
  <c r="E25" i="80"/>
  <c r="H24" i="80"/>
  <c r="G24" i="80"/>
  <c r="F24" i="80"/>
  <c r="E24" i="80"/>
  <c r="H23" i="80"/>
  <c r="G23" i="80"/>
  <c r="F23" i="80"/>
  <c r="E23" i="80"/>
  <c r="H22" i="80"/>
  <c r="G22" i="80"/>
  <c r="F22" i="80"/>
  <c r="E22" i="80"/>
  <c r="U144" i="77"/>
  <c r="U160" i="77" s="1"/>
  <c r="U143" i="77"/>
  <c r="U159" i="77" s="1"/>
  <c r="U142" i="77"/>
  <c r="U158" i="77" s="1"/>
  <c r="U141" i="77"/>
  <c r="U140" i="77"/>
  <c r="U139" i="77"/>
  <c r="U155" i="77" s="1"/>
  <c r="U138" i="77"/>
  <c r="U137" i="77"/>
  <c r="U136" i="77"/>
  <c r="U135" i="77"/>
  <c r="U134" i="77"/>
  <c r="U133" i="77"/>
  <c r="U128" i="77"/>
  <c r="U127" i="77"/>
  <c r="U126" i="77"/>
  <c r="U125" i="77"/>
  <c r="U124" i="77"/>
  <c r="U123" i="77"/>
  <c r="U122" i="77"/>
  <c r="U121" i="77"/>
  <c r="U120" i="77"/>
  <c r="U119" i="77"/>
  <c r="U118" i="77"/>
  <c r="U117" i="77"/>
  <c r="U108" i="77"/>
  <c r="U107" i="77"/>
  <c r="U106" i="77"/>
  <c r="U105" i="77"/>
  <c r="U104" i="77"/>
  <c r="U103" i="77"/>
  <c r="U102" i="77"/>
  <c r="U101" i="77"/>
  <c r="U100" i="77"/>
  <c r="U99" i="77"/>
  <c r="U98" i="77"/>
  <c r="U97" i="77"/>
  <c r="U87" i="77"/>
  <c r="U86" i="77"/>
  <c r="U85" i="77"/>
  <c r="U84" i="77"/>
  <c r="U83" i="77"/>
  <c r="U82" i="77"/>
  <c r="U81" i="77"/>
  <c r="U80" i="77"/>
  <c r="U79" i="77"/>
  <c r="U78" i="77"/>
  <c r="U77" i="77"/>
  <c r="U76" i="77"/>
  <c r="U71" i="77"/>
  <c r="U70" i="77"/>
  <c r="U69" i="77"/>
  <c r="U68" i="77"/>
  <c r="U67" i="77"/>
  <c r="U66" i="77"/>
  <c r="U65" i="77"/>
  <c r="U64" i="77"/>
  <c r="U63" i="77"/>
  <c r="U62" i="77"/>
  <c r="U61" i="77"/>
  <c r="U60" i="77"/>
  <c r="U55" i="77"/>
  <c r="U54" i="77"/>
  <c r="U53" i="77"/>
  <c r="U52" i="77"/>
  <c r="U51" i="77"/>
  <c r="U50" i="77"/>
  <c r="U49" i="77"/>
  <c r="U48" i="77"/>
  <c r="U47" i="77"/>
  <c r="U46" i="77"/>
  <c r="U45" i="77"/>
  <c r="U44" i="77"/>
  <c r="U39" i="77"/>
  <c r="V39" i="77" s="1" a="1"/>
  <c r="V39" i="77" s="1"/>
  <c r="W39" i="77" s="1" a="1"/>
  <c r="W39" i="77" s="1"/>
  <c r="U38" i="77"/>
  <c r="U37" i="77"/>
  <c r="U36" i="77"/>
  <c r="U35" i="77"/>
  <c r="U34" i="77"/>
  <c r="U33" i="77"/>
  <c r="U32" i="77"/>
  <c r="U31" i="77"/>
  <c r="U30" i="77"/>
  <c r="U29" i="77"/>
  <c r="U28" i="77"/>
  <c r="V28" i="77" s="1" a="1"/>
  <c r="V28" i="77" s="1"/>
  <c r="W28" i="77" s="1" a="1"/>
  <c r="W28" i="77" s="1"/>
  <c r="AB28" i="77" s="1" a="1"/>
  <c r="AB28" i="77" s="1"/>
  <c r="E30" i="92"/>
  <c r="E29" i="92"/>
  <c r="J21" i="95" a="1"/>
  <c r="J21" i="95" s="1"/>
  <c r="J20" i="95" a="1"/>
  <c r="J20" i="95" s="1"/>
  <c r="J19" i="95" a="1"/>
  <c r="J19" i="95" s="1"/>
  <c r="J18" i="95" a="1"/>
  <c r="J18" i="95" s="1"/>
  <c r="J17" i="95" a="1"/>
  <c r="J17" i="95" s="1"/>
  <c r="J200" i="76" a="1"/>
  <c r="J200" i="76" s="1"/>
  <c r="J199" i="76" a="1"/>
  <c r="J199" i="76" s="1"/>
  <c r="J198" i="76" a="1"/>
  <c r="J198" i="76" s="1"/>
  <c r="J197" i="76" a="1"/>
  <c r="J197" i="76" s="1"/>
  <c r="J196" i="76" a="1"/>
  <c r="J196" i="76" s="1"/>
  <c r="J195" i="76" a="1"/>
  <c r="J195" i="76" s="1"/>
  <c r="J194" i="76" a="1"/>
  <c r="J194" i="76" s="1"/>
  <c r="J193" i="76" a="1"/>
  <c r="J193" i="76" s="1"/>
  <c r="J192" i="76" a="1"/>
  <c r="J192" i="76" s="1"/>
  <c r="J200" i="79" a="1"/>
  <c r="J200" i="79" s="1"/>
  <c r="J199" i="79" a="1"/>
  <c r="J199" i="79" s="1"/>
  <c r="J198" i="79" a="1"/>
  <c r="J198" i="79" s="1"/>
  <c r="J197" i="79" a="1"/>
  <c r="J197" i="79" s="1"/>
  <c r="J196" i="79" a="1"/>
  <c r="J196" i="79" s="1"/>
  <c r="J195" i="79" a="1"/>
  <c r="J195" i="79" s="1"/>
  <c r="J194" i="79" a="1"/>
  <c r="J194" i="79" s="1"/>
  <c r="J193" i="79" a="1"/>
  <c r="J193" i="79" s="1"/>
  <c r="J192" i="79" a="1"/>
  <c r="J192" i="79" s="1"/>
  <c r="E65" i="103" a="1"/>
  <c r="E65" i="103" s="1"/>
  <c r="D65" i="103" a="1"/>
  <c r="D65" i="103" s="1"/>
  <c r="D63" i="103" a="1"/>
  <c r="D63" i="103" s="1"/>
  <c r="D62" i="103" a="1"/>
  <c r="D62" i="103" s="1"/>
  <c r="E60" i="103" a="1"/>
  <c r="E60" i="103" s="1"/>
  <c r="D60" i="103" a="1"/>
  <c r="D60" i="103" s="1"/>
  <c r="D58" i="103" a="1"/>
  <c r="D58" i="103" s="1"/>
  <c r="D57" i="103" a="1"/>
  <c r="D57" i="103" s="1"/>
  <c r="E55" i="103" a="1"/>
  <c r="E55" i="103" s="1"/>
  <c r="D55" i="103" a="1"/>
  <c r="D55" i="103" s="1"/>
  <c r="D53" i="103" a="1"/>
  <c r="D53" i="103" s="1"/>
  <c r="D52" i="103" a="1"/>
  <c r="D52" i="103" s="1"/>
  <c r="E50" i="103" a="1"/>
  <c r="E50" i="103" s="1"/>
  <c r="D50" i="103" a="1"/>
  <c r="D50" i="103" s="1"/>
  <c r="E49" i="103" a="1"/>
  <c r="E49" i="103" s="1"/>
  <c r="D49" i="103" a="1"/>
  <c r="D49" i="103" s="1"/>
  <c r="E48" i="103" a="1"/>
  <c r="E48" i="103" s="1"/>
  <c r="D48" i="103" a="1"/>
  <c r="D48" i="103" s="1"/>
  <c r="E47" i="103" a="1"/>
  <c r="E47" i="103" s="1"/>
  <c r="D47" i="103" a="1"/>
  <c r="D47" i="103" s="1"/>
  <c r="E46" i="103" a="1"/>
  <c r="E46" i="103" s="1"/>
  <c r="D46" i="103" a="1"/>
  <c r="D46" i="103" s="1"/>
  <c r="E45" i="103" a="1"/>
  <c r="E45" i="103" s="1"/>
  <c r="D45" i="103" a="1"/>
  <c r="D45" i="103" s="1"/>
  <c r="E44" i="103" a="1"/>
  <c r="E44" i="103" s="1"/>
  <c r="D44" i="103" a="1"/>
  <c r="D44" i="103" s="1"/>
  <c r="D42" i="103" a="1"/>
  <c r="D42" i="103" s="1"/>
  <c r="D41" i="103" a="1"/>
  <c r="D41" i="103" s="1"/>
  <c r="E39" i="103" a="1"/>
  <c r="E39" i="103" s="1"/>
  <c r="D39" i="103" a="1"/>
  <c r="D39" i="103" s="1"/>
  <c r="E38" i="103" a="1"/>
  <c r="E38" i="103" s="1"/>
  <c r="D38" i="103" a="1"/>
  <c r="D38" i="103" s="1"/>
  <c r="E37" i="103" a="1"/>
  <c r="E37" i="103" s="1"/>
  <c r="D37" i="103" a="1"/>
  <c r="D37" i="103" s="1"/>
  <c r="E36" i="103" a="1"/>
  <c r="E36" i="103" s="1"/>
  <c r="D36" i="103" a="1"/>
  <c r="D36" i="103" s="1"/>
  <c r="E35" i="103" a="1"/>
  <c r="E35" i="103" s="1"/>
  <c r="D35" i="103" a="1"/>
  <c r="D35" i="103" s="1"/>
  <c r="E34" i="103" a="1"/>
  <c r="E34" i="103" s="1"/>
  <c r="D34" i="103" a="1"/>
  <c r="D34" i="103" s="1"/>
  <c r="E33" i="103" a="1"/>
  <c r="E33" i="103" s="1"/>
  <c r="D33" i="103" a="1"/>
  <c r="D33" i="103" s="1"/>
  <c r="E32" i="103" a="1"/>
  <c r="E32" i="103" s="1"/>
  <c r="D32" i="103" a="1"/>
  <c r="D32" i="103" s="1"/>
  <c r="D30" i="103" a="1"/>
  <c r="D30" i="103" s="1"/>
  <c r="D29" i="103" a="1"/>
  <c r="D29" i="103" s="1"/>
  <c r="F27" i="103" a="1"/>
  <c r="F27" i="103" s="1"/>
  <c r="E27" i="103" a="1"/>
  <c r="E27" i="103" s="1"/>
  <c r="D27" i="103" a="1"/>
  <c r="D27" i="103" s="1"/>
  <c r="F26" i="103" a="1"/>
  <c r="F26" i="103" s="1"/>
  <c r="E26" i="103" a="1"/>
  <c r="E26" i="103" s="1"/>
  <c r="D26" i="103" a="1"/>
  <c r="D26" i="103" s="1"/>
  <c r="F25" i="103" a="1"/>
  <c r="F25" i="103" s="1"/>
  <c r="E25" i="103" a="1"/>
  <c r="E25" i="103" s="1"/>
  <c r="D25" i="103" a="1"/>
  <c r="D25" i="103" s="1"/>
  <c r="F24" i="103" a="1"/>
  <c r="F24" i="103" s="1"/>
  <c r="E24" i="103" a="1"/>
  <c r="E24" i="103" s="1"/>
  <c r="D24" i="103" a="1"/>
  <c r="D24" i="103" s="1"/>
  <c r="F23" i="103" a="1"/>
  <c r="F23" i="103" s="1"/>
  <c r="E23" i="103" a="1"/>
  <c r="E23" i="103" s="1"/>
  <c r="D23" i="103" a="1"/>
  <c r="D23" i="103" s="1"/>
  <c r="F22" i="103" a="1"/>
  <c r="F22" i="103" s="1"/>
  <c r="E22" i="103" a="1"/>
  <c r="E22" i="103" s="1"/>
  <c r="D22" i="103" a="1"/>
  <c r="D22" i="103" s="1"/>
  <c r="F21" i="103" a="1"/>
  <c r="F21" i="103" s="1"/>
  <c r="E21" i="103" a="1"/>
  <c r="E21" i="103" s="1"/>
  <c r="D21" i="103" a="1"/>
  <c r="D21" i="103" s="1"/>
  <c r="F20" i="103" a="1"/>
  <c r="F20" i="103" s="1"/>
  <c r="E20" i="103" a="1"/>
  <c r="E20" i="103" s="1"/>
  <c r="D20" i="103" a="1"/>
  <c r="D20" i="103" s="1"/>
  <c r="F19" i="103" a="1"/>
  <c r="F19" i="103" s="1"/>
  <c r="E19" i="103" a="1"/>
  <c r="E19" i="103" s="1"/>
  <c r="D19" i="103" a="1"/>
  <c r="D19" i="103" s="1"/>
  <c r="F18" i="103" a="1"/>
  <c r="F18" i="103" s="1"/>
  <c r="E18" i="103" a="1"/>
  <c r="E18" i="103" s="1"/>
  <c r="D18" i="103" a="1"/>
  <c r="D18" i="103" s="1"/>
  <c r="F17" i="103" a="1"/>
  <c r="F17" i="103" s="1"/>
  <c r="E17" i="103" a="1"/>
  <c r="E17" i="103" s="1"/>
  <c r="D17" i="103" a="1"/>
  <c r="D17" i="103" s="1"/>
  <c r="F16" i="103" a="1"/>
  <c r="F16" i="103" s="1"/>
  <c r="E16" i="103" a="1"/>
  <c r="E16" i="103" s="1"/>
  <c r="D16" i="103" a="1"/>
  <c r="D16" i="103" s="1"/>
  <c r="F15" i="103" a="1"/>
  <c r="F15" i="103" s="1"/>
  <c r="E15" i="103" a="1"/>
  <c r="E15" i="103" s="1"/>
  <c r="D15" i="103" a="1"/>
  <c r="D15" i="103" s="1"/>
  <c r="F14" i="103" a="1"/>
  <c r="F14" i="103" s="1"/>
  <c r="E14" i="103" a="1"/>
  <c r="E14" i="103" s="1"/>
  <c r="D14" i="103" a="1"/>
  <c r="D14" i="103" s="1"/>
  <c r="F13" i="103" a="1"/>
  <c r="F13" i="103" s="1"/>
  <c r="E13" i="103" a="1"/>
  <c r="E13" i="103" s="1"/>
  <c r="D13" i="103" a="1"/>
  <c r="D13" i="103" s="1"/>
  <c r="F12" i="103" a="1"/>
  <c r="F12" i="103" s="1"/>
  <c r="E12" i="103" a="1"/>
  <c r="E12" i="103" s="1"/>
  <c r="D12" i="103" a="1"/>
  <c r="D12" i="103" s="1"/>
  <c r="F11" i="103" a="1"/>
  <c r="F11" i="103" s="1"/>
  <c r="E11" i="103" a="1"/>
  <c r="E11" i="103" s="1"/>
  <c r="D11" i="103" a="1"/>
  <c r="D11" i="103" s="1"/>
  <c r="F10" i="103" a="1"/>
  <c r="F10" i="103" s="1"/>
  <c r="E10" i="103" a="1"/>
  <c r="E10" i="103" s="1"/>
  <c r="D10" i="103" a="1"/>
  <c r="D10" i="103" s="1"/>
  <c r="D8" i="103" a="1"/>
  <c r="D8" i="103" s="1"/>
  <c r="D7" i="103" a="1"/>
  <c r="D7" i="103" s="1"/>
  <c r="D6" i="103" a="1"/>
  <c r="D6" i="103" s="1"/>
  <c r="F235" i="102" a="1"/>
  <c r="F235" i="102" s="1"/>
  <c r="E235" i="102" a="1"/>
  <c r="E235" i="102" s="1"/>
  <c r="D235" i="102" a="1"/>
  <c r="D235" i="102" s="1"/>
  <c r="F234" i="102" a="1"/>
  <c r="F234" i="102" s="1"/>
  <c r="E234" i="102" a="1"/>
  <c r="E234" i="102" s="1"/>
  <c r="D234" i="102" a="1"/>
  <c r="D234" i="102" s="1"/>
  <c r="F233" i="102" a="1"/>
  <c r="F233" i="102" s="1"/>
  <c r="E233" i="102" a="1"/>
  <c r="E233" i="102" s="1"/>
  <c r="D233" i="102" a="1"/>
  <c r="D233" i="102" s="1"/>
  <c r="F232" i="102" a="1"/>
  <c r="F232" i="102" s="1"/>
  <c r="E232" i="102" a="1"/>
  <c r="E232" i="102" s="1"/>
  <c r="D232" i="102" a="1"/>
  <c r="D232" i="102" s="1"/>
  <c r="F231" i="102" a="1"/>
  <c r="F231" i="102" s="1"/>
  <c r="E231" i="102" a="1"/>
  <c r="E231" i="102" s="1"/>
  <c r="D231" i="102" a="1"/>
  <c r="D231" i="102" s="1"/>
  <c r="F230" i="102" a="1"/>
  <c r="F230" i="102" s="1"/>
  <c r="E230" i="102" a="1"/>
  <c r="E230" i="102" s="1"/>
  <c r="D230" i="102" a="1"/>
  <c r="D230" i="102" s="1"/>
  <c r="F229" i="102" a="1"/>
  <c r="F229" i="102" s="1"/>
  <c r="E229" i="102" a="1"/>
  <c r="E229" i="102" s="1"/>
  <c r="D229" i="102" a="1"/>
  <c r="D229" i="102" s="1"/>
  <c r="F228" i="102" a="1"/>
  <c r="F228" i="102" s="1"/>
  <c r="E228" i="102" a="1"/>
  <c r="E228" i="102" s="1"/>
  <c r="D228" i="102" a="1"/>
  <c r="D228" i="102" s="1"/>
  <c r="F227" i="102" a="1"/>
  <c r="F227" i="102" s="1"/>
  <c r="E227" i="102" a="1"/>
  <c r="E227" i="102" s="1"/>
  <c r="D227" i="102" a="1"/>
  <c r="D227" i="102" s="1"/>
  <c r="F226" i="102" a="1"/>
  <c r="F226" i="102" s="1"/>
  <c r="E226" i="102" a="1"/>
  <c r="E226" i="102" s="1"/>
  <c r="D226" i="102" a="1"/>
  <c r="D226" i="102" s="1"/>
  <c r="F225" i="102" a="1"/>
  <c r="F225" i="102" s="1"/>
  <c r="E225" i="102" a="1"/>
  <c r="E225" i="102" s="1"/>
  <c r="D225" i="102" a="1"/>
  <c r="D225" i="102" s="1"/>
  <c r="F224" i="102" a="1"/>
  <c r="F224" i="102" s="1"/>
  <c r="E224" i="102" a="1"/>
  <c r="E224" i="102" s="1"/>
  <c r="D224" i="102" a="1"/>
  <c r="D224" i="102" s="1"/>
  <c r="F223" i="102" a="1"/>
  <c r="F223" i="102" s="1"/>
  <c r="E223" i="102" a="1"/>
  <c r="E223" i="102" s="1"/>
  <c r="D223" i="102" a="1"/>
  <c r="D223" i="102" s="1"/>
  <c r="F222" i="102" a="1"/>
  <c r="F222" i="102" s="1"/>
  <c r="E222" i="102" a="1"/>
  <c r="E222" i="102" s="1"/>
  <c r="D222" i="102" a="1"/>
  <c r="D222" i="102" s="1"/>
  <c r="F221" i="102" a="1"/>
  <c r="F221" i="102" s="1"/>
  <c r="E221" i="102" a="1"/>
  <c r="E221" i="102" s="1"/>
  <c r="D221" i="102" a="1"/>
  <c r="D221" i="102" s="1"/>
  <c r="F220" i="102" a="1"/>
  <c r="F220" i="102" s="1"/>
  <c r="E220" i="102" a="1"/>
  <c r="E220" i="102" s="1"/>
  <c r="D220" i="102" a="1"/>
  <c r="D220" i="102" s="1"/>
  <c r="F219" i="102" a="1"/>
  <c r="F219" i="102" s="1"/>
  <c r="E219" i="102" a="1"/>
  <c r="E219" i="102" s="1"/>
  <c r="D219" i="102" a="1"/>
  <c r="D219" i="102" s="1"/>
  <c r="F218" i="102" a="1"/>
  <c r="F218" i="102" s="1"/>
  <c r="E218" i="102" a="1"/>
  <c r="E218" i="102" s="1"/>
  <c r="D218" i="102" a="1"/>
  <c r="D218" i="102" s="1"/>
  <c r="F217" i="102" a="1"/>
  <c r="F217" i="102" s="1"/>
  <c r="E217" i="102" a="1"/>
  <c r="E217" i="102" s="1"/>
  <c r="D217" i="102" a="1"/>
  <c r="D217" i="102" s="1"/>
  <c r="F216" i="102" a="1"/>
  <c r="F216" i="102" s="1"/>
  <c r="E216" i="102" a="1"/>
  <c r="E216" i="102" s="1"/>
  <c r="D216" i="102" a="1"/>
  <c r="D216" i="102" s="1"/>
  <c r="F215" i="102" a="1"/>
  <c r="F215" i="102" s="1"/>
  <c r="E215" i="102" a="1"/>
  <c r="E215" i="102" s="1"/>
  <c r="D215" i="102" a="1"/>
  <c r="D215" i="102" s="1"/>
  <c r="F214" i="102" a="1"/>
  <c r="F214" i="102" s="1"/>
  <c r="E214" i="102" a="1"/>
  <c r="E214" i="102" s="1"/>
  <c r="D214" i="102" a="1"/>
  <c r="D214" i="102" s="1"/>
  <c r="F213" i="102" a="1"/>
  <c r="F213" i="102" s="1"/>
  <c r="E213" i="102" a="1"/>
  <c r="E213" i="102" s="1"/>
  <c r="D213" i="102" a="1"/>
  <c r="D213" i="102" s="1"/>
  <c r="F212" i="102" a="1"/>
  <c r="F212" i="102" s="1"/>
  <c r="E212" i="102" a="1"/>
  <c r="E212" i="102" s="1"/>
  <c r="D212" i="102" a="1"/>
  <c r="D212" i="102" s="1"/>
  <c r="F211" i="102" a="1"/>
  <c r="F211" i="102" s="1"/>
  <c r="E211" i="102" a="1"/>
  <c r="E211" i="102" s="1"/>
  <c r="D211" i="102" a="1"/>
  <c r="D211" i="102" s="1"/>
  <c r="F210" i="102" a="1"/>
  <c r="F210" i="102" s="1"/>
  <c r="E210" i="102" a="1"/>
  <c r="E210" i="102" s="1"/>
  <c r="D210" i="102" a="1"/>
  <c r="D210" i="102" s="1"/>
  <c r="F209" i="102" a="1"/>
  <c r="F209" i="102" s="1"/>
  <c r="E209" i="102" a="1"/>
  <c r="E209" i="102" s="1"/>
  <c r="D209" i="102" a="1"/>
  <c r="D209" i="102" s="1"/>
  <c r="F208" i="102" a="1"/>
  <c r="F208" i="102" s="1"/>
  <c r="E208" i="102" a="1"/>
  <c r="E208" i="102" s="1"/>
  <c r="D208" i="102" a="1"/>
  <c r="D208" i="102" s="1"/>
  <c r="F207" i="102" a="1"/>
  <c r="F207" i="102" s="1"/>
  <c r="E207" i="102" a="1"/>
  <c r="E207" i="102" s="1"/>
  <c r="D207" i="102" a="1"/>
  <c r="D207" i="102" s="1"/>
  <c r="F206" i="102" a="1"/>
  <c r="F206" i="102" s="1"/>
  <c r="E206" i="102" a="1"/>
  <c r="E206" i="102" s="1"/>
  <c r="D206" i="102" a="1"/>
  <c r="D206" i="102" s="1"/>
  <c r="F205" i="102" a="1"/>
  <c r="F205" i="102" s="1"/>
  <c r="E205" i="102" a="1"/>
  <c r="E205" i="102" s="1"/>
  <c r="D205" i="102" a="1"/>
  <c r="D205" i="102" s="1"/>
  <c r="F204" i="102" a="1"/>
  <c r="F204" i="102" s="1"/>
  <c r="E204" i="102" a="1"/>
  <c r="E204" i="102" s="1"/>
  <c r="D204" i="102" a="1"/>
  <c r="D204" i="102" s="1"/>
  <c r="F203" i="102" a="1"/>
  <c r="F203" i="102" s="1"/>
  <c r="E203" i="102" a="1"/>
  <c r="E203" i="102" s="1"/>
  <c r="D203" i="102" a="1"/>
  <c r="D203" i="102" s="1"/>
  <c r="F202" i="102" a="1"/>
  <c r="F202" i="102" s="1"/>
  <c r="E202" i="102" a="1"/>
  <c r="E202" i="102" s="1"/>
  <c r="D202" i="102" a="1"/>
  <c r="D202" i="102" s="1"/>
  <c r="F201" i="102" a="1"/>
  <c r="F201" i="102" s="1"/>
  <c r="E201" i="102" a="1"/>
  <c r="E201" i="102" s="1"/>
  <c r="D201" i="102" a="1"/>
  <c r="D201" i="102" s="1"/>
  <c r="F200" i="102" a="1"/>
  <c r="F200" i="102" s="1"/>
  <c r="E200" i="102" a="1"/>
  <c r="E200" i="102" s="1"/>
  <c r="D200" i="102" a="1"/>
  <c r="D200" i="102" s="1"/>
  <c r="F199" i="102" a="1"/>
  <c r="F199" i="102" s="1"/>
  <c r="E199" i="102" a="1"/>
  <c r="E199" i="102" s="1"/>
  <c r="D199" i="102" a="1"/>
  <c r="D199" i="102" s="1"/>
  <c r="F198" i="102" a="1"/>
  <c r="F198" i="102" s="1"/>
  <c r="E198" i="102" a="1"/>
  <c r="E198" i="102" s="1"/>
  <c r="D198" i="102" a="1"/>
  <c r="D198" i="102" s="1"/>
  <c r="F197" i="102" a="1"/>
  <c r="F197" i="102" s="1"/>
  <c r="E197" i="102" a="1"/>
  <c r="E197" i="102" s="1"/>
  <c r="D197" i="102" a="1"/>
  <c r="D197" i="102" s="1"/>
  <c r="F196" i="102" a="1"/>
  <c r="F196" i="102" s="1"/>
  <c r="E196" i="102" a="1"/>
  <c r="E196" i="102" s="1"/>
  <c r="D196" i="102" a="1"/>
  <c r="D196" i="102" s="1"/>
  <c r="F195" i="102" a="1"/>
  <c r="F195" i="102" s="1"/>
  <c r="E195" i="102" a="1"/>
  <c r="E195" i="102" s="1"/>
  <c r="D195" i="102" a="1"/>
  <c r="D195" i="102" s="1"/>
  <c r="F194" i="102" a="1"/>
  <c r="F194" i="102" s="1"/>
  <c r="E194" i="102" a="1"/>
  <c r="E194" i="102" s="1"/>
  <c r="D194" i="102" a="1"/>
  <c r="D194" i="102" s="1"/>
  <c r="F193" i="102" a="1"/>
  <c r="F193" i="102" s="1"/>
  <c r="E193" i="102" a="1"/>
  <c r="E193" i="102" s="1"/>
  <c r="D193" i="102" a="1"/>
  <c r="D193" i="102" s="1"/>
  <c r="F192" i="102" a="1"/>
  <c r="F192" i="102" s="1"/>
  <c r="E192" i="102" a="1"/>
  <c r="E192" i="102" s="1"/>
  <c r="D192" i="102" a="1"/>
  <c r="D192" i="102" s="1"/>
  <c r="F191" i="102" a="1"/>
  <c r="F191" i="102" s="1"/>
  <c r="E191" i="102" a="1"/>
  <c r="E191" i="102" s="1"/>
  <c r="D191" i="102" a="1"/>
  <c r="D191" i="102" s="1"/>
  <c r="F190" i="102" a="1"/>
  <c r="F190" i="102" s="1"/>
  <c r="E190" i="102" a="1"/>
  <c r="E190" i="102" s="1"/>
  <c r="D190" i="102" a="1"/>
  <c r="D190" i="102" s="1"/>
  <c r="F189" i="102" a="1"/>
  <c r="F189" i="102" s="1"/>
  <c r="E189" i="102" a="1"/>
  <c r="E189" i="102" s="1"/>
  <c r="D189" i="102" a="1"/>
  <c r="D189" i="102" s="1"/>
  <c r="F188" i="102" a="1"/>
  <c r="F188" i="102" s="1"/>
  <c r="E188" i="102" a="1"/>
  <c r="E188" i="102" s="1"/>
  <c r="D188" i="102" a="1"/>
  <c r="D188" i="102" s="1"/>
  <c r="F187" i="102" a="1"/>
  <c r="F187" i="102" s="1"/>
  <c r="E187" i="102" a="1"/>
  <c r="E187" i="102" s="1"/>
  <c r="D187" i="102" a="1"/>
  <c r="D187" i="102" s="1"/>
  <c r="F186" i="102" a="1"/>
  <c r="F186" i="102" s="1"/>
  <c r="E186" i="102" a="1"/>
  <c r="E186" i="102" s="1"/>
  <c r="D186" i="102" a="1"/>
  <c r="D186" i="102" s="1"/>
  <c r="F185" i="102" a="1"/>
  <c r="F185" i="102" s="1"/>
  <c r="E185" i="102" a="1"/>
  <c r="E185" i="102" s="1"/>
  <c r="D185" i="102" a="1"/>
  <c r="D185" i="102" s="1"/>
  <c r="F184" i="102" a="1"/>
  <c r="F184" i="102" s="1"/>
  <c r="E184" i="102" a="1"/>
  <c r="E184" i="102" s="1"/>
  <c r="D184" i="102" a="1"/>
  <c r="D184" i="102" s="1"/>
  <c r="F183" i="102" a="1"/>
  <c r="F183" i="102" s="1"/>
  <c r="E183" i="102" a="1"/>
  <c r="E183" i="102" s="1"/>
  <c r="D183" i="102" a="1"/>
  <c r="D183" i="102" s="1"/>
  <c r="F182" i="102" a="1"/>
  <c r="F182" i="102" s="1"/>
  <c r="E182" i="102" a="1"/>
  <c r="E182" i="102" s="1"/>
  <c r="D182" i="102" a="1"/>
  <c r="D182" i="102" s="1"/>
  <c r="F181" i="102" a="1"/>
  <c r="F181" i="102" s="1"/>
  <c r="E181" i="102" a="1"/>
  <c r="E181" i="102" s="1"/>
  <c r="D181" i="102" a="1"/>
  <c r="D181" i="102" s="1"/>
  <c r="F180" i="102" a="1"/>
  <c r="F180" i="102" s="1"/>
  <c r="E180" i="102" a="1"/>
  <c r="E180" i="102" s="1"/>
  <c r="D180" i="102" a="1"/>
  <c r="D180" i="102" s="1"/>
  <c r="F179" i="102" a="1"/>
  <c r="F179" i="102" s="1"/>
  <c r="E179" i="102" a="1"/>
  <c r="E179" i="102" s="1"/>
  <c r="D179" i="102" a="1"/>
  <c r="D179" i="102" s="1"/>
  <c r="F178" i="102" a="1"/>
  <c r="F178" i="102" s="1"/>
  <c r="E178" i="102" a="1"/>
  <c r="E178" i="102" s="1"/>
  <c r="D178" i="102" a="1"/>
  <c r="D178" i="102" s="1"/>
  <c r="F177" i="102" a="1"/>
  <c r="F177" i="102" s="1"/>
  <c r="E177" i="102" a="1"/>
  <c r="E177" i="102" s="1"/>
  <c r="D177" i="102" a="1"/>
  <c r="D177" i="102" s="1"/>
  <c r="F176" i="102" a="1"/>
  <c r="F176" i="102" s="1"/>
  <c r="E176" i="102" a="1"/>
  <c r="E176" i="102" s="1"/>
  <c r="D176" i="102" a="1"/>
  <c r="D176" i="102" s="1"/>
  <c r="F175" i="102" a="1"/>
  <c r="F175" i="102" s="1"/>
  <c r="E175" i="102" a="1"/>
  <c r="E175" i="102" s="1"/>
  <c r="D175" i="102" a="1"/>
  <c r="D175" i="102" s="1"/>
  <c r="F174" i="102" a="1"/>
  <c r="F174" i="102" s="1"/>
  <c r="E174" i="102" a="1"/>
  <c r="E174" i="102" s="1"/>
  <c r="D174" i="102" a="1"/>
  <c r="D174" i="102" s="1"/>
  <c r="F173" i="102" a="1"/>
  <c r="F173" i="102" s="1"/>
  <c r="E173" i="102" a="1"/>
  <c r="E173" i="102" s="1"/>
  <c r="D173" i="102" a="1"/>
  <c r="D173" i="102" s="1"/>
  <c r="F172" i="102" a="1"/>
  <c r="F172" i="102" s="1"/>
  <c r="E172" i="102" a="1"/>
  <c r="E172" i="102" s="1"/>
  <c r="D172" i="102" a="1"/>
  <c r="D172" i="102" s="1"/>
  <c r="F171" i="102" a="1"/>
  <c r="F171" i="102" s="1"/>
  <c r="E171" i="102" a="1"/>
  <c r="E171" i="102" s="1"/>
  <c r="D171" i="102" a="1"/>
  <c r="D171" i="102" s="1"/>
  <c r="F170" i="102" a="1"/>
  <c r="F170" i="102" s="1"/>
  <c r="E170" i="102" a="1"/>
  <c r="E170" i="102" s="1"/>
  <c r="D170" i="102" a="1"/>
  <c r="D170" i="102" s="1"/>
  <c r="F169" i="102" a="1"/>
  <c r="F169" i="102" s="1"/>
  <c r="E169" i="102" a="1"/>
  <c r="E169" i="102" s="1"/>
  <c r="D169" i="102" a="1"/>
  <c r="D169" i="102" s="1"/>
  <c r="F168" i="102" a="1"/>
  <c r="F168" i="102" s="1"/>
  <c r="E168" i="102" a="1"/>
  <c r="E168" i="102" s="1"/>
  <c r="D168" i="102" a="1"/>
  <c r="D168" i="102" s="1"/>
  <c r="F167" i="102" a="1"/>
  <c r="F167" i="102" s="1"/>
  <c r="E167" i="102" a="1"/>
  <c r="E167" i="102" s="1"/>
  <c r="D167" i="102" a="1"/>
  <c r="D167" i="102" s="1"/>
  <c r="F166" i="102" a="1"/>
  <c r="F166" i="102" s="1"/>
  <c r="E166" i="102" a="1"/>
  <c r="E166" i="102" s="1"/>
  <c r="D166" i="102" a="1"/>
  <c r="D166" i="102" s="1"/>
  <c r="F165" i="102" a="1"/>
  <c r="F165" i="102" s="1"/>
  <c r="E165" i="102" a="1"/>
  <c r="E165" i="102" s="1"/>
  <c r="D165" i="102" a="1"/>
  <c r="D165" i="102" s="1"/>
  <c r="F164" i="102" a="1"/>
  <c r="F164" i="102" s="1"/>
  <c r="E164" i="102" a="1"/>
  <c r="E164" i="102" s="1"/>
  <c r="D164" i="102" a="1"/>
  <c r="D164" i="102" s="1"/>
  <c r="F163" i="102" a="1"/>
  <c r="F163" i="102" s="1"/>
  <c r="E163" i="102" a="1"/>
  <c r="E163" i="102" s="1"/>
  <c r="D163" i="102" a="1"/>
  <c r="D163" i="102" s="1"/>
  <c r="F162" i="102" a="1"/>
  <c r="F162" i="102" s="1"/>
  <c r="E162" i="102" a="1"/>
  <c r="E162" i="102" s="1"/>
  <c r="D162" i="102" a="1"/>
  <c r="D162" i="102" s="1"/>
  <c r="F161" i="102" a="1"/>
  <c r="F161" i="102" s="1"/>
  <c r="E161" i="102" a="1"/>
  <c r="E161" i="102" s="1"/>
  <c r="D161" i="102" a="1"/>
  <c r="D161" i="102" s="1"/>
  <c r="F160" i="102" a="1"/>
  <c r="F160" i="102" s="1"/>
  <c r="E160" i="102" a="1"/>
  <c r="E160" i="102" s="1"/>
  <c r="D160" i="102" a="1"/>
  <c r="D160" i="102" s="1"/>
  <c r="F159" i="102" a="1"/>
  <c r="F159" i="102" s="1"/>
  <c r="E159" i="102" a="1"/>
  <c r="E159" i="102" s="1"/>
  <c r="D159" i="102" a="1"/>
  <c r="D159" i="102" s="1"/>
  <c r="F158" i="102" a="1"/>
  <c r="F158" i="102" s="1"/>
  <c r="E158" i="102" a="1"/>
  <c r="E158" i="102" s="1"/>
  <c r="D158" i="102" a="1"/>
  <c r="D158" i="102" s="1"/>
  <c r="F157" i="102" a="1"/>
  <c r="F157" i="102" s="1"/>
  <c r="E157" i="102" a="1"/>
  <c r="E157" i="102" s="1"/>
  <c r="D157" i="102" a="1"/>
  <c r="D157" i="102" s="1"/>
  <c r="F156" i="102" a="1"/>
  <c r="F156" i="102" s="1"/>
  <c r="E156" i="102" a="1"/>
  <c r="E156" i="102" s="1"/>
  <c r="D156" i="102" a="1"/>
  <c r="D156" i="102" s="1"/>
  <c r="F155" i="102" a="1"/>
  <c r="F155" i="102" s="1"/>
  <c r="E155" i="102" a="1"/>
  <c r="E155" i="102" s="1"/>
  <c r="D155" i="102" a="1"/>
  <c r="D155" i="102" s="1"/>
  <c r="F154" i="102" a="1"/>
  <c r="F154" i="102" s="1"/>
  <c r="E154" i="102" a="1"/>
  <c r="E154" i="102" s="1"/>
  <c r="D154" i="102" a="1"/>
  <c r="D154" i="102" s="1"/>
  <c r="F153" i="102" a="1"/>
  <c r="F153" i="102" s="1"/>
  <c r="E153" i="102" a="1"/>
  <c r="E153" i="102" s="1"/>
  <c r="D153" i="102" a="1"/>
  <c r="D153" i="102" s="1"/>
  <c r="F152" i="102" a="1"/>
  <c r="F152" i="102" s="1"/>
  <c r="E152" i="102" a="1"/>
  <c r="E152" i="102" s="1"/>
  <c r="D152" i="102" a="1"/>
  <c r="D152" i="102" s="1"/>
  <c r="F151" i="102" a="1"/>
  <c r="F151" i="102" s="1"/>
  <c r="E151" i="102" a="1"/>
  <c r="E151" i="102" s="1"/>
  <c r="D151" i="102" a="1"/>
  <c r="D151" i="102" s="1"/>
  <c r="F150" i="102" a="1"/>
  <c r="F150" i="102" s="1"/>
  <c r="E150" i="102" a="1"/>
  <c r="E150" i="102" s="1"/>
  <c r="D150" i="102" a="1"/>
  <c r="D150" i="102" s="1"/>
  <c r="F149" i="102" a="1"/>
  <c r="F149" i="102" s="1"/>
  <c r="E149" i="102" a="1"/>
  <c r="E149" i="102" s="1"/>
  <c r="D149" i="102" a="1"/>
  <c r="D149" i="102" s="1"/>
  <c r="F148" i="102" a="1"/>
  <c r="F148" i="102" s="1"/>
  <c r="E148" i="102" a="1"/>
  <c r="E148" i="102" s="1"/>
  <c r="D148" i="102" a="1"/>
  <c r="D148" i="102" s="1"/>
  <c r="F147" i="102" a="1"/>
  <c r="F147" i="102" s="1"/>
  <c r="E147" i="102" a="1"/>
  <c r="E147" i="102" s="1"/>
  <c r="D147" i="102" a="1"/>
  <c r="D147" i="102" s="1"/>
  <c r="F146" i="102" a="1"/>
  <c r="F146" i="102" s="1"/>
  <c r="E146" i="102" a="1"/>
  <c r="E146" i="102" s="1"/>
  <c r="D146" i="102" a="1"/>
  <c r="D146" i="102" s="1"/>
  <c r="F145" i="102" a="1"/>
  <c r="F145" i="102" s="1"/>
  <c r="E145" i="102" a="1"/>
  <c r="E145" i="102" s="1"/>
  <c r="D145" i="102" a="1"/>
  <c r="D145" i="102" s="1"/>
  <c r="F144" i="102" a="1"/>
  <c r="F144" i="102" s="1"/>
  <c r="E144" i="102" a="1"/>
  <c r="E144" i="102" s="1"/>
  <c r="D144" i="102" a="1"/>
  <c r="D144" i="102" s="1"/>
  <c r="F143" i="102" a="1"/>
  <c r="F143" i="102" s="1"/>
  <c r="E143" i="102" a="1"/>
  <c r="E143" i="102" s="1"/>
  <c r="D143" i="102" a="1"/>
  <c r="D143" i="102" s="1"/>
  <c r="F142" i="102" a="1"/>
  <c r="F142" i="102" s="1"/>
  <c r="E142" i="102" a="1"/>
  <c r="E142" i="102" s="1"/>
  <c r="D142" i="102" a="1"/>
  <c r="D142" i="102" s="1"/>
  <c r="F141" i="102" a="1"/>
  <c r="F141" i="102" s="1"/>
  <c r="E141" i="102" a="1"/>
  <c r="E141" i="102" s="1"/>
  <c r="D141" i="102" a="1"/>
  <c r="D141" i="102" s="1"/>
  <c r="F140" i="102" a="1"/>
  <c r="F140" i="102" s="1"/>
  <c r="E140" i="102" a="1"/>
  <c r="E140" i="102" s="1"/>
  <c r="D140" i="102" a="1"/>
  <c r="D140" i="102" s="1"/>
  <c r="F139" i="102" a="1"/>
  <c r="F139" i="102" s="1"/>
  <c r="E139" i="102" a="1"/>
  <c r="E139" i="102" s="1"/>
  <c r="D139" i="102" a="1"/>
  <c r="D139" i="102" s="1"/>
  <c r="F138" i="102" a="1"/>
  <c r="F138" i="102" s="1"/>
  <c r="E138" i="102" a="1"/>
  <c r="E138" i="102" s="1"/>
  <c r="D138" i="102" a="1"/>
  <c r="D138" i="102" s="1"/>
  <c r="F137" i="102" a="1"/>
  <c r="F137" i="102" s="1"/>
  <c r="E137" i="102" a="1"/>
  <c r="E137" i="102" s="1"/>
  <c r="D137" i="102" a="1"/>
  <c r="D137" i="102" s="1"/>
  <c r="F136" i="102" a="1"/>
  <c r="F136" i="102" s="1"/>
  <c r="E136" i="102" a="1"/>
  <c r="E136" i="102" s="1"/>
  <c r="D136" i="102" a="1"/>
  <c r="D136" i="102" s="1"/>
  <c r="F135" i="102" a="1"/>
  <c r="F135" i="102" s="1"/>
  <c r="E135" i="102" a="1"/>
  <c r="E135" i="102" s="1"/>
  <c r="D135" i="102" a="1"/>
  <c r="D135" i="102" s="1"/>
  <c r="F134" i="102" a="1"/>
  <c r="F134" i="102" s="1"/>
  <c r="E134" i="102" a="1"/>
  <c r="E134" i="102" s="1"/>
  <c r="D134" i="102" a="1"/>
  <c r="D134" i="102" s="1"/>
  <c r="F133" i="102" a="1"/>
  <c r="F133" i="102" s="1"/>
  <c r="E133" i="102" a="1"/>
  <c r="E133" i="102" s="1"/>
  <c r="D133" i="102" a="1"/>
  <c r="D133" i="102" s="1"/>
  <c r="F132" i="102" a="1"/>
  <c r="F132" i="102" s="1"/>
  <c r="E132" i="102" a="1"/>
  <c r="E132" i="102" s="1"/>
  <c r="D132" i="102" a="1"/>
  <c r="D132" i="102" s="1"/>
  <c r="F131" i="102" a="1"/>
  <c r="F131" i="102" s="1"/>
  <c r="E131" i="102" a="1"/>
  <c r="E131" i="102" s="1"/>
  <c r="D131" i="102" a="1"/>
  <c r="D131" i="102" s="1"/>
  <c r="F130" i="102" a="1"/>
  <c r="F130" i="102" s="1"/>
  <c r="E130" i="102" a="1"/>
  <c r="E130" i="102" s="1"/>
  <c r="D130" i="102" a="1"/>
  <c r="D130" i="102" s="1"/>
  <c r="F129" i="102" a="1"/>
  <c r="F129" i="102" s="1"/>
  <c r="E129" i="102" a="1"/>
  <c r="E129" i="102" s="1"/>
  <c r="D129" i="102" a="1"/>
  <c r="D129" i="102" s="1"/>
  <c r="F128" i="102" a="1"/>
  <c r="F128" i="102" s="1"/>
  <c r="E128" i="102" a="1"/>
  <c r="E128" i="102" s="1"/>
  <c r="D128" i="102" a="1"/>
  <c r="D128" i="102" s="1"/>
  <c r="F127" i="102" a="1"/>
  <c r="F127" i="102" s="1"/>
  <c r="E127" i="102" a="1"/>
  <c r="E127" i="102" s="1"/>
  <c r="D127" i="102" a="1"/>
  <c r="D127" i="102" s="1"/>
  <c r="F126" i="102" a="1"/>
  <c r="F126" i="102" s="1"/>
  <c r="E126" i="102" a="1"/>
  <c r="E126" i="102" s="1"/>
  <c r="D126" i="102" a="1"/>
  <c r="D126" i="102" s="1"/>
  <c r="F125" i="102" a="1"/>
  <c r="F125" i="102" s="1"/>
  <c r="E125" i="102" a="1"/>
  <c r="E125" i="102" s="1"/>
  <c r="D125" i="102" a="1"/>
  <c r="D125" i="102" s="1"/>
  <c r="F124" i="102" a="1"/>
  <c r="F124" i="102" s="1"/>
  <c r="E124" i="102" a="1"/>
  <c r="E124" i="102" s="1"/>
  <c r="D124" i="102" a="1"/>
  <c r="D124" i="102" s="1"/>
  <c r="F123" i="102" a="1"/>
  <c r="F123" i="102" s="1"/>
  <c r="E123" i="102" a="1"/>
  <c r="E123" i="102" s="1"/>
  <c r="D123" i="102" a="1"/>
  <c r="D123" i="102" s="1"/>
  <c r="F122" i="102" a="1"/>
  <c r="F122" i="102" s="1"/>
  <c r="E122" i="102" a="1"/>
  <c r="E122" i="102" s="1"/>
  <c r="D122" i="102" a="1"/>
  <c r="D122" i="102" s="1"/>
  <c r="F121" i="102" a="1"/>
  <c r="F121" i="102" s="1"/>
  <c r="E121" i="102" a="1"/>
  <c r="E121" i="102" s="1"/>
  <c r="D121" i="102" a="1"/>
  <c r="D121" i="102" s="1"/>
  <c r="F120" i="102" a="1"/>
  <c r="F120" i="102" s="1"/>
  <c r="E120" i="102" a="1"/>
  <c r="E120" i="102" s="1"/>
  <c r="D120" i="102" a="1"/>
  <c r="D120" i="102" s="1"/>
  <c r="F119" i="102" a="1"/>
  <c r="F119" i="102" s="1"/>
  <c r="E119" i="102" a="1"/>
  <c r="E119" i="102" s="1"/>
  <c r="D119" i="102" a="1"/>
  <c r="D119" i="102" s="1"/>
  <c r="F118" i="102" a="1"/>
  <c r="F118" i="102" s="1"/>
  <c r="E118" i="102" a="1"/>
  <c r="E118" i="102" s="1"/>
  <c r="D118" i="102" a="1"/>
  <c r="D118" i="102" s="1"/>
  <c r="F117" i="102" a="1"/>
  <c r="F117" i="102" s="1"/>
  <c r="E117" i="102" a="1"/>
  <c r="E117" i="102" s="1"/>
  <c r="D117" i="102" a="1"/>
  <c r="D117" i="102" s="1"/>
  <c r="F116" i="102" a="1"/>
  <c r="F116" i="102" s="1"/>
  <c r="E116" i="102" a="1"/>
  <c r="E116" i="102" s="1"/>
  <c r="D116" i="102" a="1"/>
  <c r="D116" i="102" s="1"/>
  <c r="F115" i="102" a="1"/>
  <c r="F115" i="102" s="1"/>
  <c r="E115" i="102" a="1"/>
  <c r="E115" i="102" s="1"/>
  <c r="D115" i="102" a="1"/>
  <c r="D115" i="102" s="1"/>
  <c r="F114" i="102" a="1"/>
  <c r="F114" i="102" s="1"/>
  <c r="E114" i="102" a="1"/>
  <c r="E114" i="102" s="1"/>
  <c r="D114" i="102" a="1"/>
  <c r="D114" i="102" s="1"/>
  <c r="F113" i="102" a="1"/>
  <c r="F113" i="102" s="1"/>
  <c r="E113" i="102" a="1"/>
  <c r="E113" i="102" s="1"/>
  <c r="D113" i="102" a="1"/>
  <c r="D113" i="102" s="1"/>
  <c r="F112" i="102" a="1"/>
  <c r="F112" i="102" s="1"/>
  <c r="E112" i="102" a="1"/>
  <c r="E112" i="102" s="1"/>
  <c r="D112" i="102" a="1"/>
  <c r="D112" i="102" s="1"/>
  <c r="F111" i="102" a="1"/>
  <c r="F111" i="102" s="1"/>
  <c r="E111" i="102" a="1"/>
  <c r="E111" i="102" s="1"/>
  <c r="D111" i="102" a="1"/>
  <c r="D111" i="102" s="1"/>
  <c r="F110" i="102" a="1"/>
  <c r="F110" i="102" s="1"/>
  <c r="E110" i="102" a="1"/>
  <c r="E110" i="102" s="1"/>
  <c r="D110" i="102" a="1"/>
  <c r="D110" i="102" s="1"/>
  <c r="F109" i="102" a="1"/>
  <c r="F109" i="102" s="1"/>
  <c r="E109" i="102" a="1"/>
  <c r="E109" i="102" s="1"/>
  <c r="D109" i="102" a="1"/>
  <c r="D109" i="102" s="1"/>
  <c r="F108" i="102" a="1"/>
  <c r="F108" i="102" s="1"/>
  <c r="E108" i="102" a="1"/>
  <c r="E108" i="102" s="1"/>
  <c r="D108" i="102" a="1"/>
  <c r="D108" i="102" s="1"/>
  <c r="F107" i="102" a="1"/>
  <c r="F107" i="102" s="1"/>
  <c r="E107" i="102" a="1"/>
  <c r="E107" i="102" s="1"/>
  <c r="D107" i="102" a="1"/>
  <c r="D107" i="102" s="1"/>
  <c r="F106" i="102" a="1"/>
  <c r="F106" i="102" s="1"/>
  <c r="E106" i="102" a="1"/>
  <c r="E106" i="102" s="1"/>
  <c r="D106" i="102" a="1"/>
  <c r="D106" i="102" s="1"/>
  <c r="F105" i="102" a="1"/>
  <c r="F105" i="102" s="1"/>
  <c r="E105" i="102" a="1"/>
  <c r="E105" i="102" s="1"/>
  <c r="D105" i="102" a="1"/>
  <c r="D105" i="102" s="1"/>
  <c r="F104" i="102" a="1"/>
  <c r="F104" i="102" s="1"/>
  <c r="E104" i="102" a="1"/>
  <c r="E104" i="102" s="1"/>
  <c r="D104" i="102" a="1"/>
  <c r="D104" i="102" s="1"/>
  <c r="F103" i="102" a="1"/>
  <c r="F103" i="102" s="1"/>
  <c r="E103" i="102" a="1"/>
  <c r="E103" i="102" s="1"/>
  <c r="D103" i="102" a="1"/>
  <c r="D103" i="102" s="1"/>
  <c r="F102" i="102" a="1"/>
  <c r="F102" i="102" s="1"/>
  <c r="E102" i="102" a="1"/>
  <c r="E102" i="102" s="1"/>
  <c r="D102" i="102" a="1"/>
  <c r="D102" i="102" s="1"/>
  <c r="F101" i="102" a="1"/>
  <c r="F101" i="102" s="1"/>
  <c r="E101" i="102" a="1"/>
  <c r="E101" i="102" s="1"/>
  <c r="D101" i="102" a="1"/>
  <c r="D101" i="102" s="1"/>
  <c r="F100" i="102" a="1"/>
  <c r="F100" i="102" s="1"/>
  <c r="E100" i="102" a="1"/>
  <c r="E100" i="102" s="1"/>
  <c r="D100" i="102" a="1"/>
  <c r="D100" i="102" s="1"/>
  <c r="F99" i="102" a="1"/>
  <c r="F99" i="102" s="1"/>
  <c r="E99" i="102" a="1"/>
  <c r="E99" i="102" s="1"/>
  <c r="D99" i="102" a="1"/>
  <c r="D99" i="102" s="1"/>
  <c r="F98" i="102" a="1"/>
  <c r="F98" i="102" s="1"/>
  <c r="E98" i="102" a="1"/>
  <c r="E98" i="102" s="1"/>
  <c r="D98" i="102" a="1"/>
  <c r="D98" i="102" s="1"/>
  <c r="F97" i="102" a="1"/>
  <c r="F97" i="102" s="1"/>
  <c r="E97" i="102" a="1"/>
  <c r="E97" i="102" s="1"/>
  <c r="D97" i="102" a="1"/>
  <c r="D97" i="102" s="1"/>
  <c r="F96" i="102" a="1"/>
  <c r="F96" i="102" s="1"/>
  <c r="E96" i="102" a="1"/>
  <c r="E96" i="102" s="1"/>
  <c r="D96" i="102" a="1"/>
  <c r="D96" i="102" s="1"/>
  <c r="F95" i="102" a="1"/>
  <c r="F95" i="102" s="1"/>
  <c r="E95" i="102" a="1"/>
  <c r="E95" i="102" s="1"/>
  <c r="D95" i="102" a="1"/>
  <c r="D95" i="102" s="1"/>
  <c r="F94" i="102" a="1"/>
  <c r="F94" i="102" s="1"/>
  <c r="E94" i="102" a="1"/>
  <c r="E94" i="102" s="1"/>
  <c r="D94" i="102" a="1"/>
  <c r="D94" i="102" s="1"/>
  <c r="F93" i="102" a="1"/>
  <c r="F93" i="102" s="1"/>
  <c r="E93" i="102" a="1"/>
  <c r="E93" i="102" s="1"/>
  <c r="D93" i="102" a="1"/>
  <c r="D93" i="102" s="1"/>
  <c r="D91" i="102" a="1"/>
  <c r="D91" i="102" s="1"/>
  <c r="F89" i="102" a="1"/>
  <c r="F89" i="102" s="1"/>
  <c r="E89" i="102" a="1"/>
  <c r="E89" i="102" s="1"/>
  <c r="D89" i="102" a="1"/>
  <c r="D89" i="102" s="1"/>
  <c r="F88" i="102" a="1"/>
  <c r="F88" i="102" s="1"/>
  <c r="E88" i="102" a="1"/>
  <c r="E88" i="102" s="1"/>
  <c r="D88" i="102" a="1"/>
  <c r="D88" i="102" s="1"/>
  <c r="F87" i="102" a="1"/>
  <c r="F87" i="102" s="1"/>
  <c r="E87" i="102" a="1"/>
  <c r="E87" i="102" s="1"/>
  <c r="D87" i="102" a="1"/>
  <c r="D87" i="102" s="1"/>
  <c r="F86" i="102" a="1"/>
  <c r="F86" i="102" s="1"/>
  <c r="E86" i="102" a="1"/>
  <c r="E86" i="102" s="1"/>
  <c r="D86" i="102" a="1"/>
  <c r="D86" i="102" s="1"/>
  <c r="F85" i="102" a="1"/>
  <c r="F85" i="102" s="1"/>
  <c r="E85" i="102" a="1"/>
  <c r="E85" i="102" s="1"/>
  <c r="D85" i="102" a="1"/>
  <c r="D85" i="102" s="1"/>
  <c r="F84" i="102" a="1"/>
  <c r="F84" i="102" s="1"/>
  <c r="E84" i="102" a="1"/>
  <c r="E84" i="102" s="1"/>
  <c r="D84" i="102" a="1"/>
  <c r="D84" i="102" s="1"/>
  <c r="F83" i="102" a="1"/>
  <c r="F83" i="102" s="1"/>
  <c r="E83" i="102" a="1"/>
  <c r="E83" i="102" s="1"/>
  <c r="D83" i="102" a="1"/>
  <c r="D83" i="102" s="1"/>
  <c r="F82" i="102" a="1"/>
  <c r="F82" i="102" s="1"/>
  <c r="E82" i="102" a="1"/>
  <c r="E82" i="102" s="1"/>
  <c r="D82" i="102" a="1"/>
  <c r="D82" i="102" s="1"/>
  <c r="F81" i="102" a="1"/>
  <c r="F81" i="102" s="1"/>
  <c r="E81" i="102" a="1"/>
  <c r="E81" i="102" s="1"/>
  <c r="D81" i="102" a="1"/>
  <c r="D81" i="102" s="1"/>
  <c r="F80" i="102" a="1"/>
  <c r="F80" i="102" s="1"/>
  <c r="E80" i="102" a="1"/>
  <c r="E80" i="102" s="1"/>
  <c r="D80" i="102" a="1"/>
  <c r="D80" i="102" s="1"/>
  <c r="F79" i="102" a="1"/>
  <c r="F79" i="102" s="1"/>
  <c r="E79" i="102" a="1"/>
  <c r="E79" i="102" s="1"/>
  <c r="D79" i="102" a="1"/>
  <c r="D79" i="102" s="1"/>
  <c r="F78" i="102" a="1"/>
  <c r="F78" i="102" s="1"/>
  <c r="E78" i="102" a="1"/>
  <c r="E78" i="102" s="1"/>
  <c r="D78" i="102" a="1"/>
  <c r="D78" i="102" s="1"/>
  <c r="F77" i="102" a="1"/>
  <c r="F77" i="102" s="1"/>
  <c r="E77" i="102" a="1"/>
  <c r="E77" i="102" s="1"/>
  <c r="D77" i="102" a="1"/>
  <c r="D77" i="102" s="1"/>
  <c r="F76" i="102" a="1"/>
  <c r="F76" i="102" s="1"/>
  <c r="E76" i="102" a="1"/>
  <c r="E76" i="102" s="1"/>
  <c r="D76" i="102" a="1"/>
  <c r="D76" i="102" s="1"/>
  <c r="F75" i="102" a="1"/>
  <c r="F75" i="102" s="1"/>
  <c r="E75" i="102" a="1"/>
  <c r="E75" i="102" s="1"/>
  <c r="D75" i="102" a="1"/>
  <c r="D75" i="102" s="1"/>
  <c r="F74" i="102" a="1"/>
  <c r="F74" i="102" s="1"/>
  <c r="E74" i="102" a="1"/>
  <c r="E74" i="102" s="1"/>
  <c r="D74" i="102" a="1"/>
  <c r="D74" i="102" s="1"/>
  <c r="D71" i="102" a="1"/>
  <c r="D71" i="102" s="1"/>
  <c r="D70" i="102" a="1"/>
  <c r="D70" i="102" s="1"/>
  <c r="F67" i="102" a="1"/>
  <c r="F67" i="102" s="1"/>
  <c r="E67" i="102" a="1"/>
  <c r="E67" i="102" s="1"/>
  <c r="D67" i="102" a="1"/>
  <c r="D67" i="102" s="1"/>
  <c r="F66" i="102" a="1"/>
  <c r="F66" i="102" s="1"/>
  <c r="E66" i="102" a="1"/>
  <c r="E66" i="102" s="1"/>
  <c r="D66" i="102" a="1"/>
  <c r="D66" i="102" s="1"/>
  <c r="F65" i="102" a="1"/>
  <c r="F65" i="102" s="1"/>
  <c r="E65" i="102" a="1"/>
  <c r="E65" i="102" s="1"/>
  <c r="D65" i="102" a="1"/>
  <c r="D65" i="102" s="1"/>
  <c r="F64" i="102" a="1"/>
  <c r="F64" i="102" s="1"/>
  <c r="E64" i="102" a="1"/>
  <c r="E64" i="102" s="1"/>
  <c r="D64" i="102" a="1"/>
  <c r="D64" i="102" s="1"/>
  <c r="F63" i="102" a="1"/>
  <c r="F63" i="102" s="1"/>
  <c r="E63" i="102" a="1"/>
  <c r="E63" i="102" s="1"/>
  <c r="D63" i="102" a="1"/>
  <c r="D63" i="102" s="1"/>
  <c r="D60" i="102" a="1"/>
  <c r="D60" i="102" s="1"/>
  <c r="D59" i="102" a="1"/>
  <c r="D59" i="102" s="1"/>
  <c r="I56" i="102" a="1"/>
  <c r="I56" i="102" s="1"/>
  <c r="H56" i="102" a="1"/>
  <c r="H56" i="102" s="1"/>
  <c r="G56" i="102" a="1"/>
  <c r="G56" i="102" s="1"/>
  <c r="F56" i="102" a="1"/>
  <c r="F56" i="102" s="1"/>
  <c r="E56" i="102" a="1"/>
  <c r="E56" i="102" s="1"/>
  <c r="D56" i="102" a="1"/>
  <c r="D56" i="102" s="1"/>
  <c r="I55" i="102" a="1"/>
  <c r="I55" i="102" s="1"/>
  <c r="H55" i="102" a="1"/>
  <c r="H55" i="102" s="1"/>
  <c r="G55" i="102" a="1"/>
  <c r="G55" i="102" s="1"/>
  <c r="F55" i="102" a="1"/>
  <c r="F55" i="102" s="1"/>
  <c r="E55" i="102" a="1"/>
  <c r="E55" i="102" s="1"/>
  <c r="D55" i="102" a="1"/>
  <c r="D55" i="102" s="1"/>
  <c r="I54" i="102" a="1"/>
  <c r="I54" i="102" s="1"/>
  <c r="H54" i="102" a="1"/>
  <c r="H54" i="102" s="1"/>
  <c r="G54" i="102" a="1"/>
  <c r="G54" i="102" s="1"/>
  <c r="F54" i="102" a="1"/>
  <c r="F54" i="102" s="1"/>
  <c r="E54" i="102" a="1"/>
  <c r="E54" i="102" s="1"/>
  <c r="D54" i="102" a="1"/>
  <c r="D54" i="102" s="1"/>
  <c r="I53" i="102" a="1"/>
  <c r="I53" i="102" s="1"/>
  <c r="H53" i="102" a="1"/>
  <c r="H53" i="102" s="1"/>
  <c r="G53" i="102" a="1"/>
  <c r="G53" i="102" s="1"/>
  <c r="F53" i="102" a="1"/>
  <c r="F53" i="102" s="1"/>
  <c r="E53" i="102" a="1"/>
  <c r="E53" i="102" s="1"/>
  <c r="D53" i="102" a="1"/>
  <c r="D53" i="102" s="1"/>
  <c r="I52" i="102" a="1"/>
  <c r="I52" i="102" s="1"/>
  <c r="H52" i="102" a="1"/>
  <c r="H52" i="102" s="1"/>
  <c r="G52" i="102" a="1"/>
  <c r="G52" i="102" s="1"/>
  <c r="F52" i="102" a="1"/>
  <c r="F52" i="102" s="1"/>
  <c r="E52" i="102" a="1"/>
  <c r="E52" i="102" s="1"/>
  <c r="D52" i="102" a="1"/>
  <c r="D52" i="102" s="1"/>
  <c r="D49" i="102" a="1"/>
  <c r="D49" i="102" s="1"/>
  <c r="D48" i="102" a="1"/>
  <c r="D48" i="102" s="1"/>
  <c r="E45" i="102" a="1"/>
  <c r="E45" i="102" s="1"/>
  <c r="D45" i="102" a="1"/>
  <c r="D45" i="102" s="1"/>
  <c r="E44" i="102" a="1"/>
  <c r="E44" i="102" s="1"/>
  <c r="D44" i="102" a="1"/>
  <c r="D44" i="102" s="1"/>
  <c r="D41" i="102" a="1"/>
  <c r="D41" i="102" s="1"/>
  <c r="D40" i="102" a="1"/>
  <c r="D40" i="102" s="1"/>
  <c r="L37" i="102" a="1"/>
  <c r="L37" i="102" s="1"/>
  <c r="K37" i="102" a="1"/>
  <c r="K37" i="102" s="1"/>
  <c r="J37" i="102" a="1"/>
  <c r="J37" i="102" s="1"/>
  <c r="I37" i="102" a="1"/>
  <c r="I37" i="102" s="1"/>
  <c r="H37" i="102" a="1"/>
  <c r="H37" i="102" s="1"/>
  <c r="G37" i="102" a="1"/>
  <c r="G37" i="102" s="1"/>
  <c r="F37" i="102" a="1"/>
  <c r="F37" i="102" s="1"/>
  <c r="E37" i="102" a="1"/>
  <c r="E37" i="102" s="1"/>
  <c r="D37" i="102" a="1"/>
  <c r="D37" i="102" s="1"/>
  <c r="L36" i="102" a="1"/>
  <c r="L36" i="102" s="1"/>
  <c r="K36" i="102" a="1"/>
  <c r="K36" i="102" s="1"/>
  <c r="J36" i="102" a="1"/>
  <c r="J36" i="102" s="1"/>
  <c r="I36" i="102" a="1"/>
  <c r="I36" i="102" s="1"/>
  <c r="H36" i="102" a="1"/>
  <c r="H36" i="102" s="1"/>
  <c r="G36" i="102" a="1"/>
  <c r="G36" i="102" s="1"/>
  <c r="F36" i="102" a="1"/>
  <c r="F36" i="102" s="1"/>
  <c r="E36" i="102" a="1"/>
  <c r="E36" i="102" s="1"/>
  <c r="D36" i="102" a="1"/>
  <c r="D36" i="102" s="1"/>
  <c r="L35" i="102" a="1"/>
  <c r="L35" i="102" s="1"/>
  <c r="K35" i="102" a="1"/>
  <c r="K35" i="102" s="1"/>
  <c r="J35" i="102" a="1"/>
  <c r="J35" i="102" s="1"/>
  <c r="I35" i="102" a="1"/>
  <c r="I35" i="102" s="1"/>
  <c r="H35" i="102" a="1"/>
  <c r="H35" i="102" s="1"/>
  <c r="G35" i="102" a="1"/>
  <c r="G35" i="102" s="1"/>
  <c r="F35" i="102" a="1"/>
  <c r="F35" i="102" s="1"/>
  <c r="E35" i="102" a="1"/>
  <c r="E35" i="102" s="1"/>
  <c r="D35" i="102" a="1"/>
  <c r="D35" i="102" s="1"/>
  <c r="L34" i="102" a="1"/>
  <c r="L34" i="102" s="1"/>
  <c r="K34" i="102" a="1"/>
  <c r="K34" i="102" s="1"/>
  <c r="J34" i="102" a="1"/>
  <c r="J34" i="102" s="1"/>
  <c r="I34" i="102" a="1"/>
  <c r="I34" i="102" s="1"/>
  <c r="H34" i="102" a="1"/>
  <c r="H34" i="102" s="1"/>
  <c r="G34" i="102" a="1"/>
  <c r="G34" i="102" s="1"/>
  <c r="F34" i="102" a="1"/>
  <c r="F34" i="102" s="1"/>
  <c r="E34" i="102" a="1"/>
  <c r="E34" i="102" s="1"/>
  <c r="D34" i="102" a="1"/>
  <c r="D34" i="102" s="1"/>
  <c r="L33" i="102" a="1"/>
  <c r="L33" i="102" s="1"/>
  <c r="K33" i="102" a="1"/>
  <c r="K33" i="102" s="1"/>
  <c r="J33" i="102" a="1"/>
  <c r="J33" i="102" s="1"/>
  <c r="I33" i="102" a="1"/>
  <c r="I33" i="102" s="1"/>
  <c r="H33" i="102" a="1"/>
  <c r="H33" i="102" s="1"/>
  <c r="G33" i="102" a="1"/>
  <c r="G33" i="102" s="1"/>
  <c r="F33" i="102" a="1"/>
  <c r="F33" i="102" s="1"/>
  <c r="E33" i="102" a="1"/>
  <c r="E33" i="102" s="1"/>
  <c r="D33" i="102" a="1"/>
  <c r="D33" i="102" s="1"/>
  <c r="L32" i="102" a="1"/>
  <c r="L32" i="102" s="1"/>
  <c r="K32" i="102" a="1"/>
  <c r="K32" i="102" s="1"/>
  <c r="J32" i="102" a="1"/>
  <c r="J32" i="102" s="1"/>
  <c r="I32" i="102" a="1"/>
  <c r="I32" i="102" s="1"/>
  <c r="H32" i="102" a="1"/>
  <c r="H32" i="102" s="1"/>
  <c r="G32" i="102" a="1"/>
  <c r="G32" i="102" s="1"/>
  <c r="F32" i="102" a="1"/>
  <c r="F32" i="102" s="1"/>
  <c r="E32" i="102" a="1"/>
  <c r="E32" i="102" s="1"/>
  <c r="D32" i="102" a="1"/>
  <c r="D32" i="102" s="1"/>
  <c r="L31" i="102" a="1"/>
  <c r="L31" i="102" s="1"/>
  <c r="K31" i="102" a="1"/>
  <c r="K31" i="102" s="1"/>
  <c r="J31" i="102" a="1"/>
  <c r="J31" i="102" s="1"/>
  <c r="I31" i="102" a="1"/>
  <c r="I31" i="102" s="1"/>
  <c r="H31" i="102" a="1"/>
  <c r="H31" i="102" s="1"/>
  <c r="G31" i="102" a="1"/>
  <c r="G31" i="102" s="1"/>
  <c r="F31" i="102" a="1"/>
  <c r="F31" i="102" s="1"/>
  <c r="E31" i="102" a="1"/>
  <c r="E31" i="102" s="1"/>
  <c r="D31" i="102" a="1"/>
  <c r="D31" i="102" s="1"/>
  <c r="L30" i="102" a="1"/>
  <c r="L30" i="102" s="1"/>
  <c r="K30" i="102" a="1"/>
  <c r="K30" i="102" s="1"/>
  <c r="J30" i="102" a="1"/>
  <c r="J30" i="102" s="1"/>
  <c r="I30" i="102" a="1"/>
  <c r="I30" i="102" s="1"/>
  <c r="H30" i="102" a="1"/>
  <c r="H30" i="102" s="1"/>
  <c r="G30" i="102" a="1"/>
  <c r="G30" i="102" s="1"/>
  <c r="F30" i="102" a="1"/>
  <c r="F30" i="102" s="1"/>
  <c r="E30" i="102" a="1"/>
  <c r="E30" i="102" s="1"/>
  <c r="D30" i="102" a="1"/>
  <c r="D30" i="102" s="1"/>
  <c r="L29" i="102" a="1"/>
  <c r="L29" i="102" s="1"/>
  <c r="K29" i="102" a="1"/>
  <c r="K29" i="102" s="1"/>
  <c r="J29" i="102" a="1"/>
  <c r="J29" i="102" s="1"/>
  <c r="I29" i="102" a="1"/>
  <c r="I29" i="102" s="1"/>
  <c r="H29" i="102" a="1"/>
  <c r="H29" i="102" s="1"/>
  <c r="G29" i="102" a="1"/>
  <c r="G29" i="102" s="1"/>
  <c r="F29" i="102" a="1"/>
  <c r="F29" i="102" s="1"/>
  <c r="E29" i="102" a="1"/>
  <c r="E29" i="102" s="1"/>
  <c r="D29" i="102" a="1"/>
  <c r="D29" i="102" s="1"/>
  <c r="L28" i="102" a="1"/>
  <c r="L28" i="102" s="1"/>
  <c r="K28" i="102" a="1"/>
  <c r="K28" i="102" s="1"/>
  <c r="J28" i="102" a="1"/>
  <c r="J28" i="102" s="1"/>
  <c r="I28" i="102" a="1"/>
  <c r="I28" i="102" s="1"/>
  <c r="H28" i="102" a="1"/>
  <c r="H28" i="102" s="1"/>
  <c r="G28" i="102" a="1"/>
  <c r="G28" i="102" s="1"/>
  <c r="F28" i="102" a="1"/>
  <c r="F28" i="102" s="1"/>
  <c r="E28" i="102" a="1"/>
  <c r="E28" i="102" s="1"/>
  <c r="D28" i="102" a="1"/>
  <c r="D28" i="102" s="1"/>
  <c r="L27" i="102" a="1"/>
  <c r="L27" i="102" s="1"/>
  <c r="K27" i="102" a="1"/>
  <c r="K27" i="102" s="1"/>
  <c r="J27" i="102" a="1"/>
  <c r="J27" i="102" s="1"/>
  <c r="I27" i="102" a="1"/>
  <c r="I27" i="102" s="1"/>
  <c r="H27" i="102" a="1"/>
  <c r="H27" i="102" s="1"/>
  <c r="G27" i="102" a="1"/>
  <c r="G27" i="102" s="1"/>
  <c r="F27" i="102" a="1"/>
  <c r="F27" i="102" s="1"/>
  <c r="E27" i="102" a="1"/>
  <c r="E27" i="102" s="1"/>
  <c r="D27" i="102" a="1"/>
  <c r="D27" i="102" s="1"/>
  <c r="L26" i="102" a="1"/>
  <c r="L26" i="102" s="1"/>
  <c r="K26" i="102" a="1"/>
  <c r="K26" i="102" s="1"/>
  <c r="J26" i="102" a="1"/>
  <c r="J26" i="102" s="1"/>
  <c r="I26" i="102" a="1"/>
  <c r="I26" i="102" s="1"/>
  <c r="H26" i="102" a="1"/>
  <c r="H26" i="102" s="1"/>
  <c r="G26" i="102" a="1"/>
  <c r="G26" i="102" s="1"/>
  <c r="F26" i="102" a="1"/>
  <c r="F26" i="102" s="1"/>
  <c r="E26" i="102" a="1"/>
  <c r="E26" i="102" s="1"/>
  <c r="D26" i="102" a="1"/>
  <c r="D26" i="102" s="1"/>
  <c r="L25" i="102" a="1"/>
  <c r="L25" i="102" s="1"/>
  <c r="K25" i="102" a="1"/>
  <c r="K25" i="102" s="1"/>
  <c r="J25" i="102" a="1"/>
  <c r="J25" i="102" s="1"/>
  <c r="I25" i="102" a="1"/>
  <c r="I25" i="102" s="1"/>
  <c r="H25" i="102" a="1"/>
  <c r="H25" i="102" s="1"/>
  <c r="G25" i="102" a="1"/>
  <c r="G25" i="102" s="1"/>
  <c r="F25" i="102" a="1"/>
  <c r="F25" i="102" s="1"/>
  <c r="E25" i="102" a="1"/>
  <c r="E25" i="102" s="1"/>
  <c r="D25" i="102" a="1"/>
  <c r="D25" i="102" s="1"/>
  <c r="L24" i="102" a="1"/>
  <c r="L24" i="102" s="1"/>
  <c r="K24" i="102" a="1"/>
  <c r="K24" i="102" s="1"/>
  <c r="J24" i="102" a="1"/>
  <c r="J24" i="102" s="1"/>
  <c r="I24" i="102" a="1"/>
  <c r="I24" i="102" s="1"/>
  <c r="H24" i="102" a="1"/>
  <c r="H24" i="102" s="1"/>
  <c r="G24" i="102" a="1"/>
  <c r="G24" i="102" s="1"/>
  <c r="F24" i="102" a="1"/>
  <c r="F24" i="102" s="1"/>
  <c r="E24" i="102" a="1"/>
  <c r="E24" i="102" s="1"/>
  <c r="D24" i="102" a="1"/>
  <c r="D24" i="102" s="1"/>
  <c r="L23" i="102" a="1"/>
  <c r="L23" i="102" s="1"/>
  <c r="K23" i="102" a="1"/>
  <c r="K23" i="102" s="1"/>
  <c r="J23" i="102" a="1"/>
  <c r="J23" i="102" s="1"/>
  <c r="I23" i="102" a="1"/>
  <c r="I23" i="102" s="1"/>
  <c r="H23" i="102" a="1"/>
  <c r="H23" i="102" s="1"/>
  <c r="G23" i="102" a="1"/>
  <c r="G23" i="102" s="1"/>
  <c r="F23" i="102" a="1"/>
  <c r="F23" i="102" s="1"/>
  <c r="E23" i="102" a="1"/>
  <c r="E23" i="102" s="1"/>
  <c r="D23" i="102" a="1"/>
  <c r="D23" i="102" s="1"/>
  <c r="L22" i="102" a="1"/>
  <c r="L22" i="102" s="1"/>
  <c r="K22" i="102" a="1"/>
  <c r="K22" i="102" s="1"/>
  <c r="J22" i="102" a="1"/>
  <c r="J22" i="102" s="1"/>
  <c r="I22" i="102" a="1"/>
  <c r="I22" i="102" s="1"/>
  <c r="H22" i="102" a="1"/>
  <c r="H22" i="102" s="1"/>
  <c r="G22" i="102" a="1"/>
  <c r="G22" i="102" s="1"/>
  <c r="F22" i="102" a="1"/>
  <c r="F22" i="102" s="1"/>
  <c r="E22" i="102" a="1"/>
  <c r="E22" i="102" s="1"/>
  <c r="D22" i="102" a="1"/>
  <c r="D22" i="102" s="1"/>
  <c r="L21" i="102" a="1"/>
  <c r="L21" i="102" s="1"/>
  <c r="K21" i="102" a="1"/>
  <c r="K21" i="102" s="1"/>
  <c r="J21" i="102" a="1"/>
  <c r="J21" i="102" s="1"/>
  <c r="I21" i="102" a="1"/>
  <c r="I21" i="102" s="1"/>
  <c r="H21" i="102" a="1"/>
  <c r="H21" i="102" s="1"/>
  <c r="G21" i="102" a="1"/>
  <c r="G21" i="102" s="1"/>
  <c r="F21" i="102" a="1"/>
  <c r="F21" i="102" s="1"/>
  <c r="E21" i="102" a="1"/>
  <c r="E21" i="102" s="1"/>
  <c r="D21" i="102" a="1"/>
  <c r="D21" i="102" s="1"/>
  <c r="L20" i="102" a="1"/>
  <c r="L20" i="102" s="1"/>
  <c r="K20" i="102" a="1"/>
  <c r="K20" i="102" s="1"/>
  <c r="J20" i="102" a="1"/>
  <c r="J20" i="102" s="1"/>
  <c r="I20" i="102" a="1"/>
  <c r="I20" i="102" s="1"/>
  <c r="H20" i="102" a="1"/>
  <c r="H20" i="102" s="1"/>
  <c r="G20" i="102" a="1"/>
  <c r="G20" i="102" s="1"/>
  <c r="F20" i="102" a="1"/>
  <c r="F20" i="102" s="1"/>
  <c r="E20" i="102" a="1"/>
  <c r="E20" i="102" s="1"/>
  <c r="D20" i="102" a="1"/>
  <c r="D20" i="102" s="1"/>
  <c r="D17" i="102" a="1"/>
  <c r="D17" i="102" s="1"/>
  <c r="D16" i="102" a="1"/>
  <c r="D16" i="102" s="1"/>
  <c r="D15" i="102" a="1"/>
  <c r="D15" i="102" s="1"/>
  <c r="K10" i="102" a="1"/>
  <c r="K10" i="102" s="1"/>
  <c r="J10" i="102" a="1"/>
  <c r="J10" i="102" s="1"/>
  <c r="I10" i="102" a="1"/>
  <c r="I10" i="102" s="1"/>
  <c r="H10" i="102" a="1"/>
  <c r="H10" i="102" s="1"/>
  <c r="G10" i="102" a="1"/>
  <c r="G10" i="102" s="1"/>
  <c r="F10" i="102" a="1"/>
  <c r="F10" i="102" s="1"/>
  <c r="E10" i="102" a="1"/>
  <c r="E10" i="102" s="1"/>
  <c r="D10" i="102" a="1"/>
  <c r="D10" i="102" s="1"/>
  <c r="K9" i="102" a="1"/>
  <c r="K9" i="102" s="1"/>
  <c r="J9" i="102" a="1"/>
  <c r="J9" i="102" s="1"/>
  <c r="I9" i="102" a="1"/>
  <c r="I9" i="102" s="1"/>
  <c r="H9" i="102" a="1"/>
  <c r="H9" i="102" s="1"/>
  <c r="G9" i="102" a="1"/>
  <c r="G9" i="102" s="1"/>
  <c r="F9" i="102" a="1"/>
  <c r="F9" i="102" s="1"/>
  <c r="E9" i="102" a="1"/>
  <c r="E9" i="102" s="1"/>
  <c r="D9" i="102" a="1"/>
  <c r="D9" i="102" s="1"/>
  <c r="K8" i="102" a="1"/>
  <c r="K8" i="102" s="1"/>
  <c r="J8" i="102" a="1"/>
  <c r="J8" i="102" s="1"/>
  <c r="I8" i="102" a="1"/>
  <c r="I8" i="102" s="1"/>
  <c r="H8" i="102" a="1"/>
  <c r="H8" i="102" s="1"/>
  <c r="G8" i="102" a="1"/>
  <c r="G8" i="102" s="1"/>
  <c r="F8" i="102" a="1"/>
  <c r="F8" i="102" s="1"/>
  <c r="E8" i="102" a="1"/>
  <c r="E8" i="102" s="1"/>
  <c r="D8" i="102" a="1"/>
  <c r="D8" i="102" s="1"/>
  <c r="D5" i="102" a="1"/>
  <c r="D5" i="102" s="1"/>
  <c r="P53" i="101" a="1"/>
  <c r="P53" i="101" s="1"/>
  <c r="F53" i="101" a="1"/>
  <c r="F53" i="101" s="1"/>
  <c r="N50" i="101" a="1"/>
  <c r="N50" i="101" s="1"/>
  <c r="D50" i="101" a="1"/>
  <c r="D50" i="101" s="1"/>
  <c r="N45" i="101"/>
  <c r="D45" i="101"/>
  <c r="J40" i="101"/>
  <c r="J36" i="101" a="1"/>
  <c r="J36" i="101" s="1"/>
  <c r="H36" i="101" a="1"/>
  <c r="H36" i="101" s="1"/>
  <c r="D36" i="101" a="1"/>
  <c r="D36" i="101" s="1"/>
  <c r="E34" i="101" a="1"/>
  <c r="E34" i="101" s="1"/>
  <c r="E33" i="101" a="1"/>
  <c r="E33" i="101" s="1"/>
  <c r="D29" i="101" a="1"/>
  <c r="D29" i="101" s="1"/>
  <c r="D28" i="101" a="1"/>
  <c r="D28" i="101" s="1"/>
  <c r="G25" i="101"/>
  <c r="F25" i="101"/>
  <c r="J19" i="101" a="1"/>
  <c r="J19" i="101" s="1"/>
  <c r="J18" i="101"/>
  <c r="J16" i="101" a="1"/>
  <c r="J16" i="101" s="1"/>
  <c r="J14" i="101" a="1"/>
  <c r="J14" i="101" s="1"/>
  <c r="J13" i="101" a="1"/>
  <c r="J13" i="101" s="1"/>
  <c r="H13" i="101" a="1"/>
  <c r="H13" i="101" s="1"/>
  <c r="D13" i="101" a="1"/>
  <c r="D13" i="101" s="1"/>
  <c r="E11" i="101" a="1"/>
  <c r="E11" i="101" s="1"/>
  <c r="E10" i="101" a="1"/>
  <c r="E10" i="101" s="1"/>
  <c r="D6" i="101" a="1"/>
  <c r="D6" i="101" s="1"/>
  <c r="D5" i="101" a="1"/>
  <c r="D5" i="101" s="1"/>
  <c r="P45" i="100" a="1"/>
  <c r="P45" i="100" s="1"/>
  <c r="F45" i="100" a="1"/>
  <c r="F45" i="100" s="1"/>
  <c r="N42" i="100" a="1"/>
  <c r="N42" i="100" s="1"/>
  <c r="D42" i="100" a="1"/>
  <c r="D42" i="100" s="1"/>
  <c r="P40" i="100" a="1"/>
  <c r="P40" i="100" s="1"/>
  <c r="F40" i="100" a="1"/>
  <c r="F40" i="100" s="1"/>
  <c r="J36" i="100"/>
  <c r="R33" i="100" a="1"/>
  <c r="R33" i="100" s="1"/>
  <c r="N33" i="100" a="1"/>
  <c r="N33" i="100" s="1"/>
  <c r="H33" i="100" a="1"/>
  <c r="H33" i="100" s="1"/>
  <c r="D33" i="100" a="1"/>
  <c r="D33" i="100" s="1"/>
  <c r="O31" i="100" a="1"/>
  <c r="O31" i="100" s="1"/>
  <c r="E31" i="100" a="1"/>
  <c r="E31" i="100" s="1"/>
  <c r="O30" i="100" a="1"/>
  <c r="O30" i="100" s="1"/>
  <c r="E30" i="100" a="1"/>
  <c r="E30" i="100" s="1"/>
  <c r="N26" i="100" a="1"/>
  <c r="N26" i="100" s="1"/>
  <c r="D26" i="100" a="1"/>
  <c r="D26" i="100" s="1"/>
  <c r="N25" i="100" a="1"/>
  <c r="N25" i="100" s="1"/>
  <c r="D25" i="100" a="1"/>
  <c r="D25" i="100" s="1"/>
  <c r="P21" i="100" a="1"/>
  <c r="P21" i="100" s="1"/>
  <c r="F21" i="100" a="1"/>
  <c r="F21" i="100" s="1"/>
  <c r="J19" i="100"/>
  <c r="J18" i="100" s="1" a="1"/>
  <c r="J18" i="100" s="1"/>
  <c r="R13" i="100" a="1"/>
  <c r="R13" i="100" s="1"/>
  <c r="N13" i="100" a="1"/>
  <c r="N13" i="100" s="1"/>
  <c r="J13" i="100"/>
  <c r="H13" i="100" a="1"/>
  <c r="H13" i="100" s="1"/>
  <c r="D13" i="100" a="1"/>
  <c r="D13" i="100" s="1"/>
  <c r="E11" i="100" a="1"/>
  <c r="E11" i="100" s="1"/>
  <c r="E10" i="100" a="1"/>
  <c r="E10" i="100" s="1"/>
  <c r="D6" i="100" a="1"/>
  <c r="D6" i="100" s="1"/>
  <c r="D5" i="100" a="1"/>
  <c r="D5" i="100" s="1"/>
  <c r="E139" i="98"/>
  <c r="F40" i="97" s="1"/>
  <c r="G138" i="98"/>
  <c r="F32" i="96" s="1"/>
  <c r="E138" i="98"/>
  <c r="F39" i="97" s="1"/>
  <c r="G137" i="98"/>
  <c r="F31" i="96" s="1"/>
  <c r="E137" i="98"/>
  <c r="F38" i="97" s="1"/>
  <c r="D137" i="98"/>
  <c r="F31" i="97" s="1"/>
  <c r="G136" i="98"/>
  <c r="F30" i="96" s="1"/>
  <c r="E136" i="98"/>
  <c r="F37" i="97" s="1"/>
  <c r="D136" i="98"/>
  <c r="F30" i="97" s="1"/>
  <c r="G135" i="98"/>
  <c r="F29" i="96" s="1"/>
  <c r="E135" i="98"/>
  <c r="F36" i="97" s="1"/>
  <c r="D135" i="98"/>
  <c r="F29" i="97" s="1"/>
  <c r="G134" i="98"/>
  <c r="F28" i="96" s="1"/>
  <c r="E134" i="98"/>
  <c r="F35" i="97" s="1"/>
  <c r="D134" i="98"/>
  <c r="F28" i="97" s="1"/>
  <c r="G133" i="98"/>
  <c r="F27" i="96" s="1"/>
  <c r="F133" i="98"/>
  <c r="F36" i="96" s="1"/>
  <c r="E133" i="98"/>
  <c r="F34" i="97" s="1"/>
  <c r="D133" i="98"/>
  <c r="F27" i="97" s="1"/>
  <c r="I132" i="98"/>
  <c r="F38" i="96" s="1"/>
  <c r="G132" i="98"/>
  <c r="F26" i="96" s="1"/>
  <c r="F132" i="98"/>
  <c r="F35" i="96" s="1"/>
  <c r="E132" i="98"/>
  <c r="F33" i="97" s="1"/>
  <c r="D132" i="98"/>
  <c r="F26" i="97" s="1"/>
  <c r="I131" i="98"/>
  <c r="F37" i="96" s="1"/>
  <c r="H131" i="98"/>
  <c r="F33" i="96" s="1"/>
  <c r="G131" i="98"/>
  <c r="F25" i="96" s="1"/>
  <c r="F131" i="98"/>
  <c r="F34" i="96" s="1"/>
  <c r="E131" i="98"/>
  <c r="F32" i="97" s="1"/>
  <c r="D131" i="98"/>
  <c r="F25" i="97" s="1"/>
  <c r="F120" i="98" a="1"/>
  <c r="F120" i="98" s="1"/>
  <c r="E120" i="98" a="1"/>
  <c r="E120" i="98" s="1"/>
  <c r="D120" i="98" a="1"/>
  <c r="D120" i="98" s="1"/>
  <c r="F119" i="98" a="1"/>
  <c r="F119" i="98" s="1"/>
  <c r="E119" i="98" a="1"/>
  <c r="E119" i="98" s="1"/>
  <c r="D119" i="98" a="1"/>
  <c r="D119" i="98" s="1"/>
  <c r="F118" i="98" a="1"/>
  <c r="F118" i="98" s="1"/>
  <c r="E118" i="98" a="1"/>
  <c r="E118" i="98" s="1"/>
  <c r="D118" i="98" a="1"/>
  <c r="D118" i="98" s="1"/>
  <c r="F117" i="98" a="1"/>
  <c r="F117" i="98" s="1"/>
  <c r="E117" i="98" a="1"/>
  <c r="E117" i="98" s="1"/>
  <c r="D117" i="98" a="1"/>
  <c r="D117" i="98" s="1"/>
  <c r="F116" i="98" a="1"/>
  <c r="F116" i="98" s="1"/>
  <c r="E116" i="98" a="1"/>
  <c r="E116" i="98" s="1"/>
  <c r="D116" i="98" a="1"/>
  <c r="D116" i="98" s="1"/>
  <c r="F115" i="98" a="1"/>
  <c r="F115" i="98" s="1"/>
  <c r="E115" i="98" a="1"/>
  <c r="E115" i="98" s="1"/>
  <c r="D115" i="98" a="1"/>
  <c r="D115" i="98" s="1"/>
  <c r="F114" i="98" a="1"/>
  <c r="F114" i="98" s="1"/>
  <c r="E114" i="98" a="1"/>
  <c r="E114" i="98" s="1"/>
  <c r="D114" i="98" a="1"/>
  <c r="D114" i="98" s="1"/>
  <c r="G113" i="98" a="1"/>
  <c r="G113" i="98" s="1"/>
  <c r="F113" i="98" a="1"/>
  <c r="F113" i="98" s="1"/>
  <c r="E113" i="98" a="1"/>
  <c r="E113" i="98" s="1"/>
  <c r="D113" i="98" a="1"/>
  <c r="D113" i="98" s="1"/>
  <c r="D110" i="98" a="1"/>
  <c r="D110" i="98" s="1"/>
  <c r="D109" i="98" a="1"/>
  <c r="D109" i="98" s="1"/>
  <c r="D108" i="98" a="1"/>
  <c r="D108" i="98" s="1"/>
  <c r="D107" i="98" a="1"/>
  <c r="D107" i="98" s="1"/>
  <c r="J104" i="98" a="1"/>
  <c r="J104" i="98" s="1"/>
  <c r="I104" i="98" a="1"/>
  <c r="I104" i="98" s="1"/>
  <c r="H104" i="98" a="1"/>
  <c r="H104" i="98" s="1"/>
  <c r="G104" i="98" a="1"/>
  <c r="G104" i="98" s="1"/>
  <c r="F104" i="98" a="1"/>
  <c r="F104" i="98" s="1"/>
  <c r="E104" i="98" a="1"/>
  <c r="E104" i="98" s="1"/>
  <c r="D104" i="98" a="1"/>
  <c r="D104" i="98" s="1"/>
  <c r="E40" i="97" s="1"/>
  <c r="J103" i="98" a="1"/>
  <c r="J103" i="98" s="1"/>
  <c r="I103" i="98" a="1"/>
  <c r="I103" i="98" s="1"/>
  <c r="H103" i="98" a="1"/>
  <c r="H103" i="98" s="1"/>
  <c r="G103" i="98" a="1"/>
  <c r="G103" i="98" s="1"/>
  <c r="F103" i="98" a="1"/>
  <c r="F103" i="98" s="1"/>
  <c r="E103" i="98" a="1"/>
  <c r="E103" i="98" s="1"/>
  <c r="D103" i="98" a="1"/>
  <c r="D103" i="98" s="1"/>
  <c r="E39" i="97" s="1"/>
  <c r="J102" i="98" a="1"/>
  <c r="J102" i="98" s="1"/>
  <c r="I102" i="98" a="1"/>
  <c r="I102" i="98" s="1"/>
  <c r="H102" i="98" a="1"/>
  <c r="H102" i="98" s="1"/>
  <c r="G102" i="98" a="1"/>
  <c r="G102" i="98" s="1"/>
  <c r="F102" i="98" a="1"/>
  <c r="F102" i="98" s="1"/>
  <c r="E102" i="98" a="1"/>
  <c r="E102" i="98" s="1"/>
  <c r="D102" i="98" a="1"/>
  <c r="D102" i="98" s="1"/>
  <c r="J101" i="98" a="1"/>
  <c r="J101" i="98" s="1"/>
  <c r="I101" i="98" a="1"/>
  <c r="I101" i="98" s="1"/>
  <c r="H101" i="98" a="1"/>
  <c r="H101" i="98" s="1"/>
  <c r="G101" i="98" a="1"/>
  <c r="G101" i="98" s="1"/>
  <c r="F101" i="98" a="1"/>
  <c r="F101" i="98" s="1"/>
  <c r="E101" i="98" a="1"/>
  <c r="E101" i="98" s="1"/>
  <c r="D101" i="98" a="1"/>
  <c r="D101" i="98" s="1"/>
  <c r="J100" i="98" a="1"/>
  <c r="J100" i="98" s="1"/>
  <c r="I100" i="98" a="1"/>
  <c r="I100" i="98" s="1"/>
  <c r="H100" i="98" a="1"/>
  <c r="H100" i="98" s="1"/>
  <c r="G100" i="98" a="1"/>
  <c r="G100" i="98" s="1"/>
  <c r="F100" i="98" a="1"/>
  <c r="F100" i="98" s="1"/>
  <c r="E100" i="98" a="1"/>
  <c r="E100" i="98" s="1"/>
  <c r="D100" i="98" a="1"/>
  <c r="D100" i="98" s="1"/>
  <c r="J99" i="98" a="1"/>
  <c r="J99" i="98" s="1"/>
  <c r="I99" i="98" a="1"/>
  <c r="I99" i="98" s="1"/>
  <c r="H99" i="98" a="1"/>
  <c r="H99" i="98" s="1"/>
  <c r="G99" i="98" a="1"/>
  <c r="G99" i="98" s="1"/>
  <c r="F99" i="98" a="1"/>
  <c r="F99" i="98" s="1"/>
  <c r="E99" i="98" a="1"/>
  <c r="E99" i="98" s="1"/>
  <c r="D99" i="98" a="1"/>
  <c r="D99" i="98" s="1"/>
  <c r="J98" i="98" a="1"/>
  <c r="J98" i="98" s="1"/>
  <c r="I98" i="98" a="1"/>
  <c r="I98" i="98" s="1"/>
  <c r="H98" i="98" a="1"/>
  <c r="H98" i="98" s="1"/>
  <c r="G98" i="98" a="1"/>
  <c r="G98" i="98" s="1"/>
  <c r="F98" i="98" a="1"/>
  <c r="F98" i="98" s="1"/>
  <c r="E98" i="98" a="1"/>
  <c r="E98" i="98" s="1"/>
  <c r="D98" i="98" a="1"/>
  <c r="D98" i="98" s="1"/>
  <c r="J97" i="98" a="1"/>
  <c r="J97" i="98" s="1"/>
  <c r="I97" i="98" a="1"/>
  <c r="I97" i="98" s="1"/>
  <c r="H97" i="98" a="1"/>
  <c r="H97" i="98" s="1"/>
  <c r="G97" i="98" a="1"/>
  <c r="G97" i="98" s="1"/>
  <c r="F97" i="98" a="1"/>
  <c r="F97" i="98" s="1"/>
  <c r="E97" i="98" a="1"/>
  <c r="E97" i="98" s="1"/>
  <c r="D97" i="98" a="1"/>
  <c r="D97" i="98" s="1"/>
  <c r="J96" i="98" a="1"/>
  <c r="J96" i="98" s="1"/>
  <c r="I96" i="98" a="1"/>
  <c r="I96" i="98" s="1"/>
  <c r="H96" i="98" a="1"/>
  <c r="H96" i="98" s="1"/>
  <c r="G96" i="98" a="1"/>
  <c r="G96" i="98" s="1"/>
  <c r="F96" i="98" a="1"/>
  <c r="F96" i="98" s="1"/>
  <c r="E96" i="98" a="1"/>
  <c r="E96" i="98" s="1"/>
  <c r="D96" i="98" a="1"/>
  <c r="D96" i="98" s="1"/>
  <c r="J95" i="98" a="1"/>
  <c r="J95" i="98" s="1"/>
  <c r="I95" i="98" a="1"/>
  <c r="I95" i="98" s="1"/>
  <c r="H95" i="98" a="1"/>
  <c r="H95" i="98" s="1"/>
  <c r="G95" i="98" a="1"/>
  <c r="G95" i="98" s="1"/>
  <c r="F95" i="98" a="1"/>
  <c r="F95" i="98" s="1"/>
  <c r="E95" i="98" a="1"/>
  <c r="E95" i="98" s="1"/>
  <c r="D95" i="98" a="1"/>
  <c r="D95" i="98" s="1"/>
  <c r="J94" i="98" a="1"/>
  <c r="J94" i="98" s="1"/>
  <c r="I94" i="98" a="1"/>
  <c r="I94" i="98" s="1"/>
  <c r="H94" i="98" a="1"/>
  <c r="H94" i="98" s="1"/>
  <c r="G94" i="98" a="1"/>
  <c r="G94" i="98" s="1"/>
  <c r="F94" i="98" a="1"/>
  <c r="F94" i="98" s="1"/>
  <c r="E94" i="98" a="1"/>
  <c r="E94" i="98" s="1"/>
  <c r="D94" i="98" a="1"/>
  <c r="D94" i="98" s="1"/>
  <c r="J93" i="98" a="1"/>
  <c r="J93" i="98" s="1"/>
  <c r="I93" i="98" a="1"/>
  <c r="I93" i="98" s="1"/>
  <c r="H93" i="98" a="1"/>
  <c r="H93" i="98" s="1"/>
  <c r="G93" i="98" a="1"/>
  <c r="G93" i="98" s="1"/>
  <c r="F93" i="98" a="1"/>
  <c r="F93" i="98" s="1"/>
  <c r="E93" i="98" a="1"/>
  <c r="E93" i="98" s="1"/>
  <c r="D93" i="98" a="1"/>
  <c r="D93" i="98" s="1"/>
  <c r="J92" i="98" a="1"/>
  <c r="J92" i="98" s="1"/>
  <c r="I92" i="98" a="1"/>
  <c r="I92" i="98" s="1"/>
  <c r="H92" i="98" a="1"/>
  <c r="H92" i="98" s="1"/>
  <c r="G92" i="98" a="1"/>
  <c r="G92" i="98" s="1"/>
  <c r="F92" i="98" a="1"/>
  <c r="F92" i="98" s="1"/>
  <c r="E92" i="98" a="1"/>
  <c r="E92" i="98" s="1"/>
  <c r="D92" i="98" a="1"/>
  <c r="D92" i="98" s="1"/>
  <c r="J91" i="98" a="1"/>
  <c r="J91" i="98" s="1"/>
  <c r="I91" i="98" a="1"/>
  <c r="I91" i="98" s="1"/>
  <c r="H91" i="98" a="1"/>
  <c r="H91" i="98" s="1"/>
  <c r="G91" i="98" a="1"/>
  <c r="G91" i="98" s="1"/>
  <c r="F91" i="98" a="1"/>
  <c r="F91" i="98" s="1"/>
  <c r="E91" i="98" a="1"/>
  <c r="E91" i="98" s="1"/>
  <c r="D91" i="98" a="1"/>
  <c r="D91" i="98" s="1"/>
  <c r="J90" i="98" a="1"/>
  <c r="J90" i="98" s="1"/>
  <c r="I90" i="98" a="1"/>
  <c r="I90" i="98" s="1"/>
  <c r="H90" i="98" a="1"/>
  <c r="H90" i="98" s="1"/>
  <c r="G90" i="98" a="1"/>
  <c r="G90" i="98" s="1"/>
  <c r="F90" i="98" a="1"/>
  <c r="F90" i="98" s="1"/>
  <c r="E90" i="98" a="1"/>
  <c r="E90" i="98" s="1"/>
  <c r="D90" i="98" a="1"/>
  <c r="D90" i="98" s="1"/>
  <c r="J89" i="98" a="1"/>
  <c r="J89" i="98" s="1"/>
  <c r="I89" i="98" a="1"/>
  <c r="I89" i="98" s="1"/>
  <c r="H89" i="98" a="1"/>
  <c r="H89" i="98" s="1"/>
  <c r="G89" i="98" a="1"/>
  <c r="G89" i="98" s="1"/>
  <c r="F89" i="98" a="1"/>
  <c r="F89" i="98" s="1"/>
  <c r="E89" i="98" a="1"/>
  <c r="E89" i="98" s="1"/>
  <c r="D89" i="98" a="1"/>
  <c r="D89" i="98" s="1"/>
  <c r="J88" i="98" a="1"/>
  <c r="J88" i="98" s="1"/>
  <c r="I88" i="98" a="1"/>
  <c r="I88" i="98" s="1"/>
  <c r="H88" i="98" a="1"/>
  <c r="H88" i="98" s="1"/>
  <c r="G88" i="98" a="1"/>
  <c r="G88" i="98" s="1"/>
  <c r="F88" i="98" a="1"/>
  <c r="F88" i="98" s="1"/>
  <c r="E88" i="98" a="1"/>
  <c r="E88" i="98" s="1"/>
  <c r="D88" i="98" a="1"/>
  <c r="D88" i="98" s="1"/>
  <c r="J87" i="98" a="1"/>
  <c r="J87" i="98" s="1"/>
  <c r="I87" i="98" a="1"/>
  <c r="I87" i="98" s="1"/>
  <c r="H87" i="98" a="1"/>
  <c r="H87" i="98" s="1"/>
  <c r="G87" i="98" a="1"/>
  <c r="G87" i="98" s="1"/>
  <c r="F87" i="98" a="1"/>
  <c r="F87" i="98" s="1"/>
  <c r="E87" i="98" a="1"/>
  <c r="E87" i="98" s="1"/>
  <c r="D87" i="98" a="1"/>
  <c r="D87" i="98" s="1"/>
  <c r="D84" i="98" a="1"/>
  <c r="D84" i="98" s="1"/>
  <c r="D83" i="98" a="1"/>
  <c r="D83" i="98" s="1"/>
  <c r="D82" i="98" a="1"/>
  <c r="D82" i="98" s="1"/>
  <c r="D81" i="98" a="1"/>
  <c r="D81" i="98" s="1"/>
  <c r="K77" i="98" a="1"/>
  <c r="K77" i="98" s="1"/>
  <c r="J77" i="98" a="1"/>
  <c r="J77" i="98" s="1"/>
  <c r="I77" i="98" a="1"/>
  <c r="I77" i="98" s="1"/>
  <c r="H77" i="98" a="1"/>
  <c r="H77" i="98" s="1"/>
  <c r="G77" i="98" a="1"/>
  <c r="G77" i="98" s="1"/>
  <c r="F77" i="98" a="1"/>
  <c r="F77" i="98" s="1"/>
  <c r="E77" i="98" a="1"/>
  <c r="E77" i="98" s="1"/>
  <c r="D77" i="98" a="1"/>
  <c r="D77" i="98" s="1"/>
  <c r="E38" i="97" s="1"/>
  <c r="K76" i="98" a="1"/>
  <c r="K76" i="98" s="1"/>
  <c r="J76" i="98" a="1"/>
  <c r="J76" i="98" s="1"/>
  <c r="I76" i="98" a="1"/>
  <c r="I76" i="98" s="1"/>
  <c r="H76" i="98" a="1"/>
  <c r="H76" i="98" s="1"/>
  <c r="G76" i="98" a="1"/>
  <c r="G76" i="98" s="1"/>
  <c r="F76" i="98" a="1"/>
  <c r="F76" i="98" s="1"/>
  <c r="E76" i="98" a="1"/>
  <c r="E76" i="98" s="1"/>
  <c r="D76" i="98" a="1"/>
  <c r="D76" i="98" s="1"/>
  <c r="K75" i="98" a="1"/>
  <c r="K75" i="98" s="1"/>
  <c r="J75" i="98" a="1"/>
  <c r="J75" i="98" s="1"/>
  <c r="I75" i="98" a="1"/>
  <c r="I75" i="98" s="1"/>
  <c r="H75" i="98" a="1"/>
  <c r="H75" i="98" s="1"/>
  <c r="G75" i="98" a="1"/>
  <c r="G75" i="98" s="1"/>
  <c r="F75" i="98" a="1"/>
  <c r="F75" i="98" s="1"/>
  <c r="E75" i="98" a="1"/>
  <c r="E75" i="98" s="1"/>
  <c r="D75" i="98" a="1"/>
  <c r="D75" i="98" s="1"/>
  <c r="E30" i="97" s="1"/>
  <c r="K74" i="98" a="1"/>
  <c r="K74" i="98" s="1"/>
  <c r="J74" i="98" a="1"/>
  <c r="J74" i="98" s="1"/>
  <c r="I74" i="98" a="1"/>
  <c r="I74" i="98" s="1"/>
  <c r="H74" i="98" a="1"/>
  <c r="H74" i="98" s="1"/>
  <c r="G74" i="98" a="1"/>
  <c r="G74" i="98" s="1"/>
  <c r="F74" i="98" a="1"/>
  <c r="F74" i="98" s="1"/>
  <c r="E74" i="98" a="1"/>
  <c r="E74" i="98" s="1"/>
  <c r="D74" i="98" a="1"/>
  <c r="D74" i="98" s="1"/>
  <c r="E36" i="97" s="1"/>
  <c r="K73" i="98" a="1"/>
  <c r="K73" i="98" s="1"/>
  <c r="J73" i="98" a="1"/>
  <c r="J73" i="98" s="1"/>
  <c r="I73" i="98" a="1"/>
  <c r="I73" i="98" s="1"/>
  <c r="H73" i="98" a="1"/>
  <c r="H73" i="98" s="1"/>
  <c r="G73" i="98" a="1"/>
  <c r="G73" i="98" s="1"/>
  <c r="F73" i="98" a="1"/>
  <c r="F73" i="98" s="1"/>
  <c r="E73" i="98" a="1"/>
  <c r="E73" i="98" s="1"/>
  <c r="D73" i="98" a="1"/>
  <c r="D73" i="98" s="1"/>
  <c r="E35" i="97" s="1"/>
  <c r="K72" i="98" a="1"/>
  <c r="K72" i="98" s="1"/>
  <c r="J72" i="98" a="1"/>
  <c r="J72" i="98" s="1"/>
  <c r="I72" i="98" a="1"/>
  <c r="I72" i="98" s="1"/>
  <c r="H72" i="98" a="1"/>
  <c r="H72" i="98" s="1"/>
  <c r="G72" i="98" a="1"/>
  <c r="G72" i="98" s="1"/>
  <c r="F72" i="98" a="1"/>
  <c r="F72" i="98" s="1"/>
  <c r="E72" i="98" a="1"/>
  <c r="E72" i="98" s="1"/>
  <c r="D72" i="98" a="1"/>
  <c r="D72" i="98" s="1"/>
  <c r="K71" i="98" a="1"/>
  <c r="K71" i="98" s="1"/>
  <c r="J71" i="98" a="1"/>
  <c r="J71" i="98" s="1"/>
  <c r="I71" i="98" a="1"/>
  <c r="I71" i="98" s="1"/>
  <c r="H71" i="98" a="1"/>
  <c r="H71" i="98" s="1"/>
  <c r="G71" i="98" a="1"/>
  <c r="G71" i="98" s="1"/>
  <c r="F71" i="98" a="1"/>
  <c r="F71" i="98" s="1"/>
  <c r="E71" i="98" a="1"/>
  <c r="E71" i="98" s="1"/>
  <c r="D71" i="98" a="1"/>
  <c r="D71" i="98" s="1"/>
  <c r="K70" i="98" a="1"/>
  <c r="K70" i="98" s="1"/>
  <c r="J70" i="98" a="1"/>
  <c r="J70" i="98" s="1"/>
  <c r="I70" i="98" a="1"/>
  <c r="I70" i="98" s="1"/>
  <c r="H70" i="98" a="1"/>
  <c r="H70" i="98" s="1"/>
  <c r="G70" i="98" a="1"/>
  <c r="G70" i="98" s="1"/>
  <c r="F70" i="98" a="1"/>
  <c r="F70" i="98" s="1"/>
  <c r="E70" i="98" a="1"/>
  <c r="E70" i="98" s="1"/>
  <c r="D70" i="98" a="1"/>
  <c r="D70" i="98" s="1"/>
  <c r="K69" i="98" a="1"/>
  <c r="K69" i="98" s="1"/>
  <c r="J69" i="98" a="1"/>
  <c r="J69" i="98" s="1"/>
  <c r="I69" i="98" a="1"/>
  <c r="I69" i="98" s="1"/>
  <c r="H69" i="98" a="1"/>
  <c r="H69" i="98" s="1"/>
  <c r="G69" i="98" a="1"/>
  <c r="G69" i="98" s="1"/>
  <c r="F69" i="98" a="1"/>
  <c r="F69" i="98" s="1"/>
  <c r="E69" i="98" a="1"/>
  <c r="E69" i="98" s="1"/>
  <c r="D69" i="98" a="1"/>
  <c r="D69" i="98" s="1"/>
  <c r="K68" i="98" a="1"/>
  <c r="K68" i="98" s="1"/>
  <c r="J68" i="98" a="1"/>
  <c r="J68" i="98" s="1"/>
  <c r="I68" i="98" a="1"/>
  <c r="I68" i="98" s="1"/>
  <c r="H68" i="98" a="1"/>
  <c r="H68" i="98" s="1"/>
  <c r="G68" i="98" a="1"/>
  <c r="G68" i="98" s="1"/>
  <c r="F68" i="98" a="1"/>
  <c r="F68" i="98" s="1"/>
  <c r="E68" i="98" a="1"/>
  <c r="E68" i="98" s="1"/>
  <c r="D68" i="98" a="1"/>
  <c r="D68" i="98" s="1"/>
  <c r="K67" i="98" a="1"/>
  <c r="K67" i="98" s="1"/>
  <c r="J67" i="98" a="1"/>
  <c r="J67" i="98" s="1"/>
  <c r="I67" i="98" a="1"/>
  <c r="I67" i="98" s="1"/>
  <c r="H67" i="98" a="1"/>
  <c r="H67" i="98" s="1"/>
  <c r="G67" i="98" a="1"/>
  <c r="G67" i="98" s="1"/>
  <c r="F67" i="98" a="1"/>
  <c r="F67" i="98" s="1"/>
  <c r="E67" i="98" a="1"/>
  <c r="E67" i="98" s="1"/>
  <c r="D67" i="98" a="1"/>
  <c r="D67" i="98" s="1"/>
  <c r="E27" i="97" s="1"/>
  <c r="K66" i="98" a="1"/>
  <c r="K66" i="98" s="1"/>
  <c r="J66" i="98" a="1"/>
  <c r="J66" i="98" s="1"/>
  <c r="I66" i="98" a="1"/>
  <c r="I66" i="98" s="1"/>
  <c r="H66" i="98" a="1"/>
  <c r="H66" i="98" s="1"/>
  <c r="G66" i="98" a="1"/>
  <c r="G66" i="98" s="1"/>
  <c r="F66" i="98" a="1"/>
  <c r="F66" i="98" s="1"/>
  <c r="E66" i="98" a="1"/>
  <c r="E66" i="98" s="1"/>
  <c r="D66" i="98" a="1"/>
  <c r="D66" i="98" s="1"/>
  <c r="K65" i="98" a="1"/>
  <c r="K65" i="98" s="1"/>
  <c r="J65" i="98" a="1"/>
  <c r="J65" i="98" s="1"/>
  <c r="I65" i="98" a="1"/>
  <c r="I65" i="98" s="1"/>
  <c r="H65" i="98" a="1"/>
  <c r="H65" i="98" s="1"/>
  <c r="G65" i="98" a="1"/>
  <c r="G65" i="98" s="1"/>
  <c r="F65" i="98" a="1"/>
  <c r="F65" i="98" s="1"/>
  <c r="E65" i="98" a="1"/>
  <c r="E65" i="98" s="1"/>
  <c r="D65" i="98" a="1"/>
  <c r="D65" i="98" s="1"/>
  <c r="K64" i="98" a="1"/>
  <c r="K64" i="98" s="1"/>
  <c r="J64" i="98" a="1"/>
  <c r="J64" i="98" s="1"/>
  <c r="I64" i="98" a="1"/>
  <c r="I64" i="98" s="1"/>
  <c r="H64" i="98" a="1"/>
  <c r="H64" i="98" s="1"/>
  <c r="G64" i="98" a="1"/>
  <c r="G64" i="98" s="1"/>
  <c r="F64" i="98" a="1"/>
  <c r="F64" i="98" s="1"/>
  <c r="E64" i="98" a="1"/>
  <c r="E64" i="98" s="1"/>
  <c r="D64" i="98" a="1"/>
  <c r="D64" i="98" s="1"/>
  <c r="K63" i="98" a="1"/>
  <c r="K63" i="98" s="1"/>
  <c r="J63" i="98" a="1"/>
  <c r="J63" i="98" s="1"/>
  <c r="I63" i="98" a="1"/>
  <c r="I63" i="98" s="1"/>
  <c r="H63" i="98" a="1"/>
  <c r="H63" i="98" s="1"/>
  <c r="G63" i="98" a="1"/>
  <c r="G63" i="98" s="1"/>
  <c r="F63" i="98" a="1"/>
  <c r="F63" i="98" s="1"/>
  <c r="E63" i="98" a="1"/>
  <c r="E63" i="98" s="1"/>
  <c r="D63" i="98" a="1"/>
  <c r="D63" i="98" s="1"/>
  <c r="E33" i="97" s="1"/>
  <c r="K62" i="98" a="1"/>
  <c r="K62" i="98" s="1"/>
  <c r="J62" i="98" a="1"/>
  <c r="J62" i="98" s="1"/>
  <c r="I62" i="98" a="1"/>
  <c r="I62" i="98" s="1"/>
  <c r="H62" i="98" a="1"/>
  <c r="H62" i="98" s="1"/>
  <c r="G62" i="98" a="1"/>
  <c r="G62" i="98" s="1"/>
  <c r="F62" i="98" a="1"/>
  <c r="F62" i="98" s="1"/>
  <c r="E62" i="98" a="1"/>
  <c r="E62" i="98" s="1"/>
  <c r="D62" i="98" a="1"/>
  <c r="D62" i="98" s="1"/>
  <c r="K61" i="98" a="1"/>
  <c r="K61" i="98" s="1"/>
  <c r="J61" i="98" a="1"/>
  <c r="J61" i="98" s="1"/>
  <c r="I61" i="98" a="1"/>
  <c r="I61" i="98" s="1"/>
  <c r="H61" i="98" a="1"/>
  <c r="H61" i="98" s="1"/>
  <c r="G61" i="98" a="1"/>
  <c r="G61" i="98" s="1"/>
  <c r="F61" i="98" a="1"/>
  <c r="F61" i="98" s="1"/>
  <c r="E61" i="98" a="1"/>
  <c r="E61" i="98" s="1"/>
  <c r="D61" i="98" a="1"/>
  <c r="D61" i="98" s="1"/>
  <c r="K60" i="98" a="1"/>
  <c r="K60" i="98" s="1"/>
  <c r="J60" i="98" a="1"/>
  <c r="J60" i="98" s="1"/>
  <c r="I60" i="98" a="1"/>
  <c r="I60" i="98" s="1"/>
  <c r="H60" i="98" a="1"/>
  <c r="H60" i="98" s="1"/>
  <c r="G60" i="98" a="1"/>
  <c r="G60" i="98" s="1"/>
  <c r="F60" i="98" a="1"/>
  <c r="F60" i="98" s="1"/>
  <c r="E60" i="98" a="1"/>
  <c r="E60" i="98" s="1"/>
  <c r="D60" i="98" a="1"/>
  <c r="D60" i="98" s="1"/>
  <c r="K59" i="98" a="1"/>
  <c r="K59" i="98" s="1"/>
  <c r="J59" i="98" a="1"/>
  <c r="J59" i="98" s="1"/>
  <c r="I59" i="98" a="1"/>
  <c r="I59" i="98" s="1"/>
  <c r="H59" i="98" a="1"/>
  <c r="H59" i="98" s="1"/>
  <c r="G59" i="98" a="1"/>
  <c r="G59" i="98" s="1"/>
  <c r="F59" i="98" a="1"/>
  <c r="F59" i="98" s="1"/>
  <c r="E59" i="98" a="1"/>
  <c r="E59" i="98" s="1"/>
  <c r="D59" i="98" a="1"/>
  <c r="D59" i="98" s="1"/>
  <c r="K58" i="98" a="1"/>
  <c r="K58" i="98" s="1"/>
  <c r="J58" i="98" a="1"/>
  <c r="J58" i="98" s="1"/>
  <c r="I58" i="98" a="1"/>
  <c r="I58" i="98" s="1"/>
  <c r="H58" i="98" a="1"/>
  <c r="H58" i="98" s="1"/>
  <c r="G58" i="98" a="1"/>
  <c r="G58" i="98" s="1"/>
  <c r="F58" i="98" a="1"/>
  <c r="F58" i="98" s="1"/>
  <c r="E58" i="98" a="1"/>
  <c r="E58" i="98" s="1"/>
  <c r="D58" i="98" a="1"/>
  <c r="D58" i="98" s="1"/>
  <c r="E25" i="97" s="1"/>
  <c r="K57" i="98" a="1"/>
  <c r="K57" i="98" s="1"/>
  <c r="J57" i="98" a="1"/>
  <c r="J57" i="98" s="1"/>
  <c r="I57" i="98" a="1"/>
  <c r="I57" i="98" s="1"/>
  <c r="H57" i="98" a="1"/>
  <c r="H57" i="98" s="1"/>
  <c r="G57" i="98" a="1"/>
  <c r="G57" i="98" s="1"/>
  <c r="F57" i="98" a="1"/>
  <c r="F57" i="98" s="1"/>
  <c r="E57" i="98" a="1"/>
  <c r="E57" i="98" s="1"/>
  <c r="D57" i="98" a="1"/>
  <c r="D57" i="98" s="1"/>
  <c r="K56" i="98" a="1"/>
  <c r="K56" i="98" s="1"/>
  <c r="J56" i="98" a="1"/>
  <c r="J56" i="98" s="1"/>
  <c r="I56" i="98" a="1"/>
  <c r="I56" i="98" s="1"/>
  <c r="H56" i="98" a="1"/>
  <c r="H56" i="98" s="1"/>
  <c r="G56" i="98" a="1"/>
  <c r="G56" i="98" s="1"/>
  <c r="F56" i="98" a="1"/>
  <c r="F56" i="98" s="1"/>
  <c r="E56" i="98" a="1"/>
  <c r="E56" i="98" s="1"/>
  <c r="D56" i="98" a="1"/>
  <c r="D56" i="98" s="1"/>
  <c r="K55" i="98" a="1"/>
  <c r="K55" i="98" s="1"/>
  <c r="J55" i="98" a="1"/>
  <c r="J55" i="98" s="1"/>
  <c r="I55" i="98" a="1"/>
  <c r="I55" i="98" s="1"/>
  <c r="H55" i="98" a="1"/>
  <c r="H55" i="98" s="1"/>
  <c r="G55" i="98" a="1"/>
  <c r="G55" i="98" s="1"/>
  <c r="F55" i="98" a="1"/>
  <c r="F55" i="98" s="1"/>
  <c r="E55" i="98" a="1"/>
  <c r="E55" i="98" s="1"/>
  <c r="D55" i="98" a="1"/>
  <c r="D55" i="98" s="1"/>
  <c r="K54" i="98" a="1"/>
  <c r="K54" i="98" s="1"/>
  <c r="J54" i="98" a="1"/>
  <c r="J54" i="98" s="1"/>
  <c r="I54" i="98" a="1"/>
  <c r="I54" i="98" s="1"/>
  <c r="H54" i="98" a="1"/>
  <c r="H54" i="98" s="1"/>
  <c r="G54" i="98" a="1"/>
  <c r="G54" i="98" s="1"/>
  <c r="F54" i="98" a="1"/>
  <c r="F54" i="98" s="1"/>
  <c r="E54" i="98" a="1"/>
  <c r="E54" i="98" s="1"/>
  <c r="D54" i="98" a="1"/>
  <c r="D54" i="98" s="1"/>
  <c r="D52" i="98" a="1"/>
  <c r="D52" i="98" s="1"/>
  <c r="D51" i="98" a="1"/>
  <c r="D51" i="98" s="1"/>
  <c r="D50" i="98" a="1"/>
  <c r="D50" i="98" s="1"/>
  <c r="D49" i="98" a="1"/>
  <c r="D49" i="98" s="1"/>
  <c r="J43" i="98" a="1"/>
  <c r="J43" i="98" s="1"/>
  <c r="I43" i="98" a="1"/>
  <c r="I43" i="98" s="1"/>
  <c r="H43" i="98" a="1"/>
  <c r="H43" i="98" s="1"/>
  <c r="G43" i="98" a="1"/>
  <c r="G43" i="98" s="1"/>
  <c r="F43" i="98" a="1"/>
  <c r="F43" i="98" s="1"/>
  <c r="E43" i="98" a="1"/>
  <c r="E43" i="98" s="1"/>
  <c r="D43" i="98" a="1"/>
  <c r="D43" i="98" s="1"/>
  <c r="J42" i="98" a="1"/>
  <c r="J42" i="98" s="1"/>
  <c r="I42" i="98" a="1"/>
  <c r="I42" i="98" s="1"/>
  <c r="H42" i="98" a="1"/>
  <c r="H42" i="98" s="1"/>
  <c r="G42" i="98" a="1"/>
  <c r="G42" i="98" s="1"/>
  <c r="F42" i="98" a="1"/>
  <c r="F42" i="98" s="1"/>
  <c r="E42" i="98" a="1"/>
  <c r="E42" i="98" s="1"/>
  <c r="D42" i="98" a="1"/>
  <c r="D42" i="98" s="1"/>
  <c r="J41" i="98" a="1"/>
  <c r="J41" i="98" s="1"/>
  <c r="I41" i="98" a="1"/>
  <c r="I41" i="98" s="1"/>
  <c r="H41" i="98" a="1"/>
  <c r="H41" i="98" s="1"/>
  <c r="G41" i="98" a="1"/>
  <c r="G41" i="98" s="1"/>
  <c r="F41" i="98" a="1"/>
  <c r="F41" i="98" s="1"/>
  <c r="E41" i="98" a="1"/>
  <c r="E41" i="98" s="1"/>
  <c r="D41" i="98" a="1"/>
  <c r="D41" i="98" s="1"/>
  <c r="J40" i="98" a="1"/>
  <c r="J40" i="98" s="1"/>
  <c r="I40" i="98" a="1"/>
  <c r="I40" i="98" s="1"/>
  <c r="H40" i="98" a="1"/>
  <c r="H40" i="98" s="1"/>
  <c r="G40" i="98" a="1"/>
  <c r="G40" i="98" s="1"/>
  <c r="F40" i="98" a="1"/>
  <c r="F40" i="98" s="1"/>
  <c r="E40" i="98" a="1"/>
  <c r="E40" i="98" s="1"/>
  <c r="D40" i="98" a="1"/>
  <c r="D40" i="98" s="1"/>
  <c r="D38" i="98" a="1"/>
  <c r="D38" i="98" s="1"/>
  <c r="D37" i="98" a="1"/>
  <c r="D37" i="98" s="1"/>
  <c r="L34" i="98" a="1"/>
  <c r="L34" i="98" s="1"/>
  <c r="K34" i="98" a="1"/>
  <c r="K34" i="98" s="1"/>
  <c r="J34" i="98" a="1"/>
  <c r="J34" i="98" s="1"/>
  <c r="I34" i="98" a="1"/>
  <c r="I34" i="98" s="1"/>
  <c r="H34" i="98" a="1"/>
  <c r="H34" i="98" s="1"/>
  <c r="G34" i="98" a="1"/>
  <c r="G34" i="98" s="1"/>
  <c r="F34" i="98" a="1"/>
  <c r="F34" i="98" s="1"/>
  <c r="E34" i="98" a="1"/>
  <c r="E34" i="98" s="1"/>
  <c r="D34" i="98" a="1"/>
  <c r="D34" i="98" s="1"/>
  <c r="L33" i="98" a="1"/>
  <c r="L33" i="98" s="1"/>
  <c r="K33" i="98" a="1"/>
  <c r="K33" i="98" s="1"/>
  <c r="J33" i="98" a="1"/>
  <c r="J33" i="98" s="1"/>
  <c r="I33" i="98" a="1"/>
  <c r="I33" i="98" s="1"/>
  <c r="H33" i="98" a="1"/>
  <c r="H33" i="98" s="1"/>
  <c r="G33" i="98" a="1"/>
  <c r="G33" i="98" s="1"/>
  <c r="F33" i="98" a="1"/>
  <c r="F33" i="98" s="1"/>
  <c r="E33" i="98" a="1"/>
  <c r="E33" i="98" s="1"/>
  <c r="E39" i="96" s="1"/>
  <c r="D33" i="98" a="1"/>
  <c r="D33" i="98" s="1"/>
  <c r="L32" i="98" a="1"/>
  <c r="L32" i="98" s="1"/>
  <c r="K32" i="98" a="1"/>
  <c r="K32" i="98" s="1"/>
  <c r="J32" i="98" a="1"/>
  <c r="J32" i="98" s="1"/>
  <c r="I32" i="98" a="1"/>
  <c r="I32" i="98" s="1"/>
  <c r="H32" i="98" a="1"/>
  <c r="H32" i="98" s="1"/>
  <c r="G32" i="98" a="1"/>
  <c r="G32" i="98" s="1"/>
  <c r="F32" i="98" a="1"/>
  <c r="F32" i="98" s="1"/>
  <c r="E32" i="98" a="1"/>
  <c r="E32" i="98" s="1"/>
  <c r="D32" i="98" a="1"/>
  <c r="D32" i="98" s="1"/>
  <c r="L31" i="98" a="1"/>
  <c r="L31" i="98" s="1"/>
  <c r="K31" i="98" a="1"/>
  <c r="K31" i="98" s="1"/>
  <c r="J31" i="98" a="1"/>
  <c r="J31" i="98" s="1"/>
  <c r="I31" i="98" a="1"/>
  <c r="I31" i="98" s="1"/>
  <c r="H31" i="98" a="1"/>
  <c r="H31" i="98" s="1"/>
  <c r="G31" i="98" a="1"/>
  <c r="G31" i="98" s="1"/>
  <c r="F31" i="98" a="1"/>
  <c r="F31" i="98" s="1"/>
  <c r="E31" i="98" a="1"/>
  <c r="E31" i="98" s="1"/>
  <c r="D31" i="98" a="1"/>
  <c r="D31" i="98" s="1"/>
  <c r="L30" i="98" a="1"/>
  <c r="L30" i="98" s="1"/>
  <c r="K30" i="98" a="1"/>
  <c r="K30" i="98" s="1"/>
  <c r="J30" i="98" a="1"/>
  <c r="J30" i="98" s="1"/>
  <c r="I30" i="98" a="1"/>
  <c r="I30" i="98" s="1"/>
  <c r="H30" i="98" a="1"/>
  <c r="H30" i="98" s="1"/>
  <c r="G30" i="98" a="1"/>
  <c r="G30" i="98" s="1"/>
  <c r="F30" i="98" a="1"/>
  <c r="F30" i="98" s="1"/>
  <c r="E30" i="98" a="1"/>
  <c r="E30" i="98" s="1"/>
  <c r="E36" i="96" s="1"/>
  <c r="D30" i="98" a="1"/>
  <c r="D30" i="98" s="1"/>
  <c r="L29" i="98" a="1"/>
  <c r="L29" i="98" s="1"/>
  <c r="K29" i="98" a="1"/>
  <c r="K29" i="98" s="1"/>
  <c r="J29" i="98" a="1"/>
  <c r="J29" i="98" s="1"/>
  <c r="I29" i="98" a="1"/>
  <c r="I29" i="98" s="1"/>
  <c r="H29" i="98" a="1"/>
  <c r="H29" i="98" s="1"/>
  <c r="G29" i="98" a="1"/>
  <c r="G29" i="98" s="1"/>
  <c r="F29" i="98" a="1"/>
  <c r="F29" i="98" s="1"/>
  <c r="E29" i="98" a="1"/>
  <c r="E29" i="98" s="1"/>
  <c r="E35" i="96" s="1"/>
  <c r="D29" i="98" a="1"/>
  <c r="D29" i="98" s="1"/>
  <c r="L28" i="98" a="1"/>
  <c r="L28" i="98" s="1"/>
  <c r="K28" i="98" a="1"/>
  <c r="K28" i="98" s="1"/>
  <c r="J28" i="98" a="1"/>
  <c r="J28" i="98" s="1"/>
  <c r="I28" i="98" a="1"/>
  <c r="I28" i="98" s="1"/>
  <c r="H28" i="98" a="1"/>
  <c r="H28" i="98" s="1"/>
  <c r="G28" i="98" a="1"/>
  <c r="G28" i="98" s="1"/>
  <c r="F28" i="98" a="1"/>
  <c r="F28" i="98" s="1"/>
  <c r="E28" i="98" a="1"/>
  <c r="E28" i="98" s="1"/>
  <c r="E34" i="96" s="1"/>
  <c r="D28" i="98" a="1"/>
  <c r="D28" i="98" s="1"/>
  <c r="L27" i="98" a="1"/>
  <c r="L27" i="98" s="1"/>
  <c r="K27" i="98" a="1"/>
  <c r="K27" i="98" s="1"/>
  <c r="J27" i="98" a="1"/>
  <c r="J27" i="98" s="1"/>
  <c r="I27" i="98" a="1"/>
  <c r="I27" i="98" s="1"/>
  <c r="H27" i="98" a="1"/>
  <c r="H27" i="98" s="1"/>
  <c r="G27" i="98" a="1"/>
  <c r="G27" i="98" s="1"/>
  <c r="F27" i="98" a="1"/>
  <c r="F27" i="98" s="1"/>
  <c r="E27" i="98" a="1"/>
  <c r="E27" i="98" s="1"/>
  <c r="D27" i="98" a="1"/>
  <c r="D27" i="98" s="1"/>
  <c r="L26" i="98" a="1"/>
  <c r="L26" i="98" s="1"/>
  <c r="K26" i="98" a="1"/>
  <c r="K26" i="98" s="1"/>
  <c r="J26" i="98" a="1"/>
  <c r="J26" i="98" s="1"/>
  <c r="I26" i="98" a="1"/>
  <c r="I26" i="98" s="1"/>
  <c r="H26" i="98" a="1"/>
  <c r="H26" i="98" s="1"/>
  <c r="G26" i="98" a="1"/>
  <c r="G26" i="98" s="1"/>
  <c r="F26" i="98" a="1"/>
  <c r="F26" i="98" s="1"/>
  <c r="E26" i="98" a="1"/>
  <c r="E26" i="98" s="1"/>
  <c r="D26" i="98" a="1"/>
  <c r="D26" i="98" s="1"/>
  <c r="L25" i="98" a="1"/>
  <c r="L25" i="98" s="1"/>
  <c r="K25" i="98" a="1"/>
  <c r="K25" i="98" s="1"/>
  <c r="J25" i="98" a="1"/>
  <c r="J25" i="98" s="1"/>
  <c r="I25" i="98" a="1"/>
  <c r="I25" i="98" s="1"/>
  <c r="H25" i="98" a="1"/>
  <c r="H25" i="98" s="1"/>
  <c r="G25" i="98" a="1"/>
  <c r="G25" i="98" s="1"/>
  <c r="F25" i="98" a="1"/>
  <c r="F25" i="98" s="1"/>
  <c r="E25" i="98" a="1"/>
  <c r="E25" i="98" s="1"/>
  <c r="D25" i="98" a="1"/>
  <c r="D25" i="98" s="1"/>
  <c r="L24" i="98" a="1"/>
  <c r="L24" i="98" s="1"/>
  <c r="K24" i="98" a="1"/>
  <c r="K24" i="98" s="1"/>
  <c r="J24" i="98" a="1"/>
  <c r="J24" i="98" s="1"/>
  <c r="I24" i="98" a="1"/>
  <c r="I24" i="98" s="1"/>
  <c r="H24" i="98" a="1"/>
  <c r="H24" i="98" s="1"/>
  <c r="G24" i="98" a="1"/>
  <c r="G24" i="98" s="1"/>
  <c r="F24" i="98" a="1"/>
  <c r="F24" i="98" s="1"/>
  <c r="E24" i="98" a="1"/>
  <c r="E24" i="98" s="1"/>
  <c r="D24" i="98" a="1"/>
  <c r="D24" i="98" s="1"/>
  <c r="L23" i="98" a="1"/>
  <c r="L23" i="98" s="1"/>
  <c r="K23" i="98" a="1"/>
  <c r="K23" i="98" s="1"/>
  <c r="J23" i="98" a="1"/>
  <c r="J23" i="98" s="1"/>
  <c r="I23" i="98" a="1"/>
  <c r="I23" i="98" s="1"/>
  <c r="H23" i="98" a="1"/>
  <c r="H23" i="98" s="1"/>
  <c r="G23" i="98" a="1"/>
  <c r="G23" i="98" s="1"/>
  <c r="F23" i="98" a="1"/>
  <c r="F23" i="98" s="1"/>
  <c r="E23" i="98" a="1"/>
  <c r="E23" i="98" s="1"/>
  <c r="D23" i="98" a="1"/>
  <c r="D23" i="98" s="1"/>
  <c r="L22" i="98" a="1"/>
  <c r="L22" i="98" s="1"/>
  <c r="K22" i="98" a="1"/>
  <c r="K22" i="98" s="1"/>
  <c r="J22" i="98" a="1"/>
  <c r="J22" i="98" s="1"/>
  <c r="I22" i="98" a="1"/>
  <c r="I22" i="98" s="1"/>
  <c r="H22" i="98" a="1"/>
  <c r="H22" i="98" s="1"/>
  <c r="G22" i="98" a="1"/>
  <c r="G22" i="98" s="1"/>
  <c r="F22" i="98" a="1"/>
  <c r="F22" i="98" s="1"/>
  <c r="E22" i="98" a="1"/>
  <c r="E22" i="98" s="1"/>
  <c r="D22" i="98" a="1"/>
  <c r="D22" i="98" s="1"/>
  <c r="L21" i="98" a="1"/>
  <c r="L21" i="98" s="1"/>
  <c r="K21" i="98" a="1"/>
  <c r="K21" i="98" s="1"/>
  <c r="J21" i="98" a="1"/>
  <c r="J21" i="98" s="1"/>
  <c r="I21" i="98" a="1"/>
  <c r="I21" i="98" s="1"/>
  <c r="H21" i="98" a="1"/>
  <c r="H21" i="98" s="1"/>
  <c r="G21" i="98" a="1"/>
  <c r="G21" i="98" s="1"/>
  <c r="F21" i="98" a="1"/>
  <c r="F21" i="98" s="1"/>
  <c r="E21" i="98" a="1"/>
  <c r="E21" i="98" s="1"/>
  <c r="D21" i="98" a="1"/>
  <c r="D21" i="98" s="1"/>
  <c r="L20" i="98" a="1"/>
  <c r="L20" i="98" s="1"/>
  <c r="K20" i="98" a="1"/>
  <c r="K20" i="98" s="1"/>
  <c r="J20" i="98" a="1"/>
  <c r="J20" i="98" s="1"/>
  <c r="I20" i="98" a="1"/>
  <c r="I20" i="98" s="1"/>
  <c r="H20" i="98" a="1"/>
  <c r="H20" i="98" s="1"/>
  <c r="G20" i="98" a="1"/>
  <c r="G20" i="98" s="1"/>
  <c r="F20" i="98" a="1"/>
  <c r="F20" i="98" s="1"/>
  <c r="E20" i="98" a="1"/>
  <c r="E20" i="98" s="1"/>
  <c r="D20" i="98" a="1"/>
  <c r="D20" i="98" s="1"/>
  <c r="L19" i="98" a="1"/>
  <c r="L19" i="98" s="1"/>
  <c r="K19" i="98" a="1"/>
  <c r="K19" i="98" s="1"/>
  <c r="J19" i="98" a="1"/>
  <c r="J19" i="98" s="1"/>
  <c r="I19" i="98" a="1"/>
  <c r="I19" i="98" s="1"/>
  <c r="H19" i="98" a="1"/>
  <c r="H19" i="98" s="1"/>
  <c r="G19" i="98" a="1"/>
  <c r="G19" i="98" s="1"/>
  <c r="F19" i="98" a="1"/>
  <c r="F19" i="98" s="1"/>
  <c r="E19" i="98" a="1"/>
  <c r="E19" i="98" s="1"/>
  <c r="D19" i="98" a="1"/>
  <c r="D19" i="98" s="1"/>
  <c r="L18" i="98" a="1"/>
  <c r="L18" i="98" s="1"/>
  <c r="K18" i="98" a="1"/>
  <c r="K18" i="98" s="1"/>
  <c r="J18" i="98" a="1"/>
  <c r="J18" i="98" s="1"/>
  <c r="I18" i="98" a="1"/>
  <c r="I18" i="98" s="1"/>
  <c r="H18" i="98" a="1"/>
  <c r="H18" i="98" s="1"/>
  <c r="G18" i="98" a="1"/>
  <c r="G18" i="98" s="1"/>
  <c r="F18" i="98" a="1"/>
  <c r="F18" i="98" s="1"/>
  <c r="E18" i="98" a="1"/>
  <c r="E18" i="98" s="1"/>
  <c r="D18" i="98" a="1"/>
  <c r="D18" i="98" s="1"/>
  <c r="L17" i="98" a="1"/>
  <c r="L17" i="98" s="1"/>
  <c r="K17" i="98" a="1"/>
  <c r="K17" i="98" s="1"/>
  <c r="J17" i="98" a="1"/>
  <c r="J17" i="98" s="1"/>
  <c r="I17" i="98" a="1"/>
  <c r="I17" i="98" s="1"/>
  <c r="H17" i="98" a="1"/>
  <c r="H17" i="98" s="1"/>
  <c r="G17" i="98" a="1"/>
  <c r="G17" i="98" s="1"/>
  <c r="F17" i="98" a="1"/>
  <c r="F17" i="98" s="1"/>
  <c r="E17" i="98" a="1"/>
  <c r="E17" i="98" s="1"/>
  <c r="E32" i="96" s="1"/>
  <c r="D17" i="98" a="1"/>
  <c r="D17" i="98" s="1"/>
  <c r="L16" i="98" a="1"/>
  <c r="L16" i="98" s="1"/>
  <c r="K16" i="98" a="1"/>
  <c r="K16" i="98" s="1"/>
  <c r="J16" i="98" a="1"/>
  <c r="J16" i="98" s="1"/>
  <c r="I16" i="98" a="1"/>
  <c r="I16" i="98" s="1"/>
  <c r="H16" i="98" a="1"/>
  <c r="H16" i="98" s="1"/>
  <c r="G16" i="98" a="1"/>
  <c r="G16" i="98" s="1"/>
  <c r="F16" i="98" a="1"/>
  <c r="F16" i="98" s="1"/>
  <c r="E16" i="98" a="1"/>
  <c r="E16" i="98" s="1"/>
  <c r="E31" i="96" s="1"/>
  <c r="D16" i="98" a="1"/>
  <c r="D16" i="98" s="1"/>
  <c r="L15" i="98" a="1"/>
  <c r="L15" i="98" s="1"/>
  <c r="K15" i="98" a="1"/>
  <c r="K15" i="98" s="1"/>
  <c r="J15" i="98" a="1"/>
  <c r="J15" i="98" s="1"/>
  <c r="I15" i="98" a="1"/>
  <c r="I15" i="98" s="1"/>
  <c r="H15" i="98" a="1"/>
  <c r="H15" i="98" s="1"/>
  <c r="G15" i="98" a="1"/>
  <c r="G15" i="98" s="1"/>
  <c r="F15" i="98" a="1"/>
  <c r="F15" i="98" s="1"/>
  <c r="E15" i="98" a="1"/>
  <c r="E15" i="98" s="1"/>
  <c r="E30" i="96" s="1"/>
  <c r="D15" i="98" a="1"/>
  <c r="D15" i="98" s="1"/>
  <c r="L14" i="98" a="1"/>
  <c r="L14" i="98" s="1"/>
  <c r="K14" i="98" a="1"/>
  <c r="K14" i="98" s="1"/>
  <c r="J14" i="98" a="1"/>
  <c r="J14" i="98" s="1"/>
  <c r="I14" i="98" a="1"/>
  <c r="I14" i="98" s="1"/>
  <c r="H14" i="98" a="1"/>
  <c r="H14" i="98" s="1"/>
  <c r="G14" i="98" a="1"/>
  <c r="G14" i="98" s="1"/>
  <c r="F14" i="98" a="1"/>
  <c r="F14" i="98" s="1"/>
  <c r="E14" i="98" a="1"/>
  <c r="E14" i="98" s="1"/>
  <c r="E29" i="96" s="1"/>
  <c r="D14" i="98" a="1"/>
  <c r="D14" i="98" s="1"/>
  <c r="L13" i="98" a="1"/>
  <c r="L13" i="98" s="1"/>
  <c r="K13" i="98" a="1"/>
  <c r="K13" i="98" s="1"/>
  <c r="J13" i="98" a="1"/>
  <c r="J13" i="98" s="1"/>
  <c r="I13" i="98" a="1"/>
  <c r="I13" i="98" s="1"/>
  <c r="H13" i="98" a="1"/>
  <c r="H13" i="98" s="1"/>
  <c r="G13" i="98" a="1"/>
  <c r="G13" i="98" s="1"/>
  <c r="F13" i="98" a="1"/>
  <c r="F13" i="98" s="1"/>
  <c r="E13" i="98" a="1"/>
  <c r="E13" i="98" s="1"/>
  <c r="E28" i="96" s="1"/>
  <c r="D13" i="98" a="1"/>
  <c r="D13" i="98" s="1"/>
  <c r="L12" i="98" a="1"/>
  <c r="L12" i="98" s="1"/>
  <c r="K12" i="98" a="1"/>
  <c r="K12" i="98" s="1"/>
  <c r="J12" i="98" a="1"/>
  <c r="J12" i="98" s="1"/>
  <c r="I12" i="98" a="1"/>
  <c r="I12" i="98" s="1"/>
  <c r="H12" i="98" a="1"/>
  <c r="H12" i="98" s="1"/>
  <c r="G12" i="98" a="1"/>
  <c r="G12" i="98" s="1"/>
  <c r="F12" i="98" a="1"/>
  <c r="F12" i="98" s="1"/>
  <c r="E12" i="98" a="1"/>
  <c r="E12" i="98" s="1"/>
  <c r="E27" i="96" s="1"/>
  <c r="D12" i="98" a="1"/>
  <c r="D12" i="98" s="1"/>
  <c r="L11" i="98" a="1"/>
  <c r="L11" i="98" s="1"/>
  <c r="K11" i="98" a="1"/>
  <c r="K11" i="98" s="1"/>
  <c r="J11" i="98" a="1"/>
  <c r="J11" i="98" s="1"/>
  <c r="I11" i="98" a="1"/>
  <c r="I11" i="98" s="1"/>
  <c r="H11" i="98" a="1"/>
  <c r="H11" i="98" s="1"/>
  <c r="G11" i="98" a="1"/>
  <c r="G11" i="98" s="1"/>
  <c r="F11" i="98" a="1"/>
  <c r="F11" i="98" s="1"/>
  <c r="E11" i="98" a="1"/>
  <c r="E11" i="98" s="1"/>
  <c r="E33" i="96" s="1"/>
  <c r="D11" i="98" a="1"/>
  <c r="D11" i="98" s="1"/>
  <c r="L10" i="98" a="1"/>
  <c r="L10" i="98" s="1"/>
  <c r="K10" i="98" a="1"/>
  <c r="K10" i="98" s="1"/>
  <c r="J10" i="98" a="1"/>
  <c r="J10" i="98" s="1"/>
  <c r="I10" i="98" a="1"/>
  <c r="I10" i="98" s="1"/>
  <c r="H10" i="98" a="1"/>
  <c r="H10" i="98" s="1"/>
  <c r="G10" i="98" a="1"/>
  <c r="G10" i="98" s="1"/>
  <c r="F10" i="98" a="1"/>
  <c r="F10" i="98" s="1"/>
  <c r="E10" i="98" a="1"/>
  <c r="E10" i="98" s="1"/>
  <c r="H39" i="96" s="1" a="1"/>
  <c r="H39" i="96" s="1"/>
  <c r="D10" i="98" a="1"/>
  <c r="D10" i="98" s="1"/>
  <c r="D8" i="98" a="1"/>
  <c r="D8" i="98" s="1"/>
  <c r="D7" i="98" a="1"/>
  <c r="D7" i="98" s="1"/>
  <c r="D6" i="98" a="1"/>
  <c r="D6" i="98" s="1"/>
  <c r="D5" i="98" a="1"/>
  <c r="D5" i="98" s="1"/>
  <c r="D34" i="97"/>
  <c r="D27" i="97"/>
  <c r="P18" i="97"/>
  <c r="K39" i="97" s="1" a="1"/>
  <c r="K39" i="97" s="1"/>
  <c r="P17" i="97"/>
  <c r="P16" i="97" a="1"/>
  <c r="P16" i="97" s="1"/>
  <c r="I16" i="97" a="1"/>
  <c r="I16" i="97" s="1"/>
  <c r="P15" i="97" a="1"/>
  <c r="P15" i="97" s="1"/>
  <c r="I15" i="97" a="1"/>
  <c r="I15" i="97" s="1"/>
  <c r="P14" i="97" a="1"/>
  <c r="P14" i="97" s="1"/>
  <c r="N14" i="97" a="1"/>
  <c r="N14" i="97" s="1"/>
  <c r="K14" i="97" a="1"/>
  <c r="K14" i="97" s="1"/>
  <c r="I14" i="97" a="1"/>
  <c r="I14" i="97" s="1"/>
  <c r="G14" i="97" a="1"/>
  <c r="G14" i="97" s="1"/>
  <c r="D14" i="97" a="1"/>
  <c r="D14" i="97" s="1"/>
  <c r="L12" i="97" a="1"/>
  <c r="L12" i="97" s="1"/>
  <c r="E12" i="97" a="1"/>
  <c r="E12" i="97" s="1"/>
  <c r="F58" i="97" s="1"/>
  <c r="L11" i="97" a="1"/>
  <c r="L11" i="97" s="1"/>
  <c r="E11" i="97" a="1"/>
  <c r="E11" i="97" s="1"/>
  <c r="K7" i="97" a="1"/>
  <c r="K7" i="97" s="1"/>
  <c r="K6" i="97" a="1"/>
  <c r="K6" i="97" s="1"/>
  <c r="D6" i="97" a="1"/>
  <c r="D6" i="97" s="1"/>
  <c r="K5" i="97" a="1"/>
  <c r="K5" i="97" s="1"/>
  <c r="D5" i="97" a="1"/>
  <c r="D5" i="97" s="1"/>
  <c r="D48" i="96"/>
  <c r="D39" i="96"/>
  <c r="D36" i="96"/>
  <c r="D35" i="96"/>
  <c r="D32" i="96"/>
  <c r="D31" i="96"/>
  <c r="D30" i="96"/>
  <c r="D28" i="96"/>
  <c r="D27" i="96"/>
  <c r="P16" i="96" a="1"/>
  <c r="P16" i="96" s="1"/>
  <c r="I16" i="96" a="1"/>
  <c r="I16" i="96" s="1"/>
  <c r="P15" i="96" a="1"/>
  <c r="P15" i="96" s="1"/>
  <c r="I15" i="96" a="1"/>
  <c r="I15" i="96" s="1"/>
  <c r="P14" i="96" a="1"/>
  <c r="P14" i="96" s="1"/>
  <c r="N14" i="96" a="1"/>
  <c r="N14" i="96" s="1"/>
  <c r="K14" i="96" a="1"/>
  <c r="K14" i="96" s="1"/>
  <c r="I14" i="96" a="1"/>
  <c r="I14" i="96" s="1"/>
  <c r="G14" i="96" a="1"/>
  <c r="G14" i="96" s="1"/>
  <c r="D14" i="96" a="1"/>
  <c r="D14" i="96" s="1"/>
  <c r="L12" i="96" a="1"/>
  <c r="L12" i="96" s="1"/>
  <c r="E12" i="96" a="1"/>
  <c r="E12" i="96" s="1"/>
  <c r="L11" i="96" a="1"/>
  <c r="L11" i="96" s="1"/>
  <c r="E11" i="96" a="1"/>
  <c r="E11" i="96" s="1"/>
  <c r="K6" i="96" a="1"/>
  <c r="K6" i="96" s="1"/>
  <c r="D6" i="96" a="1"/>
  <c r="D6" i="96" s="1"/>
  <c r="K5" i="96" a="1"/>
  <c r="K5" i="96" s="1"/>
  <c r="D5" i="96" a="1"/>
  <c r="D5" i="96" s="1"/>
  <c r="H25" i="94" a="1"/>
  <c r="H25" i="94" s="1"/>
  <c r="G25" i="94" a="1"/>
  <c r="G25" i="94" s="1"/>
  <c r="F25" i="94" a="1"/>
  <c r="F25" i="94" s="1"/>
  <c r="E25" i="94" a="1"/>
  <c r="E25" i="94" s="1"/>
  <c r="J36" i="93" s="1" a="1"/>
  <c r="J36" i="93" s="1"/>
  <c r="D25" i="94" a="1"/>
  <c r="D25" i="94" s="1"/>
  <c r="D22" i="94" a="1"/>
  <c r="D22" i="94" s="1"/>
  <c r="D21" i="94" a="1"/>
  <c r="D21" i="94" s="1"/>
  <c r="F19" i="94" a="1"/>
  <c r="F19" i="94" s="1"/>
  <c r="E19" i="94" a="1"/>
  <c r="E19" i="94" s="1"/>
  <c r="D19" i="94" a="1"/>
  <c r="D19" i="94" s="1"/>
  <c r="F18" i="94" a="1"/>
  <c r="F18" i="94" s="1"/>
  <c r="E18" i="94" a="1"/>
  <c r="E18" i="94" s="1"/>
  <c r="D18" i="94" a="1"/>
  <c r="D18" i="94" s="1"/>
  <c r="F17" i="94" a="1"/>
  <c r="F17" i="94" s="1"/>
  <c r="E17" i="94" a="1"/>
  <c r="E17" i="94" s="1"/>
  <c r="D17" i="94" a="1"/>
  <c r="D17" i="94" s="1"/>
  <c r="F16" i="94" a="1"/>
  <c r="F16" i="94" s="1"/>
  <c r="E16" i="94" a="1"/>
  <c r="E16" i="94" s="1"/>
  <c r="D16" i="94" a="1"/>
  <c r="D16" i="94" s="1"/>
  <c r="F15" i="94" a="1"/>
  <c r="F15" i="94" s="1"/>
  <c r="E15" i="94" a="1"/>
  <c r="E15" i="94" s="1"/>
  <c r="D15" i="94" a="1"/>
  <c r="D15" i="94" s="1"/>
  <c r="F14" i="94" a="1"/>
  <c r="F14" i="94" s="1"/>
  <c r="E14" i="94" a="1"/>
  <c r="E14" i="94" s="1"/>
  <c r="D14" i="94" a="1"/>
  <c r="D14" i="94" s="1"/>
  <c r="F13" i="94" a="1"/>
  <c r="F13" i="94" s="1"/>
  <c r="E13" i="94" a="1"/>
  <c r="E13" i="94" s="1"/>
  <c r="D13" i="94" a="1"/>
  <c r="D13" i="94" s="1"/>
  <c r="F12" i="94" a="1"/>
  <c r="F12" i="94" s="1"/>
  <c r="E12" i="94" a="1"/>
  <c r="E12" i="94" s="1"/>
  <c r="D12" i="94" a="1"/>
  <c r="D12" i="94" s="1"/>
  <c r="F11" i="94" a="1"/>
  <c r="F11" i="94" s="1"/>
  <c r="E11" i="94" a="1"/>
  <c r="E11" i="94" s="1"/>
  <c r="D11" i="94" a="1"/>
  <c r="D11" i="94" s="1"/>
  <c r="F10" i="94" a="1"/>
  <c r="F10" i="94" s="1"/>
  <c r="E10" i="94" a="1"/>
  <c r="E10" i="94" s="1"/>
  <c r="D10" i="94" a="1"/>
  <c r="D10" i="94" s="1"/>
  <c r="D7" i="94" a="1"/>
  <c r="D7" i="94" s="1"/>
  <c r="D6" i="94" a="1"/>
  <c r="D6" i="94" s="1"/>
  <c r="D5" i="94" a="1"/>
  <c r="D5" i="94" s="1"/>
  <c r="J37" i="93"/>
  <c r="J33" i="93" s="1"/>
  <c r="J32" i="93"/>
  <c r="J31" i="93"/>
  <c r="H31" i="93" a="1"/>
  <c r="H31" i="93" s="1"/>
  <c r="D31" i="93" a="1"/>
  <c r="D31" i="93" s="1"/>
  <c r="E29" i="93" a="1"/>
  <c r="E29" i="93" s="1"/>
  <c r="F39" i="93" s="1"/>
  <c r="E28" i="93" a="1"/>
  <c r="E28" i="93" s="1"/>
  <c r="D24" i="93" a="1"/>
  <c r="D24" i="93" s="1"/>
  <c r="D23" i="93" a="1"/>
  <c r="D23" i="93" s="1"/>
  <c r="D22" i="93" a="1"/>
  <c r="D22" i="93" s="1"/>
  <c r="I16" i="93"/>
  <c r="I15" i="93" s="1" a="1"/>
  <c r="I15" i="93" s="1"/>
  <c r="I14" i="93"/>
  <c r="G14" i="93" a="1"/>
  <c r="G14" i="93" s="1"/>
  <c r="D14" i="93" a="1"/>
  <c r="D14" i="93" s="1"/>
  <c r="E12" i="93" a="1"/>
  <c r="E12" i="93" s="1"/>
  <c r="F18" i="93" s="1"/>
  <c r="E11" i="93" a="1"/>
  <c r="E11" i="93" s="1"/>
  <c r="D7" i="93" a="1"/>
  <c r="D7" i="93" s="1"/>
  <c r="D6" i="93" a="1"/>
  <c r="D6" i="93" s="1"/>
  <c r="D5" i="93" a="1"/>
  <c r="D5" i="93" s="1"/>
  <c r="E6" i="92"/>
  <c r="AE153" i="91" a="1"/>
  <c r="AE153" i="91" s="1"/>
  <c r="AD153" i="91" a="1"/>
  <c r="AD153" i="91" s="1"/>
  <c r="AC153" i="91" a="1"/>
  <c r="AC153" i="91" s="1"/>
  <c r="AB153" i="91" a="1"/>
  <c r="AB153" i="91" s="1"/>
  <c r="AA153" i="91" a="1"/>
  <c r="AA153" i="91" s="1"/>
  <c r="Z153" i="91" a="1"/>
  <c r="Z153" i="91" s="1"/>
  <c r="Y153" i="91" a="1"/>
  <c r="Y153" i="91" s="1"/>
  <c r="X153" i="91" a="1"/>
  <c r="X153" i="91" s="1"/>
  <c r="W153" i="91" a="1"/>
  <c r="W153" i="91" s="1"/>
  <c r="V153" i="91" a="1"/>
  <c r="V153" i="91" s="1"/>
  <c r="U153" i="91" a="1"/>
  <c r="U153" i="91" s="1"/>
  <c r="T153" i="91" a="1"/>
  <c r="T153" i="91" s="1"/>
  <c r="S153" i="91" a="1"/>
  <c r="S153" i="91" s="1"/>
  <c r="R153" i="91" a="1"/>
  <c r="R153" i="91" s="1"/>
  <c r="Q153" i="91" a="1"/>
  <c r="Q153" i="91" s="1"/>
  <c r="P153" i="91" a="1"/>
  <c r="P153" i="91" s="1"/>
  <c r="O153" i="91" a="1"/>
  <c r="O153" i="91" s="1"/>
  <c r="N153" i="91" a="1"/>
  <c r="N153" i="91" s="1"/>
  <c r="M153" i="91" a="1"/>
  <c r="M153" i="91" s="1"/>
  <c r="L153" i="91" a="1"/>
  <c r="L153" i="91" s="1"/>
  <c r="K153" i="91" a="1"/>
  <c r="K153" i="91" s="1"/>
  <c r="J153" i="91" a="1"/>
  <c r="J153" i="91" s="1"/>
  <c r="I153" i="91" a="1"/>
  <c r="I153" i="91" s="1"/>
  <c r="H153" i="91" a="1"/>
  <c r="H153" i="91" s="1"/>
  <c r="G153" i="91" a="1"/>
  <c r="G153" i="91" s="1"/>
  <c r="F153" i="91" a="1"/>
  <c r="F153" i="91" s="1"/>
  <c r="E153" i="91" a="1"/>
  <c r="E153" i="91" s="1"/>
  <c r="D153" i="91" a="1"/>
  <c r="D153" i="91" s="1"/>
  <c r="AE152" i="91" a="1"/>
  <c r="AE152" i="91" s="1"/>
  <c r="AD152" i="91" a="1"/>
  <c r="AD152" i="91" s="1"/>
  <c r="AC152" i="91" a="1"/>
  <c r="AC152" i="91" s="1"/>
  <c r="AB152" i="91" a="1"/>
  <c r="AB152" i="91" s="1"/>
  <c r="AA152" i="91" a="1"/>
  <c r="AA152" i="91" s="1"/>
  <c r="Z152" i="91" a="1"/>
  <c r="Z152" i="91" s="1"/>
  <c r="Y152" i="91" a="1"/>
  <c r="Y152" i="91" s="1"/>
  <c r="X152" i="91" a="1"/>
  <c r="X152" i="91" s="1"/>
  <c r="W152" i="91" a="1"/>
  <c r="W152" i="91" s="1"/>
  <c r="V152" i="91" a="1"/>
  <c r="V152" i="91" s="1"/>
  <c r="U152" i="91" a="1"/>
  <c r="U152" i="91" s="1"/>
  <c r="T152" i="91" a="1"/>
  <c r="T152" i="91" s="1"/>
  <c r="S152" i="91" a="1"/>
  <c r="S152" i="91" s="1"/>
  <c r="R152" i="91" a="1"/>
  <c r="R152" i="91" s="1"/>
  <c r="Q152" i="91" a="1"/>
  <c r="Q152" i="91" s="1"/>
  <c r="P152" i="91" a="1"/>
  <c r="P152" i="91" s="1"/>
  <c r="O152" i="91" a="1"/>
  <c r="O152" i="91" s="1"/>
  <c r="N152" i="91" a="1"/>
  <c r="N152" i="91" s="1"/>
  <c r="M152" i="91" a="1"/>
  <c r="M152" i="91" s="1"/>
  <c r="L152" i="91" a="1"/>
  <c r="L152" i="91" s="1"/>
  <c r="K152" i="91" a="1"/>
  <c r="K152" i="91" s="1"/>
  <c r="J152" i="91" a="1"/>
  <c r="J152" i="91" s="1"/>
  <c r="I152" i="91" a="1"/>
  <c r="I152" i="91" s="1"/>
  <c r="H152" i="91" a="1"/>
  <c r="H152" i="91" s="1"/>
  <c r="G152" i="91" a="1"/>
  <c r="G152" i="91" s="1"/>
  <c r="F152" i="91" a="1"/>
  <c r="F152" i="91" s="1"/>
  <c r="E152" i="91" a="1"/>
  <c r="E152" i="91" s="1"/>
  <c r="D152" i="91" a="1"/>
  <c r="D152" i="91" s="1"/>
  <c r="AE151" i="91" a="1"/>
  <c r="AE151" i="91" s="1"/>
  <c r="AD151" i="91" a="1"/>
  <c r="AD151" i="91" s="1"/>
  <c r="AC151" i="91" a="1"/>
  <c r="AC151" i="91" s="1"/>
  <c r="AB151" i="91" a="1"/>
  <c r="AB151" i="91" s="1"/>
  <c r="AA151" i="91" a="1"/>
  <c r="AA151" i="91" s="1"/>
  <c r="Z151" i="91" a="1"/>
  <c r="Z151" i="91" s="1"/>
  <c r="Y151" i="91" a="1"/>
  <c r="Y151" i="91" s="1"/>
  <c r="X151" i="91" a="1"/>
  <c r="X151" i="91" s="1"/>
  <c r="W151" i="91" a="1"/>
  <c r="W151" i="91" s="1"/>
  <c r="V151" i="91" a="1"/>
  <c r="V151" i="91" s="1"/>
  <c r="U151" i="91" a="1"/>
  <c r="U151" i="91" s="1"/>
  <c r="T151" i="91" a="1"/>
  <c r="T151" i="91" s="1"/>
  <c r="S151" i="91" a="1"/>
  <c r="S151" i="91" s="1"/>
  <c r="R151" i="91" a="1"/>
  <c r="R151" i="91" s="1"/>
  <c r="Q151" i="91" a="1"/>
  <c r="Q151" i="91" s="1"/>
  <c r="P151" i="91" a="1"/>
  <c r="P151" i="91" s="1"/>
  <c r="O151" i="91" a="1"/>
  <c r="O151" i="91" s="1"/>
  <c r="N151" i="91" a="1"/>
  <c r="N151" i="91" s="1"/>
  <c r="M151" i="91" a="1"/>
  <c r="M151" i="91" s="1"/>
  <c r="L151" i="91" a="1"/>
  <c r="L151" i="91" s="1"/>
  <c r="K151" i="91" a="1"/>
  <c r="K151" i="91" s="1"/>
  <c r="J151" i="91" a="1"/>
  <c r="J151" i="91" s="1"/>
  <c r="I151" i="91" a="1"/>
  <c r="I151" i="91" s="1"/>
  <c r="H151" i="91" a="1"/>
  <c r="H151" i="91" s="1"/>
  <c r="G151" i="91" a="1"/>
  <c r="G151" i="91" s="1"/>
  <c r="F151" i="91" a="1"/>
  <c r="F151" i="91" s="1"/>
  <c r="E151" i="91" a="1"/>
  <c r="E151" i="91" s="1"/>
  <c r="D151" i="91" a="1"/>
  <c r="D151" i="91" s="1"/>
  <c r="AE150" i="91" a="1"/>
  <c r="AE150" i="91" s="1"/>
  <c r="AD150" i="91" a="1"/>
  <c r="AD150" i="91" s="1"/>
  <c r="AC150" i="91" a="1"/>
  <c r="AC150" i="91" s="1"/>
  <c r="AB150" i="91" a="1"/>
  <c r="AB150" i="91" s="1"/>
  <c r="AA150" i="91" a="1"/>
  <c r="AA150" i="91" s="1"/>
  <c r="Z150" i="91" a="1"/>
  <c r="Z150" i="91" s="1"/>
  <c r="Y150" i="91" a="1"/>
  <c r="Y150" i="91" s="1"/>
  <c r="X150" i="91" a="1"/>
  <c r="X150" i="91" s="1"/>
  <c r="W150" i="91" a="1"/>
  <c r="W150" i="91" s="1"/>
  <c r="V150" i="91" a="1"/>
  <c r="V150" i="91" s="1"/>
  <c r="U150" i="91" a="1"/>
  <c r="U150" i="91" s="1"/>
  <c r="T150" i="91" a="1"/>
  <c r="T150" i="91" s="1"/>
  <c r="S150" i="91" a="1"/>
  <c r="S150" i="91" s="1"/>
  <c r="R150" i="91" a="1"/>
  <c r="R150" i="91" s="1"/>
  <c r="Q150" i="91" a="1"/>
  <c r="Q150" i="91" s="1"/>
  <c r="P150" i="91" a="1"/>
  <c r="P150" i="91" s="1"/>
  <c r="O150" i="91" a="1"/>
  <c r="O150" i="91" s="1"/>
  <c r="N150" i="91" a="1"/>
  <c r="N150" i="91" s="1"/>
  <c r="M150" i="91" a="1"/>
  <c r="M150" i="91" s="1"/>
  <c r="L150" i="91" a="1"/>
  <c r="L150" i="91" s="1"/>
  <c r="K150" i="91" a="1"/>
  <c r="K150" i="91" s="1"/>
  <c r="J150" i="91" a="1"/>
  <c r="J150" i="91" s="1"/>
  <c r="I150" i="91" a="1"/>
  <c r="I150" i="91" s="1"/>
  <c r="H150" i="91" a="1"/>
  <c r="H150" i="91" s="1"/>
  <c r="G150" i="91" a="1"/>
  <c r="G150" i="91" s="1"/>
  <c r="F150" i="91" a="1"/>
  <c r="F150" i="91" s="1"/>
  <c r="E150" i="91" a="1"/>
  <c r="E150" i="91" s="1"/>
  <c r="D150" i="91" a="1"/>
  <c r="D150" i="91" s="1"/>
  <c r="AE149" i="91" a="1"/>
  <c r="AE149" i="91" s="1"/>
  <c r="AD149" i="91" a="1"/>
  <c r="AD149" i="91" s="1"/>
  <c r="AC149" i="91" a="1"/>
  <c r="AC149" i="91" s="1"/>
  <c r="AB149" i="91" a="1"/>
  <c r="AB149" i="91" s="1"/>
  <c r="AA149" i="91" a="1"/>
  <c r="AA149" i="91" s="1"/>
  <c r="Z149" i="91" a="1"/>
  <c r="Z149" i="91" s="1"/>
  <c r="Y149" i="91" a="1"/>
  <c r="Y149" i="91" s="1"/>
  <c r="X149" i="91" a="1"/>
  <c r="X149" i="91" s="1"/>
  <c r="W149" i="91" a="1"/>
  <c r="W149" i="91" s="1"/>
  <c r="V149" i="91" a="1"/>
  <c r="V149" i="91" s="1"/>
  <c r="U149" i="91" a="1"/>
  <c r="U149" i="91" s="1"/>
  <c r="T149" i="91" a="1"/>
  <c r="T149" i="91" s="1"/>
  <c r="S149" i="91" a="1"/>
  <c r="S149" i="91" s="1"/>
  <c r="R149" i="91" a="1"/>
  <c r="R149" i="91" s="1"/>
  <c r="Q149" i="91" a="1"/>
  <c r="Q149" i="91" s="1"/>
  <c r="P149" i="91" a="1"/>
  <c r="P149" i="91" s="1"/>
  <c r="O149" i="91" a="1"/>
  <c r="O149" i="91" s="1"/>
  <c r="N149" i="91" a="1"/>
  <c r="N149" i="91" s="1"/>
  <c r="M149" i="91" a="1"/>
  <c r="M149" i="91" s="1"/>
  <c r="L149" i="91" a="1"/>
  <c r="L149" i="91" s="1"/>
  <c r="K149" i="91" a="1"/>
  <c r="K149" i="91" s="1"/>
  <c r="J149" i="91" a="1"/>
  <c r="J149" i="91" s="1"/>
  <c r="I149" i="91" a="1"/>
  <c r="I149" i="91" s="1"/>
  <c r="H149" i="91" a="1"/>
  <c r="H149" i="91" s="1"/>
  <c r="G149" i="91" a="1"/>
  <c r="G149" i="91" s="1"/>
  <c r="F149" i="91" a="1"/>
  <c r="F149" i="91" s="1"/>
  <c r="E149" i="91" a="1"/>
  <c r="E149" i="91" s="1"/>
  <c r="D149" i="91" a="1"/>
  <c r="D149" i="91" s="1"/>
  <c r="AE148" i="91" a="1"/>
  <c r="AE148" i="91" s="1"/>
  <c r="AD148" i="91" a="1"/>
  <c r="AD148" i="91" s="1"/>
  <c r="AC148" i="91" a="1"/>
  <c r="AC148" i="91" s="1"/>
  <c r="AB148" i="91" a="1"/>
  <c r="AB148" i="91" s="1"/>
  <c r="AA148" i="91" a="1"/>
  <c r="AA148" i="91" s="1"/>
  <c r="Z148" i="91" a="1"/>
  <c r="Z148" i="91" s="1"/>
  <c r="Y148" i="91" a="1"/>
  <c r="Y148" i="91" s="1"/>
  <c r="X148" i="91" a="1"/>
  <c r="X148" i="91" s="1"/>
  <c r="W148" i="91" a="1"/>
  <c r="W148" i="91" s="1"/>
  <c r="V148" i="91" a="1"/>
  <c r="V148" i="91" s="1"/>
  <c r="U148" i="91" a="1"/>
  <c r="U148" i="91" s="1"/>
  <c r="T148" i="91" a="1"/>
  <c r="T148" i="91" s="1"/>
  <c r="S148" i="91" a="1"/>
  <c r="S148" i="91" s="1"/>
  <c r="R148" i="91" a="1"/>
  <c r="R148" i="91" s="1"/>
  <c r="Q148" i="91" a="1"/>
  <c r="Q148" i="91" s="1"/>
  <c r="P148" i="91" a="1"/>
  <c r="P148" i="91" s="1"/>
  <c r="O148" i="91" a="1"/>
  <c r="O148" i="91" s="1"/>
  <c r="N148" i="91" a="1"/>
  <c r="N148" i="91" s="1"/>
  <c r="M148" i="91" a="1"/>
  <c r="M148" i="91" s="1"/>
  <c r="L148" i="91" a="1"/>
  <c r="L148" i="91" s="1"/>
  <c r="K148" i="91" a="1"/>
  <c r="K148" i="91" s="1"/>
  <c r="J148" i="91" a="1"/>
  <c r="J148" i="91" s="1"/>
  <c r="I148" i="91" a="1"/>
  <c r="I148" i="91" s="1"/>
  <c r="H148" i="91" a="1"/>
  <c r="H148" i="91" s="1"/>
  <c r="G148" i="91" a="1"/>
  <c r="G148" i="91" s="1"/>
  <c r="F148" i="91" a="1"/>
  <c r="F148" i="91" s="1"/>
  <c r="E148" i="91" a="1"/>
  <c r="E148" i="91" s="1"/>
  <c r="D148" i="91" a="1"/>
  <c r="D148" i="91" s="1"/>
  <c r="AE147" i="91" a="1"/>
  <c r="AE147" i="91" s="1"/>
  <c r="AD147" i="91" a="1"/>
  <c r="AD147" i="91" s="1"/>
  <c r="AC147" i="91" a="1"/>
  <c r="AC147" i="91" s="1"/>
  <c r="AB147" i="91" a="1"/>
  <c r="AB147" i="91" s="1"/>
  <c r="AA147" i="91" a="1"/>
  <c r="AA147" i="91" s="1"/>
  <c r="Z147" i="91" a="1"/>
  <c r="Z147" i="91" s="1"/>
  <c r="Y147" i="91" a="1"/>
  <c r="Y147" i="91" s="1"/>
  <c r="X147" i="91" a="1"/>
  <c r="X147" i="91" s="1"/>
  <c r="W147" i="91" a="1"/>
  <c r="W147" i="91" s="1"/>
  <c r="V147" i="91" a="1"/>
  <c r="V147" i="91" s="1"/>
  <c r="U147" i="91" a="1"/>
  <c r="U147" i="91" s="1"/>
  <c r="T147" i="91" a="1"/>
  <c r="T147" i="91" s="1"/>
  <c r="S147" i="91" a="1"/>
  <c r="S147" i="91" s="1"/>
  <c r="R147" i="91" a="1"/>
  <c r="R147" i="91" s="1"/>
  <c r="Q147" i="91" a="1"/>
  <c r="Q147" i="91" s="1"/>
  <c r="P147" i="91" a="1"/>
  <c r="P147" i="91" s="1"/>
  <c r="O147" i="91" a="1"/>
  <c r="O147" i="91" s="1"/>
  <c r="N147" i="91" a="1"/>
  <c r="N147" i="91" s="1"/>
  <c r="M147" i="91" a="1"/>
  <c r="M147" i="91" s="1"/>
  <c r="L147" i="91" a="1"/>
  <c r="L147" i="91" s="1"/>
  <c r="K147" i="91" a="1"/>
  <c r="K147" i="91" s="1"/>
  <c r="J147" i="91" a="1"/>
  <c r="J147" i="91" s="1"/>
  <c r="I147" i="91" a="1"/>
  <c r="I147" i="91" s="1"/>
  <c r="H147" i="91" a="1"/>
  <c r="H147" i="91" s="1"/>
  <c r="G147" i="91" a="1"/>
  <c r="G147" i="91" s="1"/>
  <c r="F147" i="91" a="1"/>
  <c r="F147" i="91" s="1"/>
  <c r="E147" i="91" a="1"/>
  <c r="E147" i="91" s="1"/>
  <c r="D147" i="91" a="1"/>
  <c r="D147" i="91" s="1"/>
  <c r="AE146" i="91" a="1"/>
  <c r="AE146" i="91" s="1"/>
  <c r="AD146" i="91" a="1"/>
  <c r="AD146" i="91" s="1"/>
  <c r="AC146" i="91" a="1"/>
  <c r="AC146" i="91" s="1"/>
  <c r="AB146" i="91" a="1"/>
  <c r="AB146" i="91" s="1"/>
  <c r="AA146" i="91" a="1"/>
  <c r="AA146" i="91" s="1"/>
  <c r="Z146" i="91" a="1"/>
  <c r="Z146" i="91" s="1"/>
  <c r="Y146" i="91" a="1"/>
  <c r="Y146" i="91" s="1"/>
  <c r="X146" i="91" a="1"/>
  <c r="X146" i="91" s="1"/>
  <c r="W146" i="91" a="1"/>
  <c r="W146" i="91" s="1"/>
  <c r="V146" i="91" a="1"/>
  <c r="V146" i="91" s="1"/>
  <c r="U146" i="91" a="1"/>
  <c r="U146" i="91" s="1"/>
  <c r="T146" i="91" a="1"/>
  <c r="T146" i="91" s="1"/>
  <c r="S146" i="91" a="1"/>
  <c r="S146" i="91" s="1"/>
  <c r="R146" i="91" a="1"/>
  <c r="R146" i="91" s="1"/>
  <c r="Q146" i="91" a="1"/>
  <c r="Q146" i="91" s="1"/>
  <c r="P146" i="91" a="1"/>
  <c r="P146" i="91" s="1"/>
  <c r="O146" i="91" a="1"/>
  <c r="O146" i="91" s="1"/>
  <c r="N146" i="91" a="1"/>
  <c r="N146" i="91" s="1"/>
  <c r="M146" i="91" a="1"/>
  <c r="M146" i="91" s="1"/>
  <c r="L146" i="91" a="1"/>
  <c r="L146" i="91" s="1"/>
  <c r="K146" i="91" a="1"/>
  <c r="K146" i="91" s="1"/>
  <c r="J146" i="91" a="1"/>
  <c r="J146" i="91" s="1"/>
  <c r="I146" i="91" a="1"/>
  <c r="I146" i="91" s="1"/>
  <c r="H146" i="91" a="1"/>
  <c r="H146" i="91" s="1"/>
  <c r="G146" i="91" a="1"/>
  <c r="G146" i="91" s="1"/>
  <c r="F146" i="91" a="1"/>
  <c r="F146" i="91" s="1"/>
  <c r="E146" i="91" a="1"/>
  <c r="E146" i="91" s="1"/>
  <c r="D146" i="91" a="1"/>
  <c r="D146" i="91" s="1"/>
  <c r="AE145" i="91" a="1"/>
  <c r="AE145" i="91" s="1"/>
  <c r="AD145" i="91" a="1"/>
  <c r="AD145" i="91" s="1"/>
  <c r="AC145" i="91" a="1"/>
  <c r="AC145" i="91" s="1"/>
  <c r="AB145" i="91" a="1"/>
  <c r="AB145" i="91" s="1"/>
  <c r="AA145" i="91" a="1"/>
  <c r="AA145" i="91" s="1"/>
  <c r="Z145" i="91" a="1"/>
  <c r="Z145" i="91" s="1"/>
  <c r="Y145" i="91" a="1"/>
  <c r="Y145" i="91" s="1"/>
  <c r="X145" i="91" a="1"/>
  <c r="X145" i="91" s="1"/>
  <c r="W145" i="91" a="1"/>
  <c r="W145" i="91" s="1"/>
  <c r="V145" i="91" a="1"/>
  <c r="V145" i="91" s="1"/>
  <c r="U145" i="91" a="1"/>
  <c r="U145" i="91" s="1"/>
  <c r="T145" i="91" a="1"/>
  <c r="T145" i="91" s="1"/>
  <c r="S145" i="91" a="1"/>
  <c r="S145" i="91" s="1"/>
  <c r="R145" i="91" a="1"/>
  <c r="R145" i="91" s="1"/>
  <c r="Q145" i="91" a="1"/>
  <c r="Q145" i="91" s="1"/>
  <c r="P145" i="91" a="1"/>
  <c r="P145" i="91" s="1"/>
  <c r="O145" i="91" a="1"/>
  <c r="O145" i="91" s="1"/>
  <c r="N145" i="91" a="1"/>
  <c r="N145" i="91" s="1"/>
  <c r="M145" i="91" a="1"/>
  <c r="M145" i="91" s="1"/>
  <c r="L145" i="91" a="1"/>
  <c r="L145" i="91" s="1"/>
  <c r="K145" i="91" a="1"/>
  <c r="K145" i="91" s="1"/>
  <c r="J145" i="91" a="1"/>
  <c r="J145" i="91" s="1"/>
  <c r="I145" i="91" a="1"/>
  <c r="I145" i="91" s="1"/>
  <c r="H145" i="91" a="1"/>
  <c r="H145" i="91" s="1"/>
  <c r="G145" i="91" a="1"/>
  <c r="G145" i="91" s="1"/>
  <c r="F145" i="91" a="1"/>
  <c r="F145" i="91" s="1"/>
  <c r="E145" i="91" a="1"/>
  <c r="E145" i="91" s="1"/>
  <c r="D145" i="91" a="1"/>
  <c r="D145" i="91" s="1"/>
  <c r="AE144" i="91" a="1"/>
  <c r="AE144" i="91" s="1"/>
  <c r="AD144" i="91" a="1"/>
  <c r="AD144" i="91" s="1"/>
  <c r="AC144" i="91" a="1"/>
  <c r="AC144" i="91" s="1"/>
  <c r="AB144" i="91" a="1"/>
  <c r="AB144" i="91" s="1"/>
  <c r="AA144" i="91" a="1"/>
  <c r="AA144" i="91" s="1"/>
  <c r="Z144" i="91" a="1"/>
  <c r="Z144" i="91" s="1"/>
  <c r="Y144" i="91" a="1"/>
  <c r="Y144" i="91" s="1"/>
  <c r="X144" i="91" a="1"/>
  <c r="X144" i="91" s="1"/>
  <c r="W144" i="91" a="1"/>
  <c r="W144" i="91" s="1"/>
  <c r="V144" i="91" a="1"/>
  <c r="V144" i="91" s="1"/>
  <c r="U144" i="91" a="1"/>
  <c r="U144" i="91" s="1"/>
  <c r="T144" i="91" a="1"/>
  <c r="T144" i="91" s="1"/>
  <c r="S144" i="91" a="1"/>
  <c r="S144" i="91" s="1"/>
  <c r="R144" i="91" a="1"/>
  <c r="R144" i="91" s="1"/>
  <c r="Q144" i="91" a="1"/>
  <c r="Q144" i="91" s="1"/>
  <c r="P144" i="91" a="1"/>
  <c r="P144" i="91" s="1"/>
  <c r="O144" i="91" a="1"/>
  <c r="O144" i="91" s="1"/>
  <c r="N144" i="91" a="1"/>
  <c r="N144" i="91" s="1"/>
  <c r="M144" i="91" a="1"/>
  <c r="M144" i="91" s="1"/>
  <c r="L144" i="91" a="1"/>
  <c r="L144" i="91" s="1"/>
  <c r="K144" i="91" a="1"/>
  <c r="K144" i="91" s="1"/>
  <c r="J144" i="91" a="1"/>
  <c r="J144" i="91" s="1"/>
  <c r="I144" i="91" a="1"/>
  <c r="I144" i="91" s="1"/>
  <c r="H144" i="91" a="1"/>
  <c r="H144" i="91" s="1"/>
  <c r="G144" i="91" a="1"/>
  <c r="G144" i="91" s="1"/>
  <c r="F144" i="91" a="1"/>
  <c r="F144" i="91" s="1"/>
  <c r="E144" i="91" a="1"/>
  <c r="E144" i="91" s="1"/>
  <c r="D144" i="91" a="1"/>
  <c r="D144" i="91" s="1"/>
  <c r="AE143" i="91" a="1"/>
  <c r="AE143" i="91" s="1"/>
  <c r="AD143" i="91" a="1"/>
  <c r="AD143" i="91" s="1"/>
  <c r="AC143" i="91" a="1"/>
  <c r="AC143" i="91" s="1"/>
  <c r="AB143" i="91" a="1"/>
  <c r="AB143" i="91" s="1"/>
  <c r="AA143" i="91" a="1"/>
  <c r="AA143" i="91" s="1"/>
  <c r="Z143" i="91" a="1"/>
  <c r="Z143" i="91" s="1"/>
  <c r="Y143" i="91" a="1"/>
  <c r="Y143" i="91" s="1"/>
  <c r="X143" i="91" a="1"/>
  <c r="X143" i="91" s="1"/>
  <c r="W143" i="91" a="1"/>
  <c r="W143" i="91" s="1"/>
  <c r="V143" i="91" a="1"/>
  <c r="V143" i="91" s="1"/>
  <c r="U143" i="91" a="1"/>
  <c r="U143" i="91" s="1"/>
  <c r="T143" i="91" a="1"/>
  <c r="T143" i="91" s="1"/>
  <c r="S143" i="91" a="1"/>
  <c r="S143" i="91" s="1"/>
  <c r="R143" i="91" a="1"/>
  <c r="R143" i="91" s="1"/>
  <c r="Q143" i="91" a="1"/>
  <c r="Q143" i="91" s="1"/>
  <c r="P143" i="91" a="1"/>
  <c r="P143" i="91" s="1"/>
  <c r="O143" i="91" a="1"/>
  <c r="O143" i="91" s="1"/>
  <c r="N143" i="91" a="1"/>
  <c r="N143" i="91" s="1"/>
  <c r="M143" i="91" a="1"/>
  <c r="M143" i="91" s="1"/>
  <c r="L143" i="91" a="1"/>
  <c r="L143" i="91" s="1"/>
  <c r="K143" i="91" a="1"/>
  <c r="K143" i="91" s="1"/>
  <c r="J143" i="91" a="1"/>
  <c r="J143" i="91" s="1"/>
  <c r="I143" i="91" a="1"/>
  <c r="I143" i="91" s="1"/>
  <c r="H143" i="91" a="1"/>
  <c r="H143" i="91" s="1"/>
  <c r="G143" i="91" a="1"/>
  <c r="G143" i="91" s="1"/>
  <c r="F143" i="91" a="1"/>
  <c r="F143" i="91" s="1"/>
  <c r="E143" i="91" a="1"/>
  <c r="E143" i="91" s="1"/>
  <c r="D143" i="91" a="1"/>
  <c r="D143" i="91" s="1"/>
  <c r="AE142" i="91" a="1"/>
  <c r="AE142" i="91" s="1"/>
  <c r="AD142" i="91" a="1"/>
  <c r="AD142" i="91" s="1"/>
  <c r="AC142" i="91" a="1"/>
  <c r="AC142" i="91" s="1"/>
  <c r="AB142" i="91" a="1"/>
  <c r="AB142" i="91" s="1"/>
  <c r="AA142" i="91" a="1"/>
  <c r="AA142" i="91" s="1"/>
  <c r="Z142" i="91" a="1"/>
  <c r="Z142" i="91" s="1"/>
  <c r="Y142" i="91" a="1"/>
  <c r="Y142" i="91" s="1"/>
  <c r="X142" i="91" a="1"/>
  <c r="X142" i="91" s="1"/>
  <c r="W142" i="91" a="1"/>
  <c r="W142" i="91" s="1"/>
  <c r="V142" i="91" a="1"/>
  <c r="V142" i="91" s="1"/>
  <c r="U142" i="91" a="1"/>
  <c r="U142" i="91" s="1"/>
  <c r="T142" i="91" a="1"/>
  <c r="T142" i="91" s="1"/>
  <c r="S142" i="91" a="1"/>
  <c r="S142" i="91" s="1"/>
  <c r="R142" i="91" a="1"/>
  <c r="R142" i="91" s="1"/>
  <c r="Q142" i="91" a="1"/>
  <c r="Q142" i="91" s="1"/>
  <c r="P142" i="91" a="1"/>
  <c r="P142" i="91" s="1"/>
  <c r="O142" i="91" a="1"/>
  <c r="O142" i="91" s="1"/>
  <c r="N142" i="91" a="1"/>
  <c r="N142" i="91" s="1"/>
  <c r="M142" i="91" a="1"/>
  <c r="M142" i="91" s="1"/>
  <c r="L142" i="91" a="1"/>
  <c r="L142" i="91" s="1"/>
  <c r="K142" i="91" a="1"/>
  <c r="K142" i="91" s="1"/>
  <c r="J142" i="91" a="1"/>
  <c r="J142" i="91" s="1"/>
  <c r="I142" i="91" a="1"/>
  <c r="I142" i="91" s="1"/>
  <c r="H142" i="91" a="1"/>
  <c r="H142" i="91" s="1"/>
  <c r="G142" i="91" a="1"/>
  <c r="G142" i="91" s="1"/>
  <c r="F142" i="91" a="1"/>
  <c r="F142" i="91" s="1"/>
  <c r="E142" i="91" a="1"/>
  <c r="E142" i="91" s="1"/>
  <c r="D142" i="91" a="1"/>
  <c r="D142" i="91" s="1"/>
  <c r="AE141" i="91" a="1"/>
  <c r="AE141" i="91" s="1"/>
  <c r="AD141" i="91" a="1"/>
  <c r="AD141" i="91" s="1"/>
  <c r="AC141" i="91" a="1"/>
  <c r="AC141" i="91" s="1"/>
  <c r="AB141" i="91" a="1"/>
  <c r="AB141" i="91" s="1"/>
  <c r="AA141" i="91" a="1"/>
  <c r="AA141" i="91" s="1"/>
  <c r="Z141" i="91" a="1"/>
  <c r="Z141" i="91" s="1"/>
  <c r="Y141" i="91" a="1"/>
  <c r="Y141" i="91" s="1"/>
  <c r="X141" i="91" a="1"/>
  <c r="X141" i="91" s="1"/>
  <c r="W141" i="91" a="1"/>
  <c r="W141" i="91" s="1"/>
  <c r="V141" i="91" a="1"/>
  <c r="V141" i="91" s="1"/>
  <c r="U141" i="91" a="1"/>
  <c r="U141" i="91" s="1"/>
  <c r="T141" i="91" a="1"/>
  <c r="T141" i="91" s="1"/>
  <c r="S141" i="91" a="1"/>
  <c r="S141" i="91" s="1"/>
  <c r="R141" i="91" a="1"/>
  <c r="R141" i="91" s="1"/>
  <c r="Q141" i="91" a="1"/>
  <c r="Q141" i="91" s="1"/>
  <c r="P141" i="91" a="1"/>
  <c r="P141" i="91" s="1"/>
  <c r="O141" i="91" a="1"/>
  <c r="O141" i="91" s="1"/>
  <c r="N141" i="91" a="1"/>
  <c r="N141" i="91" s="1"/>
  <c r="M141" i="91" a="1"/>
  <c r="M141" i="91" s="1"/>
  <c r="L141" i="91" a="1"/>
  <c r="L141" i="91" s="1"/>
  <c r="K141" i="91" a="1"/>
  <c r="K141" i="91" s="1"/>
  <c r="J141" i="91" a="1"/>
  <c r="J141" i="91" s="1"/>
  <c r="I141" i="91" a="1"/>
  <c r="I141" i="91" s="1"/>
  <c r="H141" i="91" a="1"/>
  <c r="H141" i="91" s="1"/>
  <c r="G141" i="91" a="1"/>
  <c r="G141" i="91" s="1"/>
  <c r="F141" i="91" a="1"/>
  <c r="F141" i="91" s="1"/>
  <c r="E141" i="91" a="1"/>
  <c r="E141" i="91" s="1"/>
  <c r="D141" i="91" a="1"/>
  <c r="D141" i="91" s="1"/>
  <c r="AE140" i="91" a="1"/>
  <c r="AE140" i="91" s="1"/>
  <c r="AD140" i="91" a="1"/>
  <c r="AD140" i="91" s="1"/>
  <c r="AC140" i="91" a="1"/>
  <c r="AC140" i="91" s="1"/>
  <c r="AB140" i="91" a="1"/>
  <c r="AB140" i="91" s="1"/>
  <c r="AA140" i="91" a="1"/>
  <c r="AA140" i="91" s="1"/>
  <c r="Z140" i="91" a="1"/>
  <c r="Z140" i="91" s="1"/>
  <c r="Y140" i="91" a="1"/>
  <c r="Y140" i="91" s="1"/>
  <c r="X140" i="91" a="1"/>
  <c r="X140" i="91" s="1"/>
  <c r="W140" i="91" a="1"/>
  <c r="W140" i="91" s="1"/>
  <c r="V140" i="91" a="1"/>
  <c r="V140" i="91" s="1"/>
  <c r="U140" i="91" a="1"/>
  <c r="U140" i="91" s="1"/>
  <c r="T140" i="91" a="1"/>
  <c r="T140" i="91" s="1"/>
  <c r="S140" i="91" a="1"/>
  <c r="S140" i="91" s="1"/>
  <c r="R140" i="91" a="1"/>
  <c r="R140" i="91" s="1"/>
  <c r="Q140" i="91" a="1"/>
  <c r="Q140" i="91" s="1"/>
  <c r="P140" i="91" a="1"/>
  <c r="P140" i="91" s="1"/>
  <c r="O140" i="91" a="1"/>
  <c r="O140" i="91" s="1"/>
  <c r="N140" i="91" a="1"/>
  <c r="N140" i="91" s="1"/>
  <c r="M140" i="91" a="1"/>
  <c r="M140" i="91" s="1"/>
  <c r="L140" i="91" a="1"/>
  <c r="L140" i="91" s="1"/>
  <c r="K140" i="91" a="1"/>
  <c r="K140" i="91" s="1"/>
  <c r="J140" i="91" a="1"/>
  <c r="J140" i="91" s="1"/>
  <c r="I140" i="91" a="1"/>
  <c r="I140" i="91" s="1"/>
  <c r="H140" i="91" a="1"/>
  <c r="H140" i="91" s="1"/>
  <c r="G140" i="91" a="1"/>
  <c r="G140" i="91" s="1"/>
  <c r="F140" i="91" a="1"/>
  <c r="F140" i="91" s="1"/>
  <c r="E140" i="91" a="1"/>
  <c r="E140" i="91" s="1"/>
  <c r="D140" i="91" a="1"/>
  <c r="D140" i="91" s="1"/>
  <c r="AE139" i="91" a="1"/>
  <c r="AE139" i="91" s="1"/>
  <c r="AD139" i="91" a="1"/>
  <c r="AD139" i="91" s="1"/>
  <c r="AC139" i="91" a="1"/>
  <c r="AC139" i="91" s="1"/>
  <c r="AB139" i="91" a="1"/>
  <c r="AB139" i="91" s="1"/>
  <c r="AA139" i="91" a="1"/>
  <c r="AA139" i="91" s="1"/>
  <c r="Z139" i="91" a="1"/>
  <c r="Z139" i="91" s="1"/>
  <c r="Y139" i="91" a="1"/>
  <c r="Y139" i="91" s="1"/>
  <c r="X139" i="91" a="1"/>
  <c r="X139" i="91" s="1"/>
  <c r="W139" i="91" a="1"/>
  <c r="W139" i="91" s="1"/>
  <c r="V139" i="91" a="1"/>
  <c r="V139" i="91" s="1"/>
  <c r="U139" i="91" a="1"/>
  <c r="U139" i="91" s="1"/>
  <c r="T139" i="91" a="1"/>
  <c r="T139" i="91" s="1"/>
  <c r="S139" i="91" a="1"/>
  <c r="S139" i="91" s="1"/>
  <c r="R139" i="91" a="1"/>
  <c r="R139" i="91" s="1"/>
  <c r="Q139" i="91" a="1"/>
  <c r="Q139" i="91" s="1"/>
  <c r="P139" i="91" a="1"/>
  <c r="P139" i="91" s="1"/>
  <c r="O139" i="91" a="1"/>
  <c r="O139" i="91" s="1"/>
  <c r="N139" i="91" a="1"/>
  <c r="N139" i="91" s="1"/>
  <c r="M139" i="91" a="1"/>
  <c r="M139" i="91" s="1"/>
  <c r="L139" i="91" a="1"/>
  <c r="L139" i="91" s="1"/>
  <c r="K139" i="91" a="1"/>
  <c r="K139" i="91" s="1"/>
  <c r="J139" i="91" a="1"/>
  <c r="J139" i="91" s="1"/>
  <c r="I139" i="91" a="1"/>
  <c r="I139" i="91" s="1"/>
  <c r="H139" i="91" a="1"/>
  <c r="H139" i="91" s="1"/>
  <c r="G139" i="91" a="1"/>
  <c r="G139" i="91" s="1"/>
  <c r="F139" i="91" a="1"/>
  <c r="F139" i="91" s="1"/>
  <c r="E139" i="91" a="1"/>
  <c r="E139" i="91" s="1"/>
  <c r="D139" i="91" a="1"/>
  <c r="D139" i="91" s="1"/>
  <c r="AE138" i="91" a="1"/>
  <c r="AE138" i="91" s="1"/>
  <c r="AD138" i="91" a="1"/>
  <c r="AD138" i="91" s="1"/>
  <c r="AC138" i="91" a="1"/>
  <c r="AC138" i="91" s="1"/>
  <c r="AB138" i="91" a="1"/>
  <c r="AB138" i="91" s="1"/>
  <c r="AA138" i="91" a="1"/>
  <c r="AA138" i="91" s="1"/>
  <c r="Z138" i="91" a="1"/>
  <c r="Z138" i="91" s="1"/>
  <c r="Y138" i="91" a="1"/>
  <c r="Y138" i="91" s="1"/>
  <c r="X138" i="91" a="1"/>
  <c r="X138" i="91" s="1"/>
  <c r="W138" i="91" a="1"/>
  <c r="W138" i="91" s="1"/>
  <c r="V138" i="91" a="1"/>
  <c r="V138" i="91" s="1"/>
  <c r="U138" i="91" a="1"/>
  <c r="U138" i="91" s="1"/>
  <c r="T138" i="91" a="1"/>
  <c r="T138" i="91" s="1"/>
  <c r="S138" i="91" a="1"/>
  <c r="S138" i="91" s="1"/>
  <c r="R138" i="91" a="1"/>
  <c r="R138" i="91" s="1"/>
  <c r="Q138" i="91" a="1"/>
  <c r="Q138" i="91" s="1"/>
  <c r="P138" i="91" a="1"/>
  <c r="P138" i="91" s="1"/>
  <c r="O138" i="91" a="1"/>
  <c r="O138" i="91" s="1"/>
  <c r="N138" i="91" a="1"/>
  <c r="N138" i="91" s="1"/>
  <c r="M138" i="91" a="1"/>
  <c r="M138" i="91" s="1"/>
  <c r="L138" i="91" a="1"/>
  <c r="L138" i="91" s="1"/>
  <c r="K138" i="91" a="1"/>
  <c r="K138" i="91" s="1"/>
  <c r="J138" i="91" a="1"/>
  <c r="J138" i="91" s="1"/>
  <c r="I138" i="91" a="1"/>
  <c r="I138" i="91" s="1"/>
  <c r="H138" i="91" a="1"/>
  <c r="H138" i="91" s="1"/>
  <c r="G138" i="91" a="1"/>
  <c r="G138" i="91" s="1"/>
  <c r="F138" i="91" a="1"/>
  <c r="F138" i="91" s="1"/>
  <c r="E138" i="91" a="1"/>
  <c r="E138" i="91" s="1"/>
  <c r="D138" i="91" a="1"/>
  <c r="D138" i="91" s="1"/>
  <c r="AE137" i="91" a="1"/>
  <c r="AE137" i="91" s="1"/>
  <c r="AD137" i="91" a="1"/>
  <c r="AD137" i="91" s="1"/>
  <c r="AC137" i="91" a="1"/>
  <c r="AC137" i="91" s="1"/>
  <c r="AB137" i="91" a="1"/>
  <c r="AB137" i="91" s="1"/>
  <c r="AA137" i="91" a="1"/>
  <c r="AA137" i="91" s="1"/>
  <c r="Z137" i="91" a="1"/>
  <c r="Z137" i="91" s="1"/>
  <c r="Y137" i="91" a="1"/>
  <c r="Y137" i="91" s="1"/>
  <c r="X137" i="91" a="1"/>
  <c r="X137" i="91" s="1"/>
  <c r="W137" i="91" a="1"/>
  <c r="W137" i="91" s="1"/>
  <c r="V137" i="91" a="1"/>
  <c r="V137" i="91" s="1"/>
  <c r="U137" i="91" a="1"/>
  <c r="U137" i="91" s="1"/>
  <c r="T137" i="91" a="1"/>
  <c r="T137" i="91" s="1"/>
  <c r="S137" i="91" a="1"/>
  <c r="S137" i="91" s="1"/>
  <c r="R137" i="91" a="1"/>
  <c r="R137" i="91" s="1"/>
  <c r="Q137" i="91" a="1"/>
  <c r="Q137" i="91" s="1"/>
  <c r="P137" i="91" a="1"/>
  <c r="P137" i="91" s="1"/>
  <c r="O137" i="91" a="1"/>
  <c r="O137" i="91" s="1"/>
  <c r="N137" i="91" a="1"/>
  <c r="N137" i="91" s="1"/>
  <c r="M137" i="91" a="1"/>
  <c r="M137" i="91" s="1"/>
  <c r="L137" i="91" a="1"/>
  <c r="L137" i="91" s="1"/>
  <c r="K137" i="91" a="1"/>
  <c r="K137" i="91" s="1"/>
  <c r="J137" i="91" a="1"/>
  <c r="J137" i="91" s="1"/>
  <c r="I137" i="91" a="1"/>
  <c r="I137" i="91" s="1"/>
  <c r="H137" i="91" a="1"/>
  <c r="H137" i="91" s="1"/>
  <c r="G137" i="91" a="1"/>
  <c r="G137" i="91" s="1"/>
  <c r="F137" i="91" a="1"/>
  <c r="F137" i="91" s="1"/>
  <c r="E137" i="91" a="1"/>
  <c r="E137" i="91" s="1"/>
  <c r="D137" i="91" a="1"/>
  <c r="D137" i="91" s="1"/>
  <c r="AE136" i="91" a="1"/>
  <c r="AE136" i="91" s="1"/>
  <c r="AD136" i="91" a="1"/>
  <c r="AD136" i="91" s="1"/>
  <c r="AC136" i="91" a="1"/>
  <c r="AC136" i="91" s="1"/>
  <c r="AB136" i="91" a="1"/>
  <c r="AB136" i="91" s="1"/>
  <c r="AA136" i="91" a="1"/>
  <c r="AA136" i="91" s="1"/>
  <c r="Z136" i="91" a="1"/>
  <c r="Z136" i="91" s="1"/>
  <c r="Y136" i="91" a="1"/>
  <c r="Y136" i="91" s="1"/>
  <c r="X136" i="91" a="1"/>
  <c r="X136" i="91" s="1"/>
  <c r="W136" i="91" a="1"/>
  <c r="W136" i="91" s="1"/>
  <c r="V136" i="91" a="1"/>
  <c r="V136" i="91" s="1"/>
  <c r="U136" i="91" a="1"/>
  <c r="U136" i="91" s="1"/>
  <c r="T136" i="91" a="1"/>
  <c r="T136" i="91" s="1"/>
  <c r="S136" i="91" a="1"/>
  <c r="S136" i="91" s="1"/>
  <c r="R136" i="91" a="1"/>
  <c r="R136" i="91" s="1"/>
  <c r="Q136" i="91" a="1"/>
  <c r="Q136" i="91" s="1"/>
  <c r="P136" i="91" a="1"/>
  <c r="P136" i="91" s="1"/>
  <c r="O136" i="91" a="1"/>
  <c r="O136" i="91" s="1"/>
  <c r="N136" i="91" a="1"/>
  <c r="N136" i="91" s="1"/>
  <c r="M136" i="91" a="1"/>
  <c r="M136" i="91" s="1"/>
  <c r="L136" i="91" a="1"/>
  <c r="L136" i="91" s="1"/>
  <c r="K136" i="91" a="1"/>
  <c r="K136" i="91" s="1"/>
  <c r="J136" i="91" a="1"/>
  <c r="J136" i="91" s="1"/>
  <c r="I136" i="91" a="1"/>
  <c r="I136" i="91" s="1"/>
  <c r="H136" i="91" a="1"/>
  <c r="H136" i="91" s="1"/>
  <c r="G136" i="91" a="1"/>
  <c r="G136" i="91" s="1"/>
  <c r="F136" i="91" a="1"/>
  <c r="F136" i="91" s="1"/>
  <c r="E136" i="91" a="1"/>
  <c r="E136" i="91" s="1"/>
  <c r="D136" i="91" a="1"/>
  <c r="D136" i="91" s="1"/>
  <c r="AE135" i="91" a="1"/>
  <c r="AE135" i="91" s="1"/>
  <c r="AD135" i="91" a="1"/>
  <c r="AD135" i="91" s="1"/>
  <c r="AC135" i="91" a="1"/>
  <c r="AC135" i="91" s="1"/>
  <c r="AB135" i="91" a="1"/>
  <c r="AB135" i="91" s="1"/>
  <c r="AA135" i="91" a="1"/>
  <c r="AA135" i="91" s="1"/>
  <c r="Z135" i="91" a="1"/>
  <c r="Z135" i="91" s="1"/>
  <c r="Y135" i="91" a="1"/>
  <c r="Y135" i="91" s="1"/>
  <c r="X135" i="91" a="1"/>
  <c r="X135" i="91" s="1"/>
  <c r="W135" i="91" a="1"/>
  <c r="W135" i="91" s="1"/>
  <c r="V135" i="91" a="1"/>
  <c r="V135" i="91" s="1"/>
  <c r="U135" i="91" a="1"/>
  <c r="U135" i="91" s="1"/>
  <c r="T135" i="91" a="1"/>
  <c r="T135" i="91" s="1"/>
  <c r="S135" i="91" a="1"/>
  <c r="S135" i="91" s="1"/>
  <c r="R135" i="91" a="1"/>
  <c r="R135" i="91" s="1"/>
  <c r="Q135" i="91" a="1"/>
  <c r="Q135" i="91" s="1"/>
  <c r="P135" i="91" a="1"/>
  <c r="P135" i="91" s="1"/>
  <c r="O135" i="91" a="1"/>
  <c r="O135" i="91" s="1"/>
  <c r="N135" i="91" a="1"/>
  <c r="N135" i="91" s="1"/>
  <c r="M135" i="91" a="1"/>
  <c r="M135" i="91" s="1"/>
  <c r="L135" i="91" a="1"/>
  <c r="L135" i="91" s="1"/>
  <c r="K135" i="91" a="1"/>
  <c r="K135" i="91" s="1"/>
  <c r="J135" i="91" a="1"/>
  <c r="J135" i="91" s="1"/>
  <c r="I135" i="91" a="1"/>
  <c r="I135" i="91" s="1"/>
  <c r="H135" i="91" a="1"/>
  <c r="H135" i="91" s="1"/>
  <c r="G135" i="91" a="1"/>
  <c r="G135" i="91" s="1"/>
  <c r="F135" i="91" a="1"/>
  <c r="F135" i="91" s="1"/>
  <c r="E135" i="91" a="1"/>
  <c r="E135" i="91" s="1"/>
  <c r="D135" i="91" a="1"/>
  <c r="D135" i="91" s="1"/>
  <c r="AE134" i="91" a="1"/>
  <c r="AE134" i="91" s="1"/>
  <c r="AD134" i="91" a="1"/>
  <c r="AD134" i="91" s="1"/>
  <c r="AC134" i="91" a="1"/>
  <c r="AC134" i="91" s="1"/>
  <c r="AB134" i="91" a="1"/>
  <c r="AB134" i="91" s="1"/>
  <c r="AA134" i="91" a="1"/>
  <c r="AA134" i="91" s="1"/>
  <c r="Z134" i="91" a="1"/>
  <c r="Z134" i="91" s="1"/>
  <c r="Y134" i="91" a="1"/>
  <c r="Y134" i="91" s="1"/>
  <c r="X134" i="91" a="1"/>
  <c r="X134" i="91" s="1"/>
  <c r="W134" i="91" a="1"/>
  <c r="W134" i="91" s="1"/>
  <c r="V134" i="91" a="1"/>
  <c r="V134" i="91" s="1"/>
  <c r="U134" i="91" a="1"/>
  <c r="U134" i="91" s="1"/>
  <c r="T134" i="91" a="1"/>
  <c r="T134" i="91" s="1"/>
  <c r="S134" i="91" a="1"/>
  <c r="S134" i="91" s="1"/>
  <c r="R134" i="91" a="1"/>
  <c r="R134" i="91" s="1"/>
  <c r="Q134" i="91" a="1"/>
  <c r="Q134" i="91" s="1"/>
  <c r="P134" i="91" a="1"/>
  <c r="P134" i="91" s="1"/>
  <c r="O134" i="91" a="1"/>
  <c r="O134" i="91" s="1"/>
  <c r="N134" i="91" a="1"/>
  <c r="N134" i="91" s="1"/>
  <c r="M134" i="91" a="1"/>
  <c r="M134" i="91" s="1"/>
  <c r="L134" i="91" a="1"/>
  <c r="L134" i="91" s="1"/>
  <c r="K134" i="91" a="1"/>
  <c r="K134" i="91" s="1"/>
  <c r="J134" i="91" a="1"/>
  <c r="J134" i="91" s="1"/>
  <c r="I134" i="91" a="1"/>
  <c r="I134" i="91" s="1"/>
  <c r="H134" i="91" a="1"/>
  <c r="H134" i="91" s="1"/>
  <c r="G134" i="91" a="1"/>
  <c r="G134" i="91" s="1"/>
  <c r="F134" i="91" a="1"/>
  <c r="F134" i="91" s="1"/>
  <c r="E134" i="91" a="1"/>
  <c r="E134" i="91" s="1"/>
  <c r="D134" i="91" a="1"/>
  <c r="D134" i="91" s="1"/>
  <c r="AE133" i="91" a="1"/>
  <c r="AE133" i="91" s="1"/>
  <c r="AD133" i="91" a="1"/>
  <c r="AD133" i="91" s="1"/>
  <c r="AC133" i="91" a="1"/>
  <c r="AC133" i="91" s="1"/>
  <c r="AB133" i="91" a="1"/>
  <c r="AB133" i="91" s="1"/>
  <c r="AA133" i="91" a="1"/>
  <c r="AA133" i="91" s="1"/>
  <c r="Z133" i="91" a="1"/>
  <c r="Z133" i="91" s="1"/>
  <c r="Y133" i="91" a="1"/>
  <c r="Y133" i="91" s="1"/>
  <c r="X133" i="91" a="1"/>
  <c r="X133" i="91" s="1"/>
  <c r="W133" i="91" a="1"/>
  <c r="W133" i="91" s="1"/>
  <c r="V133" i="91" a="1"/>
  <c r="V133" i="91" s="1"/>
  <c r="U133" i="91" a="1"/>
  <c r="U133" i="91" s="1"/>
  <c r="T133" i="91" a="1"/>
  <c r="T133" i="91" s="1"/>
  <c r="S133" i="91" a="1"/>
  <c r="S133" i="91" s="1"/>
  <c r="R133" i="91" a="1"/>
  <c r="R133" i="91" s="1"/>
  <c r="Q133" i="91" a="1"/>
  <c r="Q133" i="91" s="1"/>
  <c r="P133" i="91" a="1"/>
  <c r="P133" i="91" s="1"/>
  <c r="O133" i="91" a="1"/>
  <c r="O133" i="91" s="1"/>
  <c r="N133" i="91" a="1"/>
  <c r="N133" i="91" s="1"/>
  <c r="M133" i="91" a="1"/>
  <c r="M133" i="91" s="1"/>
  <c r="L133" i="91" a="1"/>
  <c r="L133" i="91" s="1"/>
  <c r="K133" i="91" a="1"/>
  <c r="K133" i="91" s="1"/>
  <c r="J133" i="91" a="1"/>
  <c r="J133" i="91" s="1"/>
  <c r="I133" i="91" a="1"/>
  <c r="I133" i="91" s="1"/>
  <c r="H133" i="91" a="1"/>
  <c r="H133" i="91" s="1"/>
  <c r="G133" i="91" a="1"/>
  <c r="G133" i="91" s="1"/>
  <c r="F133" i="91" a="1"/>
  <c r="F133" i="91" s="1"/>
  <c r="E133" i="91" a="1"/>
  <c r="E133" i="91" s="1"/>
  <c r="D133" i="91" a="1"/>
  <c r="D133" i="91" s="1"/>
  <c r="AE132" i="91" a="1"/>
  <c r="AE132" i="91" s="1"/>
  <c r="AD132" i="91" a="1"/>
  <c r="AD132" i="91" s="1"/>
  <c r="AC132" i="91" a="1"/>
  <c r="AC132" i="91" s="1"/>
  <c r="AB132" i="91" a="1"/>
  <c r="AB132" i="91" s="1"/>
  <c r="AA132" i="91" a="1"/>
  <c r="AA132" i="91" s="1"/>
  <c r="Z132" i="91" a="1"/>
  <c r="Z132" i="91" s="1"/>
  <c r="Y132" i="91" a="1"/>
  <c r="Y132" i="91" s="1"/>
  <c r="X132" i="91" a="1"/>
  <c r="X132" i="91" s="1"/>
  <c r="W132" i="91" a="1"/>
  <c r="W132" i="91" s="1"/>
  <c r="V132" i="91" a="1"/>
  <c r="V132" i="91" s="1"/>
  <c r="U132" i="91" a="1"/>
  <c r="U132" i="91" s="1"/>
  <c r="T132" i="91" a="1"/>
  <c r="T132" i="91" s="1"/>
  <c r="S132" i="91" a="1"/>
  <c r="S132" i="91" s="1"/>
  <c r="R132" i="91" a="1"/>
  <c r="R132" i="91" s="1"/>
  <c r="Q132" i="91" a="1"/>
  <c r="Q132" i="91" s="1"/>
  <c r="P132" i="91" a="1"/>
  <c r="P132" i="91" s="1"/>
  <c r="O132" i="91" a="1"/>
  <c r="O132" i="91" s="1"/>
  <c r="N132" i="91" a="1"/>
  <c r="N132" i="91" s="1"/>
  <c r="M132" i="91" a="1"/>
  <c r="M132" i="91" s="1"/>
  <c r="L132" i="91" a="1"/>
  <c r="L132" i="91" s="1"/>
  <c r="K132" i="91" a="1"/>
  <c r="K132" i="91" s="1"/>
  <c r="J132" i="91" a="1"/>
  <c r="J132" i="91" s="1"/>
  <c r="I132" i="91" a="1"/>
  <c r="I132" i="91" s="1"/>
  <c r="H132" i="91" a="1"/>
  <c r="H132" i="91" s="1"/>
  <c r="G132" i="91" a="1"/>
  <c r="G132" i="91" s="1"/>
  <c r="F132" i="91" a="1"/>
  <c r="F132" i="91" s="1"/>
  <c r="E132" i="91" a="1"/>
  <c r="E132" i="91" s="1"/>
  <c r="D132" i="91" a="1"/>
  <c r="D132" i="91" s="1"/>
  <c r="AE131" i="91" a="1"/>
  <c r="AE131" i="91" s="1"/>
  <c r="AD131" i="91" a="1"/>
  <c r="AD131" i="91" s="1"/>
  <c r="AC131" i="91" a="1"/>
  <c r="AC131" i="91" s="1"/>
  <c r="AB131" i="91" a="1"/>
  <c r="AB131" i="91" s="1"/>
  <c r="AA131" i="91" a="1"/>
  <c r="AA131" i="91" s="1"/>
  <c r="Z131" i="91" a="1"/>
  <c r="Z131" i="91" s="1"/>
  <c r="Y131" i="91" a="1"/>
  <c r="Y131" i="91" s="1"/>
  <c r="X131" i="91" a="1"/>
  <c r="X131" i="91" s="1"/>
  <c r="W131" i="91" a="1"/>
  <c r="W131" i="91" s="1"/>
  <c r="V131" i="91" a="1"/>
  <c r="V131" i="91" s="1"/>
  <c r="U131" i="91" a="1"/>
  <c r="U131" i="91" s="1"/>
  <c r="T131" i="91" a="1"/>
  <c r="T131" i="91" s="1"/>
  <c r="S131" i="91" a="1"/>
  <c r="S131" i="91" s="1"/>
  <c r="R131" i="91" a="1"/>
  <c r="R131" i="91" s="1"/>
  <c r="Q131" i="91" a="1"/>
  <c r="Q131" i="91" s="1"/>
  <c r="P131" i="91" a="1"/>
  <c r="P131" i="91" s="1"/>
  <c r="O131" i="91" a="1"/>
  <c r="O131" i="91" s="1"/>
  <c r="N131" i="91" a="1"/>
  <c r="N131" i="91" s="1"/>
  <c r="M131" i="91" a="1"/>
  <c r="M131" i="91" s="1"/>
  <c r="L131" i="91" a="1"/>
  <c r="L131" i="91" s="1"/>
  <c r="K131" i="91" a="1"/>
  <c r="K131" i="91" s="1"/>
  <c r="J131" i="91" a="1"/>
  <c r="J131" i="91" s="1"/>
  <c r="I131" i="91" a="1"/>
  <c r="I131" i="91" s="1"/>
  <c r="H131" i="91" a="1"/>
  <c r="H131" i="91" s="1"/>
  <c r="G131" i="91" a="1"/>
  <c r="G131" i="91" s="1"/>
  <c r="F131" i="91" a="1"/>
  <c r="F131" i="91" s="1"/>
  <c r="E131" i="91" a="1"/>
  <c r="E131" i="91" s="1"/>
  <c r="D131" i="91" a="1"/>
  <c r="D131" i="91" s="1"/>
  <c r="AE130" i="91" a="1"/>
  <c r="AE130" i="91" s="1"/>
  <c r="AD130" i="91" a="1"/>
  <c r="AD130" i="91" s="1"/>
  <c r="AC130" i="91" a="1"/>
  <c r="AC130" i="91" s="1"/>
  <c r="AB130" i="91" a="1"/>
  <c r="AB130" i="91" s="1"/>
  <c r="AA130" i="91" a="1"/>
  <c r="AA130" i="91" s="1"/>
  <c r="Z130" i="91" a="1"/>
  <c r="Z130" i="91" s="1"/>
  <c r="Y130" i="91" a="1"/>
  <c r="Y130" i="91" s="1"/>
  <c r="X130" i="91" a="1"/>
  <c r="X130" i="91" s="1"/>
  <c r="W130" i="91" a="1"/>
  <c r="W130" i="91" s="1"/>
  <c r="V130" i="91" a="1"/>
  <c r="V130" i="91" s="1"/>
  <c r="U130" i="91" a="1"/>
  <c r="U130" i="91" s="1"/>
  <c r="T130" i="91" a="1"/>
  <c r="T130" i="91" s="1"/>
  <c r="S130" i="91" a="1"/>
  <c r="S130" i="91" s="1"/>
  <c r="R130" i="91" a="1"/>
  <c r="R130" i="91" s="1"/>
  <c r="Q130" i="91" a="1"/>
  <c r="Q130" i="91" s="1"/>
  <c r="P130" i="91" a="1"/>
  <c r="P130" i="91" s="1"/>
  <c r="O130" i="91" a="1"/>
  <c r="O130" i="91" s="1"/>
  <c r="N130" i="91" a="1"/>
  <c r="N130" i="91" s="1"/>
  <c r="M130" i="91" a="1"/>
  <c r="M130" i="91" s="1"/>
  <c r="L130" i="91" a="1"/>
  <c r="L130" i="91" s="1"/>
  <c r="K130" i="91" a="1"/>
  <c r="K130" i="91" s="1"/>
  <c r="J130" i="91" a="1"/>
  <c r="J130" i="91" s="1"/>
  <c r="I130" i="91" a="1"/>
  <c r="I130" i="91" s="1"/>
  <c r="H130" i="91" a="1"/>
  <c r="H130" i="91" s="1"/>
  <c r="G130" i="91" a="1"/>
  <c r="G130" i="91" s="1"/>
  <c r="F130" i="91" a="1"/>
  <c r="F130" i="91" s="1"/>
  <c r="E130" i="91" a="1"/>
  <c r="E130" i="91" s="1"/>
  <c r="D130" i="91" a="1"/>
  <c r="D130" i="91" s="1"/>
  <c r="AE129" i="91" a="1"/>
  <c r="AE129" i="91" s="1"/>
  <c r="AD129" i="91" a="1"/>
  <c r="AD129" i="91" s="1"/>
  <c r="AC129" i="91" a="1"/>
  <c r="AC129" i="91" s="1"/>
  <c r="AB129" i="91" a="1"/>
  <c r="AB129" i="91" s="1"/>
  <c r="AA129" i="91" a="1"/>
  <c r="AA129" i="91" s="1"/>
  <c r="Z129" i="91" a="1"/>
  <c r="Z129" i="91" s="1"/>
  <c r="Y129" i="91" a="1"/>
  <c r="Y129" i="91" s="1"/>
  <c r="X129" i="91" a="1"/>
  <c r="X129" i="91" s="1"/>
  <c r="W129" i="91" a="1"/>
  <c r="W129" i="91" s="1"/>
  <c r="V129" i="91" a="1"/>
  <c r="V129" i="91" s="1"/>
  <c r="U129" i="91" a="1"/>
  <c r="U129" i="91" s="1"/>
  <c r="T129" i="91" a="1"/>
  <c r="T129" i="91" s="1"/>
  <c r="S129" i="91" a="1"/>
  <c r="S129" i="91" s="1"/>
  <c r="R129" i="91" a="1"/>
  <c r="R129" i="91" s="1"/>
  <c r="Q129" i="91" a="1"/>
  <c r="Q129" i="91" s="1"/>
  <c r="P129" i="91" a="1"/>
  <c r="P129" i="91" s="1"/>
  <c r="O129" i="91" a="1"/>
  <c r="O129" i="91" s="1"/>
  <c r="N129" i="91" a="1"/>
  <c r="N129" i="91" s="1"/>
  <c r="M129" i="91" a="1"/>
  <c r="M129" i="91" s="1"/>
  <c r="L129" i="91" a="1"/>
  <c r="L129" i="91" s="1"/>
  <c r="K129" i="91" a="1"/>
  <c r="K129" i="91" s="1"/>
  <c r="J129" i="91" a="1"/>
  <c r="J129" i="91" s="1"/>
  <c r="I129" i="91" a="1"/>
  <c r="I129" i="91" s="1"/>
  <c r="H129" i="91" a="1"/>
  <c r="H129" i="91" s="1"/>
  <c r="G129" i="91" a="1"/>
  <c r="G129" i="91" s="1"/>
  <c r="F129" i="91" a="1"/>
  <c r="F129" i="91" s="1"/>
  <c r="E129" i="91" a="1"/>
  <c r="E129" i="91" s="1"/>
  <c r="D129" i="91" a="1"/>
  <c r="D129" i="91" s="1"/>
  <c r="AE128" i="91" a="1"/>
  <c r="AE128" i="91" s="1"/>
  <c r="AD128" i="91" a="1"/>
  <c r="AD128" i="91" s="1"/>
  <c r="AC128" i="91" a="1"/>
  <c r="AC128" i="91" s="1"/>
  <c r="AB128" i="91" a="1"/>
  <c r="AB128" i="91" s="1"/>
  <c r="AA128" i="91" a="1"/>
  <c r="AA128" i="91" s="1"/>
  <c r="Z128" i="91" a="1"/>
  <c r="Z128" i="91" s="1"/>
  <c r="Y128" i="91" a="1"/>
  <c r="Y128" i="91" s="1"/>
  <c r="X128" i="91" a="1"/>
  <c r="X128" i="91" s="1"/>
  <c r="W128" i="91" a="1"/>
  <c r="W128" i="91" s="1"/>
  <c r="V128" i="91" a="1"/>
  <c r="V128" i="91" s="1"/>
  <c r="U128" i="91" a="1"/>
  <c r="U128" i="91" s="1"/>
  <c r="T128" i="91" a="1"/>
  <c r="T128" i="91" s="1"/>
  <c r="S128" i="91" a="1"/>
  <c r="S128" i="91" s="1"/>
  <c r="R128" i="91" a="1"/>
  <c r="R128" i="91" s="1"/>
  <c r="Q128" i="91" a="1"/>
  <c r="Q128" i="91" s="1"/>
  <c r="P128" i="91" a="1"/>
  <c r="P128" i="91" s="1"/>
  <c r="O128" i="91" a="1"/>
  <c r="O128" i="91" s="1"/>
  <c r="N128" i="91" a="1"/>
  <c r="N128" i="91" s="1"/>
  <c r="M128" i="91" a="1"/>
  <c r="M128" i="91" s="1"/>
  <c r="L128" i="91" a="1"/>
  <c r="L128" i="91" s="1"/>
  <c r="K128" i="91" a="1"/>
  <c r="K128" i="91" s="1"/>
  <c r="J128" i="91" a="1"/>
  <c r="J128" i="91" s="1"/>
  <c r="I128" i="91" a="1"/>
  <c r="I128" i="91" s="1"/>
  <c r="H128" i="91" a="1"/>
  <c r="H128" i="91" s="1"/>
  <c r="G128" i="91" a="1"/>
  <c r="G128" i="91" s="1"/>
  <c r="F128" i="91" a="1"/>
  <c r="F128" i="91" s="1"/>
  <c r="E128" i="91" a="1"/>
  <c r="E128" i="91" s="1"/>
  <c r="D128" i="91" a="1"/>
  <c r="D128" i="91" s="1"/>
  <c r="AE127" i="91" a="1"/>
  <c r="AE127" i="91" s="1"/>
  <c r="AD127" i="91" a="1"/>
  <c r="AD127" i="91" s="1"/>
  <c r="AC127" i="91" a="1"/>
  <c r="AC127" i="91" s="1"/>
  <c r="AB127" i="91" a="1"/>
  <c r="AB127" i="91" s="1"/>
  <c r="AA127" i="91" a="1"/>
  <c r="AA127" i="91" s="1"/>
  <c r="Z127" i="91" a="1"/>
  <c r="Z127" i="91" s="1"/>
  <c r="Y127" i="91" a="1"/>
  <c r="Y127" i="91" s="1"/>
  <c r="X127" i="91" a="1"/>
  <c r="X127" i="91" s="1"/>
  <c r="W127" i="91" a="1"/>
  <c r="W127" i="91" s="1"/>
  <c r="V127" i="91" a="1"/>
  <c r="V127" i="91" s="1"/>
  <c r="U127" i="91" a="1"/>
  <c r="U127" i="91" s="1"/>
  <c r="T127" i="91" a="1"/>
  <c r="T127" i="91" s="1"/>
  <c r="S127" i="91" a="1"/>
  <c r="S127" i="91" s="1"/>
  <c r="R127" i="91" a="1"/>
  <c r="R127" i="91" s="1"/>
  <c r="Q127" i="91" a="1"/>
  <c r="Q127" i="91" s="1"/>
  <c r="P127" i="91" a="1"/>
  <c r="P127" i="91" s="1"/>
  <c r="O127" i="91" a="1"/>
  <c r="O127" i="91" s="1"/>
  <c r="N127" i="91" a="1"/>
  <c r="N127" i="91" s="1"/>
  <c r="M127" i="91" a="1"/>
  <c r="M127" i="91" s="1"/>
  <c r="L127" i="91" a="1"/>
  <c r="L127" i="91" s="1"/>
  <c r="K127" i="91" a="1"/>
  <c r="K127" i="91" s="1"/>
  <c r="J127" i="91" a="1"/>
  <c r="J127" i="91" s="1"/>
  <c r="I127" i="91" a="1"/>
  <c r="I127" i="91" s="1"/>
  <c r="H127" i="91" a="1"/>
  <c r="H127" i="91" s="1"/>
  <c r="G127" i="91" a="1"/>
  <c r="G127" i="91" s="1"/>
  <c r="F127" i="91" a="1"/>
  <c r="F127" i="91" s="1"/>
  <c r="E127" i="91" a="1"/>
  <c r="E127" i="91" s="1"/>
  <c r="D127" i="91" a="1"/>
  <c r="D127" i="91" s="1"/>
  <c r="AE126" i="91" a="1"/>
  <c r="AE126" i="91" s="1"/>
  <c r="AD126" i="91" a="1"/>
  <c r="AD126" i="91" s="1"/>
  <c r="AC126" i="91" a="1"/>
  <c r="AC126" i="91" s="1"/>
  <c r="AB126" i="91" a="1"/>
  <c r="AB126" i="91" s="1"/>
  <c r="AA126" i="91" a="1"/>
  <c r="AA126" i="91" s="1"/>
  <c r="Z126" i="91" a="1"/>
  <c r="Z126" i="91" s="1"/>
  <c r="Y126" i="91" a="1"/>
  <c r="Y126" i="91" s="1"/>
  <c r="X126" i="91" a="1"/>
  <c r="X126" i="91" s="1"/>
  <c r="W126" i="91" a="1"/>
  <c r="W126" i="91" s="1"/>
  <c r="V126" i="91" a="1"/>
  <c r="V126" i="91" s="1"/>
  <c r="U126" i="91" a="1"/>
  <c r="U126" i="91" s="1"/>
  <c r="T126" i="91" a="1"/>
  <c r="T126" i="91" s="1"/>
  <c r="S126" i="91" a="1"/>
  <c r="S126" i="91" s="1"/>
  <c r="R126" i="91" a="1"/>
  <c r="R126" i="91" s="1"/>
  <c r="Q126" i="91" a="1"/>
  <c r="Q126" i="91" s="1"/>
  <c r="P126" i="91" a="1"/>
  <c r="P126" i="91" s="1"/>
  <c r="O126" i="91" a="1"/>
  <c r="O126" i="91" s="1"/>
  <c r="N126" i="91" a="1"/>
  <c r="N126" i="91" s="1"/>
  <c r="M126" i="91" a="1"/>
  <c r="M126" i="91" s="1"/>
  <c r="L126" i="91" a="1"/>
  <c r="L126" i="91" s="1"/>
  <c r="K126" i="91" a="1"/>
  <c r="K126" i="91" s="1"/>
  <c r="J126" i="91" a="1"/>
  <c r="J126" i="91" s="1"/>
  <c r="I126" i="91" a="1"/>
  <c r="I126" i="91" s="1"/>
  <c r="H126" i="91" a="1"/>
  <c r="H126" i="91" s="1"/>
  <c r="G126" i="91" a="1"/>
  <c r="G126" i="91" s="1"/>
  <c r="F126" i="91" a="1"/>
  <c r="F126" i="91" s="1"/>
  <c r="E126" i="91" a="1"/>
  <c r="E126" i="91" s="1"/>
  <c r="D126" i="91" a="1"/>
  <c r="D126" i="91" s="1"/>
  <c r="AE125" i="91" a="1"/>
  <c r="AE125" i="91" s="1"/>
  <c r="AD125" i="91" a="1"/>
  <c r="AD125" i="91" s="1"/>
  <c r="AC125" i="91" a="1"/>
  <c r="AC125" i="91" s="1"/>
  <c r="AB125" i="91" a="1"/>
  <c r="AB125" i="91" s="1"/>
  <c r="AA125" i="91" a="1"/>
  <c r="AA125" i="91" s="1"/>
  <c r="Z125" i="91" a="1"/>
  <c r="Z125" i="91" s="1"/>
  <c r="Y125" i="91" a="1"/>
  <c r="Y125" i="91" s="1"/>
  <c r="X125" i="91" a="1"/>
  <c r="X125" i="91" s="1"/>
  <c r="W125" i="91" a="1"/>
  <c r="W125" i="91" s="1"/>
  <c r="V125" i="91" a="1"/>
  <c r="V125" i="91" s="1"/>
  <c r="U125" i="91" a="1"/>
  <c r="U125" i="91" s="1"/>
  <c r="T125" i="91" a="1"/>
  <c r="T125" i="91" s="1"/>
  <c r="S125" i="91" a="1"/>
  <c r="S125" i="91" s="1"/>
  <c r="R125" i="91" a="1"/>
  <c r="R125" i="91" s="1"/>
  <c r="Q125" i="91" a="1"/>
  <c r="Q125" i="91" s="1"/>
  <c r="P125" i="91" a="1"/>
  <c r="P125" i="91" s="1"/>
  <c r="O125" i="91" a="1"/>
  <c r="O125" i="91" s="1"/>
  <c r="N125" i="91" a="1"/>
  <c r="N125" i="91" s="1"/>
  <c r="M125" i="91" a="1"/>
  <c r="M125" i="91" s="1"/>
  <c r="L125" i="91" a="1"/>
  <c r="L125" i="91" s="1"/>
  <c r="K125" i="91" a="1"/>
  <c r="K125" i="91" s="1"/>
  <c r="J125" i="91" a="1"/>
  <c r="J125" i="91" s="1"/>
  <c r="I125" i="91" a="1"/>
  <c r="I125" i="91" s="1"/>
  <c r="H125" i="91" a="1"/>
  <c r="H125" i="91" s="1"/>
  <c r="G125" i="91" a="1"/>
  <c r="G125" i="91" s="1"/>
  <c r="F125" i="91" a="1"/>
  <c r="F125" i="91" s="1"/>
  <c r="E125" i="91" a="1"/>
  <c r="E125" i="91" s="1"/>
  <c r="D125" i="91" a="1"/>
  <c r="D125" i="91" s="1"/>
  <c r="AE124" i="91" a="1"/>
  <c r="AE124" i="91" s="1"/>
  <c r="AD124" i="91" a="1"/>
  <c r="AD124" i="91" s="1"/>
  <c r="AC124" i="91" a="1"/>
  <c r="AC124" i="91" s="1"/>
  <c r="AB124" i="91" a="1"/>
  <c r="AB124" i="91" s="1"/>
  <c r="AA124" i="91" a="1"/>
  <c r="AA124" i="91" s="1"/>
  <c r="Z124" i="91" a="1"/>
  <c r="Z124" i="91" s="1"/>
  <c r="Y124" i="91" a="1"/>
  <c r="Y124" i="91" s="1"/>
  <c r="X124" i="91" a="1"/>
  <c r="X124" i="91" s="1"/>
  <c r="W124" i="91" a="1"/>
  <c r="W124" i="91" s="1"/>
  <c r="V124" i="91" a="1"/>
  <c r="V124" i="91" s="1"/>
  <c r="U124" i="91" a="1"/>
  <c r="U124" i="91" s="1"/>
  <c r="T124" i="91" a="1"/>
  <c r="T124" i="91" s="1"/>
  <c r="S124" i="91" a="1"/>
  <c r="S124" i="91" s="1"/>
  <c r="R124" i="91" a="1"/>
  <c r="R124" i="91" s="1"/>
  <c r="Q124" i="91" a="1"/>
  <c r="Q124" i="91" s="1"/>
  <c r="P124" i="91" a="1"/>
  <c r="P124" i="91" s="1"/>
  <c r="O124" i="91" a="1"/>
  <c r="O124" i="91" s="1"/>
  <c r="N124" i="91" a="1"/>
  <c r="N124" i="91" s="1"/>
  <c r="M124" i="91" a="1"/>
  <c r="M124" i="91" s="1"/>
  <c r="L124" i="91" a="1"/>
  <c r="L124" i="91" s="1"/>
  <c r="K124" i="91" a="1"/>
  <c r="K124" i="91" s="1"/>
  <c r="J124" i="91" a="1"/>
  <c r="J124" i="91" s="1"/>
  <c r="I124" i="91" a="1"/>
  <c r="I124" i="91" s="1"/>
  <c r="H124" i="91" a="1"/>
  <c r="H124" i="91" s="1"/>
  <c r="G124" i="91" a="1"/>
  <c r="G124" i="91" s="1"/>
  <c r="F124" i="91" a="1"/>
  <c r="F124" i="91" s="1"/>
  <c r="E124" i="91" a="1"/>
  <c r="E124" i="91" s="1"/>
  <c r="D124" i="91" a="1"/>
  <c r="D124" i="91" s="1"/>
  <c r="AE123" i="91" a="1"/>
  <c r="AE123" i="91" s="1"/>
  <c r="AD123" i="91" a="1"/>
  <c r="AD123" i="91" s="1"/>
  <c r="AC123" i="91" a="1"/>
  <c r="AC123" i="91" s="1"/>
  <c r="AB123" i="91" a="1"/>
  <c r="AB123" i="91" s="1"/>
  <c r="AA123" i="91" a="1"/>
  <c r="AA123" i="91" s="1"/>
  <c r="Z123" i="91" a="1"/>
  <c r="Z123" i="91" s="1"/>
  <c r="Y123" i="91" a="1"/>
  <c r="Y123" i="91" s="1"/>
  <c r="X123" i="91" a="1"/>
  <c r="X123" i="91" s="1"/>
  <c r="W123" i="91" a="1"/>
  <c r="W123" i="91" s="1"/>
  <c r="V123" i="91" a="1"/>
  <c r="V123" i="91" s="1"/>
  <c r="U123" i="91" a="1"/>
  <c r="U123" i="91" s="1"/>
  <c r="T123" i="91" a="1"/>
  <c r="T123" i="91" s="1"/>
  <c r="S123" i="91" a="1"/>
  <c r="S123" i="91" s="1"/>
  <c r="R123" i="91" a="1"/>
  <c r="R123" i="91" s="1"/>
  <c r="Q123" i="91" a="1"/>
  <c r="Q123" i="91" s="1"/>
  <c r="P123" i="91" a="1"/>
  <c r="P123" i="91" s="1"/>
  <c r="O123" i="91" a="1"/>
  <c r="O123" i="91" s="1"/>
  <c r="N123" i="91" a="1"/>
  <c r="N123" i="91" s="1"/>
  <c r="M123" i="91" a="1"/>
  <c r="M123" i="91" s="1"/>
  <c r="L123" i="91" a="1"/>
  <c r="L123" i="91" s="1"/>
  <c r="K123" i="91" a="1"/>
  <c r="K123" i="91" s="1"/>
  <c r="J123" i="91" a="1"/>
  <c r="J123" i="91" s="1"/>
  <c r="I123" i="91" a="1"/>
  <c r="I123" i="91" s="1"/>
  <c r="H123" i="91" a="1"/>
  <c r="H123" i="91" s="1"/>
  <c r="G123" i="91" a="1"/>
  <c r="G123" i="91" s="1"/>
  <c r="F123" i="91" a="1"/>
  <c r="F123" i="91" s="1"/>
  <c r="E123" i="91" a="1"/>
  <c r="E123" i="91" s="1"/>
  <c r="D123" i="91" a="1"/>
  <c r="D123" i="91" s="1"/>
  <c r="AE122" i="91" a="1"/>
  <c r="AE122" i="91" s="1"/>
  <c r="AD122" i="91" a="1"/>
  <c r="AD122" i="91" s="1"/>
  <c r="AC122" i="91" a="1"/>
  <c r="AC122" i="91" s="1"/>
  <c r="AB122" i="91" a="1"/>
  <c r="AB122" i="91" s="1"/>
  <c r="AA122" i="91" a="1"/>
  <c r="AA122" i="91" s="1"/>
  <c r="Z122" i="91" a="1"/>
  <c r="Z122" i="91" s="1"/>
  <c r="Y122" i="91" a="1"/>
  <c r="Y122" i="91" s="1"/>
  <c r="X122" i="91" a="1"/>
  <c r="X122" i="91" s="1"/>
  <c r="W122" i="91" a="1"/>
  <c r="W122" i="91" s="1"/>
  <c r="V122" i="91" a="1"/>
  <c r="V122" i="91" s="1"/>
  <c r="U122" i="91" a="1"/>
  <c r="U122" i="91" s="1"/>
  <c r="T122" i="91" a="1"/>
  <c r="T122" i="91" s="1"/>
  <c r="S122" i="91" a="1"/>
  <c r="S122" i="91" s="1"/>
  <c r="R122" i="91" a="1"/>
  <c r="R122" i="91" s="1"/>
  <c r="Q122" i="91" a="1"/>
  <c r="Q122" i="91" s="1"/>
  <c r="P122" i="91" a="1"/>
  <c r="P122" i="91" s="1"/>
  <c r="O122" i="91" a="1"/>
  <c r="O122" i="91" s="1"/>
  <c r="N122" i="91" a="1"/>
  <c r="N122" i="91" s="1"/>
  <c r="M122" i="91" a="1"/>
  <c r="M122" i="91" s="1"/>
  <c r="L122" i="91" a="1"/>
  <c r="L122" i="91" s="1"/>
  <c r="K122" i="91" a="1"/>
  <c r="K122" i="91" s="1"/>
  <c r="J122" i="91" a="1"/>
  <c r="J122" i="91" s="1"/>
  <c r="I122" i="91" a="1"/>
  <c r="I122" i="91" s="1"/>
  <c r="H122" i="91" a="1"/>
  <c r="H122" i="91" s="1"/>
  <c r="G122" i="91" a="1"/>
  <c r="G122" i="91" s="1"/>
  <c r="F122" i="91" a="1"/>
  <c r="F122" i="91" s="1"/>
  <c r="E122" i="91" a="1"/>
  <c r="E122" i="91" s="1"/>
  <c r="D122" i="91" a="1"/>
  <c r="D122" i="91" s="1"/>
  <c r="AE121" i="91" a="1"/>
  <c r="AE121" i="91" s="1"/>
  <c r="AD121" i="91" a="1"/>
  <c r="AD121" i="91" s="1"/>
  <c r="AC121" i="91" a="1"/>
  <c r="AC121" i="91" s="1"/>
  <c r="AB121" i="91" a="1"/>
  <c r="AB121" i="91" s="1"/>
  <c r="AA121" i="91" a="1"/>
  <c r="AA121" i="91" s="1"/>
  <c r="Z121" i="91" a="1"/>
  <c r="Z121" i="91" s="1"/>
  <c r="Y121" i="91" a="1"/>
  <c r="Y121" i="91" s="1"/>
  <c r="X121" i="91" a="1"/>
  <c r="X121" i="91" s="1"/>
  <c r="W121" i="91" a="1"/>
  <c r="W121" i="91" s="1"/>
  <c r="V121" i="91" a="1"/>
  <c r="V121" i="91" s="1"/>
  <c r="U121" i="91" a="1"/>
  <c r="U121" i="91" s="1"/>
  <c r="T121" i="91" a="1"/>
  <c r="T121" i="91" s="1"/>
  <c r="S121" i="91" a="1"/>
  <c r="S121" i="91" s="1"/>
  <c r="R121" i="91" a="1"/>
  <c r="R121" i="91" s="1"/>
  <c r="Q121" i="91" a="1"/>
  <c r="Q121" i="91" s="1"/>
  <c r="P121" i="91" a="1"/>
  <c r="P121" i="91" s="1"/>
  <c r="O121" i="91" a="1"/>
  <c r="O121" i="91" s="1"/>
  <c r="N121" i="91" a="1"/>
  <c r="N121" i="91" s="1"/>
  <c r="M121" i="91" a="1"/>
  <c r="M121" i="91" s="1"/>
  <c r="L121" i="91" a="1"/>
  <c r="L121" i="91" s="1"/>
  <c r="K121" i="91" a="1"/>
  <c r="K121" i="91" s="1"/>
  <c r="J121" i="91" a="1"/>
  <c r="J121" i="91" s="1"/>
  <c r="I121" i="91" a="1"/>
  <c r="I121" i="91" s="1"/>
  <c r="H121" i="91" a="1"/>
  <c r="H121" i="91" s="1"/>
  <c r="G121" i="91" a="1"/>
  <c r="G121" i="91" s="1"/>
  <c r="F121" i="91" a="1"/>
  <c r="F121" i="91" s="1"/>
  <c r="E121" i="91" a="1"/>
  <c r="E121" i="91" s="1"/>
  <c r="D121" i="91" a="1"/>
  <c r="D121" i="91" s="1"/>
  <c r="AE120" i="91" a="1"/>
  <c r="AE120" i="91" s="1"/>
  <c r="AD120" i="91" a="1"/>
  <c r="AD120" i="91" s="1"/>
  <c r="AC120" i="91" a="1"/>
  <c r="AC120" i="91" s="1"/>
  <c r="AB120" i="91" a="1"/>
  <c r="AB120" i="91" s="1"/>
  <c r="AA120" i="91" a="1"/>
  <c r="AA120" i="91" s="1"/>
  <c r="Z120" i="91" a="1"/>
  <c r="Z120" i="91" s="1"/>
  <c r="Y120" i="91" a="1"/>
  <c r="Y120" i="91" s="1"/>
  <c r="X120" i="91" a="1"/>
  <c r="X120" i="91" s="1"/>
  <c r="W120" i="91" a="1"/>
  <c r="W120" i="91" s="1"/>
  <c r="V120" i="91" a="1"/>
  <c r="V120" i="91" s="1"/>
  <c r="U120" i="91" a="1"/>
  <c r="U120" i="91" s="1"/>
  <c r="T120" i="91" a="1"/>
  <c r="T120" i="91" s="1"/>
  <c r="S120" i="91" a="1"/>
  <c r="S120" i="91" s="1"/>
  <c r="R120" i="91" a="1"/>
  <c r="R120" i="91" s="1"/>
  <c r="Q120" i="91" a="1"/>
  <c r="Q120" i="91" s="1"/>
  <c r="P120" i="91" a="1"/>
  <c r="P120" i="91" s="1"/>
  <c r="O120" i="91" a="1"/>
  <c r="O120" i="91" s="1"/>
  <c r="N120" i="91" a="1"/>
  <c r="N120" i="91" s="1"/>
  <c r="M120" i="91" a="1"/>
  <c r="M120" i="91" s="1"/>
  <c r="L120" i="91" a="1"/>
  <c r="L120" i="91" s="1"/>
  <c r="K120" i="91" a="1"/>
  <c r="K120" i="91" s="1"/>
  <c r="J120" i="91" a="1"/>
  <c r="J120" i="91" s="1"/>
  <c r="I120" i="91" a="1"/>
  <c r="I120" i="91" s="1"/>
  <c r="H120" i="91" a="1"/>
  <c r="H120" i="91" s="1"/>
  <c r="G120" i="91" a="1"/>
  <c r="G120" i="91" s="1"/>
  <c r="F120" i="91" a="1"/>
  <c r="F120" i="91" s="1"/>
  <c r="E120" i="91" a="1"/>
  <c r="E120" i="91" s="1"/>
  <c r="D120" i="91" a="1"/>
  <c r="D120" i="91" s="1"/>
  <c r="AE119" i="91" a="1"/>
  <c r="AE119" i="91" s="1"/>
  <c r="AD119" i="91" a="1"/>
  <c r="AD119" i="91" s="1"/>
  <c r="AC119" i="91" a="1"/>
  <c r="AC119" i="91" s="1"/>
  <c r="AB119" i="91" a="1"/>
  <c r="AB119" i="91" s="1"/>
  <c r="AA119" i="91" a="1"/>
  <c r="AA119" i="91" s="1"/>
  <c r="Z119" i="91" a="1"/>
  <c r="Z119" i="91" s="1"/>
  <c r="Y119" i="91" a="1"/>
  <c r="Y119" i="91" s="1"/>
  <c r="X119" i="91" a="1"/>
  <c r="X119" i="91" s="1"/>
  <c r="W119" i="91" a="1"/>
  <c r="W119" i="91" s="1"/>
  <c r="V119" i="91" a="1"/>
  <c r="V119" i="91" s="1"/>
  <c r="U119" i="91" a="1"/>
  <c r="U119" i="91" s="1"/>
  <c r="T119" i="91" a="1"/>
  <c r="T119" i="91" s="1"/>
  <c r="S119" i="91" a="1"/>
  <c r="S119" i="91" s="1"/>
  <c r="R119" i="91" a="1"/>
  <c r="R119" i="91" s="1"/>
  <c r="Q119" i="91" a="1"/>
  <c r="Q119" i="91" s="1"/>
  <c r="P119" i="91" a="1"/>
  <c r="P119" i="91" s="1"/>
  <c r="O119" i="91" a="1"/>
  <c r="O119" i="91" s="1"/>
  <c r="N119" i="91" a="1"/>
  <c r="N119" i="91" s="1"/>
  <c r="M119" i="91" a="1"/>
  <c r="M119" i="91" s="1"/>
  <c r="L119" i="91" a="1"/>
  <c r="L119" i="91" s="1"/>
  <c r="K119" i="91" a="1"/>
  <c r="K119" i="91" s="1"/>
  <c r="J119" i="91" a="1"/>
  <c r="J119" i="91" s="1"/>
  <c r="I119" i="91" a="1"/>
  <c r="I119" i="91" s="1"/>
  <c r="H119" i="91" a="1"/>
  <c r="H119" i="91" s="1"/>
  <c r="G119" i="91" a="1"/>
  <c r="G119" i="91" s="1"/>
  <c r="F119" i="91" a="1"/>
  <c r="F119" i="91" s="1"/>
  <c r="E119" i="91" a="1"/>
  <c r="E119" i="91" s="1"/>
  <c r="D119" i="91" a="1"/>
  <c r="D119" i="91" s="1"/>
  <c r="AE118" i="91" a="1"/>
  <c r="AE118" i="91" s="1"/>
  <c r="AD118" i="91" a="1"/>
  <c r="AD118" i="91" s="1"/>
  <c r="AC118" i="91" a="1"/>
  <c r="AC118" i="91" s="1"/>
  <c r="AB118" i="91" a="1"/>
  <c r="AB118" i="91" s="1"/>
  <c r="AA118" i="91" a="1"/>
  <c r="AA118" i="91" s="1"/>
  <c r="Z118" i="91" a="1"/>
  <c r="Z118" i="91" s="1"/>
  <c r="Y118" i="91" a="1"/>
  <c r="Y118" i="91" s="1"/>
  <c r="X118" i="91" a="1"/>
  <c r="X118" i="91" s="1"/>
  <c r="W118" i="91" a="1"/>
  <c r="W118" i="91" s="1"/>
  <c r="V118" i="91" a="1"/>
  <c r="V118" i="91" s="1"/>
  <c r="U118" i="91" a="1"/>
  <c r="U118" i="91" s="1"/>
  <c r="T118" i="91" a="1"/>
  <c r="T118" i="91" s="1"/>
  <c r="S118" i="91" a="1"/>
  <c r="S118" i="91" s="1"/>
  <c r="R118" i="91" a="1"/>
  <c r="R118" i="91" s="1"/>
  <c r="Q118" i="91" a="1"/>
  <c r="Q118" i="91" s="1"/>
  <c r="P118" i="91" a="1"/>
  <c r="P118" i="91" s="1"/>
  <c r="O118" i="91" a="1"/>
  <c r="O118" i="91" s="1"/>
  <c r="N118" i="91" a="1"/>
  <c r="N118" i="91" s="1"/>
  <c r="M118" i="91" a="1"/>
  <c r="M118" i="91" s="1"/>
  <c r="L118" i="91" a="1"/>
  <c r="L118" i="91" s="1"/>
  <c r="K118" i="91" a="1"/>
  <c r="K118" i="91" s="1"/>
  <c r="J118" i="91" a="1"/>
  <c r="J118" i="91" s="1"/>
  <c r="I118" i="91" a="1"/>
  <c r="I118" i="91" s="1"/>
  <c r="H118" i="91" a="1"/>
  <c r="H118" i="91" s="1"/>
  <c r="G118" i="91" a="1"/>
  <c r="G118" i="91" s="1"/>
  <c r="F118" i="91" a="1"/>
  <c r="F118" i="91" s="1"/>
  <c r="E118" i="91" a="1"/>
  <c r="E118" i="91" s="1"/>
  <c r="D118" i="91" a="1"/>
  <c r="D118" i="91" s="1"/>
  <c r="AE117" i="91" a="1"/>
  <c r="AE117" i="91" s="1"/>
  <c r="AD117" i="91" a="1"/>
  <c r="AD117" i="91" s="1"/>
  <c r="AC117" i="91" a="1"/>
  <c r="AC117" i="91" s="1"/>
  <c r="AB117" i="91" a="1"/>
  <c r="AB117" i="91" s="1"/>
  <c r="AA117" i="91" a="1"/>
  <c r="AA117" i="91" s="1"/>
  <c r="Z117" i="91" a="1"/>
  <c r="Z117" i="91" s="1"/>
  <c r="Y117" i="91" a="1"/>
  <c r="Y117" i="91" s="1"/>
  <c r="X117" i="91" a="1"/>
  <c r="X117" i="91" s="1"/>
  <c r="W117" i="91" a="1"/>
  <c r="W117" i="91" s="1"/>
  <c r="V117" i="91" a="1"/>
  <c r="V117" i="91" s="1"/>
  <c r="U117" i="91" a="1"/>
  <c r="U117" i="91" s="1"/>
  <c r="T117" i="91" a="1"/>
  <c r="T117" i="91" s="1"/>
  <c r="S117" i="91" a="1"/>
  <c r="S117" i="91" s="1"/>
  <c r="R117" i="91" a="1"/>
  <c r="R117" i="91" s="1"/>
  <c r="Q117" i="91" a="1"/>
  <c r="Q117" i="91" s="1"/>
  <c r="P117" i="91" a="1"/>
  <c r="P117" i="91" s="1"/>
  <c r="O117" i="91" a="1"/>
  <c r="O117" i="91" s="1"/>
  <c r="N117" i="91" a="1"/>
  <c r="N117" i="91" s="1"/>
  <c r="M117" i="91" a="1"/>
  <c r="M117" i="91" s="1"/>
  <c r="L117" i="91" a="1"/>
  <c r="L117" i="91" s="1"/>
  <c r="K117" i="91" a="1"/>
  <c r="K117" i="91" s="1"/>
  <c r="J117" i="91" a="1"/>
  <c r="J117" i="91" s="1"/>
  <c r="I117" i="91" a="1"/>
  <c r="I117" i="91" s="1"/>
  <c r="H117" i="91" a="1"/>
  <c r="H117" i="91" s="1"/>
  <c r="G117" i="91" a="1"/>
  <c r="G117" i="91" s="1"/>
  <c r="F117" i="91" a="1"/>
  <c r="F117" i="91" s="1"/>
  <c r="E117" i="91" a="1"/>
  <c r="E117" i="91" s="1"/>
  <c r="D117" i="91" a="1"/>
  <c r="D117" i="91" s="1"/>
  <c r="AE116" i="91" a="1"/>
  <c r="AE116" i="91" s="1"/>
  <c r="AD116" i="91" a="1"/>
  <c r="AD116" i="91" s="1"/>
  <c r="AC116" i="91" a="1"/>
  <c r="AC116" i="91" s="1"/>
  <c r="AB116" i="91" a="1"/>
  <c r="AB116" i="91" s="1"/>
  <c r="AA116" i="91" a="1"/>
  <c r="AA116" i="91" s="1"/>
  <c r="Z116" i="91" a="1"/>
  <c r="Z116" i="91" s="1"/>
  <c r="Y116" i="91" a="1"/>
  <c r="Y116" i="91" s="1"/>
  <c r="X116" i="91" a="1"/>
  <c r="X116" i="91" s="1"/>
  <c r="W116" i="91" a="1"/>
  <c r="W116" i="91" s="1"/>
  <c r="V116" i="91" a="1"/>
  <c r="V116" i="91" s="1"/>
  <c r="U116" i="91" a="1"/>
  <c r="U116" i="91" s="1"/>
  <c r="T116" i="91" a="1"/>
  <c r="T116" i="91" s="1"/>
  <c r="S116" i="91" a="1"/>
  <c r="S116" i="91" s="1"/>
  <c r="R116" i="91" a="1"/>
  <c r="R116" i="91" s="1"/>
  <c r="Q116" i="91" a="1"/>
  <c r="Q116" i="91" s="1"/>
  <c r="P116" i="91" a="1"/>
  <c r="P116" i="91" s="1"/>
  <c r="O116" i="91" a="1"/>
  <c r="O116" i="91" s="1"/>
  <c r="N116" i="91" a="1"/>
  <c r="N116" i="91" s="1"/>
  <c r="M116" i="91" a="1"/>
  <c r="M116" i="91" s="1"/>
  <c r="L116" i="91" a="1"/>
  <c r="L116" i="91" s="1"/>
  <c r="K116" i="91" a="1"/>
  <c r="K116" i="91" s="1"/>
  <c r="J116" i="91" a="1"/>
  <c r="J116" i="91" s="1"/>
  <c r="I116" i="91" a="1"/>
  <c r="I116" i="91" s="1"/>
  <c r="H116" i="91" a="1"/>
  <c r="H116" i="91" s="1"/>
  <c r="G116" i="91" a="1"/>
  <c r="G116" i="91" s="1"/>
  <c r="F116" i="91" a="1"/>
  <c r="F116" i="91" s="1"/>
  <c r="E116" i="91" a="1"/>
  <c r="E116" i="91" s="1"/>
  <c r="D116" i="91" a="1"/>
  <c r="D116" i="91" s="1"/>
  <c r="AE115" i="91" a="1"/>
  <c r="AE115" i="91" s="1"/>
  <c r="AD115" i="91" a="1"/>
  <c r="AD115" i="91" s="1"/>
  <c r="AC115" i="91" a="1"/>
  <c r="AC115" i="91" s="1"/>
  <c r="AB115" i="91" a="1"/>
  <c r="AB115" i="91" s="1"/>
  <c r="AA115" i="91" a="1"/>
  <c r="AA115" i="91" s="1"/>
  <c r="Z115" i="91" a="1"/>
  <c r="Z115" i="91" s="1"/>
  <c r="Y115" i="91" a="1"/>
  <c r="Y115" i="91" s="1"/>
  <c r="X115" i="91" a="1"/>
  <c r="X115" i="91" s="1"/>
  <c r="W115" i="91" a="1"/>
  <c r="W115" i="91" s="1"/>
  <c r="V115" i="91" a="1"/>
  <c r="V115" i="91" s="1"/>
  <c r="U115" i="91" a="1"/>
  <c r="U115" i="91" s="1"/>
  <c r="T115" i="91" a="1"/>
  <c r="T115" i="91" s="1"/>
  <c r="S115" i="91" a="1"/>
  <c r="S115" i="91" s="1"/>
  <c r="R115" i="91" a="1"/>
  <c r="R115" i="91" s="1"/>
  <c r="Q115" i="91" a="1"/>
  <c r="Q115" i="91" s="1"/>
  <c r="P115" i="91" a="1"/>
  <c r="P115" i="91" s="1"/>
  <c r="O115" i="91" a="1"/>
  <c r="O115" i="91" s="1"/>
  <c r="N115" i="91" a="1"/>
  <c r="N115" i="91" s="1"/>
  <c r="M115" i="91" a="1"/>
  <c r="M115" i="91" s="1"/>
  <c r="L115" i="91" a="1"/>
  <c r="L115" i="91" s="1"/>
  <c r="K115" i="91" a="1"/>
  <c r="K115" i="91" s="1"/>
  <c r="J115" i="91" a="1"/>
  <c r="J115" i="91" s="1"/>
  <c r="I115" i="91" a="1"/>
  <c r="I115" i="91" s="1"/>
  <c r="H115" i="91" a="1"/>
  <c r="H115" i="91" s="1"/>
  <c r="G115" i="91" a="1"/>
  <c r="G115" i="91" s="1"/>
  <c r="F115" i="91" a="1"/>
  <c r="F115" i="91" s="1"/>
  <c r="E115" i="91" a="1"/>
  <c r="E115" i="91" s="1"/>
  <c r="D115" i="91" a="1"/>
  <c r="D115" i="91" s="1"/>
  <c r="AE114" i="91" a="1"/>
  <c r="AE114" i="91" s="1"/>
  <c r="AD114" i="91" a="1"/>
  <c r="AD114" i="91" s="1"/>
  <c r="AC114" i="91" a="1"/>
  <c r="AC114" i="91" s="1"/>
  <c r="AB114" i="91" a="1"/>
  <c r="AB114" i="91" s="1"/>
  <c r="AA114" i="91" a="1"/>
  <c r="AA114" i="91" s="1"/>
  <c r="Z114" i="91" a="1"/>
  <c r="Z114" i="91" s="1"/>
  <c r="Y114" i="91" a="1"/>
  <c r="Y114" i="91" s="1"/>
  <c r="X114" i="91" a="1"/>
  <c r="X114" i="91" s="1"/>
  <c r="W114" i="91" a="1"/>
  <c r="W114" i="91" s="1"/>
  <c r="V114" i="91" a="1"/>
  <c r="V114" i="91" s="1"/>
  <c r="U114" i="91" a="1"/>
  <c r="U114" i="91" s="1"/>
  <c r="T114" i="91" a="1"/>
  <c r="T114" i="91" s="1"/>
  <c r="S114" i="91" a="1"/>
  <c r="S114" i="91" s="1"/>
  <c r="R114" i="91" a="1"/>
  <c r="R114" i="91" s="1"/>
  <c r="Q114" i="91" a="1"/>
  <c r="Q114" i="91" s="1"/>
  <c r="P114" i="91" a="1"/>
  <c r="P114" i="91" s="1"/>
  <c r="O114" i="91" a="1"/>
  <c r="O114" i="91" s="1"/>
  <c r="N114" i="91" a="1"/>
  <c r="N114" i="91" s="1"/>
  <c r="M114" i="91" a="1"/>
  <c r="M114" i="91" s="1"/>
  <c r="L114" i="91" a="1"/>
  <c r="L114" i="91" s="1"/>
  <c r="K114" i="91" a="1"/>
  <c r="K114" i="91" s="1"/>
  <c r="J114" i="91" a="1"/>
  <c r="J114" i="91" s="1"/>
  <c r="I114" i="91" a="1"/>
  <c r="I114" i="91" s="1"/>
  <c r="H114" i="91" a="1"/>
  <c r="H114" i="91" s="1"/>
  <c r="G114" i="91" a="1"/>
  <c r="G114" i="91" s="1"/>
  <c r="F114" i="91" a="1"/>
  <c r="F114" i="91" s="1"/>
  <c r="E114" i="91" a="1"/>
  <c r="E114" i="91" s="1"/>
  <c r="D114" i="91" a="1"/>
  <c r="D114" i="91" s="1"/>
  <c r="AE113" i="91" a="1"/>
  <c r="AE113" i="91" s="1"/>
  <c r="AD113" i="91" a="1"/>
  <c r="AD113" i="91" s="1"/>
  <c r="AC113" i="91" a="1"/>
  <c r="AC113" i="91" s="1"/>
  <c r="AB113" i="91" a="1"/>
  <c r="AB113" i="91" s="1"/>
  <c r="AA113" i="91" a="1"/>
  <c r="AA113" i="91" s="1"/>
  <c r="Z113" i="91" a="1"/>
  <c r="Z113" i="91" s="1"/>
  <c r="Y113" i="91" a="1"/>
  <c r="Y113" i="91" s="1"/>
  <c r="X113" i="91" a="1"/>
  <c r="X113" i="91" s="1"/>
  <c r="W113" i="91" a="1"/>
  <c r="W113" i="91" s="1"/>
  <c r="V113" i="91" a="1"/>
  <c r="V113" i="91" s="1"/>
  <c r="U113" i="91" a="1"/>
  <c r="U113" i="91" s="1"/>
  <c r="T113" i="91" a="1"/>
  <c r="T113" i="91" s="1"/>
  <c r="S113" i="91" a="1"/>
  <c r="S113" i="91" s="1"/>
  <c r="R113" i="91" a="1"/>
  <c r="R113" i="91" s="1"/>
  <c r="Q113" i="91" a="1"/>
  <c r="Q113" i="91" s="1"/>
  <c r="P113" i="91" a="1"/>
  <c r="P113" i="91" s="1"/>
  <c r="O113" i="91" a="1"/>
  <c r="O113" i="91" s="1"/>
  <c r="N113" i="91" a="1"/>
  <c r="N113" i="91" s="1"/>
  <c r="M113" i="91" a="1"/>
  <c r="M113" i="91" s="1"/>
  <c r="L113" i="91" a="1"/>
  <c r="L113" i="91" s="1"/>
  <c r="K113" i="91" a="1"/>
  <c r="K113" i="91" s="1"/>
  <c r="J113" i="91" a="1"/>
  <c r="J113" i="91" s="1"/>
  <c r="I113" i="91" a="1"/>
  <c r="I113" i="91" s="1"/>
  <c r="H113" i="91" a="1"/>
  <c r="H113" i="91" s="1"/>
  <c r="G113" i="91" a="1"/>
  <c r="G113" i="91" s="1"/>
  <c r="F113" i="91" a="1"/>
  <c r="F113" i="91" s="1"/>
  <c r="E113" i="91" a="1"/>
  <c r="E113" i="91" s="1"/>
  <c r="D113" i="91" a="1"/>
  <c r="D113" i="91" s="1"/>
  <c r="AE112" i="91" a="1"/>
  <c r="AE112" i="91" s="1"/>
  <c r="AD112" i="91" a="1"/>
  <c r="AD112" i="91" s="1"/>
  <c r="AC112" i="91" a="1"/>
  <c r="AC112" i="91" s="1"/>
  <c r="AB112" i="91" a="1"/>
  <c r="AB112" i="91" s="1"/>
  <c r="AA112" i="91" a="1"/>
  <c r="AA112" i="91" s="1"/>
  <c r="Z112" i="91" a="1"/>
  <c r="Z112" i="91" s="1"/>
  <c r="Y112" i="91" a="1"/>
  <c r="Y112" i="91" s="1"/>
  <c r="X112" i="91" a="1"/>
  <c r="X112" i="91" s="1"/>
  <c r="W112" i="91" a="1"/>
  <c r="W112" i="91" s="1"/>
  <c r="V112" i="91" a="1"/>
  <c r="V112" i="91" s="1"/>
  <c r="U112" i="91" a="1"/>
  <c r="U112" i="91" s="1"/>
  <c r="T112" i="91" a="1"/>
  <c r="T112" i="91" s="1"/>
  <c r="S112" i="91" a="1"/>
  <c r="S112" i="91" s="1"/>
  <c r="R112" i="91" a="1"/>
  <c r="R112" i="91" s="1"/>
  <c r="Q112" i="91" a="1"/>
  <c r="Q112" i="91" s="1"/>
  <c r="P112" i="91" a="1"/>
  <c r="P112" i="91" s="1"/>
  <c r="O112" i="91" a="1"/>
  <c r="O112" i="91" s="1"/>
  <c r="N112" i="91" a="1"/>
  <c r="N112" i="91" s="1"/>
  <c r="M112" i="91" a="1"/>
  <c r="M112" i="91" s="1"/>
  <c r="L112" i="91" a="1"/>
  <c r="L112" i="91" s="1"/>
  <c r="K112" i="91" a="1"/>
  <c r="K112" i="91" s="1"/>
  <c r="J112" i="91" a="1"/>
  <c r="J112" i="91" s="1"/>
  <c r="I112" i="91" a="1"/>
  <c r="I112" i="91" s="1"/>
  <c r="H112" i="91" a="1"/>
  <c r="H112" i="91" s="1"/>
  <c r="G112" i="91" a="1"/>
  <c r="G112" i="91" s="1"/>
  <c r="F112" i="91" a="1"/>
  <c r="F112" i="91" s="1"/>
  <c r="E112" i="91" a="1"/>
  <c r="E112" i="91" s="1"/>
  <c r="D112" i="91" a="1"/>
  <c r="D112" i="91" s="1"/>
  <c r="AE111" i="91" a="1"/>
  <c r="AE111" i="91" s="1"/>
  <c r="AD111" i="91" a="1"/>
  <c r="AD111" i="91" s="1"/>
  <c r="AC111" i="91" a="1"/>
  <c r="AC111" i="91" s="1"/>
  <c r="AB111" i="91" a="1"/>
  <c r="AB111" i="91" s="1"/>
  <c r="AA111" i="91" a="1"/>
  <c r="AA111" i="91" s="1"/>
  <c r="Z111" i="91" a="1"/>
  <c r="Z111" i="91" s="1"/>
  <c r="Y111" i="91" a="1"/>
  <c r="Y111" i="91" s="1"/>
  <c r="X111" i="91" a="1"/>
  <c r="X111" i="91" s="1"/>
  <c r="W111" i="91" a="1"/>
  <c r="W111" i="91" s="1"/>
  <c r="V111" i="91" a="1"/>
  <c r="V111" i="91" s="1"/>
  <c r="U111" i="91" a="1"/>
  <c r="U111" i="91" s="1"/>
  <c r="T111" i="91" a="1"/>
  <c r="T111" i="91" s="1"/>
  <c r="S111" i="91" a="1"/>
  <c r="S111" i="91" s="1"/>
  <c r="R111" i="91" a="1"/>
  <c r="R111" i="91" s="1"/>
  <c r="Q111" i="91" a="1"/>
  <c r="Q111" i="91" s="1"/>
  <c r="P111" i="91" a="1"/>
  <c r="P111" i="91" s="1"/>
  <c r="O111" i="91" a="1"/>
  <c r="O111" i="91" s="1"/>
  <c r="N111" i="91" a="1"/>
  <c r="N111" i="91" s="1"/>
  <c r="M111" i="91" a="1"/>
  <c r="M111" i="91" s="1"/>
  <c r="L111" i="91" a="1"/>
  <c r="L111" i="91" s="1"/>
  <c r="K111" i="91" a="1"/>
  <c r="K111" i="91" s="1"/>
  <c r="J111" i="91" a="1"/>
  <c r="J111" i="91" s="1"/>
  <c r="I111" i="91" a="1"/>
  <c r="I111" i="91" s="1"/>
  <c r="H111" i="91" a="1"/>
  <c r="H111" i="91" s="1"/>
  <c r="G111" i="91" a="1"/>
  <c r="G111" i="91" s="1"/>
  <c r="F111" i="91" a="1"/>
  <c r="F111" i="91" s="1"/>
  <c r="E111" i="91" a="1"/>
  <c r="E111" i="91" s="1"/>
  <c r="D111" i="91" a="1"/>
  <c r="D111" i="91" s="1"/>
  <c r="AE110" i="91" a="1"/>
  <c r="AE110" i="91" s="1"/>
  <c r="AD110" i="91" a="1"/>
  <c r="AD110" i="91" s="1"/>
  <c r="AC110" i="91" a="1"/>
  <c r="AC110" i="91" s="1"/>
  <c r="AB110" i="91" a="1"/>
  <c r="AB110" i="91" s="1"/>
  <c r="AA110" i="91" a="1"/>
  <c r="AA110" i="91" s="1"/>
  <c r="Z110" i="91" a="1"/>
  <c r="Z110" i="91" s="1"/>
  <c r="Y110" i="91" a="1"/>
  <c r="Y110" i="91" s="1"/>
  <c r="X110" i="91" a="1"/>
  <c r="X110" i="91" s="1"/>
  <c r="W110" i="91" a="1"/>
  <c r="W110" i="91" s="1"/>
  <c r="V110" i="91" a="1"/>
  <c r="V110" i="91" s="1"/>
  <c r="U110" i="91" a="1"/>
  <c r="U110" i="91" s="1"/>
  <c r="T110" i="91" a="1"/>
  <c r="T110" i="91" s="1"/>
  <c r="S110" i="91" a="1"/>
  <c r="S110" i="91" s="1"/>
  <c r="R110" i="91" a="1"/>
  <c r="R110" i="91" s="1"/>
  <c r="Q110" i="91" a="1"/>
  <c r="Q110" i="91" s="1"/>
  <c r="P110" i="91" a="1"/>
  <c r="P110" i="91" s="1"/>
  <c r="O110" i="91" a="1"/>
  <c r="O110" i="91" s="1"/>
  <c r="N110" i="91" a="1"/>
  <c r="N110" i="91" s="1"/>
  <c r="M110" i="91" a="1"/>
  <c r="M110" i="91" s="1"/>
  <c r="L110" i="91" a="1"/>
  <c r="L110" i="91" s="1"/>
  <c r="K110" i="91" a="1"/>
  <c r="K110" i="91" s="1"/>
  <c r="J110" i="91" a="1"/>
  <c r="J110" i="91" s="1"/>
  <c r="I110" i="91" a="1"/>
  <c r="I110" i="91" s="1"/>
  <c r="H110" i="91" a="1"/>
  <c r="H110" i="91" s="1"/>
  <c r="G110" i="91" a="1"/>
  <c r="G110" i="91" s="1"/>
  <c r="F110" i="91" a="1"/>
  <c r="F110" i="91" s="1"/>
  <c r="E110" i="91" a="1"/>
  <c r="E110" i="91" s="1"/>
  <c r="D110" i="91" a="1"/>
  <c r="D110" i="91" s="1"/>
  <c r="AE109" i="91" a="1"/>
  <c r="AE109" i="91" s="1"/>
  <c r="AD109" i="91" a="1"/>
  <c r="AD109" i="91" s="1"/>
  <c r="AC109" i="91" a="1"/>
  <c r="AC109" i="91" s="1"/>
  <c r="AB109" i="91" a="1"/>
  <c r="AB109" i="91" s="1"/>
  <c r="AA109" i="91" a="1"/>
  <c r="AA109" i="91" s="1"/>
  <c r="Z109" i="91" a="1"/>
  <c r="Z109" i="91" s="1"/>
  <c r="Y109" i="91" a="1"/>
  <c r="Y109" i="91" s="1"/>
  <c r="X109" i="91" a="1"/>
  <c r="X109" i="91" s="1"/>
  <c r="W109" i="91" a="1"/>
  <c r="W109" i="91" s="1"/>
  <c r="V109" i="91" a="1"/>
  <c r="V109" i="91" s="1"/>
  <c r="U109" i="91" a="1"/>
  <c r="U109" i="91" s="1"/>
  <c r="T109" i="91" a="1"/>
  <c r="T109" i="91" s="1"/>
  <c r="S109" i="91" a="1"/>
  <c r="S109" i="91" s="1"/>
  <c r="R109" i="91" a="1"/>
  <c r="R109" i="91" s="1"/>
  <c r="Q109" i="91" a="1"/>
  <c r="Q109" i="91" s="1"/>
  <c r="P109" i="91" a="1"/>
  <c r="P109" i="91" s="1"/>
  <c r="O109" i="91" a="1"/>
  <c r="O109" i="91" s="1"/>
  <c r="N109" i="91" a="1"/>
  <c r="N109" i="91" s="1"/>
  <c r="M109" i="91" a="1"/>
  <c r="M109" i="91" s="1"/>
  <c r="L109" i="91" a="1"/>
  <c r="L109" i="91" s="1"/>
  <c r="K109" i="91" a="1"/>
  <c r="K109" i="91" s="1"/>
  <c r="J109" i="91" a="1"/>
  <c r="J109" i="91" s="1"/>
  <c r="I109" i="91" a="1"/>
  <c r="I109" i="91" s="1"/>
  <c r="H109" i="91" a="1"/>
  <c r="H109" i="91" s="1"/>
  <c r="G109" i="91" a="1"/>
  <c r="G109" i="91" s="1"/>
  <c r="F109" i="91" a="1"/>
  <c r="F109" i="91" s="1"/>
  <c r="E109" i="91" a="1"/>
  <c r="E109" i="91" s="1"/>
  <c r="D109" i="91" a="1"/>
  <c r="D109" i="91" s="1"/>
  <c r="AE108" i="91" a="1"/>
  <c r="AE108" i="91" s="1"/>
  <c r="AD108" i="91" a="1"/>
  <c r="AD108" i="91" s="1"/>
  <c r="AC108" i="91" a="1"/>
  <c r="AC108" i="91" s="1"/>
  <c r="AB108" i="91" a="1"/>
  <c r="AB108" i="91" s="1"/>
  <c r="AA108" i="91" a="1"/>
  <c r="AA108" i="91" s="1"/>
  <c r="Z108" i="91" a="1"/>
  <c r="Z108" i="91" s="1"/>
  <c r="Y108" i="91" a="1"/>
  <c r="Y108" i="91" s="1"/>
  <c r="X108" i="91" a="1"/>
  <c r="X108" i="91" s="1"/>
  <c r="W108" i="91" a="1"/>
  <c r="W108" i="91" s="1"/>
  <c r="V108" i="91" a="1"/>
  <c r="V108" i="91" s="1"/>
  <c r="U108" i="91" a="1"/>
  <c r="U108" i="91" s="1"/>
  <c r="T108" i="91" a="1"/>
  <c r="T108" i="91" s="1"/>
  <c r="S108" i="91" a="1"/>
  <c r="S108" i="91" s="1"/>
  <c r="R108" i="91" a="1"/>
  <c r="R108" i="91" s="1"/>
  <c r="Q108" i="91" a="1"/>
  <c r="Q108" i="91" s="1"/>
  <c r="P108" i="91" a="1"/>
  <c r="P108" i="91" s="1"/>
  <c r="O108" i="91" a="1"/>
  <c r="O108" i="91" s="1"/>
  <c r="N108" i="91" a="1"/>
  <c r="N108" i="91" s="1"/>
  <c r="M108" i="91" a="1"/>
  <c r="M108" i="91" s="1"/>
  <c r="L108" i="91" a="1"/>
  <c r="L108" i="91" s="1"/>
  <c r="K108" i="91" a="1"/>
  <c r="K108" i="91" s="1"/>
  <c r="J108" i="91" a="1"/>
  <c r="J108" i="91" s="1"/>
  <c r="I108" i="91" a="1"/>
  <c r="I108" i="91" s="1"/>
  <c r="H108" i="91" a="1"/>
  <c r="H108" i="91" s="1"/>
  <c r="G108" i="91" a="1"/>
  <c r="G108" i="91" s="1"/>
  <c r="F108" i="91" a="1"/>
  <c r="F108" i="91" s="1"/>
  <c r="E108" i="91" a="1"/>
  <c r="E108" i="91" s="1"/>
  <c r="D108" i="91" a="1"/>
  <c r="D108" i="91" s="1"/>
  <c r="AE107" i="91" a="1"/>
  <c r="AE107" i="91" s="1"/>
  <c r="AD107" i="91" a="1"/>
  <c r="AD107" i="91" s="1"/>
  <c r="AC107" i="91" a="1"/>
  <c r="AC107" i="91" s="1"/>
  <c r="AB107" i="91" a="1"/>
  <c r="AB107" i="91" s="1"/>
  <c r="AA107" i="91" a="1"/>
  <c r="AA107" i="91" s="1"/>
  <c r="Z107" i="91" a="1"/>
  <c r="Z107" i="91" s="1"/>
  <c r="Y107" i="91" a="1"/>
  <c r="Y107" i="91" s="1"/>
  <c r="X107" i="91" a="1"/>
  <c r="X107" i="91" s="1"/>
  <c r="W107" i="91" a="1"/>
  <c r="W107" i="91" s="1"/>
  <c r="V107" i="91" a="1"/>
  <c r="V107" i="91" s="1"/>
  <c r="U107" i="91" a="1"/>
  <c r="U107" i="91" s="1"/>
  <c r="T107" i="91" a="1"/>
  <c r="T107" i="91" s="1"/>
  <c r="S107" i="91" a="1"/>
  <c r="S107" i="91" s="1"/>
  <c r="R107" i="91" a="1"/>
  <c r="R107" i="91" s="1"/>
  <c r="Q107" i="91" a="1"/>
  <c r="Q107" i="91" s="1"/>
  <c r="P107" i="91" a="1"/>
  <c r="P107" i="91" s="1"/>
  <c r="O107" i="91" a="1"/>
  <c r="O107" i="91" s="1"/>
  <c r="N107" i="91" a="1"/>
  <c r="N107" i="91" s="1"/>
  <c r="M107" i="91" a="1"/>
  <c r="M107" i="91" s="1"/>
  <c r="L107" i="91" a="1"/>
  <c r="L107" i="91" s="1"/>
  <c r="K107" i="91" a="1"/>
  <c r="K107" i="91" s="1"/>
  <c r="J107" i="91" a="1"/>
  <c r="J107" i="91" s="1"/>
  <c r="I107" i="91" a="1"/>
  <c r="I107" i="91" s="1"/>
  <c r="H107" i="91" a="1"/>
  <c r="H107" i="91" s="1"/>
  <c r="G107" i="91" a="1"/>
  <c r="G107" i="91" s="1"/>
  <c r="F107" i="91" a="1"/>
  <c r="F107" i="91" s="1"/>
  <c r="E107" i="91" a="1"/>
  <c r="E107" i="91" s="1"/>
  <c r="D107" i="91" a="1"/>
  <c r="D107" i="91" s="1"/>
  <c r="AE106" i="91" a="1"/>
  <c r="AE106" i="91" s="1"/>
  <c r="AD106" i="91" a="1"/>
  <c r="AD106" i="91" s="1"/>
  <c r="AC106" i="91" a="1"/>
  <c r="AC106" i="91" s="1"/>
  <c r="AB106" i="91" a="1"/>
  <c r="AB106" i="91" s="1"/>
  <c r="AA106" i="91" a="1"/>
  <c r="AA106" i="91" s="1"/>
  <c r="Z106" i="91" a="1"/>
  <c r="Z106" i="91" s="1"/>
  <c r="Y106" i="91" a="1"/>
  <c r="Y106" i="91" s="1"/>
  <c r="X106" i="91" a="1"/>
  <c r="X106" i="91" s="1"/>
  <c r="W106" i="91" a="1"/>
  <c r="W106" i="91" s="1"/>
  <c r="V106" i="91" a="1"/>
  <c r="V106" i="91" s="1"/>
  <c r="U106" i="91" a="1"/>
  <c r="U106" i="91" s="1"/>
  <c r="T106" i="91" a="1"/>
  <c r="T106" i="91" s="1"/>
  <c r="S106" i="91" a="1"/>
  <c r="S106" i="91" s="1"/>
  <c r="R106" i="91" a="1"/>
  <c r="R106" i="91" s="1"/>
  <c r="Q106" i="91" a="1"/>
  <c r="Q106" i="91" s="1"/>
  <c r="P106" i="91" a="1"/>
  <c r="P106" i="91" s="1"/>
  <c r="O106" i="91" a="1"/>
  <c r="O106" i="91" s="1"/>
  <c r="N106" i="91" a="1"/>
  <c r="N106" i="91" s="1"/>
  <c r="M106" i="91" a="1"/>
  <c r="M106" i="91" s="1"/>
  <c r="L106" i="91" a="1"/>
  <c r="L106" i="91" s="1"/>
  <c r="K106" i="91" a="1"/>
  <c r="K106" i="91" s="1"/>
  <c r="J106" i="91" a="1"/>
  <c r="J106" i="91" s="1"/>
  <c r="I106" i="91" a="1"/>
  <c r="I106" i="91" s="1"/>
  <c r="H106" i="91" a="1"/>
  <c r="H106" i="91" s="1"/>
  <c r="G106" i="91" a="1"/>
  <c r="G106" i="91" s="1"/>
  <c r="F106" i="91" a="1"/>
  <c r="F106" i="91" s="1"/>
  <c r="E106" i="91" a="1"/>
  <c r="E106" i="91" s="1"/>
  <c r="D106" i="91" a="1"/>
  <c r="D106" i="91" s="1"/>
  <c r="AE105" i="91" a="1"/>
  <c r="AE105" i="91" s="1"/>
  <c r="AD105" i="91" a="1"/>
  <c r="AD105" i="91" s="1"/>
  <c r="AC105" i="91" a="1"/>
  <c r="AC105" i="91" s="1"/>
  <c r="AB105" i="91" a="1"/>
  <c r="AB105" i="91" s="1"/>
  <c r="AA105" i="91" a="1"/>
  <c r="AA105" i="91" s="1"/>
  <c r="Z105" i="91" a="1"/>
  <c r="Z105" i="91" s="1"/>
  <c r="Y105" i="91" a="1"/>
  <c r="Y105" i="91" s="1"/>
  <c r="X105" i="91" a="1"/>
  <c r="X105" i="91" s="1"/>
  <c r="W105" i="91" a="1"/>
  <c r="W105" i="91" s="1"/>
  <c r="V105" i="91" a="1"/>
  <c r="V105" i="91" s="1"/>
  <c r="U105" i="91" a="1"/>
  <c r="U105" i="91" s="1"/>
  <c r="T105" i="91" a="1"/>
  <c r="T105" i="91" s="1"/>
  <c r="S105" i="91" a="1"/>
  <c r="S105" i="91" s="1"/>
  <c r="R105" i="91" a="1"/>
  <c r="R105" i="91" s="1"/>
  <c r="Q105" i="91" a="1"/>
  <c r="Q105" i="91" s="1"/>
  <c r="P105" i="91" a="1"/>
  <c r="P105" i="91" s="1"/>
  <c r="O105" i="91" a="1"/>
  <c r="O105" i="91" s="1"/>
  <c r="N105" i="91" a="1"/>
  <c r="N105" i="91" s="1"/>
  <c r="M105" i="91" a="1"/>
  <c r="M105" i="91" s="1"/>
  <c r="L105" i="91" a="1"/>
  <c r="L105" i="91" s="1"/>
  <c r="K105" i="91" a="1"/>
  <c r="K105" i="91" s="1"/>
  <c r="J105" i="91" a="1"/>
  <c r="J105" i="91" s="1"/>
  <c r="I105" i="91" a="1"/>
  <c r="I105" i="91" s="1"/>
  <c r="H105" i="91" a="1"/>
  <c r="H105" i="91" s="1"/>
  <c r="G105" i="91" a="1"/>
  <c r="G105" i="91" s="1"/>
  <c r="F105" i="91" a="1"/>
  <c r="F105" i="91" s="1"/>
  <c r="E105" i="91" a="1"/>
  <c r="E105" i="91" s="1"/>
  <c r="D105" i="91" a="1"/>
  <c r="D105" i="91" s="1"/>
  <c r="AE104" i="91" a="1"/>
  <c r="AE104" i="91" s="1"/>
  <c r="AD104" i="91" a="1"/>
  <c r="AD104" i="91" s="1"/>
  <c r="AC104" i="91" a="1"/>
  <c r="AC104" i="91" s="1"/>
  <c r="AB104" i="91" a="1"/>
  <c r="AB104" i="91" s="1"/>
  <c r="AA104" i="91" a="1"/>
  <c r="AA104" i="91" s="1"/>
  <c r="Z104" i="91" a="1"/>
  <c r="Z104" i="91" s="1"/>
  <c r="Y104" i="91" a="1"/>
  <c r="Y104" i="91" s="1"/>
  <c r="X104" i="91" a="1"/>
  <c r="X104" i="91" s="1"/>
  <c r="W104" i="91" a="1"/>
  <c r="W104" i="91" s="1"/>
  <c r="V104" i="91" a="1"/>
  <c r="V104" i="91" s="1"/>
  <c r="U104" i="91" a="1"/>
  <c r="U104" i="91" s="1"/>
  <c r="T104" i="91" a="1"/>
  <c r="T104" i="91" s="1"/>
  <c r="S104" i="91" a="1"/>
  <c r="S104" i="91" s="1"/>
  <c r="R104" i="91" a="1"/>
  <c r="R104" i="91" s="1"/>
  <c r="Q104" i="91" a="1"/>
  <c r="Q104" i="91" s="1"/>
  <c r="P104" i="91" a="1"/>
  <c r="P104" i="91" s="1"/>
  <c r="O104" i="91" a="1"/>
  <c r="O104" i="91" s="1"/>
  <c r="N104" i="91" a="1"/>
  <c r="N104" i="91" s="1"/>
  <c r="M104" i="91" a="1"/>
  <c r="M104" i="91" s="1"/>
  <c r="L104" i="91" a="1"/>
  <c r="L104" i="91" s="1"/>
  <c r="K104" i="91" a="1"/>
  <c r="K104" i="91" s="1"/>
  <c r="J104" i="91" a="1"/>
  <c r="J104" i="91" s="1"/>
  <c r="I104" i="91" a="1"/>
  <c r="I104" i="91" s="1"/>
  <c r="H104" i="91" a="1"/>
  <c r="H104" i="91" s="1"/>
  <c r="G104" i="91" a="1"/>
  <c r="G104" i="91" s="1"/>
  <c r="F104" i="91" a="1"/>
  <c r="F104" i="91" s="1"/>
  <c r="E104" i="91" a="1"/>
  <c r="E104" i="91" s="1"/>
  <c r="D104" i="91" a="1"/>
  <c r="D104" i="91" s="1"/>
  <c r="AE103" i="91" a="1"/>
  <c r="AE103" i="91" s="1"/>
  <c r="AD103" i="91" a="1"/>
  <c r="AD103" i="91" s="1"/>
  <c r="AC103" i="91" a="1"/>
  <c r="AC103" i="91" s="1"/>
  <c r="AB103" i="91" a="1"/>
  <c r="AB103" i="91" s="1"/>
  <c r="AA103" i="91" a="1"/>
  <c r="AA103" i="91" s="1"/>
  <c r="Z103" i="91" a="1"/>
  <c r="Z103" i="91" s="1"/>
  <c r="Y103" i="91" a="1"/>
  <c r="Y103" i="91" s="1"/>
  <c r="X103" i="91" a="1"/>
  <c r="X103" i="91" s="1"/>
  <c r="W103" i="91" a="1"/>
  <c r="W103" i="91" s="1"/>
  <c r="V103" i="91" a="1"/>
  <c r="V103" i="91" s="1"/>
  <c r="U103" i="91" a="1"/>
  <c r="U103" i="91" s="1"/>
  <c r="T103" i="91" a="1"/>
  <c r="T103" i="91" s="1"/>
  <c r="S103" i="91" a="1"/>
  <c r="S103" i="91" s="1"/>
  <c r="R103" i="91" a="1"/>
  <c r="R103" i="91" s="1"/>
  <c r="Q103" i="91" a="1"/>
  <c r="Q103" i="91" s="1"/>
  <c r="P103" i="91" a="1"/>
  <c r="P103" i="91" s="1"/>
  <c r="O103" i="91" a="1"/>
  <c r="O103" i="91" s="1"/>
  <c r="N103" i="91" a="1"/>
  <c r="N103" i="91" s="1"/>
  <c r="M103" i="91" a="1"/>
  <c r="M103" i="91" s="1"/>
  <c r="L103" i="91" a="1"/>
  <c r="L103" i="91" s="1"/>
  <c r="K103" i="91" a="1"/>
  <c r="K103" i="91" s="1"/>
  <c r="J103" i="91" a="1"/>
  <c r="J103" i="91" s="1"/>
  <c r="I103" i="91" a="1"/>
  <c r="I103" i="91" s="1"/>
  <c r="H103" i="91" a="1"/>
  <c r="H103" i="91" s="1"/>
  <c r="G103" i="91" a="1"/>
  <c r="G103" i="91" s="1"/>
  <c r="F103" i="91" a="1"/>
  <c r="F103" i="91" s="1"/>
  <c r="E103" i="91" a="1"/>
  <c r="E103" i="91" s="1"/>
  <c r="D103" i="91" a="1"/>
  <c r="D103" i="91" s="1"/>
  <c r="AE102" i="91" a="1"/>
  <c r="AE102" i="91" s="1"/>
  <c r="AD102" i="91" a="1"/>
  <c r="AD102" i="91" s="1"/>
  <c r="AC102" i="91" a="1"/>
  <c r="AC102" i="91" s="1"/>
  <c r="AB102" i="91" a="1"/>
  <c r="AB102" i="91" s="1"/>
  <c r="AA102" i="91" a="1"/>
  <c r="AA102" i="91" s="1"/>
  <c r="Z102" i="91" a="1"/>
  <c r="Z102" i="91" s="1"/>
  <c r="Y102" i="91" a="1"/>
  <c r="Y102" i="91" s="1"/>
  <c r="X102" i="91" a="1"/>
  <c r="X102" i="91" s="1"/>
  <c r="W102" i="91" a="1"/>
  <c r="W102" i="91" s="1"/>
  <c r="V102" i="91" a="1"/>
  <c r="V102" i="91" s="1"/>
  <c r="U102" i="91" a="1"/>
  <c r="U102" i="91" s="1"/>
  <c r="T102" i="91" a="1"/>
  <c r="T102" i="91" s="1"/>
  <c r="S102" i="91" a="1"/>
  <c r="S102" i="91" s="1"/>
  <c r="R102" i="91" a="1"/>
  <c r="R102" i="91" s="1"/>
  <c r="Q102" i="91" a="1"/>
  <c r="Q102" i="91" s="1"/>
  <c r="P102" i="91" a="1"/>
  <c r="P102" i="91" s="1"/>
  <c r="O102" i="91" a="1"/>
  <c r="O102" i="91" s="1"/>
  <c r="N102" i="91" a="1"/>
  <c r="N102" i="91" s="1"/>
  <c r="M102" i="91" a="1"/>
  <c r="M102" i="91" s="1"/>
  <c r="L102" i="91" a="1"/>
  <c r="L102" i="91" s="1"/>
  <c r="K102" i="91" a="1"/>
  <c r="K102" i="91" s="1"/>
  <c r="J102" i="91" a="1"/>
  <c r="J102" i="91" s="1"/>
  <c r="I102" i="91" a="1"/>
  <c r="I102" i="91" s="1"/>
  <c r="H102" i="91" a="1"/>
  <c r="H102" i="91" s="1"/>
  <c r="G102" i="91" a="1"/>
  <c r="G102" i="91" s="1"/>
  <c r="F102" i="91" a="1"/>
  <c r="F102" i="91" s="1"/>
  <c r="E102" i="91" a="1"/>
  <c r="E102" i="91" s="1"/>
  <c r="D102" i="91" a="1"/>
  <c r="D102" i="91" s="1"/>
  <c r="AE101" i="91" a="1"/>
  <c r="AE101" i="91" s="1"/>
  <c r="AD101" i="91" a="1"/>
  <c r="AD101" i="91" s="1"/>
  <c r="AC101" i="91" a="1"/>
  <c r="AC101" i="91" s="1"/>
  <c r="AB101" i="91" a="1"/>
  <c r="AB101" i="91" s="1"/>
  <c r="AA101" i="91" a="1"/>
  <c r="AA101" i="91" s="1"/>
  <c r="Z101" i="91" a="1"/>
  <c r="Z101" i="91" s="1"/>
  <c r="Y101" i="91" a="1"/>
  <c r="Y101" i="91" s="1"/>
  <c r="X101" i="91" a="1"/>
  <c r="X101" i="91" s="1"/>
  <c r="W101" i="91" a="1"/>
  <c r="W101" i="91" s="1"/>
  <c r="V101" i="91" a="1"/>
  <c r="V101" i="91" s="1"/>
  <c r="U101" i="91" a="1"/>
  <c r="U101" i="91" s="1"/>
  <c r="T101" i="91" a="1"/>
  <c r="T101" i="91" s="1"/>
  <c r="S101" i="91" a="1"/>
  <c r="S101" i="91" s="1"/>
  <c r="R101" i="91" a="1"/>
  <c r="R101" i="91" s="1"/>
  <c r="Q101" i="91" a="1"/>
  <c r="Q101" i="91" s="1"/>
  <c r="P101" i="91" a="1"/>
  <c r="P101" i="91" s="1"/>
  <c r="O101" i="91" a="1"/>
  <c r="O101" i="91" s="1"/>
  <c r="N101" i="91" a="1"/>
  <c r="N101" i="91" s="1"/>
  <c r="M101" i="91" a="1"/>
  <c r="M101" i="91" s="1"/>
  <c r="L101" i="91" a="1"/>
  <c r="L101" i="91" s="1"/>
  <c r="K101" i="91" a="1"/>
  <c r="K101" i="91" s="1"/>
  <c r="J101" i="91" a="1"/>
  <c r="J101" i="91" s="1"/>
  <c r="I101" i="91" a="1"/>
  <c r="I101" i="91" s="1"/>
  <c r="H101" i="91" a="1"/>
  <c r="H101" i="91" s="1"/>
  <c r="G101" i="91" a="1"/>
  <c r="G101" i="91" s="1"/>
  <c r="F101" i="91" a="1"/>
  <c r="F101" i="91" s="1"/>
  <c r="E101" i="91" a="1"/>
  <c r="E101" i="91" s="1"/>
  <c r="D101" i="91" a="1"/>
  <c r="D101" i="91" s="1"/>
  <c r="AE100" i="91" a="1"/>
  <c r="AE100" i="91" s="1"/>
  <c r="AD100" i="91" a="1"/>
  <c r="AD100" i="91" s="1"/>
  <c r="AC100" i="91" a="1"/>
  <c r="AC100" i="91" s="1"/>
  <c r="AB100" i="91" a="1"/>
  <c r="AB100" i="91" s="1"/>
  <c r="AA100" i="91" a="1"/>
  <c r="AA100" i="91" s="1"/>
  <c r="Z100" i="91" a="1"/>
  <c r="Z100" i="91" s="1"/>
  <c r="Y100" i="91" a="1"/>
  <c r="Y100" i="91" s="1"/>
  <c r="X100" i="91" a="1"/>
  <c r="X100" i="91" s="1"/>
  <c r="W100" i="91" a="1"/>
  <c r="W100" i="91" s="1"/>
  <c r="V100" i="91" a="1"/>
  <c r="V100" i="91" s="1"/>
  <c r="U100" i="91" a="1"/>
  <c r="U100" i="91" s="1"/>
  <c r="T100" i="91" a="1"/>
  <c r="T100" i="91" s="1"/>
  <c r="S100" i="91" a="1"/>
  <c r="S100" i="91" s="1"/>
  <c r="R100" i="91" a="1"/>
  <c r="R100" i="91" s="1"/>
  <c r="Q100" i="91" a="1"/>
  <c r="Q100" i="91" s="1"/>
  <c r="P100" i="91" a="1"/>
  <c r="P100" i="91" s="1"/>
  <c r="O100" i="91" a="1"/>
  <c r="O100" i="91" s="1"/>
  <c r="N100" i="91" a="1"/>
  <c r="N100" i="91" s="1"/>
  <c r="M100" i="91" a="1"/>
  <c r="M100" i="91" s="1"/>
  <c r="L100" i="91" a="1"/>
  <c r="L100" i="91" s="1"/>
  <c r="K100" i="91" a="1"/>
  <c r="K100" i="91" s="1"/>
  <c r="J100" i="91" a="1"/>
  <c r="J100" i="91" s="1"/>
  <c r="I100" i="91" a="1"/>
  <c r="I100" i="91" s="1"/>
  <c r="H100" i="91" a="1"/>
  <c r="H100" i="91" s="1"/>
  <c r="G100" i="91" a="1"/>
  <c r="G100" i="91" s="1"/>
  <c r="F100" i="91" a="1"/>
  <c r="F100" i="91" s="1"/>
  <c r="E100" i="91" a="1"/>
  <c r="E100" i="91" s="1"/>
  <c r="D100" i="91" a="1"/>
  <c r="D100" i="91" s="1"/>
  <c r="AE99" i="91" a="1"/>
  <c r="AE99" i="91" s="1"/>
  <c r="AD99" i="91" a="1"/>
  <c r="AD99" i="91" s="1"/>
  <c r="AC99" i="91" a="1"/>
  <c r="AC99" i="91" s="1"/>
  <c r="AB99" i="91" a="1"/>
  <c r="AB99" i="91" s="1"/>
  <c r="AA99" i="91" a="1"/>
  <c r="AA99" i="91" s="1"/>
  <c r="Z99" i="91" a="1"/>
  <c r="Z99" i="91" s="1"/>
  <c r="Y99" i="91" a="1"/>
  <c r="Y99" i="91" s="1"/>
  <c r="X99" i="91" a="1"/>
  <c r="X99" i="91" s="1"/>
  <c r="W99" i="91" a="1"/>
  <c r="W99" i="91" s="1"/>
  <c r="V99" i="91" a="1"/>
  <c r="V99" i="91" s="1"/>
  <c r="U99" i="91" a="1"/>
  <c r="U99" i="91" s="1"/>
  <c r="T99" i="91" a="1"/>
  <c r="T99" i="91" s="1"/>
  <c r="S99" i="91" a="1"/>
  <c r="S99" i="91" s="1"/>
  <c r="R99" i="91" a="1"/>
  <c r="R99" i="91" s="1"/>
  <c r="Q99" i="91" a="1"/>
  <c r="Q99" i="91" s="1"/>
  <c r="P99" i="91" a="1"/>
  <c r="P99" i="91" s="1"/>
  <c r="O99" i="91" a="1"/>
  <c r="O99" i="91" s="1"/>
  <c r="N99" i="91" a="1"/>
  <c r="N99" i="91" s="1"/>
  <c r="M99" i="91" a="1"/>
  <c r="M99" i="91" s="1"/>
  <c r="L99" i="91" a="1"/>
  <c r="L99" i="91" s="1"/>
  <c r="K99" i="91" a="1"/>
  <c r="K99" i="91" s="1"/>
  <c r="J99" i="91" a="1"/>
  <c r="J99" i="91" s="1"/>
  <c r="I99" i="91" a="1"/>
  <c r="I99" i="91" s="1"/>
  <c r="H99" i="91" a="1"/>
  <c r="H99" i="91" s="1"/>
  <c r="G99" i="91" a="1"/>
  <c r="G99" i="91" s="1"/>
  <c r="F99" i="91" a="1"/>
  <c r="F99" i="91" s="1"/>
  <c r="E99" i="91" a="1"/>
  <c r="E99" i="91" s="1"/>
  <c r="D99" i="91" a="1"/>
  <c r="D99" i="91" s="1"/>
  <c r="AE98" i="91" a="1"/>
  <c r="AE98" i="91" s="1"/>
  <c r="AD98" i="91" a="1"/>
  <c r="AD98" i="91" s="1"/>
  <c r="AC98" i="91" a="1"/>
  <c r="AC98" i="91" s="1"/>
  <c r="AB98" i="91" a="1"/>
  <c r="AB98" i="91" s="1"/>
  <c r="AA98" i="91" a="1"/>
  <c r="AA98" i="91" s="1"/>
  <c r="Z98" i="91" a="1"/>
  <c r="Z98" i="91" s="1"/>
  <c r="Y98" i="91" a="1"/>
  <c r="Y98" i="91" s="1"/>
  <c r="X98" i="91" a="1"/>
  <c r="X98" i="91" s="1"/>
  <c r="W98" i="91" a="1"/>
  <c r="W98" i="91" s="1"/>
  <c r="V98" i="91" a="1"/>
  <c r="V98" i="91" s="1"/>
  <c r="U98" i="91" a="1"/>
  <c r="U98" i="91" s="1"/>
  <c r="T98" i="91" a="1"/>
  <c r="T98" i="91" s="1"/>
  <c r="S98" i="91" a="1"/>
  <c r="S98" i="91" s="1"/>
  <c r="R98" i="91" a="1"/>
  <c r="R98" i="91" s="1"/>
  <c r="Q98" i="91" a="1"/>
  <c r="Q98" i="91" s="1"/>
  <c r="P98" i="91" a="1"/>
  <c r="P98" i="91" s="1"/>
  <c r="O98" i="91" a="1"/>
  <c r="O98" i="91" s="1"/>
  <c r="N98" i="91" a="1"/>
  <c r="N98" i="91" s="1"/>
  <c r="M98" i="91" a="1"/>
  <c r="M98" i="91" s="1"/>
  <c r="L98" i="91" a="1"/>
  <c r="L98" i="91" s="1"/>
  <c r="K98" i="91" a="1"/>
  <c r="K98" i="91" s="1"/>
  <c r="J98" i="91" a="1"/>
  <c r="J98" i="91" s="1"/>
  <c r="I98" i="91" a="1"/>
  <c r="I98" i="91" s="1"/>
  <c r="H98" i="91" a="1"/>
  <c r="H98" i="91" s="1"/>
  <c r="G98" i="91" a="1"/>
  <c r="G98" i="91" s="1"/>
  <c r="F98" i="91" a="1"/>
  <c r="F98" i="91" s="1"/>
  <c r="E98" i="91" a="1"/>
  <c r="E98" i="91" s="1"/>
  <c r="D98" i="91" a="1"/>
  <c r="D98" i="91" s="1"/>
  <c r="AE97" i="91" a="1"/>
  <c r="AE97" i="91" s="1"/>
  <c r="AD97" i="91" a="1"/>
  <c r="AD97" i="91" s="1"/>
  <c r="AC97" i="91" a="1"/>
  <c r="AC97" i="91" s="1"/>
  <c r="AB97" i="91" a="1"/>
  <c r="AB97" i="91" s="1"/>
  <c r="AA97" i="91" a="1"/>
  <c r="AA97" i="91" s="1"/>
  <c r="Z97" i="91" a="1"/>
  <c r="Z97" i="91" s="1"/>
  <c r="Y97" i="91" a="1"/>
  <c r="Y97" i="91" s="1"/>
  <c r="X97" i="91" a="1"/>
  <c r="X97" i="91" s="1"/>
  <c r="W97" i="91" a="1"/>
  <c r="W97" i="91" s="1"/>
  <c r="V97" i="91" a="1"/>
  <c r="V97" i="91" s="1"/>
  <c r="U97" i="91" a="1"/>
  <c r="U97" i="91" s="1"/>
  <c r="T97" i="91" a="1"/>
  <c r="T97" i="91" s="1"/>
  <c r="S97" i="91" a="1"/>
  <c r="S97" i="91" s="1"/>
  <c r="R97" i="91" a="1"/>
  <c r="R97" i="91" s="1"/>
  <c r="Q97" i="91" a="1"/>
  <c r="Q97" i="91" s="1"/>
  <c r="P97" i="91" a="1"/>
  <c r="P97" i="91" s="1"/>
  <c r="O97" i="91" a="1"/>
  <c r="O97" i="91" s="1"/>
  <c r="N97" i="91" a="1"/>
  <c r="N97" i="91" s="1"/>
  <c r="M97" i="91" a="1"/>
  <c r="M97" i="91" s="1"/>
  <c r="L97" i="91" a="1"/>
  <c r="L97" i="91" s="1"/>
  <c r="K97" i="91" a="1"/>
  <c r="K97" i="91" s="1"/>
  <c r="J97" i="91" a="1"/>
  <c r="J97" i="91" s="1"/>
  <c r="I97" i="91" a="1"/>
  <c r="I97" i="91" s="1"/>
  <c r="H97" i="91" a="1"/>
  <c r="H97" i="91" s="1"/>
  <c r="G97" i="91" a="1"/>
  <c r="G97" i="91" s="1"/>
  <c r="F97" i="91" a="1"/>
  <c r="F97" i="91" s="1"/>
  <c r="E97" i="91" a="1"/>
  <c r="E97" i="91" s="1"/>
  <c r="D97" i="91" a="1"/>
  <c r="D97" i="91" s="1"/>
  <c r="AE96" i="91" a="1"/>
  <c r="AE96" i="91" s="1"/>
  <c r="AD96" i="91" a="1"/>
  <c r="AD96" i="91" s="1"/>
  <c r="AC96" i="91" a="1"/>
  <c r="AC96" i="91" s="1"/>
  <c r="AB96" i="91" a="1"/>
  <c r="AB96" i="91" s="1"/>
  <c r="AA96" i="91" a="1"/>
  <c r="AA96" i="91" s="1"/>
  <c r="Z96" i="91" a="1"/>
  <c r="Z96" i="91" s="1"/>
  <c r="Y96" i="91" a="1"/>
  <c r="Y96" i="91" s="1"/>
  <c r="X96" i="91" a="1"/>
  <c r="X96" i="91" s="1"/>
  <c r="W96" i="91" a="1"/>
  <c r="W96" i="91" s="1"/>
  <c r="V96" i="91" a="1"/>
  <c r="V96" i="91" s="1"/>
  <c r="U96" i="91" a="1"/>
  <c r="U96" i="91" s="1"/>
  <c r="T96" i="91" a="1"/>
  <c r="T96" i="91" s="1"/>
  <c r="S96" i="91" a="1"/>
  <c r="S96" i="91" s="1"/>
  <c r="R96" i="91" a="1"/>
  <c r="R96" i="91" s="1"/>
  <c r="Q96" i="91" a="1"/>
  <c r="Q96" i="91" s="1"/>
  <c r="P96" i="91" a="1"/>
  <c r="P96" i="91" s="1"/>
  <c r="O96" i="91" a="1"/>
  <c r="O96" i="91" s="1"/>
  <c r="N96" i="91" a="1"/>
  <c r="N96" i="91" s="1"/>
  <c r="M96" i="91" a="1"/>
  <c r="M96" i="91" s="1"/>
  <c r="L96" i="91" a="1"/>
  <c r="L96" i="91" s="1"/>
  <c r="K96" i="91" a="1"/>
  <c r="K96" i="91" s="1"/>
  <c r="J96" i="91" a="1"/>
  <c r="J96" i="91" s="1"/>
  <c r="I96" i="91" a="1"/>
  <c r="I96" i="91" s="1"/>
  <c r="H96" i="91" a="1"/>
  <c r="H96" i="91" s="1"/>
  <c r="G96" i="91" a="1"/>
  <c r="G96" i="91" s="1"/>
  <c r="F96" i="91" a="1"/>
  <c r="F96" i="91" s="1"/>
  <c r="E96" i="91" a="1"/>
  <c r="E96" i="91" s="1"/>
  <c r="D96" i="91" a="1"/>
  <c r="D96" i="91" s="1"/>
  <c r="AE95" i="91" a="1"/>
  <c r="AE95" i="91" s="1"/>
  <c r="AD95" i="91" a="1"/>
  <c r="AD95" i="91" s="1"/>
  <c r="AC95" i="91" a="1"/>
  <c r="AC95" i="91" s="1"/>
  <c r="AB95" i="91" a="1"/>
  <c r="AB95" i="91" s="1"/>
  <c r="AA95" i="91" a="1"/>
  <c r="AA95" i="91" s="1"/>
  <c r="Z95" i="91" a="1"/>
  <c r="Z95" i="91" s="1"/>
  <c r="Y95" i="91" a="1"/>
  <c r="Y95" i="91" s="1"/>
  <c r="X95" i="91" a="1"/>
  <c r="X95" i="91" s="1"/>
  <c r="W95" i="91" a="1"/>
  <c r="W95" i="91" s="1"/>
  <c r="V95" i="91" a="1"/>
  <c r="V95" i="91" s="1"/>
  <c r="U95" i="91" a="1"/>
  <c r="U95" i="91" s="1"/>
  <c r="T95" i="91" a="1"/>
  <c r="T95" i="91" s="1"/>
  <c r="S95" i="91" a="1"/>
  <c r="S95" i="91" s="1"/>
  <c r="R95" i="91" a="1"/>
  <c r="R95" i="91" s="1"/>
  <c r="Q95" i="91" a="1"/>
  <c r="Q95" i="91" s="1"/>
  <c r="P95" i="91" a="1"/>
  <c r="P95" i="91" s="1"/>
  <c r="O95" i="91" a="1"/>
  <c r="O95" i="91" s="1"/>
  <c r="N95" i="91" a="1"/>
  <c r="N95" i="91" s="1"/>
  <c r="M95" i="91" a="1"/>
  <c r="M95" i="91" s="1"/>
  <c r="L95" i="91" a="1"/>
  <c r="L95" i="91" s="1"/>
  <c r="K95" i="91" a="1"/>
  <c r="K95" i="91" s="1"/>
  <c r="J95" i="91" a="1"/>
  <c r="J95" i="91" s="1"/>
  <c r="I95" i="91" a="1"/>
  <c r="I95" i="91" s="1"/>
  <c r="H95" i="91" a="1"/>
  <c r="H95" i="91" s="1"/>
  <c r="G95" i="91" a="1"/>
  <c r="G95" i="91" s="1"/>
  <c r="F95" i="91" a="1"/>
  <c r="F95" i="91" s="1"/>
  <c r="E95" i="91" a="1"/>
  <c r="E95" i="91" s="1"/>
  <c r="D95" i="91" a="1"/>
  <c r="D95" i="91" s="1"/>
  <c r="AE94" i="91" a="1"/>
  <c r="AE94" i="91" s="1"/>
  <c r="AD94" i="91" a="1"/>
  <c r="AD94" i="91" s="1"/>
  <c r="AC94" i="91" a="1"/>
  <c r="AC94" i="91" s="1"/>
  <c r="AB94" i="91" a="1"/>
  <c r="AB94" i="91" s="1"/>
  <c r="AA94" i="91" a="1"/>
  <c r="AA94" i="91" s="1"/>
  <c r="Z94" i="91" a="1"/>
  <c r="Z94" i="91" s="1"/>
  <c r="Y94" i="91" a="1"/>
  <c r="Y94" i="91" s="1"/>
  <c r="X94" i="91" a="1"/>
  <c r="X94" i="91" s="1"/>
  <c r="W94" i="91" a="1"/>
  <c r="W94" i="91" s="1"/>
  <c r="V94" i="91" a="1"/>
  <c r="V94" i="91" s="1"/>
  <c r="U94" i="91" a="1"/>
  <c r="U94" i="91" s="1"/>
  <c r="T94" i="91" a="1"/>
  <c r="T94" i="91" s="1"/>
  <c r="S94" i="91" a="1"/>
  <c r="S94" i="91" s="1"/>
  <c r="R94" i="91" a="1"/>
  <c r="R94" i="91" s="1"/>
  <c r="Q94" i="91" a="1"/>
  <c r="Q94" i="91" s="1"/>
  <c r="P94" i="91" a="1"/>
  <c r="P94" i="91" s="1"/>
  <c r="O94" i="91" a="1"/>
  <c r="O94" i="91" s="1"/>
  <c r="N94" i="91" a="1"/>
  <c r="N94" i="91" s="1"/>
  <c r="M94" i="91" a="1"/>
  <c r="M94" i="91" s="1"/>
  <c r="L94" i="91" a="1"/>
  <c r="L94" i="91" s="1"/>
  <c r="K94" i="91" a="1"/>
  <c r="K94" i="91" s="1"/>
  <c r="J94" i="91" a="1"/>
  <c r="J94" i="91" s="1"/>
  <c r="I94" i="91" a="1"/>
  <c r="I94" i="91" s="1"/>
  <c r="H94" i="91" a="1"/>
  <c r="H94" i="91" s="1"/>
  <c r="G94" i="91" a="1"/>
  <c r="G94" i="91" s="1"/>
  <c r="F94" i="91" a="1"/>
  <c r="F94" i="91" s="1"/>
  <c r="E94" i="91" a="1"/>
  <c r="E94" i="91" s="1"/>
  <c r="D94" i="91" a="1"/>
  <c r="D94" i="91" s="1"/>
  <c r="AE93" i="91" a="1"/>
  <c r="AE93" i="91" s="1"/>
  <c r="AD93" i="91" a="1"/>
  <c r="AD93" i="91" s="1"/>
  <c r="AC93" i="91" a="1"/>
  <c r="AC93" i="91" s="1"/>
  <c r="AB93" i="91" a="1"/>
  <c r="AB93" i="91" s="1"/>
  <c r="AA93" i="91" a="1"/>
  <c r="AA93" i="91" s="1"/>
  <c r="Z93" i="91" a="1"/>
  <c r="Z93" i="91" s="1"/>
  <c r="Y93" i="91" a="1"/>
  <c r="Y93" i="91" s="1"/>
  <c r="X93" i="91" a="1"/>
  <c r="X93" i="91" s="1"/>
  <c r="W93" i="91" a="1"/>
  <c r="W93" i="91" s="1"/>
  <c r="V93" i="91" a="1"/>
  <c r="V93" i="91" s="1"/>
  <c r="U93" i="91" a="1"/>
  <c r="U93" i="91" s="1"/>
  <c r="T93" i="91" a="1"/>
  <c r="T93" i="91" s="1"/>
  <c r="S93" i="91" a="1"/>
  <c r="S93" i="91" s="1"/>
  <c r="R93" i="91" a="1"/>
  <c r="R93" i="91" s="1"/>
  <c r="Q93" i="91" a="1"/>
  <c r="Q93" i="91" s="1"/>
  <c r="P93" i="91" a="1"/>
  <c r="P93" i="91" s="1"/>
  <c r="O93" i="91" a="1"/>
  <c r="O93" i="91" s="1"/>
  <c r="N93" i="91" a="1"/>
  <c r="N93" i="91" s="1"/>
  <c r="M93" i="91" a="1"/>
  <c r="M93" i="91" s="1"/>
  <c r="L93" i="91" a="1"/>
  <c r="L93" i="91" s="1"/>
  <c r="K93" i="91" a="1"/>
  <c r="K93" i="91" s="1"/>
  <c r="J93" i="91" a="1"/>
  <c r="J93" i="91" s="1"/>
  <c r="I93" i="91" a="1"/>
  <c r="I93" i="91" s="1"/>
  <c r="H93" i="91" a="1"/>
  <c r="H93" i="91" s="1"/>
  <c r="G93" i="91" a="1"/>
  <c r="G93" i="91" s="1"/>
  <c r="F93" i="91" a="1"/>
  <c r="F93" i="91" s="1"/>
  <c r="E93" i="91" a="1"/>
  <c r="E93" i="91" s="1"/>
  <c r="D93" i="91" a="1"/>
  <c r="D93" i="91" s="1"/>
  <c r="AE92" i="91" a="1"/>
  <c r="AE92" i="91" s="1"/>
  <c r="AD92" i="91" a="1"/>
  <c r="AD92" i="91" s="1"/>
  <c r="AC92" i="91" a="1"/>
  <c r="AC92" i="91" s="1"/>
  <c r="AB92" i="91" a="1"/>
  <c r="AB92" i="91" s="1"/>
  <c r="AA92" i="91" a="1"/>
  <c r="AA92" i="91" s="1"/>
  <c r="Z92" i="91" a="1"/>
  <c r="Z92" i="91" s="1"/>
  <c r="Y92" i="91" a="1"/>
  <c r="Y92" i="91" s="1"/>
  <c r="X92" i="91" a="1"/>
  <c r="X92" i="91" s="1"/>
  <c r="W92" i="91" a="1"/>
  <c r="W92" i="91" s="1"/>
  <c r="V92" i="91" a="1"/>
  <c r="V92" i="91" s="1"/>
  <c r="U92" i="91" a="1"/>
  <c r="U92" i="91" s="1"/>
  <c r="T92" i="91" a="1"/>
  <c r="T92" i="91" s="1"/>
  <c r="S92" i="91" a="1"/>
  <c r="S92" i="91" s="1"/>
  <c r="R92" i="91" a="1"/>
  <c r="R92" i="91" s="1"/>
  <c r="Q92" i="91" a="1"/>
  <c r="Q92" i="91" s="1"/>
  <c r="P92" i="91" a="1"/>
  <c r="P92" i="91" s="1"/>
  <c r="O92" i="91" a="1"/>
  <c r="O92" i="91" s="1"/>
  <c r="N92" i="91" a="1"/>
  <c r="N92" i="91" s="1"/>
  <c r="M92" i="91" a="1"/>
  <c r="M92" i="91" s="1"/>
  <c r="L92" i="91" a="1"/>
  <c r="L92" i="91" s="1"/>
  <c r="K92" i="91" a="1"/>
  <c r="K92" i="91" s="1"/>
  <c r="J92" i="91" a="1"/>
  <c r="J92" i="91" s="1"/>
  <c r="I92" i="91" a="1"/>
  <c r="I92" i="91" s="1"/>
  <c r="H92" i="91" a="1"/>
  <c r="H92" i="91" s="1"/>
  <c r="G92" i="91" a="1"/>
  <c r="G92" i="91" s="1"/>
  <c r="F92" i="91" a="1"/>
  <c r="F92" i="91" s="1"/>
  <c r="E92" i="91" a="1"/>
  <c r="E92" i="91" s="1"/>
  <c r="D92" i="91" a="1"/>
  <c r="D92" i="91" s="1"/>
  <c r="AE91" i="91" a="1"/>
  <c r="AE91" i="91" s="1"/>
  <c r="AD91" i="91" a="1"/>
  <c r="AD91" i="91" s="1"/>
  <c r="AC91" i="91" a="1"/>
  <c r="AC91" i="91" s="1"/>
  <c r="AB91" i="91" a="1"/>
  <c r="AB91" i="91" s="1"/>
  <c r="AA91" i="91" a="1"/>
  <c r="AA91" i="91" s="1"/>
  <c r="Z91" i="91" a="1"/>
  <c r="Z91" i="91" s="1"/>
  <c r="Y91" i="91" a="1"/>
  <c r="Y91" i="91" s="1"/>
  <c r="X91" i="91" a="1"/>
  <c r="X91" i="91" s="1"/>
  <c r="W91" i="91" a="1"/>
  <c r="W91" i="91" s="1"/>
  <c r="V91" i="91" a="1"/>
  <c r="V91" i="91" s="1"/>
  <c r="U91" i="91" a="1"/>
  <c r="U91" i="91" s="1"/>
  <c r="T91" i="91" a="1"/>
  <c r="T91" i="91" s="1"/>
  <c r="S91" i="91" a="1"/>
  <c r="S91" i="91" s="1"/>
  <c r="R91" i="91" a="1"/>
  <c r="R91" i="91" s="1"/>
  <c r="Q91" i="91" a="1"/>
  <c r="Q91" i="91" s="1"/>
  <c r="P91" i="91" a="1"/>
  <c r="P91" i="91" s="1"/>
  <c r="O91" i="91" a="1"/>
  <c r="O91" i="91" s="1"/>
  <c r="N91" i="91" a="1"/>
  <c r="N91" i="91" s="1"/>
  <c r="M91" i="91" a="1"/>
  <c r="M91" i="91" s="1"/>
  <c r="L91" i="91" a="1"/>
  <c r="L91" i="91" s="1"/>
  <c r="K91" i="91" a="1"/>
  <c r="K91" i="91" s="1"/>
  <c r="J91" i="91" a="1"/>
  <c r="J91" i="91" s="1"/>
  <c r="I91" i="91" a="1"/>
  <c r="I91" i="91" s="1"/>
  <c r="H91" i="91" a="1"/>
  <c r="H91" i="91" s="1"/>
  <c r="G91" i="91" a="1"/>
  <c r="G91" i="91" s="1"/>
  <c r="F91" i="91" a="1"/>
  <c r="F91" i="91" s="1"/>
  <c r="E91" i="91" a="1"/>
  <c r="E91" i="91" s="1"/>
  <c r="D91" i="91" a="1"/>
  <c r="D91" i="91" s="1"/>
  <c r="AE90" i="91" a="1"/>
  <c r="AE90" i="91" s="1"/>
  <c r="AD90" i="91" a="1"/>
  <c r="AD90" i="91" s="1"/>
  <c r="AC90" i="91" a="1"/>
  <c r="AC90" i="91" s="1"/>
  <c r="AB90" i="91" a="1"/>
  <c r="AB90" i="91" s="1"/>
  <c r="AA90" i="91" a="1"/>
  <c r="AA90" i="91" s="1"/>
  <c r="Z90" i="91" a="1"/>
  <c r="Z90" i="91" s="1"/>
  <c r="Y90" i="91" a="1"/>
  <c r="Y90" i="91" s="1"/>
  <c r="X90" i="91" a="1"/>
  <c r="X90" i="91" s="1"/>
  <c r="W90" i="91" a="1"/>
  <c r="W90" i="91" s="1"/>
  <c r="V90" i="91" a="1"/>
  <c r="V90" i="91" s="1"/>
  <c r="U90" i="91" a="1"/>
  <c r="U90" i="91" s="1"/>
  <c r="T90" i="91" a="1"/>
  <c r="T90" i="91" s="1"/>
  <c r="S90" i="91" a="1"/>
  <c r="S90" i="91" s="1"/>
  <c r="R90" i="91" a="1"/>
  <c r="R90" i="91" s="1"/>
  <c r="Q90" i="91" a="1"/>
  <c r="Q90" i="91" s="1"/>
  <c r="P90" i="91" a="1"/>
  <c r="P90" i="91" s="1"/>
  <c r="O90" i="91" a="1"/>
  <c r="O90" i="91" s="1"/>
  <c r="N90" i="91" a="1"/>
  <c r="N90" i="91" s="1"/>
  <c r="M90" i="91" a="1"/>
  <c r="M90" i="91" s="1"/>
  <c r="L90" i="91" a="1"/>
  <c r="L90" i="91" s="1"/>
  <c r="K90" i="91" a="1"/>
  <c r="K90" i="91" s="1"/>
  <c r="J90" i="91" a="1"/>
  <c r="J90" i="91" s="1"/>
  <c r="I90" i="91" a="1"/>
  <c r="I90" i="91" s="1"/>
  <c r="H90" i="91" a="1"/>
  <c r="H90" i="91" s="1"/>
  <c r="G90" i="91" a="1"/>
  <c r="G90" i="91" s="1"/>
  <c r="F90" i="91" a="1"/>
  <c r="F90" i="91" s="1"/>
  <c r="E90" i="91" a="1"/>
  <c r="E90" i="91" s="1"/>
  <c r="D90" i="91" a="1"/>
  <c r="D90" i="91" s="1"/>
  <c r="F83" i="91" a="1"/>
  <c r="F83" i="91" s="1"/>
  <c r="E83" i="91" a="1"/>
  <c r="E83" i="91" s="1"/>
  <c r="J91" i="90" s="1"/>
  <c r="D83" i="91" a="1"/>
  <c r="D83" i="91" s="1"/>
  <c r="D82" i="91" a="1"/>
  <c r="D82" i="91" s="1"/>
  <c r="D81" i="91" a="1"/>
  <c r="D81" i="91" s="1"/>
  <c r="F78" i="91" a="1"/>
  <c r="F78" i="91" s="1"/>
  <c r="E78" i="91" a="1"/>
  <c r="E78" i="91" s="1"/>
  <c r="D78" i="91" a="1"/>
  <c r="D78" i="91" s="1"/>
  <c r="D77" i="91" a="1"/>
  <c r="D77" i="91" s="1"/>
  <c r="D76" i="91" a="1"/>
  <c r="D76" i="91" s="1"/>
  <c r="F73" i="91" a="1"/>
  <c r="F73" i="91" s="1"/>
  <c r="E73" i="91" a="1"/>
  <c r="E73" i="91" s="1"/>
  <c r="I97" i="89" s="1"/>
  <c r="D73" i="91" a="1"/>
  <c r="D73" i="91" s="1"/>
  <c r="D72" i="91" a="1"/>
  <c r="D72" i="91" s="1"/>
  <c r="D71" i="91" a="1"/>
  <c r="D71" i="91" s="1"/>
  <c r="F68" i="91" a="1"/>
  <c r="F68" i="91" s="1"/>
  <c r="E68" i="91" a="1"/>
  <c r="E68" i="91" s="1"/>
  <c r="D68" i="91" a="1"/>
  <c r="D68" i="91" s="1"/>
  <c r="F67" i="91" a="1"/>
  <c r="F67" i="91" s="1"/>
  <c r="I19" i="88" s="1"/>
  <c r="E67" i="91" a="1"/>
  <c r="E67" i="91" s="1"/>
  <c r="I18" i="88" s="1"/>
  <c r="D67" i="91" a="1"/>
  <c r="D67" i="91" s="1"/>
  <c r="F66" i="91" a="1"/>
  <c r="F66" i="91" s="1"/>
  <c r="I16" i="88" s="1"/>
  <c r="E66" i="91" a="1"/>
  <c r="E66" i="91" s="1"/>
  <c r="I15" i="88" s="1"/>
  <c r="D66" i="91" a="1"/>
  <c r="D66" i="91" s="1"/>
  <c r="D64" i="91" a="1"/>
  <c r="D64" i="91" s="1"/>
  <c r="D63" i="91" a="1"/>
  <c r="D63" i="91" s="1"/>
  <c r="F60" i="91" a="1"/>
  <c r="F60" i="91" s="1"/>
  <c r="E60" i="91" a="1"/>
  <c r="E60" i="91" s="1"/>
  <c r="I50" i="86" s="1"/>
  <c r="D60" i="91" a="1"/>
  <c r="D60" i="91" s="1"/>
  <c r="D59" i="91" a="1"/>
  <c r="D59" i="91" s="1"/>
  <c r="D58" i="91" a="1"/>
  <c r="D58" i="91" s="1"/>
  <c r="E55" i="91" a="1"/>
  <c r="E55" i="91" s="1"/>
  <c r="D55" i="91" a="1"/>
  <c r="D55" i="91" s="1"/>
  <c r="E54" i="91" a="1"/>
  <c r="E54" i="91" s="1"/>
  <c r="D54" i="91" a="1"/>
  <c r="D54" i="91" s="1"/>
  <c r="E53" i="91" a="1"/>
  <c r="E53" i="91" s="1"/>
  <c r="D53" i="91" a="1"/>
  <c r="D53" i="91" s="1"/>
  <c r="E52" i="91" a="1"/>
  <c r="E52" i="91" s="1"/>
  <c r="D52" i="91" a="1"/>
  <c r="D52" i="91" s="1"/>
  <c r="E51" i="91" a="1"/>
  <c r="E51" i="91" s="1"/>
  <c r="D51" i="91" a="1"/>
  <c r="D51" i="91" s="1"/>
  <c r="D49" i="91" a="1"/>
  <c r="D49" i="91" s="1"/>
  <c r="D48" i="91" a="1"/>
  <c r="D48" i="91" s="1"/>
  <c r="I38" i="91" a="1"/>
  <c r="I38" i="91" s="1"/>
  <c r="H38" i="91" a="1"/>
  <c r="H38" i="91" s="1"/>
  <c r="G38" i="91" a="1"/>
  <c r="G38" i="91" s="1"/>
  <c r="F38" i="91" a="1"/>
  <c r="F38" i="91" s="1"/>
  <c r="E38" i="91" a="1"/>
  <c r="E38" i="91" s="1"/>
  <c r="D38" i="91" a="1"/>
  <c r="D38" i="91" s="1"/>
  <c r="I37" i="91" a="1"/>
  <c r="I37" i="91" s="1"/>
  <c r="H37" i="91" a="1"/>
  <c r="H37" i="91" s="1"/>
  <c r="G37" i="91" a="1"/>
  <c r="G37" i="91" s="1"/>
  <c r="F37" i="91" a="1"/>
  <c r="F37" i="91" s="1"/>
  <c r="E37" i="91" a="1"/>
  <c r="E37" i="91" s="1"/>
  <c r="D37" i="91" a="1"/>
  <c r="D37" i="91" s="1"/>
  <c r="I36" i="91" a="1"/>
  <c r="I36" i="91" s="1"/>
  <c r="H36" i="91" a="1"/>
  <c r="H36" i="91" s="1"/>
  <c r="G36" i="91" a="1"/>
  <c r="G36" i="91" s="1"/>
  <c r="F36" i="91" a="1"/>
  <c r="F36" i="91" s="1"/>
  <c r="E36" i="91" a="1"/>
  <c r="E36" i="91" s="1"/>
  <c r="D36" i="91" a="1"/>
  <c r="D36" i="91" s="1"/>
  <c r="I35" i="91" a="1"/>
  <c r="I35" i="91" s="1"/>
  <c r="H35" i="91" a="1"/>
  <c r="H35" i="91" s="1"/>
  <c r="G35" i="91" a="1"/>
  <c r="G35" i="91" s="1"/>
  <c r="F35" i="91" a="1"/>
  <c r="F35" i="91" s="1"/>
  <c r="E35" i="91" a="1"/>
  <c r="E35" i="91" s="1"/>
  <c r="D35" i="91" a="1"/>
  <c r="D35" i="91" s="1"/>
  <c r="I34" i="91" a="1"/>
  <c r="I34" i="91" s="1"/>
  <c r="H34" i="91" a="1"/>
  <c r="H34" i="91" s="1"/>
  <c r="G34" i="91" a="1"/>
  <c r="G34" i="91" s="1"/>
  <c r="F34" i="91" a="1"/>
  <c r="F34" i="91" s="1"/>
  <c r="E34" i="91" a="1"/>
  <c r="E34" i="91" s="1"/>
  <c r="D34" i="91" a="1"/>
  <c r="D34" i="91" s="1"/>
  <c r="I33" i="91" a="1"/>
  <c r="I33" i="91" s="1"/>
  <c r="H33" i="91" a="1"/>
  <c r="H33" i="91" s="1"/>
  <c r="G33" i="91" a="1"/>
  <c r="G33" i="91" s="1"/>
  <c r="F33" i="91" a="1"/>
  <c r="F33" i="91" s="1"/>
  <c r="E33" i="91" a="1"/>
  <c r="E33" i="91" s="1"/>
  <c r="D33" i="91" a="1"/>
  <c r="D33" i="91" s="1"/>
  <c r="I32" i="91" a="1"/>
  <c r="I32" i="91" s="1"/>
  <c r="H32" i="91" a="1"/>
  <c r="H32" i="91" s="1"/>
  <c r="G32" i="91" a="1"/>
  <c r="G32" i="91" s="1"/>
  <c r="F32" i="91" a="1"/>
  <c r="F32" i="91" s="1"/>
  <c r="E32" i="91" a="1"/>
  <c r="E32" i="91" s="1"/>
  <c r="D32" i="91" a="1"/>
  <c r="D32" i="91" s="1"/>
  <c r="I31" i="91" a="1"/>
  <c r="I31" i="91" s="1"/>
  <c r="H31" i="91" a="1"/>
  <c r="H31" i="91" s="1"/>
  <c r="G31" i="91" a="1"/>
  <c r="G31" i="91" s="1"/>
  <c r="F31" i="91" a="1"/>
  <c r="F31" i="91" s="1"/>
  <c r="E31" i="91" a="1"/>
  <c r="E31" i="91" s="1"/>
  <c r="D31" i="91" a="1"/>
  <c r="D31" i="91" s="1"/>
  <c r="I30" i="91" a="1"/>
  <c r="I30" i="91" s="1"/>
  <c r="H30" i="91" a="1"/>
  <c r="H30" i="91" s="1"/>
  <c r="G30" i="91" a="1"/>
  <c r="G30" i="91" s="1"/>
  <c r="F30" i="91" a="1"/>
  <c r="F30" i="91" s="1"/>
  <c r="E30" i="91" a="1"/>
  <c r="E30" i="91" s="1"/>
  <c r="D30" i="91" a="1"/>
  <c r="D30" i="91" s="1"/>
  <c r="I29" i="91" a="1"/>
  <c r="I29" i="91" s="1"/>
  <c r="H29" i="91" a="1"/>
  <c r="H29" i="91" s="1"/>
  <c r="G29" i="91" a="1"/>
  <c r="G29" i="91" s="1"/>
  <c r="F29" i="91" a="1"/>
  <c r="F29" i="91" s="1"/>
  <c r="E29" i="91" a="1"/>
  <c r="E29" i="91" s="1"/>
  <c r="D29" i="91" a="1"/>
  <c r="D29" i="91" s="1"/>
  <c r="R28" i="91" a="1"/>
  <c r="R28" i="91" s="1"/>
  <c r="Q28" i="91" a="1"/>
  <c r="Q28" i="91" s="1"/>
  <c r="L28" i="91" a="1"/>
  <c r="L28" i="91" s="1"/>
  <c r="K28" i="91" a="1"/>
  <c r="K28" i="91" s="1"/>
  <c r="I28" i="91" a="1"/>
  <c r="I28" i="91" s="1"/>
  <c r="H28" i="91" a="1"/>
  <c r="H28" i="91" s="1"/>
  <c r="G28" i="91" a="1"/>
  <c r="G28" i="91" s="1"/>
  <c r="F28" i="91" a="1"/>
  <c r="F28" i="91" s="1"/>
  <c r="E28" i="91" a="1"/>
  <c r="E28" i="91" s="1"/>
  <c r="D28" i="91" a="1"/>
  <c r="D28" i="91" s="1"/>
  <c r="R27" i="91" a="1"/>
  <c r="R27" i="91" s="1"/>
  <c r="Q27" i="91" a="1"/>
  <c r="Q27" i="91" s="1"/>
  <c r="L27" i="91" a="1"/>
  <c r="L27" i="91" s="1"/>
  <c r="K27" i="91" a="1"/>
  <c r="K27" i="91" s="1"/>
  <c r="I27" i="91" a="1"/>
  <c r="I27" i="91" s="1"/>
  <c r="H27" i="91" a="1"/>
  <c r="H27" i="91" s="1"/>
  <c r="G27" i="91" a="1"/>
  <c r="G27" i="91" s="1"/>
  <c r="F27" i="91" a="1"/>
  <c r="F27" i="91" s="1"/>
  <c r="E27" i="91" a="1"/>
  <c r="E27" i="91" s="1"/>
  <c r="D27" i="91" a="1"/>
  <c r="D27" i="91" s="1"/>
  <c r="R26" i="91" a="1"/>
  <c r="R26" i="91" s="1"/>
  <c r="Q26" i="91" a="1"/>
  <c r="Q26" i="91" s="1"/>
  <c r="L26" i="91" a="1"/>
  <c r="L26" i="91" s="1"/>
  <c r="K26" i="91" a="1"/>
  <c r="K26" i="91" s="1"/>
  <c r="I26" i="91" a="1"/>
  <c r="I26" i="91" s="1"/>
  <c r="H26" i="91" a="1"/>
  <c r="H26" i="91" s="1"/>
  <c r="G26" i="91" a="1"/>
  <c r="G26" i="91" s="1"/>
  <c r="F26" i="91" a="1"/>
  <c r="F26" i="91" s="1"/>
  <c r="E26" i="91" a="1"/>
  <c r="E26" i="91" s="1"/>
  <c r="D26" i="91" a="1"/>
  <c r="D26" i="91" s="1"/>
  <c r="R25" i="91" a="1"/>
  <c r="R25" i="91" s="1"/>
  <c r="Q25" i="91" a="1"/>
  <c r="Q25" i="91" s="1"/>
  <c r="L25" i="91" a="1"/>
  <c r="L25" i="91" s="1"/>
  <c r="K25" i="91" a="1"/>
  <c r="K25" i="91" s="1"/>
  <c r="I25" i="91" a="1"/>
  <c r="I25" i="91" s="1"/>
  <c r="H25" i="91" a="1"/>
  <c r="H25" i="91" s="1"/>
  <c r="G25" i="91" a="1"/>
  <c r="G25" i="91" s="1"/>
  <c r="F25" i="91" a="1"/>
  <c r="F25" i="91" s="1"/>
  <c r="E25" i="91" a="1"/>
  <c r="E25" i="91" s="1"/>
  <c r="D25" i="91" a="1"/>
  <c r="D25" i="91" s="1"/>
  <c r="R24" i="91" a="1"/>
  <c r="R24" i="91" s="1"/>
  <c r="Q24" i="91" a="1"/>
  <c r="Q24" i="91" s="1"/>
  <c r="L24" i="91" a="1"/>
  <c r="L24" i="91" s="1"/>
  <c r="K24" i="91" a="1"/>
  <c r="K24" i="91" s="1"/>
  <c r="I24" i="91" a="1"/>
  <c r="I24" i="91" s="1"/>
  <c r="H24" i="91" a="1"/>
  <c r="H24" i="91" s="1"/>
  <c r="G24" i="91" a="1"/>
  <c r="G24" i="91" s="1"/>
  <c r="F24" i="91" a="1"/>
  <c r="F24" i="91" s="1"/>
  <c r="E24" i="91" a="1"/>
  <c r="E24" i="91" s="1"/>
  <c r="D24" i="91" a="1"/>
  <c r="D24" i="91" s="1"/>
  <c r="V23" i="91" a="1"/>
  <c r="V23" i="91" s="1"/>
  <c r="R23" i="91" a="1"/>
  <c r="R23" i="91" s="1"/>
  <c r="Q23" i="91" a="1"/>
  <c r="Q23" i="91" s="1"/>
  <c r="L23" i="91" a="1"/>
  <c r="L23" i="91" s="1"/>
  <c r="K23" i="91" a="1"/>
  <c r="K23" i="91" s="1"/>
  <c r="I23" i="91" a="1"/>
  <c r="I23" i="91" s="1"/>
  <c r="H23" i="91" a="1"/>
  <c r="H23" i="91" s="1"/>
  <c r="G23" i="91" a="1"/>
  <c r="G23" i="91" s="1"/>
  <c r="F23" i="91" a="1"/>
  <c r="F23" i="91" s="1"/>
  <c r="E23" i="91" a="1"/>
  <c r="E23" i="91" s="1"/>
  <c r="D23" i="91" a="1"/>
  <c r="D23" i="91" s="1"/>
  <c r="V22" i="91" a="1"/>
  <c r="V22" i="91" s="1"/>
  <c r="R22" i="91" a="1"/>
  <c r="R22" i="91" s="1"/>
  <c r="Q22" i="91" a="1"/>
  <c r="Q22" i="91" s="1"/>
  <c r="L22" i="91" a="1"/>
  <c r="L22" i="91" s="1"/>
  <c r="K22" i="91" a="1"/>
  <c r="K22" i="91" s="1"/>
  <c r="I22" i="91" a="1"/>
  <c r="I22" i="91" s="1"/>
  <c r="H22" i="91" a="1"/>
  <c r="H22" i="91" s="1"/>
  <c r="G22" i="91" a="1"/>
  <c r="G22" i="91" s="1"/>
  <c r="F22" i="91" a="1"/>
  <c r="F22" i="91" s="1"/>
  <c r="E22" i="91" a="1"/>
  <c r="E22" i="91" s="1"/>
  <c r="D22" i="91" a="1"/>
  <c r="D22" i="91" s="1"/>
  <c r="V21" i="91" a="1"/>
  <c r="V21" i="91" s="1"/>
  <c r="R21" i="91" a="1"/>
  <c r="R21" i="91" s="1"/>
  <c r="Q21" i="91" a="1"/>
  <c r="Q21" i="91" s="1"/>
  <c r="L21" i="91" a="1"/>
  <c r="L21" i="91" s="1"/>
  <c r="K21" i="91" a="1"/>
  <c r="K21" i="91" s="1"/>
  <c r="I21" i="91" a="1"/>
  <c r="I21" i="91" s="1"/>
  <c r="H21" i="91" a="1"/>
  <c r="H21" i="91" s="1"/>
  <c r="G21" i="91" a="1"/>
  <c r="G21" i="91" s="1"/>
  <c r="F21" i="91" a="1"/>
  <c r="F21" i="91" s="1"/>
  <c r="E21" i="91" a="1"/>
  <c r="E21" i="91" s="1"/>
  <c r="D21" i="91" a="1"/>
  <c r="D21" i="91" s="1"/>
  <c r="V20" i="91" a="1"/>
  <c r="V20" i="91" s="1"/>
  <c r="R20" i="91" a="1"/>
  <c r="R20" i="91" s="1"/>
  <c r="Q20" i="91" a="1"/>
  <c r="Q20" i="91" s="1"/>
  <c r="L20" i="91" a="1"/>
  <c r="L20" i="91" s="1"/>
  <c r="K20" i="91" a="1"/>
  <c r="K20" i="91" s="1"/>
  <c r="I20" i="91" a="1"/>
  <c r="I20" i="91" s="1"/>
  <c r="H20" i="91" a="1"/>
  <c r="H20" i="91" s="1"/>
  <c r="G20" i="91" a="1"/>
  <c r="G20" i="91" s="1"/>
  <c r="F20" i="91" a="1"/>
  <c r="F20" i="91" s="1"/>
  <c r="E20" i="91" a="1"/>
  <c r="E20" i="91" s="1"/>
  <c r="D20" i="91" a="1"/>
  <c r="D20" i="91" s="1"/>
  <c r="V18" i="91" a="1"/>
  <c r="V18" i="91" s="1"/>
  <c r="Q18" i="91" a="1"/>
  <c r="Q18" i="91" s="1"/>
  <c r="K18" i="91" a="1"/>
  <c r="K18" i="91" s="1"/>
  <c r="V17" i="91" a="1"/>
  <c r="V17" i="91" s="1"/>
  <c r="Q17" i="91" a="1"/>
  <c r="Q17" i="91" s="1"/>
  <c r="K17" i="91" a="1"/>
  <c r="K17" i="91" s="1"/>
  <c r="D7" i="91" a="1"/>
  <c r="D7" i="91" s="1"/>
  <c r="D6" i="91" a="1"/>
  <c r="D6" i="91" s="1"/>
  <c r="D5" i="91" a="1"/>
  <c r="D5" i="91" s="1"/>
  <c r="F99" i="90" a="1"/>
  <c r="F99" i="90" s="1"/>
  <c r="D96" i="90" a="1"/>
  <c r="D96" i="90" s="1"/>
  <c r="H89" i="90" a="1"/>
  <c r="H89" i="90" s="1"/>
  <c r="D89" i="90" a="1"/>
  <c r="D89" i="90" s="1"/>
  <c r="E87" i="90" a="1"/>
  <c r="E87" i="90" s="1"/>
  <c r="F94" i="90" s="1"/>
  <c r="E86" i="90" a="1"/>
  <c r="E86" i="90" s="1"/>
  <c r="D82" i="90" a="1"/>
  <c r="D82" i="90" s="1"/>
  <c r="D81" i="90" a="1"/>
  <c r="D81" i="90" s="1"/>
  <c r="I60" i="90"/>
  <c r="I59" i="90"/>
  <c r="I58" i="90"/>
  <c r="I55" i="90" a="1"/>
  <c r="I55" i="90" s="1"/>
  <c r="G55" i="90" a="1"/>
  <c r="G55" i="90" s="1"/>
  <c r="D55" i="90" a="1"/>
  <c r="D55" i="90" s="1"/>
  <c r="E53" i="90" a="1"/>
  <c r="E53" i="90" s="1"/>
  <c r="F77" i="90" s="1"/>
  <c r="E52" i="90" a="1"/>
  <c r="E52" i="90" s="1"/>
  <c r="D48" i="90" a="1"/>
  <c r="D48" i="90" s="1"/>
  <c r="D47" i="90" a="1"/>
  <c r="D47" i="90" s="1"/>
  <c r="I18" i="90"/>
  <c r="I17" i="90"/>
  <c r="I16" i="90"/>
  <c r="I13" i="90" a="1"/>
  <c r="I13" i="90" s="1"/>
  <c r="G13" i="90" a="1"/>
  <c r="G13" i="90" s="1"/>
  <c r="D13" i="90" a="1"/>
  <c r="D13" i="90" s="1"/>
  <c r="E11" i="90" a="1"/>
  <c r="E11" i="90" s="1"/>
  <c r="F43" i="90" s="1"/>
  <c r="E10" i="90" a="1"/>
  <c r="E10" i="90" s="1"/>
  <c r="D6" i="90" a="1"/>
  <c r="D6" i="90" s="1"/>
  <c r="D5" i="90" a="1"/>
  <c r="D5" i="90" s="1"/>
  <c r="F151" i="89" a="1"/>
  <c r="F151" i="89" s="1"/>
  <c r="D148" i="89" a="1"/>
  <c r="D148" i="89" s="1"/>
  <c r="I128" i="89"/>
  <c r="I127" i="89"/>
  <c r="I124" i="89" a="1"/>
  <c r="I124" i="89" s="1"/>
  <c r="G124" i="89" a="1"/>
  <c r="G124" i="89" s="1"/>
  <c r="D124" i="89" a="1"/>
  <c r="D124" i="89" s="1"/>
  <c r="E122" i="89" a="1"/>
  <c r="E122" i="89" s="1"/>
  <c r="F146" i="89" s="1"/>
  <c r="E121" i="89" a="1"/>
  <c r="E121" i="89" s="1"/>
  <c r="D117" i="89" a="1"/>
  <c r="D117" i="89" s="1"/>
  <c r="D116" i="89" a="1"/>
  <c r="D116" i="89" s="1"/>
  <c r="F110" i="89" a="1"/>
  <c r="F110" i="89" s="1"/>
  <c r="E142" i="89" s="1"/>
  <c r="F109" i="89" a="1"/>
  <c r="F109" i="89" s="1"/>
  <c r="E141" i="89" s="1"/>
  <c r="F108" i="89" a="1"/>
  <c r="F108" i="89" s="1"/>
  <c r="E140" i="89" s="1"/>
  <c r="I96" i="89" a="1"/>
  <c r="I96" i="89" s="1"/>
  <c r="G96" i="89" a="1"/>
  <c r="G96" i="89" s="1"/>
  <c r="D96" i="89" a="1"/>
  <c r="D96" i="89" s="1"/>
  <c r="E94" i="89" a="1"/>
  <c r="E94" i="89" s="1"/>
  <c r="G102" i="89" s="1"/>
  <c r="E93" i="89" a="1"/>
  <c r="E93" i="89" s="1"/>
  <c r="D89" i="89" a="1"/>
  <c r="D89" i="89" s="1"/>
  <c r="D88" i="89" a="1"/>
  <c r="D88" i="89" s="1"/>
  <c r="F84" i="89" a="1"/>
  <c r="F84" i="89" s="1"/>
  <c r="D81" i="89" a="1"/>
  <c r="D81" i="89" s="1"/>
  <c r="J53" i="89"/>
  <c r="J52" i="89"/>
  <c r="J49" i="89" a="1"/>
  <c r="J49" i="89" s="1"/>
  <c r="H49" i="89" a="1"/>
  <c r="H49" i="89" s="1"/>
  <c r="D49" i="89" a="1"/>
  <c r="D49" i="89" s="1"/>
  <c r="E47" i="89" a="1"/>
  <c r="E47" i="89" s="1"/>
  <c r="E46" i="89" a="1"/>
  <c r="E46" i="89" s="1"/>
  <c r="D42" i="89" a="1"/>
  <c r="D42" i="89" s="1"/>
  <c r="D41" i="89" a="1"/>
  <c r="D41" i="89" s="1"/>
  <c r="I14" i="89" a="1"/>
  <c r="I14" i="89" s="1"/>
  <c r="I13" i="89" a="1"/>
  <c r="I13" i="89" s="1"/>
  <c r="G13" i="89" a="1"/>
  <c r="G13" i="89" s="1"/>
  <c r="D13" i="89" a="1"/>
  <c r="D13" i="89" s="1"/>
  <c r="E11" i="89" a="1"/>
  <c r="E11" i="89" s="1"/>
  <c r="E10" i="89" a="1"/>
  <c r="E10" i="89" s="1"/>
  <c r="D6" i="89" a="1"/>
  <c r="D6" i="89" s="1"/>
  <c r="D5" i="89" a="1"/>
  <c r="D5" i="89" s="1"/>
  <c r="I17" i="88" a="1"/>
  <c r="I17" i="88" s="1"/>
  <c r="I14" i="88" a="1"/>
  <c r="I14" i="88" s="1"/>
  <c r="I13" i="88" a="1"/>
  <c r="I13" i="88" s="1"/>
  <c r="G13" i="88" a="1"/>
  <c r="G13" i="88" s="1"/>
  <c r="D13" i="88" a="1"/>
  <c r="D13" i="88" s="1"/>
  <c r="E11" i="88" a="1"/>
  <c r="E11" i="88" s="1"/>
  <c r="E10" i="88" a="1"/>
  <c r="E10" i="88" s="1"/>
  <c r="D6" i="88" a="1"/>
  <c r="D6" i="88" s="1"/>
  <c r="D5" i="88" a="1"/>
  <c r="D5" i="88" s="1"/>
  <c r="F55" i="87" a="1"/>
  <c r="F55" i="87" s="1"/>
  <c r="D52" i="87" a="1"/>
  <c r="D52" i="87" s="1"/>
  <c r="K47" i="87"/>
  <c r="I44" i="87" a="1"/>
  <c r="I44" i="87" s="1"/>
  <c r="D44" i="87" a="1"/>
  <c r="D44" i="87" s="1"/>
  <c r="E42" i="87" a="1"/>
  <c r="E42" i="87" s="1"/>
  <c r="F50" i="87" s="1"/>
  <c r="E41" i="87" a="1"/>
  <c r="E41" i="87" s="1"/>
  <c r="D37" i="87" a="1"/>
  <c r="D37" i="87" s="1"/>
  <c r="D36" i="87" a="1"/>
  <c r="D36" i="87" s="1"/>
  <c r="I30" i="87" a="1"/>
  <c r="I30" i="87" s="1"/>
  <c r="I29" i="87" a="1"/>
  <c r="I29" i="87" s="1"/>
  <c r="E111" i="89" s="1"/>
  <c r="F111" i="89" s="1" a="1"/>
  <c r="F111" i="89" s="1"/>
  <c r="E143" i="89" s="1"/>
  <c r="I28" i="87" a="1"/>
  <c r="I28" i="87" s="1"/>
  <c r="E110" i="89" s="1"/>
  <c r="I27" i="87" a="1"/>
  <c r="I27" i="87" s="1"/>
  <c r="E109" i="89" s="1"/>
  <c r="I26" i="87" a="1"/>
  <c r="I26" i="87" s="1"/>
  <c r="E108" i="89" s="1"/>
  <c r="I25" i="87" a="1"/>
  <c r="I25" i="87" s="1"/>
  <c r="E70" i="90" s="1"/>
  <c r="I24" i="87" a="1"/>
  <c r="I24" i="87" s="1"/>
  <c r="E69" i="90" s="1"/>
  <c r="I23" i="87" a="1"/>
  <c r="I23" i="87" s="1"/>
  <c r="E68" i="90" s="1"/>
  <c r="I15" i="87" a="1"/>
  <c r="I15" i="87" s="1"/>
  <c r="I14" i="87" a="1"/>
  <c r="I14" i="87" s="1"/>
  <c r="I13" i="87" a="1"/>
  <c r="I13" i="87" s="1"/>
  <c r="G13" i="87" a="1"/>
  <c r="G13" i="87" s="1"/>
  <c r="D13" i="87" a="1"/>
  <c r="D13" i="87" s="1"/>
  <c r="E11" i="87" a="1"/>
  <c r="E11" i="87" s="1"/>
  <c r="F32" i="87" s="1"/>
  <c r="E10" i="87" a="1"/>
  <c r="E10" i="87" s="1"/>
  <c r="D6" i="87" a="1"/>
  <c r="D6" i="87" s="1"/>
  <c r="D5" i="87" a="1"/>
  <c r="D5" i="87" s="1"/>
  <c r="I53" i="86" a="1"/>
  <c r="I53" i="86" s="1"/>
  <c r="I52" i="86"/>
  <c r="I49" i="86" a="1"/>
  <c r="I49" i="86" s="1"/>
  <c r="G49" i="86" a="1"/>
  <c r="G49" i="86" s="1"/>
  <c r="D49" i="86" a="1"/>
  <c r="D49" i="86" s="1"/>
  <c r="E47" i="86" a="1"/>
  <c r="E47" i="86" s="1"/>
  <c r="F78" i="86" s="1"/>
  <c r="E46" i="86" a="1"/>
  <c r="E46" i="86" s="1"/>
  <c r="D42" i="86" a="1"/>
  <c r="D42" i="86" s="1"/>
  <c r="D41" i="86" a="1"/>
  <c r="D41" i="86" s="1"/>
  <c r="I14" i="86" a="1"/>
  <c r="I14" i="86" s="1"/>
  <c r="I13" i="86" a="1"/>
  <c r="I13" i="86" s="1"/>
  <c r="G13" i="86" a="1"/>
  <c r="G13" i="86" s="1"/>
  <c r="D13" i="86" a="1"/>
  <c r="D13" i="86" s="1"/>
  <c r="E11" i="86" a="1"/>
  <c r="E11" i="86" s="1"/>
  <c r="E10" i="86" a="1"/>
  <c r="E10" i="86" s="1"/>
  <c r="D6" i="86" a="1"/>
  <c r="D6" i="86" s="1"/>
  <c r="D5" i="86" a="1"/>
  <c r="D5" i="86" s="1"/>
  <c r="O93" i="85" a="1"/>
  <c r="O93" i="85" s="1"/>
  <c r="M90" i="85" a="1"/>
  <c r="M90" i="85" s="1"/>
  <c r="F85" i="85" a="1"/>
  <c r="F85" i="85" s="1"/>
  <c r="D82" i="85" a="1"/>
  <c r="D82" i="85" s="1"/>
  <c r="S73" i="85"/>
  <c r="S71" i="85"/>
  <c r="S70" i="85"/>
  <c r="S67" i="85" a="1"/>
  <c r="S67" i="85" s="1"/>
  <c r="Q67" i="85" a="1"/>
  <c r="Q67" i="85" s="1"/>
  <c r="M67" i="85" a="1"/>
  <c r="M67" i="85" s="1"/>
  <c r="N65" i="85" a="1"/>
  <c r="N65" i="85" s="1"/>
  <c r="N64" i="85" a="1"/>
  <c r="N64" i="85" s="1"/>
  <c r="M59" i="85" a="1"/>
  <c r="M59" i="85" s="1"/>
  <c r="M58" i="85" a="1"/>
  <c r="M58" i="85" s="1"/>
  <c r="V54" i="85" a="1"/>
  <c r="V54" i="85" s="1"/>
  <c r="T54" i="85"/>
  <c r="U54" i="85" s="1"/>
  <c r="S54" i="85" a="1"/>
  <c r="S54" i="85" s="1"/>
  <c r="R54" i="85" a="1"/>
  <c r="R54" i="85" s="1"/>
  <c r="Q54" i="85"/>
  <c r="I54" i="85"/>
  <c r="V53" i="85" a="1"/>
  <c r="V53" i="85" s="1"/>
  <c r="T53" i="85"/>
  <c r="U53" i="85" s="1"/>
  <c r="S53" i="85" a="1"/>
  <c r="S53" i="85" s="1"/>
  <c r="R53" i="85" a="1"/>
  <c r="R53" i="85" s="1"/>
  <c r="Q53" i="85"/>
  <c r="I53" i="85"/>
  <c r="I52" i="85"/>
  <c r="I49" i="85" a="1"/>
  <c r="I49" i="85" s="1"/>
  <c r="G49" i="85" a="1"/>
  <c r="G49" i="85" s="1"/>
  <c r="D49" i="85" a="1"/>
  <c r="D49" i="85" s="1"/>
  <c r="E47" i="85" a="1"/>
  <c r="E47" i="85" s="1"/>
  <c r="E46" i="85" a="1"/>
  <c r="E46" i="85" s="1"/>
  <c r="D41" i="85" a="1"/>
  <c r="D41" i="85" s="1"/>
  <c r="D40" i="85" a="1"/>
  <c r="D40" i="85" s="1"/>
  <c r="R35" i="85" a="1"/>
  <c r="R35" i="85" s="1"/>
  <c r="P35" i="85" a="1"/>
  <c r="P35" i="85" s="1"/>
  <c r="M35" i="85" a="1"/>
  <c r="M35" i="85" s="1"/>
  <c r="N33" i="85" a="1"/>
  <c r="N33" i="85" s="1"/>
  <c r="V43" i="85" s="1"/>
  <c r="N32" i="85" a="1"/>
  <c r="N32" i="85" s="1"/>
  <c r="V44" i="85" s="1"/>
  <c r="M28" i="85" a="1"/>
  <c r="M28" i="85" s="1"/>
  <c r="M27" i="85" a="1"/>
  <c r="M27" i="85" s="1"/>
  <c r="R23" i="85" a="1"/>
  <c r="R23" i="85" s="1"/>
  <c r="P23" i="85" a="1"/>
  <c r="P23" i="85" s="1"/>
  <c r="M23" i="85" a="1"/>
  <c r="M23" i="85" s="1"/>
  <c r="N21" i="85" a="1"/>
  <c r="N21" i="85" s="1"/>
  <c r="S43" i="85" s="1"/>
  <c r="N20" i="85" a="1"/>
  <c r="N20" i="85" s="1"/>
  <c r="S44" i="85" s="1"/>
  <c r="M17" i="85" a="1"/>
  <c r="M17" i="85" s="1"/>
  <c r="M16" i="85" a="1"/>
  <c r="M16" i="85" s="1"/>
  <c r="I14" i="85" a="1"/>
  <c r="I14" i="85" s="1"/>
  <c r="I13" i="85" a="1"/>
  <c r="I13" i="85" s="1"/>
  <c r="G13" i="85" a="1"/>
  <c r="G13" i="85" s="1"/>
  <c r="D13" i="85" a="1"/>
  <c r="D13" i="85" s="1"/>
  <c r="R12" i="85" a="1"/>
  <c r="R12" i="85" s="1"/>
  <c r="P12" i="85" a="1"/>
  <c r="P12" i="85" s="1"/>
  <c r="M12" i="85" a="1"/>
  <c r="M12" i="85" s="1"/>
  <c r="E11" i="85" a="1"/>
  <c r="E11" i="85" s="1"/>
  <c r="N10" i="85" a="1"/>
  <c r="N10" i="85" s="1"/>
  <c r="R43" i="85" s="1"/>
  <c r="E10" i="85" a="1"/>
  <c r="E10" i="85" s="1"/>
  <c r="N9" i="85" a="1"/>
  <c r="N9" i="85" s="1"/>
  <c r="R44" i="85" s="1"/>
  <c r="M6" i="85" a="1"/>
  <c r="M6" i="85" s="1"/>
  <c r="D6" i="85" a="1"/>
  <c r="D6" i="85" s="1"/>
  <c r="M5" i="85" a="1"/>
  <c r="M5" i="85" s="1"/>
  <c r="D5" i="85" a="1"/>
  <c r="D5" i="85" s="1"/>
  <c r="K39" i="84"/>
  <c r="K38" i="84"/>
  <c r="K37" i="84"/>
  <c r="O41" i="83" a="1"/>
  <c r="O41" i="83" s="1"/>
  <c r="F41" i="83" a="1"/>
  <c r="F41" i="83" s="1"/>
  <c r="M38" i="83" a="1"/>
  <c r="M38" i="83" s="1"/>
  <c r="D38" i="83" a="1"/>
  <c r="D38" i="83" s="1"/>
  <c r="P32" i="83" a="1"/>
  <c r="P32" i="83" s="1"/>
  <c r="M32" i="83" a="1"/>
  <c r="M32" i="83" s="1"/>
  <c r="G32" i="83" a="1"/>
  <c r="G32" i="83" s="1"/>
  <c r="D32" i="83" a="1"/>
  <c r="D32" i="83" s="1"/>
  <c r="E30" i="83" a="1"/>
  <c r="E30" i="83" s="1"/>
  <c r="E29" i="83" a="1"/>
  <c r="E29" i="83" s="1"/>
  <c r="D25" i="83" a="1"/>
  <c r="D25" i="83" s="1"/>
  <c r="D24" i="83" a="1"/>
  <c r="D24" i="83" s="1"/>
  <c r="I18" i="83"/>
  <c r="I17" i="83"/>
  <c r="I16" i="83"/>
  <c r="P13" i="83" a="1"/>
  <c r="P13" i="83" s="1"/>
  <c r="M13" i="83" a="1"/>
  <c r="M13" i="83" s="1"/>
  <c r="G13" i="83" a="1"/>
  <c r="G13" i="83" s="1"/>
  <c r="D13" i="83" a="1"/>
  <c r="D13" i="83" s="1"/>
  <c r="E11" i="83" a="1"/>
  <c r="E11" i="83" s="1"/>
  <c r="E10" i="83" a="1"/>
  <c r="E10" i="83" s="1"/>
  <c r="D6" i="83" a="1"/>
  <c r="D6" i="83" s="1"/>
  <c r="D5" i="83" a="1"/>
  <c r="D5" i="83" s="1"/>
  <c r="P40" i="82" a="1"/>
  <c r="P40" i="82" s="1"/>
  <c r="F40" i="82" a="1"/>
  <c r="F40" i="82" s="1"/>
  <c r="N37" i="82" a="1"/>
  <c r="N37" i="82" s="1"/>
  <c r="D37" i="82" a="1"/>
  <c r="D37" i="82" s="1"/>
  <c r="I32" i="82"/>
  <c r="I31" i="82"/>
  <c r="Q28" i="82" a="1"/>
  <c r="Q28" i="82" s="1"/>
  <c r="N28" i="82" a="1"/>
  <c r="N28" i="82" s="1"/>
  <c r="G28" i="82" a="1"/>
  <c r="G28" i="82" s="1"/>
  <c r="D28" i="82" a="1"/>
  <c r="D28" i="82" s="1"/>
  <c r="E26" i="82" a="1"/>
  <c r="E26" i="82" s="1"/>
  <c r="E25" i="82" a="1"/>
  <c r="E25" i="82" s="1"/>
  <c r="D21" i="82" a="1"/>
  <c r="D21" i="82" s="1"/>
  <c r="D20" i="82" a="1"/>
  <c r="D20" i="82" s="1"/>
  <c r="P16" i="82"/>
  <c r="R13" i="82" a="1"/>
  <c r="R13" i="82" s="1"/>
  <c r="N13" i="82" a="1"/>
  <c r="N13" i="82" s="1"/>
  <c r="H13" i="82" a="1"/>
  <c r="H13" i="82" s="1"/>
  <c r="D13" i="82" a="1"/>
  <c r="D13" i="82" s="1"/>
  <c r="E11" i="82" a="1"/>
  <c r="E11" i="82" s="1"/>
  <c r="F16" i="82" s="1"/>
  <c r="E10" i="82" a="1"/>
  <c r="E10" i="82" s="1"/>
  <c r="D6" i="82" a="1"/>
  <c r="D6" i="82" s="1"/>
  <c r="D5" i="82" a="1"/>
  <c r="D5" i="82" s="1"/>
  <c r="W272" i="81" a="1"/>
  <c r="W272" i="81" s="1"/>
  <c r="U269" i="81" a="1"/>
  <c r="U269" i="81" s="1"/>
  <c r="U265" i="81" a="1"/>
  <c r="U265" i="81" s="1"/>
  <c r="F234" i="81" a="1"/>
  <c r="F234" i="81" s="1"/>
  <c r="D231" i="81" a="1"/>
  <c r="D231" i="81" s="1"/>
  <c r="H224" i="81"/>
  <c r="D224" i="81" a="1"/>
  <c r="D224" i="81" s="1"/>
  <c r="E222" i="81" a="1"/>
  <c r="E222" i="81" s="1"/>
  <c r="E221" i="81" a="1"/>
  <c r="E221" i="81" s="1"/>
  <c r="D217" i="81" a="1"/>
  <c r="D217" i="81" s="1"/>
  <c r="V216" i="81" a="1"/>
  <c r="V216" i="81" s="1"/>
  <c r="D216" i="81" a="1"/>
  <c r="D216" i="81" s="1"/>
  <c r="U211" i="81" a="1"/>
  <c r="U211" i="81" s="1"/>
  <c r="E199" i="81" a="1"/>
  <c r="E199" i="81" s="1"/>
  <c r="E191" i="81" a="1"/>
  <c r="I186" i="81" a="1"/>
  <c r="I186" i="81" s="1"/>
  <c r="I185" i="81" a="1"/>
  <c r="I185" i="81" s="1"/>
  <c r="I184" i="81" a="1"/>
  <c r="I184" i="81" s="1"/>
  <c r="G184" i="81" a="1"/>
  <c r="G184" i="81" s="1"/>
  <c r="D184" i="81" a="1"/>
  <c r="D184" i="81" s="1"/>
  <c r="E182" i="81" a="1"/>
  <c r="E182" i="81" s="1"/>
  <c r="E181" i="81" a="1"/>
  <c r="E181" i="81" s="1"/>
  <c r="D177" i="81" a="1"/>
  <c r="D177" i="81" s="1"/>
  <c r="D176" i="81" a="1"/>
  <c r="D176" i="81" s="1"/>
  <c r="U151" i="81" a="1"/>
  <c r="U151" i="81" s="1"/>
  <c r="I147" i="81"/>
  <c r="I146" i="81" a="1"/>
  <c r="I146" i="81" s="1"/>
  <c r="I145" i="81" a="1"/>
  <c r="I145" i="81" s="1"/>
  <c r="I144" i="81" a="1"/>
  <c r="I144" i="81" s="1"/>
  <c r="I143" i="81" a="1"/>
  <c r="I143" i="81" s="1"/>
  <c r="I142" i="81" a="1"/>
  <c r="I142" i="81" s="1"/>
  <c r="G142" i="81" a="1"/>
  <c r="G142" i="81" s="1"/>
  <c r="D142" i="81" a="1"/>
  <c r="D142" i="81" s="1"/>
  <c r="E140" i="81" a="1"/>
  <c r="E140" i="81" s="1"/>
  <c r="O172" i="81" s="1"/>
  <c r="E139" i="81" a="1"/>
  <c r="E139" i="81" s="1"/>
  <c r="D135" i="81" a="1"/>
  <c r="D135" i="81" s="1"/>
  <c r="D134" i="81" a="1"/>
  <c r="D134" i="81" s="1"/>
  <c r="D122" i="81"/>
  <c r="D121" i="81"/>
  <c r="D120" i="81"/>
  <c r="D119" i="81"/>
  <c r="U115" i="81" a="1"/>
  <c r="U115" i="81" s="1"/>
  <c r="I114" i="81" a="1"/>
  <c r="I114" i="81" s="1"/>
  <c r="I113" i="81" a="1"/>
  <c r="I113" i="81" s="1"/>
  <c r="I112" i="81" a="1"/>
  <c r="I112" i="81" s="1"/>
  <c r="I111" i="81" a="1"/>
  <c r="I111" i="81" s="1"/>
  <c r="G111" i="81" a="1"/>
  <c r="G111" i="81" s="1"/>
  <c r="D111" i="81" a="1"/>
  <c r="D111" i="81" s="1"/>
  <c r="E109" i="81" a="1"/>
  <c r="E109" i="81" s="1"/>
  <c r="E108" i="81" a="1"/>
  <c r="E108" i="81" s="1"/>
  <c r="D103" i="81" a="1"/>
  <c r="D103" i="81" s="1"/>
  <c r="D102" i="81" a="1"/>
  <c r="D102" i="81" s="1"/>
  <c r="D98" i="81"/>
  <c r="D97" i="81"/>
  <c r="D96" i="81"/>
  <c r="D95" i="81"/>
  <c r="U87" i="81" a="1"/>
  <c r="U87" i="81" s="1"/>
  <c r="I82" i="81"/>
  <c r="I79" i="81" a="1"/>
  <c r="I79" i="81" s="1"/>
  <c r="I78" i="81" a="1"/>
  <c r="I78" i="81" s="1"/>
  <c r="G78" i="81" a="1"/>
  <c r="G78" i="81" s="1"/>
  <c r="D78" i="81" a="1"/>
  <c r="D78" i="81" s="1"/>
  <c r="E76" i="81" a="1"/>
  <c r="E76" i="81" s="1"/>
  <c r="AH109" i="81" s="1"/>
  <c r="E75" i="81" a="1"/>
  <c r="E75" i="81" s="1"/>
  <c r="D70" i="81" a="1"/>
  <c r="D70" i="81" s="1"/>
  <c r="D69" i="81" a="1"/>
  <c r="D69" i="81" s="1"/>
  <c r="U51" i="81" a="1"/>
  <c r="U51" i="81" s="1"/>
  <c r="I49" i="81" a="1"/>
  <c r="I49" i="81" s="1"/>
  <c r="I48" i="81" a="1"/>
  <c r="I48" i="81" s="1"/>
  <c r="G48" i="81" a="1"/>
  <c r="G48" i="81" s="1"/>
  <c r="D48" i="81" a="1"/>
  <c r="D48" i="81" s="1"/>
  <c r="E46" i="81" a="1"/>
  <c r="E46" i="81" s="1"/>
  <c r="E45" i="81" a="1"/>
  <c r="E45" i="81" s="1"/>
  <c r="D41" i="81" a="1"/>
  <c r="D41" i="81" s="1"/>
  <c r="D40" i="81" a="1"/>
  <c r="D40" i="81" s="1"/>
  <c r="D36" i="81"/>
  <c r="D35" i="81"/>
  <c r="D34" i="81"/>
  <c r="D33" i="81"/>
  <c r="D23" i="81"/>
  <c r="D22" i="81"/>
  <c r="D21" i="81"/>
  <c r="D20" i="81"/>
  <c r="H14" i="81" a="1"/>
  <c r="H14" i="81" s="1"/>
  <c r="H13" i="81" a="1"/>
  <c r="H13" i="81" s="1"/>
  <c r="F13" i="81" a="1"/>
  <c r="F13" i="81" s="1"/>
  <c r="D13" i="81" a="1"/>
  <c r="D13" i="81" s="1"/>
  <c r="E11" i="81" a="1"/>
  <c r="E11" i="81" s="1"/>
  <c r="AF38" i="81" s="1"/>
  <c r="E10" i="81" a="1"/>
  <c r="E10" i="81" s="1"/>
  <c r="D6" i="81" a="1"/>
  <c r="D6" i="81" s="1"/>
  <c r="D5" i="81" a="1"/>
  <c r="D5" i="81" s="1"/>
  <c r="Y281" i="80" a="1"/>
  <c r="Y281" i="80" s="1"/>
  <c r="W278" i="80" a="1"/>
  <c r="W278" i="80" s="1"/>
  <c r="X270" i="80"/>
  <c r="X266" i="80"/>
  <c r="X255" i="80"/>
  <c r="X254" i="80"/>
  <c r="F249" i="80" a="1"/>
  <c r="F249" i="80" s="1"/>
  <c r="D246" i="80" a="1"/>
  <c r="D246" i="80" s="1"/>
  <c r="X268" i="80"/>
  <c r="X267" i="80"/>
  <c r="E227" i="80" a="1"/>
  <c r="E227" i="80" s="1"/>
  <c r="X219" i="80" a="1"/>
  <c r="E219" i="80" a="1"/>
  <c r="I214" i="80" a="1"/>
  <c r="I214" i="80" s="1"/>
  <c r="I213" i="80" a="1"/>
  <c r="I213" i="80" s="1"/>
  <c r="I212" i="80" a="1"/>
  <c r="I212" i="80" s="1"/>
  <c r="G212" i="80" a="1"/>
  <c r="G212" i="80" s="1"/>
  <c r="D212" i="80" a="1"/>
  <c r="D212" i="80" s="1"/>
  <c r="E210" i="80" a="1"/>
  <c r="E210" i="80" s="1"/>
  <c r="P239" i="80" s="1"/>
  <c r="E209" i="80" a="1"/>
  <c r="E209" i="80" s="1"/>
  <c r="D205" i="80" a="1"/>
  <c r="D205" i="80" s="1"/>
  <c r="D204" i="80" a="1"/>
  <c r="D204" i="80" s="1"/>
  <c r="I160" i="80"/>
  <c r="AB159" i="80"/>
  <c r="I159" i="80"/>
  <c r="I157" i="80" a="1"/>
  <c r="I157" i="80" s="1"/>
  <c r="I156" i="80" a="1"/>
  <c r="I156" i="80" s="1"/>
  <c r="Z154" i="80" a="1"/>
  <c r="Z154" i="80" s="1"/>
  <c r="W154" i="80" a="1"/>
  <c r="W154" i="80" s="1"/>
  <c r="I154" i="80" a="1"/>
  <c r="I154" i="80" s="1"/>
  <c r="G154" i="80" a="1"/>
  <c r="G154" i="80" s="1"/>
  <c r="D154" i="80" a="1"/>
  <c r="D154" i="80" s="1"/>
  <c r="E152" i="80" a="1"/>
  <c r="E152" i="80" s="1"/>
  <c r="E151" i="80" a="1"/>
  <c r="E151" i="80" s="1"/>
  <c r="D147" i="80" a="1"/>
  <c r="D147" i="80" s="1"/>
  <c r="D146" i="80" a="1"/>
  <c r="D146" i="80" s="1"/>
  <c r="W126" i="80"/>
  <c r="W142" i="80" s="1"/>
  <c r="W121" i="80"/>
  <c r="W137" i="80" s="1"/>
  <c r="W119" i="80"/>
  <c r="W135" i="80" s="1"/>
  <c r="I109" i="80" a="1"/>
  <c r="I109" i="80" s="1"/>
  <c r="I108" i="80" a="1"/>
  <c r="I108" i="80" s="1"/>
  <c r="G108" i="80" a="1"/>
  <c r="G108" i="80" s="1"/>
  <c r="D108" i="80" a="1"/>
  <c r="D108" i="80" s="1"/>
  <c r="E106" i="80" a="1"/>
  <c r="E106" i="80" s="1"/>
  <c r="O134" i="80" s="1"/>
  <c r="E105" i="80" a="1"/>
  <c r="E105" i="80" s="1"/>
  <c r="D100" i="80" a="1"/>
  <c r="D100" i="80" s="1"/>
  <c r="D99" i="80" a="1"/>
  <c r="D99" i="80" s="1"/>
  <c r="D71" i="80"/>
  <c r="D70" i="80"/>
  <c r="D69" i="80"/>
  <c r="D68" i="80"/>
  <c r="D55" i="80"/>
  <c r="D54" i="80"/>
  <c r="D53" i="80"/>
  <c r="D52" i="80"/>
  <c r="I47" i="80" a="1"/>
  <c r="I47" i="80" s="1"/>
  <c r="I46" i="80" a="1"/>
  <c r="I46" i="80" s="1"/>
  <c r="I45" i="80" a="1"/>
  <c r="I45" i="80" s="1"/>
  <c r="G45" i="80" a="1"/>
  <c r="G45" i="80" s="1"/>
  <c r="D45" i="80" a="1"/>
  <c r="D45" i="80" s="1"/>
  <c r="E43" i="80" a="1"/>
  <c r="E43" i="80" s="1"/>
  <c r="E42" i="80" a="1"/>
  <c r="E42" i="80" s="1"/>
  <c r="D38" i="80" a="1"/>
  <c r="D38" i="80" s="1"/>
  <c r="D37" i="80" a="1"/>
  <c r="D37" i="80" s="1"/>
  <c r="H33" i="80"/>
  <c r="G32" i="80"/>
  <c r="J16" i="80"/>
  <c r="J13" i="80" a="1"/>
  <c r="J13" i="80" s="1"/>
  <c r="H13" i="80" a="1"/>
  <c r="H13" i="80" s="1"/>
  <c r="D13" i="80" a="1"/>
  <c r="D13" i="80" s="1"/>
  <c r="E11" i="80" a="1"/>
  <c r="E11" i="80" s="1"/>
  <c r="AJ35" i="80" s="1"/>
  <c r="E10" i="80" a="1"/>
  <c r="E10" i="80" s="1"/>
  <c r="D6" i="80" a="1"/>
  <c r="D6" i="80" s="1"/>
  <c r="D5" i="80" a="1"/>
  <c r="D5" i="80" s="1"/>
  <c r="I216" i="79"/>
  <c r="I215" i="79"/>
  <c r="I214" i="79"/>
  <c r="I213" i="79"/>
  <c r="I212" i="79"/>
  <c r="I211" i="79"/>
  <c r="I210" i="79"/>
  <c r="I209" i="79"/>
  <c r="I208" i="79"/>
  <c r="I207" i="79"/>
  <c r="D172" i="79"/>
  <c r="D171" i="79"/>
  <c r="W125" i="80" s="1"/>
  <c r="W141" i="80" s="1"/>
  <c r="D170" i="79"/>
  <c r="W124" i="80" s="1"/>
  <c r="W140" i="80" s="1"/>
  <c r="X186" i="80" s="1"/>
  <c r="D169" i="79"/>
  <c r="W123" i="80" s="1"/>
  <c r="W139" i="80" s="1"/>
  <c r="D168" i="79"/>
  <c r="D167" i="79"/>
  <c r="D166" i="79"/>
  <c r="W120" i="80" s="1"/>
  <c r="W136" i="80" s="1"/>
  <c r="D165" i="79"/>
  <c r="D164" i="79"/>
  <c r="W118" i="80" s="1"/>
  <c r="W134" i="80" s="1"/>
  <c r="D163" i="79"/>
  <c r="W117" i="80" s="1"/>
  <c r="W133" i="80" s="1"/>
  <c r="X179" i="80" s="1"/>
  <c r="D162" i="79"/>
  <c r="W116" i="80" s="1"/>
  <c r="W132" i="80" s="1"/>
  <c r="D161" i="79"/>
  <c r="W115" i="80" s="1"/>
  <c r="W131" i="80" s="1"/>
  <c r="D150" i="79"/>
  <c r="D149" i="79"/>
  <c r="D148" i="79"/>
  <c r="D147" i="79"/>
  <c r="D146" i="79"/>
  <c r="D145" i="79"/>
  <c r="D144" i="79"/>
  <c r="D143" i="79"/>
  <c r="D142" i="79"/>
  <c r="D141" i="79"/>
  <c r="D140" i="79"/>
  <c r="D139" i="79"/>
  <c r="G128" i="79"/>
  <c r="X92" i="81" s="1"/>
  <c r="F128" i="79"/>
  <c r="W92" i="81" s="1"/>
  <c r="E128" i="79"/>
  <c r="V92" i="81" s="1"/>
  <c r="D125" i="79"/>
  <c r="K124" i="79"/>
  <c r="J124" i="79"/>
  <c r="K123" i="79"/>
  <c r="L123" i="79" s="1"/>
  <c r="J123" i="79"/>
  <c r="K122" i="79"/>
  <c r="L122" i="79" s="1"/>
  <c r="J122" i="79"/>
  <c r="K121" i="79"/>
  <c r="L121" i="79" s="1"/>
  <c r="J121" i="79"/>
  <c r="E121" i="79"/>
  <c r="D127" i="79" s="1"/>
  <c r="E120" i="79"/>
  <c r="D126" i="79" s="1"/>
  <c r="M114" i="79"/>
  <c r="L114" i="79"/>
  <c r="M113" i="79"/>
  <c r="L113" i="79"/>
  <c r="M112" i="79"/>
  <c r="L112" i="79"/>
  <c r="M111" i="79"/>
  <c r="L111" i="79"/>
  <c r="D111" i="79"/>
  <c r="D100" i="79"/>
  <c r="D99" i="79"/>
  <c r="D98" i="79"/>
  <c r="D97" i="79"/>
  <c r="D96" i="79"/>
  <c r="D95" i="79"/>
  <c r="D94" i="79"/>
  <c r="D93" i="79"/>
  <c r="D92" i="79"/>
  <c r="D91" i="79"/>
  <c r="D90" i="79"/>
  <c r="D89" i="79"/>
  <c r="D78" i="79"/>
  <c r="D77" i="79"/>
  <c r="D76" i="79"/>
  <c r="D75" i="79"/>
  <c r="D74" i="79"/>
  <c r="D73" i="79"/>
  <c r="D72" i="79"/>
  <c r="D71" i="79"/>
  <c r="D70" i="79"/>
  <c r="D69" i="79"/>
  <c r="D68" i="79"/>
  <c r="D67" i="79"/>
  <c r="D56" i="79"/>
  <c r="D55" i="79"/>
  <c r="D54" i="79"/>
  <c r="D53" i="79"/>
  <c r="D52" i="79"/>
  <c r="D51" i="79"/>
  <c r="D50" i="79"/>
  <c r="D49" i="79"/>
  <c r="D48" i="79"/>
  <c r="D47" i="79"/>
  <c r="D46" i="79"/>
  <c r="D45" i="79"/>
  <c r="D34" i="79"/>
  <c r="D33" i="79"/>
  <c r="D32" i="79"/>
  <c r="D31" i="79"/>
  <c r="D30" i="79"/>
  <c r="D29" i="79"/>
  <c r="D28" i="79"/>
  <c r="D27" i="79"/>
  <c r="D26" i="79"/>
  <c r="D25" i="79"/>
  <c r="D24" i="79"/>
  <c r="D23" i="79"/>
  <c r="E7" i="79"/>
  <c r="I483" i="78" a="1"/>
  <c r="I483" i="78" s="1"/>
  <c r="H483" i="78" a="1"/>
  <c r="H483" i="78" s="1"/>
  <c r="G483" i="78" a="1"/>
  <c r="G483" i="78" s="1"/>
  <c r="F483" i="78" a="1"/>
  <c r="F483" i="78" s="1"/>
  <c r="E483" i="78" a="1"/>
  <c r="E483" i="78" s="1"/>
  <c r="D483" i="78" a="1"/>
  <c r="D483" i="78" s="1"/>
  <c r="I482" i="78" a="1"/>
  <c r="I482" i="78" s="1"/>
  <c r="H482" i="78" a="1"/>
  <c r="H482" i="78" s="1"/>
  <c r="G482" i="78" a="1"/>
  <c r="G482" i="78" s="1"/>
  <c r="F482" i="78" a="1"/>
  <c r="F482" i="78" s="1"/>
  <c r="E482" i="78" a="1"/>
  <c r="E482" i="78" s="1"/>
  <c r="D482" i="78" a="1"/>
  <c r="D482" i="78" s="1"/>
  <c r="I481" i="78" a="1"/>
  <c r="I481" i="78" s="1"/>
  <c r="H481" i="78" a="1"/>
  <c r="H481" i="78" s="1"/>
  <c r="G481" i="78" a="1"/>
  <c r="G481" i="78" s="1"/>
  <c r="F481" i="78" a="1"/>
  <c r="F481" i="78" s="1"/>
  <c r="E481" i="78" a="1"/>
  <c r="E481" i="78" s="1"/>
  <c r="D481" i="78" a="1"/>
  <c r="D481" i="78" s="1"/>
  <c r="I480" i="78" a="1"/>
  <c r="I480" i="78" s="1"/>
  <c r="H480" i="78" a="1"/>
  <c r="H480" i="78" s="1"/>
  <c r="G480" i="78" a="1"/>
  <c r="G480" i="78" s="1"/>
  <c r="F480" i="78" a="1"/>
  <c r="F480" i="78" s="1"/>
  <c r="E480" i="78" a="1"/>
  <c r="E480" i="78" s="1"/>
  <c r="D480" i="78" a="1"/>
  <c r="D480" i="78" s="1"/>
  <c r="I479" i="78" a="1"/>
  <c r="I479" i="78" s="1"/>
  <c r="H479" i="78" a="1"/>
  <c r="H479" i="78" s="1"/>
  <c r="G479" i="78" a="1"/>
  <c r="G479" i="78" s="1"/>
  <c r="F479" i="78" a="1"/>
  <c r="F479" i="78" s="1"/>
  <c r="E479" i="78" a="1"/>
  <c r="E479" i="78" s="1"/>
  <c r="D479" i="78" a="1"/>
  <c r="D479" i="78" s="1"/>
  <c r="I478" i="78" a="1"/>
  <c r="I478" i="78" s="1"/>
  <c r="H478" i="78" a="1"/>
  <c r="H478" i="78" s="1"/>
  <c r="G478" i="78" a="1"/>
  <c r="G478" i="78" s="1"/>
  <c r="F478" i="78" a="1"/>
  <c r="F478" i="78" s="1"/>
  <c r="E478" i="78" a="1"/>
  <c r="E478" i="78" s="1"/>
  <c r="D478" i="78" a="1"/>
  <c r="D478" i="78" s="1"/>
  <c r="I477" i="78" a="1"/>
  <c r="I477" i="78" s="1"/>
  <c r="H477" i="78" a="1"/>
  <c r="H477" i="78" s="1"/>
  <c r="G477" i="78" a="1"/>
  <c r="G477" i="78" s="1"/>
  <c r="F477" i="78" a="1"/>
  <c r="F477" i="78" s="1"/>
  <c r="E477" i="78" a="1"/>
  <c r="E477" i="78" s="1"/>
  <c r="D477" i="78" a="1"/>
  <c r="D477" i="78" s="1"/>
  <c r="I476" i="78" a="1"/>
  <c r="I476" i="78" s="1"/>
  <c r="H476" i="78" a="1"/>
  <c r="H476" i="78" s="1"/>
  <c r="G476" i="78" a="1"/>
  <c r="G476" i="78" s="1"/>
  <c r="F476" i="78" a="1"/>
  <c r="F476" i="78" s="1"/>
  <c r="E476" i="78" a="1"/>
  <c r="E476" i="78" s="1"/>
  <c r="D476" i="78" a="1"/>
  <c r="D476" i="78" s="1"/>
  <c r="I475" i="78" a="1"/>
  <c r="I475" i="78" s="1"/>
  <c r="H475" i="78" a="1"/>
  <c r="H475" i="78" s="1"/>
  <c r="G475" i="78" a="1"/>
  <c r="G475" i="78" s="1"/>
  <c r="F475" i="78" a="1"/>
  <c r="F475" i="78" s="1"/>
  <c r="E475" i="78" a="1"/>
  <c r="E475" i="78" s="1"/>
  <c r="D475" i="78" a="1"/>
  <c r="D475" i="78" s="1"/>
  <c r="I474" i="78" a="1"/>
  <c r="I474" i="78" s="1"/>
  <c r="H474" i="78" a="1"/>
  <c r="H474" i="78" s="1"/>
  <c r="G474" i="78" a="1"/>
  <c r="G474" i="78" s="1"/>
  <c r="F474" i="78" a="1"/>
  <c r="F474" i="78" s="1"/>
  <c r="E474" i="78" a="1"/>
  <c r="E474" i="78" s="1"/>
  <c r="D474" i="78" a="1"/>
  <c r="D474" i="78" s="1"/>
  <c r="I473" i="78" a="1"/>
  <c r="I473" i="78" s="1"/>
  <c r="H473" i="78" a="1"/>
  <c r="H473" i="78" s="1"/>
  <c r="G473" i="78" a="1"/>
  <c r="G473" i="78" s="1"/>
  <c r="F473" i="78" a="1"/>
  <c r="F473" i="78" s="1"/>
  <c r="E473" i="78" a="1"/>
  <c r="E473" i="78" s="1"/>
  <c r="D473" i="78" a="1"/>
  <c r="D473" i="78" s="1"/>
  <c r="I472" i="78" a="1"/>
  <c r="I472" i="78" s="1"/>
  <c r="H472" i="78" a="1"/>
  <c r="H472" i="78" s="1"/>
  <c r="G472" i="78" a="1"/>
  <c r="G472" i="78" s="1"/>
  <c r="F472" i="78" a="1"/>
  <c r="F472" i="78" s="1"/>
  <c r="E472" i="78" a="1"/>
  <c r="E472" i="78" s="1"/>
  <c r="D472" i="78" a="1"/>
  <c r="D472" i="78" s="1"/>
  <c r="I471" i="78" a="1"/>
  <c r="I471" i="78" s="1"/>
  <c r="H471" i="78" a="1"/>
  <c r="H471" i="78" s="1"/>
  <c r="G471" i="78" a="1"/>
  <c r="G471" i="78" s="1"/>
  <c r="F471" i="78" a="1"/>
  <c r="F471" i="78" s="1"/>
  <c r="E471" i="78" a="1"/>
  <c r="E471" i="78" s="1"/>
  <c r="D471" i="78" a="1"/>
  <c r="D471" i="78" s="1"/>
  <c r="I470" i="78" a="1"/>
  <c r="I470" i="78" s="1"/>
  <c r="H470" i="78" a="1"/>
  <c r="H470" i="78" s="1"/>
  <c r="G470" i="78" a="1"/>
  <c r="G470" i="78" s="1"/>
  <c r="F470" i="78" a="1"/>
  <c r="F470" i="78" s="1"/>
  <c r="E470" i="78" a="1"/>
  <c r="E470" i="78" s="1"/>
  <c r="D470" i="78" a="1"/>
  <c r="D470" i="78" s="1"/>
  <c r="I469" i="78" a="1"/>
  <c r="I469" i="78" s="1"/>
  <c r="H469" i="78" a="1"/>
  <c r="H469" i="78" s="1"/>
  <c r="G469" i="78" a="1"/>
  <c r="G469" i="78" s="1"/>
  <c r="F469" i="78" a="1"/>
  <c r="F469" i="78" s="1"/>
  <c r="E469" i="78" a="1"/>
  <c r="E469" i="78" s="1"/>
  <c r="D469" i="78" a="1"/>
  <c r="D469" i="78" s="1"/>
  <c r="I468" i="78" a="1"/>
  <c r="I468" i="78" s="1"/>
  <c r="H468" i="78" a="1"/>
  <c r="H468" i="78" s="1"/>
  <c r="G468" i="78" a="1"/>
  <c r="G468" i="78" s="1"/>
  <c r="F468" i="78" a="1"/>
  <c r="F468" i="78" s="1"/>
  <c r="E468" i="78" a="1"/>
  <c r="E468" i="78" s="1"/>
  <c r="D468" i="78" a="1"/>
  <c r="D468" i="78" s="1"/>
  <c r="I467" i="78" a="1"/>
  <c r="I467" i="78" s="1"/>
  <c r="H467" i="78" a="1"/>
  <c r="H467" i="78" s="1"/>
  <c r="G467" i="78" a="1"/>
  <c r="G467" i="78" s="1"/>
  <c r="F467" i="78" a="1"/>
  <c r="F467" i="78" s="1"/>
  <c r="E467" i="78" a="1"/>
  <c r="E467" i="78" s="1"/>
  <c r="D467" i="78" a="1"/>
  <c r="D467" i="78" s="1"/>
  <c r="I466" i="78" a="1"/>
  <c r="I466" i="78" s="1"/>
  <c r="H466" i="78" a="1"/>
  <c r="H466" i="78" s="1"/>
  <c r="G466" i="78" a="1"/>
  <c r="G466" i="78" s="1"/>
  <c r="F466" i="78" a="1"/>
  <c r="F466" i="78" s="1"/>
  <c r="E466" i="78" a="1"/>
  <c r="E466" i="78" s="1"/>
  <c r="D466" i="78" a="1"/>
  <c r="D466" i="78" s="1"/>
  <c r="I465" i="78" a="1"/>
  <c r="I465" i="78" s="1"/>
  <c r="H465" i="78" a="1"/>
  <c r="H465" i="78" s="1"/>
  <c r="G465" i="78" a="1"/>
  <c r="G465" i="78" s="1"/>
  <c r="F465" i="78" a="1"/>
  <c r="F465" i="78" s="1"/>
  <c r="E465" i="78" a="1"/>
  <c r="E465" i="78" s="1"/>
  <c r="D465" i="78" a="1"/>
  <c r="D465" i="78" s="1"/>
  <c r="I464" i="78" a="1"/>
  <c r="I464" i="78" s="1"/>
  <c r="H464" i="78" a="1"/>
  <c r="H464" i="78" s="1"/>
  <c r="G464" i="78" a="1"/>
  <c r="G464" i="78" s="1"/>
  <c r="F464" i="78" a="1"/>
  <c r="F464" i="78" s="1"/>
  <c r="E464" i="78" a="1"/>
  <c r="E464" i="78" s="1"/>
  <c r="D464" i="78" a="1"/>
  <c r="D464" i="78" s="1"/>
  <c r="I463" i="78" a="1"/>
  <c r="I463" i="78" s="1"/>
  <c r="H463" i="78" a="1"/>
  <c r="H463" i="78" s="1"/>
  <c r="G463" i="78" a="1"/>
  <c r="G463" i="78" s="1"/>
  <c r="F463" i="78" a="1"/>
  <c r="F463" i="78" s="1"/>
  <c r="E463" i="78" a="1"/>
  <c r="E463" i="78" s="1"/>
  <c r="D463" i="78" a="1"/>
  <c r="D463" i="78" s="1"/>
  <c r="I462" i="78" a="1"/>
  <c r="I462" i="78" s="1"/>
  <c r="H462" i="78" a="1"/>
  <c r="H462" i="78" s="1"/>
  <c r="G462" i="78" a="1"/>
  <c r="G462" i="78" s="1"/>
  <c r="F462" i="78" a="1"/>
  <c r="F462" i="78" s="1"/>
  <c r="E462" i="78" a="1"/>
  <c r="E462" i="78" s="1"/>
  <c r="D462" i="78" a="1"/>
  <c r="D462" i="78" s="1"/>
  <c r="I461" i="78" a="1"/>
  <c r="I461" i="78" s="1"/>
  <c r="H461" i="78" a="1"/>
  <c r="H461" i="78" s="1"/>
  <c r="G461" i="78" a="1"/>
  <c r="G461" i="78" s="1"/>
  <c r="F461" i="78" a="1"/>
  <c r="F461" i="78" s="1"/>
  <c r="E461" i="78" a="1"/>
  <c r="E461" i="78" s="1"/>
  <c r="D461" i="78" a="1"/>
  <c r="D461" i="78" s="1"/>
  <c r="I460" i="78" a="1"/>
  <c r="I460" i="78" s="1"/>
  <c r="H460" i="78" a="1"/>
  <c r="H460" i="78" s="1"/>
  <c r="G460" i="78" a="1"/>
  <c r="G460" i="78" s="1"/>
  <c r="F460" i="78" a="1"/>
  <c r="F460" i="78" s="1"/>
  <c r="E460" i="78" a="1"/>
  <c r="E460" i="78" s="1"/>
  <c r="D460" i="78" a="1"/>
  <c r="D460" i="78" s="1"/>
  <c r="I459" i="78" a="1"/>
  <c r="I459" i="78" s="1"/>
  <c r="H459" i="78" a="1"/>
  <c r="H459" i="78" s="1"/>
  <c r="G459" i="78" a="1"/>
  <c r="G459" i="78" s="1"/>
  <c r="F459" i="78" a="1"/>
  <c r="F459" i="78" s="1"/>
  <c r="E459" i="78" a="1"/>
  <c r="E459" i="78" s="1"/>
  <c r="D459" i="78" a="1"/>
  <c r="D459" i="78" s="1"/>
  <c r="I458" i="78" a="1"/>
  <c r="I458" i="78" s="1"/>
  <c r="H458" i="78" a="1"/>
  <c r="H458" i="78" s="1"/>
  <c r="G458" i="78" a="1"/>
  <c r="G458" i="78" s="1"/>
  <c r="F458" i="78" a="1"/>
  <c r="F458" i="78" s="1"/>
  <c r="E458" i="78" a="1"/>
  <c r="E458" i="78" s="1"/>
  <c r="D458" i="78" a="1"/>
  <c r="D458" i="78" s="1"/>
  <c r="I457" i="78" a="1"/>
  <c r="I457" i="78" s="1"/>
  <c r="H457" i="78" a="1"/>
  <c r="H457" i="78" s="1"/>
  <c r="G457" i="78" a="1"/>
  <c r="G457" i="78" s="1"/>
  <c r="F457" i="78" a="1"/>
  <c r="F457" i="78" s="1"/>
  <c r="E457" i="78" a="1"/>
  <c r="E457" i="78" s="1"/>
  <c r="D457" i="78" a="1"/>
  <c r="D457" i="78" s="1"/>
  <c r="I456" i="78" a="1"/>
  <c r="I456" i="78" s="1"/>
  <c r="H456" i="78" a="1"/>
  <c r="H456" i="78" s="1"/>
  <c r="G456" i="78" a="1"/>
  <c r="G456" i="78" s="1"/>
  <c r="F456" i="78" a="1"/>
  <c r="F456" i="78" s="1"/>
  <c r="E456" i="78" a="1"/>
  <c r="E456" i="78" s="1"/>
  <c r="D456" i="78" a="1"/>
  <c r="D456" i="78" s="1"/>
  <c r="I455" i="78" a="1"/>
  <c r="I455" i="78" s="1"/>
  <c r="H455" i="78" a="1"/>
  <c r="H455" i="78" s="1"/>
  <c r="G455" i="78" a="1"/>
  <c r="G455" i="78" s="1"/>
  <c r="F455" i="78" a="1"/>
  <c r="F455" i="78" s="1"/>
  <c r="E455" i="78" a="1"/>
  <c r="E455" i="78" s="1"/>
  <c r="D455" i="78" a="1"/>
  <c r="D455" i="78" s="1"/>
  <c r="I454" i="78" a="1"/>
  <c r="I454" i="78" s="1"/>
  <c r="H454" i="78" a="1"/>
  <c r="H454" i="78" s="1"/>
  <c r="G454" i="78" a="1"/>
  <c r="G454" i="78" s="1"/>
  <c r="F454" i="78" a="1"/>
  <c r="F454" i="78" s="1"/>
  <c r="E454" i="78" a="1"/>
  <c r="E454" i="78" s="1"/>
  <c r="D454" i="78" a="1"/>
  <c r="D454" i="78" s="1"/>
  <c r="I453" i="78" a="1"/>
  <c r="I453" i="78" s="1"/>
  <c r="H453" i="78" a="1"/>
  <c r="H453" i="78" s="1"/>
  <c r="G453" i="78" a="1"/>
  <c r="G453" i="78" s="1"/>
  <c r="F453" i="78" a="1"/>
  <c r="F453" i="78" s="1"/>
  <c r="E453" i="78" a="1"/>
  <c r="E453" i="78" s="1"/>
  <c r="D453" i="78" a="1"/>
  <c r="D453" i="78" s="1"/>
  <c r="I452" i="78" a="1"/>
  <c r="I452" i="78" s="1"/>
  <c r="H452" i="78" a="1"/>
  <c r="H452" i="78" s="1"/>
  <c r="G452" i="78" a="1"/>
  <c r="G452" i="78" s="1"/>
  <c r="F452" i="78" a="1"/>
  <c r="F452" i="78" s="1"/>
  <c r="E452" i="78" a="1"/>
  <c r="E452" i="78" s="1"/>
  <c r="D452" i="78" a="1"/>
  <c r="D452" i="78" s="1"/>
  <c r="I451" i="78" a="1"/>
  <c r="I451" i="78" s="1"/>
  <c r="H451" i="78" a="1"/>
  <c r="H451" i="78" s="1"/>
  <c r="G451" i="78" a="1"/>
  <c r="G451" i="78" s="1"/>
  <c r="F451" i="78" a="1"/>
  <c r="F451" i="78" s="1"/>
  <c r="E451" i="78" a="1"/>
  <c r="E451" i="78" s="1"/>
  <c r="D451" i="78" a="1"/>
  <c r="D451" i="78" s="1"/>
  <c r="I450" i="78" a="1"/>
  <c r="I450" i="78" s="1"/>
  <c r="H450" i="78" a="1"/>
  <c r="H450" i="78" s="1"/>
  <c r="G450" i="78" a="1"/>
  <c r="G450" i="78" s="1"/>
  <c r="F450" i="78" a="1"/>
  <c r="F450" i="78" s="1"/>
  <c r="E450" i="78" a="1"/>
  <c r="E450" i="78" s="1"/>
  <c r="D450" i="78" a="1"/>
  <c r="D450" i="78" s="1"/>
  <c r="I449" i="78" a="1"/>
  <c r="I449" i="78" s="1"/>
  <c r="H449" i="78" a="1"/>
  <c r="H449" i="78" s="1"/>
  <c r="G449" i="78" a="1"/>
  <c r="G449" i="78" s="1"/>
  <c r="F449" i="78" a="1"/>
  <c r="F449" i="78" s="1"/>
  <c r="E449" i="78" a="1"/>
  <c r="E449" i="78" s="1"/>
  <c r="D449" i="78" a="1"/>
  <c r="D449" i="78" s="1"/>
  <c r="I448" i="78" a="1"/>
  <c r="I448" i="78" s="1"/>
  <c r="H448" i="78" a="1"/>
  <c r="H448" i="78" s="1"/>
  <c r="G448" i="78" a="1"/>
  <c r="G448" i="78" s="1"/>
  <c r="F448" i="78" a="1"/>
  <c r="F448" i="78" s="1"/>
  <c r="E448" i="78" a="1"/>
  <c r="E448" i="78" s="1"/>
  <c r="D448" i="78" a="1"/>
  <c r="D448" i="78" s="1"/>
  <c r="I447" i="78" a="1"/>
  <c r="I447" i="78" s="1"/>
  <c r="H447" i="78" a="1"/>
  <c r="H447" i="78" s="1"/>
  <c r="G447" i="78" a="1"/>
  <c r="G447" i="78" s="1"/>
  <c r="F447" i="78" a="1"/>
  <c r="F447" i="78" s="1"/>
  <c r="E447" i="78" a="1"/>
  <c r="E447" i="78" s="1"/>
  <c r="D447" i="78" a="1"/>
  <c r="D447" i="78" s="1"/>
  <c r="I446" i="78" a="1"/>
  <c r="I446" i="78" s="1"/>
  <c r="H446" i="78" a="1"/>
  <c r="H446" i="78" s="1"/>
  <c r="G446" i="78" a="1"/>
  <c r="G446" i="78" s="1"/>
  <c r="F446" i="78" a="1"/>
  <c r="F446" i="78" s="1"/>
  <c r="E446" i="78" a="1"/>
  <c r="E446" i="78" s="1"/>
  <c r="D446" i="78" a="1"/>
  <c r="D446" i="78" s="1"/>
  <c r="I445" i="78" a="1"/>
  <c r="I445" i="78" s="1"/>
  <c r="H445" i="78" a="1"/>
  <c r="H445" i="78" s="1"/>
  <c r="G445" i="78" a="1"/>
  <c r="G445" i="78" s="1"/>
  <c r="F445" i="78" a="1"/>
  <c r="F445" i="78" s="1"/>
  <c r="E445" i="78" a="1"/>
  <c r="E445" i="78" s="1"/>
  <c r="D445" i="78" a="1"/>
  <c r="D445" i="78" s="1"/>
  <c r="I444" i="78" a="1"/>
  <c r="I444" i="78" s="1"/>
  <c r="H444" i="78" a="1"/>
  <c r="H444" i="78" s="1"/>
  <c r="G444" i="78" a="1"/>
  <c r="G444" i="78" s="1"/>
  <c r="F444" i="78" a="1"/>
  <c r="F444" i="78" s="1"/>
  <c r="E444" i="78" a="1"/>
  <c r="E444" i="78" s="1"/>
  <c r="D444" i="78" a="1"/>
  <c r="D444" i="78" s="1"/>
  <c r="I443" i="78" a="1"/>
  <c r="I443" i="78" s="1"/>
  <c r="H443" i="78" a="1"/>
  <c r="H443" i="78" s="1"/>
  <c r="G443" i="78" a="1"/>
  <c r="G443" i="78" s="1"/>
  <c r="F443" i="78" a="1"/>
  <c r="F443" i="78" s="1"/>
  <c r="E443" i="78" a="1"/>
  <c r="E443" i="78" s="1"/>
  <c r="D443" i="78" a="1"/>
  <c r="D443" i="78" s="1"/>
  <c r="D440" i="78" a="1"/>
  <c r="D440" i="78" s="1"/>
  <c r="I15" i="83" s="1"/>
  <c r="D439" i="78" a="1"/>
  <c r="D439" i="78" s="1"/>
  <c r="D438" i="78" a="1"/>
  <c r="D438" i="78" s="1"/>
  <c r="D437" i="78" a="1"/>
  <c r="D437" i="78" s="1"/>
  <c r="D436" i="78" a="1"/>
  <c r="D436" i="78" s="1"/>
  <c r="D434" i="78" a="1"/>
  <c r="D434" i="78" s="1"/>
  <c r="J14" i="82" s="1"/>
  <c r="D433" i="78" a="1"/>
  <c r="D433" i="78" s="1"/>
  <c r="D432" i="78" a="1"/>
  <c r="D432" i="78" s="1"/>
  <c r="D431" i="78" a="1"/>
  <c r="D431" i="78" s="1"/>
  <c r="D430" i="78" a="1"/>
  <c r="D430" i="78" s="1"/>
  <c r="D428" i="78" a="1"/>
  <c r="D428" i="78" s="1"/>
  <c r="I155" i="80" s="1"/>
  <c r="D427" i="78" a="1"/>
  <c r="D427" i="78" s="1"/>
  <c r="D426" i="78" a="1"/>
  <c r="D426" i="78" s="1"/>
  <c r="D425" i="78" a="1"/>
  <c r="D425" i="78" s="1"/>
  <c r="D424" i="78" a="1"/>
  <c r="D424" i="78" s="1"/>
  <c r="D422" i="78" a="1"/>
  <c r="D422" i="78" s="1"/>
  <c r="I110" i="80" s="1"/>
  <c r="D421" i="78" a="1"/>
  <c r="D421" i="78" s="1"/>
  <c r="D420" i="78" a="1"/>
  <c r="D420" i="78" s="1"/>
  <c r="D419" i="78" a="1"/>
  <c r="D419" i="78" s="1"/>
  <c r="D418" i="78" a="1"/>
  <c r="D418" i="78" s="1"/>
  <c r="G415" i="78" a="1"/>
  <c r="G415" i="78" s="1"/>
  <c r="F415" i="78" a="1"/>
  <c r="F415" i="78" s="1"/>
  <c r="E415" i="78" a="1"/>
  <c r="E415" i="78" s="1"/>
  <c r="D415" i="78" a="1"/>
  <c r="D415" i="78" s="1"/>
  <c r="G414" i="78" a="1"/>
  <c r="G414" i="78" s="1"/>
  <c r="F414" i="78" a="1"/>
  <c r="F414" i="78" s="1"/>
  <c r="E414" i="78" a="1"/>
  <c r="E414" i="78" s="1"/>
  <c r="D414" i="78" a="1"/>
  <c r="D414" i="78" s="1"/>
  <c r="G413" i="78" a="1"/>
  <c r="G413" i="78" s="1"/>
  <c r="F413" i="78" a="1"/>
  <c r="F413" i="78" s="1"/>
  <c r="E413" i="78" a="1"/>
  <c r="E413" i="78" s="1"/>
  <c r="D413" i="78" a="1"/>
  <c r="D413" i="78" s="1"/>
  <c r="G412" i="78" a="1"/>
  <c r="G412" i="78" s="1"/>
  <c r="F412" i="78" a="1"/>
  <c r="F412" i="78" s="1"/>
  <c r="E412" i="78" a="1"/>
  <c r="E412" i="78" s="1"/>
  <c r="D412" i="78" a="1"/>
  <c r="D412" i="78" s="1"/>
  <c r="G411" i="78" a="1"/>
  <c r="G411" i="78" s="1"/>
  <c r="F411" i="78" a="1"/>
  <c r="F411" i="78" s="1"/>
  <c r="E411" i="78" a="1"/>
  <c r="E411" i="78" s="1"/>
  <c r="D411" i="78" a="1"/>
  <c r="D411" i="78" s="1"/>
  <c r="G410" i="78" a="1"/>
  <c r="G410" i="78" s="1"/>
  <c r="F410" i="78" a="1"/>
  <c r="F410" i="78" s="1"/>
  <c r="E410" i="78" a="1"/>
  <c r="E410" i="78" s="1"/>
  <c r="D410" i="78" a="1"/>
  <c r="D410" i="78" s="1"/>
  <c r="G409" i="78" a="1"/>
  <c r="G409" i="78" s="1"/>
  <c r="F409" i="78" a="1"/>
  <c r="F409" i="78" s="1"/>
  <c r="E409" i="78" a="1"/>
  <c r="E409" i="78" s="1"/>
  <c r="D409" i="78" a="1"/>
  <c r="D409" i="78" s="1"/>
  <c r="G408" i="78" a="1"/>
  <c r="G408" i="78" s="1"/>
  <c r="F408" i="78" a="1"/>
  <c r="F408" i="78" s="1"/>
  <c r="E408" i="78" a="1"/>
  <c r="E408" i="78" s="1"/>
  <c r="D408" i="78" a="1"/>
  <c r="D408" i="78" s="1"/>
  <c r="G407" i="78" a="1"/>
  <c r="G407" i="78" s="1"/>
  <c r="F407" i="78" a="1"/>
  <c r="F407" i="78" s="1"/>
  <c r="E407" i="78" a="1"/>
  <c r="E407" i="78" s="1"/>
  <c r="D407" i="78" a="1"/>
  <c r="D407" i="78" s="1"/>
  <c r="G406" i="78" a="1"/>
  <c r="G406" i="78" s="1"/>
  <c r="F406" i="78" a="1"/>
  <c r="F406" i="78" s="1"/>
  <c r="E406" i="78" a="1"/>
  <c r="E406" i="78" s="1"/>
  <c r="D406" i="78" a="1"/>
  <c r="D406" i="78" s="1"/>
  <c r="G405" i="78" a="1"/>
  <c r="G405" i="78" s="1"/>
  <c r="F405" i="78" a="1"/>
  <c r="F405" i="78" s="1"/>
  <c r="E405" i="78" a="1"/>
  <c r="E405" i="78" s="1"/>
  <c r="D405" i="78" a="1"/>
  <c r="D405" i="78" s="1"/>
  <c r="G404" i="78" a="1"/>
  <c r="G404" i="78" s="1"/>
  <c r="F404" i="78" a="1"/>
  <c r="F404" i="78" s="1"/>
  <c r="E404" i="78" a="1"/>
  <c r="E404" i="78" s="1"/>
  <c r="D404" i="78" a="1"/>
  <c r="D404" i="78" s="1"/>
  <c r="G403" i="78" a="1"/>
  <c r="G403" i="78" s="1"/>
  <c r="F403" i="78" a="1"/>
  <c r="F403" i="78" s="1"/>
  <c r="E403" i="78" a="1"/>
  <c r="E403" i="78" s="1"/>
  <c r="D403" i="78" a="1"/>
  <c r="D403" i="78" s="1"/>
  <c r="G402" i="78" a="1"/>
  <c r="G402" i="78" s="1"/>
  <c r="F402" i="78" a="1"/>
  <c r="F402" i="78" s="1"/>
  <c r="E402" i="78" a="1"/>
  <c r="E402" i="78" s="1"/>
  <c r="D402" i="78" a="1"/>
  <c r="D402" i="78" s="1"/>
  <c r="G401" i="78" a="1"/>
  <c r="G401" i="78" s="1"/>
  <c r="F401" i="78" a="1"/>
  <c r="F401" i="78" s="1"/>
  <c r="E401" i="78" a="1"/>
  <c r="E401" i="78" s="1"/>
  <c r="D401" i="78" a="1"/>
  <c r="D401" i="78" s="1"/>
  <c r="D399" i="78" a="1"/>
  <c r="D399" i="78" s="1"/>
  <c r="D398" i="78" a="1"/>
  <c r="D398" i="78" s="1"/>
  <c r="D397" i="78" a="1"/>
  <c r="D397" i="78" s="1"/>
  <c r="D396" i="78" a="1"/>
  <c r="D396" i="78" s="1"/>
  <c r="D395" i="78" a="1"/>
  <c r="D395" i="78" s="1"/>
  <c r="G392" i="78" a="1"/>
  <c r="G392" i="78" s="1"/>
  <c r="F392" i="78" a="1"/>
  <c r="F392" i="78" s="1"/>
  <c r="E392" i="78" a="1"/>
  <c r="E392" i="78" s="1"/>
  <c r="D392" i="78" a="1"/>
  <c r="D392" i="78" s="1"/>
  <c r="G391" i="78" a="1"/>
  <c r="G391" i="78" s="1"/>
  <c r="F391" i="78" a="1"/>
  <c r="F391" i="78" s="1"/>
  <c r="E391" i="78" a="1"/>
  <c r="E391" i="78" s="1"/>
  <c r="D391" i="78" a="1"/>
  <c r="D391" i="78" s="1"/>
  <c r="G390" i="78" a="1"/>
  <c r="G390" i="78" s="1"/>
  <c r="F390" i="78" a="1"/>
  <c r="F390" i="78" s="1"/>
  <c r="E390" i="78" a="1"/>
  <c r="E390" i="78" s="1"/>
  <c r="D390" i="78" a="1"/>
  <c r="D390" i="78" s="1"/>
  <c r="G389" i="78" a="1"/>
  <c r="G389" i="78" s="1"/>
  <c r="F389" i="78" a="1"/>
  <c r="F389" i="78" s="1"/>
  <c r="E389" i="78" a="1"/>
  <c r="E389" i="78" s="1"/>
  <c r="D389" i="78" a="1"/>
  <c r="D389" i="78" s="1"/>
  <c r="G388" i="78" a="1"/>
  <c r="G388" i="78" s="1"/>
  <c r="F388" i="78" a="1"/>
  <c r="F388" i="78" s="1"/>
  <c r="E388" i="78" a="1"/>
  <c r="E388" i="78" s="1"/>
  <c r="D388" i="78" a="1"/>
  <c r="D388" i="78" s="1"/>
  <c r="G387" i="78" a="1"/>
  <c r="G387" i="78" s="1"/>
  <c r="F387" i="78" a="1"/>
  <c r="F387" i="78" s="1"/>
  <c r="E387" i="78" a="1"/>
  <c r="E387" i="78" s="1"/>
  <c r="D387" i="78" a="1"/>
  <c r="D387" i="78" s="1"/>
  <c r="G386" i="78" a="1"/>
  <c r="G386" i="78" s="1"/>
  <c r="F386" i="78" a="1"/>
  <c r="F386" i="78" s="1"/>
  <c r="E386" i="78" a="1"/>
  <c r="E386" i="78" s="1"/>
  <c r="D386" i="78" a="1"/>
  <c r="D386" i="78" s="1"/>
  <c r="G385" i="78" a="1"/>
  <c r="G385" i="78" s="1"/>
  <c r="F385" i="78" a="1"/>
  <c r="F385" i="78" s="1"/>
  <c r="E385" i="78" a="1"/>
  <c r="E385" i="78" s="1"/>
  <c r="D385" i="78" a="1"/>
  <c r="D385" i="78" s="1"/>
  <c r="G384" i="78" a="1"/>
  <c r="G384" i="78" s="1"/>
  <c r="F384" i="78" a="1"/>
  <c r="F384" i="78" s="1"/>
  <c r="E384" i="78" a="1"/>
  <c r="E384" i="78" s="1"/>
  <c r="D384" i="78" a="1"/>
  <c r="D384" i="78" s="1"/>
  <c r="G383" i="78" a="1"/>
  <c r="G383" i="78" s="1"/>
  <c r="F383" i="78" a="1"/>
  <c r="F383" i="78" s="1"/>
  <c r="E383" i="78" a="1"/>
  <c r="E383" i="78" s="1"/>
  <c r="D383" i="78" a="1"/>
  <c r="D383" i="78" s="1"/>
  <c r="G382" i="78" a="1"/>
  <c r="G382" i="78" s="1"/>
  <c r="F382" i="78" a="1"/>
  <c r="F382" i="78" s="1"/>
  <c r="E382" i="78" a="1"/>
  <c r="E382" i="78" s="1"/>
  <c r="D382" i="78" a="1"/>
  <c r="D382" i="78" s="1"/>
  <c r="G381" i="78" a="1"/>
  <c r="G381" i="78" s="1"/>
  <c r="F381" i="78" a="1"/>
  <c r="F381" i="78" s="1"/>
  <c r="E381" i="78" a="1"/>
  <c r="E381" i="78" s="1"/>
  <c r="D381" i="78" a="1"/>
  <c r="D381" i="78" s="1"/>
  <c r="G380" i="78" a="1"/>
  <c r="G380" i="78" s="1"/>
  <c r="F380" i="78" a="1"/>
  <c r="F380" i="78" s="1"/>
  <c r="E380" i="78" a="1"/>
  <c r="E380" i="78" s="1"/>
  <c r="D380" i="78" a="1"/>
  <c r="D380" i="78" s="1"/>
  <c r="G379" i="78" a="1"/>
  <c r="G379" i="78" s="1"/>
  <c r="F379" i="78" a="1"/>
  <c r="F379" i="78" s="1"/>
  <c r="E379" i="78" a="1"/>
  <c r="E379" i="78" s="1"/>
  <c r="D379" i="78" a="1"/>
  <c r="D379" i="78" s="1"/>
  <c r="G378" i="78" a="1"/>
  <c r="G378" i="78" s="1"/>
  <c r="F378" i="78" a="1"/>
  <c r="F378" i="78" s="1"/>
  <c r="E378" i="78" a="1"/>
  <c r="E378" i="78" s="1"/>
  <c r="D378" i="78" a="1"/>
  <c r="D378" i="78" s="1"/>
  <c r="D376" i="78" a="1"/>
  <c r="D376" i="78" s="1"/>
  <c r="D375" i="78" a="1"/>
  <c r="D375" i="78" s="1"/>
  <c r="D374" i="78" a="1"/>
  <c r="D374" i="78" s="1"/>
  <c r="D373" i="78" a="1"/>
  <c r="D373" i="78" s="1"/>
  <c r="D372" i="78" a="1"/>
  <c r="D372" i="78" s="1"/>
  <c r="L358" i="78" a="1"/>
  <c r="L358" i="78" s="1"/>
  <c r="O369" i="78" s="1"/>
  <c r="K358" i="78" a="1"/>
  <c r="K358" i="78" s="1"/>
  <c r="N369" i="78" s="1"/>
  <c r="J358" i="78" a="1"/>
  <c r="J358" i="78" s="1"/>
  <c r="K369" i="78" s="1"/>
  <c r="I358" i="78" a="1"/>
  <c r="I358" i="78" s="1"/>
  <c r="I369" i="78" s="1"/>
  <c r="H358" i="78" a="1"/>
  <c r="H358" i="78" s="1"/>
  <c r="H369" i="78" s="1"/>
  <c r="G358" i="78" a="1"/>
  <c r="G358" i="78" s="1"/>
  <c r="G369" i="78" s="1"/>
  <c r="F358" i="78" a="1"/>
  <c r="F358" i="78" s="1"/>
  <c r="F369" i="78" s="1"/>
  <c r="E358" i="78" a="1"/>
  <c r="E358" i="78" s="1"/>
  <c r="E369" i="78" s="1"/>
  <c r="D358" i="78" a="1"/>
  <c r="D358" i="78" s="1"/>
  <c r="D369" i="78" s="1"/>
  <c r="L357" i="78" a="1"/>
  <c r="L357" i="78" s="1"/>
  <c r="O368" i="78" s="1"/>
  <c r="K357" i="78" a="1"/>
  <c r="K357" i="78" s="1"/>
  <c r="L368" i="78" s="1"/>
  <c r="J357" i="78" a="1"/>
  <c r="J357" i="78" s="1"/>
  <c r="K368" i="78" s="1"/>
  <c r="I357" i="78" a="1"/>
  <c r="I357" i="78" s="1"/>
  <c r="I368" i="78" s="1"/>
  <c r="H357" i="78" a="1"/>
  <c r="H357" i="78" s="1"/>
  <c r="H368" i="78" s="1"/>
  <c r="G357" i="78" a="1"/>
  <c r="G357" i="78" s="1"/>
  <c r="G368" i="78" s="1"/>
  <c r="F357" i="78" a="1"/>
  <c r="F357" i="78" s="1"/>
  <c r="F368" i="78" s="1"/>
  <c r="E357" i="78" a="1"/>
  <c r="E357" i="78" s="1"/>
  <c r="E368" i="78" s="1"/>
  <c r="D357" i="78" a="1"/>
  <c r="D357" i="78" s="1"/>
  <c r="D368" i="78" s="1"/>
  <c r="L356" i="78" a="1"/>
  <c r="L356" i="78" s="1"/>
  <c r="O367" i="78" s="1"/>
  <c r="K356" i="78" a="1"/>
  <c r="K356" i="78" s="1"/>
  <c r="N367" i="78" s="1"/>
  <c r="J356" i="78" a="1"/>
  <c r="J356" i="78" s="1"/>
  <c r="K367" i="78" s="1"/>
  <c r="I356" i="78" a="1"/>
  <c r="I356" i="78" s="1"/>
  <c r="J367" i="78" s="1"/>
  <c r="H356" i="78" a="1"/>
  <c r="H356" i="78" s="1"/>
  <c r="H367" i="78" s="1"/>
  <c r="G356" i="78" a="1"/>
  <c r="G356" i="78" s="1"/>
  <c r="G367" i="78" s="1"/>
  <c r="F356" i="78" a="1"/>
  <c r="F356" i="78" s="1"/>
  <c r="F367" i="78" s="1"/>
  <c r="E356" i="78" a="1"/>
  <c r="E356" i="78" s="1"/>
  <c r="E367" i="78" s="1"/>
  <c r="D356" i="78" a="1"/>
  <c r="D356" i="78" s="1"/>
  <c r="D367" i="78" s="1"/>
  <c r="L355" i="78" a="1"/>
  <c r="L355" i="78" s="1"/>
  <c r="O366" i="78" s="1"/>
  <c r="K355" i="78" a="1"/>
  <c r="K355" i="78" s="1"/>
  <c r="J355" i="78" a="1"/>
  <c r="J355" i="78" s="1"/>
  <c r="K366" i="78" s="1"/>
  <c r="I355" i="78" a="1"/>
  <c r="I355" i="78" s="1"/>
  <c r="I366" i="78" s="1"/>
  <c r="H355" i="78" a="1"/>
  <c r="H355" i="78" s="1"/>
  <c r="H366" i="78" s="1"/>
  <c r="G355" i="78" a="1"/>
  <c r="G355" i="78" s="1"/>
  <c r="G366" i="78" s="1"/>
  <c r="F355" i="78" a="1"/>
  <c r="F355" i="78" s="1"/>
  <c r="F366" i="78" s="1"/>
  <c r="E355" i="78" a="1"/>
  <c r="E355" i="78" s="1"/>
  <c r="E366" i="78" s="1"/>
  <c r="D355" i="78" a="1"/>
  <c r="D355" i="78" s="1"/>
  <c r="D366" i="78" s="1"/>
  <c r="L354" i="78" a="1"/>
  <c r="L354" i="78" s="1"/>
  <c r="O365" i="78" s="1"/>
  <c r="K354" i="78" a="1"/>
  <c r="K354" i="78" s="1"/>
  <c r="J354" i="78" a="1"/>
  <c r="J354" i="78" s="1"/>
  <c r="K365" i="78" s="1"/>
  <c r="I354" i="78" a="1"/>
  <c r="I354" i="78" s="1"/>
  <c r="J365" i="78" s="1"/>
  <c r="H354" i="78" a="1"/>
  <c r="H354" i="78" s="1"/>
  <c r="H365" i="78" s="1"/>
  <c r="G354" i="78" a="1"/>
  <c r="G354" i="78" s="1"/>
  <c r="G365" i="78" s="1"/>
  <c r="F354" i="78" a="1"/>
  <c r="F354" i="78" s="1"/>
  <c r="F365" i="78" s="1"/>
  <c r="E354" i="78" a="1"/>
  <c r="E354" i="78" s="1"/>
  <c r="E365" i="78" s="1"/>
  <c r="D354" i="78" a="1"/>
  <c r="D354" i="78" s="1"/>
  <c r="D365" i="78" s="1"/>
  <c r="L353" i="78" a="1"/>
  <c r="L353" i="78" s="1"/>
  <c r="O364" i="78" s="1"/>
  <c r="K353" i="78" a="1"/>
  <c r="K353" i="78" s="1"/>
  <c r="M364" i="78" s="1"/>
  <c r="J353" i="78" a="1"/>
  <c r="J353" i="78" s="1"/>
  <c r="K364" i="78" s="1"/>
  <c r="I353" i="78" a="1"/>
  <c r="I353" i="78" s="1"/>
  <c r="I364" i="78" s="1"/>
  <c r="H353" i="78" a="1"/>
  <c r="H353" i="78" s="1"/>
  <c r="H364" i="78" s="1"/>
  <c r="G353" i="78" a="1"/>
  <c r="G353" i="78" s="1"/>
  <c r="G364" i="78" s="1"/>
  <c r="F353" i="78" a="1"/>
  <c r="F353" i="78" s="1"/>
  <c r="F364" i="78" s="1"/>
  <c r="E353" i="78" a="1"/>
  <c r="E353" i="78" s="1"/>
  <c r="E364" i="78" s="1"/>
  <c r="D353" i="78" a="1"/>
  <c r="D353" i="78" s="1"/>
  <c r="D364" i="78" s="1"/>
  <c r="L352" i="78" a="1"/>
  <c r="L352" i="78" s="1"/>
  <c r="O363" i="78" s="1"/>
  <c r="K352" i="78" a="1"/>
  <c r="K352" i="78" s="1"/>
  <c r="N363" i="78" s="1"/>
  <c r="J352" i="78" a="1"/>
  <c r="J352" i="78" s="1"/>
  <c r="K363" i="78" s="1"/>
  <c r="I352" i="78" a="1"/>
  <c r="I352" i="78" s="1"/>
  <c r="I363" i="78" s="1"/>
  <c r="H352" i="78" a="1"/>
  <c r="H352" i="78" s="1"/>
  <c r="H363" i="78" s="1"/>
  <c r="G352" i="78" a="1"/>
  <c r="G352" i="78" s="1"/>
  <c r="G363" i="78" s="1"/>
  <c r="F352" i="78" a="1"/>
  <c r="F352" i="78" s="1"/>
  <c r="F363" i="78" s="1"/>
  <c r="E352" i="78" a="1"/>
  <c r="E352" i="78" s="1"/>
  <c r="E363" i="78" s="1"/>
  <c r="D352" i="78" a="1"/>
  <c r="D352" i="78" s="1"/>
  <c r="D363" i="78" s="1"/>
  <c r="L351" i="78" a="1"/>
  <c r="L351" i="78" s="1"/>
  <c r="O362" i="78" s="1"/>
  <c r="K351" i="78" a="1"/>
  <c r="K351" i="78" s="1"/>
  <c r="J351" i="78" a="1"/>
  <c r="J351" i="78" s="1"/>
  <c r="K362" i="78" s="1"/>
  <c r="I351" i="78" a="1"/>
  <c r="I351" i="78" s="1"/>
  <c r="I362" i="78" s="1"/>
  <c r="H351" i="78" a="1"/>
  <c r="H351" i="78" s="1"/>
  <c r="H362" i="78" s="1"/>
  <c r="G351" i="78" a="1"/>
  <c r="G351" i="78" s="1"/>
  <c r="G362" i="78" s="1"/>
  <c r="F351" i="78" a="1"/>
  <c r="F351" i="78" s="1"/>
  <c r="F362" i="78" s="1"/>
  <c r="E351" i="78" a="1"/>
  <c r="E351" i="78" s="1"/>
  <c r="E362" i="78" s="1"/>
  <c r="D351" i="78" a="1"/>
  <c r="D351" i="78" s="1"/>
  <c r="D362" i="78" s="1"/>
  <c r="D349" i="78" a="1"/>
  <c r="D349" i="78" s="1"/>
  <c r="D348" i="78" a="1"/>
  <c r="D348" i="78" s="1"/>
  <c r="D347" i="78" a="1"/>
  <c r="D347" i="78" s="1"/>
  <c r="D346" i="78" a="1"/>
  <c r="D346" i="78" s="1"/>
  <c r="D345" i="78" a="1"/>
  <c r="D345" i="78" s="1"/>
  <c r="G342" i="78" a="1"/>
  <c r="G342" i="78" s="1"/>
  <c r="F342" i="78" a="1"/>
  <c r="F342" i="78" s="1"/>
  <c r="E342" i="78" a="1"/>
  <c r="E342" i="78" s="1"/>
  <c r="D342" i="78" a="1"/>
  <c r="D342" i="78" s="1"/>
  <c r="G341" i="78" a="1"/>
  <c r="G341" i="78" s="1"/>
  <c r="L338" i="78" s="1"/>
  <c r="F341" i="78" a="1"/>
  <c r="F341" i="78" s="1"/>
  <c r="K338" i="78" s="1"/>
  <c r="E341" i="78" a="1"/>
  <c r="E341" i="78" s="1"/>
  <c r="D341" i="78" a="1"/>
  <c r="D341" i="78" s="1"/>
  <c r="I338" i="78" s="1"/>
  <c r="G340" i="78" a="1"/>
  <c r="G340" i="78" s="1"/>
  <c r="L337" i="78" s="1"/>
  <c r="F340" i="78" a="1"/>
  <c r="F340" i="78" s="1"/>
  <c r="K337" i="78" s="1"/>
  <c r="E340" i="78" a="1"/>
  <c r="E340" i="78" s="1"/>
  <c r="D340" i="78" a="1"/>
  <c r="D340" i="78" s="1"/>
  <c r="I337" i="78" s="1"/>
  <c r="G339" i="78" a="1"/>
  <c r="G339" i="78" s="1"/>
  <c r="F339" i="78" a="1"/>
  <c r="F339" i="78" s="1"/>
  <c r="E339" i="78" a="1"/>
  <c r="E339" i="78" s="1"/>
  <c r="D339" i="78" a="1"/>
  <c r="D339" i="78" s="1"/>
  <c r="G338" i="78" a="1"/>
  <c r="G338" i="78" s="1"/>
  <c r="F338" i="78" a="1"/>
  <c r="F338" i="78" s="1"/>
  <c r="E338" i="78" a="1"/>
  <c r="E338" i="78" s="1"/>
  <c r="D338" i="78" a="1"/>
  <c r="D338" i="78" s="1"/>
  <c r="G337" i="78" a="1"/>
  <c r="G337" i="78" s="1"/>
  <c r="F337" i="78" a="1"/>
  <c r="F337" i="78" s="1"/>
  <c r="E337" i="78" a="1"/>
  <c r="E337" i="78" s="1"/>
  <c r="D337" i="78" a="1"/>
  <c r="D337" i="78" s="1"/>
  <c r="G336" i="78" a="1"/>
  <c r="G336" i="78" s="1"/>
  <c r="L336" i="78" s="1"/>
  <c r="F336" i="78" a="1"/>
  <c r="F336" i="78" s="1"/>
  <c r="K336" i="78" s="1"/>
  <c r="E336" i="78" a="1"/>
  <c r="E336" i="78" s="1"/>
  <c r="D336" i="78" a="1"/>
  <c r="D336" i="78" s="1"/>
  <c r="I336" i="78" s="1"/>
  <c r="G335" i="78" a="1"/>
  <c r="G335" i="78" s="1"/>
  <c r="L335" i="78" s="1"/>
  <c r="F335" i="78" a="1"/>
  <c r="F335" i="78" s="1"/>
  <c r="K335" i="78" s="1"/>
  <c r="E335" i="78" a="1"/>
  <c r="E335" i="78" s="1"/>
  <c r="D335" i="78" a="1"/>
  <c r="D335" i="78" s="1"/>
  <c r="I335" i="78" s="1"/>
  <c r="D333" i="78" a="1"/>
  <c r="D333" i="78" s="1"/>
  <c r="D332" i="78" a="1"/>
  <c r="D332" i="78" s="1"/>
  <c r="D331" i="78" a="1"/>
  <c r="D331" i="78" s="1"/>
  <c r="I328" i="78" a="1"/>
  <c r="I328" i="78" s="1"/>
  <c r="H328" i="78" a="1"/>
  <c r="H328" i="78" s="1"/>
  <c r="G328" i="78" a="1"/>
  <c r="G328" i="78" s="1"/>
  <c r="F328" i="78" a="1"/>
  <c r="F328" i="78" s="1"/>
  <c r="E328" i="78" a="1"/>
  <c r="E328" i="78" s="1"/>
  <c r="D328" i="78" a="1"/>
  <c r="D328" i="78" s="1"/>
  <c r="I327" i="78" a="1"/>
  <c r="I327" i="78" s="1"/>
  <c r="H327" i="78" a="1"/>
  <c r="H327" i="78" s="1"/>
  <c r="G327" i="78" a="1"/>
  <c r="G327" i="78" s="1"/>
  <c r="F327" i="78" a="1"/>
  <c r="F327" i="78" s="1"/>
  <c r="E327" i="78" a="1"/>
  <c r="E327" i="78" s="1"/>
  <c r="D327" i="78" a="1"/>
  <c r="D327" i="78" s="1"/>
  <c r="I326" i="78" a="1"/>
  <c r="I326" i="78" s="1"/>
  <c r="H326" i="78" a="1"/>
  <c r="H326" i="78" s="1"/>
  <c r="G326" i="78" a="1"/>
  <c r="G326" i="78" s="1"/>
  <c r="F326" i="78" a="1"/>
  <c r="F326" i="78" s="1"/>
  <c r="E326" i="78" a="1"/>
  <c r="E326" i="78" s="1"/>
  <c r="D326" i="78" a="1"/>
  <c r="D326" i="78" s="1"/>
  <c r="I325" i="78" a="1"/>
  <c r="I325" i="78" s="1"/>
  <c r="H325" i="78" a="1"/>
  <c r="H325" i="78" s="1"/>
  <c r="G325" i="78" a="1"/>
  <c r="G325" i="78" s="1"/>
  <c r="F325" i="78" a="1"/>
  <c r="F325" i="78" s="1"/>
  <c r="E325" i="78" a="1"/>
  <c r="E325" i="78" s="1"/>
  <c r="D325" i="78" a="1"/>
  <c r="D325" i="78" s="1"/>
  <c r="I324" i="78" a="1"/>
  <c r="I324" i="78" s="1"/>
  <c r="H324" i="78" a="1"/>
  <c r="H324" i="78" s="1"/>
  <c r="G324" i="78" a="1"/>
  <c r="G324" i="78" s="1"/>
  <c r="F324" i="78" a="1"/>
  <c r="F324" i="78" s="1"/>
  <c r="E324" i="78" a="1"/>
  <c r="E324" i="78" s="1"/>
  <c r="D324" i="78" a="1"/>
  <c r="D324" i="78" s="1"/>
  <c r="I323" i="78" a="1"/>
  <c r="I323" i="78" s="1"/>
  <c r="H323" i="78" a="1"/>
  <c r="H323" i="78" s="1"/>
  <c r="G323" i="78" a="1"/>
  <c r="G323" i="78" s="1"/>
  <c r="F323" i="78" a="1"/>
  <c r="F323" i="78" s="1"/>
  <c r="E323" i="78" a="1"/>
  <c r="E323" i="78" s="1"/>
  <c r="D323" i="78" a="1"/>
  <c r="D323" i="78" s="1"/>
  <c r="I322" i="78" a="1"/>
  <c r="I322" i="78" s="1"/>
  <c r="H322" i="78" a="1"/>
  <c r="H322" i="78" s="1"/>
  <c r="G322" i="78" a="1"/>
  <c r="G322" i="78" s="1"/>
  <c r="F322" i="78" a="1"/>
  <c r="F322" i="78" s="1"/>
  <c r="E322" i="78" a="1"/>
  <c r="E322" i="78" s="1"/>
  <c r="D322" i="78" a="1"/>
  <c r="D322" i="78" s="1"/>
  <c r="I321" i="78" a="1"/>
  <c r="I321" i="78" s="1"/>
  <c r="H321" i="78" a="1"/>
  <c r="H321" i="78" s="1"/>
  <c r="G321" i="78" a="1"/>
  <c r="G321" i="78" s="1"/>
  <c r="F321" i="78" a="1"/>
  <c r="F321" i="78" s="1"/>
  <c r="E321" i="78" a="1"/>
  <c r="E321" i="78" s="1"/>
  <c r="D321" i="78" a="1"/>
  <c r="D321" i="78" s="1"/>
  <c r="I320" i="78" a="1"/>
  <c r="I320" i="78" s="1"/>
  <c r="H320" i="78" a="1"/>
  <c r="H320" i="78" s="1"/>
  <c r="G320" i="78" a="1"/>
  <c r="G320" i="78" s="1"/>
  <c r="F320" i="78" a="1"/>
  <c r="F320" i="78" s="1"/>
  <c r="E320" i="78" a="1"/>
  <c r="E320" i="78" s="1"/>
  <c r="D320" i="78" a="1"/>
  <c r="D320" i="78" s="1"/>
  <c r="I319" i="78" a="1"/>
  <c r="I319" i="78" s="1"/>
  <c r="H319" i="78" a="1"/>
  <c r="H319" i="78" s="1"/>
  <c r="G319" i="78" a="1"/>
  <c r="G319" i="78" s="1"/>
  <c r="F319" i="78" a="1"/>
  <c r="F319" i="78" s="1"/>
  <c r="E319" i="78" a="1"/>
  <c r="E319" i="78" s="1"/>
  <c r="D319" i="78" a="1"/>
  <c r="D319" i="78" s="1"/>
  <c r="I318" i="78" a="1"/>
  <c r="I318" i="78" s="1"/>
  <c r="H318" i="78" a="1"/>
  <c r="H318" i="78" s="1"/>
  <c r="G318" i="78" a="1"/>
  <c r="G318" i="78" s="1"/>
  <c r="F318" i="78" a="1"/>
  <c r="F318" i="78" s="1"/>
  <c r="E318" i="78" a="1"/>
  <c r="E318" i="78" s="1"/>
  <c r="D318" i="78" a="1"/>
  <c r="D318" i="78" s="1"/>
  <c r="I317" i="78" a="1"/>
  <c r="I317" i="78" s="1"/>
  <c r="H317" i="78" a="1"/>
  <c r="H317" i="78" s="1"/>
  <c r="G317" i="78" a="1"/>
  <c r="G317" i="78" s="1"/>
  <c r="F317" i="78" a="1"/>
  <c r="F317" i="78" s="1"/>
  <c r="E317" i="78" a="1"/>
  <c r="E317" i="78" s="1"/>
  <c r="D317" i="78" a="1"/>
  <c r="D317" i="78" s="1"/>
  <c r="I316" i="78" a="1"/>
  <c r="I316" i="78" s="1"/>
  <c r="H316" i="78" a="1"/>
  <c r="H316" i="78" s="1"/>
  <c r="G316" i="78" a="1"/>
  <c r="G316" i="78" s="1"/>
  <c r="F316" i="78" a="1"/>
  <c r="F316" i="78" s="1"/>
  <c r="E316" i="78" a="1"/>
  <c r="E316" i="78" s="1"/>
  <c r="D316" i="78" a="1"/>
  <c r="D316" i="78" s="1"/>
  <c r="I315" i="78" a="1"/>
  <c r="I315" i="78" s="1"/>
  <c r="H315" i="78" a="1"/>
  <c r="H315" i="78" s="1"/>
  <c r="G315" i="78" a="1"/>
  <c r="G315" i="78" s="1"/>
  <c r="F315" i="78" a="1"/>
  <c r="F315" i="78" s="1"/>
  <c r="E315" i="78" a="1"/>
  <c r="E315" i="78" s="1"/>
  <c r="D315" i="78" a="1"/>
  <c r="D315" i="78" s="1"/>
  <c r="I314" i="78" a="1"/>
  <c r="I314" i="78" s="1"/>
  <c r="H314" i="78" a="1"/>
  <c r="H314" i="78" s="1"/>
  <c r="G314" i="78" a="1"/>
  <c r="G314" i="78" s="1"/>
  <c r="F314" i="78" a="1"/>
  <c r="F314" i="78" s="1"/>
  <c r="E314" i="78" a="1"/>
  <c r="E314" i="78" s="1"/>
  <c r="D314" i="78" a="1"/>
  <c r="D314" i="78" s="1"/>
  <c r="D312" i="78" a="1"/>
  <c r="D312" i="78" s="1"/>
  <c r="D311" i="78" a="1"/>
  <c r="D311" i="78" s="1"/>
  <c r="D310" i="78" a="1"/>
  <c r="D310" i="78" s="1"/>
  <c r="D309" i="78" a="1"/>
  <c r="D309" i="78" s="1"/>
  <c r="D308" i="78" a="1"/>
  <c r="D308" i="78" s="1"/>
  <c r="I305" i="78" a="1"/>
  <c r="I305" i="78" s="1"/>
  <c r="H305" i="78" a="1"/>
  <c r="H305" i="78" s="1"/>
  <c r="G305" i="78" a="1"/>
  <c r="G305" i="78" s="1"/>
  <c r="F305" i="78" a="1"/>
  <c r="F305" i="78" s="1"/>
  <c r="E305" i="78" a="1"/>
  <c r="E305" i="78" s="1"/>
  <c r="D305" i="78" a="1"/>
  <c r="D305" i="78" s="1"/>
  <c r="I304" i="78" a="1"/>
  <c r="I304" i="78" s="1"/>
  <c r="H304" i="78" a="1"/>
  <c r="H304" i="78" s="1"/>
  <c r="G304" i="78" a="1"/>
  <c r="G304" i="78" s="1"/>
  <c r="F304" i="78" a="1"/>
  <c r="F304" i="78" s="1"/>
  <c r="E304" i="78" a="1"/>
  <c r="E304" i="78" s="1"/>
  <c r="D304" i="78" a="1"/>
  <c r="D304" i="78" s="1"/>
  <c r="I303" i="78" a="1"/>
  <c r="I303" i="78" s="1"/>
  <c r="H303" i="78" a="1"/>
  <c r="H303" i="78" s="1"/>
  <c r="G303" i="78" a="1"/>
  <c r="G303" i="78" s="1"/>
  <c r="F303" i="78" a="1"/>
  <c r="F303" i="78" s="1"/>
  <c r="E303" i="78" a="1"/>
  <c r="E303" i="78" s="1"/>
  <c r="D303" i="78" a="1"/>
  <c r="D303" i="78" s="1"/>
  <c r="I302" i="78" a="1"/>
  <c r="I302" i="78" s="1"/>
  <c r="H302" i="78" a="1"/>
  <c r="H302" i="78" s="1"/>
  <c r="G302" i="78" a="1"/>
  <c r="G302" i="78" s="1"/>
  <c r="F302" i="78" a="1"/>
  <c r="F302" i="78" s="1"/>
  <c r="E302" i="78" a="1"/>
  <c r="E302" i="78" s="1"/>
  <c r="D302" i="78" a="1"/>
  <c r="D302" i="78" s="1"/>
  <c r="I301" i="78" a="1"/>
  <c r="I301" i="78" s="1"/>
  <c r="H301" i="78" a="1"/>
  <c r="H301" i="78" s="1"/>
  <c r="G301" i="78" a="1"/>
  <c r="G301" i="78" s="1"/>
  <c r="F301" i="78" a="1"/>
  <c r="F301" i="78" s="1"/>
  <c r="E301" i="78" a="1"/>
  <c r="E301" i="78" s="1"/>
  <c r="D301" i="78" a="1"/>
  <c r="D301" i="78" s="1"/>
  <c r="I300" i="78" a="1"/>
  <c r="I300" i="78" s="1"/>
  <c r="H300" i="78" a="1"/>
  <c r="H300" i="78" s="1"/>
  <c r="G300" i="78" a="1"/>
  <c r="G300" i="78" s="1"/>
  <c r="F300" i="78" a="1"/>
  <c r="F300" i="78" s="1"/>
  <c r="E300" i="78" a="1"/>
  <c r="E300" i="78" s="1"/>
  <c r="D300" i="78" a="1"/>
  <c r="D300" i="78" s="1"/>
  <c r="I299" i="78" a="1"/>
  <c r="I299" i="78" s="1"/>
  <c r="H299" i="78" a="1"/>
  <c r="H299" i="78" s="1"/>
  <c r="G299" i="78" a="1"/>
  <c r="G299" i="78" s="1"/>
  <c r="F299" i="78" a="1"/>
  <c r="F299" i="78" s="1"/>
  <c r="E299" i="78" a="1"/>
  <c r="E299" i="78" s="1"/>
  <c r="D299" i="78" a="1"/>
  <c r="D299" i="78" s="1"/>
  <c r="I298" i="78" a="1"/>
  <c r="I298" i="78" s="1"/>
  <c r="H298" i="78" a="1"/>
  <c r="H298" i="78" s="1"/>
  <c r="G298" i="78" a="1"/>
  <c r="G298" i="78" s="1"/>
  <c r="F298" i="78" a="1"/>
  <c r="F298" i="78" s="1"/>
  <c r="E298" i="78" a="1"/>
  <c r="E298" i="78" s="1"/>
  <c r="D298" i="78" a="1"/>
  <c r="D298" i="78" s="1"/>
  <c r="I297" i="78" a="1"/>
  <c r="I297" i="78" s="1"/>
  <c r="H297" i="78" a="1"/>
  <c r="H297" i="78" s="1"/>
  <c r="G297" i="78" a="1"/>
  <c r="G297" i="78" s="1"/>
  <c r="F297" i="78" a="1"/>
  <c r="F297" i="78" s="1"/>
  <c r="E297" i="78" a="1"/>
  <c r="E297" i="78" s="1"/>
  <c r="D297" i="78" a="1"/>
  <c r="D297" i="78" s="1"/>
  <c r="I296" i="78" a="1"/>
  <c r="I296" i="78" s="1"/>
  <c r="H296" i="78" a="1"/>
  <c r="H296" i="78" s="1"/>
  <c r="G296" i="78" a="1"/>
  <c r="G296" i="78" s="1"/>
  <c r="F296" i="78" a="1"/>
  <c r="F296" i="78" s="1"/>
  <c r="E296" i="78" a="1"/>
  <c r="E296" i="78" s="1"/>
  <c r="D296" i="78" a="1"/>
  <c r="D296" i="78" s="1"/>
  <c r="I295" i="78" a="1"/>
  <c r="I295" i="78" s="1"/>
  <c r="H295" i="78" a="1"/>
  <c r="H295" i="78" s="1"/>
  <c r="G295" i="78" a="1"/>
  <c r="G295" i="78" s="1"/>
  <c r="F295" i="78" a="1"/>
  <c r="F295" i="78" s="1"/>
  <c r="E295" i="78" a="1"/>
  <c r="E295" i="78" s="1"/>
  <c r="D295" i="78" a="1"/>
  <c r="D295" i="78" s="1"/>
  <c r="I294" i="78" a="1"/>
  <c r="I294" i="78" s="1"/>
  <c r="H294" i="78" a="1"/>
  <c r="H294" i="78" s="1"/>
  <c r="G294" i="78" a="1"/>
  <c r="G294" i="78" s="1"/>
  <c r="F294" i="78" a="1"/>
  <c r="F294" i="78" s="1"/>
  <c r="E294" i="78" a="1"/>
  <c r="E294" i="78" s="1"/>
  <c r="D294" i="78" a="1"/>
  <c r="D294" i="78" s="1"/>
  <c r="I293" i="78" a="1"/>
  <c r="I293" i="78" s="1"/>
  <c r="H293" i="78" a="1"/>
  <c r="H293" i="78" s="1"/>
  <c r="G293" i="78" a="1"/>
  <c r="G293" i="78" s="1"/>
  <c r="F293" i="78" a="1"/>
  <c r="F293" i="78" s="1"/>
  <c r="E293" i="78" a="1"/>
  <c r="E293" i="78" s="1"/>
  <c r="D293" i="78" a="1"/>
  <c r="D293" i="78" s="1"/>
  <c r="I292" i="78" a="1"/>
  <c r="I292" i="78" s="1"/>
  <c r="H292" i="78" a="1"/>
  <c r="H292" i="78" s="1"/>
  <c r="G292" i="78" a="1"/>
  <c r="G292" i="78" s="1"/>
  <c r="F292" i="78" a="1"/>
  <c r="F292" i="78" s="1"/>
  <c r="E292" i="78" a="1"/>
  <c r="E292" i="78" s="1"/>
  <c r="D292" i="78" a="1"/>
  <c r="D292" i="78" s="1"/>
  <c r="I291" i="78" a="1"/>
  <c r="I291" i="78" s="1"/>
  <c r="H291" i="78" a="1"/>
  <c r="H291" i="78" s="1"/>
  <c r="G291" i="78" a="1"/>
  <c r="G291" i="78" s="1"/>
  <c r="F291" i="78" a="1"/>
  <c r="F291" i="78" s="1"/>
  <c r="E291" i="78" a="1"/>
  <c r="E291" i="78" s="1"/>
  <c r="D291" i="78" a="1"/>
  <c r="D291" i="78" s="1"/>
  <c r="D289" i="78" a="1"/>
  <c r="D289" i="78" s="1"/>
  <c r="D288" i="78" a="1"/>
  <c r="D288" i="78" s="1"/>
  <c r="D287" i="78" a="1"/>
  <c r="D287" i="78" s="1"/>
  <c r="D286" i="78" a="1"/>
  <c r="D286" i="78" s="1"/>
  <c r="D285" i="78" a="1"/>
  <c r="D285" i="78" s="1"/>
  <c r="P217" i="78" a="1"/>
  <c r="P217" i="78" s="1"/>
  <c r="P282" i="78" s="1"/>
  <c r="O217" i="78" a="1"/>
  <c r="O217" i="78" s="1"/>
  <c r="O282" i="78" s="1"/>
  <c r="N217" i="78" a="1"/>
  <c r="N217" i="78" s="1"/>
  <c r="N282" i="78" s="1"/>
  <c r="M217" i="78" a="1"/>
  <c r="M217" i="78" s="1"/>
  <c r="M282" i="78" s="1"/>
  <c r="L217" i="78" a="1"/>
  <c r="L217" i="78" s="1"/>
  <c r="L282" i="78" s="1"/>
  <c r="K217" i="78" a="1"/>
  <c r="K217" i="78" s="1"/>
  <c r="K282" i="78" s="1"/>
  <c r="J217" i="78" a="1"/>
  <c r="J217" i="78" s="1"/>
  <c r="J282" i="78" s="1"/>
  <c r="I217" i="78" a="1"/>
  <c r="I217" i="78" s="1"/>
  <c r="I282" i="78" s="1"/>
  <c r="H217" i="78" a="1"/>
  <c r="H217" i="78" s="1"/>
  <c r="H282" i="78" s="1"/>
  <c r="G217" i="78" a="1"/>
  <c r="G217" i="78" s="1"/>
  <c r="G282" i="78" s="1"/>
  <c r="F217" i="78" a="1"/>
  <c r="F217" i="78" s="1"/>
  <c r="F282" i="78" s="1"/>
  <c r="E217" i="78" a="1"/>
  <c r="E217" i="78" s="1"/>
  <c r="E282" i="78" s="1"/>
  <c r="D217" i="78" a="1"/>
  <c r="D217" i="78" s="1"/>
  <c r="P216" i="78" a="1"/>
  <c r="P216" i="78" s="1"/>
  <c r="P281" i="78" s="1"/>
  <c r="O216" i="78" a="1"/>
  <c r="O216" i="78" s="1"/>
  <c r="O281" i="78" s="1"/>
  <c r="N216" i="78" a="1"/>
  <c r="N216" i="78" s="1"/>
  <c r="N281" i="78" s="1"/>
  <c r="M216" i="78" a="1"/>
  <c r="M216" i="78" s="1"/>
  <c r="M281" i="78" s="1"/>
  <c r="L216" i="78" a="1"/>
  <c r="L216" i="78" s="1"/>
  <c r="L281" i="78" s="1"/>
  <c r="K216" i="78" a="1"/>
  <c r="K216" i="78" s="1"/>
  <c r="K281" i="78" s="1"/>
  <c r="J216" i="78" a="1"/>
  <c r="J216" i="78" s="1"/>
  <c r="J281" i="78" s="1"/>
  <c r="I216" i="78" a="1"/>
  <c r="I216" i="78" s="1"/>
  <c r="I281" i="78" s="1"/>
  <c r="H216" i="78" a="1"/>
  <c r="H216" i="78" s="1"/>
  <c r="H281" i="78" s="1"/>
  <c r="G216" i="78" a="1"/>
  <c r="G216" i="78" s="1"/>
  <c r="G281" i="78" s="1"/>
  <c r="F216" i="78" a="1"/>
  <c r="F216" i="78" s="1"/>
  <c r="F281" i="78" s="1"/>
  <c r="E216" i="78" a="1"/>
  <c r="E216" i="78" s="1"/>
  <c r="E281" i="78" s="1"/>
  <c r="D216" i="78" a="1"/>
  <c r="D216" i="78" s="1"/>
  <c r="P215" i="78" a="1"/>
  <c r="P215" i="78" s="1"/>
  <c r="P280" i="78" s="1"/>
  <c r="O215" i="78" a="1"/>
  <c r="O215" i="78" s="1"/>
  <c r="O280" i="78" s="1"/>
  <c r="N215" i="78" a="1"/>
  <c r="N215" i="78" s="1"/>
  <c r="N280" i="78" s="1"/>
  <c r="M215" i="78" a="1"/>
  <c r="M215" i="78" s="1"/>
  <c r="M280" i="78" s="1"/>
  <c r="L215" i="78" a="1"/>
  <c r="L215" i="78" s="1"/>
  <c r="L280" i="78" s="1"/>
  <c r="K215" i="78" a="1"/>
  <c r="K215" i="78" s="1"/>
  <c r="K280" i="78" s="1"/>
  <c r="J215" i="78" a="1"/>
  <c r="J215" i="78" s="1"/>
  <c r="J280" i="78" s="1"/>
  <c r="I215" i="78" a="1"/>
  <c r="I215" i="78" s="1"/>
  <c r="I280" i="78" s="1"/>
  <c r="H215" i="78" a="1"/>
  <c r="H215" i="78" s="1"/>
  <c r="H280" i="78" s="1"/>
  <c r="G215" i="78" a="1"/>
  <c r="G215" i="78" s="1"/>
  <c r="G280" i="78" s="1"/>
  <c r="F215" i="78" a="1"/>
  <c r="F215" i="78" s="1"/>
  <c r="F280" i="78" s="1"/>
  <c r="E215" i="78" a="1"/>
  <c r="E215" i="78" s="1"/>
  <c r="E280" i="78" s="1"/>
  <c r="D215" i="78" a="1"/>
  <c r="D215" i="78" s="1"/>
  <c r="P214" i="78" a="1"/>
  <c r="P214" i="78" s="1"/>
  <c r="P279" i="78" s="1"/>
  <c r="O214" i="78" a="1"/>
  <c r="O214" i="78" s="1"/>
  <c r="O279" i="78" s="1"/>
  <c r="N214" i="78" a="1"/>
  <c r="N214" i="78" s="1"/>
  <c r="N279" i="78" s="1"/>
  <c r="M214" i="78" a="1"/>
  <c r="M214" i="78" s="1"/>
  <c r="M279" i="78" s="1"/>
  <c r="L214" i="78" a="1"/>
  <c r="L214" i="78" s="1"/>
  <c r="L279" i="78" s="1"/>
  <c r="K214" i="78" a="1"/>
  <c r="K214" i="78" s="1"/>
  <c r="K279" i="78" s="1"/>
  <c r="J214" i="78" a="1"/>
  <c r="J214" i="78" s="1"/>
  <c r="J279" i="78" s="1"/>
  <c r="I214" i="78" a="1"/>
  <c r="I214" i="78" s="1"/>
  <c r="I279" i="78" s="1"/>
  <c r="H214" i="78" a="1"/>
  <c r="H214" i="78" s="1"/>
  <c r="H279" i="78" s="1"/>
  <c r="G214" i="78" a="1"/>
  <c r="G214" i="78" s="1"/>
  <c r="G279" i="78" s="1"/>
  <c r="F214" i="78" a="1"/>
  <c r="F214" i="78" s="1"/>
  <c r="F279" i="78" s="1"/>
  <c r="E214" i="78" a="1"/>
  <c r="E214" i="78" s="1"/>
  <c r="E279" i="78" s="1"/>
  <c r="D214" i="78" a="1"/>
  <c r="D214" i="78" s="1"/>
  <c r="P213" i="78" a="1"/>
  <c r="P213" i="78" s="1"/>
  <c r="P278" i="78" s="1"/>
  <c r="O213" i="78" a="1"/>
  <c r="O213" i="78" s="1"/>
  <c r="O278" i="78" s="1"/>
  <c r="N213" i="78" a="1"/>
  <c r="N213" i="78" s="1"/>
  <c r="N278" i="78" s="1"/>
  <c r="M213" i="78" a="1"/>
  <c r="M213" i="78" s="1"/>
  <c r="M278" i="78" s="1"/>
  <c r="L213" i="78" a="1"/>
  <c r="L213" i="78" s="1"/>
  <c r="L278" i="78" s="1"/>
  <c r="K213" i="78" a="1"/>
  <c r="K213" i="78" s="1"/>
  <c r="K278" i="78" s="1"/>
  <c r="J213" i="78" a="1"/>
  <c r="J213" i="78" s="1"/>
  <c r="J278" i="78" s="1"/>
  <c r="I213" i="78" a="1"/>
  <c r="I213" i="78" s="1"/>
  <c r="I278" i="78" s="1"/>
  <c r="H213" i="78" a="1"/>
  <c r="H213" i="78" s="1"/>
  <c r="H278" i="78" s="1"/>
  <c r="G213" i="78" a="1"/>
  <c r="G213" i="78" s="1"/>
  <c r="G278" i="78" s="1"/>
  <c r="F213" i="78" a="1"/>
  <c r="F213" i="78" s="1"/>
  <c r="F278" i="78" s="1"/>
  <c r="E213" i="78" a="1"/>
  <c r="E213" i="78" s="1"/>
  <c r="E278" i="78" s="1"/>
  <c r="D213" i="78" a="1"/>
  <c r="D213" i="78" s="1"/>
  <c r="P212" i="78" a="1"/>
  <c r="P212" i="78" s="1"/>
  <c r="P277" i="78" s="1"/>
  <c r="O212" i="78" a="1"/>
  <c r="O212" i="78" s="1"/>
  <c r="O277" i="78" s="1"/>
  <c r="N212" i="78" a="1"/>
  <c r="N212" i="78" s="1"/>
  <c r="N277" i="78" s="1"/>
  <c r="M212" i="78" a="1"/>
  <c r="M212" i="78" s="1"/>
  <c r="M277" i="78" s="1"/>
  <c r="L212" i="78" a="1"/>
  <c r="L212" i="78" s="1"/>
  <c r="L277" i="78" s="1"/>
  <c r="K212" i="78" a="1"/>
  <c r="K212" i="78" s="1"/>
  <c r="K277" i="78" s="1"/>
  <c r="J212" i="78" a="1"/>
  <c r="J212" i="78" s="1"/>
  <c r="J277" i="78" s="1"/>
  <c r="I212" i="78" a="1"/>
  <c r="I212" i="78" s="1"/>
  <c r="I277" i="78" s="1"/>
  <c r="H212" i="78" a="1"/>
  <c r="H212" i="78" s="1"/>
  <c r="H277" i="78" s="1"/>
  <c r="G212" i="78" a="1"/>
  <c r="G212" i="78" s="1"/>
  <c r="G277" i="78" s="1"/>
  <c r="F212" i="78" a="1"/>
  <c r="F212" i="78" s="1"/>
  <c r="F277" i="78" s="1"/>
  <c r="E212" i="78" a="1"/>
  <c r="E212" i="78" s="1"/>
  <c r="E277" i="78" s="1"/>
  <c r="D212" i="78" a="1"/>
  <c r="D212" i="78" s="1"/>
  <c r="P211" i="78" a="1"/>
  <c r="P211" i="78" s="1"/>
  <c r="P276" i="78" s="1"/>
  <c r="O211" i="78" a="1"/>
  <c r="O211" i="78" s="1"/>
  <c r="O276" i="78" s="1"/>
  <c r="N211" i="78" a="1"/>
  <c r="N211" i="78" s="1"/>
  <c r="N276" i="78" s="1"/>
  <c r="M211" i="78" a="1"/>
  <c r="M211" i="78" s="1"/>
  <c r="M276" i="78" s="1"/>
  <c r="L211" i="78" a="1"/>
  <c r="L211" i="78" s="1"/>
  <c r="L276" i="78" s="1"/>
  <c r="K211" i="78" a="1"/>
  <c r="K211" i="78" s="1"/>
  <c r="K276" i="78" s="1"/>
  <c r="J211" i="78" a="1"/>
  <c r="J211" i="78" s="1"/>
  <c r="J276" i="78" s="1"/>
  <c r="I211" i="78" a="1"/>
  <c r="I211" i="78" s="1"/>
  <c r="I276" i="78" s="1"/>
  <c r="H211" i="78" a="1"/>
  <c r="H211" i="78" s="1"/>
  <c r="H276" i="78" s="1"/>
  <c r="G211" i="78" a="1"/>
  <c r="G211" i="78" s="1"/>
  <c r="G276" i="78" s="1"/>
  <c r="F211" i="78" a="1"/>
  <c r="F211" i="78" s="1"/>
  <c r="F276" i="78" s="1"/>
  <c r="E211" i="78" a="1"/>
  <c r="E211" i="78" s="1"/>
  <c r="E276" i="78" s="1"/>
  <c r="D211" i="78" a="1"/>
  <c r="D211" i="78" s="1"/>
  <c r="P210" i="78" a="1"/>
  <c r="P210" i="78" s="1"/>
  <c r="P275" i="78" s="1"/>
  <c r="O210" i="78" a="1"/>
  <c r="O210" i="78" s="1"/>
  <c r="O275" i="78" s="1"/>
  <c r="N210" i="78" a="1"/>
  <c r="N210" i="78" s="1"/>
  <c r="N275" i="78" s="1"/>
  <c r="M210" i="78" a="1"/>
  <c r="M210" i="78" s="1"/>
  <c r="M275" i="78" s="1"/>
  <c r="L210" i="78" a="1"/>
  <c r="L210" i="78" s="1"/>
  <c r="L275" i="78" s="1"/>
  <c r="K210" i="78" a="1"/>
  <c r="K210" i="78" s="1"/>
  <c r="K275" i="78" s="1"/>
  <c r="J210" i="78" a="1"/>
  <c r="J210" i="78" s="1"/>
  <c r="J275" i="78" s="1"/>
  <c r="I210" i="78" a="1"/>
  <c r="I210" i="78" s="1"/>
  <c r="I275" i="78" s="1"/>
  <c r="H210" i="78" a="1"/>
  <c r="H210" i="78" s="1"/>
  <c r="H275" i="78" s="1"/>
  <c r="G210" i="78" a="1"/>
  <c r="G210" i="78" s="1"/>
  <c r="G275" i="78" s="1"/>
  <c r="F210" i="78" a="1"/>
  <c r="F210" i="78" s="1"/>
  <c r="F275" i="78" s="1"/>
  <c r="E210" i="78" a="1"/>
  <c r="E210" i="78" s="1"/>
  <c r="E275" i="78" s="1"/>
  <c r="D210" i="78" a="1"/>
  <c r="D210" i="78" s="1"/>
  <c r="P209" i="78" a="1"/>
  <c r="P209" i="78" s="1"/>
  <c r="P274" i="78" s="1"/>
  <c r="O209" i="78" a="1"/>
  <c r="O209" i="78" s="1"/>
  <c r="O274" i="78" s="1"/>
  <c r="N209" i="78" a="1"/>
  <c r="N209" i="78" s="1"/>
  <c r="N274" i="78" s="1"/>
  <c r="M209" i="78" a="1"/>
  <c r="M209" i="78" s="1"/>
  <c r="M274" i="78" s="1"/>
  <c r="L209" i="78" a="1"/>
  <c r="L209" i="78" s="1"/>
  <c r="L274" i="78" s="1"/>
  <c r="K209" i="78" a="1"/>
  <c r="K209" i="78" s="1"/>
  <c r="K274" i="78" s="1"/>
  <c r="J209" i="78" a="1"/>
  <c r="J209" i="78" s="1"/>
  <c r="J274" i="78" s="1"/>
  <c r="I209" i="78" a="1"/>
  <c r="I209" i="78" s="1"/>
  <c r="I274" i="78" s="1"/>
  <c r="H209" i="78" a="1"/>
  <c r="H209" i="78" s="1"/>
  <c r="H274" i="78" s="1"/>
  <c r="G209" i="78" a="1"/>
  <c r="G209" i="78" s="1"/>
  <c r="G274" i="78" s="1"/>
  <c r="F209" i="78" a="1"/>
  <c r="F209" i="78" s="1"/>
  <c r="F274" i="78" s="1"/>
  <c r="E209" i="78" a="1"/>
  <c r="E209" i="78" s="1"/>
  <c r="E274" i="78" s="1"/>
  <c r="D209" i="78" a="1"/>
  <c r="D209" i="78" s="1"/>
  <c r="P208" i="78" a="1"/>
  <c r="P208" i="78" s="1"/>
  <c r="P273" i="78" s="1"/>
  <c r="O208" i="78" a="1"/>
  <c r="O208" i="78" s="1"/>
  <c r="O273" i="78" s="1"/>
  <c r="N208" i="78" a="1"/>
  <c r="N208" i="78" s="1"/>
  <c r="N273" i="78" s="1"/>
  <c r="M208" i="78" a="1"/>
  <c r="M208" i="78" s="1"/>
  <c r="M273" i="78" s="1"/>
  <c r="L208" i="78" a="1"/>
  <c r="L208" i="78" s="1"/>
  <c r="L273" i="78" s="1"/>
  <c r="K208" i="78" a="1"/>
  <c r="K208" i="78" s="1"/>
  <c r="K273" i="78" s="1"/>
  <c r="J208" i="78" a="1"/>
  <c r="J208" i="78" s="1"/>
  <c r="J273" i="78" s="1"/>
  <c r="I208" i="78" a="1"/>
  <c r="I208" i="78" s="1"/>
  <c r="I273" i="78" s="1"/>
  <c r="H208" i="78" a="1"/>
  <c r="H208" i="78" s="1"/>
  <c r="H273" i="78" s="1"/>
  <c r="G208" i="78" a="1"/>
  <c r="G208" i="78" s="1"/>
  <c r="G273" i="78" s="1"/>
  <c r="F208" i="78" a="1"/>
  <c r="F208" i="78" s="1"/>
  <c r="F273" i="78" s="1"/>
  <c r="E208" i="78" a="1"/>
  <c r="E208" i="78" s="1"/>
  <c r="E273" i="78" s="1"/>
  <c r="D208" i="78" a="1"/>
  <c r="D208" i="78" s="1"/>
  <c r="P207" i="78" a="1"/>
  <c r="P207" i="78" s="1"/>
  <c r="P272" i="78" s="1"/>
  <c r="O207" i="78" a="1"/>
  <c r="O207" i="78" s="1"/>
  <c r="O272" i="78" s="1"/>
  <c r="N207" i="78" a="1"/>
  <c r="N207" i="78" s="1"/>
  <c r="N272" i="78" s="1"/>
  <c r="M207" i="78" a="1"/>
  <c r="M207" i="78" s="1"/>
  <c r="M272" i="78" s="1"/>
  <c r="L207" i="78" a="1"/>
  <c r="L207" i="78" s="1"/>
  <c r="L272" i="78" s="1"/>
  <c r="K207" i="78" a="1"/>
  <c r="K207" i="78" s="1"/>
  <c r="K272" i="78" s="1"/>
  <c r="J207" i="78" a="1"/>
  <c r="J207" i="78" s="1"/>
  <c r="J272" i="78" s="1"/>
  <c r="I207" i="78" a="1"/>
  <c r="I207" i="78" s="1"/>
  <c r="I272" i="78" s="1"/>
  <c r="H207" i="78" a="1"/>
  <c r="H207" i="78" s="1"/>
  <c r="H272" i="78" s="1"/>
  <c r="G207" i="78" a="1"/>
  <c r="G207" i="78" s="1"/>
  <c r="G272" i="78" s="1"/>
  <c r="F207" i="78" a="1"/>
  <c r="F207" i="78" s="1"/>
  <c r="F272" i="78" s="1"/>
  <c r="E207" i="78" a="1"/>
  <c r="E207" i="78" s="1"/>
  <c r="E272" i="78" s="1"/>
  <c r="D207" i="78" a="1"/>
  <c r="D207" i="78" s="1"/>
  <c r="P206" i="78" a="1"/>
  <c r="P206" i="78" s="1"/>
  <c r="P271" i="78" s="1"/>
  <c r="O206" i="78" a="1"/>
  <c r="O206" i="78" s="1"/>
  <c r="O271" i="78" s="1"/>
  <c r="N206" i="78" a="1"/>
  <c r="N206" i="78" s="1"/>
  <c r="N271" i="78" s="1"/>
  <c r="M206" i="78" a="1"/>
  <c r="M206" i="78" s="1"/>
  <c r="M271" i="78" s="1"/>
  <c r="L206" i="78" a="1"/>
  <c r="L206" i="78" s="1"/>
  <c r="L271" i="78" s="1"/>
  <c r="K206" i="78" a="1"/>
  <c r="K206" i="78" s="1"/>
  <c r="K271" i="78" s="1"/>
  <c r="J206" i="78" a="1"/>
  <c r="J206" i="78" s="1"/>
  <c r="J271" i="78" s="1"/>
  <c r="I206" i="78" a="1"/>
  <c r="I206" i="78" s="1"/>
  <c r="I271" i="78" s="1"/>
  <c r="H206" i="78" a="1"/>
  <c r="H206" i="78" s="1"/>
  <c r="H271" i="78" s="1"/>
  <c r="G206" i="78" a="1"/>
  <c r="G206" i="78" s="1"/>
  <c r="G271" i="78" s="1"/>
  <c r="F206" i="78" a="1"/>
  <c r="F206" i="78" s="1"/>
  <c r="F271" i="78" s="1"/>
  <c r="E206" i="78" a="1"/>
  <c r="E206" i="78" s="1"/>
  <c r="E271" i="78" s="1"/>
  <c r="D206" i="78" a="1"/>
  <c r="D206" i="78" s="1"/>
  <c r="P205" i="78" a="1"/>
  <c r="P205" i="78" s="1"/>
  <c r="P270" i="78" s="1"/>
  <c r="O205" i="78" a="1"/>
  <c r="O205" i="78" s="1"/>
  <c r="O270" i="78" s="1"/>
  <c r="N205" i="78" a="1"/>
  <c r="N205" i="78" s="1"/>
  <c r="N270" i="78" s="1"/>
  <c r="M205" i="78" a="1"/>
  <c r="M205" i="78" s="1"/>
  <c r="M270" i="78" s="1"/>
  <c r="L205" i="78" a="1"/>
  <c r="L205" i="78" s="1"/>
  <c r="L270" i="78" s="1"/>
  <c r="K205" i="78" a="1"/>
  <c r="K205" i="78" s="1"/>
  <c r="K270" i="78" s="1"/>
  <c r="J205" i="78" a="1"/>
  <c r="J205" i="78" s="1"/>
  <c r="J270" i="78" s="1"/>
  <c r="I205" i="78" a="1"/>
  <c r="I205" i="78" s="1"/>
  <c r="I270" i="78" s="1"/>
  <c r="H205" i="78" a="1"/>
  <c r="H205" i="78" s="1"/>
  <c r="H270" i="78" s="1"/>
  <c r="G205" i="78" a="1"/>
  <c r="G205" i="78" s="1"/>
  <c r="G270" i="78" s="1"/>
  <c r="F205" i="78" a="1"/>
  <c r="F205" i="78" s="1"/>
  <c r="F270" i="78" s="1"/>
  <c r="E205" i="78" a="1"/>
  <c r="E205" i="78" s="1"/>
  <c r="E270" i="78" s="1"/>
  <c r="D205" i="78" a="1"/>
  <c r="D205" i="78" s="1"/>
  <c r="P204" i="78" a="1"/>
  <c r="P204" i="78" s="1"/>
  <c r="P269" i="78" s="1"/>
  <c r="O204" i="78" a="1"/>
  <c r="O204" i="78" s="1"/>
  <c r="O269" i="78" s="1"/>
  <c r="N204" i="78" a="1"/>
  <c r="N204" i="78" s="1"/>
  <c r="N269" i="78" s="1"/>
  <c r="M204" i="78" a="1"/>
  <c r="M204" i="78" s="1"/>
  <c r="M269" i="78" s="1"/>
  <c r="L204" i="78" a="1"/>
  <c r="L204" i="78" s="1"/>
  <c r="L269" i="78" s="1"/>
  <c r="K204" i="78" a="1"/>
  <c r="K204" i="78" s="1"/>
  <c r="K269" i="78" s="1"/>
  <c r="J204" i="78" a="1"/>
  <c r="J204" i="78" s="1"/>
  <c r="J269" i="78" s="1"/>
  <c r="I204" i="78" a="1"/>
  <c r="I204" i="78" s="1"/>
  <c r="I269" i="78" s="1"/>
  <c r="H204" i="78" a="1"/>
  <c r="H204" i="78" s="1"/>
  <c r="H269" i="78" s="1"/>
  <c r="G204" i="78" a="1"/>
  <c r="G204" i="78" s="1"/>
  <c r="G269" i="78" s="1"/>
  <c r="F204" i="78" a="1"/>
  <c r="F204" i="78" s="1"/>
  <c r="F269" i="78" s="1"/>
  <c r="E204" i="78" a="1"/>
  <c r="E204" i="78" s="1"/>
  <c r="E269" i="78" s="1"/>
  <c r="D204" i="78" a="1"/>
  <c r="D204" i="78" s="1"/>
  <c r="P203" i="78" a="1"/>
  <c r="P203" i="78" s="1"/>
  <c r="P268" i="78" s="1"/>
  <c r="O203" i="78" a="1"/>
  <c r="O203" i="78" s="1"/>
  <c r="O268" i="78" s="1"/>
  <c r="N203" i="78" a="1"/>
  <c r="N203" i="78" s="1"/>
  <c r="N268" i="78" s="1"/>
  <c r="M203" i="78" a="1"/>
  <c r="M203" i="78" s="1"/>
  <c r="M268" i="78" s="1"/>
  <c r="L203" i="78" a="1"/>
  <c r="L203" i="78" s="1"/>
  <c r="L268" i="78" s="1"/>
  <c r="K203" i="78" a="1"/>
  <c r="K203" i="78" s="1"/>
  <c r="K268" i="78" s="1"/>
  <c r="J203" i="78" a="1"/>
  <c r="J203" i="78" s="1"/>
  <c r="J268" i="78" s="1"/>
  <c r="I203" i="78" a="1"/>
  <c r="I203" i="78" s="1"/>
  <c r="I268" i="78" s="1"/>
  <c r="H203" i="78" a="1"/>
  <c r="H203" i="78" s="1"/>
  <c r="H268" i="78" s="1"/>
  <c r="G203" i="78" a="1"/>
  <c r="G203" i="78" s="1"/>
  <c r="G268" i="78" s="1"/>
  <c r="F203" i="78" a="1"/>
  <c r="F203" i="78" s="1"/>
  <c r="F268" i="78" s="1"/>
  <c r="E203" i="78" a="1"/>
  <c r="E203" i="78" s="1"/>
  <c r="E268" i="78" s="1"/>
  <c r="D203" i="78" a="1"/>
  <c r="D203" i="78" s="1"/>
  <c r="P202" i="78" a="1"/>
  <c r="P202" i="78" s="1"/>
  <c r="P267" i="78" s="1"/>
  <c r="O202" i="78" a="1"/>
  <c r="O202" i="78" s="1"/>
  <c r="O267" i="78" s="1"/>
  <c r="N202" i="78" a="1"/>
  <c r="N202" i="78" s="1"/>
  <c r="N267" i="78" s="1"/>
  <c r="M202" i="78" a="1"/>
  <c r="M202" i="78" s="1"/>
  <c r="M267" i="78" s="1"/>
  <c r="L202" i="78" a="1"/>
  <c r="L202" i="78" s="1"/>
  <c r="L267" i="78" s="1"/>
  <c r="K202" i="78" a="1"/>
  <c r="K202" i="78" s="1"/>
  <c r="K267" i="78" s="1"/>
  <c r="J202" i="78" a="1"/>
  <c r="J202" i="78" s="1"/>
  <c r="J267" i="78" s="1"/>
  <c r="I202" i="78" a="1"/>
  <c r="I202" i="78" s="1"/>
  <c r="I267" i="78" s="1"/>
  <c r="H202" i="78" a="1"/>
  <c r="H202" i="78" s="1"/>
  <c r="H267" i="78" s="1"/>
  <c r="G202" i="78" a="1"/>
  <c r="G202" i="78" s="1"/>
  <c r="G267" i="78" s="1"/>
  <c r="F202" i="78" a="1"/>
  <c r="F202" i="78" s="1"/>
  <c r="F267" i="78" s="1"/>
  <c r="E202" i="78" a="1"/>
  <c r="E202" i="78" s="1"/>
  <c r="E267" i="78" s="1"/>
  <c r="D202" i="78" a="1"/>
  <c r="D202" i="78" s="1"/>
  <c r="P201" i="78" a="1"/>
  <c r="P201" i="78" s="1"/>
  <c r="P266" i="78" s="1"/>
  <c r="O201" i="78" a="1"/>
  <c r="O201" i="78" s="1"/>
  <c r="O266" i="78" s="1"/>
  <c r="N201" i="78" a="1"/>
  <c r="N201" i="78" s="1"/>
  <c r="N266" i="78" s="1"/>
  <c r="M201" i="78" a="1"/>
  <c r="M201" i="78" s="1"/>
  <c r="M266" i="78" s="1"/>
  <c r="L201" i="78" a="1"/>
  <c r="L201" i="78" s="1"/>
  <c r="L266" i="78" s="1"/>
  <c r="K201" i="78" a="1"/>
  <c r="K201" i="78" s="1"/>
  <c r="K266" i="78" s="1"/>
  <c r="J201" i="78" a="1"/>
  <c r="J201" i="78" s="1"/>
  <c r="J266" i="78" s="1"/>
  <c r="I201" i="78" a="1"/>
  <c r="I201" i="78" s="1"/>
  <c r="I266" i="78" s="1"/>
  <c r="H201" i="78" a="1"/>
  <c r="H201" i="78" s="1"/>
  <c r="H266" i="78" s="1"/>
  <c r="G201" i="78" a="1"/>
  <c r="G201" i="78" s="1"/>
  <c r="G266" i="78" s="1"/>
  <c r="F201" i="78" a="1"/>
  <c r="F201" i="78" s="1"/>
  <c r="F266" i="78" s="1"/>
  <c r="E201" i="78" a="1"/>
  <c r="E201" i="78" s="1"/>
  <c r="E266" i="78" s="1"/>
  <c r="D201" i="78" a="1"/>
  <c r="D201" i="78" s="1"/>
  <c r="P200" i="78" a="1"/>
  <c r="P200" i="78" s="1"/>
  <c r="P265" i="78" s="1"/>
  <c r="O200" i="78" a="1"/>
  <c r="O200" i="78" s="1"/>
  <c r="O265" i="78" s="1"/>
  <c r="N200" i="78" a="1"/>
  <c r="N200" i="78" s="1"/>
  <c r="N265" i="78" s="1"/>
  <c r="M200" i="78" a="1"/>
  <c r="M200" i="78" s="1"/>
  <c r="M265" i="78" s="1"/>
  <c r="L200" i="78" a="1"/>
  <c r="L200" i="78" s="1"/>
  <c r="L265" i="78" s="1"/>
  <c r="K200" i="78" a="1"/>
  <c r="K200" i="78" s="1"/>
  <c r="K265" i="78" s="1"/>
  <c r="J200" i="78" a="1"/>
  <c r="J200" i="78" s="1"/>
  <c r="J265" i="78" s="1"/>
  <c r="I200" i="78" a="1"/>
  <c r="I200" i="78" s="1"/>
  <c r="I265" i="78" s="1"/>
  <c r="H200" i="78" a="1"/>
  <c r="H200" i="78" s="1"/>
  <c r="H265" i="78" s="1"/>
  <c r="G200" i="78" a="1"/>
  <c r="G200" i="78" s="1"/>
  <c r="G265" i="78" s="1"/>
  <c r="F200" i="78" a="1"/>
  <c r="F200" i="78" s="1"/>
  <c r="F265" i="78" s="1"/>
  <c r="E200" i="78" a="1"/>
  <c r="E200" i="78" s="1"/>
  <c r="E265" i="78" s="1"/>
  <c r="D200" i="78" a="1"/>
  <c r="D200" i="78" s="1"/>
  <c r="P199" i="78" a="1"/>
  <c r="P199" i="78" s="1"/>
  <c r="P264" i="78" s="1"/>
  <c r="O199" i="78" a="1"/>
  <c r="O199" i="78" s="1"/>
  <c r="O264" i="78" s="1"/>
  <c r="N199" i="78" a="1"/>
  <c r="N199" i="78" s="1"/>
  <c r="N264" i="78" s="1"/>
  <c r="M199" i="78" a="1"/>
  <c r="M199" i="78" s="1"/>
  <c r="M264" i="78" s="1"/>
  <c r="L199" i="78" a="1"/>
  <c r="L199" i="78" s="1"/>
  <c r="L264" i="78" s="1"/>
  <c r="K199" i="78" a="1"/>
  <c r="K199" i="78" s="1"/>
  <c r="K264" i="78" s="1"/>
  <c r="J199" i="78" a="1"/>
  <c r="J199" i="78" s="1"/>
  <c r="J264" i="78" s="1"/>
  <c r="I199" i="78" a="1"/>
  <c r="I199" i="78" s="1"/>
  <c r="I264" i="78" s="1"/>
  <c r="H199" i="78" a="1"/>
  <c r="H199" i="78" s="1"/>
  <c r="H264" i="78" s="1"/>
  <c r="G199" i="78" a="1"/>
  <c r="G199" i="78" s="1"/>
  <c r="G264" i="78" s="1"/>
  <c r="F199" i="78" a="1"/>
  <c r="F199" i="78" s="1"/>
  <c r="F264" i="78" s="1"/>
  <c r="E199" i="78" a="1"/>
  <c r="E199" i="78" s="1"/>
  <c r="E264" i="78" s="1"/>
  <c r="D199" i="78" a="1"/>
  <c r="D199" i="78" s="1"/>
  <c r="P198" i="78" a="1"/>
  <c r="P198" i="78" s="1"/>
  <c r="P263" i="78" s="1"/>
  <c r="O198" i="78" a="1"/>
  <c r="O198" i="78" s="1"/>
  <c r="O263" i="78" s="1"/>
  <c r="N198" i="78" a="1"/>
  <c r="N198" i="78" s="1"/>
  <c r="N263" i="78" s="1"/>
  <c r="M198" i="78" a="1"/>
  <c r="M198" i="78" s="1"/>
  <c r="M263" i="78" s="1"/>
  <c r="L198" i="78" a="1"/>
  <c r="L198" i="78" s="1"/>
  <c r="L263" i="78" s="1"/>
  <c r="K198" i="78" a="1"/>
  <c r="K198" i="78" s="1"/>
  <c r="K263" i="78" s="1"/>
  <c r="J198" i="78" a="1"/>
  <c r="J198" i="78" s="1"/>
  <c r="J263" i="78" s="1"/>
  <c r="I198" i="78" a="1"/>
  <c r="I198" i="78" s="1"/>
  <c r="I263" i="78" s="1"/>
  <c r="H198" i="78" a="1"/>
  <c r="H198" i="78" s="1"/>
  <c r="H263" i="78" s="1"/>
  <c r="G198" i="78" a="1"/>
  <c r="G198" i="78" s="1"/>
  <c r="G263" i="78" s="1"/>
  <c r="F198" i="78" a="1"/>
  <c r="F198" i="78" s="1"/>
  <c r="F263" i="78" s="1"/>
  <c r="E198" i="78" a="1"/>
  <c r="E198" i="78" s="1"/>
  <c r="E263" i="78" s="1"/>
  <c r="D198" i="78" a="1"/>
  <c r="D198" i="78" s="1"/>
  <c r="P197" i="78" a="1"/>
  <c r="P197" i="78" s="1"/>
  <c r="P262" i="78" s="1"/>
  <c r="O197" i="78" a="1"/>
  <c r="O197" i="78" s="1"/>
  <c r="O262" i="78" s="1"/>
  <c r="N197" i="78" a="1"/>
  <c r="N197" i="78" s="1"/>
  <c r="N262" i="78" s="1"/>
  <c r="M197" i="78" a="1"/>
  <c r="M197" i="78" s="1"/>
  <c r="M262" i="78" s="1"/>
  <c r="L197" i="78" a="1"/>
  <c r="L197" i="78" s="1"/>
  <c r="L262" i="78" s="1"/>
  <c r="K197" i="78" a="1"/>
  <c r="K197" i="78" s="1"/>
  <c r="K262" i="78" s="1"/>
  <c r="J197" i="78" a="1"/>
  <c r="J197" i="78" s="1"/>
  <c r="J262" i="78" s="1"/>
  <c r="I197" i="78" a="1"/>
  <c r="I197" i="78" s="1"/>
  <c r="I262" i="78" s="1"/>
  <c r="H197" i="78" a="1"/>
  <c r="H197" i="78" s="1"/>
  <c r="H262" i="78" s="1"/>
  <c r="G197" i="78" a="1"/>
  <c r="G197" i="78" s="1"/>
  <c r="G262" i="78" s="1"/>
  <c r="F197" i="78" a="1"/>
  <c r="F197" i="78" s="1"/>
  <c r="F262" i="78" s="1"/>
  <c r="E197" i="78" a="1"/>
  <c r="E197" i="78" s="1"/>
  <c r="E262" i="78" s="1"/>
  <c r="D197" i="78" a="1"/>
  <c r="D197" i="78" s="1"/>
  <c r="P196" i="78" a="1"/>
  <c r="P196" i="78" s="1"/>
  <c r="P261" i="78" s="1"/>
  <c r="O196" i="78" a="1"/>
  <c r="O196" i="78" s="1"/>
  <c r="O261" i="78" s="1"/>
  <c r="N196" i="78" a="1"/>
  <c r="N196" i="78" s="1"/>
  <c r="N261" i="78" s="1"/>
  <c r="M196" i="78" a="1"/>
  <c r="M196" i="78" s="1"/>
  <c r="M261" i="78" s="1"/>
  <c r="L196" i="78" a="1"/>
  <c r="L196" i="78" s="1"/>
  <c r="L261" i="78" s="1"/>
  <c r="K196" i="78" a="1"/>
  <c r="K196" i="78" s="1"/>
  <c r="K261" i="78" s="1"/>
  <c r="J196" i="78" a="1"/>
  <c r="J196" i="78" s="1"/>
  <c r="J261" i="78" s="1"/>
  <c r="I196" i="78" a="1"/>
  <c r="I196" i="78" s="1"/>
  <c r="I261" i="78" s="1"/>
  <c r="H196" i="78" a="1"/>
  <c r="H196" i="78" s="1"/>
  <c r="H261" i="78" s="1"/>
  <c r="G196" i="78" a="1"/>
  <c r="G196" i="78" s="1"/>
  <c r="G261" i="78" s="1"/>
  <c r="F196" i="78" a="1"/>
  <c r="F196" i="78" s="1"/>
  <c r="F261" i="78" s="1"/>
  <c r="E196" i="78" a="1"/>
  <c r="E196" i="78" s="1"/>
  <c r="E261" i="78" s="1"/>
  <c r="D196" i="78" a="1"/>
  <c r="D196" i="78" s="1"/>
  <c r="P195" i="78" a="1"/>
  <c r="P195" i="78" s="1"/>
  <c r="P260" i="78" s="1"/>
  <c r="O195" i="78" a="1"/>
  <c r="O195" i="78" s="1"/>
  <c r="O260" i="78" s="1"/>
  <c r="N195" i="78" a="1"/>
  <c r="N195" i="78" s="1"/>
  <c r="N260" i="78" s="1"/>
  <c r="M195" i="78" a="1"/>
  <c r="M195" i="78" s="1"/>
  <c r="M260" i="78" s="1"/>
  <c r="L195" i="78" a="1"/>
  <c r="L195" i="78" s="1"/>
  <c r="L260" i="78" s="1"/>
  <c r="K195" i="78" a="1"/>
  <c r="K195" i="78" s="1"/>
  <c r="K260" i="78" s="1"/>
  <c r="J195" i="78" a="1"/>
  <c r="J195" i="78" s="1"/>
  <c r="J260" i="78" s="1"/>
  <c r="I195" i="78" a="1"/>
  <c r="I195" i="78" s="1"/>
  <c r="I260" i="78" s="1"/>
  <c r="H195" i="78" a="1"/>
  <c r="H195" i="78" s="1"/>
  <c r="H260" i="78" s="1"/>
  <c r="G195" i="78" a="1"/>
  <c r="G195" i="78" s="1"/>
  <c r="G260" i="78" s="1"/>
  <c r="F195" i="78" a="1"/>
  <c r="F195" i="78" s="1"/>
  <c r="F260" i="78" s="1"/>
  <c r="E195" i="78" a="1"/>
  <c r="E195" i="78" s="1"/>
  <c r="E260" i="78" s="1"/>
  <c r="D195" i="78" a="1"/>
  <c r="D195" i="78" s="1"/>
  <c r="P194" i="78" a="1"/>
  <c r="P194" i="78" s="1"/>
  <c r="P259" i="78" s="1"/>
  <c r="O194" i="78" a="1"/>
  <c r="O194" i="78" s="1"/>
  <c r="O259" i="78" s="1"/>
  <c r="N194" i="78" a="1"/>
  <c r="N194" i="78" s="1"/>
  <c r="N259" i="78" s="1"/>
  <c r="M194" i="78" a="1"/>
  <c r="M194" i="78" s="1"/>
  <c r="M259" i="78" s="1"/>
  <c r="L194" i="78" a="1"/>
  <c r="L194" i="78" s="1"/>
  <c r="L259" i="78" s="1"/>
  <c r="K194" i="78" a="1"/>
  <c r="K194" i="78" s="1"/>
  <c r="K259" i="78" s="1"/>
  <c r="J194" i="78" a="1"/>
  <c r="J194" i="78" s="1"/>
  <c r="J259" i="78" s="1"/>
  <c r="I194" i="78" a="1"/>
  <c r="I194" i="78" s="1"/>
  <c r="I259" i="78" s="1"/>
  <c r="H194" i="78" a="1"/>
  <c r="H194" i="78" s="1"/>
  <c r="H259" i="78" s="1"/>
  <c r="G194" i="78" a="1"/>
  <c r="G194" i="78" s="1"/>
  <c r="G259" i="78" s="1"/>
  <c r="F194" i="78" a="1"/>
  <c r="F194" i="78" s="1"/>
  <c r="F259" i="78" s="1"/>
  <c r="E194" i="78" a="1"/>
  <c r="E194" i="78" s="1"/>
  <c r="E259" i="78" s="1"/>
  <c r="D194" i="78" a="1"/>
  <c r="D194" i="78" s="1"/>
  <c r="P193" i="78" a="1"/>
  <c r="P193" i="78" s="1"/>
  <c r="P258" i="78" s="1"/>
  <c r="O193" i="78" a="1"/>
  <c r="O193" i="78" s="1"/>
  <c r="O258" i="78" s="1"/>
  <c r="N193" i="78" a="1"/>
  <c r="N193" i="78" s="1"/>
  <c r="N258" i="78" s="1"/>
  <c r="M193" i="78" a="1"/>
  <c r="M193" i="78" s="1"/>
  <c r="M258" i="78" s="1"/>
  <c r="L193" i="78" a="1"/>
  <c r="L193" i="78" s="1"/>
  <c r="L258" i="78" s="1"/>
  <c r="K193" i="78" a="1"/>
  <c r="K193" i="78" s="1"/>
  <c r="K258" i="78" s="1"/>
  <c r="J193" i="78" a="1"/>
  <c r="J193" i="78" s="1"/>
  <c r="J258" i="78" s="1"/>
  <c r="I193" i="78" a="1"/>
  <c r="I193" i="78" s="1"/>
  <c r="I258" i="78" s="1"/>
  <c r="H193" i="78" a="1"/>
  <c r="H193" i="78" s="1"/>
  <c r="H258" i="78" s="1"/>
  <c r="G193" i="78" a="1"/>
  <c r="G193" i="78" s="1"/>
  <c r="G258" i="78" s="1"/>
  <c r="F193" i="78" a="1"/>
  <c r="F193" i="78" s="1"/>
  <c r="F258" i="78" s="1"/>
  <c r="E193" i="78" a="1"/>
  <c r="E193" i="78" s="1"/>
  <c r="E258" i="78" s="1"/>
  <c r="D193" i="78" a="1"/>
  <c r="D193" i="78" s="1"/>
  <c r="P192" i="78" a="1"/>
  <c r="P192" i="78" s="1"/>
  <c r="P257" i="78" s="1"/>
  <c r="O192" i="78" a="1"/>
  <c r="O192" i="78" s="1"/>
  <c r="O257" i="78" s="1"/>
  <c r="N192" i="78" a="1"/>
  <c r="N192" i="78" s="1"/>
  <c r="N257" i="78" s="1"/>
  <c r="M192" i="78" a="1"/>
  <c r="M192" i="78" s="1"/>
  <c r="M257" i="78" s="1"/>
  <c r="L192" i="78" a="1"/>
  <c r="L192" i="78" s="1"/>
  <c r="L257" i="78" s="1"/>
  <c r="K192" i="78" a="1"/>
  <c r="K192" i="78" s="1"/>
  <c r="K257" i="78" s="1"/>
  <c r="J192" i="78" a="1"/>
  <c r="J192" i="78" s="1"/>
  <c r="J257" i="78" s="1"/>
  <c r="I192" i="78" a="1"/>
  <c r="I192" i="78" s="1"/>
  <c r="I257" i="78" s="1"/>
  <c r="H192" i="78" a="1"/>
  <c r="H192" i="78" s="1"/>
  <c r="H257" i="78" s="1"/>
  <c r="G192" i="78" a="1"/>
  <c r="G192" i="78" s="1"/>
  <c r="G257" i="78" s="1"/>
  <c r="F192" i="78" a="1"/>
  <c r="F192" i="78" s="1"/>
  <c r="F257" i="78" s="1"/>
  <c r="E192" i="78" a="1"/>
  <c r="E192" i="78" s="1"/>
  <c r="E257" i="78" s="1"/>
  <c r="D192" i="78" a="1"/>
  <c r="D192" i="78" s="1"/>
  <c r="P191" i="78" a="1"/>
  <c r="P191" i="78" s="1"/>
  <c r="P256" i="78" s="1"/>
  <c r="O191" i="78" a="1"/>
  <c r="O191" i="78" s="1"/>
  <c r="O256" i="78" s="1"/>
  <c r="N191" i="78" a="1"/>
  <c r="N191" i="78" s="1"/>
  <c r="N256" i="78" s="1"/>
  <c r="M191" i="78" a="1"/>
  <c r="M191" i="78" s="1"/>
  <c r="M256" i="78" s="1"/>
  <c r="L191" i="78" a="1"/>
  <c r="L191" i="78" s="1"/>
  <c r="L256" i="78" s="1"/>
  <c r="K191" i="78" a="1"/>
  <c r="K191" i="78" s="1"/>
  <c r="K256" i="78" s="1"/>
  <c r="J191" i="78" a="1"/>
  <c r="J191" i="78" s="1"/>
  <c r="J256" i="78" s="1"/>
  <c r="I191" i="78" a="1"/>
  <c r="I191" i="78" s="1"/>
  <c r="I256" i="78" s="1"/>
  <c r="H191" i="78" a="1"/>
  <c r="H191" i="78" s="1"/>
  <c r="H256" i="78" s="1"/>
  <c r="G191" i="78" a="1"/>
  <c r="G191" i="78" s="1"/>
  <c r="G256" i="78" s="1"/>
  <c r="F191" i="78" a="1"/>
  <c r="F191" i="78" s="1"/>
  <c r="F256" i="78" s="1"/>
  <c r="E191" i="78" a="1"/>
  <c r="E191" i="78" s="1"/>
  <c r="E256" i="78" s="1"/>
  <c r="D191" i="78" a="1"/>
  <c r="D191" i="78" s="1"/>
  <c r="P190" i="78" a="1"/>
  <c r="P190" i="78" s="1"/>
  <c r="P255" i="78" s="1"/>
  <c r="O190" i="78" a="1"/>
  <c r="O190" i="78" s="1"/>
  <c r="O255" i="78" s="1"/>
  <c r="N190" i="78" a="1"/>
  <c r="N190" i="78" s="1"/>
  <c r="N255" i="78" s="1"/>
  <c r="M190" i="78" a="1"/>
  <c r="M190" i="78" s="1"/>
  <c r="M255" i="78" s="1"/>
  <c r="L190" i="78" a="1"/>
  <c r="L190" i="78" s="1"/>
  <c r="L255" i="78" s="1"/>
  <c r="K190" i="78" a="1"/>
  <c r="K190" i="78" s="1"/>
  <c r="K255" i="78" s="1"/>
  <c r="J190" i="78" a="1"/>
  <c r="J190" i="78" s="1"/>
  <c r="J255" i="78" s="1"/>
  <c r="I190" i="78" a="1"/>
  <c r="I190" i="78" s="1"/>
  <c r="I255" i="78" s="1"/>
  <c r="H190" i="78" a="1"/>
  <c r="H190" i="78" s="1"/>
  <c r="H255" i="78" s="1"/>
  <c r="G190" i="78" a="1"/>
  <c r="G190" i="78" s="1"/>
  <c r="G255" i="78" s="1"/>
  <c r="F190" i="78" a="1"/>
  <c r="F190" i="78" s="1"/>
  <c r="F255" i="78" s="1"/>
  <c r="E190" i="78" a="1"/>
  <c r="E190" i="78" s="1"/>
  <c r="E255" i="78" s="1"/>
  <c r="D190" i="78" a="1"/>
  <c r="D190" i="78" s="1"/>
  <c r="D188" i="78" a="1"/>
  <c r="D188" i="78" s="1"/>
  <c r="D187" i="78" a="1"/>
  <c r="D187" i="78" s="1"/>
  <c r="D186" i="78" a="1"/>
  <c r="D186" i="78" s="1"/>
  <c r="D185" i="78" a="1"/>
  <c r="D185" i="78" s="1"/>
  <c r="M182" i="78" a="1"/>
  <c r="M182" i="78" s="1"/>
  <c r="L182" i="78" a="1"/>
  <c r="L182" i="78" s="1"/>
  <c r="M254" i="78" s="1"/>
  <c r="K182" i="78" a="1"/>
  <c r="K182" i="78" s="1"/>
  <c r="L254" i="78" s="1"/>
  <c r="J182" i="78" a="1"/>
  <c r="J182" i="78" s="1"/>
  <c r="J254" i="78" s="1"/>
  <c r="I182" i="78" a="1"/>
  <c r="I182" i="78" s="1"/>
  <c r="I254" i="78" s="1"/>
  <c r="H182" i="78" a="1"/>
  <c r="H182" i="78" s="1"/>
  <c r="H254" i="78" s="1"/>
  <c r="G182" i="78" a="1"/>
  <c r="G182" i="78" s="1"/>
  <c r="G254" i="78" s="1"/>
  <c r="F182" i="78" a="1"/>
  <c r="F182" i="78" s="1"/>
  <c r="F254" i="78" s="1"/>
  <c r="E182" i="78" a="1"/>
  <c r="E182" i="78" s="1"/>
  <c r="E254" i="78" s="1"/>
  <c r="D182" i="78" a="1"/>
  <c r="D182" i="78" s="1"/>
  <c r="M181" i="78" a="1"/>
  <c r="M181" i="78" s="1"/>
  <c r="L181" i="78" a="1"/>
  <c r="L181" i="78" s="1"/>
  <c r="M253" i="78" s="1"/>
  <c r="K181" i="78" a="1"/>
  <c r="K181" i="78" s="1"/>
  <c r="J181" i="78" a="1"/>
  <c r="J181" i="78" s="1"/>
  <c r="J253" i="78" s="1"/>
  <c r="I181" i="78" a="1"/>
  <c r="I181" i="78" s="1"/>
  <c r="I253" i="78" s="1"/>
  <c r="H181" i="78" a="1"/>
  <c r="H181" i="78" s="1"/>
  <c r="H253" i="78" s="1"/>
  <c r="G181" i="78" a="1"/>
  <c r="G181" i="78" s="1"/>
  <c r="G253" i="78" s="1"/>
  <c r="F181" i="78" a="1"/>
  <c r="F181" i="78" s="1"/>
  <c r="F253" i="78" s="1"/>
  <c r="E181" i="78" a="1"/>
  <c r="E181" i="78" s="1"/>
  <c r="E253" i="78" s="1"/>
  <c r="D181" i="78" a="1"/>
  <c r="D181" i="78" s="1"/>
  <c r="M180" i="78" a="1"/>
  <c r="M180" i="78" s="1"/>
  <c r="L180" i="78" a="1"/>
  <c r="L180" i="78" s="1"/>
  <c r="M252" i="78" s="1"/>
  <c r="K180" i="78" a="1"/>
  <c r="K180" i="78" s="1"/>
  <c r="J180" i="78" a="1"/>
  <c r="J180" i="78" s="1"/>
  <c r="J252" i="78" s="1"/>
  <c r="I180" i="78" a="1"/>
  <c r="I180" i="78" s="1"/>
  <c r="I252" i="78" s="1"/>
  <c r="H180" i="78" a="1"/>
  <c r="H180" i="78" s="1"/>
  <c r="H252" i="78" s="1"/>
  <c r="G180" i="78" a="1"/>
  <c r="G180" i="78" s="1"/>
  <c r="G252" i="78" s="1"/>
  <c r="F180" i="78" a="1"/>
  <c r="F180" i="78" s="1"/>
  <c r="F252" i="78" s="1"/>
  <c r="E180" i="78" a="1"/>
  <c r="E180" i="78" s="1"/>
  <c r="E252" i="78" s="1"/>
  <c r="D180" i="78" a="1"/>
  <c r="D180" i="78" s="1"/>
  <c r="M179" i="78" a="1"/>
  <c r="M179" i="78" s="1"/>
  <c r="L179" i="78" a="1"/>
  <c r="L179" i="78" s="1"/>
  <c r="M251" i="78" s="1"/>
  <c r="K179" i="78" a="1"/>
  <c r="K179" i="78" s="1"/>
  <c r="J179" i="78" a="1"/>
  <c r="J179" i="78" s="1"/>
  <c r="J251" i="78" s="1"/>
  <c r="I179" i="78" a="1"/>
  <c r="I179" i="78" s="1"/>
  <c r="I251" i="78" s="1"/>
  <c r="H179" i="78" a="1"/>
  <c r="H179" i="78" s="1"/>
  <c r="H251" i="78" s="1"/>
  <c r="G179" i="78" a="1"/>
  <c r="G179" i="78" s="1"/>
  <c r="G251" i="78" s="1"/>
  <c r="F179" i="78" a="1"/>
  <c r="F179" i="78" s="1"/>
  <c r="F251" i="78" s="1"/>
  <c r="E179" i="78" a="1"/>
  <c r="E179" i="78" s="1"/>
  <c r="E251" i="78" s="1"/>
  <c r="D179" i="78" a="1"/>
  <c r="D179" i="78" s="1"/>
  <c r="M178" i="78" a="1"/>
  <c r="M178" i="78" s="1"/>
  <c r="N250" i="78" s="1"/>
  <c r="L178" i="78" a="1"/>
  <c r="L178" i="78" s="1"/>
  <c r="M250" i="78" s="1"/>
  <c r="K178" i="78" a="1"/>
  <c r="K178" i="78" s="1"/>
  <c r="J178" i="78" a="1"/>
  <c r="J178" i="78" s="1"/>
  <c r="J250" i="78" s="1"/>
  <c r="I178" i="78" a="1"/>
  <c r="I178" i="78" s="1"/>
  <c r="I250" i="78" s="1"/>
  <c r="H178" i="78" a="1"/>
  <c r="H178" i="78" s="1"/>
  <c r="H250" i="78" s="1"/>
  <c r="G178" i="78" a="1"/>
  <c r="G178" i="78" s="1"/>
  <c r="G250" i="78" s="1"/>
  <c r="F178" i="78" a="1"/>
  <c r="F178" i="78" s="1"/>
  <c r="F250" i="78" s="1"/>
  <c r="E178" i="78" a="1"/>
  <c r="E178" i="78" s="1"/>
  <c r="E250" i="78" s="1"/>
  <c r="D178" i="78" a="1"/>
  <c r="D178" i="78" s="1"/>
  <c r="M177" i="78" a="1"/>
  <c r="M177" i="78" s="1"/>
  <c r="L177" i="78" a="1"/>
  <c r="L177" i="78" s="1"/>
  <c r="M249" i="78" s="1"/>
  <c r="K177" i="78" a="1"/>
  <c r="K177" i="78" s="1"/>
  <c r="L249" i="78" s="1"/>
  <c r="J177" i="78" a="1"/>
  <c r="J177" i="78" s="1"/>
  <c r="J249" i="78" s="1"/>
  <c r="I177" i="78" a="1"/>
  <c r="I177" i="78" s="1"/>
  <c r="I249" i="78" s="1"/>
  <c r="H177" i="78" a="1"/>
  <c r="H177" i="78" s="1"/>
  <c r="H249" i="78" s="1"/>
  <c r="G177" i="78" a="1"/>
  <c r="G177" i="78" s="1"/>
  <c r="G249" i="78" s="1"/>
  <c r="F177" i="78" a="1"/>
  <c r="F177" i="78" s="1"/>
  <c r="F249" i="78" s="1"/>
  <c r="E177" i="78" a="1"/>
  <c r="E177" i="78" s="1"/>
  <c r="E249" i="78" s="1"/>
  <c r="D177" i="78" a="1"/>
  <c r="D177" i="78" s="1"/>
  <c r="M176" i="78" a="1"/>
  <c r="M176" i="78" s="1"/>
  <c r="L176" i="78" a="1"/>
  <c r="L176" i="78" s="1"/>
  <c r="M248" i="78" s="1"/>
  <c r="K176" i="78" a="1"/>
  <c r="K176" i="78" s="1"/>
  <c r="J176" i="78" a="1"/>
  <c r="J176" i="78" s="1"/>
  <c r="J248" i="78" s="1"/>
  <c r="I176" i="78" a="1"/>
  <c r="I176" i="78" s="1"/>
  <c r="I248" i="78" s="1"/>
  <c r="H176" i="78" a="1"/>
  <c r="H176" i="78" s="1"/>
  <c r="H248" i="78" s="1"/>
  <c r="G176" i="78" a="1"/>
  <c r="G176" i="78" s="1"/>
  <c r="G248" i="78" s="1"/>
  <c r="F176" i="78" a="1"/>
  <c r="F176" i="78" s="1"/>
  <c r="F248" i="78" s="1"/>
  <c r="E176" i="78" a="1"/>
  <c r="E176" i="78" s="1"/>
  <c r="E248" i="78" s="1"/>
  <c r="D176" i="78" a="1"/>
  <c r="D176" i="78" s="1"/>
  <c r="M175" i="78" a="1"/>
  <c r="M175" i="78" s="1"/>
  <c r="L175" i="78" a="1"/>
  <c r="L175" i="78" s="1"/>
  <c r="M247" i="78" s="1"/>
  <c r="K175" i="78" a="1"/>
  <c r="K175" i="78" s="1"/>
  <c r="J175" i="78" a="1"/>
  <c r="J175" i="78" s="1"/>
  <c r="J247" i="78" s="1"/>
  <c r="I175" i="78" a="1"/>
  <c r="I175" i="78" s="1"/>
  <c r="I247" i="78" s="1"/>
  <c r="H175" i="78" a="1"/>
  <c r="H175" i="78" s="1"/>
  <c r="H247" i="78" s="1"/>
  <c r="G175" i="78" a="1"/>
  <c r="G175" i="78" s="1"/>
  <c r="G247" i="78" s="1"/>
  <c r="F175" i="78" a="1"/>
  <c r="F175" i="78" s="1"/>
  <c r="F247" i="78" s="1"/>
  <c r="E175" i="78" a="1"/>
  <c r="E175" i="78" s="1"/>
  <c r="E247" i="78" s="1"/>
  <c r="D175" i="78" a="1"/>
  <c r="D175" i="78" s="1"/>
  <c r="M174" i="78" a="1"/>
  <c r="M174" i="78" s="1"/>
  <c r="L174" i="78" a="1"/>
  <c r="L174" i="78" s="1"/>
  <c r="M246" i="78" s="1"/>
  <c r="K174" i="78" a="1"/>
  <c r="K174" i="78" s="1"/>
  <c r="J174" i="78" a="1"/>
  <c r="J174" i="78" s="1"/>
  <c r="J246" i="78" s="1"/>
  <c r="I174" i="78" a="1"/>
  <c r="I174" i="78" s="1"/>
  <c r="I246" i="78" s="1"/>
  <c r="H174" i="78" a="1"/>
  <c r="H174" i="78" s="1"/>
  <c r="H246" i="78" s="1"/>
  <c r="G174" i="78" a="1"/>
  <c r="G174" i="78" s="1"/>
  <c r="G246" i="78" s="1"/>
  <c r="F174" i="78" a="1"/>
  <c r="F174" i="78" s="1"/>
  <c r="F246" i="78" s="1"/>
  <c r="E174" i="78" a="1"/>
  <c r="E174" i="78" s="1"/>
  <c r="E246" i="78" s="1"/>
  <c r="D174" i="78" a="1"/>
  <c r="D174" i="78" s="1"/>
  <c r="M173" i="78" a="1"/>
  <c r="M173" i="78" s="1"/>
  <c r="L173" i="78" a="1"/>
  <c r="L173" i="78" s="1"/>
  <c r="M245" i="78" s="1"/>
  <c r="K173" i="78" a="1"/>
  <c r="K173" i="78" s="1"/>
  <c r="J173" i="78" a="1"/>
  <c r="J173" i="78" s="1"/>
  <c r="J245" i="78" s="1"/>
  <c r="I173" i="78" a="1"/>
  <c r="I173" i="78" s="1"/>
  <c r="I245" i="78" s="1"/>
  <c r="H173" i="78" a="1"/>
  <c r="H173" i="78" s="1"/>
  <c r="H245" i="78" s="1"/>
  <c r="G173" i="78" a="1"/>
  <c r="G173" i="78" s="1"/>
  <c r="G245" i="78" s="1"/>
  <c r="F173" i="78" a="1"/>
  <c r="F173" i="78" s="1"/>
  <c r="F245" i="78" s="1"/>
  <c r="E173" i="78" a="1"/>
  <c r="E173" i="78" s="1"/>
  <c r="E245" i="78" s="1"/>
  <c r="D173" i="78" a="1"/>
  <c r="D173" i="78" s="1"/>
  <c r="M172" i="78" a="1"/>
  <c r="M172" i="78" s="1"/>
  <c r="L172" i="78" a="1"/>
  <c r="L172" i="78" s="1"/>
  <c r="M244" i="78" s="1"/>
  <c r="K172" i="78" a="1"/>
  <c r="K172" i="78" s="1"/>
  <c r="J172" i="78" a="1"/>
  <c r="J172" i="78" s="1"/>
  <c r="J244" i="78" s="1"/>
  <c r="I172" i="78" a="1"/>
  <c r="I172" i="78" s="1"/>
  <c r="I244" i="78" s="1"/>
  <c r="H172" i="78" a="1"/>
  <c r="H172" i="78" s="1"/>
  <c r="H244" i="78" s="1"/>
  <c r="G172" i="78" a="1"/>
  <c r="G172" i="78" s="1"/>
  <c r="G244" i="78" s="1"/>
  <c r="F172" i="78" a="1"/>
  <c r="F172" i="78" s="1"/>
  <c r="F244" i="78" s="1"/>
  <c r="E172" i="78" a="1"/>
  <c r="E172" i="78" s="1"/>
  <c r="E244" i="78" s="1"/>
  <c r="D172" i="78" a="1"/>
  <c r="D172" i="78" s="1"/>
  <c r="M171" i="78" a="1"/>
  <c r="M171" i="78" s="1"/>
  <c r="L171" i="78" a="1"/>
  <c r="L171" i="78" s="1"/>
  <c r="M243" i="78" s="1"/>
  <c r="K171" i="78" a="1"/>
  <c r="K171" i="78" s="1"/>
  <c r="J171" i="78" a="1"/>
  <c r="J171" i="78" s="1"/>
  <c r="J243" i="78" s="1"/>
  <c r="I171" i="78" a="1"/>
  <c r="I171" i="78" s="1"/>
  <c r="I243" i="78" s="1"/>
  <c r="H171" i="78" a="1"/>
  <c r="H171" i="78" s="1"/>
  <c r="H243" i="78" s="1"/>
  <c r="G171" i="78" a="1"/>
  <c r="G171" i="78" s="1"/>
  <c r="G243" i="78" s="1"/>
  <c r="F171" i="78" a="1"/>
  <c r="F171" i="78" s="1"/>
  <c r="F243" i="78" s="1"/>
  <c r="E171" i="78" a="1"/>
  <c r="E171" i="78" s="1"/>
  <c r="E243" i="78" s="1"/>
  <c r="D171" i="78" a="1"/>
  <c r="D171" i="78" s="1"/>
  <c r="M170" i="78" a="1"/>
  <c r="M170" i="78" s="1"/>
  <c r="L170" i="78" a="1"/>
  <c r="L170" i="78" s="1"/>
  <c r="M242" i="78" s="1"/>
  <c r="K170" i="78" a="1"/>
  <c r="K170" i="78" s="1"/>
  <c r="J170" i="78" a="1"/>
  <c r="J170" i="78" s="1"/>
  <c r="J242" i="78" s="1"/>
  <c r="I170" i="78" a="1"/>
  <c r="I170" i="78" s="1"/>
  <c r="I242" i="78" s="1"/>
  <c r="H170" i="78" a="1"/>
  <c r="H170" i="78" s="1"/>
  <c r="H242" i="78" s="1"/>
  <c r="G170" i="78" a="1"/>
  <c r="G170" i="78" s="1"/>
  <c r="G242" i="78" s="1"/>
  <c r="F170" i="78" a="1"/>
  <c r="F170" i="78" s="1"/>
  <c r="F242" i="78" s="1"/>
  <c r="E170" i="78" a="1"/>
  <c r="E170" i="78" s="1"/>
  <c r="D170" i="78" a="1"/>
  <c r="D170" i="78" s="1"/>
  <c r="M169" i="78" a="1"/>
  <c r="M169" i="78" s="1"/>
  <c r="L169" i="78" a="1"/>
  <c r="L169" i="78" s="1"/>
  <c r="M241" i="78" s="1"/>
  <c r="K169" i="78" a="1"/>
  <c r="K169" i="78" s="1"/>
  <c r="J169" i="78" a="1"/>
  <c r="J169" i="78" s="1"/>
  <c r="J241" i="78" s="1"/>
  <c r="I169" i="78" a="1"/>
  <c r="I169" i="78" s="1"/>
  <c r="I241" i="78" s="1"/>
  <c r="H169" i="78" a="1"/>
  <c r="H169" i="78" s="1"/>
  <c r="H241" i="78" s="1"/>
  <c r="G169" i="78" a="1"/>
  <c r="G169" i="78" s="1"/>
  <c r="G241" i="78" s="1"/>
  <c r="F169" i="78" a="1"/>
  <c r="F169" i="78" s="1"/>
  <c r="F241" i="78" s="1"/>
  <c r="E169" i="78" a="1"/>
  <c r="E169" i="78" s="1"/>
  <c r="D169" i="78" a="1"/>
  <c r="D169" i="78" s="1"/>
  <c r="M168" i="78" a="1"/>
  <c r="M168" i="78" s="1"/>
  <c r="L168" i="78" a="1"/>
  <c r="L168" i="78" s="1"/>
  <c r="M240" i="78" s="1"/>
  <c r="K168" i="78" a="1"/>
  <c r="K168" i="78" s="1"/>
  <c r="L240" i="78" s="1"/>
  <c r="J168" i="78" a="1"/>
  <c r="J168" i="78" s="1"/>
  <c r="J240" i="78" s="1"/>
  <c r="I168" i="78" a="1"/>
  <c r="I168" i="78" s="1"/>
  <c r="I240" i="78" s="1"/>
  <c r="H168" i="78" a="1"/>
  <c r="H168" i="78" s="1"/>
  <c r="H240" i="78" s="1"/>
  <c r="G168" i="78" a="1"/>
  <c r="G168" i="78" s="1"/>
  <c r="G240" i="78" s="1"/>
  <c r="F168" i="78" a="1"/>
  <c r="F168" i="78" s="1"/>
  <c r="F240" i="78" s="1"/>
  <c r="E168" i="78" a="1"/>
  <c r="E168" i="78" s="1"/>
  <c r="D168" i="78" a="1"/>
  <c r="D168" i="78" s="1"/>
  <c r="M167" i="78" a="1"/>
  <c r="M167" i="78" s="1"/>
  <c r="L167" i="78" a="1"/>
  <c r="L167" i="78" s="1"/>
  <c r="M239" i="78" s="1"/>
  <c r="K167" i="78" a="1"/>
  <c r="K167" i="78" s="1"/>
  <c r="J167" i="78" a="1"/>
  <c r="J167" i="78" s="1"/>
  <c r="J239" i="78" s="1"/>
  <c r="I167" i="78" a="1"/>
  <c r="I167" i="78" s="1"/>
  <c r="I239" i="78" s="1"/>
  <c r="H167" i="78" a="1"/>
  <c r="H167" i="78" s="1"/>
  <c r="H239" i="78" s="1"/>
  <c r="G167" i="78" a="1"/>
  <c r="G167" i="78" s="1"/>
  <c r="G239" i="78" s="1"/>
  <c r="F167" i="78" a="1"/>
  <c r="F167" i="78" s="1"/>
  <c r="F239" i="78" s="1"/>
  <c r="E167" i="78" a="1"/>
  <c r="E167" i="78" s="1"/>
  <c r="D167" i="78" a="1"/>
  <c r="D167" i="78" s="1"/>
  <c r="M166" i="78" a="1"/>
  <c r="M166" i="78" s="1"/>
  <c r="L166" i="78" a="1"/>
  <c r="L166" i="78" s="1"/>
  <c r="M238" i="78" s="1"/>
  <c r="K166" i="78" a="1"/>
  <c r="K166" i="78" s="1"/>
  <c r="J166" i="78" a="1"/>
  <c r="J166" i="78" s="1"/>
  <c r="J238" i="78" s="1"/>
  <c r="I166" i="78" a="1"/>
  <c r="I166" i="78" s="1"/>
  <c r="I238" i="78" s="1"/>
  <c r="H166" i="78" a="1"/>
  <c r="H166" i="78" s="1"/>
  <c r="H238" i="78" s="1"/>
  <c r="G166" i="78" a="1"/>
  <c r="G166" i="78" s="1"/>
  <c r="G238" i="78" s="1"/>
  <c r="F166" i="78" a="1"/>
  <c r="F166" i="78" s="1"/>
  <c r="F238" i="78" s="1"/>
  <c r="E166" i="78" a="1"/>
  <c r="E166" i="78" s="1"/>
  <c r="D166" i="78" a="1"/>
  <c r="D166" i="78" s="1"/>
  <c r="M165" i="78" a="1"/>
  <c r="M165" i="78" s="1"/>
  <c r="L165" i="78" a="1"/>
  <c r="L165" i="78" s="1"/>
  <c r="M237" i="78" s="1"/>
  <c r="K165" i="78" a="1"/>
  <c r="K165" i="78" s="1"/>
  <c r="J165" i="78" a="1"/>
  <c r="J165" i="78" s="1"/>
  <c r="J237" i="78" s="1"/>
  <c r="I165" i="78" a="1"/>
  <c r="I165" i="78" s="1"/>
  <c r="I237" i="78" s="1"/>
  <c r="H165" i="78" a="1"/>
  <c r="H165" i="78" s="1"/>
  <c r="H237" i="78" s="1"/>
  <c r="G165" i="78" a="1"/>
  <c r="G165" i="78" s="1"/>
  <c r="G237" i="78" s="1"/>
  <c r="F165" i="78" a="1"/>
  <c r="F165" i="78" s="1"/>
  <c r="F237" i="78" s="1"/>
  <c r="E165" i="78" a="1"/>
  <c r="E165" i="78" s="1"/>
  <c r="D165" i="78" a="1"/>
  <c r="D165" i="78" s="1"/>
  <c r="M164" i="78" a="1"/>
  <c r="M164" i="78" s="1"/>
  <c r="O236" i="78" s="1"/>
  <c r="L164" i="78" a="1"/>
  <c r="L164" i="78" s="1"/>
  <c r="M236" i="78" s="1"/>
  <c r="K164" i="78" a="1"/>
  <c r="K164" i="78" s="1"/>
  <c r="J164" i="78" a="1"/>
  <c r="J164" i="78" s="1"/>
  <c r="J236" i="78" s="1"/>
  <c r="I164" i="78" a="1"/>
  <c r="I164" i="78" s="1"/>
  <c r="I236" i="78" s="1"/>
  <c r="H164" i="78" a="1"/>
  <c r="H164" i="78" s="1"/>
  <c r="H236" i="78" s="1"/>
  <c r="G164" i="78" a="1"/>
  <c r="G164" i="78" s="1"/>
  <c r="G236" i="78" s="1"/>
  <c r="F164" i="78" a="1"/>
  <c r="F164" i="78" s="1"/>
  <c r="F236" i="78" s="1"/>
  <c r="E164" i="78" a="1"/>
  <c r="E164" i="78" s="1"/>
  <c r="D164" i="78" a="1"/>
  <c r="D164" i="78" s="1"/>
  <c r="M163" i="78" a="1"/>
  <c r="M163" i="78" s="1"/>
  <c r="L163" i="78" a="1"/>
  <c r="L163" i="78" s="1"/>
  <c r="M235" i="78" s="1"/>
  <c r="K163" i="78" a="1"/>
  <c r="K163" i="78" s="1"/>
  <c r="J163" i="78" a="1"/>
  <c r="J163" i="78" s="1"/>
  <c r="J235" i="78" s="1"/>
  <c r="I163" i="78" a="1"/>
  <c r="I163" i="78" s="1"/>
  <c r="I235" i="78" s="1"/>
  <c r="H163" i="78" a="1"/>
  <c r="H163" i="78" s="1"/>
  <c r="H235" i="78" s="1"/>
  <c r="G163" i="78" a="1"/>
  <c r="G163" i="78" s="1"/>
  <c r="G235" i="78" s="1"/>
  <c r="F163" i="78" a="1"/>
  <c r="F163" i="78" s="1"/>
  <c r="F235" i="78" s="1"/>
  <c r="E163" i="78" a="1"/>
  <c r="E163" i="78" s="1"/>
  <c r="D163" i="78" a="1"/>
  <c r="D163" i="78" s="1"/>
  <c r="M162" i="78" a="1"/>
  <c r="M162" i="78" s="1"/>
  <c r="L162" i="78" a="1"/>
  <c r="L162" i="78" s="1"/>
  <c r="M234" i="78" s="1"/>
  <c r="K162" i="78" a="1"/>
  <c r="K162" i="78" s="1"/>
  <c r="J162" i="78" a="1"/>
  <c r="J162" i="78" s="1"/>
  <c r="J234" i="78" s="1"/>
  <c r="I162" i="78" a="1"/>
  <c r="I162" i="78" s="1"/>
  <c r="I234" i="78" s="1"/>
  <c r="H162" i="78" a="1"/>
  <c r="H162" i="78" s="1"/>
  <c r="H234" i="78" s="1"/>
  <c r="G162" i="78" a="1"/>
  <c r="G162" i="78" s="1"/>
  <c r="G234" i="78" s="1"/>
  <c r="F162" i="78" a="1"/>
  <c r="F162" i="78" s="1"/>
  <c r="F234" i="78" s="1"/>
  <c r="E162" i="78" a="1"/>
  <c r="E162" i="78" s="1"/>
  <c r="D162" i="78" a="1"/>
  <c r="D162" i="78" s="1"/>
  <c r="M161" i="78" a="1"/>
  <c r="M161" i="78" s="1"/>
  <c r="L161" i="78" a="1"/>
  <c r="L161" i="78" s="1"/>
  <c r="M233" i="78" s="1"/>
  <c r="K161" i="78" a="1"/>
  <c r="K161" i="78" s="1"/>
  <c r="J161" i="78" a="1"/>
  <c r="J161" i="78" s="1"/>
  <c r="J233" i="78" s="1"/>
  <c r="I161" i="78" a="1"/>
  <c r="I161" i="78" s="1"/>
  <c r="I233" i="78" s="1"/>
  <c r="H161" i="78" a="1"/>
  <c r="H161" i="78" s="1"/>
  <c r="H233" i="78" s="1"/>
  <c r="G161" i="78" a="1"/>
  <c r="G161" i="78" s="1"/>
  <c r="G233" i="78" s="1"/>
  <c r="F161" i="78" a="1"/>
  <c r="F161" i="78" s="1"/>
  <c r="F233" i="78" s="1"/>
  <c r="E161" i="78" a="1"/>
  <c r="E161" i="78" s="1"/>
  <c r="D161" i="78" a="1"/>
  <c r="D161" i="78" s="1"/>
  <c r="M160" i="78" a="1"/>
  <c r="M160" i="78" s="1"/>
  <c r="L160" i="78" a="1"/>
  <c r="L160" i="78" s="1"/>
  <c r="M232" i="78" s="1"/>
  <c r="K160" i="78" a="1"/>
  <c r="K160" i="78" s="1"/>
  <c r="J160" i="78" a="1"/>
  <c r="J160" i="78" s="1"/>
  <c r="J232" i="78" s="1"/>
  <c r="I160" i="78" a="1"/>
  <c r="I160" i="78" s="1"/>
  <c r="I232" i="78" s="1"/>
  <c r="H160" i="78" a="1"/>
  <c r="H160" i="78" s="1"/>
  <c r="H232" i="78" s="1"/>
  <c r="G160" i="78" a="1"/>
  <c r="G160" i="78" s="1"/>
  <c r="G232" i="78" s="1"/>
  <c r="F160" i="78" a="1"/>
  <c r="F160" i="78" s="1"/>
  <c r="F232" i="78" s="1"/>
  <c r="E160" i="78" a="1"/>
  <c r="E160" i="78" s="1"/>
  <c r="D160" i="78" a="1"/>
  <c r="D160" i="78" s="1"/>
  <c r="M159" i="78" a="1"/>
  <c r="M159" i="78" s="1"/>
  <c r="L159" i="78" a="1"/>
  <c r="L159" i="78" s="1"/>
  <c r="M231" i="78" s="1"/>
  <c r="K159" i="78" a="1"/>
  <c r="K159" i="78" s="1"/>
  <c r="J159" i="78" a="1"/>
  <c r="J159" i="78" s="1"/>
  <c r="J231" i="78" s="1"/>
  <c r="I159" i="78" a="1"/>
  <c r="I159" i="78" s="1"/>
  <c r="I231" i="78" s="1"/>
  <c r="H159" i="78" a="1"/>
  <c r="H159" i="78" s="1"/>
  <c r="H231" i="78" s="1"/>
  <c r="G159" i="78" a="1"/>
  <c r="G159" i="78" s="1"/>
  <c r="G231" i="78" s="1"/>
  <c r="F159" i="78" a="1"/>
  <c r="F159" i="78" s="1"/>
  <c r="F231" i="78" s="1"/>
  <c r="E159" i="78" a="1"/>
  <c r="E159" i="78" s="1"/>
  <c r="D159" i="78" a="1"/>
  <c r="D159" i="78" s="1"/>
  <c r="M158" i="78" a="1"/>
  <c r="M158" i="78" s="1"/>
  <c r="L158" i="78" a="1"/>
  <c r="L158" i="78" s="1"/>
  <c r="K158" i="78" a="1"/>
  <c r="K158" i="78" s="1"/>
  <c r="J158" i="78" a="1"/>
  <c r="J158" i="78" s="1"/>
  <c r="I158" i="78" a="1"/>
  <c r="I158" i="78" s="1"/>
  <c r="H158" i="78" a="1"/>
  <c r="H158" i="78" s="1"/>
  <c r="G158" i="78" a="1"/>
  <c r="G158" i="78" s="1"/>
  <c r="F158" i="78" a="1"/>
  <c r="F158" i="78" s="1"/>
  <c r="F226" i="78" s="1"/>
  <c r="E158" i="78" a="1"/>
  <c r="E158" i="78" s="1"/>
  <c r="D158" i="78" a="1"/>
  <c r="D158" i="78" s="1"/>
  <c r="M157" i="78" a="1"/>
  <c r="M157" i="78" s="1"/>
  <c r="L157" i="78" a="1"/>
  <c r="L157" i="78" s="1"/>
  <c r="K157" i="78" a="1"/>
  <c r="K157" i="78" s="1"/>
  <c r="J157" i="78" a="1"/>
  <c r="J157" i="78" s="1"/>
  <c r="I157" i="78" a="1"/>
  <c r="I157" i="78" s="1"/>
  <c r="H157" i="78" a="1"/>
  <c r="H157" i="78" s="1"/>
  <c r="G157" i="78" a="1"/>
  <c r="G157" i="78" s="1"/>
  <c r="F157" i="78" a="1"/>
  <c r="F157" i="78" s="1"/>
  <c r="E157" i="78" a="1"/>
  <c r="E157" i="78" s="1"/>
  <c r="D157" i="78" a="1"/>
  <c r="D157" i="78" s="1"/>
  <c r="M156" i="78" a="1"/>
  <c r="M156" i="78" s="1"/>
  <c r="L156" i="78" a="1"/>
  <c r="L156" i="78" s="1"/>
  <c r="M224" i="78" s="1"/>
  <c r="K156" i="78" a="1"/>
  <c r="K156" i="78" s="1"/>
  <c r="K224" i="78" s="1"/>
  <c r="J156" i="78" a="1"/>
  <c r="J156" i="78" s="1"/>
  <c r="I156" i="78" a="1"/>
  <c r="I156" i="78" s="1"/>
  <c r="H156" i="78" a="1"/>
  <c r="H156" i="78" s="1"/>
  <c r="G156" i="78" a="1"/>
  <c r="G156" i="78" s="1"/>
  <c r="F156" i="78" a="1"/>
  <c r="F156" i="78" s="1"/>
  <c r="E156" i="78" a="1"/>
  <c r="E156" i="78" s="1"/>
  <c r="D156" i="78" a="1"/>
  <c r="D156" i="78" s="1"/>
  <c r="M155" i="78" a="1"/>
  <c r="M155" i="78" s="1"/>
  <c r="L155" i="78" a="1"/>
  <c r="L155" i="78" s="1"/>
  <c r="K155" i="78" a="1"/>
  <c r="K155" i="78" s="1"/>
  <c r="J155" i="78" a="1"/>
  <c r="J155" i="78" s="1"/>
  <c r="I155" i="78" a="1"/>
  <c r="I155" i="78" s="1"/>
  <c r="H155" i="78" a="1"/>
  <c r="H155" i="78" s="1"/>
  <c r="G155" i="78" a="1"/>
  <c r="G155" i="78" s="1"/>
  <c r="F155" i="78" a="1"/>
  <c r="F155" i="78" s="1"/>
  <c r="E155" i="78" a="1"/>
  <c r="E155" i="78" s="1"/>
  <c r="D155" i="78" a="1"/>
  <c r="D155" i="78" s="1"/>
  <c r="D153" i="78" a="1"/>
  <c r="D153" i="78" s="1"/>
  <c r="D152" i="78" a="1"/>
  <c r="D152" i="78" s="1"/>
  <c r="D151" i="78" a="1"/>
  <c r="D151" i="78" s="1"/>
  <c r="D150" i="78" a="1"/>
  <c r="D150" i="78" s="1"/>
  <c r="P81" i="78" a="1"/>
  <c r="P81" i="78" s="1"/>
  <c r="P145" i="78" s="1"/>
  <c r="O81" i="78" a="1"/>
  <c r="O81" i="78" s="1"/>
  <c r="O145" i="78" s="1"/>
  <c r="N81" i="78" a="1"/>
  <c r="N81" i="78" s="1"/>
  <c r="N145" i="78" s="1"/>
  <c r="M81" i="78" a="1"/>
  <c r="M81" i="78" s="1"/>
  <c r="M145" i="78" s="1"/>
  <c r="L81" i="78" a="1"/>
  <c r="L81" i="78" s="1"/>
  <c r="L145" i="78" s="1"/>
  <c r="K81" i="78" a="1"/>
  <c r="K81" i="78" s="1"/>
  <c r="K145" i="78" s="1"/>
  <c r="J81" i="78" a="1"/>
  <c r="J81" i="78" s="1"/>
  <c r="J145" i="78" s="1"/>
  <c r="I81" i="78" a="1"/>
  <c r="I81" i="78" s="1"/>
  <c r="I145" i="78" s="1"/>
  <c r="H81" i="78" a="1"/>
  <c r="H81" i="78" s="1"/>
  <c r="H145" i="78" s="1"/>
  <c r="G81" i="78" a="1"/>
  <c r="G81" i="78" s="1"/>
  <c r="G145" i="78" s="1"/>
  <c r="F81" i="78" a="1"/>
  <c r="F81" i="78" s="1"/>
  <c r="F145" i="78" s="1"/>
  <c r="F149" i="78" s="1"/>
  <c r="E81" i="78" a="1"/>
  <c r="E81" i="78" s="1"/>
  <c r="E145" i="78" s="1"/>
  <c r="D81" i="78" a="1"/>
  <c r="D81" i="78" s="1"/>
  <c r="P80" i="78" a="1"/>
  <c r="P80" i="78" s="1"/>
  <c r="P144" i="78" s="1"/>
  <c r="O80" i="78" a="1"/>
  <c r="O80" i="78" s="1"/>
  <c r="O144" i="78" s="1"/>
  <c r="N80" i="78" a="1"/>
  <c r="N80" i="78" s="1"/>
  <c r="N144" i="78" s="1"/>
  <c r="M80" i="78" a="1"/>
  <c r="M80" i="78" s="1"/>
  <c r="M144" i="78" s="1"/>
  <c r="L80" i="78" a="1"/>
  <c r="L80" i="78" s="1"/>
  <c r="L144" i="78" s="1"/>
  <c r="K80" i="78" a="1"/>
  <c r="K80" i="78" s="1"/>
  <c r="K144" i="78" s="1"/>
  <c r="J80" i="78" a="1"/>
  <c r="J80" i="78" s="1"/>
  <c r="J144" i="78" s="1"/>
  <c r="I80" i="78" a="1"/>
  <c r="I80" i="78" s="1"/>
  <c r="I144" i="78" s="1"/>
  <c r="H80" i="78" a="1"/>
  <c r="H80" i="78" s="1"/>
  <c r="H144" i="78" s="1"/>
  <c r="G80" i="78" a="1"/>
  <c r="G80" i="78" s="1"/>
  <c r="G144" i="78" s="1"/>
  <c r="F80" i="78" a="1"/>
  <c r="F80" i="78" s="1"/>
  <c r="F144" i="78" s="1"/>
  <c r="F148" i="78" s="1"/>
  <c r="E80" i="78" a="1"/>
  <c r="E80" i="78" s="1"/>
  <c r="E144" i="78" s="1"/>
  <c r="D80" i="78" a="1"/>
  <c r="D80" i="78" s="1"/>
  <c r="P79" i="78" a="1"/>
  <c r="P79" i="78" s="1"/>
  <c r="P143" i="78" s="1"/>
  <c r="O79" i="78" a="1"/>
  <c r="O79" i="78" s="1"/>
  <c r="O143" i="78" s="1"/>
  <c r="N79" i="78" a="1"/>
  <c r="N79" i="78" s="1"/>
  <c r="N143" i="78" s="1"/>
  <c r="M79" i="78" a="1"/>
  <c r="M79" i="78" s="1"/>
  <c r="M143" i="78" s="1"/>
  <c r="L79" i="78" a="1"/>
  <c r="L79" i="78" s="1"/>
  <c r="L143" i="78" s="1"/>
  <c r="K79" i="78" a="1"/>
  <c r="K79" i="78" s="1"/>
  <c r="K143" i="78" s="1"/>
  <c r="J79" i="78" a="1"/>
  <c r="J79" i="78" s="1"/>
  <c r="J143" i="78" s="1"/>
  <c r="I79" i="78" a="1"/>
  <c r="I79" i="78" s="1"/>
  <c r="I143" i="78" s="1"/>
  <c r="H79" i="78" a="1"/>
  <c r="H79" i="78" s="1"/>
  <c r="H143" i="78" s="1"/>
  <c r="G79" i="78" a="1"/>
  <c r="G79" i="78" s="1"/>
  <c r="G143" i="78" s="1"/>
  <c r="F79" i="78" a="1"/>
  <c r="F79" i="78" s="1"/>
  <c r="F143" i="78" s="1"/>
  <c r="F147" i="78" s="1"/>
  <c r="E79" i="78" a="1"/>
  <c r="E79" i="78" s="1"/>
  <c r="E143" i="78" s="1"/>
  <c r="D79" i="78" a="1"/>
  <c r="D79" i="78" s="1"/>
  <c r="P78" i="78" a="1"/>
  <c r="P78" i="78" s="1"/>
  <c r="P142" i="78" s="1"/>
  <c r="O78" i="78" a="1"/>
  <c r="O78" i="78" s="1"/>
  <c r="O142" i="78" s="1"/>
  <c r="N78" i="78" a="1"/>
  <c r="N78" i="78" s="1"/>
  <c r="N142" i="78" s="1"/>
  <c r="M78" i="78" a="1"/>
  <c r="M78" i="78" s="1"/>
  <c r="M142" i="78" s="1"/>
  <c r="L78" i="78" a="1"/>
  <c r="L78" i="78" s="1"/>
  <c r="L142" i="78" s="1"/>
  <c r="K78" i="78" a="1"/>
  <c r="K78" i="78" s="1"/>
  <c r="K142" i="78" s="1"/>
  <c r="J78" i="78" a="1"/>
  <c r="J78" i="78" s="1"/>
  <c r="J142" i="78" s="1"/>
  <c r="I78" i="78" a="1"/>
  <c r="I78" i="78" s="1"/>
  <c r="I142" i="78" s="1"/>
  <c r="H78" i="78" a="1"/>
  <c r="H78" i="78" s="1"/>
  <c r="H142" i="78" s="1"/>
  <c r="G78" i="78" a="1"/>
  <c r="G78" i="78" s="1"/>
  <c r="G142" i="78" s="1"/>
  <c r="F78" i="78" a="1"/>
  <c r="F78" i="78" s="1"/>
  <c r="F142" i="78" s="1"/>
  <c r="F146" i="78" s="1"/>
  <c r="E78" i="78" a="1"/>
  <c r="E78" i="78" s="1"/>
  <c r="E142" i="78" s="1"/>
  <c r="D78" i="78" a="1"/>
  <c r="D78" i="78" s="1"/>
  <c r="P77" i="78" a="1"/>
  <c r="P77" i="78" s="1"/>
  <c r="P141" i="78" s="1"/>
  <c r="O77" i="78" a="1"/>
  <c r="O77" i="78" s="1"/>
  <c r="O141" i="78" s="1"/>
  <c r="N77" i="78" a="1"/>
  <c r="N77" i="78" s="1"/>
  <c r="N141" i="78" s="1"/>
  <c r="M77" i="78" a="1"/>
  <c r="M77" i="78" s="1"/>
  <c r="M141" i="78" s="1"/>
  <c r="L77" i="78" a="1"/>
  <c r="L77" i="78" s="1"/>
  <c r="L141" i="78" s="1"/>
  <c r="K77" i="78" a="1"/>
  <c r="K77" i="78" s="1"/>
  <c r="K141" i="78" s="1"/>
  <c r="J77" i="78" a="1"/>
  <c r="J77" i="78" s="1"/>
  <c r="J141" i="78" s="1"/>
  <c r="I77" i="78" a="1"/>
  <c r="I77" i="78" s="1"/>
  <c r="I141" i="78" s="1"/>
  <c r="H77" i="78" a="1"/>
  <c r="H77" i="78" s="1"/>
  <c r="H141" i="78" s="1"/>
  <c r="G77" i="78" a="1"/>
  <c r="G77" i="78" s="1"/>
  <c r="G141" i="78" s="1"/>
  <c r="F77" i="78" a="1"/>
  <c r="F77" i="78" s="1"/>
  <c r="F141" i="78" s="1"/>
  <c r="E77" i="78" a="1"/>
  <c r="E77" i="78" s="1"/>
  <c r="E141" i="78" s="1"/>
  <c r="D77" i="78" a="1"/>
  <c r="D77" i="78" s="1"/>
  <c r="P76" i="78" a="1"/>
  <c r="P76" i="78" s="1"/>
  <c r="P140" i="78" s="1"/>
  <c r="O76" i="78" a="1"/>
  <c r="O76" i="78" s="1"/>
  <c r="O140" i="78" s="1"/>
  <c r="N76" i="78" a="1"/>
  <c r="N76" i="78" s="1"/>
  <c r="N140" i="78" s="1"/>
  <c r="M76" i="78" a="1"/>
  <c r="M76" i="78" s="1"/>
  <c r="M140" i="78" s="1"/>
  <c r="L76" i="78" a="1"/>
  <c r="L76" i="78" s="1"/>
  <c r="L140" i="78" s="1"/>
  <c r="K76" i="78" a="1"/>
  <c r="K76" i="78" s="1"/>
  <c r="K140" i="78" s="1"/>
  <c r="J76" i="78" a="1"/>
  <c r="J76" i="78" s="1"/>
  <c r="J140" i="78" s="1"/>
  <c r="I76" i="78" a="1"/>
  <c r="I76" i="78" s="1"/>
  <c r="I140" i="78" s="1"/>
  <c r="H76" i="78" a="1"/>
  <c r="H76" i="78" s="1"/>
  <c r="H140" i="78" s="1"/>
  <c r="G76" i="78" a="1"/>
  <c r="G76" i="78" s="1"/>
  <c r="G140" i="78" s="1"/>
  <c r="F76" i="78" a="1"/>
  <c r="F76" i="78" s="1"/>
  <c r="F140" i="78" s="1"/>
  <c r="E76" i="78" a="1"/>
  <c r="E76" i="78" s="1"/>
  <c r="E140" i="78" s="1"/>
  <c r="D76" i="78" a="1"/>
  <c r="D76" i="78" s="1"/>
  <c r="P75" i="78" a="1"/>
  <c r="P75" i="78" s="1"/>
  <c r="P139" i="78" s="1"/>
  <c r="O75" i="78" a="1"/>
  <c r="O75" i="78" s="1"/>
  <c r="O139" i="78" s="1"/>
  <c r="N75" i="78" a="1"/>
  <c r="N75" i="78" s="1"/>
  <c r="N139" i="78" s="1"/>
  <c r="M75" i="78" a="1"/>
  <c r="M75" i="78" s="1"/>
  <c r="M139" i="78" s="1"/>
  <c r="L75" i="78" a="1"/>
  <c r="L75" i="78" s="1"/>
  <c r="L139" i="78" s="1"/>
  <c r="K75" i="78" a="1"/>
  <c r="K75" i="78" s="1"/>
  <c r="K139" i="78" s="1"/>
  <c r="J75" i="78" a="1"/>
  <c r="J75" i="78" s="1"/>
  <c r="J139" i="78" s="1"/>
  <c r="I75" i="78" a="1"/>
  <c r="I75" i="78" s="1"/>
  <c r="I139" i="78" s="1"/>
  <c r="H75" i="78" a="1"/>
  <c r="H75" i="78" s="1"/>
  <c r="H139" i="78" s="1"/>
  <c r="G75" i="78" a="1"/>
  <c r="G75" i="78" s="1"/>
  <c r="G139" i="78" s="1"/>
  <c r="F75" i="78" a="1"/>
  <c r="F75" i="78" s="1"/>
  <c r="F139" i="78" s="1"/>
  <c r="E75" i="78" a="1"/>
  <c r="E75" i="78" s="1"/>
  <c r="E139" i="78" s="1"/>
  <c r="D75" i="78" a="1"/>
  <c r="D75" i="78" s="1"/>
  <c r="P74" i="78" a="1"/>
  <c r="P74" i="78" s="1"/>
  <c r="P138" i="78" s="1"/>
  <c r="O74" i="78" a="1"/>
  <c r="O74" i="78" s="1"/>
  <c r="O138" i="78" s="1"/>
  <c r="N74" i="78" a="1"/>
  <c r="N74" i="78" s="1"/>
  <c r="N138" i="78" s="1"/>
  <c r="M74" i="78" a="1"/>
  <c r="M74" i="78" s="1"/>
  <c r="M138" i="78" s="1"/>
  <c r="L74" i="78" a="1"/>
  <c r="L74" i="78" s="1"/>
  <c r="L138" i="78" s="1"/>
  <c r="K74" i="78" a="1"/>
  <c r="K74" i="78" s="1"/>
  <c r="K138" i="78" s="1"/>
  <c r="J74" i="78" a="1"/>
  <c r="J74" i="78" s="1"/>
  <c r="J138" i="78" s="1"/>
  <c r="I74" i="78" a="1"/>
  <c r="I74" i="78" s="1"/>
  <c r="I138" i="78" s="1"/>
  <c r="H74" i="78" a="1"/>
  <c r="H74" i="78" s="1"/>
  <c r="H138" i="78" s="1"/>
  <c r="G74" i="78" a="1"/>
  <c r="G74" i="78" s="1"/>
  <c r="G138" i="78" s="1"/>
  <c r="F74" i="78" a="1"/>
  <c r="F74" i="78" s="1"/>
  <c r="F138" i="78" s="1"/>
  <c r="E74" i="78" a="1"/>
  <c r="E74" i="78" s="1"/>
  <c r="E138" i="78" s="1"/>
  <c r="D74" i="78" a="1"/>
  <c r="D74" i="78" s="1"/>
  <c r="P73" i="78" a="1"/>
  <c r="P73" i="78" s="1"/>
  <c r="P137" i="78" s="1"/>
  <c r="O73" i="78" a="1"/>
  <c r="O73" i="78" s="1"/>
  <c r="O137" i="78" s="1"/>
  <c r="N73" i="78" a="1"/>
  <c r="N73" i="78" s="1"/>
  <c r="N137" i="78" s="1"/>
  <c r="M73" i="78" a="1"/>
  <c r="M73" i="78" s="1"/>
  <c r="M137" i="78" s="1"/>
  <c r="L73" i="78" a="1"/>
  <c r="L73" i="78" s="1"/>
  <c r="L137" i="78" s="1"/>
  <c r="K73" i="78" a="1"/>
  <c r="K73" i="78" s="1"/>
  <c r="K137" i="78" s="1"/>
  <c r="J73" i="78" a="1"/>
  <c r="J73" i="78" s="1"/>
  <c r="J137" i="78" s="1"/>
  <c r="I73" i="78" a="1"/>
  <c r="I73" i="78" s="1"/>
  <c r="I137" i="78" s="1"/>
  <c r="H73" i="78" a="1"/>
  <c r="H73" i="78" s="1"/>
  <c r="H137" i="78" s="1"/>
  <c r="G73" i="78" a="1"/>
  <c r="G73" i="78" s="1"/>
  <c r="G137" i="78" s="1"/>
  <c r="F73" i="78" a="1"/>
  <c r="F73" i="78" s="1"/>
  <c r="F137" i="78" s="1"/>
  <c r="E73" i="78" a="1"/>
  <c r="E73" i="78" s="1"/>
  <c r="E137" i="78" s="1"/>
  <c r="D73" i="78" a="1"/>
  <c r="D73" i="78" s="1"/>
  <c r="P72" i="78" a="1"/>
  <c r="P72" i="78" s="1"/>
  <c r="P136" i="78" s="1"/>
  <c r="O72" i="78" a="1"/>
  <c r="O72" i="78" s="1"/>
  <c r="O136" i="78" s="1"/>
  <c r="N72" i="78" a="1"/>
  <c r="N72" i="78" s="1"/>
  <c r="N136" i="78" s="1"/>
  <c r="M72" i="78" a="1"/>
  <c r="M72" i="78" s="1"/>
  <c r="M136" i="78" s="1"/>
  <c r="L72" i="78" a="1"/>
  <c r="L72" i="78" s="1"/>
  <c r="L136" i="78" s="1"/>
  <c r="K72" i="78" a="1"/>
  <c r="K72" i="78" s="1"/>
  <c r="K136" i="78" s="1"/>
  <c r="J72" i="78" a="1"/>
  <c r="J72" i="78" s="1"/>
  <c r="J136" i="78" s="1"/>
  <c r="I72" i="78" a="1"/>
  <c r="I72" i="78" s="1"/>
  <c r="I136" i="78" s="1"/>
  <c r="H72" i="78" a="1"/>
  <c r="H72" i="78" s="1"/>
  <c r="H136" i="78" s="1"/>
  <c r="G72" i="78" a="1"/>
  <c r="G72" i="78" s="1"/>
  <c r="G136" i="78" s="1"/>
  <c r="F72" i="78" a="1"/>
  <c r="F72" i="78" s="1"/>
  <c r="F136" i="78" s="1"/>
  <c r="E72" i="78" a="1"/>
  <c r="E72" i="78" s="1"/>
  <c r="E136" i="78" s="1"/>
  <c r="D72" i="78" a="1"/>
  <c r="D72" i="78" s="1"/>
  <c r="P71" i="78" a="1"/>
  <c r="P71" i="78" s="1"/>
  <c r="P135" i="78" s="1"/>
  <c r="O71" i="78" a="1"/>
  <c r="O71" i="78" s="1"/>
  <c r="O135" i="78" s="1"/>
  <c r="N71" i="78" a="1"/>
  <c r="N71" i="78" s="1"/>
  <c r="N135" i="78" s="1"/>
  <c r="M71" i="78" a="1"/>
  <c r="M71" i="78" s="1"/>
  <c r="M135" i="78" s="1"/>
  <c r="L71" i="78" a="1"/>
  <c r="L71" i="78" s="1"/>
  <c r="L135" i="78" s="1"/>
  <c r="K71" i="78" a="1"/>
  <c r="K71" i="78" s="1"/>
  <c r="K135" i="78" s="1"/>
  <c r="J71" i="78" a="1"/>
  <c r="J71" i="78" s="1"/>
  <c r="J135" i="78" s="1"/>
  <c r="I71" i="78" a="1"/>
  <c r="I71" i="78" s="1"/>
  <c r="I135" i="78" s="1"/>
  <c r="H71" i="78" a="1"/>
  <c r="H71" i="78" s="1"/>
  <c r="H135" i="78" s="1"/>
  <c r="G71" i="78" a="1"/>
  <c r="G71" i="78" s="1"/>
  <c r="G135" i="78" s="1"/>
  <c r="F71" i="78" a="1"/>
  <c r="F71" i="78" s="1"/>
  <c r="F135" i="78" s="1"/>
  <c r="E71" i="78" a="1"/>
  <c r="E71" i="78" s="1"/>
  <c r="E135" i="78" s="1"/>
  <c r="D71" i="78" a="1"/>
  <c r="D71" i="78" s="1"/>
  <c r="P70" i="78" a="1"/>
  <c r="P70" i="78" s="1"/>
  <c r="P134" i="78" s="1"/>
  <c r="O70" i="78" a="1"/>
  <c r="O70" i="78" s="1"/>
  <c r="O134" i="78" s="1"/>
  <c r="N70" i="78" a="1"/>
  <c r="N70" i="78" s="1"/>
  <c r="N134" i="78" s="1"/>
  <c r="M70" i="78" a="1"/>
  <c r="M70" i="78" s="1"/>
  <c r="M134" i="78" s="1"/>
  <c r="L70" i="78" a="1"/>
  <c r="L70" i="78" s="1"/>
  <c r="L134" i="78" s="1"/>
  <c r="K70" i="78" a="1"/>
  <c r="K70" i="78" s="1"/>
  <c r="K134" i="78" s="1"/>
  <c r="J70" i="78" a="1"/>
  <c r="J70" i="78" s="1"/>
  <c r="J134" i="78" s="1"/>
  <c r="I70" i="78" a="1"/>
  <c r="I70" i="78" s="1"/>
  <c r="I134" i="78" s="1"/>
  <c r="H70" i="78" a="1"/>
  <c r="H70" i="78" s="1"/>
  <c r="H134" i="78" s="1"/>
  <c r="G70" i="78" a="1"/>
  <c r="G70" i="78" s="1"/>
  <c r="G134" i="78" s="1"/>
  <c r="F70" i="78" a="1"/>
  <c r="F70" i="78" s="1"/>
  <c r="F134" i="78" s="1"/>
  <c r="E70" i="78" a="1"/>
  <c r="E70" i="78" s="1"/>
  <c r="E134" i="78" s="1"/>
  <c r="D70" i="78" a="1"/>
  <c r="D70" i="78" s="1"/>
  <c r="P69" i="78" a="1"/>
  <c r="P69" i="78" s="1"/>
  <c r="P133" i="78" s="1"/>
  <c r="O69" i="78" a="1"/>
  <c r="O69" i="78" s="1"/>
  <c r="O133" i="78" s="1"/>
  <c r="N69" i="78" a="1"/>
  <c r="N69" i="78" s="1"/>
  <c r="N133" i="78" s="1"/>
  <c r="M69" i="78" a="1"/>
  <c r="M69" i="78" s="1"/>
  <c r="M133" i="78" s="1"/>
  <c r="L69" i="78" a="1"/>
  <c r="L69" i="78" s="1"/>
  <c r="L133" i="78" s="1"/>
  <c r="K69" i="78" a="1"/>
  <c r="K69" i="78" s="1"/>
  <c r="K133" i="78" s="1"/>
  <c r="J69" i="78" a="1"/>
  <c r="J69" i="78" s="1"/>
  <c r="J133" i="78" s="1"/>
  <c r="I69" i="78" a="1"/>
  <c r="I69" i="78" s="1"/>
  <c r="I133" i="78" s="1"/>
  <c r="H69" i="78" a="1"/>
  <c r="H69" i="78" s="1"/>
  <c r="H133" i="78" s="1"/>
  <c r="G69" i="78" a="1"/>
  <c r="G69" i="78" s="1"/>
  <c r="G133" i="78" s="1"/>
  <c r="F69" i="78" a="1"/>
  <c r="F69" i="78" s="1"/>
  <c r="F133" i="78" s="1"/>
  <c r="E69" i="78" a="1"/>
  <c r="E69" i="78" s="1"/>
  <c r="E133" i="78" s="1"/>
  <c r="D69" i="78" a="1"/>
  <c r="D69" i="78" s="1"/>
  <c r="P68" i="78" a="1"/>
  <c r="P68" i="78" s="1"/>
  <c r="P132" i="78" s="1"/>
  <c r="O68" i="78" a="1"/>
  <c r="O68" i="78" s="1"/>
  <c r="O132" i="78" s="1"/>
  <c r="N68" i="78" a="1"/>
  <c r="N68" i="78" s="1"/>
  <c r="N132" i="78" s="1"/>
  <c r="M68" i="78" a="1"/>
  <c r="M68" i="78" s="1"/>
  <c r="M132" i="78" s="1"/>
  <c r="L68" i="78" a="1"/>
  <c r="L68" i="78" s="1"/>
  <c r="L132" i="78" s="1"/>
  <c r="K68" i="78" a="1"/>
  <c r="K68" i="78" s="1"/>
  <c r="K132" i="78" s="1"/>
  <c r="J68" i="78" a="1"/>
  <c r="J68" i="78" s="1"/>
  <c r="J132" i="78" s="1"/>
  <c r="I68" i="78" a="1"/>
  <c r="I68" i="78" s="1"/>
  <c r="I132" i="78" s="1"/>
  <c r="H68" i="78" a="1"/>
  <c r="H68" i="78" s="1"/>
  <c r="H132" i="78" s="1"/>
  <c r="G68" i="78" a="1"/>
  <c r="G68" i="78" s="1"/>
  <c r="G132" i="78" s="1"/>
  <c r="F68" i="78" a="1"/>
  <c r="F68" i="78" s="1"/>
  <c r="F132" i="78" s="1"/>
  <c r="E68" i="78" a="1"/>
  <c r="E68" i="78" s="1"/>
  <c r="E132" i="78" s="1"/>
  <c r="D68" i="78" a="1"/>
  <c r="D68" i="78" s="1"/>
  <c r="P67" i="78" a="1"/>
  <c r="P67" i="78" s="1"/>
  <c r="P131" i="78" s="1"/>
  <c r="O67" i="78" a="1"/>
  <c r="O67" i="78" s="1"/>
  <c r="O131" i="78" s="1"/>
  <c r="N67" i="78" a="1"/>
  <c r="N67" i="78" s="1"/>
  <c r="N131" i="78" s="1"/>
  <c r="M67" i="78" a="1"/>
  <c r="M67" i="78" s="1"/>
  <c r="M131" i="78" s="1"/>
  <c r="L67" i="78" a="1"/>
  <c r="L67" i="78" s="1"/>
  <c r="L131" i="78" s="1"/>
  <c r="K67" i="78" a="1"/>
  <c r="K67" i="78" s="1"/>
  <c r="K131" i="78" s="1"/>
  <c r="J67" i="78" a="1"/>
  <c r="J67" i="78" s="1"/>
  <c r="J131" i="78" s="1"/>
  <c r="I67" i="78" a="1"/>
  <c r="I67" i="78" s="1"/>
  <c r="I131" i="78" s="1"/>
  <c r="H67" i="78" a="1"/>
  <c r="H67" i="78" s="1"/>
  <c r="H131" i="78" s="1"/>
  <c r="G67" i="78" a="1"/>
  <c r="G67" i="78" s="1"/>
  <c r="G131" i="78" s="1"/>
  <c r="F67" i="78" a="1"/>
  <c r="F67" i="78" s="1"/>
  <c r="F131" i="78" s="1"/>
  <c r="E67" i="78" a="1"/>
  <c r="E67" i="78" s="1"/>
  <c r="E131" i="78" s="1"/>
  <c r="D67" i="78" a="1"/>
  <c r="D67" i="78" s="1"/>
  <c r="P66" i="78" a="1"/>
  <c r="P66" i="78" s="1"/>
  <c r="P130" i="78" s="1"/>
  <c r="O66" i="78" a="1"/>
  <c r="O66" i="78" s="1"/>
  <c r="O130" i="78" s="1"/>
  <c r="N66" i="78" a="1"/>
  <c r="N66" i="78" s="1"/>
  <c r="N130" i="78" s="1"/>
  <c r="M66" i="78" a="1"/>
  <c r="M66" i="78" s="1"/>
  <c r="M130" i="78" s="1"/>
  <c r="L66" i="78" a="1"/>
  <c r="L66" i="78" s="1"/>
  <c r="L130" i="78" s="1"/>
  <c r="K66" i="78" a="1"/>
  <c r="K66" i="78" s="1"/>
  <c r="K130" i="78" s="1"/>
  <c r="J66" i="78" a="1"/>
  <c r="J66" i="78" s="1"/>
  <c r="J130" i="78" s="1"/>
  <c r="I66" i="78" a="1"/>
  <c r="I66" i="78" s="1"/>
  <c r="I130" i="78" s="1"/>
  <c r="H66" i="78" a="1"/>
  <c r="H66" i="78" s="1"/>
  <c r="H130" i="78" s="1"/>
  <c r="G66" i="78" a="1"/>
  <c r="G66" i="78" s="1"/>
  <c r="G130" i="78" s="1"/>
  <c r="F66" i="78" a="1"/>
  <c r="F66" i="78" s="1"/>
  <c r="F130" i="78" s="1"/>
  <c r="E66" i="78" a="1"/>
  <c r="E66" i="78" s="1"/>
  <c r="E130" i="78" s="1"/>
  <c r="D66" i="78" a="1"/>
  <c r="D66" i="78" s="1"/>
  <c r="P65" i="78" a="1"/>
  <c r="P65" i="78" s="1"/>
  <c r="P129" i="78" s="1"/>
  <c r="O65" i="78" a="1"/>
  <c r="O65" i="78" s="1"/>
  <c r="O129" i="78" s="1"/>
  <c r="N65" i="78" a="1"/>
  <c r="N65" i="78" s="1"/>
  <c r="N129" i="78" s="1"/>
  <c r="M65" i="78" a="1"/>
  <c r="M65" i="78" s="1"/>
  <c r="M129" i="78" s="1"/>
  <c r="L65" i="78" a="1"/>
  <c r="L65" i="78" s="1"/>
  <c r="L129" i="78" s="1"/>
  <c r="K65" i="78" a="1"/>
  <c r="K65" i="78" s="1"/>
  <c r="K129" i="78" s="1"/>
  <c r="J65" i="78" a="1"/>
  <c r="J65" i="78" s="1"/>
  <c r="J129" i="78" s="1"/>
  <c r="I65" i="78" a="1"/>
  <c r="I65" i="78" s="1"/>
  <c r="I129" i="78" s="1"/>
  <c r="H65" i="78" a="1"/>
  <c r="H65" i="78" s="1"/>
  <c r="H129" i="78" s="1"/>
  <c r="G65" i="78" a="1"/>
  <c r="G65" i="78" s="1"/>
  <c r="G129" i="78" s="1"/>
  <c r="F65" i="78" a="1"/>
  <c r="F65" i="78" s="1"/>
  <c r="F129" i="78" s="1"/>
  <c r="E65" i="78" a="1"/>
  <c r="E65" i="78" s="1"/>
  <c r="E129" i="78" s="1"/>
  <c r="D65" i="78" a="1"/>
  <c r="D65" i="78" s="1"/>
  <c r="P64" i="78" a="1"/>
  <c r="P64" i="78" s="1"/>
  <c r="P128" i="78" s="1"/>
  <c r="O64" i="78" a="1"/>
  <c r="O64" i="78" s="1"/>
  <c r="O128" i="78" s="1"/>
  <c r="N64" i="78" a="1"/>
  <c r="N64" i="78" s="1"/>
  <c r="N128" i="78" s="1"/>
  <c r="M64" i="78" a="1"/>
  <c r="M64" i="78" s="1"/>
  <c r="M128" i="78" s="1"/>
  <c r="L64" i="78" a="1"/>
  <c r="L64" i="78" s="1"/>
  <c r="L128" i="78" s="1"/>
  <c r="K64" i="78" a="1"/>
  <c r="K64" i="78" s="1"/>
  <c r="K128" i="78" s="1"/>
  <c r="J64" i="78" a="1"/>
  <c r="J64" i="78" s="1"/>
  <c r="J128" i="78" s="1"/>
  <c r="I64" i="78" a="1"/>
  <c r="I64" i="78" s="1"/>
  <c r="I128" i="78" s="1"/>
  <c r="H64" i="78" a="1"/>
  <c r="H64" i="78" s="1"/>
  <c r="H128" i="78" s="1"/>
  <c r="G64" i="78" a="1"/>
  <c r="G64" i="78" s="1"/>
  <c r="G128" i="78" s="1"/>
  <c r="F64" i="78" a="1"/>
  <c r="F64" i="78" s="1"/>
  <c r="F128" i="78" s="1"/>
  <c r="E64" i="78" a="1"/>
  <c r="E64" i="78" s="1"/>
  <c r="E128" i="78" s="1"/>
  <c r="D64" i="78" a="1"/>
  <c r="D64" i="78" s="1"/>
  <c r="P63" i="78" a="1"/>
  <c r="P63" i="78" s="1"/>
  <c r="P127" i="78" s="1"/>
  <c r="O63" i="78" a="1"/>
  <c r="O63" i="78" s="1"/>
  <c r="O127" i="78" s="1"/>
  <c r="N63" i="78" a="1"/>
  <c r="N63" i="78" s="1"/>
  <c r="N127" i="78" s="1"/>
  <c r="M63" i="78" a="1"/>
  <c r="M63" i="78" s="1"/>
  <c r="M127" i="78" s="1"/>
  <c r="L63" i="78" a="1"/>
  <c r="L63" i="78" s="1"/>
  <c r="L127" i="78" s="1"/>
  <c r="K63" i="78" a="1"/>
  <c r="K63" i="78" s="1"/>
  <c r="K127" i="78" s="1"/>
  <c r="J63" i="78" a="1"/>
  <c r="J63" i="78" s="1"/>
  <c r="J127" i="78" s="1"/>
  <c r="I63" i="78" a="1"/>
  <c r="I63" i="78" s="1"/>
  <c r="I127" i="78" s="1"/>
  <c r="H63" i="78" a="1"/>
  <c r="H63" i="78" s="1"/>
  <c r="H127" i="78" s="1"/>
  <c r="G63" i="78" a="1"/>
  <c r="G63" i="78" s="1"/>
  <c r="G127" i="78" s="1"/>
  <c r="F63" i="78" a="1"/>
  <c r="F63" i="78" s="1"/>
  <c r="F127" i="78" s="1"/>
  <c r="E63" i="78" a="1"/>
  <c r="E63" i="78" s="1"/>
  <c r="E127" i="78" s="1"/>
  <c r="D63" i="78" a="1"/>
  <c r="D63" i="78" s="1"/>
  <c r="P62" i="78" a="1"/>
  <c r="P62" i="78" s="1"/>
  <c r="P126" i="78" s="1"/>
  <c r="O62" i="78" a="1"/>
  <c r="O62" i="78" s="1"/>
  <c r="O126" i="78" s="1"/>
  <c r="N62" i="78" a="1"/>
  <c r="N62" i="78" s="1"/>
  <c r="N126" i="78" s="1"/>
  <c r="M62" i="78" a="1"/>
  <c r="M62" i="78" s="1"/>
  <c r="M126" i="78" s="1"/>
  <c r="L62" i="78" a="1"/>
  <c r="L62" i="78" s="1"/>
  <c r="L126" i="78" s="1"/>
  <c r="K62" i="78" a="1"/>
  <c r="K62" i="78" s="1"/>
  <c r="K126" i="78" s="1"/>
  <c r="J62" i="78" a="1"/>
  <c r="J62" i="78" s="1"/>
  <c r="J126" i="78" s="1"/>
  <c r="I62" i="78" a="1"/>
  <c r="I62" i="78" s="1"/>
  <c r="I126" i="78" s="1"/>
  <c r="H62" i="78" a="1"/>
  <c r="H62" i="78" s="1"/>
  <c r="H126" i="78" s="1"/>
  <c r="G62" i="78" a="1"/>
  <c r="G62" i="78" s="1"/>
  <c r="G126" i="78" s="1"/>
  <c r="F62" i="78" a="1"/>
  <c r="F62" i="78" s="1"/>
  <c r="F126" i="78" s="1"/>
  <c r="E62" i="78" a="1"/>
  <c r="E62" i="78" s="1"/>
  <c r="E126" i="78" s="1"/>
  <c r="D62" i="78" a="1"/>
  <c r="D62" i="78" s="1"/>
  <c r="P61" i="78" a="1"/>
  <c r="P61" i="78" s="1"/>
  <c r="P125" i="78" s="1"/>
  <c r="O61" i="78" a="1"/>
  <c r="O61" i="78" s="1"/>
  <c r="O125" i="78" s="1"/>
  <c r="N61" i="78" a="1"/>
  <c r="N61" i="78" s="1"/>
  <c r="N125" i="78" s="1"/>
  <c r="M61" i="78" a="1"/>
  <c r="M61" i="78" s="1"/>
  <c r="M125" i="78" s="1"/>
  <c r="L61" i="78" a="1"/>
  <c r="L61" i="78" s="1"/>
  <c r="L125" i="78" s="1"/>
  <c r="K61" i="78" a="1"/>
  <c r="K61" i="78" s="1"/>
  <c r="K125" i="78" s="1"/>
  <c r="J61" i="78" a="1"/>
  <c r="J61" i="78" s="1"/>
  <c r="J125" i="78" s="1"/>
  <c r="I61" i="78" a="1"/>
  <c r="I61" i="78" s="1"/>
  <c r="I125" i="78" s="1"/>
  <c r="H61" i="78" a="1"/>
  <c r="H61" i="78" s="1"/>
  <c r="H125" i="78" s="1"/>
  <c r="G61" i="78" a="1"/>
  <c r="G61" i="78" s="1"/>
  <c r="G125" i="78" s="1"/>
  <c r="F61" i="78" a="1"/>
  <c r="F61" i="78" s="1"/>
  <c r="F125" i="78" s="1"/>
  <c r="E61" i="78" a="1"/>
  <c r="E61" i="78" s="1"/>
  <c r="E125" i="78" s="1"/>
  <c r="D61" i="78" a="1"/>
  <c r="D61" i="78" s="1"/>
  <c r="P60" i="78" a="1"/>
  <c r="P60" i="78" s="1"/>
  <c r="P124" i="78" s="1"/>
  <c r="O60" i="78" a="1"/>
  <c r="O60" i="78" s="1"/>
  <c r="O124" i="78" s="1"/>
  <c r="N60" i="78" a="1"/>
  <c r="N60" i="78" s="1"/>
  <c r="N124" i="78" s="1"/>
  <c r="M60" i="78" a="1"/>
  <c r="M60" i="78" s="1"/>
  <c r="M124" i="78" s="1"/>
  <c r="L60" i="78" a="1"/>
  <c r="L60" i="78" s="1"/>
  <c r="L124" i="78" s="1"/>
  <c r="K60" i="78" a="1"/>
  <c r="K60" i="78" s="1"/>
  <c r="K124" i="78" s="1"/>
  <c r="J60" i="78" a="1"/>
  <c r="J60" i="78" s="1"/>
  <c r="J124" i="78" s="1"/>
  <c r="I60" i="78" a="1"/>
  <c r="I60" i="78" s="1"/>
  <c r="I124" i="78" s="1"/>
  <c r="H60" i="78" a="1"/>
  <c r="H60" i="78" s="1"/>
  <c r="H124" i="78" s="1"/>
  <c r="G60" i="78" a="1"/>
  <c r="G60" i="78" s="1"/>
  <c r="G124" i="78" s="1"/>
  <c r="F60" i="78" a="1"/>
  <c r="F60" i="78" s="1"/>
  <c r="F124" i="78" s="1"/>
  <c r="E60" i="78" a="1"/>
  <c r="E60" i="78" s="1"/>
  <c r="E124" i="78" s="1"/>
  <c r="D60" i="78" a="1"/>
  <c r="D60" i="78" s="1"/>
  <c r="P59" i="78" a="1"/>
  <c r="P59" i="78" s="1"/>
  <c r="P123" i="78" s="1"/>
  <c r="O59" i="78" a="1"/>
  <c r="O59" i="78" s="1"/>
  <c r="O123" i="78" s="1"/>
  <c r="N59" i="78" a="1"/>
  <c r="N59" i="78" s="1"/>
  <c r="N123" i="78" s="1"/>
  <c r="M59" i="78" a="1"/>
  <c r="M59" i="78" s="1"/>
  <c r="M123" i="78" s="1"/>
  <c r="L59" i="78" a="1"/>
  <c r="L59" i="78" s="1"/>
  <c r="L123" i="78" s="1"/>
  <c r="K59" i="78" a="1"/>
  <c r="K59" i="78" s="1"/>
  <c r="K123" i="78" s="1"/>
  <c r="J59" i="78" a="1"/>
  <c r="J59" i="78" s="1"/>
  <c r="J123" i="78" s="1"/>
  <c r="I59" i="78" a="1"/>
  <c r="I59" i="78" s="1"/>
  <c r="I123" i="78" s="1"/>
  <c r="H59" i="78" a="1"/>
  <c r="H59" i="78" s="1"/>
  <c r="H123" i="78" s="1"/>
  <c r="G59" i="78" a="1"/>
  <c r="G59" i="78" s="1"/>
  <c r="G123" i="78" s="1"/>
  <c r="F59" i="78" a="1"/>
  <c r="F59" i="78" s="1"/>
  <c r="F123" i="78" s="1"/>
  <c r="E59" i="78" a="1"/>
  <c r="E59" i="78" s="1"/>
  <c r="E123" i="78" s="1"/>
  <c r="D59" i="78" a="1"/>
  <c r="D59" i="78" s="1"/>
  <c r="P58" i="78" a="1"/>
  <c r="P58" i="78" s="1"/>
  <c r="P122" i="78" s="1"/>
  <c r="O58" i="78" a="1"/>
  <c r="O58" i="78" s="1"/>
  <c r="O122" i="78" s="1"/>
  <c r="N58" i="78" a="1"/>
  <c r="N58" i="78" s="1"/>
  <c r="N122" i="78" s="1"/>
  <c r="M58" i="78" a="1"/>
  <c r="M58" i="78" s="1"/>
  <c r="M122" i="78" s="1"/>
  <c r="L58" i="78" a="1"/>
  <c r="L58" i="78" s="1"/>
  <c r="L122" i="78" s="1"/>
  <c r="K58" i="78" a="1"/>
  <c r="K58" i="78" s="1"/>
  <c r="K122" i="78" s="1"/>
  <c r="J58" i="78" a="1"/>
  <c r="J58" i="78" s="1"/>
  <c r="J122" i="78" s="1"/>
  <c r="I58" i="78" a="1"/>
  <c r="I58" i="78" s="1"/>
  <c r="I122" i="78" s="1"/>
  <c r="H58" i="78" a="1"/>
  <c r="H58" i="78" s="1"/>
  <c r="H122" i="78" s="1"/>
  <c r="G58" i="78" a="1"/>
  <c r="G58" i="78" s="1"/>
  <c r="G122" i="78" s="1"/>
  <c r="F58" i="78" a="1"/>
  <c r="F58" i="78" s="1"/>
  <c r="F122" i="78" s="1"/>
  <c r="E58" i="78" a="1"/>
  <c r="E58" i="78" s="1"/>
  <c r="E122" i="78" s="1"/>
  <c r="D58" i="78" a="1"/>
  <c r="D58" i="78" s="1"/>
  <c r="P57" i="78" a="1"/>
  <c r="P57" i="78" s="1"/>
  <c r="P121" i="78" s="1"/>
  <c r="O57" i="78" a="1"/>
  <c r="O57" i="78" s="1"/>
  <c r="O121" i="78" s="1"/>
  <c r="N57" i="78" a="1"/>
  <c r="N57" i="78" s="1"/>
  <c r="N121" i="78" s="1"/>
  <c r="M57" i="78" a="1"/>
  <c r="M57" i="78" s="1"/>
  <c r="M121" i="78" s="1"/>
  <c r="L57" i="78" a="1"/>
  <c r="L57" i="78" s="1"/>
  <c r="L121" i="78" s="1"/>
  <c r="K57" i="78" a="1"/>
  <c r="K57" i="78" s="1"/>
  <c r="K121" i="78" s="1"/>
  <c r="J57" i="78" a="1"/>
  <c r="J57" i="78" s="1"/>
  <c r="J121" i="78" s="1"/>
  <c r="I57" i="78" a="1"/>
  <c r="I57" i="78" s="1"/>
  <c r="I121" i="78" s="1"/>
  <c r="H57" i="78" a="1"/>
  <c r="H57" i="78" s="1"/>
  <c r="H121" i="78" s="1"/>
  <c r="G57" i="78" a="1"/>
  <c r="G57" i="78" s="1"/>
  <c r="G121" i="78" s="1"/>
  <c r="F57" i="78" a="1"/>
  <c r="F57" i="78" s="1"/>
  <c r="F121" i="78" s="1"/>
  <c r="E57" i="78" a="1"/>
  <c r="E57" i="78" s="1"/>
  <c r="E121" i="78" s="1"/>
  <c r="D57" i="78" a="1"/>
  <c r="D57" i="78" s="1"/>
  <c r="P56" i="78" a="1"/>
  <c r="P56" i="78" s="1"/>
  <c r="P120" i="78" s="1"/>
  <c r="O56" i="78" a="1"/>
  <c r="O56" i="78" s="1"/>
  <c r="O120" i="78" s="1"/>
  <c r="N56" i="78" a="1"/>
  <c r="N56" i="78" s="1"/>
  <c r="N120" i="78" s="1"/>
  <c r="M56" i="78" a="1"/>
  <c r="M56" i="78" s="1"/>
  <c r="M120" i="78" s="1"/>
  <c r="L56" i="78" a="1"/>
  <c r="L56" i="78" s="1"/>
  <c r="L120" i="78" s="1"/>
  <c r="K56" i="78" a="1"/>
  <c r="K56" i="78" s="1"/>
  <c r="K120" i="78" s="1"/>
  <c r="J56" i="78" a="1"/>
  <c r="J56" i="78" s="1"/>
  <c r="J120" i="78" s="1"/>
  <c r="I56" i="78" a="1"/>
  <c r="I56" i="78" s="1"/>
  <c r="I120" i="78" s="1"/>
  <c r="H56" i="78" a="1"/>
  <c r="H56" i="78" s="1"/>
  <c r="H120" i="78" s="1"/>
  <c r="G56" i="78" a="1"/>
  <c r="G56" i="78" s="1"/>
  <c r="G120" i="78" s="1"/>
  <c r="F56" i="78" a="1"/>
  <c r="F56" i="78" s="1"/>
  <c r="F120" i="78" s="1"/>
  <c r="E56" i="78" a="1"/>
  <c r="E56" i="78" s="1"/>
  <c r="E120" i="78" s="1"/>
  <c r="D56" i="78" a="1"/>
  <c r="D56" i="78" s="1"/>
  <c r="P55" i="78" a="1"/>
  <c r="P55" i="78" s="1"/>
  <c r="P119" i="78" s="1"/>
  <c r="O55" i="78" a="1"/>
  <c r="O55" i="78" s="1"/>
  <c r="O119" i="78" s="1"/>
  <c r="N55" i="78" a="1"/>
  <c r="N55" i="78" s="1"/>
  <c r="N119" i="78" s="1"/>
  <c r="M55" i="78" a="1"/>
  <c r="M55" i="78" s="1"/>
  <c r="M119" i="78" s="1"/>
  <c r="L55" i="78" a="1"/>
  <c r="L55" i="78" s="1"/>
  <c r="L119" i="78" s="1"/>
  <c r="K55" i="78" a="1"/>
  <c r="K55" i="78" s="1"/>
  <c r="K119" i="78" s="1"/>
  <c r="J55" i="78" a="1"/>
  <c r="J55" i="78" s="1"/>
  <c r="J119" i="78" s="1"/>
  <c r="I55" i="78" a="1"/>
  <c r="I55" i="78" s="1"/>
  <c r="I119" i="78" s="1"/>
  <c r="H55" i="78" a="1"/>
  <c r="H55" i="78" s="1"/>
  <c r="H119" i="78" s="1"/>
  <c r="G55" i="78" a="1"/>
  <c r="G55" i="78" s="1"/>
  <c r="G119" i="78" s="1"/>
  <c r="F55" i="78" a="1"/>
  <c r="F55" i="78" s="1"/>
  <c r="F119" i="78" s="1"/>
  <c r="E55" i="78" a="1"/>
  <c r="E55" i="78" s="1"/>
  <c r="E119" i="78" s="1"/>
  <c r="D55" i="78" a="1"/>
  <c r="D55" i="78" s="1"/>
  <c r="P54" i="78" a="1"/>
  <c r="P54" i="78" s="1"/>
  <c r="P118" i="78" s="1"/>
  <c r="O54" i="78" a="1"/>
  <c r="O54" i="78" s="1"/>
  <c r="O118" i="78" s="1"/>
  <c r="N54" i="78" a="1"/>
  <c r="N54" i="78" s="1"/>
  <c r="N118" i="78" s="1"/>
  <c r="M54" i="78" a="1"/>
  <c r="M54" i="78" s="1"/>
  <c r="M118" i="78" s="1"/>
  <c r="L54" i="78" a="1"/>
  <c r="L54" i="78" s="1"/>
  <c r="L118" i="78" s="1"/>
  <c r="K54" i="78" a="1"/>
  <c r="K54" i="78" s="1"/>
  <c r="K118" i="78" s="1"/>
  <c r="J54" i="78" a="1"/>
  <c r="J54" i="78" s="1"/>
  <c r="J118" i="78" s="1"/>
  <c r="I54" i="78" a="1"/>
  <c r="I54" i="78" s="1"/>
  <c r="I118" i="78" s="1"/>
  <c r="H54" i="78" a="1"/>
  <c r="H54" i="78" s="1"/>
  <c r="H118" i="78" s="1"/>
  <c r="G54" i="78" a="1"/>
  <c r="G54" i="78" s="1"/>
  <c r="G118" i="78" s="1"/>
  <c r="F54" i="78" a="1"/>
  <c r="F54" i="78" s="1"/>
  <c r="F118" i="78" s="1"/>
  <c r="E54" i="78" a="1"/>
  <c r="E54" i="78" s="1"/>
  <c r="E118" i="78" s="1"/>
  <c r="D54" i="78" a="1"/>
  <c r="D54" i="78" s="1"/>
  <c r="D52" i="78" a="1"/>
  <c r="D52" i="78" s="1"/>
  <c r="D51" i="78" a="1"/>
  <c r="D51" i="78" s="1"/>
  <c r="D50" i="78" a="1"/>
  <c r="D50" i="78" s="1"/>
  <c r="D49" i="78" a="1"/>
  <c r="D49" i="78" s="1"/>
  <c r="M46" i="78" a="1"/>
  <c r="M46" i="78" s="1"/>
  <c r="L46" i="78" a="1"/>
  <c r="L46" i="78" s="1"/>
  <c r="M117" i="78" s="1"/>
  <c r="K46" i="78" a="1"/>
  <c r="K46" i="78" s="1"/>
  <c r="L117" i="78" s="1"/>
  <c r="J46" i="78" a="1"/>
  <c r="J46" i="78" s="1"/>
  <c r="J117" i="78" s="1"/>
  <c r="I46" i="78" a="1"/>
  <c r="I46" i="78" s="1"/>
  <c r="I117" i="78" s="1"/>
  <c r="H46" i="78" a="1"/>
  <c r="H46" i="78" s="1"/>
  <c r="H117" i="78" s="1"/>
  <c r="G46" i="78" a="1"/>
  <c r="G46" i="78" s="1"/>
  <c r="G117" i="78" s="1"/>
  <c r="F46" i="78" a="1"/>
  <c r="F46" i="78" s="1"/>
  <c r="F117" i="78" s="1"/>
  <c r="E46" i="78" a="1"/>
  <c r="E46" i="78" s="1"/>
  <c r="E117" i="78" s="1"/>
  <c r="D46" i="78" a="1"/>
  <c r="D46" i="78" s="1"/>
  <c r="M45" i="78" a="1"/>
  <c r="M45" i="78" s="1"/>
  <c r="L45" i="78" a="1"/>
  <c r="L45" i="78" s="1"/>
  <c r="M116" i="78" s="1"/>
  <c r="K45" i="78" a="1"/>
  <c r="K45" i="78" s="1"/>
  <c r="J45" i="78" a="1"/>
  <c r="J45" i="78" s="1"/>
  <c r="J116" i="78" s="1"/>
  <c r="I45" i="78" a="1"/>
  <c r="I45" i="78" s="1"/>
  <c r="I116" i="78" s="1"/>
  <c r="H45" i="78" a="1"/>
  <c r="H45" i="78" s="1"/>
  <c r="H116" i="78" s="1"/>
  <c r="G45" i="78" a="1"/>
  <c r="G45" i="78" s="1"/>
  <c r="G116" i="78" s="1"/>
  <c r="F45" i="78" a="1"/>
  <c r="F45" i="78" s="1"/>
  <c r="F116" i="78" s="1"/>
  <c r="E45" i="78" a="1"/>
  <c r="E45" i="78" s="1"/>
  <c r="E116" i="78" s="1"/>
  <c r="D45" i="78" a="1"/>
  <c r="D45" i="78" s="1"/>
  <c r="M44" i="78" a="1"/>
  <c r="M44" i="78" s="1"/>
  <c r="L44" i="78" a="1"/>
  <c r="L44" i="78" s="1"/>
  <c r="M115" i="78" s="1"/>
  <c r="K44" i="78" a="1"/>
  <c r="K44" i="78" s="1"/>
  <c r="L115" i="78" s="1"/>
  <c r="J44" i="78" a="1"/>
  <c r="J44" i="78" s="1"/>
  <c r="J115" i="78" s="1"/>
  <c r="I44" i="78" a="1"/>
  <c r="I44" i="78" s="1"/>
  <c r="I115" i="78" s="1"/>
  <c r="H44" i="78" a="1"/>
  <c r="H44" i="78" s="1"/>
  <c r="H115" i="78" s="1"/>
  <c r="G44" i="78" a="1"/>
  <c r="G44" i="78" s="1"/>
  <c r="G115" i="78" s="1"/>
  <c r="F44" i="78" a="1"/>
  <c r="F44" i="78" s="1"/>
  <c r="F115" i="78" s="1"/>
  <c r="E44" i="78" a="1"/>
  <c r="E44" i="78" s="1"/>
  <c r="E115" i="78" s="1"/>
  <c r="D44" i="78" a="1"/>
  <c r="D44" i="78" s="1"/>
  <c r="M43" i="78" a="1"/>
  <c r="M43" i="78" s="1"/>
  <c r="O114" i="78" s="1"/>
  <c r="L43" i="78" a="1"/>
  <c r="L43" i="78" s="1"/>
  <c r="M114" i="78" s="1"/>
  <c r="K43" i="78" a="1"/>
  <c r="K43" i="78" s="1"/>
  <c r="J43" i="78" a="1"/>
  <c r="J43" i="78" s="1"/>
  <c r="J114" i="78" s="1"/>
  <c r="I43" i="78" a="1"/>
  <c r="I43" i="78" s="1"/>
  <c r="I114" i="78" s="1"/>
  <c r="H43" i="78" a="1"/>
  <c r="H43" i="78" s="1"/>
  <c r="H114" i="78" s="1"/>
  <c r="G43" i="78" a="1"/>
  <c r="G43" i="78" s="1"/>
  <c r="G114" i="78" s="1"/>
  <c r="F43" i="78" a="1"/>
  <c r="F43" i="78" s="1"/>
  <c r="F114" i="78" s="1"/>
  <c r="E43" i="78" a="1"/>
  <c r="E43" i="78" s="1"/>
  <c r="E114" i="78" s="1"/>
  <c r="D43" i="78" a="1"/>
  <c r="D43" i="78" s="1"/>
  <c r="M42" i="78" a="1"/>
  <c r="M42" i="78" s="1"/>
  <c r="L42" i="78" a="1"/>
  <c r="L42" i="78" s="1"/>
  <c r="M113" i="78" s="1"/>
  <c r="K42" i="78" a="1"/>
  <c r="K42" i="78" s="1"/>
  <c r="J42" i="78" a="1"/>
  <c r="J42" i="78" s="1"/>
  <c r="J113" i="78" s="1"/>
  <c r="I42" i="78" a="1"/>
  <c r="I42" i="78" s="1"/>
  <c r="I113" i="78" s="1"/>
  <c r="H42" i="78" a="1"/>
  <c r="H42" i="78" s="1"/>
  <c r="H113" i="78" s="1"/>
  <c r="G42" i="78" a="1"/>
  <c r="G42" i="78" s="1"/>
  <c r="G113" i="78" s="1"/>
  <c r="F42" i="78" a="1"/>
  <c r="F42" i="78" s="1"/>
  <c r="F113" i="78" s="1"/>
  <c r="E42" i="78" a="1"/>
  <c r="E42" i="78" s="1"/>
  <c r="E113" i="78" s="1"/>
  <c r="D42" i="78" a="1"/>
  <c r="D42" i="78" s="1"/>
  <c r="M41" i="78" a="1"/>
  <c r="M41" i="78" s="1"/>
  <c r="L41" i="78" a="1"/>
  <c r="L41" i="78" s="1"/>
  <c r="M112" i="78" s="1"/>
  <c r="K41" i="78" a="1"/>
  <c r="K41" i="78" s="1"/>
  <c r="J41" i="78" a="1"/>
  <c r="J41" i="78" s="1"/>
  <c r="J112" i="78" s="1"/>
  <c r="I41" i="78" a="1"/>
  <c r="I41" i="78" s="1"/>
  <c r="I112" i="78" s="1"/>
  <c r="H41" i="78" a="1"/>
  <c r="H41" i="78" s="1"/>
  <c r="H112" i="78" s="1"/>
  <c r="G41" i="78" a="1"/>
  <c r="G41" i="78" s="1"/>
  <c r="G112" i="78" s="1"/>
  <c r="F41" i="78" a="1"/>
  <c r="F41" i="78" s="1"/>
  <c r="F112" i="78" s="1"/>
  <c r="E41" i="78" a="1"/>
  <c r="E41" i="78" s="1"/>
  <c r="E112" i="78" s="1"/>
  <c r="D41" i="78" a="1"/>
  <c r="D41" i="78" s="1"/>
  <c r="M40" i="78" a="1"/>
  <c r="M40" i="78" s="1"/>
  <c r="P111" i="78" s="1"/>
  <c r="L40" i="78" a="1"/>
  <c r="L40" i="78" s="1"/>
  <c r="M111" i="78" s="1"/>
  <c r="K40" i="78" a="1"/>
  <c r="K40" i="78" s="1"/>
  <c r="J40" i="78" a="1"/>
  <c r="J40" i="78" s="1"/>
  <c r="J111" i="78" s="1"/>
  <c r="I40" i="78" a="1"/>
  <c r="I40" i="78" s="1"/>
  <c r="I111" i="78" s="1"/>
  <c r="H40" i="78" a="1"/>
  <c r="H40" i="78" s="1"/>
  <c r="H111" i="78" s="1"/>
  <c r="G40" i="78" a="1"/>
  <c r="G40" i="78" s="1"/>
  <c r="G111" i="78" s="1"/>
  <c r="F40" i="78" a="1"/>
  <c r="F40" i="78" s="1"/>
  <c r="F111" i="78" s="1"/>
  <c r="E40" i="78" a="1"/>
  <c r="E40" i="78" s="1"/>
  <c r="E111" i="78" s="1"/>
  <c r="D40" i="78" a="1"/>
  <c r="D40" i="78" s="1"/>
  <c r="M39" i="78" a="1"/>
  <c r="M39" i="78" s="1"/>
  <c r="L39" i="78" a="1"/>
  <c r="L39" i="78" s="1"/>
  <c r="M110" i="78" s="1"/>
  <c r="K39" i="78" a="1"/>
  <c r="K39" i="78" s="1"/>
  <c r="L110" i="78" s="1"/>
  <c r="J39" i="78" a="1"/>
  <c r="J39" i="78" s="1"/>
  <c r="J110" i="78" s="1"/>
  <c r="I39" i="78" a="1"/>
  <c r="I39" i="78" s="1"/>
  <c r="I110" i="78" s="1"/>
  <c r="H39" i="78" a="1"/>
  <c r="H39" i="78" s="1"/>
  <c r="H110" i="78" s="1"/>
  <c r="G39" i="78" a="1"/>
  <c r="G39" i="78" s="1"/>
  <c r="G110" i="78" s="1"/>
  <c r="F39" i="78" a="1"/>
  <c r="F39" i="78" s="1"/>
  <c r="F110" i="78" s="1"/>
  <c r="E39" i="78" a="1"/>
  <c r="E39" i="78" s="1"/>
  <c r="E110" i="78" s="1"/>
  <c r="D39" i="78" a="1"/>
  <c r="D39" i="78" s="1"/>
  <c r="M38" i="78" a="1"/>
  <c r="M38" i="78" s="1"/>
  <c r="L38" i="78" a="1"/>
  <c r="L38" i="78" s="1"/>
  <c r="M109" i="78" s="1"/>
  <c r="K38" i="78" a="1"/>
  <c r="K38" i="78" s="1"/>
  <c r="J38" i="78" a="1"/>
  <c r="J38" i="78" s="1"/>
  <c r="J109" i="78" s="1"/>
  <c r="I38" i="78" a="1"/>
  <c r="I38" i="78" s="1"/>
  <c r="I109" i="78" s="1"/>
  <c r="H38" i="78" a="1"/>
  <c r="H38" i="78" s="1"/>
  <c r="H109" i="78" s="1"/>
  <c r="G38" i="78" a="1"/>
  <c r="G38" i="78" s="1"/>
  <c r="G109" i="78" s="1"/>
  <c r="F38" i="78" a="1"/>
  <c r="F38" i="78" s="1"/>
  <c r="F109" i="78" s="1"/>
  <c r="E38" i="78" a="1"/>
  <c r="E38" i="78" s="1"/>
  <c r="E109" i="78" s="1"/>
  <c r="D38" i="78" a="1"/>
  <c r="D38" i="78" s="1"/>
  <c r="M37" i="78" a="1"/>
  <c r="M37" i="78" s="1"/>
  <c r="L37" i="78" a="1"/>
  <c r="L37" i="78" s="1"/>
  <c r="M108" i="78" s="1"/>
  <c r="K37" i="78" a="1"/>
  <c r="K37" i="78" s="1"/>
  <c r="J37" i="78" a="1"/>
  <c r="J37" i="78" s="1"/>
  <c r="J108" i="78" s="1"/>
  <c r="I37" i="78" a="1"/>
  <c r="I37" i="78" s="1"/>
  <c r="I108" i="78" s="1"/>
  <c r="H37" i="78" a="1"/>
  <c r="H37" i="78" s="1"/>
  <c r="H108" i="78" s="1"/>
  <c r="G37" i="78" a="1"/>
  <c r="G37" i="78" s="1"/>
  <c r="G108" i="78" s="1"/>
  <c r="F37" i="78" a="1"/>
  <c r="F37" i="78" s="1"/>
  <c r="F108" i="78" s="1"/>
  <c r="E37" i="78" a="1"/>
  <c r="E37" i="78" s="1"/>
  <c r="E108" i="78" s="1"/>
  <c r="D37" i="78" a="1"/>
  <c r="D37" i="78" s="1"/>
  <c r="M36" i="78" a="1"/>
  <c r="M36" i="78" s="1"/>
  <c r="O107" i="78" s="1"/>
  <c r="L36" i="78" a="1"/>
  <c r="L36" i="78" s="1"/>
  <c r="M107" i="78" s="1"/>
  <c r="K36" i="78" a="1"/>
  <c r="K36" i="78" s="1"/>
  <c r="J36" i="78" a="1"/>
  <c r="J36" i="78" s="1"/>
  <c r="J107" i="78" s="1"/>
  <c r="I36" i="78" a="1"/>
  <c r="I36" i="78" s="1"/>
  <c r="I107" i="78" s="1"/>
  <c r="H36" i="78" a="1"/>
  <c r="H36" i="78" s="1"/>
  <c r="H107" i="78" s="1"/>
  <c r="G36" i="78" a="1"/>
  <c r="G36" i="78" s="1"/>
  <c r="G107" i="78" s="1"/>
  <c r="F36" i="78" a="1"/>
  <c r="F36" i="78" s="1"/>
  <c r="F107" i="78" s="1"/>
  <c r="E36" i="78" a="1"/>
  <c r="E36" i="78" s="1"/>
  <c r="E107" i="78" s="1"/>
  <c r="D36" i="78" a="1"/>
  <c r="D36" i="78" s="1"/>
  <c r="M35" i="78" a="1"/>
  <c r="M35" i="78" s="1"/>
  <c r="L35" i="78" a="1"/>
  <c r="L35" i="78" s="1"/>
  <c r="M106" i="78" s="1"/>
  <c r="K35" i="78" a="1"/>
  <c r="K35" i="78" s="1"/>
  <c r="J35" i="78" a="1"/>
  <c r="J35" i="78" s="1"/>
  <c r="J106" i="78" s="1"/>
  <c r="I35" i="78" a="1"/>
  <c r="I35" i="78" s="1"/>
  <c r="I106" i="78" s="1"/>
  <c r="H35" i="78" a="1"/>
  <c r="H35" i="78" s="1"/>
  <c r="H106" i="78" s="1"/>
  <c r="G35" i="78" a="1"/>
  <c r="G35" i="78" s="1"/>
  <c r="G106" i="78" s="1"/>
  <c r="F35" i="78" a="1"/>
  <c r="F35" i="78" s="1"/>
  <c r="E35" i="78" a="1"/>
  <c r="E35" i="78" s="1"/>
  <c r="E106" i="78" s="1"/>
  <c r="D35" i="78" a="1"/>
  <c r="D35" i="78" s="1"/>
  <c r="M34" i="78" a="1"/>
  <c r="M34" i="78" s="1"/>
  <c r="P105" i="78" s="1"/>
  <c r="L34" i="78" a="1"/>
  <c r="L34" i="78" s="1"/>
  <c r="M105" i="78" s="1"/>
  <c r="K34" i="78" a="1"/>
  <c r="K34" i="78" s="1"/>
  <c r="J34" i="78" a="1"/>
  <c r="J34" i="78" s="1"/>
  <c r="J105" i="78" s="1"/>
  <c r="I34" i="78" a="1"/>
  <c r="I34" i="78" s="1"/>
  <c r="I105" i="78" s="1"/>
  <c r="H34" i="78" a="1"/>
  <c r="H34" i="78" s="1"/>
  <c r="H105" i="78" s="1"/>
  <c r="G34" i="78" a="1"/>
  <c r="G34" i="78" s="1"/>
  <c r="G105" i="78" s="1"/>
  <c r="F34" i="78" a="1"/>
  <c r="F34" i="78" s="1"/>
  <c r="E34" i="78" a="1"/>
  <c r="E34" i="78" s="1"/>
  <c r="D34" i="78" a="1"/>
  <c r="D34" i="78" s="1"/>
  <c r="M33" i="78" a="1"/>
  <c r="M33" i="78" s="1"/>
  <c r="L33" i="78" a="1"/>
  <c r="L33" i="78" s="1"/>
  <c r="M104" i="78" s="1"/>
  <c r="K33" i="78" a="1"/>
  <c r="K33" i="78" s="1"/>
  <c r="J33" i="78" a="1"/>
  <c r="J33" i="78" s="1"/>
  <c r="J104" i="78" s="1"/>
  <c r="I33" i="78" a="1"/>
  <c r="I33" i="78" s="1"/>
  <c r="I104" i="78" s="1"/>
  <c r="H33" i="78" a="1"/>
  <c r="H33" i="78" s="1"/>
  <c r="H104" i="78" s="1"/>
  <c r="G33" i="78" a="1"/>
  <c r="G33" i="78" s="1"/>
  <c r="G104" i="78" s="1"/>
  <c r="F33" i="78" a="1"/>
  <c r="F33" i="78" s="1"/>
  <c r="E33" i="78" a="1"/>
  <c r="E33" i="78" s="1"/>
  <c r="D33" i="78" a="1"/>
  <c r="D33" i="78" s="1"/>
  <c r="M32" i="78" a="1"/>
  <c r="M32" i="78" s="1"/>
  <c r="L32" i="78" a="1"/>
  <c r="L32" i="78" s="1"/>
  <c r="M103" i="78" s="1"/>
  <c r="K32" i="78" a="1"/>
  <c r="K32" i="78" s="1"/>
  <c r="L103" i="78" s="1"/>
  <c r="J32" i="78" a="1"/>
  <c r="J32" i="78" s="1"/>
  <c r="J103" i="78" s="1"/>
  <c r="I32" i="78" a="1"/>
  <c r="I32" i="78" s="1"/>
  <c r="I103" i="78" s="1"/>
  <c r="H32" i="78" a="1"/>
  <c r="H32" i="78" s="1"/>
  <c r="H103" i="78" s="1"/>
  <c r="G32" i="78" a="1"/>
  <c r="G32" i="78" s="1"/>
  <c r="G103" i="78" s="1"/>
  <c r="F32" i="78" a="1"/>
  <c r="F32" i="78" s="1"/>
  <c r="E32" i="78" a="1"/>
  <c r="E32" i="78" s="1"/>
  <c r="D32" i="78" a="1"/>
  <c r="D32" i="78" s="1"/>
  <c r="M31" i="78" a="1"/>
  <c r="M31" i="78" s="1"/>
  <c r="L31" i="78" a="1"/>
  <c r="L31" i="78" s="1"/>
  <c r="M102" i="78" s="1"/>
  <c r="K31" i="78" a="1"/>
  <c r="K31" i="78" s="1"/>
  <c r="J31" i="78" a="1"/>
  <c r="J31" i="78" s="1"/>
  <c r="J102" i="78" s="1"/>
  <c r="I31" i="78" a="1"/>
  <c r="I31" i="78" s="1"/>
  <c r="I102" i="78" s="1"/>
  <c r="H31" i="78" a="1"/>
  <c r="H31" i="78" s="1"/>
  <c r="H102" i="78" s="1"/>
  <c r="G31" i="78" a="1"/>
  <c r="G31" i="78" s="1"/>
  <c r="G102" i="78" s="1"/>
  <c r="F31" i="78" a="1"/>
  <c r="F31" i="78" s="1"/>
  <c r="F98" i="78" s="1"/>
  <c r="E31" i="78" a="1"/>
  <c r="E31" i="78" s="1"/>
  <c r="D31" i="78" a="1"/>
  <c r="D31" i="78" s="1"/>
  <c r="M30" i="78" a="1"/>
  <c r="M30" i="78" s="1"/>
  <c r="L30" i="78" a="1"/>
  <c r="L30" i="78" s="1"/>
  <c r="M101" i="78" s="1"/>
  <c r="K30" i="78" a="1"/>
  <c r="K30" i="78" s="1"/>
  <c r="J30" i="78" a="1"/>
  <c r="J30" i="78" s="1"/>
  <c r="J101" i="78" s="1"/>
  <c r="I30" i="78" a="1"/>
  <c r="I30" i="78" s="1"/>
  <c r="I101" i="78" s="1"/>
  <c r="H30" i="78" a="1"/>
  <c r="H30" i="78" s="1"/>
  <c r="H101" i="78" s="1"/>
  <c r="G30" i="78" a="1"/>
  <c r="G30" i="78" s="1"/>
  <c r="G101" i="78" s="1"/>
  <c r="F30" i="78" a="1"/>
  <c r="F30" i="78" s="1"/>
  <c r="E30" i="78" a="1"/>
  <c r="E30" i="78" s="1"/>
  <c r="D30" i="78" a="1"/>
  <c r="D30" i="78" s="1"/>
  <c r="M29" i="78" a="1"/>
  <c r="M29" i="78" s="1"/>
  <c r="O100" i="78" s="1"/>
  <c r="L29" i="78" a="1"/>
  <c r="L29" i="78" s="1"/>
  <c r="M100" i="78" s="1"/>
  <c r="K29" i="78" a="1"/>
  <c r="K29" i="78" s="1"/>
  <c r="J29" i="78" a="1"/>
  <c r="J29" i="78" s="1"/>
  <c r="J100" i="78" s="1"/>
  <c r="I29" i="78" a="1"/>
  <c r="I29" i="78" s="1"/>
  <c r="I100" i="78" s="1"/>
  <c r="H29" i="78" a="1"/>
  <c r="H29" i="78" s="1"/>
  <c r="H100" i="78" s="1"/>
  <c r="G29" i="78" a="1"/>
  <c r="G29" i="78" s="1"/>
  <c r="G100" i="78" s="1"/>
  <c r="F29" i="78" a="1"/>
  <c r="F29" i="78" s="1"/>
  <c r="E29" i="78" a="1"/>
  <c r="E29" i="78" s="1"/>
  <c r="D29" i="78" a="1"/>
  <c r="D29" i="78" s="1"/>
  <c r="O28" i="78"/>
  <c r="M28" i="78" a="1"/>
  <c r="M28" i="78" s="1"/>
  <c r="P99" i="78" s="1"/>
  <c r="L28" i="78" a="1"/>
  <c r="L28" i="78" s="1"/>
  <c r="M99" i="78" s="1"/>
  <c r="K28" i="78" a="1"/>
  <c r="K28" i="78" s="1"/>
  <c r="J28" i="78" a="1"/>
  <c r="J28" i="78" s="1"/>
  <c r="J99" i="78" s="1"/>
  <c r="I28" i="78" a="1"/>
  <c r="I28" i="78" s="1"/>
  <c r="I99" i="78" s="1"/>
  <c r="H28" i="78" a="1"/>
  <c r="H28" i="78" s="1"/>
  <c r="H99" i="78" s="1"/>
  <c r="G28" i="78" a="1"/>
  <c r="G28" i="78" s="1"/>
  <c r="G99" i="78" s="1"/>
  <c r="F28" i="78" a="1"/>
  <c r="F28" i="78" s="1"/>
  <c r="E28" i="78" a="1"/>
  <c r="E28" i="78" s="1"/>
  <c r="D28" i="78" a="1"/>
  <c r="D28" i="78" s="1"/>
  <c r="O27" i="78"/>
  <c r="M27" i="78" a="1"/>
  <c r="M27" i="78" s="1"/>
  <c r="P98" i="78" s="1"/>
  <c r="L27" i="78" a="1"/>
  <c r="L27" i="78" s="1"/>
  <c r="M98" i="78" s="1"/>
  <c r="K27" i="78" a="1"/>
  <c r="K27" i="78" s="1"/>
  <c r="J27" i="78" a="1"/>
  <c r="J27" i="78" s="1"/>
  <c r="J98" i="78" s="1"/>
  <c r="I27" i="78" a="1"/>
  <c r="I27" i="78" s="1"/>
  <c r="I98" i="78" s="1"/>
  <c r="H27" i="78" a="1"/>
  <c r="H27" i="78" s="1"/>
  <c r="H98" i="78" s="1"/>
  <c r="G27" i="78" a="1"/>
  <c r="G27" i="78" s="1"/>
  <c r="G98" i="78" s="1"/>
  <c r="F27" i="78" a="1"/>
  <c r="F27" i="78" s="1"/>
  <c r="F94" i="78" s="1"/>
  <c r="E27" i="78" a="1"/>
  <c r="E27" i="78" s="1"/>
  <c r="D27" i="78" a="1"/>
  <c r="D27" i="78" s="1"/>
  <c r="O26" i="78"/>
  <c r="M26" i="78" a="1"/>
  <c r="M26" i="78" s="1"/>
  <c r="L26" i="78" a="1"/>
  <c r="L26" i="78" s="1"/>
  <c r="M97" i="78" s="1"/>
  <c r="K26" i="78" a="1"/>
  <c r="K26" i="78" s="1"/>
  <c r="J26" i="78" a="1"/>
  <c r="J26" i="78" s="1"/>
  <c r="J97" i="78" s="1"/>
  <c r="I26" i="78" a="1"/>
  <c r="I26" i="78" s="1"/>
  <c r="I97" i="78" s="1"/>
  <c r="H26" i="78" a="1"/>
  <c r="H26" i="78" s="1"/>
  <c r="H97" i="78" s="1"/>
  <c r="G26" i="78" a="1"/>
  <c r="G26" i="78" s="1"/>
  <c r="G97" i="78" s="1"/>
  <c r="F26" i="78" a="1"/>
  <c r="F26" i="78" s="1"/>
  <c r="E26" i="78" a="1"/>
  <c r="E26" i="78" s="1"/>
  <c r="D26" i="78" a="1"/>
  <c r="D26" i="78" s="1"/>
  <c r="O25" i="78"/>
  <c r="M25" i="78" a="1"/>
  <c r="M25" i="78" s="1"/>
  <c r="P96" i="78" s="1"/>
  <c r="L25" i="78" a="1"/>
  <c r="L25" i="78" s="1"/>
  <c r="M96" i="78" s="1"/>
  <c r="K25" i="78" a="1"/>
  <c r="K25" i="78" s="1"/>
  <c r="J25" i="78" a="1"/>
  <c r="J25" i="78" s="1"/>
  <c r="J96" i="78" s="1"/>
  <c r="I25" i="78" a="1"/>
  <c r="I25" i="78" s="1"/>
  <c r="I96" i="78" s="1"/>
  <c r="H25" i="78" a="1"/>
  <c r="H25" i="78" s="1"/>
  <c r="H96" i="78" s="1"/>
  <c r="G25" i="78" a="1"/>
  <c r="G25" i="78" s="1"/>
  <c r="G96" i="78" s="1"/>
  <c r="F25" i="78" a="1"/>
  <c r="F25" i="78" s="1"/>
  <c r="E25" i="78" a="1"/>
  <c r="E25" i="78" s="1"/>
  <c r="D25" i="78" a="1"/>
  <c r="D25" i="78" s="1"/>
  <c r="O24" i="78"/>
  <c r="M24" i="78" a="1"/>
  <c r="M24" i="78" s="1"/>
  <c r="L24" i="78" a="1"/>
  <c r="L24" i="78" s="1"/>
  <c r="M95" i="78" s="1"/>
  <c r="K24" i="78" a="1"/>
  <c r="K24" i="78" s="1"/>
  <c r="J24" i="78" a="1"/>
  <c r="J24" i="78" s="1"/>
  <c r="J95" i="78" s="1"/>
  <c r="I24" i="78" a="1"/>
  <c r="I24" i="78" s="1"/>
  <c r="I95" i="78" s="1"/>
  <c r="H24" i="78" a="1"/>
  <c r="H24" i="78" s="1"/>
  <c r="H95" i="78" s="1"/>
  <c r="G24" i="78" a="1"/>
  <c r="G24" i="78" s="1"/>
  <c r="G95" i="78" s="1"/>
  <c r="F24" i="78" a="1"/>
  <c r="F24" i="78" s="1"/>
  <c r="E24" i="78" a="1"/>
  <c r="E24" i="78" s="1"/>
  <c r="D24" i="78" a="1"/>
  <c r="D24" i="78" s="1"/>
  <c r="O23" i="78"/>
  <c r="M23" i="78" a="1"/>
  <c r="M23" i="78" s="1"/>
  <c r="P94" i="78" s="1"/>
  <c r="L23" i="78" a="1"/>
  <c r="L23" i="78" s="1"/>
  <c r="M94" i="78" s="1"/>
  <c r="K23" i="78" a="1"/>
  <c r="K23" i="78" s="1"/>
  <c r="J23" i="78" a="1"/>
  <c r="J23" i="78" s="1"/>
  <c r="J94" i="78" s="1"/>
  <c r="I23" i="78" a="1"/>
  <c r="I23" i="78" s="1"/>
  <c r="I94" i="78" s="1"/>
  <c r="H23" i="78" a="1"/>
  <c r="H23" i="78" s="1"/>
  <c r="H94" i="78" s="1"/>
  <c r="G23" i="78" a="1"/>
  <c r="G23" i="78" s="1"/>
  <c r="G94" i="78" s="1"/>
  <c r="F23" i="78" a="1"/>
  <c r="F23" i="78" s="1"/>
  <c r="F90" i="78" s="1"/>
  <c r="E23" i="78" a="1"/>
  <c r="E23" i="78" s="1"/>
  <c r="D23" i="78" a="1"/>
  <c r="D23" i="78" s="1"/>
  <c r="O22" i="78"/>
  <c r="M22" i="78" a="1"/>
  <c r="M22" i="78" s="1"/>
  <c r="L22" i="78" a="1"/>
  <c r="L22" i="78" s="1"/>
  <c r="K22" i="78" a="1"/>
  <c r="K22" i="78" s="1"/>
  <c r="J22" i="78" a="1"/>
  <c r="J22" i="78" s="1"/>
  <c r="J93" i="78" s="1"/>
  <c r="I22" i="78" a="1"/>
  <c r="I22" i="78" s="1"/>
  <c r="I93" i="78" s="1"/>
  <c r="H22" i="78" a="1"/>
  <c r="H22" i="78" s="1"/>
  <c r="H93" i="78" s="1"/>
  <c r="G22" i="78" a="1"/>
  <c r="G22" i="78" s="1"/>
  <c r="G93" i="78" s="1"/>
  <c r="F22" i="78" a="1"/>
  <c r="F22" i="78" s="1"/>
  <c r="E22" i="78" a="1"/>
  <c r="E22" i="78" s="1"/>
  <c r="D22" i="78" a="1"/>
  <c r="D22" i="78" s="1"/>
  <c r="O21" i="78"/>
  <c r="M21" i="78" a="1"/>
  <c r="M21" i="78" s="1"/>
  <c r="N92" i="78" s="1"/>
  <c r="L21" i="78" a="1"/>
  <c r="L21" i="78" s="1"/>
  <c r="K21" i="78" a="1"/>
  <c r="K21" i="78" s="1"/>
  <c r="L88" i="78" s="1"/>
  <c r="J21" i="78" a="1"/>
  <c r="J21" i="78" s="1"/>
  <c r="J88" i="78" s="1"/>
  <c r="I21" i="78" a="1"/>
  <c r="I21" i="78" s="1"/>
  <c r="H21" i="78" a="1"/>
  <c r="H21" i="78" s="1"/>
  <c r="G21" i="78" a="1"/>
  <c r="G21" i="78" s="1"/>
  <c r="F21" i="78" a="1"/>
  <c r="F21" i="78" s="1"/>
  <c r="E21" i="78" a="1"/>
  <c r="E21" i="78" s="1"/>
  <c r="D21" i="78" a="1"/>
  <c r="D21" i="78" s="1"/>
  <c r="O20" i="78"/>
  <c r="M20" i="78" a="1"/>
  <c r="M20" i="78" s="1"/>
  <c r="P91" i="78" s="1"/>
  <c r="L20" i="78" a="1"/>
  <c r="L20" i="78" s="1"/>
  <c r="K20" i="78" a="1"/>
  <c r="K20" i="78" s="1"/>
  <c r="J20" i="78" a="1"/>
  <c r="J20" i="78" s="1"/>
  <c r="J87" i="78" s="1"/>
  <c r="I20" i="78" a="1"/>
  <c r="I20" i="78" s="1"/>
  <c r="I91" i="78" s="1"/>
  <c r="H20" i="78" a="1"/>
  <c r="H20" i="78" s="1"/>
  <c r="G20" i="78" a="1"/>
  <c r="G20" i="78" s="1"/>
  <c r="F20" i="78" a="1"/>
  <c r="F20" i="78" s="1"/>
  <c r="E20" i="78" a="1"/>
  <c r="E20" i="78" s="1"/>
  <c r="D20" i="78" a="1"/>
  <c r="D20" i="78" s="1"/>
  <c r="O19" i="78"/>
  <c r="M19" i="78" a="1"/>
  <c r="M19" i="78" s="1"/>
  <c r="P86" i="78" s="1"/>
  <c r="L19" i="78" a="1"/>
  <c r="L19" i="78" s="1"/>
  <c r="K19" i="78" a="1"/>
  <c r="K19" i="78" s="1"/>
  <c r="J19" i="78" a="1"/>
  <c r="J19" i="78" s="1"/>
  <c r="I19" i="78" a="1"/>
  <c r="I19" i="78" s="1"/>
  <c r="H19" i="78" a="1"/>
  <c r="H19" i="78" s="1"/>
  <c r="G19" i="78" a="1"/>
  <c r="G19" i="78" s="1"/>
  <c r="F19" i="78" a="1"/>
  <c r="F19" i="78" s="1"/>
  <c r="F86" i="78" s="1"/>
  <c r="E19" i="78" a="1"/>
  <c r="E19" i="78" s="1"/>
  <c r="D19" i="78" a="1"/>
  <c r="D19" i="78" s="1"/>
  <c r="D17" i="78" a="1"/>
  <c r="D17" i="78" s="1"/>
  <c r="D16" i="78" a="1"/>
  <c r="D16" i="78" s="1"/>
  <c r="D15" i="78" a="1"/>
  <c r="D15" i="78" s="1"/>
  <c r="D14" i="78" a="1"/>
  <c r="D14" i="78" s="1"/>
  <c r="W166" i="77" a="1"/>
  <c r="W166" i="77" s="1"/>
  <c r="U163" i="77" a="1"/>
  <c r="U163" i="77" s="1"/>
  <c r="U157" i="77"/>
  <c r="U149" i="77"/>
  <c r="U156" i="77"/>
  <c r="U154" i="77"/>
  <c r="U153" i="77"/>
  <c r="U152" i="77"/>
  <c r="U151" i="77"/>
  <c r="U150" i="77"/>
  <c r="F133" i="77" a="1"/>
  <c r="F133" i="77" s="1"/>
  <c r="D130" i="77" a="1"/>
  <c r="D130" i="77" s="1"/>
  <c r="V117" i="77" a="1"/>
  <c r="V117" i="77" s="1"/>
  <c r="E115" i="77" a="1"/>
  <c r="U112" i="77" a="1"/>
  <c r="U112" i="77" s="1"/>
  <c r="E107" i="77" a="1"/>
  <c r="E107" i="77" s="1"/>
  <c r="I102" i="77" a="1"/>
  <c r="I102" i="77" s="1"/>
  <c r="I101" i="77" a="1"/>
  <c r="I101" i="77" s="1"/>
  <c r="I100" i="77" a="1"/>
  <c r="I100" i="77" s="1"/>
  <c r="G100" i="77" a="1"/>
  <c r="AF117" i="77" s="1"/>
  <c r="D100" i="77" a="1"/>
  <c r="D100" i="77" s="1"/>
  <c r="E98" i="77" a="1"/>
  <c r="E98" i="77" s="1"/>
  <c r="E97" i="77" a="1"/>
  <c r="E97" i="77" s="1"/>
  <c r="D93" i="77" a="1"/>
  <c r="D93" i="77" s="1"/>
  <c r="U92" i="77" a="1"/>
  <c r="U92" i="77" s="1"/>
  <c r="D92" i="77" a="1"/>
  <c r="D92" i="77" s="1"/>
  <c r="I80" i="77" a="1"/>
  <c r="I80" i="77" s="1"/>
  <c r="G80" i="77" a="1"/>
  <c r="G80" i="77" s="1"/>
  <c r="D80" i="77" a="1"/>
  <c r="D80" i="77" s="1"/>
  <c r="E78" i="77" a="1"/>
  <c r="E78" i="77" s="1"/>
  <c r="E77" i="77" a="1"/>
  <c r="E77" i="77" s="1"/>
  <c r="D72" i="77" a="1"/>
  <c r="D72" i="77" s="1"/>
  <c r="D71" i="77" a="1"/>
  <c r="D71" i="77" s="1"/>
  <c r="D59" i="77"/>
  <c r="D58" i="77"/>
  <c r="D57" i="77"/>
  <c r="D56" i="77"/>
  <c r="D51" i="77"/>
  <c r="D50" i="77"/>
  <c r="D49" i="77"/>
  <c r="D48" i="77"/>
  <c r="I43" i="77" a="1"/>
  <c r="I43" i="77" s="1"/>
  <c r="I42" i="77" a="1"/>
  <c r="I42" i="77" s="1"/>
  <c r="I41" i="77" a="1"/>
  <c r="I41" i="77" s="1"/>
  <c r="G41" i="77" a="1"/>
  <c r="G41" i="77" s="1"/>
  <c r="D41" i="77" a="1"/>
  <c r="D41" i="77" s="1"/>
  <c r="E39" i="77" a="1"/>
  <c r="E39" i="77" s="1"/>
  <c r="V38" i="77" a="1"/>
  <c r="V38" i="77" s="1"/>
  <c r="W38" i="77" s="1" a="1"/>
  <c r="W38" i="77" s="1"/>
  <c r="AB38" i="77" s="1" a="1"/>
  <c r="AB38" i="77" s="1"/>
  <c r="E38" i="77" a="1"/>
  <c r="E38" i="77" s="1"/>
  <c r="G37" i="77" a="1"/>
  <c r="G37" i="77" s="1"/>
  <c r="V36" i="77" a="1"/>
  <c r="V36" i="77" s="1"/>
  <c r="W36" i="77" s="1" a="1"/>
  <c r="W36" i="77" s="1"/>
  <c r="AB36" i="77" s="1" a="1"/>
  <c r="AB36" i="77" s="1"/>
  <c r="V34" i="77" a="1"/>
  <c r="V34" i="77" s="1"/>
  <c r="W34" i="77" s="1" a="1"/>
  <c r="W34" i="77" s="1"/>
  <c r="D34" i="77" a="1"/>
  <c r="D34" i="77" s="1"/>
  <c r="D33" i="77" a="1"/>
  <c r="D33" i="77" s="1"/>
  <c r="V31" i="77" a="1"/>
  <c r="V31" i="77" s="1"/>
  <c r="W31" i="77" s="1" a="1"/>
  <c r="W31" i="77" s="1"/>
  <c r="AB31" i="77" s="1" a="1"/>
  <c r="AB31" i="77" s="1"/>
  <c r="V30" i="77" a="1"/>
  <c r="V30" i="77" s="1"/>
  <c r="W30" i="77" s="1" a="1"/>
  <c r="W30" i="77" s="1"/>
  <c r="AC30" i="77" s="1" a="1"/>
  <c r="AC30" i="77" s="1"/>
  <c r="V29" i="77" a="1"/>
  <c r="V29" i="77" s="1"/>
  <c r="W29" i="77" s="1" a="1"/>
  <c r="W29" i="77" s="1"/>
  <c r="E29" i="77" a="1"/>
  <c r="E29" i="77" s="1"/>
  <c r="F29" i="77" s="1" a="1"/>
  <c r="F29" i="77" s="1"/>
  <c r="K29" i="77" s="1" a="1"/>
  <c r="K29" i="77" s="1"/>
  <c r="V32" i="77" a="1"/>
  <c r="V32" i="77" s="1"/>
  <c r="W32" i="77" s="1" a="1"/>
  <c r="W32" i="77" s="1"/>
  <c r="AC32" i="77" s="1" a="1"/>
  <c r="AC32" i="77" s="1"/>
  <c r="E28" i="77" a="1"/>
  <c r="E28" i="77" s="1"/>
  <c r="F28" i="77" s="1" a="1"/>
  <c r="F28" i="77" s="1"/>
  <c r="J16" i="77"/>
  <c r="J13" i="77" a="1"/>
  <c r="J13" i="77" s="1"/>
  <c r="H13" i="77" a="1"/>
  <c r="H13" i="77" s="1"/>
  <c r="D13" i="77" a="1"/>
  <c r="D13" i="77" s="1"/>
  <c r="E11" i="77" a="1"/>
  <c r="E11" i="77" s="1"/>
  <c r="E10" i="77" a="1"/>
  <c r="E10" i="77" s="1"/>
  <c r="D6" i="77" a="1"/>
  <c r="D6" i="77" s="1"/>
  <c r="D5" i="77" a="1"/>
  <c r="D5" i="77" s="1"/>
  <c r="I216" i="76"/>
  <c r="I215" i="76"/>
  <c r="I214" i="76"/>
  <c r="I213" i="76"/>
  <c r="I212" i="76"/>
  <c r="I211" i="76"/>
  <c r="I210" i="76"/>
  <c r="I209" i="76"/>
  <c r="I208" i="76"/>
  <c r="I207" i="76"/>
  <c r="D172" i="76"/>
  <c r="D171" i="76"/>
  <c r="D170" i="76"/>
  <c r="D169" i="76"/>
  <c r="D168" i="76"/>
  <c r="D167" i="76"/>
  <c r="D166" i="76"/>
  <c r="D165" i="76"/>
  <c r="D164" i="76"/>
  <c r="D163" i="76"/>
  <c r="D162" i="76"/>
  <c r="D161" i="76"/>
  <c r="D150" i="76"/>
  <c r="D149" i="76"/>
  <c r="D148" i="76"/>
  <c r="D147" i="76"/>
  <c r="D146" i="76"/>
  <c r="D145" i="76"/>
  <c r="D144" i="76"/>
  <c r="D143" i="76"/>
  <c r="D142" i="76"/>
  <c r="D141" i="76"/>
  <c r="D140" i="76"/>
  <c r="D139" i="76"/>
  <c r="G128" i="76"/>
  <c r="F128" i="76"/>
  <c r="E128" i="76"/>
  <c r="D126" i="76"/>
  <c r="D125" i="76"/>
  <c r="M124" i="76"/>
  <c r="K124" i="76"/>
  <c r="J124" i="76"/>
  <c r="L124" i="76" s="1"/>
  <c r="K123" i="76"/>
  <c r="L123" i="76" s="1"/>
  <c r="J123" i="76"/>
  <c r="K122" i="76"/>
  <c r="J122" i="76"/>
  <c r="K121" i="76"/>
  <c r="J121" i="76"/>
  <c r="M121" i="76" s="1"/>
  <c r="E121" i="76"/>
  <c r="D127" i="76" s="1"/>
  <c r="E120" i="76"/>
  <c r="V22" i="77" s="1"/>
  <c r="M114" i="76"/>
  <c r="L114" i="76"/>
  <c r="M113" i="76"/>
  <c r="L113" i="76"/>
  <c r="M112" i="76"/>
  <c r="L112" i="76"/>
  <c r="M111" i="76"/>
  <c r="L111" i="76"/>
  <c r="D111" i="76"/>
  <c r="D100" i="76"/>
  <c r="D99" i="76"/>
  <c r="D98" i="76"/>
  <c r="D97" i="76"/>
  <c r="D96" i="76"/>
  <c r="D95" i="76"/>
  <c r="D94" i="76"/>
  <c r="D93" i="76"/>
  <c r="D92" i="76"/>
  <c r="D91" i="76"/>
  <c r="D90" i="76"/>
  <c r="D89" i="76"/>
  <c r="D78" i="76"/>
  <c r="D77" i="76"/>
  <c r="D76" i="76"/>
  <c r="D75" i="76"/>
  <c r="D74" i="76"/>
  <c r="D73" i="76"/>
  <c r="D72" i="76"/>
  <c r="D71" i="76"/>
  <c r="D70" i="76"/>
  <c r="D69" i="76"/>
  <c r="D68" i="76"/>
  <c r="D67" i="76"/>
  <c r="D56" i="76"/>
  <c r="D55" i="76"/>
  <c r="D54" i="76"/>
  <c r="D53" i="76"/>
  <c r="D52" i="76"/>
  <c r="D51" i="76"/>
  <c r="D50" i="76"/>
  <c r="D49" i="76"/>
  <c r="D48" i="76"/>
  <c r="D47" i="76"/>
  <c r="D46" i="76"/>
  <c r="D45" i="76"/>
  <c r="D34" i="76"/>
  <c r="G34" i="76" s="1"/>
  <c r="D33" i="76"/>
  <c r="D32" i="76"/>
  <c r="D31" i="76"/>
  <c r="E31" i="76" s="1"/>
  <c r="D30" i="76"/>
  <c r="F30" i="76" s="1"/>
  <c r="D29" i="76"/>
  <c r="H29" i="76" s="1"/>
  <c r="D28" i="76"/>
  <c r="H28" i="76" s="1"/>
  <c r="D27" i="76"/>
  <c r="M27" i="76" s="1"/>
  <c r="D26" i="76"/>
  <c r="G26" i="76" s="1"/>
  <c r="D25" i="76"/>
  <c r="N25" i="76" s="1"/>
  <c r="D24" i="76"/>
  <c r="J24" i="76" s="1"/>
  <c r="D23" i="76"/>
  <c r="J23" i="76" s="1"/>
  <c r="E7" i="76"/>
  <c r="E29" i="72"/>
  <c r="E7" i="96" a="1"/>
  <c r="E7" i="90" a="1"/>
  <c r="L8" i="97" a="1"/>
  <c r="E7" i="83" a="1"/>
  <c r="E90" i="89" a="1"/>
  <c r="E206" i="80" a="1"/>
  <c r="E26" i="83" a="1"/>
  <c r="E104" i="81" a="1"/>
  <c r="L7" i="96" a="1"/>
  <c r="E94" i="77" a="1"/>
  <c r="E8" i="93" a="1"/>
  <c r="E7" i="81" a="1"/>
  <c r="E178" i="81" a="1"/>
  <c r="E7" i="86" a="1"/>
  <c r="E83" i="90" a="1"/>
  <c r="E101" i="80" a="1"/>
  <c r="E38" i="87" a="1"/>
  <c r="E148" i="80" a="1"/>
  <c r="E42" i="81" a="1"/>
  <c r="E118" i="89" a="1"/>
  <c r="E43" i="86" a="1"/>
  <c r="E7" i="85" a="1"/>
  <c r="E7" i="100" a="1"/>
  <c r="E43" i="89" a="1"/>
  <c r="E49" i="90" a="1"/>
  <c r="E42" i="85" a="1"/>
  <c r="E7" i="87" a="1"/>
  <c r="E27" i="100" a="1"/>
  <c r="E39" i="80" a="1"/>
  <c r="E25" i="93" a="1"/>
  <c r="E136" i="81" a="1"/>
  <c r="E7" i="101" a="1"/>
  <c r="E35" i="77" a="1"/>
  <c r="E30" i="101" a="1"/>
  <c r="E218" i="81" a="1"/>
  <c r="E7" i="97" a="1"/>
  <c r="E7" i="89" a="1"/>
  <c r="O27" i="100" a="1"/>
  <c r="N60" i="85" a="1"/>
  <c r="E22" i="82" a="1"/>
  <c r="E7" i="88" a="1"/>
  <c r="E73" i="77" a="1"/>
  <c r="E7" i="82" a="1"/>
  <c r="D66" i="90" l="1"/>
  <c r="D67" i="90"/>
  <c r="M122" i="79"/>
  <c r="P45" i="85" a="1"/>
  <c r="P45" i="85" s="1"/>
  <c r="G20" i="87" a="1"/>
  <c r="G20" i="87" s="1"/>
  <c r="I20" i="87" s="1" a="1"/>
  <c r="I20" i="87" s="1"/>
  <c r="X259" i="80"/>
  <c r="X262" i="80"/>
  <c r="L124" i="79"/>
  <c r="M121" i="79"/>
  <c r="N121" i="79" s="1"/>
  <c r="O121" i="79" s="1"/>
  <c r="E25" i="88" a="1"/>
  <c r="E25" i="88" s="1"/>
  <c r="K25" i="97"/>
  <c r="J25" i="97"/>
  <c r="I25" i="97"/>
  <c r="H25" i="97"/>
  <c r="G25" i="97"/>
  <c r="M25" i="96" a="1"/>
  <c r="M25" i="96" s="1"/>
  <c r="L25" i="96" a="1"/>
  <c r="L25" i="96" s="1"/>
  <c r="L28" i="96" a="1"/>
  <c r="L28" i="96" s="1"/>
  <c r="Q28" i="96" s="1" a="1"/>
  <c r="Q28" i="96" s="1"/>
  <c r="M28" i="96" a="1"/>
  <c r="M28" i="96" s="1"/>
  <c r="U92" i="81"/>
  <c r="D35" i="84"/>
  <c r="M33" i="96" a="1"/>
  <c r="M33" i="96" s="1"/>
  <c r="M29" i="97" a="1"/>
  <c r="M29" i="97" s="1"/>
  <c r="H27" i="97"/>
  <c r="G27" i="97"/>
  <c r="K27" i="97"/>
  <c r="J27" i="97"/>
  <c r="I27" i="97"/>
  <c r="J36" i="97"/>
  <c r="I36" i="97"/>
  <c r="H36" i="97"/>
  <c r="G36" i="97"/>
  <c r="K36" i="97"/>
  <c r="L37" i="96" a="1"/>
  <c r="L37" i="96" s="1"/>
  <c r="P37" i="96" s="1" a="1"/>
  <c r="P37" i="96" s="1"/>
  <c r="M37" i="96" a="1"/>
  <c r="M37" i="96" s="1"/>
  <c r="M36" i="97" a="1"/>
  <c r="M36" i="97" s="1"/>
  <c r="E75" i="90"/>
  <c r="E112" i="89"/>
  <c r="F112" i="89" s="1" a="1"/>
  <c r="F112" i="89" s="1"/>
  <c r="E144" i="89" s="1"/>
  <c r="J40" i="97"/>
  <c r="I40" i="97"/>
  <c r="H40" i="97"/>
  <c r="G40" i="97"/>
  <c r="M26" i="97" a="1"/>
  <c r="M26" i="97" s="1"/>
  <c r="M29" i="96" a="1"/>
  <c r="M29" i="96" s="1"/>
  <c r="T14" i="100"/>
  <c r="E20" i="99"/>
  <c r="M33" i="97" a="1"/>
  <c r="M33" i="97" s="1"/>
  <c r="M30" i="97" a="1"/>
  <c r="M30" i="97" s="1"/>
  <c r="M35" i="96" a="1"/>
  <c r="M35" i="96" s="1"/>
  <c r="L35" i="96" a="1"/>
  <c r="L35" i="96" s="1"/>
  <c r="M37" i="97" a="1"/>
  <c r="M37" i="97" s="1"/>
  <c r="M26" i="96" a="1"/>
  <c r="M26" i="96" s="1"/>
  <c r="M30" i="96" a="1"/>
  <c r="M30" i="96" s="1"/>
  <c r="L30" i="96" a="1"/>
  <c r="L30" i="96" s="1"/>
  <c r="N30" i="96" s="1" a="1"/>
  <c r="N30" i="96" s="1"/>
  <c r="D128" i="76"/>
  <c r="I22" i="87" a="1"/>
  <c r="I22" i="87" s="1"/>
  <c r="I21" i="87" a="1"/>
  <c r="I21" i="87" s="1"/>
  <c r="M38" i="96" a="1"/>
  <c r="M38" i="96" s="1"/>
  <c r="M31" i="97" a="1"/>
  <c r="M31" i="97" s="1"/>
  <c r="K35" i="97"/>
  <c r="J35" i="97"/>
  <c r="I35" i="97"/>
  <c r="H35" i="97"/>
  <c r="G35" i="97"/>
  <c r="M27" i="97" a="1"/>
  <c r="M27" i="97" s="1"/>
  <c r="L27" i="97" a="1"/>
  <c r="L27" i="97" s="1"/>
  <c r="M38" i="97" a="1"/>
  <c r="M38" i="97" s="1"/>
  <c r="M122" i="76"/>
  <c r="L121" i="76"/>
  <c r="M34" i="97" a="1"/>
  <c r="M34" i="97" s="1"/>
  <c r="L34" i="97" a="1"/>
  <c r="L34" i="97" s="1"/>
  <c r="M31" i="96" a="1"/>
  <c r="M31" i="96" s="1"/>
  <c r="L31" i="96" a="1"/>
  <c r="L31" i="96" s="1"/>
  <c r="Q31" i="96" s="1" a="1"/>
  <c r="Q31" i="96" s="1"/>
  <c r="I57" i="90"/>
  <c r="I15" i="90"/>
  <c r="W122" i="80"/>
  <c r="W138" i="80" s="1"/>
  <c r="X196" i="80" s="1"/>
  <c r="I30" i="97"/>
  <c r="H30" i="97"/>
  <c r="G30" i="97"/>
  <c r="K30" i="97"/>
  <c r="J30" i="97"/>
  <c r="J39" i="97"/>
  <c r="I39" i="97"/>
  <c r="H39" i="97"/>
  <c r="G39" i="97"/>
  <c r="M36" i="96" a="1"/>
  <c r="M36" i="96" s="1"/>
  <c r="L36" i="96" a="1"/>
  <c r="L36" i="96" s="1"/>
  <c r="N36" i="96" s="1" a="1"/>
  <c r="N36" i="96" s="1"/>
  <c r="M39" i="97" a="1"/>
  <c r="M39" i="97" s="1"/>
  <c r="M124" i="79"/>
  <c r="O50" i="85" a="1"/>
  <c r="R52" i="85" s="1" a="1"/>
  <c r="R52" i="85" s="1"/>
  <c r="L25" i="97" a="1"/>
  <c r="L25" i="97" s="1"/>
  <c r="M25" i="97" a="1"/>
  <c r="M25" i="97" s="1"/>
  <c r="M27" i="96" a="1"/>
  <c r="M27" i="96" s="1"/>
  <c r="L27" i="96" a="1"/>
  <c r="L27" i="96" s="1"/>
  <c r="Q27" i="96" s="1" a="1"/>
  <c r="Q27" i="96" s="1"/>
  <c r="M32" i="96" a="1"/>
  <c r="M32" i="96" s="1"/>
  <c r="L32" i="96" a="1"/>
  <c r="L32" i="96" s="1"/>
  <c r="O32" i="96" s="1" a="1"/>
  <c r="O32" i="96" s="1"/>
  <c r="I33" i="97"/>
  <c r="H33" i="97"/>
  <c r="G33" i="97"/>
  <c r="K33" i="97"/>
  <c r="J33" i="97"/>
  <c r="K38" i="97"/>
  <c r="J38" i="97"/>
  <c r="I38" i="97"/>
  <c r="H38" i="97"/>
  <c r="G38" i="97"/>
  <c r="M32" i="97" a="1"/>
  <c r="M32" i="97" s="1"/>
  <c r="M28" i="97" a="1"/>
  <c r="M28" i="97" s="1"/>
  <c r="M40" i="97" a="1"/>
  <c r="M40" i="97" s="1"/>
  <c r="L34" i="96" a="1"/>
  <c r="L34" i="96" s="1"/>
  <c r="Q34" i="96" s="1" a="1"/>
  <c r="Q34" i="96" s="1"/>
  <c r="M34" i="96" a="1"/>
  <c r="M34" i="96" s="1"/>
  <c r="M35" i="97" a="1"/>
  <c r="M35" i="97" s="1"/>
  <c r="I81" i="81" a="1"/>
  <c r="I81" i="81" s="1"/>
  <c r="E71" i="90"/>
  <c r="H27" i="96" a="1"/>
  <c r="H27" i="96" s="1"/>
  <c r="I30" i="96" a="1"/>
  <c r="I30" i="96" s="1"/>
  <c r="I33" i="96" a="1"/>
  <c r="I33" i="96" s="1"/>
  <c r="I36" i="96" a="1"/>
  <c r="I36" i="96" s="1"/>
  <c r="I39" i="96" a="1"/>
  <c r="I39" i="96" s="1"/>
  <c r="E29" i="97"/>
  <c r="E32" i="97"/>
  <c r="J15" i="77" a="1"/>
  <c r="J15" i="77" s="1"/>
  <c r="I27" i="96" a="1"/>
  <c r="I27" i="96" s="1"/>
  <c r="J30" i="96" a="1"/>
  <c r="J30" i="96" s="1"/>
  <c r="J33" i="96" a="1"/>
  <c r="J33" i="96" s="1"/>
  <c r="J36" i="96" a="1"/>
  <c r="J36" i="96" s="1"/>
  <c r="E38" i="96"/>
  <c r="J39" i="96" a="1"/>
  <c r="J39" i="96" s="1"/>
  <c r="E26" i="97"/>
  <c r="D58" i="86" a="1"/>
  <c r="D58" i="86" s="1"/>
  <c r="E72" i="90"/>
  <c r="E26" i="96"/>
  <c r="J27" i="96" a="1"/>
  <c r="J27" i="96" s="1"/>
  <c r="K30" i="96" a="1"/>
  <c r="K30" i="96" s="1"/>
  <c r="G32" i="96" a="1"/>
  <c r="G32" i="96" s="1"/>
  <c r="K33" i="96" a="1"/>
  <c r="K33" i="96" s="1"/>
  <c r="K36" i="96" a="1"/>
  <c r="K36" i="96" s="1"/>
  <c r="K39" i="96" a="1"/>
  <c r="K39" i="96" s="1"/>
  <c r="D19" i="85" a="1"/>
  <c r="D19" i="86" a="1"/>
  <c r="D59" i="89" a="1"/>
  <c r="D59" i="89" s="1"/>
  <c r="K27" i="96" a="1"/>
  <c r="K27" i="96" s="1"/>
  <c r="G29" i="96" a="1"/>
  <c r="G29" i="96" s="1"/>
  <c r="H32" i="96" a="1"/>
  <c r="H32" i="96" s="1"/>
  <c r="G35" i="96" a="1"/>
  <c r="G35" i="96" s="1"/>
  <c r="E37" i="97"/>
  <c r="E73" i="90"/>
  <c r="H29" i="96" a="1"/>
  <c r="H29" i="96" s="1"/>
  <c r="I32" i="96" a="1"/>
  <c r="I32" i="96" s="1"/>
  <c r="H35" i="96" a="1"/>
  <c r="H35" i="96" s="1"/>
  <c r="E31" i="97"/>
  <c r="E34" i="97"/>
  <c r="W22" i="80"/>
  <c r="F20" i="87" a="1"/>
  <c r="F20" i="87" s="1"/>
  <c r="D19" i="89" a="1"/>
  <c r="D23" i="90" a="1"/>
  <c r="D23" i="90" s="1"/>
  <c r="I29" i="96" a="1"/>
  <c r="I29" i="96" s="1"/>
  <c r="J32" i="96" a="1"/>
  <c r="J32" i="96" s="1"/>
  <c r="I35" i="96" a="1"/>
  <c r="I35" i="96" s="1"/>
  <c r="E28" i="97"/>
  <c r="X22" i="80"/>
  <c r="E74" i="90"/>
  <c r="J29" i="96" a="1"/>
  <c r="J29" i="96" s="1"/>
  <c r="K32" i="96" a="1"/>
  <c r="K32" i="96" s="1"/>
  <c r="J35" i="96" a="1"/>
  <c r="J35" i="96" s="1"/>
  <c r="E37" i="96"/>
  <c r="Y22" i="80"/>
  <c r="P50" i="85" a="1"/>
  <c r="P50" i="85" s="1"/>
  <c r="E105" i="89"/>
  <c r="E25" i="96"/>
  <c r="I25" i="96" s="1" a="1"/>
  <c r="I25" i="96" s="1"/>
  <c r="K29" i="96" a="1"/>
  <c r="K29" i="96" s="1"/>
  <c r="G31" i="96" a="1"/>
  <c r="G31" i="96" s="1"/>
  <c r="K35" i="96" a="1"/>
  <c r="K35" i="96" s="1"/>
  <c r="Z22" i="80"/>
  <c r="E106" i="89"/>
  <c r="G28" i="96" a="1"/>
  <c r="G28" i="96" s="1"/>
  <c r="H31" i="96" a="1"/>
  <c r="H31" i="96" s="1"/>
  <c r="G34" i="96" a="1"/>
  <c r="G34" i="96" s="1"/>
  <c r="G37" i="96" a="1"/>
  <c r="G37" i="96" s="1"/>
  <c r="D128" i="79"/>
  <c r="E107" i="89"/>
  <c r="F107" i="89" s="1" a="1"/>
  <c r="F107" i="89" s="1"/>
  <c r="E139" i="89" s="1"/>
  <c r="H28" i="96" a="1"/>
  <c r="H28" i="96" s="1"/>
  <c r="I31" i="96" a="1"/>
  <c r="I31" i="96" s="1"/>
  <c r="H34" i="96" a="1"/>
  <c r="H34" i="96" s="1"/>
  <c r="H37" i="96" a="1"/>
  <c r="H37" i="96" s="1"/>
  <c r="H25" i="96" a="1"/>
  <c r="H25" i="96" s="1"/>
  <c r="I28" i="96" a="1"/>
  <c r="I28" i="96" s="1"/>
  <c r="J31" i="96" a="1"/>
  <c r="J31" i="96" s="1"/>
  <c r="I34" i="96" a="1"/>
  <c r="I34" i="96" s="1"/>
  <c r="I37" i="96" a="1"/>
  <c r="I37" i="96" s="1"/>
  <c r="J15" i="80" a="1"/>
  <c r="J15" i="80" s="1"/>
  <c r="D60" i="85" a="1"/>
  <c r="D60" i="85" s="1"/>
  <c r="J28" i="96" a="1"/>
  <c r="J28" i="96" s="1"/>
  <c r="K31" i="96" a="1"/>
  <c r="K31" i="96" s="1"/>
  <c r="J34" i="96" a="1"/>
  <c r="J34" i="96" s="1"/>
  <c r="J37" i="96" a="1"/>
  <c r="J37" i="96" s="1"/>
  <c r="U93" i="81"/>
  <c r="K28" i="96" a="1"/>
  <c r="K28" i="96" s="1"/>
  <c r="G30" i="96" a="1"/>
  <c r="G30" i="96" s="1"/>
  <c r="G33" i="96" a="1"/>
  <c r="G33" i="96" s="1"/>
  <c r="K34" i="96" a="1"/>
  <c r="K34" i="96" s="1"/>
  <c r="G36" i="96" a="1"/>
  <c r="G36" i="96" s="1"/>
  <c r="K37" i="96" a="1"/>
  <c r="K37" i="96" s="1"/>
  <c r="G39" i="96" a="1"/>
  <c r="G39" i="96" s="1"/>
  <c r="W23" i="80"/>
  <c r="K25" i="96" a="1"/>
  <c r="K25" i="96" s="1"/>
  <c r="G27" i="96" a="1"/>
  <c r="G27" i="96" s="1"/>
  <c r="H30" i="96" a="1"/>
  <c r="H30" i="96" s="1"/>
  <c r="H33" i="96" a="1"/>
  <c r="H33" i="96" s="1"/>
  <c r="H36" i="96" a="1"/>
  <c r="H36" i="96" s="1"/>
  <c r="H15" i="81"/>
  <c r="F164" i="81" a="1"/>
  <c r="F164" i="81" s="1"/>
  <c r="F161" i="81" a="1"/>
  <c r="F161" i="81" s="1"/>
  <c r="L161" i="81" a="1"/>
  <c r="L161" i="81" s="1"/>
  <c r="I80" i="81" a="1"/>
  <c r="I80" i="81" s="1"/>
  <c r="J14" i="80" a="1"/>
  <c r="J14" i="80" s="1"/>
  <c r="J14" i="77" a="1"/>
  <c r="J14" i="77" s="1"/>
  <c r="J14" i="100" a="1"/>
  <c r="J14" i="100" s="1"/>
  <c r="J15" i="100" a="1"/>
  <c r="J15" i="100" s="1"/>
  <c r="J16" i="100" a="1"/>
  <c r="J16" i="100" s="1"/>
  <c r="J17" i="100" a="1"/>
  <c r="J17" i="100" s="1"/>
  <c r="K40" i="97" a="1"/>
  <c r="K40" i="97" s="1"/>
  <c r="E7" i="101"/>
  <c r="E30" i="101"/>
  <c r="P48" i="101"/>
  <c r="F48" i="101"/>
  <c r="E27" i="100"/>
  <c r="O27" i="100"/>
  <c r="E7" i="100"/>
  <c r="E7" i="97"/>
  <c r="L8" i="97"/>
  <c r="F50" i="97"/>
  <c r="D39" i="97"/>
  <c r="L39" i="97" s="1" a="1"/>
  <c r="L39" i="97" s="1"/>
  <c r="D42" i="97"/>
  <c r="D30" i="97"/>
  <c r="L30" i="97" s="1" a="1"/>
  <c r="L30" i="97" s="1"/>
  <c r="D37" i="97"/>
  <c r="L37" i="97" s="1" a="1"/>
  <c r="L37" i="97" s="1"/>
  <c r="F51" i="97"/>
  <c r="F43" i="97"/>
  <c r="D28" i="97"/>
  <c r="L28" i="97" s="1" a="1"/>
  <c r="L28" i="97" s="1"/>
  <c r="D35" i="97"/>
  <c r="L35" i="97" s="1" a="1"/>
  <c r="L35" i="97" s="1"/>
  <c r="F52" i="97"/>
  <c r="F44" i="97"/>
  <c r="D26" i="97"/>
  <c r="L26" i="97" s="1" a="1"/>
  <c r="L26" i="97" s="1"/>
  <c r="D33" i="97"/>
  <c r="L33" i="97" s="1" a="1"/>
  <c r="L33" i="97" s="1"/>
  <c r="F55" i="97"/>
  <c r="F45" i="97"/>
  <c r="D31" i="97"/>
  <c r="L31" i="97" s="1" a="1"/>
  <c r="L31" i="97" s="1"/>
  <c r="D40" i="97"/>
  <c r="F56" i="97"/>
  <c r="D38" i="97"/>
  <c r="F46" i="97"/>
  <c r="D29" i="97"/>
  <c r="L29" i="97" s="1" a="1"/>
  <c r="L29" i="97" s="1"/>
  <c r="D36" i="97"/>
  <c r="L36" i="97" s="1" a="1"/>
  <c r="L36" i="97" s="1"/>
  <c r="D48" i="97"/>
  <c r="F57" i="97"/>
  <c r="F49" i="97"/>
  <c r="E7" i="96"/>
  <c r="L7" i="96"/>
  <c r="F62" i="96"/>
  <c r="F52" i="96"/>
  <c r="F70" i="96"/>
  <c r="F43" i="96"/>
  <c r="F61" i="96"/>
  <c r="F51" i="96"/>
  <c r="F69" i="96"/>
  <c r="F50" i="96"/>
  <c r="F58" i="96"/>
  <c r="F68" i="96"/>
  <c r="F49" i="96"/>
  <c r="F57" i="96"/>
  <c r="F67" i="96"/>
  <c r="F56" i="96"/>
  <c r="F46" i="96"/>
  <c r="F64" i="96"/>
  <c r="F55" i="96"/>
  <c r="F45" i="96"/>
  <c r="F63" i="96"/>
  <c r="F44" i="96"/>
  <c r="D29" i="96"/>
  <c r="D54" i="96"/>
  <c r="D38" i="96"/>
  <c r="L38" i="96" s="1" a="1"/>
  <c r="L38" i="96" s="1"/>
  <c r="I17" i="95"/>
  <c r="D26" i="96"/>
  <c r="D60" i="96"/>
  <c r="E18" i="93" a="1"/>
  <c r="E18" i="93" s="1"/>
  <c r="D42" i="96"/>
  <c r="I19" i="95"/>
  <c r="I20" i="95"/>
  <c r="L33" i="96" s="1" a="1"/>
  <c r="L33" i="96" s="1"/>
  <c r="N33" i="96" s="1" a="1"/>
  <c r="N33" i="96" s="1"/>
  <c r="E49" i="96" s="1"/>
  <c r="I18" i="95"/>
  <c r="L32" i="97" s="1" a="1"/>
  <c r="L32" i="97" s="1"/>
  <c r="I21" i="95"/>
  <c r="L39" i="96" s="1" a="1"/>
  <c r="L39" i="96" s="1"/>
  <c r="E25" i="93"/>
  <c r="E8" i="93"/>
  <c r="E41" i="92"/>
  <c r="J34" i="93" s="1"/>
  <c r="E83" i="90"/>
  <c r="E49" i="90"/>
  <c r="E7" i="90"/>
  <c r="E43" i="89"/>
  <c r="E7" i="89"/>
  <c r="E118" i="89"/>
  <c r="E90" i="89"/>
  <c r="F79" i="89"/>
  <c r="G59" i="89"/>
  <c r="F105" i="89" a="1"/>
  <c r="F105" i="89" s="1"/>
  <c r="E137" i="89" s="1"/>
  <c r="F106" i="89" a="1"/>
  <c r="F106" i="89" s="1"/>
  <c r="E138" i="89" s="1"/>
  <c r="E7" i="88"/>
  <c r="E38" i="87"/>
  <c r="E7" i="87"/>
  <c r="E7" i="86"/>
  <c r="E43" i="86"/>
  <c r="F58" i="86"/>
  <c r="E7" i="85"/>
  <c r="E42" i="85"/>
  <c r="N60" i="85"/>
  <c r="F80" i="85"/>
  <c r="O88" i="85"/>
  <c r="F60" i="85"/>
  <c r="L364" i="78"/>
  <c r="E26" i="83"/>
  <c r="E7" i="83"/>
  <c r="O20" i="83"/>
  <c r="F20" i="83"/>
  <c r="O36" i="83"/>
  <c r="F36" i="83"/>
  <c r="AH107" i="81"/>
  <c r="E7" i="82"/>
  <c r="E22" i="82"/>
  <c r="O207" i="81"/>
  <c r="AF253" i="81"/>
  <c r="AF249" i="81"/>
  <c r="F212" i="81"/>
  <c r="W261" i="81"/>
  <c r="O209" i="81"/>
  <c r="AF254" i="81"/>
  <c r="P35" i="82"/>
  <c r="F35" i="82"/>
  <c r="E96" i="81" a="1"/>
  <c r="E96" i="81" s="1"/>
  <c r="F96" i="81" s="1" a="1"/>
  <c r="F96" i="81" s="1"/>
  <c r="L96" i="81" s="1" a="1"/>
  <c r="L96" i="81" s="1"/>
  <c r="N364" i="78"/>
  <c r="AH110" i="81"/>
  <c r="AH102" i="81"/>
  <c r="E7" i="81"/>
  <c r="E42" i="81"/>
  <c r="E104" i="81"/>
  <c r="E136" i="81"/>
  <c r="E218" i="81"/>
  <c r="E178" i="81"/>
  <c r="AI179" i="80"/>
  <c r="AI197" i="80"/>
  <c r="X197" i="80"/>
  <c r="X185" i="80"/>
  <c r="X200" i="80"/>
  <c r="X188" i="80"/>
  <c r="AF78" i="81"/>
  <c r="AF77" i="81"/>
  <c r="AF74" i="81"/>
  <c r="AF83" i="81"/>
  <c r="AF79" i="81"/>
  <c r="AF73" i="81"/>
  <c r="AF82" i="81"/>
  <c r="AF76" i="81"/>
  <c r="O65" i="81"/>
  <c r="O63" i="81"/>
  <c r="O62" i="81"/>
  <c r="AF75" i="81"/>
  <c r="AF81" i="81"/>
  <c r="AF80" i="81"/>
  <c r="AF72" i="81"/>
  <c r="O64" i="81"/>
  <c r="AF147" i="81"/>
  <c r="AF142" i="81"/>
  <c r="AF141" i="81"/>
  <c r="AF138" i="81"/>
  <c r="AF144" i="81"/>
  <c r="AF146" i="81"/>
  <c r="AF140" i="81"/>
  <c r="AF139" i="81"/>
  <c r="AF145" i="81"/>
  <c r="O130" i="81"/>
  <c r="O129" i="81"/>
  <c r="O128" i="81"/>
  <c r="AF137" i="81"/>
  <c r="AF143" i="81"/>
  <c r="O127" i="81"/>
  <c r="AF136" i="81"/>
  <c r="O35" i="81"/>
  <c r="AF40" i="81"/>
  <c r="O33" i="81"/>
  <c r="V186" i="81" a="1"/>
  <c r="V186" i="81" s="1"/>
  <c r="V189" i="81" a="1"/>
  <c r="V189" i="81" s="1"/>
  <c r="V181" i="81" a="1"/>
  <c r="V181" i="81" s="1"/>
  <c r="V182" i="81" a="1"/>
  <c r="V182" i="81" s="1"/>
  <c r="V184" i="81" a="1"/>
  <c r="V184" i="81" s="1"/>
  <c r="V183" i="81" a="1"/>
  <c r="V183" i="81" s="1"/>
  <c r="V111" i="81" a="1"/>
  <c r="V111" i="81" s="1"/>
  <c r="W111" i="81" s="1" a="1"/>
  <c r="W111" i="81" s="1"/>
  <c r="AA111" i="81" s="1" a="1"/>
  <c r="AA111" i="81" s="1"/>
  <c r="V109" i="81" a="1"/>
  <c r="V109" i="81" s="1"/>
  <c r="V187" i="81" a="1"/>
  <c r="V187" i="81" s="1"/>
  <c r="V190" i="81" a="1"/>
  <c r="V190" i="81" s="1"/>
  <c r="V104" i="81" a="1"/>
  <c r="V104" i="81" s="1"/>
  <c r="W104" i="81" s="1" a="1"/>
  <c r="W104" i="81" s="1"/>
  <c r="AC104" i="81" s="1" a="1"/>
  <c r="AC104" i="81" s="1"/>
  <c r="V188" i="81" a="1"/>
  <c r="V188" i="81" s="1"/>
  <c r="V185" i="81" a="1"/>
  <c r="V185" i="81" s="1"/>
  <c r="V105" i="81" a="1"/>
  <c r="V105" i="81" s="1"/>
  <c r="W105" i="81" s="1" a="1"/>
  <c r="W105" i="81" s="1"/>
  <c r="AB105" i="81" s="1" a="1"/>
  <c r="AB105" i="81" s="1"/>
  <c r="V100" i="81" a="1"/>
  <c r="V100" i="81" s="1"/>
  <c r="W100" i="81" s="1" a="1"/>
  <c r="W100" i="81" s="1"/>
  <c r="AA100" i="81" s="1" a="1"/>
  <c r="AA100" i="81" s="1"/>
  <c r="Q97" i="81"/>
  <c r="AH105" i="81"/>
  <c r="AH108" i="81"/>
  <c r="AF44" i="81"/>
  <c r="AF42" i="81"/>
  <c r="AF39" i="81"/>
  <c r="AF46" i="81"/>
  <c r="AF37" i="81"/>
  <c r="Q96" i="81"/>
  <c r="V103" i="81" a="1"/>
  <c r="V103" i="81" s="1"/>
  <c r="W103" i="81" s="1" a="1"/>
  <c r="W103" i="81" s="1"/>
  <c r="AC103" i="81" s="1" a="1"/>
  <c r="AC103" i="81" s="1"/>
  <c r="V180" i="81" a="1"/>
  <c r="V180" i="81" s="1"/>
  <c r="O36" i="81"/>
  <c r="O34" i="81"/>
  <c r="Q98" i="81"/>
  <c r="AH104" i="81"/>
  <c r="V108" i="81" a="1"/>
  <c r="V108" i="81" s="1"/>
  <c r="AF41" i="81"/>
  <c r="E97" i="81" a="1"/>
  <c r="E97" i="81" s="1"/>
  <c r="F97" i="81" s="1" a="1"/>
  <c r="F97" i="81" s="1"/>
  <c r="L97" i="81" s="1" a="1"/>
  <c r="L97" i="81" s="1"/>
  <c r="E98" i="81" a="1"/>
  <c r="E98" i="81" s="1"/>
  <c r="F98" i="81" s="1" a="1"/>
  <c r="F98" i="81" s="1"/>
  <c r="J98" i="81" s="1" a="1"/>
  <c r="J98" i="81" s="1"/>
  <c r="E95" i="81" a="1"/>
  <c r="E95" i="81" s="1"/>
  <c r="F95" i="81" s="1" a="1"/>
  <c r="F95" i="81" s="1"/>
  <c r="L95" i="81" s="1" a="1"/>
  <c r="L95" i="81" s="1"/>
  <c r="AH131" i="80"/>
  <c r="AF43" i="81"/>
  <c r="AF45" i="81"/>
  <c r="AF47" i="81"/>
  <c r="AH106" i="81"/>
  <c r="Q95" i="81"/>
  <c r="AH101" i="81"/>
  <c r="AH103" i="81"/>
  <c r="AH100" i="81"/>
  <c r="V102" i="81" a="1"/>
  <c r="V102" i="81" s="1"/>
  <c r="W102" i="81" s="1" a="1"/>
  <c r="W102" i="81" s="1"/>
  <c r="AC102" i="81" s="1" a="1"/>
  <c r="AC102" i="81" s="1"/>
  <c r="V110" i="81" a="1"/>
  <c r="V110" i="81" s="1"/>
  <c r="W110" i="81" s="1" a="1"/>
  <c r="W110" i="81" s="1"/>
  <c r="AH136" i="80"/>
  <c r="AF36" i="81"/>
  <c r="AH111" i="81"/>
  <c r="AF202" i="81"/>
  <c r="AF197" i="81"/>
  <c r="AF200" i="81"/>
  <c r="AF205" i="81"/>
  <c r="O171" i="81"/>
  <c r="AF201" i="81"/>
  <c r="AF196" i="81"/>
  <c r="O169" i="81"/>
  <c r="AF207" i="81"/>
  <c r="AF204" i="81"/>
  <c r="AF198" i="81"/>
  <c r="AF199" i="81"/>
  <c r="AF203" i="81"/>
  <c r="O170" i="81"/>
  <c r="AF206" i="81"/>
  <c r="W267" i="81"/>
  <c r="F229" i="81"/>
  <c r="E162" i="81" a="1"/>
  <c r="E162" i="81" s="1"/>
  <c r="E161" i="81" a="1"/>
  <c r="E161" i="81" s="1"/>
  <c r="H161" i="81" s="1" a="1"/>
  <c r="H161" i="81" s="1"/>
  <c r="E163" i="81" a="1"/>
  <c r="E163" i="81" s="1"/>
  <c r="E164" i="81" a="1"/>
  <c r="E164" i="81" s="1"/>
  <c r="H164" i="81" s="1" a="1"/>
  <c r="H164" i="81" s="1"/>
  <c r="AF259" i="81"/>
  <c r="AF252" i="81"/>
  <c r="O210" i="81"/>
  <c r="O208" i="81"/>
  <c r="AF257" i="81"/>
  <c r="AF250" i="81"/>
  <c r="AF255" i="81"/>
  <c r="AF248" i="81"/>
  <c r="AF258" i="81"/>
  <c r="AF251" i="81"/>
  <c r="AF256" i="81"/>
  <c r="E191" i="81"/>
  <c r="E39" i="80"/>
  <c r="E101" i="80"/>
  <c r="E148" i="80"/>
  <c r="E206" i="80"/>
  <c r="H30" i="80"/>
  <c r="H31" i="80"/>
  <c r="H32" i="80"/>
  <c r="L32" i="80" s="1" a="1"/>
  <c r="L32" i="80" s="1"/>
  <c r="O86" i="80"/>
  <c r="O56" i="81" s="1"/>
  <c r="AH83" i="80"/>
  <c r="AF63" i="81" s="1"/>
  <c r="AH86" i="80"/>
  <c r="AF66" i="81" s="1"/>
  <c r="O85" i="80"/>
  <c r="O55" i="81" s="1"/>
  <c r="AH76" i="80"/>
  <c r="AF56" i="81" s="1"/>
  <c r="AH78" i="80"/>
  <c r="AF58" i="81" s="1"/>
  <c r="AH80" i="80"/>
  <c r="AF60" i="81" s="1"/>
  <c r="AH87" i="80"/>
  <c r="AF67" i="81" s="1"/>
  <c r="AH84" i="80"/>
  <c r="AF64" i="81" s="1"/>
  <c r="AH82" i="80"/>
  <c r="AF62" i="81" s="1"/>
  <c r="AH77" i="80"/>
  <c r="AF57" i="81" s="1"/>
  <c r="O87" i="80"/>
  <c r="O57" i="81" s="1"/>
  <c r="AH85" i="80"/>
  <c r="AF65" i="81" s="1"/>
  <c r="O84" i="80"/>
  <c r="O54" i="81" s="1"/>
  <c r="AH79" i="80"/>
  <c r="AF59" i="81" s="1"/>
  <c r="AH81" i="80"/>
  <c r="AF61" i="81" s="1"/>
  <c r="X187" i="80"/>
  <c r="X199" i="80"/>
  <c r="X189" i="80"/>
  <c r="X177" i="80"/>
  <c r="X178" i="80"/>
  <c r="X190" i="80"/>
  <c r="X193" i="80"/>
  <c r="X181" i="80"/>
  <c r="X28" i="80" a="1"/>
  <c r="X28" i="80" s="1"/>
  <c r="Y28" i="80" s="1" a="1"/>
  <c r="Y28" i="80" s="1"/>
  <c r="S31" i="80"/>
  <c r="AJ34" i="80"/>
  <c r="X36" i="80" a="1"/>
  <c r="X36" i="80" s="1"/>
  <c r="X37" i="80" a="1"/>
  <c r="X37" i="80" s="1"/>
  <c r="X38" i="80" a="1"/>
  <c r="X38" i="80" s="1"/>
  <c r="Y38" i="80" s="1" a="1"/>
  <c r="Y38" i="80" s="1"/>
  <c r="AE38" i="80" s="1" a="1"/>
  <c r="AE38" i="80" s="1"/>
  <c r="X39" i="80" a="1"/>
  <c r="X39" i="80" s="1"/>
  <c r="Y39" i="80" s="1" a="1"/>
  <c r="Y39" i="80" s="1"/>
  <c r="AE39" i="80" s="1" a="1"/>
  <c r="AE39" i="80" s="1"/>
  <c r="AJ33" i="80"/>
  <c r="AI196" i="80"/>
  <c r="AI199" i="80"/>
  <c r="AI184" i="80"/>
  <c r="AI183" i="80"/>
  <c r="AI181" i="80"/>
  <c r="AI198" i="80"/>
  <c r="AI192" i="80"/>
  <c r="AI200" i="80"/>
  <c r="AI191" i="80"/>
  <c r="P181" i="80"/>
  <c r="AI185" i="80"/>
  <c r="AI180" i="80"/>
  <c r="P178" i="80"/>
  <c r="AI188" i="80"/>
  <c r="AI177" i="80"/>
  <c r="AI186" i="80"/>
  <c r="P179" i="80"/>
  <c r="AI190" i="80"/>
  <c r="AI189" i="80"/>
  <c r="AI187" i="80"/>
  <c r="AI193" i="80"/>
  <c r="AI194" i="80"/>
  <c r="X198" i="80"/>
  <c r="AJ30" i="80"/>
  <c r="O131" i="80"/>
  <c r="AH132" i="80"/>
  <c r="S33" i="80"/>
  <c r="X34" i="80" a="1"/>
  <c r="X34" i="80" s="1"/>
  <c r="Y34" i="80" s="1" a="1"/>
  <c r="Y34" i="80" s="1"/>
  <c r="AE34" i="80" s="1" a="1"/>
  <c r="AE34" i="80" s="1"/>
  <c r="AH141" i="80"/>
  <c r="AH139" i="80"/>
  <c r="AH142" i="80"/>
  <c r="AH138" i="80"/>
  <c r="X180" i="80"/>
  <c r="X192" i="80"/>
  <c r="AH137" i="80"/>
  <c r="AI195" i="80"/>
  <c r="S30" i="80"/>
  <c r="AI182" i="80"/>
  <c r="X219" i="80"/>
  <c r="X264" i="80"/>
  <c r="X252" i="80"/>
  <c r="AJ32" i="80"/>
  <c r="AH134" i="80"/>
  <c r="AJ29" i="80"/>
  <c r="X183" i="80"/>
  <c r="X195" i="80"/>
  <c r="O133" i="80"/>
  <c r="AH140" i="80"/>
  <c r="P184" i="80"/>
  <c r="S32" i="80"/>
  <c r="AJ39" i="80"/>
  <c r="AI272" i="80"/>
  <c r="AI258" i="80"/>
  <c r="AI261" i="80"/>
  <c r="P236" i="80"/>
  <c r="AI264" i="80"/>
  <c r="AI267" i="80"/>
  <c r="AI270" i="80"/>
  <c r="AI256" i="80"/>
  <c r="AI265" i="80"/>
  <c r="AI251" i="80"/>
  <c r="AI268" i="80"/>
  <c r="AI254" i="80"/>
  <c r="AI274" i="80"/>
  <c r="AI260" i="80"/>
  <c r="AI255" i="80"/>
  <c r="AI273" i="80"/>
  <c r="AI269" i="80"/>
  <c r="AI257" i="80"/>
  <c r="P238" i="80"/>
  <c r="F244" i="80"/>
  <c r="P240" i="80"/>
  <c r="AI266" i="80"/>
  <c r="AI271" i="80"/>
  <c r="AI263" i="80"/>
  <c r="P237" i="80"/>
  <c r="P235" i="80"/>
  <c r="AI253" i="80"/>
  <c r="P242" i="80"/>
  <c r="AI259" i="80"/>
  <c r="AI262" i="80"/>
  <c r="AI252" i="80"/>
  <c r="P241" i="80"/>
  <c r="AJ28" i="80"/>
  <c r="AJ36" i="80"/>
  <c r="AJ37" i="80"/>
  <c r="AJ38" i="80"/>
  <c r="P177" i="80"/>
  <c r="P180" i="80"/>
  <c r="X32" i="80" a="1"/>
  <c r="X32" i="80" s="1"/>
  <c r="Y32" i="80" s="1" a="1"/>
  <c r="Y32" i="80" s="1"/>
  <c r="AC32" i="80" s="1" a="1"/>
  <c r="AC32" i="80" s="1"/>
  <c r="P183" i="80"/>
  <c r="AJ31" i="80"/>
  <c r="O132" i="80"/>
  <c r="AH133" i="80"/>
  <c r="AH135" i="80"/>
  <c r="X182" i="80"/>
  <c r="X194" i="80"/>
  <c r="AI178" i="80"/>
  <c r="P182" i="80"/>
  <c r="X191" i="80"/>
  <c r="X251" i="80"/>
  <c r="X263" i="80"/>
  <c r="E219" i="80"/>
  <c r="X257" i="80"/>
  <c r="X269" i="80"/>
  <c r="X265" i="80"/>
  <c r="X253" i="80"/>
  <c r="X273" i="80"/>
  <c r="X256" i="80"/>
  <c r="X260" i="80"/>
  <c r="X272" i="80"/>
  <c r="J369" i="78"/>
  <c r="J368" i="78"/>
  <c r="N122" i="79"/>
  <c r="O122" i="79" s="1"/>
  <c r="N124" i="79"/>
  <c r="O124" i="79" s="1"/>
  <c r="M123" i="79"/>
  <c r="AF80" i="77"/>
  <c r="AF79" i="77"/>
  <c r="AF77" i="77"/>
  <c r="O67" i="77"/>
  <c r="N362" i="78"/>
  <c r="M362" i="78"/>
  <c r="L362" i="78"/>
  <c r="K28" i="77" a="1"/>
  <c r="K28" i="77" s="1"/>
  <c r="L28" i="77" a="1"/>
  <c r="L28" i="77" s="1"/>
  <c r="F23" i="76"/>
  <c r="I34" i="76"/>
  <c r="N34" i="76"/>
  <c r="L34" i="76"/>
  <c r="M34" i="76"/>
  <c r="K34" i="76"/>
  <c r="AA34" i="77" a="1"/>
  <c r="AA34" i="77" s="1"/>
  <c r="G100" i="77"/>
  <c r="F34" i="76"/>
  <c r="I365" i="78"/>
  <c r="L363" i="78"/>
  <c r="M363" i="78"/>
  <c r="L367" i="78"/>
  <c r="M229" i="78"/>
  <c r="M225" i="78"/>
  <c r="L108" i="78"/>
  <c r="K108" i="78"/>
  <c r="L96" i="78"/>
  <c r="K96" i="78"/>
  <c r="P109" i="78"/>
  <c r="O109" i="78"/>
  <c r="N109" i="78"/>
  <c r="O225" i="78"/>
  <c r="P229" i="78"/>
  <c r="N225" i="78"/>
  <c r="O229" i="78"/>
  <c r="N229" i="78"/>
  <c r="P225" i="78"/>
  <c r="P116" i="78"/>
  <c r="O116" i="78"/>
  <c r="N116" i="78"/>
  <c r="H92" i="78"/>
  <c r="H88" i="78"/>
  <c r="F106" i="78"/>
  <c r="F102" i="78"/>
  <c r="I92" i="78"/>
  <c r="I88" i="78"/>
  <c r="P97" i="78"/>
  <c r="O97" i="78"/>
  <c r="N97" i="78"/>
  <c r="K98" i="78"/>
  <c r="L98" i="78"/>
  <c r="L104" i="78"/>
  <c r="K104" i="78"/>
  <c r="L116" i="78"/>
  <c r="K116" i="78"/>
  <c r="L109" i="78"/>
  <c r="K109" i="78"/>
  <c r="L95" i="78"/>
  <c r="K95" i="78"/>
  <c r="L107" i="78"/>
  <c r="K107" i="78"/>
  <c r="G224" i="78"/>
  <c r="G228" i="78"/>
  <c r="P110" i="78"/>
  <c r="O110" i="78"/>
  <c r="N110" i="78"/>
  <c r="O117" i="78"/>
  <c r="N117" i="78"/>
  <c r="P117" i="78"/>
  <c r="H86" i="78"/>
  <c r="H90" i="78"/>
  <c r="N95" i="78"/>
  <c r="O95" i="78"/>
  <c r="P95" i="78"/>
  <c r="L113" i="78"/>
  <c r="K113" i="78"/>
  <c r="H224" i="78"/>
  <c r="H228" i="78"/>
  <c r="H91" i="78"/>
  <c r="H87" i="78"/>
  <c r="G86" i="78"/>
  <c r="G90" i="78"/>
  <c r="L102" i="78"/>
  <c r="K102" i="78"/>
  <c r="L94" i="78"/>
  <c r="K94" i="78"/>
  <c r="I90" i="78"/>
  <c r="I86" i="78"/>
  <c r="L87" i="78"/>
  <c r="L91" i="78"/>
  <c r="K87" i="78"/>
  <c r="K91" i="78"/>
  <c r="L93" i="78"/>
  <c r="K93" i="78"/>
  <c r="L89" i="78"/>
  <c r="K89" i="78"/>
  <c r="L101" i="78"/>
  <c r="K101" i="78"/>
  <c r="L106" i="78"/>
  <c r="K106" i="78"/>
  <c r="I224" i="78"/>
  <c r="I228" i="78"/>
  <c r="L97" i="78"/>
  <c r="K97" i="78"/>
  <c r="P104" i="78"/>
  <c r="O104" i="78"/>
  <c r="N104" i="78"/>
  <c r="N102" i="78"/>
  <c r="O102" i="78"/>
  <c r="P102" i="78"/>
  <c r="J90" i="78"/>
  <c r="J86" i="78"/>
  <c r="M91" i="78"/>
  <c r="M87" i="78"/>
  <c r="M88" i="78"/>
  <c r="M92" i="78"/>
  <c r="M93" i="78"/>
  <c r="M89" i="78"/>
  <c r="L112" i="78"/>
  <c r="K112" i="78"/>
  <c r="N113" i="78"/>
  <c r="P113" i="78"/>
  <c r="O113" i="78"/>
  <c r="G91" i="78"/>
  <c r="G87" i="78"/>
  <c r="P103" i="78"/>
  <c r="O103" i="78"/>
  <c r="N103" i="78"/>
  <c r="L90" i="78"/>
  <c r="K90" i="78"/>
  <c r="L86" i="78"/>
  <c r="K86" i="78"/>
  <c r="P93" i="78"/>
  <c r="O93" i="78"/>
  <c r="N93" i="78"/>
  <c r="P89" i="78"/>
  <c r="O89" i="78"/>
  <c r="N89" i="78"/>
  <c r="P101" i="78"/>
  <c r="O101" i="78"/>
  <c r="N101" i="78"/>
  <c r="N106" i="78"/>
  <c r="P106" i="78"/>
  <c r="O106" i="78"/>
  <c r="M86" i="78"/>
  <c r="M90" i="78"/>
  <c r="L99" i="78"/>
  <c r="K99" i="78"/>
  <c r="L105" i="78"/>
  <c r="K105" i="78"/>
  <c r="P112" i="78"/>
  <c r="O112" i="78"/>
  <c r="N112" i="78"/>
  <c r="G92" i="78"/>
  <c r="G88" i="78"/>
  <c r="L114" i="78"/>
  <c r="K114" i="78"/>
  <c r="K111" i="78"/>
  <c r="L111" i="78"/>
  <c r="L100" i="78"/>
  <c r="K100" i="78"/>
  <c r="L223" i="78"/>
  <c r="L227" i="78"/>
  <c r="K223" i="78"/>
  <c r="K227" i="78"/>
  <c r="P108" i="78"/>
  <c r="O108" i="78"/>
  <c r="N108" i="78"/>
  <c r="G89" i="78"/>
  <c r="G149" i="78" s="1"/>
  <c r="J92" i="78"/>
  <c r="J148" i="78" s="1"/>
  <c r="P100" i="78"/>
  <c r="J223" i="78"/>
  <c r="J227" i="78"/>
  <c r="G229" i="78"/>
  <c r="G225" i="78"/>
  <c r="L234" i="78"/>
  <c r="K234" i="78"/>
  <c r="H89" i="78"/>
  <c r="H149" i="78" s="1"/>
  <c r="N90" i="78"/>
  <c r="K92" i="78"/>
  <c r="H225" i="78"/>
  <c r="H229" i="78"/>
  <c r="L236" i="78"/>
  <c r="K236" i="78"/>
  <c r="I87" i="78"/>
  <c r="I147" i="78" s="1"/>
  <c r="I89" i="78"/>
  <c r="I149" i="78" s="1"/>
  <c r="O90" i="78"/>
  <c r="L92" i="78"/>
  <c r="N111" i="78"/>
  <c r="G226" i="78"/>
  <c r="G230" i="78"/>
  <c r="P232" i="78"/>
  <c r="O232" i="78"/>
  <c r="N232" i="78"/>
  <c r="P233" i="78"/>
  <c r="O233" i="78"/>
  <c r="N233" i="78"/>
  <c r="N234" i="78"/>
  <c r="P234" i="78"/>
  <c r="O234" i="78"/>
  <c r="L237" i="78"/>
  <c r="K237" i="78"/>
  <c r="J89" i="78"/>
  <c r="J149" i="78" s="1"/>
  <c r="P90" i="78"/>
  <c r="O111" i="78"/>
  <c r="J228" i="78"/>
  <c r="J224" i="78"/>
  <c r="H226" i="78"/>
  <c r="H230" i="78"/>
  <c r="L235" i="78"/>
  <c r="K235" i="78"/>
  <c r="N87" i="78"/>
  <c r="M223" i="78"/>
  <c r="M227" i="78"/>
  <c r="J229" i="78"/>
  <c r="J225" i="78"/>
  <c r="P237" i="78"/>
  <c r="O237" i="78"/>
  <c r="N237" i="78"/>
  <c r="L238" i="78"/>
  <c r="K238" i="78"/>
  <c r="O87" i="78"/>
  <c r="N94" i="78"/>
  <c r="K103" i="78"/>
  <c r="K110" i="78"/>
  <c r="N227" i="78"/>
  <c r="P223" i="78"/>
  <c r="P227" i="78"/>
  <c r="O223" i="78"/>
  <c r="O227" i="78"/>
  <c r="N223" i="78"/>
  <c r="I226" i="78"/>
  <c r="I230" i="78"/>
  <c r="P235" i="78"/>
  <c r="O235" i="78"/>
  <c r="N235" i="78"/>
  <c r="K239" i="78"/>
  <c r="L239" i="78"/>
  <c r="K241" i="78"/>
  <c r="L241" i="78"/>
  <c r="L244" i="78"/>
  <c r="K244" i="78"/>
  <c r="L247" i="78"/>
  <c r="K247" i="78"/>
  <c r="P115" i="78"/>
  <c r="O115" i="78"/>
  <c r="N115" i="78"/>
  <c r="P87" i="78"/>
  <c r="O94" i="78"/>
  <c r="N105" i="78"/>
  <c r="L225" i="78"/>
  <c r="L229" i="78"/>
  <c r="K225" i="78"/>
  <c r="K229" i="78"/>
  <c r="J91" i="78"/>
  <c r="J147" i="78" s="1"/>
  <c r="O105" i="78"/>
  <c r="K115" i="78"/>
  <c r="P224" i="78"/>
  <c r="P228" i="78"/>
  <c r="O224" i="78"/>
  <c r="O228" i="78"/>
  <c r="N224" i="78"/>
  <c r="N228" i="78"/>
  <c r="J226" i="78"/>
  <c r="J230" i="78"/>
  <c r="N238" i="78"/>
  <c r="P238" i="78"/>
  <c r="O238" i="78"/>
  <c r="O240" i="78"/>
  <c r="N240" i="78"/>
  <c r="P240" i="78"/>
  <c r="P241" i="78"/>
  <c r="N241" i="78"/>
  <c r="O241" i="78"/>
  <c r="N244" i="78"/>
  <c r="O244" i="78"/>
  <c r="P244" i="78"/>
  <c r="L245" i="78"/>
  <c r="K245" i="78"/>
  <c r="L248" i="78"/>
  <c r="K248" i="78"/>
  <c r="L251" i="78"/>
  <c r="K251" i="78"/>
  <c r="N91" i="78"/>
  <c r="N96" i="78"/>
  <c r="K230" i="78"/>
  <c r="L226" i="78"/>
  <c r="L230" i="78"/>
  <c r="K226" i="78"/>
  <c r="O91" i="78"/>
  <c r="O96" i="78"/>
  <c r="N98" i="78"/>
  <c r="K117" i="78"/>
  <c r="G227" i="78"/>
  <c r="G223" i="78"/>
  <c r="F228" i="78"/>
  <c r="F224" i="78"/>
  <c r="M226" i="78"/>
  <c r="M230" i="78"/>
  <c r="O242" i="78"/>
  <c r="N242" i="78"/>
  <c r="P242" i="78"/>
  <c r="P243" i="78"/>
  <c r="O243" i="78"/>
  <c r="N243" i="78"/>
  <c r="P245" i="78"/>
  <c r="O245" i="78"/>
  <c r="N245" i="78"/>
  <c r="P248" i="78"/>
  <c r="O248" i="78"/>
  <c r="N248" i="78"/>
  <c r="L252" i="78"/>
  <c r="K252" i="78"/>
  <c r="P88" i="78"/>
  <c r="P92" i="78"/>
  <c r="O88" i="78"/>
  <c r="O92" i="78"/>
  <c r="N88" i="78"/>
  <c r="O98" i="78"/>
  <c r="P230" i="78"/>
  <c r="P226" i="78"/>
  <c r="O226" i="78"/>
  <c r="N230" i="78"/>
  <c r="N226" i="78"/>
  <c r="O230" i="78"/>
  <c r="L231" i="78"/>
  <c r="K231" i="78"/>
  <c r="N107" i="78"/>
  <c r="P107" i="78"/>
  <c r="N86" i="78"/>
  <c r="K88" i="78"/>
  <c r="O246" i="78"/>
  <c r="N246" i="78"/>
  <c r="P246" i="78"/>
  <c r="O249" i="78"/>
  <c r="N249" i="78"/>
  <c r="P249" i="78"/>
  <c r="P252" i="78"/>
  <c r="O252" i="78"/>
  <c r="N252" i="78"/>
  <c r="O86" i="78"/>
  <c r="N100" i="78"/>
  <c r="I223" i="78"/>
  <c r="I227" i="78"/>
  <c r="O231" i="78"/>
  <c r="N231" i="78"/>
  <c r="P231" i="78"/>
  <c r="L232" i="78"/>
  <c r="K232" i="78"/>
  <c r="K233" i="78"/>
  <c r="L233" i="78"/>
  <c r="O99" i="78"/>
  <c r="N99" i="78"/>
  <c r="N114" i="78"/>
  <c r="P114" i="78"/>
  <c r="F225" i="78"/>
  <c r="F229" i="78"/>
  <c r="L250" i="78"/>
  <c r="K250" i="78"/>
  <c r="L253" i="78"/>
  <c r="K253" i="78"/>
  <c r="F230" i="78"/>
  <c r="H223" i="78"/>
  <c r="H227" i="78"/>
  <c r="K240" i="78"/>
  <c r="K249" i="78"/>
  <c r="O247" i="78"/>
  <c r="N247" i="78"/>
  <c r="P247" i="78"/>
  <c r="P250" i="78"/>
  <c r="O250" i="78"/>
  <c r="P253" i="78"/>
  <c r="O253" i="78"/>
  <c r="N253" i="78"/>
  <c r="L242" i="78"/>
  <c r="K242" i="78"/>
  <c r="N251" i="78"/>
  <c r="P251" i="78"/>
  <c r="O251" i="78"/>
  <c r="O254" i="78"/>
  <c r="N254" i="78"/>
  <c r="K254" i="78"/>
  <c r="M366" i="78"/>
  <c r="N366" i="78"/>
  <c r="L366" i="78"/>
  <c r="P254" i="78"/>
  <c r="P236" i="78"/>
  <c r="N236" i="78"/>
  <c r="O239" i="78"/>
  <c r="P239" i="78"/>
  <c r="N239" i="78"/>
  <c r="L243" i="78"/>
  <c r="K243" i="78"/>
  <c r="L246" i="78"/>
  <c r="K246" i="78"/>
  <c r="F223" i="78"/>
  <c r="F227" i="78"/>
  <c r="L224" i="78"/>
  <c r="L228" i="78"/>
  <c r="K228" i="78"/>
  <c r="I225" i="78"/>
  <c r="I229" i="78"/>
  <c r="M228" i="78"/>
  <c r="J366" i="78"/>
  <c r="J363" i="78"/>
  <c r="N368" i="78"/>
  <c r="M368" i="78"/>
  <c r="M365" i="78"/>
  <c r="N365" i="78"/>
  <c r="L365" i="78"/>
  <c r="M367" i="78"/>
  <c r="L369" i="78"/>
  <c r="M369" i="78"/>
  <c r="J362" i="78"/>
  <c r="I367" i="78"/>
  <c r="J364" i="78"/>
  <c r="E35" i="77"/>
  <c r="E73" i="77"/>
  <c r="E94" i="77"/>
  <c r="AH37" i="77"/>
  <c r="AH30" i="77"/>
  <c r="Q27" i="77"/>
  <c r="AH38" i="77"/>
  <c r="AH31" i="77"/>
  <c r="AH39" i="77"/>
  <c r="Q28" i="77"/>
  <c r="AH35" i="77"/>
  <c r="Q29" i="77"/>
  <c r="AH36" i="77"/>
  <c r="AH29" i="77"/>
  <c r="Q26" i="77"/>
  <c r="AH34" i="77"/>
  <c r="AH28" i="77"/>
  <c r="AH33" i="77"/>
  <c r="AH32" i="77"/>
  <c r="N23" i="76"/>
  <c r="K23" i="76"/>
  <c r="L23" i="76"/>
  <c r="G23" i="76"/>
  <c r="AA30" i="77" a="1"/>
  <c r="AA30" i="77" s="1"/>
  <c r="AF149" i="77"/>
  <c r="O123" i="77"/>
  <c r="F128" i="77"/>
  <c r="H26" i="76"/>
  <c r="J26" i="76"/>
  <c r="J29" i="77" a="1"/>
  <c r="J29" i="77" s="1"/>
  <c r="F26" i="76"/>
  <c r="K26" i="76"/>
  <c r="AB29" i="77" a="1"/>
  <c r="AB29" i="77" s="1"/>
  <c r="AC29" i="77" a="1"/>
  <c r="AC29" i="77" s="1"/>
  <c r="AF97" i="77"/>
  <c r="O85" i="77"/>
  <c r="I25" i="76"/>
  <c r="E27" i="77" a="1"/>
  <c r="E27" i="77" s="1"/>
  <c r="F27" i="77" s="1" a="1"/>
  <c r="F27" i="77" s="1"/>
  <c r="L29" i="77" a="1"/>
  <c r="L29" i="77" s="1"/>
  <c r="AA32" i="77" a="1"/>
  <c r="AA32" i="77" s="1"/>
  <c r="AB34" i="77" a="1"/>
  <c r="AB34" i="77" s="1"/>
  <c r="AF83" i="77"/>
  <c r="H25" i="76"/>
  <c r="AA28" i="77" a="1"/>
  <c r="AA28" i="77" s="1"/>
  <c r="K25" i="76"/>
  <c r="J28" i="77" a="1"/>
  <c r="J28" i="77" s="1"/>
  <c r="AA39" i="77" a="1"/>
  <c r="AA39" i="77" s="1"/>
  <c r="L25" i="76"/>
  <c r="AB32" i="77" a="1"/>
  <c r="AB32" i="77" s="1"/>
  <c r="AC34" i="77" a="1"/>
  <c r="AC34" i="77" s="1"/>
  <c r="AF85" i="77"/>
  <c r="M25" i="76"/>
  <c r="E26" i="77" a="1"/>
  <c r="E26" i="77" s="1"/>
  <c r="F26" i="77" s="1" a="1"/>
  <c r="F26" i="77" s="1"/>
  <c r="K26" i="77" s="1" a="1"/>
  <c r="K26" i="77" s="1"/>
  <c r="AC28" i="77" a="1"/>
  <c r="AC28" i="77" s="1"/>
  <c r="AA31" i="77" a="1"/>
  <c r="AA31" i="77" s="1"/>
  <c r="V37" i="77" a="1"/>
  <c r="V37" i="77" s="1"/>
  <c r="W37" i="77" s="1" a="1"/>
  <c r="W37" i="77" s="1"/>
  <c r="AA38" i="77" a="1"/>
  <c r="AA38" i="77" s="1"/>
  <c r="AB39" i="77" a="1"/>
  <c r="AB39" i="77" s="1"/>
  <c r="AF76" i="77"/>
  <c r="AF84" i="77"/>
  <c r="AC39" i="77" a="1"/>
  <c r="AC39" i="77" s="1"/>
  <c r="AB30" i="77" a="1"/>
  <c r="AB30" i="77" s="1"/>
  <c r="AC31" i="77" a="1"/>
  <c r="AC31" i="77" s="1"/>
  <c r="AA36" i="77" a="1"/>
  <c r="AA36" i="77" s="1"/>
  <c r="AC38" i="77" a="1"/>
  <c r="AC38" i="77" s="1"/>
  <c r="AF87" i="77"/>
  <c r="AA29" i="77" a="1"/>
  <c r="AA29" i="77" s="1"/>
  <c r="V35" i="77" a="1"/>
  <c r="V35" i="77" s="1"/>
  <c r="W35" i="77" s="1" a="1"/>
  <c r="W35" i="77" s="1"/>
  <c r="AB35" i="77" s="1" a="1"/>
  <c r="AB35" i="77" s="1"/>
  <c r="V33" i="77" a="1"/>
  <c r="V33" i="77" s="1"/>
  <c r="W33" i="77" s="1" a="1"/>
  <c r="W33" i="77" s="1"/>
  <c r="AB33" i="77" s="1" a="1"/>
  <c r="AB33" i="77" s="1"/>
  <c r="AC36" i="77" a="1"/>
  <c r="AC36" i="77" s="1"/>
  <c r="AF78" i="77"/>
  <c r="O66" i="77"/>
  <c r="O64" i="77"/>
  <c r="O65" i="77"/>
  <c r="AF81" i="77"/>
  <c r="AF82" i="77"/>
  <c r="AF86" i="77"/>
  <c r="O107" i="77"/>
  <c r="E115" i="77"/>
  <c r="F28" i="76"/>
  <c r="H30" i="76"/>
  <c r="E23" i="76"/>
  <c r="G28" i="76"/>
  <c r="I30" i="76"/>
  <c r="H23" i="76"/>
  <c r="E29" i="76"/>
  <c r="M30" i="76"/>
  <c r="H34" i="76"/>
  <c r="I23" i="76"/>
  <c r="E26" i="76"/>
  <c r="F29" i="76"/>
  <c r="N30" i="76"/>
  <c r="J34" i="76"/>
  <c r="J30" i="76"/>
  <c r="G29" i="76"/>
  <c r="I29" i="76"/>
  <c r="J29" i="76"/>
  <c r="G31" i="76"/>
  <c r="F31" i="76"/>
  <c r="L30" i="76"/>
  <c r="K29" i="76"/>
  <c r="L26" i="76"/>
  <c r="L29" i="76"/>
  <c r="K31" i="76"/>
  <c r="N26" i="76"/>
  <c r="M29" i="76"/>
  <c r="L31" i="76"/>
  <c r="M23" i="76"/>
  <c r="H31" i="76"/>
  <c r="G25" i="76"/>
  <c r="N29" i="76"/>
  <c r="M31" i="76"/>
  <c r="L32" i="76"/>
  <c r="K32" i="76"/>
  <c r="J32" i="76"/>
  <c r="H32" i="76"/>
  <c r="G32" i="76"/>
  <c r="M32" i="76"/>
  <c r="L122" i="76"/>
  <c r="M123" i="76"/>
  <c r="N27" i="76"/>
  <c r="E24" i="76"/>
  <c r="E32" i="76"/>
  <c r="N123" i="76"/>
  <c r="M28" i="76"/>
  <c r="L28" i="76"/>
  <c r="J28" i="76"/>
  <c r="I28" i="76"/>
  <c r="E28" i="76"/>
  <c r="N28" i="76"/>
  <c r="N24" i="76"/>
  <c r="L24" i="76"/>
  <c r="K24" i="76"/>
  <c r="G24" i="76"/>
  <c r="F32" i="76"/>
  <c r="I32" i="76"/>
  <c r="N124" i="76"/>
  <c r="O124" i="76" s="1"/>
  <c r="F24" i="76"/>
  <c r="H24" i="76"/>
  <c r="K28" i="76"/>
  <c r="I24" i="76"/>
  <c r="N32" i="76"/>
  <c r="N33" i="76"/>
  <c r="M33" i="76"/>
  <c r="K33" i="76"/>
  <c r="J33" i="76"/>
  <c r="F33" i="76"/>
  <c r="M24" i="76"/>
  <c r="E33" i="76"/>
  <c r="G33" i="76"/>
  <c r="N121" i="76"/>
  <c r="O121" i="76" s="1"/>
  <c r="J27" i="76"/>
  <c r="I27" i="76"/>
  <c r="G27" i="76"/>
  <c r="F27" i="76"/>
  <c r="L27" i="76"/>
  <c r="K27" i="76"/>
  <c r="H33" i="76"/>
  <c r="E27" i="76"/>
  <c r="I33" i="76"/>
  <c r="H27" i="76"/>
  <c r="L33" i="76"/>
  <c r="E25" i="76"/>
  <c r="I31" i="76"/>
  <c r="F25" i="76"/>
  <c r="I26" i="76"/>
  <c r="G30" i="76"/>
  <c r="J31" i="76"/>
  <c r="E34" i="76"/>
  <c r="J25" i="76"/>
  <c r="M26" i="76"/>
  <c r="K30" i="76"/>
  <c r="N31" i="76"/>
  <c r="E30" i="76"/>
  <c r="E26" i="13" a="1"/>
  <c r="E26" i="13" s="1"/>
  <c r="H26" i="13" s="1"/>
  <c r="D37" i="13" a="1"/>
  <c r="D37" i="13" s="1"/>
  <c r="D48" i="13" a="1"/>
  <c r="D48" i="13" s="1"/>
  <c r="F67" i="13"/>
  <c r="F66" i="13"/>
  <c r="E53" i="13"/>
  <c r="F64" i="13"/>
  <c r="F63" i="13"/>
  <c r="D33" i="13" a="1"/>
  <c r="D33" i="13" s="1"/>
  <c r="E13" i="72"/>
  <c r="D4" i="13" s="1"/>
  <c r="E18" i="75"/>
  <c r="E259" i="74" a="1"/>
  <c r="E259" i="74" s="1"/>
  <c r="D259" i="74" a="1"/>
  <c r="D259" i="74" s="1"/>
  <c r="E258" i="74" a="1"/>
  <c r="E258" i="74" s="1"/>
  <c r="D258" i="74" a="1"/>
  <c r="D258" i="74" s="1"/>
  <c r="D256" i="74" a="1"/>
  <c r="D256" i="74" s="1"/>
  <c r="D255" i="74" a="1"/>
  <c r="D255" i="74" s="1"/>
  <c r="D254" i="74" a="1"/>
  <c r="D254" i="74" s="1"/>
  <c r="D253" i="74" a="1"/>
  <c r="D253" i="74" s="1"/>
  <c r="S250" i="74" a="1"/>
  <c r="S250" i="74" s="1"/>
  <c r="R250" i="74" a="1"/>
  <c r="R250" i="74" s="1"/>
  <c r="Q250" i="74" a="1"/>
  <c r="Q250" i="74" s="1"/>
  <c r="P250" i="74" a="1"/>
  <c r="P250" i="74" s="1"/>
  <c r="O250" i="74" a="1"/>
  <c r="O250" i="74" s="1"/>
  <c r="N250" i="74" a="1"/>
  <c r="N250" i="74" s="1"/>
  <c r="M250" i="74" a="1"/>
  <c r="M250" i="74" s="1"/>
  <c r="L250" i="74" a="1"/>
  <c r="L250" i="74" s="1"/>
  <c r="K250" i="74" a="1"/>
  <c r="K250" i="74" s="1"/>
  <c r="J250" i="74" a="1"/>
  <c r="J250" i="74" s="1"/>
  <c r="I250" i="74" a="1"/>
  <c r="I250" i="74" s="1"/>
  <c r="H250" i="74" a="1"/>
  <c r="H250" i="74" s="1"/>
  <c r="G250" i="74" a="1"/>
  <c r="G250" i="74" s="1"/>
  <c r="F250" i="74" a="1"/>
  <c r="F250" i="74" s="1"/>
  <c r="E250" i="74" a="1"/>
  <c r="E250" i="74" s="1"/>
  <c r="D250" i="74" a="1"/>
  <c r="D250" i="74" s="1"/>
  <c r="S249" i="74" a="1"/>
  <c r="S249" i="74" s="1"/>
  <c r="R249" i="74" a="1"/>
  <c r="R249" i="74" s="1"/>
  <c r="Q249" i="74" a="1"/>
  <c r="Q249" i="74" s="1"/>
  <c r="P249" i="74" a="1"/>
  <c r="P249" i="74" s="1"/>
  <c r="O249" i="74" a="1"/>
  <c r="O249" i="74" s="1"/>
  <c r="N249" i="74" a="1"/>
  <c r="N249" i="74" s="1"/>
  <c r="M249" i="74" a="1"/>
  <c r="M249" i="74" s="1"/>
  <c r="L249" i="74" a="1"/>
  <c r="L249" i="74" s="1"/>
  <c r="K249" i="74" a="1"/>
  <c r="K249" i="74" s="1"/>
  <c r="J249" i="74" a="1"/>
  <c r="J249" i="74" s="1"/>
  <c r="I249" i="74" a="1"/>
  <c r="I249" i="74" s="1"/>
  <c r="H249" i="74" a="1"/>
  <c r="H249" i="74" s="1"/>
  <c r="G249" i="74" a="1"/>
  <c r="G249" i="74" s="1"/>
  <c r="F249" i="74" a="1"/>
  <c r="F249" i="74" s="1"/>
  <c r="E249" i="74" a="1"/>
  <c r="E249" i="74" s="1"/>
  <c r="D249" i="74" a="1"/>
  <c r="D249" i="74" s="1"/>
  <c r="S248" i="74" a="1"/>
  <c r="S248" i="74" s="1"/>
  <c r="R248" i="74" a="1"/>
  <c r="R248" i="74" s="1"/>
  <c r="Q248" i="74" a="1"/>
  <c r="Q248" i="74" s="1"/>
  <c r="P248" i="74" a="1"/>
  <c r="P248" i="74" s="1"/>
  <c r="O248" i="74" a="1"/>
  <c r="O248" i="74" s="1"/>
  <c r="N248" i="74" a="1"/>
  <c r="N248" i="74" s="1"/>
  <c r="M248" i="74" a="1"/>
  <c r="M248" i="74" s="1"/>
  <c r="L248" i="74" a="1"/>
  <c r="L248" i="74" s="1"/>
  <c r="K248" i="74" a="1"/>
  <c r="K248" i="74" s="1"/>
  <c r="J248" i="74" a="1"/>
  <c r="J248" i="74" s="1"/>
  <c r="I248" i="74" a="1"/>
  <c r="I248" i="74" s="1"/>
  <c r="H248" i="74" a="1"/>
  <c r="H248" i="74" s="1"/>
  <c r="G248" i="74" a="1"/>
  <c r="G248" i="74" s="1"/>
  <c r="F248" i="74" a="1"/>
  <c r="F248" i="74" s="1"/>
  <c r="E248" i="74" a="1"/>
  <c r="E248" i="74" s="1"/>
  <c r="D248" i="74" a="1"/>
  <c r="D248" i="74" s="1"/>
  <c r="S247" i="74" a="1"/>
  <c r="S247" i="74" s="1"/>
  <c r="R247" i="74" a="1"/>
  <c r="R247" i="74" s="1"/>
  <c r="Q247" i="74" a="1"/>
  <c r="Q247" i="74" s="1"/>
  <c r="P247" i="74" a="1"/>
  <c r="P247" i="74" s="1"/>
  <c r="O247" i="74" a="1"/>
  <c r="O247" i="74" s="1"/>
  <c r="N247" i="74" a="1"/>
  <c r="N247" i="74" s="1"/>
  <c r="M247" i="74" a="1"/>
  <c r="M247" i="74" s="1"/>
  <c r="L247" i="74" a="1"/>
  <c r="L247" i="74" s="1"/>
  <c r="K247" i="74" a="1"/>
  <c r="K247" i="74" s="1"/>
  <c r="J247" i="74" a="1"/>
  <c r="J247" i="74" s="1"/>
  <c r="I247" i="74" a="1"/>
  <c r="I247" i="74" s="1"/>
  <c r="H247" i="74" a="1"/>
  <c r="H247" i="74" s="1"/>
  <c r="G247" i="74" a="1"/>
  <c r="G247" i="74" s="1"/>
  <c r="F247" i="74" a="1"/>
  <c r="F247" i="74" s="1"/>
  <c r="E247" i="74" a="1"/>
  <c r="E247" i="74" s="1"/>
  <c r="D247" i="74" a="1"/>
  <c r="D247" i="74" s="1"/>
  <c r="S246" i="74" a="1"/>
  <c r="S246" i="74" s="1"/>
  <c r="R246" i="74" a="1"/>
  <c r="R246" i="74" s="1"/>
  <c r="Q246" i="74" a="1"/>
  <c r="Q246" i="74" s="1"/>
  <c r="P246" i="74" a="1"/>
  <c r="P246" i="74" s="1"/>
  <c r="O246" i="74" a="1"/>
  <c r="O246" i="74" s="1"/>
  <c r="N246" i="74" a="1"/>
  <c r="N246" i="74" s="1"/>
  <c r="M246" i="74" a="1"/>
  <c r="M246" i="74" s="1"/>
  <c r="L246" i="74" a="1"/>
  <c r="L246" i="74" s="1"/>
  <c r="K246" i="74" a="1"/>
  <c r="K246" i="74" s="1"/>
  <c r="J246" i="74" a="1"/>
  <c r="J246" i="74" s="1"/>
  <c r="I246" i="74" a="1"/>
  <c r="I246" i="74" s="1"/>
  <c r="H246" i="74" a="1"/>
  <c r="H246" i="74" s="1"/>
  <c r="G246" i="74" a="1"/>
  <c r="G246" i="74" s="1"/>
  <c r="F246" i="74" a="1"/>
  <c r="F246" i="74" s="1"/>
  <c r="E246" i="74" a="1"/>
  <c r="E246" i="74" s="1"/>
  <c r="D246" i="74" a="1"/>
  <c r="D246" i="74" s="1"/>
  <c r="S245" i="74" a="1"/>
  <c r="S245" i="74" s="1"/>
  <c r="R245" i="74" a="1"/>
  <c r="R245" i="74" s="1"/>
  <c r="Q245" i="74" a="1"/>
  <c r="Q245" i="74" s="1"/>
  <c r="P245" i="74" a="1"/>
  <c r="P245" i="74" s="1"/>
  <c r="O245" i="74" a="1"/>
  <c r="O245" i="74" s="1"/>
  <c r="N245" i="74" a="1"/>
  <c r="N245" i="74" s="1"/>
  <c r="M245" i="74" a="1"/>
  <c r="M245" i="74" s="1"/>
  <c r="L245" i="74" a="1"/>
  <c r="L245" i="74" s="1"/>
  <c r="K245" i="74" a="1"/>
  <c r="K245" i="74" s="1"/>
  <c r="J245" i="74" a="1"/>
  <c r="J245" i="74" s="1"/>
  <c r="I245" i="74" a="1"/>
  <c r="I245" i="74" s="1"/>
  <c r="H245" i="74" a="1"/>
  <c r="H245" i="74" s="1"/>
  <c r="G245" i="74" a="1"/>
  <c r="G245" i="74" s="1"/>
  <c r="F245" i="74" a="1"/>
  <c r="F245" i="74" s="1"/>
  <c r="E245" i="74" a="1"/>
  <c r="E245" i="74" s="1"/>
  <c r="D245" i="74" a="1"/>
  <c r="D245" i="74" s="1"/>
  <c r="S244" i="74" a="1"/>
  <c r="S244" i="74" s="1"/>
  <c r="R244" i="74" a="1"/>
  <c r="R244" i="74" s="1"/>
  <c r="Q244" i="74" a="1"/>
  <c r="Q244" i="74" s="1"/>
  <c r="P244" i="74" a="1"/>
  <c r="P244" i="74" s="1"/>
  <c r="O244" i="74" a="1"/>
  <c r="O244" i="74" s="1"/>
  <c r="N244" i="74" a="1"/>
  <c r="N244" i="74" s="1"/>
  <c r="M244" i="74" a="1"/>
  <c r="M244" i="74" s="1"/>
  <c r="L244" i="74" a="1"/>
  <c r="L244" i="74" s="1"/>
  <c r="K244" i="74" a="1"/>
  <c r="K244" i="74" s="1"/>
  <c r="J244" i="74" a="1"/>
  <c r="J244" i="74" s="1"/>
  <c r="I244" i="74" a="1"/>
  <c r="I244" i="74" s="1"/>
  <c r="H244" i="74" a="1"/>
  <c r="H244" i="74" s="1"/>
  <c r="G244" i="74" a="1"/>
  <c r="G244" i="74" s="1"/>
  <c r="F244" i="74" a="1"/>
  <c r="F244" i="74" s="1"/>
  <c r="E244" i="74" a="1"/>
  <c r="E244" i="74" s="1"/>
  <c r="D244" i="74" a="1"/>
  <c r="D244" i="74" s="1"/>
  <c r="S243" i="74" a="1"/>
  <c r="S243" i="74" s="1"/>
  <c r="R243" i="74" a="1"/>
  <c r="R243" i="74" s="1"/>
  <c r="Q243" i="74" a="1"/>
  <c r="Q243" i="74" s="1"/>
  <c r="P243" i="74" a="1"/>
  <c r="P243" i="74" s="1"/>
  <c r="O243" i="74" a="1"/>
  <c r="O243" i="74" s="1"/>
  <c r="N243" i="74" a="1"/>
  <c r="N243" i="74" s="1"/>
  <c r="M243" i="74" a="1"/>
  <c r="M243" i="74" s="1"/>
  <c r="L243" i="74" a="1"/>
  <c r="L243" i="74" s="1"/>
  <c r="K243" i="74" a="1"/>
  <c r="K243" i="74" s="1"/>
  <c r="J243" i="74" a="1"/>
  <c r="J243" i="74" s="1"/>
  <c r="I243" i="74" a="1"/>
  <c r="I243" i="74" s="1"/>
  <c r="H243" i="74" a="1"/>
  <c r="H243" i="74" s="1"/>
  <c r="G243" i="74" a="1"/>
  <c r="G243" i="74" s="1"/>
  <c r="F243" i="74" a="1"/>
  <c r="F243" i="74" s="1"/>
  <c r="E243" i="74" a="1"/>
  <c r="E243" i="74" s="1"/>
  <c r="D243" i="74" a="1"/>
  <c r="D243" i="74" s="1"/>
  <c r="S242" i="74" a="1"/>
  <c r="S242" i="74" s="1"/>
  <c r="R242" i="74" a="1"/>
  <c r="R242" i="74" s="1"/>
  <c r="Q242" i="74" a="1"/>
  <c r="Q242" i="74" s="1"/>
  <c r="P242" i="74" a="1"/>
  <c r="P242" i="74" s="1"/>
  <c r="O242" i="74" a="1"/>
  <c r="O242" i="74" s="1"/>
  <c r="N242" i="74" a="1"/>
  <c r="N242" i="74" s="1"/>
  <c r="M242" i="74" a="1"/>
  <c r="M242" i="74" s="1"/>
  <c r="L242" i="74" a="1"/>
  <c r="L242" i="74" s="1"/>
  <c r="K242" i="74" a="1"/>
  <c r="K242" i="74" s="1"/>
  <c r="J242" i="74" a="1"/>
  <c r="J242" i="74" s="1"/>
  <c r="I242" i="74" a="1"/>
  <c r="I242" i="74" s="1"/>
  <c r="H242" i="74" a="1"/>
  <c r="H242" i="74" s="1"/>
  <c r="G242" i="74" a="1"/>
  <c r="G242" i="74" s="1"/>
  <c r="F242" i="74" a="1"/>
  <c r="F242" i="74" s="1"/>
  <c r="E242" i="74" a="1"/>
  <c r="E242" i="74" s="1"/>
  <c r="D242" i="74" a="1"/>
  <c r="D242" i="74" s="1"/>
  <c r="S241" i="74" a="1"/>
  <c r="S241" i="74" s="1"/>
  <c r="R241" i="74" a="1"/>
  <c r="R241" i="74" s="1"/>
  <c r="Q241" i="74" a="1"/>
  <c r="Q241" i="74" s="1"/>
  <c r="P241" i="74" a="1"/>
  <c r="P241" i="74" s="1"/>
  <c r="O241" i="74" a="1"/>
  <c r="O241" i="74" s="1"/>
  <c r="N241" i="74" a="1"/>
  <c r="N241" i="74" s="1"/>
  <c r="M241" i="74" a="1"/>
  <c r="M241" i="74" s="1"/>
  <c r="L241" i="74" a="1"/>
  <c r="L241" i="74" s="1"/>
  <c r="K241" i="74" a="1"/>
  <c r="K241" i="74" s="1"/>
  <c r="J241" i="74" a="1"/>
  <c r="J241" i="74" s="1"/>
  <c r="I241" i="74" a="1"/>
  <c r="I241" i="74" s="1"/>
  <c r="H241" i="74" a="1"/>
  <c r="H241" i="74" s="1"/>
  <c r="G241" i="74" a="1"/>
  <c r="G241" i="74" s="1"/>
  <c r="F241" i="74" a="1"/>
  <c r="F241" i="74" s="1"/>
  <c r="E241" i="74" a="1"/>
  <c r="E241" i="74" s="1"/>
  <c r="D241" i="74" a="1"/>
  <c r="D241" i="74" s="1"/>
  <c r="S240" i="74" a="1"/>
  <c r="S240" i="74" s="1"/>
  <c r="R240" i="74" a="1"/>
  <c r="R240" i="74" s="1"/>
  <c r="Q240" i="74" a="1"/>
  <c r="Q240" i="74" s="1"/>
  <c r="P240" i="74" a="1"/>
  <c r="P240" i="74" s="1"/>
  <c r="O240" i="74" a="1"/>
  <c r="O240" i="74" s="1"/>
  <c r="N240" i="74" a="1"/>
  <c r="N240" i="74" s="1"/>
  <c r="M240" i="74" a="1"/>
  <c r="M240" i="74" s="1"/>
  <c r="L240" i="74" a="1"/>
  <c r="L240" i="74" s="1"/>
  <c r="K240" i="74" a="1"/>
  <c r="K240" i="74" s="1"/>
  <c r="J240" i="74" a="1"/>
  <c r="J240" i="74" s="1"/>
  <c r="I240" i="74" a="1"/>
  <c r="I240" i="74" s="1"/>
  <c r="H240" i="74" a="1"/>
  <c r="H240" i="74" s="1"/>
  <c r="G240" i="74" a="1"/>
  <c r="G240" i="74" s="1"/>
  <c r="F240" i="74" a="1"/>
  <c r="F240" i="74" s="1"/>
  <c r="E240" i="74" a="1"/>
  <c r="E240" i="74" s="1"/>
  <c r="D240" i="74" a="1"/>
  <c r="D240" i="74" s="1"/>
  <c r="S239" i="74" a="1"/>
  <c r="S239" i="74" s="1"/>
  <c r="R239" i="74" a="1"/>
  <c r="R239" i="74" s="1"/>
  <c r="Q239" i="74" a="1"/>
  <c r="Q239" i="74" s="1"/>
  <c r="P239" i="74" a="1"/>
  <c r="P239" i="74" s="1"/>
  <c r="O239" i="74" a="1"/>
  <c r="O239" i="74" s="1"/>
  <c r="N239" i="74" a="1"/>
  <c r="N239" i="74" s="1"/>
  <c r="M239" i="74" a="1"/>
  <c r="M239" i="74" s="1"/>
  <c r="L239" i="74" a="1"/>
  <c r="L239" i="74" s="1"/>
  <c r="K239" i="74" a="1"/>
  <c r="K239" i="74" s="1"/>
  <c r="J239" i="74" a="1"/>
  <c r="J239" i="74" s="1"/>
  <c r="I239" i="74" a="1"/>
  <c r="I239" i="74" s="1"/>
  <c r="H239" i="74" a="1"/>
  <c r="H239" i="74" s="1"/>
  <c r="G239" i="74" a="1"/>
  <c r="G239" i="74" s="1"/>
  <c r="F239" i="74" a="1"/>
  <c r="F239" i="74" s="1"/>
  <c r="E239" i="74" a="1"/>
  <c r="E239" i="74" s="1"/>
  <c r="D239" i="74" a="1"/>
  <c r="D239" i="74" s="1"/>
  <c r="S238" i="74" a="1"/>
  <c r="S238" i="74" s="1"/>
  <c r="R238" i="74" a="1"/>
  <c r="R238" i="74" s="1"/>
  <c r="Q238" i="74" a="1"/>
  <c r="Q238" i="74" s="1"/>
  <c r="P238" i="74" a="1"/>
  <c r="P238" i="74" s="1"/>
  <c r="O238" i="74" a="1"/>
  <c r="O238" i="74" s="1"/>
  <c r="N238" i="74" a="1"/>
  <c r="N238" i="74" s="1"/>
  <c r="M238" i="74" a="1"/>
  <c r="M238" i="74" s="1"/>
  <c r="L238" i="74" a="1"/>
  <c r="L238" i="74" s="1"/>
  <c r="K238" i="74" a="1"/>
  <c r="K238" i="74" s="1"/>
  <c r="J238" i="74" a="1"/>
  <c r="J238" i="74" s="1"/>
  <c r="I238" i="74" a="1"/>
  <c r="I238" i="74" s="1"/>
  <c r="H238" i="74" a="1"/>
  <c r="H238" i="74" s="1"/>
  <c r="G238" i="74" a="1"/>
  <c r="G238" i="74" s="1"/>
  <c r="F238" i="74" a="1"/>
  <c r="F238" i="74" s="1"/>
  <c r="E238" i="74" a="1"/>
  <c r="E238" i="74" s="1"/>
  <c r="D238" i="74" a="1"/>
  <c r="D238" i="74" s="1"/>
  <c r="S237" i="74" a="1"/>
  <c r="S237" i="74" s="1"/>
  <c r="R237" i="74" a="1"/>
  <c r="R237" i="74" s="1"/>
  <c r="Q237" i="74" a="1"/>
  <c r="Q237" i="74" s="1"/>
  <c r="P237" i="74" a="1"/>
  <c r="P237" i="74" s="1"/>
  <c r="O237" i="74" a="1"/>
  <c r="O237" i="74" s="1"/>
  <c r="N237" i="74" a="1"/>
  <c r="N237" i="74" s="1"/>
  <c r="M237" i="74" a="1"/>
  <c r="M237" i="74" s="1"/>
  <c r="L237" i="74" a="1"/>
  <c r="L237" i="74" s="1"/>
  <c r="K237" i="74" a="1"/>
  <c r="K237" i="74" s="1"/>
  <c r="J237" i="74" a="1"/>
  <c r="J237" i="74" s="1"/>
  <c r="I237" i="74" a="1"/>
  <c r="I237" i="74" s="1"/>
  <c r="H237" i="74" a="1"/>
  <c r="H237" i="74" s="1"/>
  <c r="G237" i="74" a="1"/>
  <c r="G237" i="74" s="1"/>
  <c r="F237" i="74" a="1"/>
  <c r="F237" i="74" s="1"/>
  <c r="E237" i="74" a="1"/>
  <c r="E237" i="74" s="1"/>
  <c r="D237" i="74" a="1"/>
  <c r="D237" i="74" s="1"/>
  <c r="S236" i="74" a="1"/>
  <c r="S236" i="74" s="1"/>
  <c r="R236" i="74" a="1"/>
  <c r="R236" i="74" s="1"/>
  <c r="Q236" i="74" a="1"/>
  <c r="Q236" i="74" s="1"/>
  <c r="P236" i="74" a="1"/>
  <c r="P236" i="74" s="1"/>
  <c r="O236" i="74" a="1"/>
  <c r="O236" i="74" s="1"/>
  <c r="N236" i="74" a="1"/>
  <c r="N236" i="74" s="1"/>
  <c r="M236" i="74" a="1"/>
  <c r="M236" i="74" s="1"/>
  <c r="L236" i="74" a="1"/>
  <c r="L236" i="74" s="1"/>
  <c r="K236" i="74" a="1"/>
  <c r="K236" i="74" s="1"/>
  <c r="J236" i="74" a="1"/>
  <c r="J236" i="74" s="1"/>
  <c r="I236" i="74" a="1"/>
  <c r="I236" i="74" s="1"/>
  <c r="H236" i="74" a="1"/>
  <c r="H236" i="74" s="1"/>
  <c r="G236" i="74" a="1"/>
  <c r="G236" i="74" s="1"/>
  <c r="F236" i="74" a="1"/>
  <c r="F236" i="74" s="1"/>
  <c r="E236" i="74" a="1"/>
  <c r="E236" i="74" s="1"/>
  <c r="D236" i="74" a="1"/>
  <c r="D236" i="74" s="1"/>
  <c r="S235" i="74" a="1"/>
  <c r="S235" i="74" s="1"/>
  <c r="R235" i="74" a="1"/>
  <c r="R235" i="74" s="1"/>
  <c r="Q235" i="74" a="1"/>
  <c r="Q235" i="74" s="1"/>
  <c r="P235" i="74" a="1"/>
  <c r="P235" i="74" s="1"/>
  <c r="O235" i="74" a="1"/>
  <c r="O235" i="74" s="1"/>
  <c r="N235" i="74" a="1"/>
  <c r="N235" i="74" s="1"/>
  <c r="M235" i="74" a="1"/>
  <c r="M235" i="74" s="1"/>
  <c r="L235" i="74" a="1"/>
  <c r="L235" i="74" s="1"/>
  <c r="K235" i="74" a="1"/>
  <c r="K235" i="74" s="1"/>
  <c r="J235" i="74" a="1"/>
  <c r="J235" i="74" s="1"/>
  <c r="I235" i="74" a="1"/>
  <c r="I235" i="74" s="1"/>
  <c r="H235" i="74" a="1"/>
  <c r="H235" i="74" s="1"/>
  <c r="G235" i="74" a="1"/>
  <c r="G235" i="74" s="1"/>
  <c r="F235" i="74" a="1"/>
  <c r="F235" i="74" s="1"/>
  <c r="E235" i="74" a="1"/>
  <c r="E235" i="74" s="1"/>
  <c r="D235" i="74" a="1"/>
  <c r="D235" i="74" s="1"/>
  <c r="S234" i="74" a="1"/>
  <c r="S234" i="74" s="1"/>
  <c r="R234" i="74" a="1"/>
  <c r="R234" i="74" s="1"/>
  <c r="Q234" i="74" a="1"/>
  <c r="Q234" i="74" s="1"/>
  <c r="P234" i="74" a="1"/>
  <c r="P234" i="74" s="1"/>
  <c r="O234" i="74" a="1"/>
  <c r="O234" i="74" s="1"/>
  <c r="N234" i="74" a="1"/>
  <c r="N234" i="74" s="1"/>
  <c r="M234" i="74" a="1"/>
  <c r="M234" i="74" s="1"/>
  <c r="L234" i="74" a="1"/>
  <c r="L234" i="74" s="1"/>
  <c r="K234" i="74" a="1"/>
  <c r="K234" i="74" s="1"/>
  <c r="J234" i="74" a="1"/>
  <c r="J234" i="74" s="1"/>
  <c r="I234" i="74" a="1"/>
  <c r="I234" i="74" s="1"/>
  <c r="H234" i="74" a="1"/>
  <c r="H234" i="74" s="1"/>
  <c r="G234" i="74" a="1"/>
  <c r="G234" i="74" s="1"/>
  <c r="F234" i="74" a="1"/>
  <c r="F234" i="74" s="1"/>
  <c r="E234" i="74" a="1"/>
  <c r="E234" i="74" s="1"/>
  <c r="D234" i="74" a="1"/>
  <c r="D234" i="74" s="1"/>
  <c r="S233" i="74" a="1"/>
  <c r="S233" i="74" s="1"/>
  <c r="R233" i="74" a="1"/>
  <c r="R233" i="74" s="1"/>
  <c r="Q233" i="74" a="1"/>
  <c r="Q233" i="74" s="1"/>
  <c r="P233" i="74" a="1"/>
  <c r="P233" i="74" s="1"/>
  <c r="O233" i="74" a="1"/>
  <c r="O233" i="74" s="1"/>
  <c r="N233" i="74" a="1"/>
  <c r="N233" i="74" s="1"/>
  <c r="M233" i="74" a="1"/>
  <c r="M233" i="74" s="1"/>
  <c r="L233" i="74" a="1"/>
  <c r="L233" i="74" s="1"/>
  <c r="K233" i="74" a="1"/>
  <c r="K233" i="74" s="1"/>
  <c r="J233" i="74" a="1"/>
  <c r="J233" i="74" s="1"/>
  <c r="I233" i="74" a="1"/>
  <c r="I233" i="74" s="1"/>
  <c r="H233" i="74" a="1"/>
  <c r="H233" i="74" s="1"/>
  <c r="G233" i="74" a="1"/>
  <c r="G233" i="74" s="1"/>
  <c r="F233" i="74" a="1"/>
  <c r="F233" i="74" s="1"/>
  <c r="E233" i="74" a="1"/>
  <c r="E233" i="74" s="1"/>
  <c r="D233" i="74" a="1"/>
  <c r="D233" i="74" s="1"/>
  <c r="S232" i="74" a="1"/>
  <c r="S232" i="74" s="1"/>
  <c r="R232" i="74" a="1"/>
  <c r="R232" i="74" s="1"/>
  <c r="Q232" i="74" a="1"/>
  <c r="Q232" i="74" s="1"/>
  <c r="P232" i="74" a="1"/>
  <c r="P232" i="74" s="1"/>
  <c r="O232" i="74" a="1"/>
  <c r="O232" i="74" s="1"/>
  <c r="N232" i="74" a="1"/>
  <c r="N232" i="74" s="1"/>
  <c r="M232" i="74" a="1"/>
  <c r="M232" i="74" s="1"/>
  <c r="L232" i="74" a="1"/>
  <c r="L232" i="74" s="1"/>
  <c r="K232" i="74" a="1"/>
  <c r="K232" i="74" s="1"/>
  <c r="J232" i="74" a="1"/>
  <c r="J232" i="74" s="1"/>
  <c r="I232" i="74" a="1"/>
  <c r="I232" i="74" s="1"/>
  <c r="H232" i="74" a="1"/>
  <c r="H232" i="74" s="1"/>
  <c r="G232" i="74" a="1"/>
  <c r="G232" i="74" s="1"/>
  <c r="F232" i="74" a="1"/>
  <c r="F232" i="74" s="1"/>
  <c r="E232" i="74" a="1"/>
  <c r="E232" i="74" s="1"/>
  <c r="D232" i="74" a="1"/>
  <c r="D232" i="74" s="1"/>
  <c r="D229" i="74" a="1"/>
  <c r="D229" i="74" s="1"/>
  <c r="D228" i="74" a="1"/>
  <c r="D228" i="74" s="1"/>
  <c r="D227" i="74" a="1"/>
  <c r="D227" i="74" s="1"/>
  <c r="E224" i="74" a="1"/>
  <c r="E224" i="74" s="1"/>
  <c r="D224" i="74" a="1"/>
  <c r="D224" i="74" s="1"/>
  <c r="E223" i="74" a="1"/>
  <c r="E223" i="74" s="1"/>
  <c r="D223" i="74" a="1"/>
  <c r="D223" i="74" s="1"/>
  <c r="E222" i="74" a="1"/>
  <c r="E222" i="74" s="1"/>
  <c r="D222" i="74" a="1"/>
  <c r="D222" i="74" s="1"/>
  <c r="E221" i="74" a="1"/>
  <c r="E221" i="74" s="1"/>
  <c r="D221" i="74" a="1"/>
  <c r="D221" i="74" s="1"/>
  <c r="E220" i="74" a="1"/>
  <c r="E220" i="74" s="1"/>
  <c r="D220" i="74" a="1"/>
  <c r="D220" i="74" s="1"/>
  <c r="E219" i="74" a="1"/>
  <c r="E219" i="74" s="1"/>
  <c r="D219" i="74" a="1"/>
  <c r="D219" i="74" s="1"/>
  <c r="E218" i="74" a="1"/>
  <c r="E218" i="74" s="1"/>
  <c r="D218" i="74" a="1"/>
  <c r="D218" i="74" s="1"/>
  <c r="E217" i="74" a="1"/>
  <c r="E217" i="74" s="1"/>
  <c r="D217" i="74" a="1"/>
  <c r="D217" i="74" s="1"/>
  <c r="E216" i="74" a="1"/>
  <c r="E216" i="74" s="1"/>
  <c r="D216" i="74" a="1"/>
  <c r="D216" i="74" s="1"/>
  <c r="E215" i="74" a="1"/>
  <c r="E215" i="74" s="1"/>
  <c r="D215" i="74" a="1"/>
  <c r="D215" i="74" s="1"/>
  <c r="E214" i="74" a="1"/>
  <c r="E214" i="74" s="1"/>
  <c r="D214" i="74" a="1"/>
  <c r="D214" i="74" s="1"/>
  <c r="E213" i="74" a="1"/>
  <c r="E213" i="74" s="1"/>
  <c r="D213" i="74" a="1"/>
  <c r="D213" i="74" s="1"/>
  <c r="D211" i="74" a="1"/>
  <c r="D211" i="74" s="1"/>
  <c r="E208" i="74" a="1"/>
  <c r="E208" i="74" s="1"/>
  <c r="D208" i="74" a="1"/>
  <c r="D208" i="74" s="1"/>
  <c r="E207" i="74" a="1"/>
  <c r="E207" i="74" s="1"/>
  <c r="D207" i="74" a="1"/>
  <c r="D207" i="74" s="1"/>
  <c r="D205" i="74" a="1"/>
  <c r="D205" i="74" s="1"/>
  <c r="D204" i="74" a="1"/>
  <c r="D204" i="74" s="1"/>
  <c r="D203" i="74" a="1"/>
  <c r="D203" i="74" s="1"/>
  <c r="D202" i="74" a="1"/>
  <c r="D202" i="74" s="1"/>
  <c r="H199" i="74" a="1"/>
  <c r="H199" i="74" s="1"/>
  <c r="G199" i="74" a="1"/>
  <c r="G199" i="74" s="1"/>
  <c r="F199" i="74" a="1"/>
  <c r="F199" i="74" s="1"/>
  <c r="E199" i="74" a="1"/>
  <c r="E199" i="74" s="1"/>
  <c r="D199" i="74" a="1"/>
  <c r="D199" i="74" s="1"/>
  <c r="H198" i="74" a="1"/>
  <c r="H198" i="74" s="1"/>
  <c r="G198" i="74" a="1"/>
  <c r="G198" i="74" s="1"/>
  <c r="F198" i="74" a="1"/>
  <c r="F198" i="74" s="1"/>
  <c r="E198" i="74" a="1"/>
  <c r="E198" i="74" s="1"/>
  <c r="D198" i="74" a="1"/>
  <c r="D198" i="74" s="1"/>
  <c r="H197" i="74" a="1"/>
  <c r="H197" i="74" s="1"/>
  <c r="G197" i="74" a="1"/>
  <c r="G197" i="74" s="1"/>
  <c r="F197" i="74" a="1"/>
  <c r="F197" i="74" s="1"/>
  <c r="E197" i="74" a="1"/>
  <c r="E197" i="74" s="1"/>
  <c r="D197" i="74" a="1"/>
  <c r="D197" i="74" s="1"/>
  <c r="H196" i="74" a="1"/>
  <c r="H196" i="74" s="1"/>
  <c r="G196" i="74" a="1"/>
  <c r="G196" i="74" s="1"/>
  <c r="F196" i="74" a="1"/>
  <c r="F196" i="74" s="1"/>
  <c r="E196" i="74" a="1"/>
  <c r="E196" i="74" s="1"/>
  <c r="D196" i="74" a="1"/>
  <c r="D196" i="74" s="1"/>
  <c r="H195" i="74" a="1"/>
  <c r="H195" i="74" s="1"/>
  <c r="G195" i="74" a="1"/>
  <c r="G195" i="74" s="1"/>
  <c r="F195" i="74" a="1"/>
  <c r="F195" i="74" s="1"/>
  <c r="E195" i="74" a="1"/>
  <c r="E195" i="74" s="1"/>
  <c r="D195" i="74" a="1"/>
  <c r="D195" i="74" s="1"/>
  <c r="H194" i="74" a="1"/>
  <c r="H194" i="74" s="1"/>
  <c r="G194" i="74" a="1"/>
  <c r="G194" i="74" s="1"/>
  <c r="F194" i="74" a="1"/>
  <c r="F194" i="74" s="1"/>
  <c r="E194" i="74" a="1"/>
  <c r="E194" i="74" s="1"/>
  <c r="D194" i="74" a="1"/>
  <c r="D194" i="74" s="1"/>
  <c r="H193" i="74" a="1"/>
  <c r="H193" i="74" s="1"/>
  <c r="G193" i="74" a="1"/>
  <c r="G193" i="74" s="1"/>
  <c r="F193" i="74" a="1"/>
  <c r="F193" i="74" s="1"/>
  <c r="E193" i="74" a="1"/>
  <c r="E193" i="74" s="1"/>
  <c r="D193" i="74" a="1"/>
  <c r="D193" i="74" s="1"/>
  <c r="H192" i="74" a="1"/>
  <c r="H192" i="74" s="1"/>
  <c r="G192" i="74" a="1"/>
  <c r="G192" i="74" s="1"/>
  <c r="F192" i="74" a="1"/>
  <c r="F192" i="74" s="1"/>
  <c r="E192" i="74" a="1"/>
  <c r="E192" i="74" s="1"/>
  <c r="D192" i="74" a="1"/>
  <c r="D192" i="74" s="1"/>
  <c r="H191" i="74" a="1"/>
  <c r="H191" i="74" s="1"/>
  <c r="G191" i="74" a="1"/>
  <c r="G191" i="74" s="1"/>
  <c r="F191" i="74" a="1"/>
  <c r="F191" i="74" s="1"/>
  <c r="E191" i="74" a="1"/>
  <c r="E191" i="74" s="1"/>
  <c r="D191" i="74" a="1"/>
  <c r="D191" i="74" s="1"/>
  <c r="H190" i="74" a="1"/>
  <c r="H190" i="74" s="1"/>
  <c r="G190" i="74" a="1"/>
  <c r="G190" i="74" s="1"/>
  <c r="F190" i="74" a="1"/>
  <c r="F190" i="74" s="1"/>
  <c r="E190" i="74" a="1"/>
  <c r="E190" i="74" s="1"/>
  <c r="D190" i="74" a="1"/>
  <c r="D190" i="74" s="1"/>
  <c r="H189" i="74" a="1"/>
  <c r="H189" i="74" s="1"/>
  <c r="G189" i="74" a="1"/>
  <c r="G189" i="74" s="1"/>
  <c r="F189" i="74" a="1"/>
  <c r="F189" i="74" s="1"/>
  <c r="E189" i="74" a="1"/>
  <c r="E189" i="74" s="1"/>
  <c r="D189" i="74" a="1"/>
  <c r="D189" i="74" s="1"/>
  <c r="H188" i="74" a="1"/>
  <c r="H188" i="74" s="1"/>
  <c r="G188" i="74" a="1"/>
  <c r="G188" i="74" s="1"/>
  <c r="F188" i="74" a="1"/>
  <c r="F188" i="74" s="1"/>
  <c r="D9" i="78" s="1"/>
  <c r="E188" i="74" a="1"/>
  <c r="E188" i="74" s="1"/>
  <c r="D188" i="74" a="1"/>
  <c r="D188" i="74" s="1"/>
  <c r="H187" i="74" a="1"/>
  <c r="H187" i="74" s="1"/>
  <c r="G187" i="74" a="1"/>
  <c r="G187" i="74" s="1"/>
  <c r="F187" i="74" a="1"/>
  <c r="F187" i="74" s="1"/>
  <c r="E187" i="74" a="1"/>
  <c r="E187" i="74" s="1"/>
  <c r="D187" i="74" a="1"/>
  <c r="D187" i="74" s="1"/>
  <c r="D181" i="74" a="1"/>
  <c r="D181" i="74" s="1"/>
  <c r="D180" i="74" a="1"/>
  <c r="D180" i="74" s="1"/>
  <c r="D179" i="74" a="1"/>
  <c r="D179" i="74" s="1"/>
  <c r="D178" i="74" a="1"/>
  <c r="D178" i="74" s="1"/>
  <c r="E175" i="74" a="1"/>
  <c r="E175" i="74" s="1"/>
  <c r="D175" i="74" a="1"/>
  <c r="D175" i="74" s="1"/>
  <c r="I158" i="80" s="1"/>
  <c r="D174" i="74" a="1"/>
  <c r="D174" i="74" s="1"/>
  <c r="D173" i="74" a="1"/>
  <c r="D173" i="74" s="1"/>
  <c r="D170" i="74" a="1"/>
  <c r="D169" i="74" a="1"/>
  <c r="D169" i="74" s="1"/>
  <c r="D168" i="74" a="1"/>
  <c r="D168" i="74" s="1"/>
  <c r="D167" i="74" a="1"/>
  <c r="D167" i="74" s="1"/>
  <c r="D164" i="74" a="1"/>
  <c r="D163" i="74" a="1"/>
  <c r="D163" i="74" s="1"/>
  <c r="D162" i="74" a="1"/>
  <c r="D162" i="74" s="1"/>
  <c r="D161" i="74" a="1"/>
  <c r="D161" i="74" s="1"/>
  <c r="E158" i="74" a="1"/>
  <c r="E158" i="74" s="1"/>
  <c r="D158" i="74" a="1"/>
  <c r="D158" i="74" s="1"/>
  <c r="E157" i="74" a="1"/>
  <c r="E157" i="74" s="1"/>
  <c r="D157" i="74" a="1"/>
  <c r="D157" i="74" s="1"/>
  <c r="E156" i="74" a="1"/>
  <c r="E156" i="74" s="1"/>
  <c r="D156" i="74" a="1"/>
  <c r="D156" i="74" s="1"/>
  <c r="E155" i="74" a="1"/>
  <c r="E155" i="74" s="1"/>
  <c r="D155" i="74" a="1"/>
  <c r="D155" i="74" s="1"/>
  <c r="E154" i="74" a="1"/>
  <c r="E154" i="74" s="1"/>
  <c r="D154" i="74" a="1"/>
  <c r="D154" i="74" s="1"/>
  <c r="D151" i="74" a="1"/>
  <c r="D151" i="74" s="1"/>
  <c r="D150" i="74" a="1"/>
  <c r="D150" i="74" s="1"/>
  <c r="E147" i="74" a="1"/>
  <c r="E147" i="74" s="1"/>
  <c r="D147" i="74" a="1"/>
  <c r="D147" i="74" s="1"/>
  <c r="E146" i="74" a="1"/>
  <c r="E146" i="74" s="1"/>
  <c r="D146" i="74" a="1"/>
  <c r="D146" i="74" s="1"/>
  <c r="E145" i="74" a="1"/>
  <c r="E145" i="74" s="1"/>
  <c r="D145" i="74" a="1"/>
  <c r="D145" i="74" s="1"/>
  <c r="E144" i="74" a="1"/>
  <c r="E144" i="74" s="1"/>
  <c r="D144" i="74" a="1"/>
  <c r="D144" i="74" s="1"/>
  <c r="E143" i="74" a="1"/>
  <c r="E143" i="74" s="1"/>
  <c r="D143" i="74" a="1"/>
  <c r="D143" i="74" s="1"/>
  <c r="D141" i="74" a="1"/>
  <c r="D141" i="74" s="1"/>
  <c r="D140" i="74" a="1"/>
  <c r="D140" i="74" s="1"/>
  <c r="D139" i="74" a="1"/>
  <c r="D139" i="74" s="1"/>
  <c r="E136" i="74" a="1"/>
  <c r="E136" i="74" s="1"/>
  <c r="D136" i="74" a="1"/>
  <c r="D136" i="74" s="1"/>
  <c r="E135" i="74" a="1"/>
  <c r="E135" i="74" s="1"/>
  <c r="D135" i="74" a="1"/>
  <c r="D135" i="74" s="1"/>
  <c r="D133" i="74" a="1"/>
  <c r="D133" i="74" s="1"/>
  <c r="D132" i="74" a="1"/>
  <c r="D132" i="74" s="1"/>
  <c r="E129" i="74" a="1"/>
  <c r="E129" i="74" s="1"/>
  <c r="D129" i="74" a="1"/>
  <c r="D129" i="74" s="1"/>
  <c r="E128" i="74" a="1"/>
  <c r="E128" i="74" s="1"/>
  <c r="D128" i="74" a="1"/>
  <c r="D128" i="74" s="1"/>
  <c r="D125" i="74" a="1"/>
  <c r="D125" i="74" s="1"/>
  <c r="D124" i="74" a="1"/>
  <c r="D124" i="74" s="1"/>
  <c r="G121" i="74" a="1"/>
  <c r="G121" i="74" s="1"/>
  <c r="F121" i="74" a="1"/>
  <c r="F121" i="74" s="1"/>
  <c r="E121" i="74" a="1"/>
  <c r="E121" i="74" s="1"/>
  <c r="D121" i="74" a="1"/>
  <c r="D121" i="74" s="1"/>
  <c r="G120" i="74" a="1"/>
  <c r="G120" i="74" s="1"/>
  <c r="F120" i="74" a="1"/>
  <c r="F120" i="74" s="1"/>
  <c r="E120" i="74" a="1"/>
  <c r="E120" i="74" s="1"/>
  <c r="D120" i="74" a="1"/>
  <c r="D120" i="74" s="1"/>
  <c r="D117" i="74" a="1"/>
  <c r="D117" i="74" s="1"/>
  <c r="D116" i="74" a="1"/>
  <c r="D116" i="74" s="1"/>
  <c r="D115" i="74" a="1"/>
  <c r="D115" i="74" s="1"/>
  <c r="G112" i="74" a="1"/>
  <c r="G112" i="74" s="1"/>
  <c r="F112" i="74" a="1"/>
  <c r="F112" i="74" s="1"/>
  <c r="E112" i="74" a="1"/>
  <c r="E112" i="74" s="1"/>
  <c r="D112" i="74" a="1"/>
  <c r="D112" i="74" s="1"/>
  <c r="G111" i="74" a="1"/>
  <c r="G111" i="74" s="1"/>
  <c r="F111" i="74" a="1"/>
  <c r="F111" i="74" s="1"/>
  <c r="E111" i="74" a="1"/>
  <c r="E111" i="74" s="1"/>
  <c r="D111" i="74" a="1"/>
  <c r="D111" i="74" s="1"/>
  <c r="G110" i="74" a="1"/>
  <c r="G110" i="74" s="1"/>
  <c r="F110" i="74" a="1"/>
  <c r="F110" i="74" s="1"/>
  <c r="E110" i="74" a="1"/>
  <c r="E110" i="74" s="1"/>
  <c r="D110" i="74" a="1"/>
  <c r="D110" i="74" s="1"/>
  <c r="D107" i="74" a="1"/>
  <c r="D107" i="74" s="1"/>
  <c r="D106" i="74" a="1"/>
  <c r="D106" i="74" s="1"/>
  <c r="D105" i="74" a="1"/>
  <c r="D105" i="74" s="1"/>
  <c r="D99" i="74" a="1"/>
  <c r="D99" i="74" s="1"/>
  <c r="S97" i="74" a="1"/>
  <c r="S97" i="74" s="1"/>
  <c r="R97" i="74" a="1"/>
  <c r="R97" i="74" s="1"/>
  <c r="Q97" i="74" a="1"/>
  <c r="Q97" i="74" s="1"/>
  <c r="P97" i="74" a="1"/>
  <c r="P97" i="74" s="1"/>
  <c r="O97" i="74" a="1"/>
  <c r="O97" i="74" s="1"/>
  <c r="N97" i="74" a="1"/>
  <c r="N97" i="74" s="1"/>
  <c r="M97" i="74" a="1"/>
  <c r="M97" i="74" s="1"/>
  <c r="L97" i="74" a="1"/>
  <c r="L97" i="74" s="1"/>
  <c r="K97" i="74" a="1"/>
  <c r="K97" i="74" s="1"/>
  <c r="J97" i="74" a="1"/>
  <c r="J97" i="74" s="1"/>
  <c r="I97" i="74" a="1"/>
  <c r="I97" i="74" s="1"/>
  <c r="H97" i="74" a="1"/>
  <c r="H97" i="74" s="1"/>
  <c r="G97" i="74" a="1"/>
  <c r="G97" i="74" s="1"/>
  <c r="F97" i="74" a="1"/>
  <c r="F97" i="74" s="1"/>
  <c r="E97" i="74" a="1"/>
  <c r="E97" i="74" s="1"/>
  <c r="D97" i="74" a="1"/>
  <c r="D97" i="74" s="1"/>
  <c r="S96" i="74" a="1"/>
  <c r="S96" i="74" s="1"/>
  <c r="R96" i="74" a="1"/>
  <c r="R96" i="74" s="1"/>
  <c r="Q96" i="74" a="1"/>
  <c r="Q96" i="74" s="1"/>
  <c r="P96" i="74" a="1"/>
  <c r="P96" i="74" s="1"/>
  <c r="O96" i="74" a="1"/>
  <c r="O96" i="74" s="1"/>
  <c r="N96" i="74" a="1"/>
  <c r="N96" i="74" s="1"/>
  <c r="M96" i="74" a="1"/>
  <c r="M96" i="74" s="1"/>
  <c r="L96" i="74" a="1"/>
  <c r="L96" i="74" s="1"/>
  <c r="K96" i="74" a="1"/>
  <c r="K96" i="74" s="1"/>
  <c r="J96" i="74" a="1"/>
  <c r="J96" i="74" s="1"/>
  <c r="I96" i="74" a="1"/>
  <c r="I96" i="74" s="1"/>
  <c r="H96" i="74" a="1"/>
  <c r="H96" i="74" s="1"/>
  <c r="G96" i="74" a="1"/>
  <c r="G96" i="74" s="1"/>
  <c r="F96" i="74" a="1"/>
  <c r="F96" i="74" s="1"/>
  <c r="E96" i="74" a="1"/>
  <c r="E96" i="74" s="1"/>
  <c r="D96" i="74" a="1"/>
  <c r="D96" i="74" s="1"/>
  <c r="S95" i="74" a="1"/>
  <c r="S95" i="74" s="1"/>
  <c r="R95" i="74" a="1"/>
  <c r="R95" i="74" s="1"/>
  <c r="Q95" i="74" a="1"/>
  <c r="Q95" i="74" s="1"/>
  <c r="P95" i="74" a="1"/>
  <c r="P95" i="74" s="1"/>
  <c r="O95" i="74" a="1"/>
  <c r="O95" i="74" s="1"/>
  <c r="N95" i="74" a="1"/>
  <c r="N95" i="74" s="1"/>
  <c r="M95" i="74" a="1"/>
  <c r="M95" i="74" s="1"/>
  <c r="L95" i="74" a="1"/>
  <c r="L95" i="74" s="1"/>
  <c r="K95" i="74" a="1"/>
  <c r="K95" i="74" s="1"/>
  <c r="J95" i="74" a="1"/>
  <c r="J95" i="74" s="1"/>
  <c r="I95" i="74" a="1"/>
  <c r="I95" i="74" s="1"/>
  <c r="H95" i="74" a="1"/>
  <c r="H95" i="74" s="1"/>
  <c r="G95" i="74" a="1"/>
  <c r="G95" i="74" s="1"/>
  <c r="F95" i="74" a="1"/>
  <c r="F95" i="74" s="1"/>
  <c r="E95" i="74" a="1"/>
  <c r="E95" i="74" s="1"/>
  <c r="D95" i="74" a="1"/>
  <c r="D95" i="74" s="1"/>
  <c r="S94" i="74" a="1"/>
  <c r="S94" i="74" s="1"/>
  <c r="R94" i="74" a="1"/>
  <c r="R94" i="74" s="1"/>
  <c r="Q94" i="74" a="1"/>
  <c r="Q94" i="74" s="1"/>
  <c r="P94" i="74" a="1"/>
  <c r="P94" i="74" s="1"/>
  <c r="O94" i="74" a="1"/>
  <c r="O94" i="74" s="1"/>
  <c r="N94" i="74" a="1"/>
  <c r="N94" i="74" s="1"/>
  <c r="M94" i="74" a="1"/>
  <c r="M94" i="74" s="1"/>
  <c r="L94" i="74" a="1"/>
  <c r="L94" i="74" s="1"/>
  <c r="K94" i="74" a="1"/>
  <c r="K94" i="74" s="1"/>
  <c r="J94" i="74" a="1"/>
  <c r="J94" i="74" s="1"/>
  <c r="I94" i="74" a="1"/>
  <c r="I94" i="74" s="1"/>
  <c r="H94" i="74" a="1"/>
  <c r="H94" i="74" s="1"/>
  <c r="G94" i="74" a="1"/>
  <c r="G94" i="74" s="1"/>
  <c r="F94" i="74" a="1"/>
  <c r="F94" i="74" s="1"/>
  <c r="E94" i="74" a="1"/>
  <c r="E94" i="74" s="1"/>
  <c r="D94" i="74" a="1"/>
  <c r="D94" i="74" s="1"/>
  <c r="S93" i="74" a="1"/>
  <c r="S93" i="74" s="1"/>
  <c r="R93" i="74" a="1"/>
  <c r="R93" i="74" s="1"/>
  <c r="Q93" i="74" a="1"/>
  <c r="Q93" i="74" s="1"/>
  <c r="P93" i="74" a="1"/>
  <c r="P93" i="74" s="1"/>
  <c r="O93" i="74" a="1"/>
  <c r="O93" i="74" s="1"/>
  <c r="N93" i="74" a="1"/>
  <c r="N93" i="74" s="1"/>
  <c r="M93" i="74" a="1"/>
  <c r="M93" i="74" s="1"/>
  <c r="L93" i="74" a="1"/>
  <c r="L93" i="74" s="1"/>
  <c r="K93" i="74" a="1"/>
  <c r="K93" i="74" s="1"/>
  <c r="J93" i="74" a="1"/>
  <c r="J93" i="74" s="1"/>
  <c r="I93" i="74" a="1"/>
  <c r="I93" i="74" s="1"/>
  <c r="H93" i="74" a="1"/>
  <c r="H93" i="74" s="1"/>
  <c r="G93" i="74" a="1"/>
  <c r="G93" i="74" s="1"/>
  <c r="F93" i="74" a="1"/>
  <c r="F93" i="74" s="1"/>
  <c r="E93" i="74" a="1"/>
  <c r="E93" i="74" s="1"/>
  <c r="D93" i="74" a="1"/>
  <c r="D93" i="74" s="1"/>
  <c r="S92" i="74" a="1"/>
  <c r="S92" i="74" s="1"/>
  <c r="R92" i="74" a="1"/>
  <c r="R92" i="74" s="1"/>
  <c r="Q92" i="74" a="1"/>
  <c r="Q92" i="74" s="1"/>
  <c r="P92" i="74" a="1"/>
  <c r="P92" i="74" s="1"/>
  <c r="O92" i="74" a="1"/>
  <c r="O92" i="74" s="1"/>
  <c r="N92" i="74" a="1"/>
  <c r="N92" i="74" s="1"/>
  <c r="M92" i="74" a="1"/>
  <c r="M92" i="74" s="1"/>
  <c r="L92" i="74" a="1"/>
  <c r="L92" i="74" s="1"/>
  <c r="K92" i="74" a="1"/>
  <c r="K92" i="74" s="1"/>
  <c r="J92" i="74" a="1"/>
  <c r="J92" i="74" s="1"/>
  <c r="I92" i="74" a="1"/>
  <c r="I92" i="74" s="1"/>
  <c r="H92" i="74" a="1"/>
  <c r="H92" i="74" s="1"/>
  <c r="G92" i="74" a="1"/>
  <c r="G92" i="74" s="1"/>
  <c r="F92" i="74" a="1"/>
  <c r="F92" i="74" s="1"/>
  <c r="E92" i="74" a="1"/>
  <c r="E92" i="74" s="1"/>
  <c r="D92" i="74" a="1"/>
  <c r="D92" i="74" s="1"/>
  <c r="S91" i="74" a="1"/>
  <c r="S91" i="74" s="1"/>
  <c r="R91" i="74" a="1"/>
  <c r="R91" i="74" s="1"/>
  <c r="Q91" i="74" a="1"/>
  <c r="Q91" i="74" s="1"/>
  <c r="P91" i="74" a="1"/>
  <c r="P91" i="74" s="1"/>
  <c r="O91" i="74" a="1"/>
  <c r="O91" i="74" s="1"/>
  <c r="N91" i="74" a="1"/>
  <c r="N91" i="74" s="1"/>
  <c r="M91" i="74" a="1"/>
  <c r="M91" i="74" s="1"/>
  <c r="L91" i="74" a="1"/>
  <c r="L91" i="74" s="1"/>
  <c r="K91" i="74" a="1"/>
  <c r="K91" i="74" s="1"/>
  <c r="J91" i="74" a="1"/>
  <c r="J91" i="74" s="1"/>
  <c r="I91" i="74" a="1"/>
  <c r="I91" i="74" s="1"/>
  <c r="H91" i="74" a="1"/>
  <c r="H91" i="74" s="1"/>
  <c r="G91" i="74" a="1"/>
  <c r="G91" i="74" s="1"/>
  <c r="F91" i="74" a="1"/>
  <c r="F91" i="74" s="1"/>
  <c r="E91" i="74" a="1"/>
  <c r="E91" i="74" s="1"/>
  <c r="D91" i="74" a="1"/>
  <c r="D91" i="74" s="1"/>
  <c r="S90" i="74" a="1"/>
  <c r="S90" i="74" s="1"/>
  <c r="R90" i="74" a="1"/>
  <c r="R90" i="74" s="1"/>
  <c r="Q90" i="74" a="1"/>
  <c r="Q90" i="74" s="1"/>
  <c r="P90" i="74" a="1"/>
  <c r="P90" i="74" s="1"/>
  <c r="O90" i="74" a="1"/>
  <c r="O90" i="74" s="1"/>
  <c r="N90" i="74" a="1"/>
  <c r="N90" i="74" s="1"/>
  <c r="M90" i="74" a="1"/>
  <c r="M90" i="74" s="1"/>
  <c r="L90" i="74" a="1"/>
  <c r="L90" i="74" s="1"/>
  <c r="K90" i="74" a="1"/>
  <c r="K90" i="74" s="1"/>
  <c r="J90" i="74" a="1"/>
  <c r="J90" i="74" s="1"/>
  <c r="I90" i="74" a="1"/>
  <c r="I90" i="74" s="1"/>
  <c r="H90" i="74" a="1"/>
  <c r="H90" i="74" s="1"/>
  <c r="G90" i="74" a="1"/>
  <c r="G90" i="74" s="1"/>
  <c r="F90" i="74" a="1"/>
  <c r="F90" i="74" s="1"/>
  <c r="E90" i="74" a="1"/>
  <c r="E90" i="74" s="1"/>
  <c r="D90" i="74" a="1"/>
  <c r="D90" i="74" s="1"/>
  <c r="D83" i="74" a="1"/>
  <c r="D83" i="74" s="1"/>
  <c r="D82" i="74" a="1"/>
  <c r="D82" i="74" s="1"/>
  <c r="D81" i="74" a="1"/>
  <c r="D81" i="74" s="1"/>
  <c r="E77" i="74" a="1"/>
  <c r="E77" i="74" s="1"/>
  <c r="D77" i="74" a="1"/>
  <c r="D77" i="74" s="1"/>
  <c r="E76" i="74" a="1"/>
  <c r="E76" i="74" s="1"/>
  <c r="D76" i="74" a="1"/>
  <c r="D76" i="74" s="1"/>
  <c r="E75" i="74" a="1"/>
  <c r="E75" i="74" s="1"/>
  <c r="D75" i="74" a="1"/>
  <c r="D75" i="74" s="1"/>
  <c r="E74" i="74" a="1"/>
  <c r="E74" i="74" s="1"/>
  <c r="D74" i="74" a="1"/>
  <c r="D74" i="74" s="1"/>
  <c r="E73" i="74" a="1"/>
  <c r="E73" i="74" s="1"/>
  <c r="D73" i="74" a="1"/>
  <c r="D73" i="74" s="1"/>
  <c r="E72" i="74" a="1"/>
  <c r="E72" i="74" s="1"/>
  <c r="D72" i="74" a="1"/>
  <c r="D72" i="74" s="1"/>
  <c r="E71" i="74" a="1"/>
  <c r="E71" i="74" s="1"/>
  <c r="D71" i="74" a="1"/>
  <c r="D71" i="74" s="1"/>
  <c r="E70" i="74" a="1"/>
  <c r="E70" i="74" s="1"/>
  <c r="D70" i="74" a="1"/>
  <c r="D70" i="74" s="1"/>
  <c r="E69" i="74" a="1"/>
  <c r="E69" i="74" s="1"/>
  <c r="D69" i="74" a="1"/>
  <c r="D69" i="74" s="1"/>
  <c r="E68" i="74" a="1"/>
  <c r="E68" i="74" s="1"/>
  <c r="D68" i="74" a="1"/>
  <c r="D68" i="74" s="1"/>
  <c r="E67" i="74" a="1"/>
  <c r="E67" i="74" s="1"/>
  <c r="D67" i="74" a="1"/>
  <c r="D67" i="74" s="1"/>
  <c r="E66" i="74" a="1"/>
  <c r="E66" i="74" s="1"/>
  <c r="D66" i="74" a="1"/>
  <c r="D66" i="74" s="1"/>
  <c r="E65" i="74" a="1"/>
  <c r="E65" i="74" s="1"/>
  <c r="D65" i="74" a="1"/>
  <c r="D65" i="74" s="1"/>
  <c r="E64" i="74" a="1"/>
  <c r="E64" i="74" s="1"/>
  <c r="D64" i="74" a="1"/>
  <c r="D64" i="74" s="1"/>
  <c r="D59" i="74" a="1"/>
  <c r="D59" i="74" s="1"/>
  <c r="D58" i="74" a="1"/>
  <c r="D58" i="74" s="1"/>
  <c r="D57" i="74" a="1"/>
  <c r="D57" i="74" s="1"/>
  <c r="G54" i="74" a="1"/>
  <c r="G54" i="74" s="1"/>
  <c r="F54" i="74" a="1"/>
  <c r="F54" i="74" s="1"/>
  <c r="E54" i="74" a="1"/>
  <c r="E54" i="74" s="1"/>
  <c r="D54" i="74" a="1"/>
  <c r="D54" i="74" s="1"/>
  <c r="G53" i="74" a="1"/>
  <c r="G53" i="74" s="1"/>
  <c r="F53" i="74" a="1"/>
  <c r="F53" i="74" s="1"/>
  <c r="E53" i="74" a="1"/>
  <c r="E53" i="74" s="1"/>
  <c r="D53" i="74" a="1"/>
  <c r="D53" i="74" s="1"/>
  <c r="G52" i="74" a="1"/>
  <c r="G52" i="74" s="1"/>
  <c r="F52" i="74" a="1"/>
  <c r="F52" i="74" s="1"/>
  <c r="E52" i="74" a="1"/>
  <c r="E52" i="74" s="1"/>
  <c r="D52" i="74" a="1"/>
  <c r="D52" i="74" s="1"/>
  <c r="G51" i="74" a="1"/>
  <c r="G51" i="74" s="1"/>
  <c r="F51" i="74" a="1"/>
  <c r="F51" i="74" s="1"/>
  <c r="E51" i="74" a="1"/>
  <c r="E51" i="74" s="1"/>
  <c r="D51" i="74" a="1"/>
  <c r="D51" i="74" s="1"/>
  <c r="G50" i="74" a="1"/>
  <c r="G50" i="74" s="1"/>
  <c r="F50" i="74" a="1"/>
  <c r="F50" i="74" s="1"/>
  <c r="E50" i="74" a="1"/>
  <c r="E50" i="74" s="1"/>
  <c r="D50" i="74" a="1"/>
  <c r="D50" i="74" s="1"/>
  <c r="G49" i="74" a="1"/>
  <c r="G49" i="74" s="1"/>
  <c r="F49" i="74" a="1"/>
  <c r="F49" i="74" s="1"/>
  <c r="E49" i="74" a="1"/>
  <c r="E49" i="74" s="1"/>
  <c r="D49" i="74" a="1"/>
  <c r="D49" i="74" s="1"/>
  <c r="G48" i="74" a="1"/>
  <c r="G48" i="74" s="1"/>
  <c r="F48" i="74" a="1"/>
  <c r="F48" i="74" s="1"/>
  <c r="E48" i="74" a="1"/>
  <c r="E48" i="74" s="1"/>
  <c r="D48" i="74" a="1"/>
  <c r="D48" i="74" s="1"/>
  <c r="D46" i="74" a="1"/>
  <c r="D46" i="74" s="1"/>
  <c r="D45" i="74" a="1"/>
  <c r="D45" i="74" s="1"/>
  <c r="E43" i="74" a="1"/>
  <c r="E43" i="74" s="1"/>
  <c r="D43" i="74" a="1"/>
  <c r="D43" i="74" s="1"/>
  <c r="E42" i="74" a="1"/>
  <c r="E42" i="74" s="1"/>
  <c r="D42" i="74" a="1"/>
  <c r="D42" i="74" s="1"/>
  <c r="E41" i="74" a="1"/>
  <c r="E41" i="74" s="1"/>
  <c r="D41" i="74" a="1"/>
  <c r="D41" i="74" s="1"/>
  <c r="E40" i="74" a="1"/>
  <c r="E40" i="74" s="1"/>
  <c r="D40" i="74" a="1"/>
  <c r="D40" i="74" s="1"/>
  <c r="E39" i="74" a="1"/>
  <c r="E39" i="74" s="1"/>
  <c r="D39" i="74" a="1"/>
  <c r="D39" i="74" s="1"/>
  <c r="E38" i="74" a="1"/>
  <c r="E38" i="74" s="1"/>
  <c r="D38" i="74" a="1"/>
  <c r="D38" i="74" s="1"/>
  <c r="E37" i="74" a="1"/>
  <c r="E37" i="74" s="1"/>
  <c r="D37" i="74" a="1"/>
  <c r="D37" i="74" s="1"/>
  <c r="D35" i="74" a="1"/>
  <c r="D35" i="74" s="1"/>
  <c r="D34" i="74" a="1"/>
  <c r="D34" i="74" s="1"/>
  <c r="D30" i="74" a="1"/>
  <c r="D30" i="74" s="1"/>
  <c r="D29" i="74" a="1"/>
  <c r="D29" i="74" s="1"/>
  <c r="D28" i="74" a="1"/>
  <c r="D28" i="74" s="1"/>
  <c r="D27" i="74" a="1"/>
  <c r="D27" i="74" s="1"/>
  <c r="D26" i="74" a="1"/>
  <c r="D26" i="74" s="1"/>
  <c r="D25" i="74" a="1"/>
  <c r="D25" i="74" s="1"/>
  <c r="D24" i="74" a="1"/>
  <c r="D24" i="74" s="1"/>
  <c r="D23" i="74" a="1"/>
  <c r="D23" i="74" s="1"/>
  <c r="D22" i="74" a="1"/>
  <c r="D22" i="74" s="1"/>
  <c r="D21" i="74" a="1"/>
  <c r="D21" i="74" s="1"/>
  <c r="D19" i="74" a="1"/>
  <c r="D19" i="74" s="1"/>
  <c r="D18" i="74" a="1"/>
  <c r="D18" i="74" s="1"/>
  <c r="F14" i="74" a="1"/>
  <c r="F14" i="74" s="1"/>
  <c r="E14" i="74" a="1"/>
  <c r="E14" i="74" s="1"/>
  <c r="D14" i="74" a="1"/>
  <c r="D14" i="74" s="1"/>
  <c r="F13" i="74" a="1"/>
  <c r="F13" i="74" s="1"/>
  <c r="E13" i="74" a="1"/>
  <c r="E13" i="74" s="1"/>
  <c r="D13" i="74" a="1"/>
  <c r="D13" i="74" s="1"/>
  <c r="F12" i="74" a="1"/>
  <c r="F12" i="74" s="1"/>
  <c r="E12" i="74" a="1"/>
  <c r="E12" i="74" s="1"/>
  <c r="D12" i="74" a="1"/>
  <c r="D12" i="74" s="1"/>
  <c r="F11" i="74" a="1"/>
  <c r="F11" i="74" s="1"/>
  <c r="E11" i="74" a="1"/>
  <c r="E11" i="74" s="1"/>
  <c r="D11" i="74" a="1"/>
  <c r="D11" i="74" s="1"/>
  <c r="F10" i="74" a="1"/>
  <c r="F10" i="74" s="1"/>
  <c r="E10" i="74" a="1"/>
  <c r="E10" i="74" s="1"/>
  <c r="D10" i="74" a="1"/>
  <c r="D10" i="74" s="1"/>
  <c r="F9" i="74" a="1"/>
  <c r="F9" i="74" s="1"/>
  <c r="E9" i="74" a="1"/>
  <c r="E9" i="74" s="1"/>
  <c r="D9" i="74" a="1"/>
  <c r="D9" i="74" s="1"/>
  <c r="F8" i="74" a="1"/>
  <c r="F8" i="74" s="1"/>
  <c r="E8" i="74" a="1"/>
  <c r="E8" i="74" s="1"/>
  <c r="D8" i="74" a="1"/>
  <c r="D8" i="74" s="1"/>
  <c r="F7" i="74" a="1"/>
  <c r="F7" i="74" s="1"/>
  <c r="E7" i="74" a="1"/>
  <c r="E7" i="74" s="1"/>
  <c r="D7" i="74" a="1"/>
  <c r="D7" i="74" s="1"/>
  <c r="D5" i="74" a="1"/>
  <c r="D5" i="74" s="1"/>
  <c r="E20" i="72"/>
  <c r="P31" i="96" l="1" a="1"/>
  <c r="P31" i="96" s="1"/>
  <c r="O31" i="96" a="1"/>
  <c r="O31" i="96" s="1"/>
  <c r="N31" i="96" a="1"/>
  <c r="N31" i="96" s="1"/>
  <c r="L40" i="97" a="1"/>
  <c r="L40" i="97" s="1"/>
  <c r="P40" i="97" s="1" a="1"/>
  <c r="P40" i="97" s="1"/>
  <c r="L26" i="96" a="1"/>
  <c r="L26" i="96" s="1"/>
  <c r="P30" i="96" a="1"/>
  <c r="P30" i="96" s="1"/>
  <c r="Q33" i="96" a="1"/>
  <c r="Q33" i="96" s="1"/>
  <c r="E52" i="96" s="1"/>
  <c r="E32" i="87"/>
  <c r="K44" i="87" s="1"/>
  <c r="R51" i="85" a="1"/>
  <c r="R51" i="85" s="1"/>
  <c r="S51" i="85" a="1"/>
  <c r="S51" i="85" s="1"/>
  <c r="S52" i="85" a="1"/>
  <c r="S52" i="85" s="1"/>
  <c r="Q51" i="85"/>
  <c r="X184" i="80"/>
  <c r="G95" i="76"/>
  <c r="K61" i="76"/>
  <c r="I92" i="76"/>
  <c r="G63" i="76"/>
  <c r="F83" i="76"/>
  <c r="G144" i="76"/>
  <c r="L61" i="76"/>
  <c r="M149" i="76"/>
  <c r="G86" i="76"/>
  <c r="M64" i="76"/>
  <c r="M157" i="76"/>
  <c r="N98" i="76"/>
  <c r="K63" i="76"/>
  <c r="K156" i="76"/>
  <c r="N133" i="76"/>
  <c r="F72" i="76"/>
  <c r="N162" i="76"/>
  <c r="F134" i="76"/>
  <c r="K72" i="76"/>
  <c r="J165" i="76"/>
  <c r="L135" i="76"/>
  <c r="I73" i="76"/>
  <c r="E167" i="76"/>
  <c r="F133" i="76"/>
  <c r="K171" i="76"/>
  <c r="I72" i="76"/>
  <c r="N85" i="76"/>
  <c r="M100" i="76"/>
  <c r="K69" i="76"/>
  <c r="E92" i="76"/>
  <c r="E136" i="76"/>
  <c r="E78" i="76"/>
  <c r="F63" i="76"/>
  <c r="F156" i="76"/>
  <c r="F92" i="76"/>
  <c r="K70" i="76"/>
  <c r="J161" i="76"/>
  <c r="L133" i="76"/>
  <c r="E67" i="76"/>
  <c r="E158" i="76"/>
  <c r="H135" i="76"/>
  <c r="H76" i="76"/>
  <c r="F171" i="76"/>
  <c r="J135" i="76"/>
  <c r="J77" i="76"/>
  <c r="J172" i="76"/>
  <c r="N139" i="76"/>
  <c r="L77" i="76"/>
  <c r="L172" i="76"/>
  <c r="J134" i="76"/>
  <c r="N100" i="76"/>
  <c r="J167" i="76"/>
  <c r="H91" i="76"/>
  <c r="F149" i="76"/>
  <c r="I71" i="76"/>
  <c r="I139" i="76"/>
  <c r="G169" i="76"/>
  <c r="G166" i="76"/>
  <c r="H94" i="76"/>
  <c r="H162" i="76"/>
  <c r="K71" i="76"/>
  <c r="K139" i="76"/>
  <c r="E168" i="76"/>
  <c r="H90" i="76"/>
  <c r="F148" i="76"/>
  <c r="I70" i="76"/>
  <c r="M139" i="76"/>
  <c r="F164" i="76"/>
  <c r="K93" i="76"/>
  <c r="K161" i="76"/>
  <c r="H72" i="76"/>
  <c r="J144" i="76"/>
  <c r="H164" i="76"/>
  <c r="K96" i="76"/>
  <c r="K74" i="76"/>
  <c r="M73" i="76"/>
  <c r="L149" i="76"/>
  <c r="M93" i="76"/>
  <c r="G156" i="76"/>
  <c r="M69" i="76"/>
  <c r="E181" i="76"/>
  <c r="K89" i="76"/>
  <c r="J64" i="76"/>
  <c r="J157" i="76"/>
  <c r="L97" i="76"/>
  <c r="N74" i="76"/>
  <c r="E169" i="76"/>
  <c r="F135" i="76"/>
  <c r="N71" i="76"/>
  <c r="L162" i="76"/>
  <c r="L136" i="76"/>
  <c r="N83" i="76"/>
  <c r="K164" i="76"/>
  <c r="N136" i="76"/>
  <c r="F84" i="76"/>
  <c r="H61" i="76"/>
  <c r="I148" i="76"/>
  <c r="H84" i="76"/>
  <c r="K144" i="76"/>
  <c r="N135" i="76"/>
  <c r="F139" i="76"/>
  <c r="N168" i="76"/>
  <c r="L92" i="76"/>
  <c r="J150" i="76"/>
  <c r="M72" i="76"/>
  <c r="M140" i="76"/>
  <c r="K170" i="76"/>
  <c r="M171" i="76"/>
  <c r="L95" i="76"/>
  <c r="L163" i="76"/>
  <c r="E73" i="76"/>
  <c r="E141" i="76"/>
  <c r="I169" i="76"/>
  <c r="L91" i="76"/>
  <c r="J149" i="76"/>
  <c r="M71" i="76"/>
  <c r="G141" i="76"/>
  <c r="G89" i="76"/>
  <c r="E95" i="76"/>
  <c r="E163" i="76"/>
  <c r="L73" i="76"/>
  <c r="H147" i="76"/>
  <c r="M96" i="76"/>
  <c r="L74" i="76"/>
  <c r="N73" i="76"/>
  <c r="N90" i="76"/>
  <c r="N145" i="76"/>
  <c r="I133" i="76"/>
  <c r="M141" i="76"/>
  <c r="L69" i="76"/>
  <c r="N158" i="76"/>
  <c r="J133" i="76"/>
  <c r="J83" i="76"/>
  <c r="E98" i="76"/>
  <c r="J136" i="76"/>
  <c r="F76" i="76"/>
  <c r="M169" i="76"/>
  <c r="L145" i="76"/>
  <c r="H85" i="76"/>
  <c r="F61" i="76"/>
  <c r="E147" i="76"/>
  <c r="J85" i="76"/>
  <c r="L62" i="76"/>
  <c r="L155" i="76"/>
  <c r="L85" i="76"/>
  <c r="M168" i="76"/>
  <c r="L142" i="76"/>
  <c r="N142" i="76"/>
  <c r="K169" i="76"/>
  <c r="I64" i="76"/>
  <c r="H161" i="76"/>
  <c r="E74" i="76"/>
  <c r="H168" i="76"/>
  <c r="N134" i="76"/>
  <c r="N84" i="76"/>
  <c r="G150" i="76"/>
  <c r="J145" i="76"/>
  <c r="L83" i="76"/>
  <c r="H62" i="76"/>
  <c r="H155" i="76"/>
  <c r="L86" i="76"/>
  <c r="J62" i="76"/>
  <c r="J155" i="76"/>
  <c r="N86" i="76"/>
  <c r="F64" i="76"/>
  <c r="F157" i="76"/>
  <c r="J90" i="76"/>
  <c r="J61" i="76"/>
  <c r="E149" i="76"/>
  <c r="H75" i="76"/>
  <c r="N141" i="76"/>
  <c r="L171" i="76"/>
  <c r="J95" i="76"/>
  <c r="J163" i="76"/>
  <c r="K75" i="76"/>
  <c r="K143" i="76"/>
  <c r="N78" i="76"/>
  <c r="L68" i="76"/>
  <c r="J98" i="76"/>
  <c r="J166" i="76"/>
  <c r="M75" i="76"/>
  <c r="M143" i="76"/>
  <c r="G172" i="76"/>
  <c r="N97" i="76"/>
  <c r="E172" i="80"/>
  <c r="E166" i="76"/>
  <c r="E180" i="76"/>
  <c r="I157" i="76"/>
  <c r="G83" i="76"/>
  <c r="M148" i="76"/>
  <c r="H136" i="76"/>
  <c r="H86" i="76"/>
  <c r="F62" i="76"/>
  <c r="F155" i="76"/>
  <c r="F85" i="76"/>
  <c r="L63" i="76"/>
  <c r="L156" i="76"/>
  <c r="L94" i="76"/>
  <c r="N63" i="76"/>
  <c r="N156" i="76"/>
  <c r="N94" i="76"/>
  <c r="I68" i="76"/>
  <c r="J158" i="76"/>
  <c r="G96" i="76"/>
  <c r="N62" i="76"/>
  <c r="N155" i="76"/>
  <c r="N149" i="76"/>
  <c r="K162" i="76"/>
  <c r="E63" i="76"/>
  <c r="G133" i="76"/>
  <c r="E139" i="76"/>
  <c r="E91" i="76"/>
  <c r="L134" i="76"/>
  <c r="M74" i="76"/>
  <c r="J168" i="76"/>
  <c r="M144" i="76"/>
  <c r="E85" i="76"/>
  <c r="I99" i="76"/>
  <c r="K136" i="76"/>
  <c r="K86" i="76"/>
  <c r="I62" i="76"/>
  <c r="I155" i="76"/>
  <c r="M86" i="76"/>
  <c r="K62" i="76"/>
  <c r="K155" i="76"/>
  <c r="F96" i="76"/>
  <c r="M62" i="76"/>
  <c r="M155" i="76"/>
  <c r="M85" i="76"/>
  <c r="H95" i="76"/>
  <c r="N161" i="76"/>
  <c r="J75" i="76"/>
  <c r="J143" i="76"/>
  <c r="E171" i="80"/>
  <c r="E156" i="76"/>
  <c r="M158" i="76"/>
  <c r="I140" i="76"/>
  <c r="E146" i="76"/>
  <c r="F136" i="76"/>
  <c r="I83" i="76"/>
  <c r="E62" i="76"/>
  <c r="E155" i="76"/>
  <c r="I86" i="76"/>
  <c r="M161" i="76"/>
  <c r="K145" i="76"/>
  <c r="J93" i="76"/>
  <c r="M63" i="76"/>
  <c r="M156" i="76"/>
  <c r="M94" i="76"/>
  <c r="E64" i="76"/>
  <c r="E157" i="76"/>
  <c r="J100" i="76"/>
  <c r="G64" i="76"/>
  <c r="G157" i="76"/>
  <c r="K90" i="76"/>
  <c r="L96" i="76"/>
  <c r="H163" i="76"/>
  <c r="N76" i="76"/>
  <c r="N144" i="76"/>
  <c r="G67" i="76"/>
  <c r="E97" i="76"/>
  <c r="E165" i="76"/>
  <c r="G146" i="76"/>
  <c r="F90" i="76"/>
  <c r="N147" i="76"/>
  <c r="I67" i="76"/>
  <c r="G97" i="76"/>
  <c r="M163" i="76"/>
  <c r="N75" i="76"/>
  <c r="N143" i="76"/>
  <c r="H172" i="76"/>
  <c r="I97" i="76"/>
  <c r="G168" i="76"/>
  <c r="I89" i="76"/>
  <c r="G147" i="76"/>
  <c r="H171" i="76"/>
  <c r="H140" i="76"/>
  <c r="G91" i="76"/>
  <c r="E71" i="76"/>
  <c r="G68" i="76"/>
  <c r="L84" i="76"/>
  <c r="G170" i="76"/>
  <c r="F144" i="76"/>
  <c r="M84" i="76"/>
  <c r="I63" i="76"/>
  <c r="I156" i="76"/>
  <c r="H93" i="76"/>
  <c r="G62" i="76"/>
  <c r="G155" i="76"/>
  <c r="F99" i="76"/>
  <c r="M67" i="76"/>
  <c r="G158" i="76"/>
  <c r="H100" i="76"/>
  <c r="H68" i="76"/>
  <c r="I158" i="76"/>
  <c r="H134" i="76"/>
  <c r="F69" i="76"/>
  <c r="K158" i="76"/>
  <c r="H96" i="76"/>
  <c r="K94" i="76"/>
  <c r="N61" i="76"/>
  <c r="J63" i="76"/>
  <c r="G135" i="76"/>
  <c r="M136" i="76"/>
  <c r="K135" i="76"/>
  <c r="I134" i="76"/>
  <c r="L144" i="76"/>
  <c r="H78" i="76"/>
  <c r="L167" i="76"/>
  <c r="K95" i="76"/>
  <c r="E140" i="76"/>
  <c r="L75" i="76"/>
  <c r="L150" i="76"/>
  <c r="G90" i="76"/>
  <c r="I162" i="76"/>
  <c r="J94" i="76"/>
  <c r="H165" i="76"/>
  <c r="G93" i="76"/>
  <c r="I172" i="76"/>
  <c r="G99" i="76"/>
  <c r="I171" i="76"/>
  <c r="L100" i="76"/>
  <c r="F147" i="76"/>
  <c r="H63" i="76"/>
  <c r="N64" i="76"/>
  <c r="L67" i="76"/>
  <c r="N146" i="76"/>
  <c r="G139" i="76"/>
  <c r="M135" i="76"/>
  <c r="F146" i="76"/>
  <c r="N89" i="76"/>
  <c r="F169" i="76"/>
  <c r="I98" i="76"/>
  <c r="K165" i="76"/>
  <c r="F77" i="76"/>
  <c r="F165" i="76"/>
  <c r="K91" i="76"/>
  <c r="G165" i="76"/>
  <c r="N95" i="76"/>
  <c r="L166" i="76"/>
  <c r="E96" i="76"/>
  <c r="L165" i="76"/>
  <c r="K100" i="76"/>
  <c r="M172" i="76"/>
  <c r="L141" i="76"/>
  <c r="K64" i="76"/>
  <c r="L64" i="76"/>
  <c r="L70" i="76"/>
  <c r="E72" i="76"/>
  <c r="N67" i="76"/>
  <c r="H148" i="76"/>
  <c r="H141" i="76"/>
  <c r="E181" i="79"/>
  <c r="E166" i="80" s="1"/>
  <c r="J147" i="76"/>
  <c r="F94" i="76"/>
  <c r="J170" i="76"/>
  <c r="M99" i="76"/>
  <c r="G78" i="76"/>
  <c r="J78" i="76"/>
  <c r="N167" i="76"/>
  <c r="E93" i="76"/>
  <c r="K166" i="76"/>
  <c r="H97" i="76"/>
  <c r="F168" i="76"/>
  <c r="M98" i="76"/>
  <c r="E68" i="76"/>
  <c r="G140" i="76"/>
  <c r="L90" i="76"/>
  <c r="F143" i="76"/>
  <c r="K157" i="76"/>
  <c r="J70" i="76"/>
  <c r="I75" i="76"/>
  <c r="G76" i="76"/>
  <c r="J72" i="76"/>
  <c r="H73" i="76"/>
  <c r="J148" i="76"/>
  <c r="F71" i="76"/>
  <c r="N148" i="76"/>
  <c r="N96" i="76"/>
  <c r="N171" i="76"/>
  <c r="G142" i="76"/>
  <c r="E94" i="76"/>
  <c r="J91" i="76"/>
  <c r="H169" i="76"/>
  <c r="I94" i="76"/>
  <c r="M170" i="76"/>
  <c r="L98" i="76"/>
  <c r="J169" i="76"/>
  <c r="G100" i="76"/>
  <c r="I69" i="76"/>
  <c r="K141" i="76"/>
  <c r="F140" i="76"/>
  <c r="L148" i="76"/>
  <c r="K134" i="76"/>
  <c r="H144" i="76"/>
  <c r="K83" i="76"/>
  <c r="M83" i="76"/>
  <c r="M76" i="76"/>
  <c r="K77" i="76"/>
  <c r="H64" i="76"/>
  <c r="E180" i="79"/>
  <c r="E165" i="80" s="1"/>
  <c r="L76" i="76"/>
  <c r="H150" i="76"/>
  <c r="H98" i="76"/>
  <c r="G71" i="76"/>
  <c r="E145" i="76"/>
  <c r="K140" i="76"/>
  <c r="N92" i="76"/>
  <c r="L170" i="76"/>
  <c r="M95" i="76"/>
  <c r="I170" i="76"/>
  <c r="F100" i="76"/>
  <c r="N170" i="76"/>
  <c r="K142" i="76"/>
  <c r="M70" i="76"/>
  <c r="E143" i="76"/>
  <c r="F68" i="76"/>
  <c r="F150" i="76"/>
  <c r="H69" i="76"/>
  <c r="K167" i="76"/>
  <c r="I150" i="76"/>
  <c r="J156" i="76"/>
  <c r="G85" i="76"/>
  <c r="E84" i="76"/>
  <c r="G84" i="76"/>
  <c r="G69" i="76"/>
  <c r="F78" i="76"/>
  <c r="L164" i="76"/>
  <c r="L99" i="76"/>
  <c r="K68" i="76"/>
  <c r="I146" i="76"/>
  <c r="E142" i="76"/>
  <c r="F97" i="76"/>
  <c r="F172" i="76"/>
  <c r="K98" i="76"/>
  <c r="J67" i="76"/>
  <c r="L139" i="76"/>
  <c r="I141" i="76"/>
  <c r="E144" i="76"/>
  <c r="G72" i="76"/>
  <c r="I144" i="76"/>
  <c r="J69" i="76"/>
  <c r="L161" i="76"/>
  <c r="M134" i="76"/>
  <c r="N77" i="76"/>
  <c r="H156" i="76"/>
  <c r="N157" i="76"/>
  <c r="F158" i="76"/>
  <c r="I85" i="76"/>
  <c r="K85" i="76"/>
  <c r="J73" i="76"/>
  <c r="L89" i="76"/>
  <c r="F166" i="76"/>
  <c r="H139" i="76"/>
  <c r="E70" i="76"/>
  <c r="M147" i="76"/>
  <c r="I143" i="76"/>
  <c r="N99" i="76"/>
  <c r="G164" i="76"/>
  <c r="E100" i="76"/>
  <c r="N68" i="76"/>
  <c r="F141" i="76"/>
  <c r="E69" i="76"/>
  <c r="I145" i="76"/>
  <c r="K73" i="76"/>
  <c r="M145" i="76"/>
  <c r="F75" i="76"/>
  <c r="F163" i="76"/>
  <c r="I147" i="76"/>
  <c r="I168" i="76"/>
  <c r="H83" i="76"/>
  <c r="J84" i="76"/>
  <c r="L157" i="76"/>
  <c r="E162" i="76"/>
  <c r="M162" i="76"/>
  <c r="H158" i="76"/>
  <c r="F89" i="76"/>
  <c r="E83" i="76"/>
  <c r="F91" i="76"/>
  <c r="H170" i="76"/>
  <c r="L140" i="76"/>
  <c r="G74" i="76"/>
  <c r="G149" i="76"/>
  <c r="K147" i="76"/>
  <c r="J139" i="76"/>
  <c r="M89" i="76"/>
  <c r="I142" i="76"/>
  <c r="H70" i="76"/>
  <c r="J142" i="76"/>
  <c r="G73" i="76"/>
  <c r="M146" i="76"/>
  <c r="E75" i="76"/>
  <c r="K148" i="76"/>
  <c r="J76" i="76"/>
  <c r="J164" i="76"/>
  <c r="K149" i="76"/>
  <c r="G136" i="76"/>
  <c r="M142" i="76"/>
  <c r="K84" i="76"/>
  <c r="I161" i="76"/>
  <c r="L169" i="76"/>
  <c r="N169" i="76"/>
  <c r="I163" i="76"/>
  <c r="N166" i="76"/>
  <c r="I84" i="76"/>
  <c r="J92" i="76"/>
  <c r="F67" i="76"/>
  <c r="F142" i="76"/>
  <c r="E77" i="76"/>
  <c r="K150" i="76"/>
  <c r="M164" i="76"/>
  <c r="N140" i="76"/>
  <c r="I95" i="76"/>
  <c r="G145" i="76"/>
  <c r="L71" i="76"/>
  <c r="H145" i="76"/>
  <c r="E76" i="76"/>
  <c r="G148" i="76"/>
  <c r="I76" i="76"/>
  <c r="E150" i="76"/>
  <c r="J89" i="76"/>
  <c r="H167" i="76"/>
  <c r="K67" i="76"/>
  <c r="E86" i="76"/>
  <c r="K92" i="76"/>
  <c r="G75" i="76"/>
  <c r="G163" i="76"/>
  <c r="G171" i="76"/>
  <c r="K172" i="76"/>
  <c r="H157" i="76"/>
  <c r="N93" i="76"/>
  <c r="J68" i="76"/>
  <c r="H146" i="76"/>
  <c r="I78" i="76"/>
  <c r="G162" i="76"/>
  <c r="H67" i="76"/>
  <c r="H142" i="76"/>
  <c r="M68" i="76"/>
  <c r="K146" i="76"/>
  <c r="F73" i="76"/>
  <c r="L146" i="76"/>
  <c r="I77" i="76"/>
  <c r="G161" i="76"/>
  <c r="M77" i="76"/>
  <c r="I164" i="76"/>
  <c r="H92" i="76"/>
  <c r="L168" i="76"/>
  <c r="N91" i="76"/>
  <c r="G98" i="76"/>
  <c r="J86" i="76"/>
  <c r="E61" i="76"/>
  <c r="N165" i="76"/>
  <c r="G143" i="76"/>
  <c r="L158" i="76"/>
  <c r="F98" i="76"/>
  <c r="N69" i="76"/>
  <c r="L147" i="76"/>
  <c r="E90" i="76"/>
  <c r="K163" i="76"/>
  <c r="F70" i="76"/>
  <c r="L143" i="76"/>
  <c r="G70" i="76"/>
  <c r="E148" i="76"/>
  <c r="J74" i="76"/>
  <c r="N150" i="76"/>
  <c r="M78" i="76"/>
  <c r="E164" i="76"/>
  <c r="M90" i="76"/>
  <c r="M165" i="76"/>
  <c r="L93" i="76"/>
  <c r="F170" i="76"/>
  <c r="M61" i="76"/>
  <c r="J97" i="76"/>
  <c r="K133" i="76"/>
  <c r="I93" i="76"/>
  <c r="K99" i="76"/>
  <c r="G61" i="76"/>
  <c r="I167" i="76"/>
  <c r="F167" i="76"/>
  <c r="J99" i="76"/>
  <c r="H71" i="76"/>
  <c r="F162" i="76"/>
  <c r="I91" i="76"/>
  <c r="I166" i="76"/>
  <c r="J71" i="76"/>
  <c r="F145" i="76"/>
  <c r="I74" i="76"/>
  <c r="I149" i="76"/>
  <c r="H77" i="76"/>
  <c r="F161" i="76"/>
  <c r="E89" i="76"/>
  <c r="I165" i="76"/>
  <c r="G92" i="76"/>
  <c r="G167" i="76"/>
  <c r="F95" i="76"/>
  <c r="J171" i="76"/>
  <c r="K97" i="76"/>
  <c r="F86" i="76"/>
  <c r="K76" i="76"/>
  <c r="H133" i="76"/>
  <c r="E135" i="76"/>
  <c r="E99" i="76"/>
  <c r="E134" i="76"/>
  <c r="I100" i="76"/>
  <c r="I61" i="76"/>
  <c r="J140" i="76"/>
  <c r="L72" i="76"/>
  <c r="N164" i="76"/>
  <c r="M92" i="76"/>
  <c r="M167" i="76"/>
  <c r="N72" i="76"/>
  <c r="J146" i="76"/>
  <c r="G77" i="76"/>
  <c r="M150" i="76"/>
  <c r="L78" i="76"/>
  <c r="J162" i="76"/>
  <c r="I90" i="76"/>
  <c r="M166" i="76"/>
  <c r="I96" i="76"/>
  <c r="K168" i="76"/>
  <c r="J96" i="76"/>
  <c r="H89" i="76"/>
  <c r="N70" i="76"/>
  <c r="N172" i="76"/>
  <c r="I136" i="76"/>
  <c r="M133" i="76"/>
  <c r="I135" i="76"/>
  <c r="G134" i="76"/>
  <c r="E133" i="76"/>
  <c r="H143" i="76"/>
  <c r="F74" i="76"/>
  <c r="H166" i="76"/>
  <c r="G94" i="76"/>
  <c r="E172" i="76"/>
  <c r="H74" i="76"/>
  <c r="H149" i="76"/>
  <c r="K78" i="76"/>
  <c r="E161" i="76"/>
  <c r="F93" i="76"/>
  <c r="N163" i="76"/>
  <c r="M91" i="76"/>
  <c r="E171" i="76"/>
  <c r="M97" i="76"/>
  <c r="E170" i="76"/>
  <c r="H99" i="76"/>
  <c r="J141" i="76"/>
  <c r="F163" i="81" a="1"/>
  <c r="F163" i="81" s="1"/>
  <c r="L163" i="81" a="1"/>
  <c r="L163" i="81" s="1"/>
  <c r="L38" i="97" a="1"/>
  <c r="L38" i="97" s="1"/>
  <c r="O38" i="97" s="1" a="1"/>
  <c r="O38" i="97" s="1"/>
  <c r="D8" i="78"/>
  <c r="I50" i="85"/>
  <c r="I29" i="82"/>
  <c r="W51" i="85"/>
  <c r="J50" i="89"/>
  <c r="I125" i="89"/>
  <c r="F139" i="89" s="1" a="1"/>
  <c r="F139" i="89" s="1"/>
  <c r="D170" i="74"/>
  <c r="I33" i="83"/>
  <c r="J37" i="101"/>
  <c r="H25" i="101"/>
  <c r="AC185" i="81" a="1"/>
  <c r="AC185" i="81" s="1"/>
  <c r="Y185" i="81" a="1"/>
  <c r="Y185" i="81" s="1"/>
  <c r="W185" i="81" a="1"/>
  <c r="W185" i="81" s="1"/>
  <c r="H163" i="81" a="1"/>
  <c r="H163" i="81" s="1"/>
  <c r="G43" i="100"/>
  <c r="G247" i="80"/>
  <c r="G97" i="90"/>
  <c r="Q38" i="82"/>
  <c r="G38" i="82"/>
  <c r="G232" i="81"/>
  <c r="G53" i="87"/>
  <c r="Z279" i="80"/>
  <c r="X270" i="81"/>
  <c r="Q51" i="101"/>
  <c r="G51" i="101"/>
  <c r="G82" i="89"/>
  <c r="G149" i="89"/>
  <c r="P91" i="85"/>
  <c r="P39" i="83"/>
  <c r="G83" i="85"/>
  <c r="G39" i="83"/>
  <c r="G131" i="77"/>
  <c r="Q43" i="100"/>
  <c r="X164" i="77"/>
  <c r="D164" i="74"/>
  <c r="J15" i="101"/>
  <c r="F162" i="81" a="1"/>
  <c r="F162" i="81" s="1"/>
  <c r="L162" i="81" a="1"/>
  <c r="L162" i="81" s="1"/>
  <c r="Q39" i="96" a="1"/>
  <c r="Q39" i="96" s="1"/>
  <c r="O39" i="96" a="1"/>
  <c r="O39" i="96" s="1"/>
  <c r="W52" i="85"/>
  <c r="AC190" i="81" a="1"/>
  <c r="AC190" i="81" s="1"/>
  <c r="Y190" i="81" a="1"/>
  <c r="Y190" i="81" s="1"/>
  <c r="W190" i="81" a="1"/>
  <c r="W190" i="81" s="1"/>
  <c r="I14" i="83"/>
  <c r="I56" i="90"/>
  <c r="F69" i="90" s="1" a="1"/>
  <c r="F69" i="90" s="1"/>
  <c r="I14" i="90"/>
  <c r="X172" i="80"/>
  <c r="X171" i="80"/>
  <c r="L29" i="96" a="1"/>
  <c r="L29" i="96" s="1"/>
  <c r="P29" i="96" s="1" a="1"/>
  <c r="P29" i="96" s="1"/>
  <c r="O123" i="76"/>
  <c r="AC183" i="81" a="1"/>
  <c r="AC183" i="81" s="1"/>
  <c r="Y183" i="81" a="1"/>
  <c r="Y183" i="81" s="1"/>
  <c r="W183" i="81" a="1"/>
  <c r="W183" i="81" s="1"/>
  <c r="J191" i="76" a="1"/>
  <c r="J191" i="76" s="1"/>
  <c r="Y182" i="81" a="1"/>
  <c r="Y182" i="81" s="1"/>
  <c r="W182" i="81" a="1"/>
  <c r="W182" i="81" s="1"/>
  <c r="AC182" i="81" a="1"/>
  <c r="AC182" i="81" s="1"/>
  <c r="H162" i="81" a="1"/>
  <c r="H162" i="81" s="1"/>
  <c r="Y189" i="81" a="1"/>
  <c r="Y189" i="81" s="1"/>
  <c r="W189" i="81" a="1"/>
  <c r="W189" i="81" s="1"/>
  <c r="AC189" i="81" a="1"/>
  <c r="AC189" i="81" s="1"/>
  <c r="K46" i="87"/>
  <c r="I51" i="85"/>
  <c r="H226" i="81"/>
  <c r="J38" i="101"/>
  <c r="J51" i="89"/>
  <c r="I51" i="86"/>
  <c r="I20" i="88"/>
  <c r="W180" i="81" a="1"/>
  <c r="W180" i="81" s="1"/>
  <c r="AC180" i="81" a="1"/>
  <c r="AC180" i="81" s="1"/>
  <c r="Y180" i="81" a="1"/>
  <c r="Y180" i="81" s="1"/>
  <c r="AC186" i="81" a="1"/>
  <c r="AC186" i="81" s="1"/>
  <c r="Y186" i="81" a="1"/>
  <c r="Y186" i="81" s="1"/>
  <c r="W186" i="81" a="1"/>
  <c r="W186" i="81" s="1"/>
  <c r="O50" i="85"/>
  <c r="W50" i="85" s="1"/>
  <c r="T52" i="85"/>
  <c r="U52" i="85" s="1"/>
  <c r="Q52" i="85"/>
  <c r="T51" i="85"/>
  <c r="J26" i="96" a="1"/>
  <c r="J26" i="96" s="1"/>
  <c r="K26" i="96" a="1"/>
  <c r="K26" i="96" s="1"/>
  <c r="H26" i="96" a="1"/>
  <c r="H26" i="96" s="1"/>
  <c r="G26" i="96" a="1"/>
  <c r="G26" i="96" s="1"/>
  <c r="D19" i="86"/>
  <c r="F19" i="86" s="1" a="1"/>
  <c r="F19" i="86" s="1"/>
  <c r="F37" i="86" a="1"/>
  <c r="F37" i="86" s="1"/>
  <c r="F30" i="86" a="1"/>
  <c r="F30" i="86" s="1"/>
  <c r="F23" i="86" a="1"/>
  <c r="F23" i="86" s="1"/>
  <c r="F36" i="86" a="1"/>
  <c r="F36" i="86" s="1"/>
  <c r="F29" i="86" a="1"/>
  <c r="F29" i="86" s="1"/>
  <c r="F22" i="86" a="1"/>
  <c r="F22" i="86" s="1"/>
  <c r="F35" i="86" a="1"/>
  <c r="F35" i="86" s="1"/>
  <c r="F28" i="86" a="1"/>
  <c r="F28" i="86" s="1"/>
  <c r="F21" i="86" a="1"/>
  <c r="F21" i="86" s="1"/>
  <c r="F34" i="86" a="1"/>
  <c r="F34" i="86" s="1"/>
  <c r="F27" i="86" a="1"/>
  <c r="F27" i="86" s="1"/>
  <c r="F20" i="86" a="1"/>
  <c r="F20" i="86" s="1"/>
  <c r="F33" i="86" a="1"/>
  <c r="F33" i="86" s="1"/>
  <c r="F26" i="86" a="1"/>
  <c r="F26" i="86" s="1"/>
  <c r="F32" i="86" a="1"/>
  <c r="F32" i="86" s="1"/>
  <c r="F25" i="86" a="1"/>
  <c r="F25" i="86" s="1"/>
  <c r="F31" i="86" a="1"/>
  <c r="F31" i="86" s="1"/>
  <c r="F24" i="86" a="1"/>
  <c r="F24" i="86" s="1"/>
  <c r="K26" i="97"/>
  <c r="J26" i="97"/>
  <c r="P26" i="97" s="1" a="1"/>
  <c r="P26" i="97" s="1"/>
  <c r="I26" i="97"/>
  <c r="H26" i="97"/>
  <c r="G26" i="97"/>
  <c r="O26" i="97" s="1" a="1"/>
  <c r="O26" i="97" s="1"/>
  <c r="Y188" i="81" a="1"/>
  <c r="Y188" i="81" s="1"/>
  <c r="W188" i="81" a="1"/>
  <c r="W188" i="81" s="1"/>
  <c r="AC188" i="81" a="1"/>
  <c r="AC188" i="81" s="1"/>
  <c r="E102" i="89"/>
  <c r="F102" i="89" s="1" a="1"/>
  <c r="F102" i="89" s="1"/>
  <c r="E134" i="89" s="1"/>
  <c r="E65" i="90"/>
  <c r="D19" i="85"/>
  <c r="F19" i="85" s="1" a="1"/>
  <c r="F19" i="85" s="1"/>
  <c r="F37" i="85" a="1"/>
  <c r="F37" i="85" s="1"/>
  <c r="F30" i="85" a="1"/>
  <c r="F30" i="85" s="1"/>
  <c r="F23" i="85" a="1"/>
  <c r="F23" i="85" s="1"/>
  <c r="F36" i="85" a="1"/>
  <c r="F36" i="85" s="1"/>
  <c r="F29" i="85" a="1"/>
  <c r="F29" i="85" s="1"/>
  <c r="F22" i="85" a="1"/>
  <c r="F22" i="85" s="1"/>
  <c r="F35" i="85" a="1"/>
  <c r="F35" i="85" s="1"/>
  <c r="F28" i="85" a="1"/>
  <c r="F28" i="85" s="1"/>
  <c r="F21" i="85" a="1"/>
  <c r="F21" i="85" s="1"/>
  <c r="F34" i="85" a="1"/>
  <c r="F34" i="85" s="1"/>
  <c r="F27" i="85" a="1"/>
  <c r="F27" i="85" s="1"/>
  <c r="F20" i="85" a="1"/>
  <c r="F20" i="85" s="1"/>
  <c r="F33" i="85" a="1"/>
  <c r="F33" i="85" s="1"/>
  <c r="F26" i="85" a="1"/>
  <c r="F26" i="85" s="1"/>
  <c r="F32" i="85" a="1"/>
  <c r="F32" i="85" s="1"/>
  <c r="F25" i="85" a="1"/>
  <c r="F25" i="85" s="1"/>
  <c r="F31" i="85" a="1"/>
  <c r="F31" i="85" s="1"/>
  <c r="F24" i="85" a="1"/>
  <c r="F24" i="85" s="1"/>
  <c r="G38" i="96" a="1"/>
  <c r="G38" i="96" s="1"/>
  <c r="H38" i="96" a="1"/>
  <c r="H38" i="96" s="1"/>
  <c r="K38" i="96" a="1"/>
  <c r="K38" i="96" s="1"/>
  <c r="J38" i="96" a="1"/>
  <c r="J38" i="96" s="1"/>
  <c r="J191" i="79" a="1"/>
  <c r="J191" i="79" s="1"/>
  <c r="W187" i="81" a="1"/>
  <c r="W187" i="81" s="1"/>
  <c r="AC187" i="81" a="1"/>
  <c r="AC187" i="81" s="1"/>
  <c r="Y187" i="81" a="1"/>
  <c r="Y187" i="81" s="1"/>
  <c r="L164" i="81" a="1"/>
  <c r="L164" i="81" s="1"/>
  <c r="K28" i="97"/>
  <c r="J28" i="97"/>
  <c r="I28" i="97"/>
  <c r="H28" i="97"/>
  <c r="G28" i="97"/>
  <c r="P28" i="97" s="1" a="1"/>
  <c r="P28" i="97" s="1"/>
  <c r="AC184" i="81" a="1"/>
  <c r="AC184" i="81" s="1"/>
  <c r="Y184" i="81" a="1"/>
  <c r="Y184" i="81" s="1"/>
  <c r="W184" i="81" a="1"/>
  <c r="W184" i="81" s="1"/>
  <c r="I38" i="96" a="1"/>
  <c r="I38" i="96" s="1"/>
  <c r="E103" i="89"/>
  <c r="F103" i="89" s="1" a="1"/>
  <c r="F103" i="89" s="1"/>
  <c r="E135" i="89" s="1"/>
  <c r="E66" i="90"/>
  <c r="V133" i="77" a="1"/>
  <c r="V232" i="81" a="1"/>
  <c r="V232" i="81" s="1"/>
  <c r="X235" i="80" a="1"/>
  <c r="Y181" i="81" a="1"/>
  <c r="Y181" i="81" s="1"/>
  <c r="W181" i="81" a="1"/>
  <c r="W181" i="81" s="1"/>
  <c r="AC181" i="81" a="1"/>
  <c r="AC181" i="81" s="1"/>
  <c r="E104" i="89"/>
  <c r="F104" i="89" s="1" a="1"/>
  <c r="F104" i="89" s="1"/>
  <c r="E136" i="89" s="1"/>
  <c r="E67" i="90"/>
  <c r="F67" i="90" s="1" a="1"/>
  <c r="F67" i="90" s="1"/>
  <c r="I26" i="96" a="1"/>
  <c r="I26" i="96" s="1"/>
  <c r="K29" i="97"/>
  <c r="J29" i="97"/>
  <c r="I29" i="97"/>
  <c r="H29" i="97"/>
  <c r="G29" i="97"/>
  <c r="O29" i="97" s="1" a="1"/>
  <c r="O29" i="97" s="1"/>
  <c r="V106" i="81" a="1"/>
  <c r="V106" i="81" s="1"/>
  <c r="W106" i="81" s="1" a="1"/>
  <c r="W106" i="81" s="1"/>
  <c r="V101" i="81" a="1"/>
  <c r="V101" i="81" s="1"/>
  <c r="W101" i="81" s="1" a="1"/>
  <c r="W101" i="81" s="1"/>
  <c r="V191" i="81" a="1"/>
  <c r="V191" i="81" s="1"/>
  <c r="V107" i="81" a="1"/>
  <c r="V107" i="81" s="1"/>
  <c r="W107" i="81" s="1" a="1"/>
  <c r="W107" i="81" s="1"/>
  <c r="AA107" i="81" s="1" a="1"/>
  <c r="AA107" i="81" s="1"/>
  <c r="G25" i="96" a="1"/>
  <c r="G25" i="96" s="1"/>
  <c r="K34" i="97"/>
  <c r="J34" i="97"/>
  <c r="I34" i="97"/>
  <c r="O34" i="97" s="1" a="1"/>
  <c r="O34" i="97" s="1"/>
  <c r="H34" i="97"/>
  <c r="G34" i="97"/>
  <c r="K31" i="97"/>
  <c r="J31" i="97"/>
  <c r="I31" i="97"/>
  <c r="H31" i="97"/>
  <c r="G31" i="97"/>
  <c r="P31" i="97" s="1" a="1"/>
  <c r="P31" i="97" s="1"/>
  <c r="J25" i="96" a="1"/>
  <c r="J25" i="96" s="1"/>
  <c r="D19" i="89"/>
  <c r="F19" i="89" s="1" a="1"/>
  <c r="F19" i="89" s="1"/>
  <c r="G19" i="89" s="1" a="1"/>
  <c r="G19" i="89" s="1"/>
  <c r="F36" i="89" a="1"/>
  <c r="F36" i="89" s="1"/>
  <c r="G36" i="89" s="1" a="1"/>
  <c r="G36" i="89" s="1"/>
  <c r="F29" i="89" a="1"/>
  <c r="F29" i="89" s="1"/>
  <c r="G29" i="89" s="1" a="1"/>
  <c r="G29" i="89" s="1"/>
  <c r="F22" i="89" a="1"/>
  <c r="F22" i="89" s="1"/>
  <c r="G22" i="89" s="1" a="1"/>
  <c r="G22" i="89" s="1"/>
  <c r="F35" i="89" a="1"/>
  <c r="F35" i="89" s="1"/>
  <c r="G35" i="89" s="1" a="1"/>
  <c r="G35" i="89" s="1"/>
  <c r="F28" i="89" a="1"/>
  <c r="F28" i="89" s="1"/>
  <c r="G28" i="89" s="1" a="1"/>
  <c r="G28" i="89" s="1"/>
  <c r="F21" i="89" a="1"/>
  <c r="F21" i="89" s="1"/>
  <c r="G21" i="89" s="1" a="1"/>
  <c r="G21" i="89" s="1"/>
  <c r="F34" i="89" a="1"/>
  <c r="F34" i="89" s="1"/>
  <c r="G34" i="89" s="1" a="1"/>
  <c r="G34" i="89" s="1"/>
  <c r="F27" i="89" a="1"/>
  <c r="F27" i="89" s="1"/>
  <c r="G27" i="89" s="1" a="1"/>
  <c r="G27" i="89" s="1"/>
  <c r="F20" i="89" a="1"/>
  <c r="F20" i="89" s="1"/>
  <c r="G20" i="89" s="1" a="1"/>
  <c r="G20" i="89" s="1"/>
  <c r="F33" i="89" a="1"/>
  <c r="F33" i="89" s="1"/>
  <c r="G33" i="89" s="1" a="1"/>
  <c r="G33" i="89" s="1"/>
  <c r="F26" i="89" a="1"/>
  <c r="F26" i="89" s="1"/>
  <c r="G26" i="89" s="1" a="1"/>
  <c r="G26" i="89" s="1"/>
  <c r="F32" i="89" a="1"/>
  <c r="F32" i="89" s="1"/>
  <c r="G32" i="89" s="1" a="1"/>
  <c r="G32" i="89" s="1"/>
  <c r="F25" i="89" a="1"/>
  <c r="F25" i="89" s="1"/>
  <c r="G25" i="89" s="1" a="1"/>
  <c r="G25" i="89" s="1"/>
  <c r="F31" i="89" a="1"/>
  <c r="F31" i="89" s="1"/>
  <c r="G31" i="89" s="1" a="1"/>
  <c r="G31" i="89" s="1"/>
  <c r="F24" i="89" a="1"/>
  <c r="F24" i="89" s="1"/>
  <c r="G24" i="89" s="1" a="1"/>
  <c r="G24" i="89" s="1"/>
  <c r="F37" i="89" a="1"/>
  <c r="F37" i="89" s="1"/>
  <c r="G37" i="89" s="1" a="1"/>
  <c r="G37" i="89" s="1"/>
  <c r="F30" i="89" a="1"/>
  <c r="F30" i="89" s="1"/>
  <c r="G30" i="89" s="1" a="1"/>
  <c r="G30" i="89" s="1"/>
  <c r="F23" i="89" a="1"/>
  <c r="F23" i="89" s="1"/>
  <c r="G23" i="89" s="1" a="1"/>
  <c r="G23" i="89" s="1"/>
  <c r="K37" i="97"/>
  <c r="J37" i="97"/>
  <c r="I37" i="97"/>
  <c r="H37" i="97"/>
  <c r="G37" i="97"/>
  <c r="X30" i="80" a="1"/>
  <c r="X30" i="80" s="1"/>
  <c r="Y30" i="80" s="1" a="1"/>
  <c r="Y30" i="80" s="1"/>
  <c r="X29" i="80" a="1"/>
  <c r="X29" i="80" s="1"/>
  <c r="Y29" i="80" s="1" a="1"/>
  <c r="Y29" i="80" s="1"/>
  <c r="X31" i="80" a="1"/>
  <c r="X31" i="80" s="1"/>
  <c r="Y31" i="80" s="1" a="1"/>
  <c r="Y31" i="80" s="1"/>
  <c r="X35" i="80" a="1"/>
  <c r="X35" i="80" s="1"/>
  <c r="X33" i="80" a="1"/>
  <c r="X33" i="80" s="1"/>
  <c r="Y33" i="80" s="1" a="1"/>
  <c r="Y33" i="80" s="1"/>
  <c r="K32" i="97"/>
  <c r="Q32" i="97" s="1" a="1"/>
  <c r="Q32" i="97" s="1"/>
  <c r="J32" i="97"/>
  <c r="I32" i="97"/>
  <c r="H32" i="97"/>
  <c r="G32" i="97"/>
  <c r="N32" i="97" s="1" a="1"/>
  <c r="N32" i="97" s="1"/>
  <c r="J28" i="81"/>
  <c r="I28" i="81"/>
  <c r="H28" i="81"/>
  <c r="G28" i="81"/>
  <c r="F28" i="81"/>
  <c r="E28" i="81"/>
  <c r="D28" i="81"/>
  <c r="K28" i="81"/>
  <c r="M28" i="81"/>
  <c r="L28" i="81"/>
  <c r="Q37" i="97" a="1"/>
  <c r="Q37" i="97" s="1"/>
  <c r="Q33" i="97" a="1"/>
  <c r="Q33" i="97" s="1"/>
  <c r="Q30" i="97" a="1"/>
  <c r="Q30" i="97" s="1"/>
  <c r="N39" i="96" a="1"/>
  <c r="N39" i="96" s="1"/>
  <c r="N37" i="96" a="1"/>
  <c r="N37" i="96" s="1"/>
  <c r="O36" i="96" a="1"/>
  <c r="O36" i="96" s="1"/>
  <c r="Q30" i="96" a="1"/>
  <c r="Q30" i="96" s="1"/>
  <c r="P28" i="96" a="1"/>
  <c r="P28" i="96" s="1"/>
  <c r="P32" i="96" a="1"/>
  <c r="P32" i="96" s="1"/>
  <c r="N27" i="96" a="1"/>
  <c r="N27" i="96" s="1"/>
  <c r="O27" i="96" a="1"/>
  <c r="O27" i="96" s="1"/>
  <c r="P27" i="96" a="1"/>
  <c r="P27" i="96" s="1"/>
  <c r="N28" i="96" a="1"/>
  <c r="N28" i="96" s="1"/>
  <c r="O28" i="96" a="1"/>
  <c r="O28" i="96" s="1"/>
  <c r="E21" i="100" a="1"/>
  <c r="E21" i="100" s="1"/>
  <c r="Q39" i="97" a="1"/>
  <c r="Q39" i="97" s="1"/>
  <c r="O21" i="100" a="1"/>
  <c r="O21" i="100" s="1"/>
  <c r="P36" i="97" a="1"/>
  <c r="P36" i="97" s="1"/>
  <c r="O36" i="97" a="1"/>
  <c r="O36" i="97" s="1"/>
  <c r="N36" i="97" a="1"/>
  <c r="N36" i="97" s="1"/>
  <c r="Q36" i="97" a="1"/>
  <c r="Q36" i="97" s="1"/>
  <c r="P35" i="97" a="1"/>
  <c r="P35" i="97" s="1"/>
  <c r="O35" i="97" a="1"/>
  <c r="O35" i="97" s="1"/>
  <c r="N35" i="97" a="1"/>
  <c r="N35" i="97" s="1"/>
  <c r="O27" i="97" a="1"/>
  <c r="O27" i="97" s="1"/>
  <c r="N27" i="97" a="1"/>
  <c r="N27" i="97" s="1"/>
  <c r="Q27" i="97" a="1"/>
  <c r="Q27" i="97" s="1"/>
  <c r="P27" i="97" a="1"/>
  <c r="P27" i="97" s="1"/>
  <c r="P29" i="97" a="1"/>
  <c r="P29" i="97" s="1"/>
  <c r="N29" i="97" a="1"/>
  <c r="N29" i="97" s="1"/>
  <c r="Q29" i="97" a="1"/>
  <c r="Q29" i="97" s="1"/>
  <c r="N26" i="97" a="1"/>
  <c r="N26" i="97" s="1"/>
  <c r="N25" i="97" a="1"/>
  <c r="N25" i="97" s="1"/>
  <c r="P25" i="97" a="1"/>
  <c r="P25" i="97" s="1"/>
  <c r="O25" i="97" a="1"/>
  <c r="O25" i="97" s="1"/>
  <c r="Q28" i="97" a="1"/>
  <c r="Q28" i="97" s="1"/>
  <c r="Q31" i="97" a="1"/>
  <c r="Q31" i="97" s="1"/>
  <c r="Q26" i="97" a="1"/>
  <c r="Q26" i="97" s="1"/>
  <c r="Q25" i="97" a="1"/>
  <c r="Q25" i="97" s="1"/>
  <c r="P37" i="97" a="1"/>
  <c r="P37" i="97" s="1"/>
  <c r="O37" i="97" a="1"/>
  <c r="O37" i="97" s="1"/>
  <c r="N37" i="97" a="1"/>
  <c r="N37" i="97" s="1"/>
  <c r="P30" i="97" a="1"/>
  <c r="P30" i="97" s="1"/>
  <c r="O30" i="97" a="1"/>
  <c r="O30" i="97" s="1"/>
  <c r="N30" i="97" a="1"/>
  <c r="N30" i="97" s="1"/>
  <c r="Q35" i="97" a="1"/>
  <c r="Q35" i="97" s="1"/>
  <c r="N34" i="97" a="1"/>
  <c r="N34" i="97" s="1"/>
  <c r="Q34" i="97" a="1"/>
  <c r="Q34" i="97" s="1"/>
  <c r="P34" i="97" a="1"/>
  <c r="P34" i="97" s="1"/>
  <c r="P39" i="97" a="1"/>
  <c r="P39" i="97" s="1"/>
  <c r="O39" i="97" a="1"/>
  <c r="O39" i="97" s="1"/>
  <c r="N39" i="97" a="1"/>
  <c r="N39" i="97" s="1"/>
  <c r="P33" i="97" a="1"/>
  <c r="P33" i="97" s="1"/>
  <c r="O33" i="97" a="1"/>
  <c r="O33" i="97" s="1"/>
  <c r="N33" i="97" a="1"/>
  <c r="N33" i="97" s="1"/>
  <c r="Q38" i="96" a="1"/>
  <c r="Q38" i="96" s="1"/>
  <c r="P38" i="96" a="1"/>
  <c r="P38" i="96" s="1"/>
  <c r="O38" i="96" a="1"/>
  <c r="O38" i="96" s="1"/>
  <c r="N38" i="96" a="1"/>
  <c r="N38" i="96" s="1"/>
  <c r="P26" i="96" a="1"/>
  <c r="P26" i="96" s="1"/>
  <c r="Q32" i="96" a="1"/>
  <c r="Q32" i="96" s="1"/>
  <c r="P39" i="96" a="1"/>
  <c r="P39" i="96" s="1"/>
  <c r="O33" i="96" a="1"/>
  <c r="O33" i="96" s="1"/>
  <c r="E50" i="96" s="1"/>
  <c r="P33" i="96" a="1"/>
  <c r="P33" i="96" s="1"/>
  <c r="E51" i="96" s="1"/>
  <c r="N34" i="96" a="1"/>
  <c r="N34" i="96" s="1"/>
  <c r="O34" i="96" a="1"/>
  <c r="O34" i="96" s="1"/>
  <c r="P36" i="96" a="1"/>
  <c r="P36" i="96" s="1"/>
  <c r="P34" i="96" a="1"/>
  <c r="P34" i="96" s="1"/>
  <c r="Q36" i="96" a="1"/>
  <c r="Q36" i="96" s="1"/>
  <c r="Q37" i="96" a="1"/>
  <c r="Q37" i="96" s="1"/>
  <c r="N32" i="96" a="1"/>
  <c r="N32" i="96" s="1"/>
  <c r="O30" i="96" a="1"/>
  <c r="O30" i="96" s="1"/>
  <c r="O37" i="96" a="1"/>
  <c r="O37" i="96" s="1"/>
  <c r="N35" i="96" a="1"/>
  <c r="N35" i="96" s="1"/>
  <c r="Q35" i="96" a="1"/>
  <c r="Q35" i="96" s="1"/>
  <c r="P35" i="96" a="1"/>
  <c r="P35" i="96" s="1"/>
  <c r="O35" i="96" a="1"/>
  <c r="O35" i="96" s="1"/>
  <c r="F70" i="90" a="1"/>
  <c r="F70" i="90" s="1"/>
  <c r="E50" i="92"/>
  <c r="J35" i="93" s="1"/>
  <c r="E39" i="93" s="1" a="1"/>
  <c r="E39" i="93" s="1"/>
  <c r="E27" i="13" s="1" a="1"/>
  <c r="E27" i="13" s="1"/>
  <c r="AD34" i="80" a="1"/>
  <c r="AD34" i="80" s="1"/>
  <c r="J96" i="81" a="1"/>
  <c r="J96" i="81" s="1"/>
  <c r="K96" i="81" a="1"/>
  <c r="K96" i="81" s="1"/>
  <c r="W108" i="81" a="1"/>
  <c r="W108" i="81" s="1"/>
  <c r="AA108" i="81" s="1" a="1"/>
  <c r="AA108" i="81" s="1"/>
  <c r="AA104" i="81" a="1"/>
  <c r="AA104" i="81" s="1"/>
  <c r="N32" i="80" a="1"/>
  <c r="N32" i="80" s="1"/>
  <c r="AB104" i="81" a="1"/>
  <c r="AB104" i="81" s="1"/>
  <c r="M32" i="80" a="1"/>
  <c r="M32" i="80" s="1"/>
  <c r="W109" i="81" a="1"/>
  <c r="W109" i="81" s="1"/>
  <c r="AA109" i="81" s="1" a="1"/>
  <c r="AA109" i="81" s="1"/>
  <c r="AC39" i="80" a="1"/>
  <c r="AC39" i="80" s="1"/>
  <c r="K95" i="81" a="1"/>
  <c r="K95" i="81" s="1"/>
  <c r="J95" i="81" a="1"/>
  <c r="J95" i="81" s="1"/>
  <c r="AC110" i="81" a="1"/>
  <c r="AC110" i="81" s="1"/>
  <c r="AB110" i="81" a="1"/>
  <c r="AB110" i="81" s="1"/>
  <c r="AB100" i="81" a="1"/>
  <c r="AB100" i="81" s="1"/>
  <c r="AC100" i="81" a="1"/>
  <c r="AC100" i="81" s="1"/>
  <c r="AA102" i="81" a="1"/>
  <c r="AA102" i="81" s="1"/>
  <c r="AD32" i="80" a="1"/>
  <c r="AD32" i="80" s="1"/>
  <c r="K97" i="81" a="1"/>
  <c r="K97" i="81" s="1"/>
  <c r="AA110" i="81" a="1"/>
  <c r="AA110" i="81" s="1"/>
  <c r="AB103" i="81" a="1"/>
  <c r="AB103" i="81" s="1"/>
  <c r="AA103" i="81" a="1"/>
  <c r="AA103" i="81" s="1"/>
  <c r="AB102" i="81" a="1"/>
  <c r="AB102" i="81" s="1"/>
  <c r="J97" i="81" a="1"/>
  <c r="J97" i="81" s="1"/>
  <c r="AA105" i="81" a="1"/>
  <c r="AA105" i="81" s="1"/>
  <c r="AC34" i="80" a="1"/>
  <c r="AC34" i="80" s="1"/>
  <c r="AE32" i="80" a="1"/>
  <c r="AE32" i="80" s="1"/>
  <c r="AC105" i="81" a="1"/>
  <c r="AC105" i="81" s="1"/>
  <c r="AC111" i="81" a="1"/>
  <c r="AC111" i="81" s="1"/>
  <c r="AB111" i="81" a="1"/>
  <c r="AB111" i="81" s="1"/>
  <c r="J26" i="77" a="1"/>
  <c r="J26" i="77" s="1"/>
  <c r="L98" i="81" a="1"/>
  <c r="L98" i="81" s="1"/>
  <c r="K98" i="81" a="1"/>
  <c r="K98" i="81" s="1"/>
  <c r="AD38" i="80" a="1"/>
  <c r="AD38" i="80" s="1"/>
  <c r="Y37" i="80" a="1"/>
  <c r="Y37" i="80" s="1"/>
  <c r="Y36" i="80" a="1"/>
  <c r="Y36" i="80" s="1"/>
  <c r="G147" i="78"/>
  <c r="AE28" i="80" a="1"/>
  <c r="AE28" i="80" s="1"/>
  <c r="AC28" i="80" a="1"/>
  <c r="AC28" i="80" s="1"/>
  <c r="AD28" i="80" a="1"/>
  <c r="AD28" i="80" s="1"/>
  <c r="G30" i="80"/>
  <c r="G31" i="80"/>
  <c r="AC38" i="80" a="1"/>
  <c r="AC38" i="80" s="1"/>
  <c r="Y35" i="80" a="1"/>
  <c r="Y35" i="80" s="1"/>
  <c r="G33" i="80"/>
  <c r="AD39" i="80" a="1"/>
  <c r="AD39" i="80" s="1"/>
  <c r="AC35" i="77" a="1"/>
  <c r="AC35" i="77" s="1"/>
  <c r="H147" i="78"/>
  <c r="AA35" i="77" a="1"/>
  <c r="AA35" i="77" s="1"/>
  <c r="AA33" i="77" a="1"/>
  <c r="AA33" i="77" s="1"/>
  <c r="N123" i="79"/>
  <c r="O123" i="79" s="1"/>
  <c r="H148" i="78"/>
  <c r="N149" i="78"/>
  <c r="L148" i="78"/>
  <c r="P146" i="78"/>
  <c r="AF133" i="77"/>
  <c r="O115" i="77"/>
  <c r="M146" i="78"/>
  <c r="G148" i="78"/>
  <c r="O146" i="78"/>
  <c r="N147" i="78"/>
  <c r="K146" i="78"/>
  <c r="M149" i="78"/>
  <c r="N148" i="78"/>
  <c r="L146" i="78"/>
  <c r="M148" i="78"/>
  <c r="L147" i="78"/>
  <c r="K147" i="78"/>
  <c r="O148" i="78"/>
  <c r="O147" i="78"/>
  <c r="M147" i="78"/>
  <c r="I146" i="78"/>
  <c r="I148" i="78"/>
  <c r="P148" i="78"/>
  <c r="P147" i="78"/>
  <c r="J146" i="78"/>
  <c r="H146" i="78"/>
  <c r="O149" i="78"/>
  <c r="K148" i="78"/>
  <c r="P149" i="78"/>
  <c r="K149" i="78"/>
  <c r="N146" i="78"/>
  <c r="L149" i="78"/>
  <c r="G146" i="78"/>
  <c r="AC37" i="77" a="1"/>
  <c r="AC37" i="77" s="1"/>
  <c r="AA37" i="77" a="1"/>
  <c r="AA37" i="77" s="1"/>
  <c r="AC33" i="77" a="1"/>
  <c r="AC33" i="77" s="1"/>
  <c r="L27" i="77" a="1"/>
  <c r="L27" i="77" s="1"/>
  <c r="J27" i="77" a="1"/>
  <c r="J27" i="77" s="1"/>
  <c r="K27" i="77" a="1"/>
  <c r="K27" i="77" s="1"/>
  <c r="L26" i="77" a="1"/>
  <c r="L26" i="77" s="1"/>
  <c r="E22" i="75"/>
  <c r="AB37" i="77" a="1"/>
  <c r="AB37" i="77" s="1"/>
  <c r="F26" i="13"/>
  <c r="I26" i="13" s="1"/>
  <c r="N122" i="76"/>
  <c r="O122" i="76"/>
  <c r="E19" i="75"/>
  <c r="E20" i="75"/>
  <c r="E21" i="75" s="1"/>
  <c r="H54" i="74"/>
  <c r="H51" i="74"/>
  <c r="H49" i="74"/>
  <c r="F62" i="13"/>
  <c r="G63" i="13" s="1"/>
  <c r="H53" i="74"/>
  <c r="H48" i="74"/>
  <c r="H52" i="74"/>
  <c r="H50" i="74"/>
  <c r="I126" i="89" s="1"/>
  <c r="O40" i="97" l="1" a="1"/>
  <c r="O40" i="97" s="1"/>
  <c r="Q40" i="97" a="1"/>
  <c r="Q40" i="97" s="1"/>
  <c r="N40" i="97" a="1"/>
  <c r="N40" i="97" s="1"/>
  <c r="N26" i="96" a="1"/>
  <c r="N26" i="96" s="1"/>
  <c r="Q38" i="97" a="1"/>
  <c r="Q38" i="97" s="1"/>
  <c r="E61" i="96"/>
  <c r="R50" i="85" a="1"/>
  <c r="R50" i="85" s="1"/>
  <c r="T50" i="85"/>
  <c r="U50" i="85" s="1"/>
  <c r="S50" i="85" a="1"/>
  <c r="S50" i="85" s="1"/>
  <c r="Q50" i="85"/>
  <c r="F74" i="90" a="1"/>
  <c r="F74" i="90" s="1"/>
  <c r="F73" i="90" a="1"/>
  <c r="F73" i="90" s="1"/>
  <c r="F66" i="90" a="1"/>
  <c r="F66" i="90" s="1"/>
  <c r="AB107" i="81" a="1"/>
  <c r="AB107" i="81" s="1"/>
  <c r="F68" i="90" a="1"/>
  <c r="F68" i="90" s="1"/>
  <c r="F72" i="90" a="1"/>
  <c r="F72" i="90" s="1"/>
  <c r="F65" i="90" a="1"/>
  <c r="F65" i="90" s="1"/>
  <c r="AC107" i="81" a="1"/>
  <c r="AC107" i="81" s="1"/>
  <c r="F75" i="90" a="1"/>
  <c r="F75" i="90" s="1"/>
  <c r="F71" i="90" a="1"/>
  <c r="F71" i="90" s="1"/>
  <c r="F136" i="89" a="1"/>
  <c r="F136" i="89" s="1"/>
  <c r="F140" i="89" a="1"/>
  <c r="F140" i="89" s="1"/>
  <c r="F135" i="89" a="1"/>
  <c r="F135" i="89" s="1"/>
  <c r="F138" i="89" a="1"/>
  <c r="F138" i="89" s="1"/>
  <c r="F143" i="89" a="1"/>
  <c r="F143" i="89" s="1"/>
  <c r="F141" i="89" a="1"/>
  <c r="F141" i="89" s="1"/>
  <c r="H27" i="13"/>
  <c r="F27" i="13"/>
  <c r="I27" i="13" s="1"/>
  <c r="F134" i="89" a="1"/>
  <c r="F134" i="89" s="1"/>
  <c r="V164" i="81" a="1"/>
  <c r="V164" i="81" s="1"/>
  <c r="AE33" i="80" a="1"/>
  <c r="AE33" i="80" s="1"/>
  <c r="AD33" i="80" a="1"/>
  <c r="AD33" i="80" s="1"/>
  <c r="AC33" i="80" a="1"/>
  <c r="AC33" i="80" s="1"/>
  <c r="O45" i="85" a="1"/>
  <c r="X115" i="80" a="1"/>
  <c r="X115" i="80" s="1"/>
  <c r="X44" i="80" a="1"/>
  <c r="V44" i="77" a="1"/>
  <c r="V20" i="81" a="1"/>
  <c r="AD47" i="81" s="1" a="1"/>
  <c r="AD47" i="81" s="1"/>
  <c r="E153" i="81" a="1"/>
  <c r="E153" i="81" s="1"/>
  <c r="AC31" i="80" a="1"/>
  <c r="AC31" i="80" s="1"/>
  <c r="AD31" i="80" a="1"/>
  <c r="AD31" i="80" s="1"/>
  <c r="AE31" i="80" a="1"/>
  <c r="AE31" i="80" s="1"/>
  <c r="N28" i="97" a="1"/>
  <c r="N28" i="97" s="1"/>
  <c r="N31" i="97" a="1"/>
  <c r="N31" i="97" s="1"/>
  <c r="AE29" i="80" a="1"/>
  <c r="AE29" i="80" s="1"/>
  <c r="AC29" i="80" a="1"/>
  <c r="AC29" i="80" s="1"/>
  <c r="AD29" i="80" a="1"/>
  <c r="AD29" i="80" s="1"/>
  <c r="AC101" i="81" a="1"/>
  <c r="AC101" i="81" s="1"/>
  <c r="AA101" i="81" a="1"/>
  <c r="AA101" i="81" s="1"/>
  <c r="AB101" i="81" a="1"/>
  <c r="AB101" i="81" s="1"/>
  <c r="Y276" i="80"/>
  <c r="X235" i="80"/>
  <c r="I30" i="82"/>
  <c r="AC191" i="81" a="1"/>
  <c r="AC191" i="81" s="1"/>
  <c r="Y191" i="81" a="1"/>
  <c r="Y191" i="81" s="1"/>
  <c r="W191" i="81" a="1"/>
  <c r="W191" i="81" s="1"/>
  <c r="Q29" i="96" a="1"/>
  <c r="Q29" i="96" s="1"/>
  <c r="N29" i="96" a="1"/>
  <c r="N29" i="96" s="1"/>
  <c r="N38" i="97" a="1"/>
  <c r="N38" i="97" s="1"/>
  <c r="O28" i="97" a="1"/>
  <c r="O28" i="97" s="1"/>
  <c r="O31" i="97" a="1"/>
  <c r="O31" i="97" s="1"/>
  <c r="AE30" i="80" a="1"/>
  <c r="AE30" i="80" s="1"/>
  <c r="AC30" i="80" a="1"/>
  <c r="AC30" i="80" s="1"/>
  <c r="AD30" i="80" a="1"/>
  <c r="AD30" i="80" s="1"/>
  <c r="AC106" i="81" a="1"/>
  <c r="AC106" i="81" s="1"/>
  <c r="AB106" i="81" a="1"/>
  <c r="AB106" i="81" s="1"/>
  <c r="AA106" i="81" a="1"/>
  <c r="AA106" i="81" s="1"/>
  <c r="J92" i="90"/>
  <c r="E115" i="80" a="1"/>
  <c r="E115" i="80" s="1"/>
  <c r="E20" i="81" a="1"/>
  <c r="M35" i="81" s="1" a="1"/>
  <c r="M35" i="81" s="1"/>
  <c r="E52" i="80" a="1"/>
  <c r="E48" i="77" a="1"/>
  <c r="E37" i="86" a="1"/>
  <c r="E37" i="86" s="1"/>
  <c r="G37" i="86" s="1" a="1"/>
  <c r="G37" i="86" s="1"/>
  <c r="E76" i="86" s="1" a="1"/>
  <c r="E76" i="86" s="1"/>
  <c r="E30" i="86" a="1"/>
  <c r="E30" i="86" s="1"/>
  <c r="G30" i="86" s="1" a="1"/>
  <c r="G30" i="86" s="1"/>
  <c r="E69" i="86" s="1" a="1"/>
  <c r="E69" i="86" s="1"/>
  <c r="E23" i="86" a="1"/>
  <c r="E23" i="86" s="1"/>
  <c r="G23" i="86" s="1" a="1"/>
  <c r="G23" i="86" s="1"/>
  <c r="E62" i="86" s="1" a="1"/>
  <c r="E62" i="86" s="1"/>
  <c r="E37" i="85" a="1"/>
  <c r="E37" i="85" s="1"/>
  <c r="G37" i="85" s="1" a="1"/>
  <c r="G37" i="85" s="1"/>
  <c r="E30" i="85" a="1"/>
  <c r="E30" i="85" s="1"/>
  <c r="G30" i="85" s="1" a="1"/>
  <c r="G30" i="85" s="1"/>
  <c r="E23" i="85" a="1"/>
  <c r="E23" i="85" s="1"/>
  <c r="G23" i="85" s="1" a="1"/>
  <c r="G23" i="85" s="1"/>
  <c r="E36" i="86" a="1"/>
  <c r="E36" i="86" s="1"/>
  <c r="G36" i="86" s="1" a="1"/>
  <c r="G36" i="86" s="1"/>
  <c r="E75" i="86" s="1" a="1"/>
  <c r="E75" i="86" s="1"/>
  <c r="E29" i="86" a="1"/>
  <c r="E29" i="86" s="1"/>
  <c r="G29" i="86" s="1" a="1"/>
  <c r="G29" i="86" s="1"/>
  <c r="E68" i="86" s="1" a="1"/>
  <c r="E68" i="86" s="1"/>
  <c r="E22" i="86" a="1"/>
  <c r="E22" i="86" s="1"/>
  <c r="G22" i="86" s="1" a="1"/>
  <c r="G22" i="86" s="1"/>
  <c r="E61" i="86" s="1" a="1"/>
  <c r="E61" i="86" s="1"/>
  <c r="E36" i="85" a="1"/>
  <c r="E36" i="85" s="1"/>
  <c r="G36" i="85" s="1" a="1"/>
  <c r="G36" i="85" s="1"/>
  <c r="E29" i="85" a="1"/>
  <c r="E29" i="85" s="1"/>
  <c r="G29" i="85" s="1" a="1"/>
  <c r="G29" i="85" s="1"/>
  <c r="E22" i="85" a="1"/>
  <c r="E22" i="85" s="1"/>
  <c r="G22" i="85" s="1" a="1"/>
  <c r="G22" i="85" s="1"/>
  <c r="E35" i="86" a="1"/>
  <c r="E35" i="86" s="1"/>
  <c r="G35" i="86" s="1" a="1"/>
  <c r="G35" i="86" s="1"/>
  <c r="E74" i="86" s="1" a="1"/>
  <c r="E74" i="86" s="1"/>
  <c r="E28" i="86" a="1"/>
  <c r="E28" i="86" s="1"/>
  <c r="G28" i="86" s="1" a="1"/>
  <c r="G28" i="86" s="1"/>
  <c r="E67" i="86" s="1" a="1"/>
  <c r="E67" i="86" s="1"/>
  <c r="E21" i="86" a="1"/>
  <c r="E21" i="86" s="1"/>
  <c r="G21" i="86" s="1" a="1"/>
  <c r="G21" i="86" s="1"/>
  <c r="E60" i="86" s="1" a="1"/>
  <c r="E60" i="86" s="1"/>
  <c r="E35" i="85" a="1"/>
  <c r="E35" i="85" s="1"/>
  <c r="G35" i="85" s="1" a="1"/>
  <c r="G35" i="85" s="1"/>
  <c r="E28" i="85" a="1"/>
  <c r="E28" i="85" s="1"/>
  <c r="G28" i="85" s="1" a="1"/>
  <c r="G28" i="85" s="1"/>
  <c r="E21" i="85" a="1"/>
  <c r="E21" i="85" s="1"/>
  <c r="G21" i="85" s="1" a="1"/>
  <c r="G21" i="85" s="1"/>
  <c r="E34" i="86" a="1"/>
  <c r="E34" i="86" s="1"/>
  <c r="G34" i="86" s="1" a="1"/>
  <c r="G34" i="86" s="1"/>
  <c r="E73" i="86" s="1" a="1"/>
  <c r="E73" i="86" s="1"/>
  <c r="E27" i="86" a="1"/>
  <c r="E27" i="86" s="1"/>
  <c r="G27" i="86" s="1" a="1"/>
  <c r="G27" i="86" s="1"/>
  <c r="E66" i="86" s="1" a="1"/>
  <c r="E66" i="86" s="1"/>
  <c r="E20" i="86" a="1"/>
  <c r="E20" i="86" s="1"/>
  <c r="G20" i="86" s="1" a="1"/>
  <c r="G20" i="86" s="1"/>
  <c r="E59" i="86" s="1" a="1"/>
  <c r="E59" i="86" s="1"/>
  <c r="E34" i="85" a="1"/>
  <c r="E34" i="85" s="1"/>
  <c r="G34" i="85" s="1" a="1"/>
  <c r="G34" i="85" s="1"/>
  <c r="E27" i="85" a="1"/>
  <c r="E27" i="85" s="1"/>
  <c r="G27" i="85" s="1" a="1"/>
  <c r="G27" i="85" s="1"/>
  <c r="E20" i="85" a="1"/>
  <c r="E20" i="85" s="1"/>
  <c r="G20" i="85" s="1" a="1"/>
  <c r="G20" i="85" s="1"/>
  <c r="E33" i="86" a="1"/>
  <c r="E33" i="86" s="1"/>
  <c r="G33" i="86" s="1" a="1"/>
  <c r="G33" i="86" s="1"/>
  <c r="E72" i="86" s="1" a="1"/>
  <c r="E72" i="86" s="1"/>
  <c r="E26" i="86" a="1"/>
  <c r="E26" i="86" s="1"/>
  <c r="G26" i="86" s="1" a="1"/>
  <c r="G26" i="86" s="1"/>
  <c r="E65" i="86" s="1" a="1"/>
  <c r="E65" i="86" s="1"/>
  <c r="E19" i="86" a="1"/>
  <c r="E19" i="86" s="1"/>
  <c r="G19" i="86" s="1" a="1"/>
  <c r="G19" i="86" s="1"/>
  <c r="E58" i="86" s="1" a="1"/>
  <c r="E58" i="86" s="1"/>
  <c r="E33" i="85" a="1"/>
  <c r="E33" i="85" s="1"/>
  <c r="G33" i="85" s="1" a="1"/>
  <c r="G33" i="85" s="1"/>
  <c r="E26" i="85" a="1"/>
  <c r="E26" i="85" s="1"/>
  <c r="G26" i="85" s="1" a="1"/>
  <c r="G26" i="85" s="1"/>
  <c r="E19" i="85" a="1"/>
  <c r="E19" i="85" s="1"/>
  <c r="G19" i="85" s="1" a="1"/>
  <c r="G19" i="85" s="1"/>
  <c r="E32" i="86" a="1"/>
  <c r="E32" i="86" s="1"/>
  <c r="G32" i="86" s="1" a="1"/>
  <c r="G32" i="86" s="1"/>
  <c r="E71" i="86" s="1" a="1"/>
  <c r="E71" i="86" s="1"/>
  <c r="E25" i="86" a="1"/>
  <c r="E25" i="86" s="1"/>
  <c r="G25" i="86" s="1" a="1"/>
  <c r="G25" i="86" s="1"/>
  <c r="E64" i="86" s="1" a="1"/>
  <c r="E64" i="86" s="1"/>
  <c r="E32" i="85" a="1"/>
  <c r="E32" i="85" s="1"/>
  <c r="G32" i="85" s="1" a="1"/>
  <c r="G32" i="85" s="1"/>
  <c r="E25" i="85" a="1"/>
  <c r="E25" i="85" s="1"/>
  <c r="G25" i="85" s="1" a="1"/>
  <c r="G25" i="85" s="1"/>
  <c r="E31" i="86" a="1"/>
  <c r="E31" i="86" s="1"/>
  <c r="G31" i="86" s="1" a="1"/>
  <c r="G31" i="86" s="1"/>
  <c r="E70" i="86" s="1" a="1"/>
  <c r="E70" i="86" s="1"/>
  <c r="E24" i="86" a="1"/>
  <c r="E24" i="86" s="1"/>
  <c r="G24" i="86" s="1" a="1"/>
  <c r="G24" i="86" s="1"/>
  <c r="E63" i="86" s="1" a="1"/>
  <c r="E63" i="86" s="1"/>
  <c r="E31" i="85" a="1"/>
  <c r="E31" i="85" s="1"/>
  <c r="G31" i="85" s="1" a="1"/>
  <c r="G31" i="85" s="1"/>
  <c r="E24" i="85" a="1"/>
  <c r="E24" i="85" s="1"/>
  <c r="G24" i="85" s="1" a="1"/>
  <c r="G24" i="85" s="1"/>
  <c r="K48" i="87"/>
  <c r="K45" i="87" s="1"/>
  <c r="E50" i="87" s="1" a="1"/>
  <c r="E50" i="87" s="1"/>
  <c r="E16" i="92"/>
  <c r="E22" i="92" s="1"/>
  <c r="J37" i="100"/>
  <c r="J34" i="100" s="1" a="1"/>
  <c r="J34" i="100" s="1"/>
  <c r="H227" i="81"/>
  <c r="H225" i="81" s="1"/>
  <c r="F144" i="89" a="1"/>
  <c r="F144" i="89" s="1"/>
  <c r="O29" i="96" a="1"/>
  <c r="O29" i="96" s="1"/>
  <c r="S69" i="85"/>
  <c r="P38" i="97" a="1"/>
  <c r="P38" i="97" s="1"/>
  <c r="O32" i="97" a="1"/>
  <c r="O32" i="97" s="1"/>
  <c r="V52" i="85" a="1"/>
  <c r="V52" i="85" s="1"/>
  <c r="J35" i="100"/>
  <c r="I55" i="85"/>
  <c r="J54" i="89"/>
  <c r="S74" i="85"/>
  <c r="S68" i="85" s="1" a="1"/>
  <c r="S68" i="85" s="1"/>
  <c r="I33" i="82"/>
  <c r="I129" i="89"/>
  <c r="V133" i="77"/>
  <c r="W161" i="77"/>
  <c r="F142" i="89" a="1"/>
  <c r="F142" i="89" s="1"/>
  <c r="P32" i="97" a="1"/>
  <c r="P32" i="97" s="1"/>
  <c r="V51" i="85" a="1"/>
  <c r="V51" i="85" s="1"/>
  <c r="U51" i="85"/>
  <c r="O26" i="96" a="1"/>
  <c r="O26" i="96" s="1"/>
  <c r="I34" i="83"/>
  <c r="H29" i="88" a="1"/>
  <c r="H29" i="88" s="1"/>
  <c r="H28" i="88" a="1"/>
  <c r="H28" i="88" s="1"/>
  <c r="H25" i="88" a="1"/>
  <c r="H25" i="88" s="1"/>
  <c r="H26" i="88" a="1"/>
  <c r="H26" i="88" s="1"/>
  <c r="H27" i="88" a="1"/>
  <c r="H27" i="88" s="1"/>
  <c r="V60" i="77" a="1"/>
  <c r="V60" i="77" s="1"/>
  <c r="V120" i="81" a="1"/>
  <c r="V120" i="81" s="1"/>
  <c r="X60" i="80" a="1"/>
  <c r="X60" i="80" s="1"/>
  <c r="Q26" i="96" a="1"/>
  <c r="Q26" i="96" s="1"/>
  <c r="F137" i="89" a="1"/>
  <c r="F137" i="89" s="1"/>
  <c r="Q25" i="96" a="1"/>
  <c r="Q25" i="96" s="1"/>
  <c r="P25" i="96" a="1"/>
  <c r="P25" i="96" s="1"/>
  <c r="E45" i="96" s="1"/>
  <c r="N25" i="96" a="1"/>
  <c r="N25" i="96" s="1"/>
  <c r="O25" i="96" a="1"/>
  <c r="O25" i="96" s="1"/>
  <c r="E56" i="77" a="1"/>
  <c r="E56" i="77" s="1"/>
  <c r="E68" i="80" a="1"/>
  <c r="E68" i="80" s="1"/>
  <c r="E119" i="81" a="1"/>
  <c r="E119" i="81" s="1"/>
  <c r="T33" i="100"/>
  <c r="O25" i="101"/>
  <c r="S25" i="101" s="1" a="1"/>
  <c r="S25" i="101" s="1"/>
  <c r="N46" i="101" s="1"/>
  <c r="O46" i="101" s="1" a="1"/>
  <c r="O46" i="101" s="1"/>
  <c r="O48" i="101" s="1"/>
  <c r="Q50" i="101" s="1"/>
  <c r="O53" i="101" s="1" a="1"/>
  <c r="O53" i="101" s="1"/>
  <c r="J33" i="100"/>
  <c r="E25" i="101"/>
  <c r="I25" i="101" s="1" a="1"/>
  <c r="I25" i="101" s="1"/>
  <c r="D46" i="101" s="1"/>
  <c r="E46" i="101" s="1" a="1"/>
  <c r="E46" i="101" s="1"/>
  <c r="E48" i="101" s="1"/>
  <c r="E55" i="96"/>
  <c r="E62" i="96"/>
  <c r="E64" i="96"/>
  <c r="E58" i="96"/>
  <c r="E46" i="97"/>
  <c r="E63" i="96"/>
  <c r="E45" i="97"/>
  <c r="E57" i="96"/>
  <c r="E56" i="96"/>
  <c r="AC108" i="81" a="1"/>
  <c r="AC108" i="81" s="1"/>
  <c r="AB108" i="81" a="1"/>
  <c r="AB108" i="81" s="1"/>
  <c r="AC109" i="81" a="1"/>
  <c r="AC109" i="81" s="1"/>
  <c r="V50" i="85" a="1"/>
  <c r="V50" i="85" s="1"/>
  <c r="AB109" i="81" a="1"/>
  <c r="AB109" i="81" s="1"/>
  <c r="L33" i="80" a="1"/>
  <c r="L33" i="80" s="1"/>
  <c r="N33" i="80" a="1"/>
  <c r="N33" i="80" s="1"/>
  <c r="M33" i="80" a="1"/>
  <c r="M33" i="80" s="1"/>
  <c r="M30" i="80" a="1"/>
  <c r="M30" i="80" s="1"/>
  <c r="N30" i="80" a="1"/>
  <c r="N30" i="80" s="1"/>
  <c r="L30" i="80" a="1"/>
  <c r="L30" i="80" s="1"/>
  <c r="AE37" i="80" a="1"/>
  <c r="AE37" i="80" s="1"/>
  <c r="AC37" i="80" a="1"/>
  <c r="AC37" i="80" s="1"/>
  <c r="AD37" i="80" a="1"/>
  <c r="AD37" i="80" s="1"/>
  <c r="AE36" i="80" a="1"/>
  <c r="AE36" i="80" s="1"/>
  <c r="AC36" i="80" a="1"/>
  <c r="AC36" i="80" s="1"/>
  <c r="AD36" i="80" a="1"/>
  <c r="AD36" i="80" s="1"/>
  <c r="AD35" i="80" a="1"/>
  <c r="AD35" i="80" s="1"/>
  <c r="AC35" i="80" a="1"/>
  <c r="AC35" i="80" s="1"/>
  <c r="AE35" i="80" a="1"/>
  <c r="AE35" i="80" s="1"/>
  <c r="N31" i="80" a="1"/>
  <c r="N31" i="80" s="1"/>
  <c r="L31" i="80" a="1"/>
  <c r="L31" i="80" s="1"/>
  <c r="M31" i="80" a="1"/>
  <c r="M31" i="80" s="1"/>
  <c r="G62" i="13"/>
  <c r="E51" i="97" l="1"/>
  <c r="E52" i="97"/>
  <c r="E49" i="97"/>
  <c r="E50" i="97"/>
  <c r="E43" i="96"/>
  <c r="E44" i="97"/>
  <c r="E46" i="96"/>
  <c r="E43" i="97"/>
  <c r="E44" i="96"/>
  <c r="E77" i="90"/>
  <c r="J90" i="90" s="1"/>
  <c r="E146" i="89"/>
  <c r="E16" i="13" s="1" a="1"/>
  <c r="E16" i="13" s="1"/>
  <c r="AA39" i="81" a="1"/>
  <c r="AA39" i="81" s="1"/>
  <c r="H36" i="81" a="1"/>
  <c r="H36" i="81" s="1"/>
  <c r="V37" i="81" a="1"/>
  <c r="V37" i="81" s="1"/>
  <c r="Y36" i="81" a="1"/>
  <c r="Y36" i="81" s="1"/>
  <c r="Y43" i="81" a="1"/>
  <c r="Y43" i="81" s="1"/>
  <c r="J86" i="80" a="1"/>
  <c r="J86" i="80" s="1"/>
  <c r="J133" i="80" s="1" a="1"/>
  <c r="J133" i="80" s="1"/>
  <c r="K183" i="80" s="1" a="1"/>
  <c r="K183" i="80" s="1"/>
  <c r="K241" i="80" s="1" a="1"/>
  <c r="K241" i="80" s="1"/>
  <c r="AE38" i="81" a="1"/>
  <c r="AE38" i="81" s="1"/>
  <c r="H35" i="81" a="1"/>
  <c r="H35" i="81" s="1"/>
  <c r="AE42" i="81" a="1"/>
  <c r="AE42" i="81" s="1"/>
  <c r="M33" i="81" a="1"/>
  <c r="M33" i="81" s="1"/>
  <c r="I85" i="80" a="1"/>
  <c r="I85" i="80" s="1"/>
  <c r="I132" i="80" s="1" a="1"/>
  <c r="I132" i="80" s="1"/>
  <c r="J178" i="80" s="1" a="1"/>
  <c r="J178" i="80" s="1"/>
  <c r="J236" i="80" s="1" a="1"/>
  <c r="J236" i="80" s="1"/>
  <c r="I84" i="80" a="1"/>
  <c r="I84" i="80" s="1"/>
  <c r="I131" i="80" s="1" a="1"/>
  <c r="I131" i="80" s="1"/>
  <c r="J181" i="80" s="1" a="1"/>
  <c r="J181" i="80" s="1"/>
  <c r="J239" i="80" s="1" a="1"/>
  <c r="J239" i="80" s="1"/>
  <c r="I87" i="80" a="1"/>
  <c r="I87" i="80" s="1"/>
  <c r="I134" i="80" s="1" a="1"/>
  <c r="I134" i="80" s="1"/>
  <c r="J180" i="80" s="1" a="1"/>
  <c r="J180" i="80" s="1"/>
  <c r="J238" i="80" s="1" a="1"/>
  <c r="J238" i="80" s="1"/>
  <c r="M34" i="81" a="1"/>
  <c r="M34" i="81" s="1"/>
  <c r="J33" i="81" a="1"/>
  <c r="J33" i="81" s="1"/>
  <c r="AA41" i="81" a="1"/>
  <c r="AA41" i="81" s="1"/>
  <c r="AD36" i="81" a="1"/>
  <c r="AD36" i="81" s="1"/>
  <c r="J65" i="77" a="1"/>
  <c r="J65" i="77" s="1"/>
  <c r="J86" i="77" s="1" a="1"/>
  <c r="J86" i="77" s="1"/>
  <c r="J124" i="77" s="1" a="1"/>
  <c r="J124" i="77" s="1"/>
  <c r="V41" i="81" a="1"/>
  <c r="V41" i="81" s="1"/>
  <c r="Z47" i="81" a="1"/>
  <c r="Z47" i="81" s="1"/>
  <c r="H34" i="81" a="1"/>
  <c r="H34" i="81" s="1"/>
  <c r="H33" i="81" a="1"/>
  <c r="H33" i="81" s="1"/>
  <c r="H87" i="80" a="1"/>
  <c r="H87" i="80" s="1"/>
  <c r="H134" i="80" s="1" a="1"/>
  <c r="H134" i="80" s="1"/>
  <c r="I184" i="80" s="1" a="1"/>
  <c r="I184" i="80" s="1"/>
  <c r="I242" i="80" s="1" a="1"/>
  <c r="I242" i="80" s="1"/>
  <c r="J64" i="77" a="1"/>
  <c r="J64" i="77" s="1"/>
  <c r="J85" i="77" s="1" a="1"/>
  <c r="J85" i="77" s="1"/>
  <c r="J123" i="77" s="1" a="1"/>
  <c r="J123" i="77" s="1"/>
  <c r="L35" i="81" a="1"/>
  <c r="L35" i="81" s="1"/>
  <c r="L33" i="81" a="1"/>
  <c r="L33" i="81" s="1"/>
  <c r="F35" i="81" a="1"/>
  <c r="F35" i="81" s="1"/>
  <c r="E36" i="81" a="1"/>
  <c r="E36" i="81" s="1"/>
  <c r="M36" i="81" a="1"/>
  <c r="M36" i="81" s="1"/>
  <c r="J35" i="81" a="1"/>
  <c r="J35" i="81" s="1"/>
  <c r="N33" i="81" a="1"/>
  <c r="N33" i="81" s="1"/>
  <c r="N34" i="81" a="1"/>
  <c r="N34" i="81" s="1"/>
  <c r="N35" i="81" a="1"/>
  <c r="N35" i="81" s="1"/>
  <c r="J34" i="81" a="1"/>
  <c r="J34" i="81" s="1"/>
  <c r="E34" i="81" a="1"/>
  <c r="E34" i="81" s="1"/>
  <c r="N36" i="81" a="1"/>
  <c r="N36" i="81" s="1"/>
  <c r="W43" i="81" a="1"/>
  <c r="W43" i="81" s="1"/>
  <c r="V38" i="81" a="1"/>
  <c r="V38" i="81" s="1"/>
  <c r="AA40" i="81" a="1"/>
  <c r="AA40" i="81" s="1"/>
  <c r="W38" i="81" a="1"/>
  <c r="W38" i="81" s="1"/>
  <c r="AD43" i="81" a="1"/>
  <c r="AD43" i="81" s="1"/>
  <c r="AE43" i="81" a="1"/>
  <c r="AE43" i="81" s="1"/>
  <c r="Y45" i="81" a="1"/>
  <c r="Y45" i="81" s="1"/>
  <c r="AE36" i="81" a="1"/>
  <c r="AE36" i="81" s="1"/>
  <c r="AC43" i="81" a="1"/>
  <c r="AC43" i="81" s="1"/>
  <c r="AA46" i="81" a="1"/>
  <c r="AA46" i="81" s="1"/>
  <c r="Y39" i="81" a="1"/>
  <c r="Y39" i="81" s="1"/>
  <c r="V44" i="81" a="1"/>
  <c r="V44" i="81" s="1"/>
  <c r="AE41" i="81" a="1"/>
  <c r="AE41" i="81" s="1"/>
  <c r="AD39" i="81" a="1"/>
  <c r="AD39" i="81" s="1"/>
  <c r="AA44" i="81" a="1"/>
  <c r="AA44" i="81" s="1"/>
  <c r="AD38" i="81" a="1"/>
  <c r="AD38" i="81" s="1"/>
  <c r="Y46" i="81" a="1"/>
  <c r="Y46" i="81" s="1"/>
  <c r="W39" i="81" a="1"/>
  <c r="W39" i="81" s="1"/>
  <c r="V46" i="81" a="1"/>
  <c r="V46" i="81" s="1"/>
  <c r="V47" i="81" a="1"/>
  <c r="V47" i="81" s="1"/>
  <c r="AA42" i="81" a="1"/>
  <c r="AA42" i="81" s="1"/>
  <c r="V39" i="81" a="1"/>
  <c r="V39" i="81" s="1"/>
  <c r="AE39" i="81" a="1"/>
  <c r="AE39" i="81" s="1"/>
  <c r="J36" i="81" a="1"/>
  <c r="J36" i="81" s="1"/>
  <c r="Y38" i="81" a="1"/>
  <c r="Y38" i="81" s="1"/>
  <c r="L36" i="81" a="1"/>
  <c r="L36" i="81" s="1"/>
  <c r="AE37" i="81" a="1"/>
  <c r="AE37" i="81" s="1"/>
  <c r="AD37" i="81" a="1"/>
  <c r="AD37" i="81" s="1"/>
  <c r="AA38" i="81" a="1"/>
  <c r="AA38" i="81" s="1"/>
  <c r="Y40" i="81" a="1"/>
  <c r="Y40" i="81" s="1"/>
  <c r="AC39" i="81" a="1"/>
  <c r="AC39" i="81" s="1"/>
  <c r="AC84" i="80" a="1"/>
  <c r="AC84" i="80" s="1"/>
  <c r="AC139" i="80" s="1" a="1"/>
  <c r="AC139" i="80" s="1"/>
  <c r="AD197" i="80" s="1" a="1"/>
  <c r="AD197" i="80" s="1"/>
  <c r="AD271" i="80" s="1" a="1"/>
  <c r="AD271" i="80" s="1"/>
  <c r="AA43" i="81" a="1"/>
  <c r="AA43" i="81" s="1"/>
  <c r="Y41" i="81" a="1"/>
  <c r="Y41" i="81" s="1"/>
  <c r="AC40" i="81" a="1"/>
  <c r="AC40" i="81" s="1"/>
  <c r="AE45" i="81" a="1"/>
  <c r="AE45" i="81" s="1"/>
  <c r="AD44" i="81" a="1"/>
  <c r="AD44" i="81" s="1"/>
  <c r="AC46" i="81" a="1"/>
  <c r="AC46" i="81" s="1"/>
  <c r="AD45" i="81" a="1"/>
  <c r="AD45" i="81" s="1"/>
  <c r="AC36" i="81" a="1"/>
  <c r="AC36" i="81" s="1"/>
  <c r="AA47" i="81" a="1"/>
  <c r="AA47" i="81" s="1"/>
  <c r="AC41" i="81" a="1"/>
  <c r="AC41" i="81" s="1"/>
  <c r="Y37" i="81" a="1"/>
  <c r="Y37" i="81" s="1"/>
  <c r="W47" i="81" a="1"/>
  <c r="W47" i="81" s="1"/>
  <c r="AE46" i="81" a="1"/>
  <c r="AE46" i="81" s="1"/>
  <c r="AD41" i="81" a="1"/>
  <c r="AD41" i="81" s="1"/>
  <c r="Y44" i="81" a="1"/>
  <c r="Y44" i="81" s="1"/>
  <c r="AA45" i="81" a="1"/>
  <c r="AA45" i="81" s="1"/>
  <c r="AE40" i="81" a="1"/>
  <c r="AE40" i="81" s="1"/>
  <c r="AA36" i="81" a="1"/>
  <c r="AA36" i="81" s="1"/>
  <c r="V42" i="81" a="1"/>
  <c r="V42" i="81" s="1"/>
  <c r="AB87" i="80" a="1"/>
  <c r="AB87" i="80" s="1"/>
  <c r="AB142" i="80" s="1" a="1"/>
  <c r="AB142" i="80" s="1"/>
  <c r="AC200" i="80" s="1" a="1"/>
  <c r="AC200" i="80" s="1"/>
  <c r="AC274" i="80" s="1" a="1"/>
  <c r="AC274" i="80" s="1"/>
  <c r="AE44" i="81" a="1"/>
  <c r="AE44" i="81" s="1"/>
  <c r="AD40" i="81" a="1"/>
  <c r="AD40" i="81" s="1"/>
  <c r="Y47" i="81" a="1"/>
  <c r="Y47" i="81" s="1"/>
  <c r="AD46" i="81" a="1"/>
  <c r="AD46" i="81" s="1"/>
  <c r="AA37" i="81" a="1"/>
  <c r="AA37" i="81" s="1"/>
  <c r="L34" i="81" a="1"/>
  <c r="L34" i="81" s="1"/>
  <c r="Y42" i="81" a="1"/>
  <c r="Y42" i="81" s="1"/>
  <c r="AE47" i="81" a="1"/>
  <c r="AE47" i="81" s="1"/>
  <c r="AC37" i="81" a="1"/>
  <c r="AC37" i="81" s="1"/>
  <c r="AD42" i="81" a="1"/>
  <c r="AD42" i="81" s="1"/>
  <c r="X41" i="81" a="1"/>
  <c r="X41" i="81" s="1"/>
  <c r="W42" i="81" a="1"/>
  <c r="W42" i="81" s="1"/>
  <c r="K36" i="81" a="1"/>
  <c r="K36" i="81" s="1"/>
  <c r="AA86" i="80" a="1"/>
  <c r="AA86" i="80" s="1"/>
  <c r="AA141" i="80" s="1" a="1"/>
  <c r="AA141" i="80" s="1"/>
  <c r="H85" i="80" a="1"/>
  <c r="H85" i="80" s="1"/>
  <c r="H132" i="80" s="1" a="1"/>
  <c r="H132" i="80" s="1"/>
  <c r="I178" i="80" s="1" a="1"/>
  <c r="I178" i="80" s="1"/>
  <c r="I236" i="80" s="1" a="1"/>
  <c r="I236" i="80" s="1"/>
  <c r="AC83" i="80" a="1"/>
  <c r="AC83" i="80" s="1"/>
  <c r="AC138" i="80" s="1" a="1"/>
  <c r="AC138" i="80" s="1"/>
  <c r="AD196" i="80" s="1" a="1"/>
  <c r="AD196" i="80" s="1"/>
  <c r="AD270" i="80" s="1" a="1"/>
  <c r="AD270" i="80" s="1"/>
  <c r="O40" i="100" a="1"/>
  <c r="O40" i="100" s="1"/>
  <c r="AA85" i="77" a="1"/>
  <c r="AA85" i="77" s="1"/>
  <c r="AA106" i="77" s="1" a="1"/>
  <c r="AA106" i="77" s="1"/>
  <c r="AA158" i="77" s="1" a="1"/>
  <c r="AA158" i="77" s="1"/>
  <c r="AB83" i="80" a="1"/>
  <c r="AB83" i="80" s="1"/>
  <c r="AB138" i="80" s="1" a="1"/>
  <c r="AB138" i="80" s="1"/>
  <c r="AC196" i="80" s="1" a="1"/>
  <c r="AC196" i="80" s="1"/>
  <c r="AC270" i="80" s="1" a="1"/>
  <c r="AC270" i="80" s="1"/>
  <c r="AC85" i="80" a="1"/>
  <c r="AC85" i="80" s="1"/>
  <c r="AC140" i="80" s="1" a="1"/>
  <c r="AC140" i="80" s="1"/>
  <c r="AD198" i="80" s="1" a="1"/>
  <c r="AD198" i="80" s="1"/>
  <c r="AD272" i="80" s="1" a="1"/>
  <c r="AD272" i="80" s="1"/>
  <c r="E39" i="90"/>
  <c r="F39" i="90" s="1" a="1"/>
  <c r="F39" i="90" s="1"/>
  <c r="E35" i="89"/>
  <c r="H35" i="89" s="1" a="1"/>
  <c r="H35" i="89" s="1"/>
  <c r="E75" i="89" s="1"/>
  <c r="F75" i="89" s="1" a="1"/>
  <c r="F75" i="89" s="1"/>
  <c r="E76" i="85" a="1"/>
  <c r="E76" i="85" s="1"/>
  <c r="AB78" i="80" a="1"/>
  <c r="AB78" i="80" s="1"/>
  <c r="AB133" i="80" s="1" a="1"/>
  <c r="AB133" i="80" s="1"/>
  <c r="AC80" i="80" a="1"/>
  <c r="AC80" i="80" s="1"/>
  <c r="AC135" i="80" s="1" a="1"/>
  <c r="AC135" i="80" s="1"/>
  <c r="AA83" i="80" a="1"/>
  <c r="AA83" i="80" s="1"/>
  <c r="AA138" i="80" s="1" a="1"/>
  <c r="AA138" i="80" s="1"/>
  <c r="AB196" i="80" s="1" a="1"/>
  <c r="AB196" i="80" s="1"/>
  <c r="AB270" i="80" s="1" a="1"/>
  <c r="AB270" i="80" s="1"/>
  <c r="I65" i="77" a="1"/>
  <c r="I65" i="77" s="1"/>
  <c r="I86" i="77" s="1" a="1"/>
  <c r="I86" i="77" s="1"/>
  <c r="I124" i="77" s="1" a="1"/>
  <c r="I124" i="77" s="1"/>
  <c r="AB84" i="80" a="1"/>
  <c r="AB84" i="80" s="1"/>
  <c r="AB139" i="80" s="1" a="1"/>
  <c r="AB139" i="80" s="1"/>
  <c r="AC185" i="80" s="1" a="1"/>
  <c r="AC185" i="80" s="1"/>
  <c r="AC259" i="80" s="1" a="1"/>
  <c r="AC259" i="80" s="1"/>
  <c r="E67" i="85" a="1"/>
  <c r="E67" i="85" s="1"/>
  <c r="E26" i="89"/>
  <c r="H26" i="89" s="1" a="1"/>
  <c r="H26" i="89" s="1"/>
  <c r="E66" i="89" s="1"/>
  <c r="F66" i="89" s="1" a="1"/>
  <c r="F66" i="89" s="1"/>
  <c r="E30" i="90"/>
  <c r="F30" i="90" s="1" a="1"/>
  <c r="F30" i="90" s="1"/>
  <c r="AA78" i="80" a="1"/>
  <c r="AA78" i="80" s="1"/>
  <c r="AA133" i="80" s="1" a="1"/>
  <c r="AA133" i="80" s="1"/>
  <c r="AA81" i="77" a="1"/>
  <c r="AA81" i="77" s="1"/>
  <c r="AA102" i="77" s="1" a="1"/>
  <c r="AA102" i="77" s="1"/>
  <c r="AA154" i="77" s="1" a="1"/>
  <c r="AA154" i="77" s="1"/>
  <c r="H64" i="77" a="1"/>
  <c r="H64" i="77" s="1"/>
  <c r="H85" i="77" s="1" a="1"/>
  <c r="H85" i="77" s="1"/>
  <c r="H123" i="77" s="1" a="1"/>
  <c r="H123" i="77" s="1"/>
  <c r="E78" i="86"/>
  <c r="E13" i="13" s="1" a="1"/>
  <c r="E13" i="13" s="1"/>
  <c r="E60" i="85" a="1"/>
  <c r="E60" i="85" s="1"/>
  <c r="E23" i="90"/>
  <c r="F23" i="90" s="1" a="1"/>
  <c r="F23" i="90" s="1"/>
  <c r="E19" i="89"/>
  <c r="H19" i="89" s="1" a="1"/>
  <c r="H19" i="89" s="1"/>
  <c r="E59" i="89" s="1"/>
  <c r="F59" i="89" s="1" a="1"/>
  <c r="F59" i="89" s="1"/>
  <c r="H84" i="80" a="1"/>
  <c r="H84" i="80" s="1"/>
  <c r="H131" i="80" s="1" a="1"/>
  <c r="H131" i="80" s="1"/>
  <c r="I177" i="80" s="1" a="1"/>
  <c r="I177" i="80" s="1"/>
  <c r="I235" i="80" s="1" a="1"/>
  <c r="I235" i="80" s="1"/>
  <c r="AB82" i="80" a="1"/>
  <c r="AB82" i="80" s="1"/>
  <c r="AB137" i="80" s="1" a="1"/>
  <c r="AB137" i="80" s="1"/>
  <c r="Z85" i="77" a="1"/>
  <c r="Z85" i="77" s="1"/>
  <c r="Z106" i="77" s="1" a="1"/>
  <c r="Z106" i="77" s="1"/>
  <c r="Z158" i="77" s="1" a="1"/>
  <c r="Z158" i="77" s="1"/>
  <c r="AA84" i="80" a="1"/>
  <c r="AA84" i="80" s="1"/>
  <c r="AA139" i="80" s="1" a="1"/>
  <c r="AA139" i="80" s="1"/>
  <c r="AB197" i="80" s="1" a="1"/>
  <c r="AB197" i="80" s="1"/>
  <c r="AB271" i="80" s="1" a="1"/>
  <c r="AB271" i="80" s="1"/>
  <c r="J84" i="80" a="1"/>
  <c r="J84" i="80" s="1"/>
  <c r="J131" i="80" s="1" a="1"/>
  <c r="J131" i="80" s="1"/>
  <c r="K177" i="80" s="1" a="1"/>
  <c r="K177" i="80" s="1"/>
  <c r="K235" i="80" s="1" a="1"/>
  <c r="K235" i="80" s="1"/>
  <c r="AA76" i="80" a="1"/>
  <c r="AA76" i="80" s="1"/>
  <c r="AA131" i="80" s="1" a="1"/>
  <c r="AA131" i="80" s="1"/>
  <c r="E37" i="90"/>
  <c r="F37" i="90" s="1" a="1"/>
  <c r="F37" i="90" s="1"/>
  <c r="E33" i="89"/>
  <c r="H33" i="89" s="1" a="1"/>
  <c r="H33" i="89" s="1"/>
  <c r="E73" i="89" s="1"/>
  <c r="F73" i="89" s="1" a="1"/>
  <c r="F73" i="89" s="1"/>
  <c r="E74" i="85" a="1"/>
  <c r="E74" i="85" s="1"/>
  <c r="Y83" i="77" a="1"/>
  <c r="Y83" i="77" s="1"/>
  <c r="Y104" i="77" s="1" a="1"/>
  <c r="Y104" i="77" s="1"/>
  <c r="Y156" i="77" s="1" a="1"/>
  <c r="Y156" i="77" s="1"/>
  <c r="E66" i="77" a="1"/>
  <c r="E66" i="77" s="1"/>
  <c r="E87" i="77" s="1" a="1"/>
  <c r="E87" i="77" s="1"/>
  <c r="E125" i="77" s="1" a="1"/>
  <c r="E125" i="77" s="1"/>
  <c r="M66" i="77" a="1"/>
  <c r="M66" i="77" s="1"/>
  <c r="M87" i="77" s="1" a="1"/>
  <c r="M87" i="77" s="1"/>
  <c r="M125" i="77" s="1" a="1"/>
  <c r="M125" i="77" s="1"/>
  <c r="N65" i="77" a="1"/>
  <c r="N65" i="77" s="1"/>
  <c r="N86" i="77" s="1" a="1"/>
  <c r="N86" i="77" s="1"/>
  <c r="N124" i="77" s="1" a="1"/>
  <c r="N124" i="77" s="1"/>
  <c r="F64" i="77" a="1"/>
  <c r="F64" i="77" s="1"/>
  <c r="F85" i="77" s="1" a="1"/>
  <c r="F85" i="77" s="1"/>
  <c r="F123" i="77" s="1" a="1"/>
  <c r="F123" i="77" s="1"/>
  <c r="F66" i="77" a="1"/>
  <c r="F66" i="77" s="1"/>
  <c r="F87" i="77" s="1" a="1"/>
  <c r="F87" i="77" s="1"/>
  <c r="F125" i="77" s="1" a="1"/>
  <c r="F125" i="77" s="1"/>
  <c r="E67" i="77" a="1"/>
  <c r="E67" i="77" s="1"/>
  <c r="E88" i="77" s="1" a="1"/>
  <c r="E88" i="77" s="1"/>
  <c r="E126" i="77" s="1" a="1"/>
  <c r="E126" i="77" s="1"/>
  <c r="K66" i="77" a="1"/>
  <c r="K66" i="77" s="1"/>
  <c r="K87" i="77" s="1" a="1"/>
  <c r="K87" i="77" s="1"/>
  <c r="K125" i="77" s="1" a="1"/>
  <c r="K125" i="77" s="1"/>
  <c r="N64" i="77" a="1"/>
  <c r="N64" i="77" s="1"/>
  <c r="N85" i="77" s="1" a="1"/>
  <c r="N85" i="77" s="1"/>
  <c r="N123" i="77" s="1" a="1"/>
  <c r="N123" i="77" s="1"/>
  <c r="G65" i="77" a="1"/>
  <c r="G65" i="77" s="1"/>
  <c r="G86" i="77" s="1" a="1"/>
  <c r="G86" i="77" s="1"/>
  <c r="G124" i="77" s="1" a="1"/>
  <c r="G124" i="77" s="1"/>
  <c r="G64" i="77" a="1"/>
  <c r="G64" i="77" s="1"/>
  <c r="G85" i="77" s="1" a="1"/>
  <c r="G85" i="77" s="1"/>
  <c r="G123" i="77" s="1" a="1"/>
  <c r="G123" i="77" s="1"/>
  <c r="L66" i="77" a="1"/>
  <c r="L66" i="77" s="1"/>
  <c r="L87" i="77" s="1" a="1"/>
  <c r="L87" i="77" s="1"/>
  <c r="L125" i="77" s="1" a="1"/>
  <c r="L125" i="77" s="1"/>
  <c r="E48" i="77"/>
  <c r="E64" i="77" s="1" a="1"/>
  <c r="E64" i="77" s="1"/>
  <c r="E85" i="77" s="1" a="1"/>
  <c r="E85" i="77" s="1"/>
  <c r="E123" i="77" s="1" a="1"/>
  <c r="E123" i="77" s="1"/>
  <c r="L67" i="77" a="1"/>
  <c r="L67" i="77" s="1"/>
  <c r="L88" i="77" s="1" a="1"/>
  <c r="L88" i="77" s="1"/>
  <c r="L126" i="77" s="1" a="1"/>
  <c r="L126" i="77" s="1"/>
  <c r="M65" i="77" a="1"/>
  <c r="M65" i="77" s="1"/>
  <c r="M86" i="77" s="1" a="1"/>
  <c r="M86" i="77" s="1"/>
  <c r="M124" i="77" s="1" a="1"/>
  <c r="M124" i="77" s="1"/>
  <c r="M67" i="77" a="1"/>
  <c r="M67" i="77" s="1"/>
  <c r="M88" i="77" s="1" a="1"/>
  <c r="M88" i="77" s="1"/>
  <c r="M126" i="77" s="1" a="1"/>
  <c r="M126" i="77" s="1"/>
  <c r="K67" i="77" a="1"/>
  <c r="K67" i="77" s="1"/>
  <c r="K88" i="77" s="1" a="1"/>
  <c r="K88" i="77" s="1"/>
  <c r="K126" i="77" s="1" a="1"/>
  <c r="K126" i="77" s="1"/>
  <c r="L65" i="77" a="1"/>
  <c r="L65" i="77" s="1"/>
  <c r="L86" i="77" s="1" a="1"/>
  <c r="L86" i="77" s="1"/>
  <c r="L124" i="77" s="1" a="1"/>
  <c r="L124" i="77" s="1"/>
  <c r="E65" i="77" a="1"/>
  <c r="E65" i="77" s="1"/>
  <c r="E86" i="77" s="1" a="1"/>
  <c r="E86" i="77" s="1"/>
  <c r="E124" i="77" s="1" a="1"/>
  <c r="E124" i="77" s="1"/>
  <c r="F65" i="77" a="1"/>
  <c r="F65" i="77" s="1"/>
  <c r="F86" i="77" s="1" a="1"/>
  <c r="F86" i="77" s="1"/>
  <c r="F124" i="77" s="1" a="1"/>
  <c r="F124" i="77" s="1"/>
  <c r="N66" i="77" a="1"/>
  <c r="N66" i="77" s="1"/>
  <c r="N87" i="77" s="1" a="1"/>
  <c r="N87" i="77" s="1"/>
  <c r="N125" i="77" s="1" a="1"/>
  <c r="N125" i="77" s="1"/>
  <c r="L64" i="77" a="1"/>
  <c r="L64" i="77" s="1"/>
  <c r="L85" i="77" s="1" a="1"/>
  <c r="L85" i="77" s="1"/>
  <c r="L123" i="77" s="1" a="1"/>
  <c r="L123" i="77" s="1"/>
  <c r="M64" i="77" a="1"/>
  <c r="M64" i="77" s="1"/>
  <c r="M85" i="77" s="1" a="1"/>
  <c r="M85" i="77" s="1"/>
  <c r="M123" i="77" s="1" a="1"/>
  <c r="M123" i="77" s="1"/>
  <c r="G66" i="77" a="1"/>
  <c r="G66" i="77" s="1"/>
  <c r="G87" i="77" s="1" a="1"/>
  <c r="G87" i="77" s="1"/>
  <c r="G125" i="77" s="1" a="1"/>
  <c r="G125" i="77" s="1"/>
  <c r="N67" i="77" a="1"/>
  <c r="N67" i="77" s="1"/>
  <c r="N88" i="77" s="1" a="1"/>
  <c r="N88" i="77" s="1"/>
  <c r="N126" i="77" s="1" a="1"/>
  <c r="N126" i="77" s="1"/>
  <c r="F67" i="77" a="1"/>
  <c r="F67" i="77" s="1"/>
  <c r="F88" i="77" s="1" a="1"/>
  <c r="F88" i="77" s="1"/>
  <c r="F126" i="77" s="1" a="1"/>
  <c r="F126" i="77" s="1"/>
  <c r="G67" i="77" a="1"/>
  <c r="G67" i="77" s="1"/>
  <c r="G88" i="77" s="1" a="1"/>
  <c r="G88" i="77" s="1"/>
  <c r="G126" i="77" s="1" a="1"/>
  <c r="G126" i="77" s="1"/>
  <c r="K65" i="77" a="1"/>
  <c r="K65" i="77" s="1"/>
  <c r="K86" i="77" s="1" a="1"/>
  <c r="K86" i="77" s="1"/>
  <c r="K124" i="77" s="1" a="1"/>
  <c r="K124" i="77" s="1"/>
  <c r="K64" i="77" a="1"/>
  <c r="K64" i="77" s="1"/>
  <c r="K85" i="77" s="1" a="1"/>
  <c r="K85" i="77" s="1"/>
  <c r="K123" i="77" s="1" a="1"/>
  <c r="K123" i="77" s="1"/>
  <c r="I67" i="77" a="1"/>
  <c r="I67" i="77" s="1"/>
  <c r="I88" i="77" s="1" a="1"/>
  <c r="I88" i="77" s="1"/>
  <c r="I126" i="77" s="1" a="1"/>
  <c r="I126" i="77" s="1"/>
  <c r="I64" i="77" a="1"/>
  <c r="I64" i="77" s="1"/>
  <c r="I85" i="77" s="1" a="1"/>
  <c r="I85" i="77" s="1"/>
  <c r="I123" i="77" s="1" a="1"/>
  <c r="I123" i="77" s="1"/>
  <c r="J66" i="77" a="1"/>
  <c r="J66" i="77" s="1"/>
  <c r="J87" i="77" s="1" a="1"/>
  <c r="J87" i="77" s="1"/>
  <c r="J125" i="77" s="1" a="1"/>
  <c r="J125" i="77" s="1"/>
  <c r="H66" i="77" a="1"/>
  <c r="H66" i="77" s="1"/>
  <c r="H87" i="77" s="1" a="1"/>
  <c r="H87" i="77" s="1"/>
  <c r="H125" i="77" s="1" a="1"/>
  <c r="H125" i="77" s="1"/>
  <c r="J67" i="77" a="1"/>
  <c r="J67" i="77" s="1"/>
  <c r="J88" i="77" s="1" a="1"/>
  <c r="J88" i="77" s="1"/>
  <c r="J126" i="77" s="1" a="1"/>
  <c r="J126" i="77" s="1"/>
  <c r="I66" i="77" a="1"/>
  <c r="I66" i="77" s="1"/>
  <c r="I87" i="77" s="1" a="1"/>
  <c r="I87" i="77" s="1"/>
  <c r="I125" i="77" s="1" a="1"/>
  <c r="I125" i="77" s="1"/>
  <c r="H67" i="77" a="1"/>
  <c r="H67" i="77" s="1"/>
  <c r="H88" i="77" s="1" a="1"/>
  <c r="H88" i="77" s="1"/>
  <c r="H126" i="77" s="1" a="1"/>
  <c r="H126" i="77" s="1"/>
  <c r="Y81" i="77" a="1"/>
  <c r="Y81" i="77" s="1"/>
  <c r="Y102" i="77" s="1" a="1"/>
  <c r="Y102" i="77" s="1"/>
  <c r="Y154" i="77" s="1" a="1"/>
  <c r="Y154" i="77" s="1"/>
  <c r="E22" i="89"/>
  <c r="H22" i="89" s="1" a="1"/>
  <c r="H22" i="89" s="1"/>
  <c r="E62" i="89" s="1"/>
  <c r="F62" i="89" s="1" a="1"/>
  <c r="F62" i="89" s="1"/>
  <c r="E26" i="90"/>
  <c r="F26" i="90" s="1" a="1"/>
  <c r="F26" i="90" s="1"/>
  <c r="E63" i="85" a="1"/>
  <c r="E63" i="85" s="1"/>
  <c r="G86" i="80" a="1"/>
  <c r="G86" i="80" s="1"/>
  <c r="G133" i="80" s="1" a="1"/>
  <c r="G133" i="80" s="1"/>
  <c r="K87" i="80" a="1"/>
  <c r="K87" i="80" s="1"/>
  <c r="K134" i="80" s="1" a="1"/>
  <c r="K134" i="80" s="1"/>
  <c r="L86" i="80" a="1"/>
  <c r="L86" i="80" s="1"/>
  <c r="L133" i="80" s="1" a="1"/>
  <c r="L133" i="80" s="1"/>
  <c r="N86" i="80" a="1"/>
  <c r="N86" i="80" s="1"/>
  <c r="N133" i="80" s="1" a="1"/>
  <c r="N133" i="80" s="1"/>
  <c r="N84" i="80" a="1"/>
  <c r="N84" i="80" s="1"/>
  <c r="N131" i="80" s="1" a="1"/>
  <c r="N131" i="80" s="1"/>
  <c r="M86" i="80" a="1"/>
  <c r="M86" i="80" s="1"/>
  <c r="M133" i="80" s="1" a="1"/>
  <c r="M133" i="80" s="1"/>
  <c r="E85" i="80" a="1"/>
  <c r="E85" i="80" s="1"/>
  <c r="E132" i="80" s="1" a="1"/>
  <c r="E132" i="80" s="1"/>
  <c r="M84" i="80" a="1"/>
  <c r="M84" i="80" s="1"/>
  <c r="M131" i="80" s="1" a="1"/>
  <c r="M131" i="80" s="1"/>
  <c r="E86" i="80" a="1"/>
  <c r="E86" i="80" s="1"/>
  <c r="E133" i="80" s="1" a="1"/>
  <c r="E133" i="80" s="1"/>
  <c r="F85" i="80" a="1"/>
  <c r="F85" i="80" s="1"/>
  <c r="F132" i="80" s="1" a="1"/>
  <c r="F132" i="80" s="1"/>
  <c r="F87" i="80" a="1"/>
  <c r="F87" i="80" s="1"/>
  <c r="F134" i="80" s="1" a="1"/>
  <c r="F134" i="80" s="1"/>
  <c r="L85" i="80" a="1"/>
  <c r="L85" i="80" s="1"/>
  <c r="L132" i="80" s="1" a="1"/>
  <c r="L132" i="80" s="1"/>
  <c r="F84" i="80" a="1"/>
  <c r="F84" i="80" s="1"/>
  <c r="F131" i="80" s="1" a="1"/>
  <c r="F131" i="80" s="1"/>
  <c r="N87" i="80" a="1"/>
  <c r="N87" i="80" s="1"/>
  <c r="N134" i="80" s="1" a="1"/>
  <c r="N134" i="80" s="1"/>
  <c r="G84" i="80" a="1"/>
  <c r="G84" i="80" s="1"/>
  <c r="G131" i="80" s="1" a="1"/>
  <c r="G131" i="80" s="1"/>
  <c r="M85" i="80" a="1"/>
  <c r="M85" i="80" s="1"/>
  <c r="M132" i="80" s="1" a="1"/>
  <c r="M132" i="80" s="1"/>
  <c r="E87" i="80" a="1"/>
  <c r="E87" i="80" s="1"/>
  <c r="E134" i="80" s="1" a="1"/>
  <c r="E134" i="80" s="1"/>
  <c r="E52" i="80"/>
  <c r="E84" i="80" s="1" a="1"/>
  <c r="E84" i="80" s="1"/>
  <c r="E131" i="80" s="1" a="1"/>
  <c r="E131" i="80" s="1"/>
  <c r="G87" i="80" a="1"/>
  <c r="G87" i="80" s="1"/>
  <c r="G134" i="80" s="1" a="1"/>
  <c r="G134" i="80" s="1"/>
  <c r="F86" i="80" a="1"/>
  <c r="F86" i="80" s="1"/>
  <c r="F133" i="80" s="1" a="1"/>
  <c r="F133" i="80" s="1"/>
  <c r="K84" i="80" a="1"/>
  <c r="K84" i="80" s="1"/>
  <c r="K131" i="80" s="1" a="1"/>
  <c r="K131" i="80" s="1"/>
  <c r="M87" i="80" a="1"/>
  <c r="M87" i="80" s="1"/>
  <c r="M134" i="80" s="1" a="1"/>
  <c r="M134" i="80" s="1"/>
  <c r="K86" i="80" a="1"/>
  <c r="K86" i="80" s="1"/>
  <c r="K133" i="80" s="1" a="1"/>
  <c r="K133" i="80" s="1"/>
  <c r="L84" i="80" a="1"/>
  <c r="L84" i="80" s="1"/>
  <c r="L131" i="80" s="1" a="1"/>
  <c r="L131" i="80" s="1"/>
  <c r="G85" i="80" a="1"/>
  <c r="G85" i="80" s="1"/>
  <c r="G132" i="80" s="1" a="1"/>
  <c r="G132" i="80" s="1"/>
  <c r="K85" i="80" a="1"/>
  <c r="K85" i="80" s="1"/>
  <c r="K132" i="80" s="1" a="1"/>
  <c r="K132" i="80" s="1"/>
  <c r="N85" i="80" a="1"/>
  <c r="N85" i="80" s="1"/>
  <c r="N132" i="80" s="1" a="1"/>
  <c r="N132" i="80" s="1"/>
  <c r="L87" i="80" a="1"/>
  <c r="L87" i="80" s="1"/>
  <c r="L134" i="80" s="1" a="1"/>
  <c r="L134" i="80" s="1"/>
  <c r="H86" i="80" a="1"/>
  <c r="H86" i="80" s="1"/>
  <c r="H133" i="80" s="1" a="1"/>
  <c r="H133" i="80" s="1"/>
  <c r="H65" i="77" a="1"/>
  <c r="H65" i="77" s="1"/>
  <c r="H86" i="77" s="1" a="1"/>
  <c r="H86" i="77" s="1"/>
  <c r="H124" i="77" s="1" a="1"/>
  <c r="H124" i="77" s="1"/>
  <c r="G52" i="87"/>
  <c r="E55" i="87" s="1" a="1"/>
  <c r="E55" i="87" s="1"/>
  <c r="E14" i="13" a="1"/>
  <c r="E14" i="13" s="1"/>
  <c r="J87" i="80" a="1"/>
  <c r="J87" i="80" s="1"/>
  <c r="J134" i="80" s="1" a="1"/>
  <c r="J134" i="80" s="1"/>
  <c r="K184" i="80" s="1" a="1"/>
  <c r="K184" i="80" s="1"/>
  <c r="K242" i="80" s="1" a="1"/>
  <c r="K242" i="80" s="1"/>
  <c r="AB76" i="80" a="1"/>
  <c r="AB76" i="80" s="1"/>
  <c r="AB131" i="80" s="1" a="1"/>
  <c r="AB131" i="80" s="1"/>
  <c r="AA87" i="80" a="1"/>
  <c r="AA87" i="80" s="1"/>
  <c r="AA142" i="80" s="1" a="1"/>
  <c r="AA142" i="80" s="1"/>
  <c r="AA82" i="80" a="1"/>
  <c r="AA82" i="80" s="1"/>
  <c r="AA137" i="80" s="1" a="1"/>
  <c r="AA137" i="80" s="1"/>
  <c r="E29" i="89"/>
  <c r="H29" i="89" s="1" a="1"/>
  <c r="H29" i="89" s="1"/>
  <c r="E69" i="89" s="1"/>
  <c r="F69" i="89" s="1" a="1"/>
  <c r="F69" i="89" s="1"/>
  <c r="E33" i="90"/>
  <c r="F33" i="90" s="1" a="1"/>
  <c r="F33" i="90" s="1"/>
  <c r="E70" i="85" a="1"/>
  <c r="E70" i="85" s="1"/>
  <c r="E20" i="81"/>
  <c r="E33" i="81" s="1" a="1"/>
  <c r="E33" i="81" s="1"/>
  <c r="I35" i="81" a="1"/>
  <c r="I35" i="81" s="1"/>
  <c r="I33" i="81" a="1"/>
  <c r="I33" i="81" s="1"/>
  <c r="F33" i="81" a="1"/>
  <c r="F33" i="81" s="1"/>
  <c r="K35" i="81" a="1"/>
  <c r="K35" i="81" s="1"/>
  <c r="G33" i="81" a="1"/>
  <c r="G33" i="81" s="1"/>
  <c r="F34" i="81" a="1"/>
  <c r="F34" i="81" s="1"/>
  <c r="G35" i="81" a="1"/>
  <c r="G35" i="81" s="1"/>
  <c r="G36" i="81" a="1"/>
  <c r="G36" i="81" s="1"/>
  <c r="F36" i="81" a="1"/>
  <c r="F36" i="81" s="1"/>
  <c r="K33" i="81" a="1"/>
  <c r="K33" i="81" s="1"/>
  <c r="I34" i="81" a="1"/>
  <c r="I34" i="81" s="1"/>
  <c r="G34" i="81" a="1"/>
  <c r="G34" i="81" s="1"/>
  <c r="E35" i="81" a="1"/>
  <c r="E35" i="81" s="1"/>
  <c r="K34" i="81" a="1"/>
  <c r="K34" i="81" s="1"/>
  <c r="I36" i="81" a="1"/>
  <c r="I36" i="81" s="1"/>
  <c r="AB77" i="80" a="1"/>
  <c r="AB77" i="80" s="1"/>
  <c r="AB132" i="80" s="1" a="1"/>
  <c r="AB132" i="80" s="1"/>
  <c r="E24" i="90"/>
  <c r="F24" i="90" s="1" a="1"/>
  <c r="F24" i="90" s="1"/>
  <c r="E20" i="89"/>
  <c r="H20" i="89" s="1" a="1"/>
  <c r="H20" i="89" s="1"/>
  <c r="E60" i="89" s="1"/>
  <c r="F60" i="89" s="1" a="1"/>
  <c r="F60" i="89" s="1"/>
  <c r="E61" i="85" a="1"/>
  <c r="E61" i="85" s="1"/>
  <c r="E40" i="90"/>
  <c r="F40" i="90" s="1" a="1"/>
  <c r="F40" i="90" s="1"/>
  <c r="E36" i="89"/>
  <c r="H36" i="89" s="1" a="1"/>
  <c r="H36" i="89" s="1"/>
  <c r="E76" i="89" s="1"/>
  <c r="F76" i="89" s="1" a="1"/>
  <c r="F76" i="89" s="1"/>
  <c r="E77" i="85" a="1"/>
  <c r="E77" i="85" s="1"/>
  <c r="AA77" i="80" a="1"/>
  <c r="AA77" i="80" s="1"/>
  <c r="AA132" i="80" s="1" a="1"/>
  <c r="AA132" i="80" s="1"/>
  <c r="V20" i="81"/>
  <c r="V36" i="81" s="1" a="1"/>
  <c r="V36" i="81" s="1"/>
  <c r="Z40" i="81" a="1"/>
  <c r="Z40" i="81" s="1"/>
  <c r="AC44" i="81" a="1"/>
  <c r="AC44" i="81" s="1"/>
  <c r="X45" i="81" a="1"/>
  <c r="X45" i="81" s="1"/>
  <c r="Z46" i="81" a="1"/>
  <c r="Z46" i="81" s="1"/>
  <c r="W36" i="81" a="1"/>
  <c r="W36" i="81" s="1"/>
  <c r="AB46" i="81" a="1"/>
  <c r="AB46" i="81" s="1"/>
  <c r="AB39" i="81" a="1"/>
  <c r="AB39" i="81" s="1"/>
  <c r="X43" i="81" a="1"/>
  <c r="X43" i="81" s="1"/>
  <c r="V45" i="81" a="1"/>
  <c r="V45" i="81" s="1"/>
  <c r="Z41" i="81" a="1"/>
  <c r="Z41" i="81" s="1"/>
  <c r="X47" i="81" a="1"/>
  <c r="X47" i="81" s="1"/>
  <c r="Z38" i="81" a="1"/>
  <c r="Z38" i="81" s="1"/>
  <c r="AB37" i="81" a="1"/>
  <c r="AB37" i="81" s="1"/>
  <c r="Z36" i="81" a="1"/>
  <c r="Z36" i="81" s="1"/>
  <c r="AB40" i="81" a="1"/>
  <c r="AB40" i="81" s="1"/>
  <c r="AC47" i="81" a="1"/>
  <c r="AC47" i="81" s="1"/>
  <c r="Z44" i="81" a="1"/>
  <c r="Z44" i="81" s="1"/>
  <c r="Z43" i="81" a="1"/>
  <c r="Z43" i="81" s="1"/>
  <c r="AC42" i="81" a="1"/>
  <c r="AC42" i="81" s="1"/>
  <c r="AB38" i="81" a="1"/>
  <c r="AB38" i="81" s="1"/>
  <c r="X38" i="81" a="1"/>
  <c r="X38" i="81" s="1"/>
  <c r="AB47" i="81" a="1"/>
  <c r="AB47" i="81" s="1"/>
  <c r="V40" i="81" a="1"/>
  <c r="V40" i="81" s="1"/>
  <c r="AB45" i="81" a="1"/>
  <c r="AB45" i="81" s="1"/>
  <c r="W37" i="81" a="1"/>
  <c r="W37" i="81" s="1"/>
  <c r="W45" i="81" a="1"/>
  <c r="W45" i="81" s="1"/>
  <c r="Z39" i="81" a="1"/>
  <c r="Z39" i="81" s="1"/>
  <c r="X39" i="81" a="1"/>
  <c r="X39" i="81" s="1"/>
  <c r="Z45" i="81" a="1"/>
  <c r="Z45" i="81" s="1"/>
  <c r="W46" i="81" a="1"/>
  <c r="W46" i="81" s="1"/>
  <c r="AB43" i="81" a="1"/>
  <c r="AB43" i="81" s="1"/>
  <c r="X37" i="81" a="1"/>
  <c r="X37" i="81" s="1"/>
  <c r="AC45" i="81" a="1"/>
  <c r="AC45" i="81" s="1"/>
  <c r="AB42" i="81" a="1"/>
  <c r="AB42" i="81" s="1"/>
  <c r="Z42" i="81" a="1"/>
  <c r="Z42" i="81" s="1"/>
  <c r="AB44" i="81" a="1"/>
  <c r="AB44" i="81" s="1"/>
  <c r="AC38" i="81" a="1"/>
  <c r="AC38" i="81" s="1"/>
  <c r="AB41" i="81" a="1"/>
  <c r="AB41" i="81" s="1"/>
  <c r="X44" i="81" a="1"/>
  <c r="X44" i="81" s="1"/>
  <c r="X46" i="81" a="1"/>
  <c r="X46" i="81" s="1"/>
  <c r="Z37" i="81" a="1"/>
  <c r="Z37" i="81" s="1"/>
  <c r="W40" i="81" a="1"/>
  <c r="W40" i="81" s="1"/>
  <c r="V43" i="81" a="1"/>
  <c r="V43" i="81" s="1"/>
  <c r="AB36" i="81" a="1"/>
  <c r="AB36" i="81" s="1"/>
  <c r="X42" i="81" a="1"/>
  <c r="X42" i="81" s="1"/>
  <c r="W41" i="81" a="1"/>
  <c r="W41" i="81" s="1"/>
  <c r="W44" i="81" a="1"/>
  <c r="W44" i="81" s="1"/>
  <c r="X36" i="81" a="1"/>
  <c r="X36" i="81" s="1"/>
  <c r="X40" i="81" a="1"/>
  <c r="X40" i="81" s="1"/>
  <c r="E27" i="89"/>
  <c r="H27" i="89" s="1" a="1"/>
  <c r="H27" i="89" s="1"/>
  <c r="E67" i="89" s="1"/>
  <c r="F67" i="89" s="1" a="1"/>
  <c r="F67" i="89" s="1"/>
  <c r="E31" i="90"/>
  <c r="F31" i="90" s="1" a="1"/>
  <c r="F31" i="90" s="1"/>
  <c r="E68" i="85" a="1"/>
  <c r="E68" i="85" s="1"/>
  <c r="I86" i="80" a="1"/>
  <c r="I86" i="80" s="1"/>
  <c r="I133" i="80" s="1" a="1"/>
  <c r="I133" i="80" s="1"/>
  <c r="V83" i="77" a="1"/>
  <c r="V83" i="77" s="1"/>
  <c r="V104" i="77" s="1" a="1"/>
  <c r="V104" i="77" s="1"/>
  <c r="V156" i="77" s="1" a="1"/>
  <c r="V156" i="77" s="1"/>
  <c r="AB80" i="77" a="1"/>
  <c r="AB80" i="77" s="1"/>
  <c r="AB101" i="77" s="1" a="1"/>
  <c r="AB101" i="77" s="1"/>
  <c r="AB153" i="77" s="1" a="1"/>
  <c r="AB153" i="77" s="1"/>
  <c r="AC85" i="77" a="1"/>
  <c r="AC85" i="77" s="1"/>
  <c r="AC106" i="77" s="1" a="1"/>
  <c r="AC106" i="77" s="1"/>
  <c r="AC158" i="77" s="1" a="1"/>
  <c r="AC158" i="77" s="1"/>
  <c r="AD79" i="77" a="1"/>
  <c r="AD79" i="77" s="1"/>
  <c r="AD100" i="77" s="1" a="1"/>
  <c r="AD100" i="77" s="1"/>
  <c r="AD152" i="77" s="1" a="1"/>
  <c r="AD152" i="77" s="1"/>
  <c r="X82" i="77" a="1"/>
  <c r="X82" i="77" s="1"/>
  <c r="X103" i="77" s="1" a="1"/>
  <c r="X103" i="77" s="1"/>
  <c r="X155" i="77" s="1" a="1"/>
  <c r="X155" i="77" s="1"/>
  <c r="Z84" i="77" a="1"/>
  <c r="Z84" i="77" s="1"/>
  <c r="Z105" i="77" s="1" a="1"/>
  <c r="Z105" i="77" s="1"/>
  <c r="Z157" i="77" s="1" a="1"/>
  <c r="Z157" i="77" s="1"/>
  <c r="W85" i="77" a="1"/>
  <c r="W85" i="77" s="1"/>
  <c r="W106" i="77" s="1" a="1"/>
  <c r="W106" i="77" s="1"/>
  <c r="W158" i="77" s="1" a="1"/>
  <c r="W158" i="77" s="1"/>
  <c r="AB81" i="77" a="1"/>
  <c r="AB81" i="77" s="1"/>
  <c r="AB102" i="77" s="1" a="1"/>
  <c r="AB102" i="77" s="1"/>
  <c r="AB154" i="77" s="1" a="1"/>
  <c r="AB154" i="77" s="1"/>
  <c r="W76" i="77" a="1"/>
  <c r="W76" i="77" s="1"/>
  <c r="W97" i="77" s="1" a="1"/>
  <c r="W97" i="77" s="1"/>
  <c r="W149" i="77" s="1" a="1"/>
  <c r="W149" i="77" s="1"/>
  <c r="AC77" i="77" a="1"/>
  <c r="AC77" i="77" s="1"/>
  <c r="AC98" i="77" s="1" a="1"/>
  <c r="AC98" i="77" s="1"/>
  <c r="AC150" i="77" s="1" a="1"/>
  <c r="AC150" i="77" s="1"/>
  <c r="AB77" i="77" a="1"/>
  <c r="AB77" i="77" s="1"/>
  <c r="AB98" i="77" s="1" a="1"/>
  <c r="AB98" i="77" s="1"/>
  <c r="AB150" i="77" s="1" a="1"/>
  <c r="AB150" i="77" s="1"/>
  <c r="W79" i="77" a="1"/>
  <c r="W79" i="77" s="1"/>
  <c r="W100" i="77" s="1" a="1"/>
  <c r="W100" i="77" s="1"/>
  <c r="W152" i="77" s="1" a="1"/>
  <c r="W152" i="77" s="1"/>
  <c r="W86" i="77" a="1"/>
  <c r="W86" i="77" s="1"/>
  <c r="W107" i="77" s="1" a="1"/>
  <c r="W107" i="77" s="1"/>
  <c r="W159" i="77" s="1" a="1"/>
  <c r="W159" i="77" s="1"/>
  <c r="X84" i="77" a="1"/>
  <c r="X84" i="77" s="1"/>
  <c r="X105" i="77" s="1" a="1"/>
  <c r="X105" i="77" s="1"/>
  <c r="X157" i="77" s="1" a="1"/>
  <c r="X157" i="77" s="1"/>
  <c r="AD82" i="77" a="1"/>
  <c r="AD82" i="77" s="1"/>
  <c r="AD103" i="77" s="1" a="1"/>
  <c r="AD103" i="77" s="1"/>
  <c r="AD155" i="77" s="1" a="1"/>
  <c r="AD155" i="77" s="1"/>
  <c r="AB84" i="77" a="1"/>
  <c r="AB84" i="77" s="1"/>
  <c r="AB105" i="77" s="1" a="1"/>
  <c r="AB105" i="77" s="1"/>
  <c r="AB157" i="77" s="1" a="1"/>
  <c r="AB157" i="77" s="1"/>
  <c r="W84" i="77" a="1"/>
  <c r="W84" i="77" s="1"/>
  <c r="W105" i="77" s="1" a="1"/>
  <c r="W105" i="77" s="1"/>
  <c r="W157" i="77" s="1" a="1"/>
  <c r="W157" i="77" s="1"/>
  <c r="X85" i="77" a="1"/>
  <c r="X85" i="77" s="1"/>
  <c r="X106" i="77" s="1" a="1"/>
  <c r="X106" i="77" s="1"/>
  <c r="X158" i="77" s="1" a="1"/>
  <c r="X158" i="77" s="1"/>
  <c r="X78" i="77" a="1"/>
  <c r="X78" i="77" s="1"/>
  <c r="X99" i="77" s="1" a="1"/>
  <c r="X99" i="77" s="1"/>
  <c r="X151" i="77" s="1" a="1"/>
  <c r="X151" i="77" s="1"/>
  <c r="X83" i="77" a="1"/>
  <c r="X83" i="77" s="1"/>
  <c r="X104" i="77" s="1" a="1"/>
  <c r="X104" i="77" s="1"/>
  <c r="X156" i="77" s="1" a="1"/>
  <c r="X156" i="77" s="1"/>
  <c r="AD85" i="77" a="1"/>
  <c r="AD85" i="77" s="1"/>
  <c r="AD106" i="77" s="1" a="1"/>
  <c r="AD106" i="77" s="1"/>
  <c r="AD158" i="77" s="1" a="1"/>
  <c r="AD158" i="77" s="1"/>
  <c r="AC83" i="77" a="1"/>
  <c r="AC83" i="77" s="1"/>
  <c r="AC104" i="77" s="1" a="1"/>
  <c r="AC104" i="77" s="1"/>
  <c r="AC156" i="77" s="1" a="1"/>
  <c r="AC156" i="77" s="1"/>
  <c r="W77" i="77" a="1"/>
  <c r="W77" i="77" s="1"/>
  <c r="W98" i="77" s="1" a="1"/>
  <c r="W98" i="77" s="1"/>
  <c r="W150" i="77" s="1" a="1"/>
  <c r="W150" i="77" s="1"/>
  <c r="AC87" i="77" a="1"/>
  <c r="AC87" i="77" s="1"/>
  <c r="AC108" i="77" s="1" a="1"/>
  <c r="AC108" i="77" s="1"/>
  <c r="AC160" i="77" s="1" a="1"/>
  <c r="AC160" i="77" s="1"/>
  <c r="AE86" i="77" a="1"/>
  <c r="AE86" i="77" s="1"/>
  <c r="AE107" i="77" s="1" a="1"/>
  <c r="AE107" i="77" s="1"/>
  <c r="AE159" i="77" s="1" a="1"/>
  <c r="AE159" i="77" s="1"/>
  <c r="X87" i="77" a="1"/>
  <c r="X87" i="77" s="1"/>
  <c r="X108" i="77" s="1" a="1"/>
  <c r="X108" i="77" s="1"/>
  <c r="X160" i="77" s="1" a="1"/>
  <c r="X160" i="77" s="1"/>
  <c r="V82" i="77" a="1"/>
  <c r="V82" i="77" s="1"/>
  <c r="V103" i="77" s="1" a="1"/>
  <c r="V103" i="77" s="1"/>
  <c r="V155" i="77" s="1" a="1"/>
  <c r="V155" i="77" s="1"/>
  <c r="X79" i="77" a="1"/>
  <c r="X79" i="77" s="1"/>
  <c r="X100" i="77" s="1" a="1"/>
  <c r="X100" i="77" s="1"/>
  <c r="X152" i="77" s="1" a="1"/>
  <c r="X152" i="77" s="1"/>
  <c r="X86" i="77" a="1"/>
  <c r="X86" i="77" s="1"/>
  <c r="X107" i="77" s="1" a="1"/>
  <c r="X107" i="77" s="1"/>
  <c r="X159" i="77" s="1" a="1"/>
  <c r="X159" i="77" s="1"/>
  <c r="V87" i="77" a="1"/>
  <c r="V87" i="77" s="1"/>
  <c r="V108" i="77" s="1" a="1"/>
  <c r="V108" i="77" s="1"/>
  <c r="V160" i="77" s="1" a="1"/>
  <c r="V160" i="77" s="1"/>
  <c r="AB78" i="77" a="1"/>
  <c r="AB78" i="77" s="1"/>
  <c r="AB99" i="77" s="1" a="1"/>
  <c r="AB99" i="77" s="1"/>
  <c r="AB151" i="77" s="1" a="1"/>
  <c r="AB151" i="77" s="1"/>
  <c r="AC81" i="77" a="1"/>
  <c r="AC81" i="77" s="1"/>
  <c r="AC102" i="77" s="1" a="1"/>
  <c r="AC102" i="77" s="1"/>
  <c r="AC154" i="77" s="1" a="1"/>
  <c r="AC154" i="77" s="1"/>
  <c r="Z79" i="77" a="1"/>
  <c r="Z79" i="77" s="1"/>
  <c r="Z100" i="77" s="1" a="1"/>
  <c r="Z100" i="77" s="1"/>
  <c r="Z152" i="77" s="1" a="1"/>
  <c r="Z152" i="77" s="1"/>
  <c r="AE83" i="77" a="1"/>
  <c r="AE83" i="77" s="1"/>
  <c r="AE104" i="77" s="1" a="1"/>
  <c r="AE104" i="77" s="1"/>
  <c r="AE156" i="77" s="1" a="1"/>
  <c r="AE156" i="77" s="1"/>
  <c r="AD80" i="77" a="1"/>
  <c r="AD80" i="77" s="1"/>
  <c r="AD101" i="77" s="1" a="1"/>
  <c r="AD101" i="77" s="1"/>
  <c r="AD153" i="77" s="1" a="1"/>
  <c r="AD153" i="77" s="1"/>
  <c r="AD83" i="77" a="1"/>
  <c r="AD83" i="77" s="1"/>
  <c r="AD104" i="77" s="1" a="1"/>
  <c r="AD104" i="77" s="1"/>
  <c r="AD156" i="77" s="1" a="1"/>
  <c r="AD156" i="77" s="1"/>
  <c r="AC86" i="77" a="1"/>
  <c r="AC86" i="77" s="1"/>
  <c r="AC107" i="77" s="1" a="1"/>
  <c r="AC107" i="77" s="1"/>
  <c r="AC159" i="77" s="1" a="1"/>
  <c r="AC159" i="77" s="1"/>
  <c r="V80" i="77" a="1"/>
  <c r="V80" i="77" s="1"/>
  <c r="V101" i="77" s="1" a="1"/>
  <c r="V101" i="77" s="1"/>
  <c r="V153" i="77" s="1" a="1"/>
  <c r="V153" i="77" s="1"/>
  <c r="AC80" i="77" a="1"/>
  <c r="AC80" i="77" s="1"/>
  <c r="AC101" i="77" s="1" a="1"/>
  <c r="AC101" i="77" s="1"/>
  <c r="AC153" i="77" s="1" a="1"/>
  <c r="AC153" i="77" s="1"/>
  <c r="AE78" i="77" a="1"/>
  <c r="AE78" i="77" s="1"/>
  <c r="AE99" i="77" s="1" a="1"/>
  <c r="AE99" i="77" s="1"/>
  <c r="AE151" i="77" s="1" a="1"/>
  <c r="AE151" i="77" s="1"/>
  <c r="AD76" i="77" a="1"/>
  <c r="AD76" i="77" s="1"/>
  <c r="AD97" i="77" s="1" a="1"/>
  <c r="AD97" i="77" s="1"/>
  <c r="AD149" i="77" s="1" a="1"/>
  <c r="AD149" i="77" s="1"/>
  <c r="W83" i="77" a="1"/>
  <c r="W83" i="77" s="1"/>
  <c r="W104" i="77" s="1" a="1"/>
  <c r="W104" i="77" s="1"/>
  <c r="W156" i="77" s="1" a="1"/>
  <c r="W156" i="77" s="1"/>
  <c r="V86" i="77" a="1"/>
  <c r="V86" i="77" s="1"/>
  <c r="V107" i="77" s="1" a="1"/>
  <c r="V107" i="77" s="1"/>
  <c r="V159" i="77" s="1" a="1"/>
  <c r="V159" i="77" s="1"/>
  <c r="AD81" i="77" a="1"/>
  <c r="AD81" i="77" s="1"/>
  <c r="AD102" i="77" s="1" a="1"/>
  <c r="AD102" i="77" s="1"/>
  <c r="AD154" i="77" s="1" a="1"/>
  <c r="AD154" i="77" s="1"/>
  <c r="V78" i="77" a="1"/>
  <c r="V78" i="77" s="1"/>
  <c r="V99" i="77" s="1" a="1"/>
  <c r="V99" i="77" s="1"/>
  <c r="V151" i="77" s="1" a="1"/>
  <c r="V151" i="77" s="1"/>
  <c r="AC84" i="77" a="1"/>
  <c r="AC84" i="77" s="1"/>
  <c r="AC105" i="77" s="1" a="1"/>
  <c r="AC105" i="77" s="1"/>
  <c r="AC157" i="77" s="1" a="1"/>
  <c r="AC157" i="77" s="1"/>
  <c r="V79" i="77" a="1"/>
  <c r="V79" i="77" s="1"/>
  <c r="V100" i="77" s="1" a="1"/>
  <c r="V100" i="77" s="1"/>
  <c r="V152" i="77" s="1" a="1"/>
  <c r="V152" i="77" s="1"/>
  <c r="AE81" i="77" a="1"/>
  <c r="AE81" i="77" s="1"/>
  <c r="AE102" i="77" s="1" a="1"/>
  <c r="AE102" i="77" s="1"/>
  <c r="AE154" i="77" s="1" a="1"/>
  <c r="AE154" i="77" s="1"/>
  <c r="V85" i="77" a="1"/>
  <c r="V85" i="77" s="1"/>
  <c r="V106" i="77" s="1" a="1"/>
  <c r="V106" i="77" s="1"/>
  <c r="V158" i="77" s="1" a="1"/>
  <c r="V158" i="77" s="1"/>
  <c r="Z76" i="77" a="1"/>
  <c r="Z76" i="77" s="1"/>
  <c r="Z97" i="77" s="1" a="1"/>
  <c r="Z97" i="77" s="1"/>
  <c r="Z149" i="77" s="1" a="1"/>
  <c r="Z149" i="77" s="1"/>
  <c r="AB83" i="77" a="1"/>
  <c r="AB83" i="77" s="1"/>
  <c r="AB104" i="77" s="1" a="1"/>
  <c r="AB104" i="77" s="1"/>
  <c r="AB156" i="77" s="1" a="1"/>
  <c r="AB156" i="77" s="1"/>
  <c r="AB76" i="77" a="1"/>
  <c r="AB76" i="77" s="1"/>
  <c r="AB97" i="77" s="1" a="1"/>
  <c r="AB97" i="77" s="1"/>
  <c r="AB149" i="77" s="1" a="1"/>
  <c r="AB149" i="77" s="1"/>
  <c r="W78" i="77" a="1"/>
  <c r="W78" i="77" s="1"/>
  <c r="W99" i="77" s="1" a="1"/>
  <c r="W99" i="77" s="1"/>
  <c r="W151" i="77" s="1" a="1"/>
  <c r="W151" i="77" s="1"/>
  <c r="AA80" i="77" a="1"/>
  <c r="AA80" i="77" s="1"/>
  <c r="AA101" i="77" s="1" a="1"/>
  <c r="AA101" i="77" s="1"/>
  <c r="AA153" i="77" s="1" a="1"/>
  <c r="AA153" i="77" s="1"/>
  <c r="X81" i="77" a="1"/>
  <c r="X81" i="77" s="1"/>
  <c r="X102" i="77" s="1" a="1"/>
  <c r="X102" i="77" s="1"/>
  <c r="X154" i="77" s="1" a="1"/>
  <c r="X154" i="77" s="1"/>
  <c r="AB87" i="77" a="1"/>
  <c r="AB87" i="77" s="1"/>
  <c r="AB108" i="77" s="1" a="1"/>
  <c r="AB108" i="77" s="1"/>
  <c r="AB160" i="77" s="1" a="1"/>
  <c r="AB160" i="77" s="1"/>
  <c r="V77" i="77" a="1"/>
  <c r="V77" i="77" s="1"/>
  <c r="V98" i="77" s="1" a="1"/>
  <c r="V98" i="77" s="1"/>
  <c r="V150" i="77" s="1" a="1"/>
  <c r="V150" i="77" s="1"/>
  <c r="AC78" i="77" a="1"/>
  <c r="AC78" i="77" s="1"/>
  <c r="AC99" i="77" s="1" a="1"/>
  <c r="AC99" i="77" s="1"/>
  <c r="AC151" i="77" s="1" a="1"/>
  <c r="AC151" i="77" s="1"/>
  <c r="X77" i="77" a="1"/>
  <c r="X77" i="77" s="1"/>
  <c r="X98" i="77" s="1" a="1"/>
  <c r="X98" i="77" s="1"/>
  <c r="X150" i="77" s="1" a="1"/>
  <c r="X150" i="77" s="1"/>
  <c r="AE79" i="77" a="1"/>
  <c r="AE79" i="77" s="1"/>
  <c r="AE100" i="77" s="1" a="1"/>
  <c r="AE100" i="77" s="1"/>
  <c r="AE152" i="77" s="1" a="1"/>
  <c r="AE152" i="77" s="1"/>
  <c r="AB79" i="77" a="1"/>
  <c r="AB79" i="77" s="1"/>
  <c r="AB100" i="77" s="1" a="1"/>
  <c r="AB100" i="77" s="1"/>
  <c r="AB152" i="77" s="1" a="1"/>
  <c r="AB152" i="77" s="1"/>
  <c r="AB86" i="77" a="1"/>
  <c r="AB86" i="77" s="1"/>
  <c r="AB107" i="77" s="1" a="1"/>
  <c r="AB107" i="77" s="1"/>
  <c r="AB159" i="77" s="1" a="1"/>
  <c r="AB159" i="77" s="1"/>
  <c r="AE77" i="77" a="1"/>
  <c r="AE77" i="77" s="1"/>
  <c r="AE98" i="77" s="1" a="1"/>
  <c r="AE98" i="77" s="1"/>
  <c r="AE150" i="77" s="1" a="1"/>
  <c r="AE150" i="77" s="1"/>
  <c r="AC82" i="77" a="1"/>
  <c r="AC82" i="77" s="1"/>
  <c r="AC103" i="77" s="1" a="1"/>
  <c r="AC103" i="77" s="1"/>
  <c r="AC155" i="77" s="1" a="1"/>
  <c r="AC155" i="77" s="1"/>
  <c r="AC79" i="77" a="1"/>
  <c r="AC79" i="77" s="1"/>
  <c r="AC100" i="77" s="1" a="1"/>
  <c r="AC100" i="77" s="1"/>
  <c r="AC152" i="77" s="1" a="1"/>
  <c r="AC152" i="77" s="1"/>
  <c r="V44" i="77"/>
  <c r="V76" i="77" s="1" a="1"/>
  <c r="V76" i="77" s="1"/>
  <c r="V97" i="77" s="1" a="1"/>
  <c r="V97" i="77" s="1"/>
  <c r="V149" i="77" s="1" a="1"/>
  <c r="V149" i="77" s="1"/>
  <c r="W82" i="77" a="1"/>
  <c r="W82" i="77" s="1"/>
  <c r="W103" i="77" s="1" a="1"/>
  <c r="W103" i="77" s="1"/>
  <c r="W155" i="77" s="1" a="1"/>
  <c r="W155" i="77" s="1"/>
  <c r="AD77" i="77" a="1"/>
  <c r="AD77" i="77" s="1"/>
  <c r="AD98" i="77" s="1" a="1"/>
  <c r="AD98" i="77" s="1"/>
  <c r="AD150" i="77" s="1" a="1"/>
  <c r="AD150" i="77" s="1"/>
  <c r="AB85" i="77" a="1"/>
  <c r="AB85" i="77" s="1"/>
  <c r="AB106" i="77" s="1" a="1"/>
  <c r="AB106" i="77" s="1"/>
  <c r="AB158" i="77" s="1" a="1"/>
  <c r="AB158" i="77" s="1"/>
  <c r="AA78" i="77" a="1"/>
  <c r="AA78" i="77" s="1"/>
  <c r="AA99" i="77" s="1" a="1"/>
  <c r="AA99" i="77" s="1"/>
  <c r="AA151" i="77" s="1" a="1"/>
  <c r="AA151" i="77" s="1"/>
  <c r="X80" i="77" a="1"/>
  <c r="X80" i="77" s="1"/>
  <c r="X101" i="77" s="1" a="1"/>
  <c r="X101" i="77" s="1"/>
  <c r="X153" i="77" s="1" a="1"/>
  <c r="X153" i="77" s="1"/>
  <c r="AC76" i="77" a="1"/>
  <c r="AC76" i="77" s="1"/>
  <c r="AC97" i="77" s="1" a="1"/>
  <c r="AC97" i="77" s="1"/>
  <c r="AC149" i="77" s="1" a="1"/>
  <c r="AC149" i="77" s="1"/>
  <c r="AD84" i="77" a="1"/>
  <c r="AD84" i="77" s="1"/>
  <c r="AD105" i="77" s="1" a="1"/>
  <c r="AD105" i="77" s="1"/>
  <c r="AD157" i="77" s="1" a="1"/>
  <c r="AD157" i="77" s="1"/>
  <c r="AE87" i="77" a="1"/>
  <c r="AE87" i="77" s="1"/>
  <c r="AE108" i="77" s="1" a="1"/>
  <c r="AE108" i="77" s="1"/>
  <c r="AE160" i="77" s="1" a="1"/>
  <c r="AE160" i="77" s="1"/>
  <c r="Z86" i="77" a="1"/>
  <c r="Z86" i="77" s="1"/>
  <c r="Z107" i="77" s="1" a="1"/>
  <c r="Z107" i="77" s="1"/>
  <c r="Z159" i="77" s="1" a="1"/>
  <c r="Z159" i="77" s="1"/>
  <c r="AE80" i="77" a="1"/>
  <c r="AE80" i="77" s="1"/>
  <c r="AE101" i="77" s="1" a="1"/>
  <c r="AE101" i="77" s="1"/>
  <c r="AE153" i="77" s="1" a="1"/>
  <c r="AE153" i="77" s="1"/>
  <c r="AE85" i="77" a="1"/>
  <c r="AE85" i="77" s="1"/>
  <c r="AE106" i="77" s="1" a="1"/>
  <c r="AE106" i="77" s="1"/>
  <c r="AE158" i="77" s="1" a="1"/>
  <c r="AE158" i="77" s="1"/>
  <c r="AD87" i="77" a="1"/>
  <c r="AD87" i="77" s="1"/>
  <c r="AD108" i="77" s="1" a="1"/>
  <c r="AD108" i="77" s="1"/>
  <c r="AD160" i="77" s="1" a="1"/>
  <c r="AD160" i="77" s="1"/>
  <c r="AB82" i="77" a="1"/>
  <c r="AB82" i="77" s="1"/>
  <c r="AB103" i="77" s="1" a="1"/>
  <c r="AB103" i="77" s="1"/>
  <c r="AB155" i="77" s="1" a="1"/>
  <c r="AB155" i="77" s="1"/>
  <c r="AD78" i="77" a="1"/>
  <c r="AD78" i="77" s="1"/>
  <c r="AD99" i="77" s="1" a="1"/>
  <c r="AD99" i="77" s="1"/>
  <c r="AD151" i="77" s="1" a="1"/>
  <c r="AD151" i="77" s="1"/>
  <c r="AE82" i="77" a="1"/>
  <c r="AE82" i="77" s="1"/>
  <c r="AE103" i="77" s="1" a="1"/>
  <c r="AE103" i="77" s="1"/>
  <c r="AE155" i="77" s="1" a="1"/>
  <c r="AE155" i="77" s="1"/>
  <c r="V84" i="77" a="1"/>
  <c r="V84" i="77" s="1"/>
  <c r="V105" i="77" s="1" a="1"/>
  <c r="V105" i="77" s="1"/>
  <c r="V157" i="77" s="1" a="1"/>
  <c r="V157" i="77" s="1"/>
  <c r="W87" i="77" a="1"/>
  <c r="W87" i="77" s="1"/>
  <c r="W108" i="77" s="1" a="1"/>
  <c r="W108" i="77" s="1"/>
  <c r="W160" i="77" s="1" a="1"/>
  <c r="W160" i="77" s="1"/>
  <c r="W80" i="77" a="1"/>
  <c r="W80" i="77" s="1"/>
  <c r="W101" i="77" s="1" a="1"/>
  <c r="W101" i="77" s="1"/>
  <c r="W153" i="77" s="1" a="1"/>
  <c r="W153" i="77" s="1"/>
  <c r="W81" i="77" a="1"/>
  <c r="W81" i="77" s="1"/>
  <c r="W102" i="77" s="1" a="1"/>
  <c r="W102" i="77" s="1"/>
  <c r="W154" i="77" s="1" a="1"/>
  <c r="W154" i="77" s="1"/>
  <c r="AE84" i="77" a="1"/>
  <c r="AE84" i="77" s="1"/>
  <c r="AE105" i="77" s="1" a="1"/>
  <c r="AE105" i="77" s="1"/>
  <c r="AE157" i="77" s="1" a="1"/>
  <c r="AE157" i="77" s="1"/>
  <c r="AE76" i="77" a="1"/>
  <c r="AE76" i="77" s="1"/>
  <c r="AE97" i="77" s="1" a="1"/>
  <c r="AE97" i="77" s="1"/>
  <c r="AE149" i="77" s="1" a="1"/>
  <c r="AE149" i="77" s="1"/>
  <c r="AD86" i="77" a="1"/>
  <c r="AD86" i="77" s="1"/>
  <c r="AD107" i="77" s="1" a="1"/>
  <c r="AD107" i="77" s="1"/>
  <c r="AD159" i="77" s="1" a="1"/>
  <c r="AD159" i="77" s="1"/>
  <c r="X76" i="77" a="1"/>
  <c r="X76" i="77" s="1"/>
  <c r="X97" i="77" s="1" a="1"/>
  <c r="X97" i="77" s="1"/>
  <c r="X149" i="77" s="1" a="1"/>
  <c r="X149" i="77" s="1"/>
  <c r="V81" i="77" a="1"/>
  <c r="V81" i="77" s="1"/>
  <c r="V102" i="77" s="1" a="1"/>
  <c r="V102" i="77" s="1"/>
  <c r="V154" i="77" s="1" a="1"/>
  <c r="V154" i="77" s="1"/>
  <c r="AA77" i="77" a="1"/>
  <c r="AA77" i="77" s="1"/>
  <c r="AA98" i="77" s="1" a="1"/>
  <c r="AA98" i="77" s="1"/>
  <c r="AA150" i="77" s="1" a="1"/>
  <c r="AA150" i="77" s="1"/>
  <c r="AA82" i="77" a="1"/>
  <c r="AA82" i="77" s="1"/>
  <c r="AA103" i="77" s="1" a="1"/>
  <c r="AA103" i="77" s="1"/>
  <c r="AA155" i="77" s="1" a="1"/>
  <c r="AA155" i="77" s="1"/>
  <c r="Z87" i="77" a="1"/>
  <c r="Z87" i="77" s="1"/>
  <c r="Z108" i="77" s="1" a="1"/>
  <c r="Z108" i="77" s="1"/>
  <c r="Z160" i="77" s="1" a="1"/>
  <c r="Z160" i="77" s="1"/>
  <c r="Y79" i="77" a="1"/>
  <c r="Y79" i="77" s="1"/>
  <c r="Y100" i="77" s="1" a="1"/>
  <c r="Y100" i="77" s="1"/>
  <c r="Y152" i="77" s="1" a="1"/>
  <c r="Y152" i="77" s="1"/>
  <c r="AA84" i="77" a="1"/>
  <c r="AA84" i="77" s="1"/>
  <c r="AA105" i="77" s="1" a="1"/>
  <c r="AA105" i="77" s="1"/>
  <c r="AA157" i="77" s="1" a="1"/>
  <c r="AA157" i="77" s="1"/>
  <c r="AA79" i="77" a="1"/>
  <c r="AA79" i="77" s="1"/>
  <c r="AA100" i="77" s="1" a="1"/>
  <c r="AA100" i="77" s="1"/>
  <c r="AA152" i="77" s="1" a="1"/>
  <c r="AA152" i="77" s="1"/>
  <c r="Z78" i="77" a="1"/>
  <c r="Z78" i="77" s="1"/>
  <c r="Z99" i="77" s="1" a="1"/>
  <c r="Z99" i="77" s="1"/>
  <c r="Z151" i="77" s="1" a="1"/>
  <c r="Z151" i="77" s="1"/>
  <c r="Z77" i="77" a="1"/>
  <c r="Z77" i="77" s="1"/>
  <c r="Z98" i="77" s="1" a="1"/>
  <c r="Z98" i="77" s="1"/>
  <c r="Z150" i="77" s="1" a="1"/>
  <c r="Z150" i="77" s="1"/>
  <c r="Y84" i="77" a="1"/>
  <c r="Y84" i="77" s="1"/>
  <c r="Y105" i="77" s="1" a="1"/>
  <c r="Y105" i="77" s="1"/>
  <c r="Y157" i="77" s="1" a="1"/>
  <c r="Y157" i="77" s="1"/>
  <c r="Y78" i="77" a="1"/>
  <c r="Y78" i="77" s="1"/>
  <c r="Y99" i="77" s="1" a="1"/>
  <c r="Y99" i="77" s="1"/>
  <c r="Y151" i="77" s="1" a="1"/>
  <c r="Y151" i="77" s="1"/>
  <c r="Z83" i="77" a="1"/>
  <c r="Z83" i="77" s="1"/>
  <c r="Z104" i="77" s="1" a="1"/>
  <c r="Z104" i="77" s="1"/>
  <c r="Z156" i="77" s="1" a="1"/>
  <c r="Z156" i="77" s="1"/>
  <c r="Y86" i="77" a="1"/>
  <c r="Y86" i="77" s="1"/>
  <c r="Y107" i="77" s="1" a="1"/>
  <c r="Y107" i="77" s="1"/>
  <c r="Y159" i="77" s="1" a="1"/>
  <c r="Y159" i="77" s="1"/>
  <c r="AA86" i="77" a="1"/>
  <c r="AA86" i="77" s="1"/>
  <c r="AA107" i="77" s="1" a="1"/>
  <c r="AA107" i="77" s="1"/>
  <c r="AA159" i="77" s="1" a="1"/>
  <c r="AA159" i="77" s="1"/>
  <c r="Y76" i="77" a="1"/>
  <c r="Y76" i="77" s="1"/>
  <c r="Y97" i="77" s="1" a="1"/>
  <c r="Y97" i="77" s="1"/>
  <c r="Y149" i="77" s="1" a="1"/>
  <c r="Y149" i="77" s="1"/>
  <c r="AA87" i="77" a="1"/>
  <c r="AA87" i="77" s="1"/>
  <c r="AA108" i="77" s="1" a="1"/>
  <c r="AA108" i="77" s="1"/>
  <c r="AA160" i="77" s="1" a="1"/>
  <c r="AA160" i="77" s="1"/>
  <c r="Z80" i="77" a="1"/>
  <c r="Z80" i="77" s="1"/>
  <c r="Z101" i="77" s="1" a="1"/>
  <c r="Z101" i="77" s="1"/>
  <c r="Z153" i="77" s="1" a="1"/>
  <c r="Z153" i="77" s="1"/>
  <c r="Y87" i="77" a="1"/>
  <c r="Y87" i="77" s="1"/>
  <c r="Y108" i="77" s="1" a="1"/>
  <c r="Y108" i="77" s="1"/>
  <c r="Y160" i="77" s="1" a="1"/>
  <c r="Y160" i="77" s="1"/>
  <c r="Z82" i="77" a="1"/>
  <c r="Z82" i="77" s="1"/>
  <c r="Z103" i="77" s="1" a="1"/>
  <c r="Z103" i="77" s="1"/>
  <c r="Z155" i="77" s="1" a="1"/>
  <c r="Z155" i="77" s="1"/>
  <c r="Z81" i="77" a="1"/>
  <c r="Z81" i="77" s="1"/>
  <c r="Z102" i="77" s="1" a="1"/>
  <c r="Z102" i="77" s="1"/>
  <c r="Z154" i="77" s="1" a="1"/>
  <c r="Z154" i="77" s="1"/>
  <c r="Y77" i="77" a="1"/>
  <c r="Y77" i="77" s="1"/>
  <c r="Y98" i="77" s="1" a="1"/>
  <c r="Y98" i="77" s="1"/>
  <c r="Y150" i="77" s="1" a="1"/>
  <c r="Y150" i="77" s="1"/>
  <c r="AA76" i="77" a="1"/>
  <c r="AA76" i="77" s="1"/>
  <c r="AA97" i="77" s="1" a="1"/>
  <c r="AA97" i="77" s="1"/>
  <c r="AA149" i="77" s="1" a="1"/>
  <c r="AA149" i="77" s="1"/>
  <c r="Y82" i="77" a="1"/>
  <c r="Y82" i="77" s="1"/>
  <c r="Y103" i="77" s="1" a="1"/>
  <c r="Y103" i="77" s="1"/>
  <c r="Y155" i="77" s="1" a="1"/>
  <c r="Y155" i="77" s="1"/>
  <c r="Y80" i="77" a="1"/>
  <c r="Y80" i="77" s="1"/>
  <c r="Y101" i="77" s="1" a="1"/>
  <c r="Y101" i="77" s="1"/>
  <c r="Y153" i="77" s="1" a="1"/>
  <c r="Y153" i="77" s="1"/>
  <c r="E75" i="85" a="1"/>
  <c r="E75" i="85" s="1"/>
  <c r="E34" i="89"/>
  <c r="H34" i="89" s="1" a="1"/>
  <c r="H34" i="89" s="1"/>
  <c r="E74" i="89" s="1"/>
  <c r="F74" i="89" s="1" a="1"/>
  <c r="F74" i="89" s="1"/>
  <c r="E38" i="90"/>
  <c r="F38" i="90" s="1" a="1"/>
  <c r="F38" i="90" s="1"/>
  <c r="AA83" i="77" a="1"/>
  <c r="AA83" i="77" s="1"/>
  <c r="AA104" i="77" s="1" a="1"/>
  <c r="AA104" i="77" s="1"/>
  <c r="AA156" i="77" s="1" a="1"/>
  <c r="AA156" i="77" s="1"/>
  <c r="Y84" i="80" a="1"/>
  <c r="Y84" i="80" s="1"/>
  <c r="Y139" i="80" s="1" a="1"/>
  <c r="Y139" i="80" s="1"/>
  <c r="Z79" i="80" a="1"/>
  <c r="Z79" i="80" s="1"/>
  <c r="Z134" i="80" s="1" a="1"/>
  <c r="Z134" i="80" s="1"/>
  <c r="AA79" i="80" a="1"/>
  <c r="AA79" i="80" s="1"/>
  <c r="AA134" i="80" s="1" a="1"/>
  <c r="AA134" i="80" s="1"/>
  <c r="AE78" i="80" a="1"/>
  <c r="AE78" i="80" s="1"/>
  <c r="AE133" i="80" s="1" a="1"/>
  <c r="AE133" i="80" s="1"/>
  <c r="AG84" i="80" a="1"/>
  <c r="AG84" i="80" s="1"/>
  <c r="AG139" i="80" s="1" a="1"/>
  <c r="AG139" i="80" s="1"/>
  <c r="Y86" i="80" a="1"/>
  <c r="Y86" i="80" s="1"/>
  <c r="Y141" i="80" s="1" a="1"/>
  <c r="Y141" i="80" s="1"/>
  <c r="AE77" i="80" a="1"/>
  <c r="AE77" i="80" s="1"/>
  <c r="AE132" i="80" s="1" a="1"/>
  <c r="AE132" i="80" s="1"/>
  <c r="Y81" i="80" a="1"/>
  <c r="Y81" i="80" s="1"/>
  <c r="Y136" i="80" s="1" a="1"/>
  <c r="Y136" i="80" s="1"/>
  <c r="AE82" i="80" a="1"/>
  <c r="AE82" i="80" s="1"/>
  <c r="AE137" i="80" s="1" a="1"/>
  <c r="AE137" i="80" s="1"/>
  <c r="Z77" i="80" a="1"/>
  <c r="Z77" i="80" s="1"/>
  <c r="Z132" i="80" s="1" a="1"/>
  <c r="Z132" i="80" s="1"/>
  <c r="X82" i="80" a="1"/>
  <c r="X82" i="80" s="1"/>
  <c r="X137" i="80" s="1" a="1"/>
  <c r="X137" i="80" s="1"/>
  <c r="AF80" i="80" a="1"/>
  <c r="AF80" i="80" s="1"/>
  <c r="AF135" i="80" s="1" a="1"/>
  <c r="AF135" i="80" s="1"/>
  <c r="Z81" i="80" a="1"/>
  <c r="Z81" i="80" s="1"/>
  <c r="Z136" i="80" s="1" a="1"/>
  <c r="Z136" i="80" s="1"/>
  <c r="Z85" i="80" a="1"/>
  <c r="Z85" i="80" s="1"/>
  <c r="Z140" i="80" s="1" a="1"/>
  <c r="Z140" i="80" s="1"/>
  <c r="Z80" i="80" a="1"/>
  <c r="Z80" i="80" s="1"/>
  <c r="Z135" i="80" s="1" a="1"/>
  <c r="Z135" i="80" s="1"/>
  <c r="Y76" i="80" a="1"/>
  <c r="Y76" i="80" s="1"/>
  <c r="Y131" i="80" s="1" a="1"/>
  <c r="Y131" i="80" s="1"/>
  <c r="AE79" i="80" a="1"/>
  <c r="AE79" i="80" s="1"/>
  <c r="AE134" i="80" s="1" a="1"/>
  <c r="AE134" i="80" s="1"/>
  <c r="AE85" i="80" a="1"/>
  <c r="AE85" i="80" s="1"/>
  <c r="AE140" i="80" s="1" a="1"/>
  <c r="AE140" i="80" s="1"/>
  <c r="AG81" i="80" a="1"/>
  <c r="AG81" i="80" s="1"/>
  <c r="AG136" i="80" s="1" a="1"/>
  <c r="AG136" i="80" s="1"/>
  <c r="Y85" i="80" a="1"/>
  <c r="Y85" i="80" s="1"/>
  <c r="Y140" i="80" s="1" a="1"/>
  <c r="Y140" i="80" s="1"/>
  <c r="Y80" i="80" a="1"/>
  <c r="Y80" i="80" s="1"/>
  <c r="Y135" i="80" s="1" a="1"/>
  <c r="Y135" i="80" s="1"/>
  <c r="AE83" i="80" a="1"/>
  <c r="AE83" i="80" s="1"/>
  <c r="AE138" i="80" s="1" a="1"/>
  <c r="AE138" i="80" s="1"/>
  <c r="AD79" i="80" a="1"/>
  <c r="AD79" i="80" s="1"/>
  <c r="AD134" i="80" s="1" a="1"/>
  <c r="AD134" i="80" s="1"/>
  <c r="AE81" i="80" a="1"/>
  <c r="AE81" i="80" s="1"/>
  <c r="AE136" i="80" s="1" a="1"/>
  <c r="AE136" i="80" s="1"/>
  <c r="AE86" i="80" a="1"/>
  <c r="AE86" i="80" s="1"/>
  <c r="AE141" i="80" s="1" a="1"/>
  <c r="AE141" i="80" s="1"/>
  <c r="Y82" i="80" a="1"/>
  <c r="Y82" i="80" s="1"/>
  <c r="Y137" i="80" s="1" a="1"/>
  <c r="Y137" i="80" s="1"/>
  <c r="AF78" i="80" a="1"/>
  <c r="AF78" i="80" s="1"/>
  <c r="AF133" i="80" s="1" a="1"/>
  <c r="AF133" i="80" s="1"/>
  <c r="AF86" i="80" a="1"/>
  <c r="AF86" i="80" s="1"/>
  <c r="AF141" i="80" s="1" a="1"/>
  <c r="AF141" i="80" s="1"/>
  <c r="AF83" i="80" a="1"/>
  <c r="AF83" i="80" s="1"/>
  <c r="AF138" i="80" s="1" a="1"/>
  <c r="AF138" i="80" s="1"/>
  <c r="X86" i="80" a="1"/>
  <c r="X86" i="80" s="1"/>
  <c r="X141" i="80" s="1" a="1"/>
  <c r="X141" i="80" s="1"/>
  <c r="AG77" i="80" a="1"/>
  <c r="AG77" i="80" s="1"/>
  <c r="AG132" i="80" s="1" a="1"/>
  <c r="AG132" i="80" s="1"/>
  <c r="X78" i="80" a="1"/>
  <c r="X78" i="80" s="1"/>
  <c r="X133" i="80" s="1" a="1"/>
  <c r="X133" i="80" s="1"/>
  <c r="AF79" i="80" a="1"/>
  <c r="AF79" i="80" s="1"/>
  <c r="AF134" i="80" s="1" a="1"/>
  <c r="AF134" i="80" s="1"/>
  <c r="AF77" i="80" a="1"/>
  <c r="AF77" i="80" s="1"/>
  <c r="AF132" i="80" s="1" a="1"/>
  <c r="AF132" i="80" s="1"/>
  <c r="AD80" i="80" a="1"/>
  <c r="AD80" i="80" s="1"/>
  <c r="AD135" i="80" s="1" a="1"/>
  <c r="AD135" i="80" s="1"/>
  <c r="AD78" i="80" a="1"/>
  <c r="AD78" i="80" s="1"/>
  <c r="AD133" i="80" s="1" a="1"/>
  <c r="AD133" i="80" s="1"/>
  <c r="AC81" i="80" a="1"/>
  <c r="AC81" i="80" s="1"/>
  <c r="AC136" i="80" s="1" a="1"/>
  <c r="AC136" i="80" s="1"/>
  <c r="AG76" i="80" a="1"/>
  <c r="AG76" i="80" s="1"/>
  <c r="AG131" i="80" s="1" a="1"/>
  <c r="AG131" i="80" s="1"/>
  <c r="Z83" i="80" a="1"/>
  <c r="Z83" i="80" s="1"/>
  <c r="Z138" i="80" s="1" a="1"/>
  <c r="Z138" i="80" s="1"/>
  <c r="Y79" i="80" a="1"/>
  <c r="Y79" i="80" s="1"/>
  <c r="Y134" i="80" s="1" a="1"/>
  <c r="Y134" i="80" s="1"/>
  <c r="AD87" i="80" a="1"/>
  <c r="AD87" i="80" s="1"/>
  <c r="AD142" i="80" s="1" a="1"/>
  <c r="AD142" i="80" s="1"/>
  <c r="AG82" i="80" a="1"/>
  <c r="AG82" i="80" s="1"/>
  <c r="AG137" i="80" s="1" a="1"/>
  <c r="AG137" i="80" s="1"/>
  <c r="AD77" i="80" a="1"/>
  <c r="AD77" i="80" s="1"/>
  <c r="AD132" i="80" s="1" a="1"/>
  <c r="AD132" i="80" s="1"/>
  <c r="AF85" i="80" a="1"/>
  <c r="AF85" i="80" s="1"/>
  <c r="AF140" i="80" s="1" a="1"/>
  <c r="AF140" i="80" s="1"/>
  <c r="X85" i="80" a="1"/>
  <c r="X85" i="80" s="1"/>
  <c r="X140" i="80" s="1" a="1"/>
  <c r="X140" i="80" s="1"/>
  <c r="AE84" i="80" a="1"/>
  <c r="AE84" i="80" s="1"/>
  <c r="AE139" i="80" s="1" a="1"/>
  <c r="AE139" i="80" s="1"/>
  <c r="AD83" i="80" a="1"/>
  <c r="AD83" i="80" s="1"/>
  <c r="AD138" i="80" s="1" a="1"/>
  <c r="AD138" i="80" s="1"/>
  <c r="AF76" i="80" a="1"/>
  <c r="AF76" i="80" s="1"/>
  <c r="AF131" i="80" s="1" a="1"/>
  <c r="AF131" i="80" s="1"/>
  <c r="AC77" i="80" a="1"/>
  <c r="AC77" i="80" s="1"/>
  <c r="AC132" i="80" s="1" a="1"/>
  <c r="AC132" i="80" s="1"/>
  <c r="X83" i="80" a="1"/>
  <c r="X83" i="80" s="1"/>
  <c r="X138" i="80" s="1" a="1"/>
  <c r="X138" i="80" s="1"/>
  <c r="X79" i="80" a="1"/>
  <c r="X79" i="80" s="1"/>
  <c r="X134" i="80" s="1" a="1"/>
  <c r="X134" i="80" s="1"/>
  <c r="AF84" i="80" a="1"/>
  <c r="AF84" i="80" s="1"/>
  <c r="AF139" i="80" s="1" a="1"/>
  <c r="AF139" i="80" s="1"/>
  <c r="Y78" i="80" a="1"/>
  <c r="Y78" i="80" s="1"/>
  <c r="Y133" i="80" s="1" a="1"/>
  <c r="Y133" i="80" s="1"/>
  <c r="Z78" i="80" a="1"/>
  <c r="Z78" i="80" s="1"/>
  <c r="Z133" i="80" s="1" a="1"/>
  <c r="Z133" i="80" s="1"/>
  <c r="AF81" i="80" a="1"/>
  <c r="AF81" i="80" s="1"/>
  <c r="AF136" i="80" s="1" a="1"/>
  <c r="AF136" i="80" s="1"/>
  <c r="X87" i="80" a="1"/>
  <c r="X87" i="80" s="1"/>
  <c r="X142" i="80" s="1" a="1"/>
  <c r="X142" i="80" s="1"/>
  <c r="AE87" i="80" a="1"/>
  <c r="AE87" i="80" s="1"/>
  <c r="AE142" i="80" s="1" a="1"/>
  <c r="AE142" i="80" s="1"/>
  <c r="AD86" i="80" a="1"/>
  <c r="AD86" i="80" s="1"/>
  <c r="AD141" i="80" s="1" a="1"/>
  <c r="AD141" i="80" s="1"/>
  <c r="AG78" i="80" a="1"/>
  <c r="AG78" i="80" s="1"/>
  <c r="AG133" i="80" s="1" a="1"/>
  <c r="AG133" i="80" s="1"/>
  <c r="AD85" i="80" a="1"/>
  <c r="AD85" i="80" s="1"/>
  <c r="AD140" i="80" s="1" a="1"/>
  <c r="AD140" i="80" s="1"/>
  <c r="Y83" i="80" a="1"/>
  <c r="Y83" i="80" s="1"/>
  <c r="Y138" i="80" s="1" a="1"/>
  <c r="Y138" i="80" s="1"/>
  <c r="Y77" i="80" a="1"/>
  <c r="Y77" i="80" s="1"/>
  <c r="Y132" i="80" s="1" a="1"/>
  <c r="Y132" i="80" s="1"/>
  <c r="Y87" i="80" a="1"/>
  <c r="Y87" i="80" s="1"/>
  <c r="Y142" i="80" s="1" a="1"/>
  <c r="Y142" i="80" s="1"/>
  <c r="AD81" i="80" a="1"/>
  <c r="AD81" i="80" s="1"/>
  <c r="AD136" i="80" s="1" a="1"/>
  <c r="AD136" i="80" s="1"/>
  <c r="AG86" i="80" a="1"/>
  <c r="AG86" i="80" s="1"/>
  <c r="AG141" i="80" s="1" a="1"/>
  <c r="AG141" i="80" s="1"/>
  <c r="AC78" i="80" a="1"/>
  <c r="AC78" i="80" s="1"/>
  <c r="AC133" i="80" s="1" a="1"/>
  <c r="AC133" i="80" s="1"/>
  <c r="AG87" i="80" a="1"/>
  <c r="AG87" i="80" s="1"/>
  <c r="AG142" i="80" s="1" a="1"/>
  <c r="AG142" i="80" s="1"/>
  <c r="Z82" i="80" a="1"/>
  <c r="Z82" i="80" s="1"/>
  <c r="Z137" i="80" s="1" a="1"/>
  <c r="Z137" i="80" s="1"/>
  <c r="AG79" i="80" a="1"/>
  <c r="AG79" i="80" s="1"/>
  <c r="AG134" i="80" s="1" a="1"/>
  <c r="AG134" i="80" s="1"/>
  <c r="Z84" i="80" a="1"/>
  <c r="Z84" i="80" s="1"/>
  <c r="Z139" i="80" s="1" a="1"/>
  <c r="Z139" i="80" s="1"/>
  <c r="Z86" i="80" a="1"/>
  <c r="Z86" i="80" s="1"/>
  <c r="Z141" i="80" s="1" a="1"/>
  <c r="Z141" i="80" s="1"/>
  <c r="AD82" i="80" a="1"/>
  <c r="AD82" i="80" s="1"/>
  <c r="AD137" i="80" s="1" a="1"/>
  <c r="AD137" i="80" s="1"/>
  <c r="X80" i="80" a="1"/>
  <c r="X80" i="80" s="1"/>
  <c r="X135" i="80" s="1" a="1"/>
  <c r="X135" i="80" s="1"/>
  <c r="Z87" i="80" a="1"/>
  <c r="Z87" i="80" s="1"/>
  <c r="Z142" i="80" s="1" a="1"/>
  <c r="Z142" i="80" s="1"/>
  <c r="AD84" i="80" a="1"/>
  <c r="AD84" i="80" s="1"/>
  <c r="AD139" i="80" s="1" a="1"/>
  <c r="AD139" i="80" s="1"/>
  <c r="AD76" i="80" a="1"/>
  <c r="AD76" i="80" s="1"/>
  <c r="AD131" i="80" s="1" a="1"/>
  <c r="AD131" i="80" s="1"/>
  <c r="X84" i="80" a="1"/>
  <c r="X84" i="80" s="1"/>
  <c r="X139" i="80" s="1" a="1"/>
  <c r="X139" i="80" s="1"/>
  <c r="Z76" i="80" a="1"/>
  <c r="Z76" i="80" s="1"/>
  <c r="Z131" i="80" s="1" a="1"/>
  <c r="Z131" i="80" s="1"/>
  <c r="AG85" i="80" a="1"/>
  <c r="AG85" i="80" s="1"/>
  <c r="AG140" i="80" s="1" a="1"/>
  <c r="AG140" i="80" s="1"/>
  <c r="AE80" i="80" a="1"/>
  <c r="AE80" i="80" s="1"/>
  <c r="AE135" i="80" s="1" a="1"/>
  <c r="AE135" i="80" s="1"/>
  <c r="X81" i="80" a="1"/>
  <c r="X81" i="80" s="1"/>
  <c r="X136" i="80" s="1" a="1"/>
  <c r="X136" i="80" s="1"/>
  <c r="AF82" i="80" a="1"/>
  <c r="AF82" i="80" s="1"/>
  <c r="AF137" i="80" s="1" a="1"/>
  <c r="AF137" i="80" s="1"/>
  <c r="AG83" i="80" a="1"/>
  <c r="AG83" i="80" s="1"/>
  <c r="AG138" i="80" s="1" a="1"/>
  <c r="AG138" i="80" s="1"/>
  <c r="X44" i="80"/>
  <c r="X76" i="80" s="1" a="1"/>
  <c r="X76" i="80" s="1"/>
  <c r="X131" i="80" s="1" a="1"/>
  <c r="X131" i="80" s="1"/>
  <c r="AF87" i="80" a="1"/>
  <c r="AF87" i="80" s="1"/>
  <c r="AF142" i="80" s="1" a="1"/>
  <c r="AF142" i="80" s="1"/>
  <c r="AE76" i="80" a="1"/>
  <c r="AE76" i="80" s="1"/>
  <c r="AE131" i="80" s="1" a="1"/>
  <c r="AE131" i="80" s="1"/>
  <c r="AG80" i="80" a="1"/>
  <c r="AG80" i="80" s="1"/>
  <c r="AG135" i="80" s="1" a="1"/>
  <c r="AG135" i="80" s="1"/>
  <c r="X77" i="80" a="1"/>
  <c r="X77" i="80" s="1"/>
  <c r="X132" i="80" s="1" a="1"/>
  <c r="X132" i="80" s="1"/>
  <c r="AC87" i="80" a="1"/>
  <c r="AC87" i="80" s="1"/>
  <c r="AC142" i="80" s="1" a="1"/>
  <c r="AC142" i="80" s="1"/>
  <c r="AC86" i="80" a="1"/>
  <c r="AC86" i="80" s="1"/>
  <c r="AC141" i="80" s="1" a="1"/>
  <c r="AC141" i="80" s="1"/>
  <c r="AA80" i="80" a="1"/>
  <c r="AA80" i="80" s="1"/>
  <c r="AA135" i="80" s="1" a="1"/>
  <c r="AA135" i="80" s="1"/>
  <c r="AC82" i="80" a="1"/>
  <c r="AC82" i="80" s="1"/>
  <c r="AC137" i="80" s="1" a="1"/>
  <c r="AC137" i="80" s="1"/>
  <c r="AC76" i="80" a="1"/>
  <c r="AC76" i="80" s="1"/>
  <c r="AC131" i="80" s="1" a="1"/>
  <c r="AC131" i="80" s="1"/>
  <c r="J85" i="80" a="1"/>
  <c r="J85" i="80" s="1"/>
  <c r="J132" i="80" s="1" a="1"/>
  <c r="J132" i="80" s="1"/>
  <c r="K182" i="80" s="1" a="1"/>
  <c r="K182" i="80" s="1"/>
  <c r="K240" i="80" s="1" a="1"/>
  <c r="K240" i="80" s="1"/>
  <c r="E25" i="89"/>
  <c r="H25" i="89" s="1" a="1"/>
  <c r="H25" i="89" s="1"/>
  <c r="E65" i="89" s="1"/>
  <c r="F65" i="89" s="1" a="1"/>
  <c r="F65" i="89" s="1"/>
  <c r="E29" i="90"/>
  <c r="F29" i="90" s="1" a="1"/>
  <c r="F29" i="90" s="1"/>
  <c r="E66" i="85" a="1"/>
  <c r="E66" i="85" s="1"/>
  <c r="E23" i="89"/>
  <c r="H23" i="89" s="1" a="1"/>
  <c r="H23" i="89" s="1"/>
  <c r="E63" i="89" s="1"/>
  <c r="F63" i="89" s="1" a="1"/>
  <c r="F63" i="89" s="1"/>
  <c r="E27" i="90"/>
  <c r="F27" i="90" s="1" a="1"/>
  <c r="F27" i="90" s="1"/>
  <c r="E64" i="85" a="1"/>
  <c r="E64" i="85" s="1"/>
  <c r="O45" i="85"/>
  <c r="T47" i="85"/>
  <c r="U47" i="85" s="1"/>
  <c r="S47" i="85" a="1"/>
  <c r="S47" i="85" s="1"/>
  <c r="V46" i="85" a="1"/>
  <c r="V46" i="85" s="1"/>
  <c r="T46" i="85"/>
  <c r="U46" i="85" s="1"/>
  <c r="R46" i="85" a="1"/>
  <c r="R46" i="85" s="1"/>
  <c r="W47" i="85"/>
  <c r="W46" i="85"/>
  <c r="O79" i="85" s="1" a="1"/>
  <c r="O79" i="85" s="1"/>
  <c r="S46" i="85" a="1"/>
  <c r="S46" i="85" s="1"/>
  <c r="V47" i="85" a="1"/>
  <c r="V47" i="85" s="1"/>
  <c r="T49" i="85"/>
  <c r="Q46" i="85"/>
  <c r="W48" i="85"/>
  <c r="O80" i="85" s="1" a="1"/>
  <c r="O80" i="85" s="1"/>
  <c r="W49" i="85"/>
  <c r="O81" i="85" s="1" a="1"/>
  <c r="O81" i="85" s="1"/>
  <c r="R49" i="85" a="1"/>
  <c r="R49" i="85" s="1"/>
  <c r="Q47" i="85"/>
  <c r="S49" i="85" a="1"/>
  <c r="S49" i="85" s="1"/>
  <c r="R48" i="85" a="1"/>
  <c r="R48" i="85" s="1"/>
  <c r="Q49" i="85"/>
  <c r="R47" i="85" a="1"/>
  <c r="R47" i="85" s="1"/>
  <c r="T48" i="85"/>
  <c r="Q48" i="85"/>
  <c r="S48" i="85" a="1"/>
  <c r="S48" i="85" s="1"/>
  <c r="O85" i="85" a="1"/>
  <c r="O85" i="85" s="1"/>
  <c r="P85" i="85" s="1" a="1"/>
  <c r="P85" i="85" s="1"/>
  <c r="O86" i="85" a="1"/>
  <c r="O86" i="85" s="1"/>
  <c r="P86" i="85" s="1" a="1"/>
  <c r="P86" i="85" s="1"/>
  <c r="O82" i="85" a="1"/>
  <c r="O82" i="85" s="1"/>
  <c r="P82" i="85" s="1" a="1"/>
  <c r="P82" i="85" s="1"/>
  <c r="O83" i="85" a="1"/>
  <c r="O83" i="85" s="1"/>
  <c r="P83" i="85" s="1" a="1"/>
  <c r="P83" i="85" s="1"/>
  <c r="O84" i="85" a="1"/>
  <c r="O84" i="85" s="1"/>
  <c r="P84" i="85" s="1" a="1"/>
  <c r="P84" i="85" s="1"/>
  <c r="E40" i="100" a="1"/>
  <c r="E40" i="100" s="1"/>
  <c r="E32" i="89"/>
  <c r="H32" i="89" s="1" a="1"/>
  <c r="H32" i="89" s="1"/>
  <c r="E72" i="89" s="1"/>
  <c r="F72" i="89" s="1" a="1"/>
  <c r="F72" i="89" s="1"/>
  <c r="E36" i="90"/>
  <c r="F36" i="90" s="1" a="1"/>
  <c r="F36" i="90" s="1"/>
  <c r="E73" i="85" a="1"/>
  <c r="E73" i="85" s="1"/>
  <c r="E71" i="85" a="1"/>
  <c r="E71" i="85" s="1"/>
  <c r="E34" i="90"/>
  <c r="F34" i="90" s="1" a="1"/>
  <c r="F34" i="90" s="1"/>
  <c r="E30" i="89"/>
  <c r="H30" i="89" s="1" a="1"/>
  <c r="H30" i="89" s="1"/>
  <c r="E70" i="89" s="1"/>
  <c r="F70" i="89" s="1" a="1"/>
  <c r="F70" i="89" s="1"/>
  <c r="AB80" i="80" a="1"/>
  <c r="AB80" i="80" s="1"/>
  <c r="AB135" i="80" s="1" a="1"/>
  <c r="AB135" i="80" s="1"/>
  <c r="AA81" i="80" a="1"/>
  <c r="AA81" i="80" s="1"/>
  <c r="AA136" i="80" s="1" a="1"/>
  <c r="AA136" i="80" s="1"/>
  <c r="E31" i="89"/>
  <c r="H31" i="89" s="1" a="1"/>
  <c r="H31" i="89" s="1"/>
  <c r="E71" i="89" s="1"/>
  <c r="F71" i="89" s="1" a="1"/>
  <c r="F71" i="89" s="1"/>
  <c r="E35" i="90"/>
  <c r="F35" i="90" s="1" a="1"/>
  <c r="F35" i="90" s="1"/>
  <c r="E72" i="85" a="1"/>
  <c r="E72" i="85" s="1"/>
  <c r="AB85" i="80" a="1"/>
  <c r="AB85" i="80" s="1"/>
  <c r="AB140" i="80" s="1" a="1"/>
  <c r="AB140" i="80" s="1"/>
  <c r="AC198" i="80" s="1" a="1"/>
  <c r="AC198" i="80" s="1"/>
  <c r="AC272" i="80" s="1" a="1"/>
  <c r="AC272" i="80" s="1"/>
  <c r="E31" i="88"/>
  <c r="E15" i="13" s="1" a="1"/>
  <c r="E15" i="13" s="1"/>
  <c r="AB86" i="80" a="1"/>
  <c r="AB86" i="80" s="1"/>
  <c r="AB141" i="80" s="1" a="1"/>
  <c r="AB141" i="80" s="1"/>
  <c r="E21" i="89"/>
  <c r="H21" i="89" s="1" a="1"/>
  <c r="H21" i="89" s="1"/>
  <c r="E61" i="89" s="1"/>
  <c r="F61" i="89" s="1" a="1"/>
  <c r="F61" i="89" s="1"/>
  <c r="E25" i="90"/>
  <c r="F25" i="90" s="1" a="1"/>
  <c r="F25" i="90" s="1"/>
  <c r="E62" i="85" a="1"/>
  <c r="E62" i="85" s="1"/>
  <c r="E37" i="89"/>
  <c r="H37" i="89" s="1" a="1"/>
  <c r="H37" i="89" s="1"/>
  <c r="E77" i="89" s="1"/>
  <c r="F77" i="89" s="1" a="1"/>
  <c r="F77" i="89" s="1"/>
  <c r="E41" i="90"/>
  <c r="F41" i="90" s="1" a="1"/>
  <c r="F41" i="90" s="1"/>
  <c r="E78" i="85" a="1"/>
  <c r="E78" i="85" s="1"/>
  <c r="Y85" i="77" a="1"/>
  <c r="Y85" i="77" s="1"/>
  <c r="Y106" i="77" s="1" a="1"/>
  <c r="Y106" i="77" s="1"/>
  <c r="Y158" i="77" s="1" a="1"/>
  <c r="Y158" i="77" s="1"/>
  <c r="AC79" i="80" a="1"/>
  <c r="AC79" i="80" s="1"/>
  <c r="AC134" i="80" s="1" a="1"/>
  <c r="AC134" i="80" s="1"/>
  <c r="AB81" i="80" a="1"/>
  <c r="AB81" i="80" s="1"/>
  <c r="AB136" i="80" s="1" a="1"/>
  <c r="AB136" i="80" s="1"/>
  <c r="E65" i="85" a="1"/>
  <c r="E65" i="85" s="1"/>
  <c r="E28" i="90"/>
  <c r="F28" i="90" s="1" a="1"/>
  <c r="F28" i="90" s="1"/>
  <c r="E24" i="89"/>
  <c r="H24" i="89" s="1" a="1"/>
  <c r="H24" i="89" s="1"/>
  <c r="E64" i="89" s="1"/>
  <c r="F64" i="89" s="1" a="1"/>
  <c r="F64" i="89" s="1"/>
  <c r="AA85" i="80" a="1"/>
  <c r="AA85" i="80" s="1"/>
  <c r="AA140" i="80" s="1" a="1"/>
  <c r="AA140" i="80" s="1"/>
  <c r="AB186" i="80" s="1" a="1"/>
  <c r="AB186" i="80" s="1"/>
  <c r="AB260" i="80" s="1" a="1"/>
  <c r="AB260" i="80" s="1"/>
  <c r="E69" i="85" a="1"/>
  <c r="E69" i="85" s="1"/>
  <c r="E28" i="89"/>
  <c r="H28" i="89" s="1" a="1"/>
  <c r="H28" i="89" s="1"/>
  <c r="E68" i="89" s="1"/>
  <c r="F68" i="89" s="1" a="1"/>
  <c r="F68" i="89" s="1"/>
  <c r="E32" i="90"/>
  <c r="F32" i="90" s="1" a="1"/>
  <c r="F32" i="90" s="1"/>
  <c r="AB79" i="80" a="1"/>
  <c r="AB79" i="80" s="1"/>
  <c r="AB134" i="80" s="1" a="1"/>
  <c r="AB134" i="80" s="1"/>
  <c r="F19" i="13" a="1"/>
  <c r="F19" i="13" s="1"/>
  <c r="I19" i="13" s="1" a="1"/>
  <c r="I19" i="13" s="1"/>
  <c r="G50" i="101"/>
  <c r="E53" i="101" s="1" a="1"/>
  <c r="E53" i="101" s="1"/>
  <c r="E19" i="13" a="1"/>
  <c r="E19" i="13" s="1"/>
  <c r="H19" i="13" s="1" a="1"/>
  <c r="H19" i="13" s="1"/>
  <c r="E58" i="97"/>
  <c r="E67" i="96"/>
  <c r="E20" i="13" s="1" a="1"/>
  <c r="E20" i="13" s="1"/>
  <c r="H20" i="13" s="1"/>
  <c r="E56" i="97"/>
  <c r="E24" i="13" s="1" a="1"/>
  <c r="E24" i="13" s="1"/>
  <c r="F24" i="13" s="1"/>
  <c r="I24" i="13" s="1" a="1"/>
  <c r="I24" i="13" s="1"/>
  <c r="E57" i="97"/>
  <c r="E25" i="13" s="1" a="1"/>
  <c r="E25" i="13" s="1"/>
  <c r="F25" i="13" s="1"/>
  <c r="I25" i="13" s="1" a="1"/>
  <c r="I25" i="13" s="1"/>
  <c r="E70" i="96"/>
  <c r="E68" i="96"/>
  <c r="E21" i="13" s="1" a="1"/>
  <c r="E21" i="13" s="1"/>
  <c r="F21" i="13" s="1"/>
  <c r="I21" i="13" s="1" a="1"/>
  <c r="I21" i="13" s="1"/>
  <c r="E55" i="97"/>
  <c r="E23" i="13" s="1" a="1"/>
  <c r="E23" i="13" s="1"/>
  <c r="E69" i="96"/>
  <c r="E22" i="13" s="1" a="1"/>
  <c r="E22" i="13" s="1"/>
  <c r="F22" i="13" s="1"/>
  <c r="I22" i="13" s="1" a="1"/>
  <c r="I22" i="13" s="1"/>
  <c r="G148" i="89"/>
  <c r="E151" i="89" s="1" a="1"/>
  <c r="E151" i="89" s="1"/>
  <c r="F16" i="13"/>
  <c r="I16" i="13" s="1" a="1"/>
  <c r="I16" i="13" s="1"/>
  <c r="H16" i="13" a="1"/>
  <c r="H16" i="13" s="1"/>
  <c r="P79" i="85" l="1" a="1"/>
  <c r="P79" i="85" s="1"/>
  <c r="K179" i="80" a="1"/>
  <c r="K179" i="80" s="1"/>
  <c r="K237" i="80" s="1" a="1"/>
  <c r="K237" i="80" s="1"/>
  <c r="P81" i="85" a="1"/>
  <c r="P81" i="85" s="1"/>
  <c r="P80" i="85" a="1"/>
  <c r="P80" i="85" s="1"/>
  <c r="O78" i="85" a="1"/>
  <c r="O78" i="85" s="1"/>
  <c r="P78" i="85" s="1" a="1"/>
  <c r="P78" i="85" s="1"/>
  <c r="J182" i="80" a="1"/>
  <c r="J182" i="80" s="1"/>
  <c r="J240" i="80" s="1" a="1"/>
  <c r="J240" i="80" s="1"/>
  <c r="AB184" i="80" a="1"/>
  <c r="AB184" i="80" s="1"/>
  <c r="AB258" i="80" s="1" a="1"/>
  <c r="AB258" i="80" s="1"/>
  <c r="AC184" i="80" a="1"/>
  <c r="AC184" i="80" s="1"/>
  <c r="AC258" i="80" s="1" a="1"/>
  <c r="AC258" i="80" s="1"/>
  <c r="I180" i="80" a="1"/>
  <c r="I180" i="80" s="1"/>
  <c r="I238" i="80" s="1" a="1"/>
  <c r="I238" i="80" s="1"/>
  <c r="J184" i="80" a="1"/>
  <c r="J184" i="80" s="1"/>
  <c r="J242" i="80" s="1" a="1"/>
  <c r="J242" i="80" s="1"/>
  <c r="AD186" i="80" a="1"/>
  <c r="AD186" i="80" s="1"/>
  <c r="AD260" i="80" s="1" a="1"/>
  <c r="AD260" i="80" s="1"/>
  <c r="J177" i="80" a="1"/>
  <c r="J177" i="80" s="1"/>
  <c r="J235" i="80" s="1" a="1"/>
  <c r="J235" i="80" s="1"/>
  <c r="I181" i="80" a="1"/>
  <c r="I181" i="80" s="1"/>
  <c r="I239" i="80" s="1" a="1"/>
  <c r="I239" i="80" s="1"/>
  <c r="AD185" i="80" a="1"/>
  <c r="AD185" i="80" s="1"/>
  <c r="AD259" i="80" s="1" a="1"/>
  <c r="AD259" i="80" s="1"/>
  <c r="AB185" i="80" a="1"/>
  <c r="AB185" i="80" s="1"/>
  <c r="AB259" i="80" s="1" a="1"/>
  <c r="AB259" i="80" s="1"/>
  <c r="I182" i="80" a="1"/>
  <c r="I182" i="80" s="1"/>
  <c r="I240" i="80" s="1" a="1"/>
  <c r="I240" i="80" s="1"/>
  <c r="K181" i="80" a="1"/>
  <c r="K181" i="80" s="1"/>
  <c r="K239" i="80" s="1" a="1"/>
  <c r="K239" i="80" s="1"/>
  <c r="AC188" i="80" a="1"/>
  <c r="AC188" i="80" s="1"/>
  <c r="AC262" i="80" s="1" a="1"/>
  <c r="AC262" i="80" s="1"/>
  <c r="AC197" i="80" a="1"/>
  <c r="AC197" i="80" s="1"/>
  <c r="AC271" i="80" s="1" a="1"/>
  <c r="AC271" i="80" s="1"/>
  <c r="K180" i="80" a="1"/>
  <c r="K180" i="80" s="1"/>
  <c r="K238" i="80" s="1" a="1"/>
  <c r="K238" i="80" s="1"/>
  <c r="AB198" i="80" a="1"/>
  <c r="AB198" i="80" s="1"/>
  <c r="AB272" i="80" s="1" a="1"/>
  <c r="AB272" i="80" s="1"/>
  <c r="AD184" i="80" a="1"/>
  <c r="AD184" i="80" s="1"/>
  <c r="AD258" i="80" s="1" a="1"/>
  <c r="AD258" i="80" s="1"/>
  <c r="K178" i="80" a="1"/>
  <c r="K178" i="80" s="1"/>
  <c r="K236" i="80" s="1" a="1"/>
  <c r="K236" i="80" s="1"/>
  <c r="AB199" i="80" a="1"/>
  <c r="AB199" i="80" s="1"/>
  <c r="AB273" i="80" s="1" a="1"/>
  <c r="AB273" i="80" s="1"/>
  <c r="AB187" i="80" a="1"/>
  <c r="AB187" i="80" s="1"/>
  <c r="AB261" i="80" s="1" a="1"/>
  <c r="AB261" i="80" s="1"/>
  <c r="AC187" i="80" a="1"/>
  <c r="AC187" i="80" s="1"/>
  <c r="AC261" i="80" s="1" a="1"/>
  <c r="AC261" i="80" s="1"/>
  <c r="AC199" i="80" a="1"/>
  <c r="AC199" i="80" s="1"/>
  <c r="AC273" i="80" s="1" a="1"/>
  <c r="AC273" i="80" s="1"/>
  <c r="W45" i="85"/>
  <c r="O77" i="85" s="1" a="1"/>
  <c r="O77" i="85" s="1"/>
  <c r="T45" i="85"/>
  <c r="U45" i="85" s="1"/>
  <c r="S45" i="85" a="1"/>
  <c r="S45" i="85" s="1"/>
  <c r="Q45" i="85"/>
  <c r="R45" i="85" a="1"/>
  <c r="R45" i="85" s="1"/>
  <c r="AA199" i="80" a="1"/>
  <c r="AA199" i="80" s="1"/>
  <c r="AA273" i="80" s="1" a="1"/>
  <c r="AA273" i="80" s="1"/>
  <c r="AA187" i="80" a="1"/>
  <c r="AA187" i="80" s="1"/>
  <c r="AA261" i="80" s="1" a="1"/>
  <c r="AA261" i="80" s="1"/>
  <c r="AG184" i="80" a="1"/>
  <c r="AG184" i="80" s="1"/>
  <c r="AG258" i="80" s="1" a="1"/>
  <c r="AG258" i="80" s="1"/>
  <c r="AG196" i="80" a="1"/>
  <c r="AG196" i="80" s="1"/>
  <c r="AG270" i="80" s="1" a="1"/>
  <c r="AG270" i="80" s="1"/>
  <c r="V49" i="85" a="1"/>
  <c r="V49" i="85" s="1"/>
  <c r="U49" i="85"/>
  <c r="AH184" i="80" a="1"/>
  <c r="AH184" i="80" s="1"/>
  <c r="AH258" i="80" s="1" a="1"/>
  <c r="AH258" i="80" s="1"/>
  <c r="AH196" i="80" a="1"/>
  <c r="AH196" i="80" s="1"/>
  <c r="AH270" i="80" s="1" a="1"/>
  <c r="AH270" i="80" s="1"/>
  <c r="AH192" i="80" a="1"/>
  <c r="AH192" i="80" s="1"/>
  <c r="AH266" i="80" s="1" a="1"/>
  <c r="AH266" i="80" s="1"/>
  <c r="AH180" i="80" a="1"/>
  <c r="AH180" i="80" s="1"/>
  <c r="AH254" i="80" s="1" a="1"/>
  <c r="AH254" i="80" s="1"/>
  <c r="AG182" i="80" a="1"/>
  <c r="AG182" i="80" s="1"/>
  <c r="AG256" i="80" s="1" a="1"/>
  <c r="AG256" i="80" s="1"/>
  <c r="AG194" i="80" a="1"/>
  <c r="AG194" i="80" s="1"/>
  <c r="AG268" i="80" s="1" a="1"/>
  <c r="AG268" i="80" s="1"/>
  <c r="AE200" i="80" a="1"/>
  <c r="AE200" i="80" s="1"/>
  <c r="AE274" i="80" s="1" a="1"/>
  <c r="AE274" i="80" s="1"/>
  <c r="AE188" i="80" a="1"/>
  <c r="AE188" i="80" s="1"/>
  <c r="AE262" i="80" s="1" a="1"/>
  <c r="AE262" i="80" s="1"/>
  <c r="AG179" i="80" a="1"/>
  <c r="AG179" i="80" s="1"/>
  <c r="AG253" i="80" s="1" a="1"/>
  <c r="AG253" i="80" s="1"/>
  <c r="AG191" i="80" a="1"/>
  <c r="AG191" i="80" s="1"/>
  <c r="AG265" i="80" s="1" a="1"/>
  <c r="AG265" i="80" s="1"/>
  <c r="AA194" i="80" a="1"/>
  <c r="AA194" i="80" s="1"/>
  <c r="AA268" i="80" s="1" a="1"/>
  <c r="AA268" i="80" s="1"/>
  <c r="AA182" i="80" a="1"/>
  <c r="AA182" i="80" s="1"/>
  <c r="AA256" i="80" s="1" a="1"/>
  <c r="AA256" i="80" s="1"/>
  <c r="L179" i="80" a="1"/>
  <c r="L179" i="80" s="1"/>
  <c r="L237" i="80" s="1" a="1"/>
  <c r="L237" i="80" s="1"/>
  <c r="L183" i="80" a="1"/>
  <c r="L183" i="80" s="1"/>
  <c r="L241" i="80" s="1" a="1"/>
  <c r="L241" i="80" s="1"/>
  <c r="F179" i="80" a="1"/>
  <c r="F179" i="80" s="1"/>
  <c r="F237" i="80" s="1" a="1"/>
  <c r="F237" i="80" s="1"/>
  <c r="F183" i="80" a="1"/>
  <c r="F183" i="80" s="1"/>
  <c r="F241" i="80" s="1" a="1"/>
  <c r="F241" i="80" s="1"/>
  <c r="AC195" i="80" a="1"/>
  <c r="AC195" i="80" s="1"/>
  <c r="AC269" i="80" s="1" a="1"/>
  <c r="AC269" i="80" s="1"/>
  <c r="AC183" i="80" a="1"/>
  <c r="AC183" i="80" s="1"/>
  <c r="AC257" i="80" s="1" a="1"/>
  <c r="AC257" i="80" s="1"/>
  <c r="AD177" i="80" a="1"/>
  <c r="AD177" i="80" s="1"/>
  <c r="AD251" i="80" s="1" a="1"/>
  <c r="AD251" i="80" s="1"/>
  <c r="AD189" i="80" a="1"/>
  <c r="AD189" i="80" s="1"/>
  <c r="AD263" i="80" s="1" a="1"/>
  <c r="AD263" i="80" s="1"/>
  <c r="AB181" i="80" a="1"/>
  <c r="AB181" i="80" s="1"/>
  <c r="AB255" i="80" s="1" a="1"/>
  <c r="AB255" i="80" s="1"/>
  <c r="AB193" i="80" a="1"/>
  <c r="AB193" i="80" s="1"/>
  <c r="AB267" i="80" s="1" a="1"/>
  <c r="AB267" i="80" s="1"/>
  <c r="Y193" i="80" a="1"/>
  <c r="Y193" i="80" s="1"/>
  <c r="Y267" i="80" s="1" a="1"/>
  <c r="Y267" i="80" s="1"/>
  <c r="Y181" i="80" a="1"/>
  <c r="Y181" i="80" s="1"/>
  <c r="Y255" i="80" s="1" a="1"/>
  <c r="Y255" i="80" s="1"/>
  <c r="AF188" i="80" a="1"/>
  <c r="AF188" i="80" s="1"/>
  <c r="AF262" i="80" s="1" a="1"/>
  <c r="AF262" i="80" s="1"/>
  <c r="AF200" i="80" a="1"/>
  <c r="AF200" i="80" s="1"/>
  <c r="AF274" i="80" s="1" a="1"/>
  <c r="AF274" i="80" s="1"/>
  <c r="Z185" i="80" a="1"/>
  <c r="Z185" i="80" s="1"/>
  <c r="Z259" i="80" s="1" a="1"/>
  <c r="Z259" i="80" s="1"/>
  <c r="Z197" i="80" a="1"/>
  <c r="Z197" i="80" s="1"/>
  <c r="Z271" i="80" s="1" a="1"/>
  <c r="Z271" i="80" s="1"/>
  <c r="AC192" i="80" a="1"/>
  <c r="AC192" i="80" s="1"/>
  <c r="AC266" i="80" s="1" a="1"/>
  <c r="AC266" i="80" s="1"/>
  <c r="AC180" i="80" a="1"/>
  <c r="AC180" i="80" s="1"/>
  <c r="AC254" i="80" s="1" a="1"/>
  <c r="AC254" i="80" s="1"/>
  <c r="AG195" i="80" a="1"/>
  <c r="AG195" i="80" s="1"/>
  <c r="AG269" i="80" s="1" a="1"/>
  <c r="AG269" i="80" s="1"/>
  <c r="AG183" i="80" a="1"/>
  <c r="AG183" i="80" s="1"/>
  <c r="AG257" i="80" s="1" a="1"/>
  <c r="AG257" i="80" s="1"/>
  <c r="AA183" i="80" a="1"/>
  <c r="AA183" i="80" s="1"/>
  <c r="AA257" i="80" s="1" a="1"/>
  <c r="AA257" i="80" s="1"/>
  <c r="AA195" i="80" a="1"/>
  <c r="AA195" i="80" s="1"/>
  <c r="AA269" i="80" s="1" a="1"/>
  <c r="AA269" i="80" s="1"/>
  <c r="AA191" i="80" a="1"/>
  <c r="AA191" i="80" s="1"/>
  <c r="AA265" i="80" s="1" a="1"/>
  <c r="AA265" i="80" s="1"/>
  <c r="AA179" i="80" a="1"/>
  <c r="AA179" i="80" s="1"/>
  <c r="AA253" i="80" s="1" a="1"/>
  <c r="AA253" i="80" s="1"/>
  <c r="Z180" i="80" a="1"/>
  <c r="Z180" i="80" s="1"/>
  <c r="Z254" i="80" s="1" a="1"/>
  <c r="Z254" i="80" s="1"/>
  <c r="Z192" i="80" a="1"/>
  <c r="Z192" i="80" s="1"/>
  <c r="Z266" i="80" s="1" a="1"/>
  <c r="Z266" i="80" s="1"/>
  <c r="Z195" i="80" a="1"/>
  <c r="Z195" i="80" s="1"/>
  <c r="Z269" i="80" s="1" a="1"/>
  <c r="Z269" i="80" s="1"/>
  <c r="Z183" i="80" a="1"/>
  <c r="Z183" i="80" s="1"/>
  <c r="Z257" i="80" s="1" a="1"/>
  <c r="Z257" i="80" s="1"/>
  <c r="AG193" i="80" a="1"/>
  <c r="AG193" i="80" s="1"/>
  <c r="AG267" i="80" s="1" a="1"/>
  <c r="AG267" i="80" s="1"/>
  <c r="AG181" i="80" a="1"/>
  <c r="AG181" i="80" s="1"/>
  <c r="AG255" i="80" s="1" a="1"/>
  <c r="AG255" i="80" s="1"/>
  <c r="AB195" i="80" a="1"/>
  <c r="AB195" i="80" s="1"/>
  <c r="AB269" i="80" s="1" a="1"/>
  <c r="AB269" i="80" s="1"/>
  <c r="AB183" i="80" a="1"/>
  <c r="AB183" i="80" s="1"/>
  <c r="AB257" i="80" s="1" a="1"/>
  <c r="AB257" i="80" s="1"/>
  <c r="N180" i="80" a="1"/>
  <c r="N180" i="80" s="1"/>
  <c r="N238" i="80" s="1" a="1"/>
  <c r="N238" i="80" s="1"/>
  <c r="N184" i="80" a="1"/>
  <c r="N184" i="80" s="1"/>
  <c r="N242" i="80" s="1" a="1"/>
  <c r="N242" i="80" s="1"/>
  <c r="N181" i="80" a="1"/>
  <c r="N181" i="80" s="1"/>
  <c r="N239" i="80" s="1" a="1"/>
  <c r="N239" i="80" s="1"/>
  <c r="N177" i="80" a="1"/>
  <c r="N177" i="80" s="1"/>
  <c r="N235" i="80" s="1" a="1"/>
  <c r="N235" i="80" s="1"/>
  <c r="AD181" i="80" a="1"/>
  <c r="AD181" i="80" s="1"/>
  <c r="AD255" i="80" s="1" a="1"/>
  <c r="AD255" i="80" s="1"/>
  <c r="AD193" i="80" a="1"/>
  <c r="AD193" i="80" s="1"/>
  <c r="AD267" i="80" s="1" a="1"/>
  <c r="AD267" i="80" s="1"/>
  <c r="Y194" i="80" a="1"/>
  <c r="Y194" i="80" s="1"/>
  <c r="Y268" i="80" s="1" a="1"/>
  <c r="Y268" i="80" s="1"/>
  <c r="Y182" i="80" a="1"/>
  <c r="Y182" i="80" s="1"/>
  <c r="Y256" i="80" s="1" a="1"/>
  <c r="Y256" i="80" s="1"/>
  <c r="AH188" i="80" a="1"/>
  <c r="AH188" i="80" s="1"/>
  <c r="AH262" i="80" s="1" a="1"/>
  <c r="AH262" i="80" s="1"/>
  <c r="AH200" i="80" a="1"/>
  <c r="AH200" i="80" s="1"/>
  <c r="AH274" i="80" s="1" a="1"/>
  <c r="AH274" i="80" s="1"/>
  <c r="Z179" i="80" a="1"/>
  <c r="Z179" i="80" s="1"/>
  <c r="Z253" i="80" s="1" a="1"/>
  <c r="Z253" i="80" s="1"/>
  <c r="Z191" i="80" a="1"/>
  <c r="Z191" i="80" s="1"/>
  <c r="Z265" i="80" s="1" a="1"/>
  <c r="Z265" i="80" s="1"/>
  <c r="AA184" i="80" a="1"/>
  <c r="AA184" i="80" s="1"/>
  <c r="AA258" i="80" s="1" a="1"/>
  <c r="AA258" i="80" s="1"/>
  <c r="AA196" i="80" a="1"/>
  <c r="AA196" i="80" s="1"/>
  <c r="AA270" i="80" s="1" a="1"/>
  <c r="AA270" i="80" s="1"/>
  <c r="AF187" i="80" a="1"/>
  <c r="AF187" i="80" s="1"/>
  <c r="AF261" i="80" s="1" a="1"/>
  <c r="AF261" i="80" s="1"/>
  <c r="AF199" i="80" a="1"/>
  <c r="AF199" i="80" s="1"/>
  <c r="AF273" i="80" s="1" a="1"/>
  <c r="AF273" i="80" s="1"/>
  <c r="Y195" i="80" a="1"/>
  <c r="Y195" i="80" s="1"/>
  <c r="Y269" i="80" s="1" a="1"/>
  <c r="Y269" i="80" s="1"/>
  <c r="Y183" i="80" a="1"/>
  <c r="Y183" i="80" s="1"/>
  <c r="Y257" i="80" s="1" a="1"/>
  <c r="Y257" i="80" s="1"/>
  <c r="AB190" i="80" a="1"/>
  <c r="AB190" i="80" s="1"/>
  <c r="AB264" i="80" s="1" a="1"/>
  <c r="AB264" i="80" s="1"/>
  <c r="AB178" i="80" a="1"/>
  <c r="AB178" i="80" s="1"/>
  <c r="AB252" i="80" s="1" a="1"/>
  <c r="AB252" i="80" s="1"/>
  <c r="AB188" i="80" a="1"/>
  <c r="AB188" i="80" s="1"/>
  <c r="AB262" i="80" s="1" a="1"/>
  <c r="AB262" i="80" s="1"/>
  <c r="AB200" i="80" a="1"/>
  <c r="AB200" i="80" s="1"/>
  <c r="AB274" i="80" s="1" a="1"/>
  <c r="AB274" i="80" s="1"/>
  <c r="L181" i="80" a="1"/>
  <c r="L181" i="80" s="1"/>
  <c r="L239" i="80" s="1" a="1"/>
  <c r="L239" i="80" s="1"/>
  <c r="L177" i="80" a="1"/>
  <c r="L177" i="80" s="1"/>
  <c r="L235" i="80" s="1" a="1"/>
  <c r="L235" i="80" s="1"/>
  <c r="F182" i="80" a="1"/>
  <c r="F182" i="80" s="1"/>
  <c r="F240" i="80" s="1" a="1"/>
  <c r="F240" i="80" s="1"/>
  <c r="F178" i="80" a="1"/>
  <c r="F178" i="80" s="1"/>
  <c r="F236" i="80" s="1" a="1"/>
  <c r="F236" i="80" s="1"/>
  <c r="E79" i="89"/>
  <c r="G81" i="89" s="1"/>
  <c r="E84" i="89" s="1" a="1"/>
  <c r="E84" i="89" s="1"/>
  <c r="AC179" i="80" a="1"/>
  <c r="AC179" i="80" s="1"/>
  <c r="AC253" i="80" s="1" a="1"/>
  <c r="AC253" i="80" s="1"/>
  <c r="AC191" i="80" a="1"/>
  <c r="AC191" i="80" s="1"/>
  <c r="AC265" i="80" s="1" a="1"/>
  <c r="AC265" i="80" s="1"/>
  <c r="AF181" i="80" a="1"/>
  <c r="AF181" i="80" s="1"/>
  <c r="AF255" i="80" s="1" a="1"/>
  <c r="AF255" i="80" s="1"/>
  <c r="AF193" i="80" a="1"/>
  <c r="AF193" i="80" s="1"/>
  <c r="AF267" i="80" s="1" a="1"/>
  <c r="AF267" i="80" s="1"/>
  <c r="AD179" i="80" a="1"/>
  <c r="AD179" i="80" s="1"/>
  <c r="AD253" i="80" s="1" a="1"/>
  <c r="AD253" i="80" s="1"/>
  <c r="AD191" i="80" a="1"/>
  <c r="AD191" i="80" s="1"/>
  <c r="AD265" i="80" s="1" a="1"/>
  <c r="AD265" i="80" s="1"/>
  <c r="AG197" i="80" a="1"/>
  <c r="AG197" i="80" s="1"/>
  <c r="AG271" i="80" s="1" a="1"/>
  <c r="AG271" i="80" s="1"/>
  <c r="AG185" i="80" a="1"/>
  <c r="AG185" i="80" s="1"/>
  <c r="AG259" i="80" s="1" a="1"/>
  <c r="AG259" i="80" s="1"/>
  <c r="AH189" i="80" a="1"/>
  <c r="AH189" i="80" s="1"/>
  <c r="AH263" i="80" s="1" a="1"/>
  <c r="AH263" i="80" s="1"/>
  <c r="AH177" i="80" a="1"/>
  <c r="AH177" i="80" s="1"/>
  <c r="AH251" i="80" s="1" a="1"/>
  <c r="AH251" i="80" s="1"/>
  <c r="AF194" i="80" a="1"/>
  <c r="AF194" i="80" s="1"/>
  <c r="AF268" i="80" s="1" a="1"/>
  <c r="AF268" i="80" s="1"/>
  <c r="AF182" i="80" a="1"/>
  <c r="AF182" i="80" s="1"/>
  <c r="AF256" i="80" s="1" a="1"/>
  <c r="AF256" i="80" s="1"/>
  <c r="AA190" i="80" a="1"/>
  <c r="AA190" i="80" s="1"/>
  <c r="AA264" i="80" s="1" a="1"/>
  <c r="AA264" i="80" s="1"/>
  <c r="AA178" i="80" a="1"/>
  <c r="AA178" i="80" s="1"/>
  <c r="AA252" i="80" s="1" a="1"/>
  <c r="AA252" i="80" s="1"/>
  <c r="AC177" i="80" a="1"/>
  <c r="AC177" i="80" s="1"/>
  <c r="AC251" i="80" s="1" a="1"/>
  <c r="AC251" i="80" s="1"/>
  <c r="AC189" i="80" a="1"/>
  <c r="AC189" i="80" s="1"/>
  <c r="AC263" i="80" s="1" a="1"/>
  <c r="AC263" i="80" s="1"/>
  <c r="G183" i="80" a="1"/>
  <c r="G183" i="80" s="1"/>
  <c r="G241" i="80" s="1" a="1"/>
  <c r="G241" i="80" s="1"/>
  <c r="G179" i="80" a="1"/>
  <c r="G179" i="80" s="1"/>
  <c r="G237" i="80" s="1" a="1"/>
  <c r="G237" i="80" s="1"/>
  <c r="N183" i="80" a="1"/>
  <c r="N183" i="80" s="1"/>
  <c r="N241" i="80" s="1" a="1"/>
  <c r="N241" i="80" s="1"/>
  <c r="N179" i="80" a="1"/>
  <c r="N179" i="80" s="1"/>
  <c r="N237" i="80" s="1" a="1"/>
  <c r="N237" i="80" s="1"/>
  <c r="E43" i="90"/>
  <c r="J89" i="90" s="1"/>
  <c r="E94" i="90" s="1" a="1"/>
  <c r="E94" i="90" s="1"/>
  <c r="E17" i="13" s="1" a="1"/>
  <c r="E17" i="13" s="1"/>
  <c r="H17" i="13" s="1" a="1"/>
  <c r="H17" i="13" s="1"/>
  <c r="J183" i="80" a="1"/>
  <c r="J183" i="80" s="1"/>
  <c r="J241" i="80" s="1" a="1"/>
  <c r="J241" i="80" s="1"/>
  <c r="J179" i="80" a="1"/>
  <c r="J179" i="80" s="1"/>
  <c r="J237" i="80" s="1" a="1"/>
  <c r="J237" i="80" s="1"/>
  <c r="H184" i="80" a="1"/>
  <c r="H184" i="80" s="1"/>
  <c r="H242" i="80" s="1" a="1"/>
  <c r="H242" i="80" s="1"/>
  <c r="H180" i="80" a="1"/>
  <c r="H180" i="80" s="1"/>
  <c r="H238" i="80" s="1" a="1"/>
  <c r="H238" i="80" s="1"/>
  <c r="O181" i="80" a="1"/>
  <c r="O181" i="80" s="1"/>
  <c r="O239" i="80" s="1" a="1"/>
  <c r="O239" i="80" s="1"/>
  <c r="O177" i="80" a="1"/>
  <c r="O177" i="80" s="1"/>
  <c r="O235" i="80" s="1" a="1"/>
  <c r="O235" i="80" s="1"/>
  <c r="E80" i="85"/>
  <c r="V48" i="85" a="1"/>
  <c r="V48" i="85" s="1"/>
  <c r="U48" i="85"/>
  <c r="Y180" i="80" a="1"/>
  <c r="Y180" i="80" s="1"/>
  <c r="Y254" i="80" s="1" a="1"/>
  <c r="Y254" i="80" s="1"/>
  <c r="Y192" i="80" a="1"/>
  <c r="Y192" i="80" s="1"/>
  <c r="Y266" i="80" s="1" a="1"/>
  <c r="Y266" i="80" s="1"/>
  <c r="AE180" i="80" a="1"/>
  <c r="AE180" i="80" s="1"/>
  <c r="AE254" i="80" s="1" a="1"/>
  <c r="AE254" i="80" s="1"/>
  <c r="AE192" i="80" a="1"/>
  <c r="AE192" i="80" s="1"/>
  <c r="AE266" i="80" s="1" a="1"/>
  <c r="AE266" i="80" s="1"/>
  <c r="AF183" i="80" a="1"/>
  <c r="AF183" i="80" s="1"/>
  <c r="AF257" i="80" s="1" a="1"/>
  <c r="AF257" i="80" s="1"/>
  <c r="AF195" i="80" a="1"/>
  <c r="AF195" i="80" s="1"/>
  <c r="AF269" i="80" s="1" a="1"/>
  <c r="AF269" i="80" s="1"/>
  <c r="F15" i="13"/>
  <c r="I15" i="13" s="1"/>
  <c r="H15" i="13"/>
  <c r="AD195" i="80" a="1"/>
  <c r="AD195" i="80" s="1"/>
  <c r="AD269" i="80" s="1" a="1"/>
  <c r="AD269" i="80" s="1"/>
  <c r="AD183" i="80" a="1"/>
  <c r="AD183" i="80" s="1"/>
  <c r="AD257" i="80" s="1" a="1"/>
  <c r="AD257" i="80" s="1"/>
  <c r="AA177" i="80" a="1"/>
  <c r="AA177" i="80" s="1"/>
  <c r="AA251" i="80" s="1" a="1"/>
  <c r="AA251" i="80" s="1"/>
  <c r="AA189" i="80" a="1"/>
  <c r="AA189" i="80" s="1"/>
  <c r="AA263" i="80" s="1" a="1"/>
  <c r="AA263" i="80" s="1"/>
  <c r="AE182" i="80" a="1"/>
  <c r="AE182" i="80" s="1"/>
  <c r="AE256" i="80" s="1" a="1"/>
  <c r="AE256" i="80" s="1"/>
  <c r="AE194" i="80" a="1"/>
  <c r="AE194" i="80" s="1"/>
  <c r="AE268" i="80" s="1" a="1"/>
  <c r="AE268" i="80" s="1"/>
  <c r="Y196" i="80" a="1"/>
  <c r="Y196" i="80" s="1"/>
  <c r="Y270" i="80" s="1" a="1"/>
  <c r="Y270" i="80" s="1"/>
  <c r="Y184" i="80" a="1"/>
  <c r="Y184" i="80" s="1"/>
  <c r="Y258" i="80" s="1" a="1"/>
  <c r="Y258" i="80" s="1"/>
  <c r="AE191" i="80" a="1"/>
  <c r="AE191" i="80" s="1"/>
  <c r="AE265" i="80" s="1" a="1"/>
  <c r="AE265" i="80" s="1"/>
  <c r="AE179" i="80" a="1"/>
  <c r="AE179" i="80" s="1"/>
  <c r="AE253" i="80" s="1" a="1"/>
  <c r="AE253" i="80" s="1"/>
  <c r="AF196" i="80" a="1"/>
  <c r="AF196" i="80" s="1"/>
  <c r="AF270" i="80" s="1" a="1"/>
  <c r="AF270" i="80" s="1"/>
  <c r="AF184" i="80" a="1"/>
  <c r="AF184" i="80" s="1"/>
  <c r="AF258" i="80" s="1" a="1"/>
  <c r="AF258" i="80" s="1"/>
  <c r="Z182" i="80" a="1"/>
  <c r="Z182" i="80" s="1"/>
  <c r="Z256" i="80" s="1" a="1"/>
  <c r="Z256" i="80" s="1"/>
  <c r="Z194" i="80" a="1"/>
  <c r="Z194" i="80" s="1"/>
  <c r="Z268" i="80" s="1" a="1"/>
  <c r="Z268" i="80" s="1"/>
  <c r="F14" i="13"/>
  <c r="I14" i="13" s="1" a="1"/>
  <c r="I14" i="13" s="1"/>
  <c r="H14" i="13" a="1"/>
  <c r="H14" i="13" s="1"/>
  <c r="F181" i="80" a="1"/>
  <c r="F181" i="80" s="1"/>
  <c r="F239" i="80" s="1" a="1"/>
  <c r="F239" i="80" s="1"/>
  <c r="F177" i="80" a="1"/>
  <c r="F177" i="80" s="1"/>
  <c r="F235" i="80" s="1" a="1"/>
  <c r="F235" i="80" s="1"/>
  <c r="O179" i="80" a="1"/>
  <c r="O179" i="80" s="1"/>
  <c r="O237" i="80" s="1" a="1"/>
  <c r="O237" i="80" s="1"/>
  <c r="O183" i="80" a="1"/>
  <c r="O183" i="80" s="1"/>
  <c r="O241" i="80" s="1" a="1"/>
  <c r="O241" i="80" s="1"/>
  <c r="F13" i="13"/>
  <c r="I13" i="13" s="1"/>
  <c r="H13" i="13"/>
  <c r="Y185" i="80" a="1"/>
  <c r="Y185" i="80" s="1"/>
  <c r="Y259" i="80" s="1" a="1"/>
  <c r="Y259" i="80" s="1"/>
  <c r="Y197" i="80" a="1"/>
  <c r="Y197" i="80" s="1"/>
  <c r="Y271" i="80" s="1" a="1"/>
  <c r="Y271" i="80" s="1"/>
  <c r="Z188" i="80" a="1"/>
  <c r="Z188" i="80" s="1"/>
  <c r="Z262" i="80" s="1" a="1"/>
  <c r="Z262" i="80" s="1"/>
  <c r="Z200" i="80" a="1"/>
  <c r="Z200" i="80" s="1"/>
  <c r="Z274" i="80" s="1" a="1"/>
  <c r="Z274" i="80" s="1"/>
  <c r="AD178" i="80" a="1"/>
  <c r="AD178" i="80" s="1"/>
  <c r="AD252" i="80" s="1" a="1"/>
  <c r="AD252" i="80" s="1"/>
  <c r="AD190" i="80" a="1"/>
  <c r="AD190" i="80" s="1"/>
  <c r="AD264" i="80" s="1" a="1"/>
  <c r="AD264" i="80" s="1"/>
  <c r="AE181" i="80" a="1"/>
  <c r="AE181" i="80" s="1"/>
  <c r="AE255" i="80" s="1" a="1"/>
  <c r="AE255" i="80" s="1"/>
  <c r="AE193" i="80" a="1"/>
  <c r="AE193" i="80" s="1"/>
  <c r="AE267" i="80" s="1" a="1"/>
  <c r="AE267" i="80" s="1"/>
  <c r="Z193" i="80" a="1"/>
  <c r="Z193" i="80" s="1"/>
  <c r="Z267" i="80" s="1" a="1"/>
  <c r="Z267" i="80" s="1"/>
  <c r="Z181" i="80" a="1"/>
  <c r="Z181" i="80" s="1"/>
  <c r="Z255" i="80" s="1" a="1"/>
  <c r="Z255" i="80" s="1"/>
  <c r="AF190" i="80" a="1"/>
  <c r="AF190" i="80" s="1"/>
  <c r="AF264" i="80" s="1" a="1"/>
  <c r="AF264" i="80" s="1"/>
  <c r="AF178" i="80" a="1"/>
  <c r="AF178" i="80" s="1"/>
  <c r="AF252" i="80" s="1" a="1"/>
  <c r="AF252" i="80" s="1"/>
  <c r="F180" i="80" a="1"/>
  <c r="F180" i="80" s="1"/>
  <c r="F238" i="80" s="1" a="1"/>
  <c r="F238" i="80" s="1"/>
  <c r="F184" i="80" a="1"/>
  <c r="F184" i="80" s="1"/>
  <c r="F242" i="80" s="1" a="1"/>
  <c r="F242" i="80" s="1"/>
  <c r="M183" i="80" a="1"/>
  <c r="M183" i="80" s="1"/>
  <c r="M241" i="80" s="1" a="1"/>
  <c r="M241" i="80" s="1"/>
  <c r="M179" i="80" a="1"/>
  <c r="M179" i="80" s="1"/>
  <c r="M237" i="80" s="1" a="1"/>
  <c r="M237" i="80" s="1"/>
  <c r="N178" i="80" a="1"/>
  <c r="N178" i="80" s="1"/>
  <c r="N236" i="80" s="1" a="1"/>
  <c r="N236" i="80" s="1"/>
  <c r="N182" i="80" a="1"/>
  <c r="N182" i="80" s="1"/>
  <c r="N240" i="80" s="1" a="1"/>
  <c r="N240" i="80" s="1"/>
  <c r="L184" i="80" a="1"/>
  <c r="L184" i="80" s="1"/>
  <c r="L242" i="80" s="1" a="1"/>
  <c r="L242" i="80" s="1"/>
  <c r="L180" i="80" a="1"/>
  <c r="L180" i="80" s="1"/>
  <c r="L238" i="80" s="1" a="1"/>
  <c r="L238" i="80" s="1"/>
  <c r="AG177" i="80" a="1"/>
  <c r="AG177" i="80" s="1"/>
  <c r="AG251" i="80" s="1" a="1"/>
  <c r="AG251" i="80" s="1"/>
  <c r="AG189" i="80" a="1"/>
  <c r="AG189" i="80" s="1"/>
  <c r="AG263" i="80" s="1" a="1"/>
  <c r="AG263" i="80" s="1"/>
  <c r="Z198" i="80" a="1"/>
  <c r="Z198" i="80" s="1"/>
  <c r="Z272" i="80" s="1" a="1"/>
  <c r="Z272" i="80" s="1"/>
  <c r="Z186" i="80" a="1"/>
  <c r="Z186" i="80" s="1"/>
  <c r="Z260" i="80" s="1" a="1"/>
  <c r="Z260" i="80" s="1"/>
  <c r="Z187" i="80" a="1"/>
  <c r="Z187" i="80" s="1"/>
  <c r="Z261" i="80" s="1" a="1"/>
  <c r="Z261" i="80" s="1"/>
  <c r="Z199" i="80" a="1"/>
  <c r="Z199" i="80" s="1"/>
  <c r="Z273" i="80" s="1" a="1"/>
  <c r="Z273" i="80" s="1"/>
  <c r="AD188" i="80" a="1"/>
  <c r="AD188" i="80" s="1"/>
  <c r="AD262" i="80" s="1" a="1"/>
  <c r="AD262" i="80" s="1"/>
  <c r="AD200" i="80" a="1"/>
  <c r="AD200" i="80" s="1"/>
  <c r="AD274" i="80" s="1" a="1"/>
  <c r="AD274" i="80" s="1"/>
  <c r="Z184" i="80" a="1"/>
  <c r="Z184" i="80" s="1"/>
  <c r="Z258" i="80" s="1" a="1"/>
  <c r="Z258" i="80" s="1"/>
  <c r="Z196" i="80" a="1"/>
  <c r="Z196" i="80" s="1"/>
  <c r="Z270" i="80" s="1" a="1"/>
  <c r="Z270" i="80" s="1"/>
  <c r="AG192" i="80" a="1"/>
  <c r="AG192" i="80" s="1"/>
  <c r="AG266" i="80" s="1" a="1"/>
  <c r="AG266" i="80" s="1"/>
  <c r="AG180" i="80" a="1"/>
  <c r="AG180" i="80" s="1"/>
  <c r="AG254" i="80" s="1" a="1"/>
  <c r="AG254" i="80" s="1"/>
  <c r="AH185" i="80" a="1"/>
  <c r="AH185" i="80" s="1"/>
  <c r="AH259" i="80" s="1" a="1"/>
  <c r="AH259" i="80" s="1"/>
  <c r="AH197" i="80" a="1"/>
  <c r="AH197" i="80" s="1"/>
  <c r="AH271" i="80" s="1" a="1"/>
  <c r="AH271" i="80" s="1"/>
  <c r="V161" i="77"/>
  <c r="X163" i="77" s="1"/>
  <c r="V166" i="77" s="1" a="1"/>
  <c r="V166" i="77" s="1"/>
  <c r="I179" i="80" a="1"/>
  <c r="I179" i="80" s="1"/>
  <c r="I237" i="80" s="1" a="1"/>
  <c r="I237" i="80" s="1"/>
  <c r="I183" i="80" a="1"/>
  <c r="I183" i="80" s="1"/>
  <c r="I241" i="80" s="1" a="1"/>
  <c r="I241" i="80" s="1"/>
  <c r="H177" i="80" a="1"/>
  <c r="H177" i="80" s="1"/>
  <c r="H235" i="80" s="1" a="1"/>
  <c r="H235" i="80" s="1"/>
  <c r="H181" i="80" a="1"/>
  <c r="H181" i="80" s="1"/>
  <c r="H239" i="80" s="1" a="1"/>
  <c r="H239" i="80" s="1"/>
  <c r="H183" i="80" a="1"/>
  <c r="H183" i="80" s="1"/>
  <c r="H241" i="80" s="1" a="1"/>
  <c r="H241" i="80" s="1"/>
  <c r="H179" i="80" a="1"/>
  <c r="H179" i="80" s="1"/>
  <c r="H237" i="80" s="1" a="1"/>
  <c r="H237" i="80" s="1"/>
  <c r="E128" i="77"/>
  <c r="AB179" i="80" a="1"/>
  <c r="AB179" i="80" s="1"/>
  <c r="AB253" i="80" s="1" a="1"/>
  <c r="AB253" i="80" s="1"/>
  <c r="AB191" i="80" a="1"/>
  <c r="AB191" i="80" s="1"/>
  <c r="AB265" i="80" s="1" a="1"/>
  <c r="AB265" i="80" s="1"/>
  <c r="AH198" i="80" a="1"/>
  <c r="AH198" i="80" s="1"/>
  <c r="AH272" i="80" s="1" a="1"/>
  <c r="AH272" i="80" s="1"/>
  <c r="AH186" i="80" a="1"/>
  <c r="AH186" i="80" s="1"/>
  <c r="AH260" i="80" s="1" a="1"/>
  <c r="AH260" i="80" s="1"/>
  <c r="AG178" i="80" a="1"/>
  <c r="AG178" i="80" s="1"/>
  <c r="AG252" i="80" s="1" a="1"/>
  <c r="AG252" i="80" s="1"/>
  <c r="AG190" i="80" a="1"/>
  <c r="AG190" i="80" s="1"/>
  <c r="AG264" i="80" s="1" a="1"/>
  <c r="AG264" i="80" s="1"/>
  <c r="AE185" i="80" a="1"/>
  <c r="AE185" i="80" s="1"/>
  <c r="AE259" i="80" s="1" a="1"/>
  <c r="AE259" i="80" s="1"/>
  <c r="AE197" i="80" a="1"/>
  <c r="AE197" i="80" s="1"/>
  <c r="AE271" i="80" s="1" a="1"/>
  <c r="AE271" i="80" s="1"/>
  <c r="AE184" i="80" a="1"/>
  <c r="AE184" i="80" s="1"/>
  <c r="AE258" i="80" s="1" a="1"/>
  <c r="AE258" i="80" s="1"/>
  <c r="AE196" i="80" a="1"/>
  <c r="AE196" i="80" s="1"/>
  <c r="AE270" i="80" s="1" a="1"/>
  <c r="AE270" i="80" s="1"/>
  <c r="AH182" i="80" a="1"/>
  <c r="AH182" i="80" s="1"/>
  <c r="AH256" i="80" s="1" a="1"/>
  <c r="AH256" i="80" s="1"/>
  <c r="AH194" i="80" a="1"/>
  <c r="AH194" i="80" s="1"/>
  <c r="AH268" i="80" s="1" a="1"/>
  <c r="AH268" i="80" s="1"/>
  <c r="AC182" i="80" a="1"/>
  <c r="AC182" i="80" s="1"/>
  <c r="AC256" i="80" s="1" a="1"/>
  <c r="AC256" i="80" s="1"/>
  <c r="AC194" i="80" a="1"/>
  <c r="AC194" i="80" s="1"/>
  <c r="AC268" i="80" s="1" a="1"/>
  <c r="AC268" i="80" s="1"/>
  <c r="Y178" i="80" a="1"/>
  <c r="Y178" i="80" s="1"/>
  <c r="Y252" i="80" s="1" a="1"/>
  <c r="Y252" i="80" s="1"/>
  <c r="Y190" i="80" a="1"/>
  <c r="Y190" i="80" s="1"/>
  <c r="Y264" i="80" s="1" a="1"/>
  <c r="Y264" i="80" s="1"/>
  <c r="AA200" i="80" a="1"/>
  <c r="AA200" i="80" s="1"/>
  <c r="AA274" i="80" s="1" a="1"/>
  <c r="AA274" i="80" s="1"/>
  <c r="AA188" i="80" a="1"/>
  <c r="AA188" i="80" s="1"/>
  <c r="AA262" i="80" s="1" a="1"/>
  <c r="AA262" i="80" s="1"/>
  <c r="AE186" i="80" a="1"/>
  <c r="AE186" i="80" s="1"/>
  <c r="AE260" i="80" s="1" a="1"/>
  <c r="AE260" i="80" s="1"/>
  <c r="AE198" i="80" a="1"/>
  <c r="AE198" i="80" s="1"/>
  <c r="AE272" i="80" s="1" a="1"/>
  <c r="AE272" i="80" s="1"/>
  <c r="AF197" i="80" a="1"/>
  <c r="AF197" i="80" s="1"/>
  <c r="AF271" i="80" s="1" a="1"/>
  <c r="AF271" i="80" s="1"/>
  <c r="AF185" i="80" a="1"/>
  <c r="AF185" i="80" s="1"/>
  <c r="AF259" i="80" s="1" a="1"/>
  <c r="AF259" i="80" s="1"/>
  <c r="Y179" i="80" a="1"/>
  <c r="Y179" i="80" s="1"/>
  <c r="Y253" i="80" s="1" a="1"/>
  <c r="Y253" i="80" s="1"/>
  <c r="Y191" i="80" a="1"/>
  <c r="Y191" i="80" s="1"/>
  <c r="Y265" i="80" s="1" a="1"/>
  <c r="Y265" i="80" s="1"/>
  <c r="AF198" i="80" a="1"/>
  <c r="AF198" i="80" s="1"/>
  <c r="AF272" i="80" s="1" a="1"/>
  <c r="AF272" i="80" s="1"/>
  <c r="AF186" i="80" a="1"/>
  <c r="AF186" i="80" s="1"/>
  <c r="AF260" i="80" s="1" a="1"/>
  <c r="AF260" i="80" s="1"/>
  <c r="AF191" i="80" a="1"/>
  <c r="AF191" i="80" s="1"/>
  <c r="AF265" i="80" s="1" a="1"/>
  <c r="AF265" i="80" s="1"/>
  <c r="AF179" i="80" a="1"/>
  <c r="AF179" i="80" s="1"/>
  <c r="AF253" i="80" s="1" a="1"/>
  <c r="AF253" i="80" s="1"/>
  <c r="AC190" i="80" a="1"/>
  <c r="AC190" i="80" s="1"/>
  <c r="AC264" i="80" s="1" a="1"/>
  <c r="AC264" i="80" s="1"/>
  <c r="AC178" i="80" a="1"/>
  <c r="AC178" i="80" s="1"/>
  <c r="AC252" i="80" s="1" a="1"/>
  <c r="AC252" i="80" s="1"/>
  <c r="M184" i="80" a="1"/>
  <c r="M184" i="80" s="1"/>
  <c r="M242" i="80" s="1" a="1"/>
  <c r="M242" i="80" s="1"/>
  <c r="M180" i="80" a="1"/>
  <c r="M180" i="80" s="1"/>
  <c r="M238" i="80" s="1" a="1"/>
  <c r="M238" i="80" s="1"/>
  <c r="O180" i="80" a="1"/>
  <c r="O180" i="80" s="1"/>
  <c r="O238" i="80" s="1" a="1"/>
  <c r="O238" i="80" s="1"/>
  <c r="O184" i="80" a="1"/>
  <c r="O184" i="80" s="1"/>
  <c r="O242" i="80" s="1" a="1"/>
  <c r="O242" i="80" s="1"/>
  <c r="F18" i="13" a="1"/>
  <c r="F18" i="13" s="1"/>
  <c r="I18" i="13" s="1" a="1"/>
  <c r="I18" i="13" s="1"/>
  <c r="Q42" i="100"/>
  <c r="O45" i="100" s="1" a="1"/>
  <c r="O45" i="100" s="1"/>
  <c r="AB194" i="80" a="1"/>
  <c r="AB194" i="80" s="1"/>
  <c r="AB268" i="80" s="1" a="1"/>
  <c r="AB268" i="80" s="1"/>
  <c r="AB182" i="80" a="1"/>
  <c r="AB182" i="80" s="1"/>
  <c r="AB256" i="80" s="1" a="1"/>
  <c r="AB256" i="80" s="1"/>
  <c r="AH181" i="80" a="1"/>
  <c r="AH181" i="80" s="1"/>
  <c r="AH255" i="80" s="1" a="1"/>
  <c r="AH255" i="80" s="1"/>
  <c r="AH193" i="80" a="1"/>
  <c r="AH193" i="80" s="1"/>
  <c r="AH267" i="80" s="1" a="1"/>
  <c r="AH267" i="80" s="1"/>
  <c r="AF180" i="80" a="1"/>
  <c r="AF180" i="80" s="1"/>
  <c r="AF254" i="80" s="1" a="1"/>
  <c r="AF254" i="80" s="1"/>
  <c r="AF192" i="80" a="1"/>
  <c r="AF192" i="80" s="1"/>
  <c r="AF266" i="80" s="1" a="1"/>
  <c r="AF266" i="80" s="1"/>
  <c r="O182" i="80" a="1"/>
  <c r="O182" i="80" s="1"/>
  <c r="O240" i="80" s="1" a="1"/>
  <c r="O240" i="80" s="1"/>
  <c r="O178" i="80" a="1"/>
  <c r="O178" i="80" s="1"/>
  <c r="O236" i="80" s="1" a="1"/>
  <c r="O236" i="80" s="1"/>
  <c r="G181" i="80" a="1"/>
  <c r="G181" i="80" s="1"/>
  <c r="G239" i="80" s="1" a="1"/>
  <c r="G239" i="80" s="1"/>
  <c r="G177" i="80" a="1"/>
  <c r="G177" i="80" s="1"/>
  <c r="G235" i="80" s="1" a="1"/>
  <c r="G235" i="80" s="1"/>
  <c r="AB189" i="80" a="1"/>
  <c r="AB189" i="80" s="1"/>
  <c r="AB263" i="80" s="1" a="1"/>
  <c r="AB263" i="80" s="1"/>
  <c r="AB177" i="80" a="1"/>
  <c r="AB177" i="80" s="1"/>
  <c r="AB251" i="80" s="1" a="1"/>
  <c r="AB251" i="80" s="1"/>
  <c r="Z178" i="80" a="1"/>
  <c r="Z178" i="80" s="1"/>
  <c r="Z252" i="80" s="1" a="1"/>
  <c r="Z252" i="80" s="1"/>
  <c r="Z190" i="80" a="1"/>
  <c r="Z190" i="80" s="1"/>
  <c r="Z264" i="80" s="1" a="1"/>
  <c r="Z264" i="80" s="1"/>
  <c r="Y198" i="80" a="1"/>
  <c r="Y198" i="80" s="1"/>
  <c r="Y272" i="80" s="1" a="1"/>
  <c r="Y272" i="80" s="1"/>
  <c r="Y186" i="80" a="1"/>
  <c r="Y186" i="80" s="1"/>
  <c r="Y260" i="80" s="1" a="1"/>
  <c r="Y260" i="80" s="1"/>
  <c r="AB192" i="80" a="1"/>
  <c r="AB192" i="80" s="1"/>
  <c r="AB266" i="80" s="1" a="1"/>
  <c r="AB266" i="80" s="1"/>
  <c r="AB180" i="80" a="1"/>
  <c r="AB180" i="80" s="1"/>
  <c r="AB254" i="80" s="1" a="1"/>
  <c r="AB254" i="80" s="1"/>
  <c r="AC186" i="80" a="1"/>
  <c r="AC186" i="80" s="1"/>
  <c r="AC260" i="80" s="1" a="1"/>
  <c r="AC260" i="80" s="1"/>
  <c r="AC193" i="80" a="1"/>
  <c r="AC193" i="80" s="1"/>
  <c r="AC267" i="80" s="1" a="1"/>
  <c r="AC267" i="80" s="1"/>
  <c r="AC181" i="80" a="1"/>
  <c r="AC181" i="80" s="1"/>
  <c r="AC255" i="80" s="1" a="1"/>
  <c r="AC255" i="80" s="1"/>
  <c r="AF189" i="80" a="1"/>
  <c r="AF189" i="80" s="1"/>
  <c r="AF263" i="80" s="1" a="1"/>
  <c r="AF263" i="80" s="1"/>
  <c r="AF177" i="80" a="1"/>
  <c r="AF177" i="80" s="1"/>
  <c r="AF251" i="80" s="1" a="1"/>
  <c r="AF251" i="80" s="1"/>
  <c r="AE183" i="80" a="1"/>
  <c r="AE183" i="80" s="1"/>
  <c r="AE257" i="80" s="1" a="1"/>
  <c r="AE257" i="80" s="1"/>
  <c r="AE195" i="80" a="1"/>
  <c r="AE195" i="80" s="1"/>
  <c r="AE269" i="80" s="1" a="1"/>
  <c r="AE269" i="80" s="1"/>
  <c r="AE199" i="80" a="1"/>
  <c r="AE199" i="80" s="1"/>
  <c r="AE273" i="80" s="1" a="1"/>
  <c r="AE273" i="80" s="1"/>
  <c r="AE187" i="80" a="1"/>
  <c r="AE187" i="80" s="1"/>
  <c r="AE261" i="80" s="1" a="1"/>
  <c r="AE261" i="80" s="1"/>
  <c r="AG186" i="80" a="1"/>
  <c r="AG186" i="80" s="1"/>
  <c r="AG260" i="80" s="1" a="1"/>
  <c r="AG260" i="80" s="1"/>
  <c r="AG198" i="80" a="1"/>
  <c r="AG198" i="80" s="1"/>
  <c r="AG272" i="80" s="1" a="1"/>
  <c r="AG272" i="80" s="1"/>
  <c r="Y199" i="80" a="1"/>
  <c r="Y199" i="80" s="1"/>
  <c r="Y273" i="80" s="1" a="1"/>
  <c r="Y273" i="80" s="1"/>
  <c r="Y187" i="80" a="1"/>
  <c r="Y187" i="80" s="1"/>
  <c r="Y261" i="80" s="1" a="1"/>
  <c r="Y261" i="80" s="1"/>
  <c r="Z177" i="80" a="1"/>
  <c r="Z177" i="80" s="1"/>
  <c r="Z251" i="80" s="1" a="1"/>
  <c r="Z251" i="80" s="1"/>
  <c r="Z189" i="80" a="1"/>
  <c r="Z189" i="80" s="1"/>
  <c r="Z263" i="80" s="1" a="1"/>
  <c r="Z263" i="80" s="1"/>
  <c r="AA180" i="80" a="1"/>
  <c r="AA180" i="80" s="1"/>
  <c r="AA254" i="80" s="1" a="1"/>
  <c r="AA254" i="80" s="1"/>
  <c r="AA192" i="80" a="1"/>
  <c r="AA192" i="80" s="1"/>
  <c r="AA266" i="80" s="1" a="1"/>
  <c r="AA266" i="80" s="1"/>
  <c r="L182" i="80" a="1"/>
  <c r="L182" i="80" s="1"/>
  <c r="L240" i="80" s="1" a="1"/>
  <c r="L240" i="80" s="1"/>
  <c r="L178" i="80" a="1"/>
  <c r="L178" i="80" s="1"/>
  <c r="L236" i="80" s="1" a="1"/>
  <c r="L236" i="80" s="1"/>
  <c r="M178" i="80" a="1"/>
  <c r="M178" i="80" s="1"/>
  <c r="M236" i="80" s="1" a="1"/>
  <c r="M236" i="80" s="1"/>
  <c r="M182" i="80" a="1"/>
  <c r="M182" i="80" s="1"/>
  <c r="M240" i="80" s="1" a="1"/>
  <c r="M240" i="80" s="1"/>
  <c r="AH187" i="80" a="1"/>
  <c r="AH187" i="80" s="1"/>
  <c r="AH261" i="80" s="1" a="1"/>
  <c r="AH261" i="80" s="1"/>
  <c r="AH199" i="80" a="1"/>
  <c r="AH199" i="80" s="1"/>
  <c r="AH273" i="80" s="1" a="1"/>
  <c r="AH273" i="80" s="1"/>
  <c r="AE189" i="80" a="1"/>
  <c r="AE189" i="80" s="1"/>
  <c r="AE263" i="80" s="1" a="1"/>
  <c r="AE263" i="80" s="1"/>
  <c r="AE177" i="80" a="1"/>
  <c r="AE177" i="80" s="1"/>
  <c r="AE251" i="80" s="1" a="1"/>
  <c r="AE251" i="80" s="1"/>
  <c r="AD192" i="80" a="1"/>
  <c r="AD192" i="80" s="1"/>
  <c r="AD266" i="80" s="1" a="1"/>
  <c r="AD266" i="80" s="1"/>
  <c r="AD180" i="80" a="1"/>
  <c r="AD180" i="80" s="1"/>
  <c r="AD254" i="80" s="1" a="1"/>
  <c r="AD254" i="80" s="1"/>
  <c r="AH191" i="80" a="1"/>
  <c r="AH191" i="80" s="1"/>
  <c r="AH265" i="80" s="1" a="1"/>
  <c r="AH265" i="80" s="1"/>
  <c r="AH179" i="80" a="1"/>
  <c r="AH179" i="80" s="1"/>
  <c r="AH253" i="80" s="1" a="1"/>
  <c r="AH253" i="80" s="1"/>
  <c r="AA181" i="80" a="1"/>
  <c r="AA181" i="80" s="1"/>
  <c r="AA255" i="80" s="1" a="1"/>
  <c r="AA255" i="80" s="1"/>
  <c r="AA193" i="80" a="1"/>
  <c r="AA193" i="80" s="1"/>
  <c r="AA267" i="80" s="1" a="1"/>
  <c r="AA267" i="80" s="1"/>
  <c r="H178" i="80" a="1"/>
  <c r="H178" i="80" s="1"/>
  <c r="H236" i="80" s="1" a="1"/>
  <c r="H236" i="80" s="1"/>
  <c r="H182" i="80" a="1"/>
  <c r="H182" i="80" s="1"/>
  <c r="H240" i="80" s="1" a="1"/>
  <c r="H240" i="80" s="1"/>
  <c r="G180" i="80" a="1"/>
  <c r="G180" i="80" s="1"/>
  <c r="G238" i="80" s="1" a="1"/>
  <c r="G238" i="80" s="1"/>
  <c r="G184" i="80" a="1"/>
  <c r="G184" i="80" s="1"/>
  <c r="G242" i="80" s="1" a="1"/>
  <c r="G242" i="80" s="1"/>
  <c r="G42" i="100"/>
  <c r="E45" i="100" s="1" a="1"/>
  <c r="E45" i="100" s="1"/>
  <c r="E18" i="13" a="1"/>
  <c r="E18" i="13" s="1"/>
  <c r="H18" i="13" s="1" a="1"/>
  <c r="H18" i="13" s="1"/>
  <c r="AD182" i="80" a="1"/>
  <c r="AD182" i="80" s="1"/>
  <c r="AD256" i="80" s="1" a="1"/>
  <c r="AD256" i="80" s="1"/>
  <c r="AD194" i="80" a="1"/>
  <c r="AD194" i="80" s="1"/>
  <c r="AD268" i="80" s="1" a="1"/>
  <c r="AD268" i="80" s="1"/>
  <c r="AD187" i="80" a="1"/>
  <c r="AD187" i="80" s="1"/>
  <c r="AD261" i="80" s="1" a="1"/>
  <c r="AD261" i="80" s="1"/>
  <c r="AD199" i="80" a="1"/>
  <c r="AD199" i="80" s="1"/>
  <c r="AD273" i="80" s="1" a="1"/>
  <c r="AD273" i="80" s="1"/>
  <c r="AH190" i="80" a="1"/>
  <c r="AH190" i="80" s="1"/>
  <c r="AH264" i="80" s="1" a="1"/>
  <c r="AH264" i="80" s="1"/>
  <c r="AH178" i="80" a="1"/>
  <c r="AH178" i="80" s="1"/>
  <c r="AH252" i="80" s="1" a="1"/>
  <c r="AH252" i="80" s="1"/>
  <c r="AG200" i="80" a="1"/>
  <c r="AG200" i="80" s="1"/>
  <c r="AG274" i="80" s="1" a="1"/>
  <c r="AG274" i="80" s="1"/>
  <c r="AG188" i="80" a="1"/>
  <c r="AG188" i="80" s="1"/>
  <c r="AG262" i="80" s="1" a="1"/>
  <c r="AG262" i="80" s="1"/>
  <c r="AE190" i="80" a="1"/>
  <c r="AE190" i="80" s="1"/>
  <c r="AE264" i="80" s="1" a="1"/>
  <c r="AE264" i="80" s="1"/>
  <c r="AE178" i="80" a="1"/>
  <c r="AE178" i="80" s="1"/>
  <c r="AE252" i="80" s="1" a="1"/>
  <c r="AE252" i="80" s="1"/>
  <c r="Y189" i="80" a="1"/>
  <c r="Y189" i="80" s="1"/>
  <c r="Y263" i="80" s="1" a="1"/>
  <c r="Y263" i="80" s="1"/>
  <c r="Y177" i="80" a="1"/>
  <c r="Y177" i="80" s="1"/>
  <c r="Y251" i="80" s="1" a="1"/>
  <c r="Y251" i="80" s="1"/>
  <c r="AA197" i="80" a="1"/>
  <c r="AA197" i="80" s="1"/>
  <c r="AA271" i="80" s="1" a="1"/>
  <c r="AA271" i="80" s="1"/>
  <c r="AA185" i="80" a="1"/>
  <c r="AA185" i="80" s="1"/>
  <c r="AA259" i="80" s="1" a="1"/>
  <c r="AA259" i="80" s="1"/>
  <c r="Y188" i="80" a="1"/>
  <c r="Y188" i="80" s="1"/>
  <c r="Y262" i="80" s="1" a="1"/>
  <c r="Y262" i="80" s="1"/>
  <c r="Y200" i="80" a="1"/>
  <c r="Y200" i="80" s="1"/>
  <c r="Y274" i="80" s="1" a="1"/>
  <c r="Y274" i="80" s="1"/>
  <c r="AH195" i="80" a="1"/>
  <c r="AH195" i="80" s="1"/>
  <c r="AH269" i="80" s="1" a="1"/>
  <c r="AH269" i="80" s="1"/>
  <c r="AH183" i="80" a="1"/>
  <c r="AH183" i="80" s="1"/>
  <c r="AH257" i="80" s="1" a="1"/>
  <c r="AH257" i="80" s="1"/>
  <c r="AG187" i="80" a="1"/>
  <c r="AG187" i="80" s="1"/>
  <c r="AG261" i="80" s="1" a="1"/>
  <c r="AG261" i="80" s="1"/>
  <c r="AG199" i="80" a="1"/>
  <c r="AG199" i="80" s="1"/>
  <c r="AG273" i="80" s="1" a="1"/>
  <c r="AG273" i="80" s="1"/>
  <c r="AA198" i="80" a="1"/>
  <c r="AA198" i="80" s="1"/>
  <c r="AA272" i="80" s="1" a="1"/>
  <c r="AA272" i="80" s="1"/>
  <c r="AA186" i="80" a="1"/>
  <c r="AA186" i="80" s="1"/>
  <c r="AA260" i="80" s="1" a="1"/>
  <c r="AA260" i="80" s="1"/>
  <c r="M181" i="80" a="1"/>
  <c r="M181" i="80" s="1"/>
  <c r="M239" i="80" s="1" a="1"/>
  <c r="M239" i="80" s="1"/>
  <c r="M177" i="80" a="1"/>
  <c r="M177" i="80" s="1"/>
  <c r="M235" i="80" s="1" a="1"/>
  <c r="M235" i="80" s="1"/>
  <c r="G178" i="80" a="1"/>
  <c r="G178" i="80" s="1"/>
  <c r="G236" i="80" s="1" a="1"/>
  <c r="G236" i="80" s="1"/>
  <c r="G182" i="80" a="1"/>
  <c r="G182" i="80" s="1"/>
  <c r="G240" i="80" s="1" a="1"/>
  <c r="G240" i="80" s="1"/>
  <c r="H25" i="13" a="1"/>
  <c r="H25" i="13" s="1"/>
  <c r="H21" i="13" a="1"/>
  <c r="H21" i="13" s="1"/>
  <c r="F20" i="13"/>
  <c r="I20" i="13" s="1"/>
  <c r="H24" i="13" a="1"/>
  <c r="H24" i="13" s="1"/>
  <c r="H22" i="13" a="1"/>
  <c r="H22" i="13" s="1"/>
  <c r="H23" i="13"/>
  <c r="F23" i="13"/>
  <c r="I23" i="13" s="1"/>
  <c r="V45" i="85" l="1" a="1"/>
  <c r="V45" i="85" s="1"/>
  <c r="E244" i="80"/>
  <c r="G246" i="80" s="1"/>
  <c r="E249" i="80" s="1" a="1"/>
  <c r="E249" i="80" s="1"/>
  <c r="X276" i="80"/>
  <c r="Z278" i="80" s="1"/>
  <c r="X281" i="80" s="1" a="1"/>
  <c r="X281" i="80" s="1"/>
  <c r="P77" i="85" a="1"/>
  <c r="P77" i="85" s="1"/>
  <c r="N88" i="85" s="1"/>
  <c r="G130" i="77"/>
  <c r="E133" i="77" s="1" a="1"/>
  <c r="E133" i="77" s="1"/>
  <c r="E7" i="13" a="1"/>
  <c r="E7" i="13" s="1"/>
  <c r="H7" i="13" s="1" a="1"/>
  <c r="H7" i="13" s="1"/>
  <c r="G96" i="90"/>
  <c r="E99" i="90" s="1" a="1"/>
  <c r="E99" i="90" s="1"/>
  <c r="F17" i="13"/>
  <c r="I17" i="13" s="1" a="1"/>
  <c r="I17" i="13" s="1"/>
  <c r="E12" i="13" a="1"/>
  <c r="E12" i="13" s="1"/>
  <c r="H12" i="13" s="1" a="1"/>
  <c r="H12" i="13" s="1"/>
  <c r="G82" i="85"/>
  <c r="E85" i="85" s="1" a="1"/>
  <c r="E85" i="85" s="1"/>
  <c r="AC59" i="81"/>
  <c r="AC58" i="81"/>
  <c r="Y60" i="81"/>
  <c r="AC64" i="81"/>
  <c r="Z58" i="81"/>
  <c r="V63" i="81"/>
  <c r="X67" i="81"/>
  <c r="Z63" i="81"/>
  <c r="V57" i="81"/>
  <c r="Z57" i="81"/>
  <c r="AE65" i="81"/>
  <c r="Y58" i="81"/>
  <c r="AB58" i="81"/>
  <c r="AA66" i="81"/>
  <c r="AE59" i="81"/>
  <c r="Y56" i="81"/>
  <c r="Z66" i="81"/>
  <c r="AE60" i="81"/>
  <c r="AC67" i="81"/>
  <c r="W58" i="81"/>
  <c r="AB66" i="81"/>
  <c r="AA63" i="81"/>
  <c r="X66" i="81"/>
  <c r="AE63" i="81"/>
  <c r="Z65" i="81"/>
  <c r="AD66" i="81"/>
  <c r="AD64" i="81"/>
  <c r="W56" i="81"/>
  <c r="X63" i="81"/>
  <c r="AB67" i="81"/>
  <c r="AD60" i="81"/>
  <c r="V58" i="81"/>
  <c r="Y61" i="81"/>
  <c r="X62" i="81"/>
  <c r="AA56" i="81"/>
  <c r="Y67" i="81"/>
  <c r="AB64" i="81"/>
  <c r="W61" i="81"/>
  <c r="V66" i="81"/>
  <c r="AE58" i="81"/>
  <c r="X59" i="81"/>
  <c r="AE67" i="81"/>
  <c r="AA61" i="81"/>
  <c r="AC60" i="81"/>
  <c r="AB57" i="81"/>
  <c r="X58" i="81"/>
  <c r="X65" i="81"/>
  <c r="Y66" i="81"/>
  <c r="AE62" i="81"/>
  <c r="AC57" i="81"/>
  <c r="W62" i="81"/>
  <c r="AE64" i="81"/>
  <c r="AB65" i="81"/>
  <c r="V65" i="81"/>
  <c r="X61" i="81"/>
  <c r="X57" i="81"/>
  <c r="V67" i="81"/>
  <c r="AE61" i="81"/>
  <c r="AB63" i="81"/>
  <c r="W60" i="81"/>
  <c r="W64" i="81"/>
  <c r="AD56" i="81"/>
  <c r="AC62" i="81"/>
  <c r="X64" i="81"/>
  <c r="Y65" i="81"/>
  <c r="W65" i="81"/>
  <c r="AA64" i="81"/>
  <c r="AC66" i="81"/>
  <c r="V62" i="81"/>
  <c r="AD61" i="81"/>
  <c r="Z59" i="81"/>
  <c r="Z61" i="81"/>
  <c r="AA62" i="81"/>
  <c r="X56" i="81"/>
  <c r="V60" i="81"/>
  <c r="W63" i="81"/>
  <c r="AC56" i="81"/>
  <c r="H54" i="81"/>
  <c r="G54" i="81"/>
  <c r="J57" i="81"/>
  <c r="N54" i="81"/>
  <c r="I56" i="81"/>
  <c r="I55" i="81"/>
  <c r="L57" i="81"/>
  <c r="E55" i="81"/>
  <c r="E56" i="81"/>
  <c r="E57" i="81"/>
  <c r="M55" i="81"/>
  <c r="F55" i="81"/>
  <c r="H56" i="81"/>
  <c r="M54" i="81"/>
  <c r="N57" i="81"/>
  <c r="N55" i="81"/>
  <c r="L54" i="81"/>
  <c r="I54" i="81"/>
  <c r="M56" i="81"/>
  <c r="H57" i="81"/>
  <c r="F54" i="81"/>
  <c r="L55" i="81"/>
  <c r="J54" i="81"/>
  <c r="J55" i="81"/>
  <c r="G55" i="81"/>
  <c r="L56" i="81"/>
  <c r="N56" i="81"/>
  <c r="I57" i="81"/>
  <c r="F57" i="81"/>
  <c r="H55" i="81"/>
  <c r="M57" i="81"/>
  <c r="K54" i="81"/>
  <c r="K56" i="81"/>
  <c r="F56" i="81"/>
  <c r="F12" i="13" l="1" a="1"/>
  <c r="F12" i="13" s="1"/>
  <c r="I12" i="13" s="1" a="1"/>
  <c r="I12" i="13" s="1"/>
  <c r="P90" i="85"/>
  <c r="N93" i="85" s="1" a="1"/>
  <c r="N93" i="85" s="1"/>
  <c r="G63" i="81" a="1"/>
  <c r="G63" i="81" s="1"/>
  <c r="G128" i="81" s="1" a="1"/>
  <c r="G128" i="81" s="1"/>
  <c r="G170" i="81" s="1" a="1"/>
  <c r="G170" i="81" s="1"/>
  <c r="G208" i="81" s="1" a="1"/>
  <c r="G208" i="81" s="1"/>
  <c r="I65" i="81" a="1"/>
  <c r="I65" i="81" s="1"/>
  <c r="I130" i="81" s="1" a="1"/>
  <c r="I130" i="81" s="1"/>
  <c r="I172" i="81" s="1" a="1"/>
  <c r="I172" i="81" s="1"/>
  <c r="I210" i="81" s="1" a="1"/>
  <c r="I210" i="81" s="1"/>
  <c r="L62" i="81" a="1"/>
  <c r="L62" i="81" s="1"/>
  <c r="L127" i="81" s="1" a="1"/>
  <c r="L127" i="81" s="1"/>
  <c r="L169" i="81" s="1" a="1"/>
  <c r="L169" i="81" s="1"/>
  <c r="L207" i="81" s="1" a="1"/>
  <c r="L207" i="81" s="1"/>
  <c r="I64" i="81" a="1"/>
  <c r="I64" i="81" s="1"/>
  <c r="I129" i="81" s="1" a="1"/>
  <c r="I129" i="81" s="1"/>
  <c r="I171" i="81" s="1" a="1"/>
  <c r="I171" i="81" s="1"/>
  <c r="I209" i="81" s="1" a="1"/>
  <c r="I209" i="81" s="1"/>
  <c r="AB59" i="81"/>
  <c r="AC82" i="81" a="1"/>
  <c r="AC82" i="81" s="1"/>
  <c r="AC146" i="81" s="1" a="1"/>
  <c r="AC146" i="81" s="1"/>
  <c r="AC206" i="81" s="1" a="1"/>
  <c r="AC206" i="81" s="1"/>
  <c r="AC258" i="81" s="1" a="1"/>
  <c r="AC258" i="81" s="1"/>
  <c r="X60" i="81"/>
  <c r="Z67" i="81"/>
  <c r="AC76" i="81" a="1"/>
  <c r="AC76" i="81" s="1"/>
  <c r="AC140" i="81" s="1" a="1"/>
  <c r="AC140" i="81" s="1"/>
  <c r="AC200" i="81" s="1" a="1"/>
  <c r="AC200" i="81" s="1"/>
  <c r="AC252" i="81" s="1" a="1"/>
  <c r="AC252" i="81" s="1"/>
  <c r="AA72" i="81" a="1"/>
  <c r="AA72" i="81" s="1"/>
  <c r="AA136" i="81" s="1" a="1"/>
  <c r="AA136" i="81" s="1"/>
  <c r="AA196" i="81" s="1" a="1"/>
  <c r="AA196" i="81" s="1"/>
  <c r="AA248" i="81" s="1" a="1"/>
  <c r="AA248" i="81" s="1"/>
  <c r="Z81" i="81" a="1"/>
  <c r="Z81" i="81" s="1"/>
  <c r="Z145" i="81" s="1" a="1"/>
  <c r="Z145" i="81" s="1"/>
  <c r="Z205" i="81" s="1" a="1"/>
  <c r="Z205" i="81" s="1"/>
  <c r="Z257" i="81" s="1" a="1"/>
  <c r="Z257" i="81" s="1"/>
  <c r="AE75" i="81" a="1"/>
  <c r="AE75" i="81" s="1"/>
  <c r="AE139" i="81" s="1" a="1"/>
  <c r="AE139" i="81" s="1"/>
  <c r="AE199" i="81" s="1" a="1"/>
  <c r="AE199" i="81" s="1"/>
  <c r="AE251" i="81" s="1" a="1"/>
  <c r="AE251" i="81" s="1"/>
  <c r="X83" i="81" a="1"/>
  <c r="X83" i="81" s="1"/>
  <c r="X147" i="81" s="1" a="1"/>
  <c r="X147" i="81" s="1"/>
  <c r="X207" i="81" s="1" a="1"/>
  <c r="X207" i="81" s="1"/>
  <c r="X259" i="81" s="1" a="1"/>
  <c r="X259" i="81" s="1"/>
  <c r="AD63" i="81"/>
  <c r="X78" i="81" a="1"/>
  <c r="X78" i="81" s="1"/>
  <c r="X142" i="81" s="1" a="1"/>
  <c r="X142" i="81" s="1"/>
  <c r="X202" i="81" s="1" a="1"/>
  <c r="X202" i="81" s="1"/>
  <c r="X254" i="81" s="1" a="1"/>
  <c r="X254" i="81" s="1"/>
  <c r="Y62" i="81"/>
  <c r="AA82" i="81" a="1"/>
  <c r="AA82" i="81" s="1"/>
  <c r="AA146" i="81" s="1" a="1"/>
  <c r="AA146" i="81" s="1"/>
  <c r="AA206" i="81" s="1" a="1"/>
  <c r="AA206" i="81" s="1"/>
  <c r="AA258" i="81" s="1" a="1"/>
  <c r="AA258" i="81" s="1"/>
  <c r="M62" i="81" a="1"/>
  <c r="M62" i="81" s="1"/>
  <c r="M127" i="81" s="1" a="1"/>
  <c r="M127" i="81" s="1"/>
  <c r="M169" i="81" s="1" a="1"/>
  <c r="M169" i="81" s="1"/>
  <c r="M207" i="81" s="1" a="1"/>
  <c r="M207" i="81" s="1"/>
  <c r="W76" i="81" a="1"/>
  <c r="W76" i="81" s="1"/>
  <c r="W140" i="81" s="1" a="1"/>
  <c r="W140" i="81" s="1"/>
  <c r="W200" i="81" s="1" a="1"/>
  <c r="W200" i="81" s="1"/>
  <c r="W252" i="81" s="1" a="1"/>
  <c r="W252" i="81" s="1"/>
  <c r="N64" i="81" a="1"/>
  <c r="N64" i="81" s="1"/>
  <c r="N129" i="81" s="1" a="1"/>
  <c r="N129" i="81" s="1"/>
  <c r="N171" i="81" s="1" a="1"/>
  <c r="N171" i="81" s="1"/>
  <c r="N209" i="81" s="1" a="1"/>
  <c r="N209" i="81" s="1"/>
  <c r="N63" i="81" a="1"/>
  <c r="N63" i="81" s="1"/>
  <c r="N128" i="81" s="1" a="1"/>
  <c r="N128" i="81" s="1"/>
  <c r="N170" i="81" s="1" a="1"/>
  <c r="N170" i="81" s="1"/>
  <c r="N208" i="81" s="1" a="1"/>
  <c r="N208" i="81" s="1"/>
  <c r="N62" i="81" a="1"/>
  <c r="N62" i="81" s="1"/>
  <c r="N127" i="81" s="1" a="1"/>
  <c r="N127" i="81" s="1"/>
  <c r="N169" i="81" s="1" a="1"/>
  <c r="N169" i="81" s="1"/>
  <c r="N207" i="81" s="1" a="1"/>
  <c r="N207" i="81" s="1"/>
  <c r="W57" i="81"/>
  <c r="AA80" i="81" a="1"/>
  <c r="AA80" i="81" s="1"/>
  <c r="AA144" i="81" s="1" a="1"/>
  <c r="AA144" i="81" s="1"/>
  <c r="AA204" i="81" s="1" a="1"/>
  <c r="AA204" i="81" s="1"/>
  <c r="AA256" i="81" s="1" a="1"/>
  <c r="AA256" i="81" s="1"/>
  <c r="V61" i="81"/>
  <c r="AA57" i="81"/>
  <c r="L64" i="81" a="1"/>
  <c r="L64" i="81" s="1"/>
  <c r="L129" i="81" s="1" a="1"/>
  <c r="L129" i="81" s="1"/>
  <c r="L171" i="81" s="1" a="1"/>
  <c r="L171" i="81" s="1"/>
  <c r="L209" i="81" s="1" a="1"/>
  <c r="L209" i="81" s="1"/>
  <c r="N65" i="81" a="1"/>
  <c r="N65" i="81" s="1"/>
  <c r="N130" i="81" s="1" a="1"/>
  <c r="N130" i="81" s="1"/>
  <c r="N172" i="81" s="1" a="1"/>
  <c r="N172" i="81" s="1"/>
  <c r="N210" i="81" s="1" a="1"/>
  <c r="N210" i="81" s="1"/>
  <c r="W66" i="81"/>
  <c r="W81" i="81" a="1"/>
  <c r="W81" i="81" s="1"/>
  <c r="W145" i="81" s="1" a="1"/>
  <c r="W145" i="81" s="1"/>
  <c r="W205" i="81" s="1" a="1"/>
  <c r="W205" i="81" s="1"/>
  <c r="W257" i="81" s="1" a="1"/>
  <c r="W257" i="81" s="1"/>
  <c r="W80" i="81" a="1"/>
  <c r="W80" i="81" s="1"/>
  <c r="W144" i="81" s="1" a="1"/>
  <c r="W144" i="81" s="1"/>
  <c r="W204" i="81" s="1" a="1"/>
  <c r="W204" i="81" s="1"/>
  <c r="W256" i="81" s="1" a="1"/>
  <c r="W256" i="81" s="1"/>
  <c r="AE80" i="81" a="1"/>
  <c r="AE80" i="81" s="1"/>
  <c r="AE144" i="81" s="1" a="1"/>
  <c r="AE144" i="81" s="1"/>
  <c r="AE204" i="81" s="1" a="1"/>
  <c r="AE204" i="81" s="1"/>
  <c r="AE256" i="81" s="1" a="1"/>
  <c r="AE256" i="81" s="1"/>
  <c r="AB61" i="81"/>
  <c r="AD57" i="81"/>
  <c r="AE79" i="81" a="1"/>
  <c r="AE79" i="81" s="1"/>
  <c r="AE143" i="81" s="1" a="1"/>
  <c r="AE143" i="81" s="1"/>
  <c r="AE203" i="81" s="1" a="1"/>
  <c r="AE203" i="81" s="1"/>
  <c r="AE255" i="81" s="1" a="1"/>
  <c r="AE255" i="81" s="1"/>
  <c r="AA58" i="81"/>
  <c r="V79" i="81" a="1"/>
  <c r="V79" i="81" s="1"/>
  <c r="V143" i="81" s="1" a="1"/>
  <c r="V143" i="81" s="1"/>
  <c r="V203" i="81" s="1" a="1"/>
  <c r="V203" i="81" s="1"/>
  <c r="V255" i="81" s="1" a="1"/>
  <c r="V255" i="81" s="1"/>
  <c r="AB62" i="81"/>
  <c r="Z74" i="81" a="1"/>
  <c r="Z74" i="81" s="1"/>
  <c r="Z138" i="81" s="1" a="1"/>
  <c r="Z138" i="81" s="1"/>
  <c r="Z198" i="81" s="1" a="1"/>
  <c r="Z198" i="81" s="1"/>
  <c r="Z250" i="81" s="1" a="1"/>
  <c r="Z250" i="81" s="1"/>
  <c r="AB60" i="81"/>
  <c r="J56" i="81"/>
  <c r="AC61" i="81"/>
  <c r="AB74" i="81" a="1"/>
  <c r="AB74" i="81" s="1"/>
  <c r="AB138" i="81" s="1" a="1"/>
  <c r="AB138" i="81" s="1"/>
  <c r="AB198" i="81" s="1" a="1"/>
  <c r="AB198" i="81" s="1"/>
  <c r="AB250" i="81" s="1" a="1"/>
  <c r="AB250" i="81" s="1"/>
  <c r="J65" i="81" a="1"/>
  <c r="J65" i="81" s="1"/>
  <c r="J130" i="81" s="1" a="1"/>
  <c r="J130" i="81" s="1"/>
  <c r="J172" i="81" s="1" a="1"/>
  <c r="J172" i="81" s="1"/>
  <c r="J210" i="81" s="1" a="1"/>
  <c r="J210" i="81" s="1"/>
  <c r="V64" i="81"/>
  <c r="V74" i="81" a="1"/>
  <c r="V74" i="81" s="1"/>
  <c r="V138" i="81" s="1" a="1"/>
  <c r="V138" i="81" s="1"/>
  <c r="V198" i="81" s="1" a="1"/>
  <c r="V198" i="81" s="1"/>
  <c r="V250" i="81" s="1" a="1"/>
  <c r="V250" i="81" s="1"/>
  <c r="E54" i="81"/>
  <c r="K55" i="81"/>
  <c r="AE57" i="81"/>
  <c r="AC73" i="81" a="1"/>
  <c r="AC73" i="81" s="1"/>
  <c r="AC137" i="81" s="1" a="1"/>
  <c r="AC137" i="81" s="1"/>
  <c r="AC197" i="81" s="1" a="1"/>
  <c r="AC197" i="81" s="1"/>
  <c r="AC249" i="81" s="1" a="1"/>
  <c r="AC249" i="81" s="1"/>
  <c r="AA79" i="81" a="1"/>
  <c r="AA79" i="81" s="1"/>
  <c r="AA143" i="81" s="1" a="1"/>
  <c r="AA143" i="81" s="1"/>
  <c r="AA203" i="81" s="1" a="1"/>
  <c r="AA203" i="81" s="1"/>
  <c r="AA255" i="81" s="1" a="1"/>
  <c r="AA255" i="81" s="1"/>
  <c r="J62" i="81" a="1"/>
  <c r="J62" i="81" s="1"/>
  <c r="J127" i="81" s="1" a="1"/>
  <c r="J127" i="81" s="1"/>
  <c r="J169" i="81" s="1" a="1"/>
  <c r="J169" i="81" s="1"/>
  <c r="J207" i="81" s="1" a="1"/>
  <c r="J207" i="81" s="1"/>
  <c r="M63" i="81" a="1"/>
  <c r="M63" i="81" s="1"/>
  <c r="M128" i="81" s="1" a="1"/>
  <c r="M128" i="81" s="1"/>
  <c r="M170" i="81" s="1" a="1"/>
  <c r="M170" i="81" s="1"/>
  <c r="M208" i="81" s="1" a="1"/>
  <c r="M208" i="81" s="1"/>
  <c r="G62" i="81" a="1"/>
  <c r="G62" i="81" s="1"/>
  <c r="G127" i="81" s="1" a="1"/>
  <c r="G127" i="81" s="1"/>
  <c r="G169" i="81" s="1" a="1"/>
  <c r="G169" i="81" s="1"/>
  <c r="G207" i="81" s="1" a="1"/>
  <c r="G207" i="81" s="1"/>
  <c r="AA78" i="81" a="1"/>
  <c r="AA78" i="81" s="1"/>
  <c r="AA142" i="81" s="1" a="1"/>
  <c r="AA142" i="81" s="1"/>
  <c r="AA202" i="81" s="1" a="1"/>
  <c r="AA202" i="81" s="1"/>
  <c r="AA254" i="81" s="1" a="1"/>
  <c r="AA254" i="81" s="1"/>
  <c r="X80" i="81" a="1"/>
  <c r="X80" i="81" s="1"/>
  <c r="X144" i="81" s="1" a="1"/>
  <c r="X144" i="81" s="1"/>
  <c r="X204" i="81" s="1" a="1"/>
  <c r="X204" i="81" s="1"/>
  <c r="X256" i="81" s="1" a="1"/>
  <c r="X256" i="81" s="1"/>
  <c r="AE77" i="81" a="1"/>
  <c r="AE77" i="81" s="1"/>
  <c r="AE141" i="81" s="1" a="1"/>
  <c r="AE141" i="81" s="1"/>
  <c r="AE201" i="81" s="1" a="1"/>
  <c r="AE201" i="81" s="1"/>
  <c r="AE253" i="81" s="1" a="1"/>
  <c r="AE253" i="81" s="1"/>
  <c r="AE78" i="81" a="1"/>
  <c r="AE78" i="81" s="1"/>
  <c r="AE142" i="81" s="1" a="1"/>
  <c r="AE142" i="81" s="1"/>
  <c r="AE202" i="81" s="1" a="1"/>
  <c r="AE202" i="81" s="1"/>
  <c r="AE254" i="81" s="1" a="1"/>
  <c r="AE254" i="81" s="1"/>
  <c r="X75" i="81" a="1"/>
  <c r="X75" i="81" s="1"/>
  <c r="X139" i="81" s="1" a="1"/>
  <c r="X139" i="81" s="1"/>
  <c r="X199" i="81" s="1" a="1"/>
  <c r="X199" i="81" s="1"/>
  <c r="X251" i="81" s="1" a="1"/>
  <c r="X251" i="81" s="1"/>
  <c r="AD58" i="81"/>
  <c r="Y57" i="81"/>
  <c r="AE81" i="81" a="1"/>
  <c r="AE81" i="81" s="1"/>
  <c r="AE145" i="81" s="1" a="1"/>
  <c r="AE145" i="81" s="1"/>
  <c r="AE205" i="81" s="1" a="1"/>
  <c r="AE205" i="81" s="1"/>
  <c r="AE257" i="81" s="1" a="1"/>
  <c r="AE257" i="81" s="1"/>
  <c r="AC80" i="81" a="1"/>
  <c r="AC80" i="81" s="1"/>
  <c r="AC144" i="81" s="1" a="1"/>
  <c r="AC144" i="81" s="1"/>
  <c r="AC204" i="81" s="1" a="1"/>
  <c r="AC204" i="81" s="1"/>
  <c r="AC256" i="81" s="1" a="1"/>
  <c r="AC256" i="81" s="1"/>
  <c r="AE83" i="81" a="1"/>
  <c r="AE83" i="81" s="1"/>
  <c r="AE147" i="81" s="1" a="1"/>
  <c r="AE147" i="81" s="1"/>
  <c r="AE207" i="81" s="1" a="1"/>
  <c r="AE207" i="81" s="1"/>
  <c r="AE259" i="81" s="1" a="1"/>
  <c r="AE259" i="81" s="1"/>
  <c r="L63" i="81" a="1"/>
  <c r="L63" i="81" s="1"/>
  <c r="L128" i="81" s="1" a="1"/>
  <c r="L128" i="81" s="1"/>
  <c r="L170" i="81" s="1" a="1"/>
  <c r="L170" i="81" s="1"/>
  <c r="L208" i="81" s="1" a="1"/>
  <c r="L208" i="81" s="1"/>
  <c r="H62" i="81" a="1"/>
  <c r="H62" i="81" s="1"/>
  <c r="H127" i="81" s="1" a="1"/>
  <c r="H127" i="81" s="1"/>
  <c r="H169" i="81" s="1" a="1"/>
  <c r="H169" i="81" s="1"/>
  <c r="H207" i="81" s="1" a="1"/>
  <c r="H207" i="81" s="1"/>
  <c r="AB56" i="81"/>
  <c r="Y82" i="81" a="1"/>
  <c r="Y82" i="81" s="1"/>
  <c r="Y146" i="81" s="1" a="1"/>
  <c r="Y146" i="81" s="1"/>
  <c r="Y206" i="81" s="1" a="1"/>
  <c r="Y206" i="81" s="1"/>
  <c r="Y258" i="81" s="1" a="1"/>
  <c r="Y258" i="81" s="1"/>
  <c r="AE74" i="81" a="1"/>
  <c r="AE74" i="81" s="1"/>
  <c r="AE138" i="81" s="1" a="1"/>
  <c r="AE138" i="81" s="1"/>
  <c r="AE198" i="81" s="1" a="1"/>
  <c r="AE198" i="81" s="1"/>
  <c r="AE250" i="81" s="1" a="1"/>
  <c r="AE250" i="81" s="1"/>
  <c r="AB83" i="81" a="1"/>
  <c r="AB83" i="81" s="1"/>
  <c r="AB147" i="81" s="1" a="1"/>
  <c r="AB147" i="81" s="1"/>
  <c r="AB207" i="81" s="1" a="1"/>
  <c r="AB207" i="81" s="1"/>
  <c r="AB259" i="81" s="1" a="1"/>
  <c r="AB259" i="81" s="1"/>
  <c r="AB82" i="81" a="1"/>
  <c r="AB82" i="81" s="1"/>
  <c r="AB146" i="81" s="1" a="1"/>
  <c r="AB146" i="81" s="1"/>
  <c r="AB206" i="81" s="1" a="1"/>
  <c r="AB206" i="81" s="1"/>
  <c r="AB258" i="81" s="1" a="1"/>
  <c r="AB258" i="81" s="1"/>
  <c r="V76" i="81" a="1"/>
  <c r="V76" i="81" s="1"/>
  <c r="V140" i="81" s="1" a="1"/>
  <c r="V140" i="81" s="1"/>
  <c r="V200" i="81" s="1" a="1"/>
  <c r="V200" i="81" s="1"/>
  <c r="V252" i="81" s="1" a="1"/>
  <c r="V252" i="81" s="1"/>
  <c r="AE56" i="81"/>
  <c r="AA60" i="81"/>
  <c r="W78" i="81" a="1"/>
  <c r="W78" i="81" s="1"/>
  <c r="W142" i="81" s="1" a="1"/>
  <c r="W142" i="81" s="1"/>
  <c r="W202" i="81" s="1" a="1"/>
  <c r="W202" i="81" s="1"/>
  <c r="W254" i="81" s="1" a="1"/>
  <c r="W254" i="81" s="1"/>
  <c r="X82" i="81" a="1"/>
  <c r="X82" i="81" s="1"/>
  <c r="X146" i="81" s="1" a="1"/>
  <c r="X146" i="81" s="1"/>
  <c r="X206" i="81" s="1" a="1"/>
  <c r="X206" i="81" s="1"/>
  <c r="X258" i="81" s="1" a="1"/>
  <c r="X258" i="81" s="1"/>
  <c r="Y74" i="81" a="1"/>
  <c r="Y74" i="81" s="1"/>
  <c r="Y138" i="81" s="1" a="1"/>
  <c r="Y138" i="81" s="1"/>
  <c r="Y198" i="81" s="1" a="1"/>
  <c r="Y198" i="81" s="1"/>
  <c r="Y250" i="81" s="1" a="1"/>
  <c r="Y250" i="81" s="1"/>
  <c r="F63" i="81" a="1"/>
  <c r="F63" i="81" s="1"/>
  <c r="F128" i="81" s="1" a="1"/>
  <c r="F128" i="81" s="1"/>
  <c r="F170" i="81" s="1" a="1"/>
  <c r="F170" i="81" s="1"/>
  <c r="F208" i="81" s="1" a="1"/>
  <c r="F208" i="81" s="1"/>
  <c r="AB79" i="81" a="1"/>
  <c r="AB79" i="81" s="1"/>
  <c r="AB143" i="81" s="1" a="1"/>
  <c r="AB143" i="81" s="1"/>
  <c r="AB203" i="81" s="1" a="1"/>
  <c r="AB203" i="81" s="1"/>
  <c r="AB255" i="81" s="1" a="1"/>
  <c r="AB255" i="81" s="1"/>
  <c r="AD76" i="81" a="1"/>
  <c r="AD76" i="81" s="1"/>
  <c r="AD140" i="81" s="1" a="1"/>
  <c r="AD140" i="81" s="1"/>
  <c r="AD200" i="81" s="1" a="1"/>
  <c r="AD200" i="81" s="1"/>
  <c r="AD252" i="81" s="1" a="1"/>
  <c r="AD252" i="81" s="1"/>
  <c r="G56" i="81"/>
  <c r="K57" i="81"/>
  <c r="Z77" i="81" a="1"/>
  <c r="Z77" i="81" s="1"/>
  <c r="Z141" i="81" s="1" a="1"/>
  <c r="Z141" i="81" s="1"/>
  <c r="Z201" i="81" s="1" a="1"/>
  <c r="Z201" i="81" s="1"/>
  <c r="Z253" i="81" s="1" a="1"/>
  <c r="Z253" i="81" s="1"/>
  <c r="V83" i="81" a="1"/>
  <c r="V83" i="81" s="1"/>
  <c r="V147" i="81" s="1" a="1"/>
  <c r="V147" i="81" s="1"/>
  <c r="V207" i="81" s="1" a="1"/>
  <c r="V207" i="81" s="1"/>
  <c r="V259" i="81" s="1" a="1"/>
  <c r="V259" i="81" s="1"/>
  <c r="F64" i="81" a="1"/>
  <c r="F64" i="81" s="1"/>
  <c r="F129" i="81" s="1" a="1"/>
  <c r="F129" i="81" s="1"/>
  <c r="F171" i="81" s="1" a="1"/>
  <c r="F171" i="81" s="1"/>
  <c r="F209" i="81" s="1" a="1"/>
  <c r="F209" i="81" s="1"/>
  <c r="F62" i="81" a="1"/>
  <c r="F62" i="81" s="1"/>
  <c r="F127" i="81" s="1" a="1"/>
  <c r="F127" i="81" s="1"/>
  <c r="F169" i="81" s="1" a="1"/>
  <c r="F169" i="81" s="1"/>
  <c r="F207" i="81" s="1" a="1"/>
  <c r="F207" i="81" s="1"/>
  <c r="E65" i="81" a="1"/>
  <c r="E65" i="81" s="1"/>
  <c r="E130" i="81" s="1" a="1"/>
  <c r="E130" i="81" s="1"/>
  <c r="E172" i="81" s="1" a="1"/>
  <c r="E172" i="81" s="1"/>
  <c r="E210" i="81" s="1" a="1"/>
  <c r="E210" i="81" s="1"/>
  <c r="AC63" i="81"/>
  <c r="AC65" i="81"/>
  <c r="AD59" i="81"/>
  <c r="X73" i="81" a="1"/>
  <c r="X73" i="81" s="1"/>
  <c r="X137" i="81" s="1" a="1"/>
  <c r="X137" i="81" s="1"/>
  <c r="X197" i="81" s="1" a="1"/>
  <c r="X197" i="81" s="1"/>
  <c r="X249" i="81" s="1" a="1"/>
  <c r="X249" i="81" s="1"/>
  <c r="X81" i="81" a="1"/>
  <c r="X81" i="81" s="1"/>
  <c r="X145" i="81" s="1" a="1"/>
  <c r="X145" i="81" s="1"/>
  <c r="X205" i="81" s="1" a="1"/>
  <c r="X205" i="81" s="1"/>
  <c r="X257" i="81" s="1" a="1"/>
  <c r="X257" i="81" s="1"/>
  <c r="Y64" i="81"/>
  <c r="Y59" i="81"/>
  <c r="W74" i="81" a="1"/>
  <c r="W74" i="81" s="1"/>
  <c r="W138" i="81" s="1" a="1"/>
  <c r="W138" i="81" s="1"/>
  <c r="W198" i="81" s="1" a="1"/>
  <c r="W198" i="81" s="1"/>
  <c r="W250" i="81" s="1" a="1"/>
  <c r="W250" i="81" s="1"/>
  <c r="Z73" i="81" a="1"/>
  <c r="Z73" i="81" s="1"/>
  <c r="Z137" i="81" s="1" a="1"/>
  <c r="Z137" i="81" s="1"/>
  <c r="Z197" i="81" s="1" a="1"/>
  <c r="Z197" i="81" s="1"/>
  <c r="Z249" i="81" s="1" a="1"/>
  <c r="Z249" i="81" s="1"/>
  <c r="Y76" i="81" a="1"/>
  <c r="Y76" i="81" s="1"/>
  <c r="Y140" i="81" s="1" a="1"/>
  <c r="Y140" i="81" s="1"/>
  <c r="Y200" i="81" s="1" a="1"/>
  <c r="Y200" i="81" s="1"/>
  <c r="Y252" i="81" s="1" a="1"/>
  <c r="Y252" i="81" s="1"/>
  <c r="H65" i="81" a="1"/>
  <c r="H65" i="81" s="1"/>
  <c r="H130" i="81" s="1" a="1"/>
  <c r="H130" i="81" s="1"/>
  <c r="H172" i="81" s="1" a="1"/>
  <c r="H172" i="81" s="1"/>
  <c r="H210" i="81" s="1" a="1"/>
  <c r="H210" i="81" s="1"/>
  <c r="E64" i="81" a="1"/>
  <c r="E64" i="81" s="1"/>
  <c r="E129" i="81" s="1" a="1"/>
  <c r="E129" i="81" s="1"/>
  <c r="E171" i="81" s="1" a="1"/>
  <c r="E171" i="81" s="1"/>
  <c r="E209" i="81" s="1" a="1"/>
  <c r="E209" i="81" s="1"/>
  <c r="V59" i="81"/>
  <c r="Z75" i="81" a="1"/>
  <c r="Z75" i="81" s="1"/>
  <c r="Z139" i="81" s="1" a="1"/>
  <c r="Z139" i="81" s="1"/>
  <c r="Z199" i="81" s="1" a="1"/>
  <c r="Z199" i="81" s="1"/>
  <c r="Z251" i="81" s="1" a="1"/>
  <c r="Z251" i="81" s="1"/>
  <c r="AC78" i="81" a="1"/>
  <c r="AC78" i="81" s="1"/>
  <c r="AC142" i="81" s="1" a="1"/>
  <c r="AC142" i="81" s="1"/>
  <c r="AC202" i="81" s="1" a="1"/>
  <c r="AC202" i="81" s="1"/>
  <c r="AC254" i="81" s="1" a="1"/>
  <c r="AC254" i="81" s="1"/>
  <c r="X77" i="81" a="1"/>
  <c r="X77" i="81" s="1"/>
  <c r="X141" i="81" s="1" a="1"/>
  <c r="X141" i="81" s="1"/>
  <c r="X201" i="81" s="1" a="1"/>
  <c r="X201" i="81" s="1"/>
  <c r="X253" i="81" s="1" a="1"/>
  <c r="X253" i="81" s="1"/>
  <c r="V82" i="81" a="1"/>
  <c r="V82" i="81" s="1"/>
  <c r="V146" i="81" s="1" a="1"/>
  <c r="V146" i="81" s="1"/>
  <c r="V206" i="81" s="1" a="1"/>
  <c r="V206" i="81" s="1"/>
  <c r="V258" i="81" s="1" a="1"/>
  <c r="V258" i="81" s="1"/>
  <c r="X79" i="81" a="1"/>
  <c r="X79" i="81" s="1"/>
  <c r="X143" i="81" s="1" a="1"/>
  <c r="X143" i="81" s="1"/>
  <c r="X203" i="81" s="1" a="1"/>
  <c r="X203" i="81" s="1"/>
  <c r="X255" i="81" s="1" a="1"/>
  <c r="X255" i="81" s="1"/>
  <c r="W59" i="81"/>
  <c r="K62" i="81" a="1"/>
  <c r="K62" i="81" s="1"/>
  <c r="K127" i="81" s="1" a="1"/>
  <c r="K127" i="81" s="1"/>
  <c r="K169" i="81" s="1" a="1"/>
  <c r="K169" i="81" s="1"/>
  <c r="K207" i="81" s="1" a="1"/>
  <c r="K207" i="81" s="1"/>
  <c r="M64" i="81" a="1"/>
  <c r="M64" i="81" s="1"/>
  <c r="M129" i="81" s="1" a="1"/>
  <c r="M129" i="81" s="1"/>
  <c r="M171" i="81" s="1" a="1"/>
  <c r="M171" i="81" s="1"/>
  <c r="M209" i="81" s="1" a="1"/>
  <c r="M209" i="81" s="1"/>
  <c r="G57" i="81"/>
  <c r="AD62" i="81"/>
  <c r="AA67" i="81"/>
  <c r="AD65" i="81"/>
  <c r="Y63" i="81"/>
  <c r="Z64" i="81"/>
  <c r="W77" i="81" a="1"/>
  <c r="W77" i="81" s="1"/>
  <c r="W141" i="81" s="1" a="1"/>
  <c r="W141" i="81" s="1"/>
  <c r="W201" i="81" s="1" a="1"/>
  <c r="W201" i="81" s="1"/>
  <c r="W253" i="81" s="1" a="1"/>
  <c r="W253" i="81" s="1"/>
  <c r="W72" i="81" a="1"/>
  <c r="W72" i="81" s="1"/>
  <c r="W136" i="81" s="1" a="1"/>
  <c r="W136" i="81" s="1"/>
  <c r="W196" i="81" s="1" a="1"/>
  <c r="W196" i="81" s="1"/>
  <c r="W248" i="81" s="1" a="1"/>
  <c r="W248" i="81" s="1"/>
  <c r="AC83" i="81" a="1"/>
  <c r="AC83" i="81" s="1"/>
  <c r="AC147" i="81" s="1" a="1"/>
  <c r="AC147" i="81" s="1"/>
  <c r="AC207" i="81" s="1" a="1"/>
  <c r="AC207" i="81" s="1"/>
  <c r="AC259" i="81" s="1" a="1"/>
  <c r="AC259" i="81" s="1"/>
  <c r="V73" i="81" a="1"/>
  <c r="V73" i="81" s="1"/>
  <c r="V137" i="81" s="1" a="1"/>
  <c r="V137" i="81" s="1"/>
  <c r="V197" i="81" s="1" a="1"/>
  <c r="V197" i="81" s="1"/>
  <c r="V249" i="81" s="1" a="1"/>
  <c r="V249" i="81" s="1"/>
  <c r="AC74" i="81" a="1"/>
  <c r="AC74" i="81" s="1"/>
  <c r="AC138" i="81" s="1" a="1"/>
  <c r="AC138" i="81" s="1"/>
  <c r="AC198" i="81" s="1" a="1"/>
  <c r="AC198" i="81" s="1"/>
  <c r="AC250" i="81" s="1" a="1"/>
  <c r="AC250" i="81" s="1"/>
  <c r="AA77" i="81" a="1"/>
  <c r="AA77" i="81" s="1"/>
  <c r="AA141" i="81" s="1" a="1"/>
  <c r="AA141" i="81" s="1"/>
  <c r="AA201" i="81" s="1" a="1"/>
  <c r="AA201" i="81" s="1"/>
  <c r="AA253" i="81" s="1" a="1"/>
  <c r="AA253" i="81" s="1"/>
  <c r="J63" i="81" a="1"/>
  <c r="J63" i="81" s="1"/>
  <c r="J128" i="81" s="1" a="1"/>
  <c r="J128" i="81" s="1"/>
  <c r="J170" i="81" s="1" a="1"/>
  <c r="J170" i="81" s="1"/>
  <c r="J208" i="81" s="1" a="1"/>
  <c r="J208" i="81" s="1"/>
  <c r="Y81" i="81" a="1"/>
  <c r="Y81" i="81" s="1"/>
  <c r="Y145" i="81" s="1" a="1"/>
  <c r="Y145" i="81" s="1"/>
  <c r="Y205" i="81" s="1" a="1"/>
  <c r="Y205" i="81" s="1"/>
  <c r="Y257" i="81" s="1" a="1"/>
  <c r="Y257" i="81" s="1"/>
  <c r="X74" i="81" a="1"/>
  <c r="X74" i="81" s="1"/>
  <c r="X138" i="81" s="1" a="1"/>
  <c r="X138" i="81" s="1"/>
  <c r="X198" i="81" s="1" a="1"/>
  <c r="X198" i="81" s="1"/>
  <c r="X250" i="81" s="1" a="1"/>
  <c r="X250" i="81" s="1"/>
  <c r="M65" i="81" a="1"/>
  <c r="M65" i="81" s="1"/>
  <c r="M130" i="81" s="1" a="1"/>
  <c r="M130" i="81" s="1"/>
  <c r="M172" i="81" s="1" a="1"/>
  <c r="M172" i="81" s="1"/>
  <c r="M210" i="81" s="1" a="1"/>
  <c r="M210" i="81" s="1"/>
  <c r="E63" i="81" a="1"/>
  <c r="E63" i="81" s="1"/>
  <c r="E128" i="81" s="1" a="1"/>
  <c r="E128" i="81" s="1"/>
  <c r="E170" i="81" s="1" a="1"/>
  <c r="E170" i="81" s="1"/>
  <c r="E208" i="81" s="1" a="1"/>
  <c r="E208" i="81" s="1"/>
  <c r="AE66" i="81"/>
  <c r="Z60" i="81"/>
  <c r="AD72" i="81" a="1"/>
  <c r="AD72" i="81" s="1"/>
  <c r="AD136" i="81" s="1" a="1"/>
  <c r="AD136" i="81" s="1"/>
  <c r="AD196" i="81" s="1" a="1"/>
  <c r="AD196" i="81" s="1"/>
  <c r="AD248" i="81" s="1" a="1"/>
  <c r="AD248" i="81" s="1"/>
  <c r="AD67" i="81"/>
  <c r="AA59" i="81"/>
  <c r="AB80" i="81" a="1"/>
  <c r="AB80" i="81" s="1"/>
  <c r="AB144" i="81" s="1" a="1"/>
  <c r="AB144" i="81" s="1"/>
  <c r="AB204" i="81" s="1" a="1"/>
  <c r="AB204" i="81" s="1"/>
  <c r="AB256" i="81" s="1" a="1"/>
  <c r="AB256" i="81" s="1"/>
  <c r="AD80" i="81" a="1"/>
  <c r="AD80" i="81" s="1"/>
  <c r="AD144" i="81" s="1" a="1"/>
  <c r="AD144" i="81" s="1"/>
  <c r="AD204" i="81" s="1" a="1"/>
  <c r="AD204" i="81" s="1"/>
  <c r="AD256" i="81" s="1" a="1"/>
  <c r="AD256" i="81" s="1"/>
  <c r="AE76" i="81" a="1"/>
  <c r="AE76" i="81" s="1"/>
  <c r="AE140" i="81" s="1" a="1"/>
  <c r="AE140" i="81" s="1"/>
  <c r="AE200" i="81" s="1" a="1"/>
  <c r="AE200" i="81" s="1"/>
  <c r="AE252" i="81" s="1" a="1"/>
  <c r="AE252" i="81" s="1"/>
  <c r="Y77" i="81" a="1"/>
  <c r="Y77" i="81" s="1"/>
  <c r="Y141" i="81" s="1" a="1"/>
  <c r="Y141" i="81" s="1"/>
  <c r="Y201" i="81" s="1" a="1"/>
  <c r="Y201" i="81" s="1"/>
  <c r="Y253" i="81" s="1" a="1"/>
  <c r="Y253" i="81" s="1"/>
  <c r="H64" i="81" a="1"/>
  <c r="H64" i="81" s="1"/>
  <c r="H129" i="81" s="1" a="1"/>
  <c r="H129" i="81" s="1"/>
  <c r="H171" i="81" s="1" a="1"/>
  <c r="H171" i="81" s="1"/>
  <c r="H209" i="81" s="1" a="1"/>
  <c r="H209" i="81" s="1"/>
  <c r="K64" i="81" a="1"/>
  <c r="K64" i="81" s="1"/>
  <c r="K129" i="81" s="1" a="1"/>
  <c r="K129" i="81" s="1"/>
  <c r="K171" i="81" s="1" a="1"/>
  <c r="K171" i="81" s="1"/>
  <c r="K209" i="81" s="1" a="1"/>
  <c r="K209" i="81" s="1"/>
  <c r="H63" i="81" a="1"/>
  <c r="H63" i="81" s="1"/>
  <c r="H128" i="81" s="1" a="1"/>
  <c r="H128" i="81" s="1"/>
  <c r="H170" i="81" s="1" a="1"/>
  <c r="H170" i="81" s="1"/>
  <c r="H208" i="81" s="1" a="1"/>
  <c r="H208" i="81" s="1"/>
  <c r="L65" i="81" a="1"/>
  <c r="L65" i="81" s="1"/>
  <c r="L130" i="81" s="1" a="1"/>
  <c r="L130" i="81" s="1"/>
  <c r="L172" i="81" s="1" a="1"/>
  <c r="L172" i="81" s="1"/>
  <c r="L210" i="81" s="1" a="1"/>
  <c r="L210" i="81" s="1"/>
  <c r="AC72" i="81" a="1"/>
  <c r="AC72" i="81" s="1"/>
  <c r="AC136" i="81" s="1" a="1"/>
  <c r="AC136" i="81" s="1"/>
  <c r="AC196" i="81" s="1" a="1"/>
  <c r="AC196" i="81" s="1"/>
  <c r="AC248" i="81" s="1" a="1"/>
  <c r="AC248" i="81" s="1"/>
  <c r="AD77" i="81" a="1"/>
  <c r="AD77" i="81" s="1"/>
  <c r="AD141" i="81" s="1" a="1"/>
  <c r="AD141" i="81" s="1"/>
  <c r="AD201" i="81" s="1" a="1"/>
  <c r="AD201" i="81" s="1"/>
  <c r="AD253" i="81" s="1" a="1"/>
  <c r="AD253" i="81" s="1"/>
  <c r="V56" i="81"/>
  <c r="V81" i="81" a="1"/>
  <c r="V81" i="81" s="1"/>
  <c r="V145" i="81" s="1" a="1"/>
  <c r="V145" i="81" s="1"/>
  <c r="V205" i="81" s="1" a="1"/>
  <c r="V205" i="81" s="1"/>
  <c r="V257" i="81" s="1" a="1"/>
  <c r="V257" i="81" s="1"/>
  <c r="AB73" i="81" a="1"/>
  <c r="AB73" i="81" s="1"/>
  <c r="AB137" i="81" s="1" a="1"/>
  <c r="AB137" i="81" s="1"/>
  <c r="AB197" i="81" s="1" a="1"/>
  <c r="AB197" i="81" s="1"/>
  <c r="AB249" i="81" s="1" a="1"/>
  <c r="AB249" i="81" s="1"/>
  <c r="Y83" i="81" a="1"/>
  <c r="Y83" i="81" s="1"/>
  <c r="Y147" i="81" s="1" a="1"/>
  <c r="Y147" i="81" s="1"/>
  <c r="Y207" i="81" s="1" a="1"/>
  <c r="Y207" i="81" s="1"/>
  <c r="Y259" i="81" s="1" a="1"/>
  <c r="Y259" i="81" s="1"/>
  <c r="AD82" i="81" a="1"/>
  <c r="AD82" i="81" s="1"/>
  <c r="AD146" i="81" s="1" a="1"/>
  <c r="AD146" i="81" s="1"/>
  <c r="AD206" i="81" s="1" a="1"/>
  <c r="AD206" i="81" s="1"/>
  <c r="AD258" i="81" s="1" a="1"/>
  <c r="AD258" i="81" s="1"/>
  <c r="Z82" i="81" a="1"/>
  <c r="Z82" i="81" s="1"/>
  <c r="Z146" i="81" s="1" a="1"/>
  <c r="Z146" i="81" s="1"/>
  <c r="Z206" i="81" s="1" a="1"/>
  <c r="Z206" i="81" s="1"/>
  <c r="Z258" i="81" s="1" a="1"/>
  <c r="Z258" i="81" s="1"/>
  <c r="Z79" i="81" a="1"/>
  <c r="Z79" i="81" s="1"/>
  <c r="Z143" i="81" s="1" a="1"/>
  <c r="Z143" i="81" s="1"/>
  <c r="Z203" i="81" s="1" a="1"/>
  <c r="Z203" i="81" s="1"/>
  <c r="Z255" i="81" s="1" a="1"/>
  <c r="Z255" i="81" s="1"/>
  <c r="AC75" i="81" a="1"/>
  <c r="AC75" i="81" s="1"/>
  <c r="AC139" i="81" s="1" a="1"/>
  <c r="AC139" i="81" s="1"/>
  <c r="AC199" i="81" s="1" a="1"/>
  <c r="AC199" i="81" s="1"/>
  <c r="AC251" i="81" s="1" a="1"/>
  <c r="AC251" i="81" s="1"/>
  <c r="X72" i="81" a="1"/>
  <c r="X72" i="81" s="1"/>
  <c r="X136" i="81" s="1" a="1"/>
  <c r="X136" i="81" s="1"/>
  <c r="X196" i="81" s="1" a="1"/>
  <c r="X196" i="81" s="1"/>
  <c r="X248" i="81" s="1" a="1"/>
  <c r="X248" i="81" s="1"/>
  <c r="F65" i="81" a="1"/>
  <c r="F65" i="81" s="1"/>
  <c r="F130" i="81" s="1" a="1"/>
  <c r="F130" i="81" s="1"/>
  <c r="F172" i="81" s="1" a="1"/>
  <c r="F172" i="81" s="1"/>
  <c r="F210" i="81" s="1" a="1"/>
  <c r="F210" i="81" s="1"/>
  <c r="I62" i="81" a="1"/>
  <c r="I62" i="81" s="1"/>
  <c r="I127" i="81" s="1" a="1"/>
  <c r="I127" i="81" s="1"/>
  <c r="I169" i="81" s="1" a="1"/>
  <c r="I169" i="81" s="1"/>
  <c r="I207" i="81" s="1" a="1"/>
  <c r="I207" i="81" s="1"/>
  <c r="I63" i="81" a="1"/>
  <c r="I63" i="81" s="1"/>
  <c r="I128" i="81" s="1" a="1"/>
  <c r="I128" i="81" s="1"/>
  <c r="I170" i="81" s="1" a="1"/>
  <c r="I170" i="81" s="1"/>
  <c r="I208" i="81" s="1" a="1"/>
  <c r="I208" i="81" s="1"/>
  <c r="W79" i="81" a="1"/>
  <c r="W79" i="81" s="1"/>
  <c r="W143" i="81" s="1" a="1"/>
  <c r="W143" i="81" s="1"/>
  <c r="W203" i="81" s="1" a="1"/>
  <c r="W203" i="81" s="1"/>
  <c r="W255" i="81" s="1" a="1"/>
  <c r="W255" i="81" s="1"/>
  <c r="V78" i="81" a="1"/>
  <c r="V78" i="81" s="1"/>
  <c r="V142" i="81" s="1" a="1"/>
  <c r="V142" i="81" s="1"/>
  <c r="V202" i="81" s="1" a="1"/>
  <c r="V202" i="81" s="1"/>
  <c r="V254" i="81" s="1" a="1"/>
  <c r="V254" i="81" s="1"/>
  <c r="Z56" i="81"/>
  <c r="AB81" i="81" a="1"/>
  <c r="AB81" i="81" s="1"/>
  <c r="AB145" i="81" s="1" a="1"/>
  <c r="AB145" i="81" s="1"/>
  <c r="AB205" i="81" s="1" a="1"/>
  <c r="AB205" i="81" s="1"/>
  <c r="AB257" i="81" s="1" a="1"/>
  <c r="AB257" i="81" s="1"/>
  <c r="AA65" i="81"/>
  <c r="Z62" i="81"/>
  <c r="W67" i="81"/>
  <c r="Y72" i="81" a="1"/>
  <c r="Y72" i="81" s="1"/>
  <c r="Y136" i="81" s="1" a="1"/>
  <c r="Y136" i="81" s="1"/>
  <c r="Y196" i="81" s="1" a="1"/>
  <c r="Y196" i="81" s="1"/>
  <c r="Y248" i="81" s="1" a="1"/>
  <c r="Y248" i="81" s="1"/>
  <c r="AE82" i="81" l="1" a="1"/>
  <c r="AE82" i="81" s="1"/>
  <c r="AE146" i="81" s="1" a="1"/>
  <c r="AE146" i="81" s="1"/>
  <c r="AE206" i="81" s="1" a="1"/>
  <c r="AE206" i="81" s="1"/>
  <c r="AE258" i="81" s="1" a="1"/>
  <c r="AE258" i="81" s="1"/>
  <c r="AD81" i="81" a="1"/>
  <c r="AD81" i="81" s="1"/>
  <c r="AD145" i="81" s="1" a="1"/>
  <c r="AD145" i="81" s="1"/>
  <c r="AD205" i="81" s="1" a="1"/>
  <c r="AD205" i="81" s="1"/>
  <c r="AD257" i="81" s="1" a="1"/>
  <c r="AD257" i="81" s="1"/>
  <c r="AE73" i="81" a="1"/>
  <c r="AE73" i="81" s="1"/>
  <c r="AE137" i="81" s="1" a="1"/>
  <c r="AE137" i="81" s="1"/>
  <c r="AE197" i="81" s="1" a="1"/>
  <c r="AE197" i="81" s="1"/>
  <c r="AE249" i="81" s="1" a="1"/>
  <c r="AE249" i="81" s="1"/>
  <c r="AC77" i="81" a="1"/>
  <c r="AC77" i="81" s="1"/>
  <c r="AC141" i="81" s="1" a="1"/>
  <c r="AC141" i="81" s="1"/>
  <c r="AC201" i="81" s="1" a="1"/>
  <c r="AC201" i="81" s="1"/>
  <c r="AC253" i="81" s="1" a="1"/>
  <c r="AC253" i="81" s="1"/>
  <c r="AD79" i="81" a="1"/>
  <c r="AD79" i="81" s="1"/>
  <c r="AD143" i="81" s="1" a="1"/>
  <c r="AD143" i="81" s="1"/>
  <c r="AD203" i="81" s="1" a="1"/>
  <c r="AD203" i="81" s="1"/>
  <c r="AD255" i="81" s="1" a="1"/>
  <c r="AD255" i="81" s="1"/>
  <c r="X76" i="81" a="1"/>
  <c r="X76" i="81" s="1"/>
  <c r="X140" i="81" s="1" a="1"/>
  <c r="X140" i="81" s="1"/>
  <c r="X200" i="81" s="1" a="1"/>
  <c r="X200" i="81" s="1"/>
  <c r="X252" i="81" s="1" a="1"/>
  <c r="X252" i="81" s="1"/>
  <c r="AA83" i="81" a="1"/>
  <c r="AA83" i="81" s="1"/>
  <c r="AA147" i="81" s="1" a="1"/>
  <c r="AA147" i="81" s="1"/>
  <c r="AA207" i="81" s="1" a="1"/>
  <c r="AA207" i="81" s="1"/>
  <c r="AA259" i="81" s="1" a="1"/>
  <c r="AA259" i="81" s="1"/>
  <c r="AD75" i="81" a="1"/>
  <c r="AD75" i="81" s="1"/>
  <c r="AD139" i="81" s="1" a="1"/>
  <c r="AD139" i="81" s="1"/>
  <c r="AD199" i="81" s="1" a="1"/>
  <c r="AD199" i="81" s="1"/>
  <c r="AD251" i="81" s="1" a="1"/>
  <c r="AD251" i="81" s="1"/>
  <c r="K63" i="81" a="1"/>
  <c r="K63" i="81" s="1"/>
  <c r="K128" i="81" s="1" a="1"/>
  <c r="K128" i="81" s="1"/>
  <c r="K170" i="81" s="1" a="1"/>
  <c r="K170" i="81" s="1"/>
  <c r="K208" i="81" s="1" a="1"/>
  <c r="K208" i="81" s="1"/>
  <c r="J64" i="81" a="1"/>
  <c r="J64" i="81" s="1"/>
  <c r="J129" i="81" s="1" a="1"/>
  <c r="J129" i="81" s="1"/>
  <c r="J171" i="81" s="1" a="1"/>
  <c r="J171" i="81" s="1"/>
  <c r="J209" i="81" s="1" a="1"/>
  <c r="J209" i="81" s="1"/>
  <c r="AD73" i="81" a="1"/>
  <c r="AD73" i="81" s="1"/>
  <c r="AD137" i="81" s="1" a="1"/>
  <c r="AD137" i="81" s="1"/>
  <c r="AD197" i="81" s="1" a="1"/>
  <c r="AD197" i="81" s="1"/>
  <c r="AD249" i="81" s="1" a="1"/>
  <c r="AD249" i="81" s="1"/>
  <c r="W83" i="81" a="1"/>
  <c r="W83" i="81" s="1"/>
  <c r="W147" i="81" s="1" a="1"/>
  <c r="W147" i="81" s="1"/>
  <c r="W207" i="81" s="1" a="1"/>
  <c r="W207" i="81" s="1"/>
  <c r="W259" i="81" s="1" a="1"/>
  <c r="W259" i="81" s="1"/>
  <c r="AD78" i="81" a="1"/>
  <c r="AD78" i="81" s="1"/>
  <c r="AD142" i="81" s="1" a="1"/>
  <c r="AD142" i="81" s="1"/>
  <c r="AD202" i="81" s="1" a="1"/>
  <c r="AD202" i="81" s="1"/>
  <c r="AD254" i="81" s="1" a="1"/>
  <c r="AD254" i="81" s="1"/>
  <c r="AC81" i="81" a="1"/>
  <c r="AC81" i="81" s="1"/>
  <c r="AC145" i="81" s="1" a="1"/>
  <c r="AC145" i="81" s="1"/>
  <c r="AC205" i="81" s="1" a="1"/>
  <c r="AC205" i="81" s="1"/>
  <c r="AC257" i="81" s="1" a="1"/>
  <c r="AC257" i="81" s="1"/>
  <c r="K65" i="81" a="1"/>
  <c r="K65" i="81" s="1"/>
  <c r="K130" i="81" s="1" a="1"/>
  <c r="K130" i="81" s="1"/>
  <c r="K172" i="81" s="1" a="1"/>
  <c r="K172" i="81" s="1"/>
  <c r="K210" i="81" s="1" a="1"/>
  <c r="K210" i="81" s="1"/>
  <c r="Y73" i="81" a="1"/>
  <c r="Y73" i="81" s="1"/>
  <c r="Y137" i="81" s="1" a="1"/>
  <c r="Y137" i="81" s="1"/>
  <c r="Y197" i="81" s="1" a="1"/>
  <c r="Y197" i="81" s="1"/>
  <c r="Y249" i="81" s="1" a="1"/>
  <c r="Y249" i="81" s="1"/>
  <c r="E62" i="81" a="1"/>
  <c r="E62" i="81" s="1"/>
  <c r="E127" i="81" s="1" a="1"/>
  <c r="E127" i="81" s="1"/>
  <c r="E169" i="81" s="1" a="1"/>
  <c r="E169" i="81" s="1"/>
  <c r="E207" i="81" s="1" a="1"/>
  <c r="E207" i="81" s="1"/>
  <c r="AB76" i="81" a="1"/>
  <c r="AB76" i="81" s="1"/>
  <c r="AB140" i="81" s="1" a="1"/>
  <c r="AB140" i="81" s="1"/>
  <c r="AB200" i="81" s="1" a="1"/>
  <c r="AB200" i="81" s="1"/>
  <c r="AB252" i="81" s="1" a="1"/>
  <c r="AB252" i="81" s="1"/>
  <c r="AB77" i="81" a="1"/>
  <c r="AB77" i="81" s="1"/>
  <c r="AB141" i="81" s="1" a="1"/>
  <c r="AB141" i="81" s="1"/>
  <c r="AB201" i="81" s="1" a="1"/>
  <c r="AB201" i="81" s="1"/>
  <c r="AB253" i="81" s="1" a="1"/>
  <c r="AB253" i="81" s="1"/>
  <c r="AA73" i="81" a="1"/>
  <c r="AA73" i="81" s="1"/>
  <c r="AA137" i="81" s="1" a="1"/>
  <c r="AA137" i="81" s="1"/>
  <c r="AA197" i="81" s="1" a="1"/>
  <c r="AA197" i="81" s="1"/>
  <c r="AA249" i="81" s="1" a="1"/>
  <c r="AA249" i="81" s="1"/>
  <c r="AB75" i="81" a="1"/>
  <c r="AB75" i="81" s="1"/>
  <c r="AB139" i="81" s="1" a="1"/>
  <c r="AB139" i="81" s="1"/>
  <c r="AB199" i="81" s="1" a="1"/>
  <c r="AB199" i="81" s="1"/>
  <c r="AB251" i="81" s="1" a="1"/>
  <c r="AB251" i="81" s="1"/>
  <c r="Z78" i="81" a="1"/>
  <c r="Z78" i="81" s="1"/>
  <c r="Z142" i="81" s="1" a="1"/>
  <c r="Z142" i="81" s="1"/>
  <c r="Z202" i="81" s="1" a="1"/>
  <c r="Z202" i="81" s="1"/>
  <c r="Z254" i="81" s="1" a="1"/>
  <c r="Z254" i="81" s="1"/>
  <c r="AC79" i="81" a="1"/>
  <c r="AC79" i="81" s="1"/>
  <c r="AC143" i="81" s="1" a="1"/>
  <c r="AC143" i="81" s="1"/>
  <c r="AC203" i="81" s="1" a="1"/>
  <c r="AC203" i="81" s="1"/>
  <c r="AC255" i="81" s="1" a="1"/>
  <c r="AC255" i="81" s="1"/>
  <c r="G64" i="81" a="1"/>
  <c r="G64" i="81" s="1"/>
  <c r="G129" i="81" s="1" a="1"/>
  <c r="G129" i="81" s="1"/>
  <c r="G171" i="81" s="1" a="1"/>
  <c r="G171" i="81" s="1"/>
  <c r="G209" i="81" s="1" a="1"/>
  <c r="G209" i="81" s="1"/>
  <c r="AA76" i="81" a="1"/>
  <c r="AA76" i="81" s="1"/>
  <c r="AA140" i="81" s="1" a="1"/>
  <c r="AA140" i="81" s="1"/>
  <c r="AA200" i="81" s="1" a="1"/>
  <c r="AA200" i="81" s="1"/>
  <c r="AA252" i="81" s="1" a="1"/>
  <c r="AA252" i="81" s="1"/>
  <c r="AB72" i="81" a="1"/>
  <c r="AB72" i="81" s="1"/>
  <c r="AB136" i="81" s="1" a="1"/>
  <c r="AB136" i="81" s="1"/>
  <c r="AB196" i="81" s="1" a="1"/>
  <c r="AB196" i="81" s="1"/>
  <c r="AB248" i="81" s="1" a="1"/>
  <c r="AB248" i="81" s="1"/>
  <c r="AD74" i="81" a="1"/>
  <c r="AD74" i="81" s="1"/>
  <c r="AD138" i="81" s="1" a="1"/>
  <c r="AD138" i="81" s="1"/>
  <c r="AD198" i="81" s="1" a="1"/>
  <c r="AD198" i="81" s="1"/>
  <c r="AD250" i="81" s="1" a="1"/>
  <c r="AD250" i="81" s="1"/>
  <c r="AA75" i="81" a="1"/>
  <c r="AA75" i="81" s="1"/>
  <c r="AA139" i="81" s="1" a="1"/>
  <c r="AA139" i="81" s="1"/>
  <c r="AA199" i="81" s="1" a="1"/>
  <c r="AA199" i="81" s="1"/>
  <c r="AA251" i="81" s="1" a="1"/>
  <c r="AA251" i="81" s="1"/>
  <c r="G65" i="81" a="1"/>
  <c r="G65" i="81" s="1"/>
  <c r="G130" i="81" s="1" a="1"/>
  <c r="G130" i="81" s="1"/>
  <c r="G172" i="81" s="1" a="1"/>
  <c r="G172" i="81" s="1"/>
  <c r="G210" i="81" s="1" a="1"/>
  <c r="G210" i="81" s="1"/>
  <c r="V77" i="81" a="1"/>
  <c r="V77" i="81" s="1"/>
  <c r="V141" i="81" s="1" a="1"/>
  <c r="V141" i="81" s="1"/>
  <c r="V201" i="81" s="1" a="1"/>
  <c r="V201" i="81" s="1"/>
  <c r="V253" i="81" s="1" a="1"/>
  <c r="V253" i="81" s="1"/>
  <c r="AA81" i="81" a="1"/>
  <c r="AA81" i="81" s="1"/>
  <c r="AA145" i="81" s="1" a="1"/>
  <c r="AA145" i="81" s="1"/>
  <c r="AA205" i="81" s="1" a="1"/>
  <c r="AA205" i="81" s="1"/>
  <c r="AA257" i="81" s="1" a="1"/>
  <c r="AA257" i="81" s="1"/>
  <c r="AD83" i="81" a="1"/>
  <c r="AD83" i="81" s="1"/>
  <c r="AD147" i="81" s="1" a="1"/>
  <c r="AD147" i="81" s="1"/>
  <c r="AD207" i="81" s="1" a="1"/>
  <c r="AD207" i="81" s="1"/>
  <c r="AD259" i="81" s="1" a="1"/>
  <c r="AD259" i="81" s="1"/>
  <c r="Y75" i="81" a="1"/>
  <c r="Y75" i="81" s="1"/>
  <c r="Y139" i="81" s="1" a="1"/>
  <c r="Y139" i="81" s="1"/>
  <c r="Y199" i="81" s="1" a="1"/>
  <c r="Y199" i="81" s="1"/>
  <c r="Y251" i="81" s="1" a="1"/>
  <c r="Y251" i="81" s="1"/>
  <c r="AE72" i="81" a="1"/>
  <c r="AE72" i="81" s="1"/>
  <c r="AE136" i="81" s="1" a="1"/>
  <c r="AE136" i="81" s="1"/>
  <c r="AE196" i="81" s="1" a="1"/>
  <c r="AE196" i="81" s="1"/>
  <c r="AE248" i="81" s="1" a="1"/>
  <c r="AE248" i="81" s="1"/>
  <c r="V80" i="81" a="1"/>
  <c r="V80" i="81" s="1"/>
  <c r="V144" i="81" s="1" a="1"/>
  <c r="V144" i="81" s="1"/>
  <c r="V204" i="81" s="1" a="1"/>
  <c r="V204" i="81" s="1"/>
  <c r="V256" i="81" s="1" a="1"/>
  <c r="V256" i="81" s="1"/>
  <c r="AB78" i="81" a="1"/>
  <c r="AB78" i="81" s="1"/>
  <c r="AB142" i="81" s="1" a="1"/>
  <c r="AB142" i="81" s="1"/>
  <c r="AB202" i="81" s="1" a="1"/>
  <c r="AB202" i="81" s="1"/>
  <c r="AB254" i="81" s="1" a="1"/>
  <c r="AB254" i="81" s="1"/>
  <c r="Z80" i="81" a="1"/>
  <c r="Z80" i="81" s="1"/>
  <c r="Z144" i="81" s="1" a="1"/>
  <c r="Z144" i="81" s="1"/>
  <c r="Z204" i="81" s="1" a="1"/>
  <c r="Z204" i="81" s="1"/>
  <c r="Z256" i="81" s="1" a="1"/>
  <c r="Z256" i="81" s="1"/>
  <c r="V75" i="81" a="1"/>
  <c r="V75" i="81" s="1"/>
  <c r="V139" i="81" s="1" a="1"/>
  <c r="V139" i="81" s="1"/>
  <c r="V199" i="81" s="1" a="1"/>
  <c r="V199" i="81" s="1"/>
  <c r="V251" i="81" s="1" a="1"/>
  <c r="V251" i="81" s="1"/>
  <c r="Y80" i="81" a="1"/>
  <c r="Y80" i="81" s="1"/>
  <c r="Y144" i="81" s="1" a="1"/>
  <c r="Y144" i="81" s="1"/>
  <c r="Y204" i="81" s="1" a="1"/>
  <c r="Y204" i="81" s="1"/>
  <c r="Y256" i="81" s="1" a="1"/>
  <c r="Y256" i="81" s="1"/>
  <c r="W73" i="81" a="1"/>
  <c r="W73" i="81" s="1"/>
  <c r="W137" i="81" s="1" a="1"/>
  <c r="W137" i="81" s="1"/>
  <c r="W197" i="81" s="1" a="1"/>
  <c r="W197" i="81" s="1"/>
  <c r="W249" i="81" s="1" a="1"/>
  <c r="W249" i="81" s="1"/>
  <c r="Y78" i="81" a="1"/>
  <c r="Y78" i="81" s="1"/>
  <c r="Y142" i="81" s="1" a="1"/>
  <c r="Y142" i="81" s="1"/>
  <c r="Y202" i="81" s="1" a="1"/>
  <c r="Y202" i="81" s="1"/>
  <c r="Y254" i="81" s="1" a="1"/>
  <c r="Y254" i="81" s="1"/>
  <c r="Z72" i="81" a="1"/>
  <c r="Z72" i="81" s="1"/>
  <c r="Z136" i="81" s="1" a="1"/>
  <c r="Z136" i="81" s="1"/>
  <c r="Z196" i="81" s="1" a="1"/>
  <c r="Z196" i="81" s="1"/>
  <c r="Z248" i="81" s="1" a="1"/>
  <c r="Z248" i="81" s="1"/>
  <c r="V72" i="81" a="1"/>
  <c r="V72" i="81" s="1"/>
  <c r="V136" i="81" s="1" a="1"/>
  <c r="V136" i="81" s="1"/>
  <c r="V196" i="81" s="1" a="1"/>
  <c r="V196" i="81" s="1"/>
  <c r="V248" i="81" s="1" a="1"/>
  <c r="V248" i="81" s="1"/>
  <c r="Z76" i="81" a="1"/>
  <c r="Z76" i="81" s="1"/>
  <c r="Z140" i="81" s="1" a="1"/>
  <c r="Z140" i="81" s="1"/>
  <c r="Z200" i="81" s="1" a="1"/>
  <c r="Z200" i="81" s="1"/>
  <c r="Z252" i="81" s="1" a="1"/>
  <c r="Z252" i="81" s="1"/>
  <c r="Y79" i="81" a="1"/>
  <c r="Y79" i="81" s="1"/>
  <c r="Y143" i="81" s="1" a="1"/>
  <c r="Y143" i="81" s="1"/>
  <c r="Y203" i="81" s="1" a="1"/>
  <c r="Y203" i="81" s="1"/>
  <c r="Y255" i="81" s="1" a="1"/>
  <c r="Y255" i="81" s="1"/>
  <c r="W75" i="81" a="1"/>
  <c r="W75" i="81" s="1"/>
  <c r="W139" i="81" s="1" a="1"/>
  <c r="W139" i="81" s="1"/>
  <c r="W199" i="81" s="1" a="1"/>
  <c r="W199" i="81" s="1"/>
  <c r="W251" i="81" s="1" a="1"/>
  <c r="W251" i="81" s="1"/>
  <c r="AA74" i="81" a="1"/>
  <c r="AA74" i="81" s="1"/>
  <c r="AA138" i="81" s="1" a="1"/>
  <c r="AA138" i="81" s="1"/>
  <c r="AA198" i="81" s="1" a="1"/>
  <c r="AA198" i="81" s="1"/>
  <c r="AA250" i="81" s="1" a="1"/>
  <c r="AA250" i="81" s="1"/>
  <c r="W82" i="81" a="1"/>
  <c r="W82" i="81" s="1"/>
  <c r="W146" i="81" s="1" a="1"/>
  <c r="W146" i="81" s="1"/>
  <c r="W206" i="81" s="1" a="1"/>
  <c r="W206" i="81" s="1"/>
  <c r="W258" i="81" s="1" a="1"/>
  <c r="W258" i="81" s="1"/>
  <c r="Z83" i="81" a="1"/>
  <c r="Z83" i="81" s="1"/>
  <c r="Z147" i="81" s="1" a="1"/>
  <c r="Z147" i="81" s="1"/>
  <c r="Z207" i="81" s="1" a="1"/>
  <c r="Z207" i="81" s="1"/>
  <c r="Z259" i="81" s="1" a="1"/>
  <c r="Z259" i="81" s="1"/>
  <c r="V261" i="81" l="1"/>
  <c r="R13" i="83" s="1"/>
  <c r="E212" i="81"/>
  <c r="I13" i="83" s="1"/>
  <c r="E20" i="83" s="1" a="1"/>
  <c r="E20" i="83" s="1"/>
  <c r="I32" i="83" s="1"/>
  <c r="E36" i="83" s="1" a="1"/>
  <c r="E36" i="83" s="1"/>
  <c r="G38" i="83" s="1"/>
  <c r="E41" i="83" s="1" a="1"/>
  <c r="E41" i="83" s="1"/>
  <c r="E8" i="13" a="1"/>
  <c r="E8" i="13" s="1"/>
  <c r="H8" i="13" s="1" a="1"/>
  <c r="H8" i="13" s="1"/>
  <c r="V267" i="81" l="1" a="1"/>
  <c r="V267" i="81" s="1"/>
  <c r="X269" i="81" s="1"/>
  <c r="V272" i="81" s="1" a="1"/>
  <c r="V272" i="81" s="1"/>
  <c r="T13" i="82"/>
  <c r="E229" i="81" a="1"/>
  <c r="E229" i="81" s="1"/>
  <c r="G231" i="81" s="1"/>
  <c r="E234" i="81" s="1" a="1"/>
  <c r="E234" i="81" s="1"/>
  <c r="J13" i="82"/>
  <c r="E16" i="82" s="1" a="1"/>
  <c r="E16" i="82" s="1"/>
  <c r="I28" i="82" s="1"/>
  <c r="E35" i="82" s="1" a="1"/>
  <c r="E35" i="82" s="1"/>
  <c r="G37" i="82" s="1"/>
  <c r="E40" i="82" s="1" a="1"/>
  <c r="E40" i="82" s="1"/>
  <c r="E11" i="13" a="1"/>
  <c r="E11" i="13" s="1"/>
  <c r="H11" i="13" s="1" a="1"/>
  <c r="H11" i="13" s="1"/>
  <c r="F8" i="13" a="1"/>
  <c r="F8" i="13" s="1"/>
  <c r="I8" i="13" s="1" a="1"/>
  <c r="I8" i="13" s="1"/>
  <c r="E9" i="13" l="1" a="1"/>
  <c r="E9" i="13" s="1"/>
  <c r="H9" i="13" s="1" a="1"/>
  <c r="H9" i="13" s="1"/>
  <c r="E10" i="13" a="1"/>
  <c r="E10" i="13" s="1"/>
  <c r="H10" i="13" s="1" a="1"/>
  <c r="H10" i="13" s="1"/>
  <c r="O16" i="82" a="1"/>
  <c r="O16" i="82" s="1"/>
  <c r="S28" i="82" s="1"/>
  <c r="O35" i="82" s="1" a="1"/>
  <c r="O35" i="82" s="1"/>
  <c r="Q37" i="82" s="1"/>
  <c r="O40" i="82" s="1" a="1"/>
  <c r="O40" i="82" s="1"/>
  <c r="N20" i="83" a="1"/>
  <c r="N20" i="83" s="1"/>
  <c r="R32" i="83" s="1"/>
  <c r="N36" i="83" s="1" a="1"/>
  <c r="N36" i="83" s="1"/>
  <c r="P38" i="83" s="1"/>
  <c r="N41" i="83" s="1" a="1"/>
  <c r="N41" i="83" s="1"/>
  <c r="H28" i="13" l="1"/>
  <c r="F10" i="13" a="1"/>
  <c r="F10" i="13" s="1"/>
  <c r="I10" i="13" s="1" a="1"/>
  <c r="I10" i="13" s="1"/>
  <c r="F9" i="13" a="1"/>
  <c r="F9" i="13" s="1"/>
  <c r="I9" i="13" s="1" a="1"/>
  <c r="I9" i="13" s="1"/>
  <c r="F11" i="13" a="1"/>
  <c r="F11" i="13" s="1"/>
  <c r="I11" i="13" s="1" a="1"/>
  <c r="I11" i="13" s="1"/>
  <c r="E42" i="13" l="1"/>
  <c r="F7" i="13" a="1"/>
  <c r="F7" i="13" s="1"/>
  <c r="I7" i="13" s="1" a="1"/>
  <c r="I7" i="13" s="1"/>
  <c r="I28" i="13" s="1"/>
  <c r="E59" i="13" l="1"/>
  <c r="H66" i="13" s="1"/>
  <c r="H62" i="13"/>
  <c r="H63" i="13"/>
  <c r="F42" i="13" l="1"/>
  <c r="F59" i="13" l="1"/>
  <c r="I67" i="13" s="1"/>
  <c r="I63" i="13"/>
  <c r="I62" i="1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1">
    <bk>
      <extLst>
        <ext uri="{3e2802c4-a4d2-4d8b-9148-e3be6c30e623}">
          <xlrd:rvb i="0"/>
        </ext>
      </extLst>
    </bk>
  </futureMetadata>
  <futureMetadata name="XLDAPR" count="1">
    <bk>
      <extLst>
        <ext uri="{bdbb8cdc-fa1e-496e-a857-3c3f30c029c3}">
          <xda:dynamicArrayProperties fDynamic="1" fCollapsed="0"/>
        </ext>
      </extLst>
    </bk>
  </futureMetadata>
  <cellMetadata count="1">
    <bk>
      <rc t="2" v="0"/>
    </bk>
  </cellMetadata>
  <valueMetadata count="1">
    <bk>
      <rc t="1" v="0"/>
    </bk>
  </valueMetadata>
</metadata>
</file>

<file path=xl/sharedStrings.xml><?xml version="1.0" encoding="utf-8"?>
<sst xmlns="http://schemas.openxmlformats.org/spreadsheetml/2006/main" count="3625" uniqueCount="886">
  <si>
    <t>INPUTS</t>
  </si>
  <si>
    <t>APPENDICES</t>
  </si>
  <si>
    <t>CALCULATIONS</t>
  </si>
  <si>
    <t>Scope 1 source</t>
  </si>
  <si>
    <t>Total</t>
  </si>
  <si>
    <t>GHG Unit</t>
  </si>
  <si>
    <t>t CH4</t>
  </si>
  <si>
    <t>t CO2e</t>
  </si>
  <si>
    <t>GHG emissions method 1</t>
  </si>
  <si>
    <t>GHG emissions method 2</t>
  </si>
  <si>
    <t>CO2-e emissions method 1</t>
  </si>
  <si>
    <t>CO2-e emissions method 2</t>
  </si>
  <si>
    <t>4.2 Manure management: Pasture Beef: Results</t>
  </si>
  <si>
    <t>4.2.1.1-2 Manure methane</t>
  </si>
  <si>
    <t>t N2O</t>
  </si>
  <si>
    <t>4.2.1.3-4 Soil direct N2O</t>
  </si>
  <si>
    <t>4.2.1.5-6 Soil atmospheric deposition</t>
  </si>
  <si>
    <t>4.2.1.7-8 Soil leaching and runoff</t>
  </si>
  <si>
    <t>Production timeframe start</t>
  </si>
  <si>
    <t>Production timeframe end</t>
  </si>
  <si>
    <t>Production timeframe length</t>
  </si>
  <si>
    <t>Emissions calculation period start date</t>
  </si>
  <si>
    <t>Emissions calculation period end date</t>
  </si>
  <si>
    <t>Production</t>
  </si>
  <si>
    <t>Liveweight sold</t>
  </si>
  <si>
    <t>Liveweight grown - method 1</t>
  </si>
  <si>
    <t>Liveweight grown - method 2</t>
  </si>
  <si>
    <t>Percent manure sold</t>
  </si>
  <si>
    <t>Percent manure applied as fertiliser on own farm</t>
  </si>
  <si>
    <t>Percent manure applied to soil with no purpose (as waste)</t>
  </si>
  <si>
    <t>tonnes</t>
  </si>
  <si>
    <t>Constants - Common</t>
  </si>
  <si>
    <t>State/Territory</t>
  </si>
  <si>
    <t>Common Name</t>
  </si>
  <si>
    <t>Abbreviation</t>
  </si>
  <si>
    <t>SA 4 Name</t>
  </si>
  <si>
    <t>Gas</t>
  </si>
  <si>
    <t>CO2-e factor</t>
  </si>
  <si>
    <t>Conversion factor</t>
  </si>
  <si>
    <t>Conversion factor 1</t>
  </si>
  <si>
    <t>Conversion factor 2</t>
  </si>
  <si>
    <t>Conversion factor combined</t>
  </si>
  <si>
    <t>Climate zone</t>
  </si>
  <si>
    <t>Wet or Dry Zone</t>
  </si>
  <si>
    <t>MAT</t>
  </si>
  <si>
    <t>MAP</t>
  </si>
  <si>
    <t>Frost days per year</t>
  </si>
  <si>
    <t>Elevation</t>
  </si>
  <si>
    <t>MAP:PET</t>
  </si>
  <si>
    <t>Min temp</t>
  </si>
  <si>
    <t>Max temp</t>
  </si>
  <si>
    <t>Min rainfall</t>
  </si>
  <si>
    <t>Max rainfall</t>
  </si>
  <si>
    <t>Min frost days</t>
  </si>
  <si>
    <t>Max frost days</t>
  </si>
  <si>
    <t>Min elevation</t>
  </si>
  <si>
    <t>Max elevation</t>
  </si>
  <si>
    <t>Min MAP:PET</t>
  </si>
  <si>
    <t>Max MAP:PET</t>
  </si>
  <si>
    <t>Temperature Zone</t>
  </si>
  <si>
    <t>Min MAT</t>
  </si>
  <si>
    <t>Max MAT</t>
  </si>
  <si>
    <t>Rainfall Zone</t>
  </si>
  <si>
    <t>Annual rainfall</t>
  </si>
  <si>
    <t>Leaching Zone</t>
  </si>
  <si>
    <t>Leaching criteria</t>
  </si>
  <si>
    <t>Is in leaching zone</t>
  </si>
  <si>
    <t>FracWET</t>
  </si>
  <si>
    <t>Irrigation type i</t>
  </si>
  <si>
    <t>Data source</t>
  </si>
  <si>
    <t>Data score</t>
  </si>
  <si>
    <t>Production system j</t>
  </si>
  <si>
    <t>EFN2O</t>
  </si>
  <si>
    <t>Production system only</t>
  </si>
  <si>
    <t>Irrigation method</t>
  </si>
  <si>
    <t>Rainfall zone</t>
  </si>
  <si>
    <t>EFPRP</t>
  </si>
  <si>
    <t>Month</t>
  </si>
  <si>
    <t>Season</t>
  </si>
  <si>
    <t>Temperature zone</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</si>
  <si>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</si>
  <si>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</si>
  <si>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</si>
  <si>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</si>
  <si>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</si>
  <si>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</si>
  <si>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</si>
  <si>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</si>
  <si>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</si>
  <si>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</si>
  <si>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</si>
  <si>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</si>
  <si>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</si>
  <si>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</si>
  <si>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</si>
  <si>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Climate Zone</t>
  </si>
  <si>
    <t>EFNi &amp; EFN2Oi</t>
  </si>
  <si>
    <t>Input - Site</t>
  </si>
  <si>
    <t>Your business</t>
  </si>
  <si>
    <t>Farm name</t>
  </si>
  <si>
    <t>Reporting entity name</t>
  </si>
  <si>
    <t>💡An 'Emissions accounting period' is a 12 month period where the business can report on the emissions, and is typically the same as the business' financial accounting period.</t>
  </si>
  <si>
    <r>
      <rPr>
        <sz val="12"/>
        <color theme="1" tint="0.34998626667073579"/>
        <rFont val="Times New Roman"/>
        <family val="1"/>
      </rPr>
      <t xml:space="preserve">← </t>
    </r>
    <r>
      <rPr>
        <i/>
        <sz val="12"/>
        <color theme="1" tint="0.34998626667073579"/>
        <rFont val="Times New Roman"/>
        <family val="1"/>
      </rPr>
      <t>DD/MM/YYYY or DD Month YYYY</t>
    </r>
  </si>
  <si>
    <r>
      <rPr>
        <sz val="12"/>
        <color theme="1" tint="0.34998626667073579"/>
        <rFont val="Times New Roman"/>
        <family val="1"/>
      </rPr>
      <t xml:space="preserve">← </t>
    </r>
    <r>
      <rPr>
        <i/>
        <sz val="12"/>
        <color theme="1" tint="0.34998626667073579"/>
        <rFont val="Times New Roman"/>
        <family val="1"/>
      </rPr>
      <t>Automatically calculated, 12 months after start date</t>
    </r>
  </si>
  <si>
    <t>Location and climate</t>
  </si>
  <si>
    <t>Location information is used to reference some region and climate-specific emission factors</t>
  </si>
  <si>
    <t>Tip: Use the web-based GAF Location Helper tool to easily get region and climate information. You will need an internet connection to use the GAF Location Helper.</t>
  </si>
  <si>
    <t>State</t>
  </si>
  <si>
    <t>Western Australia</t>
  </si>
  <si>
    <r>
      <rPr>
        <sz val="12"/>
        <color theme="1" tint="0.34998626667073579"/>
        <rFont val="Times New Roman"/>
        <family val="1"/>
      </rPr>
      <t xml:space="preserve">← </t>
    </r>
    <r>
      <rPr>
        <i/>
        <sz val="12"/>
        <color theme="1" tint="0.34998626667073579"/>
        <rFont val="Times New Roman"/>
        <family val="1"/>
      </rPr>
      <t>Please select</t>
    </r>
  </si>
  <si>
    <t>Region (ABS Statistical area level 4) if state is WA</t>
  </si>
  <si>
    <t>Western Australia - Outback (South)</t>
  </si>
  <si>
    <t>Leaching zone</t>
  </si>
  <si>
    <t>NO - Not in leaching zone</t>
  </si>
  <si>
    <t>Meters</t>
  </si>
  <si>
    <t>Average temperature for reporting period</t>
  </si>
  <si>
    <t>Degrees celsius</t>
  </si>
  <si>
    <t>Total rainfall for reporting period</t>
  </si>
  <si>
    <t>Millimetres</t>
  </si>
  <si>
    <t>Potential evapotranspiration for reporting period</t>
  </si>
  <si>
    <t>Number of frost days for reporting period</t>
  </si>
  <si>
    <t>Days</t>
  </si>
  <si>
    <t>MAP:PET ratio</t>
  </si>
  <si>
    <t>Wet or dry climate zone</t>
  </si>
  <si>
    <t>Emissions for whole production cycle</t>
  </si>
  <si>
    <t>Emissions calculation cycle</t>
  </si>
  <si>
    <t>Enter the method 1 and 2 CO2e emissions from prevoius emissions calculation periods if applicable.</t>
  </si>
  <si>
    <t>Months</t>
  </si>
  <si>
    <t>Product emissions</t>
  </si>
  <si>
    <t>Amount (tonnnes)</t>
  </si>
  <si>
    <t>Unit</t>
  </si>
  <si>
    <t>Emissions allocation (mass)</t>
  </si>
  <si>
    <t>Manure sold</t>
  </si>
  <si>
    <t>t co2e/t liveweight sold</t>
  </si>
  <si>
    <t>t co2e/t manure</t>
  </si>
  <si>
    <t>Emissions intensity (Method 1)</t>
  </si>
  <si>
    <t>Emissions intensity (Method 2)</t>
  </si>
  <si>
    <t>Product type</t>
  </si>
  <si>
    <t>Main product</t>
  </si>
  <si>
    <t>Co-product</t>
  </si>
  <si>
    <t>Manure used as fertiliser on own farm</t>
  </si>
  <si>
    <t>N/A</t>
  </si>
  <si>
    <t>Residual product</t>
  </si>
  <si>
    <t>Carbon removals from plantings</t>
  </si>
  <si>
    <t>CO2 removed attributed to this enterprise</t>
  </si>
  <si>
    <t>t CO2</t>
  </si>
  <si>
    <t>Total emissions for production cycle</t>
  </si>
  <si>
    <t>Total carbon removals for production cycle</t>
  </si>
  <si>
    <t>Net emissions</t>
  </si>
  <si>
    <t>Method 1</t>
  </si>
  <si>
    <t>Method 2</t>
  </si>
  <si>
    <t>Liveweight grown - Method 1</t>
  </si>
  <si>
    <t>Liveweight grown - Method 2</t>
  </si>
  <si>
    <t>Product</t>
  </si>
  <si>
    <t>t co2e/t liveweight grown</t>
  </si>
  <si>
    <t>3.2.1.1-2 Enteric methane</t>
  </si>
  <si>
    <t>5.1.1.1-2 Inorganic fert N2O</t>
  </si>
  <si>
    <t>5.1.1.3-4 Inorganic fert CO2</t>
  </si>
  <si>
    <t>5.2.1.1-2 Organic fert N2O</t>
  </si>
  <si>
    <t>5.3.1.1-2 Lime CO2</t>
  </si>
  <si>
    <t>5.4.1.1-4 Atmos. deposition</t>
  </si>
  <si>
    <t>5.5.1.1-2 Leaching &amp; runoff</t>
  </si>
  <si>
    <t>6.2.1.1-2 Pasture residue N2O</t>
  </si>
  <si>
    <t>6.3.1.1-2 Leach &amp; runoff (pasture)</t>
  </si>
  <si>
    <t>8.1.1.1-2 Transport fuel CO2</t>
  </si>
  <si>
    <t>8.1.1.1-2 Transport fuel N2O</t>
  </si>
  <si>
    <t>8.1.1.1-2 Transport fuel CH4</t>
  </si>
  <si>
    <t>8.2.1.1-2 Stationary fuel CO2</t>
  </si>
  <si>
    <t>8.2.1.1-2 Stationary fuel CH4</t>
  </si>
  <si>
    <t>8.2.1.1-2 Stationary fuel N2O</t>
  </si>
  <si>
    <t>14.1.1-2 Purchased electricity (Location-based)</t>
  </si>
  <si>
    <t>14.1.1-2 Purchased electricity (Market-based)</t>
  </si>
  <si>
    <t>Enter value</t>
  </si>
  <si>
    <t>Input - Enterprise</t>
  </si>
  <si>
    <t>percent</t>
  </si>
  <si>
    <t>Manure produced - method 1</t>
  </si>
  <si>
    <t>Manure produced - method 2</t>
  </si>
  <si>
    <t>Percentage of income from liveweight sold</t>
  </si>
  <si>
    <t>Percentage of income from manure sold</t>
  </si>
  <si>
    <t>=SUM(Table_Input_LivestockSales348[Total liveweight sold])*10^-3</t>
  </si>
  <si>
    <t>=SUM(Enterprise_PastureBeef_InputFunctions.multiplyCorrespondingCells('Input - Pasture Beef'!X_Table_PastureBeef_Head_Method1, 'Input - Pasture Beef'!X_Table_PastureBeef_Duration_Method1, 'Input - Pasture Beef'!X_Table_PastureBeef_LiveweightGain_Method1))*10^-3</t>
  </si>
  <si>
    <t>=SUM(Enterprise_PastureBeef_InputFunctions.multiplyCorrespondingCells('Input - Pasture Beef'!X_Table_PastureBeef_Head_Method2, 'Input - Pasture Beef'!X_Table_PastureBeef_Duration_Method2, 'Input - Pasture Beef'!X_Table_PastureBeef_LiveweightGain_Method2))*10^-3</t>
  </si>
  <si>
    <t>=SUM(Enterprise_PastureBeef_InputFunctions.multiplyCorrespondingCells('Input - Pasture Beef'!X_Table_PastureBeef_Head_Method1, Input - Pasture Beef'!X_Table_PastureBeef_Duration_Method1, '4.2.1.1-2 Methane'!M1_Table_VS_j_k_l))*10^-3</t>
  </si>
  <si>
    <t>=SUM(Enterprise_PastureBeef_InputFunctions.multiplyCorrespondingCells('Input - Pasture Beef'!X_Table_PastureBeef_Head_Method2, 'Input - Pasture Beef'!X_Table_PastureBeef_Duration_Method2, M2_Table_VS_j_k_l))*10^-3</t>
  </si>
  <si>
    <t>Input -Pasture Beef</t>
  </si>
  <si>
    <t>Herd movement</t>
  </si>
  <si>
    <t>Livestock production region</t>
  </si>
  <si>
    <t>South West</t>
  </si>
  <si>
    <t>Cattle breed</t>
  </si>
  <si>
    <t>Hereford or Shorthorn breeds</t>
  </si>
  <si>
    <r>
      <rPr>
        <b/>
        <sz val="12"/>
        <color rgb="FF0070C0"/>
        <rFont val="Times New Roman"/>
        <family val="1"/>
      </rPr>
      <t>NOTE:</t>
    </r>
    <r>
      <rPr>
        <sz val="12"/>
        <color rgb="FF0070C0"/>
        <rFont val="Times New Roman"/>
        <family val="1"/>
      </rPr>
      <t xml:space="preserve"> VEERG states that under method 2, time periods may be seasons, months or a custom time period. In this example, method 2 time periods are months.</t>
    </r>
  </si>
  <si>
    <t>Duration on farm</t>
  </si>
  <si>
    <t>Method 1 default values (do not edit)</t>
  </si>
  <si>
    <t>Bulls &lt; 1 year</t>
  </si>
  <si>
    <t>Bulls &gt; 1 year</t>
  </si>
  <si>
    <t>Cows &lt; 1 year</t>
  </si>
  <si>
    <t>Cows 1-2 years</t>
  </si>
  <si>
    <t>Cows 2-3 years</t>
  </si>
  <si>
    <t>Cows &gt; 3 years</t>
  </si>
  <si>
    <t>Steers &lt; 1 year</t>
  </si>
  <si>
    <t>Steers 1-2 years</t>
  </si>
  <si>
    <t>Steers 2-3 years</t>
  </si>
  <si>
    <t>Steers &gt;3 years</t>
  </si>
  <si>
    <t>Spring</t>
  </si>
  <si>
    <t>Summer</t>
  </si>
  <si>
    <t>Autumn</t>
  </si>
  <si>
    <t>Winter</t>
  </si>
  <si>
    <t>Method 2 custom values (edit if known)</t>
  </si>
  <si>
    <t>Head</t>
  </si>
  <si>
    <t>Method 1 values</t>
  </si>
  <si>
    <t>Method 2 values</t>
  </si>
  <si>
    <t>Liveweight</t>
  </si>
  <si>
    <t>kg/head</t>
  </si>
  <si>
    <t>Liveweight gain</t>
  </si>
  <si>
    <t>kg/head/day</t>
  </si>
  <si>
    <t>Proportion of cows &gt; 1 years in calf in the season of calving</t>
  </si>
  <si>
    <t>Calving season</t>
  </si>
  <si>
    <t>Calves born</t>
  </si>
  <si>
    <t>Calving season (select)</t>
  </si>
  <si>
    <t>Yes</t>
  </si>
  <si>
    <t>Percent</t>
  </si>
  <si>
    <t>No</t>
  </si>
  <si>
    <t>Proportion born this season</t>
  </si>
  <si>
    <r>
      <t>MC = (PB</t>
    </r>
    <r>
      <rPr>
        <b/>
        <vertAlign val="subscript"/>
        <sz val="14"/>
        <color theme="1" tint="0.24994659260841701"/>
        <rFont val="Times New Roman"/>
        <family val="1"/>
      </rPr>
      <t>calv</t>
    </r>
    <r>
      <rPr>
        <b/>
        <sz val="14"/>
        <color theme="1" tint="0.24994659260841701"/>
        <rFont val="Times New Roman"/>
        <family val="1"/>
      </rPr>
      <t>*6) + (PB</t>
    </r>
    <r>
      <rPr>
        <b/>
        <vertAlign val="subscript"/>
        <sz val="14"/>
        <color theme="1" tint="0.24994659260841701"/>
        <rFont val="Times New Roman"/>
        <family val="1"/>
      </rPr>
      <t>prev</t>
    </r>
    <r>
      <rPr>
        <b/>
        <sz val="14"/>
        <color theme="1" tint="0.24994659260841701"/>
        <rFont val="Times New Roman"/>
        <family val="1"/>
      </rPr>
      <t>*4) + (PB</t>
    </r>
    <r>
      <rPr>
        <b/>
        <vertAlign val="subscript"/>
        <sz val="14"/>
        <color theme="1" tint="0.24994659260841701"/>
        <rFont val="Times New Roman"/>
        <family val="1"/>
      </rPr>
      <t>earlier</t>
    </r>
    <r>
      <rPr>
        <b/>
        <sz val="14"/>
        <color theme="1" tint="0.24994659260841701"/>
        <rFont val="Times New Roman"/>
        <family val="1"/>
      </rPr>
      <t>*0)</t>
    </r>
  </si>
  <si>
    <t>First calving month</t>
  </si>
  <si>
    <t>August 2024</t>
  </si>
  <si>
    <t>Calving month 2</t>
  </si>
  <si>
    <t>Births</t>
  </si>
  <si>
    <t>Proportion born last season</t>
  </si>
  <si>
    <t>Proportion born earlier than last season</t>
  </si>
  <si>
    <t>MC</t>
  </si>
  <si>
    <t>Calving month 3</t>
  </si>
  <si>
    <t>Dry matter digestibility</t>
  </si>
  <si>
    <t>fraction</t>
  </si>
  <si>
    <t>Crude protein</t>
  </si>
  <si>
    <t>Manure management</t>
  </si>
  <si>
    <t>Are all dams and natural water sources fenced off so cattle cannot access them?</t>
  </si>
  <si>
    <t>Manure management system</t>
  </si>
  <si>
    <t>Percent in MMS</t>
  </si>
  <si>
    <t>Where did the livestock spend most of their time grazing?</t>
  </si>
  <si>
    <t>Pasture</t>
  </si>
  <si>
    <t>Sprinkler irrigation</t>
  </si>
  <si>
    <t>Livestock purchases</t>
  </si>
  <si>
    <t>⚠️ Livestock sales are not automatically reflected in the duration and head tables below - you will need to manually adjust head count and average liveweight</t>
  </si>
  <si>
    <t>Transaction name</t>
  </si>
  <si>
    <t>Purchase date</t>
  </si>
  <si>
    <t>Class (select)</t>
  </si>
  <si>
    <t>Purchase class (select)</t>
  </si>
  <si>
    <t>Source region (Select)</t>
  </si>
  <si>
    <t>Quantity (head)</t>
  </si>
  <si>
    <t>Liveweight (kg/head) Method 1</t>
  </si>
  <si>
    <t>Liveweight (kg/head) Method 2</t>
  </si>
  <si>
    <t>Cows from Barry</t>
  </si>
  <si>
    <t>Cattle, for prime beef</t>
  </si>
  <si>
    <t>WA - Kimberley</t>
  </si>
  <si>
    <t>Livestock sales</t>
  </si>
  <si>
    <t>Sale date</t>
  </si>
  <si>
    <t>Head sold</t>
  </si>
  <si>
    <t>Average weight per head (kg)</t>
  </si>
  <si>
    <t>Total liveweight sold</t>
  </si>
  <si>
    <t>3.2.1.1-2 Enteric Beef Grazing</t>
  </si>
  <si>
    <t>Function name</t>
  </si>
  <si>
    <t>EntericMethane_PastureBeef_Equations.VEERG_3_2_1_1__4_AdditionalIntakeForMilkProduction</t>
  </si>
  <si>
    <t>Variable</t>
  </si>
  <si>
    <t>M1_Table_LC_j_k-4-5</t>
  </si>
  <si>
    <t>Proportion of cows in calf during season (Method 1)</t>
  </si>
  <si>
    <t>M2_Table_LC_j_k-4-5</t>
  </si>
  <si>
    <t>Proportion of cows in calf during season (Method 2)</t>
  </si>
  <si>
    <t>Fraction</t>
  </si>
  <si>
    <t>M1_Table_MA_j_k-4-5</t>
  </si>
  <si>
    <t>Additional intake for milk production in calving and post-calving seasons (Method 1)</t>
  </si>
  <si>
    <r>
      <t>FA</t>
    </r>
    <r>
      <rPr>
        <b/>
        <vertAlign val="subscript"/>
        <sz val="11"/>
        <color rgb="FF183C1B"/>
        <rFont val="Times New Roman"/>
        <family val="1"/>
      </rPr>
      <t>jk=4,5</t>
    </r>
  </si>
  <si>
    <t>M2_Table_MA_j_k-4-5</t>
  </si>
  <si>
    <t>Additional intake for milk production in calving and post-calving seasons (Method 2)</t>
  </si>
  <si>
    <t>M2_Table_W_j_k_l</t>
  </si>
  <si>
    <t>Liveweight (Method 2)</t>
  </si>
  <si>
    <t>M1_Table_W_j_k_l</t>
  </si>
  <si>
    <t>Liveweight (Method 1)</t>
  </si>
  <si>
    <t>M1_Table_LWG_j_k_l</t>
  </si>
  <si>
    <t>Liveweight gain (Method 1)</t>
  </si>
  <si>
    <t>M2_Table_LWG_j_k_l</t>
  </si>
  <si>
    <t>Liveweight gain (Method 2)</t>
  </si>
  <si>
    <t>M1_Table_I_j_k_l</t>
  </si>
  <si>
    <t>Feed intake (Method 1)</t>
  </si>
  <si>
    <t>M2_Table_I_j_k_l</t>
  </si>
  <si>
    <t>Feed intake (Method 2)</t>
  </si>
  <si>
    <t>M1_Table_M_j_k_l</t>
  </si>
  <si>
    <t>Daily production of enteric methane (Method 1)</t>
  </si>
  <si>
    <t>M2_Table_M_j_k_l</t>
  </si>
  <si>
    <t>Daily production of enteric methane (Method 2)</t>
  </si>
  <si>
    <t>M1_Table_N_j_k_l</t>
  </si>
  <si>
    <t>Number of beef cattle (Method 1)</t>
  </si>
  <si>
    <t>M1_Table_D_j</t>
  </si>
  <si>
    <t>Duration of stay in each time period (Method 1)</t>
  </si>
  <si>
    <t>M2_Table_N_j_k_l</t>
  </si>
  <si>
    <t>Number of beef cattle (Method 2)</t>
  </si>
  <si>
    <t>M1_Table_E_enteric</t>
  </si>
  <si>
    <t>Total enteric methane production (Method 1)</t>
  </si>
  <si>
    <r>
      <t>E</t>
    </r>
    <r>
      <rPr>
        <b/>
        <vertAlign val="subscript"/>
        <sz val="16"/>
        <color theme="1" tint="0.24994659260841701"/>
        <rFont val="Times New Roman"/>
        <family val="1"/>
      </rPr>
      <t>CH4</t>
    </r>
  </si>
  <si>
    <t>M2_Table_D_j</t>
  </si>
  <si>
    <t>Duration of stay in each time period (Method 2)</t>
  </si>
  <si>
    <r>
      <t>E</t>
    </r>
    <r>
      <rPr>
        <vertAlign val="subscript"/>
        <sz val="12"/>
        <color theme="1" tint="0.24994659260841701"/>
        <rFont val="Times New Roman"/>
        <family val="1"/>
      </rPr>
      <t>CO2e</t>
    </r>
  </si>
  <si>
    <t>M2_Table_E_enteric</t>
  </si>
  <si>
    <t>Total enteric methane production (Method 2)</t>
  </si>
  <si>
    <t>Constants - Pasture Beef</t>
  </si>
  <si>
    <t>Pasture beefcrop or pasture production systems</t>
  </si>
  <si>
    <t>Irrigation methods</t>
  </si>
  <si>
    <t>Table_SourceData_PastureBeef_Region_WesternAustralia</t>
  </si>
  <si>
    <t>Table_SourceData_PastureBeef_Region_Queensland</t>
  </si>
  <si>
    <t>Table_SourceData_PastureBeef_Region_NorthernTerritory</t>
  </si>
  <si>
    <t>Table_SourceData_PastureBeef_Region_Victoria</t>
  </si>
  <si>
    <t>Production system</t>
  </si>
  <si>
    <t>Region</t>
  </si>
  <si>
    <t>Not irrigated</t>
  </si>
  <si>
    <t>Alice Springs</t>
  </si>
  <si>
    <t>High</t>
  </si>
  <si>
    <t>n/a</t>
  </si>
  <si>
    <t>Drip irrigation</t>
  </si>
  <si>
    <t>Pilbara</t>
  </si>
  <si>
    <t>Barkly</t>
  </si>
  <si>
    <t>Moderate/High</t>
  </si>
  <si>
    <t>Kimberley</t>
  </si>
  <si>
    <t>Northern</t>
  </si>
  <si>
    <t>Moderate/Low</t>
  </si>
  <si>
    <t>Table_SourceData_PastureBeef_Region_NewSouthWales</t>
  </si>
  <si>
    <t>Surface irrigation</t>
  </si>
  <si>
    <t>Low</t>
  </si>
  <si>
    <t>Other irrigation</t>
  </si>
  <si>
    <t>Table_SourceData_PastureBeef_Region_SouthAustralia</t>
  </si>
  <si>
    <t>Table_LivestockClasses_Beefcattle</t>
  </si>
  <si>
    <t>Bull &lt; 1</t>
  </si>
  <si>
    <t>Bull &gt; 1</t>
  </si>
  <si>
    <t>Cow &lt; 1</t>
  </si>
  <si>
    <t>Cow 1-2</t>
  </si>
  <si>
    <t>Cow &gt; 2</t>
  </si>
  <si>
    <t>Steer &lt; 1</t>
  </si>
  <si>
    <t>Steer &gt; 1</t>
  </si>
  <si>
    <t>Livestock class</t>
  </si>
  <si>
    <t>Table_SourceData_PastureBeef_Region_Tasmania</t>
  </si>
  <si>
    <t>Table_SourceData_PastureBeef_Region_ACT</t>
  </si>
  <si>
    <t>Table_ProductRegions_Beefcattle</t>
  </si>
  <si>
    <t>Scope3 region</t>
  </si>
  <si>
    <t>ACT</t>
  </si>
  <si>
    <t>NSW</t>
  </si>
  <si>
    <t>SA</t>
  </si>
  <si>
    <t>TAS</t>
  </si>
  <si>
    <t>VIC</t>
  </si>
  <si>
    <t>WA - South west</t>
  </si>
  <si>
    <t>WA</t>
  </si>
  <si>
    <t>WA - Pilbara</t>
  </si>
  <si>
    <t>NT - Alice Springs</t>
  </si>
  <si>
    <t>NT</t>
  </si>
  <si>
    <t>NT - Barkly</t>
  </si>
  <si>
    <t>NT - Northern</t>
  </si>
  <si>
    <t>QLD - High</t>
  </si>
  <si>
    <t>QLD</t>
  </si>
  <si>
    <t>QLD - Moderate/High</t>
  </si>
  <si>
    <t>QLD - Moderate/Low</t>
  </si>
  <si>
    <t>QLD - Low</t>
  </si>
  <si>
    <t>Australia</t>
  </si>
  <si>
    <t>Bull &lt;1</t>
  </si>
  <si>
    <t>Bull &gt;1</t>
  </si>
  <si>
    <t>Cows &lt;1</t>
  </si>
  <si>
    <t>Cows 1-2</t>
  </si>
  <si>
    <t>Cows 2-3</t>
  </si>
  <si>
    <t>Cows &gt;3</t>
  </si>
  <si>
    <t>Steer &lt;1</t>
  </si>
  <si>
    <t>Steer 1-2</t>
  </si>
  <si>
    <t>Steer 2-3</t>
  </si>
  <si>
    <t>Steer &gt;3</t>
  </si>
  <si>
    <t>Beef pasture cattle - Liveweight (kg) (Wjkl) all states</t>
  </si>
  <si>
    <t>Cow &lt;1</t>
  </si>
  <si>
    <t>Cow &gt;2</t>
  </si>
  <si>
    <t>Steer &gt;1</t>
  </si>
  <si>
    <t>Cow 2-3</t>
  </si>
  <si>
    <t>Cow &gt;3</t>
  </si>
  <si>
    <t>VARIATION ON SOURCE: Changed 'Season' values from season names to 'Calving season' and 'Season after calving' to acommodate cases where calving happens outside spring or summer</t>
  </si>
  <si>
    <t>Breed</t>
  </si>
  <si>
    <t>Feed adjustment</t>
  </si>
  <si>
    <t>Milk intake/production</t>
  </si>
  <si>
    <t>Season after calving</t>
  </si>
  <si>
    <t>Bulls &lt;1</t>
  </si>
  <si>
    <t>Bulls &gt;1</t>
  </si>
  <si>
    <t>Cows &gt;2</t>
  </si>
  <si>
    <t>State abbreviation</t>
  </si>
  <si>
    <t>Typo in VEERG declares unit as fraction when values are percent</t>
  </si>
  <si>
    <t>Uncovered Anaerobic lagoon</t>
  </si>
  <si>
    <t>Category</t>
  </si>
  <si>
    <t>Region of origin</t>
  </si>
  <si>
    <t>Quantity Unit</t>
  </si>
  <si>
    <t>AusLCI Emissions intensity</t>
  </si>
  <si>
    <t>System boundary</t>
  </si>
  <si>
    <t>4.2.1.1-2 Manure Methane</t>
  </si>
  <si>
    <t>Cows &lt; 3 months</t>
  </si>
  <si>
    <t>Cows 3-6 months</t>
  </si>
  <si>
    <t>Cows 6 months-1 year</t>
  </si>
  <si>
    <t>M1_Table_DMD_j_k_l</t>
  </si>
  <si>
    <t>M2_Table_DMD_j_k_l</t>
  </si>
  <si>
    <t>Dry matter digestibility (Method 1)</t>
  </si>
  <si>
    <t>Dry matter digestibility (Method 2)</t>
  </si>
  <si>
    <t>M1_Table_VS_j_k_l</t>
  </si>
  <si>
    <t>M2_Table_VS_j_k_l</t>
  </si>
  <si>
    <t>Volatile solid production (Method 1)</t>
  </si>
  <si>
    <t>Volatile solid production (Method 2)</t>
  </si>
  <si>
    <t>Table_MMS_m</t>
  </si>
  <si>
    <t>Fraction of waste in each MMS</t>
  </si>
  <si>
    <t>MMS</t>
  </si>
  <si>
    <t>MMSm</t>
  </si>
  <si>
    <t>M1_Table_MCF_i_m</t>
  </si>
  <si>
    <t>M2_Table_MCF_i_m</t>
  </si>
  <si>
    <t>Methane conversion factor (Method 1)</t>
  </si>
  <si>
    <t>Methane conversion factor (Method 2)</t>
  </si>
  <si>
    <r>
      <t>MCF</t>
    </r>
    <r>
      <rPr>
        <b/>
        <vertAlign val="subscript"/>
        <sz val="11"/>
        <color rgb="FF183C1B"/>
        <rFont val="Times New Roman"/>
        <family val="1"/>
      </rPr>
      <t>im</t>
    </r>
  </si>
  <si>
    <t>M1_Table_M_j_k_l_m</t>
  </si>
  <si>
    <t>M2_Table_M_j_k_l_m</t>
  </si>
  <si>
    <t>Methane production from manure (Method 1)</t>
  </si>
  <si>
    <t>Methane production from manure (Method 2)</t>
  </si>
  <si>
    <t>head</t>
  </si>
  <si>
    <t>days</t>
  </si>
  <si>
    <t>M1_Table_E_CH4</t>
  </si>
  <si>
    <t>Total methane production (Method 1)</t>
  </si>
  <si>
    <t>M2_Table_E_CH4</t>
  </si>
  <si>
    <t>Total methane production (Method 2)</t>
  </si>
  <si>
    <t>4.2.1.3-4 Manure Direct N2O</t>
  </si>
  <si>
    <t>M2_Table_LW_j_k_l</t>
  </si>
  <si>
    <t>Table_SRW_k</t>
  </si>
  <si>
    <t>Standard reference weight</t>
  </si>
  <si>
    <t>M1_Table_Z_j_k_l</t>
  </si>
  <si>
    <t>Relative size (Method 1)</t>
  </si>
  <si>
    <t>M2_Table_Z_j_k_l</t>
  </si>
  <si>
    <t>Relative size (Method 2)</t>
  </si>
  <si>
    <t>M1_Table_L_j_k_l</t>
  </si>
  <si>
    <t>Intake relative to maintenance (Method 1)</t>
  </si>
  <si>
    <t>M2_Table_L_j_k_l</t>
  </si>
  <si>
    <t>Intake relative to maintenance (Method 2)</t>
  </si>
  <si>
    <t>MMS_PastureBeef_Soil_N2ODirect_Equations.VEERG_4_2_1_3__5_MilkProductionForCalvingSeason</t>
  </si>
  <si>
    <t>M1_Table_MP_j_k-4-5</t>
  </si>
  <si>
    <t>Milk production</t>
  </si>
  <si>
    <r>
      <t>DMP</t>
    </r>
    <r>
      <rPr>
        <b/>
        <vertAlign val="subscript"/>
        <sz val="11"/>
        <color rgb="FF183C1B"/>
        <rFont val="Times New Roman"/>
        <family val="1"/>
      </rPr>
      <t>jk=4,5</t>
    </r>
  </si>
  <si>
    <t>M2_Table_MP_j_k-4-5</t>
  </si>
  <si>
    <t>M1_Table_NR_j_k_l</t>
  </si>
  <si>
    <t>Nitrogen retained in the body (Method 1)</t>
  </si>
  <si>
    <t>M2_Table_NR_j_k_l</t>
  </si>
  <si>
    <t>Nitrogen retained in the body (Method 2)</t>
  </si>
  <si>
    <t>M1_Table_CP_j</t>
  </si>
  <si>
    <t>Crude protein (Method 1)</t>
  </si>
  <si>
    <t>M1_Table_MC_j_k_1-3-6</t>
  </si>
  <si>
    <t>Milk consumption (Method 1)</t>
  </si>
  <si>
    <t>M2_Table_CP_j</t>
  </si>
  <si>
    <t>Crude protein (Method 2)</t>
  </si>
  <si>
    <t>M1_Table_NE_j_k_l</t>
  </si>
  <si>
    <t>Nitrogen excreted (Method 1)</t>
  </si>
  <si>
    <t>M2_Table_MC_j_k_1-3-6</t>
  </si>
  <si>
    <t>Milk consumption (Method 2)</t>
  </si>
  <si>
    <t>M2_Table_NE_j_k_l</t>
  </si>
  <si>
    <t>Nitrogen excreted (Method 2)</t>
  </si>
  <si>
    <t>M1_Table_AE</t>
  </si>
  <si>
    <t>Total nitrogen excreted to pasture, range and paddock (Method 1)</t>
  </si>
  <si>
    <t>AE</t>
  </si>
  <si>
    <r>
      <t>E</t>
    </r>
    <r>
      <rPr>
        <b/>
        <vertAlign val="subscript"/>
        <sz val="16"/>
        <color theme="1" tint="0.24994659260841701"/>
        <rFont val="Times New Roman"/>
        <family val="1"/>
      </rPr>
      <t>N2O,dir</t>
    </r>
  </si>
  <si>
    <t>M2_Table_AE</t>
  </si>
  <si>
    <t>Total nitrogen excreted to pasture, range and paddock (Method 2)</t>
  </si>
  <si>
    <t>4.2.1.5-6 Soil atmospheric deposition N2O</t>
  </si>
  <si>
    <r>
      <t>M</t>
    </r>
    <r>
      <rPr>
        <b/>
        <vertAlign val="subscript"/>
        <sz val="12"/>
        <color theme="1" tint="0.24994659260841701"/>
        <rFont val="Times New Roman"/>
        <family val="1"/>
      </rPr>
      <t>vol</t>
    </r>
  </si>
  <si>
    <r>
      <t>E</t>
    </r>
    <r>
      <rPr>
        <b/>
        <vertAlign val="subscript"/>
        <sz val="12"/>
        <color theme="1" tint="0.24994659260841701"/>
        <rFont val="Times New Roman"/>
        <family val="1"/>
      </rPr>
      <t>N2O,ad</t>
    </r>
  </si>
  <si>
    <t>4.3.1.12-13 Soil leaching and runoff N2O</t>
  </si>
  <si>
    <r>
      <t>M</t>
    </r>
    <r>
      <rPr>
        <b/>
        <vertAlign val="subscript"/>
        <sz val="12"/>
        <color theme="1" tint="0.24994659260841701"/>
        <rFont val="Times New Roman"/>
        <family val="1"/>
      </rPr>
      <t>leach</t>
    </r>
  </si>
  <si>
    <r>
      <t>E</t>
    </r>
    <r>
      <rPr>
        <b/>
        <vertAlign val="subscript"/>
        <sz val="12"/>
        <color theme="1" tint="0.24994659260841701"/>
        <rFont val="Times New Roman"/>
        <family val="1"/>
      </rPr>
      <t>N2O,leach</t>
    </r>
  </si>
  <si>
    <t>Input - Fertiliser</t>
  </si>
  <si>
    <t>Crop</t>
  </si>
  <si>
    <t>Crop type</t>
  </si>
  <si>
    <t>Grains</t>
  </si>
  <si>
    <t>Area under cropping</t>
  </si>
  <si>
    <t>hectares</t>
  </si>
  <si>
    <t>Inorganic fertiliser applied</t>
  </si>
  <si>
    <t>💡You can add more rows to tables by right-clicking on the table and selecting "Insert &gt; Table rows above/below".</t>
  </si>
  <si>
    <t>💡The application area is the same as the area under pasture / cropping by default. You can edit it if the application area is different.</t>
  </si>
  <si>
    <t>Branded fertiliser products</t>
  </si>
  <si>
    <t>Product (select)</t>
  </si>
  <si>
    <r>
      <t xml:space="preserve">Amount applied </t>
    </r>
    <r>
      <rPr>
        <sz val="11"/>
        <color theme="1"/>
        <rFont val="Times New Roman"/>
        <family val="1"/>
      </rPr>
      <t>per hectare</t>
    </r>
  </si>
  <si>
    <t>Application unit</t>
  </si>
  <si>
    <t>Density</t>
  </si>
  <si>
    <t>Application area (ha)</t>
  </si>
  <si>
    <t>Total applied (kg)</t>
  </si>
  <si>
    <t>Ingredient 1</t>
  </si>
  <si>
    <t>Ingredient 1 percent</t>
  </si>
  <si>
    <t>Ingredient 2</t>
  </si>
  <si>
    <t>Ingredient 2 percent</t>
  </si>
  <si>
    <t>Ingredient 3</t>
  </si>
  <si>
    <t>Ingredient 3 percent</t>
  </si>
  <si>
    <t>Ingredient 4</t>
  </si>
  <si>
    <t>Ingredient 4 percent</t>
  </si>
  <si>
    <t>Ingredient 5</t>
  </si>
  <si>
    <t>Ingredient 5 percent</t>
  </si>
  <si>
    <t>Ingredient 6</t>
  </si>
  <si>
    <t>Ingredient 6 percent</t>
  </si>
  <si>
    <t>N application rate (kg/ha)</t>
  </si>
  <si>
    <t>Urea source</t>
  </si>
  <si>
    <t>Ammonia source</t>
  </si>
  <si>
    <t>Aqua Finish</t>
  </si>
  <si>
    <t>CalPhos</t>
  </si>
  <si>
    <t>Aqua Grow</t>
  </si>
  <si>
    <t>Aqua NitroCal</t>
  </si>
  <si>
    <t>Custom fertiliser blends</t>
  </si>
  <si>
    <t>Custom blend name</t>
  </si>
  <si>
    <r>
      <t xml:space="preserve">Amount applied </t>
    </r>
    <r>
      <rPr>
        <sz val="11"/>
        <color theme="1"/>
        <rFont val="Times New Roman"/>
        <family val="1"/>
      </rPr>
      <t>(kg / ha)</t>
    </r>
  </si>
  <si>
    <t>Ingredient 1 (select)</t>
  </si>
  <si>
    <t>Urea source (Select)</t>
  </si>
  <si>
    <t>Ammonia source (select)</t>
  </si>
  <si>
    <t>My first custom blend</t>
  </si>
  <si>
    <t>Calcium nitrate</t>
  </si>
  <si>
    <t>Zinc - Generic</t>
  </si>
  <si>
    <t>Potassium - Generic</t>
  </si>
  <si>
    <t>Sulfur - Generic</t>
  </si>
  <si>
    <t>My second custom blend</t>
  </si>
  <si>
    <t>Urea</t>
  </si>
  <si>
    <t>My third custom blend</t>
  </si>
  <si>
    <t>Ammonia</t>
  </si>
  <si>
    <t>Soil ameliorants (lime)</t>
  </si>
  <si>
    <t>💡 You can add more rows to the table by right-clicking on the table and selecting "Insert &gt; Table rows above/below".</t>
  </si>
  <si>
    <t>💡 'Lime' refers to calcium carbonate - CaCO3. 'Dolomite' refers to calcium magnesium carbonate - CaMg(CO3)2</t>
  </si>
  <si>
    <t>Amount applied (t/hectare)</t>
  </si>
  <si>
    <t>Total amount applied (t)</t>
  </si>
  <si>
    <r>
      <t>Percent Lime CaCO</t>
    </r>
    <r>
      <rPr>
        <b/>
        <vertAlign val="subscript"/>
        <sz val="11"/>
        <color rgb="FF533001"/>
        <rFont val="Times New Roman"/>
        <family val="1"/>
      </rPr>
      <t>3</t>
    </r>
  </si>
  <si>
    <r>
      <t>Percent Dolomite CaMg(CO</t>
    </r>
    <r>
      <rPr>
        <b/>
        <vertAlign val="subscript"/>
        <sz val="11"/>
        <color rgb="FF533001"/>
        <rFont val="Times New Roman"/>
        <family val="1"/>
      </rPr>
      <t>3</t>
    </r>
    <r>
      <rPr>
        <b/>
        <sz val="11"/>
        <color rgb="FF533001"/>
        <rFont val="Times New Roman"/>
        <family val="1"/>
      </rPr>
      <t>)</t>
    </r>
    <r>
      <rPr>
        <b/>
        <vertAlign val="subscript"/>
        <sz val="11"/>
        <color rgb="FF533001"/>
        <rFont val="Times New Roman"/>
        <family val="1"/>
      </rPr>
      <t>2</t>
    </r>
  </si>
  <si>
    <t>Percent Gypsum</t>
  </si>
  <si>
    <t>Lime product 1</t>
  </si>
  <si>
    <t>Lime product 2</t>
  </si>
  <si>
    <t>Lime product 3</t>
  </si>
  <si>
    <t>Organic fertiliser applied</t>
  </si>
  <si>
    <t>Organic fertiliser type (select)</t>
  </si>
  <si>
    <t>Percentage of N in fertiliser</t>
  </si>
  <si>
    <t>Amount applied (kg/hectare)</t>
  </si>
  <si>
    <t>Amount N applied (kg/hectare)</t>
  </si>
  <si>
    <t>Total organic fertliser applied</t>
  </si>
  <si>
    <t>Total nitrogen applied (kg)</t>
  </si>
  <si>
    <t>Manure - Other</t>
  </si>
  <si>
    <t>Manure - Poultry</t>
  </si>
  <si>
    <t>Other organic fertiliser</t>
  </si>
  <si>
    <t>5.1.1.1-2 Inorganic fertiliser application N2O emissions</t>
  </si>
  <si>
    <t>Not used - application rate calculated per product blend application</t>
  </si>
  <si>
    <t>Table_MN_j_f</t>
  </si>
  <si>
    <t>Mass of nitrogen applied</t>
  </si>
  <si>
    <t>Fertiliser type f</t>
  </si>
  <si>
    <r>
      <t>TM</t>
    </r>
    <r>
      <rPr>
        <b/>
        <vertAlign val="subscript"/>
        <sz val="11"/>
        <color rgb="FF533001"/>
        <rFont val="Times New Roman"/>
        <family val="1"/>
      </rPr>
      <t>jf</t>
    </r>
  </si>
  <si>
    <r>
      <t>FN</t>
    </r>
    <r>
      <rPr>
        <b/>
        <vertAlign val="subscript"/>
        <sz val="11"/>
        <color rgb="FF183C1B"/>
        <rFont val="Times New Roman"/>
        <family val="1"/>
      </rPr>
      <t>inorganic,f</t>
    </r>
  </si>
  <si>
    <r>
      <t>MN</t>
    </r>
    <r>
      <rPr>
        <b/>
        <vertAlign val="subscript"/>
        <sz val="11"/>
        <color rgb="FF533001"/>
        <rFont val="Times New Roman"/>
        <family val="1"/>
      </rPr>
      <t>jf</t>
    </r>
  </si>
  <si>
    <r>
      <t>ALERT: For method 2 the application rate (N) and mass of nitrogen (MN) is calculated per</t>
    </r>
    <r>
      <rPr>
        <b/>
        <i/>
        <sz val="12"/>
        <color rgb="FFCC6600"/>
        <rFont val="Times New Roman"/>
        <family val="1"/>
      </rPr>
      <t xml:space="preserve"> fertiliser application instance</t>
    </r>
    <r>
      <rPr>
        <b/>
        <sz val="12"/>
        <color rgb="FFCC6600"/>
        <rFont val="Times New Roman"/>
        <family val="1"/>
      </rPr>
      <t>, not per fertiliser type.</t>
    </r>
  </si>
  <si>
    <t>M2_Table_FertApplications</t>
  </si>
  <si>
    <t>Capped cotton applicationj rate to 300 based on VEERG "application rate of inorganic fertiliser type f in the cotton crop (kg N/ha). This is capped at a maximum of 0.0183 kg CO2e/kg N, equivalent to N application rates of 300 kg N/ha "</t>
  </si>
  <si>
    <t>Fertiliser product applications (Method 2)</t>
  </si>
  <si>
    <t>kg / hectare</t>
  </si>
  <si>
    <t>kg</t>
  </si>
  <si>
    <t>kg N2O-N/kg N applied</t>
  </si>
  <si>
    <t>Product applied</t>
  </si>
  <si>
    <t>N Application rate</t>
  </si>
  <si>
    <t>Application area</t>
  </si>
  <si>
    <t>MN</t>
  </si>
  <si>
    <t>N App. rate for cotton (max 300)</t>
  </si>
  <si>
    <t>MN for cotton</t>
  </si>
  <si>
    <t>EF_jN2O</t>
  </si>
  <si>
    <t>Branded product</t>
  </si>
  <si>
    <t>Custom blend</t>
  </si>
  <si>
    <t>M1_Table_E_N2O</t>
  </si>
  <si>
    <t>Nitrous oxide emissions from inorganic fertiliser application (Method 1)</t>
  </si>
  <si>
    <r>
      <t>E</t>
    </r>
    <r>
      <rPr>
        <b/>
        <vertAlign val="subscript"/>
        <sz val="11"/>
        <color rgb="FF183C1B"/>
        <rFont val="Times New Roman"/>
        <family val="1"/>
      </rPr>
      <t>N2O</t>
    </r>
  </si>
  <si>
    <t>Not used</t>
  </si>
  <si>
    <r>
      <t>EFj</t>
    </r>
    <r>
      <rPr>
        <b/>
        <vertAlign val="subscript"/>
        <sz val="11"/>
        <color rgb="FF183C1B"/>
        <rFont val="Times New Roman"/>
        <family val="1"/>
      </rPr>
      <t>N2O</t>
    </r>
  </si>
  <si>
    <r>
      <t>E</t>
    </r>
    <r>
      <rPr>
        <b/>
        <vertAlign val="subscript"/>
        <sz val="16"/>
        <color theme="1" tint="0.24994659260841701"/>
        <rFont val="Times New Roman"/>
        <family val="1"/>
      </rPr>
      <t>N2O</t>
    </r>
  </si>
  <si>
    <t>5.1.1.3-4 Inorganic fertiliser application CO2 emissions</t>
  </si>
  <si>
    <t>Table_MU_j_f</t>
  </si>
  <si>
    <t>Mass of urea applied</t>
  </si>
  <si>
    <r>
      <t>FU</t>
    </r>
    <r>
      <rPr>
        <b/>
        <vertAlign val="subscript"/>
        <sz val="11"/>
        <color rgb="FF183C1B"/>
        <rFont val="Times New Roman"/>
        <family val="1"/>
      </rPr>
      <t>f</t>
    </r>
  </si>
  <si>
    <r>
      <t>MU</t>
    </r>
    <r>
      <rPr>
        <b/>
        <vertAlign val="subscript"/>
        <sz val="11"/>
        <color rgb="FF533001"/>
        <rFont val="Times New Roman"/>
        <family val="1"/>
      </rPr>
      <t>jf</t>
    </r>
  </si>
  <si>
    <t>M1_Table_E_CO2</t>
  </si>
  <si>
    <t>Carbon dioxide oxide emissions from inorganic fertiliser application (Method 1)</t>
  </si>
  <si>
    <r>
      <t>E</t>
    </r>
    <r>
      <rPr>
        <b/>
        <vertAlign val="subscript"/>
        <sz val="16"/>
        <color theme="1" tint="0.24994659260841701"/>
        <rFont val="Times New Roman"/>
        <family val="1"/>
      </rPr>
      <t>CO2</t>
    </r>
  </si>
  <si>
    <t>5.2.1.1 1-2 Organic fertiliser application N2O emissions</t>
  </si>
  <si>
    <t>Table_MNSoil_j_f</t>
  </si>
  <si>
    <t>Mass of nitrogen in organic fertilisers</t>
  </si>
  <si>
    <t>Organic fertiliser type (f)</t>
  </si>
  <si>
    <t>Amount applied (kg/ha)</t>
  </si>
  <si>
    <r>
      <t>M</t>
    </r>
    <r>
      <rPr>
        <b/>
        <vertAlign val="subscript"/>
        <sz val="11"/>
        <color rgb="FF183C1B"/>
        <rFont val="Times New Roman"/>
        <family val="1"/>
      </rPr>
      <t>organicjf</t>
    </r>
  </si>
  <si>
    <r>
      <t>FN</t>
    </r>
    <r>
      <rPr>
        <b/>
        <vertAlign val="subscript"/>
        <sz val="11"/>
        <color rgb="FF183C1B"/>
        <rFont val="Times New Roman"/>
        <family val="1"/>
      </rPr>
      <t>organicf</t>
    </r>
  </si>
  <si>
    <r>
      <t>MNSoil</t>
    </r>
    <r>
      <rPr>
        <b/>
        <vertAlign val="subscript"/>
        <sz val="11"/>
        <color rgb="FF183C1B"/>
        <rFont val="Times New Roman"/>
        <family val="1"/>
      </rPr>
      <t>jf</t>
    </r>
  </si>
  <si>
    <r>
      <t>MNSoil</t>
    </r>
    <r>
      <rPr>
        <b/>
        <vertAlign val="subscript"/>
        <sz val="12"/>
        <color theme="1" tint="0.24994659260841701"/>
        <rFont val="Times New Roman"/>
        <family val="1"/>
      </rPr>
      <t>jf</t>
    </r>
  </si>
  <si>
    <t>5.3.1.1 1-2 Lime application CO2</t>
  </si>
  <si>
    <t>Table_E_lime</t>
  </si>
  <si>
    <t>Lime applications</t>
  </si>
  <si>
    <t>Element</t>
  </si>
  <si>
    <t>M</t>
  </si>
  <si>
    <t>FracLime</t>
  </si>
  <si>
    <t>FracDol</t>
  </si>
  <si>
    <t>Elime</t>
  </si>
  <si>
    <r>
      <t>E</t>
    </r>
    <r>
      <rPr>
        <b/>
        <vertAlign val="subscript"/>
        <sz val="16"/>
        <color theme="1" tint="0.24994659260841701"/>
        <rFont val="Times New Roman"/>
        <family val="1"/>
      </rPr>
      <t>lime</t>
    </r>
  </si>
  <si>
    <t>5.4.1.1-4  Atmospheric deposition resulting from fertiliser application</t>
  </si>
  <si>
    <t>Table_M_vol_inorganic_j_f</t>
  </si>
  <si>
    <t>Mass of nitrogen volatilised from inorganic fertiliser application</t>
  </si>
  <si>
    <t>Chemical compound</t>
  </si>
  <si>
    <r>
      <t>MN</t>
    </r>
    <r>
      <rPr>
        <b/>
        <vertAlign val="subscript"/>
        <sz val="11"/>
        <color rgb="FF183C1B"/>
        <rFont val="Times New Roman"/>
        <family val="1"/>
      </rPr>
      <t>jf</t>
    </r>
  </si>
  <si>
    <t>Basis</t>
  </si>
  <si>
    <r>
      <t>FracGASF</t>
    </r>
    <r>
      <rPr>
        <b/>
        <vertAlign val="subscript"/>
        <sz val="11"/>
        <color rgb="FF183C1B"/>
        <rFont val="Times New Roman"/>
        <family val="1"/>
      </rPr>
      <t>f</t>
    </r>
  </si>
  <si>
    <r>
      <t>M</t>
    </r>
    <r>
      <rPr>
        <b/>
        <vertAlign val="subscript"/>
        <sz val="11"/>
        <color rgb="FF183C1B"/>
        <rFont val="Times New Roman"/>
        <family val="1"/>
      </rPr>
      <t>volinorganicjf</t>
    </r>
  </si>
  <si>
    <t>Table_E_ad_inorganic</t>
  </si>
  <si>
    <t>Atmospheric deposition emissions from inorganic fertiliser</t>
  </si>
  <si>
    <r>
      <t>E</t>
    </r>
    <r>
      <rPr>
        <b/>
        <vertAlign val="subscript"/>
        <sz val="11"/>
        <color rgb="FF183C1B"/>
        <rFont val="Times New Roman"/>
        <family val="1"/>
      </rPr>
      <t>ad,inorganic</t>
    </r>
  </si>
  <si>
    <r>
      <t>E</t>
    </r>
    <r>
      <rPr>
        <b/>
        <vertAlign val="subscript"/>
        <sz val="16"/>
        <color theme="1" tint="0.24994659260841701"/>
        <rFont val="Times New Roman"/>
        <family val="1"/>
      </rPr>
      <t>ad,inorganic</t>
    </r>
  </si>
  <si>
    <t>Table_M_vol_organic_j_f</t>
  </si>
  <si>
    <t>Mass of nitrogen volatilised from organic fertiliser applied</t>
  </si>
  <si>
    <r>
      <t>M</t>
    </r>
    <r>
      <rPr>
        <b/>
        <vertAlign val="subscript"/>
        <sz val="11"/>
        <color rgb="FF183C1B"/>
        <rFont val="Times New Roman"/>
        <family val="1"/>
      </rPr>
      <t>vol,organic,jf</t>
    </r>
  </si>
  <si>
    <t>Table_E_ad_organic</t>
  </si>
  <si>
    <t>Atmospheric deposition emissions from organic fertiliser</t>
  </si>
  <si>
    <r>
      <t>E</t>
    </r>
    <r>
      <rPr>
        <b/>
        <vertAlign val="subscript"/>
        <sz val="11"/>
        <color rgb="FF183C1B"/>
        <rFont val="Times New Roman"/>
        <family val="1"/>
      </rPr>
      <t>ad,organic</t>
    </r>
  </si>
  <si>
    <r>
      <t>E</t>
    </r>
    <r>
      <rPr>
        <b/>
        <vertAlign val="subscript"/>
        <sz val="16"/>
        <color theme="1" tint="0.24994659260841701"/>
        <rFont val="Times New Roman"/>
        <family val="1"/>
      </rPr>
      <t>ad,organic</t>
    </r>
  </si>
  <si>
    <t>5.5.1.1-2  Leaching and runoff</t>
  </si>
  <si>
    <t>Table_M_leach_inorganic_j</t>
  </si>
  <si>
    <t>Mass of nitrogen from inorganic fertiliser lost through leaching and runoff</t>
  </si>
  <si>
    <r>
      <t>M</t>
    </r>
    <r>
      <rPr>
        <b/>
        <vertAlign val="subscript"/>
        <sz val="11"/>
        <color rgb="FF183C1B"/>
        <rFont val="Times New Roman"/>
        <family val="1"/>
      </rPr>
      <t>leach,inorganic,j</t>
    </r>
  </si>
  <si>
    <r>
      <t>M</t>
    </r>
    <r>
      <rPr>
        <b/>
        <vertAlign val="subscript"/>
        <sz val="12"/>
        <color theme="1" tint="0.24994659260841701"/>
        <rFont val="Times New Roman"/>
        <family val="1"/>
      </rPr>
      <t>leach,inorganic,j</t>
    </r>
  </si>
  <si>
    <t>Table_M_leach_organic_j</t>
  </si>
  <si>
    <t>Mass of nitrogen from organic fertiliser lost through leaching and runoff</t>
  </si>
  <si>
    <r>
      <t>M</t>
    </r>
    <r>
      <rPr>
        <b/>
        <vertAlign val="subscript"/>
        <sz val="11"/>
        <color rgb="FF183C1B"/>
        <rFont val="Times New Roman"/>
        <family val="1"/>
      </rPr>
      <t>leach,organic,j</t>
    </r>
  </si>
  <si>
    <r>
      <t>M</t>
    </r>
    <r>
      <rPr>
        <b/>
        <vertAlign val="subscript"/>
        <sz val="12"/>
        <color theme="1" tint="0.24994659260841701"/>
        <rFont val="Times New Roman"/>
        <family val="1"/>
      </rPr>
      <t>leach,organic,j</t>
    </r>
  </si>
  <si>
    <r>
      <t>E</t>
    </r>
    <r>
      <rPr>
        <b/>
        <vertAlign val="subscript"/>
        <sz val="16"/>
        <color theme="1" tint="0.24994659260841701"/>
        <rFont val="Times New Roman"/>
        <family val="1"/>
      </rPr>
      <t>fert,leach</t>
    </r>
  </si>
  <si>
    <t>Constants - Fertiliser</t>
  </si>
  <si>
    <t>FNinorganic f</t>
  </si>
  <si>
    <t>FU f</t>
  </si>
  <si>
    <t>Lifecycles Scope 3 definition</t>
  </si>
  <si>
    <t>Source</t>
  </si>
  <si>
    <t>Production systems</t>
  </si>
  <si>
    <t>Crop types</t>
  </si>
  <si>
    <t>Organic fertiliser types</t>
  </si>
  <si>
    <t>Organic fertiliser type</t>
  </si>
  <si>
    <t>Manure - Cattle</t>
  </si>
  <si>
    <t>Maize</t>
  </si>
  <si>
    <t>Manure - Swine</t>
  </si>
  <si>
    <t>Cotton</t>
  </si>
  <si>
    <t>FracGASF f</t>
  </si>
  <si>
    <t>P</t>
  </si>
  <si>
    <t>EF</t>
  </si>
  <si>
    <t xml:space="preserve">Nitrogen - Generic </t>
  </si>
  <si>
    <t>Fertiliser products</t>
  </si>
  <si>
    <t>Include or Exclude</t>
  </si>
  <si>
    <t>Notes</t>
  </si>
  <si>
    <t>Company</t>
  </si>
  <si>
    <t>Product name</t>
  </si>
  <si>
    <t>Density / gravity</t>
  </si>
  <si>
    <t>Ingredient 7</t>
  </si>
  <si>
    <t>Ingredient 7 percent</t>
  </si>
  <si>
    <t>Ingredient 8</t>
  </si>
  <si>
    <t>Ingredient 8 percent</t>
  </si>
  <si>
    <t>Ingredient 9</t>
  </si>
  <si>
    <t>Ingredient 9 percent</t>
  </si>
  <si>
    <t>Imngredient 10</t>
  </si>
  <si>
    <t>Ingredient 10 percent</t>
  </si>
  <si>
    <t>Input - Electricity</t>
  </si>
  <si>
    <t>How do you want to calculate electricity emissions?</t>
  </si>
  <si>
    <t>Location-based (simpler)</t>
  </si>
  <si>
    <t>Option 1: Location-based electricity</t>
  </si>
  <si>
    <t>State grid electricity purchases</t>
  </si>
  <si>
    <t>💡The grid you purchase electricity from is typically the same as the state and region the farm is in.</t>
  </si>
  <si>
    <t>Amount purchased in kWh</t>
  </si>
  <si>
    <t>kWh</t>
  </si>
  <si>
    <t>State and region your farm is in</t>
  </si>
  <si>
    <t>Grid where electricity purchased from</t>
  </si>
  <si>
    <t>Western Australia - North Western Interconnected System (NWIS)</t>
  </si>
  <si>
    <t>Option 2: Market-based electricity</t>
  </si>
  <si>
    <t>Electricity purchased in kWh (excluding GreenPower providers)</t>
  </si>
  <si>
    <t xml:space="preserve">Renewable Power Percentage </t>
  </si>
  <si>
    <t>Jurisdictional renewable power percentage (ACT only)</t>
  </si>
  <si>
    <t>Electricity purchased from an accredited GreenPower provider</t>
  </si>
  <si>
    <t>Start of reporting year</t>
  </si>
  <si>
    <t>End of reporting year</t>
  </si>
  <si>
    <t>Voluntarily surrendered Renewable Energy Certificates (RECs)</t>
  </si>
  <si>
    <t>💡 You can add more rows to the table by right-clicking on the table and selecting "Insert &gt; Table rows above/below"</t>
  </si>
  <si>
    <t>Description</t>
  </si>
  <si>
    <t>Source (select)</t>
  </si>
  <si>
    <t>Generation date</t>
  </si>
  <si>
    <t>Number of certificates</t>
  </si>
  <si>
    <t>MWh</t>
  </si>
  <si>
    <t>Elegibility</t>
  </si>
  <si>
    <t>Dec 2020 certs</t>
  </si>
  <si>
    <t>Purchased certificate</t>
  </si>
  <si>
    <t>Jan 2022 certs</t>
  </si>
  <si>
    <t>Issued for generated electricity</t>
  </si>
  <si>
    <t>2024 certs</t>
  </si>
  <si>
    <t>Total elegible voluntarily surrendered RECs</t>
  </si>
  <si>
    <t xml:space="preserve"> </t>
  </si>
  <si>
    <t>Renewable Energy Certificates (RECs) for electricity produced on-site and consumed by the entity</t>
  </si>
  <si>
    <t>May 2022 generated</t>
  </si>
  <si>
    <t>Jul 24 certs generated</t>
  </si>
  <si>
    <t>Total elegible RECs for electricity produced on-site and consumed by entity</t>
  </si>
  <si>
    <t>14.1.1-2 Purchased Electricity</t>
  </si>
  <si>
    <r>
      <rPr>
        <b/>
        <sz val="16"/>
        <color theme="1" tint="0.24994659260841701"/>
        <rFont val="Times New Roman"/>
        <family val="1"/>
      </rPr>
      <t>E</t>
    </r>
    <r>
      <rPr>
        <b/>
        <vertAlign val="subscript"/>
        <sz val="16"/>
        <color theme="1" tint="0.24994659260841701"/>
        <rFont val="Times New Roman"/>
        <family val="1"/>
      </rPr>
      <t>2,elec</t>
    </r>
  </si>
  <si>
    <t>Constants - Electricity</t>
  </si>
  <si>
    <t>State, Territory or grid description</t>
  </si>
  <si>
    <t>Scope 2 Emission Factors (kg CO2-e/kWh)</t>
  </si>
  <si>
    <t>Scope 3 Emission Factors (kg CO2-e/kWh)</t>
  </si>
  <si>
    <t>Scope 2 EF (kg CO2-e/kWh)</t>
  </si>
  <si>
    <t>Scope 2 EF (kg CO2-e/GJ)</t>
  </si>
  <si>
    <t>Scope 3 EF (kg CO2-e/kWh)</t>
  </si>
  <si>
    <t>Scope 3 EF (kg CO2-e/GJ)</t>
  </si>
  <si>
    <t>Input - Fuel</t>
  </si>
  <si>
    <t>Fuel purchases and consumption</t>
  </si>
  <si>
    <t>A 'Metropolitan' location is:</t>
  </si>
  <si>
    <t>● On or east of the dividing range in NSW (including Canberra and Queanbeyan)</t>
  </si>
  <si>
    <t>● In Melbourne, Brisbane, Adelaide or Perth</t>
  </si>
  <si>
    <t>Is the property in a Metropolitan location?</t>
  </si>
  <si>
    <t>Metro</t>
  </si>
  <si>
    <t>💡 'Percent consumed" is 100% by default. If you purchased more fuel than was consumed you can edit this field.</t>
  </si>
  <si>
    <t>Fuel use (select)</t>
  </si>
  <si>
    <t>Fuel type (select)</t>
  </si>
  <si>
    <t>Amount purchased</t>
  </si>
  <si>
    <t>Amount unit</t>
  </si>
  <si>
    <t>Percent consumed</t>
  </si>
  <si>
    <t>Amount consumed</t>
  </si>
  <si>
    <t>Amount consumed unit</t>
  </si>
  <si>
    <t>Power standalone machinery or heating</t>
  </si>
  <si>
    <t>Town gas in GJ</t>
  </si>
  <si>
    <t>Petrol</t>
  </si>
  <si>
    <t>Cars and light commercial vehicles</t>
  </si>
  <si>
    <t>Diesel</t>
  </si>
  <si>
    <t>Off-road Agriculture and forestry equipment</t>
  </si>
  <si>
    <t>Vessels</t>
  </si>
  <si>
    <t>Fuel oil</t>
  </si>
  <si>
    <t>8.1.1.1-2 Transport fuel combustion</t>
  </si>
  <si>
    <t>Table_E_g</t>
  </si>
  <si>
    <t>Emissions for transport fuel combustion</t>
  </si>
  <si>
    <t>Fuel use</t>
  </si>
  <si>
    <t>Fuel type (NGAF terminology)</t>
  </si>
  <si>
    <t>Fuel type (q)</t>
  </si>
  <si>
    <r>
      <t>EC</t>
    </r>
    <r>
      <rPr>
        <b/>
        <vertAlign val="subscript"/>
        <sz val="11"/>
        <color rgb="FF183C1B"/>
        <rFont val="Times New Roman"/>
        <family val="1"/>
      </rPr>
      <t>Trans,q</t>
    </r>
  </si>
  <si>
    <r>
      <t>EF</t>
    </r>
    <r>
      <rPr>
        <b/>
        <vertAlign val="subscript"/>
        <sz val="11"/>
        <color rgb="FF183C1B"/>
        <rFont val="Times New Roman"/>
        <family val="1"/>
      </rPr>
      <t>Trans,1,q,g=CO2</t>
    </r>
  </si>
  <si>
    <r>
      <t>EF</t>
    </r>
    <r>
      <rPr>
        <b/>
        <vertAlign val="subscript"/>
        <sz val="11"/>
        <color rgb="FF183C1B"/>
        <rFont val="Times New Roman"/>
        <family val="1"/>
      </rPr>
      <t>Trans,1,q,g=CH4</t>
    </r>
  </si>
  <si>
    <r>
      <t>EF</t>
    </r>
    <r>
      <rPr>
        <b/>
        <vertAlign val="subscript"/>
        <sz val="11"/>
        <color rgb="FF183C1B"/>
        <rFont val="Times New Roman"/>
        <family val="1"/>
      </rPr>
      <t>Trans,1,q,g=N20</t>
    </r>
  </si>
  <si>
    <r>
      <t>EF</t>
    </r>
    <r>
      <rPr>
        <b/>
        <vertAlign val="subscript"/>
        <sz val="11"/>
        <color rgb="FF183C1B"/>
        <rFont val="Times New Roman"/>
        <family val="1"/>
      </rPr>
      <t>Trans,3,q</t>
    </r>
  </si>
  <si>
    <r>
      <t>Q</t>
    </r>
    <r>
      <rPr>
        <b/>
        <vertAlign val="subscript"/>
        <sz val="11"/>
        <color rgb="FF533001"/>
        <rFont val="Times New Roman"/>
        <family val="1"/>
      </rPr>
      <t>Trans,q</t>
    </r>
  </si>
  <si>
    <t>Q unit</t>
  </si>
  <si>
    <r>
      <t>E</t>
    </r>
    <r>
      <rPr>
        <b/>
        <vertAlign val="subscript"/>
        <sz val="11"/>
        <color rgb="FF183C1B"/>
        <rFont val="Times New Roman"/>
        <family val="1"/>
      </rPr>
      <t>g=CO2</t>
    </r>
  </si>
  <si>
    <r>
      <t>E</t>
    </r>
    <r>
      <rPr>
        <b/>
        <vertAlign val="subscript"/>
        <sz val="11"/>
        <color rgb="FF183C1B"/>
        <rFont val="Times New Roman"/>
        <family val="1"/>
      </rPr>
      <t>g=CH4</t>
    </r>
  </si>
  <si>
    <r>
      <t>E</t>
    </r>
    <r>
      <rPr>
        <b/>
        <vertAlign val="subscript"/>
        <sz val="11"/>
        <color rgb="FF183C1B"/>
        <rFont val="Times New Roman"/>
        <family val="1"/>
      </rPr>
      <t>g=N20</t>
    </r>
  </si>
  <si>
    <r>
      <t>E</t>
    </r>
    <r>
      <rPr>
        <b/>
        <vertAlign val="subscript"/>
        <sz val="11"/>
        <color rgb="FF183C1B"/>
        <rFont val="Times New Roman"/>
        <family val="1"/>
      </rPr>
      <t>3WTT,trans,q</t>
    </r>
  </si>
  <si>
    <t>CO2</t>
  </si>
  <si>
    <t>CH4</t>
  </si>
  <si>
    <t>N2O</t>
  </si>
  <si>
    <t>Scope 3</t>
  </si>
  <si>
    <t>Total sope 1 - All transport fuel combustion</t>
  </si>
  <si>
    <t>8.2.1.1-2 Stationary fuel combustion</t>
  </si>
  <si>
    <t>Emissions for stationary fuel combustion</t>
  </si>
  <si>
    <r>
      <t>EC</t>
    </r>
    <r>
      <rPr>
        <b/>
        <vertAlign val="subscript"/>
        <sz val="11"/>
        <color rgb="FF183C1B"/>
        <rFont val="Times New Roman"/>
        <family val="1"/>
      </rPr>
      <t>SC,q</t>
    </r>
  </si>
  <si>
    <r>
      <t>EF</t>
    </r>
    <r>
      <rPr>
        <b/>
        <vertAlign val="subscript"/>
        <sz val="11"/>
        <color rgb="FF183C1B"/>
        <rFont val="Times New Roman"/>
        <family val="1"/>
      </rPr>
      <t>SC,1,q,g=CO2</t>
    </r>
  </si>
  <si>
    <r>
      <t>EF</t>
    </r>
    <r>
      <rPr>
        <b/>
        <vertAlign val="subscript"/>
        <sz val="11"/>
        <color rgb="FF183C1B"/>
        <rFont val="Times New Roman"/>
        <family val="1"/>
      </rPr>
      <t>SC,1,q,g=CH4</t>
    </r>
  </si>
  <si>
    <r>
      <t>EF</t>
    </r>
    <r>
      <rPr>
        <b/>
        <vertAlign val="subscript"/>
        <sz val="11"/>
        <color rgb="FF183C1B"/>
        <rFont val="Times New Roman"/>
        <family val="1"/>
      </rPr>
      <t>SC,1,q,g=N20</t>
    </r>
  </si>
  <si>
    <r>
      <t>EF</t>
    </r>
    <r>
      <rPr>
        <b/>
        <vertAlign val="subscript"/>
        <sz val="11"/>
        <color rgb="FF183C1B"/>
        <rFont val="Times New Roman"/>
        <family val="1"/>
      </rPr>
      <t>SC,3,q</t>
    </r>
  </si>
  <si>
    <r>
      <t>Q</t>
    </r>
    <r>
      <rPr>
        <b/>
        <vertAlign val="subscript"/>
        <sz val="11"/>
        <color rgb="FF533001"/>
        <rFont val="Times New Roman"/>
        <family val="1"/>
      </rPr>
      <t>SC,q</t>
    </r>
  </si>
  <si>
    <r>
      <t>E</t>
    </r>
    <r>
      <rPr>
        <b/>
        <vertAlign val="subscript"/>
        <sz val="11"/>
        <color rgb="FF183C1B"/>
        <rFont val="Times New Roman"/>
        <family val="1"/>
      </rPr>
      <t>WTT,SC,q=N20</t>
    </r>
  </si>
  <si>
    <t>Total scope 1 - All stationary fuel use</t>
  </si>
  <si>
    <t>Constants - Fuel</t>
  </si>
  <si>
    <t>Transport type</t>
  </si>
  <si>
    <t>Fuel combusted</t>
  </si>
  <si>
    <t>Energy Content Factor (GJ per unit of fuel)</t>
  </si>
  <si>
    <t>Fuel unit</t>
  </si>
  <si>
    <t>Scope 1 Emission Factor (kg CO2 - e / GJ) CO2</t>
  </si>
  <si>
    <t>Scope 1 Emission Factor (kg CO2 - e / GJ) CH4</t>
  </si>
  <si>
    <t>Scope 1 Emission Factor (kg CO2 - e / GJ) N2O</t>
  </si>
  <si>
    <t>Scope 1 Emission Factor (kg CO2 - e / GJ) Combined gases</t>
  </si>
  <si>
    <t>Scope 3 Emission Factor (kg CO2 - e / GJ)</t>
  </si>
  <si>
    <t>Transport type t</t>
  </si>
  <si>
    <t>Fuel type q</t>
  </si>
  <si>
    <t>ECTrans,q (GJ/kL)</t>
  </si>
  <si>
    <t>Scope 1 CO2 EFTran,1,tqg (kg CO2-e/GJ)</t>
  </si>
  <si>
    <t>Scope 1 CH4 EFTran,1,tgg (kg CO2-e/GJ)</t>
  </si>
  <si>
    <t>Scope 1 N2O EFTran,1,tgg (kg CO2-e/GJ)</t>
  </si>
  <si>
    <t>Scope 3 EFTrans,3,q (kg CO2-e/GJ)</t>
  </si>
  <si>
    <t>State or territory</t>
  </si>
  <si>
    <t>Non-metro</t>
  </si>
  <si>
    <t>Appendices</t>
  </si>
  <si>
    <t>Generators</t>
  </si>
  <si>
    <t>Aviation</t>
  </si>
  <si>
    <t>Fuel type</t>
  </si>
  <si>
    <t>Input Unit</t>
  </si>
  <si>
    <t>kL</t>
  </si>
  <si>
    <t>L</t>
  </si>
  <si>
    <t>Liquefied petroleum gas (LPG)</t>
  </si>
  <si>
    <t>Biodiesel</t>
  </si>
  <si>
    <t>Ethanol</t>
  </si>
  <si>
    <t>Other biofuels</t>
  </si>
  <si>
    <t>Renewable diesel</t>
  </si>
  <si>
    <t>Avgas</t>
  </si>
  <si>
    <t>Jet A1, Jet B</t>
  </si>
  <si>
    <t>Renewable aviation kerosene</t>
  </si>
  <si>
    <t>Liquified natural gas (LNG)</t>
  </si>
  <si>
    <t>Diesel - Euro iv or higher</t>
  </si>
  <si>
    <t>Diesel - Euro iii</t>
  </si>
  <si>
    <t>Diesel - Euro i</t>
  </si>
  <si>
    <t>Renewable diesel – Euro iv or higher</t>
  </si>
  <si>
    <t>Renewable diesel – Euro iii</t>
  </si>
  <si>
    <t>Renewable diesel – Euro i</t>
  </si>
  <si>
    <t>Natural gas (via pipeline) in GJ</t>
  </si>
  <si>
    <t>GJ</t>
  </si>
  <si>
    <t>Input - Pasture</t>
  </si>
  <si>
    <t>Area</t>
  </si>
  <si>
    <t>If multiple paddocks were managed in the same way at the same time, you can enter information for them all together.</t>
  </si>
  <si>
    <t>Pasture type</t>
  </si>
  <si>
    <t>Grass clover mixture</t>
  </si>
  <si>
    <t>← Please select</t>
  </si>
  <si>
    <t>Area under pasture</t>
  </si>
  <si>
    <t>Hectares</t>
  </si>
  <si>
    <t>Yield</t>
  </si>
  <si>
    <t>💡 'Pasture yield' is the average amount of dry matter that is grazed.</t>
  </si>
  <si>
    <t xml:space="preserve">       A default value is provided based on pasture type. You can edit this if known.</t>
  </si>
  <si>
    <t>Pasture yield</t>
  </si>
  <si>
    <t>Tonnes dry matter / hectare</t>
  </si>
  <si>
    <t>Total pasture yield</t>
  </si>
  <si>
    <t>Tonnes</t>
  </si>
  <si>
    <t>Residue management</t>
  </si>
  <si>
    <t>Area of pasture renewed or removed</t>
  </si>
  <si>
    <t>6.2.1.1-2 Return of pasture residue to soils</t>
  </si>
  <si>
    <r>
      <t>M</t>
    </r>
    <r>
      <rPr>
        <b/>
        <vertAlign val="subscript"/>
        <sz val="12"/>
        <color theme="1" tint="0.24994659260841701"/>
        <rFont val="Times New Roman"/>
        <family val="1"/>
      </rPr>
      <t>p</t>
    </r>
  </si>
  <si>
    <r>
      <t>E</t>
    </r>
    <r>
      <rPr>
        <vertAlign val="subscript"/>
        <sz val="12"/>
        <color theme="1" tint="0.24994659260841701"/>
        <rFont val="Times New Roman"/>
        <family val="1"/>
      </rPr>
      <t>N2O</t>
    </r>
    <r>
      <rPr>
        <sz val="12"/>
        <color theme="1" tint="0.24994659260841701"/>
        <rFont val="Times New Roman"/>
        <family val="1"/>
      </rPr>
      <t xml:space="preserve"> GWP</t>
    </r>
  </si>
  <si>
    <t>6.3.1.1-2 Leaching and run-off from pasture residues only</t>
  </si>
  <si>
    <t>M1_Table_M_leach_cp</t>
  </si>
  <si>
    <t>M2_Table_M_leach_cp</t>
  </si>
  <si>
    <t>Mass of nitrogen lost through leaching and runoff (Method 1)</t>
  </si>
  <si>
    <t>Mass of nitrogen lost through leaching and runoff (Method 2)</t>
  </si>
  <si>
    <t>Crop or pasture</t>
  </si>
  <si>
    <t>M_cp</t>
  </si>
  <si>
    <t>Irrigation</t>
  </si>
  <si>
    <t>FracWET_j</t>
  </si>
  <si>
    <t>M_leachcp</t>
  </si>
  <si>
    <t>Nitrous oxide leaching and runoff emissions (Method 1)</t>
  </si>
  <si>
    <t>E_N2O</t>
  </si>
  <si>
    <r>
      <t>E</t>
    </r>
    <r>
      <rPr>
        <b/>
        <vertAlign val="subscript"/>
        <sz val="16"/>
        <color theme="1"/>
        <rFont val="Times New Roman"/>
        <family val="1"/>
        <scheme val="minor"/>
      </rPr>
      <t>N2O</t>
    </r>
  </si>
  <si>
    <t>Constants - Agricultural residue</t>
  </si>
  <si>
    <t>Purpose</t>
  </si>
  <si>
    <t>Per hectare unit</t>
  </si>
  <si>
    <t>harvest term</t>
  </si>
  <si>
    <t>harvest endpoint</t>
  </si>
  <si>
    <t>Harvest uit</t>
  </si>
  <si>
    <t>Yield note</t>
  </si>
  <si>
    <t>Residue crop ratio note</t>
  </si>
  <si>
    <t>Total production note</t>
  </si>
  <si>
    <t>Residue: Crop ratio</t>
  </si>
  <si>
    <t>Below-ground: above-ground residue ratio</t>
  </si>
  <si>
    <t>Dry matter content</t>
  </si>
  <si>
    <t>Carbon fraction in dry matter</t>
  </si>
  <si>
    <t>N content above-ground</t>
  </si>
  <si>
    <t>N content below-ground</t>
  </si>
  <si>
    <t>Fraction of residue remaining at time of burning (b)</t>
  </si>
  <si>
    <t>Fraction burnt</t>
  </si>
  <si>
    <t>Climate zone type i</t>
  </si>
  <si>
    <t>EF i N2O</t>
  </si>
  <si>
    <t>Average Yield (t DM ha) Yp</t>
  </si>
  <si>
    <t>Below-ground: above-ground residue ratio RBGp</t>
  </si>
  <si>
    <t>N content Above-ground NCAGp</t>
  </si>
  <si>
    <t>N content Below-ground NCBGp</t>
  </si>
  <si>
    <t>Fraction of pasture yield that is removed FFODp</t>
  </si>
  <si>
    <t>Gas species</t>
  </si>
  <si>
    <t>Emission factor EFg (Gg element in species/ Gg element in fuel burnt)</t>
  </si>
  <si>
    <t>Elemental to molecular mass conversion factor (Cg)</t>
  </si>
  <si>
    <t>Crop type c</t>
  </si>
  <si>
    <t>Fraction removed</t>
  </si>
  <si>
    <t>Constants - Livestock</t>
  </si>
  <si>
    <t>Symbol</t>
  </si>
  <si>
    <t>Symbol and MMS</t>
  </si>
  <si>
    <t>Source region</t>
  </si>
  <si>
    <t>Table_SourceData_LivestockProduct_Beefcattle</t>
  </si>
  <si>
    <t>Table_SourceData_LivestockProduct_Sheep</t>
  </si>
  <si>
    <t>Table_SourceData_LivestockProduct_Chickens</t>
  </si>
  <si>
    <t>Table_SourceData_LivestockProduct_Dairycattle</t>
  </si>
  <si>
    <t>Table_SourceData_LivestockProduct_Pigs</t>
  </si>
  <si>
    <t>5: Fertiliser Use: Overview</t>
  </si>
  <si>
    <t>💡 Below is a diagram that maps the equations used to calculate emissions, and how they interact with each other.</t>
  </si>
  <si>
    <t xml:space="preserve">    Click on a box to go to the corresponding calculation.</t>
  </si>
  <si>
    <t>`</t>
  </si>
  <si>
    <t xml:space="preserve">  </t>
  </si>
  <si>
    <t>My test farm</t>
  </si>
  <si>
    <t>My test Farms Pty Ltd</t>
  </si>
  <si>
    <t>Sprinkler Irrigation</t>
  </si>
  <si>
    <t>01 Jan 2023 to 31 Dec 2023</t>
  </si>
  <si>
    <t>01 Jan 2024 to 31 Dec 2024 (This reporting cycle)</t>
  </si>
  <si>
    <t>01 Jan 2025 to 31 Dec 2025</t>
  </si>
  <si>
    <t>Phosphorus - Generic</t>
  </si>
  <si>
    <t>Nitrogen - Generic</t>
  </si>
  <si>
    <t>Calcium - Generic</t>
  </si>
  <si>
    <t>Nitrogen - Nitrate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</si>
</sst>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1">
    <numFmt numFmtId="43" formatCode="_-* #,##0.00_-;\-* #,##0.00_-;_-* &quot;-&quot;??_-;_-@_-"/>
    <numFmt numFmtId="164" formatCode="0.000"/>
    <numFmt numFmtId="165" formatCode="#,##0.000"/>
    <numFmt numFmtId="166" formatCode="d/mm/yyyy;@"/>
    <numFmt numFmtId="167" formatCode="[$-C09]dd\-mmmm\-yyyy;@"/>
    <numFmt numFmtId="168" formatCode="#,##0.000000"/>
    <numFmt numFmtId="169" formatCode="_-* #,##0_-;\-* #,##0_-;_-* &quot;-&quot;??_-;_-@_-"/>
    <numFmt numFmtId="170" formatCode="0.000%"/>
    <numFmt numFmtId="171" formatCode="[$-F800]dddd\,\ mmmm\ dd\,\ yyyy"/>
    <numFmt numFmtId="172" formatCode="[$-C09]d\ mmmm\ yyyy;@"/>
    <numFmt numFmtId="173" formatCode="0.00000"/>
  </numFmts>
  <fonts count="80"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11"/>
      <color theme="1" tint="0.499984740745262"/>
      <name val="Times New Roman"/>
      <family val="1"/>
    </font>
    <font>
      <b/>
      <sz val="11"/>
      <color theme="1"/>
      <name val="Times New Roman"/>
      <family val="1"/>
      <scheme val="minor"/>
    </font>
    <font>
      <b/>
      <sz val="14"/>
      <color theme="1"/>
      <name val="Times New Roman"/>
      <family val="1"/>
      <scheme val="minor"/>
    </font>
    <font>
      <sz val="12"/>
      <color theme="0" tint="-4.9989318521683403E-2"/>
      <name val="Times New Roman"/>
      <family val="1"/>
    </font>
    <font>
      <sz val="10"/>
      <color theme="1" tint="0.34998626667073579"/>
      <name val="Times New Roman"/>
      <family val="1"/>
    </font>
    <font>
      <sz val="10"/>
      <name val="Arial"/>
      <family val="2"/>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sz val="12"/>
      <color rgb="FFC44340"/>
      <name val="Times New Roman"/>
      <family val="1"/>
    </font>
    <font>
      <sz val="12"/>
      <color rgb="FF008000"/>
      <name val="Times New Roman"/>
      <family val="1"/>
    </font>
    <font>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sz val="14"/>
      <color theme="1" tint="0.34998626667073579"/>
      <name val="Times New Roman"/>
      <family val="1"/>
    </font>
    <font>
      <b/>
      <sz val="12"/>
      <color rgb="FFCC6600"/>
      <name val="Times New Roman"/>
      <family val="1"/>
    </font>
    <font>
      <b/>
      <sz val="20"/>
      <color theme="4" tint="-0.249977111117893"/>
      <name val="Times New Roman"/>
      <family val="1"/>
    </font>
    <font>
      <u/>
      <sz val="10"/>
      <color theme="1" tint="0.34998626667073579"/>
      <name val="Times New Roman"/>
      <family val="1"/>
    </font>
    <font>
      <i/>
      <sz val="10"/>
      <color theme="6" tint="-0.499984740745262"/>
      <name val="Times New Roman"/>
      <family val="1"/>
    </font>
    <font>
      <i/>
      <sz val="10"/>
      <color theme="5" tint="-0.499984740745262"/>
      <name val="Times New Roman"/>
      <family val="1"/>
    </font>
    <font>
      <u/>
      <sz val="11"/>
      <color theme="10"/>
      <name val="Times New Roman"/>
      <family val="2"/>
      <scheme val="minor"/>
    </font>
    <font>
      <b/>
      <sz val="12"/>
      <color theme="1" tint="0.24994659260841701"/>
      <name val="Times New Roman"/>
      <family val="1"/>
    </font>
    <font>
      <i/>
      <sz val="10"/>
      <color theme="1" tint="0.34998626667073579"/>
      <name val="Times New Roman"/>
      <family val="1"/>
    </font>
    <font>
      <b/>
      <sz val="12"/>
      <color rgb="FF0070C0"/>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sz val="11"/>
      <color rgb="FF242424"/>
      <name val="Consolas"/>
      <family val="3"/>
    </font>
    <font>
      <sz val="11"/>
      <color theme="1"/>
      <name val="Times New Roman"/>
      <family val="2"/>
    </font>
    <font>
      <sz val="9"/>
      <name val="Times New Roman"/>
      <family val="1"/>
    </font>
    <font>
      <b/>
      <sz val="14"/>
      <color theme="1" tint="0.24994659260841701"/>
      <name val="Times New Roman"/>
      <family val="1"/>
    </font>
    <font>
      <b/>
      <vertAlign val="subscript"/>
      <sz val="14"/>
      <color theme="1" tint="0.24994659260841701"/>
      <name val="Times New Roman"/>
      <family val="1"/>
    </font>
    <font>
      <b/>
      <vertAlign val="subscript"/>
      <sz val="11"/>
      <color rgb="FF183C1B"/>
      <name val="Times New Roman"/>
      <family val="1"/>
    </font>
    <font>
      <b/>
      <sz val="16"/>
      <color theme="1" tint="0.24994659260841701"/>
      <name val="Times New Roman"/>
      <family val="1"/>
    </font>
    <font>
      <b/>
      <vertAlign val="subscript"/>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b/>
      <vertAlign val="subscript"/>
      <sz val="12"/>
      <color theme="1" tint="0.24994659260841701"/>
      <name val="Times New Roman"/>
      <family val="1"/>
    </font>
    <font>
      <sz val="11"/>
      <name val="Times New Roman"/>
      <family val="1"/>
    </font>
    <font>
      <sz val="12"/>
      <name val="Times New Roman"/>
      <family val="1"/>
    </font>
    <font>
      <b/>
      <sz val="10"/>
      <color theme="1" tint="0.14999847407452621"/>
      <name val="Times New Roman"/>
      <family val="1"/>
    </font>
    <font>
      <b/>
      <vertAlign val="subscript"/>
      <sz val="11"/>
      <color rgb="FF533001"/>
      <name val="Times New Roman"/>
      <family val="1"/>
    </font>
    <font>
      <i/>
      <sz val="10"/>
      <color theme="1" tint="0.14999847407452621"/>
      <name val="Times New Roman"/>
      <family val="1"/>
      <scheme val="minor"/>
    </font>
    <font>
      <b/>
      <i/>
      <sz val="12"/>
      <color rgb="FFCC6600"/>
      <name val="Times New Roman"/>
      <family val="1"/>
    </font>
    <font>
      <sz val="9"/>
      <color theme="1"/>
      <name val="Times New Roman"/>
      <family val="2"/>
      <scheme val="minor"/>
    </font>
    <font>
      <b/>
      <sz val="10"/>
      <color theme="1" tint="0.34998626667073579"/>
      <name val="Times New Roman"/>
      <family val="1"/>
    </font>
    <font>
      <sz val="16"/>
      <name val="Times New Roman"/>
      <family val="1"/>
    </font>
    <font>
      <sz val="10"/>
      <color theme="1"/>
      <name val="Times New Roman"/>
      <family val="2"/>
      <scheme val="minor"/>
    </font>
    <font>
      <b/>
      <sz val="9"/>
      <name val="Times New Roman"/>
      <family val="1"/>
    </font>
    <font>
      <b/>
      <sz val="16"/>
      <color theme="1"/>
      <name val="Times New Roman"/>
      <family val="1"/>
      <scheme val="minor"/>
    </font>
    <font>
      <b/>
      <vertAlign val="subscript"/>
      <sz val="16"/>
      <color theme="1"/>
      <name val="Times New Roman"/>
      <family val="1"/>
      <scheme val="minor"/>
    </font>
    <font>
      <sz val="16"/>
      <color theme="1"/>
      <name val="Times New Roman"/>
      <family val="1"/>
      <scheme val="minor"/>
    </font>
    <font>
      <b/>
      <sz val="20"/>
      <color theme="3" tint="9.9978637043366805E-2"/>
      <name val="Times New Roman"/>
      <family val="1"/>
    </font>
    <font>
      <sz val="9"/>
      <color rgb="FF404040"/>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DCECD0"/>
        <bgColor indexed="64"/>
      </patternFill>
    </fill>
    <fill>
      <patternFill patternType="solid">
        <fgColor theme="9" tint="0.59999389629810485"/>
        <bgColor indexed="64"/>
      </patternFill>
    </fill>
    <fill>
      <patternFill patternType="solid">
        <fgColor rgb="FFFFFF00"/>
        <bgColor indexed="64"/>
      </patternFill>
    </fill>
  </fills>
  <borders count="30">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499984740745262"/>
      </top>
      <bottom/>
      <diagonal/>
    </border>
    <border>
      <left/>
      <right/>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right/>
      <top style="thin">
        <color theme="1" tint="0.249977111117893"/>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top/>
      <bottom style="thin">
        <color theme="3" tint="0.749961851863155"/>
      </bottom>
      <diagonal/>
    </border>
    <border>
      <left/>
      <right style="thin">
        <color theme="3" tint="0.749961851863155"/>
      </right>
      <top/>
      <bottom style="thin">
        <color theme="3" tint="0.749961851863155"/>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3" tint="0.749961851863155"/>
      </left>
      <right style="thin">
        <color theme="3" tint="0.749961851863155"/>
      </right>
      <top/>
      <bottom style="thin">
        <color theme="3" tint="0.749961851863155"/>
      </bottom>
      <diagonal/>
    </border>
    <border>
      <left style="thin">
        <color theme="0" tint="-0.34998626667073579"/>
      </left>
      <right style="thin">
        <color theme="0" tint="-0.34998626667073579"/>
      </right>
      <top/>
      <bottom/>
      <diagonal/>
    </border>
    <border>
      <left style="thin">
        <color theme="3" tint="0.749961851863155"/>
      </left>
      <right/>
      <top/>
      <bottom/>
      <diagonal/>
    </border>
    <border>
      <left/>
      <right style="thin">
        <color theme="3" tint="0.749961851863155"/>
      </right>
      <top/>
      <bottom/>
      <diagonal/>
    </border>
    <border>
      <left/>
      <right/>
      <top style="thin">
        <color theme="0" tint="-0.499984740745262"/>
      </top>
      <bottom/>
      <diagonal/>
    </border>
    <border>
      <left/>
      <right/>
      <top/>
      <bottom style="thin">
        <color indexed="64"/>
      </bottom>
      <diagonal/>
    </border>
    <border>
      <left style="thin">
        <color theme="0" tint="-0.34998626667073579"/>
      </left>
      <right style="thin">
        <color theme="0" tint="-0.34998626667073579"/>
      </right>
      <top style="thin">
        <color indexed="64"/>
      </top>
      <bottom/>
      <diagonal/>
    </border>
    <border>
      <left style="thin">
        <color theme="0" tint="-0.34998626667073579"/>
      </left>
      <right style="thin">
        <color theme="0" tint="-0.34998626667073579"/>
      </right>
      <top style="thin">
        <color indexed="64"/>
      </top>
      <bottom style="thin">
        <color indexed="64"/>
      </bottom>
      <diagonal/>
    </border>
    <border>
      <left style="thin">
        <color theme="0" tint="-0.34998626667073579"/>
      </left>
      <right style="thin">
        <color theme="0" tint="-0.34998626667073579"/>
      </right>
      <top style="thin">
        <color indexed="64"/>
      </top>
      <bottom style="thin">
        <color theme="0" tint="-0.34998626667073579"/>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6" fillId="3" borderId="0">
      <alignment vertical="center"/>
    </xf>
    <xf numFmtId="0" fontId="27" fillId="4" borderId="0">
      <alignment horizontal="left" vertical="center"/>
    </xf>
    <xf numFmtId="0" fontId="31" fillId="4" borderId="0">
      <alignment vertical="center"/>
    </xf>
    <xf numFmtId="0" fontId="3" fillId="4" borderId="0">
      <alignment horizontal="left" vertical="center"/>
    </xf>
    <xf numFmtId="0" fontId="29"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3" fillId="0" borderId="2">
      <alignment horizontal="center" vertical="center"/>
    </xf>
    <xf numFmtId="0" fontId="14" fillId="0" borderId="2">
      <alignment horizontal="center" vertical="center"/>
    </xf>
    <xf numFmtId="9" fontId="13" fillId="0" borderId="2">
      <alignment horizontal="center" vertical="center"/>
    </xf>
    <xf numFmtId="165" fontId="13" fillId="0" borderId="2">
      <alignment horizontal="center" vertical="center"/>
    </xf>
    <xf numFmtId="3" fontId="13" fillId="0" borderId="2">
      <alignment horizontal="center" vertical="center"/>
    </xf>
    <xf numFmtId="0" fontId="15" fillId="4" borderId="0">
      <alignment horizontal="left" vertical="center"/>
    </xf>
    <xf numFmtId="0" fontId="6" fillId="4" borderId="3">
      <alignment horizontal="left" vertical="center" indent="1"/>
    </xf>
    <xf numFmtId="164" fontId="8" fillId="4" borderId="3">
      <alignment horizontal="center" vertical="center"/>
    </xf>
    <xf numFmtId="0" fontId="3" fillId="4" borderId="3">
      <alignment horizontal="left" vertical="center"/>
    </xf>
    <xf numFmtId="0" fontId="12" fillId="6" borderId="0">
      <alignment horizontal="left" vertical="center" indent="1"/>
    </xf>
    <xf numFmtId="0" fontId="12" fillId="6" borderId="0">
      <alignment horizontal="center" vertical="center"/>
      <protection locked="0"/>
    </xf>
    <xf numFmtId="0" fontId="11" fillId="4" borderId="0">
      <alignment vertical="center"/>
    </xf>
    <xf numFmtId="0" fontId="16" fillId="7" borderId="0">
      <alignment vertical="center"/>
    </xf>
    <xf numFmtId="0" fontId="10" fillId="0" borderId="0"/>
    <xf numFmtId="0" fontId="2" fillId="0" borderId="0">
      <alignment horizontal="left" vertical="center" indent="1"/>
    </xf>
    <xf numFmtId="0" fontId="17" fillId="9" borderId="4">
      <alignment horizontal="left" vertical="center" indent="1"/>
    </xf>
    <xf numFmtId="0" fontId="20" fillId="10" borderId="0">
      <alignment horizontal="left" vertical="center" indent="1"/>
    </xf>
    <xf numFmtId="0" fontId="20" fillId="5" borderId="0">
      <alignment horizontal="left" vertical="center" indent="1"/>
    </xf>
    <xf numFmtId="0" fontId="20" fillId="8" borderId="0">
      <alignment horizontal="left" vertical="center" indent="1"/>
    </xf>
    <xf numFmtId="0" fontId="21" fillId="0" borderId="0">
      <alignment horizontal="left" vertical="center" indent="2"/>
    </xf>
    <xf numFmtId="0" fontId="32" fillId="13" borderId="5">
      <alignment horizontal="left" vertical="center"/>
    </xf>
    <xf numFmtId="3" fontId="25" fillId="4" borderId="2">
      <alignment horizontal="center" vertical="center"/>
    </xf>
    <xf numFmtId="167" fontId="2" fillId="0" borderId="2">
      <alignment horizontal="center" vertical="center"/>
    </xf>
    <xf numFmtId="0" fontId="26" fillId="0" borderId="0"/>
    <xf numFmtId="0" fontId="9" fillId="0" borderId="0"/>
    <xf numFmtId="0" fontId="26" fillId="0" borderId="0"/>
    <xf numFmtId="166" fontId="25" fillId="4" borderId="2">
      <alignment horizontal="center" vertical="center"/>
    </xf>
    <xf numFmtId="4" fontId="25" fillId="4" borderId="2">
      <alignment horizontal="center" vertical="center"/>
    </xf>
    <xf numFmtId="0" fontId="36" fillId="4" borderId="0">
      <alignment horizontal="left" vertical="center"/>
    </xf>
    <xf numFmtId="0" fontId="28" fillId="4" borderId="0" applyNumberFormat="0">
      <alignment horizontal="center" vertical="center"/>
    </xf>
    <xf numFmtId="165" fontId="25" fillId="4" borderId="2">
      <alignment horizontal="center" vertical="center"/>
    </xf>
    <xf numFmtId="0" fontId="24" fillId="4" borderId="0">
      <alignment horizontal="left" vertical="center"/>
    </xf>
    <xf numFmtId="168" fontId="25" fillId="4" borderId="2">
      <alignment horizontal="center" vertical="center"/>
    </xf>
    <xf numFmtId="0" fontId="25" fillId="4" borderId="2">
      <alignment horizontal="center" vertical="center"/>
    </xf>
    <xf numFmtId="0" fontId="6" fillId="4" borderId="0">
      <alignment horizontal="left" vertical="center"/>
    </xf>
    <xf numFmtId="0" fontId="30" fillId="4" borderId="0">
      <alignment horizontal="left" vertical="center"/>
    </xf>
    <xf numFmtId="0" fontId="9" fillId="0" borderId="0"/>
    <xf numFmtId="0" fontId="2" fillId="0" borderId="2">
      <alignment horizontal="center" vertical="center"/>
    </xf>
    <xf numFmtId="0" fontId="34" fillId="4" borderId="0">
      <alignment horizontal="left" vertical="center"/>
    </xf>
    <xf numFmtId="0" fontId="35" fillId="4" borderId="0">
      <alignment horizontal="left" vertical="center"/>
    </xf>
    <xf numFmtId="0" fontId="37" fillId="4" borderId="0">
      <alignment horizontal="left" vertical="center"/>
    </xf>
    <xf numFmtId="0" fontId="33" fillId="11" borderId="0">
      <alignment horizontal="center" vertical="center"/>
    </xf>
    <xf numFmtId="0" fontId="20" fillId="11" borderId="0">
      <alignment horizontal="left" vertical="center" indent="1"/>
    </xf>
    <xf numFmtId="0" fontId="39" fillId="4" borderId="2">
      <alignment horizontal="left" vertical="center"/>
    </xf>
    <xf numFmtId="0" fontId="25" fillId="4" borderId="2">
      <alignment horizontal="left" vertical="center"/>
    </xf>
    <xf numFmtId="0" fontId="40" fillId="14" borderId="2">
      <alignment horizontal="center" vertical="center"/>
    </xf>
    <xf numFmtId="0" fontId="41" fillId="15" borderId="2">
      <alignment horizontal="center" vertical="center"/>
    </xf>
    <xf numFmtId="0" fontId="42" fillId="0" borderId="0" applyNumberForma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68" fillId="0" borderId="0"/>
  </cellStyleXfs>
  <cellXfs count="252">
    <xf numFmtId="0" fontId="0" fillId="0" borderId="0" xfId="0"/>
    <xf numFmtId="0" fontId="29" fillId="4" borderId="0" xfId="8">
      <alignment horizontal="left" vertical="center"/>
    </xf>
    <xf numFmtId="0" fontId="27" fillId="4" borderId="0" xfId="5">
      <alignment horizontal="left" vertical="center"/>
    </xf>
    <xf numFmtId="0" fontId="1" fillId="0" borderId="0" xfId="3">
      <alignment vertical="center"/>
    </xf>
    <xf numFmtId="0" fontId="2" fillId="9" borderId="0" xfId="7" applyFont="1" applyFill="1" applyAlignment="1">
      <alignment horizontal="left" vertical="center" indent="1"/>
    </xf>
    <xf numFmtId="0" fontId="2" fillId="0" borderId="0" xfId="33">
      <alignment horizontal="left" vertical="center" indent="1"/>
    </xf>
    <xf numFmtId="0" fontId="18" fillId="9" borderId="4" xfId="34" applyFont="1">
      <alignment horizontal="left" vertical="center" indent="1"/>
    </xf>
    <xf numFmtId="0" fontId="19" fillId="9" borderId="4" xfId="34" applyFont="1">
      <alignment horizontal="left" vertical="center" indent="1"/>
    </xf>
    <xf numFmtId="0" fontId="0" fillId="4" borderId="0" xfId="0" applyFill="1"/>
    <xf numFmtId="2" fontId="23" fillId="4" borderId="1" xfId="0" applyNumberFormat="1" applyFont="1" applyFill="1" applyBorder="1"/>
    <xf numFmtId="2" fontId="0" fillId="4" borderId="0" xfId="0" applyNumberFormat="1" applyFill="1" applyAlignment="1">
      <alignment vertical="center"/>
    </xf>
    <xf numFmtId="0" fontId="16" fillId="4" borderId="0" xfId="4" applyFill="1">
      <alignment vertical="center"/>
    </xf>
    <xf numFmtId="0" fontId="22" fillId="4" borderId="0" xfId="0" applyFont="1" applyFill="1"/>
    <xf numFmtId="2" fontId="23" fillId="4" borderId="0" xfId="0" applyNumberFormat="1" applyFont="1" applyFill="1"/>
    <xf numFmtId="0" fontId="23" fillId="4" borderId="1" xfId="0" applyFont="1" applyFill="1" applyBorder="1"/>
    <xf numFmtId="0" fontId="6" fillId="4" borderId="0" xfId="53">
      <alignment horizontal="left" vertical="center"/>
    </xf>
    <xf numFmtId="0" fontId="10" fillId="0" borderId="0" xfId="32"/>
    <xf numFmtId="9" fontId="8" fillId="4" borderId="0" xfId="11">
      <alignment horizontal="center" vertical="center"/>
    </xf>
    <xf numFmtId="164" fontId="8" fillId="4" borderId="0" xfId="10">
      <alignment horizontal="center" vertical="center"/>
    </xf>
    <xf numFmtId="2" fontId="23" fillId="4" borderId="1" xfId="0" applyNumberFormat="1" applyFont="1" applyFill="1" applyBorder="1" applyAlignment="1">
      <alignment horizontal="center"/>
    </xf>
    <xf numFmtId="0" fontId="33" fillId="11" borderId="0" xfId="60">
      <alignment horizontal="center" vertical="center"/>
    </xf>
    <xf numFmtId="0" fontId="38" fillId="0" borderId="0" xfId="2" applyFont="1"/>
    <xf numFmtId="0" fontId="2" fillId="4" borderId="0" xfId="7" applyFont="1">
      <alignment horizontal="left" vertical="center"/>
    </xf>
    <xf numFmtId="0" fontId="3" fillId="12" borderId="2" xfId="15">
      <alignment horizontal="center" vertical="center"/>
    </xf>
    <xf numFmtId="167" fontId="2" fillId="0" borderId="2" xfId="41">
      <alignment horizontal="center" vertical="center"/>
    </xf>
    <xf numFmtId="0" fontId="25" fillId="4" borderId="2" xfId="52">
      <alignment horizontal="center" vertical="center"/>
    </xf>
    <xf numFmtId="0" fontId="6" fillId="4" borderId="0" xfId="12">
      <alignment horizontal="left" vertical="center" indent="1"/>
    </xf>
    <xf numFmtId="0" fontId="31" fillId="4" borderId="0" xfId="6">
      <alignment vertical="center"/>
    </xf>
    <xf numFmtId="9" fontId="2" fillId="0" borderId="2" xfId="16">
      <alignment horizontal="center" vertical="center"/>
    </xf>
    <xf numFmtId="9" fontId="25" fillId="4" borderId="2" xfId="68" applyFont="1" applyFill="1" applyBorder="1" applyAlignment="1">
      <alignment horizontal="center" vertical="center"/>
    </xf>
    <xf numFmtId="0" fontId="0" fillId="0" borderId="0" xfId="8" applyFont="1" applyFill="1">
      <alignment horizontal="left" vertical="center"/>
    </xf>
    <xf numFmtId="0" fontId="4" fillId="0" borderId="0" xfId="2"/>
    <xf numFmtId="0" fontId="3" fillId="0" borderId="0" xfId="7" applyFill="1">
      <alignment horizontal="left" vertical="center"/>
    </xf>
    <xf numFmtId="0" fontId="16" fillId="3" borderId="0" xfId="4">
      <alignment vertical="center"/>
    </xf>
    <xf numFmtId="0" fontId="16" fillId="0" borderId="0" xfId="4" applyFill="1">
      <alignment vertical="center"/>
    </xf>
    <xf numFmtId="0" fontId="3" fillId="4" borderId="0" xfId="7">
      <alignment horizontal="left" vertical="center"/>
    </xf>
    <xf numFmtId="0" fontId="30" fillId="4" borderId="0" xfId="54">
      <alignment horizontal="left" vertical="center"/>
    </xf>
    <xf numFmtId="0" fontId="0" fillId="0" borderId="0" xfId="7" applyFont="1" applyFill="1">
      <alignment horizontal="left" vertical="center"/>
    </xf>
    <xf numFmtId="0" fontId="10" fillId="0" borderId="0" xfId="2" applyFont="1"/>
    <xf numFmtId="0" fontId="16" fillId="7" borderId="0" xfId="31">
      <alignment vertical="center"/>
    </xf>
    <xf numFmtId="0" fontId="3" fillId="4" borderId="6" xfId="7" applyBorder="1">
      <alignment horizontal="left" vertical="center"/>
    </xf>
    <xf numFmtId="0" fontId="27" fillId="0" borderId="0" xfId="5" applyFill="1">
      <alignment horizontal="left" vertical="center"/>
    </xf>
    <xf numFmtId="0" fontId="11" fillId="4" borderId="0" xfId="30">
      <alignment vertical="center"/>
    </xf>
    <xf numFmtId="0" fontId="31" fillId="0" borderId="0" xfId="6" applyFill="1">
      <alignment vertical="center"/>
    </xf>
    <xf numFmtId="0" fontId="2" fillId="0" borderId="2" xfId="14">
      <alignment horizontal="center" vertical="center"/>
    </xf>
    <xf numFmtId="0" fontId="29" fillId="0" borderId="0" xfId="8" applyFill="1">
      <alignment horizontal="left" vertical="center"/>
    </xf>
    <xf numFmtId="0" fontId="32" fillId="13" borderId="7" xfId="39" applyBorder="1">
      <alignment horizontal="left" vertical="center"/>
    </xf>
    <xf numFmtId="0" fontId="32" fillId="13" borderId="8" xfId="39" applyBorder="1">
      <alignment horizontal="left" vertical="center"/>
    </xf>
    <xf numFmtId="0" fontId="32" fillId="13" borderId="9" xfId="39" applyBorder="1">
      <alignment horizontal="left" vertical="center"/>
    </xf>
    <xf numFmtId="0" fontId="32" fillId="13" borderId="10" xfId="39" applyBorder="1">
      <alignment horizontal="left" vertical="center"/>
    </xf>
    <xf numFmtId="0" fontId="44" fillId="0" borderId="0" xfId="12" applyFont="1" applyFill="1" applyAlignment="1">
      <alignment horizontal="left" vertical="center"/>
    </xf>
    <xf numFmtId="166" fontId="25" fillId="4" borderId="2" xfId="40" applyNumberFormat="1">
      <alignment horizontal="center" vertical="center"/>
    </xf>
    <xf numFmtId="0" fontId="2" fillId="0" borderId="0" xfId="7" applyFont="1" applyFill="1">
      <alignment horizontal="left" vertical="center"/>
    </xf>
    <xf numFmtId="0" fontId="45" fillId="13" borderId="11" xfId="39" applyFont="1" applyBorder="1">
      <alignment horizontal="left" vertical="center"/>
    </xf>
    <xf numFmtId="0" fontId="32" fillId="13" borderId="12" xfId="39" applyBorder="1">
      <alignment horizontal="left" vertical="center"/>
    </xf>
    <xf numFmtId="0" fontId="32" fillId="13" borderId="13" xfId="39" applyBorder="1">
      <alignment horizontal="left" vertical="center"/>
    </xf>
    <xf numFmtId="0" fontId="32" fillId="13" borderId="14" xfId="39" applyBorder="1">
      <alignment horizontal="left" vertical="center"/>
    </xf>
    <xf numFmtId="0" fontId="32" fillId="13" borderId="15" xfId="39" applyBorder="1">
      <alignment horizontal="left" vertical="center"/>
    </xf>
    <xf numFmtId="0" fontId="32" fillId="13" borderId="16" xfId="39" applyBorder="1">
      <alignment horizontal="left" vertical="center"/>
    </xf>
    <xf numFmtId="4" fontId="2" fillId="4" borderId="0" xfId="17" applyFill="1" applyBorder="1">
      <alignment horizontal="center" vertical="center"/>
    </xf>
    <xf numFmtId="0" fontId="12" fillId="4" borderId="0" xfId="29" applyFill="1">
      <alignment horizontal="center" vertical="center"/>
      <protection locked="0"/>
    </xf>
    <xf numFmtId="0" fontId="46" fillId="0" borderId="0" xfId="0" applyFont="1" applyAlignment="1" applyProtection="1">
      <alignment horizontal="center" vertical="center"/>
      <protection locked="0"/>
    </xf>
    <xf numFmtId="4" fontId="47" fillId="0" borderId="0" xfId="17" applyFont="1" applyBorder="1">
      <alignment horizontal="center" vertical="center"/>
    </xf>
    <xf numFmtId="164" fontId="8" fillId="4" borderId="0" xfId="26" applyBorder="1">
      <alignment horizontal="center" vertical="center"/>
    </xf>
    <xf numFmtId="4" fontId="47" fillId="4" borderId="0" xfId="17" applyFont="1" applyFill="1" applyBorder="1">
      <alignment horizontal="center" vertical="center"/>
    </xf>
    <xf numFmtId="0" fontId="47" fillId="4" borderId="0" xfId="12" applyFont="1" applyAlignment="1">
      <alignment horizontal="center" vertical="center"/>
    </xf>
    <xf numFmtId="0" fontId="47" fillId="4" borderId="0" xfId="8" applyFont="1" applyAlignment="1">
      <alignment horizontal="center" vertical="center"/>
    </xf>
    <xf numFmtId="166" fontId="47" fillId="4" borderId="0" xfId="8" applyNumberFormat="1" applyFont="1" applyAlignment="1">
      <alignment horizontal="center" vertical="center"/>
    </xf>
    <xf numFmtId="9" fontId="47" fillId="4" borderId="0" xfId="68" applyFont="1" applyFill="1" applyBorder="1" applyAlignment="1">
      <alignment horizontal="center" vertical="center"/>
    </xf>
    <xf numFmtId="0" fontId="48" fillId="4" borderId="0" xfId="0" applyFont="1" applyFill="1" applyAlignment="1">
      <alignment horizontal="center" vertical="center"/>
    </xf>
    <xf numFmtId="0" fontId="48" fillId="4" borderId="0" xfId="0" applyFont="1" applyFill="1"/>
    <xf numFmtId="0" fontId="47" fillId="4" borderId="0" xfId="0" applyFont="1" applyFill="1"/>
    <xf numFmtId="0" fontId="47" fillId="0" borderId="0" xfId="0" applyFont="1"/>
    <xf numFmtId="0" fontId="49" fillId="4" borderId="0" xfId="7" applyFont="1" applyAlignment="1">
      <alignment horizontal="center" vertical="center"/>
    </xf>
    <xf numFmtId="0" fontId="50" fillId="4" borderId="0" xfId="7" applyFont="1" applyAlignment="1">
      <alignment horizontal="center" vertical="center"/>
    </xf>
    <xf numFmtId="166" fontId="50" fillId="4" borderId="0" xfId="7" applyNumberFormat="1" applyFont="1" applyAlignment="1">
      <alignment horizontal="center" vertical="center"/>
    </xf>
    <xf numFmtId="0" fontId="50" fillId="4" borderId="0" xfId="0" applyFont="1" applyFill="1" applyAlignment="1">
      <alignment horizontal="center" vertical="center"/>
    </xf>
    <xf numFmtId="0" fontId="51" fillId="4" borderId="0" xfId="0" applyFont="1" applyFill="1" applyAlignment="1">
      <alignment horizontal="center" vertical="center"/>
    </xf>
    <xf numFmtId="0" fontId="51" fillId="4" borderId="0" xfId="0" applyFont="1" applyFill="1" applyAlignment="1">
      <alignment horizontal="left" vertical="center"/>
    </xf>
    <xf numFmtId="14" fontId="3" fillId="4" borderId="0" xfId="7" applyNumberFormat="1">
      <alignment horizontal="left" vertical="center"/>
    </xf>
    <xf numFmtId="0" fontId="32" fillId="13" borderId="5" xfId="39">
      <alignment horizontal="left" vertical="center"/>
    </xf>
    <xf numFmtId="0" fontId="42" fillId="4" borderId="0" xfId="66" applyFill="1" applyBorder="1"/>
    <xf numFmtId="166" fontId="2" fillId="4" borderId="0" xfId="18" applyNumberFormat="1" applyFill="1" applyBorder="1">
      <alignment horizontal="center" vertical="center"/>
    </xf>
    <xf numFmtId="169" fontId="3" fillId="4" borderId="0" xfId="67" applyNumberFormat="1" applyFont="1" applyFill="1" applyBorder="1" applyAlignment="1">
      <alignment horizontal="center" vertical="center"/>
    </xf>
    <xf numFmtId="0" fontId="0" fillId="4" borderId="0" xfId="7" applyFont="1">
      <alignment horizontal="left" vertical="center"/>
    </xf>
    <xf numFmtId="0" fontId="52" fillId="4" borderId="0" xfId="0" applyFont="1" applyFill="1"/>
    <xf numFmtId="0" fontId="2" fillId="0" borderId="2" xfId="56">
      <alignment horizontal="center" vertical="center"/>
    </xf>
    <xf numFmtId="2" fontId="29" fillId="4" borderId="0" xfId="8" applyNumberFormat="1">
      <alignment horizontal="left" vertical="center"/>
    </xf>
    <xf numFmtId="0" fontId="43" fillId="4" borderId="0" xfId="8" applyFont="1">
      <alignment horizontal="left" vertical="center"/>
    </xf>
    <xf numFmtId="0" fontId="23" fillId="4" borderId="0" xfId="0" applyFont="1" applyFill="1"/>
    <xf numFmtId="0" fontId="25" fillId="4" borderId="2" xfId="52" quotePrefix="1">
      <alignment horizontal="center" vertical="center"/>
    </xf>
    <xf numFmtId="0" fontId="9" fillId="0" borderId="0" xfId="55"/>
    <xf numFmtId="0" fontId="36" fillId="4" borderId="0" xfId="47">
      <alignment horizontal="left" vertical="center"/>
    </xf>
    <xf numFmtId="0" fontId="12" fillId="6" borderId="0" xfId="28">
      <alignment horizontal="left" vertical="center" indent="1"/>
    </xf>
    <xf numFmtId="0" fontId="55" fillId="4" borderId="0" xfId="8" applyFont="1">
      <alignment horizontal="left" vertical="center"/>
    </xf>
    <xf numFmtId="170" fontId="25" fillId="4" borderId="2" xfId="68" applyNumberFormat="1" applyFont="1" applyFill="1" applyBorder="1" applyAlignment="1">
      <alignment horizontal="center" vertical="center"/>
    </xf>
    <xf numFmtId="0" fontId="37" fillId="4" borderId="0" xfId="59">
      <alignment horizontal="left" vertical="center"/>
    </xf>
    <xf numFmtId="0" fontId="0" fillId="0" borderId="0" xfId="8" applyFont="1" applyFill="1" applyAlignment="1">
      <alignment horizontal="left" vertical="center" wrapText="1"/>
    </xf>
    <xf numFmtId="15" fontId="2" fillId="0" borderId="2" xfId="14" applyNumberFormat="1">
      <alignment horizontal="center" vertical="center"/>
    </xf>
    <xf numFmtId="0" fontId="3" fillId="12" borderId="2" xfId="15" applyAlignment="1">
      <alignment horizontal="center" vertical="center" wrapText="1"/>
    </xf>
    <xf numFmtId="0" fontId="3" fillId="12" borderId="17" xfId="15" applyBorder="1">
      <alignment horizontal="center" vertical="center"/>
    </xf>
    <xf numFmtId="0" fontId="2" fillId="0" borderId="17" xfId="14" applyBorder="1">
      <alignment horizontal="center" vertical="center"/>
    </xf>
    <xf numFmtId="0" fontId="3" fillId="12" borderId="17" xfId="15" applyBorder="1" applyAlignment="1">
      <alignment horizontal="center" vertical="center" wrapText="1"/>
    </xf>
    <xf numFmtId="0" fontId="2" fillId="0" borderId="17" xfId="56" applyBorder="1">
      <alignment horizontal="center" vertical="center"/>
    </xf>
    <xf numFmtId="171" fontId="0" fillId="0" borderId="0" xfId="8" applyNumberFormat="1" applyFont="1" applyFill="1">
      <alignment horizontal="left" vertical="center"/>
    </xf>
    <xf numFmtId="0" fontId="15" fillId="4" borderId="0" xfId="24">
      <alignment horizontal="left" vertical="center"/>
    </xf>
    <xf numFmtId="0" fontId="20" fillId="8" borderId="0" xfId="37">
      <alignment horizontal="left" vertical="center" indent="1"/>
    </xf>
    <xf numFmtId="0" fontId="25" fillId="4" borderId="2" xfId="63">
      <alignment horizontal="left" vertical="center"/>
    </xf>
    <xf numFmtId="0" fontId="25" fillId="4" borderId="18" xfId="63" applyBorder="1">
      <alignment horizontal="left" vertical="center"/>
    </xf>
    <xf numFmtId="0" fontId="25" fillId="4" borderId="19" xfId="63" applyBorder="1">
      <alignment horizontal="left" vertical="center"/>
    </xf>
    <xf numFmtId="0" fontId="25" fillId="4" borderId="20" xfId="63" applyBorder="1">
      <alignment horizontal="left" vertical="center"/>
    </xf>
    <xf numFmtId="0" fontId="41" fillId="15" borderId="2" xfId="65">
      <alignment horizontal="center" vertical="center"/>
    </xf>
    <xf numFmtId="0" fontId="40" fillId="14" borderId="2" xfId="64">
      <alignment horizontal="center" vertical="center"/>
    </xf>
    <xf numFmtId="0" fontId="39" fillId="4" borderId="2" xfId="62">
      <alignment horizontal="left" vertical="center"/>
    </xf>
    <xf numFmtId="0" fontId="34" fillId="4" borderId="0" xfId="57">
      <alignment horizontal="left" vertical="center"/>
    </xf>
    <xf numFmtId="0" fontId="35" fillId="4" borderId="0" xfId="58">
      <alignment horizontal="left" vertical="center"/>
    </xf>
    <xf numFmtId="0" fontId="5" fillId="2" borderId="0" xfId="9">
      <alignment horizontal="center" vertical="center"/>
    </xf>
    <xf numFmtId="0" fontId="12" fillId="6" borderId="0" xfId="29">
      <alignment horizontal="center" vertical="center"/>
      <protection locked="0"/>
    </xf>
    <xf numFmtId="0" fontId="29" fillId="4" borderId="1" xfId="8" applyBorder="1">
      <alignment horizontal="left" vertical="center"/>
    </xf>
    <xf numFmtId="0" fontId="58" fillId="4" borderId="1" xfId="8" applyFont="1" applyBorder="1">
      <alignment horizontal="left" vertical="center"/>
    </xf>
    <xf numFmtId="0" fontId="60" fillId="4" borderId="1" xfId="8" applyFont="1" applyBorder="1">
      <alignment horizontal="left" vertical="center"/>
    </xf>
    <xf numFmtId="0" fontId="61" fillId="4" borderId="1" xfId="53" applyFont="1" applyBorder="1">
      <alignment horizontal="left" vertical="center"/>
    </xf>
    <xf numFmtId="0" fontId="25" fillId="4" borderId="2" xfId="52" applyAlignment="1">
      <alignment horizontal="left" vertical="center"/>
    </xf>
    <xf numFmtId="0" fontId="25" fillId="4" borderId="18" xfId="52" applyBorder="1" applyAlignment="1">
      <alignment horizontal="left" vertical="center"/>
    </xf>
    <xf numFmtId="0" fontId="25" fillId="4" borderId="19" xfId="52" applyBorder="1">
      <alignment horizontal="center" vertical="center"/>
    </xf>
    <xf numFmtId="0" fontId="6" fillId="4" borderId="1" xfId="53" applyBorder="1">
      <alignment horizontal="left" vertical="center"/>
    </xf>
    <xf numFmtId="0" fontId="20" fillId="10" borderId="0" xfId="35">
      <alignment horizontal="left" vertical="center" indent="1"/>
    </xf>
    <xf numFmtId="0" fontId="0" fillId="0" borderId="0" xfId="28" applyFont="1" applyFill="1">
      <alignment horizontal="left" vertical="center" indent="1"/>
    </xf>
    <xf numFmtId="0" fontId="29" fillId="16" borderId="0" xfId="8" applyFill="1">
      <alignment horizontal="left" vertical="center"/>
    </xf>
    <xf numFmtId="0" fontId="25" fillId="16" borderId="2" xfId="52" applyFill="1">
      <alignment horizontal="center" vertical="center"/>
    </xf>
    <xf numFmtId="0" fontId="43" fillId="4" borderId="1" xfId="8" applyFont="1" applyBorder="1">
      <alignment horizontal="left" vertical="center"/>
    </xf>
    <xf numFmtId="0" fontId="25" fillId="4" borderId="2" xfId="52" applyAlignment="1">
      <alignment vertical="center"/>
    </xf>
    <xf numFmtId="0" fontId="25" fillId="4" borderId="18" xfId="52" applyBorder="1" applyAlignment="1">
      <alignment vertical="center"/>
    </xf>
    <xf numFmtId="0" fontId="25" fillId="4" borderId="19" xfId="52" applyBorder="1" applyAlignment="1">
      <alignment vertical="center"/>
    </xf>
    <xf numFmtId="0" fontId="25" fillId="4" borderId="20" xfId="52" applyBorder="1" applyAlignment="1">
      <alignment vertical="center"/>
    </xf>
    <xf numFmtId="0" fontId="20" fillId="5" borderId="0" xfId="36">
      <alignment horizontal="left" vertical="center" indent="1"/>
    </xf>
    <xf numFmtId="0" fontId="32" fillId="13" borderId="11" xfId="39" applyBorder="1">
      <alignment horizontal="left" vertical="center"/>
    </xf>
    <xf numFmtId="0" fontId="64" fillId="4" borderId="0" xfId="0" applyFont="1" applyFill="1" applyAlignment="1">
      <alignment horizontal="center" vertical="center"/>
    </xf>
    <xf numFmtId="0" fontId="64" fillId="4" borderId="0" xfId="0" applyFont="1" applyFill="1"/>
    <xf numFmtId="0" fontId="65" fillId="4" borderId="0" xfId="0" applyFont="1" applyFill="1"/>
    <xf numFmtId="0" fontId="32" fillId="13" borderId="21" xfId="39" applyBorder="1">
      <alignment horizontal="left" vertical="center"/>
    </xf>
    <xf numFmtId="0" fontId="0" fillId="0" borderId="0" xfId="0" applyAlignment="1" applyProtection="1">
      <alignment horizontal="center" vertical="center" wrapText="1"/>
      <protection locked="0"/>
    </xf>
    <xf numFmtId="0" fontId="0" fillId="0" borderId="0" xfId="0" applyAlignment="1">
      <alignment horizontal="center" vertical="center" wrapText="1"/>
    </xf>
    <xf numFmtId="0" fontId="9" fillId="0" borderId="0" xfId="55" applyAlignment="1">
      <alignment horizontal="center" vertical="center" wrapText="1"/>
    </xf>
    <xf numFmtId="0" fontId="9" fillId="0" borderId="0" xfId="55" applyAlignment="1" applyProtection="1">
      <alignment horizontal="center" vertical="center" wrapText="1"/>
      <protection locked="0"/>
    </xf>
    <xf numFmtId="4" fontId="0" fillId="0" borderId="0" xfId="17" applyFont="1" applyBorder="1" applyAlignment="1">
      <alignment horizontal="center" vertical="center" wrapText="1"/>
    </xf>
    <xf numFmtId="0" fontId="25" fillId="4" borderId="2" xfId="52" applyAlignment="1">
      <alignment horizontal="center" vertical="center" wrapText="1"/>
    </xf>
    <xf numFmtId="0" fontId="46" fillId="4" borderId="0" xfId="43" applyFont="1" applyFill="1" applyAlignment="1">
      <alignment horizontal="left" vertical="center" wrapText="1"/>
    </xf>
    <xf numFmtId="2" fontId="64" fillId="4" borderId="0" xfId="67" applyNumberFormat="1" applyFont="1" applyFill="1" applyBorder="1" applyAlignment="1" applyProtection="1">
      <alignment horizontal="center" wrapText="1"/>
      <protection locked="0"/>
    </xf>
    <xf numFmtId="1" fontId="64" fillId="4" borderId="0" xfId="67" applyNumberFormat="1" applyFont="1" applyFill="1" applyBorder="1" applyAlignment="1" applyProtection="1">
      <alignment horizontal="center" wrapText="1"/>
      <protection locked="0"/>
    </xf>
    <xf numFmtId="0" fontId="64" fillId="4" borderId="0" xfId="0" applyFont="1" applyFill="1" applyAlignment="1">
      <alignment horizontal="left" wrapText="1"/>
    </xf>
    <xf numFmtId="0" fontId="65" fillId="4" borderId="0" xfId="0" applyFont="1" applyFill="1" applyAlignment="1">
      <alignment wrapText="1"/>
    </xf>
    <xf numFmtId="0" fontId="29" fillId="4" borderId="0" xfId="8" applyAlignment="1">
      <alignment horizontal="left" vertical="center" wrapText="1"/>
    </xf>
    <xf numFmtId="0" fontId="36" fillId="4" borderId="0" xfId="47" applyAlignment="1">
      <alignment horizontal="left" vertical="center" wrapText="1"/>
    </xf>
    <xf numFmtId="0" fontId="0" fillId="4" borderId="0" xfId="0" applyFill="1" applyAlignment="1">
      <alignment wrapText="1"/>
    </xf>
    <xf numFmtId="0" fontId="66" fillId="12" borderId="2" xfId="15" applyFont="1" applyAlignment="1">
      <alignment horizontal="center" vertical="center" wrapText="1"/>
    </xf>
    <xf numFmtId="9" fontId="0" fillId="0" borderId="0" xfId="68" applyFont="1" applyFill="1" applyBorder="1" applyAlignment="1">
      <alignment horizontal="center" vertical="center" wrapText="1"/>
    </xf>
    <xf numFmtId="0" fontId="66" fillId="12" borderId="2" xfId="15" applyFont="1">
      <alignment horizontal="center" vertical="center"/>
    </xf>
    <xf numFmtId="4" fontId="53" fillId="0" borderId="2" xfId="17" applyFont="1" applyAlignment="1">
      <alignment horizontal="center" vertical="center" wrapText="1"/>
    </xf>
    <xf numFmtId="9" fontId="0" fillId="0" borderId="22" xfId="68" applyFont="1" applyFill="1" applyBorder="1" applyAlignment="1">
      <alignment horizontal="center" vertical="center" wrapText="1"/>
    </xf>
    <xf numFmtId="0" fontId="32" fillId="13" borderId="23" xfId="39" applyBorder="1">
      <alignment horizontal="left" vertical="center"/>
    </xf>
    <xf numFmtId="0" fontId="32" fillId="13" borderId="0" xfId="39" applyBorder="1">
      <alignment horizontal="left" vertical="center"/>
    </xf>
    <xf numFmtId="0" fontId="32" fillId="13" borderId="24" xfId="39" applyBorder="1">
      <alignment horizontal="left" vertical="center"/>
    </xf>
    <xf numFmtId="0" fontId="12" fillId="6" borderId="0" xfId="29" applyAlignment="1">
      <alignment horizontal="center" vertical="center" wrapText="1"/>
      <protection locked="0"/>
    </xf>
    <xf numFmtId="0" fontId="0" fillId="0" borderId="0" xfId="14" applyFont="1" applyBorder="1" applyAlignment="1">
      <alignment horizontal="center" vertical="center" wrapText="1"/>
    </xf>
    <xf numFmtId="9" fontId="0" fillId="0" borderId="0" xfId="16" applyFont="1" applyBorder="1" applyAlignment="1">
      <alignment horizontal="center" vertical="center" wrapText="1"/>
    </xf>
    <xf numFmtId="9" fontId="3" fillId="4" borderId="0" xfId="68" applyFont="1" applyFill="1" applyAlignment="1">
      <alignment horizontal="center" vertical="center" wrapText="1"/>
    </xf>
    <xf numFmtId="0" fontId="0" fillId="0" borderId="0" xfId="0" applyAlignment="1">
      <alignment wrapText="1"/>
    </xf>
    <xf numFmtId="9" fontId="0" fillId="4" borderId="0" xfId="0" applyNumberFormat="1" applyFill="1"/>
    <xf numFmtId="0" fontId="25" fillId="4" borderId="19" xfId="52" applyBorder="1" applyAlignment="1">
      <alignment horizontal="left" vertical="center"/>
    </xf>
    <xf numFmtId="0" fontId="39" fillId="4" borderId="18" xfId="62" applyBorder="1">
      <alignment horizontal="left" vertical="center"/>
    </xf>
    <xf numFmtId="0" fontId="25" fillId="4" borderId="20" xfId="52" applyBorder="1">
      <alignment horizontal="center" vertical="center"/>
    </xf>
    <xf numFmtId="0" fontId="25" fillId="4" borderId="20" xfId="52" applyBorder="1" applyAlignment="1">
      <alignment horizontal="left" vertical="center"/>
    </xf>
    <xf numFmtId="0" fontId="6" fillId="4" borderId="0" xfId="12" applyAlignment="1">
      <alignment horizontal="center" vertical="center"/>
    </xf>
    <xf numFmtId="0" fontId="5" fillId="2" borderId="0" xfId="1">
      <alignment horizontal="left" vertical="center" indent="1"/>
      <protection locked="0"/>
    </xf>
    <xf numFmtId="4" fontId="25" fillId="4" borderId="2" xfId="52" applyNumberFormat="1">
      <alignment horizontal="center" vertical="center"/>
    </xf>
    <xf numFmtId="9" fontId="25" fillId="4" borderId="2" xfId="52" applyNumberFormat="1">
      <alignment horizontal="center" vertical="center"/>
    </xf>
    <xf numFmtId="0" fontId="54" fillId="4" borderId="0" xfId="0" applyFont="1" applyFill="1"/>
    <xf numFmtId="0" fontId="6" fillId="4" borderId="1" xfId="12" applyBorder="1">
      <alignment horizontal="left" vertical="center" indent="1"/>
    </xf>
    <xf numFmtId="0" fontId="29" fillId="4" borderId="25" xfId="8" applyBorder="1">
      <alignment horizontal="left" vertical="center"/>
    </xf>
    <xf numFmtId="3" fontId="25" fillId="4" borderId="2" xfId="52" applyNumberFormat="1">
      <alignment horizontal="center" vertical="center"/>
    </xf>
    <xf numFmtId="4" fontId="25" fillId="4" borderId="2" xfId="46">
      <alignment horizontal="center" vertical="center"/>
    </xf>
    <xf numFmtId="0" fontId="61" fillId="4" borderId="1" xfId="12" applyFont="1" applyBorder="1">
      <alignment horizontal="left" vertical="center" indent="1"/>
    </xf>
    <xf numFmtId="0" fontId="5" fillId="2" borderId="0" xfId="9" applyAlignment="1">
      <alignment horizontal="center" vertical="center" wrapText="1"/>
    </xf>
    <xf numFmtId="0" fontId="29" fillId="4" borderId="26" xfId="8" applyBorder="1">
      <alignment horizontal="left" vertical="center"/>
    </xf>
    <xf numFmtId="0" fontId="5" fillId="2" borderId="0" xfId="1" applyAlignment="1">
      <alignment horizontal="center" vertical="center"/>
      <protection locked="0"/>
    </xf>
    <xf numFmtId="0" fontId="0" fillId="0" borderId="0" xfId="0" applyAlignment="1">
      <alignment vertical="center"/>
    </xf>
    <xf numFmtId="0" fontId="0" fillId="0" borderId="0" xfId="0" applyAlignment="1">
      <alignment vertical="center" wrapText="1"/>
    </xf>
    <xf numFmtId="4" fontId="2" fillId="0" borderId="2" xfId="17">
      <alignment horizontal="center" vertical="center"/>
    </xf>
    <xf numFmtId="166" fontId="25" fillId="4" borderId="2" xfId="45">
      <alignment horizontal="center" vertical="center"/>
    </xf>
    <xf numFmtId="172" fontId="0" fillId="0" borderId="0" xfId="8" applyNumberFormat="1" applyFont="1" applyFill="1">
      <alignment horizontal="left" vertical="center"/>
    </xf>
    <xf numFmtId="0" fontId="28" fillId="4" borderId="0" xfId="48">
      <alignment horizontal="center" vertical="center"/>
    </xf>
    <xf numFmtId="17" fontId="0" fillId="0" borderId="0" xfId="8" applyNumberFormat="1" applyFont="1" applyFill="1">
      <alignment horizontal="left" vertical="center"/>
    </xf>
    <xf numFmtId="43" fontId="29" fillId="4" borderId="0" xfId="8" applyNumberFormat="1">
      <alignment horizontal="left" vertical="center"/>
    </xf>
    <xf numFmtId="9" fontId="25" fillId="4" borderId="2" xfId="63" applyNumberFormat="1">
      <alignment horizontal="left" vertical="center"/>
    </xf>
    <xf numFmtId="0" fontId="70" fillId="0" borderId="0" xfId="0" applyFont="1" applyAlignment="1">
      <alignment vertical="center"/>
    </xf>
    <xf numFmtId="0" fontId="0" fillId="0" borderId="0" xfId="7" applyFont="1" applyFill="1" applyAlignment="1">
      <alignment horizontal="center" vertical="center"/>
    </xf>
    <xf numFmtId="9" fontId="0" fillId="0" borderId="0" xfId="16" applyFont="1" applyBorder="1">
      <alignment horizontal="center" vertical="center"/>
    </xf>
    <xf numFmtId="9" fontId="0" fillId="0" borderId="2" xfId="16" applyFont="1">
      <alignment horizontal="center" vertical="center"/>
    </xf>
    <xf numFmtId="0" fontId="25" fillId="4" borderId="17" xfId="52" applyBorder="1">
      <alignment horizontal="center" vertical="center"/>
    </xf>
    <xf numFmtId="9" fontId="0" fillId="0" borderId="17" xfId="16" applyFont="1" applyBorder="1">
      <alignment horizontal="center" vertical="center"/>
    </xf>
    <xf numFmtId="0" fontId="28" fillId="4" borderId="0" xfId="48" applyAlignment="1">
      <alignment horizontal="left" vertical="center"/>
    </xf>
    <xf numFmtId="173" fontId="71" fillId="4" borderId="2" xfId="52" applyNumberFormat="1" applyFont="1">
      <alignment horizontal="center" vertical="center"/>
    </xf>
    <xf numFmtId="0" fontId="24" fillId="4" borderId="0" xfId="50">
      <alignment horizontal="left" vertical="center"/>
    </xf>
    <xf numFmtId="4" fontId="25" fillId="4" borderId="17" xfId="46" applyBorder="1">
      <alignment horizontal="center" vertical="center"/>
    </xf>
    <xf numFmtId="173" fontId="71" fillId="4" borderId="17" xfId="52" applyNumberFormat="1" applyFont="1" applyBorder="1">
      <alignment horizontal="center" vertical="center"/>
    </xf>
    <xf numFmtId="0" fontId="3" fillId="4" borderId="1" xfId="7" applyBorder="1">
      <alignment horizontal="left" vertical="center"/>
    </xf>
    <xf numFmtId="0" fontId="28" fillId="4" borderId="1" xfId="48" applyBorder="1" applyAlignment="1">
      <alignment horizontal="left" vertical="center"/>
    </xf>
    <xf numFmtId="0" fontId="25" fillId="4" borderId="27" xfId="52" applyBorder="1">
      <alignment horizontal="center" vertical="center"/>
    </xf>
    <xf numFmtId="0" fontId="25" fillId="4" borderId="28" xfId="52" applyBorder="1">
      <alignment horizontal="center" vertical="center"/>
    </xf>
    <xf numFmtId="4" fontId="25" fillId="4" borderId="27" xfId="46" applyBorder="1">
      <alignment horizontal="center" vertical="center"/>
    </xf>
    <xf numFmtId="4" fontId="25" fillId="4" borderId="29" xfId="46" applyBorder="1">
      <alignment horizontal="center" vertical="center"/>
    </xf>
    <xf numFmtId="173" fontId="71" fillId="4" borderId="29" xfId="52" applyNumberFormat="1" applyFont="1" applyBorder="1">
      <alignment horizontal="center" vertical="center"/>
    </xf>
    <xf numFmtId="173" fontId="71" fillId="4" borderId="27" xfId="52" applyNumberFormat="1" applyFont="1" applyBorder="1">
      <alignment horizontal="center" vertical="center"/>
    </xf>
    <xf numFmtId="0" fontId="25" fillId="4" borderId="29" xfId="52" applyBorder="1">
      <alignment horizontal="center" vertical="center"/>
    </xf>
    <xf numFmtId="0" fontId="71" fillId="4" borderId="29" xfId="52" applyFont="1" applyBorder="1">
      <alignment horizontal="center" vertical="center"/>
    </xf>
    <xf numFmtId="0" fontId="3" fillId="4" borderId="26" xfId="7" applyBorder="1">
      <alignment horizontal="left" vertical="center"/>
    </xf>
    <xf numFmtId="165" fontId="54" fillId="4" borderId="26" xfId="0" applyNumberFormat="1" applyFont="1" applyFill="1" applyBorder="1"/>
    <xf numFmtId="0" fontId="6" fillId="4" borderId="26" xfId="12" applyBorder="1">
      <alignment horizontal="left" vertical="center" indent="1"/>
    </xf>
    <xf numFmtId="168" fontId="54" fillId="4" borderId="0" xfId="0" applyNumberFormat="1" applyFont="1" applyFill="1" applyAlignment="1">
      <alignment vertical="center"/>
    </xf>
    <xf numFmtId="165" fontId="54" fillId="4" borderId="26" xfId="0" applyNumberFormat="1" applyFont="1" applyFill="1" applyBorder="1" applyAlignment="1">
      <alignment vertical="center"/>
    </xf>
    <xf numFmtId="0" fontId="54" fillId="4" borderId="0" xfId="0" applyFont="1" applyFill="1" applyAlignment="1">
      <alignment vertical="center"/>
    </xf>
    <xf numFmtId="165" fontId="72" fillId="4" borderId="26" xfId="0" applyNumberFormat="1" applyFont="1" applyFill="1" applyBorder="1" applyAlignment="1">
      <alignment vertical="center"/>
    </xf>
    <xf numFmtId="168" fontId="71" fillId="4" borderId="2" xfId="46" applyNumberFormat="1" applyFont="1">
      <alignment horizontal="center" vertical="center"/>
    </xf>
    <xf numFmtId="168" fontId="71" fillId="4" borderId="17" xfId="46" applyNumberFormat="1" applyFont="1" applyBorder="1">
      <alignment horizontal="center" vertical="center"/>
    </xf>
    <xf numFmtId="168" fontId="71" fillId="4" borderId="29" xfId="46" applyNumberFormat="1" applyFont="1" applyBorder="1">
      <alignment horizontal="center" vertical="center"/>
    </xf>
    <xf numFmtId="0" fontId="70" fillId="0" borderId="0" xfId="0" applyFont="1" applyAlignment="1">
      <alignment vertical="center" wrapText="1"/>
    </xf>
    <xf numFmtId="0" fontId="73" fillId="0" borderId="0" xfId="0" applyFont="1" applyAlignment="1">
      <alignment horizontal="left" vertical="center"/>
    </xf>
    <xf numFmtId="0" fontId="73" fillId="0" borderId="0" xfId="8" applyFont="1" applyFill="1">
      <alignment horizontal="left" vertical="center"/>
    </xf>
    <xf numFmtId="0" fontId="70" fillId="0" borderId="0" xfId="0" applyFont="1" applyAlignment="1">
      <alignment horizontal="left" vertical="center"/>
    </xf>
    <xf numFmtId="0" fontId="0" fillId="0" borderId="0" xfId="0" applyAlignment="1">
      <alignment horizontal="left" vertical="center"/>
    </xf>
    <xf numFmtId="0" fontId="29" fillId="4" borderId="0" xfId="8" applyAlignment="1">
      <alignment horizontal="right" vertical="center"/>
    </xf>
    <xf numFmtId="0" fontId="70" fillId="4" borderId="0" xfId="0" applyFont="1" applyFill="1" applyAlignment="1">
      <alignment horizontal="left" vertical="center"/>
    </xf>
    <xf numFmtId="0" fontId="43" fillId="4" borderId="0" xfId="8" applyFont="1" applyAlignment="1">
      <alignment horizontal="right" vertical="center"/>
    </xf>
    <xf numFmtId="0" fontId="74" fillId="4" borderId="0" xfId="0" applyFont="1" applyFill="1"/>
    <xf numFmtId="0" fontId="70" fillId="0" borderId="0" xfId="0" applyFont="1"/>
    <xf numFmtId="0" fontId="70" fillId="0" borderId="0" xfId="7" applyFont="1" applyFill="1">
      <alignment horizontal="left" vertical="center"/>
    </xf>
    <xf numFmtId="0" fontId="70" fillId="4" borderId="0" xfId="0" applyFont="1" applyFill="1"/>
    <xf numFmtId="0" fontId="70" fillId="4" borderId="0" xfId="7" applyFont="1">
      <alignment horizontal="left" vertical="center"/>
    </xf>
    <xf numFmtId="0" fontId="32" fillId="13" borderId="11" xfId="39" quotePrefix="1" applyBorder="1">
      <alignment horizontal="left" vertical="center"/>
    </xf>
    <xf numFmtId="0" fontId="0" fillId="4" borderId="1" xfId="0" applyFill="1" applyBorder="1"/>
    <xf numFmtId="0" fontId="0" fillId="4" borderId="0" xfId="0" quotePrefix="1" applyFill="1"/>
    <xf numFmtId="0" fontId="75" fillId="4" borderId="1" xfId="0" applyFont="1" applyFill="1" applyBorder="1"/>
    <xf numFmtId="0" fontId="77" fillId="4" borderId="1" xfId="0" applyFont="1" applyFill="1" applyBorder="1"/>
    <xf numFmtId="0" fontId="22" fillId="0" borderId="0" xfId="0" applyFont="1"/>
    <xf numFmtId="0" fontId="78" fillId="9" borderId="0" xfId="32" applyFont="1" applyFill="1"/>
    <xf numFmtId="0" fontId="29" fillId="9" borderId="0" xfId="8" applyFill="1">
      <alignment horizontal="left" vertical="center"/>
    </xf>
    <xf numFmtId="0" fontId="0" fillId="9" borderId="0" xfId="0" applyFill="1"/>
    <xf numFmtId="0" fontId="16" fillId="11" borderId="0" xfId="31" applyFill="1">
      <alignment vertical="center"/>
    </xf>
    <xf numFmtId="0" fontId="20" fillId="11" borderId="0" xfId="61">
      <alignment horizontal="left" vertical="center" indent="1"/>
    </xf>
    <xf numFmtId="0" fontId="45" fillId="13" borderId="14" xfId="39" applyFont="1" applyBorder="1">
      <alignment horizontal="left" vertical="center"/>
    </xf>
    <xf numFmtId="0" fontId="79" fillId="9" borderId="4" xfId="34" applyFont="1">
      <alignment horizontal="left" vertical="center" indent="1"/>
    </xf>
  </cellXfs>
  <cellStyles count="70">
    <cellStyle name="Alert" xfId="59" xr:uid="{34EFE908-8095-4010-8F93-8CFE88055637}"/>
    <cellStyle name="Arguments" xfId="63" xr:uid="{D74147AB-B374-43DE-928A-C20FDAA7023A}"/>
    <cellStyle name="Arguments hyperlink" xfId="62" xr:uid="{E9A63CA8-EB4E-4FD6-930A-AD1711340AFB}"/>
    <cellStyle name="Back to top link" xfId="69" xr:uid="{E0D4C247-DA6C-47E3-AAF3-41414588B394}"/>
    <cellStyle name="Block heading" xfId="5" xr:uid="{74527274-3B4A-494A-B37C-EA50686E114C}"/>
    <cellStyle name="Block subheading" xfId="47" xr:uid="{34E62905-A3E0-4883-B81A-BDB58FC88DA7}"/>
    <cellStyle name="Code" xfId="24" xr:uid="{99B3520F-01DD-4F8E-A8D0-24EAA04E90EB}"/>
    <cellStyle name="Comma" xfId="67" builtinId="3"/>
    <cellStyle name="Content bold" xfId="7" xr:uid="{468A1381-682E-4BF1-945B-DF2E2BCA4419}"/>
    <cellStyle name="Content bold total" xfId="27" xr:uid="{17159E75-EF9F-42B8-8195-E83583796F67}"/>
    <cellStyle name="Content hidden" xfId="50"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66" builtinId="8"/>
    <cellStyle name="Information tip" xfId="39" xr:uid="{7D200D09-32E3-4546-9822-1B93AD118A74}"/>
    <cellStyle name="Information variation" xfId="54" xr:uid="{205494A3-14DD-4E6A-BDD3-5C5A864D6FA7}"/>
    <cellStyle name="Input block subheading" xfId="30" xr:uid="{A9FEBDB0-0992-4E30-96E5-9F9CAE92E3FB}"/>
    <cellStyle name="Input date" xfId="41" xr:uid="{A1D72D5E-DCF3-445F-8FC0-A147E105D774}"/>
    <cellStyle name="Input date calculated" xfId="45" xr:uid="{5A42AD0E-F665-46A9-9757-6B6A4BE7013E}"/>
    <cellStyle name="Input number 2 decimal places" xfId="17" xr:uid="{F9671E40-5700-4055-A6D2-272CF9DB620E}"/>
    <cellStyle name="Input number 2 decimal places calculated" xfId="46" xr:uid="{C04BA53C-14E1-48A5-99A3-C9FD44741A2A}"/>
    <cellStyle name="Input number 3 decimal places calculated" xfId="49" xr:uid="{637E6039-0A01-48EF-8C15-C29A497EF449}"/>
    <cellStyle name="Input number 3 decimal places disabled" xfId="22" xr:uid="{6B1B6177-B1C0-4190-858F-6E4C823402C3}"/>
    <cellStyle name="Input number 6 decimal places calculated" xfId="51" xr:uid="{CE70A7A2-3CEE-4689-8FF6-8EB6FCE0A94C}"/>
    <cellStyle name="Input number general" xfId="56" xr:uid="{D8583F7D-F13A-4EA8-BAA6-B42739FDBDDB}"/>
    <cellStyle name="Input number general calculated" xfId="52" xr:uid="{34755FEB-6E4E-4BD7-A478-DF7299A7A914}"/>
    <cellStyle name="Input number no decimals" xfId="18" xr:uid="{B33B4FB5-F3F4-4036-B2DD-663B694E2A90}"/>
    <cellStyle name="Input number no decimals calculated" xfId="40"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48" xr:uid="{43DCF082-1F0D-4E07-9785-CAF41B37CFCC}"/>
    <cellStyle name="Input text disabled" xfId="19" xr:uid="{79E76B35-E5FF-43A1-B0D0-016F346F8B97}"/>
    <cellStyle name="Menu link child" xfId="38" xr:uid="{609090D3-DE1E-48FE-A8AA-233CE9B146E0}"/>
    <cellStyle name="Menu link default" xfId="33" xr:uid="{11B84453-1DD4-492A-B241-FE6AD4CB25FA}"/>
    <cellStyle name="Menu link selected" xfId="35" xr:uid="{B16EBA6F-62C4-483F-8E15-B20D06ABF61F}"/>
    <cellStyle name="Menu link selected equations" xfId="37" xr:uid="{7AFCC545-C221-4BAC-933E-19109D0FB654}"/>
    <cellStyle name="Menu link selected input" xfId="36" xr:uid="{17D327F4-9149-4DAC-85BB-811698090830}"/>
    <cellStyle name="Menu link selected results" xfId="61" xr:uid="{0DC56464-F1A3-42A3-BF89-514E2163E7F0}"/>
    <cellStyle name="Menu section title" xfId="34" xr:uid="{E2117B15-AE58-4F76-B13B-671D455A4107}"/>
    <cellStyle name="Normal" xfId="0" builtinId="0"/>
    <cellStyle name="Normal 2" xfId="55" xr:uid="{FE64FEFB-54C6-42B4-AA7F-D49670F5ED19}"/>
    <cellStyle name="Normal 2 2" xfId="44" xr:uid="{B8803ACE-513D-4EEF-BBE0-0BB76AE7D7F4}"/>
    <cellStyle name="Normal 4" xfId="42" xr:uid="{99CD1B63-5040-4067-BBD7-470030C57E5D}"/>
    <cellStyle name="Normal 5" xfId="43"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68" builtinId="5"/>
    <cellStyle name="Results table column header" xfId="60" xr:uid="{A846043F-10AE-4BED-BAA6-90407C977915}"/>
    <cellStyle name="Table description" xfId="58" xr:uid="{8BD2F353-2E3C-42FF-89E9-616E85DC18C5}"/>
    <cellStyle name="Table name" xfId="57" xr:uid="{D56F17A4-9740-44B6-BDDB-150E2C950B8B}"/>
    <cellStyle name="Unit" xfId="12" xr:uid="{90B9E191-F5E0-43AB-A245-D6CA23D4ADFC}"/>
    <cellStyle name="Unit no indent" xfId="53" xr:uid="{2829D020-DAD8-4B7D-9262-450720E27D2B}"/>
    <cellStyle name="Unit total" xfId="25" xr:uid="{65428923-3DAD-47B6-8DDF-0EBD05E7C55B}"/>
    <cellStyle name="Variable type input" xfId="65" xr:uid="{69904D21-1566-4CAB-9A42-C86AC6535120}"/>
    <cellStyle name="Variable type other" xfId="64" xr:uid="{105BD9DE-B567-4DA0-87E6-C60A0ECC1C65}"/>
  </cellStyles>
  <dxfs count="458">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ill>
        <patternFill patternType="solid">
          <fgColor indexed="64"/>
          <bgColor theme="0" tint="-4.9989318521683403E-2"/>
        </patternFill>
      </fill>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imes New Roman"/>
        <family val="1"/>
        <scheme val="none"/>
      </font>
    </dxf>
    <dxf>
      <fill>
        <patternFill>
          <fgColor indexed="64"/>
          <bgColor theme="0" tint="-4.9989318521683403E-2"/>
        </patternFill>
      </fill>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general" vertical="center" textRotation="0" wrapText="0" indent="0" justifyLastLine="0" shrinkToFit="0" readingOrder="0"/>
      <border diagonalUp="0" diagonalDown="0" outline="0">
        <left/>
        <right/>
        <top style="thin">
          <color indexed="64"/>
        </top>
        <bottom/>
      </border>
    </dxf>
    <dxf>
      <alignment horizontal="general" vertical="center" textRotation="0" wrapText="0" indent="0" justifyLastLine="0" shrinkToFit="0" readingOrder="0"/>
    </dxf>
    <dxf>
      <font>
        <strike val="0"/>
        <outline val="0"/>
        <shadow val="0"/>
        <u val="none"/>
        <vertAlign val="baseline"/>
        <sz val="9"/>
        <color theme="1"/>
        <name val="Times New Roman"/>
        <family val="2"/>
        <scheme val="minor"/>
      </font>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i val="0"/>
        <strike val="0"/>
        <condense val="0"/>
        <extend val="0"/>
        <outline val="0"/>
        <shadow val="0"/>
        <u val="none"/>
        <vertAlign val="baseline"/>
        <sz val="11"/>
        <color theme="1"/>
        <name val="Times New Roman"/>
        <family val="1"/>
        <scheme val="minor"/>
      </font>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numFmt numFmtId="172" formatCode="[$-C09]d\ mmmm\ yyyy;@"/>
    </dxf>
    <dxf>
      <numFmt numFmtId="172" formatCode="[$-C09]d\ mmmm\ yyyy;@"/>
    </dxf>
    <dxf>
      <fill>
        <patternFill>
          <bgColor theme="0" tint="-4.9989318521683403E-2"/>
        </patternFill>
      </fill>
    </dxf>
    <dxf>
      <border diagonalUp="0" diagonalDown="0" outline="0">
        <left style="thin">
          <color theme="0" tint="-0.34998626667073579"/>
        </left>
        <right style="thin">
          <color theme="0" tint="-0.34998626667073579"/>
        </right>
        <top style="thin">
          <color theme="0" tint="-0.34998626667073579"/>
        </top>
        <bottom/>
      </border>
    </dxf>
    <dxf>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border>
    </dxf>
    <dxf>
      <border diagonalUp="0" diagonalDown="0" outline="0">
        <left/>
        <right/>
        <top/>
        <bottom/>
      </border>
    </dxf>
    <dxf>
      <font>
        <b val="0"/>
        <i val="0"/>
        <strike val="0"/>
        <condense val="0"/>
        <extend val="0"/>
        <outline val="0"/>
        <shadow val="0"/>
        <u val="none"/>
        <vertAlign val="baseline"/>
        <sz val="12"/>
        <color theme="1" tint="0.249977111117893"/>
        <name val="Times New Roman"/>
        <family val="1"/>
        <scheme val="none"/>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border diagonalUp="0" diagonalDown="0" outline="0">
        <left style="thin">
          <color theme="0" tint="-0.34998626667073579"/>
        </left>
        <right style="thin">
          <color theme="0" tint="-0.34998626667073579"/>
        </right>
        <top style="thin">
          <color theme="0" tint="-0.34998626667073579"/>
        </top>
        <bottom/>
      </border>
    </dxf>
    <dxf>
      <font>
        <b/>
        <i val="0"/>
        <strike val="0"/>
        <condense val="0"/>
        <extend val="0"/>
        <outline val="0"/>
        <shadow val="0"/>
        <u val="none"/>
        <vertAlign val="baseline"/>
        <sz val="12"/>
        <color theme="1" tint="0.14999847407452621"/>
        <name val="Times New Roman"/>
        <family val="1"/>
        <scheme val="none"/>
      </font>
      <numFmt numFmtId="0" formatCode="General"/>
      <fill>
        <gradientFill degree="90">
          <stop position="0">
            <color theme="0"/>
          </stop>
          <stop position="1">
            <color theme="0" tint="-5.0965910824915313E-2"/>
          </stop>
        </gradient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border>
      <protection locked="1" hidden="0"/>
    </dxf>
    <dxf>
      <fill>
        <patternFill>
          <bgColor theme="0" tint="-4.9989318521683403E-2"/>
        </patternFill>
      </fill>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font>
        <strike val="0"/>
        <outline val="0"/>
        <shadow val="0"/>
        <u val="none"/>
        <vertAlign val="baseline"/>
        <sz val="10"/>
        <color theme="1" tint="0.14999847407452621"/>
        <name val="Times New Roman"/>
        <family val="1"/>
        <scheme val="none"/>
      </font>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horizontal="center" vertical="center"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textRotation="0" wrapText="1" indent="0" justifyLastLine="0" shrinkToFit="0" readingOrder="0"/>
      <border outline="0">
        <right style="thin">
          <color theme="0" tint="-0.34998626667073579"/>
        </right>
      </border>
    </dxf>
    <dxf>
      <font>
        <sz val="11"/>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Times New Roman"/>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Times New Roman"/>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border outline="0">
        <left style="thin">
          <color theme="0" tint="-0.34998626667073579"/>
        </left>
      </border>
    </dxf>
    <dxf>
      <alignment horizontal="center" vertical="center" textRotation="0" wrapText="1" indent="0" justifyLastLine="0" shrinkToFit="0" readingOrder="0"/>
    </dxf>
    <dxf>
      <border diagonalUp="0" diagonalDown="0" outline="0">
        <left style="thin">
          <color theme="0" tint="-0.34998626667073579"/>
        </left>
        <right style="thin">
          <color theme="0" tint="-0.34998626667073579"/>
        </right>
        <top style="thin">
          <color theme="0" tint="-0.34998626667073579"/>
        </top>
        <bottom/>
      </border>
    </dxf>
    <dxf>
      <numFmt numFmtId="171" formatCode="[$-F800]dddd\,\ mmmm\ dd\,\ yyyy"/>
    </dxf>
    <dxf>
      <border outline="0">
        <left style="thin">
          <color theme="0" tint="-0.34998626667073579"/>
        </left>
      </border>
    </dxf>
    <dxf>
      <alignment horizontal="center" vertical="center" textRotation="0" wrapText="1" indent="0" justifyLastLine="0" shrinkToFit="0" readingOrder="0"/>
    </dxf>
    <dxf>
      <border diagonalUp="0" diagonalDown="0" outline="0">
        <left style="thin">
          <color theme="0" tint="-0.34998626667073579"/>
        </left>
        <right style="thin">
          <color theme="0" tint="-0.34998626667073579"/>
        </right>
        <top style="thin">
          <color theme="0" tint="-0.34998626667073579"/>
        </top>
        <bottom/>
      </border>
    </dxf>
    <dxf>
      <numFmt numFmtId="171" formatCode="[$-F800]dddd\,\ mmmm\ dd\,\ yyyy"/>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457"/>
      <tableStyleElement type="headerRow" dxfId="456"/>
      <tableStyleElement type="totalRow" dxfId="455"/>
      <tableStyleElement type="firstColumn" dxfId="454"/>
      <tableStyleElement type="firstRowStripe" dxfId="453"/>
      <tableStyleElement type="secondRowStripe" dxfId="452"/>
    </tableStyle>
    <tableStyle name="Equation table" pivot="0" count="6" xr9:uid="{B247698E-E41D-4CCD-AA0A-C14817E9DE65}">
      <tableStyleElement type="wholeTable" dxfId="451"/>
      <tableStyleElement type="headerRow" dxfId="450"/>
      <tableStyleElement type="totalRow" dxfId="449"/>
      <tableStyleElement type="firstColumn" dxfId="448"/>
      <tableStyleElement type="firstRowStripe" dxfId="447"/>
      <tableStyleElement type="secondRowStripe" dxfId="446"/>
    </tableStyle>
    <tableStyle name="Table Style 1" pivot="0" count="0" xr9:uid="{97B370DB-5463-4A31-9160-5A96BD6A559D}"/>
  </tableStyles>
  <colors>
    <mruColors>
      <color rgb="FFC44340"/>
      <color rgb="FF0C769E"/>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4.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47" Type="http://schemas.microsoft.com/office/2017/06/relationships/rdRichValueStructure" Target="richData/rdrichvaluestructure.xml"/><Relationship Id="rId50"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microsoft.com/office/2022/10/relationships/richValueRel" Target="richData/richValueRel.xml"/><Relationship Id="rId53" Type="http://schemas.openxmlformats.org/officeDocument/2006/relationships/customXml" Target="../customXml/item4.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eetMetadata" Target="metadata.xml"/><Relationship Id="rId52"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 Id="rId48" Type="http://schemas.microsoft.com/office/2017/06/relationships/rdRichValueTypes" Target="richData/rdRichValueTypes.xml"/><Relationship Id="rId8" Type="http://schemas.openxmlformats.org/officeDocument/2006/relationships/worksheet" Target="worksheets/sheet8.xml"/><Relationship Id="rId51" Type="http://schemas.openxmlformats.org/officeDocument/2006/relationships/customXml" Target="../customXml/item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microsoft.com/office/2017/06/relationships/rdRichValue" Target="richData/rdrichvalue.xml"/><Relationship Id="rId20" Type="http://schemas.openxmlformats.org/officeDocument/2006/relationships/worksheet" Target="worksheets/sheet20.xml"/><Relationship Id="rId41"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8.xml.rels><?xml version="1.0" encoding="UTF-8" standalone="yes"?>
<Relationships xmlns="http://schemas.openxmlformats.org/package/2006/relationships"><Relationship Id="rId8" Type="http://schemas.openxmlformats.org/officeDocument/2006/relationships/hyperlink" Target="#'5.2.1.1-2 Organic Fert N2O'!D5"/><Relationship Id="rId13" Type="http://schemas.openxmlformats.org/officeDocument/2006/relationships/hyperlink" Target="#'5.4.1.1-4 Atmos deposition'!D40"/><Relationship Id="rId3" Type="http://schemas.openxmlformats.org/officeDocument/2006/relationships/hyperlink" Target="#'5.1.1.1-2 Inorganic fert N2O'!M5"/><Relationship Id="rId7" Type="http://schemas.openxmlformats.org/officeDocument/2006/relationships/hyperlink" Target="#'5.1.1.3-4 Inorganic fert CO2'!D40"/><Relationship Id="rId12" Type="http://schemas.openxmlformats.org/officeDocument/2006/relationships/hyperlink" Target="#'5.4.1.1-4 Atmos deposition'!D86"/><Relationship Id="rId17" Type="http://schemas.openxmlformats.org/officeDocument/2006/relationships/hyperlink" Target="#'5.5.1.1-2 Leaching and runoff'!D80"/><Relationship Id="rId2" Type="http://schemas.openxmlformats.org/officeDocument/2006/relationships/hyperlink" Target="#'5.1.1.1-2 Inorganic fert N2O'!D39"/><Relationship Id="rId16" Type="http://schemas.openxmlformats.org/officeDocument/2006/relationships/hyperlink" Target="#'5.5.1.1-2 Leaching and runoff'!D46"/><Relationship Id="rId1" Type="http://schemas.openxmlformats.org/officeDocument/2006/relationships/hyperlink" Target="#'5.1.1.1-2 Inorganic fert N2O'!D5"/><Relationship Id="rId6" Type="http://schemas.openxmlformats.org/officeDocument/2006/relationships/hyperlink" Target="#'5.1.1.3-4 Inorganic fert CO2'!D5"/><Relationship Id="rId11" Type="http://schemas.openxmlformats.org/officeDocument/2006/relationships/hyperlink" Target="#'5.4.1.1-4 Atmos deposition'!D5"/><Relationship Id="rId5" Type="http://schemas.openxmlformats.org/officeDocument/2006/relationships/hyperlink" Target="#'5.1.1.1-2 Inorganic fert N2O'!M27"/><Relationship Id="rId15" Type="http://schemas.openxmlformats.org/officeDocument/2006/relationships/hyperlink" Target="#'5.5.1.1-2 Leaching and runoff'!D5"/><Relationship Id="rId10" Type="http://schemas.openxmlformats.org/officeDocument/2006/relationships/hyperlink" Target="#'5.3.1.1-2 Lime CO2'!D5"/><Relationship Id="rId4" Type="http://schemas.openxmlformats.org/officeDocument/2006/relationships/hyperlink" Target="#'5.1.1.1-2 Inorganic fert N2O'!M16"/><Relationship Id="rId9" Type="http://schemas.openxmlformats.org/officeDocument/2006/relationships/hyperlink" Target="#'5.2.1.1-2 Organic Fert N2O'!D36"/><Relationship Id="rId14" Type="http://schemas.openxmlformats.org/officeDocument/2006/relationships/hyperlink" Target="#'5.4.1.1-4 Atmos deposition'!D114"/></Relationships>
</file>

<file path=xl/drawings/drawing1.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2</xdr:col>
      <xdr:colOff>309562</xdr:colOff>
      <xdr:row>73</xdr:row>
      <xdr:rowOff>195262</xdr:rowOff>
    </xdr:from>
    <xdr:ext cx="1550360" cy="186333"/>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4093CEAC-8862-4688-B9A5-A203E5FB191B}"/>
                </a:ext>
              </a:extLst>
            </xdr:cNvPr>
            <xdr:cNvSpPr txBox="1"/>
          </xdr:nvSpPr>
          <xdr:spPr>
            <a:xfrm>
              <a:off x="2671762" y="18407062"/>
              <a:ext cx="155036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m:t>
                        </m:r>
                      </m:sub>
                    </m:sSub>
                    <m:r>
                      <a:rPr lang="en-AU" sz="1100" i="1">
                        <a:latin typeface="Cambria Math" panose="02040503050406030204" pitchFamily="18" charset="0"/>
                      </a:rPr>
                      <m:t>=20.7×</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4093CEAC-8862-4688-B9A5-A203E5FB191B}"/>
                </a:ext>
              </a:extLst>
            </xdr:cNvPr>
            <xdr:cNvSpPr txBox="1"/>
          </xdr:nvSpPr>
          <xdr:spPr>
            <a:xfrm>
              <a:off x="2671762" y="18407062"/>
              <a:ext cx="155036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𝑀_𝑗𝑘𝑙=20.7×𝐼_𝑗𝑘𝑙×10^(−3)</a:t>
              </a:r>
              <a:endParaRPr lang="en-AU" sz="1100"/>
            </a:p>
          </xdr:txBody>
        </xdr:sp>
      </mc:Fallback>
    </mc:AlternateContent>
    <xdr:clientData/>
  </xdr:oneCellAnchor>
  <xdr:oneCellAnchor>
    <xdr:from>
      <xdr:col>2</xdr:col>
      <xdr:colOff>295275</xdr:colOff>
      <xdr:row>7</xdr:row>
      <xdr:rowOff>128587</xdr:rowOff>
    </xdr:from>
    <xdr:ext cx="3071354" cy="194990"/>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B2E9950B-7EDD-4BE5-A82C-EC72A1526681}"/>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e>
                    </m:d>
                  </m:oMath>
                </m:oMathPara>
              </a14:m>
              <a:endParaRPr lang="en-AU" sz="1100"/>
            </a:p>
          </xdr:txBody>
        </xdr:sp>
      </mc:Choice>
      <mc:Fallback xmlns="">
        <xdr:sp macro="" textlink="">
          <xdr:nvSpPr>
            <xdr:cNvPr id="3" name="TextBox 2">
              <a:extLst>
                <a:ext uri="{FF2B5EF4-FFF2-40B4-BE49-F238E27FC236}">
                  <a16:creationId xmlns:a16="http://schemas.microsoft.com/office/drawing/2014/main" id="{B2E9950B-7EDD-4BE5-A82C-EC72A1526681}"/>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𝑀𝐴_(𝑗𝑘=4,5)=(𝐿𝐶_(𝑗𝑘=4,5)×𝐹𝐴_(𝑗𝑘=4,5) )+(1−𝐿𝐶_(𝑗𝑘=4,5) )</a:t>
              </a:r>
              <a:endParaRPr lang="en-AU" sz="1100"/>
            </a:p>
          </xdr:txBody>
        </xdr:sp>
      </mc:Fallback>
    </mc:AlternateContent>
    <xdr:clientData/>
  </xdr:oneCellAnchor>
  <xdr:oneCellAnchor>
    <xdr:from>
      <xdr:col>3</xdr:col>
      <xdr:colOff>23812</xdr:colOff>
      <xdr:row>35</xdr:row>
      <xdr:rowOff>128587</xdr:rowOff>
    </xdr:from>
    <xdr:ext cx="5088508" cy="234103"/>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DA5EAB24-2586-4ED3-9113-059239DDA75A}"/>
                </a:ext>
              </a:extLst>
            </xdr:cNvPr>
            <xdr:cNvSpPr txBox="1"/>
          </xdr:nvSpPr>
          <xdr:spPr>
            <a:xfrm>
              <a:off x="2700337" y="89296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𝑗𝑘𝑙</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DA5EAB24-2586-4ED3-9113-059239DDA75A}"/>
                </a:ext>
              </a:extLst>
            </xdr:cNvPr>
            <xdr:cNvSpPr txBox="1"/>
          </xdr:nvSpPr>
          <xdr:spPr>
            <a:xfrm>
              <a:off x="2700337" y="89296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𝐼_𝑗𝑘𝑙=(1.185+0.00454×𝑊_𝑗𝑘𝑙−0.0000026×𝑊_𝑗𝑘𝑙^2+0.315×𝐿𝑊𝐺_𝑗𝑘𝑙 )^2×𝑀𝐴_(𝑗𝑘=4,5)</a:t>
              </a:r>
              <a:endParaRPr lang="en-AU" sz="1100"/>
            </a:p>
          </xdr:txBody>
        </xdr:sp>
      </mc:Fallback>
    </mc:AlternateContent>
    <xdr:clientData/>
  </xdr:oneCellAnchor>
  <xdr:oneCellAnchor>
    <xdr:from>
      <xdr:col>3</xdr:col>
      <xdr:colOff>4762</xdr:colOff>
      <xdr:row>94</xdr:row>
      <xdr:rowOff>90487</xdr:rowOff>
    </xdr:from>
    <xdr:ext cx="2822631" cy="429926"/>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4C588B08-E14D-4C5E-85B4-1C61EB814CA7}"/>
                </a:ext>
              </a:extLst>
            </xdr:cNvPr>
            <xdr:cNvSpPr txBox="1"/>
          </xdr:nvSpPr>
          <xdr:spPr>
            <a:xfrm>
              <a:off x="2681287" y="23502937"/>
              <a:ext cx="2822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𝑙</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𝑗𝑘𝑙</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4C588B08-E14D-4C5E-85B4-1C61EB814CA7}"/>
                </a:ext>
              </a:extLst>
            </xdr:cNvPr>
            <xdr:cNvSpPr txBox="1"/>
          </xdr:nvSpPr>
          <xdr:spPr>
            <a:xfrm>
              <a:off x="2681287" y="23502937"/>
              <a:ext cx="2822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𝐸_𝑒𝑛𝑡𝑒𝑟𝑖𝑐=∑_𝑗▒∑_𝑘▒∑_𝑙▒(𝐷_𝑗×𝑀_𝑗𝑘𝑙×𝑁_𝑗𝑘𝑙 ) ×10^(−3)</a:t>
              </a:r>
              <a:endParaRPr lang="en-AU" sz="1100"/>
            </a:p>
          </xdr:txBody>
        </xdr:sp>
      </mc:Fallback>
    </mc:AlternateContent>
    <xdr:clientData/>
  </xdr:oneCellAnchor>
</xdr:wsDr>
</file>

<file path=xl/drawings/drawing3.xml><?xml version="1.0" encoding="utf-8"?>
<xdr:wsDr xmlns:xdr="http://schemas.openxmlformats.org/drawingml/2006/spreadsheetDrawing" xmlns:a="http://schemas.openxmlformats.org/drawingml/2006/main">
  <xdr:oneCellAnchor>
    <xdr:from>
      <xdr:col>2</xdr:col>
      <xdr:colOff>309562</xdr:colOff>
      <xdr:row>101</xdr:row>
      <xdr:rowOff>195262</xdr:rowOff>
    </xdr:from>
    <xdr:ext cx="3370218" cy="25333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E02BF2BD-48AD-4998-B044-FD1BC0EFD3D5}"/>
                </a:ext>
              </a:extLst>
            </xdr:cNvPr>
            <xdr:cNvSpPr txBox="1"/>
          </xdr:nvSpPr>
          <xdr:spPr>
            <a:xfrm>
              <a:off x="2671762" y="25341262"/>
              <a:ext cx="3370218"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𝑗𝑘𝑙</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0.04×</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𝐴</m:t>
                        </m:r>
                      </m:e>
                    </m:d>
                  </m:oMath>
                </m:oMathPara>
              </a14:m>
              <a:endParaRPr lang="en-AU" sz="1100"/>
            </a:p>
          </xdr:txBody>
        </xdr:sp>
      </mc:Choice>
      <mc:Fallback xmlns="">
        <xdr:sp macro="" textlink="">
          <xdr:nvSpPr>
            <xdr:cNvPr id="2" name="TextBox 1">
              <a:extLst>
                <a:ext uri="{FF2B5EF4-FFF2-40B4-BE49-F238E27FC236}">
                  <a16:creationId xmlns:a16="http://schemas.microsoft.com/office/drawing/2014/main" id="{E02BF2BD-48AD-4998-B044-FD1BC0EFD3D5}"/>
                </a:ext>
              </a:extLst>
            </xdr:cNvPr>
            <xdr:cNvSpPr txBox="1"/>
          </xdr:nvSpPr>
          <xdr:spPr>
            <a:xfrm>
              <a:off x="2671762" y="25341262"/>
              <a:ext cx="3370218"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𝑉𝑆_𝑗𝑘𝑙=(𝐼_𝑗𝑘𝑙×(1−𝐷𝑀𝐷_𝑗𝑘𝑙 )+(0.04×𝐼_𝑗𝑘𝑙 ))×(1−𝐴)</a:t>
              </a:r>
              <a:endParaRPr lang="en-AU" sz="1100"/>
            </a:p>
          </xdr:txBody>
        </xdr:sp>
      </mc:Fallback>
    </mc:AlternateContent>
    <xdr:clientData/>
  </xdr:oneCellAnchor>
  <xdr:oneCellAnchor>
    <xdr:from>
      <xdr:col>2</xdr:col>
      <xdr:colOff>295275</xdr:colOff>
      <xdr:row>7</xdr:row>
      <xdr:rowOff>128587</xdr:rowOff>
    </xdr:from>
    <xdr:ext cx="3071354" cy="194990"/>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F9A4D79D-FBF4-4181-A5F2-295D8048E16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e>
                    </m:d>
                  </m:oMath>
                </m:oMathPara>
              </a14:m>
              <a:endParaRPr lang="en-AU" sz="1100"/>
            </a:p>
          </xdr:txBody>
        </xdr:sp>
      </mc:Choice>
      <mc:Fallback xmlns="">
        <xdr:sp macro="" textlink="">
          <xdr:nvSpPr>
            <xdr:cNvPr id="3" name="TextBox 2">
              <a:extLst>
                <a:ext uri="{FF2B5EF4-FFF2-40B4-BE49-F238E27FC236}">
                  <a16:creationId xmlns:a16="http://schemas.microsoft.com/office/drawing/2014/main" id="{F9A4D79D-FBF4-4181-A5F2-295D8048E16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𝑀𝐴_(𝑗𝑘=4,5)=(𝐿𝐶_(𝑗𝑘=4,5)×𝐹𝐴_(𝑗𝑘=4,5) )+(1−𝐿𝐶_(𝑗𝑘=4,5) )</a:t>
              </a:r>
              <a:endParaRPr lang="en-AU" sz="1100"/>
            </a:p>
          </xdr:txBody>
        </xdr:sp>
      </mc:Fallback>
    </mc:AlternateContent>
    <xdr:clientData/>
  </xdr:oneCellAnchor>
  <xdr:oneCellAnchor>
    <xdr:from>
      <xdr:col>3</xdr:col>
      <xdr:colOff>23812</xdr:colOff>
      <xdr:row>39</xdr:row>
      <xdr:rowOff>128587</xdr:rowOff>
    </xdr:from>
    <xdr:ext cx="5088508" cy="234103"/>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87286CFE-2059-4019-9DF7-C0632F793CC7}"/>
                </a:ext>
              </a:extLst>
            </xdr:cNvPr>
            <xdr:cNvSpPr txBox="1"/>
          </xdr:nvSpPr>
          <xdr:spPr>
            <a:xfrm>
              <a:off x="2700337" y="99202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𝑗𝑘𝑙</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87286CFE-2059-4019-9DF7-C0632F793CC7}"/>
                </a:ext>
              </a:extLst>
            </xdr:cNvPr>
            <xdr:cNvSpPr txBox="1"/>
          </xdr:nvSpPr>
          <xdr:spPr>
            <a:xfrm>
              <a:off x="2700337" y="99202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𝐼_𝑗𝑘𝑙=(1.185+0.00454×𝑊_𝑗𝑘𝑙−0.0000026×𝑊_𝑗𝑘𝑙^2+0.315×𝐿𝑊𝐺_𝑗𝑘𝑙 )^2×𝑀𝐴_(𝑗𝑘=4,5)</a:t>
              </a:r>
              <a:endParaRPr lang="en-AU" sz="1100"/>
            </a:p>
          </xdr:txBody>
        </xdr:sp>
      </mc:Fallback>
    </mc:AlternateContent>
    <xdr:clientData/>
  </xdr:oneCellAnchor>
  <xdr:oneCellAnchor>
    <xdr:from>
      <xdr:col>3</xdr:col>
      <xdr:colOff>4762</xdr:colOff>
      <xdr:row>148</xdr:row>
      <xdr:rowOff>90487</xdr:rowOff>
    </xdr:from>
    <xdr:ext cx="2595389" cy="182871"/>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8974450F-068D-40F5-B44A-924AC15E7608}"/>
                </a:ext>
              </a:extLst>
            </xdr:cNvPr>
            <xdr:cNvSpPr txBox="1"/>
          </xdr:nvSpPr>
          <xdr:spPr>
            <a:xfrm>
              <a:off x="2681287" y="36876037"/>
              <a:ext cx="2595389"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𝑗𝑘𝑙𝑚</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𝐵</m:t>
                        </m:r>
                      </m:e>
                      <m:sub>
                        <m:r>
                          <a:rPr lang="en-AU" sz="1100" i="1">
                            <a:latin typeface="Cambria Math" panose="02040503050406030204" pitchFamily="18" charset="0"/>
                          </a:rPr>
                          <m:t>𝑜</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5" name="TextBox 4">
              <a:extLst>
                <a:ext uri="{FF2B5EF4-FFF2-40B4-BE49-F238E27FC236}">
                  <a16:creationId xmlns:a16="http://schemas.microsoft.com/office/drawing/2014/main" id="{8974450F-068D-40F5-B44A-924AC15E7608}"/>
                </a:ext>
              </a:extLst>
            </xdr:cNvPr>
            <xdr:cNvSpPr txBox="1"/>
          </xdr:nvSpPr>
          <xdr:spPr>
            <a:xfrm>
              <a:off x="2681287" y="36876037"/>
              <a:ext cx="2595389"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𝑀_𝑗𝑘𝑙𝑚=𝑉𝑆_𝑗𝑘𝑙×𝐵_𝑜×𝑀𝑀𝑆_𝑚×𝑀𝐶𝐹_𝑖𝑚×𝜌</a:t>
              </a:r>
              <a:endParaRPr lang="en-AU" sz="1100"/>
            </a:p>
          </xdr:txBody>
        </xdr:sp>
      </mc:Fallback>
    </mc:AlternateContent>
    <xdr:clientData/>
  </xdr:oneCellAnchor>
  <xdr:oneCellAnchor>
    <xdr:from>
      <xdr:col>3</xdr:col>
      <xdr:colOff>11722</xdr:colOff>
      <xdr:row>206</xdr:row>
      <xdr:rowOff>27946</xdr:rowOff>
    </xdr:from>
    <xdr:ext cx="2957348" cy="429926"/>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B2E576AC-ADDF-4219-91FC-2482256863B2}"/>
                </a:ext>
              </a:extLst>
            </xdr:cNvPr>
            <xdr:cNvSpPr txBox="1"/>
          </xdr:nvSpPr>
          <xdr:spPr>
            <a:xfrm>
              <a:off x="2688247" y="51177196"/>
              <a:ext cx="2957348"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𝑙</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6" name="TextBox 5">
              <a:extLst>
                <a:ext uri="{FF2B5EF4-FFF2-40B4-BE49-F238E27FC236}">
                  <a16:creationId xmlns:a16="http://schemas.microsoft.com/office/drawing/2014/main" id="{B2E576AC-ADDF-4219-91FC-2482256863B2}"/>
                </a:ext>
              </a:extLst>
            </xdr:cNvPr>
            <xdr:cNvSpPr txBox="1"/>
          </xdr:nvSpPr>
          <xdr:spPr>
            <a:xfrm>
              <a:off x="2688247" y="51177196"/>
              <a:ext cx="2957348"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𝐸_𝐶𝐻4=∑_𝑗▒∑_𝑘▒∑_𝑙▒∑_𝑚▒(𝑁_𝑗𝑘𝑙×𝑀_𝑗𝑘𝑙𝑚×𝐷_𝑗 ) ×10^(−3)</a:t>
              </a:r>
              <a:endParaRPr lang="en-AU" sz="1100"/>
            </a:p>
          </xdr:txBody>
        </xdr:sp>
      </mc:Fallback>
    </mc:AlternateContent>
    <xdr:clientData/>
  </xdr:oneCellAnchor>
  <xdr:oneCellAnchor>
    <xdr:from>
      <xdr:col>8</xdr:col>
      <xdr:colOff>1396253</xdr:colOff>
      <xdr:row>17</xdr:row>
      <xdr:rowOff>76200</xdr:rowOff>
    </xdr:from>
    <xdr:ext cx="6922664" cy="253339"/>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03AA91CC-6A86-4052-8F4B-B31E0C65FE80}"/>
                </a:ext>
              </a:extLst>
            </xdr:cNvPr>
            <xdr:cNvSpPr txBox="1"/>
          </xdr:nvSpPr>
          <xdr:spPr>
            <a:xfrm>
              <a:off x="14312153" y="4419600"/>
              <a:ext cx="6922664"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𝑐𝑎𝑙𝑣</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𝑐𝑎𝑙𝑣</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𝑝𝑟𝑒𝑣</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𝑎𝑓𝑡𝑒𝑟</m:t>
                                </m:r>
                              </m:sub>
                            </m:sSub>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𝑐𝑎𝑙𝑣</m:t>
                                </m:r>
                              </m:sub>
                            </m:sSub>
                            <m:r>
                              <a:rPr lang="en-AU" sz="1100" i="1">
                                <a:latin typeface="Cambria Math" panose="02040503050406030204" pitchFamily="18" charset="0"/>
                              </a:rPr>
                              <m:t>+</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𝑝𝑟𝑒𝑣</m:t>
                                </m:r>
                              </m:sub>
                            </m:sSub>
                          </m:e>
                        </m:d>
                      </m:e>
                    </m:d>
                  </m:oMath>
                </m:oMathPara>
              </a14:m>
              <a:endParaRPr lang="en-AU" sz="1100"/>
            </a:p>
          </xdr:txBody>
        </xdr:sp>
      </mc:Choice>
      <mc:Fallback xmlns="">
        <xdr:sp macro="" textlink="">
          <xdr:nvSpPr>
            <xdr:cNvPr id="7" name="TextBox 6">
              <a:extLst>
                <a:ext uri="{FF2B5EF4-FFF2-40B4-BE49-F238E27FC236}">
                  <a16:creationId xmlns:a16="http://schemas.microsoft.com/office/drawing/2014/main" id="{03AA91CC-6A86-4052-8F4B-B31E0C65FE80}"/>
                </a:ext>
              </a:extLst>
            </xdr:cNvPr>
            <xdr:cNvSpPr txBox="1"/>
          </xdr:nvSpPr>
          <xdr:spPr>
            <a:xfrm>
              <a:off x="14312153" y="4419600"/>
              <a:ext cx="6922664"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𝑀𝐴_(𝑗𝑘=4,5)=((𝐿𝐶_(𝑗𝑘=4,5,𝑐𝑎𝑙𝑣)×𝐹𝐴_(𝑗𝑘=4,5,𝑐𝑎𝑙𝑣) )+(𝐿𝐶_(𝑗𝑘=4,5,𝑝𝑟𝑒𝑣)×𝐹𝐴_(𝑗𝑘=4,5,𝑎𝑓𝑡𝑒𝑟) ))+(1−(𝐿𝐶_(𝑗𝑘=4,5,𝑐𝑎𝑙𝑣)+𝐿𝐶_(𝑗𝑘=4,5,𝑝𝑟𝑒𝑣) ))</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4762</xdr:colOff>
      <xdr:row>7</xdr:row>
      <xdr:rowOff>47625</xdr:rowOff>
    </xdr:from>
    <xdr:ext cx="797334" cy="350352"/>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EE55AD57-DD1A-42C1-9058-98CEF7C88970}"/>
                </a:ext>
              </a:extLst>
            </xdr:cNvPr>
            <xdr:cNvSpPr txBox="1"/>
          </xdr:nvSpPr>
          <xdr:spPr>
            <a:xfrm>
              <a:off x="2681287" y="1914525"/>
              <a:ext cx="797334" cy="3503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𝑗𝑘𝑙</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num>
                      <m:den>
                        <m:r>
                          <a:rPr lang="en-AU" sz="1100" i="1">
                            <a:latin typeface="Cambria Math" panose="02040503050406030204" pitchFamily="18" charset="0"/>
                          </a:rPr>
                          <m:t>𝑆𝑅</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𝑘</m:t>
                            </m:r>
                          </m:sub>
                        </m:sSub>
                      </m:den>
                    </m:f>
                  </m:oMath>
                </m:oMathPara>
              </a14:m>
              <a:endParaRPr lang="en-AU" sz="1100"/>
            </a:p>
          </xdr:txBody>
        </xdr:sp>
      </mc:Choice>
      <mc:Fallback xmlns="">
        <xdr:sp macro="" textlink="">
          <xdr:nvSpPr>
            <xdr:cNvPr id="2" name="TextBox 1">
              <a:extLst>
                <a:ext uri="{FF2B5EF4-FFF2-40B4-BE49-F238E27FC236}">
                  <a16:creationId xmlns:a16="http://schemas.microsoft.com/office/drawing/2014/main" id="{EE55AD57-DD1A-42C1-9058-98CEF7C88970}"/>
                </a:ext>
              </a:extLst>
            </xdr:cNvPr>
            <xdr:cNvSpPr txBox="1"/>
          </xdr:nvSpPr>
          <xdr:spPr>
            <a:xfrm>
              <a:off x="2681287" y="1914525"/>
              <a:ext cx="797334" cy="3503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𝑍_𝑗𝑘𝑙=𝑊_𝑗𝑘𝑙/(𝑆𝑅𝑊_𝑘 )</a:t>
              </a:r>
              <a:endParaRPr lang="en-AU" sz="1100"/>
            </a:p>
          </xdr:txBody>
        </xdr:sp>
      </mc:Fallback>
    </mc:AlternateContent>
    <xdr:clientData/>
  </xdr:oneCellAnchor>
  <xdr:oneCellAnchor>
    <xdr:from>
      <xdr:col>2</xdr:col>
      <xdr:colOff>290512</xdr:colOff>
      <xdr:row>42</xdr:row>
      <xdr:rowOff>38100</xdr:rowOff>
    </xdr:from>
    <xdr:ext cx="3303853" cy="426592"/>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8914183A-C417-4FED-AA5D-7CD306FD1C76}"/>
                </a:ext>
              </a:extLst>
            </xdr:cNvPr>
            <xdr:cNvSpPr txBox="1"/>
          </xdr:nvSpPr>
          <xdr:spPr>
            <a:xfrm>
              <a:off x="2652712" y="10572750"/>
              <a:ext cx="3303853"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𝑗𝑘𝑙</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num>
                      <m:den>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2</m:t>
                                    </m:r>
                                  </m:sup>
                                </m:sSubSup>
                              </m:e>
                            </m:d>
                          </m:e>
                          <m:sup>
                            <m:r>
                              <a:rPr lang="en-AU" sz="1100" i="1">
                                <a:latin typeface="Cambria Math" panose="02040503050406030204" pitchFamily="18" charset="0"/>
                              </a:rPr>
                              <m:t>2</m:t>
                            </m:r>
                          </m:sup>
                        </m:sSup>
                      </m:den>
                    </m:f>
                  </m:oMath>
                </m:oMathPara>
              </a14:m>
              <a:endParaRPr lang="en-AU" sz="1100"/>
            </a:p>
          </xdr:txBody>
        </xdr:sp>
      </mc:Choice>
      <mc:Fallback xmlns="">
        <xdr:sp macro="" textlink="">
          <xdr:nvSpPr>
            <xdr:cNvPr id="3" name="TextBox 2">
              <a:extLst>
                <a:ext uri="{FF2B5EF4-FFF2-40B4-BE49-F238E27FC236}">
                  <a16:creationId xmlns:a16="http://schemas.microsoft.com/office/drawing/2014/main" id="{8914183A-C417-4FED-AA5D-7CD306FD1C76}"/>
                </a:ext>
              </a:extLst>
            </xdr:cNvPr>
            <xdr:cNvSpPr txBox="1"/>
          </xdr:nvSpPr>
          <xdr:spPr>
            <a:xfrm>
              <a:off x="2652712" y="10572750"/>
              <a:ext cx="3303853"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𝐿_𝑗𝑘𝑙=𝐼_𝑗𝑘𝑙/(1.185+0.00454×𝑊_𝑗𝑘𝑙−0.0000026×𝑊_𝑗𝑘𝑙^2 )^2 </a:t>
              </a:r>
              <a:endParaRPr lang="en-AU" sz="1100"/>
            </a:p>
          </xdr:txBody>
        </xdr:sp>
      </mc:Fallback>
    </mc:AlternateContent>
    <xdr:clientData/>
  </xdr:oneCellAnchor>
  <xdr:oneCellAnchor>
    <xdr:from>
      <xdr:col>2</xdr:col>
      <xdr:colOff>280987</xdr:colOff>
      <xdr:row>72</xdr:row>
      <xdr:rowOff>161925</xdr:rowOff>
    </xdr:from>
    <xdr:ext cx="1750094" cy="182871"/>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43AEB067-241F-4DC5-AE0B-2C0EDAB67690}"/>
                </a:ext>
              </a:extLst>
            </xdr:cNvPr>
            <xdr:cNvSpPr txBox="1"/>
          </xdr:nvSpPr>
          <xdr:spPr>
            <a:xfrm>
              <a:off x="2643187" y="18126075"/>
              <a:ext cx="1750094"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𝑗𝑘</m:t>
                        </m:r>
                        <m:r>
                          <a:rPr lang="en-AU" sz="1100" i="1">
                            <a:latin typeface="Cambria Math" panose="02040503050406030204" pitchFamily="18" charset="0"/>
                          </a:rPr>
                          <m:t>=5</m:t>
                        </m:r>
                      </m:sub>
                    </m:sSub>
                    <m:r>
                      <a:rPr lang="en-AU" sz="1100" i="1">
                        <a:latin typeface="Cambria Math" panose="02040503050406030204" pitchFamily="18" charset="0"/>
                      </a:rPr>
                      <m:t>=</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=5</m:t>
                        </m:r>
                      </m:sub>
                    </m:sSub>
                    <m:r>
                      <a:rPr lang="en-AU" sz="1100" i="1">
                        <a:latin typeface="Cambria Math" panose="02040503050406030204" pitchFamily="18" charset="0"/>
                      </a:rPr>
                      <m:t>×</m:t>
                    </m:r>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𝑗𝑘</m:t>
                        </m:r>
                        <m:r>
                          <a:rPr lang="en-AU" sz="1100" i="1">
                            <a:latin typeface="Cambria Math" panose="02040503050406030204" pitchFamily="18" charset="0"/>
                          </a:rPr>
                          <m:t>=5</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43AEB067-241F-4DC5-AE0B-2C0EDAB67690}"/>
                </a:ext>
              </a:extLst>
            </xdr:cNvPr>
            <xdr:cNvSpPr txBox="1"/>
          </xdr:nvSpPr>
          <xdr:spPr>
            <a:xfrm>
              <a:off x="2643187" y="18126075"/>
              <a:ext cx="1750094"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𝑀𝑃_(𝑗𝑘=5)=𝐿𝐶_(𝑗𝑘=5)×𝐷𝑀𝑃_(𝑗𝑘=5)</a:t>
              </a:r>
              <a:endParaRPr lang="en-AU" sz="1100"/>
            </a:p>
          </xdr:txBody>
        </xdr:sp>
      </mc:Fallback>
    </mc:AlternateContent>
    <xdr:clientData/>
  </xdr:oneCellAnchor>
  <xdr:oneCellAnchor>
    <xdr:from>
      <xdr:col>2</xdr:col>
      <xdr:colOff>282388</xdr:colOff>
      <xdr:row>104</xdr:row>
      <xdr:rowOff>47066</xdr:rowOff>
    </xdr:from>
    <xdr:ext cx="7589001" cy="540404"/>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63BEB829-3531-416E-B27C-B2D9F5472669}"/>
                </a:ext>
              </a:extLst>
            </xdr:cNvPr>
            <xdr:cNvSpPr txBox="1"/>
          </xdr:nvSpPr>
          <xdr:spPr>
            <a:xfrm>
              <a:off x="2644588" y="25936016"/>
              <a:ext cx="7589001" cy="540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0.032×</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𝑗𝑘</m:t>
                            </m:r>
                            <m:r>
                              <a:rPr lang="en-AU" sz="1100" i="1">
                                <a:latin typeface="Cambria Math" panose="02040503050406030204" pitchFamily="18" charset="0"/>
                              </a:rPr>
                              <m:t>=5</m:t>
                            </m:r>
                          </m:sub>
                        </m:sSub>
                        <m:r>
                          <a:rPr lang="en-AU" sz="1100" i="1">
                            <a:latin typeface="Cambria Math" panose="02040503050406030204" pitchFamily="18" charset="0"/>
                          </a:rPr>
                          <m:t>÷6.38</m:t>
                        </m:r>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begChr m:val="{"/>
                            <m:endChr m:val="}"/>
                            <m:ctrlPr>
                              <a:rPr lang="en-AU" sz="1100" i="1">
                                <a:latin typeface="Cambria Math" panose="02040503050406030204" pitchFamily="18" charset="0"/>
                              </a:rPr>
                            </m:ctrlPr>
                          </m:dPr>
                          <m:e>
                            <m:r>
                              <a:rPr lang="en-AU" sz="1100" i="1">
                                <a:latin typeface="Cambria Math" panose="02040503050406030204" pitchFamily="18" charset="0"/>
                              </a:rPr>
                              <m:t>0.212−0.008×</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𝑗𝑘𝑙</m:t>
                                    </m:r>
                                  </m:sub>
                                </m:sSub>
                                <m:r>
                                  <a:rPr lang="en-AU" sz="1100" i="1">
                                    <a:latin typeface="Cambria Math" panose="02040503050406030204" pitchFamily="18" charset="0"/>
                                  </a:rPr>
                                  <m:t>−2</m:t>
                                </m:r>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0.140−0.008×</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𝑗𝑘𝑙</m:t>
                                            </m:r>
                                          </m:sub>
                                        </m:sSub>
                                        <m:r>
                                          <a:rPr lang="en-AU" sz="1100" i="1">
                                            <a:latin typeface="Cambria Math" panose="02040503050406030204" pitchFamily="18" charset="0"/>
                                          </a:rPr>
                                          <m:t>−2</m:t>
                                        </m:r>
                                      </m:e>
                                    </m:d>
                                  </m:num>
                                  <m:den>
                                    <m:r>
                                      <a:rPr lang="en-AU" sz="1100" i="1">
                                        <a:latin typeface="Cambria Math" panose="02040503050406030204" pitchFamily="18" charset="0"/>
                                      </a:rPr>
                                      <m:t>1+</m:t>
                                    </m:r>
                                    <m:sSup>
                                      <m:sSupPr>
                                        <m:ctrlPr>
                                          <a:rPr lang="en-AU" sz="1100" i="1">
                                            <a:latin typeface="Cambria Math" panose="02040503050406030204" pitchFamily="18" charset="0"/>
                                          </a:rPr>
                                        </m:ctrlPr>
                                      </m:sSupPr>
                                      <m:e>
                                        <m:r>
                                          <a:rPr lang="en-AU" sz="1100" i="1">
                                            <a:latin typeface="Cambria Math" panose="02040503050406030204" pitchFamily="18" charset="0"/>
                                          </a:rPr>
                                          <m:t>𝑒</m:t>
                                        </m:r>
                                      </m:e>
                                      <m:sup>
                                        <m:d>
                                          <m:dPr>
                                            <m:ctrlPr>
                                              <a:rPr lang="en-AU" sz="1100" i="1">
                                                <a:latin typeface="Cambria Math" panose="02040503050406030204" pitchFamily="18" charset="0"/>
                                              </a:rPr>
                                            </m:ctrlPr>
                                          </m:dPr>
                                          <m:e>
                                            <m:r>
                                              <a:rPr lang="en-AU" sz="1100" i="1">
                                                <a:latin typeface="Cambria Math" panose="02040503050406030204" pitchFamily="18" charset="0"/>
                                              </a:rPr>
                                              <m:t>−6×</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𝑗𝑘𝑙</m:t>
                                                    </m:r>
                                                  </m:sub>
                                                </m:sSub>
                                                <m:r>
                                                  <a:rPr lang="en-AU" sz="1100" i="1">
                                                    <a:latin typeface="Cambria Math" panose="02040503050406030204" pitchFamily="18" charset="0"/>
                                                  </a:rPr>
                                                  <m:t>−0.4</m:t>
                                                </m:r>
                                              </m:e>
                                            </m:d>
                                          </m:e>
                                        </m:d>
                                      </m:sup>
                                    </m:sSup>
                                  </m:den>
                                </m:f>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𝑗𝑘𝑙</m:t>
                                </m:r>
                              </m:sub>
                            </m:sSub>
                            <m:r>
                              <a:rPr lang="en-AU" sz="1100" i="1">
                                <a:latin typeface="Cambria Math" panose="02040503050406030204" pitchFamily="18" charset="0"/>
                              </a:rPr>
                              <m:t>×0.92</m:t>
                            </m:r>
                          </m:e>
                        </m:d>
                      </m:e>
                    </m:d>
                    <m:r>
                      <a:rPr lang="en-AU" sz="1100" i="1">
                        <a:latin typeface="Cambria Math" panose="02040503050406030204" pitchFamily="18" charset="0"/>
                      </a:rPr>
                      <m:t>÷6.25</m:t>
                    </m:r>
                  </m:oMath>
                </m:oMathPara>
              </a14:m>
              <a:endParaRPr lang="en-AU" sz="1100"/>
            </a:p>
          </xdr:txBody>
        </xdr:sp>
      </mc:Choice>
      <mc:Fallback xmlns="">
        <xdr:sp macro="" textlink="">
          <xdr:nvSpPr>
            <xdr:cNvPr id="5" name="TextBox 4">
              <a:extLst>
                <a:ext uri="{FF2B5EF4-FFF2-40B4-BE49-F238E27FC236}">
                  <a16:creationId xmlns:a16="http://schemas.microsoft.com/office/drawing/2014/main" id="{63BEB829-3531-416E-B27C-B2D9F5472669}"/>
                </a:ext>
              </a:extLst>
            </xdr:cNvPr>
            <xdr:cNvSpPr txBox="1"/>
          </xdr:nvSpPr>
          <xdr:spPr>
            <a:xfrm>
              <a:off x="2644588" y="25936016"/>
              <a:ext cx="7589001" cy="540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𝑁𝑅_𝑗𝑘𝑙=(0.032×𝑀𝑃_(𝑗𝑘=5)÷6.38)+{{0.212−0.008×(𝐿_𝑗𝑘𝑙−2)−[(0.140−0.008×(𝐿_𝑗𝑘𝑙−2))/(1+𝑒^((−6×(𝑍_𝑗𝑘𝑙−0.4)) ) )]}×(𝐿𝑊𝐺_𝑗𝑘𝑙×0.92)}÷6.25</a:t>
              </a:r>
              <a:endParaRPr lang="en-AU" sz="1100"/>
            </a:p>
          </xdr:txBody>
        </xdr:sp>
      </mc:Fallback>
    </mc:AlternateContent>
    <xdr:clientData/>
  </xdr:oneCellAnchor>
  <xdr:oneCellAnchor>
    <xdr:from>
      <xdr:col>2</xdr:col>
      <xdr:colOff>300037</xdr:colOff>
      <xdr:row>136</xdr:row>
      <xdr:rowOff>142875</xdr:rowOff>
    </xdr:from>
    <xdr:ext cx="5991640" cy="20120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DF9233F7-13D6-4B9A-A325-BCC6B5999B51}"/>
                </a:ext>
              </a:extLst>
            </xdr:cNvPr>
            <xdr:cNvSpPr txBox="1"/>
          </xdr:nvSpPr>
          <xdr:spPr>
            <a:xfrm>
              <a:off x="2662237" y="33956625"/>
              <a:ext cx="5991640" cy="2012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r>
                          <a:rPr lang="en-AU" sz="1100" i="1">
                            <a:latin typeface="Cambria Math" panose="02040503050406030204" pitchFamily="18" charset="0"/>
                          </a:rPr>
                          <m:t>𝐶</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÷6.25</m:t>
                        </m:r>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0.032×</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=1,3,6</m:t>
                            </m:r>
                          </m:sub>
                        </m:sSub>
                        <m:r>
                          <a:rPr lang="en-AU" sz="1100" i="1">
                            <a:latin typeface="Cambria Math" panose="02040503050406030204" pitchFamily="18" charset="0"/>
                          </a:rPr>
                          <m:t>÷6.38</m:t>
                        </m:r>
                      </m:e>
                    </m:d>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1.1×</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−4</m:t>
                                </m:r>
                              </m:sup>
                            </m:sSup>
                            <m:r>
                              <a:rPr lang="en-AU" sz="1100" i="1">
                                <a:latin typeface="Cambria Math" panose="02040503050406030204" pitchFamily="18" charset="0"/>
                              </a:rPr>
                              <m:t>×</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0.75</m:t>
                                </m:r>
                              </m:sup>
                            </m:sSubSup>
                          </m:e>
                        </m:d>
                        <m:r>
                          <a:rPr lang="en-AU" sz="1100" i="1">
                            <a:latin typeface="Cambria Math" panose="02040503050406030204" pitchFamily="18" charset="0"/>
                          </a:rPr>
                          <m:t>÷6.25</m:t>
                        </m:r>
                      </m:e>
                    </m:d>
                  </m:oMath>
                </m:oMathPara>
              </a14:m>
              <a:endParaRPr lang="en-AU" sz="1100"/>
            </a:p>
          </xdr:txBody>
        </xdr:sp>
      </mc:Choice>
      <mc:Fallback xmlns="">
        <xdr:sp macro="" textlink="">
          <xdr:nvSpPr>
            <xdr:cNvPr id="6" name="TextBox 5">
              <a:extLst>
                <a:ext uri="{FF2B5EF4-FFF2-40B4-BE49-F238E27FC236}">
                  <a16:creationId xmlns:a16="http://schemas.microsoft.com/office/drawing/2014/main" id="{DF9233F7-13D6-4B9A-A325-BCC6B5999B51}"/>
                </a:ext>
              </a:extLst>
            </xdr:cNvPr>
            <xdr:cNvSpPr txBox="1"/>
          </xdr:nvSpPr>
          <xdr:spPr>
            <a:xfrm>
              <a:off x="2662237" y="33956625"/>
              <a:ext cx="5991640" cy="2012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𝑁𝐸_𝑗𝑘𝑙=(𝐼_𝑗𝑘𝑙×𝐶𝑃_𝑗÷6.25)+(0.032×𝑀𝐶_(𝑗𝑘=1,3,6)÷6.38)−𝑁𝑅_𝑗𝑘𝑙−[(1.1×10^(−4)×𝑊_𝑗𝑘𝑙^0.75 )÷6.25]</a:t>
              </a:r>
              <a:endParaRPr lang="en-AU" sz="1100"/>
            </a:p>
          </xdr:txBody>
        </xdr:sp>
      </mc:Fallback>
    </mc:AlternateContent>
    <xdr:clientData/>
  </xdr:oneCellAnchor>
  <xdr:oneCellAnchor>
    <xdr:from>
      <xdr:col>3</xdr:col>
      <xdr:colOff>4762</xdr:colOff>
      <xdr:row>178</xdr:row>
      <xdr:rowOff>38100</xdr:rowOff>
    </xdr:from>
    <xdr:ext cx="2164952" cy="429926"/>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7CB7B936-40CE-4E45-8AEB-1329A54BE995}"/>
                </a:ext>
              </a:extLst>
            </xdr:cNvPr>
            <xdr:cNvSpPr txBox="1"/>
          </xdr:nvSpPr>
          <xdr:spPr>
            <a:xfrm>
              <a:off x="2681287" y="44253150"/>
              <a:ext cx="216495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𝐴𝐸</m:t>
                    </m:r>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𝑙</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𝑗𝑘𝑙</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e>
                                </m:d>
                              </m:e>
                            </m:nary>
                          </m:e>
                        </m:nary>
                      </m:e>
                    </m:nary>
                  </m:oMath>
                </m:oMathPara>
              </a14:m>
              <a:endParaRPr lang="en-AU" sz="1100"/>
            </a:p>
          </xdr:txBody>
        </xdr:sp>
      </mc:Choice>
      <mc:Fallback xmlns="">
        <xdr:sp macro="" textlink="">
          <xdr:nvSpPr>
            <xdr:cNvPr id="7" name="TextBox 6">
              <a:extLst>
                <a:ext uri="{FF2B5EF4-FFF2-40B4-BE49-F238E27FC236}">
                  <a16:creationId xmlns:a16="http://schemas.microsoft.com/office/drawing/2014/main" id="{7CB7B936-40CE-4E45-8AEB-1329A54BE995}"/>
                </a:ext>
              </a:extLst>
            </xdr:cNvPr>
            <xdr:cNvSpPr txBox="1"/>
          </xdr:nvSpPr>
          <xdr:spPr>
            <a:xfrm>
              <a:off x="2681287" y="44253150"/>
              <a:ext cx="216495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𝐴𝐸=∑_𝑗▒∑_𝑘▒∑_𝑙▒(𝑁_𝑗𝑘𝑙×𝑁𝐸_𝑗𝑘𝑙×𝐷_𝑗 ) </a:t>
              </a:r>
              <a:endParaRPr lang="en-AU" sz="1100"/>
            </a:p>
          </xdr:txBody>
        </xdr:sp>
      </mc:Fallback>
    </mc:AlternateContent>
    <xdr:clientData/>
  </xdr:oneCellAnchor>
  <xdr:oneCellAnchor>
    <xdr:from>
      <xdr:col>2</xdr:col>
      <xdr:colOff>309562</xdr:colOff>
      <xdr:row>218</xdr:row>
      <xdr:rowOff>95250</xdr:rowOff>
    </xdr:from>
    <xdr:ext cx="2334870" cy="180114"/>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6333C846-48E7-46D6-941B-8BBA13BD4B6D}"/>
                </a:ext>
              </a:extLst>
            </xdr:cNvPr>
            <xdr:cNvSpPr txBox="1"/>
          </xdr:nvSpPr>
          <xdr:spPr>
            <a:xfrm>
              <a:off x="2671762" y="54216300"/>
              <a:ext cx="233487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r>
                      <a:rPr lang="en-AU" sz="1100" i="1">
                        <a:latin typeface="Cambria Math" panose="02040503050406030204" pitchFamily="18" charset="0"/>
                      </a:rPr>
                      <m:t>𝐴𝐸</m:t>
                    </m:r>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𝑃𝑅𝑃</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 name="TextBox 7">
              <a:extLst>
                <a:ext uri="{FF2B5EF4-FFF2-40B4-BE49-F238E27FC236}">
                  <a16:creationId xmlns:a16="http://schemas.microsoft.com/office/drawing/2014/main" id="{6333C846-48E7-46D6-941B-8BBA13BD4B6D}"/>
                </a:ext>
              </a:extLst>
            </xdr:cNvPr>
            <xdr:cNvSpPr txBox="1"/>
          </xdr:nvSpPr>
          <xdr:spPr>
            <a:xfrm>
              <a:off x="2671762" y="54216300"/>
              <a:ext cx="233487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𝐸_(𝑁2𝑂,𝑑𝑖𝑟)=𝐴𝐸×𝐸𝐹_𝑃𝑅𝑃×𝐶_𝑁2𝑂×10^(−3)</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4762</xdr:colOff>
      <xdr:row>7</xdr:row>
      <xdr:rowOff>133350</xdr:rowOff>
    </xdr:from>
    <xdr:ext cx="1745413" cy="16536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68920D8-1A27-437E-BDEB-CA021A54B41C}"/>
                </a:ext>
              </a:extLst>
            </xdr:cNvPr>
            <xdr:cNvSpPr txBox="1"/>
          </xdr:nvSpPr>
          <xdr:spPr>
            <a:xfrm>
              <a:off x="2681287" y="2000250"/>
              <a:ext cx="1745413"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sub>
                    </m:sSub>
                    <m:r>
                      <a:rPr lang="en-AU" sz="1100" i="1">
                        <a:latin typeface="Cambria Math" panose="02040503050406030204" pitchFamily="18" charset="0"/>
                      </a:rPr>
                      <m:t>=</m:t>
                    </m:r>
                    <m:r>
                      <a:rPr lang="en-AU" sz="1100" i="1">
                        <a:latin typeface="Cambria Math" panose="02040503050406030204" pitchFamily="18" charset="0"/>
                      </a:rPr>
                      <m:t>𝐴𝐸</m:t>
                    </m:r>
                    <m:r>
                      <a:rPr lang="en-AU" sz="1100" i="1">
                        <a:latin typeface="Cambria Math" panose="02040503050406030204" pitchFamily="18" charset="0"/>
                      </a:rPr>
                      <m:t>×</m:t>
                    </m:r>
                    <m:r>
                      <a:rPr lang="en-AU" sz="1100" i="1">
                        <a:latin typeface="Cambria Math" panose="02040503050406030204" pitchFamily="18" charset="0"/>
                      </a:rPr>
                      <m:t>𝐹𝑟𝑎𝑐𝐺𝐴𝑆𝑀𝑠𝑜𝑖𝑙</m:t>
                    </m:r>
                  </m:oMath>
                </m:oMathPara>
              </a14:m>
              <a:endParaRPr lang="en-AU" sz="1100"/>
            </a:p>
          </xdr:txBody>
        </xdr:sp>
      </mc:Choice>
      <mc:Fallback xmlns="">
        <xdr:sp macro="" textlink="">
          <xdr:nvSpPr>
            <xdr:cNvPr id="2" name="TextBox 1">
              <a:extLst>
                <a:ext uri="{FF2B5EF4-FFF2-40B4-BE49-F238E27FC236}">
                  <a16:creationId xmlns:a16="http://schemas.microsoft.com/office/drawing/2014/main" id="{068920D8-1A27-437E-BDEB-CA021A54B41C}"/>
                </a:ext>
              </a:extLst>
            </xdr:cNvPr>
            <xdr:cNvSpPr txBox="1"/>
          </xdr:nvSpPr>
          <xdr:spPr>
            <a:xfrm>
              <a:off x="2681287" y="2000250"/>
              <a:ext cx="1745413"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𝑀_𝑣𝑜𝑙=𝐴𝐸×𝐹𝑟𝑎𝑐𝐺𝐴𝑆𝑀𝑠𝑜𝑖𝑙</a:t>
              </a:r>
              <a:endParaRPr lang="en-AU" sz="1100"/>
            </a:p>
          </xdr:txBody>
        </xdr:sp>
      </mc:Fallback>
    </mc:AlternateContent>
    <xdr:clientData/>
  </xdr:oneCellAnchor>
  <xdr:oneCellAnchor>
    <xdr:from>
      <xdr:col>2</xdr:col>
      <xdr:colOff>309562</xdr:colOff>
      <xdr:row>22</xdr:row>
      <xdr:rowOff>152400</xdr:rowOff>
    </xdr:from>
    <xdr:ext cx="2410467"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4D63603F-740E-4894-B906-74BF8B816845}"/>
                </a:ext>
              </a:extLst>
            </xdr:cNvPr>
            <xdr:cNvSpPr txBox="1"/>
          </xdr:nvSpPr>
          <xdr:spPr>
            <a:xfrm>
              <a:off x="2671762" y="5734050"/>
              <a:ext cx="241046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4D63603F-740E-4894-B906-74BF8B816845}"/>
                </a:ext>
              </a:extLst>
            </xdr:cNvPr>
            <xdr:cNvSpPr txBox="1"/>
          </xdr:nvSpPr>
          <xdr:spPr>
            <a:xfrm>
              <a:off x="2671762" y="5734050"/>
              <a:ext cx="241046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𝐸_(𝑁2𝑂,𝑎𝑑)=𝑀_𝑣𝑜𝑙×𝐸𝐹_𝑁2𝑂×𝐶_𝑁2𝑂×10^(−3)</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2</xdr:col>
      <xdr:colOff>300037</xdr:colOff>
      <xdr:row>7</xdr:row>
      <xdr:rowOff>133350</xdr:rowOff>
    </xdr:from>
    <xdr:ext cx="2421624" cy="16536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BA956C0A-783A-4ED6-981A-5E10F514B723}"/>
                </a:ext>
              </a:extLst>
            </xdr:cNvPr>
            <xdr:cNvSpPr txBox="1"/>
          </xdr:nvSpPr>
          <xdr:spPr>
            <a:xfrm>
              <a:off x="2662237" y="2000250"/>
              <a:ext cx="2421624"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sub>
                    </m:sSub>
                    <m:r>
                      <a:rPr lang="en-AU" sz="1100" i="1">
                        <a:latin typeface="Cambria Math" panose="02040503050406030204" pitchFamily="18" charset="0"/>
                      </a:rPr>
                      <m:t>=</m:t>
                    </m:r>
                    <m:r>
                      <a:rPr lang="en-AU" sz="1100" i="1">
                        <a:latin typeface="Cambria Math" panose="02040503050406030204" pitchFamily="18" charset="0"/>
                      </a:rPr>
                      <m:t>𝐴𝐸</m:t>
                    </m:r>
                    <m:r>
                      <a:rPr lang="en-AU" sz="1100" i="1">
                        <a:latin typeface="Cambria Math" panose="02040503050406030204" pitchFamily="18" charset="0"/>
                      </a:rPr>
                      <m:t>×</m:t>
                    </m:r>
                    <m:r>
                      <a:rPr lang="en-AU" sz="1100" i="1">
                        <a:latin typeface="Cambria Math" panose="02040503050406030204" pitchFamily="18" charset="0"/>
                      </a:rPr>
                      <m:t>𝐹𝑟𝑎𝑐𝑊𝑒𝑡</m:t>
                    </m:r>
                    <m:r>
                      <a:rPr lang="en-AU" sz="1100" i="1">
                        <a:latin typeface="Cambria Math" panose="02040503050406030204" pitchFamily="18" charset="0"/>
                      </a:rPr>
                      <m:t>×</m:t>
                    </m:r>
                    <m:r>
                      <a:rPr lang="en-AU" sz="1100" i="1">
                        <a:latin typeface="Cambria Math" panose="02040503050406030204" pitchFamily="18" charset="0"/>
                      </a:rPr>
                      <m:t>𝐹𝑟𝑎𝑐𝐿𝐸𝐴𝐶𝐻</m:t>
                    </m:r>
                  </m:oMath>
                </m:oMathPara>
              </a14:m>
              <a:endParaRPr lang="en-AU" sz="1100"/>
            </a:p>
          </xdr:txBody>
        </xdr:sp>
      </mc:Choice>
      <mc:Fallback xmlns="">
        <xdr:sp macro="" textlink="">
          <xdr:nvSpPr>
            <xdr:cNvPr id="2" name="TextBox 1">
              <a:extLst>
                <a:ext uri="{FF2B5EF4-FFF2-40B4-BE49-F238E27FC236}">
                  <a16:creationId xmlns:a16="http://schemas.microsoft.com/office/drawing/2014/main" id="{BA956C0A-783A-4ED6-981A-5E10F514B723}"/>
                </a:ext>
              </a:extLst>
            </xdr:cNvPr>
            <xdr:cNvSpPr txBox="1"/>
          </xdr:nvSpPr>
          <xdr:spPr>
            <a:xfrm>
              <a:off x="2662237" y="2000250"/>
              <a:ext cx="2421624"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𝑀_𝑙𝑒𝑎𝑐ℎ=𝐴𝐸×𝐹𝑟𝑎𝑐𝑊𝑒𝑡×𝐹𝑟𝑎𝑐𝐿𝐸𝐴𝐶𝐻</a:t>
              </a:r>
              <a:endParaRPr lang="en-AU" sz="1100"/>
            </a:p>
          </xdr:txBody>
        </xdr:sp>
      </mc:Fallback>
    </mc:AlternateContent>
    <xdr:clientData/>
  </xdr:oneCellAnchor>
  <xdr:oneCellAnchor>
    <xdr:from>
      <xdr:col>2</xdr:col>
      <xdr:colOff>300037</xdr:colOff>
      <xdr:row>26</xdr:row>
      <xdr:rowOff>180975</xdr:rowOff>
    </xdr:from>
    <xdr:ext cx="2731838"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1AD56BFF-D3F8-4768-96A6-CF9227DD1EA4}"/>
                </a:ext>
              </a:extLst>
            </xdr:cNvPr>
            <xdr:cNvSpPr txBox="1"/>
          </xdr:nvSpPr>
          <xdr:spPr>
            <a:xfrm>
              <a:off x="2662237" y="6753225"/>
              <a:ext cx="2731838"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1AD56BFF-D3F8-4768-96A6-CF9227DD1EA4}"/>
                </a:ext>
              </a:extLst>
            </xdr:cNvPr>
            <xdr:cNvSpPr txBox="1"/>
          </xdr:nvSpPr>
          <xdr:spPr>
            <a:xfrm>
              <a:off x="2662237" y="6753225"/>
              <a:ext cx="2731838"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𝐸_(𝑁2𝑂,𝑙𝑒𝑎𝑐ℎ)=𝑀_𝑙𝑒𝑎𝑐ℎ×𝐸𝐹_𝑙𝑒𝑎𝑐ℎ×𝐶_𝑁2𝑂×10^(−3)</a:t>
              </a:r>
              <a:endParaRPr lang="en-AU" sz="1100"/>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498A27B3-6915-40D1-B8B6-2112DD8F53FC}"/>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498A27B3-6915-40D1-B8B6-2112DD8F53FC}"/>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𝐸_𝐶𝐻4=∑_𝑗▒∑_𝑘▒∑_𝑚▒∑_𝑇▒(𝐷_𝑗𝑘×𝑀_𝑗𝑘𝑚𝑇×𝑁_𝑗𝑘 ) ×10^(−3)</a:t>
              </a:r>
              <a:endParaRPr lang="en-AU" sz="1100"/>
            </a:p>
          </xdr:txBody>
        </xdr:sp>
      </mc:Fallback>
    </mc:AlternateContent>
    <xdr:clientData/>
  </xdr:oneCellAnchor>
  <xdr:oneCellAnchor>
    <xdr:from>
      <xdr:col>3</xdr:col>
      <xdr:colOff>24652</xdr:colOff>
      <xdr:row>7</xdr:row>
      <xdr:rowOff>181536</xdr:rowOff>
    </xdr:from>
    <xdr:ext cx="1792286" cy="18299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F3211D7-9B2E-47E5-97B4-C6001DEA0429}"/>
                </a:ext>
              </a:extLst>
            </xdr:cNvPr>
            <xdr:cNvSpPr txBox="1"/>
          </xdr:nvSpPr>
          <xdr:spPr>
            <a:xfrm>
              <a:off x="2701177" y="2048436"/>
              <a:ext cx="1792286"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𝑓</m:t>
                        </m:r>
                      </m:sub>
                    </m:sSub>
                  </m:oMath>
                </m:oMathPara>
              </a14:m>
              <a:endParaRPr lang="en-AU" sz="1100"/>
            </a:p>
          </xdr:txBody>
        </xdr:sp>
      </mc:Choice>
      <mc:Fallback xmlns="">
        <xdr:sp macro="" textlink="">
          <xdr:nvSpPr>
            <xdr:cNvPr id="3" name="TextBox 2">
              <a:extLst>
                <a:ext uri="{FF2B5EF4-FFF2-40B4-BE49-F238E27FC236}">
                  <a16:creationId xmlns:a16="http://schemas.microsoft.com/office/drawing/2014/main" id="{EF3211D7-9B2E-47E5-97B4-C6001DEA0429}"/>
                </a:ext>
              </a:extLst>
            </xdr:cNvPr>
            <xdr:cNvSpPr txBox="1"/>
          </xdr:nvSpPr>
          <xdr:spPr>
            <a:xfrm>
              <a:off x="2701177" y="2048436"/>
              <a:ext cx="1792286"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𝑀𝑁_𝑗𝑓=𝑇𝑀_𝑗𝑓×𝐹𝑁_(𝑖𝑛𝑜𝑟𝑔𝑎𝑛𝑖𝑐,𝑓)</a:t>
              </a:r>
              <a:endParaRPr lang="en-AU" sz="1100"/>
            </a:p>
          </xdr:txBody>
        </xdr:sp>
      </mc:Fallback>
    </mc:AlternateContent>
    <xdr:clientData/>
  </xdr:oneCellAnchor>
  <xdr:oneCellAnchor>
    <xdr:from>
      <xdr:col>3</xdr:col>
      <xdr:colOff>24653</xdr:colOff>
      <xdr:row>42</xdr:row>
      <xdr:rowOff>125506</xdr:rowOff>
    </xdr:from>
    <xdr:ext cx="3047693" cy="42992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FB135423-75D3-44E0-A912-A11908242491}"/>
                </a:ext>
              </a:extLst>
            </xdr:cNvPr>
            <xdr:cNvSpPr txBox="1"/>
          </xdr:nvSpPr>
          <xdr:spPr>
            <a:xfrm>
              <a:off x="2701178" y="10660156"/>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FB135423-75D3-44E0-A912-A11908242491}"/>
                </a:ext>
              </a:extLst>
            </xdr:cNvPr>
            <xdr:cNvSpPr txBox="1"/>
          </xdr:nvSpPr>
          <xdr:spPr>
            <a:xfrm>
              <a:off x="2701178" y="10660156"/>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𝐸_𝑁2𝑂=∑_𝑗▒∑_𝑓▒((𝑀𝑁_𝑗𝑓×𝐸𝐹_(𝑗,𝑁2𝑂)×𝐶_𝑁2𝑂 )×10^(−3) ) </a:t>
              </a:r>
              <a:endParaRPr lang="en-AU" sz="1100"/>
            </a:p>
          </xdr:txBody>
        </xdr:sp>
      </mc:Fallback>
    </mc:AlternateContent>
    <xdr:clientData/>
  </xdr:oneCellAnchor>
  <xdr:oneCellAnchor>
    <xdr:from>
      <xdr:col>12</xdr:col>
      <xdr:colOff>13446</xdr:colOff>
      <xdr:row>6</xdr:row>
      <xdr:rowOff>125506</xdr:rowOff>
    </xdr:from>
    <xdr:ext cx="4661725" cy="25333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DEF038E7-8B0E-4698-BDAD-FB301934F3E6}"/>
                </a:ext>
              </a:extLst>
            </xdr:cNvPr>
            <xdr:cNvSpPr txBox="1"/>
          </xdr:nvSpPr>
          <xdr:spPr>
            <a:xfrm>
              <a:off x="15920196" y="1744756"/>
              <a:ext cx="4661725"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𝑖𝑟𝑟𝑖𝑔𝑎𝑡𝑒𝑑𝑚𝑎𝑖𝑧𝑒</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−0.1474+</m:t>
                        </m:r>
                        <m:d>
                          <m:dPr>
                            <m:ctrlPr>
                              <a:rPr lang="en-AU" sz="1100" i="1">
                                <a:latin typeface="Cambria Math" panose="02040503050406030204" pitchFamily="18" charset="0"/>
                              </a:rPr>
                            </m:ctrlPr>
                          </m:dPr>
                          <m:e>
                            <m:r>
                              <a:rPr lang="en-AU" sz="1100" i="1">
                                <a:latin typeface="Cambria Math" panose="02040503050406030204" pitchFamily="18" charset="0"/>
                              </a:rPr>
                              <m:t>0.0061×</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𝑖𝑟𝑟𝑖𝑔𝑎𝑡𝑒𝑑𝑚𝑎𝑖𝑧𝑒</m:t>
                                </m:r>
                              </m:sub>
                            </m:sSub>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DEF038E7-8B0E-4698-BDAD-FB301934F3E6}"/>
                </a:ext>
              </a:extLst>
            </xdr:cNvPr>
            <xdr:cNvSpPr txBox="1"/>
          </xdr:nvSpPr>
          <xdr:spPr>
            <a:xfrm>
              <a:off x="15920196" y="1744756"/>
              <a:ext cx="4661725"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𝐸𝐹_(𝑓𝑗=𝑖𝑟𝑟𝑖𝑔𝑎𝑡𝑒𝑑𝑚𝑎𝑖𝑧𝑒,𝑁2𝑂)=(−0.1474+(0.0061×𝑁_(𝑓𝑗=𝑖𝑟𝑟𝑖𝑔𝑎𝑡𝑒𝑑𝑚𝑎𝑖𝑧𝑒) ))×10^(−2)</a:t>
              </a:r>
              <a:endParaRPr lang="en-AU" sz="1100"/>
            </a:p>
          </xdr:txBody>
        </xdr:sp>
      </mc:Fallback>
    </mc:AlternateContent>
    <xdr:clientData/>
  </xdr:oneCellAnchor>
  <xdr:oneCellAnchor>
    <xdr:from>
      <xdr:col>11</xdr:col>
      <xdr:colOff>304799</xdr:colOff>
      <xdr:row>17</xdr:row>
      <xdr:rowOff>114300</xdr:rowOff>
    </xdr:from>
    <xdr:ext cx="5008229" cy="25333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1F7EAE77-33AD-435D-9F29-9B54702FA3F2}"/>
                </a:ext>
              </a:extLst>
            </xdr:cNvPr>
            <xdr:cNvSpPr txBox="1"/>
          </xdr:nvSpPr>
          <xdr:spPr>
            <a:xfrm>
              <a:off x="15897224" y="4457700"/>
              <a:ext cx="500822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𝑛𝑜𝑛𝑖𝑟𝑟𝑖𝑔𝑎𝑡𝑒𝑑𝑔𝑟𝑎𝑖𝑛𝑠</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0.0781+</m:t>
                        </m:r>
                        <m:d>
                          <m:dPr>
                            <m:ctrlPr>
                              <a:rPr lang="en-AU" sz="1100" i="1">
                                <a:latin typeface="Cambria Math" panose="02040503050406030204" pitchFamily="18" charset="0"/>
                              </a:rPr>
                            </m:ctrlPr>
                          </m:dPr>
                          <m:e>
                            <m:r>
                              <a:rPr lang="en-AU" sz="1100" i="1">
                                <a:latin typeface="Cambria Math" panose="02040503050406030204" pitchFamily="18" charset="0"/>
                              </a:rPr>
                              <m:t>0.0075×</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𝑛𝑜𝑛𝑖𝑟𝑟𝑖𝑔𝑎𝑡𝑒𝑑𝑔𝑟𝑎𝑖𝑛𝑠</m:t>
                                </m:r>
                              </m:sub>
                            </m:sSub>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6" name="TextBox 5">
              <a:extLst>
                <a:ext uri="{FF2B5EF4-FFF2-40B4-BE49-F238E27FC236}">
                  <a16:creationId xmlns:a16="http://schemas.microsoft.com/office/drawing/2014/main" id="{1F7EAE77-33AD-435D-9F29-9B54702FA3F2}"/>
                </a:ext>
              </a:extLst>
            </xdr:cNvPr>
            <xdr:cNvSpPr txBox="1"/>
          </xdr:nvSpPr>
          <xdr:spPr>
            <a:xfrm>
              <a:off x="15897224" y="4457700"/>
              <a:ext cx="500822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𝐸𝐹_(𝑓𝑗=𝑛𝑜𝑛𝑖𝑟𝑟𝑖𝑔𝑎𝑡𝑒𝑑𝑔𝑟𝑎𝑖𝑛𝑠,𝑁2𝑂)=(0.0781+(0.0075×𝑁_(𝑓𝑗=𝑛𝑜𝑛𝑖𝑟𝑟𝑖𝑔𝑎𝑡𝑒𝑑𝑔𝑟𝑎𝑖𝑛𝑠) ))×10^(−2)</a:t>
              </a:r>
              <a:endParaRPr lang="en-AU" sz="1100"/>
            </a:p>
          </xdr:txBody>
        </xdr:sp>
      </mc:Fallback>
    </mc:AlternateContent>
    <xdr:clientData/>
  </xdr:oneCellAnchor>
  <xdr:oneCellAnchor>
    <xdr:from>
      <xdr:col>11</xdr:col>
      <xdr:colOff>293593</xdr:colOff>
      <xdr:row>28</xdr:row>
      <xdr:rowOff>79081</xdr:rowOff>
    </xdr:from>
    <xdr:ext cx="3370345" cy="544957"/>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7AAB4E4C-EC6D-4A93-8C2B-4EF752975DFF}"/>
                </a:ext>
              </a:extLst>
            </xdr:cNvPr>
            <xdr:cNvSpPr txBox="1"/>
          </xdr:nvSpPr>
          <xdr:spPr>
            <a:xfrm>
              <a:off x="15886018" y="7146631"/>
              <a:ext cx="3370345" cy="54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d>
                      <m:dPr>
                        <m:ctrlPr>
                          <a:rPr lang="en-AU" sz="1100" i="1">
                            <a:latin typeface="Cambria Math" panose="02040503050406030204" pitchFamily="18" charset="0"/>
                          </a:rPr>
                        </m:ctrlPr>
                      </m:dPr>
                      <m:e>
                        <m:r>
                          <a:rPr lang="en-AU" sz="1100" i="1">
                            <a:latin typeface="Cambria Math" panose="02040503050406030204" pitchFamily="18" charset="0"/>
                          </a:rPr>
                          <m:t>0.01×</m:t>
                        </m:r>
                        <m:d>
                          <m:dPr>
                            <m:ctrlPr>
                              <a:rPr lang="en-AU" sz="1100" i="1">
                                <a:latin typeface="Cambria Math" panose="02040503050406030204" pitchFamily="18" charset="0"/>
                              </a:rPr>
                            </m:ctrlPr>
                          </m:dPr>
                          <m:e>
                            <m:r>
                              <a:rPr lang="en-AU" sz="1100" i="1">
                                <a:latin typeface="Cambria Math" panose="02040503050406030204" pitchFamily="18" charset="0"/>
                              </a:rPr>
                              <m:t>0.29+</m:t>
                            </m:r>
                            <m:f>
                              <m:fPr>
                                <m:ctrlPr>
                                  <a:rPr lang="en-AU" sz="1100" i="1">
                                    <a:latin typeface="Cambria Math" panose="02040503050406030204" pitchFamily="18" charset="0"/>
                                  </a:rPr>
                                </m:ctrlPr>
                              </m:fPr>
                              <m:num>
                                <m:r>
                                  <a:rPr lang="en-AU" sz="1100" i="1">
                                    <a:latin typeface="Cambria Math" panose="02040503050406030204" pitchFamily="18" charset="0"/>
                                  </a:rPr>
                                  <m:t>0.007</m:t>
                                </m:r>
                                <m:d>
                                  <m:dPr>
                                    <m:ctrlPr>
                                      <a:rPr lang="en-AU" sz="1100" i="1">
                                        <a:latin typeface="Cambria Math" panose="02040503050406030204" pitchFamily="18" charset="0"/>
                                      </a:rPr>
                                    </m:ctrlPr>
                                  </m:dPr>
                                  <m:e>
                                    <m:sSup>
                                      <m:sSupPr>
                                        <m:ctrlPr>
                                          <a:rPr lang="en-AU" sz="1100" i="1">
                                            <a:latin typeface="Cambria Math" panose="02040503050406030204" pitchFamily="18" charset="0"/>
                                          </a:rPr>
                                        </m:ctrlPr>
                                      </m:sSupPr>
                                      <m:e>
                                        <m:r>
                                          <a:rPr lang="en-AU" sz="1100" i="1">
                                            <a:latin typeface="Cambria Math" panose="02040503050406030204" pitchFamily="18" charset="0"/>
                                          </a:rPr>
                                          <m:t>𝑒</m:t>
                                        </m:r>
                                      </m:e>
                                      <m:sup>
                                        <m:r>
                                          <a:rPr lang="en-AU" sz="1100" i="1">
                                            <a:latin typeface="Cambria Math" panose="02040503050406030204" pitchFamily="18" charset="0"/>
                                          </a:rPr>
                                          <m:t>0.037×</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𝑐𝑜𝑡𝑡𝑜𝑛</m:t>
                                            </m:r>
                                          </m:sub>
                                        </m:sSub>
                                      </m:sup>
                                    </m:sSup>
                                    <m:r>
                                      <a:rPr lang="en-AU" sz="1100" i="1">
                                        <a:latin typeface="Cambria Math" panose="02040503050406030204" pitchFamily="18" charset="0"/>
                                      </a:rPr>
                                      <m:t>−1</m:t>
                                    </m:r>
                                  </m:e>
                                </m:d>
                              </m:num>
                              <m:den>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𝑐𝑜𝑡𝑡𝑜𝑛</m:t>
                                    </m:r>
                                  </m:sub>
                                </m:sSub>
                              </m:den>
                            </m:f>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7" name="TextBox 6">
              <a:extLst>
                <a:ext uri="{FF2B5EF4-FFF2-40B4-BE49-F238E27FC236}">
                  <a16:creationId xmlns:a16="http://schemas.microsoft.com/office/drawing/2014/main" id="{7AAB4E4C-EC6D-4A93-8C2B-4EF752975DFF}"/>
                </a:ext>
              </a:extLst>
            </xdr:cNvPr>
            <xdr:cNvSpPr txBox="1"/>
          </xdr:nvSpPr>
          <xdr:spPr>
            <a:xfrm>
              <a:off x="15886018" y="7146631"/>
              <a:ext cx="3370345" cy="54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(0.01×(0.29+0.007(𝑒^(0.037×𝑁_(𝑓𝑗=𝑐𝑜𝑡𝑡𝑜𝑛) )−1)/𝑁_(𝑓𝑗=𝑐𝑜𝑡𝑡𝑜𝑛) ))×10^(−2)</a:t>
              </a:r>
              <a:endParaRPr lang="en-AU" sz="1100"/>
            </a:p>
          </xdr:txBody>
        </xdr:sp>
      </mc:Fallback>
    </mc:AlternateContent>
    <xdr:clientData/>
  </xdr:oneCellAnchor>
  <xdr:oneCellAnchor>
    <xdr:from>
      <xdr:col>11</xdr:col>
      <xdr:colOff>304800</xdr:colOff>
      <xdr:row>60</xdr:row>
      <xdr:rowOff>133350</xdr:rowOff>
    </xdr:from>
    <xdr:ext cx="3047693" cy="429926"/>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A834BA07-5462-492C-B16E-0D84EC56E568}"/>
                </a:ext>
              </a:extLst>
            </xdr:cNvPr>
            <xdr:cNvSpPr txBox="1"/>
          </xdr:nvSpPr>
          <xdr:spPr>
            <a:xfrm>
              <a:off x="15897225" y="15125700"/>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8" name="TextBox 7">
              <a:extLst>
                <a:ext uri="{FF2B5EF4-FFF2-40B4-BE49-F238E27FC236}">
                  <a16:creationId xmlns:a16="http://schemas.microsoft.com/office/drawing/2014/main" id="{A834BA07-5462-492C-B16E-0D84EC56E568}"/>
                </a:ext>
              </a:extLst>
            </xdr:cNvPr>
            <xdr:cNvSpPr txBox="1"/>
          </xdr:nvSpPr>
          <xdr:spPr>
            <a:xfrm>
              <a:off x="15897225" y="15125700"/>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𝐸_𝑁2𝑂=∑_𝑗▒∑_𝑓▒((𝑀𝑁_𝑗𝑓×𝐸𝐹_(𝑗,𝑁2𝑂)×𝐶_𝑁2𝑂 )×10^(−3) ) </a:t>
              </a:r>
              <a:endParaRPr lang="en-AU" sz="1100"/>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oneCellAnchor>
    <xdr:from>
      <xdr:col>3</xdr:col>
      <xdr:colOff>4762</xdr:colOff>
      <xdr:row>7</xdr:row>
      <xdr:rowOff>104775</xdr:rowOff>
    </xdr:from>
    <xdr:ext cx="1248098"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42EA94CA-9E0C-4BAB-9B6A-97DAC1D91E01}"/>
                </a:ext>
              </a:extLst>
            </xdr:cNvPr>
            <xdr:cNvSpPr txBox="1"/>
          </xdr:nvSpPr>
          <xdr:spPr>
            <a:xfrm>
              <a:off x="2681287" y="19716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𝑓</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42EA94CA-9E0C-4BAB-9B6A-97DAC1D91E01}"/>
                </a:ext>
              </a:extLst>
            </xdr:cNvPr>
            <xdr:cNvSpPr txBox="1"/>
          </xdr:nvSpPr>
          <xdr:spPr>
            <a:xfrm>
              <a:off x="2681287" y="19716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𝑀𝑈_𝑗𝑓=𝑇𝑀_𝑗𝑓×𝐹𝑈_𝑓</a:t>
              </a:r>
              <a:endParaRPr lang="en-AU" sz="1100"/>
            </a:p>
          </xdr:txBody>
        </xdr:sp>
      </mc:Fallback>
    </mc:AlternateContent>
    <xdr:clientData/>
  </xdr:oneCellAnchor>
  <xdr:oneCellAnchor>
    <xdr:from>
      <xdr:col>2</xdr:col>
      <xdr:colOff>309562</xdr:colOff>
      <xdr:row>43</xdr:row>
      <xdr:rowOff>19050</xdr:rowOff>
    </xdr:from>
    <xdr:ext cx="3195747"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5B5B1AFB-6F9D-404B-8B14-449357B9B68A}"/>
                </a:ext>
              </a:extLst>
            </xdr:cNvPr>
            <xdr:cNvSpPr txBox="1"/>
          </xdr:nvSpPr>
          <xdr:spPr>
            <a:xfrm>
              <a:off x="2671762" y="10801350"/>
              <a:ext cx="319574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𝑢𝑟𝑒𝑎</m:t>
                                        </m:r>
                                        <m:r>
                                          <a:rPr lang="en-AU" sz="1100" i="1">
                                            <a:latin typeface="Cambria Math" panose="02040503050406030204" pitchFamily="18" charset="0"/>
                                          </a:rPr>
                                          <m:t>,</m:t>
                                        </m:r>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𝐶𝑂</m:t>
                                        </m:r>
                                        <m:r>
                                          <a:rPr lang="en-AU" sz="1100" i="1">
                                            <a:latin typeface="Cambria Math" panose="02040503050406030204" pitchFamily="18" charset="0"/>
                                          </a:rPr>
                                          <m:t>2</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5B5B1AFB-6F9D-404B-8B14-449357B9B68A}"/>
                </a:ext>
              </a:extLst>
            </xdr:cNvPr>
            <xdr:cNvSpPr txBox="1"/>
          </xdr:nvSpPr>
          <xdr:spPr>
            <a:xfrm>
              <a:off x="2671762" y="10801350"/>
              <a:ext cx="319574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𝐸_𝐶𝑂2=∑_𝑗▒∑_𝑓▒((𝑀𝑈_𝑗𝑓×𝐸𝐹_(𝑢𝑟𝑒𝑎,𝐶𝑂2)×𝐶_𝐶𝑂2 )×10^(−3) ) </a:t>
              </a:r>
              <a:endParaRPr lang="en-AU" sz="1100"/>
            </a:p>
          </xdr:txBody>
        </xdr:sp>
      </mc:Fallback>
    </mc:AlternateContent>
    <xdr:clientData/>
  </xdr:oneCellAnchor>
</xdr:wsDr>
</file>

<file path=xl/drawings/drawing9.xml><?xml version="1.0" encoding="utf-8"?>
<xdr:wsDr xmlns:xdr="http://schemas.openxmlformats.org/drawingml/2006/spreadsheetDrawing" xmlns:a="http://schemas.openxmlformats.org/drawingml/2006/main">
  <xdr:oneCellAnchor>
    <xdr:from>
      <xdr:col>3</xdr:col>
      <xdr:colOff>4762</xdr:colOff>
      <xdr:row>7</xdr:row>
      <xdr:rowOff>104775</xdr:rowOff>
    </xdr:from>
    <xdr:ext cx="2293385" cy="18299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947151E5-3DDA-47F2-B576-F2C7B4F34455}"/>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𝑓</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947151E5-3DDA-47F2-B576-F2C7B4F34455}"/>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𝑀𝑁𝑆𝑜𝑖𝑙_𝑗𝑓=𝑀_(𝑜𝑟𝑔𝑎𝑛𝑖𝑐,𝑗𝑓)×𝐹𝑁_(𝑜𝑟𝑔𝑎𝑛𝑖𝑐,𝑓)</a:t>
              </a:r>
              <a:endParaRPr lang="en-AU" sz="1100"/>
            </a:p>
          </xdr:txBody>
        </xdr:sp>
      </mc:Fallback>
    </mc:AlternateContent>
    <xdr:clientData/>
  </xdr:oneCellAnchor>
  <xdr:oneCellAnchor>
    <xdr:from>
      <xdr:col>3</xdr:col>
      <xdr:colOff>4762</xdr:colOff>
      <xdr:row>38</xdr:row>
      <xdr:rowOff>66675</xdr:rowOff>
    </xdr:from>
    <xdr:ext cx="3299749"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CB011C59-E34A-4017-8428-A083C552BDBA}"/>
                </a:ext>
              </a:extLst>
            </xdr:cNvPr>
            <xdr:cNvSpPr txBox="1"/>
          </xdr:nvSpPr>
          <xdr:spPr>
            <a:xfrm>
              <a:off x="2681287" y="961072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𝑖</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CB011C59-E34A-4017-8428-A083C552BDBA}"/>
                </a:ext>
              </a:extLst>
            </xdr:cNvPr>
            <xdr:cNvSpPr txBox="1"/>
          </xdr:nvSpPr>
          <xdr:spPr>
            <a:xfrm>
              <a:off x="2681287" y="961072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𝐸_𝑁2𝑂=∑_𝑗▒∑_𝑓▒((𝑀𝑁𝑆𝑜𝑖𝑙_𝑗𝑓×𝐸𝐹_(𝑁2𝑂,𝑖)×𝐶_𝑁2𝑂 )×10^(−3) ) </a:t>
              </a:r>
              <a:endParaRPr lang="en-AU" sz="1100"/>
            </a:p>
          </xdr:txBody>
        </xdr:sp>
      </mc:Fallback>
    </mc:AlternateContent>
    <xdr:clientData/>
  </xdr:oneCellAnchor>
</xdr:wsDr>
</file>

<file path=xl/drawings/drawing10.xml><?xml version="1.0" encoding="utf-8"?>
<xdr:wsDr xmlns:xdr="http://schemas.openxmlformats.org/drawingml/2006/spreadsheetDrawing" xmlns:a="http://schemas.openxmlformats.org/drawingml/2006/main">
  <xdr:oneCellAnchor>
    <xdr:from>
      <xdr:col>2</xdr:col>
      <xdr:colOff>300037</xdr:colOff>
      <xdr:row>7</xdr:row>
      <xdr:rowOff>142875</xdr:rowOff>
    </xdr:from>
    <xdr:ext cx="6015493" cy="16882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6F47EFE1-CB02-4180-9197-D777FE2AE755}"/>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𝑙𝑖𝑚𝑒</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𝐹𝑟𝑎𝑐𝐿𝑖𝑚𝑒</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𝑙𝑖𝑚𝑒</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𝐹𝑟𝑎𝑐𝐷𝑜𝑙</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𝑑𝑜𝑙</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𝑑𝑜𝑙</m:t>
                                </m:r>
                              </m:sub>
                            </m:sSub>
                          </m:e>
                        </m:d>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6F47EFE1-CB02-4180-9197-D777FE2AE755}"/>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𝐸_𝑙𝑖𝑚𝑒=[(𝑀_𝑙𝑖𝑚𝑒×𝐹𝑟𝑎𝑐𝐿𝑖𝑚𝑒×𝑃_𝑙𝑖𝑚𝑒×𝐸𝐹_𝑙𝑖𝑚𝑒 )+(𝑀_𝑙𝑖𝑚𝑒×𝐹𝑟𝑎𝑐𝐷𝑜𝑙×𝑃_𝑑𝑜𝑙×𝐸𝐹_𝑑𝑜𝑙 )]×𝐶_𝐶𝑂2×10^(−3)</a:t>
              </a:r>
              <a:endParaRPr lang="en-AU" sz="1100"/>
            </a:p>
          </xdr:txBody>
        </xdr:sp>
      </mc:Fallback>
    </mc:AlternateContent>
    <xdr:clientData/>
  </xdr:oneCellAnchor>
</xdr:wsDr>
</file>

<file path=xl/drawings/drawing11.xml><?xml version="1.0" encoding="utf-8"?>
<xdr:wsDr xmlns:xdr="http://schemas.openxmlformats.org/drawingml/2006/spreadsheetDrawing" xmlns:a="http://schemas.openxmlformats.org/drawingml/2006/main">
  <xdr:oneCellAnchor>
    <xdr:from>
      <xdr:col>3</xdr:col>
      <xdr:colOff>4762</xdr:colOff>
      <xdr:row>7</xdr:row>
      <xdr:rowOff>114300</xdr:rowOff>
    </xdr:from>
    <xdr:ext cx="2328843" cy="18299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89F61B3A-75A7-4672-98AD-26EAB819E551}"/>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89F61B3A-75A7-4672-98AD-26EAB819E551}"/>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𝑀_(𝑣𝑜𝑙,𝑖𝑛𝑜𝑟𝑔𝑎𝑛𝑖𝑐,𝑗𝑓)=𝑀𝑁_𝑗𝑓×𝐹𝑟𝑎𝑐𝐺𝐴𝑆𝐹_𝑓</a:t>
              </a:r>
              <a:endParaRPr lang="en-AU" sz="1100"/>
            </a:p>
          </xdr:txBody>
        </xdr:sp>
      </mc:Fallback>
    </mc:AlternateContent>
    <xdr:clientData/>
  </xdr:oneCellAnchor>
  <xdr:oneCellAnchor>
    <xdr:from>
      <xdr:col>3</xdr:col>
      <xdr:colOff>4762</xdr:colOff>
      <xdr:row>43</xdr:row>
      <xdr:rowOff>57150</xdr:rowOff>
    </xdr:from>
    <xdr:ext cx="4246740" cy="33207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573905B8-3B50-49F9-9429-88FE8893AAAB}"/>
                </a:ext>
              </a:extLst>
            </xdr:cNvPr>
            <xdr:cNvSpPr txBox="1"/>
          </xdr:nvSpPr>
          <xdr:spPr>
            <a:xfrm>
              <a:off x="2681287" y="1083945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𝑖𝑛𝑜𝑟𝑔𝑎𝑛𝑖𝑐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573905B8-3B50-49F9-9429-88FE8893AAAB}"/>
                </a:ext>
              </a:extLst>
            </xdr:cNvPr>
            <xdr:cNvSpPr txBox="1"/>
          </xdr:nvSpPr>
          <xdr:spPr>
            <a:xfrm>
              <a:off x="2681287" y="1083945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𝐸_(𝑎𝑑,𝑖𝑛𝑜𝑟𝑔𝑎𝑛𝑖𝑐)=∑2_𝑗▒∑2_𝑓▒((𝑀_(𝑣𝑜𝑙,𝑖𝑛𝑜𝑟𝑔𝑎𝑛𝑖𝑐,𝑗𝑓)×𝐸𝐹_(𝑁2𝑂,𝑗) )×𝐶_𝑁2𝑂×10^(−3) ) </a:t>
              </a:r>
              <a:endParaRPr lang="en-AU" sz="1100"/>
            </a:p>
          </xdr:txBody>
        </xdr:sp>
      </mc:Fallback>
    </mc:AlternateContent>
    <xdr:clientData/>
  </xdr:oneCellAnchor>
  <xdr:oneCellAnchor>
    <xdr:from>
      <xdr:col>3</xdr:col>
      <xdr:colOff>4762</xdr:colOff>
      <xdr:row>90</xdr:row>
      <xdr:rowOff>66675</xdr:rowOff>
    </xdr:from>
    <xdr:ext cx="2649059" cy="18299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FFAC0FE1-DC2F-4D67-904B-B10E31C0AD93}"/>
                </a:ext>
              </a:extLst>
            </xdr:cNvPr>
            <xdr:cNvSpPr txBox="1"/>
          </xdr:nvSpPr>
          <xdr:spPr>
            <a:xfrm>
              <a:off x="2681287" y="224885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𝑠𝑜𝑖𝑙</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FFAC0FE1-DC2F-4D67-904B-B10E31C0AD93}"/>
                </a:ext>
              </a:extLst>
            </xdr:cNvPr>
            <xdr:cNvSpPr txBox="1"/>
          </xdr:nvSpPr>
          <xdr:spPr>
            <a:xfrm>
              <a:off x="2681287" y="224885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𝑀_(𝑣𝑜𝑙,𝑜𝑟𝑔𝑎𝑛𝑖𝑐,𝑗𝑓)=𝑀𝑁𝑆𝑜𝑖𝑙_𝑗𝑓×𝐹𝑟𝑎𝑐𝐺𝐴𝑆𝑀_𝑠𝑜𝑖𝑙</a:t>
              </a:r>
              <a:endParaRPr lang="en-AU" sz="1100"/>
            </a:p>
          </xdr:txBody>
        </xdr:sp>
      </mc:Fallback>
    </mc:AlternateContent>
    <xdr:clientData/>
  </xdr:oneCellAnchor>
  <xdr:oneCellAnchor>
    <xdr:from>
      <xdr:col>3</xdr:col>
      <xdr:colOff>14287</xdr:colOff>
      <xdr:row>118</xdr:row>
      <xdr:rowOff>57150</xdr:rowOff>
    </xdr:from>
    <xdr:ext cx="4040786" cy="33207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4C27E8BA-79E9-45B7-9344-B3A7EAA9853C}"/>
                </a:ext>
              </a:extLst>
            </xdr:cNvPr>
            <xdr:cNvSpPr txBox="1"/>
          </xdr:nvSpPr>
          <xdr:spPr>
            <a:xfrm>
              <a:off x="2690812" y="294132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5" name="TextBox 4">
              <a:extLst>
                <a:ext uri="{FF2B5EF4-FFF2-40B4-BE49-F238E27FC236}">
                  <a16:creationId xmlns:a16="http://schemas.microsoft.com/office/drawing/2014/main" id="{4C27E8BA-79E9-45B7-9344-B3A7EAA9853C}"/>
                </a:ext>
              </a:extLst>
            </xdr:cNvPr>
            <xdr:cNvSpPr txBox="1"/>
          </xdr:nvSpPr>
          <xdr:spPr>
            <a:xfrm>
              <a:off x="2690812" y="294132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𝐸_(𝑎𝑑,𝑜𝑟𝑔𝑎𝑛𝑖𝑐)=∑2_𝑗▒∑2_𝑓▒((𝑀_(𝑣𝑜𝑙,𝑜𝑟𝑔𝑎𝑛𝑖𝑐,𝑗𝑓)×𝐸𝐹_(𝑁2𝑂,𝑗) )×𝐶_𝑁2𝑂×10^(−3) ) </a:t>
              </a:r>
              <a:endParaRPr lang="en-AU" sz="1100"/>
            </a:p>
          </xdr:txBody>
        </xdr:sp>
      </mc:Fallback>
    </mc:AlternateContent>
    <xdr:clientData/>
  </xdr:oneCellAnchor>
</xdr:wsDr>
</file>

<file path=xl/drawings/drawing12.xml><?xml version="1.0" encoding="utf-8"?>
<xdr:wsDr xmlns:xdr="http://schemas.openxmlformats.org/drawingml/2006/spreadsheetDrawing" xmlns:a="http://schemas.openxmlformats.org/drawingml/2006/main">
  <xdr:oneCellAnchor>
    <xdr:from>
      <xdr:col>3</xdr:col>
      <xdr:colOff>23812</xdr:colOff>
      <xdr:row>7</xdr:row>
      <xdr:rowOff>100012</xdr:rowOff>
    </xdr:from>
    <xdr:ext cx="3485120" cy="332014"/>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94CB3D85-8ADE-44EC-A299-52413DF7BC0F}"/>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94CB3D85-8ADE-44EC-A299-52413DF7BC0F}"/>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𝑀_(𝑙𝑒𝑎𝑐ℎ,𝑖𝑛𝑜𝑟𝑔𝑎𝑛𝑖𝑐,𝑗)=∑2_𝑓▒(𝑀𝑁_𝑗𝑓×𝐹𝑟𝑎𝑐_(𝑊𝐸𝑇,𝑗)×𝐹𝑟𝑎𝑐_𝐿𝐸𝐴𝐶𝐻 ) </a:t>
              </a:r>
              <a:endParaRPr lang="en-AU" sz="1100"/>
            </a:p>
          </xdr:txBody>
        </xdr:sp>
      </mc:Fallback>
    </mc:AlternateContent>
    <xdr:clientData/>
  </xdr:oneCellAnchor>
  <xdr:oneCellAnchor>
    <xdr:from>
      <xdr:col>2</xdr:col>
      <xdr:colOff>252412</xdr:colOff>
      <xdr:row>49</xdr:row>
      <xdr:rowOff>71437</xdr:rowOff>
    </xdr:from>
    <xdr:ext cx="3633944" cy="3320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179BDEC6-084D-44D6-88F5-D55D087783D1}"/>
                </a:ext>
              </a:extLst>
            </xdr:cNvPr>
            <xdr:cNvSpPr txBox="1"/>
          </xdr:nvSpPr>
          <xdr:spPr>
            <a:xfrm>
              <a:off x="2614612" y="123396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179BDEC6-084D-44D6-88F5-D55D087783D1}"/>
                </a:ext>
              </a:extLst>
            </xdr:cNvPr>
            <xdr:cNvSpPr txBox="1"/>
          </xdr:nvSpPr>
          <xdr:spPr>
            <a:xfrm>
              <a:off x="2614612" y="123396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100"/>
            </a:p>
          </xdr:txBody>
        </xdr:sp>
      </mc:Fallback>
    </mc:AlternateContent>
    <xdr:clientData/>
  </xdr:oneCellAnchor>
  <xdr:oneCellAnchor>
    <xdr:from>
      <xdr:col>3</xdr:col>
      <xdr:colOff>14287</xdr:colOff>
      <xdr:row>83</xdr:row>
      <xdr:rowOff>61912</xdr:rowOff>
    </xdr:from>
    <xdr:ext cx="4870692" cy="42992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78B7DE96-E135-45CB-93D6-8C8296CD1F58}"/>
                </a:ext>
              </a:extLst>
            </xdr:cNvPr>
            <xdr:cNvSpPr txBox="1"/>
          </xdr:nvSpPr>
          <xdr:spPr>
            <a:xfrm>
              <a:off x="2690812" y="207502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𝑓𝑒𝑟𝑡</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78B7DE96-E135-45CB-93D6-8C8296CD1F58}"/>
                </a:ext>
              </a:extLst>
            </xdr:cNvPr>
            <xdr:cNvSpPr txBox="1"/>
          </xdr:nvSpPr>
          <xdr:spPr>
            <a:xfrm>
              <a:off x="2690812" y="207502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100"/>
            </a:p>
          </xdr:txBody>
        </xdr:sp>
      </mc:Fallback>
    </mc:AlternateContent>
    <xdr:clientData/>
  </xdr:oneCellAnchor>
</xdr:wsDr>
</file>

<file path=xl/drawings/drawing13.xml><?xml version="1.0" encoding="utf-8"?>
<xdr:wsDr xmlns:xdr="http://schemas.openxmlformats.org/drawingml/2006/spreadsheetDrawing" xmlns:a="http://schemas.openxmlformats.org/drawingml/2006/main">
  <xdr:oneCellAnchor>
    <xdr:from>
      <xdr:col>2</xdr:col>
      <xdr:colOff>238125</xdr:colOff>
      <xdr:row>27</xdr:row>
      <xdr:rowOff>9525</xdr:rowOff>
    </xdr:from>
    <xdr:ext cx="2609850" cy="33111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A24D809C-A9D5-435D-A9C2-11E5761F39FB}"/>
                </a:ext>
              </a:extLst>
            </xdr:cNvPr>
            <xdr:cNvSpPr txBox="1"/>
          </xdr:nvSpPr>
          <xdr:spPr>
            <a:xfrm>
              <a:off x="2600325" y="6829425"/>
              <a:ext cx="2609850" cy="3311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b="0" i="1">
                            <a:latin typeface="Cambria Math" panose="02040503050406030204" pitchFamily="18" charset="0"/>
                          </a:rPr>
                        </m:ctrlPr>
                      </m:sSubPr>
                      <m:e>
                        <m:r>
                          <a:rPr lang="en-AU" sz="1100" b="0" i="1">
                            <a:latin typeface="Cambria Math" panose="02040503050406030204" pitchFamily="18" charset="0"/>
                          </a:rPr>
                          <m:t>𝐸</m:t>
                        </m:r>
                      </m:e>
                      <m:sub>
                        <m:r>
                          <a:rPr lang="en-AU" sz="1100" b="0" i="1">
                            <a:latin typeface="Cambria Math" panose="02040503050406030204" pitchFamily="18" charset="0"/>
                          </a:rPr>
                          <m:t>𝑁</m:t>
                        </m:r>
                        <m:r>
                          <a:rPr lang="en-AU" sz="1100" b="0" i="1">
                            <a:latin typeface="Cambria Math" panose="02040503050406030204" pitchFamily="18" charset="0"/>
                          </a:rPr>
                          <m:t>2</m:t>
                        </m:r>
                        <m:r>
                          <a:rPr lang="en-AU" sz="1100" b="0" i="1">
                            <a:latin typeface="Cambria Math" panose="02040503050406030204" pitchFamily="18" charset="0"/>
                          </a:rPr>
                          <m:t>𝑂</m:t>
                        </m:r>
                      </m:sub>
                    </m:sSub>
                    <m:r>
                      <a:rPr lang="en-AU" sz="1100" b="0" i="1">
                        <a:latin typeface="Cambria Math" panose="02040503050406030204" pitchFamily="18" charset="0"/>
                      </a:rPr>
                      <m:t>=</m:t>
                    </m:r>
                    <m:nary>
                      <m:naryPr>
                        <m:chr m:val="∑"/>
                        <m:limLoc m:val="subSup"/>
                        <m:supHide m:val="on"/>
                        <m:ctrlPr>
                          <a:rPr lang="en-AU" sz="1100" b="0" i="1">
                            <a:latin typeface="Cambria Math" panose="02040503050406030204" pitchFamily="18" charset="0"/>
                          </a:rPr>
                        </m:ctrlPr>
                      </m:naryPr>
                      <m:sub>
                        <m:r>
                          <a:rPr lang="en-AU" sz="1100" b="0" i="1">
                            <a:latin typeface="Cambria Math" panose="02040503050406030204" pitchFamily="18" charset="0"/>
                          </a:rPr>
                          <m:t>𝑝</m:t>
                        </m:r>
                      </m:sub>
                      <m:sup/>
                      <m:e>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𝑀</m:t>
                                </m:r>
                              </m:e>
                              <m:sub>
                                <m:r>
                                  <a:rPr lang="en-AU" sz="1100" b="0" i="1">
                                    <a:latin typeface="Cambria Math" panose="02040503050406030204" pitchFamily="18" charset="0"/>
                                  </a:rPr>
                                  <m:t>𝑝</m:t>
                                </m:r>
                              </m:sub>
                            </m:sSub>
                            <m:r>
                              <a:rPr lang="en-AU" sz="1100" b="0" i="1">
                                <a:latin typeface="Cambria Math" panose="02040503050406030204" pitchFamily="18" charset="0"/>
                              </a:rPr>
                              <m:t>×</m:t>
                            </m:r>
                            <m:r>
                              <a:rPr lang="en-AU" sz="1100" b="0" i="1">
                                <a:latin typeface="Cambria Math" panose="02040503050406030204" pitchFamily="18" charset="0"/>
                              </a:rPr>
                              <m:t>𝐸</m:t>
                            </m:r>
                            <m:sSub>
                              <m:sSubPr>
                                <m:ctrlPr>
                                  <a:rPr lang="en-AU" sz="1100" b="0" i="1">
                                    <a:latin typeface="Cambria Math" panose="02040503050406030204" pitchFamily="18" charset="0"/>
                                  </a:rPr>
                                </m:ctrlPr>
                              </m:sSubPr>
                              <m:e>
                                <m:r>
                                  <a:rPr lang="en-AU" sz="1100" b="0" i="1">
                                    <a:latin typeface="Cambria Math" panose="02040503050406030204" pitchFamily="18" charset="0"/>
                                  </a:rPr>
                                  <m:t>𝐹</m:t>
                                </m:r>
                              </m:e>
                              <m:sub>
                                <m:r>
                                  <a:rPr lang="en-AU" sz="1100" b="0" i="1">
                                    <a:latin typeface="Cambria Math" panose="02040503050406030204" pitchFamily="18" charset="0"/>
                                  </a:rPr>
                                  <m:t>𝑁𝑖</m:t>
                                </m:r>
                              </m:sub>
                            </m:sSub>
                          </m:e>
                        </m:d>
                      </m:e>
                    </m:nary>
                    <m:r>
                      <a:rPr lang="en-AU" sz="1100" b="0" i="1">
                        <a:latin typeface="Cambria Math" panose="02040503050406030204" pitchFamily="18" charset="0"/>
                      </a:rPr>
                      <m:t>×</m:t>
                    </m:r>
                    <m:sSub>
                      <m:sSubPr>
                        <m:ctrlPr>
                          <a:rPr lang="en-AU" sz="1100" b="0" i="1">
                            <a:latin typeface="Cambria Math" panose="02040503050406030204" pitchFamily="18" charset="0"/>
                          </a:rPr>
                        </m:ctrlPr>
                      </m:sSubPr>
                      <m:e>
                        <m:r>
                          <a:rPr lang="en-AU" sz="1100" b="0" i="1">
                            <a:latin typeface="Cambria Math" panose="02040503050406030204" pitchFamily="18" charset="0"/>
                          </a:rPr>
                          <m:t>𝐶</m:t>
                        </m:r>
                      </m:e>
                      <m:sub>
                        <m:r>
                          <a:rPr lang="en-AU" sz="1100" b="0" i="1">
                            <a:latin typeface="Cambria Math" panose="02040503050406030204" pitchFamily="18" charset="0"/>
                          </a:rPr>
                          <m:t>𝑁</m:t>
                        </m:r>
                        <m:r>
                          <a:rPr lang="en-AU" sz="1100" b="0" i="1">
                            <a:latin typeface="Cambria Math" panose="02040503050406030204" pitchFamily="18" charset="0"/>
                          </a:rPr>
                          <m:t>2</m:t>
                        </m:r>
                        <m:r>
                          <a:rPr lang="en-AU" sz="1100" b="0" i="1">
                            <a:latin typeface="Cambria Math" panose="02040503050406030204" pitchFamily="18" charset="0"/>
                          </a:rPr>
                          <m:t>𝑂</m:t>
                        </m:r>
                      </m:sub>
                    </m:sSub>
                    <m:r>
                      <a:rPr lang="en-AU" sz="1100" b="0" i="1">
                        <a:latin typeface="Cambria Math" panose="02040503050406030204" pitchFamily="18" charset="0"/>
                      </a:rPr>
                      <m:t>×</m:t>
                    </m:r>
                    <m:sSup>
                      <m:sSupPr>
                        <m:ctrlPr>
                          <a:rPr lang="en-AU" sz="1100" b="0" i="1">
                            <a:latin typeface="Cambria Math" panose="02040503050406030204" pitchFamily="18" charset="0"/>
                          </a:rPr>
                        </m:ctrlPr>
                      </m:sSupPr>
                      <m:e>
                        <m:r>
                          <a:rPr lang="en-AU" sz="1100" b="0" i="1">
                            <a:latin typeface="Cambria Math" panose="02040503050406030204" pitchFamily="18" charset="0"/>
                          </a:rPr>
                          <m:t>10</m:t>
                        </m:r>
                      </m:e>
                      <m:sup>
                        <m:r>
                          <a:rPr lang="en-AU" sz="1100" b="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A24D809C-A9D5-435D-A9C2-11E5761F39FB}"/>
                </a:ext>
              </a:extLst>
            </xdr:cNvPr>
            <xdr:cNvSpPr txBox="1"/>
          </xdr:nvSpPr>
          <xdr:spPr>
            <a:xfrm>
              <a:off x="2600325" y="6829425"/>
              <a:ext cx="2609850" cy="3311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AU" sz="1100" b="0" i="0">
                  <a:latin typeface="Cambria Math" panose="02040503050406030204" pitchFamily="18" charset="0"/>
                </a:rPr>
                <a:t>𝐸_𝑁2𝑂=∑2_𝑝▒(𝑀_𝑝×𝐸𝐹_𝑁𝑖 ) ×𝐶_𝑁2𝑂×10^(−3)</a:t>
              </a:r>
              <a:endParaRPr lang="en-AU" sz="1100"/>
            </a:p>
          </xdr:txBody>
        </xdr:sp>
      </mc:Fallback>
    </mc:AlternateContent>
    <xdr:clientData/>
  </xdr:oneCellAnchor>
  <xdr:oneCellAnchor>
    <xdr:from>
      <xdr:col>3</xdr:col>
      <xdr:colOff>19050</xdr:colOff>
      <xdr:row>7</xdr:row>
      <xdr:rowOff>104775</xdr:rowOff>
    </xdr:from>
    <xdr:ext cx="5445786" cy="194412"/>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5092B482-00A3-4928-B33A-C536460D5659}"/>
                </a:ext>
              </a:extLst>
            </xdr:cNvPr>
            <xdr:cNvSpPr txBox="1"/>
          </xdr:nvSpPr>
          <xdr:spPr>
            <a:xfrm>
              <a:off x="2695575" y="1971675"/>
              <a:ext cx="5445786" cy="1944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b="0" i="1">
                            <a:latin typeface="Cambria Math" panose="02040503050406030204" pitchFamily="18" charset="0"/>
                          </a:rPr>
                        </m:ctrlPr>
                      </m:sSubPr>
                      <m:e>
                        <m:r>
                          <a:rPr lang="en-AU" sz="1100" b="0" i="1">
                            <a:latin typeface="Cambria Math" panose="02040503050406030204" pitchFamily="18" charset="0"/>
                          </a:rPr>
                          <m:t>𝑀</m:t>
                        </m:r>
                      </m:e>
                      <m:sub>
                        <m:r>
                          <a:rPr lang="en-AU" sz="1100" b="0" i="1">
                            <a:latin typeface="Cambria Math" panose="02040503050406030204" pitchFamily="18" charset="0"/>
                          </a:rPr>
                          <m:t>𝑝</m:t>
                        </m:r>
                      </m:sub>
                    </m:sSub>
                    <m:r>
                      <a:rPr lang="en-AU" sz="1100" b="0" i="1">
                        <a:latin typeface="Cambria Math" panose="02040503050406030204" pitchFamily="18" charset="0"/>
                      </a:rPr>
                      <m:t>=</m:t>
                    </m:r>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𝐴</m:t>
                            </m:r>
                          </m:e>
                          <m:sub>
                            <m:r>
                              <a:rPr lang="en-AU" sz="1100" b="0" i="1">
                                <a:latin typeface="Cambria Math" panose="02040503050406030204" pitchFamily="18" charset="0"/>
                              </a:rPr>
                              <m:t>𝑝</m:t>
                            </m:r>
                          </m:sub>
                        </m:sSub>
                        <m:r>
                          <a:rPr lang="en-AU" sz="1100" b="0" i="1">
                            <a:latin typeface="Cambria Math" panose="02040503050406030204" pitchFamily="18" charset="0"/>
                          </a:rPr>
                          <m:t>×</m:t>
                        </m:r>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𝑌</m:t>
                                </m:r>
                              </m:e>
                              <m:sub>
                                <m:r>
                                  <a:rPr lang="en-AU" sz="1100" b="0" i="1">
                                    <a:latin typeface="Cambria Math" panose="02040503050406030204" pitchFamily="18" charset="0"/>
                                  </a:rPr>
                                  <m:t>𝑝</m:t>
                                </m:r>
                              </m:sub>
                            </m:sSub>
                            <m:r>
                              <a:rPr lang="en-AU" sz="1100" b="0" i="1">
                                <a:latin typeface="Cambria Math" panose="02040503050406030204" pitchFamily="18" charset="0"/>
                              </a:rPr>
                              <m:t>×</m:t>
                            </m:r>
                            <m:sSup>
                              <m:sSupPr>
                                <m:ctrlPr>
                                  <a:rPr lang="en-AU" sz="1100" b="0" i="1">
                                    <a:latin typeface="Cambria Math" panose="02040503050406030204" pitchFamily="18" charset="0"/>
                                  </a:rPr>
                                </m:ctrlPr>
                              </m:sSupPr>
                              <m:e>
                                <m:r>
                                  <a:rPr lang="en-AU" sz="1100" b="0" i="1">
                                    <a:latin typeface="Cambria Math" panose="02040503050406030204" pitchFamily="18" charset="0"/>
                                  </a:rPr>
                                  <m:t>10</m:t>
                                </m:r>
                              </m:e>
                              <m:sup>
                                <m:r>
                                  <a:rPr lang="en-AU" sz="1100" b="0" i="1">
                                    <a:latin typeface="Cambria Math" panose="02040503050406030204" pitchFamily="18" charset="0"/>
                                  </a:rPr>
                                  <m:t>−3</m:t>
                                </m:r>
                              </m:sup>
                            </m:sSup>
                          </m:e>
                        </m:d>
                        <m:r>
                          <a:rPr lang="en-AU" sz="1100" b="0" i="1">
                            <a:latin typeface="Cambria Math" panose="02040503050406030204" pitchFamily="18" charset="0"/>
                          </a:rPr>
                          <m:t>×</m:t>
                        </m:r>
                        <m:d>
                          <m:dPr>
                            <m:ctrlPr>
                              <a:rPr lang="en-AU" sz="1100" b="0" i="1">
                                <a:latin typeface="Cambria Math" panose="02040503050406030204" pitchFamily="18" charset="0"/>
                              </a:rPr>
                            </m:ctrlPr>
                          </m:dPr>
                          <m:e>
                            <m:r>
                              <a:rPr lang="en-AU" sz="1100" b="0" i="1">
                                <a:latin typeface="Cambria Math" panose="02040503050406030204" pitchFamily="18" charset="0"/>
                              </a:rPr>
                              <m:t>1−</m:t>
                            </m:r>
                            <m:r>
                              <a:rPr lang="en-AU" sz="1100" b="0" i="1">
                                <a:latin typeface="Cambria Math" panose="02040503050406030204" pitchFamily="18" charset="0"/>
                              </a:rPr>
                              <m:t>𝐹𝐹𝑂</m:t>
                            </m:r>
                            <m:sSub>
                              <m:sSubPr>
                                <m:ctrlPr>
                                  <a:rPr lang="en-AU" sz="1100" b="0" i="1">
                                    <a:latin typeface="Cambria Math" panose="02040503050406030204" pitchFamily="18" charset="0"/>
                                  </a:rPr>
                                </m:ctrlPr>
                              </m:sSubPr>
                              <m:e>
                                <m:r>
                                  <a:rPr lang="en-AU" sz="1100" b="0" i="1">
                                    <a:latin typeface="Cambria Math" panose="02040503050406030204" pitchFamily="18" charset="0"/>
                                  </a:rPr>
                                  <m:t>𝐷</m:t>
                                </m:r>
                              </m:e>
                              <m:sub>
                                <m:r>
                                  <a:rPr lang="en-AU" sz="1100" b="0" i="1">
                                    <a:latin typeface="Cambria Math" panose="02040503050406030204" pitchFamily="18" charset="0"/>
                                  </a:rPr>
                                  <m:t>𝑝</m:t>
                                </m:r>
                              </m:sub>
                            </m:sSub>
                          </m:e>
                        </m:d>
                        <m:r>
                          <a:rPr lang="en-AU" sz="1100" b="0" i="1">
                            <a:latin typeface="Cambria Math" panose="02040503050406030204" pitchFamily="18" charset="0"/>
                          </a:rPr>
                          <m:t>×</m:t>
                        </m:r>
                        <m:r>
                          <a:rPr lang="en-AU" sz="1100" b="0" i="1">
                            <a:latin typeface="Cambria Math" panose="02040503050406030204" pitchFamily="18" charset="0"/>
                          </a:rPr>
                          <m:t>𝑁</m:t>
                        </m:r>
                        <m:sSub>
                          <m:sSubPr>
                            <m:ctrlPr>
                              <a:rPr lang="en-AU" sz="1100" b="0" i="1">
                                <a:latin typeface="Cambria Math" panose="02040503050406030204" pitchFamily="18" charset="0"/>
                              </a:rPr>
                            </m:ctrlPr>
                          </m:sSubPr>
                          <m:e>
                            <m:r>
                              <a:rPr lang="en-AU" sz="1100" b="0" i="1">
                                <a:latin typeface="Cambria Math" panose="02040503050406030204" pitchFamily="18" charset="0"/>
                              </a:rPr>
                              <m:t>𝐶</m:t>
                            </m:r>
                          </m:e>
                          <m:sub>
                            <m:r>
                              <a:rPr lang="en-AU" sz="1100" b="0" i="1">
                                <a:latin typeface="Cambria Math" panose="02040503050406030204" pitchFamily="18" charset="0"/>
                              </a:rPr>
                              <m:t>𝐴𝐺𝑝</m:t>
                            </m:r>
                          </m:sub>
                        </m:sSub>
                      </m:e>
                    </m:d>
                    <m:r>
                      <a:rPr lang="en-AU" sz="1100" b="0" i="1">
                        <a:latin typeface="Cambria Math" panose="02040503050406030204" pitchFamily="18" charset="0"/>
                      </a:rPr>
                      <m:t>+</m:t>
                    </m:r>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𝐴</m:t>
                            </m:r>
                          </m:e>
                          <m:sub>
                            <m:r>
                              <a:rPr lang="en-AU" sz="1100" b="0" i="1">
                                <a:latin typeface="Cambria Math" panose="02040503050406030204" pitchFamily="18" charset="0"/>
                              </a:rPr>
                              <m:t>𝑝</m:t>
                            </m:r>
                          </m:sub>
                        </m:sSub>
                        <m:r>
                          <a:rPr lang="en-AU" sz="1100" b="0" i="1">
                            <a:latin typeface="Cambria Math" panose="02040503050406030204" pitchFamily="18" charset="0"/>
                          </a:rPr>
                          <m:t>×</m:t>
                        </m:r>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𝑌</m:t>
                                </m:r>
                              </m:e>
                              <m:sub>
                                <m:r>
                                  <a:rPr lang="en-AU" sz="1100" b="0" i="1">
                                    <a:latin typeface="Cambria Math" panose="02040503050406030204" pitchFamily="18" charset="0"/>
                                  </a:rPr>
                                  <m:t>𝑝</m:t>
                                </m:r>
                              </m:sub>
                            </m:sSub>
                            <m:r>
                              <a:rPr lang="en-AU" sz="1100" b="0" i="1">
                                <a:latin typeface="Cambria Math" panose="02040503050406030204" pitchFamily="18" charset="0"/>
                              </a:rPr>
                              <m:t>×</m:t>
                            </m:r>
                            <m:sSup>
                              <m:sSupPr>
                                <m:ctrlPr>
                                  <a:rPr lang="en-AU" sz="1100" b="0" i="1">
                                    <a:latin typeface="Cambria Math" panose="02040503050406030204" pitchFamily="18" charset="0"/>
                                  </a:rPr>
                                </m:ctrlPr>
                              </m:sSupPr>
                              <m:e>
                                <m:r>
                                  <a:rPr lang="en-AU" sz="1100" b="0" i="1">
                                    <a:latin typeface="Cambria Math" panose="02040503050406030204" pitchFamily="18" charset="0"/>
                                  </a:rPr>
                                  <m:t>10</m:t>
                                </m:r>
                              </m:e>
                              <m:sup>
                                <m:r>
                                  <a:rPr lang="en-AU" sz="1100" b="0" i="1">
                                    <a:latin typeface="Cambria Math" panose="02040503050406030204" pitchFamily="18" charset="0"/>
                                  </a:rPr>
                                  <m:t>−3</m:t>
                                </m:r>
                              </m:sup>
                            </m:sSup>
                          </m:e>
                        </m:d>
                        <m:r>
                          <a:rPr lang="en-AU" sz="1100" b="0" i="1">
                            <a:latin typeface="Cambria Math" panose="02040503050406030204" pitchFamily="18" charset="0"/>
                          </a:rPr>
                          <m:t>×</m:t>
                        </m:r>
                        <m:sSub>
                          <m:sSubPr>
                            <m:ctrlPr>
                              <a:rPr lang="en-AU" sz="1100" b="0" i="1">
                                <a:latin typeface="Cambria Math" panose="02040503050406030204" pitchFamily="18" charset="0"/>
                              </a:rPr>
                            </m:ctrlPr>
                          </m:sSubPr>
                          <m:e>
                            <m:r>
                              <a:rPr lang="en-AU" sz="1100" b="0" i="1">
                                <a:latin typeface="Cambria Math" panose="02040503050406030204" pitchFamily="18" charset="0"/>
                              </a:rPr>
                              <m:t>𝑅</m:t>
                            </m:r>
                          </m:e>
                          <m:sub>
                            <m:r>
                              <a:rPr lang="en-AU" sz="1100" b="0" i="1">
                                <a:latin typeface="Cambria Math" panose="02040503050406030204" pitchFamily="18" charset="0"/>
                              </a:rPr>
                              <m:t>𝐵𝐺𝑝</m:t>
                            </m:r>
                          </m:sub>
                        </m:sSub>
                        <m:r>
                          <a:rPr lang="en-AU" sz="1100" b="0" i="1">
                            <a:latin typeface="Cambria Math" panose="02040503050406030204" pitchFamily="18" charset="0"/>
                          </a:rPr>
                          <m:t>×</m:t>
                        </m:r>
                        <m:r>
                          <a:rPr lang="en-AU" sz="1100" b="0" i="1">
                            <a:latin typeface="Cambria Math" panose="02040503050406030204" pitchFamily="18" charset="0"/>
                          </a:rPr>
                          <m:t>𝑁</m:t>
                        </m:r>
                        <m:sSub>
                          <m:sSubPr>
                            <m:ctrlPr>
                              <a:rPr lang="en-AU" sz="1100" b="0" i="1">
                                <a:latin typeface="Cambria Math" panose="02040503050406030204" pitchFamily="18" charset="0"/>
                              </a:rPr>
                            </m:ctrlPr>
                          </m:sSubPr>
                          <m:e>
                            <m:r>
                              <a:rPr lang="en-AU" sz="1100" b="0" i="1">
                                <a:latin typeface="Cambria Math" panose="02040503050406030204" pitchFamily="18" charset="0"/>
                              </a:rPr>
                              <m:t>𝐶</m:t>
                            </m:r>
                          </m:e>
                          <m:sub>
                            <m:r>
                              <a:rPr lang="en-AU" sz="1100" b="0" i="1">
                                <a:latin typeface="Cambria Math" panose="02040503050406030204" pitchFamily="18" charset="0"/>
                              </a:rPr>
                              <m:t>𝐵𝐺𝑝</m:t>
                            </m:r>
                          </m:sub>
                        </m:sSub>
                      </m:e>
                    </m:d>
                  </m:oMath>
                </m:oMathPara>
              </a14:m>
              <a:endParaRPr lang="en-AU" sz="1100"/>
            </a:p>
          </xdr:txBody>
        </xdr:sp>
      </mc:Choice>
      <mc:Fallback xmlns="">
        <xdr:sp macro="" textlink="">
          <xdr:nvSpPr>
            <xdr:cNvPr id="3" name="TextBox 2">
              <a:extLst>
                <a:ext uri="{FF2B5EF4-FFF2-40B4-BE49-F238E27FC236}">
                  <a16:creationId xmlns:a16="http://schemas.microsoft.com/office/drawing/2014/main" id="{5092B482-00A3-4928-B33A-C536460D5659}"/>
                </a:ext>
              </a:extLst>
            </xdr:cNvPr>
            <xdr:cNvSpPr txBox="1"/>
          </xdr:nvSpPr>
          <xdr:spPr>
            <a:xfrm>
              <a:off x="2695575" y="1971675"/>
              <a:ext cx="5445786" cy="1944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a:latin typeface="Cambria Math" panose="02040503050406030204" pitchFamily="18" charset="0"/>
                </a:rPr>
                <a:t>𝑀_𝑝=(𝐴_𝑝×(𝑌_𝑝×10^(−3) )×(1−𝐹𝐹𝑂𝐷_𝑝 )×𝑁𝐶_𝐴𝐺𝑝 )+(𝐴_𝑝×(𝑌_𝑝×10^(−3) )×𝑅_𝐵𝐺𝑝×𝑁𝐶_𝐵𝐺𝑝 )</a:t>
              </a:r>
              <a:endParaRPr lang="en-AU" sz="1100"/>
            </a:p>
          </xdr:txBody>
        </xdr:sp>
      </mc:Fallback>
    </mc:AlternateContent>
    <xdr:clientData/>
  </xdr:oneCellAnchor>
  <xdr:oneCellAnchor>
    <xdr:from>
      <xdr:col>12</xdr:col>
      <xdr:colOff>238125</xdr:colOff>
      <xdr:row>27</xdr:row>
      <xdr:rowOff>9525</xdr:rowOff>
    </xdr:from>
    <xdr:ext cx="2609850" cy="429348"/>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A2396616-AC26-4855-AB9F-BC3200FB76B4}"/>
                </a:ext>
              </a:extLst>
            </xdr:cNvPr>
            <xdr:cNvSpPr txBox="1"/>
          </xdr:nvSpPr>
          <xdr:spPr>
            <a:xfrm>
              <a:off x="17878425" y="6829425"/>
              <a:ext cx="2609850" cy="4293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b="0" i="1">
                            <a:latin typeface="Cambria Math" panose="02040503050406030204" pitchFamily="18" charset="0"/>
                          </a:rPr>
                        </m:ctrlPr>
                      </m:sSubPr>
                      <m:e>
                        <m:r>
                          <a:rPr lang="en-AU" sz="1100" b="0" i="1">
                            <a:latin typeface="Cambria Math" panose="02040503050406030204" pitchFamily="18" charset="0"/>
                          </a:rPr>
                          <m:t>𝐸</m:t>
                        </m:r>
                      </m:e>
                      <m:sub>
                        <m:r>
                          <a:rPr lang="en-AU" sz="1100" b="0" i="1">
                            <a:latin typeface="Cambria Math" panose="02040503050406030204" pitchFamily="18" charset="0"/>
                          </a:rPr>
                          <m:t>𝑁</m:t>
                        </m:r>
                        <m:r>
                          <a:rPr lang="en-AU" sz="1100" b="0" i="1">
                            <a:latin typeface="Cambria Math" panose="02040503050406030204" pitchFamily="18" charset="0"/>
                          </a:rPr>
                          <m:t>2</m:t>
                        </m:r>
                        <m:r>
                          <m:rPr>
                            <m:sty m:val="p"/>
                          </m:rPr>
                          <a:rPr lang="en-AU" sz="1100" b="0" i="1">
                            <a:latin typeface="Cambria Math" panose="02040503050406030204" pitchFamily="18" charset="0"/>
                          </a:rPr>
                          <m:t>O</m:t>
                        </m:r>
                      </m:sub>
                    </m:sSub>
                    <m:r>
                      <a:rPr lang="en-AU" sz="1100" b="0" i="1">
                        <a:latin typeface="Cambria Math" panose="02040503050406030204" pitchFamily="18" charset="0"/>
                      </a:rPr>
                      <m:t>=</m:t>
                    </m:r>
                    <m:nary>
                      <m:naryPr>
                        <m:chr m:val="∑"/>
                        <m:supHide m:val="on"/>
                        <m:ctrlPr>
                          <a:rPr lang="en-AU" sz="1100" b="0" i="1">
                            <a:latin typeface="Cambria Math" panose="02040503050406030204" pitchFamily="18" charset="0"/>
                          </a:rPr>
                        </m:ctrlPr>
                      </m:naryPr>
                      <m:sub>
                        <m:r>
                          <a:rPr lang="en-AU" sz="1100" b="0" i="1">
                            <a:latin typeface="Cambria Math" panose="02040503050406030204" pitchFamily="18" charset="0"/>
                          </a:rPr>
                          <m:t>𝑝</m:t>
                        </m:r>
                      </m:sub>
                      <m:sup/>
                      <m:e>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𝑀</m:t>
                                </m:r>
                              </m:e>
                              <m:sub>
                                <m:r>
                                  <a:rPr lang="en-AU" sz="1100" b="0" i="1">
                                    <a:latin typeface="Cambria Math" panose="02040503050406030204" pitchFamily="18" charset="0"/>
                                  </a:rPr>
                                  <m:t>𝑝</m:t>
                                </m:r>
                              </m:sub>
                            </m:sSub>
                            <m:r>
                              <a:rPr lang="en-AU" sz="1100" b="0" i="1">
                                <a:latin typeface="Cambria Math" panose="02040503050406030204" pitchFamily="18" charset="0"/>
                              </a:rPr>
                              <m:t>×</m:t>
                            </m:r>
                            <m:r>
                              <a:rPr lang="en-AU" sz="1100" b="0" i="1">
                                <a:latin typeface="Cambria Math" panose="02040503050406030204" pitchFamily="18" charset="0"/>
                              </a:rPr>
                              <m:t>𝐸</m:t>
                            </m:r>
                            <m:sSub>
                              <m:sSubPr>
                                <m:ctrlPr>
                                  <a:rPr lang="en-AU" sz="1100" b="0" i="1">
                                    <a:latin typeface="Cambria Math" panose="02040503050406030204" pitchFamily="18" charset="0"/>
                                  </a:rPr>
                                </m:ctrlPr>
                              </m:sSubPr>
                              <m:e>
                                <m:r>
                                  <a:rPr lang="en-AU" sz="1100" b="0" i="1">
                                    <a:latin typeface="Cambria Math" panose="02040503050406030204" pitchFamily="18" charset="0"/>
                                  </a:rPr>
                                  <m:t>𝐹</m:t>
                                </m:r>
                              </m:e>
                              <m:sub>
                                <m:r>
                                  <a:rPr lang="en-AU" sz="1100" b="0" i="1">
                                    <a:latin typeface="Cambria Math" panose="02040503050406030204" pitchFamily="18" charset="0"/>
                                  </a:rPr>
                                  <m:t>𝑁𝑖</m:t>
                                </m:r>
                              </m:sub>
                            </m:sSub>
                            <m:r>
                              <a:rPr lang="en-AU" sz="1100" b="0" i="1">
                                <a:latin typeface="Cambria Math" panose="02040503050406030204" pitchFamily="18" charset="0"/>
                              </a:rPr>
                              <m:t>×</m:t>
                            </m:r>
                            <m:sSub>
                              <m:sSubPr>
                                <m:ctrlPr>
                                  <a:rPr lang="en-AU" sz="1100" b="0" i="1">
                                    <a:latin typeface="Cambria Math" panose="02040503050406030204" pitchFamily="18" charset="0"/>
                                  </a:rPr>
                                </m:ctrlPr>
                              </m:sSubPr>
                              <m:e>
                                <m:r>
                                  <a:rPr lang="en-AU" sz="1100" b="0" i="1">
                                    <a:latin typeface="Cambria Math" panose="02040503050406030204" pitchFamily="18" charset="0"/>
                                  </a:rPr>
                                  <m:t>𝐶</m:t>
                                </m:r>
                              </m:e>
                              <m:sub>
                                <m:r>
                                  <a:rPr lang="en-AU" sz="1100" b="0" i="1">
                                    <a:latin typeface="Cambria Math" panose="02040503050406030204" pitchFamily="18" charset="0"/>
                                  </a:rPr>
                                  <m:t>𝑁</m:t>
                                </m:r>
                                <m:r>
                                  <a:rPr lang="en-AU" sz="1100" b="0" i="1">
                                    <a:latin typeface="Cambria Math" panose="02040503050406030204" pitchFamily="18" charset="0"/>
                                  </a:rPr>
                                  <m:t>2</m:t>
                                </m:r>
                                <m:r>
                                  <a:rPr lang="en-AU" sz="1100" b="0" i="1">
                                    <a:latin typeface="Cambria Math" panose="02040503050406030204" pitchFamily="18" charset="0"/>
                                  </a:rPr>
                                  <m:t>𝑂</m:t>
                                </m:r>
                              </m:sub>
                            </m:sSub>
                            <m:r>
                              <a:rPr lang="en-AU" sz="1100" b="0" i="1">
                                <a:latin typeface="Cambria Math" panose="02040503050406030204" pitchFamily="18" charset="0"/>
                              </a:rPr>
                              <m:t>×</m:t>
                            </m:r>
                            <m:sSup>
                              <m:sSupPr>
                                <m:ctrlPr>
                                  <a:rPr lang="en-AU" sz="1100" b="0" i="1">
                                    <a:latin typeface="Cambria Math" panose="02040503050406030204" pitchFamily="18" charset="0"/>
                                  </a:rPr>
                                </m:ctrlPr>
                              </m:sSupPr>
                              <m:e>
                                <m:r>
                                  <a:rPr lang="en-AU" sz="1100" b="0" i="1">
                                    <a:latin typeface="Cambria Math" panose="02040503050406030204" pitchFamily="18" charset="0"/>
                                  </a:rPr>
                                  <m:t>10</m:t>
                                </m:r>
                              </m:e>
                              <m:sup>
                                <m:r>
                                  <a:rPr lang="en-AU" sz="1100" b="0" i="1">
                                    <a:latin typeface="Cambria Math" panose="02040503050406030204" pitchFamily="18" charset="0"/>
                                  </a:rPr>
                                  <m:t>−3</m:t>
                                </m:r>
                              </m:sup>
                            </m:sSup>
                          </m:e>
                        </m:d>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A2396616-AC26-4855-AB9F-BC3200FB76B4}"/>
                </a:ext>
              </a:extLst>
            </xdr:cNvPr>
            <xdr:cNvSpPr txBox="1"/>
          </xdr:nvSpPr>
          <xdr:spPr>
            <a:xfrm>
              <a:off x="17878425" y="6829425"/>
              <a:ext cx="2609850" cy="4293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AU" sz="1100" b="0" i="0">
                  <a:latin typeface="Cambria Math" panose="02040503050406030204" pitchFamily="18" charset="0"/>
                </a:rPr>
                <a:t>𝐸_𝑁2O=∑_𝑝▒(𝑀_𝑝×𝐸𝐹_𝑁𝑖×𝐶_𝑁2𝑂×10^(−3) ) </a:t>
              </a:r>
              <a:endParaRPr lang="en-AU" sz="1100"/>
            </a:p>
          </xdr:txBody>
        </xdr:sp>
      </mc:Fallback>
    </mc:AlternateContent>
    <xdr:clientData/>
  </xdr:oneCellAnchor>
</xdr:wsDr>
</file>

<file path=xl/drawings/drawing14.xml><?xml version="1.0" encoding="utf-8"?>
<xdr:wsDr xmlns:xdr="http://schemas.openxmlformats.org/drawingml/2006/spreadsheetDrawing" xmlns:a="http://schemas.openxmlformats.org/drawingml/2006/main">
  <xdr:oneCellAnchor>
    <xdr:from>
      <xdr:col>3</xdr:col>
      <xdr:colOff>9525</xdr:colOff>
      <xdr:row>7</xdr:row>
      <xdr:rowOff>161925</xdr:rowOff>
    </xdr:from>
    <xdr:ext cx="2692147"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A7E8D8D0-4F9E-42EF-B407-2F67B82E6165}"/>
                </a:ext>
              </a:extLst>
            </xdr:cNvPr>
            <xdr:cNvSpPr txBox="1"/>
          </xdr:nvSpPr>
          <xdr:spPr>
            <a:xfrm>
              <a:off x="2686050" y="2028825"/>
              <a:ext cx="269214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b="0" i="1" u="none" strike="noStrike">
                            <a:solidFill>
                              <a:schemeClr val="tx1"/>
                            </a:solidFill>
                            <a:effectLst/>
                            <a:latin typeface="Cambria Math" panose="02040503050406030204" pitchFamily="18" charset="0"/>
                            <a:ea typeface="+mn-ea"/>
                            <a:cs typeface="+mn-cs"/>
                          </a:rPr>
                        </m:ctrlPr>
                      </m:sSubPr>
                      <m:e>
                        <m:r>
                          <a:rPr lang="en-AU" sz="1100" b="0" i="1" u="none" strike="noStrike">
                            <a:solidFill>
                              <a:schemeClr val="tx1"/>
                            </a:solidFill>
                            <a:effectLst/>
                            <a:latin typeface="Cambria Math" panose="02040503050406030204" pitchFamily="18" charset="0"/>
                            <a:ea typeface="+mn-ea"/>
                            <a:cs typeface="+mn-cs"/>
                          </a:rPr>
                          <m:t>𝑀</m:t>
                        </m:r>
                      </m:e>
                      <m:sub>
                        <m:r>
                          <a:rPr lang="en-AU" sz="1100" b="0" i="1" u="none" strike="noStrike">
                            <a:solidFill>
                              <a:schemeClr val="tx1"/>
                            </a:solidFill>
                            <a:effectLst/>
                            <a:latin typeface="Cambria Math" panose="02040503050406030204" pitchFamily="18" charset="0"/>
                            <a:ea typeface="+mn-ea"/>
                            <a:cs typeface="+mn-cs"/>
                          </a:rPr>
                          <m:t>𝑙𝑒𝑎𝑐h</m:t>
                        </m:r>
                        <m:r>
                          <a:rPr lang="en-AU" sz="1100" b="0" i="1" u="none" strike="noStrike">
                            <a:solidFill>
                              <a:schemeClr val="tx1"/>
                            </a:solidFill>
                            <a:effectLst/>
                            <a:latin typeface="Cambria Math" panose="02040503050406030204" pitchFamily="18" charset="0"/>
                            <a:ea typeface="+mn-ea"/>
                            <a:cs typeface="+mn-cs"/>
                          </a:rPr>
                          <m:t>,</m:t>
                        </m:r>
                        <m:r>
                          <a:rPr lang="en-AU" sz="1100" b="0" i="1" u="none" strike="noStrike">
                            <a:solidFill>
                              <a:schemeClr val="tx1"/>
                            </a:solidFill>
                            <a:effectLst/>
                            <a:latin typeface="Cambria Math" panose="02040503050406030204" pitchFamily="18" charset="0"/>
                            <a:ea typeface="+mn-ea"/>
                            <a:cs typeface="+mn-cs"/>
                          </a:rPr>
                          <m:t>𝑐𝑝</m:t>
                        </m:r>
                      </m:sub>
                    </m:sSub>
                    <m:r>
                      <a:rPr lang="en-AU" sz="1100" b="0" i="1" u="none" strike="noStrike">
                        <a:solidFill>
                          <a:schemeClr val="tx1"/>
                        </a:solidFill>
                        <a:effectLst/>
                        <a:latin typeface="Cambria Math" panose="02040503050406030204" pitchFamily="18" charset="0"/>
                        <a:ea typeface="+mn-ea"/>
                        <a:cs typeface="+mn-cs"/>
                      </a:rPr>
                      <m:t>=</m:t>
                    </m:r>
                    <m:sSub>
                      <m:sSubPr>
                        <m:ctrlPr>
                          <a:rPr lang="en-AU" sz="1100" b="0" i="1" u="none" strike="noStrike">
                            <a:solidFill>
                              <a:schemeClr val="tx1"/>
                            </a:solidFill>
                            <a:effectLst/>
                            <a:latin typeface="Cambria Math" panose="02040503050406030204" pitchFamily="18" charset="0"/>
                            <a:ea typeface="+mn-ea"/>
                            <a:cs typeface="+mn-cs"/>
                          </a:rPr>
                        </m:ctrlPr>
                      </m:sSubPr>
                      <m:e>
                        <m:r>
                          <a:rPr lang="en-AU" sz="1100" b="0" i="1" u="none" strike="noStrike">
                            <a:solidFill>
                              <a:schemeClr val="tx1"/>
                            </a:solidFill>
                            <a:effectLst/>
                            <a:latin typeface="Cambria Math" panose="02040503050406030204" pitchFamily="18" charset="0"/>
                            <a:ea typeface="+mn-ea"/>
                            <a:cs typeface="+mn-cs"/>
                          </a:rPr>
                          <m:t>𝑀</m:t>
                        </m:r>
                      </m:e>
                      <m:sub>
                        <m:r>
                          <a:rPr lang="en-AU" sz="1100" b="0" i="1" u="none" strike="noStrike">
                            <a:solidFill>
                              <a:schemeClr val="tx1"/>
                            </a:solidFill>
                            <a:effectLst/>
                            <a:latin typeface="Cambria Math" panose="02040503050406030204" pitchFamily="18" charset="0"/>
                            <a:ea typeface="+mn-ea"/>
                            <a:cs typeface="+mn-cs"/>
                          </a:rPr>
                          <m:t>𝑐𝑝</m:t>
                        </m:r>
                      </m:sub>
                    </m:sSub>
                    <m:r>
                      <a:rPr lang="en-AU" sz="1100" b="0" i="1" u="none" strike="noStrike">
                        <a:solidFill>
                          <a:schemeClr val="tx1"/>
                        </a:solidFill>
                        <a:effectLst/>
                        <a:latin typeface="Cambria Math" panose="02040503050406030204" pitchFamily="18" charset="0"/>
                        <a:ea typeface="+mn-ea"/>
                        <a:cs typeface="+mn-cs"/>
                      </a:rPr>
                      <m:t>×</m:t>
                    </m:r>
                    <m:r>
                      <a:rPr lang="en-AU" sz="1100" b="0" i="1" u="none" strike="noStrike">
                        <a:solidFill>
                          <a:schemeClr val="tx1"/>
                        </a:solidFill>
                        <a:effectLst/>
                        <a:latin typeface="Cambria Math" panose="02040503050406030204" pitchFamily="18" charset="0"/>
                        <a:ea typeface="+mn-ea"/>
                        <a:cs typeface="+mn-cs"/>
                      </a:rPr>
                      <m:t>𝐹𝑟𝑎𝑐𝑊𝐸</m:t>
                    </m:r>
                    <m:sSub>
                      <m:sSubPr>
                        <m:ctrlPr>
                          <a:rPr lang="en-AU" sz="1100" b="0" i="1" u="none" strike="noStrike">
                            <a:solidFill>
                              <a:schemeClr val="tx1"/>
                            </a:solidFill>
                            <a:effectLst/>
                            <a:latin typeface="Cambria Math" panose="02040503050406030204" pitchFamily="18" charset="0"/>
                            <a:ea typeface="+mn-ea"/>
                            <a:cs typeface="+mn-cs"/>
                          </a:rPr>
                        </m:ctrlPr>
                      </m:sSubPr>
                      <m:e>
                        <m:r>
                          <a:rPr lang="en-AU" sz="1100" b="0" i="1" u="none" strike="noStrike">
                            <a:solidFill>
                              <a:schemeClr val="tx1"/>
                            </a:solidFill>
                            <a:effectLst/>
                            <a:latin typeface="Cambria Math" panose="02040503050406030204" pitchFamily="18" charset="0"/>
                            <a:ea typeface="+mn-ea"/>
                            <a:cs typeface="+mn-cs"/>
                          </a:rPr>
                          <m:t>𝑇</m:t>
                        </m:r>
                      </m:e>
                      <m:sub>
                        <m:r>
                          <a:rPr lang="en-AU" sz="1100" b="0" i="1" u="none" strike="noStrike">
                            <a:solidFill>
                              <a:schemeClr val="tx1"/>
                            </a:solidFill>
                            <a:effectLst/>
                            <a:latin typeface="Cambria Math" panose="02040503050406030204" pitchFamily="18" charset="0"/>
                            <a:ea typeface="+mn-ea"/>
                            <a:cs typeface="+mn-cs"/>
                          </a:rPr>
                          <m:t>𝑗</m:t>
                        </m:r>
                      </m:sub>
                    </m:sSub>
                    <m:r>
                      <a:rPr lang="en-AU" sz="1100" b="0" i="1" u="none" strike="noStrike">
                        <a:solidFill>
                          <a:schemeClr val="tx1"/>
                        </a:solidFill>
                        <a:effectLst/>
                        <a:latin typeface="Cambria Math" panose="02040503050406030204" pitchFamily="18" charset="0"/>
                        <a:ea typeface="+mn-ea"/>
                        <a:cs typeface="+mn-cs"/>
                      </a:rPr>
                      <m:t>×</m:t>
                    </m:r>
                    <m:r>
                      <a:rPr lang="en-AU" sz="1100" b="0" i="1" u="none" strike="noStrike">
                        <a:solidFill>
                          <a:schemeClr val="tx1"/>
                        </a:solidFill>
                        <a:effectLst/>
                        <a:latin typeface="Cambria Math" panose="02040503050406030204" pitchFamily="18" charset="0"/>
                        <a:ea typeface="+mn-ea"/>
                        <a:cs typeface="+mn-cs"/>
                      </a:rPr>
                      <m:t>𝐹𝑟𝑎𝑐𝐿𝐸𝐴𝐶𝐻</m:t>
                    </m:r>
                  </m:oMath>
                </m:oMathPara>
              </a14:m>
              <a:endParaRPr lang="en-AU" sz="1100"/>
            </a:p>
          </xdr:txBody>
        </xdr:sp>
      </mc:Choice>
      <mc:Fallback xmlns="">
        <xdr:sp macro="" textlink="">
          <xdr:nvSpPr>
            <xdr:cNvPr id="2" name="TextBox 1">
              <a:extLst>
                <a:ext uri="{FF2B5EF4-FFF2-40B4-BE49-F238E27FC236}">
                  <a16:creationId xmlns:a16="http://schemas.microsoft.com/office/drawing/2014/main" id="{A7E8D8D0-4F9E-42EF-B407-2F67B82E6165}"/>
                </a:ext>
              </a:extLst>
            </xdr:cNvPr>
            <xdr:cNvSpPr txBox="1"/>
          </xdr:nvSpPr>
          <xdr:spPr>
            <a:xfrm>
              <a:off x="2686050" y="2028825"/>
              <a:ext cx="269214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u="none" strike="noStrike">
                  <a:solidFill>
                    <a:schemeClr val="tx1"/>
                  </a:solidFill>
                  <a:effectLst/>
                  <a:latin typeface="Cambria Math" panose="02040503050406030204" pitchFamily="18" charset="0"/>
                  <a:ea typeface="+mn-ea"/>
                  <a:cs typeface="+mn-cs"/>
                </a:rPr>
                <a:t>𝑀_(𝑙𝑒𝑎𝑐ℎ,𝑐𝑝)=𝑀_𝑐𝑝×𝐹𝑟𝑎𝑐𝑊𝐸𝑇_𝑗×𝐹𝑟𝑎𝑐𝐿𝐸𝐴𝐶𝐻</a:t>
              </a:r>
              <a:endParaRPr lang="en-AU" sz="1100"/>
            </a:p>
          </xdr:txBody>
        </xdr:sp>
      </mc:Fallback>
    </mc:AlternateContent>
    <xdr:clientData/>
  </xdr:oneCellAnchor>
  <xdr:oneCellAnchor>
    <xdr:from>
      <xdr:col>2</xdr:col>
      <xdr:colOff>300037</xdr:colOff>
      <xdr:row>30</xdr:row>
      <xdr:rowOff>38100</xdr:rowOff>
    </xdr:from>
    <xdr:ext cx="3220561" cy="33150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FE0018A2-D72E-443C-BEF7-483233642427}"/>
                </a:ext>
              </a:extLst>
            </xdr:cNvPr>
            <xdr:cNvSpPr txBox="1"/>
          </xdr:nvSpPr>
          <xdr:spPr>
            <a:xfrm>
              <a:off x="2662237" y="7600950"/>
              <a:ext cx="3220561"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𝑝</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𝑐𝑝</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FE0018A2-D72E-443C-BEF7-483233642427}"/>
                </a:ext>
              </a:extLst>
            </xdr:cNvPr>
            <xdr:cNvSpPr txBox="1"/>
          </xdr:nvSpPr>
          <xdr:spPr>
            <a:xfrm>
              <a:off x="2662237" y="7600950"/>
              <a:ext cx="3220561"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𝐸_𝑁2𝑂=∑2_𝑐▒∑2_𝑝▒(𝑀_(𝑙𝑒𝑎𝑐ℎ,𝑐𝑝)×𝐸𝐹_𝑙𝑒𝑎𝑐ℎ×𝐶_𝑁2𝑂×10^(−3) ) </a:t>
              </a:r>
              <a:endParaRPr lang="en-AU" sz="1100"/>
            </a:p>
          </xdr:txBody>
        </xdr:sp>
      </mc:Fallback>
    </mc:AlternateContent>
    <xdr:clientData/>
  </xdr:oneCellAnchor>
</xdr:wsDr>
</file>

<file path=xl/drawings/drawing15.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14BF95FF-46DB-4739-BD00-654A5F4BD6B1}"/>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14BF95FF-46DB-4739-BD00-654A5F4BD6B1}"/>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𝐸_𝐶𝐻4=∑_𝑗▒∑_𝑘▒∑_𝑚▒∑_𝑇▒(𝐷_𝑗𝑘×𝑀_𝑗𝑘𝑚𝑇×𝑁_𝑗𝑘 ) ×10^(−3)</a:t>
              </a:r>
              <a:endParaRPr lang="en-AU" sz="1100"/>
            </a:p>
          </xdr:txBody>
        </xdr:sp>
      </mc:Fallback>
    </mc:AlternateContent>
    <xdr:clientData/>
  </xdr:oneCellAnchor>
  <xdr:oneCellAnchor>
    <xdr:from>
      <xdr:col>3</xdr:col>
      <xdr:colOff>10549</xdr:colOff>
      <xdr:row>7</xdr:row>
      <xdr:rowOff>192157</xdr:rowOff>
    </xdr:from>
    <xdr:ext cx="3734164" cy="33150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A8882E8-49A6-43DF-9689-4C109713AEEA}"/>
                </a:ext>
              </a:extLst>
            </xdr:cNvPr>
            <xdr:cNvSpPr txBox="1"/>
          </xdr:nvSpPr>
          <xdr:spPr>
            <a:xfrm>
              <a:off x="2687074" y="2059057"/>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𝑔</m:t>
                        </m:r>
                      </m:sub>
                    </m:sSub>
                    <m:r>
                      <a:rPr lang="en-AU" sz="1100" i="1">
                        <a:solidFill>
                          <a:schemeClr val="tx1"/>
                        </a:solidFill>
                        <a:effectLst/>
                        <a:latin typeface="Cambria Math" panose="02040503050406030204" pitchFamily="18" charset="0"/>
                        <a:ea typeface="+mn-ea"/>
                        <a:cs typeface="+mn-cs"/>
                      </a:rPr>
                      <m:t>=</m:t>
                    </m:r>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𝑞</m:t>
                            </m:r>
                          </m:sub>
                          <m:sup/>
                          <m:e>
                            <m:d>
                              <m:dPr>
                                <m:ctrlPr>
                                  <a:rPr lang="en-AU" sz="1100" i="1">
                                    <a:solidFill>
                                      <a:schemeClr val="tx1"/>
                                    </a:solidFill>
                                    <a:effectLst/>
                                    <a:latin typeface="Cambria Math" panose="02040503050406030204" pitchFamily="18" charset="0"/>
                                    <a:ea typeface="+mn-ea"/>
                                    <a:cs typeface="+mn-cs"/>
                                  </a:rPr>
                                </m:ctrlPr>
                              </m:dPr>
                              <m:e>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𝑡𝑞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r>
                                      <a:rPr lang="en-AU" sz="1100" i="1">
                                        <a:solidFill>
                                          <a:schemeClr val="tx1"/>
                                        </a:solidFill>
                                        <a:effectLst/>
                                        <a:latin typeface="Cambria Math" panose="02040503050406030204" pitchFamily="18" charset="0"/>
                                        <a:ea typeface="+mn-ea"/>
                                        <a:cs typeface="+mn-cs"/>
                                      </a:rPr>
                                      <m:t>,1,</m:t>
                                    </m:r>
                                    <m:r>
                                      <a:rPr lang="en-AU" sz="1100" i="1">
                                        <a:solidFill>
                                          <a:schemeClr val="tx1"/>
                                        </a:solidFill>
                                        <a:effectLst/>
                                        <a:latin typeface="Cambria Math" panose="02040503050406030204" pitchFamily="18" charset="0"/>
                                        <a:ea typeface="+mn-ea"/>
                                        <a:cs typeface="+mn-cs"/>
                                      </a:rPr>
                                      <m:t>𝑡𝑞𝑔</m:t>
                                    </m:r>
                                  </m:sub>
                                </m:sSub>
                              </m:e>
                            </m:d>
                          </m:e>
                        </m:nary>
                      </m:e>
                    </m:nary>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EA8882E8-49A6-43DF-9689-4C109713AEEA}"/>
                </a:ext>
              </a:extLst>
            </xdr:cNvPr>
            <xdr:cNvSpPr txBox="1"/>
          </xdr:nvSpPr>
          <xdr:spPr>
            <a:xfrm>
              <a:off x="2687074" y="2059057"/>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𝐸_𝑔=∑2_𝑡▒∑2_𝑞▒(𝑄_(𝑇𝑟𝑎𝑛𝑠,𝑡𝑞)×𝐸𝐶_(𝑇𝑟𝑎𝑛𝑠,𝑞)×𝐸𝐹_(𝑇𝑟𝑎𝑛𝑠,𝑞,1,𝑡𝑞𝑔) ) ×10^(−3)</a:t>
              </a:r>
              <a:endParaRPr lang="en-AU" sz="1100"/>
            </a:p>
          </xdr:txBody>
        </xdr:sp>
      </mc:Fallback>
    </mc:AlternateContent>
    <xdr:clientData/>
  </xdr:oneCellAnchor>
  <xdr:oneCellAnchor>
    <xdr:from>
      <xdr:col>10</xdr:col>
      <xdr:colOff>10549</xdr:colOff>
      <xdr:row>7</xdr:row>
      <xdr:rowOff>192157</xdr:rowOff>
    </xdr:from>
    <xdr:ext cx="3410677" cy="18575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5121E1E3-ED54-4AC5-88BC-6933DF95C8D7}"/>
                </a:ext>
              </a:extLst>
            </xdr:cNvPr>
            <xdr:cNvSpPr txBox="1"/>
          </xdr:nvSpPr>
          <xdr:spPr>
            <a:xfrm>
              <a:off x="18060424" y="2059057"/>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𝑊𝑇𝑇</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𝑡𝑟𝑎𝑛𝑠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,3,</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5121E1E3-ED54-4AC5-88BC-6933DF95C8D7}"/>
                </a:ext>
              </a:extLst>
            </xdr:cNvPr>
            <xdr:cNvSpPr txBox="1"/>
          </xdr:nvSpPr>
          <xdr:spPr>
            <a:xfrm>
              <a:off x="18060424" y="2059057"/>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𝐸_(𝑊𝑇𝑇,𝑡𝑟𝑎𝑛𝑠,𝑞)=𝑄_(𝑇𝑟𝑎𝑛𝑠,𝑞)×𝐸𝐶_(𝑇𝑟𝑎𝑛𝑠,𝑞)×𝐸𝐹_(𝑇𝑟𝑎𝑛𝑠,3,𝑞)×10^(−3)</a:t>
              </a:r>
              <a:endParaRPr lang="en-AU" sz="1100"/>
            </a:p>
          </xdr:txBody>
        </xdr:sp>
      </mc:Fallback>
    </mc:AlternateContent>
    <xdr:clientData/>
  </xdr:oneCellAnchor>
</xdr:wsDr>
</file>

<file path=xl/drawings/drawing16.xml><?xml version="1.0" encoding="utf-8"?>
<xdr:wsDr xmlns:xdr="http://schemas.openxmlformats.org/drawingml/2006/spreadsheetDrawing" xmlns:a="http://schemas.openxmlformats.org/drawingml/2006/main">
  <xdr:oneCellAnchor>
    <xdr:from>
      <xdr:col>2</xdr:col>
      <xdr:colOff>301902</xdr:colOff>
      <xdr:row>7</xdr:row>
      <xdr:rowOff>192157</xdr:rowOff>
    </xdr:from>
    <xdr:ext cx="3003836" cy="33150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2AB27763-CB02-45DC-B855-6B50944E16DB}"/>
                </a:ext>
              </a:extLst>
            </xdr:cNvPr>
            <xdr:cNvSpPr txBox="1"/>
          </xdr:nvSpPr>
          <xdr:spPr>
            <a:xfrm>
              <a:off x="2664102" y="2059057"/>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𝑔</m:t>
                        </m:r>
                      </m:sub>
                    </m:sSub>
                    <m:r>
                      <a:rPr lang="en-AU" sz="1100" i="1">
                        <a:solidFill>
                          <a:schemeClr val="tx1"/>
                        </a:solidFill>
                        <a:effectLst/>
                        <a:latin typeface="Cambria Math" panose="02040503050406030204" pitchFamily="18" charset="0"/>
                        <a:ea typeface="+mn-ea"/>
                        <a:cs typeface="+mn-cs"/>
                      </a:rPr>
                      <m:t>=</m:t>
                    </m:r>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𝑞</m:t>
                            </m:r>
                          </m:sub>
                          <m:sup/>
                          <m:e>
                            <m:d>
                              <m:dPr>
                                <m:ctrlPr>
                                  <a:rPr lang="en-AU" sz="1100" i="1">
                                    <a:solidFill>
                                      <a:schemeClr val="tx1"/>
                                    </a:solidFill>
                                    <a:effectLst/>
                                    <a:latin typeface="Cambria Math" panose="02040503050406030204" pitchFamily="18" charset="0"/>
                                    <a:ea typeface="+mn-ea"/>
                                    <a:cs typeface="+mn-cs"/>
                                  </a:rPr>
                                </m:ctrlPr>
                              </m:dPr>
                              <m:e>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,1,</m:t>
                                    </m:r>
                                    <m:r>
                                      <a:rPr lang="en-AU" sz="1100" i="1">
                                        <a:solidFill>
                                          <a:schemeClr val="tx1"/>
                                        </a:solidFill>
                                        <a:effectLst/>
                                        <a:latin typeface="Cambria Math" panose="02040503050406030204" pitchFamily="18" charset="0"/>
                                        <a:ea typeface="+mn-ea"/>
                                        <a:cs typeface="+mn-cs"/>
                                      </a:rPr>
                                      <m:t>𝑞𝑔</m:t>
                                    </m:r>
                                  </m:sub>
                                </m:sSub>
                              </m:e>
                            </m:d>
                          </m:e>
                        </m:nary>
                      </m:e>
                    </m:nary>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2AB27763-CB02-45DC-B855-6B50944E16DB}"/>
                </a:ext>
              </a:extLst>
            </xdr:cNvPr>
            <xdr:cNvSpPr txBox="1"/>
          </xdr:nvSpPr>
          <xdr:spPr>
            <a:xfrm>
              <a:off x="2664102" y="2059057"/>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𝐸_𝑔=∑2_𝑡▒∑2_𝑞▒(𝑄_(𝑆𝐶,𝑞)×𝐸𝐶_(𝑆𝐶,𝑞)×𝐸𝐹_(𝑆𝐶,1,𝑞𝑔) ) ×10^(−3)</a:t>
              </a:r>
              <a:endParaRPr lang="en-AU" sz="1100"/>
            </a:p>
          </xdr:txBody>
        </xdr:sp>
      </mc:Fallback>
    </mc:AlternateContent>
    <xdr:clientData/>
  </xdr:oneCellAnchor>
  <xdr:oneCellAnchor>
    <xdr:from>
      <xdr:col>9</xdr:col>
      <xdr:colOff>2029849</xdr:colOff>
      <xdr:row>8</xdr:row>
      <xdr:rowOff>106432</xdr:rowOff>
    </xdr:from>
    <xdr:ext cx="2697726" cy="18575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A58F1EA4-AE59-4E40-A569-1634229472D3}"/>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𝑊𝑇𝑇</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,3,</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A58F1EA4-AE59-4E40-A569-1634229472D3}"/>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𝐸_(𝑊𝑇𝑇,𝑆𝐶,𝑞)=𝑄_(𝑆𝐶,𝑞)×𝐸𝐶_(𝑆𝐶,𝑞)×𝐸𝐹_(𝑆𝐶,3,𝑞)×10^(−3)</a:t>
              </a:r>
              <a:endParaRPr lang="en-AU" sz="1100"/>
            </a:p>
          </xdr:txBody>
        </xdr:sp>
      </mc:Fallback>
    </mc:AlternateContent>
    <xdr:clientData/>
  </xdr:oneCellAnchor>
</xdr:wsDr>
</file>

<file path=xl/drawings/drawing17.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86DDEC87-7CCB-4483-A66D-872B45B267FF}"/>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86DDEC87-7CCB-4483-A66D-872B45B267FF}"/>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𝐸_𝐶𝐻4=∑_𝑗▒∑_𝑘▒∑_𝑚▒∑_𝑇▒(𝐷_𝑗𝑘×𝑀_𝑗𝑘𝑚𝑇×𝑁_𝑗𝑘 ) ×10^(−3)</a:t>
              </a:r>
              <a:endParaRPr lang="en-AU" sz="1100"/>
            </a:p>
          </xdr:txBody>
        </xdr:sp>
      </mc:Fallback>
    </mc:AlternateContent>
    <xdr:clientData/>
  </xdr:oneCellAnchor>
  <xdr:oneCellAnchor>
    <xdr:from>
      <xdr:col>3</xdr:col>
      <xdr:colOff>22972</xdr:colOff>
      <xdr:row>8</xdr:row>
      <xdr:rowOff>147918</xdr:rowOff>
    </xdr:from>
    <xdr:ext cx="1966949"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E79DE9E-7DD9-4865-A378-73BFE7F7784B}"/>
                </a:ext>
              </a:extLst>
            </xdr:cNvPr>
            <xdr:cNvSpPr txBox="1"/>
          </xdr:nvSpPr>
          <xdr:spPr>
            <a:xfrm>
              <a:off x="2699497" y="2262468"/>
              <a:ext cx="1966949"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EE79DE9E-7DD9-4865-A378-73BFE7F7784B}"/>
                </a:ext>
              </a:extLst>
            </xdr:cNvPr>
            <xdr:cNvSpPr txBox="1"/>
          </xdr:nvSpPr>
          <xdr:spPr>
            <a:xfrm>
              <a:off x="2699497" y="2262468"/>
              <a:ext cx="1966949"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𝐸_(2,𝑒𝑙𝑒𝑐)=𝑄_𝑒𝑙𝑒𝑐×𝐸𝐹_(2,𝑒𝑙𝑒𝑐)×10^(−3)</a:t>
              </a:r>
              <a:endParaRPr lang="en-AU" sz="1100"/>
            </a:p>
          </xdr:txBody>
        </xdr:sp>
      </mc:Fallback>
    </mc:AlternateContent>
    <xdr:clientData/>
  </xdr:oneCellAnchor>
  <xdr:oneCellAnchor>
    <xdr:from>
      <xdr:col>2</xdr:col>
      <xdr:colOff>304800</xdr:colOff>
      <xdr:row>25</xdr:row>
      <xdr:rowOff>142875</xdr:rowOff>
    </xdr:from>
    <xdr:ext cx="6202980" cy="25333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D5A4209E-48D2-4C84-9A3C-9CF5F47FBEC6}"/>
                </a:ext>
              </a:extLst>
            </xdr:cNvPr>
            <xdr:cNvSpPr txBox="1"/>
          </xdr:nvSpPr>
          <xdr:spPr>
            <a:xfrm>
              <a:off x="2667000" y="6467475"/>
              <a:ext cx="6202980"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𝑅𝑃𝑃</m:t>
                                </m:r>
                                <m:r>
                                  <a:rPr lang="en-AU" sz="1100" i="1">
                                    <a:latin typeface="Cambria Math" panose="02040503050406030204" pitchFamily="18" charset="0"/>
                                  </a:rPr>
                                  <m:t>+</m:t>
                                </m:r>
                                <m:r>
                                  <a:rPr lang="en-AU" sz="1100" i="1">
                                    <a:latin typeface="Cambria Math" panose="02040503050406030204" pitchFamily="18" charset="0"/>
                                  </a:rPr>
                                  <m:t>𝐽𝑅𝑃𝑃</m:t>
                                </m:r>
                              </m:e>
                            </m:d>
                          </m:e>
                        </m:d>
                        <m:r>
                          <a:rPr lang="en-AU" sz="1100" i="1">
                            <a:latin typeface="Cambria Math" panose="02040503050406030204" pitchFamily="18" charset="0"/>
                          </a:rPr>
                          <m:t>−</m:t>
                        </m:r>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𝑠𝑢𝑟𝑟𝑒𝑛𝑑𝑒𝑟𝑒𝑑</m:t>
                                    </m:r>
                                  </m:sub>
                                </m:sSub>
                                <m:r>
                                  <a:rPr lang="en-AU" sz="1100" i="1">
                                    <a:latin typeface="Cambria Math" panose="02040503050406030204" pitchFamily="18" charset="0"/>
                                  </a:rPr>
                                  <m:t>−</m:t>
                                </m:r>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𝑜𝑛𝑠𝑖𝑡𝑒</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𝑅𝑀𝐹</m:t>
                        </m:r>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D5A4209E-48D2-4C84-9A3C-9CF5F47FBEC6}"/>
                </a:ext>
              </a:extLst>
            </xdr:cNvPr>
            <xdr:cNvSpPr txBox="1"/>
          </xdr:nvSpPr>
          <xdr:spPr>
            <a:xfrm>
              <a:off x="2667000" y="6467475"/>
              <a:ext cx="6202980"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𝐸_(2,𝑒𝑙𝑒𝑐)=(𝑄_𝑒𝑙𝑒𝑐×(1−(𝑅𝑃𝑃+𝐽𝑅𝑃𝑃))−((𝑅𝐸𝐶_𝑠𝑢𝑟𝑟𝑒𝑛𝑑𝑒𝑟𝑒𝑑−𝑅𝐸𝐶_𝑜𝑛𝑠𝑖𝑡𝑒 )×10^3 ))×𝐸𝐹_(𝑅𝑀𝐹2,𝑒𝑙𝑒𝑐)×10^(−3)</a:t>
              </a:r>
              <a:endParaRPr lang="en-AU" sz="1100"/>
            </a:p>
          </xdr:txBody>
        </xdr:sp>
      </mc:Fallback>
    </mc:AlternateContent>
    <xdr:clientData/>
  </xdr:oneCellAnchor>
  <xdr:oneCellAnchor>
    <xdr:from>
      <xdr:col>6</xdr:col>
      <xdr:colOff>1227068</xdr:colOff>
      <xdr:row>25</xdr:row>
      <xdr:rowOff>161925</xdr:rowOff>
    </xdr:from>
    <xdr:ext cx="6986593" cy="25333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4239BA75-D302-49A9-AE14-E89C11866383}"/>
                </a:ext>
              </a:extLst>
            </xdr:cNvPr>
            <xdr:cNvSpPr txBox="1"/>
          </xdr:nvSpPr>
          <xdr:spPr>
            <a:xfrm>
              <a:off x="11085443" y="6486525"/>
              <a:ext cx="6986593"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m:rPr>
                        <m:sty m:val="p"/>
                      </m:rPr>
                      <a:rPr lang="en-AU" sz="1100" b="0" i="1">
                        <a:solidFill>
                          <a:srgbClr val="C00000"/>
                        </a:solidFill>
                        <a:latin typeface="Cambria Math" panose="02040503050406030204" pitchFamily="18" charset="0"/>
                      </a:rPr>
                      <m:t>ORIGINAL</m:t>
                    </m:r>
                    <m:r>
                      <a:rPr lang="en-AU" sz="1100" b="0" i="1">
                        <a:solidFill>
                          <a:srgbClr val="C00000"/>
                        </a:solidFill>
                        <a:latin typeface="Cambria Math" panose="02040503050406030204" pitchFamily="18" charset="0"/>
                      </a:rPr>
                      <m:t>: </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𝑅𝑃𝑃</m:t>
                                </m:r>
                                <m:r>
                                  <a:rPr lang="en-AU" sz="1100" i="1">
                                    <a:latin typeface="Cambria Math" panose="02040503050406030204" pitchFamily="18" charset="0"/>
                                  </a:rPr>
                                  <m:t>+</m:t>
                                </m:r>
                                <m:r>
                                  <a:rPr lang="en-AU" sz="1100" i="1">
                                    <a:latin typeface="Cambria Math" panose="02040503050406030204" pitchFamily="18" charset="0"/>
                                  </a:rPr>
                                  <m:t>𝐽𝑅𝑃𝑃</m:t>
                                </m:r>
                              </m:e>
                            </m:d>
                          </m:e>
                        </m:d>
                        <m:r>
                          <a:rPr lang="en-AU" sz="1100" i="1">
                            <a:latin typeface="Cambria Math" panose="02040503050406030204" pitchFamily="18" charset="0"/>
                          </a:rPr>
                          <m:t>−</m:t>
                        </m:r>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𝑠𝑢𝑟𝑟𝑒𝑛𝑑𝑒𝑟𝑒𝑑</m:t>
                                    </m:r>
                                  </m:sub>
                                </m:sSub>
                                <m:r>
                                  <a:rPr lang="en-AU" sz="1100" i="1">
                                    <a:latin typeface="Cambria Math" panose="02040503050406030204" pitchFamily="18" charset="0"/>
                                  </a:rPr>
                                  <m:t>−</m:t>
                                </m:r>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𝑜𝑛𝑠𝑖𝑡𝑒</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𝑅𝑀𝐹</m:t>
                        </m:r>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4239BA75-D302-49A9-AE14-E89C11866383}"/>
                </a:ext>
              </a:extLst>
            </xdr:cNvPr>
            <xdr:cNvSpPr txBox="1"/>
          </xdr:nvSpPr>
          <xdr:spPr>
            <a:xfrm>
              <a:off x="11085443" y="6486525"/>
              <a:ext cx="6986593"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a:solidFill>
                    <a:srgbClr val="C00000"/>
                  </a:solidFill>
                  <a:latin typeface="Cambria Math" panose="02040503050406030204" pitchFamily="18" charset="0"/>
                </a:rPr>
                <a:t>ORIGINAL: </a:t>
              </a:r>
              <a:r>
                <a:rPr lang="en-AU" sz="1100" i="0">
                  <a:latin typeface="Cambria Math" panose="02040503050406030204" pitchFamily="18" charset="0"/>
                </a:rPr>
                <a:t>𝐸_(2,𝑒𝑙𝑒𝑐)=(𝑄_𝑒𝑙𝑒𝑐×(1−(𝑅𝑃𝑃+𝐽𝑅𝑃𝑃))−((𝑅𝐸𝐶_𝑠𝑢𝑟𝑟𝑒𝑛𝑑𝑒𝑟𝑒𝑑−𝑅𝐸𝐶_𝑜𝑛𝑠𝑖𝑡𝑒 )×10^(−3) ))×𝐸𝐹_(𝑅𝑀𝐹2,𝑒𝑙𝑒𝑐)×10^(−3)</a:t>
              </a:r>
              <a:endParaRPr lang="en-AU" sz="1100"/>
            </a:p>
          </xdr:txBody>
        </xdr:sp>
      </mc:Fallback>
    </mc:AlternateContent>
    <xdr:clientData/>
  </xdr:oneCellAnchor>
</xdr:wsDr>
</file>

<file path=xl/drawings/drawing18.xml><?xml version="1.0" encoding="utf-8"?>
<xdr:wsDr xmlns:xdr="http://schemas.openxmlformats.org/drawingml/2006/spreadsheetDrawing" xmlns:a="http://schemas.openxmlformats.org/drawingml/2006/main">
  <xdr:oneCellAnchor>
    <xdr:from>
      <xdr:col>2</xdr:col>
      <xdr:colOff>291248</xdr:colOff>
      <xdr:row>7</xdr:row>
      <xdr:rowOff>3136</xdr:rowOff>
    </xdr:from>
    <xdr:ext cx="1928078" cy="505267"/>
    <xdr:sp macro="" textlink="">
      <xdr:nvSpPr>
        <xdr:cNvPr id="2" name="TextBox 1">
          <a:extLst>
            <a:ext uri="{FF2B5EF4-FFF2-40B4-BE49-F238E27FC236}">
              <a16:creationId xmlns:a16="http://schemas.microsoft.com/office/drawing/2014/main" id="{6F925892-8A68-49A4-A774-62FD490DB1B2}"/>
            </a:ext>
          </a:extLst>
        </xdr:cNvPr>
        <xdr:cNvSpPr txBox="1"/>
      </xdr:nvSpPr>
      <xdr:spPr>
        <a:xfrm>
          <a:off x="2653448"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5.1.1.1-2</a:t>
          </a:r>
          <a:r>
            <a:rPr lang="en-AU" sz="1400" b="0" baseline="0">
              <a:solidFill>
                <a:srgbClr val="0C769E"/>
              </a:solidFill>
            </a:rPr>
            <a:t> </a:t>
          </a:r>
          <a:br>
            <a:rPr lang="en-AU" sz="1400" b="0" baseline="0">
              <a:solidFill>
                <a:srgbClr val="0C769E"/>
              </a:solidFill>
            </a:rPr>
          </a:br>
          <a:r>
            <a:rPr lang="en-AU" sz="1400" b="0">
              <a:solidFill>
                <a:srgbClr val="0C769E"/>
              </a:solidFill>
            </a:rPr>
            <a:t>Inorganic fertiliser</a:t>
          </a:r>
          <a:r>
            <a:rPr lang="en-AU" sz="1400" b="0" baseline="0">
              <a:solidFill>
                <a:srgbClr val="0C769E"/>
              </a:solidFill>
            </a:rPr>
            <a:t> N2O</a:t>
          </a:r>
          <a:endParaRPr lang="en-AU" sz="1400" b="0">
            <a:solidFill>
              <a:srgbClr val="0C769E"/>
            </a:solidFill>
          </a:endParaRPr>
        </a:p>
      </xdr:txBody>
    </xdr:sp>
    <xdr:clientData/>
  </xdr:oneCellAnchor>
  <xdr:twoCellAnchor>
    <xdr:from>
      <xdr:col>3</xdr:col>
      <xdr:colOff>110835</xdr:colOff>
      <xdr:row>9</xdr:row>
      <xdr:rowOff>185305</xdr:rowOff>
    </xdr:from>
    <xdr:to>
      <xdr:col>5</xdr:col>
      <xdr:colOff>403635</xdr:colOff>
      <xdr:row>12</xdr:row>
      <xdr:rowOff>162355</xdr:rowOff>
    </xdr:to>
    <xdr:sp macro="" textlink="">
      <xdr:nvSpPr>
        <xdr:cNvPr id="3" name="TextBox 2">
          <a:hlinkClick xmlns:r="http://schemas.openxmlformats.org/officeDocument/2006/relationships" r:id="rId1"/>
          <a:extLst>
            <a:ext uri="{FF2B5EF4-FFF2-40B4-BE49-F238E27FC236}">
              <a16:creationId xmlns:a16="http://schemas.microsoft.com/office/drawing/2014/main" id="{2D5A7E60-F784-425C-8734-134C696E7037}"/>
            </a:ext>
          </a:extLst>
        </xdr:cNvPr>
        <xdr:cNvSpPr txBox="1"/>
      </xdr:nvSpPr>
      <xdr:spPr>
        <a:xfrm>
          <a:off x="2787360" y="2547505"/>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3CE78B7-598E-4191-BAA4-A29785F0F603}" type="TxLink">
            <a:rPr lang="en-US" sz="1000" b="0" i="0" u="none" strike="noStrike">
              <a:solidFill>
                <a:srgbClr val="0C769E"/>
              </a:solidFill>
              <a:latin typeface="Times New Roman"/>
              <a:cs typeface="Times New Roman"/>
            </a:rPr>
            <a:pPr algn="ctr"/>
            <a:t>Mass of nitrogen in inorganic fertiliser applied to production system</a:t>
          </a:fld>
          <a:endParaRPr lang="en-AU" sz="1000">
            <a:solidFill>
              <a:srgbClr val="0C769E"/>
            </a:solidFill>
          </a:endParaRPr>
        </a:p>
      </xdr:txBody>
    </xdr:sp>
    <xdr:clientData/>
  </xdr:twoCellAnchor>
  <xdr:twoCellAnchor>
    <xdr:from>
      <xdr:col>3</xdr:col>
      <xdr:colOff>110835</xdr:colOff>
      <xdr:row>30</xdr:row>
      <xdr:rowOff>7421</xdr:rowOff>
    </xdr:from>
    <xdr:to>
      <xdr:col>5</xdr:col>
      <xdr:colOff>403635</xdr:colOff>
      <xdr:row>34</xdr:row>
      <xdr:rowOff>96821</xdr:rowOff>
    </xdr:to>
    <xdr:sp macro="" textlink="">
      <xdr:nvSpPr>
        <xdr:cNvPr id="4" name="TextBox 3">
          <a:hlinkClick xmlns:r="http://schemas.openxmlformats.org/officeDocument/2006/relationships" r:id="rId2"/>
          <a:extLst>
            <a:ext uri="{FF2B5EF4-FFF2-40B4-BE49-F238E27FC236}">
              <a16:creationId xmlns:a16="http://schemas.microsoft.com/office/drawing/2014/main" id="{29F31F3D-B3C5-451B-91D1-2605AFFF8FAC}"/>
            </a:ext>
          </a:extLst>
        </xdr:cNvPr>
        <xdr:cNvSpPr txBox="1"/>
      </xdr:nvSpPr>
      <xdr:spPr>
        <a:xfrm>
          <a:off x="2787360" y="7570271"/>
          <a:ext cx="1512000" cy="108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7AE8505-A046-44FC-8030-A58A475C9A08}" type="TxLink">
            <a:rPr lang="en-US" sz="1000" b="1" i="0" u="none" strike="noStrike">
              <a:solidFill>
                <a:srgbClr val="0C769E"/>
              </a:solidFill>
              <a:latin typeface="Times New Roman"/>
              <a:cs typeface="Times New Roman"/>
            </a:rPr>
            <a:pPr algn="ctr"/>
            <a:t>Nitrous oxide emissions from the application of all inorganic fertiliser types f to all production systems j</a:t>
          </a:fld>
          <a:endParaRPr lang="en-AU" sz="1000" b="1">
            <a:solidFill>
              <a:srgbClr val="0C769E"/>
            </a:solidFill>
          </a:endParaRPr>
        </a:p>
      </xdr:txBody>
    </xdr:sp>
    <xdr:clientData/>
  </xdr:twoCellAnchor>
  <xdr:twoCellAnchor>
    <xdr:from>
      <xdr:col>4</xdr:col>
      <xdr:colOff>250885</xdr:colOff>
      <xdr:row>12</xdr:row>
      <xdr:rowOff>168705</xdr:rowOff>
    </xdr:from>
    <xdr:to>
      <xdr:col>4</xdr:col>
      <xdr:colOff>263585</xdr:colOff>
      <xdr:row>30</xdr:row>
      <xdr:rowOff>13771</xdr:rowOff>
    </xdr:to>
    <xdr:cxnSp macro="">
      <xdr:nvCxnSpPr>
        <xdr:cNvPr id="5" name="Connector: Curved 4">
          <a:extLst>
            <a:ext uri="{FF2B5EF4-FFF2-40B4-BE49-F238E27FC236}">
              <a16:creationId xmlns:a16="http://schemas.microsoft.com/office/drawing/2014/main" id="{DB1BD9E0-B514-4ABE-A364-7B1CC3B2C39A}"/>
            </a:ext>
          </a:extLst>
        </xdr:cNvPr>
        <xdr:cNvCxnSpPr>
          <a:stCxn id="3" idx="2"/>
          <a:endCxn id="4" idx="0"/>
        </xdr:cNvCxnSpPr>
      </xdr:nvCxnSpPr>
      <xdr:spPr>
        <a:xfrm rot="5400000">
          <a:off x="1391977" y="5418888"/>
          <a:ext cx="4302766"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269669</xdr:colOff>
      <xdr:row>19</xdr:row>
      <xdr:rowOff>156729</xdr:rowOff>
    </xdr:from>
    <xdr:to>
      <xdr:col>7</xdr:col>
      <xdr:colOff>562469</xdr:colOff>
      <xdr:row>22</xdr:row>
      <xdr:rowOff>8875</xdr:rowOff>
    </xdr:to>
    <xdr:sp macro="" textlink="">
      <xdr:nvSpPr>
        <xdr:cNvPr id="6" name="TextBox 5">
          <a:hlinkClick xmlns:r="http://schemas.openxmlformats.org/officeDocument/2006/relationships" r:id="rId3"/>
          <a:extLst>
            <a:ext uri="{FF2B5EF4-FFF2-40B4-BE49-F238E27FC236}">
              <a16:creationId xmlns:a16="http://schemas.microsoft.com/office/drawing/2014/main" id="{B51DD79F-76CE-4165-ABCB-1BFEEF5B597A}"/>
            </a:ext>
          </a:extLst>
        </xdr:cNvPr>
        <xdr:cNvSpPr txBox="1"/>
      </xdr:nvSpPr>
      <xdr:spPr>
        <a:xfrm>
          <a:off x="4165394" y="4995429"/>
          <a:ext cx="1512000" cy="59509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6194092-BFBD-4263-B489-7EE3C31593EA}" type="TxLink">
            <a:rPr lang="en-US" sz="1000" b="0" i="0" u="none" strike="noStrike">
              <a:solidFill>
                <a:srgbClr val="0C769E"/>
              </a:solidFill>
              <a:latin typeface="Times New Roman"/>
              <a:cs typeface="Times New Roman"/>
            </a:rPr>
            <a:pPr algn="ctr"/>
            <a:t>Emission factor for nitrous oxide for irrigated maize</a:t>
          </a:fld>
          <a:endParaRPr lang="en-AU" sz="1000">
            <a:solidFill>
              <a:srgbClr val="0C769E"/>
            </a:solidFill>
          </a:endParaRPr>
        </a:p>
      </xdr:txBody>
    </xdr:sp>
    <xdr:clientData/>
  </xdr:twoCellAnchor>
  <xdr:twoCellAnchor>
    <xdr:from>
      <xdr:col>5</xdr:col>
      <xdr:colOff>269669</xdr:colOff>
      <xdr:row>22</xdr:row>
      <xdr:rowOff>76694</xdr:rowOff>
    </xdr:from>
    <xdr:to>
      <xdr:col>7</xdr:col>
      <xdr:colOff>562469</xdr:colOff>
      <xdr:row>24</xdr:row>
      <xdr:rowOff>181685</xdr:rowOff>
    </xdr:to>
    <xdr:sp macro="" textlink="">
      <xdr:nvSpPr>
        <xdr:cNvPr id="7" name="TextBox 6">
          <a:hlinkClick xmlns:r="http://schemas.openxmlformats.org/officeDocument/2006/relationships" r:id="rId4"/>
          <a:extLst>
            <a:ext uri="{FF2B5EF4-FFF2-40B4-BE49-F238E27FC236}">
              <a16:creationId xmlns:a16="http://schemas.microsoft.com/office/drawing/2014/main" id="{D3F96811-8697-4EAC-ADCD-7E09C904D12F}"/>
            </a:ext>
          </a:extLst>
        </xdr:cNvPr>
        <xdr:cNvSpPr txBox="1"/>
      </xdr:nvSpPr>
      <xdr:spPr>
        <a:xfrm>
          <a:off x="4165394" y="5658344"/>
          <a:ext cx="1512000" cy="600291"/>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13D4042-65A0-4DF9-9D73-D038B4D1CD91}" type="TxLink">
            <a:rPr lang="en-US" sz="1000" b="0" i="0" u="none" strike="noStrike">
              <a:solidFill>
                <a:srgbClr val="0C769E"/>
              </a:solidFill>
              <a:latin typeface="Times New Roman"/>
              <a:cs typeface="Times New Roman"/>
            </a:rPr>
            <a:pPr algn="ctr"/>
            <a:t>Emission factor for nitrous oxide for non-irrigated grains in high rainfall zone</a:t>
          </a:fld>
          <a:endParaRPr lang="en-AU" sz="1000">
            <a:solidFill>
              <a:srgbClr val="0C769E"/>
            </a:solidFill>
          </a:endParaRPr>
        </a:p>
      </xdr:txBody>
    </xdr:sp>
    <xdr:clientData/>
  </xdr:twoCellAnchor>
  <xdr:twoCellAnchor>
    <xdr:from>
      <xdr:col>5</xdr:col>
      <xdr:colOff>269669</xdr:colOff>
      <xdr:row>24</xdr:row>
      <xdr:rowOff>245174</xdr:rowOff>
    </xdr:from>
    <xdr:to>
      <xdr:col>7</xdr:col>
      <xdr:colOff>562469</xdr:colOff>
      <xdr:row>27</xdr:row>
      <xdr:rowOff>79858</xdr:rowOff>
    </xdr:to>
    <xdr:sp macro="" textlink="">
      <xdr:nvSpPr>
        <xdr:cNvPr id="8" name="TextBox 7">
          <a:hlinkClick xmlns:r="http://schemas.openxmlformats.org/officeDocument/2006/relationships" r:id="rId5"/>
          <a:extLst>
            <a:ext uri="{FF2B5EF4-FFF2-40B4-BE49-F238E27FC236}">
              <a16:creationId xmlns:a16="http://schemas.microsoft.com/office/drawing/2014/main" id="{93484DA5-AD71-4891-A009-CB8019D97D5D}"/>
            </a:ext>
          </a:extLst>
        </xdr:cNvPr>
        <xdr:cNvSpPr txBox="1"/>
      </xdr:nvSpPr>
      <xdr:spPr>
        <a:xfrm>
          <a:off x="4165394" y="6322124"/>
          <a:ext cx="1512000" cy="57763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D78B11F-D646-4580-8E74-94D84C919B06}" type="TxLink">
            <a:rPr lang="en-US" sz="1000" b="0" i="0" u="none" strike="noStrike">
              <a:solidFill>
                <a:srgbClr val="0C769E"/>
              </a:solidFill>
              <a:latin typeface="Times New Roman"/>
              <a:cs typeface="Times New Roman"/>
            </a:rPr>
            <a:pPr algn="ctr"/>
            <a:t>Emission factor for nitrous oxide for cotton</a:t>
          </a:fld>
          <a:endParaRPr lang="en-AU" sz="1000">
            <a:solidFill>
              <a:srgbClr val="0C769E"/>
            </a:solidFill>
          </a:endParaRPr>
        </a:p>
      </xdr:txBody>
    </xdr:sp>
    <xdr:clientData/>
  </xdr:twoCellAnchor>
  <xdr:twoCellAnchor>
    <xdr:from>
      <xdr:col>4</xdr:col>
      <xdr:colOff>257235</xdr:colOff>
      <xdr:row>12</xdr:row>
      <xdr:rowOff>162355</xdr:rowOff>
    </xdr:from>
    <xdr:to>
      <xdr:col>6</xdr:col>
      <xdr:colOff>416069</xdr:colOff>
      <xdr:row>19</xdr:row>
      <xdr:rowOff>156729</xdr:rowOff>
    </xdr:to>
    <xdr:cxnSp macro="">
      <xdr:nvCxnSpPr>
        <xdr:cNvPr id="9" name="Connector: Curved 8">
          <a:extLst>
            <a:ext uri="{FF2B5EF4-FFF2-40B4-BE49-F238E27FC236}">
              <a16:creationId xmlns:a16="http://schemas.microsoft.com/office/drawing/2014/main" id="{CF418E5F-2CE3-4B05-A61B-47F07E9D0930}"/>
            </a:ext>
          </a:extLst>
        </xdr:cNvPr>
        <xdr:cNvCxnSpPr>
          <a:stCxn id="3" idx="2"/>
          <a:endCxn id="6" idx="0"/>
        </xdr:cNvCxnSpPr>
      </xdr:nvCxnSpPr>
      <xdr:spPr>
        <a:xfrm rot="16200000" flipH="1">
          <a:off x="3368415" y="3442450"/>
          <a:ext cx="1727924" cy="137803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257236</xdr:colOff>
      <xdr:row>27</xdr:row>
      <xdr:rowOff>79857</xdr:rowOff>
    </xdr:from>
    <xdr:to>
      <xdr:col>6</xdr:col>
      <xdr:colOff>416070</xdr:colOff>
      <xdr:row>30</xdr:row>
      <xdr:rowOff>7420</xdr:rowOff>
    </xdr:to>
    <xdr:cxnSp macro="">
      <xdr:nvCxnSpPr>
        <xdr:cNvPr id="10" name="Connector: Curved 9">
          <a:extLst>
            <a:ext uri="{FF2B5EF4-FFF2-40B4-BE49-F238E27FC236}">
              <a16:creationId xmlns:a16="http://schemas.microsoft.com/office/drawing/2014/main" id="{7165E8EF-23F1-4972-87DB-337E36A6DB68}"/>
            </a:ext>
          </a:extLst>
        </xdr:cNvPr>
        <xdr:cNvCxnSpPr>
          <a:stCxn id="8" idx="2"/>
          <a:endCxn id="4" idx="0"/>
        </xdr:cNvCxnSpPr>
      </xdr:nvCxnSpPr>
      <xdr:spPr>
        <a:xfrm rot="5400000">
          <a:off x="3897121" y="6545997"/>
          <a:ext cx="670513" cy="137803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6</xdr:col>
      <xdr:colOff>356763</xdr:colOff>
      <xdr:row>18</xdr:row>
      <xdr:rowOff>34777</xdr:rowOff>
    </xdr:from>
    <xdr:ext cx="1176762" cy="298800"/>
    <xdr:sp macro="" textlink="">
      <xdr:nvSpPr>
        <xdr:cNvPr id="11" name="TextBox 10">
          <a:extLst>
            <a:ext uri="{FF2B5EF4-FFF2-40B4-BE49-F238E27FC236}">
              <a16:creationId xmlns:a16="http://schemas.microsoft.com/office/drawing/2014/main" id="{3E686522-C0AA-4118-907F-14641BE35BD3}"/>
            </a:ext>
          </a:extLst>
        </xdr:cNvPr>
        <xdr:cNvSpPr txBox="1"/>
      </xdr:nvSpPr>
      <xdr:spPr>
        <a:xfrm>
          <a:off x="4862088" y="4625827"/>
          <a:ext cx="1176762"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Method 2</a:t>
          </a:r>
        </a:p>
      </xdr:txBody>
    </xdr:sp>
    <xdr:clientData/>
  </xdr:oneCellAnchor>
  <xdr:oneCellAnchor>
    <xdr:from>
      <xdr:col>7</xdr:col>
      <xdr:colOff>349387</xdr:colOff>
      <xdr:row>7</xdr:row>
      <xdr:rowOff>3136</xdr:rowOff>
    </xdr:from>
    <xdr:ext cx="1946138" cy="505267"/>
    <xdr:sp macro="" textlink="">
      <xdr:nvSpPr>
        <xdr:cNvPr id="12" name="TextBox 11">
          <a:extLst>
            <a:ext uri="{FF2B5EF4-FFF2-40B4-BE49-F238E27FC236}">
              <a16:creationId xmlns:a16="http://schemas.microsoft.com/office/drawing/2014/main" id="{B11359AC-D8D3-4B2B-87BB-0641D80BE4E6}"/>
            </a:ext>
          </a:extLst>
        </xdr:cNvPr>
        <xdr:cNvSpPr txBox="1"/>
      </xdr:nvSpPr>
      <xdr:spPr>
        <a:xfrm>
          <a:off x="5464312" y="1870036"/>
          <a:ext cx="194613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5">
                  <a:lumMod val="75000"/>
                </a:schemeClr>
              </a:solidFill>
            </a:rPr>
            <a:t>5.1.1.3-4</a:t>
          </a:r>
          <a:r>
            <a:rPr lang="en-AU" sz="1400" b="0" baseline="0">
              <a:solidFill>
                <a:schemeClr val="accent5">
                  <a:lumMod val="75000"/>
                </a:schemeClr>
              </a:solidFill>
            </a:rPr>
            <a:t> </a:t>
          </a:r>
          <a:br>
            <a:rPr lang="en-AU" sz="1400" b="0" baseline="0">
              <a:solidFill>
                <a:schemeClr val="accent5">
                  <a:lumMod val="75000"/>
                </a:schemeClr>
              </a:solidFill>
            </a:rPr>
          </a:br>
          <a:r>
            <a:rPr lang="en-AU" sz="1400" b="0">
              <a:solidFill>
                <a:schemeClr val="accent5">
                  <a:lumMod val="75000"/>
                </a:schemeClr>
              </a:solidFill>
            </a:rPr>
            <a:t>Inorganic fertiliser</a:t>
          </a:r>
          <a:r>
            <a:rPr lang="en-AU" sz="1400" b="0" baseline="0">
              <a:solidFill>
                <a:schemeClr val="accent5">
                  <a:lumMod val="75000"/>
                </a:schemeClr>
              </a:solidFill>
            </a:rPr>
            <a:t> CO2</a:t>
          </a:r>
          <a:endParaRPr lang="en-AU" sz="1400" b="0">
            <a:solidFill>
              <a:schemeClr val="accent5">
                <a:lumMod val="75000"/>
              </a:schemeClr>
            </a:solidFill>
          </a:endParaRPr>
        </a:p>
      </xdr:txBody>
    </xdr:sp>
    <xdr:clientData/>
  </xdr:oneCellAnchor>
  <xdr:twoCellAnchor>
    <xdr:from>
      <xdr:col>7</xdr:col>
      <xdr:colOff>528205</xdr:colOff>
      <xdr:row>9</xdr:row>
      <xdr:rowOff>113433</xdr:rowOff>
    </xdr:from>
    <xdr:to>
      <xdr:col>10</xdr:col>
      <xdr:colOff>211405</xdr:colOff>
      <xdr:row>12</xdr:row>
      <xdr:rowOff>90483</xdr:rowOff>
    </xdr:to>
    <xdr:sp macro="" textlink="">
      <xdr:nvSpPr>
        <xdr:cNvPr id="13" name="TextBox 12">
          <a:hlinkClick xmlns:r="http://schemas.openxmlformats.org/officeDocument/2006/relationships" r:id="rId6"/>
          <a:extLst>
            <a:ext uri="{FF2B5EF4-FFF2-40B4-BE49-F238E27FC236}">
              <a16:creationId xmlns:a16="http://schemas.microsoft.com/office/drawing/2014/main" id="{5390D4F0-C841-4A6E-A296-8A7BE5029628}"/>
            </a:ext>
          </a:extLst>
        </xdr:cNvPr>
        <xdr:cNvSpPr txBox="1"/>
      </xdr:nvSpPr>
      <xdr:spPr>
        <a:xfrm>
          <a:off x="5643130" y="2475633"/>
          <a:ext cx="1512000" cy="72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D04A6C8-5463-423F-B11B-EF8661744C19}" type="TxLink">
            <a:rPr lang="en-US" sz="1000" b="0" i="0" u="none" strike="noStrike">
              <a:solidFill>
                <a:schemeClr val="accent5">
                  <a:lumMod val="75000"/>
                </a:schemeClr>
              </a:solidFill>
              <a:latin typeface="Times New Roman"/>
              <a:cs typeface="Times New Roman"/>
            </a:rPr>
            <a:pPr algn="ctr"/>
            <a:t>Mass of urea applied to production system</a:t>
          </a:fld>
          <a:endParaRPr lang="en-AU" sz="1000">
            <a:solidFill>
              <a:schemeClr val="accent5">
                <a:lumMod val="75000"/>
              </a:schemeClr>
            </a:solidFill>
          </a:endParaRPr>
        </a:p>
      </xdr:txBody>
    </xdr:sp>
    <xdr:clientData/>
  </xdr:twoCellAnchor>
  <xdr:twoCellAnchor>
    <xdr:from>
      <xdr:col>7</xdr:col>
      <xdr:colOff>528205</xdr:colOff>
      <xdr:row>29</xdr:row>
      <xdr:rowOff>245546</xdr:rowOff>
    </xdr:from>
    <xdr:to>
      <xdr:col>10</xdr:col>
      <xdr:colOff>211405</xdr:colOff>
      <xdr:row>34</xdr:row>
      <xdr:rowOff>87296</xdr:rowOff>
    </xdr:to>
    <xdr:sp macro="" textlink="">
      <xdr:nvSpPr>
        <xdr:cNvPr id="14" name="TextBox 13">
          <a:hlinkClick xmlns:r="http://schemas.openxmlformats.org/officeDocument/2006/relationships" r:id="rId7"/>
          <a:extLst>
            <a:ext uri="{FF2B5EF4-FFF2-40B4-BE49-F238E27FC236}">
              <a16:creationId xmlns:a16="http://schemas.microsoft.com/office/drawing/2014/main" id="{F336C0AD-08BE-4945-B548-DB8F4024337F}"/>
            </a:ext>
          </a:extLst>
        </xdr:cNvPr>
        <xdr:cNvSpPr txBox="1"/>
      </xdr:nvSpPr>
      <xdr:spPr>
        <a:xfrm>
          <a:off x="5643130" y="7560746"/>
          <a:ext cx="1512000" cy="108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AC9E863-363B-472F-ACB3-B426FB76904E}" type="TxLink">
            <a:rPr lang="en-US" sz="1000" b="1" i="0" u="none" strike="noStrike">
              <a:solidFill>
                <a:schemeClr val="accent5">
                  <a:lumMod val="75000"/>
                </a:schemeClr>
              </a:solidFill>
              <a:latin typeface="Times New Roman"/>
              <a:cs typeface="Times New Roman"/>
            </a:rPr>
            <a:pPr algn="ctr"/>
            <a:t>Carbon dioxide emissions resulting from the use of all inorganic, urea-based fertilisers</a:t>
          </a:fld>
          <a:endParaRPr lang="en-AU" sz="1000" b="1">
            <a:solidFill>
              <a:schemeClr val="accent5">
                <a:lumMod val="75000"/>
              </a:schemeClr>
            </a:solidFill>
          </a:endParaRPr>
        </a:p>
      </xdr:txBody>
    </xdr:sp>
    <xdr:clientData/>
  </xdr:twoCellAnchor>
  <xdr:twoCellAnchor>
    <xdr:from>
      <xdr:col>9</xdr:col>
      <xdr:colOff>58656</xdr:colOff>
      <xdr:row>12</xdr:row>
      <xdr:rowOff>96832</xdr:rowOff>
    </xdr:from>
    <xdr:to>
      <xdr:col>9</xdr:col>
      <xdr:colOff>71356</xdr:colOff>
      <xdr:row>30</xdr:row>
      <xdr:rowOff>4245</xdr:rowOff>
    </xdr:to>
    <xdr:cxnSp macro="">
      <xdr:nvCxnSpPr>
        <xdr:cNvPr id="15" name="Connector: Curved 14">
          <a:extLst>
            <a:ext uri="{FF2B5EF4-FFF2-40B4-BE49-F238E27FC236}">
              <a16:creationId xmlns:a16="http://schemas.microsoft.com/office/drawing/2014/main" id="{B57840DE-4543-4045-9384-1C209917DB2E}"/>
            </a:ext>
          </a:extLst>
        </xdr:cNvPr>
        <xdr:cNvCxnSpPr>
          <a:stCxn id="13" idx="2"/>
          <a:endCxn id="14" idx="0"/>
        </xdr:cNvCxnSpPr>
      </xdr:nvCxnSpPr>
      <xdr:spPr>
        <a:xfrm rot="5400000">
          <a:off x="4216574" y="5378189"/>
          <a:ext cx="4365113" cy="12700"/>
        </a:xfrm>
        <a:prstGeom prst="curvedConnector3">
          <a:avLst/>
        </a:prstGeom>
        <a:ln>
          <a:solidFill>
            <a:schemeClr val="accent5">
              <a:lumMod val="75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11</xdr:col>
      <xdr:colOff>19050</xdr:colOff>
      <xdr:row>7</xdr:row>
      <xdr:rowOff>3136</xdr:rowOff>
    </xdr:from>
    <xdr:ext cx="1838325" cy="505267"/>
    <xdr:sp macro="" textlink="">
      <xdr:nvSpPr>
        <xdr:cNvPr id="16" name="TextBox 15">
          <a:extLst>
            <a:ext uri="{FF2B5EF4-FFF2-40B4-BE49-F238E27FC236}">
              <a16:creationId xmlns:a16="http://schemas.microsoft.com/office/drawing/2014/main" id="{B8069766-4AE9-41C4-9E5B-42E9F20A1106}"/>
            </a:ext>
          </a:extLst>
        </xdr:cNvPr>
        <xdr:cNvSpPr txBox="1"/>
      </xdr:nvSpPr>
      <xdr:spPr>
        <a:xfrm>
          <a:off x="7572375" y="1870036"/>
          <a:ext cx="1838325"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7030A0"/>
              </a:solidFill>
            </a:rPr>
            <a:t>5.2.1.1-2</a:t>
          </a:r>
          <a:r>
            <a:rPr lang="en-AU" sz="1400" b="0" baseline="0">
              <a:solidFill>
                <a:srgbClr val="7030A0"/>
              </a:solidFill>
            </a:rPr>
            <a:t> </a:t>
          </a:r>
          <a:br>
            <a:rPr lang="en-AU" sz="1400" b="0" baseline="0">
              <a:solidFill>
                <a:srgbClr val="7030A0"/>
              </a:solidFill>
            </a:rPr>
          </a:br>
          <a:r>
            <a:rPr lang="en-AU" sz="1400" b="0">
              <a:solidFill>
                <a:srgbClr val="7030A0"/>
              </a:solidFill>
            </a:rPr>
            <a:t>Organic fertiliser</a:t>
          </a:r>
          <a:r>
            <a:rPr lang="en-AU" sz="1400" b="0" baseline="0">
              <a:solidFill>
                <a:srgbClr val="7030A0"/>
              </a:solidFill>
            </a:rPr>
            <a:t> N2O</a:t>
          </a:r>
          <a:endParaRPr lang="en-AU" sz="1400" b="0">
            <a:solidFill>
              <a:srgbClr val="7030A0"/>
            </a:solidFill>
          </a:endParaRPr>
        </a:p>
      </xdr:txBody>
    </xdr:sp>
    <xdr:clientData/>
  </xdr:oneCellAnchor>
  <xdr:twoCellAnchor>
    <xdr:from>
      <xdr:col>11</xdr:col>
      <xdr:colOff>194829</xdr:colOff>
      <xdr:row>9</xdr:row>
      <xdr:rowOff>122958</xdr:rowOff>
    </xdr:from>
    <xdr:to>
      <xdr:col>13</xdr:col>
      <xdr:colOff>487629</xdr:colOff>
      <xdr:row>12</xdr:row>
      <xdr:rowOff>100008</xdr:rowOff>
    </xdr:to>
    <xdr:sp macro="" textlink="">
      <xdr:nvSpPr>
        <xdr:cNvPr id="17" name="TextBox 16">
          <a:hlinkClick xmlns:r="http://schemas.openxmlformats.org/officeDocument/2006/relationships" r:id="rId8"/>
          <a:extLst>
            <a:ext uri="{FF2B5EF4-FFF2-40B4-BE49-F238E27FC236}">
              <a16:creationId xmlns:a16="http://schemas.microsoft.com/office/drawing/2014/main" id="{01BBC41E-9B11-45D9-B505-792D100E4B24}"/>
            </a:ext>
          </a:extLst>
        </xdr:cNvPr>
        <xdr:cNvSpPr txBox="1"/>
      </xdr:nvSpPr>
      <xdr:spPr>
        <a:xfrm>
          <a:off x="7748154" y="2485158"/>
          <a:ext cx="1512000" cy="720000"/>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47B40DA-7B42-452D-996E-C76E1A79800D}" type="TxLink">
            <a:rPr lang="en-US" sz="1000" b="0" i="0" u="none" strike="noStrike">
              <a:solidFill>
                <a:srgbClr val="7030A0"/>
              </a:solidFill>
              <a:latin typeface="Times New Roman"/>
              <a:cs typeface="Times New Roman"/>
            </a:rPr>
            <a:pPr algn="ctr"/>
            <a:t>Mass of nitrogen in purchased organic fertilisers applied to production system</a:t>
          </a:fld>
          <a:endParaRPr lang="en-AU" sz="1000">
            <a:solidFill>
              <a:srgbClr val="7030A0"/>
            </a:solidFill>
          </a:endParaRPr>
        </a:p>
      </xdr:txBody>
    </xdr:sp>
    <xdr:clientData/>
  </xdr:twoCellAnchor>
  <xdr:twoCellAnchor>
    <xdr:from>
      <xdr:col>11</xdr:col>
      <xdr:colOff>194830</xdr:colOff>
      <xdr:row>29</xdr:row>
      <xdr:rowOff>236021</xdr:rowOff>
    </xdr:from>
    <xdr:to>
      <xdr:col>13</xdr:col>
      <xdr:colOff>487630</xdr:colOff>
      <xdr:row>34</xdr:row>
      <xdr:rowOff>77771</xdr:rowOff>
    </xdr:to>
    <xdr:sp macro="" textlink="">
      <xdr:nvSpPr>
        <xdr:cNvPr id="18" name="TextBox 17">
          <a:hlinkClick xmlns:r="http://schemas.openxmlformats.org/officeDocument/2006/relationships" r:id="rId9"/>
          <a:extLst>
            <a:ext uri="{FF2B5EF4-FFF2-40B4-BE49-F238E27FC236}">
              <a16:creationId xmlns:a16="http://schemas.microsoft.com/office/drawing/2014/main" id="{09DE7B66-981B-493D-8E65-29676097E042}"/>
            </a:ext>
          </a:extLst>
        </xdr:cNvPr>
        <xdr:cNvSpPr txBox="1"/>
      </xdr:nvSpPr>
      <xdr:spPr>
        <a:xfrm>
          <a:off x="7748155" y="7551221"/>
          <a:ext cx="1512000" cy="1080000"/>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DDE4CB3-7F47-430A-B527-801DAD6B9CBF}" type="TxLink">
            <a:rPr lang="en-US" sz="1000" b="1" i="0" u="none" strike="noStrike">
              <a:solidFill>
                <a:srgbClr val="7030A0"/>
              </a:solidFill>
              <a:latin typeface="Times New Roman"/>
              <a:cs typeface="Times New Roman"/>
            </a:rPr>
            <a:pPr algn="ctr"/>
            <a:t>Nitrous oxide emissions from the application of all organic fertiliser types f to all production systems j</a:t>
          </a:fld>
          <a:endParaRPr lang="en-AU" sz="1000" b="1">
            <a:solidFill>
              <a:srgbClr val="7030A0"/>
            </a:solidFill>
          </a:endParaRPr>
        </a:p>
      </xdr:txBody>
    </xdr:sp>
    <xdr:clientData/>
  </xdr:twoCellAnchor>
  <xdr:twoCellAnchor>
    <xdr:from>
      <xdr:col>12</xdr:col>
      <xdr:colOff>341229</xdr:colOff>
      <xdr:row>12</xdr:row>
      <xdr:rowOff>100007</xdr:rowOff>
    </xdr:from>
    <xdr:to>
      <xdr:col>12</xdr:col>
      <xdr:colOff>341230</xdr:colOff>
      <xdr:row>29</xdr:row>
      <xdr:rowOff>236020</xdr:rowOff>
    </xdr:to>
    <xdr:cxnSp macro="">
      <xdr:nvCxnSpPr>
        <xdr:cNvPr id="19" name="Connector: Curved 18">
          <a:extLst>
            <a:ext uri="{FF2B5EF4-FFF2-40B4-BE49-F238E27FC236}">
              <a16:creationId xmlns:a16="http://schemas.microsoft.com/office/drawing/2014/main" id="{5BCEA658-3375-43AD-9FB8-1C54296D3365}"/>
            </a:ext>
          </a:extLst>
        </xdr:cNvPr>
        <xdr:cNvCxnSpPr>
          <a:stCxn id="17" idx="2"/>
          <a:endCxn id="18" idx="0"/>
        </xdr:cNvCxnSpPr>
      </xdr:nvCxnSpPr>
      <xdr:spPr>
        <a:xfrm rot="16200000" flipH="1">
          <a:off x="6331123" y="5378188"/>
          <a:ext cx="4346063" cy="1"/>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14</xdr:col>
      <xdr:colOff>323851</xdr:colOff>
      <xdr:row>7</xdr:row>
      <xdr:rowOff>3136</xdr:rowOff>
    </xdr:from>
    <xdr:ext cx="1590674" cy="505267"/>
    <xdr:sp macro="" textlink="">
      <xdr:nvSpPr>
        <xdr:cNvPr id="20" name="TextBox 19">
          <a:extLst>
            <a:ext uri="{FF2B5EF4-FFF2-40B4-BE49-F238E27FC236}">
              <a16:creationId xmlns:a16="http://schemas.microsoft.com/office/drawing/2014/main" id="{44DFB817-E5EB-41EF-A194-DC82B4756E8A}"/>
            </a:ext>
          </a:extLst>
        </xdr:cNvPr>
        <xdr:cNvSpPr txBox="1"/>
      </xdr:nvSpPr>
      <xdr:spPr>
        <a:xfrm>
          <a:off x="9705976" y="1870036"/>
          <a:ext cx="1590674"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44340"/>
              </a:solidFill>
            </a:rPr>
            <a:t>5.3.1.1-2</a:t>
          </a:r>
          <a:br>
            <a:rPr lang="en-AU" sz="1400" b="0">
              <a:solidFill>
                <a:srgbClr val="C44340"/>
              </a:solidFill>
            </a:rPr>
          </a:br>
          <a:r>
            <a:rPr lang="en-AU" sz="1400" b="0">
              <a:solidFill>
                <a:srgbClr val="C44340"/>
              </a:solidFill>
            </a:rPr>
            <a:t>Lime application</a:t>
          </a:r>
        </a:p>
      </xdr:txBody>
    </xdr:sp>
    <xdr:clientData/>
  </xdr:oneCellAnchor>
  <xdr:twoCellAnchor>
    <xdr:from>
      <xdr:col>14</xdr:col>
      <xdr:colOff>358117</xdr:colOff>
      <xdr:row>9</xdr:row>
      <xdr:rowOff>94383</xdr:rowOff>
    </xdr:from>
    <xdr:to>
      <xdr:col>17</xdr:col>
      <xdr:colOff>41317</xdr:colOff>
      <xdr:row>12</xdr:row>
      <xdr:rowOff>71433</xdr:rowOff>
    </xdr:to>
    <xdr:sp macro="" textlink="">
      <xdr:nvSpPr>
        <xdr:cNvPr id="21" name="TextBox 20">
          <a:hlinkClick xmlns:r="http://schemas.openxmlformats.org/officeDocument/2006/relationships" r:id="rId10"/>
          <a:extLst>
            <a:ext uri="{FF2B5EF4-FFF2-40B4-BE49-F238E27FC236}">
              <a16:creationId xmlns:a16="http://schemas.microsoft.com/office/drawing/2014/main" id="{03C065D4-7A3E-453D-BAFE-2F4E141C1F59}"/>
            </a:ext>
          </a:extLst>
        </xdr:cNvPr>
        <xdr:cNvSpPr txBox="1"/>
      </xdr:nvSpPr>
      <xdr:spPr>
        <a:xfrm>
          <a:off x="9740242" y="2456583"/>
          <a:ext cx="1512000" cy="720000"/>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7DAD907-FE25-43DA-B7E1-C0A9298074DA}" type="TxLink">
            <a:rPr lang="en-US" sz="1000" b="1" i="0" u="none" strike="noStrike">
              <a:solidFill>
                <a:srgbClr val="C44340"/>
              </a:solidFill>
              <a:latin typeface="Times New Roman"/>
              <a:cs typeface="Times New Roman"/>
            </a:rPr>
            <a:pPr algn="ctr"/>
            <a:t>Emissions from the application of lime and dolomite to production systems</a:t>
          </a:fld>
          <a:endParaRPr lang="en-AU" sz="1000" b="1">
            <a:solidFill>
              <a:srgbClr val="C44340"/>
            </a:solidFill>
          </a:endParaRPr>
        </a:p>
      </xdr:txBody>
    </xdr:sp>
    <xdr:clientData/>
  </xdr:twoCellAnchor>
  <xdr:oneCellAnchor>
    <xdr:from>
      <xdr:col>18</xdr:col>
      <xdr:colOff>230878</xdr:colOff>
      <xdr:row>7</xdr:row>
      <xdr:rowOff>3136</xdr:rowOff>
    </xdr:from>
    <xdr:ext cx="1683647" cy="711733"/>
    <xdr:sp macro="" textlink="">
      <xdr:nvSpPr>
        <xdr:cNvPr id="22" name="TextBox 21">
          <a:extLst>
            <a:ext uri="{FF2B5EF4-FFF2-40B4-BE49-F238E27FC236}">
              <a16:creationId xmlns:a16="http://schemas.microsoft.com/office/drawing/2014/main" id="{B90087FA-7665-4DD4-87E4-C6346A5F8AA4}"/>
            </a:ext>
          </a:extLst>
        </xdr:cNvPr>
        <xdr:cNvSpPr txBox="1"/>
      </xdr:nvSpPr>
      <xdr:spPr>
        <a:xfrm>
          <a:off x="12051403" y="1870036"/>
          <a:ext cx="1683647" cy="7117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C6600"/>
              </a:solidFill>
            </a:rPr>
            <a:t>5.4.1.1-4</a:t>
          </a:r>
          <a:br>
            <a:rPr lang="en-AU" sz="1400" b="0">
              <a:solidFill>
                <a:srgbClr val="CC6600"/>
              </a:solidFill>
            </a:rPr>
          </a:br>
          <a:r>
            <a:rPr lang="en-AU" sz="1400" b="0">
              <a:solidFill>
                <a:srgbClr val="CC6600"/>
              </a:solidFill>
            </a:rPr>
            <a:t>Atmospheric </a:t>
          </a:r>
          <a:br>
            <a:rPr lang="en-AU" sz="1400" b="0">
              <a:solidFill>
                <a:srgbClr val="CC6600"/>
              </a:solidFill>
            </a:rPr>
          </a:br>
          <a:r>
            <a:rPr lang="en-AU" sz="1400" b="0">
              <a:solidFill>
                <a:srgbClr val="CC6600"/>
              </a:solidFill>
            </a:rPr>
            <a:t>deposition</a:t>
          </a:r>
        </a:p>
      </xdr:txBody>
    </xdr:sp>
    <xdr:clientData/>
  </xdr:oneCellAnchor>
  <xdr:twoCellAnchor>
    <xdr:from>
      <xdr:col>17</xdr:col>
      <xdr:colOff>128587</xdr:colOff>
      <xdr:row>23</xdr:row>
      <xdr:rowOff>217961</xdr:rowOff>
    </xdr:from>
    <xdr:to>
      <xdr:col>19</xdr:col>
      <xdr:colOff>421387</xdr:colOff>
      <xdr:row>26</xdr:row>
      <xdr:rowOff>195011</xdr:rowOff>
    </xdr:to>
    <xdr:sp macro="" textlink="">
      <xdr:nvSpPr>
        <xdr:cNvPr id="23" name="TextBox 22">
          <a:hlinkClick xmlns:r="http://schemas.openxmlformats.org/officeDocument/2006/relationships" r:id="rId11"/>
          <a:extLst>
            <a:ext uri="{FF2B5EF4-FFF2-40B4-BE49-F238E27FC236}">
              <a16:creationId xmlns:a16="http://schemas.microsoft.com/office/drawing/2014/main" id="{85F14AE1-B7A5-42D5-9806-5D88C7F78E26}"/>
            </a:ext>
          </a:extLst>
        </xdr:cNvPr>
        <xdr:cNvSpPr txBox="1"/>
      </xdr:nvSpPr>
      <xdr:spPr>
        <a:xfrm>
          <a:off x="11339512" y="6047261"/>
          <a:ext cx="1512000" cy="72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DD8FC35-2FC8-45F3-BD76-80D4B71E3EA2}" type="TxLink">
            <a:rPr lang="en-US" sz="1000" b="0" i="0" u="none" strike="noStrike">
              <a:solidFill>
                <a:srgbClr val="CC6600"/>
              </a:solidFill>
              <a:latin typeface="Times New Roman"/>
              <a:cs typeface="Times New Roman"/>
            </a:rPr>
            <a:pPr algn="ctr"/>
            <a:t>Mass of nitrogen volatilised from inorganic fertiliser applied to production system</a:t>
          </a:fld>
          <a:endParaRPr lang="en-AU" sz="1000">
            <a:solidFill>
              <a:srgbClr val="CC6600"/>
            </a:solidFill>
          </a:endParaRPr>
        </a:p>
      </xdr:txBody>
    </xdr:sp>
    <xdr:clientData/>
  </xdr:twoCellAnchor>
  <xdr:twoCellAnchor>
    <xdr:from>
      <xdr:col>4</xdr:col>
      <xdr:colOff>257235</xdr:colOff>
      <xdr:row>12</xdr:row>
      <xdr:rowOff>162355</xdr:rowOff>
    </xdr:from>
    <xdr:to>
      <xdr:col>18</xdr:col>
      <xdr:colOff>274987</xdr:colOff>
      <xdr:row>23</xdr:row>
      <xdr:rowOff>217961</xdr:rowOff>
    </xdr:to>
    <xdr:cxnSp macro="">
      <xdr:nvCxnSpPr>
        <xdr:cNvPr id="24" name="Connector: Curved 23">
          <a:extLst>
            <a:ext uri="{FF2B5EF4-FFF2-40B4-BE49-F238E27FC236}">
              <a16:creationId xmlns:a16="http://schemas.microsoft.com/office/drawing/2014/main" id="{CBEBEEAB-9A00-417E-9E41-5AF7579CF512}"/>
            </a:ext>
          </a:extLst>
        </xdr:cNvPr>
        <xdr:cNvCxnSpPr>
          <a:stCxn id="3" idx="2"/>
          <a:endCxn id="23" idx="0"/>
        </xdr:cNvCxnSpPr>
      </xdr:nvCxnSpPr>
      <xdr:spPr>
        <a:xfrm rot="16200000" flipH="1">
          <a:off x="6429558" y="381307"/>
          <a:ext cx="2779756" cy="8552152"/>
        </a:xfrm>
        <a:prstGeom prst="curvedConnector3">
          <a:avLst/>
        </a:prstGeom>
        <a:ln>
          <a:tailEnd type="triangle"/>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19</xdr:col>
      <xdr:colOff>514351</xdr:colOff>
      <xdr:row>23</xdr:row>
      <xdr:rowOff>217962</xdr:rowOff>
    </xdr:from>
    <xdr:to>
      <xdr:col>22</xdr:col>
      <xdr:colOff>197551</xdr:colOff>
      <xdr:row>26</xdr:row>
      <xdr:rowOff>195012</xdr:rowOff>
    </xdr:to>
    <xdr:sp macro="" textlink="">
      <xdr:nvSpPr>
        <xdr:cNvPr id="25" name="TextBox 24">
          <a:hlinkClick xmlns:r="http://schemas.openxmlformats.org/officeDocument/2006/relationships" r:id="rId12"/>
          <a:extLst>
            <a:ext uri="{FF2B5EF4-FFF2-40B4-BE49-F238E27FC236}">
              <a16:creationId xmlns:a16="http://schemas.microsoft.com/office/drawing/2014/main" id="{94C5371D-312A-44DA-B5B2-0FB9341BB576}"/>
            </a:ext>
          </a:extLst>
        </xdr:cNvPr>
        <xdr:cNvSpPr txBox="1"/>
      </xdr:nvSpPr>
      <xdr:spPr>
        <a:xfrm>
          <a:off x="12944476" y="6047262"/>
          <a:ext cx="1512000" cy="72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CE9844F-D757-4145-A173-359C89D28AC0}" type="TxLink">
            <a:rPr lang="en-US" sz="1000" b="0" i="0" u="none" strike="noStrike">
              <a:solidFill>
                <a:srgbClr val="CC6600"/>
              </a:solidFill>
              <a:latin typeface="Times New Roman"/>
              <a:cs typeface="Times New Roman"/>
            </a:rPr>
            <a:pPr algn="ctr"/>
            <a:t>Mass of nitrogen volatilised from organic fertiliser applied to production system</a:t>
          </a:fld>
          <a:endParaRPr lang="en-AU" sz="1000">
            <a:solidFill>
              <a:srgbClr val="CC6600"/>
            </a:solidFill>
          </a:endParaRPr>
        </a:p>
      </xdr:txBody>
    </xdr:sp>
    <xdr:clientData/>
  </xdr:twoCellAnchor>
  <xdr:twoCellAnchor>
    <xdr:from>
      <xdr:col>12</xdr:col>
      <xdr:colOff>341229</xdr:colOff>
      <xdr:row>12</xdr:row>
      <xdr:rowOff>100008</xdr:rowOff>
    </xdr:from>
    <xdr:to>
      <xdr:col>21</xdr:col>
      <xdr:colOff>51151</xdr:colOff>
      <xdr:row>23</xdr:row>
      <xdr:rowOff>217962</xdr:rowOff>
    </xdr:to>
    <xdr:cxnSp macro="">
      <xdr:nvCxnSpPr>
        <xdr:cNvPr id="26" name="Connector: Curved 25">
          <a:extLst>
            <a:ext uri="{FF2B5EF4-FFF2-40B4-BE49-F238E27FC236}">
              <a16:creationId xmlns:a16="http://schemas.microsoft.com/office/drawing/2014/main" id="{B6B6078B-F063-4C7D-A175-18B012381FAD}"/>
            </a:ext>
          </a:extLst>
        </xdr:cNvPr>
        <xdr:cNvCxnSpPr>
          <a:stCxn id="17" idx="2"/>
          <a:endCxn id="25" idx="0"/>
        </xdr:cNvCxnSpPr>
      </xdr:nvCxnSpPr>
      <xdr:spPr>
        <a:xfrm rot="16200000" flipH="1">
          <a:off x="9681263" y="2028049"/>
          <a:ext cx="2842104" cy="5196322"/>
        </a:xfrm>
        <a:prstGeom prst="curvedConnector3">
          <a:avLst>
            <a:gd name="adj1" fmla="val 50000"/>
          </a:avLst>
        </a:prstGeom>
        <a:ln>
          <a:tailEnd type="triangle"/>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17</xdr:col>
      <xdr:colOff>128587</xdr:colOff>
      <xdr:row>29</xdr:row>
      <xdr:rowOff>226496</xdr:rowOff>
    </xdr:from>
    <xdr:to>
      <xdr:col>19</xdr:col>
      <xdr:colOff>421387</xdr:colOff>
      <xdr:row>34</xdr:row>
      <xdr:rowOff>68246</xdr:rowOff>
    </xdr:to>
    <xdr:sp macro="" textlink="">
      <xdr:nvSpPr>
        <xdr:cNvPr id="27" name="TextBox 26">
          <a:hlinkClick xmlns:r="http://schemas.openxmlformats.org/officeDocument/2006/relationships" r:id="rId13"/>
          <a:extLst>
            <a:ext uri="{FF2B5EF4-FFF2-40B4-BE49-F238E27FC236}">
              <a16:creationId xmlns:a16="http://schemas.microsoft.com/office/drawing/2014/main" id="{C08E235D-D0A0-46F5-B175-715C4D1BC43D}"/>
            </a:ext>
          </a:extLst>
        </xdr:cNvPr>
        <xdr:cNvSpPr txBox="1"/>
      </xdr:nvSpPr>
      <xdr:spPr>
        <a:xfrm>
          <a:off x="11339512" y="7541696"/>
          <a:ext cx="1512000" cy="108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BBFDCC8-32AC-4B78-BE9C-207D9E3179AA}" type="TxLink">
            <a:rPr lang="en-US" sz="1000" b="1" i="0" u="none" strike="noStrike">
              <a:solidFill>
                <a:srgbClr val="CC6600"/>
              </a:solidFill>
              <a:latin typeface="Times New Roman"/>
              <a:cs typeface="Times New Roman"/>
            </a:rPr>
            <a:pPr algn="ctr"/>
            <a:t>Nitrous oxide emissions from atmospheric deposition from all inorganic fertiliser types f and all production systems j</a:t>
          </a:fld>
          <a:endParaRPr lang="en-AU" sz="1000" b="1">
            <a:solidFill>
              <a:srgbClr val="CC6600"/>
            </a:solidFill>
          </a:endParaRPr>
        </a:p>
      </xdr:txBody>
    </xdr:sp>
    <xdr:clientData/>
  </xdr:twoCellAnchor>
  <xdr:twoCellAnchor>
    <xdr:from>
      <xdr:col>19</xdr:col>
      <xdr:colOff>514351</xdr:colOff>
      <xdr:row>29</xdr:row>
      <xdr:rowOff>236023</xdr:rowOff>
    </xdr:from>
    <xdr:to>
      <xdr:col>22</xdr:col>
      <xdr:colOff>197551</xdr:colOff>
      <xdr:row>34</xdr:row>
      <xdr:rowOff>77773</xdr:rowOff>
    </xdr:to>
    <xdr:sp macro="" textlink="">
      <xdr:nvSpPr>
        <xdr:cNvPr id="28" name="TextBox 27">
          <a:hlinkClick xmlns:r="http://schemas.openxmlformats.org/officeDocument/2006/relationships" r:id="rId14"/>
          <a:extLst>
            <a:ext uri="{FF2B5EF4-FFF2-40B4-BE49-F238E27FC236}">
              <a16:creationId xmlns:a16="http://schemas.microsoft.com/office/drawing/2014/main" id="{A7583BED-9CB9-44DB-A738-8379B1EF5E5E}"/>
            </a:ext>
          </a:extLst>
        </xdr:cNvPr>
        <xdr:cNvSpPr txBox="1"/>
      </xdr:nvSpPr>
      <xdr:spPr>
        <a:xfrm>
          <a:off x="12944476" y="7551223"/>
          <a:ext cx="1512000" cy="108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9B19A6E-0F79-41FC-957D-C0EAEF3A61FB}" type="TxLink">
            <a:rPr lang="en-US" sz="1000" b="1" i="0" u="none" strike="noStrike">
              <a:solidFill>
                <a:srgbClr val="CC6600"/>
              </a:solidFill>
              <a:latin typeface="Times New Roman"/>
              <a:cs typeface="Times New Roman"/>
            </a:rPr>
            <a:pPr algn="ctr"/>
            <a:t>Nitrous oxide emissions from atmospheric deposition of all organic fertiliser types f and all production systems j</a:t>
          </a:fld>
          <a:endParaRPr lang="en-AU" sz="1000" b="1">
            <a:solidFill>
              <a:srgbClr val="CC6600"/>
            </a:solidFill>
          </a:endParaRPr>
        </a:p>
      </xdr:txBody>
    </xdr:sp>
    <xdr:clientData/>
  </xdr:twoCellAnchor>
  <xdr:twoCellAnchor>
    <xdr:from>
      <xdr:col>18</xdr:col>
      <xdr:colOff>268638</xdr:colOff>
      <xdr:row>26</xdr:row>
      <xdr:rowOff>201360</xdr:rowOff>
    </xdr:from>
    <xdr:to>
      <xdr:col>18</xdr:col>
      <xdr:colOff>281338</xdr:colOff>
      <xdr:row>29</xdr:row>
      <xdr:rowOff>232845</xdr:rowOff>
    </xdr:to>
    <xdr:cxnSp macro="">
      <xdr:nvCxnSpPr>
        <xdr:cNvPr id="29" name="Connector: Curved 28">
          <a:extLst>
            <a:ext uri="{FF2B5EF4-FFF2-40B4-BE49-F238E27FC236}">
              <a16:creationId xmlns:a16="http://schemas.microsoft.com/office/drawing/2014/main" id="{E5DC3117-AF8E-43AA-9216-6BAEAC49563A}"/>
            </a:ext>
          </a:extLst>
        </xdr:cNvPr>
        <xdr:cNvCxnSpPr>
          <a:stCxn id="23" idx="2"/>
          <a:endCxn id="27" idx="0"/>
        </xdr:cNvCxnSpPr>
      </xdr:nvCxnSpPr>
      <xdr:spPr>
        <a:xfrm rot="5400000">
          <a:off x="11708295" y="7154478"/>
          <a:ext cx="774435" cy="12700"/>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44802</xdr:colOff>
      <xdr:row>26</xdr:row>
      <xdr:rowOff>201361</xdr:rowOff>
    </xdr:from>
    <xdr:to>
      <xdr:col>21</xdr:col>
      <xdr:colOff>57502</xdr:colOff>
      <xdr:row>29</xdr:row>
      <xdr:rowOff>242372</xdr:rowOff>
    </xdr:to>
    <xdr:cxnSp macro="">
      <xdr:nvCxnSpPr>
        <xdr:cNvPr id="30" name="Connector: Curved 29">
          <a:extLst>
            <a:ext uri="{FF2B5EF4-FFF2-40B4-BE49-F238E27FC236}">
              <a16:creationId xmlns:a16="http://schemas.microsoft.com/office/drawing/2014/main" id="{0F44DD41-9FBC-4583-B37B-6A598A57FA59}"/>
            </a:ext>
          </a:extLst>
        </xdr:cNvPr>
        <xdr:cNvCxnSpPr>
          <a:stCxn id="25" idx="2"/>
          <a:endCxn id="28" idx="0"/>
        </xdr:cNvCxnSpPr>
      </xdr:nvCxnSpPr>
      <xdr:spPr>
        <a:xfrm rot="5400000">
          <a:off x="13308496" y="7159242"/>
          <a:ext cx="783961" cy="12700"/>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23</xdr:col>
      <xdr:colOff>514350</xdr:colOff>
      <xdr:row>7</xdr:row>
      <xdr:rowOff>3136</xdr:rowOff>
    </xdr:from>
    <xdr:ext cx="1587293" cy="711733"/>
    <xdr:sp macro="" textlink="">
      <xdr:nvSpPr>
        <xdr:cNvPr id="31" name="TextBox 30">
          <a:extLst>
            <a:ext uri="{FF2B5EF4-FFF2-40B4-BE49-F238E27FC236}">
              <a16:creationId xmlns:a16="http://schemas.microsoft.com/office/drawing/2014/main" id="{706DDB32-2509-4903-A448-18E94FEBCBB8}"/>
            </a:ext>
          </a:extLst>
        </xdr:cNvPr>
        <xdr:cNvSpPr txBox="1"/>
      </xdr:nvSpPr>
      <xdr:spPr>
        <a:xfrm>
          <a:off x="15382875" y="1870036"/>
          <a:ext cx="1587293" cy="7117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5.5.1.1-2</a:t>
          </a:r>
          <a:br>
            <a:rPr lang="en-AU" sz="1400" b="0">
              <a:solidFill>
                <a:schemeClr val="accent6">
                  <a:lumMod val="50000"/>
                </a:schemeClr>
              </a:solidFill>
            </a:rPr>
          </a:br>
          <a:r>
            <a:rPr lang="en-AU" sz="1400" b="0">
              <a:solidFill>
                <a:schemeClr val="accent6">
                  <a:lumMod val="50000"/>
                </a:schemeClr>
              </a:solidFill>
            </a:rPr>
            <a:t>Leaching and </a:t>
          </a:r>
          <a:br>
            <a:rPr lang="en-AU" sz="1400" b="0">
              <a:solidFill>
                <a:schemeClr val="accent6">
                  <a:lumMod val="50000"/>
                </a:schemeClr>
              </a:solidFill>
            </a:rPr>
          </a:br>
          <a:r>
            <a:rPr lang="en-AU" sz="1400" b="0">
              <a:solidFill>
                <a:schemeClr val="accent6">
                  <a:lumMod val="50000"/>
                </a:schemeClr>
              </a:solidFill>
            </a:rPr>
            <a:t>runoff</a:t>
          </a:r>
        </a:p>
      </xdr:txBody>
    </xdr:sp>
    <xdr:clientData/>
  </xdr:oneCellAnchor>
  <xdr:twoCellAnchor>
    <xdr:from>
      <xdr:col>23</xdr:col>
      <xdr:colOff>9525</xdr:colOff>
      <xdr:row>23</xdr:row>
      <xdr:rowOff>179148</xdr:rowOff>
    </xdr:from>
    <xdr:to>
      <xdr:col>25</xdr:col>
      <xdr:colOff>302325</xdr:colOff>
      <xdr:row>27</xdr:row>
      <xdr:rowOff>134670</xdr:rowOff>
    </xdr:to>
    <xdr:sp macro="" textlink="">
      <xdr:nvSpPr>
        <xdr:cNvPr id="32" name="TextBox 31">
          <a:hlinkClick xmlns:r="http://schemas.openxmlformats.org/officeDocument/2006/relationships" r:id="rId15"/>
          <a:extLst>
            <a:ext uri="{FF2B5EF4-FFF2-40B4-BE49-F238E27FC236}">
              <a16:creationId xmlns:a16="http://schemas.microsoft.com/office/drawing/2014/main" id="{3E0B600C-709A-488F-B53E-5A4583667CA6}"/>
            </a:ext>
          </a:extLst>
        </xdr:cNvPr>
        <xdr:cNvSpPr txBox="1"/>
      </xdr:nvSpPr>
      <xdr:spPr>
        <a:xfrm>
          <a:off x="14878050" y="6008448"/>
          <a:ext cx="1512000" cy="946122"/>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3E01B5C-925C-4432-B571-A7CBCBF20334}" type="TxLink">
            <a:rPr lang="en-US" sz="1000" b="0" i="0" u="none" strike="noStrike">
              <a:solidFill>
                <a:schemeClr val="accent6">
                  <a:lumMod val="50000"/>
                </a:schemeClr>
              </a:solidFill>
              <a:latin typeface="Times New Roman"/>
              <a:cs typeface="Times New Roman"/>
            </a:rPr>
            <a:pPr algn="ctr"/>
            <a:t>Mass of nitrogen lost through leaching and runoff from inorganic fertiliser application in production system j</a:t>
          </a:fld>
          <a:endParaRPr lang="en-AU" sz="1000">
            <a:solidFill>
              <a:schemeClr val="accent6">
                <a:lumMod val="50000"/>
              </a:schemeClr>
            </a:solidFill>
          </a:endParaRPr>
        </a:p>
      </xdr:txBody>
    </xdr:sp>
    <xdr:clientData/>
  </xdr:twoCellAnchor>
  <xdr:twoCellAnchor>
    <xdr:from>
      <xdr:col>25</xdr:col>
      <xdr:colOff>421487</xdr:colOff>
      <xdr:row>23</xdr:row>
      <xdr:rowOff>191067</xdr:rowOff>
    </xdr:from>
    <xdr:to>
      <xdr:col>28</xdr:col>
      <xdr:colOff>104687</xdr:colOff>
      <xdr:row>27</xdr:row>
      <xdr:rowOff>133350</xdr:rowOff>
    </xdr:to>
    <xdr:sp macro="" textlink="">
      <xdr:nvSpPr>
        <xdr:cNvPr id="33" name="TextBox 32">
          <a:hlinkClick xmlns:r="http://schemas.openxmlformats.org/officeDocument/2006/relationships" r:id="rId16"/>
          <a:extLst>
            <a:ext uri="{FF2B5EF4-FFF2-40B4-BE49-F238E27FC236}">
              <a16:creationId xmlns:a16="http://schemas.microsoft.com/office/drawing/2014/main" id="{945ED0EE-54A7-4EE5-8ED5-D241DB9AC29D}"/>
            </a:ext>
          </a:extLst>
        </xdr:cNvPr>
        <xdr:cNvSpPr txBox="1"/>
      </xdr:nvSpPr>
      <xdr:spPr>
        <a:xfrm>
          <a:off x="16509212" y="6020367"/>
          <a:ext cx="1512000" cy="932883"/>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C6BA999-E405-4FF8-94D2-D154C7411D6A}" type="TxLink">
            <a:rPr lang="en-US" sz="1000" b="0" i="0" u="none" strike="noStrike">
              <a:solidFill>
                <a:schemeClr val="accent6">
                  <a:lumMod val="50000"/>
                </a:schemeClr>
              </a:solidFill>
              <a:latin typeface="Times New Roman"/>
              <a:cs typeface="Times New Roman"/>
            </a:rPr>
            <a:pPr algn="ctr"/>
            <a:t>Mass of nitrogen lost through leaching and runoff from organic fertiliser application in production system j</a:t>
          </a:fld>
          <a:endParaRPr lang="en-AU" sz="1000">
            <a:solidFill>
              <a:schemeClr val="accent6">
                <a:lumMod val="50000"/>
              </a:schemeClr>
            </a:solidFill>
          </a:endParaRPr>
        </a:p>
      </xdr:txBody>
    </xdr:sp>
    <xdr:clientData/>
  </xdr:twoCellAnchor>
  <xdr:twoCellAnchor>
    <xdr:from>
      <xdr:col>24</xdr:col>
      <xdr:colOff>228600</xdr:colOff>
      <xdr:row>29</xdr:row>
      <xdr:rowOff>228178</xdr:rowOff>
    </xdr:from>
    <xdr:to>
      <xdr:col>26</xdr:col>
      <xdr:colOff>521400</xdr:colOff>
      <xdr:row>34</xdr:row>
      <xdr:rowOff>69928</xdr:rowOff>
    </xdr:to>
    <xdr:sp macro="" textlink="">
      <xdr:nvSpPr>
        <xdr:cNvPr id="34" name="TextBox 33">
          <a:hlinkClick xmlns:r="http://schemas.openxmlformats.org/officeDocument/2006/relationships" r:id="rId17"/>
          <a:extLst>
            <a:ext uri="{FF2B5EF4-FFF2-40B4-BE49-F238E27FC236}">
              <a16:creationId xmlns:a16="http://schemas.microsoft.com/office/drawing/2014/main" id="{835A28E3-B6AA-4543-8F05-0DA94AE73618}"/>
            </a:ext>
          </a:extLst>
        </xdr:cNvPr>
        <xdr:cNvSpPr txBox="1"/>
      </xdr:nvSpPr>
      <xdr:spPr>
        <a:xfrm>
          <a:off x="15706725" y="7543378"/>
          <a:ext cx="1512000" cy="108000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83732B8-BDB8-4743-96C7-0FC4126D0EF4}" type="TxLink">
            <a:rPr lang="en-US" sz="1000" b="1" i="0" u="none" strike="noStrike">
              <a:solidFill>
                <a:schemeClr val="accent6">
                  <a:lumMod val="50000"/>
                </a:schemeClr>
              </a:solidFill>
              <a:latin typeface="Times New Roman"/>
              <a:cs typeface="Times New Roman"/>
            </a:rPr>
            <a:pPr algn="ctr"/>
            <a:t>Nitrous oxide emissions from nitrogen leaching and runoff from the application of all fertilisers across all production systems j</a:t>
          </a:fld>
          <a:endParaRPr lang="en-AU" sz="1000" b="1">
            <a:solidFill>
              <a:schemeClr val="accent6">
                <a:lumMod val="50000"/>
              </a:schemeClr>
            </a:solidFill>
          </a:endParaRPr>
        </a:p>
      </xdr:txBody>
    </xdr:sp>
    <xdr:clientData/>
  </xdr:twoCellAnchor>
  <xdr:twoCellAnchor>
    <xdr:from>
      <xdr:col>24</xdr:col>
      <xdr:colOff>155924</xdr:colOff>
      <xdr:row>27</xdr:row>
      <xdr:rowOff>134670</xdr:rowOff>
    </xdr:from>
    <xdr:to>
      <xdr:col>25</xdr:col>
      <xdr:colOff>374999</xdr:colOff>
      <xdr:row>29</xdr:row>
      <xdr:rowOff>228178</xdr:rowOff>
    </xdr:to>
    <xdr:cxnSp macro="">
      <xdr:nvCxnSpPr>
        <xdr:cNvPr id="35" name="Connector: Curved 34">
          <a:extLst>
            <a:ext uri="{FF2B5EF4-FFF2-40B4-BE49-F238E27FC236}">
              <a16:creationId xmlns:a16="http://schemas.microsoft.com/office/drawing/2014/main" id="{B5CB5695-6102-48E6-8261-A19F3834233A}"/>
            </a:ext>
          </a:extLst>
        </xdr:cNvPr>
        <xdr:cNvCxnSpPr>
          <a:stCxn id="32" idx="2"/>
          <a:endCxn id="34" idx="0"/>
        </xdr:cNvCxnSpPr>
      </xdr:nvCxnSpPr>
      <xdr:spPr>
        <a:xfrm rot="16200000" flipH="1">
          <a:off x="15753983" y="6834636"/>
          <a:ext cx="588808" cy="828675"/>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25</xdr:col>
      <xdr:colOff>375000</xdr:colOff>
      <xdr:row>27</xdr:row>
      <xdr:rowOff>133351</xdr:rowOff>
    </xdr:from>
    <xdr:to>
      <xdr:col>26</xdr:col>
      <xdr:colOff>567887</xdr:colOff>
      <xdr:row>29</xdr:row>
      <xdr:rowOff>228179</xdr:rowOff>
    </xdr:to>
    <xdr:cxnSp macro="">
      <xdr:nvCxnSpPr>
        <xdr:cNvPr id="36" name="Connector: Curved 35">
          <a:extLst>
            <a:ext uri="{FF2B5EF4-FFF2-40B4-BE49-F238E27FC236}">
              <a16:creationId xmlns:a16="http://schemas.microsoft.com/office/drawing/2014/main" id="{4AA958D2-AF54-408C-9DE0-3B69D1BC6652}"/>
            </a:ext>
          </a:extLst>
        </xdr:cNvPr>
        <xdr:cNvCxnSpPr>
          <a:stCxn id="33" idx="2"/>
          <a:endCxn id="34" idx="0"/>
        </xdr:cNvCxnSpPr>
      </xdr:nvCxnSpPr>
      <xdr:spPr>
        <a:xfrm rot="5400000">
          <a:off x="16568905" y="6847071"/>
          <a:ext cx="590128" cy="802487"/>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341230</xdr:colOff>
      <xdr:row>12</xdr:row>
      <xdr:rowOff>100007</xdr:rowOff>
    </xdr:from>
    <xdr:to>
      <xdr:col>26</xdr:col>
      <xdr:colOff>567888</xdr:colOff>
      <xdr:row>23</xdr:row>
      <xdr:rowOff>191066</xdr:rowOff>
    </xdr:to>
    <xdr:cxnSp macro="">
      <xdr:nvCxnSpPr>
        <xdr:cNvPr id="37" name="Connector: Curved 36">
          <a:extLst>
            <a:ext uri="{FF2B5EF4-FFF2-40B4-BE49-F238E27FC236}">
              <a16:creationId xmlns:a16="http://schemas.microsoft.com/office/drawing/2014/main" id="{AB73A9CF-D92E-4F3E-9E69-B41F74DBD125}"/>
            </a:ext>
          </a:extLst>
        </xdr:cNvPr>
        <xdr:cNvCxnSpPr>
          <a:stCxn id="17" idx="2"/>
          <a:endCxn id="33" idx="0"/>
        </xdr:cNvCxnSpPr>
      </xdr:nvCxnSpPr>
      <xdr:spPr>
        <a:xfrm rot="16200000" flipH="1">
          <a:off x="11477079" y="232233"/>
          <a:ext cx="2815209" cy="8761058"/>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257236</xdr:colOff>
      <xdr:row>12</xdr:row>
      <xdr:rowOff>162354</xdr:rowOff>
    </xdr:from>
    <xdr:to>
      <xdr:col>24</xdr:col>
      <xdr:colOff>155926</xdr:colOff>
      <xdr:row>23</xdr:row>
      <xdr:rowOff>179147</xdr:rowOff>
    </xdr:to>
    <xdr:cxnSp macro="">
      <xdr:nvCxnSpPr>
        <xdr:cNvPr id="38" name="Connector: Curved 37">
          <a:extLst>
            <a:ext uri="{FF2B5EF4-FFF2-40B4-BE49-F238E27FC236}">
              <a16:creationId xmlns:a16="http://schemas.microsoft.com/office/drawing/2014/main" id="{4C5C5899-A519-4E22-AE60-4B8D47571BE6}"/>
            </a:ext>
          </a:extLst>
        </xdr:cNvPr>
        <xdr:cNvCxnSpPr>
          <a:stCxn id="3" idx="2"/>
          <a:endCxn id="32" idx="0"/>
        </xdr:cNvCxnSpPr>
      </xdr:nvCxnSpPr>
      <xdr:spPr>
        <a:xfrm rot="16200000" flipH="1">
          <a:off x="8218234" y="-1407369"/>
          <a:ext cx="2740943" cy="12090690"/>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6.3.1.1-2%20Leaching%20and%20runoff"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6.1.1.1-2%20Crop%20residue%20N2O"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6.3.1.1-2%20Leach%20runoff%20crop"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6.4.1.1-2%20Residue%20burning"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Input%20-%20Crop"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6.3.1"/>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6.1.1"/>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6.3.1"/>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6.4.1"/>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 Crop"/>
    </sheetNames>
    <sheetDataSet>
      <sheetData sheetId="0" refreshError="1"/>
    </sheetDataSet>
  </externalBook>
</externalLink>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BD1EAFDF-C64D-49E3-A9F5-DA0206794C45}" name="Table_Input_LivestockSales348" displayName="Table_Input_LivestockSales348" ref="D206:I216" totalsRowShown="0">
  <autoFilter ref="D206:I216" xr:uid="{9788FF98-B3CA-4ACF-A4A7-6C9791C2BC6C}">
    <filterColumn colId="0" hiddenButton="1"/>
    <filterColumn colId="1" hiddenButton="1"/>
    <filterColumn colId="2" hiddenButton="1"/>
    <filterColumn colId="3" hiddenButton="1"/>
    <filterColumn colId="4" hiddenButton="1"/>
    <filterColumn colId="5" hiddenButton="1"/>
  </autoFilter>
  <tableColumns count="6">
    <tableColumn id="6" xr3:uid="{DACDFD34-2FF3-492D-97C6-BF7B9EC44B55}" name="Transaction name" dataCellStyle="Input text"/>
    <tableColumn id="1" xr3:uid="{72D567D5-D4D2-4710-B837-7ECCE4C795FF}" name="Class (select)" dataCellStyle="Input select"/>
    <tableColumn id="2" xr3:uid="{ADA846D2-5C50-44C2-A98C-4A33E890F384}" name="Sale date" dataDxfId="445"/>
    <tableColumn id="3" xr3:uid="{44071CD5-CF56-470D-B9CA-F07AAD10C7B7}" name="Head sold"/>
    <tableColumn id="4" xr3:uid="{C4FEC7A6-4A12-40DA-91D9-DA2D6A993065}" name="Average weight per head (kg)"/>
    <tableColumn id="5" xr3:uid="{216F4473-E9C8-41F5-AA8E-1AB082E396BC}" name="Total liveweight sold" dataCellStyle="Input number general calculated">
      <calculatedColumnFormula>G207*H207</calculatedColumnFormula>
    </tableColumn>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FB7FBC9B-C18C-47FB-A400-1A10D6339AAE}" name="Table_Input_LivestockPurchases_Beefcattle49" displayName="Table_Input_LivestockPurchases_Beefcattle49" ref="D190:K200" totalsRowShown="0">
  <autoFilter ref="D190:K200" xr:uid="{6038C2A3-81F8-474C-86CB-9B36DB764F55}">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9" xr3:uid="{7270841E-9EDE-4DE5-944B-C59E7E8712BC}" name="Transaction name" dataCellStyle="Input text"/>
    <tableColumn id="13" xr3:uid="{823A7186-1463-4CB1-B060-AF7F2503DA79}" name="Purchase date" dataCellStyle="Input text"/>
    <tableColumn id="11" xr3:uid="{371408EB-42DB-457B-BE52-EE427B3C9811}" name="Class (select)" dataDxfId="444" dataCellStyle="Input select"/>
    <tableColumn id="2" xr3:uid="{9DBBF35A-6F06-4303-A62F-B70A57FAA86D}" name="Purchase class (select)" dataDxfId="443" dataCellStyle="Input select"/>
    <tableColumn id="6" xr3:uid="{2C7E30A0-5A08-44D0-87E3-537058AD60D9}" name="Source region (Select)" dataDxfId="442" dataCellStyle="Input select"/>
    <tableColumn id="3" xr3:uid="{7DABF1C5-9FEB-40FB-B68C-60CF37B37067}" name="Quantity (head)" dataCellStyle="Input number general"/>
    <tableColumn id="12" xr3:uid="{DD3B5B8C-FFE8-44F2-8C6B-40BD2C8D22BC}" name="Liveweight (kg/head) Method 1" dataCellStyle="Input number general calculated"/>
    <tableColumn id="4" xr3:uid="{A8297301-58B6-4B9F-BA4F-271695394F96}" name="Liveweight (kg/head) Method 2" dataCellStyle="Input number general"/>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31FABD9-A229-47A8-BABA-AD93028D84F8}" name="Table_Input_LivestockSales3" displayName="Table_Input_LivestockSales3" ref="D206:I216" totalsRowShown="0">
  <autoFilter ref="D206:I216" xr:uid="{484622CD-CCF3-4BB9-AAA9-4F75EF631CF3}"/>
  <tableColumns count="6">
    <tableColumn id="6" xr3:uid="{271E2307-8EBE-4FB5-9C6F-6CDF30189D1C}" name="Transaction name" dataCellStyle="Input text"/>
    <tableColumn id="1" xr3:uid="{51A9C5AF-1B35-4427-94B3-114AFBB2D111}" name="Class (select)" dataCellStyle="Input select"/>
    <tableColumn id="2" xr3:uid="{2C6FFA1A-DBBC-4218-8E40-ED912D569048}" name="Sale date" dataDxfId="441"/>
    <tableColumn id="3" xr3:uid="{A8979FF2-761E-457B-B161-EDD9F5936186}" name="Head sold"/>
    <tableColumn id="4" xr3:uid="{943B7A5B-113F-458A-9A4A-768CAE65AD98}" name="Average weight per head (kg)"/>
    <tableColumn id="5" xr3:uid="{EEE64122-A490-4605-94B7-59A2DF8F6887}" name="Total liveweight sold" dataCellStyle="Input number general calculated">
      <calculatedColumnFormula>G207*H207</calculatedColumnFormula>
    </tableColumn>
  </tableColumns>
  <tableStyleInfo name="Editable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A9AE505-EB04-40AD-888A-91A6F7B0A1E0}" name="Table_Input_LivestockPurchases_Beefcattle" displayName="Table_Input_LivestockPurchases_Beefcattle" ref="D190:K200" totalsRowShown="0">
  <autoFilter ref="D190:K200" xr:uid="{AAB6424C-3730-40E0-8F0E-53BDFDC2DDBB}"/>
  <tableColumns count="8">
    <tableColumn id="9" xr3:uid="{DF32680A-BE9B-47AD-846A-93F441FC2A22}" name="Transaction name" dataCellStyle="Input text"/>
    <tableColumn id="13" xr3:uid="{07D70C75-8E2A-40EF-88AA-3489D9EEC903}" name="Purchase date" dataCellStyle="Input text"/>
    <tableColumn id="11" xr3:uid="{A8D94526-107F-4690-8216-862FB2CACEEF}" name="Class (select)" dataDxfId="440" dataCellStyle="Input select"/>
    <tableColumn id="2" xr3:uid="{FB0886A9-B35D-4324-B03F-89CE5230B50E}" name="Purchase class (select)" dataDxfId="439" dataCellStyle="Input select"/>
    <tableColumn id="6" xr3:uid="{000C8585-752A-4920-8878-1F69E9F84C57}" name="Source region (Select)" dataDxfId="438" dataCellStyle="Input select"/>
    <tableColumn id="3" xr3:uid="{61CD0007-38F4-4E41-9829-AD12427652C6}" name="Quantity (head)" dataCellStyle="Input number general"/>
    <tableColumn id="12" xr3:uid="{E595601C-51DA-45B3-A325-B5CFC6579A4B}" name="Liveweight (kg/head) Method 1" dataCellStyle="Input number general calculated"/>
    <tableColumn id="4" xr3:uid="{EEC59D26-18EC-46C5-B009-F70104061C4D}" name="Liveweight (kg/head) Method 2" dataCellStyle="Input number general"/>
  </tableColumns>
  <tableStyleInfo name="Editable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633D1770-EF65-4DA0-B323-9F3685EFD253}" name="Table_Input_InorganicFertiliser_Brands" displayName="Table_Input_InorganicFertiliser_Brands" ref="D17:X22" headerRowDxfId="437" dataDxfId="436" totalsRowDxfId="435">
  <autoFilter ref="D17:X22" xr:uid="{5673927C-FAF3-425F-8E58-192CAB5E17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autoFilter>
  <tableColumns count="21">
    <tableColumn id="2" xr3:uid="{9E3D804A-9932-46F5-B725-C2FD53065B0E}" name="Product (select)" dataDxfId="434" totalsRowDxfId="433" dataCellStyle="Input select"/>
    <tableColumn id="23" xr3:uid="{166A8446-A64B-484E-9B73-DA7A012472B4}" name="Amount applied per hectare" totalsRowFunction="custom" dataDxfId="432" totalsRowDxfId="431">
      <totalsRowFormula>SUM(Table_Input_InorganicFertiliser_Brands[[#Headers],[#Data],[Amount applied per hectare]])</totalsRowFormula>
    </tableColumn>
    <tableColumn id="12" xr3:uid="{F4120BA5-2D4A-40F5-9DA3-D20F473A02B2}" name="Application unit" dataDxfId="430" totalsRowDxfId="429" dataCellStyle="Input number 2 decimal places"/>
    <tableColumn id="9" xr3:uid="{A92BB2DE-3EBA-48FD-BB46-2262C8E9A3A0}" name="Density" dataDxfId="428" totalsRowDxfId="427" dataCellStyle="Input number 2 decimal places"/>
    <tableColumn id="6" xr3:uid="{1822EC8F-BC22-46C1-80EF-ED4AC95BE754}" name="Application area (ha)" dataDxfId="426" totalsRowDxfId="425">
      <calculatedColumnFormula>$E$9</calculatedColumnFormula>
    </tableColumn>
    <tableColumn id="1" xr3:uid="{1C910201-76EE-473D-B37E-93C03B672792}" name="Total applied (kg)" dataDxfId="424" totalsRowDxfId="423" dataCellStyle="Input number general calculated">
      <calculatedColumnFormula>(Table_Input_InorganicFertiliser_Brands[[#This Row],[Amount applied per hectare]]*Table_Input_InorganicFertiliser_Brands[[#This Row],[Density]])*Table_Input_InorganicFertiliser_Brands[[#This Row],[Application area (ha)]]</calculatedColumnFormula>
    </tableColumn>
    <tableColumn id="3" xr3:uid="{D45FE5FE-B6B7-4E7B-9E60-86B5B526AD3A}" name="Ingredient 1" dataDxfId="422" totalsRowDxfId="421" dataCellStyle="Input number general calculated"/>
    <tableColumn id="4" xr3:uid="{E25F6E2C-4B74-499A-8B30-21536600A6F9}" name="Ingredient 1 percent" dataDxfId="420" totalsRowDxfId="419" dataCellStyle="Input number general calculated"/>
    <tableColumn id="7" xr3:uid="{122FFE78-E994-4825-9B06-C16E14A55F75}" name="Ingredient 2" dataDxfId="418" dataCellStyle="Input number general calculated"/>
    <tableColumn id="8" xr3:uid="{FABFB601-5A07-4121-83D2-9C8D23778658}" name="Ingredient 2 percent" dataDxfId="417" totalsRowDxfId="416" dataCellStyle="Input number general calculated"/>
    <tableColumn id="10" xr3:uid="{967745DE-597C-4EDC-B188-8A4F4531DBBD}" name="Ingredient 3" dataDxfId="415" totalsRowDxfId="414" dataCellStyle="Input number general calculated"/>
    <tableColumn id="11" xr3:uid="{0F87C682-31E5-4EA3-8E3B-38A73AA30865}" name="Ingredient 3 percent" dataDxfId="413" totalsRowDxfId="412" dataCellStyle="Input number general calculated"/>
    <tableColumn id="13" xr3:uid="{E7A5FEED-CAC1-4A4C-AA90-34D2CE88D74F}" name="Ingredient 4" dataDxfId="411" totalsRowDxfId="410" dataCellStyle="Input number general calculated"/>
    <tableColumn id="14" xr3:uid="{9F748779-B8DE-4199-88CB-AF8F1B6FDA13}" name="Ingredient 4 percent" dataDxfId="409" dataCellStyle="Input number general calculated"/>
    <tableColumn id="16" xr3:uid="{2E4CA5E4-97FB-4FD5-87FE-819B71B67189}" name="Ingredient 5" dataDxfId="408" dataCellStyle="Input number general calculated"/>
    <tableColumn id="17" xr3:uid="{AEA1955A-208E-479B-A211-B35BA57F8355}" name="Ingredient 5 percent" dataDxfId="407" dataCellStyle="Input number general calculated"/>
    <tableColumn id="19" xr3:uid="{73EE4DC1-9E1F-4912-A785-16A2989BCB79}" name="Ingredient 6" dataDxfId="406" dataCellStyle="Input number general calculated"/>
    <tableColumn id="20" xr3:uid="{C66C1D39-DADF-4E2C-BEBC-4879F397B3B3}" name="Ingredient 6 percent" dataDxfId="405" dataCellStyle="Input number general calculated"/>
    <tableColumn id="5" xr3:uid="{5753285C-6A01-4B6F-9D28-D4E289BD5442}" name="N application rate (kg/ha)" dataDxfId="404" totalsRowDxfId="403" dataCellStyle="Input number general calculated"/>
    <tableColumn id="15" xr3:uid="{A38C5671-76A8-466C-B183-9BE2E0165472}" name="Urea source" dataDxfId="402" totalsRowDxfId="401" dataCellStyle="Input number general calculated"/>
    <tableColumn id="18" xr3:uid="{BE3A4CD8-FA36-4C3C-9815-D6A89BBE562D}" name="Ammonia source" dataDxfId="400" totalsRowDxfId="399" dataCellStyle="Input number general calculated"/>
  </tableColumns>
  <tableStyleInfo name="Editable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3DDF00BD-41A3-4DE7-89A4-FFC749A57D2D}" name="Table_Input_InorganicFertiliser_Custom" displayName="Table_Input_InorganicFertiliser_Custom" ref="D25:R28" totalsRowShown="0" headerRowDxfId="398" dataDxfId="397">
  <autoFilter ref="D25:R28" xr:uid="{6024A338-4140-4535-9AA6-449DA88B1C2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C7322A19-988B-4DC2-8FAD-334CECC1A7D6}" name="Custom blend name" dataCellStyle="Input text"/>
    <tableColumn id="2" xr3:uid="{BE1A9C69-9DF2-4A72-B5A8-8B90403AB29F}" name="Amount applied (kg / ha)" dataDxfId="396"/>
    <tableColumn id="3" xr3:uid="{7F30715A-0504-43E1-AE36-AF2B09B62221}" name="Application area (ha)" dataDxfId="395" dataCellStyle="Input number 2 decimal places">
      <calculatedColumnFormula>$E$9</calculatedColumnFormula>
    </tableColumn>
    <tableColumn id="4" xr3:uid="{85B8FA2D-476F-4DA9-9C8B-9A15E5CA27FD}" name="Total applied (kg)" dataDxfId="394" dataCellStyle="Input number general calculated">
      <calculatedColumnFormula>Table_Input_InorganicFertiliser_Custom[[#This Row],[Amount applied (kg / ha)]]*Table_Input_InorganicFertiliser_Custom[[#This Row],[Application area (ha)]]</calculatedColumnFormula>
    </tableColumn>
    <tableColumn id="5" xr3:uid="{251CE148-225B-48EC-BB11-0DA9700FF12E}" name="Ingredient 1 (select)" dataDxfId="393" dataCellStyle="Input select"/>
    <tableColumn id="6" xr3:uid="{C7023BCF-0979-4828-964A-7F8E2881471F}" name="Ingredient 1 percent" dataDxfId="392"/>
    <tableColumn id="8" xr3:uid="{85D4B531-CC64-4A20-BF29-422DC99D1C40}" name="Ingredient 2" dataDxfId="391" dataCellStyle="Input select"/>
    <tableColumn id="9" xr3:uid="{D100FF78-1DE5-4158-B0CA-933C7F9B8B9B}" name="Ingredient 2 percent" dataDxfId="390"/>
    <tableColumn id="11" xr3:uid="{2877D8E0-8C05-48E7-A222-3F73AC9515A3}" name="Ingredient 3" dataDxfId="389" dataCellStyle="Input select"/>
    <tableColumn id="12" xr3:uid="{E507D21F-D4BC-4347-BF11-C56C12768427}" name="Ingredient 3 percent" dataDxfId="388"/>
    <tableColumn id="14" xr3:uid="{42C3852B-3DA3-4373-AF3A-54319C3FADBC}" name="Ingredient 4" dataDxfId="387" dataCellStyle="Input select"/>
    <tableColumn id="15" xr3:uid="{7F0568ED-6161-4D30-9EA0-5B3625968613}" name="Ingredient 4 percent" dataCellStyle="Input percent"/>
    <tableColumn id="7" xr3:uid="{BF3B147F-2462-47D7-999D-A00E70B1CDAC}" name="N application rate (kg/ha)" dataDxfId="386" dataCellStyle="Input number general calculated"/>
    <tableColumn id="10" xr3:uid="{268D15DA-C3FF-4064-898A-4358831C0029}" name="Urea source (Select)" dataCellStyle="Input select"/>
    <tableColumn id="13" xr3:uid="{A89A01E2-5D8E-4D93-85AF-AFD95CF6B4B8}" name="Ammonia source (select)" dataCellStyle="Input select"/>
  </tableColumns>
  <tableStyleInfo name="Editable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FC2E1CDB-B23C-4D1B-B0ED-C89AB21728F0}" name="Table_Input_Lime" displayName="Table_Input_Lime" ref="D36:K39" totalsRowShown="0" headerRowDxfId="385" dataDxfId="384" headerRowCellStyle="Input table column header">
  <autoFilter ref="D36:K39" xr:uid="{2C84B33D-ED8D-4C1D-B319-1B5D2D0181A1}">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71C0EFE7-4D23-4BBB-A717-E5DD4DE24CDB}" name="Product" dataDxfId="383"/>
    <tableColumn id="2" xr3:uid="{EAAD069B-6496-490F-99B7-AA7E0BF73882}" name="Amount applied (t/hectare)" dataDxfId="382"/>
    <tableColumn id="4" xr3:uid="{6946910B-9391-4A5E-AD72-EBF8DA8DECE9}" name="Application area (ha)" dataDxfId="381">
      <calculatedColumnFormula>$E$9</calculatedColumnFormula>
    </tableColumn>
    <tableColumn id="3" xr3:uid="{B9FB8FBA-CF74-4D31-91D1-B73613DB837E}" name="Total amount applied (t)" dataDxfId="380" dataCellStyle="Input number general calculated">
      <calculatedColumnFormula>IFERROR(Table_Input_Lime[[#This Row],[Amount applied (t/hectare)]]*Table_Input_Lime[[#This Row],[Application area (ha)]], 0)</calculatedColumnFormula>
    </tableColumn>
    <tableColumn id="6" xr3:uid="{32FBDA00-1161-4AF9-B44F-D091144EF2E5}" name="Percent Lime CaCO3" dataDxfId="379"/>
    <tableColumn id="8" xr3:uid="{74626DBE-579F-4351-BBAA-10A3B94D68CA}" name="Percent Dolomite CaMg(CO3)2" dataDxfId="378"/>
    <tableColumn id="7" xr3:uid="{226358EB-28CD-4752-8E13-24BB6D54D35A}" name="Percent Gypsum" dataDxfId="377"/>
    <tableColumn id="10" xr3:uid="{66313C31-4C55-468D-AAD5-89712DFF2B5D}" name="Total" dataDxfId="376" dataCellStyle="Percent">
      <calculatedColumnFormula>SUM(Table_Input_Lime[[#This Row],[Percent Lime CaCO3]:[Percent Gypsum]])</calculatedColumnFormula>
    </tableColumn>
  </tableColumns>
  <tableStyleInfo name="Editable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30D21316-C5DD-4C67-9B86-B61A6841BC51}" name="Table_Input_OrganicFertiliser" displayName="Table_Input_OrganicFertiliser" ref="D47:J50" totalsRowShown="0" headerRowDxfId="375" dataDxfId="374" headerRowCellStyle="Input table column header">
  <autoFilter ref="D47:J50" xr:uid="{1424D04C-9CD1-4344-A611-A0F26AAC6A0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6DBB0326-67B5-4181-88A2-157B593930CF}" name="Organic fertiliser type (select)" dataDxfId="373" dataCellStyle="Input select"/>
    <tableColumn id="5" xr3:uid="{D73ED97C-D1F1-4C9A-909E-3EF264F03C59}" name="Percentage of N in fertiliser" dataDxfId="372"/>
    <tableColumn id="2" xr3:uid="{F0F897E6-799F-499A-82B3-E86F97E0C8E4}" name="Amount applied (kg/hectare)" dataDxfId="371"/>
    <tableColumn id="11" xr3:uid="{55C0E863-FD90-4F3C-84DF-DB2B497BDB04}" name="Amount N applied (kg/hectare)" dataDxfId="370" dataCellStyle="Input number general calculated">
      <calculatedColumnFormula>Table_Input_OrganicFertiliser[[#This Row],[Amount applied (kg/hectare)]]*Table_Input_OrganicFertiliser[[#This Row],[Percentage of N in fertiliser]]</calculatedColumnFormula>
    </tableColumn>
    <tableColumn id="4" xr3:uid="{9362D8D7-56E6-4FA6-8C92-C79167105E05}" name="Application area (ha)" dataDxfId="369">
      <calculatedColumnFormula>$E$9</calculatedColumnFormula>
    </tableColumn>
    <tableColumn id="7" xr3:uid="{78C1BE2C-1F44-4E3E-B5DD-0414F13C357F}" name="Total organic fertliser applied" dataDxfId="368" dataCellStyle="Input number general calculated">
      <calculatedColumnFormula>Table_Input_OrganicFertiliser[[#This Row],[Amount applied (kg/hectare)]]*Table_Input_OrganicFertiliser[[#This Row],[Application area (ha)]]</calculatedColumnFormula>
    </tableColumn>
    <tableColumn id="3" xr3:uid="{83CE6161-216B-4E7A-AD7A-4101CEF6BD5E}" name="Total nitrogen applied (kg)" dataDxfId="367" dataCellStyle="Input number general calculated">
      <calculatedColumnFormula>IFERROR(Table_Input_OrganicFertiliser[[#This Row],[Amount N applied (kg/hectare)]]*Table_Input_OrganicFertiliser[[#This Row],[Application area (ha)]], 0)</calculatedColumnFormula>
    </tableColumn>
  </tableColumns>
  <tableStyleInfo name="Editable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0F7673A4-1DFC-48A9-9672-8B27280B37C5}" name="Table_Input_Fuel" displayName="Table_Input_Fuel" ref="D16:J21" totalsRowDxfId="366" headerRowCellStyle="Input table column header">
  <autoFilter ref="D16:J21" xr:uid="{6E44059A-C219-4316-A7A0-AD77B0121F06}">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2" xr3:uid="{9690114E-9E23-40C3-8A05-16C4443F3E9C}" name="Fuel use (select)" totalsRowFunction="average" totalsRowDxfId="365" dataCellStyle="Input select" totalsRowCellStyle="Input select"/>
    <tableColumn id="3" xr3:uid="{EAD2A115-4005-4AC1-B8A9-88F53FF3C4E0}" name="Fuel type (select)" totalsRowDxfId="364" dataCellStyle="Input select" totalsRowCellStyle="Input select"/>
    <tableColumn id="4" xr3:uid="{EB4CD56D-0BA7-47E4-B869-9A344EE28F86}" name="Amount purchased" totalsRowDxfId="363" totalsRowCellStyle="Content bold"/>
    <tableColumn id="6" xr3:uid="{BED27979-ADDA-446D-BCD3-50D68904A10A}" name="Amount unit" totalsRowDxfId="362" dataCellStyle="Input number general calculated" totalsRowCellStyle="Input text calculated"/>
    <tableColumn id="5" xr3:uid="{0FF3500E-EA33-40A2-94DB-CFAEF0B12743}" name="Percent consumed" totalsRowDxfId="361" totalsRowCellStyle="Input percent">
      <calculatedColumnFormula>1</calculatedColumnFormula>
    </tableColumn>
    <tableColumn id="1" xr3:uid="{B78774F5-91E4-4992-874F-8A86CF3DA5DD}" name="Amount consumed" totalsRowFunction="custom" totalsRowDxfId="360" dataCellStyle="Input number general calculated" totalsRowCellStyle="Input number 3 decimal places calculated">
      <calculatedColumnFormula>Table_Input_Fuel[[#This Row],[Amount purchased]]*Table_Input_Fuel[[#This Row],[Percent consumed]]*IF(Table_Input_Fuel[[#This Row],[Amount unit]]="L", 10^-3, 1)</calculatedColumnFormula>
      <totalsRowFormula>SUM(Table_Input_Fuel[Amount consumed])</totalsRowFormula>
    </tableColumn>
    <tableColumn id="7" xr3:uid="{02E202E1-DB36-4776-BB0D-00427248D631}" name="Amount consumed unit" totalsRowDxfId="359" dataCellStyle="Input number general calculated"/>
  </tableColumns>
  <tableStyleInfo name="Editable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168D58C4-A1E5-4B59-8EDD-BBD25C8F3100}" name="Table_Input_RECSurrendered" displayName="Table_Input_RECSurrendered" ref="D36:I39" totalsRowShown="0" headerRowCellStyle="Input table column header">
  <autoFilter ref="D36:I39" xr:uid="{AB3DA401-69B9-4F52-A3AF-08FA63C556A0}">
    <filterColumn colId="0" hiddenButton="1"/>
    <filterColumn colId="1" hiddenButton="1"/>
    <filterColumn colId="2" hiddenButton="1"/>
    <filterColumn colId="3" hiddenButton="1"/>
    <filterColumn colId="4" hiddenButton="1"/>
    <filterColumn colId="5" hiddenButton="1"/>
  </autoFilter>
  <tableColumns count="6">
    <tableColumn id="1" xr3:uid="{53C0B745-08E6-466A-92B9-B213A2A695D0}" name="Description"/>
    <tableColumn id="5" xr3:uid="{FBD5267B-A713-4584-984E-DE2DA57AF7AD}" name="Source (select)" dataCellStyle="Input select"/>
    <tableColumn id="2" xr3:uid="{E1F9C884-80AC-4AFF-A6B8-B824192768E1}" name="Generation date" dataDxfId="358"/>
    <tableColumn id="3" xr3:uid="{E349382C-36F2-406E-9CFD-0A12324E98C4}" name="Number of certificates"/>
    <tableColumn id="4" xr3:uid="{D29A9F57-5E15-47AA-A697-C1DD7C281168}" name="MWh" dataCellStyle="Input number general calculated">
      <calculatedColumnFormula>Table_Input_RECSurrendered[[#This Row],[Number of certificates]]</calculatedColumnFormula>
    </tableColumn>
    <tableColumn id="7" xr3:uid="{6CE1B7E1-DD24-4C22-87EB-49E67CB37408}" name="Elegibility" dataCellStyle="Input number general calculated">
      <calculatedColumnFormula>IF(DATEDIF(Table_Input_RECSurrendered[[#This Row],[Generation date]],DATEVALUE($E$30),"M")&gt;36,"Ineligible - older than 36 months","Elegible")</calculatedColumnFormula>
    </tableColumn>
  </tableColumns>
  <tableStyleInfo name="Editable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4C24C37C-259C-475C-B6A6-1E4E7E5F0592}" name="Table_Input_RECConsumedByEntity" displayName="Table_Input_RECConsumedByEntity" ref="D45:I48" totalsRowShown="0" headerRowCellStyle="Input table column header">
  <autoFilter ref="D45:I48" xr:uid="{58D24162-9496-4032-8FB2-02E312F8AA25}">
    <filterColumn colId="0" hiddenButton="1"/>
    <filterColumn colId="1" hiddenButton="1"/>
    <filterColumn colId="2" hiddenButton="1"/>
    <filterColumn colId="3" hiddenButton="1"/>
    <filterColumn colId="4" hiddenButton="1"/>
    <filterColumn colId="5" hiddenButton="1"/>
  </autoFilter>
  <tableColumns count="6">
    <tableColumn id="1" xr3:uid="{5605D30F-384B-497D-9729-BE661E52FC46}" name="Description"/>
    <tableColumn id="5" xr3:uid="{D1C3DF56-248A-48C2-B87E-CF0EB86BAD80}" name="Source" dataCellStyle="Input text calculated">
      <calculatedColumnFormula>"Issued for generated electricity"</calculatedColumnFormula>
    </tableColumn>
    <tableColumn id="2" xr3:uid="{24AF3DEA-D431-4B7F-8966-0F81173FE019}" name="Generation date" dataDxfId="357"/>
    <tableColumn id="3" xr3:uid="{2E9AE2B8-865D-453A-A360-0805B5D151F1}" name="Number of certificates"/>
    <tableColumn id="4" xr3:uid="{326A7C47-2FFF-4E5D-940D-2F657309F38C}" name="MWh" dataCellStyle="Input number general calculated">
      <calculatedColumnFormula>Table_Input_RECConsumedByEntity[[#This Row],[Number of certificates]]</calculatedColumnFormula>
    </tableColumn>
    <tableColumn id="7" xr3:uid="{60EDBC1B-2953-470C-A505-5072D6CDA633}" name="Elegibility" dataCellStyle="Input number general calculated">
      <calculatedColumnFormula>IF(AND(Table_Input_RECConsumedByEntity[[#This Row],[Generation date]]&gt;=DATEVALUE($E$29), Table_Input_RECConsumedByEntity[[#This Row],[Generation date]]&lt;= DATEVALUE($E$30)), "Elegible", "Ineligible - outside reporting year")</calculatedColumnFormula>
    </tableColumn>
  </tableColumns>
  <tableStyleInfo name="Editable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61D60FC8-6F97-4136-94DE-071CB4312614}" name="Table_SourceData_PastureBeef_CropProdSystems" displayName="Table_SourceData_PastureBeef_CropProdSystems" ref="D7:D9" totalsRowShown="0">
  <autoFilter ref="D7:D9" xr:uid="{B6F3FE3A-A0B5-47E7-85B2-8426FB75A7C8}">
    <filterColumn colId="0" hiddenButton="1"/>
  </autoFilter>
  <tableColumns count="1">
    <tableColumn id="1" xr3:uid="{D151C4FF-B2C1-4135-B1CB-AB851E566938}" name="Production system">
      <calculatedColumnFormula>#REF!</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AE43B041-CC66-4D36-9ABF-E8810251E40F}" name="Table_SourceData_PastureBeef_IrrigationMethods" displayName="Table_SourceData_PastureBeef_IrrigationMethods" ref="G7:G12" totalsRowShown="0">
  <autoFilter ref="G7:G12" xr:uid="{FE172B77-CEA3-430C-84BC-392A64D0B8FF}">
    <filterColumn colId="0" hiddenButton="1"/>
  </autoFilter>
  <tableColumns count="1">
    <tableColumn id="1" xr3:uid="{15711703-D943-4936-9FB1-69C323988D17}" name="Irrigation method"/>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10B4A27C-8C22-431D-AF96-75936569DAB8}" name="Table_SourceData_PastureBeef_Liveweight" displayName="Table_SourceData_PastureBeef_Liveweight" ref="D18:M46" totalsRowShown="0">
  <autoFilter ref="D18:M46" xr:uid="{430B098F-3F00-49E5-81DA-BAED03622D3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46115F96-D533-4C5A-9E2B-9943C0367965}" name="State">
      <calculatedColumnFormula array="1">Common_InputFunctions.Utility_DisplayArrayInTable(SourceData_PastureBeef.SourceData_PastureBeef_Liveweight_Data(), Table_SourceData_PastureBeef_Liveweight[[#Headers],[State]], 0)</calculatedColumnFormula>
    </tableColumn>
    <tableColumn id="2" xr3:uid="{79A3DABB-807E-4078-8996-477CEBBF7C7A}" name="Region" dataDxfId="356" dataCellStyle="Content normal">
      <calculatedColumnFormula array="1">Common_InputFunctions.Utility_DisplayArrayInTable(SourceData_PastureBeef.SourceData_PastureBeef_Liveweight_Data(), Table_SourceData_PastureBeef_Liveweight[[#Headers],[State]], 0)</calculatedColumnFormula>
    </tableColumn>
    <tableColumn id="3" xr3:uid="{F8B565D5-EE10-4621-88CB-67B2E6932644}" name="Season" dataDxfId="355" dataCellStyle="Content normal">
      <calculatedColumnFormula array="1">Common_InputFunctions.Utility_DisplayArrayInTable(SourceData_PastureBeef.SourceData_PastureBeef_Liveweight_Data(), Table_SourceData_PastureBeef_Liveweight[[#Headers],[State]], 0)</calculatedColumnFormula>
    </tableColumn>
    <tableColumn id="4" xr3:uid="{D8A31E00-78A9-42BF-A8FA-343B29676509}" name="Bull &lt; 1" dataDxfId="354" dataCellStyle="Content normal">
      <calculatedColumnFormula array="1">Common_InputFunctions.Utility_DisplayArrayInTable(SourceData_PastureBeef.SourceData_PastureBeef_Liveweight_Data(), Table_SourceData_PastureBeef_Liveweight[[#Headers],[State]], 0)</calculatedColumnFormula>
    </tableColumn>
    <tableColumn id="5" xr3:uid="{0F624FE2-1095-4834-91AB-2671BB21FCFD}" name="Bull &gt; 1" dataDxfId="353" dataCellStyle="Content normal">
      <calculatedColumnFormula array="1">Common_InputFunctions.Utility_DisplayArrayInTable(SourceData_PastureBeef.SourceData_PastureBeef_Liveweight_Data(), Table_SourceData_PastureBeef_Liveweight[[#Headers],[State]], 0)</calculatedColumnFormula>
    </tableColumn>
    <tableColumn id="6" xr3:uid="{091E0841-FC60-49D9-AC85-E6EAD12BC237}" name="Cow &lt; 1" dataDxfId="352" dataCellStyle="Content normal">
      <calculatedColumnFormula array="1">Common_InputFunctions.Utility_DisplayArrayInTable(SourceData_PastureBeef.SourceData_PastureBeef_Liveweight_Data(), Table_SourceData_PastureBeef_Liveweight[[#Headers],[State]], 0)</calculatedColumnFormula>
    </tableColumn>
    <tableColumn id="7" xr3:uid="{D9404702-A2D0-4332-B35E-CADB86511AE7}" name="Cow 1-2" dataDxfId="351" dataCellStyle="Content normal">
      <calculatedColumnFormula array="1">Common_InputFunctions.Utility_DisplayArrayInTable(SourceData_PastureBeef.SourceData_PastureBeef_Liveweight_Data(), Table_SourceData_PastureBeef_Liveweight[[#Headers],[State]], 0)</calculatedColumnFormula>
    </tableColumn>
    <tableColumn id="8" xr3:uid="{C317F7B0-B83B-4835-A63E-11E5C40C37F8}" name="Cow &gt; 2" dataDxfId="350" dataCellStyle="Content normal">
      <calculatedColumnFormula array="1">Common_InputFunctions.Utility_DisplayArrayInTable(SourceData_PastureBeef.SourceData_PastureBeef_Liveweight_Data(), Table_SourceData_PastureBeef_Liveweight[[#Headers],[State]], 0)</calculatedColumnFormula>
    </tableColumn>
    <tableColumn id="9" xr3:uid="{4DC0343E-04A8-49AF-9E82-52AD151B6BEA}" name="Steer &lt; 1" dataDxfId="349" dataCellStyle="Content normal">
      <calculatedColumnFormula array="1">Common_InputFunctions.Utility_DisplayArrayInTable(SourceData_PastureBeef.SourceData_PastureBeef_Liveweight_Data(), Table_SourceData_PastureBeef_Liveweight[[#Headers],[State]], 0)</calculatedColumnFormula>
    </tableColumn>
    <tableColumn id="10" xr3:uid="{CDB919BD-4A61-4DC0-B5DE-6FBDF796FBAA}" name="Steer &gt; 1" dataDxfId="348" dataCellStyle="Content normal">
      <calculatedColumnFormula array="1">Common_InputFunctions.Utility_DisplayArrayInTable(SourceData_PastureBeef.SourceData_PastureBeef_Liveweight_Data(), Table_SourceData_PastureBeef_Liveweight[[#Headers],[State]],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955D1CD4-7B30-4B11-BF3B-0C72981C60EC}" name="Table_SourceData_PastureBeef_LiveweightNTQD" displayName="Table_SourceData_PastureBeef_LiveweightNTQD" ref="D53:P81" totalsRowShown="0">
  <autoFilter ref="D53:P81" xr:uid="{56498C6E-3CDA-4A1F-A7E7-3227B1B0C95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A8A75CDA-E61C-454A-B827-56A0584E56BE}" name="State">
      <calculatedColumnFormula array="1">Common_InputFunctions.Utility_DisplayArrayInTable(SourceData_PastureBeef.SourceData_PastureBeef_LiveweightNTQLD_Data(),Table_SourceData_PastureBeef_LiveweightNTQD[[#Headers],[State]], 0)</calculatedColumnFormula>
    </tableColumn>
    <tableColumn id="2" xr3:uid="{E81B62DD-33EF-4BBE-ABBD-7759F3409D42}" name="Region" dataDxfId="347" dataCellStyle="Content normal">
      <calculatedColumnFormula array="1">Common_InputFunctions.Utility_DisplayArrayInTable(SourceData_PastureBeef.SourceData_PastureBeef_LiveweightNTQLD_Data(),Table_SourceData_PastureBeef_LiveweightNTQD[[#Headers],[State]], 0)</calculatedColumnFormula>
    </tableColumn>
    <tableColumn id="3" xr3:uid="{B69D703A-56BA-42B9-9334-D37452A8CB47}" name="Season" dataDxfId="34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4" xr3:uid="{B0BEEF7D-5339-49E4-A720-2CD3A238DE57}" name="Bull &lt;1" dataDxfId="345" dataCellStyle="Content normal">
      <calculatedColumnFormula array="1">Common_InputFunctions.Utility_DisplayArrayInTable(SourceData_PastureBeef.SourceData_PastureBeef_LiveweightNTQLD_Data(),Table_SourceData_PastureBeef_LiveweightNTQD[[#Headers],[State]], 0)</calculatedColumnFormula>
    </tableColumn>
    <tableColumn id="5" xr3:uid="{C93C2983-57A4-4837-B61C-802714CDD9B6}" name="Bull &gt;1" dataDxfId="344" dataCellStyle="Content normal">
      <calculatedColumnFormula array="1">Common_InputFunctions.Utility_DisplayArrayInTable(SourceData_PastureBeef.SourceData_PastureBeef_LiveweightNTQLD_Data(),Table_SourceData_PastureBeef_LiveweightNTQD[[#Headers],[State]], 0)</calculatedColumnFormula>
    </tableColumn>
    <tableColumn id="6" xr3:uid="{B78D0CE3-5551-4F27-919E-2FAF70B71850}" name="Cows &lt;1" dataDxfId="343" dataCellStyle="Content normal">
      <calculatedColumnFormula array="1">Common_InputFunctions.Utility_DisplayArrayInTable(SourceData_PastureBeef.SourceData_PastureBeef_LiveweightNTQLD_Data(),Table_SourceData_PastureBeef_LiveweightNTQD[[#Headers],[State]], 0)</calculatedColumnFormula>
    </tableColumn>
    <tableColumn id="7" xr3:uid="{CC2AAC24-24CE-4BF3-A756-316EF15729DA}" name="Cows 1-2" dataDxfId="342" dataCellStyle="Content normal">
      <calculatedColumnFormula array="1">Common_InputFunctions.Utility_DisplayArrayInTable(SourceData_PastureBeef.SourceData_PastureBeef_LiveweightNTQLD_Data(),Table_SourceData_PastureBeef_LiveweightNTQD[[#Headers],[State]], 0)</calculatedColumnFormula>
    </tableColumn>
    <tableColumn id="8" xr3:uid="{D7B6DB50-BE67-416A-BAB2-49182DE81B43}" name="Cows 2-3" dataDxfId="341" dataCellStyle="Content normal">
      <calculatedColumnFormula array="1">Common_InputFunctions.Utility_DisplayArrayInTable(SourceData_PastureBeef.SourceData_PastureBeef_LiveweightNTQLD_Data(),Table_SourceData_PastureBeef_LiveweightNTQD[[#Headers],[State]], 0)</calculatedColumnFormula>
    </tableColumn>
    <tableColumn id="9" xr3:uid="{E2CA8752-0317-4700-893D-DB3CF473A582}" name="Cows &gt;3" dataDxfId="340"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0" xr3:uid="{9FA7BC68-48F0-416D-909C-8C90B306B93F}" name="Steer &lt;1" dataDxfId="339"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1" xr3:uid="{EEB30C15-F8C5-4D70-8D49-2F3CD2411EFF}" name="Steer 1-2" dataDxfId="338"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2" xr3:uid="{AA8703C0-38ED-4598-BAAB-86484F7FA884}" name="Steer 2-3" dataDxfId="337"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3" xr3:uid="{64F7B6DA-2A80-4893-88C7-FA63B2FC9AB3}" name="Steer &gt;3" dataDxfId="336" dataCellStyle="Content normal">
      <calculatedColumnFormula array="1">Common_InputFunctions.Utility_DisplayArrayInTable(SourceData_PastureBeef.SourceData_PastureBeef_LiveweightNTQLD_Data(),Table_SourceData_PastureBeef_LiveweightNTQD[[#Headers],[State]],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9B6B8DD8-7328-423C-8FAF-15993EE7CD8B}" name="Table_SourceData_PastureBeef_LiveweightAllStates" displayName="Table_SourceData_PastureBeef_LiveweightAllStates" ref="D85:P149" totalsRowShown="0">
  <autoFilter ref="D85:P149" xr:uid="{C5E9D0D1-9D34-431E-BF55-46DC48CCCDF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4738118E-87BC-4AAB-9E1D-F4EA448D5C19}" name="State"/>
    <tableColumn id="2" xr3:uid="{A9CC5DEA-EAC3-4645-B8F9-EA3B1CECA08A}" name="Region">
      <calculatedColumnFormula>E22</calculatedColumnFormula>
    </tableColumn>
    <tableColumn id="3" xr3:uid="{2ABBD7F7-6480-40CF-B2AE-D4F7417E7C8F}" name="Season">
      <calculatedColumnFormula>F22</calculatedColumnFormula>
    </tableColumn>
    <tableColumn id="4" xr3:uid="{23DDA251-5706-467F-8468-F3522322C421}" name="Bulls &lt; 1 year">
      <calculatedColumnFormula>G22</calculatedColumnFormula>
    </tableColumn>
    <tableColumn id="5" xr3:uid="{E1BD417E-1E05-4ED8-A28B-A136BDBC4757}" name="Bulls &gt; 1 year">
      <calculatedColumnFormula>H22</calculatedColumnFormula>
    </tableColumn>
    <tableColumn id="6" xr3:uid="{4E136C65-ABC4-4608-82D4-336ED21A763E}" name="Cows &lt; 1 year">
      <calculatedColumnFormula>I22</calculatedColumnFormula>
    </tableColumn>
    <tableColumn id="7" xr3:uid="{0D4CC047-4FA5-48E2-8625-E2A716CD3E4B}" name="Cows 1-2 years">
      <calculatedColumnFormula>J22</calculatedColumnFormula>
    </tableColumn>
    <tableColumn id="8" xr3:uid="{112319FE-75DC-41BE-A2E1-985149193894}" name="Cows 2-3 years">
      <calculatedColumnFormula>K22</calculatedColumnFormula>
    </tableColumn>
    <tableColumn id="9" xr3:uid="{FF69EA7E-8C2F-4E37-81F4-08DF6A1B849B}" name="Cows &gt; 3 years">
      <calculatedColumnFormula>L22</calculatedColumnFormula>
    </tableColumn>
    <tableColumn id="10" xr3:uid="{B80120CF-616A-4E76-8289-A233B147A72B}" name="Steers &lt; 1 year">
      <calculatedColumnFormula>M22</calculatedColumnFormula>
    </tableColumn>
    <tableColumn id="11" xr3:uid="{2C0C0ADE-5897-4861-AA48-F772A0D31332}" name="Steers 1-2 years">
      <calculatedColumnFormula>N22</calculatedColumnFormula>
    </tableColumn>
    <tableColumn id="12" xr3:uid="{DAA11546-0F22-487D-AFAE-B7E1F5724447}" name="Steers 2-3 years">
      <calculatedColumnFormula>O22</calculatedColumnFormula>
    </tableColumn>
    <tableColumn id="13" xr3:uid="{61DCB462-6367-4B03-ADE3-CBC6BC291D69}" name="Steers &gt;3 years">
      <calculatedColumnFormula>P22</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F524156A-66B4-4963-ABB4-EA252413FF30}" name="Table_SourceData_PastureBeef_Region_Queensland" displayName="Table_SourceData_PastureBeef_Region_Queensland" ref="Q7:Q11" totalsRowShown="0">
  <autoFilter ref="Q7:Q11" xr:uid="{0152B2C3-CC3B-4554-AC62-87093E6D416E}">
    <filterColumn colId="0" hiddenButton="1"/>
  </autoFilter>
  <tableColumns count="1">
    <tableColumn id="1" xr3:uid="{A6CB95E8-A1CC-47FC-A605-3FB12A74FF37}" name="Regio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D5ACC925-10F7-43E8-AF87-C81CF96D1D24}" name="Table_SourceData_PastureBeef_Region_NorthernTerritory" displayName="Table_SourceData_PastureBeef_Region_NorthernTerritory" ref="O7:O10" totalsRowShown="0">
  <autoFilter ref="O7:O10" xr:uid="{2B557DC2-537E-4888-B9B7-260F5041B425}">
    <filterColumn colId="0" hiddenButton="1"/>
  </autoFilter>
  <tableColumns count="1">
    <tableColumn id="1" xr3:uid="{881ACDD7-EB81-4DC5-86ED-285FB7041301}" name="Regio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EAF464F2-EC0C-41EA-AE6F-DACB0E702F29}" name="Table_SourceData_PastureBeef_Region_WesternAustralia" displayName="Table_SourceData_PastureBeef_Region_WesternAustralia" ref="M7:M10" totalsRowShown="0">
  <autoFilter ref="M7:M10" xr:uid="{69C19929-4234-4DF1-A517-B50C12615BC1}">
    <filterColumn colId="0" hiddenButton="1"/>
  </autoFilter>
  <tableColumns count="1">
    <tableColumn id="1" xr3:uid="{C86AFCB3-8565-4F61-9396-3D9F2F4923F9}" name="Regio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AF33672E-6006-4884-B544-5BCDE1671BDA}" name="Table_SourceData_PastureBeef_Region_Victoria" displayName="Table_SourceData_PastureBeef_Region_Victoria" ref="S7:S8" totalsRowShown="0">
  <autoFilter ref="S7:S8" xr:uid="{7D474D93-C1E0-4898-A434-69585070D0B9}">
    <filterColumn colId="0" hiddenButton="1"/>
  </autoFilter>
  <tableColumns count="1">
    <tableColumn id="1" xr3:uid="{C87945F0-B7C2-453B-85D4-DDCC28D3E129}" name="Regio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29FFD679-5FB6-4090-A711-2E1DB88BE1FE}" name="Table_SourceData_PastureBeef_Region_NewSouthWales" displayName="Table_SourceData_PastureBeef_Region_NewSouthWales" ref="S12:S13" totalsRowShown="0">
  <autoFilter ref="S12:S13" xr:uid="{C2ECEA10-DD31-42C9-8624-54C901A6DE17}">
    <filterColumn colId="0" hiddenButton="1"/>
  </autoFilter>
  <tableColumns count="1">
    <tableColumn id="1" xr3:uid="{79E7B172-3D03-4F91-B101-D104BC54B70C}" name="Regio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687574D8-71D9-484C-AE8F-0485DE003CF5}" name="Table_SourceData_PastureBeef_Region_SouthAustralia" displayName="Table_SourceData_PastureBeef_Region_SouthAustralia" ref="S17:S18" totalsRowShown="0">
  <autoFilter ref="S17:S18" xr:uid="{4B45161F-EF95-4623-81B8-A0254915E4F9}">
    <filterColumn colId="0" hiddenButton="1"/>
  </autoFilter>
  <tableColumns count="1">
    <tableColumn id="1" xr3:uid="{E3277E83-7853-46BD-BB47-C96CA53DAB58}" name="Regio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643E8709-7F5A-4C1E-904A-18DF0472ACB0}" name="Table_SourceData_PastureBeef_Region_Tasmania" displayName="Table_SourceData_PastureBeef_Region_Tasmania" ref="S22:S23" totalsRowShown="0">
  <autoFilter ref="S22:S23" xr:uid="{4E5A7E40-F6AE-4323-873A-9AB20571A18A}">
    <filterColumn colId="0" hiddenButton="1"/>
  </autoFilter>
  <tableColumns count="1">
    <tableColumn id="1" xr3:uid="{BE8FFDEC-B91B-4B0A-8509-7355769C3680}" name="Regio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F19B205D-7CA5-43C1-8E2B-E23C8BC3CF9D}" name="Table_SourceData_PastureBeef_Region_ACT" displayName="Table_SourceData_PastureBeef_Region_ACT" ref="S27:S28" totalsRowShown="0">
  <autoFilter ref="S27:S28" xr:uid="{3655B7FD-A2CC-4B05-9668-16F7A54ED6C1}">
    <filterColumn colId="0" hiddenButton="1"/>
  </autoFilter>
  <tableColumns count="1">
    <tableColumn id="1" xr3:uid="{7698E8FC-AE0D-4A8C-9D4E-7731686EA15A}" name="Regio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A411AF8A-70A9-4480-B5BA-5D50F0316C88}" name="Table_SourceData_PastureBeef_LiveweightGain" displayName="Table_SourceData_PastureBeef_LiveweightGain" ref="D154:M182" totalsRowShown="0">
  <autoFilter ref="D154:M182" xr:uid="{1BDA4B1D-6D40-4D72-9B20-AC64B61CEA5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9EAEF1E3-6C75-4936-95C1-8372708EEFC4}" name="State">
      <calculatedColumnFormula array="1">Common_InputFunctions.Utility_DisplayArrayInTable(SourceData_PastureBeef.SourceData_PastureBeef_LiveweightGain_Data(), Table_SourceData_PastureBeef_LiveweightGain[[#Headers],[State]],0)</calculatedColumnFormula>
    </tableColumn>
    <tableColumn id="2" xr3:uid="{5A587384-BD28-4BC0-9D7D-9EAE4CCEB549}" name="Region" dataDxfId="335" dataCellStyle="Content normal">
      <calculatedColumnFormula array="1">Common_InputFunctions.Utility_DisplayArrayInTable(SourceData_PastureBeef.SourceData_PastureBeef_LiveweightGain_Data(), Table_SourceData_PastureBeef_LiveweightGain[[#Headers],[State]],0)</calculatedColumnFormula>
    </tableColumn>
    <tableColumn id="3" xr3:uid="{F6DF6F0C-A241-40FF-B035-37092C8E1D85}" name="Season" dataDxfId="334" dataCellStyle="Content normal">
      <calculatedColumnFormula array="1">Common_InputFunctions.Utility_DisplayArrayInTable(SourceData_PastureBeef.SourceData_PastureBeef_LiveweightGain_Data(), Table_SourceData_PastureBeef_LiveweightGain[[#Headers],[State]],0)</calculatedColumnFormula>
    </tableColumn>
    <tableColumn id="4" xr3:uid="{E17DE226-1725-4C34-9427-D5C8F9DB3844}" name="Bull &lt;1" dataDxfId="333" dataCellStyle="Content normal">
      <calculatedColumnFormula array="1">Common_InputFunctions.Utility_DisplayArrayInTable(SourceData_PastureBeef.SourceData_PastureBeef_LiveweightGain_Data(), Table_SourceData_PastureBeef_LiveweightGain[[#Headers],[State]],0)</calculatedColumnFormula>
    </tableColumn>
    <tableColumn id="5" xr3:uid="{E3CC4974-C12C-4941-B42A-3A15A6616DC4}" name="Bull &gt;1" dataDxfId="332" dataCellStyle="Content normal">
      <calculatedColumnFormula array="1">Common_InputFunctions.Utility_DisplayArrayInTable(SourceData_PastureBeef.SourceData_PastureBeef_LiveweightGain_Data(), Table_SourceData_PastureBeef_LiveweightGain[[#Headers],[State]],0)</calculatedColumnFormula>
    </tableColumn>
    <tableColumn id="6" xr3:uid="{64E02598-6279-489A-8B77-9AF2948D12C3}" name="Cow &lt;1" dataDxfId="331" dataCellStyle="Content normal">
      <calculatedColumnFormula array="1">Common_InputFunctions.Utility_DisplayArrayInTable(SourceData_PastureBeef.SourceData_PastureBeef_LiveweightGain_Data(), Table_SourceData_PastureBeef_LiveweightGain[[#Headers],[State]],0)</calculatedColumnFormula>
    </tableColumn>
    <tableColumn id="7" xr3:uid="{8AD05220-E6C0-48ED-97D0-09E322BDF97E}" name="Cow 1-2" dataDxfId="330" dataCellStyle="Content normal">
      <calculatedColumnFormula array="1">Common_InputFunctions.Utility_DisplayArrayInTable(SourceData_PastureBeef.SourceData_PastureBeef_LiveweightGain_Data(), Table_SourceData_PastureBeef_LiveweightGain[[#Headers],[State]],0)</calculatedColumnFormula>
    </tableColumn>
    <tableColumn id="8" xr3:uid="{DA457067-A720-4A21-8911-16251A21D60B}" name="Cow &gt;2" dataDxfId="329" dataCellStyle="Content normal">
      <calculatedColumnFormula array="1">Common_InputFunctions.Utility_DisplayArrayInTable(SourceData_PastureBeef.SourceData_PastureBeef_LiveweightGain_Data(), Table_SourceData_PastureBeef_LiveweightGain[[#Headers],[State]],0)</calculatedColumnFormula>
    </tableColumn>
    <tableColumn id="9" xr3:uid="{3C6CC9FC-099C-4F6C-9BBA-ADD37D153F51}" name="Steer &lt;1" dataDxfId="328" dataCellStyle="Content normal">
      <calculatedColumnFormula array="1">Common_InputFunctions.Utility_DisplayArrayInTable(SourceData_PastureBeef.SourceData_PastureBeef_LiveweightGain_Data(), Table_SourceData_PastureBeef_LiveweightGain[[#Headers],[State]],0)</calculatedColumnFormula>
    </tableColumn>
    <tableColumn id="10" xr3:uid="{8583EF5B-BED2-4E9E-804E-6CDD74FA9B94}" name="Steer &gt;1" dataDxfId="327" dataCellStyle="Content normal">
      <calculatedColumnFormula array="1">Common_InputFunctions.Utility_DisplayArrayInTable(SourceData_PastureBeef.SourceData_PastureBeef_LiveweightGain_Data(), Table_SourceData_PastureBeef_LiveweightGain[[#Headers],[State]],0)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7471D05E-5142-4F1C-A0E6-56C24E8B8CA0}" name="Table_SourceData_PastureBeef_LiveweightGainNTQLD" displayName="Table_SourceData_PastureBeef_LiveweightGainNTQLD" ref="D189:P217" totalsRowShown="0">
  <autoFilter ref="D189:P217" xr:uid="{9BC52070-7B99-44CF-8B4E-32C43FBD96C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D638F4C5-6092-4187-A9FC-99FE5E2B6CCF}" name="State">
      <calculatedColumnFormula array="1">Common_InputFunctions.Utility_DisplayArrayInTable(SourceData_PastureBeef.SourceData_PastureBeef_LiveweightGainNTQLD_Data(),Table_SourceData_PastureBeef_LiveweightGainNTQLD[[#Headers],[State]],0)</calculatedColumnFormula>
    </tableColumn>
    <tableColumn id="2" xr3:uid="{0B423BB6-E176-47EA-A136-6951BDF0FC74}" name="Region" dataDxfId="326"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3" xr3:uid="{D5AE1DDE-E386-4BE1-91D8-740ED71EF667}" name="Season" dataDxfId="32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4" xr3:uid="{EAD8A173-96BD-4AFE-A3DC-3357D9220AB6}" name="Bull &lt;1" dataDxfId="32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5" xr3:uid="{6D5F4AF2-04C4-4679-AE9F-ABA418EA3D55}" name="Bull &gt;1" dataDxfId="323"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6" xr3:uid="{0C09D60D-3154-4B28-A972-2F44A0140680}" name="Cow &lt;1" dataDxfId="322"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7" xr3:uid="{A15EA6BF-DBA1-47AC-96EC-A9CF96D561BC}" name="Cow 1-2" dataDxfId="321"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8" xr3:uid="{4077590F-E963-4F20-8C7F-AEDFA2771CDE}" name="Cow 2-3" dataDxfId="320"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9" xr3:uid="{4D0B24FE-D899-4BB2-90A3-C0C0AD8C8059}" name="Cow &gt;3" dataDxfId="31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0" xr3:uid="{2C886472-3513-458A-A437-1A8227753555}" name="Steer &lt;1" dataDxfId="318"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1" xr3:uid="{EC43C60C-F24E-4D0F-AAB1-EFFA80B722EA}" name="Steer 1-2" dataDxfId="317"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2" xr3:uid="{7E15E904-01A6-41B0-9162-D4549F3528F2}" name="Steer 2-3" dataDxfId="316"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3" xr3:uid="{FE226EA7-2AF4-4481-91B9-51FDF6C3F1C3}" name="Steer &gt;3" dataDxfId="31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CAA81628-3D0F-4526-9636-0C604460EF3B}" name="Table_SourceData_PastureBeef_LiveweightGainAllStates" displayName="Table_SourceData_PastureBeef_LiveweightGainAllStates" ref="D222:P282" totalsRowShown="0">
  <autoFilter ref="D222:P282" xr:uid="{B94F72DD-5F7F-4594-8B05-AA19A8FE179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190EBB62-CC7D-4ADE-B543-91687986712B}" name="State"/>
    <tableColumn id="2" xr3:uid="{3FD01CCA-7802-4DF1-94DB-31F058972AE6}" name="Region">
      <calculatedColumnFormula>E159</calculatedColumnFormula>
    </tableColumn>
    <tableColumn id="3" xr3:uid="{C5CE197C-50D4-420B-BCCF-2D740CA215D8}" name="Season">
      <calculatedColumnFormula>F159</calculatedColumnFormula>
    </tableColumn>
    <tableColumn id="4" xr3:uid="{3E6669E4-ED8B-497E-B82B-CA2A7B5B618C}" name="Bulls &lt; 1 year">
      <calculatedColumnFormula>G159</calculatedColumnFormula>
    </tableColumn>
    <tableColumn id="5" xr3:uid="{6A4F2E1E-7A3D-421F-8A99-01AEAC3B6E64}" name="Bulls &gt; 1 year">
      <calculatedColumnFormula>H159</calculatedColumnFormula>
    </tableColumn>
    <tableColumn id="6" xr3:uid="{FD617522-7776-4BFC-83A6-E98F4BBA46FE}" name="Cows &lt; 1 year">
      <calculatedColumnFormula>I159</calculatedColumnFormula>
    </tableColumn>
    <tableColumn id="7" xr3:uid="{E7FA7642-5C4F-4C04-A0C8-2C9D5DA47D1C}" name="Cows 1-2 years">
      <calculatedColumnFormula>J159</calculatedColumnFormula>
    </tableColumn>
    <tableColumn id="8" xr3:uid="{E68ABC17-B9F6-4BF2-A3CE-BC6746C4B377}" name="Cows 2-3 years">
      <calculatedColumnFormula>K159</calculatedColumnFormula>
    </tableColumn>
    <tableColumn id="9" xr3:uid="{863FA4E9-53AB-4C1A-A942-75950A179FBC}" name="Cows &gt; 3 years">
      <calculatedColumnFormula>L159</calculatedColumnFormula>
    </tableColumn>
    <tableColumn id="10" xr3:uid="{FC99E8A5-9248-4217-ADF4-D949E20C5505}" name="Steers &lt; 1 year">
      <calculatedColumnFormula>M159</calculatedColumnFormula>
    </tableColumn>
    <tableColumn id="11" xr3:uid="{F121559A-70D5-4BF8-B9CC-8FCEA3FAF9E5}" name="Steers 1-2 years">
      <calculatedColumnFormula>N159</calculatedColumnFormula>
    </tableColumn>
    <tableColumn id="12" xr3:uid="{59643CFA-0E89-4196-B987-5D9603A34663}" name="Steers 2-3 years">
      <calculatedColumnFormula>O159</calculatedColumnFormula>
    </tableColumn>
    <tableColumn id="13" xr3:uid="{6FB650FE-BFCF-40C9-AA03-0F9F9331D8E7}" name="Steers &gt;3 years">
      <calculatedColumnFormula>P159</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55DC2F7B-1E2F-4028-822C-B82BFDDE53ED}" name="Table_SourceData_PastureBeef_DryMatterDigestibility" displayName="Table_SourceData_PastureBeef_DryMatterDigestibility" ref="D290:I305" totalsRowShown="0">
  <autoFilter ref="D290:I305" xr:uid="{901924B3-1836-4FF2-9419-A38B530E9158}">
    <filterColumn colId="0" hiddenButton="1"/>
    <filterColumn colId="1" hiddenButton="1"/>
    <filterColumn colId="2" hiddenButton="1"/>
    <filterColumn colId="3" hiddenButton="1"/>
    <filterColumn colId="4" hiddenButton="1"/>
    <filterColumn colId="5" hiddenButton="1"/>
  </autoFilter>
  <tableColumns count="6">
    <tableColumn id="1" xr3:uid="{FA7D8E04-97DC-4817-8617-582B1B10CE3A}" name="State">
      <calculatedColumnFormula array="1">Common_InputFunctions.Utility_DisplayArrayInTable(SourceData_PastureBeef.SourceData_PastureBeef_DryMatterDigestibility_Data(), Table_SourceData_PastureBeef_DryMatterDigestibility[[#Headers],[State]], 0)</calculatedColumnFormula>
    </tableColumn>
    <tableColumn id="2" xr3:uid="{261C3261-F614-4F74-B003-8C8F62BFA2CE}" name="Region" dataDxfId="314"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3" xr3:uid="{3D4537CB-92B1-4E26-AA8C-8A4C2A3BBEE7}" name="Spring" dataDxfId="313"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4" xr3:uid="{5E5FB0BB-FBD8-4B81-A74D-C5DDB0A18388}" name="Summer" dataDxfId="312"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5" xr3:uid="{90D7F77B-96A3-4F93-8B14-B665F39C72E9}" name="Autumn" dataDxfId="311"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6" xr3:uid="{8D28A204-8001-468D-9D9E-1914EC0AB96A}" name="Winter" dataDxfId="310"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42A46777-1BE9-4319-B400-30490EA12E19}" name="Table_SourceData_PastureBeef_CrudeProtein" displayName="Table_SourceData_PastureBeef_CrudeProtein" ref="D313:I328" totalsRowShown="0" dataDxfId="309" dataCellStyle="Content normal">
  <autoFilter ref="D313:I328" xr:uid="{75841D5E-1F24-46B7-B5F9-1E024F5554ED}">
    <filterColumn colId="0" hiddenButton="1"/>
    <filterColumn colId="1" hiddenButton="1"/>
    <filterColumn colId="2" hiddenButton="1"/>
    <filterColumn colId="3" hiddenButton="1"/>
    <filterColumn colId="4" hiddenButton="1"/>
    <filterColumn colId="5" hiddenButton="1"/>
  </autoFilter>
  <tableColumns count="6">
    <tableColumn id="1" xr3:uid="{4EF2E390-9EAA-44A2-9D40-4D856D91BB9B}" name="State" dataDxfId="308"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2" xr3:uid="{83270052-BD9A-4C22-80BB-FDD87E4601B8}" name="Region" dataDxfId="307"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3" xr3:uid="{F86B32E4-6CE1-4DB9-A9A8-8F70E4812B5D}" name="Spring" dataDxfId="306"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4" xr3:uid="{772F05FF-B7E8-4C25-BEC4-4D9036095C6D}" name="Summer" dataDxfId="305"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5" xr3:uid="{1D86572F-3FDA-4DDC-8380-27071FFB334F}" name="Autumn" dataDxfId="304"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6" xr3:uid="{22ACB2EE-15D3-4652-8C30-1FEC1D330C2A}" name="Winter" dataDxfId="303" dataCellStyle="Content normal">
      <calculatedColumnFormula array="1">Common_InputFunctions.Utility_DisplayArrayInTable(SourceData_PastureBeef.SourceData_PastureBeef_CrudeProteinContent_Data(), Table_SourceData_PastureBeef_CrudeProtein[[#Headers],[State]],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54B87E12-006E-48F6-8947-19C7C839FDCF}" name="Table_SourceData_PastureBeef_FeedIntakeAdjustment" displayName="Table_SourceData_PastureBeef_FeedIntakeAdjustment" ref="D334:G342" totalsRowShown="0">
  <autoFilter ref="D334:G342" xr:uid="{821A673E-F16D-473C-802E-953C84454BC9}">
    <filterColumn colId="0" hiddenButton="1"/>
    <filterColumn colId="1" hiddenButton="1"/>
    <filterColumn colId="2" hiddenButton="1"/>
    <filterColumn colId="3" hiddenButton="1"/>
  </autoFilter>
  <tableColumns count="4">
    <tableColumn id="1" xr3:uid="{85900A4C-E5B1-41E4-957A-3330CB3F085B}" name="Breed">
      <calculatedColumnFormula array="1">Common_InputFunctions.Utility_DisplayArrayInTable(SourceData_PastureBeef.SourceData_PastureBeef_FeedAdjustmentAndMilkProduction_Data(), Table_SourceData_PastureBeef_FeedIntakeAdjustment[[#Headers],[Breed]], 0)</calculatedColumnFormula>
    </tableColumn>
    <tableColumn id="2" xr3:uid="{370294EA-46EC-48D4-B741-11B10661EDDA}" name="Season" dataDxfId="302"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3" xr3:uid="{526FA985-A422-4A68-A81C-4809673B18FA}" name="Feed adjustment" dataDxfId="301"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4" xr3:uid="{92BB98C3-5192-4308-B4DD-6397B6D8EE80}" name="Milk intake/production" dataDxfId="300"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3222A0CA-ACC2-4DF1-BC7F-C13BF5D8ADC2}" name="Table_SourceData_PastureBeef_StandardReferenceWeights" displayName="Table_SourceData_PastureBeef_StandardReferenceWeights" ref="D350:L358" totalsRowShown="0">
  <autoFilter ref="D350:L358" xr:uid="{BB816EB3-DC71-47F4-AF08-1CE512BD24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8F0858B2-B002-4987-8F1C-BF8D0F571FE5}" name="State">
      <calculatedColumnFormula array="1">Common_InputFunctions.Utility_DisplayArrayInTable(SourceData_PastureBeef.SourceData_PastureBeef_StandardReferenceWeights_Data(), Table_SourceData_PastureBeef_StandardReferenceWeights[[#Headers],[State]], 0)</calculatedColumnFormula>
    </tableColumn>
    <tableColumn id="2" xr3:uid="{79C65F98-9540-4AFE-9666-5C41ECEEF627}" name="Bulls &lt;1" dataDxfId="299"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3" xr3:uid="{BC3E34C0-057A-413D-8EF4-D45E2DB456D5}" name="Bulls &gt;1" dataDxfId="298"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4" xr3:uid="{CAC160B0-CBE7-4CE1-9A9F-66FE8DDAB6CC}" name="Cows &lt;1" dataDxfId="297"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5" xr3:uid="{AD478F6D-C37A-4815-9DCA-11CA445190CE}" name="Cows 1-2" dataDxfId="296"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6" xr3:uid="{D5920F49-48B7-40DB-B535-9D47D2C4A9FD}" name="Cows &gt;2" dataDxfId="295"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7" xr3:uid="{0DE23B59-CFFD-4933-A809-AA65258227C4}" name="Steer &lt;1" dataDxfId="294"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8" xr3:uid="{4B709038-3F87-4B82-9B87-CFC498A8B0D1}" name="Steer &gt;1" dataDxfId="293"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9" xr3:uid="{1019349B-70A2-457F-98D8-35AA8654F798}" name="State abbreviation" dataDxfId="292"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4C9805A5-9748-4B8F-BB3E-836EF4FC6E89}" name="Table_SourceData_PastureBeef_StandardReferenceWeightsExpanded" displayName="Table_SourceData_PastureBeef_StandardReferenceWeightsExpanded" ref="D361:O369" totalsRowShown="0">
  <autoFilter ref="D361:O369" xr:uid="{690C3A79-36FD-46EF-9464-C7837EBBC93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930AFE86-3329-4334-92AB-5EBD62C07724}" name="State" dataDxfId="291" dataCellStyle="Content normal">
      <calculatedColumnFormula>D351</calculatedColumnFormula>
    </tableColumn>
    <tableColumn id="2" xr3:uid="{E7B96AC2-D685-4BC5-9173-0EDCEBEED840}" name="Bulls &lt; 1 year" dataDxfId="290" dataCellStyle="Content normal">
      <calculatedColumnFormula>E351</calculatedColumnFormula>
    </tableColumn>
    <tableColumn id="3" xr3:uid="{584ADBEA-E96B-49D4-A496-41EB0202470D}" name="Bulls &gt; 1 year" dataDxfId="289" dataCellStyle="Content normal">
      <calculatedColumnFormula>F351</calculatedColumnFormula>
    </tableColumn>
    <tableColumn id="4" xr3:uid="{B3018853-E072-4D4F-B69D-B9AE16C7AAA6}" name="Cows &lt; 1 year" dataDxfId="288" dataCellStyle="Content normal">
      <calculatedColumnFormula>G351</calculatedColumnFormula>
    </tableColumn>
    <tableColumn id="5" xr3:uid="{788D2B05-6425-4B48-A76B-77264CDD1010}" name="Cows 1-2 years" dataDxfId="287" dataCellStyle="Content normal">
      <calculatedColumnFormula>H351</calculatedColumnFormula>
    </tableColumn>
    <tableColumn id="6" xr3:uid="{8842EF99-6008-469C-8DAC-CB0A390F1BF1}" name="Cows 2-3 years" dataDxfId="286" dataCellStyle="Content normal">
      <calculatedColumnFormula>I351</calculatedColumnFormula>
    </tableColumn>
    <tableColumn id="7" xr3:uid="{297930D1-669D-4AAB-857D-6C1FE03E3469}" name="Cows &gt; 3 years" dataDxfId="285" dataCellStyle="Content normal">
      <calculatedColumnFormula>I351</calculatedColumnFormula>
    </tableColumn>
    <tableColumn id="8" xr3:uid="{49EE4583-87BB-44D6-8A48-FAD12F3DF96C}" name="Steers &lt; 1 year" dataDxfId="284" dataCellStyle="Content normal">
      <calculatedColumnFormula>J351</calculatedColumnFormula>
    </tableColumn>
    <tableColumn id="9" xr3:uid="{C64384EF-4064-4339-A309-E088DAD73B87}" name="Steers 1-2 years" dataDxfId="283" dataCellStyle="Content normal">
      <calculatedColumnFormula>K351</calculatedColumnFormula>
    </tableColumn>
    <tableColumn id="10" xr3:uid="{B5A4698F-84FC-401A-BF03-71666B4D8AA2}" name="Steers 2-3 years" dataDxfId="282" dataCellStyle="Content normal">
      <calculatedColumnFormula>K351</calculatedColumnFormula>
    </tableColumn>
    <tableColumn id="11" xr3:uid="{E1D901A8-D2E5-4BFE-89ED-C5D728B8FCA4}" name="Steers &gt;3 years" dataDxfId="281" dataCellStyle="Content normal">
      <calculatedColumnFormula>K351</calculatedColumnFormula>
    </tableColumn>
    <tableColumn id="12" xr3:uid="{D48C0E93-3875-44E9-AA7E-F768E1618F35}" name="State abbreviation" dataDxfId="280" dataCellStyle="Content normal">
      <calculatedColumnFormula>L351</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C463F878-D7E6-4E5D-BD73-431B7E09BB7E}" name="Table_SourceData_PastureBeef_FractionManureToMMS" displayName="Table_SourceData_PastureBeef_FractionManureToMMS" ref="D377:G392" totalsRowShown="0">
  <autoFilter ref="D377:G392" xr:uid="{003DF600-7F90-40C8-83F7-83F17E8C8244}">
    <filterColumn colId="0" hiddenButton="1"/>
    <filterColumn colId="1" hiddenButton="1"/>
    <filterColumn colId="2" hiddenButton="1"/>
    <filterColumn colId="3" hiddenButton="1"/>
  </autoFilter>
  <tableColumns count="4">
    <tableColumn id="1" xr3:uid="{FFEF3A98-3DFE-400D-8E50-E64C1AED0130}" name="State">
      <calculatedColumnFormula array="1">Common_InputFunctions.Utility_DisplayArrayInTable(SourceData_PastureBeef.SourceData_PastureBeef_FractionOfManureToMMS_Data(),Table_SourceData_PastureBeef_FractionManureToMMS[[#Headers],[State]], 0)</calculatedColumnFormula>
    </tableColumn>
    <tableColumn id="2" xr3:uid="{D8FB1C77-07C8-424E-9307-215AEFCD9691}" name="Region" dataDxfId="279"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3" xr3:uid="{5B5DD1B3-B361-4D0A-8BA4-D4A03526311D}" name="Pasture range and paddock" dataDxfId="278"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4" xr3:uid="{591CCBD8-C9DE-4169-96B7-B1FBE18CB048}" name="Uncovered Anaerobic lagoon" dataDxfId="277"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88FCF6B0-C720-452B-B807-2C6BB0E69601}" name="Table_SourceData_PastureBeef_MethaneConversionFactor" displayName="Table_SourceData_PastureBeef_MethaneConversionFactor" ref="D400:G415" totalsRowShown="0" dataDxfId="276" dataCellStyle="Content normal">
  <autoFilter ref="D400:G415" xr:uid="{4418AC31-F58F-4AB7-B02E-51D846B94E9A}">
    <filterColumn colId="0" hiddenButton="1"/>
    <filterColumn colId="1" hiddenButton="1"/>
    <filterColumn colId="2" hiddenButton="1"/>
    <filterColumn colId="3" hiddenButton="1"/>
  </autoFilter>
  <tableColumns count="4">
    <tableColumn id="1" xr3:uid="{49029B58-1233-4DC4-A1A2-9FCC14A7A507}" name="State" dataDxfId="275"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2" xr3:uid="{D413B4C0-2E45-44C3-818C-0CE7B2630596}" name="Region" dataDxfId="274"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3" xr3:uid="{CC4F5E1C-F700-4152-BF8E-5509DA546EA7}" name="Pasture range and paddock" dataDxfId="273"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4" xr3:uid="{A025726F-8CF5-4754-B3A5-A3C9E0BE4F50}" name="Uncovered Anaerobic lagoon" dataDxfId="272"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CDA2443C-AAD2-4D89-9D93-B3BA3A09A77B}" name="Table_SourceData_PastureBeef_FeedIntakeAdjustment_Variation" displayName="Table_SourceData_PastureBeef_FeedIntakeAdjustment_Variation" ref="I334:L338" totalsRowShown="0">
  <autoFilter ref="I334:L338" xr:uid="{04F0ADD4-5226-4095-B178-6A0021B7EFDC}">
    <filterColumn colId="0" hiddenButton="1"/>
    <filterColumn colId="1" hiddenButton="1"/>
    <filterColumn colId="2" hiddenButton="1"/>
    <filterColumn colId="3" hiddenButton="1"/>
  </autoFilter>
  <tableColumns count="4">
    <tableColumn id="1" xr3:uid="{52D68B55-1C49-481D-BBA4-AA67C83F2708}" name="Breed">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2" xr3:uid="{809EBFD7-24B0-4329-919B-BC353D9013E8}" name="Season" dataDxfId="271"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3" xr3:uid="{44D08652-9AB7-43D4-82FB-615D568AEA5A}" name="Feed adjustment" dataDxfId="270"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4" xr3:uid="{9410D447-1D07-47EB-8F77-50C77872F187}" name="Milk intake/production" dataDxfId="269"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8CFA2513-DA97-4BC4-9E3D-64EA9F32A3AA}" name="Table_LivestockClasses_Beefcattle" displayName="Table_LivestockClasses_Beefcattle" ref="O18:O28" totalsRowShown="0">
  <autoFilter ref="O18:O28" xr:uid="{96840E84-168C-4D51-8D9B-9C727DE4F3B7}">
    <filterColumn colId="0" hiddenButton="1"/>
  </autoFilter>
  <tableColumns count="1">
    <tableColumn id="1" xr3:uid="{D9DBA5E2-24E4-4F47-A461-4890433BA7E0}" name="Livestock class"/>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2CC0949D-BE49-4E2A-B5BF-59C10504ED7F}" name="Table_ProductRegions_Beefcattle" displayName="Table_ProductRegions_Beefcattle" ref="O32:P48" totalsRowShown="0">
  <autoFilter ref="O32:P48" xr:uid="{1BDCE2C1-1DAE-4F51-B816-0663A2C29F7F}">
    <filterColumn colId="0" hiddenButton="1"/>
    <filterColumn colId="1" hiddenButton="1"/>
  </autoFilter>
  <tableColumns count="2">
    <tableColumn id="1" xr3:uid="{1944C06E-8CFF-423B-801D-2816A7F72BCA}" name="Region"/>
    <tableColumn id="2" xr3:uid="{47E46263-E6C8-4665-99BC-64B5A7F3831D}" name="Scope3 region"/>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88CAC4E9-8F60-4D40-8D5D-B5E9887B1952}" name="Table_SourceData_Scope3_Animals" displayName="Table_SourceData_Scope3_Animals" ref="D442:I483" totalsRowShown="0">
  <autoFilter ref="D442:I483" xr:uid="{5C55191B-DB63-4195-A32C-1EB0F853942B}">
    <filterColumn colId="0" hiddenButton="1"/>
    <filterColumn colId="1" hiddenButton="1"/>
    <filterColumn colId="2" hiddenButton="1"/>
    <filterColumn colId="3" hiddenButton="1"/>
    <filterColumn colId="4" hiddenButton="1"/>
    <filterColumn colId="5" hiddenButton="1"/>
  </autoFilter>
  <tableColumns count="6">
    <tableColumn id="1" xr3:uid="{7BE10C1A-2A26-4B31-A46C-B689B38227AD}" name="Category" dataDxfId="268" dataCellStyle="Content normal">
      <calculatedColumnFormula array="1">Common_InputFunctions.Utility_DisplayArrayInTable(Scope3_SourceData.Scope3_Livestock_Data(), Table_SourceData_Scope3_Animals[[#Headers],[Category]], 0, 2)</calculatedColumnFormula>
    </tableColumn>
    <tableColumn id="2" xr3:uid="{73EDFAC3-A663-41BC-B250-111B09AD1F73}" name="Product" dataDxfId="267" dataCellStyle="Content normal">
      <calculatedColumnFormula array="1">Common_InputFunctions.Utility_DisplayArrayInTable(Scope3_SourceData.Scope3_Livestock_Data(), Table_SourceData_Scope3_Animals[[#Headers],[Category]], 0, 2)</calculatedColumnFormula>
    </tableColumn>
    <tableColumn id="3" xr3:uid="{192A2698-1E2B-4C73-9DA2-B79A9A6504B6}" name="Region of origin" dataDxfId="266" dataCellStyle="Content normal">
      <calculatedColumnFormula array="1">Common_InputFunctions.Utility_DisplayArrayInTable(Scope3_SourceData.Scope3_Livestock_Data(), Table_SourceData_Scope3_Animals[[#Headers],[Category]], 0, 2)</calculatedColumnFormula>
    </tableColumn>
    <tableColumn id="8" xr3:uid="{AC83D26B-E025-4908-87D1-3D7EB40BDEC5}" name="Quantity Unit" dataDxfId="265" dataCellStyle="Content normal">
      <calculatedColumnFormula array="1">Common_InputFunctions.Utility_DisplayArrayInTable(Scope3_SourceData.Scope3_Livestock_Data(), Table_SourceData_Scope3_Animals[[#Headers],[Category]], 0, 2)</calculatedColumnFormula>
    </tableColumn>
    <tableColumn id="9" xr3:uid="{F7B12653-6DE9-4457-8AF8-64C552DFB4E9}" name="AusLCI Emissions intensity" dataDxfId="264" dataCellStyle="Content normal">
      <calculatedColumnFormula array="1">Common_InputFunctions.Utility_DisplayArrayInTable(Scope3_SourceData.Scope3_Livestock_Data(), Table_SourceData_Scope3_Animals[[#Headers],[Category]], 0, 2)</calculatedColumnFormula>
    </tableColumn>
    <tableColumn id="10" xr3:uid="{EC6C669D-E389-4FC1-8A33-D2BDDB7F4BBD}" name="System boundary" dataDxfId="263" dataCellStyle="Content normal">
      <calculatedColumnFormula array="1">Common_InputFunctions.Utility_DisplayArrayInTable(Scope3_SourceData.Scope3_Livestock_Data(), Table_SourceData_Scope3_Animals[[#Headers],[Category]], 0, 2)</calculatedColumnFormula>
    </tableColum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F469A2D4-0EFC-4FBF-9F87-E20D62479FB3}" name="Table_SourceData_CropAttributes" displayName="Table_SourceData_CropAttributes" ref="D19:L37" totalsRowShown="0">
  <autoFilter ref="D19:L37" xr:uid="{B5F7211C-A71E-4F6D-A358-4E6EB133956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ABBA1BE2-421E-4E2C-9E17-C46E9DCB3973}" name="Crop type">
      <calculatedColumnFormula array="1">Common_InputFunctions.Utility_DisplayArrayInTable(Agresidue_SourceData.CropAttributes_Data(),Table_SourceData_CropAttributes[[#Headers],[Crop type]], -1)</calculatedColumnFormula>
    </tableColumn>
    <tableColumn id="2" xr3:uid="{AF835A27-A99F-4C71-917D-A2ED8C35F30E}" name="Residue: Crop ratio">
      <calculatedColumnFormula array="1">Common_InputFunctions.Utility_DisplayArrayInTable(Agresidue_SourceData.CropAttributes_Data(),Table_SourceData_CropAttributes[[#Headers],[Crop type]], -1)</calculatedColumnFormula>
    </tableColumn>
    <tableColumn id="3" xr3:uid="{9FA2A744-15A6-4B9C-9208-3DB1C9B43CB1}" name="Below-ground: above-ground residue ratio">
      <calculatedColumnFormula array="1">Common_InputFunctions.Utility_DisplayArrayInTable(Agresidue_SourceData.CropAttributes_Data(),Table_SourceData_CropAttributes[[#Headers],[Crop type]], -1)</calculatedColumnFormula>
    </tableColumn>
    <tableColumn id="4" xr3:uid="{DF9EF5C9-94B1-41C7-816E-D9A1C6438EAA}" name="Dry matter content">
      <calculatedColumnFormula array="1">Common_InputFunctions.Utility_DisplayArrayInTable(Agresidue_SourceData.CropAttributes_Data(),Table_SourceData_CropAttributes[[#Headers],[Crop type]], -1)</calculatedColumnFormula>
    </tableColumn>
    <tableColumn id="5" xr3:uid="{8F20137E-B55D-4471-9EBD-7387B19B7504}" name="Carbon fraction in dry matter">
      <calculatedColumnFormula array="1">Common_InputFunctions.Utility_DisplayArrayInTable(Agresidue_SourceData.CropAttributes_Data(),Table_SourceData_CropAttributes[[#Headers],[Crop type]], -1)</calculatedColumnFormula>
    </tableColumn>
    <tableColumn id="6" xr3:uid="{B0972902-1BA7-43C7-87E6-424745C8A019}" name="N content above-ground">
      <calculatedColumnFormula array="1">Common_InputFunctions.Utility_DisplayArrayInTable(Agresidue_SourceData.CropAttributes_Data(),Table_SourceData_CropAttributes[[#Headers],[Crop type]], -1)</calculatedColumnFormula>
    </tableColumn>
    <tableColumn id="7" xr3:uid="{719B7EAA-5E96-4AC7-A3DA-CC841FB24CC8}" name="N content below-ground">
      <calculatedColumnFormula array="1">Common_InputFunctions.Utility_DisplayArrayInTable(Agresidue_SourceData.CropAttributes_Data(),Table_SourceData_CropAttributes[[#Headers],[Crop type]], -1)</calculatedColumnFormula>
    </tableColumn>
    <tableColumn id="8" xr3:uid="{7834CB3A-03EC-426D-BBC9-445FF53D19C0}" name="Fraction of residue remaining at time of burning (b)">
      <calculatedColumnFormula array="1">Common_InputFunctions.Utility_DisplayArrayInTable(Agresidue_SourceData.CropAttributes_Data(),Table_SourceData_CropAttributes[[#Headers],[Crop type]], -1)</calculatedColumnFormula>
    </tableColumn>
    <tableColumn id="9" xr3:uid="{EEC87767-DFE5-4D16-9A5A-AA9ED4C213D2}" name="Fraction burnt">
      <calculatedColumnFormula array="1">Common_InputFunctions.Utility_DisplayArrayInTable(Agresidue_SourceData.CropAttributes_Data(),Table_SourceData_CropAttributes[[#Headers],[Crop type]], -1)</calculatedColumnFormula>
    </tableColumn>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2845596E-2047-4875-9C50-BC7A4CC75042}" name="Table76" displayName="Table76" ref="D73:F89" totalsRowShown="0">
  <autoFilter ref="D73:F89" xr:uid="{7CD0B032-9881-4EF1-81E3-483C7C16D9D0}">
    <filterColumn colId="0" hiddenButton="1"/>
    <filterColumn colId="1" hiddenButton="1"/>
    <filterColumn colId="2" hiddenButton="1"/>
  </autoFilter>
  <tableColumns count="3">
    <tableColumn id="1" xr3:uid="{3251C2CA-6F9C-4803-AEDF-46BAFADBE876}" name="Crop type c">
      <calculatedColumnFormula array="1">Common_InputFunctions.Utility_DisplayArrayInTable(Agresidue_SourceData.CropFractionRemoved_Data(), Table76[[#Headers],[Crop type c]], 0)</calculatedColumnFormula>
    </tableColumn>
    <tableColumn id="2" xr3:uid="{8624A4B5-60DD-4BE5-A717-CACA384B169C}" name="State" dataDxfId="262">
      <calculatedColumnFormula array="1">Common_InputFunctions.Utility_DisplayArrayInTable(Agresidue_SourceData.CropFractionRemoved_Data(), Table76[[#Headers],[Crop type c]], 0)</calculatedColumnFormula>
    </tableColumn>
    <tableColumn id="3" xr3:uid="{38E7D4A3-F98F-4AF8-AB20-2B51DD2042E8}" name="Fraction removed" dataDxfId="261">
      <calculatedColumnFormula array="1">Common_InputFunctions.Utility_DisplayArrayInTable(Agresidue_SourceData.CropFractionRemoved_Data(), Table76[[#Headers],[Crop type c]], 0)</calculatedColumnFormula>
    </tableColumn>
  </tableColumns>
  <tableStyleInfo name="Equation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2866575C-DCC5-4053-BE16-F6F34D465E0D}" name="Table77" displayName="Table77" ref="D92:F235" totalsRowShown="0">
  <autoFilter ref="D92:F235" xr:uid="{1FA7CC86-1C1E-41FA-9AA1-AAD48AA2EEF0}">
    <filterColumn colId="0" hiddenButton="1"/>
    <filterColumn colId="1" hiddenButton="1"/>
    <filterColumn colId="2" hiddenButton="1"/>
  </autoFilter>
  <tableColumns count="3">
    <tableColumn id="1" xr3:uid="{2BCF2DE4-1FBC-4651-A833-119370F98767}" name="Crop type c">
      <calculatedColumnFormula array="1">Common_InputFunctions.Utility_DisplayArrayInTable(Agresidue_SourceData.CropFractionRemoved_CustomisedData(), Table77[[#Headers],[Crop type c]], 0)</calculatedColumnFormula>
    </tableColumn>
    <tableColumn id="2" xr3:uid="{E0D2281F-1E93-409C-BF3D-0521CD02B746}" name="State" dataDxfId="260">
      <calculatedColumnFormula array="1">Common_InputFunctions.Utility_DisplayArrayInTable(Agresidue_SourceData.CropFractionRemoved_CustomisedData(), Table77[[#Headers],[Crop type c]], 0)</calculatedColumnFormula>
    </tableColumn>
    <tableColumn id="3" xr3:uid="{02F613DA-FF1B-466B-BE0B-C700F1AAB438}" name="Fraction removed" dataDxfId="259">
      <calculatedColumnFormula array="1">Common_InputFunctions.Utility_DisplayArrayInTable(Agresidue_SourceData.CropFractionRemoved_CustomisedData(), Table77[[#Headers],[Crop type c]], 0)</calculatedColumnFormula>
    </tableColumn>
  </tableColumns>
  <tableStyleInfo name="Equation table"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67A21D96-EB5B-4020-AB30-72A9E9C97D24}" name="Table_SourceData_N2OEFOrganicFert" displayName="Table_SourceData_N2OEFOrganicFert" ref="D43:E45" totalsRowShown="0" dataDxfId="258" dataCellStyle="Content bold">
  <autoFilter ref="D43:E45" xr:uid="{2270AB6D-D03A-4D71-95C0-00BA6BB02732}">
    <filterColumn colId="0" hiddenButton="1"/>
    <filterColumn colId="1" hiddenButton="1"/>
  </autoFilter>
  <tableColumns count="2">
    <tableColumn id="1" xr3:uid="{966835C4-5788-4D26-99BF-9E932176FE40}" name="Climate zone type i" dataDxfId="257" dataCellStyle="Content bold">
      <calculatedColumnFormula array="1">Common_InputFunctions.Utility_DisplayArrayInTable(Agresidue_SourceData.N2OEFOrganicFertiliser_Data(), Table_SourceData_N2OEFOrganicFert[[#Headers],[Climate zone type i]], 0)</calculatedColumnFormula>
    </tableColumn>
    <tableColumn id="2" xr3:uid="{1736CB56-43CD-4180-B655-884E49C441EB}" name="EF i N2O" dataDxfId="256" dataCellStyle="Content bold">
      <calculatedColumnFormula array="1">Common_InputFunctions.Utility_DisplayArrayInTable(Agresidue_SourceData.N2OEFOrganicFertiliser_Data(), Table_SourceData_N2OEFOrganicFert[[#Headers],[Climate zone type i]], 0)</calculatedColumnFormula>
    </tableColumn>
  </tableColumns>
  <tableStyleInfo name="Equation table"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F4902A44-056E-4FA1-83EB-7F9F82B59B02}" name="Table_SourceData_PastureAttributes" displayName="Table_SourceData_PastureAttributes" ref="D51:I56" totalsRowShown="0" dataDxfId="255" dataCellStyle="Content normal">
  <autoFilter ref="D51:I56" xr:uid="{F6AE5C0F-BD48-43B0-80A1-E554D23A8F67}">
    <filterColumn colId="0" hiddenButton="1"/>
    <filterColumn colId="1" hiddenButton="1"/>
    <filterColumn colId="2" hiddenButton="1"/>
    <filterColumn colId="3" hiddenButton="1"/>
    <filterColumn colId="4" hiddenButton="1"/>
    <filterColumn colId="5" hiddenButton="1"/>
  </autoFilter>
  <tableColumns count="6">
    <tableColumn id="1" xr3:uid="{AA30F33C-DE90-4CF9-A34D-4B4367B8694C}" name="Pasture type" dataDxfId="254" dataCellStyle="Content normal">
      <calculatedColumnFormula array="1">Common_InputFunctions.Utility_DisplayArrayInTable(Agresidue_SourceData.PastureAttributes_Data(), Table_SourceData_PastureAttributes[[#Headers],[Pasture type]], 0)</calculatedColumnFormula>
    </tableColumn>
    <tableColumn id="2" xr3:uid="{0A4541D4-FDF0-4EDB-AF93-2FCD65EB602F}" name="Average Yield (t DM ha) Yp" dataDxfId="253" dataCellStyle="Content normal">
      <calculatedColumnFormula array="1">Common_InputFunctions.Utility_DisplayArrayInTable(Agresidue_SourceData.PastureAttributes_Data(), Table_SourceData_PastureAttributes[[#Headers],[Pasture type]], 0)</calculatedColumnFormula>
    </tableColumn>
    <tableColumn id="3" xr3:uid="{C75AA081-871F-411D-B26C-C2D4FFD75544}" name="Below-ground: above-ground residue ratio RBGp" dataDxfId="252" dataCellStyle="Content normal">
      <calculatedColumnFormula array="1">Common_InputFunctions.Utility_DisplayArrayInTable(Agresidue_SourceData.PastureAttributes_Data(), Table_SourceData_PastureAttributes[[#Headers],[Pasture type]], 0)</calculatedColumnFormula>
    </tableColumn>
    <tableColumn id="4" xr3:uid="{7955F979-846B-46D1-B164-AC15715BA9F7}" name="N content Above-ground NCAGp" dataDxfId="251" dataCellStyle="Content normal">
      <calculatedColumnFormula array="1">Common_InputFunctions.Utility_DisplayArrayInTable(Agresidue_SourceData.PastureAttributes_Data(), Table_SourceData_PastureAttributes[[#Headers],[Pasture type]], 0)</calculatedColumnFormula>
    </tableColumn>
    <tableColumn id="5" xr3:uid="{F2290114-F6C6-4920-8D00-CAD8CA051653}" name="N content Below-ground NCBGp" dataDxfId="250" dataCellStyle="Content normal">
      <calculatedColumnFormula array="1">Common_InputFunctions.Utility_DisplayArrayInTable(Agresidue_SourceData.PastureAttributes_Data(), Table_SourceData_PastureAttributes[[#Headers],[Pasture type]], 0)</calculatedColumnFormula>
    </tableColumn>
    <tableColumn id="6" xr3:uid="{DD065E42-85B0-4659-B924-F838F09C1F73}" name="Fraction of pasture yield that is removed FFODp" dataDxfId="249" dataCellStyle="Content normal">
      <calculatedColumnFormula array="1">Common_InputFunctions.Utility_DisplayArrayInTable(Agresidue_SourceData.PastureAttributes_Data(), Table_SourceData_PastureAttributes[[#Headers],[Pasture type]], 0)</calculatedColumnFormula>
    </tableColumn>
  </tableColumns>
  <tableStyleInfo name="Equation table"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96E12E6C-DBF5-4C14-A6F7-896E69DAA4A7}" name="Table_SourceData_BurningResidueEFs" displayName="Table_SourceData_BurningResidueEFs" ref="D62:F67" totalsRowShown="0">
  <autoFilter ref="D62:F67" xr:uid="{8F5439AB-496D-443A-987D-2B47D1EC32A7}">
    <filterColumn colId="0" hiddenButton="1"/>
    <filterColumn colId="1" hiddenButton="1"/>
    <filterColumn colId="2" hiddenButton="1"/>
  </autoFilter>
  <tableColumns count="3">
    <tableColumn id="1" xr3:uid="{13BC3BB3-D9E3-49AF-B82B-61F2D2484140}" name="Gas species">
      <calculatedColumnFormula array="1">Common_InputFunctions.Utility_DisplayArrayInTable(AgResidues_SourceData.BurningOfAgriculturalResiduesEFs_Data(), Table_SourceData_BurningResidueEFs[[#Headers],[Gas species]], 0)</calculatedColumnFormula>
    </tableColumn>
    <tableColumn id="2" xr3:uid="{98325F88-6A34-405C-AE04-0BF23FFA373C}" name="Emission factor EFg (Gg element in species/ Gg element in fuel burnt)" dataDxfId="248" dataCellStyle="Content normal">
      <calculatedColumnFormula array="1">Common_InputFunctions.Utility_DisplayArrayInTable(AgResidues_SourceData.BurningOfAgriculturalResiduesEFs_Data(), Table_SourceData_BurningResidueEFs[[#Headers],[Gas species]], 0)</calculatedColumnFormula>
    </tableColumn>
    <tableColumn id="3" xr3:uid="{55497FAB-6D14-4712-9251-D8C0926C1AB5}" name="Elemental to molecular mass conversion factor (Cg)" dataDxfId="247" dataCellStyle="Content normal">
      <calculatedColumnFormula array="1">Common_InputFunctions.Utility_DisplayArrayInTable(AgResidues_SourceData.BurningOfAgriculturalResiduesEFs_Data(), Table_SourceData_BurningResidueEFs[[#Headers],[Gas species]], 0)</calculatedColumnFormula>
    </tableColumn>
  </tableColumns>
  <tableStyleInfo name="Equation table"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BD781BCB-0693-43E0-AF53-5C49E0A351DF}" name="Table_SourceData_CropPurposeAndYields" displayName="Table_SourceData_CropPurposeAndYields" ref="D7:K10" totalsRowShown="0" headerRowDxfId="246">
  <autoFilter ref="D7:K10" xr:uid="{A2BEDD81-DD4E-48EE-9D36-B81EDA1F3FAE}">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37AC1FE5-C1EF-447F-81A1-3EACF6098FF2}" name="Purpose">
      <calculatedColumnFormula array="1">Common_InputFunctions.Utility_DisplayArrayInTable(Agresidue_SourceData.CropPurposeAndYield_Data(), Table_SourceData_CropPurposeAndYields[[#Headers],[Purpose]], 0)</calculatedColumnFormula>
    </tableColumn>
    <tableColumn id="2" xr3:uid="{70619487-AE98-4512-84AF-58B8DA4D723A}" name="Per hectare unit">
      <calculatedColumnFormula array="1">Common_InputFunctions.Utility_DisplayArrayInTable(Agresidue_SourceData.CropPurposeAndYield_Data(), Table_SourceData_CropPurposeAndYields[[#Headers],[Purpose]], 0)</calculatedColumnFormula>
    </tableColumn>
    <tableColumn id="3" xr3:uid="{1AA4CA03-CF06-43BD-9C22-A1DD15E9D455}" name="harvest term">
      <calculatedColumnFormula array="1">Common_InputFunctions.Utility_DisplayArrayInTable(Agresidue_SourceData.CropPurposeAndYield_Data(), Table_SourceData_CropPurposeAndYields[[#Headers],[Purpose]], 0)</calculatedColumnFormula>
    </tableColumn>
    <tableColumn id="4" xr3:uid="{E941EA53-8A4D-4087-AE9A-1C219D853DFF}" name="harvest endpoint">
      <calculatedColumnFormula array="1">Common_InputFunctions.Utility_DisplayArrayInTable(Agresidue_SourceData.CropPurposeAndYield_Data(), Table_SourceData_CropPurposeAndYields[[#Headers],[Purpose]], 0)</calculatedColumnFormula>
    </tableColumn>
    <tableColumn id="5" xr3:uid="{26748674-D2C3-49C8-969C-8529E05D1881}" name="Harvest uit">
      <calculatedColumnFormula array="1">Common_InputFunctions.Utility_DisplayArrayInTable(Agresidue_SourceData.CropPurposeAndYield_Data(), Table_SourceData_CropPurposeAndYields[[#Headers],[Purpose]], 0)</calculatedColumnFormula>
    </tableColumn>
    <tableColumn id="6" xr3:uid="{35CD380E-AB03-43A8-B079-E7B827F9C7E1}" name="Yield note">
      <calculatedColumnFormula array="1">Common_InputFunctions.Utility_DisplayArrayInTable(Agresidue_SourceData.CropPurposeAndYield_Data(), Table_SourceData_CropPurposeAndYields[[#Headers],[Purpose]], 0)</calculatedColumnFormula>
    </tableColumn>
    <tableColumn id="8" xr3:uid="{65879D14-9EFD-4DF2-8830-56FD5FF50AB5}" name="Residue crop ratio note">
      <calculatedColumnFormula array="1">Common_InputFunctions.Utility_DisplayArrayInTable(Agresidue_SourceData.CropPurposeAndYield_Data(), Table_SourceData_CropPurposeAndYields[[#Headers],[Purpose]], 0)</calculatedColumnFormula>
    </tableColumn>
    <tableColumn id="9" xr3:uid="{88C97118-55FB-42EB-A375-F72257EA3DB6}" name="Total production note">
      <calculatedColumnFormula array="1">Common_InputFunctions.Utility_DisplayArrayInTable(Agresidue_SourceData.CropPurposeAndYield_Data(), Table_SourceData_CropPurposeAndYields[[#Headers],[Purpose]], 0)</calculatedColumnFormula>
    </tableColumn>
  </tableColumns>
  <tableStyleInfo name="Equation table"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B5C620F9-5AB0-4868-9C8D-E74B4C7B9D0F}" name="Table_SourceData_Fertiliser_IrrigationMethods84" displayName="Table_SourceData_Fertiliser_IrrigationMethods84" ref="N21:N26" totalsRowShown="0">
  <autoFilter ref="N21:N26" xr:uid="{1AC5909E-E06C-4A79-81E9-C25A0B6D9E90}">
    <filterColumn colId="0" hiddenButton="1"/>
  </autoFilter>
  <tableColumns count="1">
    <tableColumn id="1" xr3:uid="{18701C98-9DC9-4811-AB6B-1BCCD2203182}" name="Irrigation method"/>
  </tableColumns>
  <tableStyleInfo name="Equation table"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773D61FA-2B4C-4C7F-B895-65D9B2EC6765}"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0A1DCED0-F9E2-4AE8-85D4-52179A8D10B0}" name="Symbol">
      <calculatedColumnFormula array="1">Common_InputFunctions.Utility_DisplayArrayInTable(CommonLivestock_SourceData.SourceData_Livestock_Common_SymbolsMMS_Data(), Table_Data_MMSSymbols[[#Headers],[Symbol]], 0)</calculatedColumnFormula>
    </tableColumn>
    <tableColumn id="2" xr3:uid="{7DFD75EB-1430-4613-BB3D-09449B864E4E}" name="Manure management system">
      <calculatedColumnFormula array="1">Common_InputFunctions.Utility_DisplayArrayInTable(CommonLivestock_SourceData.SourceData_Livestock_Common_SymbolsMMS_Data(), Table_Data_MMSSymbols[[#Headers],[Symbol]], 0)</calculatedColumnFormula>
    </tableColumn>
    <tableColumn id="3" xr3:uid="{FE35C74C-8049-4F8B-A666-BBFA76CDF5D7}" name="Symbol and MMS">
      <calculatedColumnFormula array="1">Common_InputFunctions.Utility_DisplayArrayInTable(CommonLivestock_SourceData.SourceData_Livestock_Common_SymbolsMMS_Data(),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F51316DB-9146-4F9B-A56F-0899BF5C3FF5}" name="Table_SourceData_LivestockProduct_Beefcattle" displayName="Table_SourceData_LivestockProduct_Beefcattle" ref="D31:E39" totalsRowShown="0">
  <autoFilter ref="D31:E39" xr:uid="{A0696731-6602-481C-9AD7-5F0AC3A93169}"/>
  <tableColumns count="2">
    <tableColumn id="1" xr3:uid="{2AFCF190-5BEC-49D7-A8F0-89295E7FFB0D}" name="Product">
      <calculatedColumnFormula array="1">Common_InputFunctions.Utility_DisplayArrayInTable(CommonLivestock_SourceData.SourceData_Livestock_Product_BeefCattle_Data(),Table_SourceData_LivestockProduct_Beefcattle[[#Headers],[Product]],0)</calculatedColumnFormula>
    </tableColumn>
    <tableColumn id="2" xr3:uid="{2A2DC3A0-9200-4038-9F31-C50C3F85A52F}" name="Source region" dataDxfId="245" dataCellStyle="Content normal">
      <calculatedColumnFormula array="1">Common_InputFunctions.Utility_DisplayArrayInTable(CommonLivestock_SourceData.SourceData_Livestock_Product_BeefCattle_Data(),Table_SourceData_LivestockProduct_Beefcattle[[#Headers],[Product]],0)</calculatedColumnFormula>
    </tableColumn>
  </tableColumns>
  <tableStyleInfo name="Equation table"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CF027A79-B69E-42F7-9C00-1492502609A8}" name="Table_SourceData_LivestockProduct_Sheep" displayName="Table_SourceData_LivestockProduct_Sheep" ref="D43:E50" totalsRowShown="0" dataDxfId="244" dataCellStyle="Content normal">
  <autoFilter ref="D43:E50" xr:uid="{F711E95C-01C8-48A7-BB52-9F827483965C}"/>
  <tableColumns count="2">
    <tableColumn id="1" xr3:uid="{6E46190B-2178-46C2-AECA-F3172F21F4FD}" name="Product" dataDxfId="243" dataCellStyle="Content normal">
      <calculatedColumnFormula array="1">Common_InputFunctions.Utility_DisplayArrayInTable(CommonLivestock_SourceData.SourceData_Livestock_Product_Sheep_Data(),Table_SourceData_LivestockProduct_Sheep[[#Headers],[Product]],0)</calculatedColumnFormula>
    </tableColumn>
    <tableColumn id="2" xr3:uid="{FD794FB5-74A9-4F1C-9FE0-78727B6412D1}" name="Source region" dataDxfId="242" dataCellStyle="Content normal">
      <calculatedColumnFormula array="1">Common_InputFunctions.Utility_DisplayArrayInTable(CommonLivestock_SourceData.SourceData_Livestock_Product_Sheep_Data(),Table_SourceData_LivestockProduct_Sheep[[#Headers],[Product]],0)</calculatedColumnFormula>
    </tableColumn>
  </tableColumns>
  <tableStyleInfo name="Equation table"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1935D2FD-B8B9-4C88-A3F1-54617B5C27F2}" name="Table_SourceData_LivestockProduct_Chickens" displayName="Table_SourceData_LivestockProduct_Chickens" ref="D54:E55" totalsRowShown="0" dataDxfId="241" dataCellStyle="Content normal">
  <autoFilter ref="D54:E55" xr:uid="{2A75A840-CA11-4C7B-8899-C3A821D14E27}"/>
  <tableColumns count="2">
    <tableColumn id="1" xr3:uid="{3DFA3992-A918-4DE3-89F4-CC772648C2D9}" name="Product" dataDxfId="240" dataCellStyle="Content normal">
      <calculatedColumnFormula array="1">Common_InputFunctions.Utility_DisplayArrayInTable(CommonLivestock_SourceData.SourceData_Livestock_Product_Chickens_Data(),Table_SourceData_LivestockProduct_Chickens[[#Headers],[Product]],0)</calculatedColumnFormula>
    </tableColumn>
    <tableColumn id="2" xr3:uid="{E8222434-8CFE-486C-9450-2DE1A2A7E939}" name="Source region" dataDxfId="239" dataCellStyle="Content normal">
      <calculatedColumnFormula array="1">Common_InputFunctions.Utility_DisplayArrayInTable(CommonLivestock_SourceData.SourceData_Livestock_Product_Chickens_Data(),Table_SourceData_LivestockProduct_Chickens[[#Headers],[Product]],0)</calculatedColumnFormula>
    </tableColumn>
  </tableColumns>
  <tableStyleInfo name="Equation table"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8" xr:uid="{B9B636B9-AAAA-4E15-A056-22632640960F}" name="Table_SourceData_LivestockProduct_Dairycattle" displayName="Table_SourceData_LivestockProduct_Dairycattle" ref="D59:E60" totalsRowShown="0" dataDxfId="238" dataCellStyle="Content normal">
  <autoFilter ref="D59:E60" xr:uid="{2D888E1E-7753-4DC0-B298-BEAC22F6BD88}"/>
  <tableColumns count="2">
    <tableColumn id="1" xr3:uid="{529DB61D-97BE-4800-83C6-09DA9C000E06}" name="Product" dataDxfId="237" dataCellStyle="Content normal">
      <calculatedColumnFormula array="1">Common_InputFunctions.Utility_DisplayArrayInTable(CommonLivestock_SourceData.SourceData_Livestock_Product_Dairycattle_Data(),Table_SourceData_LivestockProduct_Dairycattle[[#Headers],[Product]],0)</calculatedColumnFormula>
    </tableColumn>
    <tableColumn id="2" xr3:uid="{3ADC8831-F5C9-4EAC-872A-F81D3D8DF914}" name="Source region" dataDxfId="236" dataCellStyle="Content normal">
      <calculatedColumnFormula array="1">Common_InputFunctions.Utility_DisplayArrayInTable(CommonLivestock_SourceData.SourceData_Livestock_Product_Dairycattle_Data(),Table_SourceData_LivestockProduct_Dairycattle[[#Headers],[Product]],0)</calculatedColumnFormula>
    </tableColumn>
  </tableColumns>
  <tableStyleInfo name="Equation table"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9" xr:uid="{56E6ED7A-76ED-4A84-9E4D-EEC18936B232}" name="Table_SourceData_LivestockProduct_Pigs" displayName="Table_SourceData_LivestockProduct_Pigs" ref="D64:E65" totalsRowShown="0" dataDxfId="235" dataCellStyle="Content normal">
  <autoFilter ref="D64:E65" xr:uid="{4DB6C08B-3AF7-4AD1-AB80-46559AA7950B}"/>
  <tableColumns count="2">
    <tableColumn id="1" xr3:uid="{5F74DCC6-568B-4332-8ADC-D4A24FC5BA27}" name="Product" dataDxfId="234" dataCellStyle="Content normal">
      <calculatedColumnFormula array="1">Common_InputFunctions.Utility_DisplayArrayInTable(CommonLivestock_SourceData.SourceData_Livestock_Product_Pigs_Data(),Table_SourceData_LivestockProduct_Pigs[[#Headers],[Product]],0)</calculatedColumnFormula>
    </tableColumn>
    <tableColumn id="2" xr3:uid="{207DB625-B364-452E-9F17-65D791E608A8}" name="Source region" dataDxfId="233" dataCellStyle="Content normal">
      <calculatedColumnFormula array="1">Common_InputFunctions.Utility_DisplayArrayInTable(CommonLivestock_SourceData.SourceData_Livestock_Product_Pigs_Data(),Table_SourceData_LivestockProduct_Pigs[[#Headers],[Product]],0)</calculatedColumnFormula>
    </tableColumn>
  </tableColumns>
  <tableStyleInfo name="Equation table"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BA9BC12D-C19F-4525-A818-AA9DB986F09C}" name="Table_SourceData_ElectricityEFs" displayName="Table_SourceData_ElectricityEFs" ref="D9:F19" totalsRowShown="0" headerRowDxfId="232">
  <autoFilter ref="D9:F19" xr:uid="{3144A982-7A4D-4CF2-8790-1A30DAE3E0A4}">
    <filterColumn colId="0" hiddenButton="1"/>
    <filterColumn colId="1" hiddenButton="1"/>
    <filterColumn colId="2" hiddenButton="1"/>
  </autoFilter>
  <tableColumns count="3">
    <tableColumn id="1" xr3:uid="{3738185B-8840-4287-A3D0-94902E0B4C71}" name="State, Territory or grid description">
      <calculatedColumnFormula array="1">Common_InputFunctions.Utility_DisplayArrayInTable(Electricity_SourceData.Electricity_Scope2Scope3LocationBased_Data(), Table_SourceData_ElectricityEFs[[#Headers],[State, Territory or grid description]], 0)</calculatedColumnFormula>
    </tableColumn>
    <tableColumn id="2" xr3:uid="{098B6C03-16A1-4CE4-8B93-62B02FDC1195}" name="Scope 2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 id="3" xr3:uid="{078DEDAB-E12C-4B25-84D6-EB93EF7B375A}" name="Scope 3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s>
  <tableStyleInfo name="Equation table"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62947CFB-C017-420D-A75B-71FD78549882}" name="Table_SourceData_ElectricityEFsMarketBased" displayName="Table_SourceData_ElectricityEFsMarketBased" ref="D24:H25" totalsRowShown="0">
  <autoFilter ref="D24:H25" xr:uid="{87EEFE36-44F1-40A4-8394-9054D486E209}">
    <filterColumn colId="0" hiddenButton="1"/>
    <filterColumn colId="1" hiddenButton="1"/>
    <filterColumn colId="2" hiddenButton="1"/>
    <filterColumn colId="3" hiddenButton="1"/>
    <filterColumn colId="4" hiddenButton="1"/>
  </autoFilter>
  <tableColumns count="5">
    <tableColumn id="1" xr3:uid="{23BADB27-9790-43E8-A6D8-6B1775D3C0B5}" name="State, Territory or grid description">
      <calculatedColumnFormula array="1">Common_InputFunctions.Utility_DisplayArrayInTable(Electricity_SourceData.Electricity_Scope2Scope3MarketBased_Data(), Table_SourceData_ElectricityEFsMarketBased[[#Headers],[State, Territory or grid description]], 0)</calculatedColumnFormula>
    </tableColumn>
    <tableColumn id="2" xr3:uid="{52C54B56-ACC5-4D57-8E6B-A257F048C509}" name="Scope 2 EF (kg CO2-e/kWh)">
      <calculatedColumnFormula array="1">Common_InputFunctions.Utility_DisplayArrayInTable(Electricity_SourceData.Electricity_Scope2Scope3MarketBased_Data(), Table_SourceData_ElectricityEFsMarketBased[[#Headers],[State, Territory or grid description]], 0)</calculatedColumnFormula>
    </tableColumn>
    <tableColumn id="3" xr3:uid="{44262C76-637A-4A9F-B0C2-860FEFC3E242}" name="Scope 2 EF (kg CO2-e/GJ)">
      <calculatedColumnFormula array="1">Common_InputFunctions.Utility_DisplayArrayInTable(Electricity_SourceData.Electricity_Scope2Scope3MarketBased_Data(), Table_SourceData_ElectricityEFsMarketBased[[#Headers],[State, Territory or grid description]], 0)</calculatedColumnFormula>
    </tableColumn>
    <tableColumn id="4" xr3:uid="{F24CC01A-5953-4F7C-BA6C-7228B270E2E5}" name="Scope 3 EF (kg CO2-e/kWh)">
      <calculatedColumnFormula array="1">Common_InputFunctions.Utility_DisplayArrayInTable(Electricity_SourceData.Electricity_Scope2Scope3MarketBased_Data(), Table_SourceData_ElectricityEFsMarketBased[[#Headers],[State, Territory or grid description]], 0)</calculatedColumnFormula>
    </tableColumn>
    <tableColumn id="5" xr3:uid="{A5E3EDCB-B4F4-4776-AA2E-4201C8A0C3F6}" name="Scope 3 EF (kg CO2-e/GJ)">
      <calculatedColumnFormula array="1">Common_InputFunctions.Utility_DisplayArrayInTable(Electricity_SourceData.Electricity_Scope2Scope3MarketBased_Data(), Table_SourceData_ElectricityEFsMarketBased[[#Headers],[State, Territory or grid description]], 0)</calculatedColumnFormula>
    </tableColumn>
  </tableColumns>
  <tableStyleInfo name="Equation table"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75B15048-C781-46B7-ADB3-72B64C5F61B2}" name="Table_Fertiliser_ChemicalCompounds" displayName="Table_Fertiliser_ChemicalCompounds" ref="D19:I38" totalsRowShown="0">
  <autoFilter ref="D19:I38" xr:uid="{C62DD19F-CBC4-42A0-AD7E-F034180A8AA9}">
    <filterColumn colId="0" hiddenButton="1"/>
    <filterColumn colId="1" hiddenButton="1"/>
    <filterColumn colId="2" hiddenButton="1"/>
    <filterColumn colId="3" hiddenButton="1"/>
    <filterColumn colId="4" hiddenButton="1"/>
    <filterColumn colId="5" hiddenButton="1"/>
  </autoFilter>
  <tableColumns count="6">
    <tableColumn id="1" xr3:uid="{B4539044-B978-4CC8-A049-2ACB6127F4CD}" name="Fertiliser type f">
      <calculatedColumnFormula array="1">Common_InputFunctions.Utility_DisplayArrayInTable(Fertiliser_SourceData.Fertiliser_ChemicalCompoundElements_Data(),Table_Fertiliser_ChemicalCompounds[[#Headers],[Fertiliser type f]], 0)</calculatedColumnFormula>
    </tableColumn>
    <tableColumn id="2" xr3:uid="{5188857E-9E68-46DC-82E7-78C7A59C5BB4}" name="FNinorganic f">
      <calculatedColumnFormula array="1">Common_InputFunctions.Utility_DisplayArrayInTable(Fertiliser_SourceData.Fertiliser_ChemicalCompoundElements_Data(),Table_Fertiliser_ChemicalCompounds[[#Headers],[Fertiliser type f]], 0)</calculatedColumnFormula>
    </tableColumn>
    <tableColumn id="3" xr3:uid="{909AA455-6116-43F7-B21D-CFC07E7170FB}" name="FU f">
      <calculatedColumnFormula array="1">Common_InputFunctions.Utility_DisplayArrayInTable(Fertiliser_SourceData.Fertiliser_ChemicalCompoundElements_Data(),Table_Fertiliser_ChemicalCompounds[[#Headers],[Fertiliser type f]], 0)</calculatedColumnFormula>
    </tableColumn>
    <tableColumn id="4" xr3:uid="{7CB57B10-229D-4403-A6FC-436FCC9C2100}" name="Basis">
      <calculatedColumnFormula array="1">Common_InputFunctions.Utility_DisplayArrayInTable(Fertiliser_SourceData.Fertiliser_ChemicalCompoundElements_Data(),Table_Fertiliser_ChemicalCompounds[[#Headers],[Fertiliser type f]], 0)</calculatedColumnFormula>
    </tableColumn>
    <tableColumn id="5" xr3:uid="{140396C3-89D6-496F-9DF2-7DC8AD04F13F}" name="Lifecycles Scope 3 definition">
      <calculatedColumnFormula array="1">Common_InputFunctions.Utility_DisplayArrayInTable(Fertiliser_SourceData.Fertiliser_ChemicalCompoundElements_Data(),Table_Fertiliser_ChemicalCompounds[[#Headers],[Fertiliser type f]], 0)</calculatedColumnFormula>
    </tableColumn>
    <tableColumn id="6" xr3:uid="{EB806584-DD1F-4B8C-B9DD-FF8BBB5652FB}" name="Source">
      <calculatedColumnFormula array="1">Common_InputFunctions.Utility_DisplayArrayInTable(Fertiliser_SourceData.Fertiliser_ChemicalCompoundElements_Data(),Table_Fertiliser_ChemicalCompounds[[#Headers],[Fertiliser type f]], 0)</calculatedColumnFormula>
    </tableColumn>
  </tableColumns>
  <tableStyleInfo name="Equation table"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E64083D3-4B11-417A-90B5-D60961D8F874}" name="FertiliserProducts" displayName="FertiliserProducts" ref="D89:AE153" totalsRowShown="0">
  <autoFilter ref="D89:AE153" xr:uid="{CF03620B-9968-447A-A13F-E60FF3C81E4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autoFilter>
  <tableColumns count="28">
    <tableColumn id="1" xr3:uid="{4630437E-FE76-4C58-BBFC-87E03CFB4608}" name="Include or Exclude" dataDxfId="231" totalsRowDxfId="230">
      <calculatedColumnFormula array="1">Common_InputFunctions.Utility_DisplayArrayInTable(Fertiliser_SourceData.Fertiliser_Products_Data1(),FertiliserProducts[[#Headers],[Include or Exclude]], -1)</calculatedColumnFormula>
    </tableColumn>
    <tableColumn id="2" xr3:uid="{BE0F73B0-0C3D-4F34-BEB3-2B0D705E6DC9}" name="Notes" dataDxfId="229" totalsRowDxfId="228">
      <calculatedColumnFormula array="1">Common_InputFunctions.Utility_DisplayArrayInTable(Fertiliser_SourceData.Fertiliser_Products_Data1(),FertiliserProducts[[#Headers],[Include or Exclude]], 0)</calculatedColumnFormula>
    </tableColumn>
    <tableColumn id="3" xr3:uid="{750359CB-39D5-4EE4-8383-77830BB91E27}" name="Company" dataDxfId="227" totalsRowDxfId="226">
      <calculatedColumnFormula array="1">Common_InputFunctions.Utility_DisplayArrayInTable(Fertiliser_SourceData.Fertiliser_Products_Data1(),FertiliserProducts[[#Headers],[Include or Exclude]], 0)</calculatedColumnFormula>
    </tableColumn>
    <tableColumn id="4" xr3:uid="{C8A8AA87-4144-41DB-9448-9FFD6C265A9C}" name="Product name" dataDxfId="225" totalsRowDxfId="224">
      <calculatedColumnFormula array="1">Common_InputFunctions.Utility_DisplayArrayInTable(Fertiliser_SourceData.Fertiliser_Products_Data1(),FertiliserProducts[[#Headers],[Include or Exclude]], 0)</calculatedColumnFormula>
    </tableColumn>
    <tableColumn id="5" xr3:uid="{ABA03DEA-DAF2-461E-BCF0-3EDDFB83D79C}" name="Unit" dataDxfId="223" totalsRowDxfId="222">
      <calculatedColumnFormula array="1">Common_InputFunctions.Utility_DisplayArrayInTable(Fertiliser_SourceData.Fertiliser_Products_Data1(),FertiliserProducts[[#Headers],[Include or Exclude]], 0,4)</calculatedColumnFormula>
    </tableColumn>
    <tableColumn id="6" xr3:uid="{D759FD8A-B3FD-4A10-877A-F1DC7C66C6B1}" name="Density / gravity" dataDxfId="221" totalsRowDxfId="220">
      <calculatedColumnFormula array="1">Common_InputFunctions.Utility_DisplayArrayInTable(Fertiliser_SourceData.Fertiliser_Products_Data1(),FertiliserProducts[[#Headers],[Include or Exclude]], 0,4)</calculatedColumnFormula>
    </tableColumn>
    <tableColumn id="7" xr3:uid="{D8E29CC6-2EC7-49F3-9532-28D251A3582B}" name="Urea source" dataDxfId="219" totalsRowDxfId="218">
      <calculatedColumnFormula array="1">Common_InputFunctions.Utility_DisplayArrayInTable(Fertiliser_SourceData.Fertiliser_Products_Data1(),FertiliserProducts[[#Headers],[Include or Exclude]], 0,4)</calculatedColumnFormula>
    </tableColumn>
    <tableColumn id="8" xr3:uid="{2426BA23-1E6F-41B6-B726-AC52372C8C88}" name="Ammonia source" dataDxfId="217" totalsRowDxfId="216">
      <calculatedColumnFormula array="1">Common_InputFunctions.Utility_DisplayArrayInTable(Fertiliser_SourceData.Fertiliser_Products_Data1(),FertiliserProducts[[#Headers],[Include or Exclude]], 0,4)</calculatedColumnFormula>
    </tableColumn>
    <tableColumn id="9" xr3:uid="{18C06D2C-A3CC-436D-8F08-33B36E3BBE71}" name="Ingredient 1" dataDxfId="215" totalsRowDxfId="214">
      <calculatedColumnFormula array="1">Common_InputFunctions.Utility_DisplayArrayInTable(Fertiliser_SourceData.Fertiliser_Products_Data1(),FertiliserProducts[[#Headers],[Include or Exclude]], 0,4)</calculatedColumnFormula>
    </tableColumn>
    <tableColumn id="10" xr3:uid="{FDAC9C64-5563-4ECC-9766-5987D4F8BA86}" name="Ingredient 1 percent" dataDxfId="213" totalsRowDxfId="212">
      <calculatedColumnFormula array="1">Common_InputFunctions.Utility_DisplayArrayInTable(Fertiliser_SourceData.Fertiliser_Products_Data1(),FertiliserProducts[[#Headers],[Include or Exclude]], 0,4)</calculatedColumnFormula>
    </tableColumn>
    <tableColumn id="11" xr3:uid="{B70D4D49-CF7E-434F-9D48-CD06D8575C10}" name="Ingredient 2" dataDxfId="211" totalsRowDxfId="210">
      <calculatedColumnFormula array="1">Common_InputFunctions.Utility_DisplayArrayInTable(Fertiliser_SourceData.Fertiliser_Products_Data1(),FertiliserProducts[[#Headers],[Include or Exclude]], 0,4)</calculatedColumnFormula>
    </tableColumn>
    <tableColumn id="12" xr3:uid="{1010BA8B-C7DB-44C6-BFC6-42AD0619C3A3}" name="Ingredient 2 percent" dataDxfId="209" totalsRowDxfId="208">
      <calculatedColumnFormula array="1">Common_InputFunctions.Utility_DisplayArrayInTable(Fertiliser_SourceData.Fertiliser_Products_Data1(),FertiliserProducts[[#Headers],[Include or Exclude]], 0,4)</calculatedColumnFormula>
    </tableColumn>
    <tableColumn id="13" xr3:uid="{CF2AF1F3-47EF-4762-B308-FDEF4B4C85A8}" name="Ingredient 3" dataDxfId="207" totalsRowDxfId="206">
      <calculatedColumnFormula array="1">Common_InputFunctions.Utility_DisplayArrayInTable(Fertiliser_SourceData.Fertiliser_Products_Data1(),FertiliserProducts[[#Headers],[Include or Exclude]], 0,4)</calculatedColumnFormula>
    </tableColumn>
    <tableColumn id="14" xr3:uid="{6F9053D9-6917-4E22-8B8E-31C8C235E49F}" name="Ingredient 3 percent" dataDxfId="205" totalsRowDxfId="204">
      <calculatedColumnFormula array="1">Common_InputFunctions.Utility_DisplayArrayInTable(Fertiliser_SourceData.Fertiliser_Products_Data1(),FertiliserProducts[[#Headers],[Include or Exclude]], 0,4)</calculatedColumnFormula>
    </tableColumn>
    <tableColumn id="15" xr3:uid="{EF37135B-9E7F-4FD3-958B-CECB8EA7A8BF}" name="Ingredient 4" dataDxfId="203" totalsRowDxfId="202">
      <calculatedColumnFormula array="1">Common_InputFunctions.Utility_DisplayArrayInTable(Fertiliser_SourceData.Fertiliser_Products_Data1(),FertiliserProducts[[#Headers],[Include or Exclude]], 0,4)</calculatedColumnFormula>
    </tableColumn>
    <tableColumn id="16" xr3:uid="{96614110-744E-4E58-AC67-A6BF51F4FF70}" name="Ingredient 4 percent" dataDxfId="201" totalsRowDxfId="200">
      <calculatedColumnFormula array="1">Common_InputFunctions.Utility_DisplayArrayInTable(Fertiliser_SourceData.Fertiliser_Products_Data1(),FertiliserProducts[[#Headers],[Include or Exclude]], 0,4)</calculatedColumnFormula>
    </tableColumn>
    <tableColumn id="17" xr3:uid="{B4B9112B-2E02-41DF-822A-15FB9BFD3828}" name="Ingredient 5" dataDxfId="199" totalsRowDxfId="198">
      <calculatedColumnFormula array="1">Common_InputFunctions.Utility_DisplayArrayInTable(Fertiliser_SourceData.Fertiliser_Products_Data1(),FertiliserProducts[[#Headers],[Include or Exclude]], 0,4)</calculatedColumnFormula>
    </tableColumn>
    <tableColumn id="18" xr3:uid="{29080C9F-C86D-400E-B61B-FE95411AA07B}" name="Ingredient 5 percent" dataDxfId="197" totalsRowDxfId="196">
      <calculatedColumnFormula array="1">Common_InputFunctions.Utility_DisplayArrayInTable(Fertiliser_SourceData.Fertiliser_Products_Data1(),FertiliserProducts[[#Headers],[Include or Exclude]], 0,4)</calculatedColumnFormula>
    </tableColumn>
    <tableColumn id="19" xr3:uid="{889C2DBA-F6EF-449C-9D57-23E05593565E}" name="Ingredient 6" dataDxfId="195" totalsRowDxfId="194">
      <calculatedColumnFormula array="1">Common_InputFunctions.Utility_DisplayArrayInTable(Fertiliser_SourceData.Fertiliser_Products_Data1(),FertiliserProducts[[#Headers],[Include or Exclude]], 0,4)</calculatedColumnFormula>
    </tableColumn>
    <tableColumn id="37" xr3:uid="{D8128430-9272-4F07-90F5-8AD0B7A3823A}" name="Ingredient 6 percent" dataDxfId="193" totalsRowDxfId="192">
      <calculatedColumnFormula array="1">Common_InputFunctions.Utility_DisplayArrayInTable(Fertiliser_SourceData.Fertiliser_Products_Data1(),FertiliserProducts[[#Headers],[Include or Exclude]], 0,4)</calculatedColumnFormula>
    </tableColumn>
    <tableColumn id="20" xr3:uid="{5F461D58-6FBF-40D2-A813-1F6DD3149A85}" name="Ingredient 7" dataDxfId="191">
      <calculatedColumnFormula array="1">Common_InputFunctions.Utility_DisplayArrayInTable(Fertiliser_SourceData.Fertiliser_Products_Data1(),FertiliserProducts[[#Headers],[Include or Exclude]], 0,4)</calculatedColumnFormula>
    </tableColumn>
    <tableColumn id="24" xr3:uid="{4D3659B9-1916-4698-AB91-69804819923E}" name="Ingredient 7 percent" dataDxfId="190">
      <calculatedColumnFormula array="1">Common_InputFunctions.Utility_DisplayArrayInTable(Fertiliser_SourceData.Fertiliser_Products_Data1(),FertiliserProducts[[#Headers],[Include or Exclude]], 0,4)</calculatedColumnFormula>
    </tableColumn>
    <tableColumn id="23" xr3:uid="{08B8081E-947F-45B4-9102-30563F3D0CEB}" name="Ingredient 8" dataDxfId="189">
      <calculatedColumnFormula array="1">Common_InputFunctions.Utility_DisplayArrayInTable(Fertiliser_SourceData.Fertiliser_Products_Data1(),FertiliserProducts[[#Headers],[Include or Exclude]], 0,4)</calculatedColumnFormula>
    </tableColumn>
    <tableColumn id="26" xr3:uid="{F39694A0-3CF2-42F2-90B8-27A0A9DCEB9E}" name="Ingredient 8 percent" dataDxfId="188">
      <calculatedColumnFormula array="1">Common_InputFunctions.Utility_DisplayArrayInTable(Fertiliser_SourceData.Fertiliser_Products_Data1(),FertiliserProducts[[#Headers],[Include or Exclude]], 0,4)</calculatedColumnFormula>
    </tableColumn>
    <tableColumn id="25" xr3:uid="{7DC02556-7E6A-489D-B056-CDB403447246}" name="Ingredient 9" dataDxfId="187">
      <calculatedColumnFormula array="1">Common_InputFunctions.Utility_DisplayArrayInTable(Fertiliser_SourceData.Fertiliser_Products_Data1(),FertiliserProducts[[#Headers],[Include or Exclude]], 0,4)</calculatedColumnFormula>
    </tableColumn>
    <tableColumn id="30" xr3:uid="{5C1B488B-AC47-4BBE-B786-46E8B7CF6FA7}" name="Ingredient 9 percent" dataDxfId="186">
      <calculatedColumnFormula array="1">Common_InputFunctions.Utility_DisplayArrayInTable(Fertiliser_SourceData.Fertiliser_Products_Data1(),FertiliserProducts[[#Headers],[Include or Exclude]], 0,4)</calculatedColumnFormula>
    </tableColumn>
    <tableColumn id="29" xr3:uid="{5EAC7DEC-A3DB-4A98-BAF9-F5D78D6379B9}" name="Imngredient 10" dataDxfId="185">
      <calculatedColumnFormula array="1">Common_InputFunctions.Utility_DisplayArrayInTable(Fertiliser_SourceData.Fertiliser_Products_Data1(),FertiliserProducts[[#Headers],[Include or Exclude]], 0,4)</calculatedColumnFormula>
    </tableColumn>
    <tableColumn id="28" xr3:uid="{184BCB6A-BFAC-497D-888B-8D77D4A2A196}" name="Ingredient 10 percent" dataDxfId="184">
      <calculatedColumnFormula array="1">Common_InputFunctions.Utility_DisplayArrayInTable(Fertiliser_SourceData.Fertiliser_Products_Data1(),FertiliserProducts[[#Headers],[Include or Exclude]], 0,4)</calculatedColumnFormula>
    </tableColumn>
  </tableColumns>
  <tableStyleInfo name="Equation table"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EE11288F-5745-4502-BB06-8B709548ABC3}" name="Table_SourceData_Fertiliser_FracGASF" displayName="Table_SourceData_Fertiliser_FracGASF" ref="D50:E55" totalsRowShown="0">
  <autoFilter ref="D50:E55" xr:uid="{BA6279EA-7DA2-46FA-80C0-81926E3CFC51}">
    <filterColumn colId="0" hiddenButton="1"/>
    <filterColumn colId="1" hiddenButton="1"/>
  </autoFilter>
  <tableColumns count="2">
    <tableColumn id="1" xr3:uid="{7BA08280-BCDC-4DB5-AB3A-D88D71313B3F}" name="Fertiliser type f">
      <calculatedColumnFormula array="1">Common_InputFunctions.Utility_DisplayArrayInTable(Fertiliser_SourceData.Fertiliser_FracGASF_Data(), Table_SourceData_Fertiliser_FracGASF[[#Headers],[Fertiliser type f]], 0)</calculatedColumnFormula>
    </tableColumn>
    <tableColumn id="2" xr3:uid="{041508D8-294A-4388-AADE-FB7E1F42FE13}" name="FracGASF f" dataDxfId="183" dataCellStyle="Content normal">
      <calculatedColumnFormula array="1">Common_InputFunctions.Utility_DisplayArrayInTable(Fertiliser_SourceData.Fertiliser_FracGASF_Data(), Table_SourceData_Fertiliser_FracGASF[[#Headers],[Fertiliser type f]], 0)</calculatedColumnFormula>
    </tableColumn>
  </tableColumns>
  <tableStyleInfo name="Equation table"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780450BA-70F4-4CB0-B5DB-5BA232769992}" name="Table_SourceData_Fertiliser_CropProdSystems" displayName="Table_SourceData_Fertiliser_CropProdSystems" ref="D41:D43" totalsRowShown="0">
  <autoFilter ref="D41:D43" xr:uid="{24F3A11E-40F5-4BB9-BFF4-A71FA2ADA0EF}">
    <filterColumn colId="0" hiddenButton="1"/>
  </autoFilter>
  <tableColumns count="1">
    <tableColumn id="1" xr3:uid="{BABA97A8-B090-485E-BF16-C01D7E08BE85}" name="Production system">
      <calculatedColumnFormula>#REF!</calculatedColumnFormula>
    </tableColumn>
  </tableColumns>
  <tableStyleInfo name="Equation table"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1407890D-9F5E-4459-B5F2-515E9F319C2F}" name="Table_SourceData_Fertiliser_IrrigationMethods" displayName="Table_SourceData_Fertiliser_IrrigationMethods" ref="H41:H46" totalsRowShown="0">
  <autoFilter ref="H41:H46" xr:uid="{B6754DF9-B9B7-4777-A419-208519289931}">
    <filterColumn colId="0" hiddenButton="1"/>
  </autoFilter>
  <tableColumns count="1">
    <tableColumn id="1" xr3:uid="{E08F6869-27B7-4C56-8BA9-5BB0FBA3F132}" name="Irrigation method"/>
  </tableColumns>
  <tableStyleInfo name="Equation table"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11024F10-5BFD-48DB-BFCB-850C2CFB08D8}" name="Table_SourceData_Fertiliser_CropTypes" displayName="Table_SourceData_Fertiliser_CropTypes" ref="F41:F45" totalsRowShown="0">
  <autoFilter ref="F41:F45" xr:uid="{CB5044B5-FA3C-4AA2-B1AB-72F7E61D072F}">
    <filterColumn colId="0" hiddenButton="1"/>
  </autoFilter>
  <tableColumns count="1">
    <tableColumn id="1" xr3:uid="{51DF679A-09FA-4525-B0C9-8DAA31F914D8}" name="Production system"/>
  </tableColumns>
  <tableStyleInfo name="Equation table"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957CAB16-1198-4CBE-B81B-ECC76A6AF161}" name="Table_SourceData_OrganicFertiliserTypes" displayName="Table_SourceData_OrganicFertiliserTypes" ref="J41:J46" totalsRowShown="0">
  <autoFilter ref="J41:J46" xr:uid="{B44627B1-537E-4ABC-92C3-57282CEE5B40}">
    <filterColumn colId="0" hiddenButton="1"/>
  </autoFilter>
  <tableColumns count="1">
    <tableColumn id="1" xr3:uid="{CAFF5107-CB58-45DF-809F-CAF8CFB16A4C}" name="Organic fertiliser type"/>
  </tableColumns>
  <tableStyleInfo name="Equation table"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6B1C8237-EDE1-44BB-9710-65E3B06F3CA1}" name="Table_SourceData_Fertiliser_LimeDolomiteConstants" displayName="Table_SourceData_Fertiliser_LimeDolomiteConstants" ref="D65:F68" totalsRowShown="0">
  <autoFilter ref="D65:F68" xr:uid="{300169C1-BC7A-441C-840D-3C2EFD141B42}">
    <filterColumn colId="0" hiddenButton="1"/>
    <filterColumn colId="1" hiddenButton="1"/>
    <filterColumn colId="2" hiddenButton="1"/>
  </autoFilter>
  <tableColumns count="3">
    <tableColumn id="1" xr3:uid="{3FD06CC5-4589-4C25-8704-2F94D8A0941D}" name="Element">
      <calculatedColumnFormula array="1">Common_InputFunctions.Utility_DisplayArrayInTable(Fertiliser_SourceData.Fertiliser_LimeDolomiteGypsumConstants_Data(), Table_SourceData_Fertiliser_LimeDolomiteConstants[[#Headers],[Element]], 0)</calculatedColumnFormula>
    </tableColumn>
    <tableColumn id="2" xr3:uid="{D2BB1082-4EE9-4BDD-854E-F351CB350F0D}" name="P" dataDxfId="182"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 id="3" xr3:uid="{166C8739-A8B6-4A3A-8D34-951658E142D5}" name="EF" dataDxfId="181"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s>
  <tableStyleInfo name="Equation table"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5AA40F78-678F-4B3F-A042-4A82E431BDA9}" name="Table2" displayName="Table2" ref="K19:L28" totalsRowShown="0" dataDxfId="180" dataCellStyle="Content normal">
  <autoFilter ref="K19:L28" xr:uid="{27B93029-EB1F-4C4A-A946-CD673A8A6C46}">
    <filterColumn colId="0" hiddenButton="1"/>
    <filterColumn colId="1" hiddenButton="1"/>
  </autoFilter>
  <tableColumns count="2">
    <tableColumn id="1" xr3:uid="{FAC59BA6-619C-4B8C-BA52-407F0064C172}" name="Fertiliser type f" dataDxfId="179" dataCellStyle="Content normal">
      <calculatedColumnFormula array="1">Common_InputFunctions.Utility_DisplayArrayInTable(Fertiliser_SourceData.Fertiliser_FractionNCommonFertilisers_Data(), Table2[[#Headers],[Fertiliser type f]], 0)</calculatedColumnFormula>
    </tableColumn>
    <tableColumn id="2" xr3:uid="{C863F12C-EE42-4761-B14E-D467DA00B8FA}" name="FNinorganic f" dataDxfId="178" dataCellStyle="Content normal">
      <calculatedColumnFormula array="1">Common_InputFunctions.Utility_DisplayArrayInTable(Fertiliser_SourceData.Fertiliser_FractionNCommonFertilisers_Data(), Table2[[#Headers],[Fertiliser type f]], 0)</calculatedColumnFormula>
    </tableColumn>
  </tableColumns>
  <tableStyleInfo name="Equation table"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1BBDA4D9-6F69-4071-8153-FA2CA703EF0C}" name="Table28" displayName="Table28" ref="Q19:R28" totalsRowShown="0" dataDxfId="177" dataCellStyle="Content normal">
  <autoFilter ref="Q19:R28" xr:uid="{791CEA59-796C-47AB-86BC-41E8F699030C}">
    <filterColumn colId="0" hiddenButton="1"/>
    <filterColumn colId="1" hiddenButton="1"/>
  </autoFilter>
  <tableColumns count="2">
    <tableColumn id="1" xr3:uid="{8993B3F7-27AE-4D83-9694-65C3141DF189}" name="Fertiliser type f" dataDxfId="176" dataCellStyle="Content normal">
      <calculatedColumnFormula array="1">Common_InputFunctions.Utility_DisplayArrayInTable(Fertiliser_SourceData.Fertiliser_FractionUreaCommonFertilisers_Data(), Table28[[#Headers],[Fertiliser type f]], 0)</calculatedColumnFormula>
    </tableColumn>
    <tableColumn id="2" xr3:uid="{35D4A12D-0202-4C31-BF7C-1DD7AF2A7D25}" name="FNinorganic f" dataDxfId="175" dataCellStyle="Content normal">
      <calculatedColumnFormula array="1">Common_InputFunctions.Utility_DisplayArrayInTable(Fertiliser_SourceData.Fertiliser_FractionUreaCommonFertilisers_Data(), Table28[[#Headers],[Fertiliser type f]], 0)</calculatedColumnFormula>
    </tableColumn>
  </tableColumns>
  <tableStyleInfo name="Equation table"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9C7B7C1F-8DBC-463F-814E-C36D9D346707}" name="Table_SourceData_Fertiliser_UreaAmmoniaSources" displayName="Table_SourceData_Fertiliser_UreaAmmoniaSources" ref="V19:V23" totalsRowShown="0">
  <autoFilter ref="V19:V23" xr:uid="{FCD2F96D-F34B-40EA-87DE-66D680DF332D}">
    <filterColumn colId="0" hiddenButton="1"/>
  </autoFilter>
  <tableColumns count="1">
    <tableColumn id="1" xr3:uid="{09127C4F-6B94-4ED2-83EC-189CE1ACB8AE}" name="Source">
      <calculatedColumnFormula array="1">Common_InputFunctions.Utility_DisplayArrayInTable(Fertiliser_SourceData.Fertiliser_UreaAmmoniaSourceRegions_Data(),Table_SourceData_Fertiliser_UreaAmmoniaSources[[#Headers],[Source]],0)</calculatedColumnFormula>
    </tableColumn>
  </tableColumns>
  <tableStyleInfo name="Equation table"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433D6651-59C9-4FB5-BE33-35E3BE2C270F}" name="Table_Fuel_EFs_StationaryLiquid" displayName="Table_Fuel_EFs_StationaryLiquid" ref="D53:K77" totalsRowShown="0" headerRowDxfId="174" dataDxfId="173">
  <autoFilter ref="D53:K77" xr:uid="{2781308E-D97C-445B-A805-DE74F822CC4F}">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38395568-502A-426F-AC87-5A55480FCBA3}" name="Fuel combusted" dataDxfId="172">
      <calculatedColumnFormula array="1">Common_InputFunctions.Utility_DisplayArrayInTable(Fuel_SourceData.Fuel_Scope1Scope3EmissionFactorsStationaryLiquid_Data(), Table_Fuel_EFs_StationaryLiquid[[#Headers],[Fuel combusted]],0)</calculatedColumnFormula>
    </tableColumn>
    <tableColumn id="2" xr3:uid="{1E23B469-0712-41FE-8048-F6CE7289DD23}" name="Energy Content Factor (GJ per unit of fuel)" dataDxfId="171">
      <calculatedColumnFormula array="1">Common_InputFunctions.Utility_DisplayArrayInTable(Fuel_SourceData.Fuel_Scope1Scope3EmissionFactorsStationaryLiquid_Data(), Table_Fuel_EFs_StationaryLiquid[[#Headers],[Fuel combusted]],0)</calculatedColumnFormula>
    </tableColumn>
    <tableColumn id="3" xr3:uid="{F3B0B0E4-7213-4FBA-B491-8715BF96F7ED}" name="Fuel unit" dataDxfId="170">
      <calculatedColumnFormula array="1">Common_InputFunctions.Utility_DisplayArrayInTable(Fuel_SourceData.Fuel_Scope1Scope3EmissionFactorsStationaryLiquid_Data(), Table_Fuel_EFs_StationaryLiquid[[#Headers],[Fuel combusted]],0)</calculatedColumnFormula>
    </tableColumn>
    <tableColumn id="4" xr3:uid="{A98A780D-8A7F-45AE-A19C-5BC60AC5B102}" name="Scope 1 Emission Factor (kg CO2 - e / GJ) CO2" dataDxfId="169">
      <calculatedColumnFormula array="1">Common_InputFunctions.Utility_DisplayArrayInTable(Fuel_SourceData.Fuel_Scope1Scope3EmissionFactorsStationaryLiquid_Data(), Table_Fuel_EFs_StationaryLiquid[[#Headers],[Fuel combusted]],0)</calculatedColumnFormula>
    </tableColumn>
    <tableColumn id="5" xr3:uid="{5DF24EE6-EBFF-45BA-A759-91502AF1FBBE}" name="Scope 1 Emission Factor (kg CO2 - e / GJ) CH4" dataDxfId="168">
      <calculatedColumnFormula array="1">Common_InputFunctions.Utility_DisplayArrayInTable(Fuel_SourceData.Fuel_Scope1Scope3EmissionFactorsStationaryLiquid_Data(), Table_Fuel_EFs_StationaryLiquid[[#Headers],[Fuel combusted]],0)</calculatedColumnFormula>
    </tableColumn>
    <tableColumn id="6" xr3:uid="{7A32CCC8-E0F8-44C9-9FAA-A3A0152176B6}" name="Scope 1 Emission Factor (kg CO2 - e / GJ) N2O" dataDxfId="167">
      <calculatedColumnFormula array="1">Common_InputFunctions.Utility_DisplayArrayInTable(Fuel_SourceData.Fuel_Scope1Scope3EmissionFactorsStationaryLiquid_Data(), Table_Fuel_EFs_StationaryLiquid[[#Headers],[Fuel combusted]],0)</calculatedColumnFormula>
    </tableColumn>
    <tableColumn id="7" xr3:uid="{F69CE5B4-C44A-42FB-9282-775C4016F42D}" name="Scope 1 Emission Factor (kg CO2 - e / GJ) Combined gases" dataDxfId="166">
      <calculatedColumnFormula array="1">Common_InputFunctions.Utility_DisplayArrayInTable(Fuel_SourceData.Fuel_Scope1Scope3EmissionFactorsStationaryLiquid_Data(), Table_Fuel_EFs_StationaryLiquid[[#Headers],[Fuel combusted]],0)</calculatedColumnFormula>
    </tableColumn>
    <tableColumn id="8" xr3:uid="{AD87C728-E514-43D2-8F0D-8ECA77388303}" name="Scope 3 Emission Factor (kg CO2 - e / GJ)" dataDxfId="165">
      <calculatedColumnFormula array="1">Common_InputFunctions.Utility_DisplayArrayInTable(Fuel_SourceData.Fuel_Scope1Scope3EmissionFactorsStationaryLiquid_Data(), Table_Fuel_EFs_StationaryLiquid[[#Headers],[Fuel combusted]],0)</calculatedColumnFormula>
    </tableColumn>
  </tableColumns>
  <tableStyleInfo name="Equation table"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77D00ECE-2D88-4518-93B9-09B3E430BE90}" name="Table_Fuel_EFs_Transport" displayName="Table_Fuel_EFs_Transport" ref="D9:L34" totalsRowShown="0" headerRowDxfId="164" dataDxfId="163">
  <autoFilter ref="D9:L34" xr:uid="{52589EE1-5F69-4B49-BF30-7629445C443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3AC70E9B-0CF2-4B13-A16C-8C50F6E9634F}" name="Transport type" dataDxfId="162">
      <calculatedColumnFormula array="1">Common_InputFunctions.Utility_DisplayArrayInTable(Fuel_SourceData.Fuel_Scope1Scope3EmissionFactorsTransport_Data(), Table_Fuel_EFs_Transport[[#Headers],[Transport type]], 0)</calculatedColumnFormula>
    </tableColumn>
    <tableColumn id="2" xr3:uid="{93FF2174-14F2-4006-AC8D-35C8C37D38BC}" name="Fuel combusted" dataDxfId="161">
      <calculatedColumnFormula array="1">Common_InputFunctions.Utility_DisplayArrayInTable(Fuel_SourceData.Fuel_Scope1Scope3EmissionFactorsTransport_Data(), Table_Fuel_EFs_Transport[[#Headers],[Transport type]], 0)</calculatedColumnFormula>
    </tableColumn>
    <tableColumn id="3" xr3:uid="{183C978F-4DFC-491A-9DB9-06DCA1576C76}" name="Energy Content Factor (GJ per unit of fuel)" dataDxfId="160">
      <calculatedColumnFormula array="1">Common_InputFunctions.Utility_DisplayArrayInTable(Fuel_SourceData.Fuel_Scope1Scope3EmissionFactorsTransport_Data(), Table_Fuel_EFs_Transport[[#Headers],[Transport type]], 0)</calculatedColumnFormula>
    </tableColumn>
    <tableColumn id="4" xr3:uid="{9950A0BD-021C-4B74-83B2-6A3D0031DF8C}" name="Fuel unit" dataDxfId="159">
      <calculatedColumnFormula array="1">Common_InputFunctions.Utility_DisplayArrayInTable(Fuel_SourceData.Fuel_Scope1Scope3EmissionFactorsTransport_Data(), Table_Fuel_EFs_Transport[[#Headers],[Transport type]], 0)</calculatedColumnFormula>
    </tableColumn>
    <tableColumn id="8" xr3:uid="{B1E7A1D6-5D02-4F28-8870-1673954165C5}" name="Scope 1 Emission Factor (kg CO2 - e / GJ) CO2" dataDxfId="158">
      <calculatedColumnFormula array="1">Common_InputFunctions.Utility_DisplayArrayInTable(Fuel_SourceData.Fuel_Scope1Scope3EmissionFactorsTransport_Data(), Table_Fuel_EFs_Transport[[#Headers],[Transport type]], 0)</calculatedColumnFormula>
    </tableColumn>
    <tableColumn id="9" xr3:uid="{4E886CA1-4E2F-4D1C-B7E0-CBC039714E3E}" name="Scope 1 Emission Factor (kg CO2 - e / GJ) CH4" dataDxfId="157">
      <calculatedColumnFormula array="1">Common_InputFunctions.Utility_DisplayArrayInTable(Fuel_SourceData.Fuel_Scope1Scope3EmissionFactorsTransport_Data(), Table_Fuel_EFs_Transport[[#Headers],[Transport type]], 0)</calculatedColumnFormula>
    </tableColumn>
    <tableColumn id="10" xr3:uid="{9D95355B-4B3E-4DDF-A641-A163D883B60A}" name="Scope 1 Emission Factor (kg CO2 - e / GJ) N2O" dataDxfId="156">
      <calculatedColumnFormula array="1">Common_InputFunctions.Utility_DisplayArrayInTable(Fuel_SourceData.Fuel_Scope1Scope3EmissionFactorsTransport_Data(), Table_Fuel_EFs_Transport[[#Headers],[Transport type]], 0)</calculatedColumnFormula>
    </tableColumn>
    <tableColumn id="11" xr3:uid="{90D49C86-5E23-437D-A36F-00F5CE704F49}" name="Scope 1 Emission Factor (kg CO2 - e / GJ) Combined gases" dataDxfId="155">
      <calculatedColumnFormula array="1">Common_InputFunctions.Utility_DisplayArrayInTable(Fuel_SourceData.Fuel_Scope1Scope3EmissionFactorsTransport_Data(), Table_Fuel_EFs_Transport[[#Headers],[Transport type]], 0)</calculatedColumnFormula>
    </tableColumn>
    <tableColumn id="12" xr3:uid="{0A9BB119-0ECC-43EB-A278-084D2C024CF9}" name="Scope 3 Emission Factor (kg CO2 - e / GJ)" dataDxfId="154">
      <calculatedColumnFormula array="1">Common_InputFunctions.Utility_DisplayArrayInTable(Fuel_SourceData.Fuel_Scope1Scope3EmissionFactorsTransport_Data(), Table_Fuel_EFs_Transport[[#Headers],[Transport type]], 0)</calculatedColumnFormula>
    </tableColumn>
  </tableColumns>
  <tableStyleInfo name="Equation table"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80DFBD64-B37F-468A-A2F3-E0F2C3F453D0}" name="Table_FuelTypesPerUse" displayName="Table_FuelTypesPerUse" ref="D130:I139" totalsRowShown="0" headerRowDxfId="153" dataDxfId="152">
  <autoFilter ref="D130:I139" xr:uid="{5CE27F6B-DBAC-48D7-85B3-77E92E77D6C0}">
    <filterColumn colId="0" hiddenButton="1"/>
    <filterColumn colId="1" hiddenButton="1"/>
    <filterColumn colId="2" hiddenButton="1"/>
    <filterColumn colId="3" hiddenButton="1"/>
    <filterColumn colId="4" hiddenButton="1"/>
    <filterColumn colId="5" hiddenButton="1"/>
  </autoFilter>
  <tableColumns count="6">
    <tableColumn id="1" xr3:uid="{5C87289B-9370-4CE8-B581-A4B18F04DF1C}" name="Generators" dataDxfId="151"/>
    <tableColumn id="2" xr3:uid="{F22096E0-D4E5-4289-BA4B-0A957025DBA7}" name="Power standalone machinery or heating" dataDxfId="150"/>
    <tableColumn id="3" xr3:uid="{FF2F12A3-3605-4C0B-A12C-7D780B5D6602}" name="Aviation" dataDxfId="149"/>
    <tableColumn id="5" xr3:uid="{AB508865-C6C8-4838-B0A4-CC8DE568A24B}" name="Cars and light commercial vehicles" dataDxfId="148"/>
    <tableColumn id="7" xr3:uid="{556D3C1C-9A1D-43AE-8C08-08A7439B4D12}" name="Off-road Agriculture and forestry equipment" dataDxfId="147" dataCellStyle="Content bold"/>
    <tableColumn id="8" xr3:uid="{584D60FE-BC5B-409B-AB33-8C9C48C965BA}" name="Vessels" dataDxfId="146" dataCellStyle="Content bold"/>
  </tableColumns>
  <tableStyleInfo name="Equation table"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648399A6-324E-4207-9415-213C533A722F}" name="Table_Fuel_EFs_StationaryGaseous" displayName="Table_Fuel_EFs_StationaryGaseous" ref="D86:J104" totalsRowShown="0" headerRowDxfId="145" dataDxfId="144">
  <autoFilter ref="D86:J104" xr:uid="{2DFA7F9E-607A-4EC9-89A5-ADF4BF63C85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6794103A-5244-47AB-A675-4B3DBCFF3183}" name="Fuel combusted" dataDxfId="143">
      <calculatedColumnFormula array="1">Common_InputFunctions.Utility_DisplayArrayInTable(Fuel_SourceData.Fuel_Scope1EmissionFactorsStationaryGaseous_Data(), Table_Fuel_EFs_StationaryGaseous[[#Headers],[Fuel combusted]],0)</calculatedColumnFormula>
    </tableColumn>
    <tableColumn id="2" xr3:uid="{1D724489-4819-4BE8-BBD3-32D13799AE09}" name="Energy Content Factor (GJ per unit of fuel)" dataDxfId="142">
      <calculatedColumnFormula array="1">Common_InputFunctions.Utility_DisplayArrayInTable(Fuel_SourceData.Fuel_Scope1EmissionFactorsStationaryGaseous_Data(), Table_Fuel_EFs_StationaryGaseous[[#Headers],[Fuel combusted]],0)</calculatedColumnFormula>
    </tableColumn>
    <tableColumn id="3" xr3:uid="{99870D48-0E03-456B-B444-76B51CC5055F}" name="Fuel unit" dataDxfId="141">
      <calculatedColumnFormula array="1">Common_InputFunctions.Utility_DisplayArrayInTable(Fuel_SourceData.Fuel_Scope1EmissionFactorsStationaryGaseous_Data(), Table_Fuel_EFs_StationaryGaseous[[#Headers],[Fuel combusted]],0)</calculatedColumnFormula>
    </tableColumn>
    <tableColumn id="4" xr3:uid="{C930D0E0-1864-47AE-8356-15026734D90E}" name="Scope 1 Emission Factor (kg CO2 - e / GJ) CO2" dataDxfId="140">
      <calculatedColumnFormula array="1">Common_InputFunctions.Utility_DisplayArrayInTable(Fuel_SourceData.Fuel_Scope1EmissionFactorsStationaryGaseous_Data(), Table_Fuel_EFs_StationaryGaseous[[#Headers],[Fuel combusted]],0)</calculatedColumnFormula>
    </tableColumn>
    <tableColumn id="5" xr3:uid="{EEB9C050-832E-4F02-AD1F-C7FEA262F433}" name="Scope 1 Emission Factor (kg CO2 - e / GJ) CH4" dataDxfId="139">
      <calculatedColumnFormula array="1">Common_InputFunctions.Utility_DisplayArrayInTable(Fuel_SourceData.Fuel_Scope1EmissionFactorsStationaryGaseous_Data(), Table_Fuel_EFs_StationaryGaseous[[#Headers],[Fuel combusted]],0)</calculatedColumnFormula>
    </tableColumn>
    <tableColumn id="6" xr3:uid="{26B2FDB4-9F4F-408A-AC81-A1F056D92621}" name="Scope 1 Emission Factor (kg CO2 - e / GJ) N2O" dataDxfId="138">
      <calculatedColumnFormula array="1">Common_InputFunctions.Utility_DisplayArrayInTable(Fuel_SourceData.Fuel_Scope1EmissionFactorsStationaryGaseous_Data(), Table_Fuel_EFs_StationaryGaseous[[#Headers],[Fuel combusted]],0)</calculatedColumnFormula>
    </tableColumn>
    <tableColumn id="7" xr3:uid="{5D7DA63E-94C6-4063-BD9A-EDC88C3B107C}" name="Scope 1 Emission Factor (kg CO2 - e / GJ) Combined gases" dataDxfId="137">
      <calculatedColumnFormula array="1">Common_InputFunctions.Utility_DisplayArrayInTable(Fuel_SourceData.Fuel_Scope1EmissionFactorsStationaryGaseous_Data(), Table_Fuel_EFs_StationaryGaseous[[#Headers],[Fuel combusted]],0)</calculatedColumnFormula>
    </tableColumn>
  </tableColumns>
  <tableStyleInfo name="Equation table"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5B289759-A646-4CD0-8B86-46F891062CA7}" name="Table_Fuel_EFs_StationaryGaseous34" displayName="Table_Fuel_EFs_StationaryGaseous34" ref="D112:F120" headerRowDxfId="136" totalsRowDxfId="135">
  <autoFilter ref="D112:F120" xr:uid="{7D6CE29D-2354-4FAC-9965-9A66FFA42416}">
    <filterColumn colId="0" hiddenButton="1"/>
    <filterColumn colId="1" hiddenButton="1"/>
    <filterColumn colId="2" hiddenButton="1"/>
  </autoFilter>
  <tableColumns count="3">
    <tableColumn id="1" xr3:uid="{BC28113D-E1F6-4378-B0BB-5545711780F1}" name="State or territory" totalsRowDxfId="134">
      <calculatedColumnFormula array="1">Common_InputFunctions.Utility_DisplayArrayInTable(Fuel_SourceData.Fuel_Scope3EmissionFactorsStationaryGaseous_Data(), Table_Fuel_EFs_StationaryGaseous34[[#Headers],[State or territory]],0)</calculatedColumnFormula>
    </tableColumn>
    <tableColumn id="2" xr3:uid="{26596E82-4084-4C86-9E91-55A6E66AC957}" name="Metro" totalsRowDxfId="133">
      <calculatedColumnFormula array="1">Common_InputFunctions.Utility_DisplayArrayInTable(Fuel_SourceData.Fuel_Scope3EmissionFactorsStationaryGaseous_Data(), Table_Fuel_EFs_StationaryGaseous34[[#Headers],[State or territory]],0)</calculatedColumnFormula>
    </tableColumn>
    <tableColumn id="3" xr3:uid="{8F56D7BD-2561-4425-B0B5-3C6C86EF2789}" name="Non-metro" totalsRowDxfId="132">
      <calculatedColumnFormula array="1">Common_InputFunctions.Utility_DisplayArrayInTable(Fuel_SourceData.Fuel_Scope3EmissionFactorsStationaryGaseous_Data(), Table_Fuel_EFs_StationaryGaseous34[[#Headers],[State or territory]],0)</calculatedColumnFormula>
    </tableColumn>
  </tableColumns>
  <tableStyleInfo name="Equation table"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632E3457-9D85-4E89-B072-F36DEBAEA76D}" name="Table_FuelTypes_Units" displayName="Table_FuelTypes_Units" ref="D142:F162" totalsRowShown="0">
  <autoFilter ref="D142:F162" xr:uid="{74386805-E5CF-44F9-982C-CBCADB323E30}">
    <filterColumn colId="0" hiddenButton="1"/>
    <filterColumn colId="1" hiddenButton="1"/>
    <filterColumn colId="2" hiddenButton="1"/>
  </autoFilter>
  <tableColumns count="3">
    <tableColumn id="1" xr3:uid="{02D618C3-FF66-4D1E-8B2F-87BDCECC0DA8}" name="Fuel type"/>
    <tableColumn id="2" xr3:uid="{743F17E3-F8E0-4985-893E-E3C976598695}" name="Unit"/>
    <tableColumn id="3" xr3:uid="{83C52C4F-3363-44EF-B336-C3527336C857}" name="Input Unit" dataDxfId="131"/>
  </tableColumns>
  <tableStyleInfo name="Equation table"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CDA1B8B5-330F-4E10-8C62-B5BF5ED36950}" name="Table_SourceData_Fuel_TransportOffroad" displayName="Table_SourceData_Fuel_TransportOffroad" ref="D39:J43" totalsRowShown="0">
  <autoFilter ref="D39:J43" xr:uid="{456A2798-6FBD-4412-969A-03F7173DF55E}">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5BC27D07-BA93-419E-BCBA-7A2A9F931619}" name="Transport type t">
      <calculatedColumnFormula array="1">Common_InputFunctions.Utility_DisplayArrayInTable(Fuel_SourceData.Fuel_Scope1Scope3EmissionFactorsTransportOffRoad_Data(), Table_SourceData_Fuel_TransportOffroad[[#Headers],[Transport type t]],0)</calculatedColumnFormula>
    </tableColumn>
    <tableColumn id="2" xr3:uid="{34812B50-8B6F-480F-9ADF-13540023E089}" name="Fuel type q" dataDxfId="130"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3" xr3:uid="{3E0B53A3-4E17-4F99-B916-A4753A8D5621}" name="ECTrans,q (GJ/kL)" dataDxfId="129"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4" xr3:uid="{7B69B3CC-D194-4081-8F25-A904A76BEADA}" name="Scope 1 CO2 EFTran,1,tqg (kg CO2-e/GJ)" dataDxfId="128"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5" xr3:uid="{D97C6E68-1CB3-4F40-A3FF-426209691584}" name="Scope 1 CH4 EFTran,1,tgg (kg CO2-e/GJ)" dataDxfId="127"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6" xr3:uid="{71E51953-BF1A-42A3-AD67-F8392EADFBC5}" name="Scope 1 N2O EFTran,1,tgg (kg CO2-e/GJ)" dataDxfId="126"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7" xr3:uid="{A32396DE-2306-4AAD-A6EE-3D8E4D10FE68}" name="Scope 3 EFTrans,3,q (kg CO2-e/GJ)" dataDxfId="125"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s>
  <tableStyleInfo name="Equation table"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BFA511D-1E33-4FA7-9E53-155741FDE40A}"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A7717A66-4BDA-43C0-BFCD-4A6F29AEE8A3}" name="State/Territory">
      <calculatedColumnFormula array="1">Common_InputFunctions.Utility_DisplayArrayInTable(Common_SourceData.Common_SourceData_AustralianStatesTerritories_Data(),Table_AustralianStates[[#Headers],[State/Territory]],0)</calculatedColumnFormula>
    </tableColumn>
    <tableColumn id="2" xr3:uid="{D6D2A619-26C3-4096-9C5E-261DB4783E3F}" name="Common Name">
      <calculatedColumnFormula array="1">Common_InputFunctions.Utility_DisplayArrayInTable(Common_SourceData.Common_SourceData_AustralianStatesTerritories_Data(),Table_AustralianStates[[#Headers],[State/Territory]],0)</calculatedColumnFormula>
    </tableColumn>
    <tableColumn id="3" xr3:uid="{8F8F275A-708B-458E-9ABF-5295B622DDF7}"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251EF82-BC21-4875-B405-6D0F230C2B8D}" name="Table_WASA4Areas" displayName="Table_WASA4Areas" ref="D20:D30" totalsRowShown="0">
  <autoFilter ref="D20:D30" xr:uid="{5FA81339-C6C8-4D36-BEEA-6C4AEDD9E676}">
    <filterColumn colId="0" hiddenButton="1"/>
  </autoFilter>
  <tableColumns count="1">
    <tableColumn id="1" xr3:uid="{0A16A557-CD1A-4230-A0E4-670FBDA4CD09}"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F15B4B0-BD4E-4903-9096-ED3FE0A9167C}" name="Table_GWPData" displayName="Table_GWPData" ref="D36:E43" totalsRowShown="0">
  <autoFilter ref="D36:E43" xr:uid="{B8E87A66-3E41-4AD3-925D-01EE21B43D7A}">
    <filterColumn colId="0" hiddenButton="1"/>
    <filterColumn colId="1" hiddenButton="1"/>
  </autoFilter>
  <tableColumns count="2">
    <tableColumn id="1" xr3:uid="{9BFA3AA7-7549-47B7-8147-49CC22B23598}" name="Gas">
      <calculatedColumnFormula array="1">Common_InputFunctions.Utility_DisplayArrayInTable(Common_SourceData.Common_SourceData_GWP_Data(), Table_GWPData[[#Headers],[Gas]], 0)</calculatedColumnFormula>
    </tableColumn>
    <tableColumn id="2" xr3:uid="{56BBDB36-E3BB-4678-8824-A909AEED8E49}"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6C67C36-18E1-4B8A-BFF1-35CF3DC4AC81}"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BCBBB9D5-7AA2-41EA-B99D-63DD8E7116D6}" name="Gas">
      <calculatedColumnFormula array="1">Common_InputFunctions.Utility_DisplayArrayInTable(Common_SourceData.Common_SourceData_ConvertGasElementalToMolecular_Data(),Table_GasToMolecularConversionFactor[[#Headers],[Gas]], 0)</calculatedColumnFormula>
    </tableColumn>
    <tableColumn id="5" xr3:uid="{1F10E85A-E8E7-4403-B922-7CD822BDAAAC}" name="Conversion factor">
      <calculatedColumnFormula array="1">Common_InputFunctions.Utility_DisplayArrayInTable(Common_SourceData.Common_SourceData_ConvertGasElementalToMolecular_Data(),Table_GasToMolecularConversionFactor[[#Headers],[Gas]], 0)</calculatedColumnFormula>
    </tableColumn>
    <tableColumn id="2" xr3:uid="{A186BBCE-16ED-4C60-8611-6582C90E465F}" name="Conversion factor 1">
      <calculatedColumnFormula array="1">Common_InputFunctions.Utility_DisplayArrayInTable(Common_SourceData.Common_SourceData_ConvertGasElementalToMolecular_Data(),Table_GasToMolecularConversionFactor[[#Headers],[Gas]], 0)</calculatedColumnFormula>
    </tableColumn>
    <tableColumn id="3" xr3:uid="{E1D6C7D2-A210-4091-8447-15F9317092F9}" name="Conversion factor 2">
      <calculatedColumnFormula array="1">Common_InputFunctions.Utility_DisplayArrayInTable(Common_SourceData.Common_SourceData_ConvertGasElementalToMolecular_Data(),Table_GasToMolecularConversionFactor[[#Headers],[Gas]], 0)</calculatedColumnFormula>
    </tableColumn>
    <tableColumn id="4" xr3:uid="{7B5653AF-5CD0-44F6-827E-4F17D013B028}"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D6C8105-982C-4B9F-A603-F884FE56E1B4}"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ED61DF3B-A431-4956-B923-158AD5BF4554}"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277D098C-8B59-4F56-B373-2BF7AAA9A607}" name="MAT" totalsRowDxfId="124" totalsRowCellStyle="Content bold">
      <calculatedColumnFormula array="1">Common_InputFunctions.Utility_DisplayArrayInTable(Common_SourceData.Common_SourceData_ClimateZones_Data(), Table_SourceData_ClimateZones[[#Headers],[Climate zone]], 0)</calculatedColumnFormula>
    </tableColumn>
    <tableColumn id="3" xr3:uid="{827CC720-B781-4728-ABFA-68C972B57850}" name="MAP" totalsRowDxfId="123" totalsRowCellStyle="Content bold">
      <calculatedColumnFormula array="1">Common_InputFunctions.Utility_DisplayArrayInTable(Common_SourceData.Common_SourceData_ClimateZones_Data(), Table_SourceData_ClimateZones[[#Headers],[Climate zone]], 0)</calculatedColumnFormula>
    </tableColumn>
    <tableColumn id="4" xr3:uid="{38653B97-E186-444A-AFBD-15CE44DEBED7}" name="Frost days per year" totalsRowDxfId="122" totalsRowCellStyle="Content bold">
      <calculatedColumnFormula array="1">Common_InputFunctions.Utility_DisplayArrayInTable(Common_SourceData.Common_SourceData_ClimateZones_Data(), Table_SourceData_ClimateZones[[#Headers],[Climate zone]], 0)</calculatedColumnFormula>
    </tableColumn>
    <tableColumn id="5" xr3:uid="{735BA31E-1D4B-45A4-B9FF-7F8ED5243D20}" name="Elevation" totalsRowDxfId="121" totalsRowCellStyle="Content bold">
      <calculatedColumnFormula array="1">Common_InputFunctions.Utility_DisplayArrayInTable(Common_SourceData.Common_SourceData_ClimateZones_Data(), Table_SourceData_ClimateZones[[#Headers],[Climate zone]], 0)</calculatedColumnFormula>
    </tableColumn>
    <tableColumn id="6" xr3:uid="{370BE1BB-C3DF-4E43-B8DD-B18D69884A4B}" name="MAP:PET" totalsRowDxfId="120" totalsRowCellStyle="Content bold">
      <calculatedColumnFormula array="1">Common_InputFunctions.Utility_DisplayArrayInTable(Common_SourceData.Common_SourceData_ClimateZones_Data(), Table_SourceData_ClimateZones[[#Headers],[Climate zone]], 0)</calculatedColumnFormula>
    </tableColumn>
    <tableColumn id="7" xr3:uid="{37A53713-47F8-4F27-9505-8BED300E0222}" name="Min temp" totalsRowDxfId="119" totalsRowCellStyle="Content bold">
      <calculatedColumnFormula array="1">Common_InputFunctions.Utility_DisplayArrayInTable(Common_SourceData.Common_SourceData_ClimateZones_Data(), Table_SourceData_ClimateZones[[#Headers],[Climate zone]], 0)</calculatedColumnFormula>
    </tableColumn>
    <tableColumn id="8" xr3:uid="{D9399681-9FC5-41A0-A367-D4D41BBB28CA}" name="Max temp" totalsRowDxfId="118" totalsRowCellStyle="Content bold">
      <calculatedColumnFormula array="1">Common_InputFunctions.Utility_DisplayArrayInTable(Common_SourceData.Common_SourceData_ClimateZones_Data(), Table_SourceData_ClimateZones[[#Headers],[Climate zone]], 0)</calculatedColumnFormula>
    </tableColumn>
    <tableColumn id="9" xr3:uid="{65211A71-1ABE-4E6D-843C-B0028543D400}" name="Min rainfall" totalsRowDxfId="117" totalsRowCellStyle="Content bold">
      <calculatedColumnFormula array="1">Common_InputFunctions.Utility_DisplayArrayInTable(Common_SourceData.Common_SourceData_ClimateZones_Data(), Table_SourceData_ClimateZones[[#Headers],[Climate zone]], 0)</calculatedColumnFormula>
    </tableColumn>
    <tableColumn id="10" xr3:uid="{8ED03576-B413-4D12-B37A-5F11E15AA54D}" name="Max rainfall" totalsRowDxfId="116" totalsRowCellStyle="Content bold">
      <calculatedColumnFormula array="1">Common_InputFunctions.Utility_DisplayArrayInTable(Common_SourceData.Common_SourceData_ClimateZones_Data(), Table_SourceData_ClimateZones[[#Headers],[Climate zone]], 0)</calculatedColumnFormula>
    </tableColumn>
    <tableColumn id="11" xr3:uid="{E749576A-EB5F-4709-BD15-9BD4E87548D5}" name="Min frost days" totalsRowDxfId="115" totalsRowCellStyle="Content bold">
      <calculatedColumnFormula array="1">Common_InputFunctions.Utility_DisplayArrayInTable(Common_SourceData.Common_SourceData_ClimateZones_Data(), Table_SourceData_ClimateZones[[#Headers],[Climate zone]], 0)</calculatedColumnFormula>
    </tableColumn>
    <tableColumn id="15" xr3:uid="{61CC0B40-56FD-487C-A589-45456757E8A1}" name="Max frost days" totalsRowDxfId="114" totalsRowCellStyle="Content bold">
      <calculatedColumnFormula array="1">Common_InputFunctions.Utility_DisplayArrayInTable(Common_SourceData.Common_SourceData_ClimateZones_Data(), Table_SourceData_ClimateZones[[#Headers],[Climate zone]], 0)</calculatedColumnFormula>
    </tableColumn>
    <tableColumn id="12" xr3:uid="{32B52E24-5576-47A4-A024-CDC090D88746}" name="Min elevation" totalsRowDxfId="113" totalsRowCellStyle="Content bold">
      <calculatedColumnFormula array="1">Common_InputFunctions.Utility_DisplayArrayInTable(Common_SourceData.Common_SourceData_ClimateZones_Data(), Table_SourceData_ClimateZones[[#Headers],[Climate zone]], 0)</calculatedColumnFormula>
    </tableColumn>
    <tableColumn id="16" xr3:uid="{B4341912-AB7E-4E58-9B4D-9791D45FB352}" name="Max elevation" totalsRowDxfId="112" totalsRowCellStyle="Content bold">
      <calculatedColumnFormula array="1">Common_InputFunctions.Utility_DisplayArrayInTable(Common_SourceData.Common_SourceData_ClimateZones_Data(), Table_SourceData_ClimateZones[[#Headers],[Climate zone]], 0)</calculatedColumnFormula>
    </tableColumn>
    <tableColumn id="13" xr3:uid="{67418986-6C11-45D0-A4DC-D7861BD61C09}" name="Min MAP:PET" totalsRowDxfId="111" totalsRowCellStyle="Content bold">
      <calculatedColumnFormula array="1">Common_InputFunctions.Utility_DisplayArrayInTable(Common_SourceData.Common_SourceData_ClimateZones_Data(), Table_SourceData_ClimateZones[[#Headers],[Climate zone]], 0)</calculatedColumnFormula>
    </tableColumn>
    <tableColumn id="17" xr3:uid="{90614980-AE79-4306-A6ED-229525821D94}" name="Max MAP:PET" totalsRowDxfId="110"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228FD2E-DAAA-4D4F-BEFF-0E68A1F33AA0}"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FEB61CA1-B375-461F-AD5A-5B01A03F7A14}"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EE3C7A00-6DDA-427C-9573-7908B05111FB}" name="Wet or Dry Zone" totalsRowDxfId="109"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436A27C-11D9-4092-B110-DE3B0C7D7A9C}"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3E477FC1-0E60-467C-87C8-DC619003DA7D}" name="Temperature Zone">
      <calculatedColumnFormula array="1">Common_InputFunctions.Utility_DisplayArrayInTable(Common_SourceData.Common_SourceData_TemperatureZones_Data(),Table_SourceData_TemperatureZones[[#Headers],[Temperature Zone]],0)</calculatedColumnFormula>
    </tableColumn>
    <tableColumn id="2" xr3:uid="{CD029E58-AF67-4858-BEF6-937BB536E757}" name="MAT">
      <calculatedColumnFormula array="1">Common_InputFunctions.Utility_DisplayArrayInTable(Common_SourceData.Common_SourceData_TemperatureZones_Data(),Table_SourceData_TemperatureZones[[#Headers],[Temperature Zone]],0)</calculatedColumnFormula>
    </tableColumn>
    <tableColumn id="3" xr3:uid="{5195427E-32DD-4977-88C7-473D17A15EDE}" name="Min MAT">
      <calculatedColumnFormula array="1">Common_InputFunctions.Utility_DisplayArrayInTable(Common_SourceData.Common_SourceData_TemperatureZones_Data(),Table_SourceData_TemperatureZones[[#Headers],[Temperature Zone]],0)</calculatedColumnFormula>
    </tableColumn>
    <tableColumn id="4" xr3:uid="{4C8D6B45-65E8-4A84-9B64-B4D1E990BE71}"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AA9D31FA-C10A-401A-A990-FD7418530E07}"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A1896C80-5B23-4971-85DF-908C9411D636}" name="Rainfall Zone">
      <calculatedColumnFormula array="1">Common_InputFunctions.Utility_DisplayArrayInTable(Common_SourceData.Common_SourceData_RainfallZones_Data(),Table_SourceData_RainfallZones[[#Headers],[Rainfall Zone]],0)</calculatedColumnFormula>
    </tableColumn>
    <tableColumn id="2" xr3:uid="{776A729E-62FB-471E-9D55-F5C0C49DAFB1}" name="Annual rainfall">
      <calculatedColumnFormula array="1">Common_InputFunctions.Utility_DisplayArrayInTable(Common_SourceData.Common_SourceData_RainfallZones_Data(),Table_SourceData_RainfallZones[[#Headers],[Rainfall Zone]],0)</calculatedColumnFormula>
    </tableColumn>
    <tableColumn id="3" xr3:uid="{5C488583-1093-4920-BAEF-A4BD862E3623}" name="Min rainfall">
      <calculatedColumnFormula array="1">Common_InputFunctions.Utility_DisplayArrayInTable(Common_SourceData.Common_SourceData_RainfallZones_Data(),Table_SourceData_RainfallZones[[#Headers],[Rainfall Zone]],0)</calculatedColumnFormula>
    </tableColumn>
    <tableColumn id="4" xr3:uid="{EDCA589F-5D6E-4F25-A934-864B94D632CD}"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C0B98FF-3B1A-4F33-9028-A6B26A7E6CE4}"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BBC50AC7-FEC1-431E-AD41-7CB9E130FE72}" name="Leaching Zone">
      <calculatedColumnFormula array="1">Common_InputFunctions.Utility_DisplayArrayInTable(Common_SourceData.Common_SourceData_LeachingZones_Data(), Table_SourceData_LeachingZones[[#Headers],[Leaching Zone]], 0)</calculatedColumnFormula>
    </tableColumn>
    <tableColumn id="2" xr3:uid="{ED997B4B-69AA-458D-AD94-F4C79A1B94D0}"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1B321B1-DD2B-4EC5-AE20-D47C87F02BBF}"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18CA1470-758E-4475-BE8B-25D35A86BE01}" name="Data source">
      <calculatedColumnFormula array="1">Common_InputFunctions.Utility_DisplayArrayInTable(Common_SourceData.Common_SourceData_DataScores_Scope3_Data(), Table_SourceData_DataScores_Scope3[[#Headers],[Data source]], 0)</calculatedColumnFormula>
    </tableColumn>
    <tableColumn id="2" xr3:uid="{1F17B60B-4C21-4D79-B503-2BB5C2CDDBDF}"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4C890C4-4A77-40EC-A6C1-19C0895BD309}" name="Table_SourceData_FracWET" displayName="Table_SourceData_FracWET" ref="D134:E136" totalsRowShown="0">
  <autoFilter ref="D134:E136" xr:uid="{308E99BE-FE1F-47A4-B2CA-97217277C4E9}">
    <filterColumn colId="0" hiddenButton="1"/>
    <filterColumn colId="1" hiddenButton="1"/>
  </autoFilter>
  <tableColumns count="2">
    <tableColumn id="1" xr3:uid="{AEB37CE8-5689-4CCA-AF1D-E45E37F37CC1}" name="Is in leaching zone">
      <calculatedColumnFormula array="1">Common_InputFunctions.Utility_DisplayArrayInTable(Common_SourceData.Common_SourceData_FracWET_Data(),Table_SourceData_FracWET[[#Headers],[Is in leaching zone]],0)</calculatedColumnFormula>
    </tableColumn>
    <tableColumn id="2" xr3:uid="{8ABB6BDF-FE17-4B3B-BDE2-B9AAF30FF3BD}" name="FracWET" dataDxfId="108">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6BB36C9A-81C9-4008-9621-02E7765F4217}"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7F8F31AC-00F6-4249-87C9-3FC6FE61BBC6}" name="Production system j">
      <calculatedColumnFormula array="1">Common_InputFunctions.Utility_DisplayArrayInTable(Common_SourceData.Common_SourceData_EFN2O_Data(), Table_SourceData_Common_EFN2O[[#Headers],[Production system j]], 0)</calculatedColumnFormula>
    </tableColumn>
    <tableColumn id="2" xr3:uid="{C297EA64-FE6E-4A07-A69E-528AF5291D69}" name="EFN2O">
      <calculatedColumnFormula array="1">Common_InputFunctions.Utility_DisplayArrayInTable(Common_SourceData.Common_SourceData_EFN2O_Data(), Table_SourceData_Common_EFN2O[[#Headers],[Production system j]], 0)</calculatedColumnFormula>
    </tableColumn>
    <tableColumn id="3" xr3:uid="{6AF2FB50-AEC5-4A97-85DD-5BA28FE67661}" name="Production system only">
      <calculatedColumnFormula array="1">Common_InputFunctions.Utility_DisplayArrayInTable(Common_SourceData.Common_SourceData_EFN2O_Data(), Table_SourceData_Common_EFN2O[[#Headers],[Production system j]], 0)</calculatedColumnFormula>
    </tableColumn>
    <tableColumn id="4" xr3:uid="{86FFBCC3-0C43-4C00-A2EE-6BE3F2E4BF06}" name="Irrigation method">
      <calculatedColumnFormula array="1">Common_InputFunctions.Utility_DisplayArrayInTable(Common_SourceData.Common_SourceData_EFN2O_Data(), Table_SourceData_Common_EFN2O[[#Headers],[Production system j]], 0)</calculatedColumnFormula>
    </tableColumn>
    <tableColumn id="5" xr3:uid="{149802D4-7D06-4288-AFC4-EA24F6C8F48E}"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81046769-5E78-4435-8902-BE2F7ED271E9}"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1EE4C9C2-CE36-41D3-A67F-CC85678D8B80}" name="Irrigation type i">
      <calculatedColumnFormula array="1">Common_InputFunctions.Utility_DisplayArrayInTable(Common_SourceData.Common_SourceData_FracWETIrrigation_Data(), Table_SourceData_FracWETIrrigation[[#Headers],[Irrigation type i]], 0)</calculatedColumnFormula>
    </tableColumn>
    <tableColumn id="2" xr3:uid="{DD5CBEE2-8756-4D0C-9A90-6E931CF609D0}" name="FracWET" dataDxfId="107"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D2D24A9-44B5-40A8-9D93-5D127038E490}"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76483A9E-91D3-4695-AB70-E830E24596D9}"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1127A673-CAEF-41F9-A48A-D438D3FFF619}" name="EFPRP" dataDxfId="106"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E20A54E0-06E3-423D-998B-2E4A7C9A48F2}"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A2A66992-064C-4170-856F-B81D835CEE21}" name="Month">
      <calculatedColumnFormula array="1">Common_InputFunctions.Utility_DisplayArrayInTable(Common_SourceData.Common_SourceData_MonthsToSeasons_Data(), Table_SourceData_Common_MonthToSeason[[#Headers],[Month]], 0)</calculatedColumnFormula>
    </tableColumn>
    <tableColumn id="2" xr3:uid="{48B6FC8D-6503-4BB2-B07D-00597C808CB0}" name="Season" dataDxfId="105"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6A63BFC-1602-47C1-AF55-49AA6B4633CD}"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D344A8E3-CBAD-4F7E-B0CA-85C4550A31FF}"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4C26B9B4-F509-4ACF-A306-F52C2D83B94C}" name="MAT (ºC)" dataDxfId="10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06D3FCFB-672E-43AB-BAD6-C5F3A36DC255}" name="Anaerobic lagoon" dataDxfId="10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286B0E39-9F46-4519-A952-1FCC90F0A23E}" name="Digester / covered lagoons" dataDxfId="10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CAB3566B-B894-433E-9D4A-4CA76B82C3BD}" name="Liquid systems" dataDxfId="10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6D655DEC-7C3C-4046-9046-7ABE03AF26CA}" name="Daily spread" dataDxfId="10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DC01C908-9F78-404B-A8A9-081231B6DBAF}" name="Composting (passive windrow)" dataDxfId="9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016BC200-DE2E-4607-9A3A-E48F6A72FB0F}" name="Solid storage" dataDxfId="9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3D073AF2-25E0-49BE-825D-D38FD86B34D8}" name="Pit storage" dataDxfId="9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2C00D039-8FF7-4CF7-B97D-987BAE97BA35}" name="Deep litter" dataDxfId="9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C3FD2E13-24D5-402A-8C77-E324B6925825}" name="Poultry manure with bedding" dataDxfId="9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6CCAA4CD-85BD-481B-A987-0719DD47798C}" name="Poultry manure without bedding" dataDxfId="9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12540CA2-E51E-45F0-A036-45D45913194C}" name="Direct processing" dataDxfId="9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393A0B3F-42CD-412F-B1E5-79CF90491213}" name="Direct application" dataDxfId="9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44E9918F-2DF8-4DE9-AD76-C61362285599}" name="Pasture range and paddock" dataDxfId="9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FE671AF8-F8E0-4322-B78A-1B6A3A96A4E0}" name="MAT raw" dataDxfId="90"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949FFD0F-1699-4700-8323-CF2162C2663F}"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82DE88A1-FD3E-429F-81D0-81A0580D58D8}"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3505652E-76CD-41ED-BC1F-830404A5E233}" name="EFNi &amp; EFN2Oi" dataDxfId="89"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65"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printerSettings" Target="../printerSettings/printerSettings4.bin"/><Relationship Id="rId5" Type="http://schemas.openxmlformats.org/officeDocument/2006/relationships/table" Target="../tables/table8.xml"/><Relationship Id="rId4" Type="http://schemas.openxmlformats.org/officeDocument/2006/relationships/table" Target="../tables/table7.xml"/></Relationships>
</file>

<file path=xl/worksheets/_rels/sheet9.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5.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6.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7.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8.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9.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20.bin"/></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1.bin"/></Relationships>
</file>

<file path=xl/worksheets/_rels/sheet27.xml.rels><?xml version="1.0" encoding="UTF-8" standalone="yes"?>
<Relationships xmlns="http://schemas.openxmlformats.org/package/2006/relationships"><Relationship Id="rId8" Type="http://schemas.openxmlformats.org/officeDocument/2006/relationships/table" Target="../tables/table18.xml"/><Relationship Id="rId13" Type="http://schemas.openxmlformats.org/officeDocument/2006/relationships/table" Target="../tables/table23.xml"/><Relationship Id="rId18" Type="http://schemas.openxmlformats.org/officeDocument/2006/relationships/table" Target="../tables/table28.xml"/><Relationship Id="rId26" Type="http://schemas.openxmlformats.org/officeDocument/2006/relationships/table" Target="../tables/table36.xml"/><Relationship Id="rId3" Type="http://schemas.openxmlformats.org/officeDocument/2006/relationships/table" Target="../tables/table13.xml"/><Relationship Id="rId21" Type="http://schemas.openxmlformats.org/officeDocument/2006/relationships/table" Target="../tables/table31.xml"/><Relationship Id="rId7" Type="http://schemas.openxmlformats.org/officeDocument/2006/relationships/table" Target="../tables/table17.xml"/><Relationship Id="rId12" Type="http://schemas.openxmlformats.org/officeDocument/2006/relationships/table" Target="../tables/table22.xml"/><Relationship Id="rId17" Type="http://schemas.openxmlformats.org/officeDocument/2006/relationships/table" Target="../tables/table27.xml"/><Relationship Id="rId25" Type="http://schemas.openxmlformats.org/officeDocument/2006/relationships/table" Target="../tables/table35.xml"/><Relationship Id="rId2" Type="http://schemas.openxmlformats.org/officeDocument/2006/relationships/table" Target="../tables/table12.xml"/><Relationship Id="rId16" Type="http://schemas.openxmlformats.org/officeDocument/2006/relationships/table" Target="../tables/table26.xml"/><Relationship Id="rId20" Type="http://schemas.openxmlformats.org/officeDocument/2006/relationships/table" Target="../tables/table30.xml"/><Relationship Id="rId1" Type="http://schemas.openxmlformats.org/officeDocument/2006/relationships/printerSettings" Target="../printerSettings/printerSettings22.bin"/><Relationship Id="rId6" Type="http://schemas.openxmlformats.org/officeDocument/2006/relationships/table" Target="../tables/table16.xml"/><Relationship Id="rId11" Type="http://schemas.openxmlformats.org/officeDocument/2006/relationships/table" Target="../tables/table21.xml"/><Relationship Id="rId24" Type="http://schemas.openxmlformats.org/officeDocument/2006/relationships/table" Target="../tables/table34.xml"/><Relationship Id="rId5" Type="http://schemas.openxmlformats.org/officeDocument/2006/relationships/table" Target="../tables/table15.xml"/><Relationship Id="rId15" Type="http://schemas.openxmlformats.org/officeDocument/2006/relationships/table" Target="../tables/table25.xml"/><Relationship Id="rId23" Type="http://schemas.openxmlformats.org/officeDocument/2006/relationships/table" Target="../tables/table33.xml"/><Relationship Id="rId28" Type="http://schemas.openxmlformats.org/officeDocument/2006/relationships/table" Target="../tables/table38.xml"/><Relationship Id="rId10" Type="http://schemas.openxmlformats.org/officeDocument/2006/relationships/table" Target="../tables/table20.xml"/><Relationship Id="rId19" Type="http://schemas.openxmlformats.org/officeDocument/2006/relationships/table" Target="../tables/table29.xml"/><Relationship Id="rId4" Type="http://schemas.openxmlformats.org/officeDocument/2006/relationships/table" Target="../tables/table14.xml"/><Relationship Id="rId9" Type="http://schemas.openxmlformats.org/officeDocument/2006/relationships/table" Target="../tables/table19.xml"/><Relationship Id="rId14" Type="http://schemas.openxmlformats.org/officeDocument/2006/relationships/table" Target="../tables/table24.xml"/><Relationship Id="rId22" Type="http://schemas.openxmlformats.org/officeDocument/2006/relationships/table" Target="../tables/table32.xml"/><Relationship Id="rId27" Type="http://schemas.openxmlformats.org/officeDocument/2006/relationships/table" Target="../tables/table37.xml"/></Relationships>
</file>

<file path=xl/worksheets/_rels/sheet28.xml.rels><?xml version="1.0" encoding="UTF-8" standalone="yes"?>
<Relationships xmlns="http://schemas.openxmlformats.org/package/2006/relationships"><Relationship Id="rId8" Type="http://schemas.openxmlformats.org/officeDocument/2006/relationships/table" Target="../tables/table45.xml"/><Relationship Id="rId3" Type="http://schemas.openxmlformats.org/officeDocument/2006/relationships/table" Target="../tables/table40.xml"/><Relationship Id="rId7" Type="http://schemas.openxmlformats.org/officeDocument/2006/relationships/table" Target="../tables/table44.xml"/><Relationship Id="rId2" Type="http://schemas.openxmlformats.org/officeDocument/2006/relationships/table" Target="../tables/table39.xml"/><Relationship Id="rId1" Type="http://schemas.openxmlformats.org/officeDocument/2006/relationships/printerSettings" Target="../printerSettings/printerSettings23.bin"/><Relationship Id="rId6" Type="http://schemas.openxmlformats.org/officeDocument/2006/relationships/table" Target="../tables/table43.xml"/><Relationship Id="rId5" Type="http://schemas.openxmlformats.org/officeDocument/2006/relationships/table" Target="../tables/table42.xml"/><Relationship Id="rId4" Type="http://schemas.openxmlformats.org/officeDocument/2006/relationships/table" Target="../tables/table41.xml"/><Relationship Id="rId9" Type="http://schemas.openxmlformats.org/officeDocument/2006/relationships/table" Target="../tables/table46.xml"/></Relationships>
</file>

<file path=xl/worksheets/_rels/sheet29.xml.rels><?xml version="1.0" encoding="UTF-8" standalone="yes"?>
<Relationships xmlns="http://schemas.openxmlformats.org/package/2006/relationships"><Relationship Id="rId3" Type="http://schemas.openxmlformats.org/officeDocument/2006/relationships/table" Target="../tables/table48.xml"/><Relationship Id="rId7" Type="http://schemas.openxmlformats.org/officeDocument/2006/relationships/table" Target="../tables/table52.xml"/><Relationship Id="rId2" Type="http://schemas.openxmlformats.org/officeDocument/2006/relationships/table" Target="../tables/table47.xml"/><Relationship Id="rId1" Type="http://schemas.openxmlformats.org/officeDocument/2006/relationships/printerSettings" Target="../printerSettings/printerSettings24.bin"/><Relationship Id="rId6" Type="http://schemas.openxmlformats.org/officeDocument/2006/relationships/table" Target="../tables/table51.xml"/><Relationship Id="rId5" Type="http://schemas.openxmlformats.org/officeDocument/2006/relationships/table" Target="../tables/table50.xml"/><Relationship Id="rId4" Type="http://schemas.openxmlformats.org/officeDocument/2006/relationships/table" Target="../tables/table49.xml"/></Relationships>
</file>

<file path=xl/worksheets/_rels/sheet30.xml.rels><?xml version="1.0" encoding="UTF-8" standalone="yes"?>
<Relationships xmlns="http://schemas.openxmlformats.org/package/2006/relationships"><Relationship Id="rId2" Type="http://schemas.openxmlformats.org/officeDocument/2006/relationships/table" Target="../tables/table54.xml"/><Relationship Id="rId1" Type="http://schemas.openxmlformats.org/officeDocument/2006/relationships/table" Target="../tables/table53.xml"/></Relationships>
</file>

<file path=xl/worksheets/_rels/sheet31.xml.rels><?xml version="1.0" encoding="UTF-8" standalone="yes"?>
<Relationships xmlns="http://schemas.openxmlformats.org/package/2006/relationships"><Relationship Id="rId8" Type="http://schemas.openxmlformats.org/officeDocument/2006/relationships/table" Target="../tables/table61.xml"/><Relationship Id="rId3" Type="http://schemas.openxmlformats.org/officeDocument/2006/relationships/table" Target="../tables/table56.xml"/><Relationship Id="rId7" Type="http://schemas.openxmlformats.org/officeDocument/2006/relationships/table" Target="../tables/table60.xml"/><Relationship Id="rId12" Type="http://schemas.openxmlformats.org/officeDocument/2006/relationships/table" Target="../tables/table65.xml"/><Relationship Id="rId2" Type="http://schemas.openxmlformats.org/officeDocument/2006/relationships/table" Target="../tables/table55.xml"/><Relationship Id="rId1" Type="http://schemas.openxmlformats.org/officeDocument/2006/relationships/printerSettings" Target="../printerSettings/printerSettings25.bin"/><Relationship Id="rId6" Type="http://schemas.openxmlformats.org/officeDocument/2006/relationships/table" Target="../tables/table59.xml"/><Relationship Id="rId11" Type="http://schemas.openxmlformats.org/officeDocument/2006/relationships/table" Target="../tables/table64.xml"/><Relationship Id="rId5" Type="http://schemas.openxmlformats.org/officeDocument/2006/relationships/table" Target="../tables/table58.xml"/><Relationship Id="rId10" Type="http://schemas.openxmlformats.org/officeDocument/2006/relationships/table" Target="../tables/table63.xml"/><Relationship Id="rId4" Type="http://schemas.openxmlformats.org/officeDocument/2006/relationships/table" Target="../tables/table57.xml"/><Relationship Id="rId9" Type="http://schemas.openxmlformats.org/officeDocument/2006/relationships/table" Target="../tables/table62.xml"/></Relationships>
</file>

<file path=xl/worksheets/_rels/sheet32.xml.rels><?xml version="1.0" encoding="UTF-8" standalone="yes"?>
<Relationships xmlns="http://schemas.openxmlformats.org/package/2006/relationships"><Relationship Id="rId3" Type="http://schemas.openxmlformats.org/officeDocument/2006/relationships/table" Target="../tables/table68.xml"/><Relationship Id="rId7" Type="http://schemas.openxmlformats.org/officeDocument/2006/relationships/table" Target="../tables/table72.xml"/><Relationship Id="rId2" Type="http://schemas.openxmlformats.org/officeDocument/2006/relationships/table" Target="../tables/table67.xml"/><Relationship Id="rId1" Type="http://schemas.openxmlformats.org/officeDocument/2006/relationships/table" Target="../tables/table66.xml"/><Relationship Id="rId6" Type="http://schemas.openxmlformats.org/officeDocument/2006/relationships/table" Target="../tables/table71.xml"/><Relationship Id="rId5" Type="http://schemas.openxmlformats.org/officeDocument/2006/relationships/table" Target="../tables/table70.xml"/><Relationship Id="rId4" Type="http://schemas.openxmlformats.org/officeDocument/2006/relationships/table" Target="../tables/table69.xml"/></Relationships>
</file>

<file path=xl/worksheets/_rels/sheet33.xml.rels><?xml version="1.0" encoding="UTF-8" standalone="yes"?>
<Relationships xmlns="http://schemas.openxmlformats.org/package/2006/relationships"><Relationship Id="rId8" Type="http://schemas.openxmlformats.org/officeDocument/2006/relationships/table" Target="../tables/table79.xml"/><Relationship Id="rId13" Type="http://schemas.openxmlformats.org/officeDocument/2006/relationships/table" Target="../tables/table84.xml"/><Relationship Id="rId18" Type="http://schemas.openxmlformats.org/officeDocument/2006/relationships/table" Target="../tables/table89.xml"/><Relationship Id="rId3" Type="http://schemas.openxmlformats.org/officeDocument/2006/relationships/table" Target="../tables/table74.xml"/><Relationship Id="rId7" Type="http://schemas.openxmlformats.org/officeDocument/2006/relationships/table" Target="../tables/table78.xml"/><Relationship Id="rId12" Type="http://schemas.openxmlformats.org/officeDocument/2006/relationships/table" Target="../tables/table83.xml"/><Relationship Id="rId17" Type="http://schemas.openxmlformats.org/officeDocument/2006/relationships/table" Target="../tables/table88.xml"/><Relationship Id="rId2" Type="http://schemas.openxmlformats.org/officeDocument/2006/relationships/table" Target="../tables/table73.xml"/><Relationship Id="rId16" Type="http://schemas.openxmlformats.org/officeDocument/2006/relationships/table" Target="../tables/table87.xml"/><Relationship Id="rId1" Type="http://schemas.openxmlformats.org/officeDocument/2006/relationships/printerSettings" Target="../printerSettings/printerSettings26.bin"/><Relationship Id="rId6" Type="http://schemas.openxmlformats.org/officeDocument/2006/relationships/table" Target="../tables/table77.xml"/><Relationship Id="rId11" Type="http://schemas.openxmlformats.org/officeDocument/2006/relationships/table" Target="../tables/table82.xml"/><Relationship Id="rId5" Type="http://schemas.openxmlformats.org/officeDocument/2006/relationships/table" Target="../tables/table76.xml"/><Relationship Id="rId15" Type="http://schemas.openxmlformats.org/officeDocument/2006/relationships/table" Target="../tables/table86.xml"/><Relationship Id="rId10" Type="http://schemas.openxmlformats.org/officeDocument/2006/relationships/table" Target="../tables/table81.xml"/><Relationship Id="rId4" Type="http://schemas.openxmlformats.org/officeDocument/2006/relationships/table" Target="../tables/table75.xml"/><Relationship Id="rId9" Type="http://schemas.openxmlformats.org/officeDocument/2006/relationships/table" Target="../tables/table80.xml"/><Relationship Id="rId14" Type="http://schemas.openxmlformats.org/officeDocument/2006/relationships/table" Target="../tables/table85.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A46"/>
  <sheetViews>
    <sheetView workbookViewId="0">
      <selection activeCell="A46" sqref="A46"/>
    </sheetView>
  </sheetViews>
  <sheetFormatPr defaultRowHeight="15" x14ac:dyDescent="0.25"/>
  <sheetData>
    <row r="1" spans="1:1" ht="25.5" x14ac:dyDescent="0.35">
      <c r="A1" s="16" t="e" vm="1">
        <v>#VALUE!</v>
      </c>
    </row>
    <row r="3" spans="1:1" ht="15.75" x14ac:dyDescent="0.25">
      <c r="A3" s="249" t="str">
        <f>HYPERLINK("#'Home'!A1", "Home")</f>
        <v>Home</v>
      </c>
    </row>
    <row r="4" spans="1:1" ht="15.75" x14ac:dyDescent="0.25">
      <c r="A4" s="5" t="str">
        <f>HYPERLINK("#'Results'!A1", "Results")</f>
        <v>Results</v>
      </c>
    </row>
    <row r="7" spans="1:1" x14ac:dyDescent="0.25">
      <c r="A7" s="7" t="s">
        <v>0</v>
      </c>
    </row>
    <row r="8" spans="1:1" ht="15.75" x14ac:dyDescent="0.25">
      <c r="A8" s="5" t="str">
        <f>HYPERLINK("#'Input - Enterprise'!A1", "Enterprise")</f>
        <v>Enterprise</v>
      </c>
    </row>
    <row r="9" spans="1:1" ht="15.75" x14ac:dyDescent="0.25">
      <c r="A9" s="5" t="str">
        <f>HYPERLINK("#'Input - Site'!A1", "Site")</f>
        <v>Site</v>
      </c>
    </row>
    <row r="10" spans="1:1" ht="15.75" x14ac:dyDescent="0.25">
      <c r="A10" s="5" t="str">
        <f>HYPERLINK("#'Input - Pasture Beef'!A1", "Pasture Beef")</f>
        <v>Pasture Beef</v>
      </c>
    </row>
    <row r="11" spans="1:1" ht="15.75" x14ac:dyDescent="0.25">
      <c r="A11" s="5" t="str">
        <f>HYPERLINK("#'Input - Pasture Beef (Enteric)'!A1", "Pasture Beef (Enteric)")</f>
        <v>Pasture Beef (Enteric)</v>
      </c>
    </row>
    <row r="12" spans="1:1" ht="15.75" x14ac:dyDescent="0.25">
      <c r="A12" s="5" t="str">
        <f>HYPERLINK("#'Input - Pasture'!A1", "Pasture")</f>
        <v>Pasture</v>
      </c>
    </row>
    <row r="13" spans="1:1" ht="15.75" x14ac:dyDescent="0.25">
      <c r="A13" s="5" t="str">
        <f>HYPERLINK("#'Input - Fertiliser'!A1", "Fertiliser")</f>
        <v>Fertiliser</v>
      </c>
    </row>
    <row r="14" spans="1:1" ht="15.75" x14ac:dyDescent="0.25">
      <c r="A14" s="5" t="str">
        <f>HYPERLINK("#'Input - Fuel'!A1", "Fuel")</f>
        <v>Fuel</v>
      </c>
    </row>
    <row r="15" spans="1:1" ht="15.75" x14ac:dyDescent="0.25">
      <c r="A15" s="5" t="str">
        <f>HYPERLINK("#'Input - Electricity'!A1", "Electricity")</f>
        <v>Electricity</v>
      </c>
    </row>
    <row r="18" spans="1:1" x14ac:dyDescent="0.25">
      <c r="A18" s="6" t="s">
        <v>2</v>
      </c>
    </row>
    <row r="19" spans="1:1" ht="15.75" x14ac:dyDescent="0.25">
      <c r="A19" s="5" t="str">
        <f>HYPERLINK("#'3.2.1.1-2 Enteric Methane'!A1", "3.2.1.1-2 Enteric methane")</f>
        <v>3.2.1.1-2 Enteric methane</v>
      </c>
    </row>
    <row r="20" spans="1:1" ht="15.75" x14ac:dyDescent="0.25">
      <c r="A20" s="5" t="str">
        <f>HYPERLINK("#'4.2.1.1-2 Methane'!A1", "4.2.1.1-2 Manure methane")</f>
        <v>4.2.1.1-2 Manure methane</v>
      </c>
    </row>
    <row r="21" spans="1:1" ht="15.75" x14ac:dyDescent="0.25">
      <c r="A21" s="5" t="str">
        <f>HYPERLINK("#'4.2.1.3-4 Soil direct N20'!A1", "4.2.1.3-4 Soil direct N2O")</f>
        <v>4.2.1.3-4 Soil direct N2O</v>
      </c>
    </row>
    <row r="22" spans="1:1" ht="15.75" x14ac:dyDescent="0.25">
      <c r="A22" s="5" t="str">
        <f>HYPERLINK("#'4.2.1.5-6 Soil Atmos Dep'!A1", "4.2.1.5-6 Soil atm. deposition")</f>
        <v>4.2.1.5-6 Soil atm. deposition</v>
      </c>
    </row>
    <row r="23" spans="1:1" ht="15.75" x14ac:dyDescent="0.25">
      <c r="A23" s="5" t="str">
        <f>HYPERLINK("#'4.2.1.7-8 Soil leach runoff'!A1", "4.2.1.7-8 Soil leach &amp; runoff")</f>
        <v>4.2.1.7-8 Soil leach &amp; runoff</v>
      </c>
    </row>
    <row r="24" spans="1:1" ht="15.75" x14ac:dyDescent="0.25">
      <c r="A24" s="5" t="str">
        <f>HYPERLINK("#'5.1.1.1-2 Inorganic fert N2O'!A1", "5.1.1.1-2 Inorganic fert N2O")</f>
        <v>5.1.1.1-2 Inorganic fert N2O</v>
      </c>
    </row>
    <row r="25" spans="1:1" ht="15.75" x14ac:dyDescent="0.25">
      <c r="A25" s="5" t="str">
        <f>HYPERLINK("#'5.1.1.3-4 Inorganic fert CO2'!A1", "5.1.1.3-4 Inorganic fert CO2")</f>
        <v>5.1.1.3-4 Inorganic fert CO2</v>
      </c>
    </row>
    <row r="26" spans="1:1" ht="15.75" x14ac:dyDescent="0.25">
      <c r="A26" s="5" t="str">
        <f>HYPERLINK("#'5.2.1.1-2 Organic Fert N2O'!A1", "5.2.1.1-2 Organic fert N2O")</f>
        <v>5.2.1.1-2 Organic fert N2O</v>
      </c>
    </row>
    <row r="27" spans="1:1" ht="15.75" x14ac:dyDescent="0.25">
      <c r="A27" s="5" t="str">
        <f>HYPERLINK("#'5.3.1.1-2 Lime CO2'!A1", "5.3.1.1-2 Lime CO2")</f>
        <v>5.3.1.1-2 Lime CO2</v>
      </c>
    </row>
    <row r="28" spans="1:1" ht="15.75" x14ac:dyDescent="0.25">
      <c r="A28" s="5" t="str">
        <f>HYPERLINK("#'5.4.1.1-4 Atmos deposition'!A1", "5.4.1.1-4 Atmos. deposition")</f>
        <v>5.4.1.1-4 Atmos. deposition</v>
      </c>
    </row>
    <row r="29" spans="1:1" ht="15.75" x14ac:dyDescent="0.25">
      <c r="A29" s="5" t="str">
        <f>HYPERLINK("#'5.5.1.1-2 Leaching and runoff'!A1", "5.5.1.1-2 Leaching &amp; runoff")</f>
        <v>5.5.1.1-2 Leaching &amp; runoff</v>
      </c>
    </row>
    <row r="30" spans="1:1" ht="15.75" x14ac:dyDescent="0.25">
      <c r="A30" s="5" t="str">
        <f>HYPERLINK("#'6.2.1.1-2 Pasture residue N2O'!A1", "6.2.1.1-2 Pasture residue N2O")</f>
        <v>6.2.1.1-2 Pasture residue N2O</v>
      </c>
    </row>
    <row r="31" spans="1:1" ht="15.75" x14ac:dyDescent="0.25">
      <c r="A31" s="5" t="str">
        <f>HYPERLINK("#'6.3.1.1-2 Leach runoff pasture'!A1", "6.3.1.1-2 Leach &amp; runoff (pasture)")</f>
        <v>6.3.1.1-2 Leach &amp; runoff (pasture)</v>
      </c>
    </row>
    <row r="32" spans="1:1" ht="15.75" x14ac:dyDescent="0.25">
      <c r="A32" s="5" t="str">
        <f>HYPERLINK("#'8.1.1.1-2 Transport fuel'!A1", "8.1.1.1-2 Transport fuel")</f>
        <v>8.1.1.1-2 Transport fuel</v>
      </c>
    </row>
    <row r="33" spans="1:1" ht="15.75" x14ac:dyDescent="0.25">
      <c r="A33" s="5" t="str">
        <f>HYPERLINK("#'8.2.1.1-2 Stationary fuel'!A1", "8.2.1.1-2 Stationary fuel")</f>
        <v>8.2.1.1-2 Stationary fuel</v>
      </c>
    </row>
    <row r="34" spans="1:1" ht="15.75" x14ac:dyDescent="0.25">
      <c r="A34" s="5" t="str">
        <f>HYPERLINK("#'14.1.1-2 Purchased electricity'!A1", "14.1.1-2 Purchased electricity")</f>
        <v>14.1.1-2 Purchased electricity</v>
      </c>
    </row>
    <row r="37" spans="1:1" x14ac:dyDescent="0.25">
      <c r="A37" s="251" t="s">
        <v>1</v>
      </c>
    </row>
    <row r="38" spans="1:1" ht="15.75" x14ac:dyDescent="0.25">
      <c r="A38" s="5" t="str">
        <f>HYPERLINK("#'Constants - Pasture Beef'!A1", "Constants - Pasture Beef")</f>
        <v>Constants - Pasture Beef</v>
      </c>
    </row>
    <row r="39" spans="1:1" ht="15.75" x14ac:dyDescent="0.25">
      <c r="A39" s="5" t="str">
        <f>HYPERLINK("#'Constants - Ag Residue'!A1", "Constants - Ag residue")</f>
        <v>Constants - Ag residue</v>
      </c>
    </row>
    <row r="40" spans="1:1" ht="15.75" x14ac:dyDescent="0.25">
      <c r="A40" s="5" t="str">
        <f>HYPERLINK("#'Constants - Common Livestock'!A1", "Constants - Common Livestock")</f>
        <v>Constants - Common Livestock</v>
      </c>
    </row>
    <row r="41" spans="1:1" ht="15.75" x14ac:dyDescent="0.25">
      <c r="A41" s="5" t="str">
        <f>HYPERLINK("#'Constants - Electricity'!A1", "Constants - Electricity")</f>
        <v>Constants - Electricity</v>
      </c>
    </row>
    <row r="42" spans="1:1" ht="15.75" x14ac:dyDescent="0.25">
      <c r="A42" s="5" t="str">
        <f>HYPERLINK("#'Constants - Fertiliser'!A1", "Constants - Fertiliser")</f>
        <v>Constants - Fertiliser</v>
      </c>
    </row>
    <row r="43" spans="1:1" ht="15.75" x14ac:dyDescent="0.25">
      <c r="A43" s="5" t="str">
        <f>HYPERLINK("#'Constants - Fuel'!A1", "Constants - Fuel")</f>
        <v>Constants - Fuel</v>
      </c>
    </row>
    <row r="44" spans="1:1" ht="15.75" x14ac:dyDescent="0.25">
      <c r="A44" s="5" t="str">
        <f>HYPERLINK("#'Constants - Common'!A1", "Constants - Common")</f>
        <v>Constants - Common</v>
      </c>
    </row>
    <row r="45" spans="1:1" ht="15.75" x14ac:dyDescent="0.25">
      <c r="A45" s="5" t="str">
        <f>HYPERLINK("#'Acknowledgements'!A1", "Acknowledgements")</f>
        <v>Acknowledgements</v>
      </c>
    </row>
    <row r="46" spans="1:1" ht="15.75" x14ac:dyDescent="0.25">
      <c r="A46" s="5" t="str">
        <f>HYPERLINK("#'Overview'!A1", "Overview")</f>
        <v>Overview</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tabSelected="1" topLeftCell="A31" zoomScaleNormal="100" workbookViewId="0">
      <selection activeCell="E59" sqref="E59"/>
    </sheetView>
  </sheetViews>
  <sheetFormatPr defaultRowHeight="15" x14ac:dyDescent="0.25"/>
  <cols>
    <col min="1" max="1" width="30.7109375" customWidth="1"/>
    <col min="2" max="3" width="2.7109375" customWidth="1"/>
    <col min="4" max="4" width="78.42578125" customWidth="1"/>
    <col min="5" max="10" width="30.7109375" customWidth="1"/>
    <col min="11" max="11" width="7.42578125" customWidth="1"/>
    <col min="12" max="26" width="28.7109375" customWidth="1"/>
  </cols>
  <sheetData>
    <row r="1" spans="1:11" ht="30" customHeight="1" x14ac:dyDescent="0.35">
      <c r="A1" s="16" t="e" vm="1">
        <v>#VALUE!</v>
      </c>
      <c r="C1" s="21" t="s">
        <v>12</v>
      </c>
    </row>
    <row r="2" spans="1:11" ht="20.100000000000001" customHeight="1" x14ac:dyDescent="0.25">
      <c r="C2" s="3"/>
    </row>
    <row r="3" spans="1:11" ht="20.100000000000001" customHeight="1" x14ac:dyDescent="0.25">
      <c r="A3" s="5" t="str">
        <f>HYPERLINK("#'Home'!A1", "Home")</f>
        <v>Home</v>
      </c>
      <c r="C3" s="8"/>
      <c r="D3" s="8"/>
      <c r="E3" s="8"/>
      <c r="F3" s="8"/>
      <c r="G3" s="8"/>
      <c r="H3" s="8"/>
      <c r="I3" s="8"/>
      <c r="J3" s="8"/>
      <c r="K3" s="8"/>
    </row>
    <row r="4" spans="1:11" ht="20.100000000000001" customHeight="1" x14ac:dyDescent="0.25">
      <c r="A4" s="249" t="str">
        <f>HYPERLINK("#'Results'!A1", "Results")</f>
        <v>Results</v>
      </c>
      <c r="C4" s="8"/>
      <c r="D4" s="2" t="str">
        <f>"Emissions breakdown for activities running between " &amp; TEXT(X_Cell_Site_StartDate, "dd mmmm yyyy") &amp; " and " &amp; TEXT('Input - Enterprise'!E13, "dd mmmm yyyy")</f>
        <v>Emissions breakdown for activities running between 01 January 2025 and 31 December 2025</v>
      </c>
      <c r="E4" s="10"/>
      <c r="F4" s="10"/>
      <c r="G4" s="10"/>
      <c r="H4" s="2"/>
      <c r="I4" s="2"/>
      <c r="J4" s="2"/>
      <c r="K4" s="11"/>
    </row>
    <row r="5" spans="1:11" ht="20.100000000000001" customHeight="1" x14ac:dyDescent="0.3">
      <c r="C5" s="8"/>
      <c r="D5" s="12"/>
      <c r="E5" s="13"/>
      <c r="F5" s="13"/>
      <c r="G5" s="13"/>
      <c r="H5" s="10"/>
      <c r="I5" s="8"/>
      <c r="J5" s="8"/>
      <c r="K5" s="8"/>
    </row>
    <row r="6" spans="1:11" ht="20.100000000000001" customHeight="1" x14ac:dyDescent="0.25">
      <c r="C6" s="8"/>
      <c r="D6" s="20" t="s">
        <v>3</v>
      </c>
      <c r="E6" s="20" t="s">
        <v>8</v>
      </c>
      <c r="F6" s="20" t="s">
        <v>9</v>
      </c>
      <c r="G6" s="20" t="s">
        <v>5</v>
      </c>
      <c r="H6" s="20" t="s">
        <v>10</v>
      </c>
      <c r="I6" s="20" t="s">
        <v>11</v>
      </c>
      <c r="J6" s="2"/>
      <c r="K6" s="8"/>
    </row>
    <row r="7" spans="1:11" ht="20.100000000000001" customHeight="1" x14ac:dyDescent="0.25">
      <c r="A7" s="7" t="s">
        <v>0</v>
      </c>
      <c r="C7" s="8"/>
      <c r="D7" s="1" t="s">
        <v>155</v>
      </c>
      <c r="E7" s="18" cm="1">
        <f t="array" aca="1" ref="E7" ca="1">VEERG_3_2_1_1__1_TotalAnnualMethaneFromEntericFermentation_Result_Method1</f>
        <v>54.595755432192263</v>
      </c>
      <c r="F7" s="18" cm="1">
        <f t="array" aca="1" ref="F7" ca="1">VEERG_3_2_1_1__1_TotalAnnualMethaneFromEntericFermentation_Result_Method2</f>
        <v>54.699181903674365</v>
      </c>
      <c r="G7" s="15" t="s">
        <v>6</v>
      </c>
      <c r="H7" s="18" cm="1">
        <f t="array" aca="1" ref="H7" ca="1">Common_Equations.Common_ConvertCH4ToCO2e(E7,_xlfn.XLOOKUP("CH4", Table_GWPData[Gas],Table_GWPData[CO2-e factor]))</f>
        <v>1528.6811521013833</v>
      </c>
      <c r="I7" s="18" cm="1">
        <f t="array" aca="1" ref="I7" ca="1">Common_Equations.Common_ConvertCH4ToCO2e(F7,_xlfn.XLOOKUP("CH4", Table_GWPData[Gas],Table_GWPData[CO2-e factor]))</f>
        <v>1531.5770933028823</v>
      </c>
      <c r="J7" s="15" t="s">
        <v>7</v>
      </c>
      <c r="K7" s="8"/>
    </row>
    <row r="8" spans="1:11" ht="20.100000000000001" customHeight="1" x14ac:dyDescent="0.25">
      <c r="A8" s="5" t="str">
        <f>HYPERLINK("#'Input - Enterprise'!A1", "Enterprise")</f>
        <v>Enterprise</v>
      </c>
      <c r="C8" s="8"/>
      <c r="D8" s="1" t="s">
        <v>13</v>
      </c>
      <c r="E8" s="18" cm="1">
        <f t="array" aca="1" ref="E8" ca="1">VEERG_4_2_1_1__1_TotalAnnualMethaneProductionFromManureManagement_Result_Method1</f>
        <v>0.88628531326724402</v>
      </c>
      <c r="F8" s="18" cm="1">
        <f t="array" aca="1" ref="F8" ca="1">VEERG_4_2_1_1__1_TotalAnnualMethaneProductionFromManureManagement_Result_Method2</f>
        <v>0.87215903452741383</v>
      </c>
      <c r="G8" s="15" t="s">
        <v>6</v>
      </c>
      <c r="H8" s="18" cm="1">
        <f t="array" aca="1" ref="H8" ca="1">Common_Equations.Common_ConvertCH4ToCO2e(E8,_xlfn.XLOOKUP("CH4", Table_GWPData[Gas],Table_GWPData[CO2-e factor]))</f>
        <v>24.815988771482832</v>
      </c>
      <c r="I8" s="18" cm="1">
        <f t="array" aca="1" ref="I8" ca="1">Common_Equations.Common_ConvertCH4ToCO2e(F8,_xlfn.XLOOKUP("CH4", Table_GWPData[Gas],Table_GWPData[CO2-e factor]))</f>
        <v>24.420452966767588</v>
      </c>
      <c r="J8" s="15" t="s">
        <v>7</v>
      </c>
      <c r="K8" s="8"/>
    </row>
    <row r="9" spans="1:11" ht="20.100000000000001" customHeight="1" x14ac:dyDescent="0.25">
      <c r="A9" s="5" t="str">
        <f>HYPERLINK("#'Input - Site'!A1", "Site")</f>
        <v>Site</v>
      </c>
      <c r="C9" s="8"/>
      <c r="D9" s="1" t="s">
        <v>15</v>
      </c>
      <c r="E9" s="18" cm="1">
        <f t="array" aca="1" ref="E9" ca="1">VEERG_4_2_1_3__1_DirectNitrousOxideEmissionsOnPasture_Result_Method1</f>
        <v>0.19011252663030423</v>
      </c>
      <c r="F9" s="18" cm="1">
        <f t="array" aca="1" ref="F9" ca="1">VEERG_4_2_1_3__1_DirectNitrousOxideEmissionsOnPasture_Result_Method2</f>
        <v>0.1809939061002499</v>
      </c>
      <c r="G9" s="15" t="s">
        <v>14</v>
      </c>
      <c r="H9" s="18" cm="1">
        <f t="array" aca="1" ref="H9" ca="1">Common_Equations.Common_ConvertN2OToCO2e(E9,_xlfn.XLOOKUP("N2O", Table_GWPData[Gas],Table_GWPData[CO2-e factor]))</f>
        <v>50.379819557030622</v>
      </c>
      <c r="I9" s="18" cm="1">
        <f t="array" aca="1" ref="I9" ca="1">Common_Equations.Common_ConvertN2OToCO2e(F9,_xlfn.XLOOKUP("N2O", Table_GWPData[Gas],Table_GWPData[CO2-e factor]))</f>
        <v>47.963385116566222</v>
      </c>
      <c r="J9" s="15" t="s">
        <v>7</v>
      </c>
      <c r="K9" s="8"/>
    </row>
    <row r="10" spans="1:11" ht="20.100000000000001" customHeight="1" x14ac:dyDescent="0.25">
      <c r="A10" s="5" t="str">
        <f>HYPERLINK("#'Input - Pasture Beef'!A1", "Pasture Beef")</f>
        <v>Pasture Beef</v>
      </c>
      <c r="C10" s="8"/>
      <c r="D10" s="1" t="s">
        <v>16</v>
      </c>
      <c r="E10" s="18" cm="1">
        <f t="array" aca="1" ref="E10" ca="1">VEERG_4_2_1_5__1_AtmosphericDepositionEmissionsFromUrineAndDungOnPasture_Result_Method1</f>
        <v>0.11777471024747345</v>
      </c>
      <c r="F10" s="18" cm="1">
        <f t="array" aca="1" ref="F10" ca="1">VEERG_4_2_1_5__1_AtmosphericDepositionEmissionsFromUrineAndDungOnPasture_Result_Method2</f>
        <v>0.11212572482910479</v>
      </c>
      <c r="G10" s="15" t="s">
        <v>14</v>
      </c>
      <c r="H10" s="18" cm="1">
        <f t="array" aca="1" ref="H10" ca="1">Common_Equations.Common_ConvertN2OToCO2e(E10,_xlfn.XLOOKUP("N2O", Table_GWPData[Gas],Table_GWPData[CO2-e factor]))</f>
        <v>31.210298215580465</v>
      </c>
      <c r="I10" s="18" cm="1">
        <f t="array" aca="1" ref="I10" ca="1">Common_Equations.Common_ConvertN2OToCO2e(F10,_xlfn.XLOOKUP("N2O", Table_GWPData[Gas],Table_GWPData[CO2-e factor]))</f>
        <v>29.71331707971277</v>
      </c>
      <c r="J10" s="15" t="s">
        <v>7</v>
      </c>
      <c r="K10" s="8"/>
    </row>
    <row r="11" spans="1:11" ht="20.100000000000001" customHeight="1" x14ac:dyDescent="0.25">
      <c r="A11" s="5" t="str">
        <f>HYPERLINK("#'Input - Pasture Beef (Enteric)'!A1", "Pasture Beef (Enteric)")</f>
        <v>Pasture Beef (Enteric)</v>
      </c>
      <c r="C11" s="8"/>
      <c r="D11" s="1" t="s">
        <v>17</v>
      </c>
      <c r="E11" s="18" cm="1">
        <f t="array" aca="1" ref="E11" ca="1">VEERG_4_2_1_7__1_LeachingAndRunoffEmissionsFromUrineAndDungOnPasture_Result_Method1</f>
        <v>0.2509485351520015</v>
      </c>
      <c r="F11" s="18" cm="1">
        <f t="array" aca="1" ref="F11" ca="1">VEERG_4_2_1_7__1_LeachingAndRunoffEmissionsFromUrineAndDungOnPasture_Result_Method2</f>
        <v>0.23891195605232987</v>
      </c>
      <c r="G11" s="15" t="s">
        <v>14</v>
      </c>
      <c r="H11" s="18" cm="1">
        <f t="array" aca="1" ref="H11" ca="1">Common_Equations.Common_ConvertN2OToCO2e(E11,_xlfn.XLOOKUP("N2O", Table_GWPData[Gas],Table_GWPData[CO2-e factor]))</f>
        <v>66.50136181528039</v>
      </c>
      <c r="I11" s="18" cm="1">
        <f t="array" aca="1" ref="I11" ca="1">Common_Equations.Common_ConvertN2OToCO2e(F11,_xlfn.XLOOKUP("N2O", Table_GWPData[Gas],Table_GWPData[CO2-e factor]))</f>
        <v>63.311668353867418</v>
      </c>
      <c r="J11" s="15" t="s">
        <v>7</v>
      </c>
      <c r="K11" s="8"/>
    </row>
    <row r="12" spans="1:11" ht="20.100000000000001" customHeight="1" x14ac:dyDescent="0.25">
      <c r="A12" s="5" t="str">
        <f>HYPERLINK("#'Input - Pasture'!A1", "Pasture")</f>
        <v>Pasture</v>
      </c>
      <c r="C12" s="8"/>
      <c r="D12" s="1" t="s">
        <v>156</v>
      </c>
      <c r="E12" s="18" cm="1">
        <f t="array" ref="E12">VEERG_5_1_1_1__1_InorganicFertiliserApplicationN2OEmissions_Result_Method1</f>
        <v>0.1431067</v>
      </c>
      <c r="F12" s="18" cm="1">
        <f t="array" ref="F12">VEERG_5_1_1_1__1_InorganicFertiliserApplicationN2OEmissions_Result_Method2</f>
        <v>0.1431067</v>
      </c>
      <c r="G12" s="15" t="s">
        <v>14</v>
      </c>
      <c r="H12" s="18" cm="1">
        <f t="array" ref="H12">Common_Equations.Common_ConvertN2OToCO2e(E12,_xlfn.XLOOKUP("N2O", Table_GWPData[Gas],Table_GWPData[CO2-e factor]))</f>
        <v>37.923275500000003</v>
      </c>
      <c r="I12" s="18" cm="1">
        <f t="array" ref="I12">Common_Equations.Common_ConvertN2OToCO2e(F12,_xlfn.XLOOKUP("N2O", Table_GWPData[Gas],Table_GWPData[CO2-e factor]))</f>
        <v>37.923275500000003</v>
      </c>
      <c r="J12" s="15" t="s">
        <v>7</v>
      </c>
      <c r="K12" s="8"/>
    </row>
    <row r="13" spans="1:11" ht="20.100000000000001" customHeight="1" x14ac:dyDescent="0.25">
      <c r="A13" s="5" t="str">
        <f>HYPERLINK("#'Input - Fertiliser'!A1", "Fertiliser")</f>
        <v>Fertiliser</v>
      </c>
      <c r="C13" s="8"/>
      <c r="D13" s="1" t="s">
        <v>157</v>
      </c>
      <c r="E13" s="18" cm="1">
        <f t="array" ref="E13">VEERG_5_1_1_3__1_InorganicFertiliserApplicationCO2Emissions_Result_Method1</f>
        <v>7.333333333333333</v>
      </c>
      <c r="F13" s="18">
        <f>E13</f>
        <v>7.333333333333333</v>
      </c>
      <c r="G13" s="15" t="s">
        <v>145</v>
      </c>
      <c r="H13" s="18">
        <f>E13</f>
        <v>7.333333333333333</v>
      </c>
      <c r="I13" s="18">
        <f>F13</f>
        <v>7.333333333333333</v>
      </c>
      <c r="J13" s="15" t="s">
        <v>7</v>
      </c>
      <c r="K13" s="8"/>
    </row>
    <row r="14" spans="1:11" ht="20.100000000000001" customHeight="1" x14ac:dyDescent="0.25">
      <c r="A14" s="5" t="str">
        <f>HYPERLINK("#'Input - Fuel'!A1", "Fuel")</f>
        <v>Fuel</v>
      </c>
      <c r="C14" s="8"/>
      <c r="D14" s="1" t="s">
        <v>158</v>
      </c>
      <c r="E14" s="18" cm="1">
        <f t="array" ref="E14">VEERG_5_2_1_1__2_MassOfNitrogenInOrganicFertiliser_Result_Method1</f>
        <v>5.5785714285714293E-3</v>
      </c>
      <c r="F14" s="18">
        <f>E14</f>
        <v>5.5785714285714293E-3</v>
      </c>
      <c r="G14" s="15" t="s">
        <v>14</v>
      </c>
      <c r="H14" s="18" cm="1">
        <f t="array" ref="H14">Common_Equations.Common_ConvertN2OToCO2e(E14,_xlfn.XLOOKUP("N2O", Table_GWPData[Gas],Table_GWPData[CO2-e factor]))</f>
        <v>1.4783214285714288</v>
      </c>
      <c r="I14" s="18" cm="1">
        <f t="array" ref="I14">Common_Equations.Common_ConvertN2OToCO2e(F14,_xlfn.XLOOKUP("N2O", Table_GWPData[Gas],Table_GWPData[CO2-e factor]))</f>
        <v>1.4783214285714288</v>
      </c>
      <c r="J14" s="15" t="s">
        <v>7</v>
      </c>
      <c r="K14" s="8"/>
    </row>
    <row r="15" spans="1:11" ht="20.100000000000001" customHeight="1" x14ac:dyDescent="0.25">
      <c r="A15" s="5" t="str">
        <f>HYPERLINK("#'Input - Electricity'!A1", "Electricity")</f>
        <v>Electricity</v>
      </c>
      <c r="C15" s="8"/>
      <c r="D15" s="1" t="s">
        <v>159</v>
      </c>
      <c r="E15" s="18" cm="1">
        <f t="array" ref="E15">VEERG_5_3_1_1__1_LimeApplicationCO2Emissions_Result_Method1</f>
        <v>75.808333333333337</v>
      </c>
      <c r="F15" s="18">
        <f>E15</f>
        <v>75.808333333333337</v>
      </c>
      <c r="G15" s="15" t="s">
        <v>145</v>
      </c>
      <c r="H15" s="18">
        <f>E15</f>
        <v>75.808333333333337</v>
      </c>
      <c r="I15" s="18">
        <f>F15</f>
        <v>75.808333333333337</v>
      </c>
      <c r="J15" s="15" t="s">
        <v>7</v>
      </c>
      <c r="K15" s="8"/>
    </row>
    <row r="16" spans="1:11" ht="20.100000000000001" customHeight="1" x14ac:dyDescent="0.25">
      <c r="C16" s="8"/>
      <c r="D16" s="1" t="s">
        <v>160</v>
      </c>
      <c r="E16" s="18" cm="1">
        <f t="array" ref="E16">VEERG_5_4_1_3__1_OrganicFertiliserAtmosphericDepositionN2OEmissions_Result_Method1</f>
        <v>1.6401E-3</v>
      </c>
      <c r="F16" s="18">
        <f>E16</f>
        <v>1.6401E-3</v>
      </c>
      <c r="G16" s="15" t="s">
        <v>14</v>
      </c>
      <c r="H16" s="18" cm="1">
        <f t="array" ref="H16">Common_Equations.Common_ConvertN2OToCO2e(E16,_xlfn.XLOOKUP("N2O", Table_GWPData[Gas],Table_GWPData[CO2-e factor]))</f>
        <v>0.43462650000000003</v>
      </c>
      <c r="I16" s="18" cm="1">
        <f t="array" ref="I16">Common_Equations.Common_ConvertN2OToCO2e(F16,_xlfn.XLOOKUP("N2O", Table_GWPData[Gas],Table_GWPData[CO2-e factor]))</f>
        <v>0.43462650000000003</v>
      </c>
      <c r="J16" s="15" t="s">
        <v>7</v>
      </c>
      <c r="K16" s="8"/>
    </row>
    <row r="17" spans="1:11" ht="20.100000000000001" customHeight="1" x14ac:dyDescent="0.25">
      <c r="C17" s="8"/>
      <c r="D17" s="1" t="s">
        <v>161</v>
      </c>
      <c r="E17" s="18" cm="1">
        <f t="array" ref="E17">VEERG_5_5_1_1__1_FertiliserLeachingAndRunoffN2OEmissions_result_Method1</f>
        <v>5.6917155428571425E-2</v>
      </c>
      <c r="F17" s="18">
        <f>E17</f>
        <v>5.6917155428571425E-2</v>
      </c>
      <c r="G17" s="15" t="s">
        <v>14</v>
      </c>
      <c r="H17" s="18" cm="1">
        <f t="array" ref="H17">Common_Equations.Common_ConvertN2OToCO2e(E17,_xlfn.XLOOKUP("N2O", Table_GWPData[Gas],Table_GWPData[CO2-e factor]))</f>
        <v>15.083046188571428</v>
      </c>
      <c r="I17" s="18" cm="1">
        <f t="array" ref="I17">Common_Equations.Common_ConvertN2OToCO2e(F17,_xlfn.XLOOKUP("N2O", Table_GWPData[Gas],Table_GWPData[CO2-e factor]))</f>
        <v>15.083046188571428</v>
      </c>
      <c r="J17" s="15" t="s">
        <v>7</v>
      </c>
      <c r="K17" s="8"/>
    </row>
    <row r="18" spans="1:11" ht="20.100000000000001" customHeight="1" x14ac:dyDescent="0.25">
      <c r="A18" s="6" t="s">
        <v>2</v>
      </c>
      <c r="C18" s="8"/>
      <c r="D18" s="1" t="s">
        <v>162</v>
      </c>
      <c r="E18" s="18" cm="1">
        <f t="array" ref="E18">VEERG_6_2_1_1__1__NitrousOxideEmissionsFromPastureResidues_Result_Method1</f>
        <v>5.8320428571428569E-7</v>
      </c>
      <c r="F18" s="18" cm="1">
        <f t="array" ref="F18">VEERG_6_2_1_1__1__NitrousOxideEmissionsFromPastureResidues_Result_Method2</f>
        <v>5.8320428571428569E-7</v>
      </c>
      <c r="G18" s="15" t="s">
        <v>14</v>
      </c>
      <c r="H18" s="18" cm="1">
        <f t="array" ref="H18">Common_Equations.Common_ConvertN2OToCO2e(E18,_xlfn.XLOOKUP("N2O", Table_GWPData[Gas],Table_GWPData[CO2-e factor]))</f>
        <v>1.545491357142857E-4</v>
      </c>
      <c r="I18" s="18" cm="1">
        <f t="array" ref="I18">Common_Equations.Common_ConvertN2OToCO2e(F18,_xlfn.XLOOKUP("N2O", Table_GWPData[Gas],Table_GWPData[CO2-e factor]))</f>
        <v>1.545491357142857E-4</v>
      </c>
      <c r="J18" s="15" t="s">
        <v>7</v>
      </c>
      <c r="K18" s="8"/>
    </row>
    <row r="19" spans="1:11" ht="20.100000000000001" customHeight="1" x14ac:dyDescent="0.25">
      <c r="A19" s="5" t="str">
        <f>HYPERLINK("#'3.2.1.1-2 Enteric Methane'!A1", "3.2.1.1-2 Enteric methane")</f>
        <v>3.2.1.1-2 Enteric methane</v>
      </c>
      <c r="C19" s="8"/>
      <c r="D19" s="1" t="s">
        <v>163</v>
      </c>
      <c r="E19" s="18" cm="1">
        <f t="array" ref="E19">VEERG_6_3_1_1__1__LeachingAndRunoffEmissionsCropAndPastureResidue_PastureOnly_Result_Method1</f>
        <v>3.0793186285714277E-7</v>
      </c>
      <c r="F19" s="18" cm="1">
        <f t="array" ref="F19">VEERG_6_3_1_1__1__LeachingAndRunoffEmissionsCropAndPastureResidue_PastureOnly_Result_Method2</f>
        <v>3.0793186285714277E-7</v>
      </c>
      <c r="G19" s="15" t="s">
        <v>14</v>
      </c>
      <c r="H19" s="18" cm="1">
        <f t="array" ref="H19">Common_Equations.Common_ConvertN2OToCO2e(E19,_xlfn.XLOOKUP("N2O", Table_GWPData[Gas],Table_GWPData[CO2-e factor]))</f>
        <v>8.1601943657142831E-5</v>
      </c>
      <c r="I19" s="18" cm="1">
        <f t="array" ref="I19">Common_Equations.Common_ConvertN2OToCO2e(F19,_xlfn.XLOOKUP("N2O", Table_GWPData[Gas],Table_GWPData[CO2-e factor]))</f>
        <v>8.1601943657142831E-5</v>
      </c>
      <c r="J19" s="15" t="s">
        <v>7</v>
      </c>
      <c r="K19" s="8"/>
    </row>
    <row r="20" spans="1:11" ht="20.100000000000001" customHeight="1" x14ac:dyDescent="0.25">
      <c r="A20" s="5" t="str">
        <f>HYPERLINK("#'4.2.1.1-2 Methane'!A1", "4.2.1.1-2 Manure methane")</f>
        <v>4.2.1.1-2 Manure methane</v>
      </c>
      <c r="C20" s="8"/>
      <c r="D20" s="1" t="s">
        <v>164</v>
      </c>
      <c r="E20" s="18" cm="1">
        <f t="array" ref="E20">VEERG_8_1_1_1__1_FuelCombustionTransport_Result_CO2</f>
        <v>83.182000000000002</v>
      </c>
      <c r="F20" s="18">
        <f>E20</f>
        <v>83.182000000000002</v>
      </c>
      <c r="G20" s="15" t="s">
        <v>145</v>
      </c>
      <c r="H20" s="18">
        <f>E20</f>
        <v>83.182000000000002</v>
      </c>
      <c r="I20" s="18">
        <f>F20</f>
        <v>83.182000000000002</v>
      </c>
      <c r="J20" s="15" t="s">
        <v>7</v>
      </c>
      <c r="K20" s="8"/>
    </row>
    <row r="21" spans="1:11" ht="20.100000000000001" customHeight="1" x14ac:dyDescent="0.25">
      <c r="A21" s="5" t="str">
        <f>HYPERLINK("#'4.2.1.3-4 Soil direct N20'!A1", "4.2.1.3-4 Soil direct N2O")</f>
        <v>4.2.1.3-4 Soil direct N2O</v>
      </c>
      <c r="C21" s="8"/>
      <c r="D21" s="1" t="s">
        <v>166</v>
      </c>
      <c r="E21" s="18" cm="1">
        <f t="array" ref="E21">VEERG_8_1_1_1__1_FuelCombustionTransport_Result_CH4</f>
        <v>0.19906000000000001</v>
      </c>
      <c r="F21" s="18">
        <f>E21</f>
        <v>0.19906000000000001</v>
      </c>
      <c r="G21" s="15" t="s">
        <v>6</v>
      </c>
      <c r="H21" s="18" cm="1">
        <f t="array" ref="H21">Common_Equations.Common_ConvertCH4ToCO2e(E21,_xlfn.XLOOKUP("CH4", Table_GWPData[Gas],Table_GWPData[CO2-e factor]))</f>
        <v>5.5736800000000004</v>
      </c>
      <c r="I21" s="18" cm="1">
        <f t="array" ref="I21">Common_Equations.Common_ConvertCH4ToCO2e(F21,_xlfn.XLOOKUP("CH4", Table_GWPData[Gas],Table_GWPData[CO2-e factor]))</f>
        <v>5.5736800000000004</v>
      </c>
      <c r="J21" s="15" t="s">
        <v>7</v>
      </c>
      <c r="K21" s="8"/>
    </row>
    <row r="22" spans="1:11" ht="20.100000000000001" customHeight="1" x14ac:dyDescent="0.25">
      <c r="A22" s="5" t="str">
        <f>HYPERLINK("#'4.2.1.5-6 Soil Atmos Dep'!A1", "4.2.1.5-6 Soil atm. deposition")</f>
        <v>4.2.1.5-6 Soil atm. deposition</v>
      </c>
      <c r="C22" s="8"/>
      <c r="D22" s="1" t="s">
        <v>165</v>
      </c>
      <c r="E22" s="18" cm="1">
        <f t="array" ref="E22">VEERG_8_1_1_1__1_FuelCombustionTransport_Result_N2O</f>
        <v>0.58450000000000002</v>
      </c>
      <c r="F22" s="18">
        <f>E22</f>
        <v>0.58450000000000002</v>
      </c>
      <c r="G22" s="15" t="s">
        <v>14</v>
      </c>
      <c r="H22" s="18" cm="1">
        <f t="array" ref="H22">Common_Equations.Common_ConvertN2OToCO2e(E22,_xlfn.XLOOKUP("N2O", Table_GWPData[Gas],Table_GWPData[CO2-e factor]))</f>
        <v>154.89250000000001</v>
      </c>
      <c r="I22" s="18" cm="1">
        <f t="array" ref="I22">Common_Equations.Common_ConvertN2OToCO2e(F22,_xlfn.XLOOKUP("N2O", Table_GWPData[Gas],Table_GWPData[CO2-e factor]))</f>
        <v>154.89250000000001</v>
      </c>
      <c r="J22" s="15" t="s">
        <v>7</v>
      </c>
      <c r="K22" s="8"/>
    </row>
    <row r="23" spans="1:11" ht="20.100000000000001" customHeight="1" x14ac:dyDescent="0.25">
      <c r="A23" s="5" t="str">
        <f>HYPERLINK("#'4.2.1.7-8 Soil leach runoff'!A1", "4.2.1.7-8 Soil leach &amp; runoff")</f>
        <v>4.2.1.7-8 Soil leach &amp; runoff</v>
      </c>
      <c r="C23" s="8"/>
      <c r="D23" s="1" t="s">
        <v>167</v>
      </c>
      <c r="E23" s="18" cm="1">
        <f t="array" ref="E23">VEERG_8_2_1_1__1_FuelCombustionStationary_Result_CO2</f>
        <v>29.070800000000002</v>
      </c>
      <c r="F23" s="18">
        <f>E23</f>
        <v>29.070800000000002</v>
      </c>
      <c r="G23" s="15" t="s">
        <v>145</v>
      </c>
      <c r="H23" s="18">
        <f>E23</f>
        <v>29.070800000000002</v>
      </c>
      <c r="I23" s="18">
        <f>F23</f>
        <v>29.070800000000002</v>
      </c>
      <c r="J23" s="15" t="s">
        <v>7</v>
      </c>
      <c r="K23" s="8"/>
    </row>
    <row r="24" spans="1:11" ht="20.100000000000001" customHeight="1" x14ac:dyDescent="0.25">
      <c r="A24" s="5" t="str">
        <f>HYPERLINK("#'5.1.1.1-2 Inorganic fert N2O'!A1", "5.1.1.1-2 Inorganic fert N2O")</f>
        <v>5.1.1.1-2 Inorganic fert N2O</v>
      </c>
      <c r="C24" s="8"/>
      <c r="D24" s="1" t="s">
        <v>168</v>
      </c>
      <c r="E24" s="18" cm="1">
        <f t="array" ref="E24">VEERG_8_2_1_1__1_FuelCombustionStationary_Result_CH4</f>
        <v>7.2400000000000006E-2</v>
      </c>
      <c r="F24" s="18">
        <f t="shared" ref="F24:F27" si="0">E24</f>
        <v>7.2400000000000006E-2</v>
      </c>
      <c r="G24" s="15" t="s">
        <v>6</v>
      </c>
      <c r="H24" s="18" cm="1">
        <f t="array" ref="H24">Common_Equations.Common_ConvertCH4ToCO2e(E24,_xlfn.XLOOKUP("CH4", Table_GWPData[Gas],Table_GWPData[CO2-e factor]))</f>
        <v>2.0272000000000001</v>
      </c>
      <c r="I24" s="18" cm="1">
        <f t="array" ref="I24">Common_Equations.Common_ConvertCH4ToCO2e(F24,_xlfn.XLOOKUP("CH4", Table_GWPData[Gas],Table_GWPData[CO2-e factor]))</f>
        <v>2.0272000000000001</v>
      </c>
      <c r="J24" s="15" t="s">
        <v>7</v>
      </c>
      <c r="K24" s="8"/>
    </row>
    <row r="25" spans="1:11" ht="20.100000000000001" customHeight="1" x14ac:dyDescent="0.25">
      <c r="A25" s="5" t="str">
        <f>HYPERLINK("#'5.1.1.3-4 Inorganic fert CO2'!A1", "5.1.1.3-4 Inorganic fert CO2")</f>
        <v>5.1.1.3-4 Inorganic fert CO2</v>
      </c>
      <c r="C25" s="8"/>
      <c r="D25" s="1" t="s">
        <v>169</v>
      </c>
      <c r="E25" s="18" cm="1">
        <f t="array" ref="E25">VEERG_8_2_1_1__1_FuelCombustionStationary_Result_N2O</f>
        <v>7.1400000000000005E-2</v>
      </c>
      <c r="F25" s="18">
        <f t="shared" si="0"/>
        <v>7.1400000000000005E-2</v>
      </c>
      <c r="G25" s="15" t="s">
        <v>14</v>
      </c>
      <c r="H25" s="18" cm="1">
        <f t="array" ref="H25">Common_Equations.Common_ConvertN2OToCO2e(E25,_xlfn.XLOOKUP("N2O", Table_GWPData[Gas],Table_GWPData[CO2-e factor]))</f>
        <v>18.921000000000003</v>
      </c>
      <c r="I25" s="18" cm="1">
        <f t="array" ref="I25">Common_Equations.Common_ConvertN2OToCO2e(F25,_xlfn.XLOOKUP("N2O", Table_GWPData[Gas],Table_GWPData[CO2-e factor]))</f>
        <v>18.921000000000003</v>
      </c>
      <c r="J25" s="15" t="s">
        <v>7</v>
      </c>
      <c r="K25" s="8"/>
    </row>
    <row r="26" spans="1:11" ht="20.100000000000001" customHeight="1" x14ac:dyDescent="0.25">
      <c r="A26" s="5" t="str">
        <f>HYPERLINK("#'5.2.1.1-2 Organic Fert N2O'!A1", "5.2.1.1-2 Organic fert N2O")</f>
        <v>5.2.1.1-2 Organic fert N2O</v>
      </c>
      <c r="C26" s="8"/>
      <c r="D26" s="1" t="s">
        <v>170</v>
      </c>
      <c r="E26" s="18" cm="1">
        <f t="array" ref="E26">VEERG_14_1_1__1_LocationBasedScopeElectricityEmissions_Result_Method1</f>
        <v>16.8</v>
      </c>
      <c r="F26" s="18">
        <f t="shared" si="0"/>
        <v>16.8</v>
      </c>
      <c r="G26" s="15" t="s">
        <v>7</v>
      </c>
      <c r="H26" s="18">
        <f>E26</f>
        <v>16.8</v>
      </c>
      <c r="I26" s="18">
        <f>F26</f>
        <v>16.8</v>
      </c>
      <c r="J26" s="15" t="s">
        <v>7</v>
      </c>
      <c r="K26" s="8"/>
    </row>
    <row r="27" spans="1:11" ht="20.100000000000001" customHeight="1" x14ac:dyDescent="0.25">
      <c r="A27" s="5" t="str">
        <f>HYPERLINK("#'5.3.1.1-2 Lime CO2'!A1", "5.3.1.1-2 Lime CO2")</f>
        <v>5.3.1.1-2 Lime CO2</v>
      </c>
      <c r="C27" s="8"/>
      <c r="D27" s="1" t="s">
        <v>171</v>
      </c>
      <c r="E27" s="18" cm="1">
        <f t="array" ref="E27">VEERG_14_1_2__1_MarketBasedScopeElectricityEmissionsVariation_Result_Method1</f>
        <v>13.77</v>
      </c>
      <c r="F27" s="18">
        <f t="shared" si="0"/>
        <v>13.77</v>
      </c>
      <c r="G27" s="15" t="s">
        <v>7</v>
      </c>
      <c r="H27" s="18">
        <f>E27</f>
        <v>13.77</v>
      </c>
      <c r="I27" s="18">
        <f>F27</f>
        <v>13.77</v>
      </c>
      <c r="J27" s="15" t="s">
        <v>7</v>
      </c>
      <c r="K27" s="8"/>
    </row>
    <row r="28" spans="1:11" ht="20.100000000000001" customHeight="1" x14ac:dyDescent="0.3">
      <c r="A28" s="5" t="str">
        <f>HYPERLINK("#'5.4.1.1-4 Atmos deposition'!A1", "5.4.1.1-4 Atmos. deposition")</f>
        <v>5.4.1.1-4 Atmos. deposition</v>
      </c>
      <c r="C28" s="8"/>
      <c r="D28" s="14" t="s">
        <v>4</v>
      </c>
      <c r="E28" s="9"/>
      <c r="F28" s="9"/>
      <c r="G28" s="14"/>
      <c r="H28" s="19">
        <f ca="1">SUM(H7:H27)</f>
        <v>2163.8869728956465</v>
      </c>
      <c r="I28" s="19">
        <f ca="1">SUM(I7:I27)</f>
        <v>2159.2842692546856</v>
      </c>
      <c r="J28" s="15" t="s">
        <v>7</v>
      </c>
      <c r="K28" s="8"/>
    </row>
    <row r="29" spans="1:11" ht="20.100000000000001" customHeight="1" x14ac:dyDescent="0.3">
      <c r="A29" s="5" t="str">
        <f>HYPERLINK("#'5.5.1.1-2 Leaching and runoff'!A1", "5.5.1.1-2 Leaching &amp; runoff")</f>
        <v>5.5.1.1-2 Leaching &amp; runoff</v>
      </c>
      <c r="C29" s="8"/>
      <c r="D29" s="1"/>
      <c r="E29" s="1"/>
      <c r="F29" s="1"/>
      <c r="G29" s="1"/>
      <c r="H29" s="13"/>
      <c r="I29" s="8"/>
      <c r="J29" s="8"/>
      <c r="K29" s="8"/>
    </row>
    <row r="30" spans="1:11" ht="20.100000000000001" customHeight="1" x14ac:dyDescent="0.3">
      <c r="A30" s="5" t="str">
        <f>HYPERLINK("#'6.2.1.1-2 Pasture residue N2O'!A1", "6.2.1.1-2 Pasture residue N2O")</f>
        <v>6.2.1.1-2 Pasture residue N2O</v>
      </c>
      <c r="C30" s="8"/>
      <c r="D30" s="1"/>
      <c r="E30" s="1"/>
      <c r="F30" s="1"/>
      <c r="G30" s="1"/>
      <c r="H30" s="13"/>
      <c r="I30" s="8"/>
      <c r="J30" s="8"/>
      <c r="K30" s="8"/>
    </row>
    <row r="31" spans="1:11" ht="20.100000000000001" customHeight="1" x14ac:dyDescent="0.3">
      <c r="A31" s="5" t="str">
        <f>HYPERLINK("#'6.3.1.1-2 Leach runoff pasture'!A1", "6.3.1.1-2 Leach &amp; runoff (pasture)")</f>
        <v>6.3.1.1-2 Leach &amp; runoff (pasture)</v>
      </c>
      <c r="C31" s="8"/>
      <c r="D31" s="1"/>
      <c r="E31" s="1"/>
      <c r="F31" s="1"/>
      <c r="G31" s="1"/>
      <c r="H31" s="13"/>
      <c r="I31" s="8"/>
      <c r="J31" s="8"/>
      <c r="K31" s="8"/>
    </row>
    <row r="32" spans="1:11" ht="20.100000000000001" customHeight="1" x14ac:dyDescent="0.3">
      <c r="A32" s="5" t="str">
        <f>HYPERLINK("#'8.1.1.1-2 Transport fuel'!A1", "8.1.1.1-2 Transport fuel")</f>
        <v>8.1.1.1-2 Transport fuel</v>
      </c>
      <c r="C32" s="8"/>
      <c r="D32" s="2" t="s">
        <v>124</v>
      </c>
      <c r="E32" s="1"/>
      <c r="F32" s="1"/>
      <c r="G32" s="1"/>
      <c r="H32" s="13"/>
      <c r="I32" s="8"/>
      <c r="J32" s="8"/>
      <c r="K32" s="8"/>
    </row>
    <row r="33" spans="1:11" ht="20.100000000000001" customHeight="1" x14ac:dyDescent="0.3">
      <c r="A33" s="5" t="str">
        <f>HYPERLINK("#'8.2.1.1-2 Stationary fuel'!A1", "8.2.1.1-2 Stationary fuel")</f>
        <v>8.2.1.1-2 Stationary fuel</v>
      </c>
      <c r="C33" s="8"/>
      <c r="D33" s="88" t="str" cm="1">
        <f t="array" ref="D33">"There are " &amp; Common_InputFunctions.getOverlappingReportingCycles(X_Cell_Enterprise_ProductionTimeframeStart,X_Cell_Enterprise_ProductionTimeframeEnd,X_Cell_Site_StartDate) &amp; " emissions calculation periods that need to be completed before total product emissions can be determined."</f>
        <v>There are 3 emissions calculation periods that need to be completed before total product emissions can be determined.</v>
      </c>
      <c r="E33" s="1"/>
      <c r="F33" s="1"/>
      <c r="G33" s="1"/>
      <c r="H33" s="13"/>
      <c r="I33" s="8"/>
      <c r="J33" s="8"/>
      <c r="K33" s="8"/>
    </row>
    <row r="34" spans="1:11" ht="20.100000000000001" customHeight="1" x14ac:dyDescent="0.3">
      <c r="A34" s="5" t="str">
        <f>HYPERLINK("#'14.1.1-2 Purchased electricity'!A1", "14.1.1-2 Purchased electricity")</f>
        <v>14.1.1-2 Purchased electricity</v>
      </c>
      <c r="C34" s="8"/>
      <c r="D34" s="1" t="s">
        <v>126</v>
      </c>
      <c r="E34" s="1"/>
      <c r="F34" s="1"/>
      <c r="G34" s="1"/>
      <c r="H34" s="13"/>
      <c r="I34" s="8"/>
      <c r="J34" s="8"/>
      <c r="K34" s="8"/>
    </row>
    <row r="35" spans="1:11" ht="20.100000000000001" customHeight="1" x14ac:dyDescent="0.3">
      <c r="C35" s="8"/>
      <c r="D35" s="1"/>
      <c r="E35" s="1"/>
      <c r="F35" s="1"/>
      <c r="G35" s="1"/>
      <c r="H35" s="13"/>
      <c r="I35" s="8"/>
      <c r="J35" s="8"/>
      <c r="K35" s="8"/>
    </row>
    <row r="36" spans="1:11" ht="20.100000000000001" customHeight="1" x14ac:dyDescent="0.3">
      <c r="C36" s="8"/>
      <c r="D36" s="20" t="s">
        <v>125</v>
      </c>
      <c r="E36" s="20" t="s">
        <v>10</v>
      </c>
      <c r="F36" s="20" t="s">
        <v>11</v>
      </c>
      <c r="G36" s="1"/>
      <c r="H36" s="13"/>
      <c r="I36" s="8"/>
      <c r="J36" s="8"/>
      <c r="K36" s="8"/>
    </row>
    <row r="37" spans="1:11" ht="20.100000000000001" customHeight="1" x14ac:dyDescent="0.3">
      <c r="A37" s="251" t="s">
        <v>1</v>
      </c>
      <c r="C37" s="8"/>
      <c r="D37" s="1" t="str" cm="1">
        <f t="array" ref="D37:D39">Common_InputFunctions.getOverlappingReportingPeriods(X_Cell_Enterprise_ProductionTimeframeStart,X_Cell_Enterprise_ProductionTimeframeEnd,X_Cell_Site_StartDate)</f>
        <v>01 Jan 2023 to 31 Dec 2023</v>
      </c>
      <c r="E37" s="86" t="s">
        <v>879</v>
      </c>
      <c r="F37" s="86" t="s">
        <v>172</v>
      </c>
      <c r="G37" s="15" t="s">
        <v>7</v>
      </c>
      <c r="H37" s="13"/>
      <c r="I37" s="8"/>
      <c r="J37" s="8"/>
      <c r="K37" s="8"/>
    </row>
    <row r="38" spans="1:11" ht="20.100000000000001" customHeight="1" x14ac:dyDescent="0.3">
      <c r="A38" s="5" t="str">
        <f>HYPERLINK("#'Constants - Pasture Beef'!A1", "Constants - Pasture Beef")</f>
        <v>Constants - Pasture Beef</v>
      </c>
      <c r="C38" s="8"/>
      <c r="D38" s="1" t="str">
        <v>01 Jan 2024 to 31 Dec 2024</v>
      </c>
      <c r="E38" s="86" t="s">
        <v>880</v>
      </c>
      <c r="F38" s="86">
        <v>2163.8869730000001</v>
      </c>
      <c r="G38" s="15" t="s">
        <v>7</v>
      </c>
      <c r="H38" s="13"/>
      <c r="I38" s="8"/>
      <c r="J38" s="8"/>
      <c r="K38" s="8"/>
    </row>
    <row r="39" spans="1:11" ht="20.100000000000001" customHeight="1" x14ac:dyDescent="0.3">
      <c r="A39" s="5" t="str">
        <f>HYPERLINK("#'Constants - Ag Residue'!A1", "Constants - Ag residue")</f>
        <v>Constants - Ag residue</v>
      </c>
      <c r="C39" s="8"/>
      <c r="D39" s="1" t="str">
        <v>01 Jan 2025 to 31 Dec 2025 (This reporting cycle)</v>
      </c>
      <c r="E39" s="86" t="s">
        <v>881</v>
      </c>
      <c r="F39" s="86" t="s">
        <v>172</v>
      </c>
      <c r="G39" s="15" t="s">
        <v>7</v>
      </c>
      <c r="H39" s="13"/>
      <c r="I39" s="8"/>
      <c r="J39" s="8"/>
      <c r="K39" s="8"/>
    </row>
    <row r="40" spans="1:11" ht="20.100000000000001" customHeight="1" x14ac:dyDescent="0.3">
      <c r="A40" s="5" t="str">
        <f>HYPERLINK("#'Constants - Common Livestock'!A1", "Constants - Common Livestock")</f>
        <v>Constants - Common Livestock</v>
      </c>
      <c r="C40" s="8"/>
      <c r="D40" s="1"/>
      <c r="E40" s="86"/>
      <c r="F40" s="86"/>
      <c r="G40" s="15" t="s">
        <v>7</v>
      </c>
      <c r="H40" s="13"/>
      <c r="I40" s="8"/>
      <c r="J40" s="8"/>
      <c r="K40" s="8"/>
    </row>
    <row r="41" spans="1:11" ht="20.100000000000001" customHeight="1" x14ac:dyDescent="0.3">
      <c r="A41" s="5" t="str">
        <f>HYPERLINK("#'Constants - Electricity'!A1", "Constants - Electricity")</f>
        <v>Constants - Electricity</v>
      </c>
      <c r="C41" s="8"/>
      <c r="D41" s="88"/>
      <c r="E41" s="86"/>
      <c r="F41" s="86"/>
      <c r="G41" s="15" t="s">
        <v>7</v>
      </c>
      <c r="H41" s="13"/>
      <c r="I41" s="8"/>
      <c r="J41" s="8"/>
      <c r="K41" s="8"/>
    </row>
    <row r="42" spans="1:11" ht="20.100000000000001" customHeight="1" x14ac:dyDescent="0.3">
      <c r="A42" s="5" t="str">
        <f>HYPERLINK("#'Constants - Fertiliser'!A1", "Constants - Fertiliser")</f>
        <v>Constants - Fertiliser</v>
      </c>
      <c r="C42" s="8"/>
      <c r="D42" s="14" t="s">
        <v>146</v>
      </c>
      <c r="E42" s="19">
        <f>SUM(E37:E41)</f>
        <v>0</v>
      </c>
      <c r="F42" s="19">
        <f>SUM(F37:F41)</f>
        <v>2163.8869730000001</v>
      </c>
      <c r="G42" s="1"/>
      <c r="H42" s="1"/>
      <c r="I42" s="1"/>
      <c r="J42" s="8"/>
      <c r="K42" s="8"/>
    </row>
    <row r="43" spans="1:11" ht="20.100000000000001" customHeight="1" x14ac:dyDescent="0.25">
      <c r="A43" s="5" t="str">
        <f>HYPERLINK("#'Constants - Fuel'!A1", "Constants - Fuel")</f>
        <v>Constants - Fuel</v>
      </c>
      <c r="C43" s="8"/>
      <c r="D43" s="1"/>
      <c r="E43" s="1"/>
      <c r="F43" s="1"/>
      <c r="G43" s="1"/>
      <c r="H43" s="1"/>
      <c r="I43" s="1"/>
      <c r="J43" s="8"/>
      <c r="K43" s="8"/>
    </row>
    <row r="44" spans="1:11" ht="20.100000000000001" customHeight="1" x14ac:dyDescent="0.25">
      <c r="A44" s="5" t="str">
        <f>HYPERLINK("#'Constants - Common'!A1", "Constants - Common")</f>
        <v>Constants - Common</v>
      </c>
      <c r="C44" s="8"/>
      <c r="D44" s="1"/>
      <c r="E44" s="1"/>
      <c r="F44" s="1"/>
      <c r="G44" s="1"/>
      <c r="H44" s="1"/>
      <c r="I44" s="1"/>
      <c r="J44" s="8"/>
      <c r="K44" s="8"/>
    </row>
    <row r="45" spans="1:11" ht="20.100000000000001" customHeight="1" x14ac:dyDescent="0.25">
      <c r="A45" s="5" t="str">
        <f>HYPERLINK("#'Acknowledgements'!A1", "Acknowledgements")</f>
        <v>Acknowledgements</v>
      </c>
      <c r="C45" s="8"/>
      <c r="D45" s="2" t="s">
        <v>143</v>
      </c>
      <c r="E45" s="1"/>
      <c r="F45" s="1"/>
      <c r="G45" s="1"/>
      <c r="H45" s="1"/>
      <c r="I45" s="1"/>
      <c r="J45" s="8"/>
      <c r="K45" s="8"/>
    </row>
    <row r="46" spans="1:11" ht="20.100000000000001" customHeight="1" x14ac:dyDescent="0.25">
      <c r="A46" s="5" t="str">
        <f>HYPERLINK("#'Overview'!A1", "Overview")</f>
        <v>Overview</v>
      </c>
      <c r="C46" s="8"/>
      <c r="D46" s="1"/>
      <c r="E46" s="1"/>
      <c r="F46" s="1"/>
      <c r="G46" s="1"/>
      <c r="H46" s="1"/>
      <c r="I46" s="1"/>
      <c r="J46" s="1"/>
      <c r="K46" s="8"/>
    </row>
    <row r="47" spans="1:11" ht="20.100000000000001" customHeight="1" x14ac:dyDescent="0.25">
      <c r="C47" s="8"/>
      <c r="D47" s="20" t="s">
        <v>125</v>
      </c>
      <c r="E47" s="20" t="s">
        <v>144</v>
      </c>
      <c r="F47" s="1"/>
      <c r="G47" s="1"/>
      <c r="H47" s="1"/>
      <c r="I47" s="1"/>
      <c r="J47" s="1"/>
      <c r="K47" s="8"/>
    </row>
    <row r="48" spans="1:11" ht="20.100000000000001" customHeight="1" x14ac:dyDescent="0.25">
      <c r="C48" s="8"/>
      <c r="D48" s="1" t="str" cm="1">
        <f t="array" ref="D48:D50">Common_InputFunctions.getOverlappingReportingPeriods(X_Cell_Enterprise_ProductionTimeframeStart,X_Cell_Enterprise_ProductionTimeframeEnd,X_Cell_Site_StartDate)</f>
        <v>01 Jan 2023 to 31 Dec 2023</v>
      </c>
      <c r="E48" s="86" t="s">
        <v>879</v>
      </c>
      <c r="F48" s="15" t="s">
        <v>145</v>
      </c>
      <c r="G48" s="1"/>
      <c r="H48" s="1"/>
      <c r="I48" s="1"/>
      <c r="J48" s="1"/>
      <c r="K48" s="8"/>
    </row>
    <row r="49" spans="3:11" ht="20.100000000000001" customHeight="1" x14ac:dyDescent="0.25">
      <c r="C49" s="8"/>
      <c r="D49" s="1" t="str">
        <v>01 Jan 2024 to 31 Dec 2024</v>
      </c>
      <c r="E49" s="86" t="s">
        <v>880</v>
      </c>
      <c r="F49" s="15" t="s">
        <v>145</v>
      </c>
      <c r="G49" s="1"/>
      <c r="H49" s="1"/>
      <c r="I49" s="1"/>
      <c r="J49" s="1"/>
      <c r="K49" s="8"/>
    </row>
    <row r="50" spans="3:11" ht="20.100000000000001" customHeight="1" x14ac:dyDescent="0.25">
      <c r="C50" s="8"/>
      <c r="D50" s="1" t="str">
        <v>01 Jan 2025 to 31 Dec 2025 (This reporting cycle)</v>
      </c>
      <c r="E50" s="86" t="s">
        <v>881</v>
      </c>
      <c r="F50" s="15" t="s">
        <v>145</v>
      </c>
      <c r="G50" s="1"/>
      <c r="H50" s="1"/>
      <c r="I50" s="1"/>
      <c r="J50" s="1"/>
      <c r="K50" s="8"/>
    </row>
    <row r="51" spans="3:11" ht="20.100000000000001" customHeight="1" x14ac:dyDescent="0.25">
      <c r="C51" s="8"/>
      <c r="D51" s="1"/>
      <c r="E51" s="86"/>
      <c r="F51" s="15" t="s">
        <v>145</v>
      </c>
      <c r="G51" s="1"/>
      <c r="H51" s="1"/>
      <c r="I51" s="1"/>
      <c r="J51" s="1"/>
      <c r="K51" s="8"/>
    </row>
    <row r="52" spans="3:11" ht="20.100000000000001" customHeight="1" x14ac:dyDescent="0.25">
      <c r="C52" s="8"/>
      <c r="D52" s="1"/>
      <c r="E52" s="86"/>
      <c r="F52" s="15" t="s">
        <v>145</v>
      </c>
      <c r="G52" s="1"/>
      <c r="H52" s="1"/>
      <c r="I52" s="8"/>
      <c r="J52" s="8"/>
      <c r="K52" s="8"/>
    </row>
    <row r="53" spans="3:11" ht="20.100000000000001" customHeight="1" x14ac:dyDescent="0.3">
      <c r="C53" s="8"/>
      <c r="D53" s="14" t="s">
        <v>147</v>
      </c>
      <c r="E53" s="19">
        <f>SUM(E48:E51)</f>
        <v>0</v>
      </c>
      <c r="F53" s="1"/>
      <c r="G53" s="1"/>
      <c r="H53" s="1"/>
      <c r="I53" s="1"/>
      <c r="J53" s="1"/>
      <c r="K53" s="8"/>
    </row>
    <row r="54" spans="3:11" ht="20.100000000000001" customHeight="1" x14ac:dyDescent="0.25">
      <c r="C54" s="8"/>
      <c r="D54" s="1"/>
      <c r="E54" s="1"/>
      <c r="F54" s="1"/>
      <c r="G54" s="1"/>
      <c r="H54" s="1"/>
      <c r="I54" s="1"/>
      <c r="J54" s="1"/>
      <c r="K54" s="8"/>
    </row>
    <row r="55" spans="3:11" ht="20.100000000000001" customHeight="1" x14ac:dyDescent="0.25">
      <c r="C55" s="8"/>
      <c r="D55" s="1"/>
      <c r="E55" s="1"/>
      <c r="F55" s="1"/>
      <c r="G55" s="1"/>
      <c r="H55" s="1"/>
      <c r="I55" s="1"/>
      <c r="J55" s="1"/>
      <c r="K55" s="8"/>
    </row>
    <row r="56" spans="3:11" ht="20.100000000000001" customHeight="1" x14ac:dyDescent="0.25">
      <c r="C56" s="8"/>
      <c r="D56" s="2" t="s">
        <v>128</v>
      </c>
      <c r="E56" s="1"/>
      <c r="F56" s="1"/>
      <c r="G56" s="1"/>
      <c r="H56" s="1"/>
      <c r="I56" s="1"/>
      <c r="J56" s="8"/>
      <c r="K56" s="8"/>
    </row>
    <row r="57" spans="3:11" ht="20.100000000000001" customHeight="1" x14ac:dyDescent="0.25">
      <c r="C57" s="8"/>
      <c r="D57" s="1"/>
      <c r="E57" s="1"/>
      <c r="F57" s="1"/>
      <c r="G57" s="1"/>
      <c r="H57" s="1"/>
      <c r="I57" s="1"/>
      <c r="J57" s="1"/>
      <c r="K57" s="8"/>
    </row>
    <row r="58" spans="3:11" ht="20.100000000000001" customHeight="1" x14ac:dyDescent="0.25">
      <c r="C58" s="8"/>
      <c r="D58" s="20"/>
      <c r="E58" s="20" t="s">
        <v>149</v>
      </c>
      <c r="F58" s="20" t="s">
        <v>150</v>
      </c>
      <c r="G58" s="1"/>
      <c r="H58" s="1"/>
      <c r="I58" s="1"/>
      <c r="J58" s="1"/>
      <c r="K58" s="8"/>
    </row>
    <row r="59" spans="3:11" ht="20.100000000000001" customHeight="1" x14ac:dyDescent="0.3">
      <c r="C59" s="8"/>
      <c r="D59" s="89" t="s">
        <v>148</v>
      </c>
      <c r="E59" s="87">
        <f>E42-E53</f>
        <v>0</v>
      </c>
      <c r="F59" s="87">
        <f>F42-E53</f>
        <v>2163.8869730000001</v>
      </c>
      <c r="G59" s="1"/>
      <c r="H59" s="1"/>
      <c r="I59" s="1"/>
      <c r="J59" s="1"/>
      <c r="K59" s="8"/>
    </row>
    <row r="60" spans="3:11" ht="20.100000000000001" customHeight="1" x14ac:dyDescent="0.25">
      <c r="C60" s="8"/>
      <c r="D60" s="1"/>
      <c r="E60" s="1"/>
      <c r="F60" s="1"/>
      <c r="G60" s="1"/>
      <c r="H60" s="1"/>
      <c r="I60" s="1"/>
      <c r="J60" s="1"/>
      <c r="K60" s="8"/>
    </row>
    <row r="61" spans="3:11" ht="20.100000000000001" customHeight="1" x14ac:dyDescent="0.25">
      <c r="C61" s="8"/>
      <c r="D61" s="20" t="s">
        <v>153</v>
      </c>
      <c r="E61" s="20" t="s">
        <v>137</v>
      </c>
      <c r="F61" s="20" t="s">
        <v>129</v>
      </c>
      <c r="G61" s="20" t="s">
        <v>131</v>
      </c>
      <c r="H61" s="20" t="s">
        <v>135</v>
      </c>
      <c r="I61" s="20" t="s">
        <v>136</v>
      </c>
      <c r="J61" s="20" t="s">
        <v>130</v>
      </c>
      <c r="K61" s="8"/>
    </row>
    <row r="62" spans="3:11" ht="20.100000000000001" customHeight="1" x14ac:dyDescent="0.25">
      <c r="C62" s="8"/>
      <c r="D62" s="1" t="s">
        <v>24</v>
      </c>
      <c r="E62" s="1" t="s">
        <v>138</v>
      </c>
      <c r="F62" s="18" t="str">
        <f>'Input - Enterprise'!E22</f>
        <v>=SUM(Table_Input_LivestockSales348[Total liveweight sold])*10^-3</v>
      </c>
      <c r="G62" s="18" t="e">
        <f>F62/(F62+F63)</f>
        <v>#VALUE!</v>
      </c>
      <c r="H62" s="18" t="e">
        <f>($E$42/F62)*G62</f>
        <v>#VALUE!</v>
      </c>
      <c r="I62" s="18" t="e">
        <f>($F$42/F62)*G62</f>
        <v>#VALUE!</v>
      </c>
      <c r="J62" s="15" t="s">
        <v>133</v>
      </c>
      <c r="K62" s="8"/>
    </row>
    <row r="63" spans="3:11" ht="20.100000000000001" customHeight="1" x14ac:dyDescent="0.25">
      <c r="C63" s="8"/>
      <c r="D63" s="1" t="s">
        <v>132</v>
      </c>
      <c r="E63" s="1" t="s">
        <v>139</v>
      </c>
      <c r="F63" s="18" t="e">
        <f>'Input - Enterprise'!E25*'Input - Enterprise'!E26</f>
        <v>#VALUE!</v>
      </c>
      <c r="G63" s="18" t="e">
        <f>F63/(F62+F63)</f>
        <v>#VALUE!</v>
      </c>
      <c r="H63" s="18" t="e">
        <f>($E$42/F63)*G63</f>
        <v>#VALUE!</v>
      </c>
      <c r="I63" s="18" t="e">
        <f>($F$42/F63)*G63</f>
        <v>#VALUE!</v>
      </c>
      <c r="J63" s="15" t="s">
        <v>134</v>
      </c>
      <c r="K63" s="8"/>
    </row>
    <row r="64" spans="3:11" ht="20.100000000000001" customHeight="1" x14ac:dyDescent="0.25">
      <c r="C64" s="8"/>
      <c r="D64" s="1" t="s">
        <v>140</v>
      </c>
      <c r="E64" s="1" t="s">
        <v>142</v>
      </c>
      <c r="F64" s="18" t="e">
        <f>'Input - Enterprise'!E25*'Input - Enterprise'!E27</f>
        <v>#VALUE!</v>
      </c>
      <c r="G64" s="18" t="s">
        <v>141</v>
      </c>
      <c r="H64" s="18" t="s">
        <v>141</v>
      </c>
      <c r="I64" s="18" t="s">
        <v>141</v>
      </c>
      <c r="J64" s="8"/>
      <c r="K64" s="8"/>
    </row>
    <row r="65" spans="3:11" ht="20.100000000000001" customHeight="1" x14ac:dyDescent="0.25">
      <c r="C65" s="8"/>
      <c r="D65" s="1"/>
      <c r="E65" s="1"/>
      <c r="F65" s="18"/>
      <c r="G65" s="18"/>
      <c r="H65" s="18"/>
      <c r="I65" s="18"/>
      <c r="J65" s="17"/>
      <c r="K65" s="8"/>
    </row>
    <row r="66" spans="3:11" ht="20.100000000000001" customHeight="1" x14ac:dyDescent="0.25">
      <c r="C66" s="8"/>
      <c r="D66" s="1" t="s">
        <v>151</v>
      </c>
      <c r="E66" s="1" t="s">
        <v>141</v>
      </c>
      <c r="F66" s="18" t="str">
        <f>'Input - Enterprise'!E23</f>
        <v>=SUM(Enterprise_PastureBeef_InputFunctions.multiplyCorrespondingCells('Input - Pasture Beef'!X_Table_PastureBeef_Head_Method1, 'Input - Pasture Beef'!X_Table_PastureBeef_Duration_Method1, 'Input - Pasture Beef'!X_Table_PastureBeef_LiveweightGain_Method1))*10^-3</v>
      </c>
      <c r="G66" s="18" t="s">
        <v>141</v>
      </c>
      <c r="H66" s="18" t="e">
        <f>E59/F66</f>
        <v>#VALUE!</v>
      </c>
      <c r="I66" s="18" t="s">
        <v>141</v>
      </c>
      <c r="J66" s="15" t="s">
        <v>154</v>
      </c>
      <c r="K66" s="8"/>
    </row>
    <row r="67" spans="3:11" ht="20.100000000000001" customHeight="1" x14ac:dyDescent="0.25">
      <c r="C67" s="8"/>
      <c r="D67" s="1" t="s">
        <v>152</v>
      </c>
      <c r="E67" s="1" t="s">
        <v>141</v>
      </c>
      <c r="F67" s="18" t="str">
        <f>'Input - Enterprise'!E24</f>
        <v>=SUM(Enterprise_PastureBeef_InputFunctions.multiplyCorrespondingCells('Input - Pasture Beef'!X_Table_PastureBeef_Head_Method2, 'Input - Pasture Beef'!X_Table_PastureBeef_Duration_Method2, 'Input - Pasture Beef'!X_Table_PastureBeef_LiveweightGain_Method2))*10^-3</v>
      </c>
      <c r="G67" s="18" t="s">
        <v>141</v>
      </c>
      <c r="H67" s="18" t="s">
        <v>141</v>
      </c>
      <c r="I67" s="18" t="e">
        <f>F59/F67</f>
        <v>#VALUE!</v>
      </c>
      <c r="J67" s="15" t="s">
        <v>154</v>
      </c>
      <c r="K67" s="8"/>
    </row>
    <row r="68" spans="3:11" ht="20.100000000000001" customHeight="1" x14ac:dyDescent="0.25">
      <c r="C68" s="8"/>
      <c r="D68" s="1"/>
      <c r="E68" s="1"/>
      <c r="F68" s="1"/>
      <c r="G68" s="1"/>
      <c r="H68" s="17"/>
      <c r="I68" s="17"/>
      <c r="J68" s="17"/>
      <c r="K68" s="8"/>
    </row>
    <row r="69" spans="3:11" ht="20.100000000000001" customHeight="1" x14ac:dyDescent="0.25">
      <c r="C69" s="8"/>
      <c r="D69" s="1"/>
      <c r="E69" s="1"/>
      <c r="F69" s="1"/>
      <c r="G69" s="1"/>
      <c r="H69" s="8"/>
      <c r="I69" s="8"/>
      <c r="J69" s="8"/>
      <c r="K69" s="8"/>
    </row>
    <row r="70" spans="3:11" ht="20.100000000000001" customHeight="1" x14ac:dyDescent="0.25">
      <c r="C70" s="8"/>
      <c r="D70" s="1"/>
      <c r="E70" s="1"/>
      <c r="F70" s="1"/>
      <c r="G70" s="1"/>
      <c r="H70" s="8"/>
      <c r="I70" s="8"/>
      <c r="J70" s="8"/>
      <c r="K70" s="8"/>
    </row>
    <row r="71" spans="3:11" ht="20.100000000000001" customHeight="1" x14ac:dyDescent="0.25">
      <c r="C71" s="8"/>
      <c r="D71" s="1"/>
      <c r="E71" s="1"/>
      <c r="F71" s="1"/>
      <c r="G71" s="1"/>
      <c r="H71" s="8"/>
      <c r="I71" s="8"/>
      <c r="J71" s="8"/>
      <c r="K71" s="8"/>
    </row>
    <row r="72" spans="3:11" ht="20.100000000000001" customHeight="1" x14ac:dyDescent="0.25">
      <c r="C72" s="8"/>
      <c r="D72" s="1"/>
      <c r="E72" s="1"/>
      <c r="F72" s="1"/>
      <c r="G72" s="1"/>
      <c r="H72" s="8"/>
      <c r="I72" s="8"/>
      <c r="J72" s="8"/>
      <c r="K72" s="8"/>
    </row>
    <row r="73" spans="3:11" ht="20.100000000000001" customHeight="1" x14ac:dyDescent="0.25">
      <c r="C73" s="8"/>
      <c r="D73" s="1"/>
      <c r="E73" s="1"/>
      <c r="F73" s="1"/>
      <c r="G73" s="1"/>
      <c r="H73" s="1"/>
      <c r="I73" s="1"/>
      <c r="J73" s="1"/>
      <c r="K73" s="8"/>
    </row>
    <row r="74" spans="3:11" ht="20.100000000000001" customHeight="1" x14ac:dyDescent="0.25">
      <c r="C74" s="8"/>
      <c r="D74" s="1"/>
      <c r="E74" s="1"/>
      <c r="F74" s="1"/>
      <c r="G74" s="1"/>
      <c r="H74" s="1"/>
      <c r="I74" s="1"/>
      <c r="J74" s="1"/>
      <c r="K74" s="8"/>
    </row>
    <row r="75" spans="3:11" ht="20.100000000000001" customHeight="1" x14ac:dyDescent="0.25">
      <c r="C75" s="8"/>
      <c r="D75" s="1"/>
      <c r="E75" s="1"/>
      <c r="F75" s="1"/>
      <c r="G75" s="1"/>
      <c r="H75" s="1"/>
      <c r="I75" s="1"/>
      <c r="J75" s="1"/>
      <c r="K75" s="8"/>
    </row>
    <row r="76" spans="3:11" ht="15.75" x14ac:dyDescent="0.25">
      <c r="C76" s="8"/>
      <c r="D76" s="1"/>
      <c r="E76" s="1"/>
      <c r="F76" s="1"/>
      <c r="G76" s="1"/>
      <c r="H76" s="1"/>
      <c r="I76" s="1"/>
      <c r="J76" s="1"/>
      <c r="K76" s="8"/>
    </row>
    <row r="77" spans="3:11" ht="15.75" x14ac:dyDescent="0.25">
      <c r="C77" s="8"/>
      <c r="D77" s="1"/>
      <c r="E77" s="1"/>
      <c r="F77" s="1"/>
      <c r="G77" s="1"/>
      <c r="H77" s="1"/>
      <c r="I77" s="1"/>
      <c r="J77" s="1"/>
      <c r="K77" s="8"/>
    </row>
    <row r="78" spans="3:11" ht="15.75" x14ac:dyDescent="0.25">
      <c r="C78" s="8"/>
      <c r="D78" s="1"/>
      <c r="E78" s="1"/>
      <c r="F78" s="1"/>
      <c r="G78" s="1"/>
      <c r="H78" s="1"/>
      <c r="I78" s="1"/>
      <c r="J78" s="1"/>
      <c r="K78" s="8"/>
    </row>
    <row r="79" spans="3:11" ht="15.75" x14ac:dyDescent="0.25">
      <c r="C79" s="8"/>
      <c r="D79" s="1"/>
      <c r="E79" s="1"/>
      <c r="F79" s="1"/>
      <c r="G79" s="1"/>
      <c r="H79" s="1"/>
      <c r="I79" s="1"/>
      <c r="J79" s="1"/>
      <c r="K79" s="8"/>
    </row>
    <row r="80" spans="3:11" ht="15.75" x14ac:dyDescent="0.25">
      <c r="C80" s="8"/>
      <c r="D80" s="1"/>
      <c r="E80" s="1"/>
      <c r="F80" s="1"/>
      <c r="G80" s="1"/>
      <c r="H80" s="1"/>
      <c r="I80" s="1"/>
      <c r="J80" s="1"/>
      <c r="K80" s="8"/>
    </row>
    <row r="81" spans="3:11" ht="15.75" x14ac:dyDescent="0.25">
      <c r="C81" s="8"/>
      <c r="D81" s="1"/>
      <c r="E81" s="1"/>
      <c r="F81" s="1"/>
      <c r="G81" s="1"/>
      <c r="H81" s="1"/>
      <c r="I81" s="1"/>
      <c r="J81" s="1"/>
      <c r="K81" s="8"/>
    </row>
    <row r="82" spans="3:11" ht="15.75" x14ac:dyDescent="0.25">
      <c r="C82" s="8"/>
      <c r="D82" s="1"/>
      <c r="E82" s="1"/>
      <c r="F82" s="1"/>
      <c r="G82" s="1"/>
      <c r="H82" s="1"/>
      <c r="I82" s="1"/>
      <c r="J82" s="1"/>
      <c r="K82" s="8"/>
    </row>
    <row r="83" spans="3:11" ht="15.75" x14ac:dyDescent="0.25">
      <c r="C83" s="8"/>
      <c r="D83" s="1"/>
      <c r="E83" s="1"/>
      <c r="F83" s="1"/>
      <c r="G83" s="1"/>
      <c r="H83" s="1"/>
      <c r="I83" s="1"/>
      <c r="J83" s="1"/>
      <c r="K83" s="8"/>
    </row>
    <row r="84" spans="3:11" ht="15.75" x14ac:dyDescent="0.25">
      <c r="C84" s="8"/>
      <c r="D84" s="1"/>
      <c r="E84" s="1"/>
      <c r="F84" s="1"/>
      <c r="G84" s="1"/>
      <c r="H84" s="1"/>
      <c r="I84" s="1"/>
      <c r="J84" s="1"/>
      <c r="K84" s="8"/>
    </row>
    <row r="85" spans="3:11" ht="15.75" x14ac:dyDescent="0.25">
      <c r="C85" s="8"/>
      <c r="D85" s="1"/>
      <c r="E85" s="1"/>
      <c r="F85" s="1"/>
      <c r="G85" s="1"/>
      <c r="H85" s="1"/>
      <c r="I85" s="1"/>
      <c r="J85" s="1"/>
      <c r="K85" s="8"/>
    </row>
    <row r="86" spans="3:11" x14ac:dyDescent="0.25">
      <c r="C86" s="8"/>
      <c r="D86" s="8"/>
      <c r="E86" s="8"/>
      <c r="F86" s="8"/>
      <c r="G86" s="8"/>
      <c r="H86" s="8"/>
      <c r="I86" s="8"/>
      <c r="J86" s="8"/>
      <c r="K86" s="8"/>
    </row>
    <row r="87" spans="3:11" x14ac:dyDescent="0.25">
      <c r="C87" s="8"/>
      <c r="D87" s="8"/>
      <c r="E87" s="8"/>
      <c r="F87" s="8"/>
      <c r="G87" s="8"/>
      <c r="H87" s="8"/>
      <c r="I87" s="8"/>
      <c r="J87" s="8"/>
      <c r="K87" s="8"/>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171F5-957D-4D10-AA21-0CE17EC217CD}">
  <dimension ref="A1:J46"/>
  <sheetViews>
    <sheetView showGridLines="0" topLeftCell="A8" workbookViewId="0">
      <selection activeCell="A46" sqref="A46"/>
      <extLst>
        <ext xmlns:xlsdti="http://schemas.microsoft.com/office/spreadsheetml/2023/showDataTypeIcons" uri="{77bfe23e-c014-4d31-8a63-9c772dbf06b6}">
          <xlsdti:showDataTypeIcons visible="0"/>
        </ext>
      </extLst>
    </sheetView>
  </sheetViews>
  <sheetFormatPr defaultRowHeight="15.75" x14ac:dyDescent="0.25"/>
  <cols>
    <col min="1" max="1" width="30.7109375" customWidth="1"/>
    <col min="2" max="2" width="4.7109375" customWidth="1"/>
    <col min="3" max="3" width="4.7109375" style="1" customWidth="1"/>
    <col min="4" max="4" width="69.28515625" style="1" customWidth="1"/>
    <col min="5" max="9" width="30.7109375" style="1" customWidth="1"/>
    <col min="10" max="10" width="4.7109375" style="1" customWidth="1"/>
    <col min="11" max="11" width="30.7109375" customWidth="1"/>
  </cols>
  <sheetData>
    <row r="1" spans="1:10" ht="25.5" x14ac:dyDescent="0.35">
      <c r="A1" s="16" t="e" vm="1">
        <v>#VALUE!</v>
      </c>
      <c r="C1" s="38" t="s">
        <v>173</v>
      </c>
      <c r="D1" s="32"/>
      <c r="E1" s="32"/>
      <c r="F1" s="32"/>
      <c r="G1" s="32"/>
      <c r="H1" s="32"/>
      <c r="I1" s="32"/>
      <c r="J1" s="32"/>
    </row>
    <row r="2" spans="1:10" x14ac:dyDescent="0.25">
      <c r="C2" s="3"/>
      <c r="D2" s="3"/>
      <c r="E2" s="3"/>
      <c r="F2" s="3"/>
      <c r="G2" s="3"/>
      <c r="H2" s="3"/>
      <c r="I2" s="3"/>
      <c r="J2" s="3"/>
    </row>
    <row r="3" spans="1:10" ht="20.25" x14ac:dyDescent="0.25">
      <c r="A3" s="5" t="str">
        <f>HYPERLINK("#'Home'!A1", "Home")</f>
        <v>Home</v>
      </c>
      <c r="C3" s="39"/>
      <c r="D3" s="39"/>
      <c r="E3" s="39"/>
      <c r="F3" s="39"/>
      <c r="G3" s="39"/>
      <c r="H3" s="39"/>
      <c r="I3" s="39"/>
      <c r="J3" s="39"/>
    </row>
    <row r="4" spans="1:10" x14ac:dyDescent="0.25">
      <c r="A4" s="5" t="str">
        <f>HYPERLINK("#'Results'!A1", "Results")</f>
        <v>Results</v>
      </c>
    </row>
    <row r="5" spans="1:10" ht="23.25" x14ac:dyDescent="0.25">
      <c r="D5" s="2" t="s">
        <v>98</v>
      </c>
      <c r="E5" s="35"/>
      <c r="F5" s="35"/>
      <c r="G5" s="35"/>
    </row>
    <row r="6" spans="1:10" x14ac:dyDescent="0.25">
      <c r="D6" s="42"/>
      <c r="E6" s="35"/>
      <c r="F6" s="35"/>
      <c r="G6" s="35"/>
    </row>
    <row r="7" spans="1:10" x14ac:dyDescent="0.25">
      <c r="A7" s="7" t="s">
        <v>0</v>
      </c>
      <c r="D7" s="1" t="s">
        <v>99</v>
      </c>
      <c r="E7" s="44" t="s">
        <v>876</v>
      </c>
      <c r="F7" s="26"/>
      <c r="G7" s="35"/>
    </row>
    <row r="8" spans="1:10" x14ac:dyDescent="0.25">
      <c r="A8" s="135" t="str">
        <f>HYPERLINK("#'Input - Enterprise'!A1", "Enterprise")</f>
        <v>Enterprise</v>
      </c>
      <c r="D8" s="22" t="s">
        <v>100</v>
      </c>
      <c r="E8" s="44" t="s">
        <v>877</v>
      </c>
      <c r="F8" s="35"/>
      <c r="G8" s="35"/>
    </row>
    <row r="9" spans="1:10" x14ac:dyDescent="0.25">
      <c r="A9" s="5" t="str">
        <f>HYPERLINK("#'Input - Site'!A1", "Site")</f>
        <v>Site</v>
      </c>
      <c r="D9" s="35"/>
      <c r="E9" s="35"/>
      <c r="F9" s="35"/>
      <c r="G9" s="35"/>
    </row>
    <row r="10" spans="1:10" x14ac:dyDescent="0.25">
      <c r="A10" s="5" t="str">
        <f>HYPERLINK("#'Input - Pasture Beef'!A1", "Pasture Beef")</f>
        <v>Pasture Beef</v>
      </c>
      <c r="D10" s="46" t="s">
        <v>101</v>
      </c>
      <c r="E10" s="47"/>
      <c r="F10" s="48"/>
      <c r="G10" s="49"/>
    </row>
    <row r="11" spans="1:10" x14ac:dyDescent="0.25">
      <c r="A11" s="5" t="str">
        <f>HYPERLINK("#'Input - Pasture Beef (Enteric)'!A1", "Pasture Beef (Enteric)")</f>
        <v>Pasture Beef (Enteric)</v>
      </c>
      <c r="D11" s="35"/>
      <c r="E11" s="35"/>
      <c r="F11" s="35"/>
      <c r="G11" s="35"/>
    </row>
    <row r="12" spans="1:10" x14ac:dyDescent="0.25">
      <c r="A12" s="5" t="str">
        <f>HYPERLINK("#'Input - Pasture'!A1", "Pasture")</f>
        <v>Pasture</v>
      </c>
      <c r="D12" s="22" t="s">
        <v>21</v>
      </c>
      <c r="E12" s="24">
        <v>45658</v>
      </c>
      <c r="F12" s="26" t="s">
        <v>102</v>
      </c>
      <c r="G12" s="35"/>
    </row>
    <row r="13" spans="1:10" x14ac:dyDescent="0.25">
      <c r="A13" s="5" t="str">
        <f>HYPERLINK("#'Input - Fertiliser'!A1", "Fertiliser")</f>
        <v>Fertiliser</v>
      </c>
      <c r="D13" s="22" t="s">
        <v>22</v>
      </c>
      <c r="E13" s="51">
        <f>DATE(YEAR(E12)+1,MONTH(E12),DAY(E12))-1</f>
        <v>46022</v>
      </c>
      <c r="F13" s="26" t="s">
        <v>103</v>
      </c>
      <c r="G13" s="35"/>
    </row>
    <row r="14" spans="1:10" x14ac:dyDescent="0.25">
      <c r="A14" s="5" t="str">
        <f>HYPERLINK("#'Input - Fuel'!A1", "Fuel")</f>
        <v>Fuel</v>
      </c>
      <c r="F14" s="35"/>
      <c r="G14" s="35"/>
    </row>
    <row r="15" spans="1:10" x14ac:dyDescent="0.25">
      <c r="A15" s="5" t="str">
        <f>HYPERLINK("#'Input - Electricity'!A1", "Electricity")</f>
        <v>Electricity</v>
      </c>
    </row>
    <row r="16" spans="1:10" ht="23.25" x14ac:dyDescent="0.25">
      <c r="D16" s="2" t="s">
        <v>23</v>
      </c>
    </row>
    <row r="18" spans="1:7" x14ac:dyDescent="0.25">
      <c r="A18" s="6" t="s">
        <v>2</v>
      </c>
      <c r="D18" s="1" t="s">
        <v>18</v>
      </c>
      <c r="E18" s="24">
        <v>45231</v>
      </c>
      <c r="F18" s="26" t="s">
        <v>102</v>
      </c>
    </row>
    <row r="19" spans="1:7" x14ac:dyDescent="0.25">
      <c r="A19" s="5" t="str">
        <f>HYPERLINK("#'3.2.1.1-2 Enteric Methane'!A1", "3.2.1.1-2 Enteric methane")</f>
        <v>3.2.1.1-2 Enteric methane</v>
      </c>
      <c r="D19" s="1" t="s">
        <v>19</v>
      </c>
      <c r="E19" s="24">
        <v>45747</v>
      </c>
      <c r="F19" s="26" t="s">
        <v>102</v>
      </c>
    </row>
    <row r="20" spans="1:7" x14ac:dyDescent="0.25">
      <c r="A20" s="5" t="str">
        <f>HYPERLINK("#'4.2.1.1-2 Methane'!A1", "4.2.1.1-2 Manure methane")</f>
        <v>4.2.1.1-2 Manure methane</v>
      </c>
      <c r="D20" s="1" t="s">
        <v>20</v>
      </c>
      <c r="E20" s="25">
        <f>DATEDIF(E18,E19+1,"m")</f>
        <v>17</v>
      </c>
      <c r="F20" s="26" t="s">
        <v>127</v>
      </c>
    </row>
    <row r="21" spans="1:7" x14ac:dyDescent="0.25">
      <c r="A21" s="5" t="str">
        <f>HYPERLINK("#'4.2.1.3-4 Soil direct N20'!A1", "4.2.1.3-4 Soil direct N2O")</f>
        <v>4.2.1.3-4 Soil direct N2O</v>
      </c>
    </row>
    <row r="22" spans="1:7" x14ac:dyDescent="0.25">
      <c r="A22" s="5" t="str">
        <f>HYPERLINK("#'4.2.1.5-6 Soil Atmos Dep'!A1", "4.2.1.5-6 Soil atm. deposition")</f>
        <v>4.2.1.5-6 Soil atm. deposition</v>
      </c>
      <c r="D22" s="1" t="s">
        <v>24</v>
      </c>
      <c r="E22" s="90" t="s">
        <v>179</v>
      </c>
      <c r="G22" s="26" t="s">
        <v>30</v>
      </c>
    </row>
    <row r="23" spans="1:7" x14ac:dyDescent="0.25">
      <c r="A23" s="5" t="str">
        <f>HYPERLINK("#'4.2.1.7-8 Soil leach runoff'!A1", "4.2.1.7-8 Soil leach &amp; runoff")</f>
        <v>4.2.1.7-8 Soil leach &amp; runoff</v>
      </c>
      <c r="D23" s="1" t="s">
        <v>25</v>
      </c>
      <c r="E23" s="90" t="s">
        <v>180</v>
      </c>
      <c r="G23" s="26" t="s">
        <v>30</v>
      </c>
    </row>
    <row r="24" spans="1:7" x14ac:dyDescent="0.25">
      <c r="A24" s="5" t="str">
        <f>HYPERLINK("#'5.1.1.1-2 Inorganic fert N2O'!A1", "5.1.1.1-2 Inorganic fert N2O")</f>
        <v>5.1.1.1-2 Inorganic fert N2O</v>
      </c>
      <c r="D24" s="1" t="s">
        <v>26</v>
      </c>
      <c r="E24" s="90" t="s">
        <v>181</v>
      </c>
      <c r="G24" s="26" t="s">
        <v>30</v>
      </c>
    </row>
    <row r="25" spans="1:7" x14ac:dyDescent="0.25">
      <c r="A25" s="5" t="str">
        <f>HYPERLINK("#'5.1.1.3-4 Inorganic fert CO2'!A1", "5.1.1.3-4 Inorganic fert CO2")</f>
        <v>5.1.1.3-4 Inorganic fert CO2</v>
      </c>
      <c r="D25" s="1" t="s">
        <v>175</v>
      </c>
      <c r="E25" s="90" t="s">
        <v>182</v>
      </c>
      <c r="G25" s="26" t="s">
        <v>30</v>
      </c>
    </row>
    <row r="26" spans="1:7" x14ac:dyDescent="0.25">
      <c r="A26" s="5" t="str">
        <f>HYPERLINK("#'5.2.1.1-2 Organic Fert N2O'!A1", "5.2.1.1-2 Organic fert N2O")</f>
        <v>5.2.1.1-2 Organic fert N2O</v>
      </c>
      <c r="D26" s="1" t="s">
        <v>176</v>
      </c>
      <c r="E26" s="90" t="s">
        <v>183</v>
      </c>
      <c r="G26" s="26" t="s">
        <v>30</v>
      </c>
    </row>
    <row r="27" spans="1:7" x14ac:dyDescent="0.25">
      <c r="A27" s="5" t="str">
        <f>HYPERLINK("#'5.3.1.1-2 Lime CO2'!A1", "5.3.1.1-2 Lime CO2")</f>
        <v>5.3.1.1-2 Lime CO2</v>
      </c>
      <c r="D27" s="1" t="s">
        <v>27</v>
      </c>
      <c r="E27" s="28">
        <v>0.1</v>
      </c>
      <c r="G27" s="26" t="s">
        <v>174</v>
      </c>
    </row>
    <row r="28" spans="1:7" x14ac:dyDescent="0.25">
      <c r="A28" s="5" t="str">
        <f>HYPERLINK("#'5.4.1.1-4 Atmos deposition'!A1", "5.4.1.1-4 Atmos. deposition")</f>
        <v>5.4.1.1-4 Atmos. deposition</v>
      </c>
      <c r="D28" s="1" t="s">
        <v>28</v>
      </c>
      <c r="E28" s="28">
        <v>0.2</v>
      </c>
      <c r="G28" s="26" t="s">
        <v>174</v>
      </c>
    </row>
    <row r="29" spans="1:7" x14ac:dyDescent="0.25">
      <c r="A29" s="5" t="str">
        <f>HYPERLINK("#'5.5.1.1-2 Leaching and runoff'!A1", "5.5.1.1-2 Leaching &amp; runoff")</f>
        <v>5.5.1.1-2 Leaching &amp; runoff</v>
      </c>
      <c r="D29" s="1" t="s">
        <v>29</v>
      </c>
      <c r="E29" s="29">
        <f>100%-E27-E28</f>
        <v>0.7</v>
      </c>
      <c r="G29" s="26" t="s">
        <v>174</v>
      </c>
    </row>
    <row r="30" spans="1:7" x14ac:dyDescent="0.25">
      <c r="A30" s="5" t="str">
        <f>HYPERLINK("#'6.2.1.1-2 Pasture residue N2O'!A1", "6.2.1.1-2 Pasture residue N2O")</f>
        <v>6.2.1.1-2 Pasture residue N2O</v>
      </c>
    </row>
    <row r="31" spans="1:7" x14ac:dyDescent="0.25">
      <c r="A31" s="5" t="str">
        <f>HYPERLINK("#'6.3.1.1-2 Leach runoff pasture'!A1", "6.3.1.1-2 Leach &amp; runoff (pasture)")</f>
        <v>6.3.1.1-2 Leach &amp; runoff (pasture)</v>
      </c>
      <c r="D31" s="1" t="s">
        <v>177</v>
      </c>
      <c r="E31" s="28">
        <v>0.8</v>
      </c>
      <c r="G31" s="26" t="s">
        <v>174</v>
      </c>
    </row>
    <row r="32" spans="1:7" x14ac:dyDescent="0.25">
      <c r="A32" s="5" t="str">
        <f>HYPERLINK("#'8.1.1.1-2 Transport fuel'!A1", "8.1.1.1-2 Transport fuel")</f>
        <v>8.1.1.1-2 Transport fuel</v>
      </c>
      <c r="D32" s="1" t="s">
        <v>178</v>
      </c>
      <c r="E32" s="28">
        <v>0.2</v>
      </c>
      <c r="G32" s="26" t="s">
        <v>174</v>
      </c>
    </row>
    <row r="33" spans="1:1" x14ac:dyDescent="0.25">
      <c r="A33" s="5" t="str">
        <f>HYPERLINK("#'8.2.1.1-2 Stationary fuel'!A1", "8.2.1.1-2 Stationary fuel")</f>
        <v>8.2.1.1-2 Stationary fuel</v>
      </c>
    </row>
    <row r="34" spans="1:1" x14ac:dyDescent="0.25">
      <c r="A34" s="5" t="str">
        <f>HYPERLINK("#'14.1.1-2 Purchased electricity'!A1", "14.1.1-2 Purchased electricity")</f>
        <v>14.1.1-2 Purchased electricity</v>
      </c>
    </row>
    <row r="37" spans="1:1" x14ac:dyDescent="0.25">
      <c r="A37" s="251" t="s">
        <v>1</v>
      </c>
    </row>
    <row r="38" spans="1:1" x14ac:dyDescent="0.25">
      <c r="A38" s="5" t="str">
        <f>HYPERLINK("#'Constants - Pasture Beef'!A1", "Constants - Pasture Beef")</f>
        <v>Constants - Pasture Beef</v>
      </c>
    </row>
    <row r="39" spans="1:1" x14ac:dyDescent="0.25">
      <c r="A39" s="5" t="str">
        <f>HYPERLINK("#'Constants - Ag Residue'!A1", "Constants - Ag residue")</f>
        <v>Constants - Ag residue</v>
      </c>
    </row>
    <row r="40" spans="1:1" x14ac:dyDescent="0.25">
      <c r="A40" s="5" t="str">
        <f>HYPERLINK("#'Constants - Common Livestock'!A1", "Constants - Common Livestock")</f>
        <v>Constants - Common Livestock</v>
      </c>
    </row>
    <row r="41" spans="1:1" x14ac:dyDescent="0.25">
      <c r="A41" s="5" t="str">
        <f>HYPERLINK("#'Constants - Electricity'!A1", "Constants - Electricity")</f>
        <v>Constants - Electricity</v>
      </c>
    </row>
    <row r="42" spans="1:1" x14ac:dyDescent="0.25">
      <c r="A42" s="5" t="str">
        <f>HYPERLINK("#'Constants - Fertiliser'!A1", "Constants - Fertiliser")</f>
        <v>Constants - Fertiliser</v>
      </c>
    </row>
    <row r="43" spans="1:1" x14ac:dyDescent="0.25">
      <c r="A43" s="5" t="str">
        <f>HYPERLINK("#'Constants - Fuel'!A1", "Constants - Fuel")</f>
        <v>Constants - Fuel</v>
      </c>
    </row>
    <row r="44" spans="1:1" x14ac:dyDescent="0.25">
      <c r="A44" s="5" t="str">
        <f>HYPERLINK("#'Constants - Common'!A1", "Constants - Common")</f>
        <v>Constants - Common</v>
      </c>
    </row>
    <row r="45" spans="1:1" x14ac:dyDescent="0.25">
      <c r="A45" s="5" t="str">
        <f>HYPERLINK("#'Acknowledgements'!A1", "Acknowledgements")</f>
        <v>Acknowledgements</v>
      </c>
    </row>
    <row r="46" spans="1:1" x14ac:dyDescent="0.25">
      <c r="A46" s="5" t="str">
        <f>HYPERLINK("#'Overview'!A1", "Overview")</f>
        <v>Overview</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91D62-75BF-4814-B1FA-242161A163DA}">
  <sheetPr>
    <pageSetUpPr autoPageBreaks="0"/>
  </sheetPr>
  <dimension ref="A1:AA160"/>
  <sheetViews>
    <sheetView showGridLines="0" zoomScaleNormal="100" workbookViewId="0">
      <selection activeCell="A46" sqref="A46"/>
    </sheetView>
  </sheetViews>
  <sheetFormatPr defaultColWidth="9.140625" defaultRowHeight="15.75" x14ac:dyDescent="0.25"/>
  <cols>
    <col min="1" max="1" width="30.7109375" style="4" customWidth="1"/>
    <col min="2" max="2" width="4.7109375" style="32" customWidth="1"/>
    <col min="3" max="3" width="4.7109375" style="35" customWidth="1"/>
    <col min="4" max="4" width="60.7109375" style="35" customWidth="1"/>
    <col min="5" max="5" width="50.7109375" style="35" customWidth="1"/>
    <col min="6" max="11" width="28.7109375" style="35" customWidth="1"/>
    <col min="12" max="25" width="28.7109375" style="32" customWidth="1"/>
    <col min="26" max="27" width="9.140625" style="32"/>
    <col min="28" max="16384" width="9.140625" style="35"/>
  </cols>
  <sheetData>
    <row r="1" spans="1:24" s="32" customFormat="1" ht="30" customHeight="1" x14ac:dyDescent="0.35">
      <c r="A1" s="16" t="e" vm="1">
        <v>#VALUE!</v>
      </c>
      <c r="C1" s="38" t="s">
        <v>97</v>
      </c>
    </row>
    <row r="2" spans="1:24" s="32" customFormat="1" ht="20.100000000000001" customHeight="1" x14ac:dyDescent="0.25">
      <c r="A2"/>
      <c r="C2" s="3"/>
      <c r="D2" s="3"/>
      <c r="E2" s="3"/>
      <c r="F2" s="3"/>
      <c r="G2" s="3"/>
      <c r="H2" s="3"/>
      <c r="I2" s="3"/>
      <c r="J2" s="3"/>
    </row>
    <row r="3" spans="1:24" ht="20.100000000000001" customHeight="1" x14ac:dyDescent="0.25">
      <c r="A3" s="5" t="str">
        <f>HYPERLINK("#'Home'!A1", "Home")</f>
        <v>Home</v>
      </c>
      <c r="C3" s="39"/>
      <c r="D3" s="39"/>
      <c r="E3" s="39"/>
      <c r="F3" s="39"/>
      <c r="G3" s="39"/>
      <c r="H3" s="39"/>
      <c r="I3" s="39"/>
      <c r="J3" s="39"/>
      <c r="K3" s="39"/>
      <c r="M3" s="34"/>
      <c r="N3" s="34"/>
      <c r="O3" s="34"/>
      <c r="P3" s="34"/>
      <c r="Q3" s="34"/>
      <c r="R3" s="34"/>
      <c r="S3" s="34"/>
      <c r="T3" s="34"/>
      <c r="U3" s="34"/>
      <c r="V3" s="34"/>
      <c r="W3" s="34"/>
      <c r="X3" s="34"/>
    </row>
    <row r="4" spans="1:24" ht="20.100000000000001" customHeight="1" x14ac:dyDescent="0.25">
      <c r="A4" s="5" t="str">
        <f>HYPERLINK("#'Results'!A1", "Results")</f>
        <v>Results</v>
      </c>
      <c r="C4" s="40"/>
      <c r="D4" s="40"/>
      <c r="E4" s="40"/>
      <c r="F4" s="40"/>
      <c r="G4" s="40"/>
      <c r="H4" s="40"/>
      <c r="I4" s="40"/>
      <c r="J4" s="40"/>
      <c r="K4" s="40"/>
    </row>
    <row r="5" spans="1:24" ht="20.100000000000001" customHeight="1" x14ac:dyDescent="0.25">
      <c r="A5"/>
      <c r="D5" s="2" t="s">
        <v>104</v>
      </c>
      <c r="N5" s="41"/>
    </row>
    <row r="6" spans="1:24" ht="20.100000000000001" customHeight="1" x14ac:dyDescent="0.25">
      <c r="A6"/>
      <c r="N6" s="43"/>
    </row>
    <row r="7" spans="1:24" ht="20.100000000000001" customHeight="1" x14ac:dyDescent="0.25">
      <c r="A7" s="7" t="s">
        <v>0</v>
      </c>
      <c r="D7" s="53" t="s">
        <v>105</v>
      </c>
      <c r="E7" s="54"/>
      <c r="F7" s="54"/>
      <c r="G7" s="55"/>
    </row>
    <row r="8" spans="1:24" ht="20.100000000000001" customHeight="1" x14ac:dyDescent="0.25">
      <c r="A8" s="5" t="str">
        <f>HYPERLINK("#'Input - Enterprise'!A1", "Enterprise")</f>
        <v>Enterprise</v>
      </c>
      <c r="D8" s="56" t="s">
        <v>106</v>
      </c>
      <c r="E8" s="57"/>
      <c r="F8" s="57"/>
      <c r="G8" s="58"/>
    </row>
    <row r="9" spans="1:24" ht="20.100000000000001" customHeight="1" x14ac:dyDescent="0.25">
      <c r="A9" s="135" t="str">
        <f>HYPERLINK("#'Input - Site'!A1", "Site")</f>
        <v>Site</v>
      </c>
      <c r="D9" s="1"/>
      <c r="E9" s="59"/>
      <c r="F9" s="26"/>
      <c r="N9" s="45"/>
    </row>
    <row r="10" spans="1:24" ht="20.100000000000001" customHeight="1" x14ac:dyDescent="0.25">
      <c r="A10" s="5" t="str">
        <f>HYPERLINK("#'Input - Pasture Beef'!A1", "Pasture Beef")</f>
        <v>Pasture Beef</v>
      </c>
      <c r="D10" s="1" t="s">
        <v>107</v>
      </c>
      <c r="E10" s="23" t="s">
        <v>108</v>
      </c>
      <c r="F10" s="26" t="s">
        <v>109</v>
      </c>
      <c r="N10" s="45"/>
    </row>
    <row r="11" spans="1:24" ht="20.100000000000001" customHeight="1" x14ac:dyDescent="0.25">
      <c r="A11" s="5" t="str">
        <f>HYPERLINK("#'Input - Pasture Beef (Enteric)'!A1", "Pasture Beef (Enteric)")</f>
        <v>Pasture Beef (Enteric)</v>
      </c>
      <c r="D11" s="1" t="s">
        <v>110</v>
      </c>
      <c r="E11" s="23" t="s">
        <v>111</v>
      </c>
      <c r="F11" s="26" t="s">
        <v>109</v>
      </c>
      <c r="G11" s="1"/>
      <c r="N11" s="50"/>
    </row>
    <row r="12" spans="1:24" ht="20.100000000000001" customHeight="1" x14ac:dyDescent="0.25">
      <c r="A12" s="5" t="str">
        <f>HYPERLINK("#'Input - Pasture'!A1", "Pasture")</f>
        <v>Pasture</v>
      </c>
      <c r="D12" s="1" t="s">
        <v>112</v>
      </c>
      <c r="E12" s="23" t="s">
        <v>113</v>
      </c>
      <c r="F12" s="26" t="s">
        <v>109</v>
      </c>
    </row>
    <row r="13" spans="1:24" ht="20.100000000000001" customHeight="1" x14ac:dyDescent="0.25">
      <c r="A13" s="5" t="str">
        <f>HYPERLINK("#'Input - Fertiliser'!A1", "Fertiliser")</f>
        <v>Fertiliser</v>
      </c>
      <c r="D13" s="1" t="s">
        <v>47</v>
      </c>
      <c r="E13" s="44">
        <v>307.7</v>
      </c>
      <c r="F13" s="26" t="s">
        <v>114</v>
      </c>
      <c r="N13" s="52"/>
      <c r="O13" s="52"/>
    </row>
    <row r="14" spans="1:24" ht="20.100000000000001" customHeight="1" x14ac:dyDescent="0.25">
      <c r="A14" s="5" t="str">
        <f>HYPERLINK("#'Input - Fuel'!A1", "Fuel")</f>
        <v>Fuel</v>
      </c>
      <c r="D14" s="1" t="s">
        <v>115</v>
      </c>
      <c r="E14" s="44">
        <v>18</v>
      </c>
      <c r="F14" s="26" t="s">
        <v>116</v>
      </c>
      <c r="N14" s="52"/>
      <c r="O14" s="52"/>
    </row>
    <row r="15" spans="1:24" ht="20.100000000000001" customHeight="1" x14ac:dyDescent="0.25">
      <c r="A15" s="5" t="str">
        <f>HYPERLINK("#'Input - Electricity'!A1", "Electricity")</f>
        <v>Electricity</v>
      </c>
      <c r="D15" s="1" t="s">
        <v>117</v>
      </c>
      <c r="E15" s="44">
        <v>601</v>
      </c>
      <c r="F15" s="26" t="s">
        <v>118</v>
      </c>
      <c r="N15" s="52"/>
      <c r="O15" s="52"/>
    </row>
    <row r="16" spans="1:24" ht="20.100000000000001" customHeight="1" x14ac:dyDescent="0.25">
      <c r="A16"/>
      <c r="D16" s="22" t="s">
        <v>119</v>
      </c>
      <c r="E16" s="44">
        <v>1326</v>
      </c>
      <c r="F16" s="26" t="s">
        <v>118</v>
      </c>
      <c r="N16" s="52"/>
      <c r="O16" s="52"/>
    </row>
    <row r="17" spans="1:25" ht="20.100000000000001" customHeight="1" x14ac:dyDescent="0.25">
      <c r="A17"/>
      <c r="D17" s="1" t="s">
        <v>120</v>
      </c>
      <c r="E17" s="44">
        <v>7</v>
      </c>
      <c r="F17" s="26" t="s">
        <v>121</v>
      </c>
    </row>
    <row r="18" spans="1:25" ht="20.100000000000001" customHeight="1" x14ac:dyDescent="0.25">
      <c r="A18" s="6" t="s">
        <v>2</v>
      </c>
      <c r="D18" s="22" t="s">
        <v>122</v>
      </c>
      <c r="E18" s="25">
        <f>E15/E16</f>
        <v>0.45324283559577677</v>
      </c>
      <c r="F18" s="26"/>
    </row>
    <row r="19" spans="1:25" ht="20.100000000000001" customHeight="1" x14ac:dyDescent="0.25">
      <c r="A19" s="5" t="str">
        <f>HYPERLINK("#'3.2.1.1-2 Enteric Methane'!A1", "3.2.1.1-2 Enteric methane")</f>
        <v>3.2.1.1-2 Enteric methane</v>
      </c>
      <c r="D19" s="22" t="s">
        <v>75</v>
      </c>
      <c r="E19" s="25" t="str">
        <f>Common_InputFunctions.Utility_LookupItemFromMinMax(E15,Table_SourceData_RainfallZones[Min rainfall],Table_SourceData_RainfallZones[Max rainfall],Table_SourceData_RainfallZones[Rainfall Zone])</f>
        <v>High rainfall</v>
      </c>
      <c r="G19" s="60"/>
      <c r="N19" s="41"/>
    </row>
    <row r="20" spans="1:25" ht="20.100000000000001" customHeight="1" x14ac:dyDescent="0.25">
      <c r="A20" s="5" t="str">
        <f>HYPERLINK("#'4.2.1.1-2 Methane'!A1", "4.2.1.1-2 Manure methane")</f>
        <v>4.2.1.1-2 Manure methane</v>
      </c>
      <c r="D20" s="1" t="s">
        <v>42</v>
      </c>
      <c r="E20" s="25" t="str">
        <f>Common_InputFunctions.Utility_GetClimateZone(E14,E15,E17,E13,E18,Table_SourceData_ClimateZones[Min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20" s="1"/>
      <c r="G20" s="59"/>
      <c r="N20" s="43"/>
    </row>
    <row r="21" spans="1:25" ht="20.100000000000001" customHeight="1" x14ac:dyDescent="0.25">
      <c r="A21" s="5" t="str">
        <f>HYPERLINK("#'4.2.1.3-4 Soil direct N20'!A1", "4.2.1.3-4 Soil direct N2O")</f>
        <v>4.2.1.3-4 Soil direct N2O</v>
      </c>
      <c r="D21" s="1" t="s">
        <v>123</v>
      </c>
      <c r="E21" s="25" t="str">
        <f>Common_InputFunctions.Utility_LookupValueInTable($E$20,Table_SourceData_WetDryZones[Climate zone],Table_SourceData_WetDryZones[Wet or Dry Zone])</f>
        <v>Dry climate zone</v>
      </c>
      <c r="F21" s="1"/>
      <c r="G21" s="59"/>
    </row>
    <row r="22" spans="1:25" ht="20.100000000000001" customHeight="1" x14ac:dyDescent="0.25">
      <c r="A22" s="5" t="str">
        <f>HYPERLINK("#'4.2.1.5-6 Soil Atmos Dep'!A1", "4.2.1.5-6 Soil atm. deposition")</f>
        <v>4.2.1.5-6 Soil atm. deposition</v>
      </c>
      <c r="D22" s="1" t="s">
        <v>79</v>
      </c>
      <c r="E22" s="25" t="str">
        <f>Common_InputFunctions.Utility_LookupItemFromMinMax(E14,Table_SourceData_TemperatureZones[Min MAT],Table_SourceData_TemperatureZones[Max MAT],Table_SourceData_TemperatureZones[Temperature Zone])</f>
        <v>Temperate</v>
      </c>
      <c r="G22" s="63"/>
    </row>
    <row r="23" spans="1:25" ht="20.100000000000001" customHeight="1" x14ac:dyDescent="0.25">
      <c r="A23" s="5" t="str">
        <f>HYPERLINK("#'4.2.1.7-8 Soil leach runoff'!A1", "4.2.1.7-8 Soil leach &amp; runoff")</f>
        <v>4.2.1.7-8 Soil leach &amp; runoff</v>
      </c>
    </row>
    <row r="24" spans="1:25" ht="20.100000000000001" customHeight="1" x14ac:dyDescent="0.25">
      <c r="A24" s="5" t="str">
        <f>HYPERLINK("#'5.1.1.1-2 Inorganic fert N2O'!A1", "5.1.1.1-2 Inorganic fert N2O")</f>
        <v>5.1.1.1-2 Inorganic fert N2O</v>
      </c>
    </row>
    <row r="25" spans="1:25" ht="20.100000000000001" customHeight="1" x14ac:dyDescent="0.25">
      <c r="A25" s="5" t="str">
        <f>HYPERLINK("#'5.1.1.3-4 Inorganic fert CO2'!A1", "5.1.1.3-4 Inorganic fert CO2")</f>
        <v>5.1.1.3-4 Inorganic fert CO2</v>
      </c>
      <c r="N25" s="43"/>
    </row>
    <row r="26" spans="1:25" ht="20.100000000000001" customHeight="1" x14ac:dyDescent="0.25">
      <c r="A26" s="5" t="str">
        <f>HYPERLINK("#'5.2.1.1-2 Organic Fert N2O'!A1", "5.2.1.1-2 Organic fert N2O")</f>
        <v>5.2.1.1-2 Organic fert N2O</v>
      </c>
    </row>
    <row r="27" spans="1:25" ht="20.100000000000001" customHeight="1" x14ac:dyDescent="0.25">
      <c r="A27" s="5" t="str">
        <f>HYPERLINK("#'5.3.1.1-2 Lime CO2'!A1", "5.3.1.1-2 Lime CO2")</f>
        <v>5.3.1.1-2 Lime CO2</v>
      </c>
    </row>
    <row r="28" spans="1:25" ht="20.100000000000001" customHeight="1" x14ac:dyDescent="0.25">
      <c r="A28" s="5" t="str">
        <f>HYPERLINK("#'5.4.1.1-4 Atmos deposition'!A1", "5.4.1.1-4 Atmos. deposition")</f>
        <v>5.4.1.1-4 Atmos. deposition</v>
      </c>
    </row>
    <row r="29" spans="1:25" ht="20.100000000000001" customHeight="1" x14ac:dyDescent="0.25">
      <c r="A29" s="5" t="str">
        <f>HYPERLINK("#'5.5.1.1-2 Leaching and runoff'!A1", "5.5.1.1-2 Leaching &amp; runoff")</f>
        <v>5.5.1.1-2 Leaching &amp; runoff</v>
      </c>
    </row>
    <row r="30" spans="1:25" ht="20.100000000000001" customHeight="1" x14ac:dyDescent="0.25">
      <c r="A30" s="5" t="str">
        <f>HYPERLINK("#'6.2.1.1-2 Pasture residue N2O'!A1", "6.2.1.1-2 Pasture residue N2O")</f>
        <v>6.2.1.1-2 Pasture residue N2O</v>
      </c>
      <c r="L30" s="61"/>
      <c r="M30" s="61"/>
      <c r="N30" s="61"/>
      <c r="O30" s="61"/>
      <c r="P30" s="61"/>
      <c r="Q30" s="61"/>
      <c r="R30" s="61"/>
      <c r="S30" s="61"/>
      <c r="T30" s="61"/>
      <c r="U30" s="61"/>
      <c r="V30" s="61"/>
      <c r="W30" s="61"/>
      <c r="X30" s="61"/>
      <c r="Y30" s="61"/>
    </row>
    <row r="31" spans="1:25" ht="20.100000000000001" customHeight="1" x14ac:dyDescent="0.25">
      <c r="A31" s="5" t="str">
        <f>HYPERLINK("#'6.3.1.1-2 Leach runoff pasture'!A1", "6.3.1.1-2 Leach &amp; runoff (pasture)")</f>
        <v>6.3.1.1-2 Leach &amp; runoff (pasture)</v>
      </c>
      <c r="L31" s="62"/>
      <c r="M31" s="62"/>
      <c r="N31" s="62"/>
      <c r="O31" s="62"/>
      <c r="P31" s="62"/>
      <c r="Q31" s="62"/>
      <c r="R31" s="62"/>
      <c r="S31" s="62"/>
      <c r="T31" s="62"/>
      <c r="U31" s="62"/>
      <c r="V31" s="62"/>
      <c r="W31" s="62"/>
      <c r="X31" s="62"/>
      <c r="Y31" s="62"/>
    </row>
    <row r="32" spans="1:25" ht="20.100000000000001" customHeight="1" x14ac:dyDescent="0.25">
      <c r="A32" s="5" t="str">
        <f>HYPERLINK("#'8.1.1.1-2 Transport fuel'!A1", "8.1.1.1-2 Transport fuel")</f>
        <v>8.1.1.1-2 Transport fuel</v>
      </c>
      <c r="L32" s="62"/>
      <c r="M32" s="62"/>
      <c r="N32" s="62"/>
      <c r="O32" s="62"/>
      <c r="P32" s="62"/>
      <c r="Q32" s="62"/>
      <c r="R32" s="62"/>
      <c r="S32" s="62"/>
      <c r="T32" s="62"/>
      <c r="U32" s="62"/>
      <c r="V32" s="62"/>
      <c r="W32" s="62"/>
      <c r="X32" s="62"/>
      <c r="Y32" s="62"/>
    </row>
    <row r="33" spans="1:25" ht="20.100000000000001" customHeight="1" x14ac:dyDescent="0.25">
      <c r="A33" s="5" t="str">
        <f>HYPERLINK("#'8.2.1.1-2 Stationary fuel'!A1", "8.2.1.1-2 Stationary fuel")</f>
        <v>8.2.1.1-2 Stationary fuel</v>
      </c>
      <c r="L33" s="62"/>
      <c r="M33" s="62"/>
      <c r="N33" s="62"/>
      <c r="O33" s="62"/>
      <c r="P33" s="62"/>
      <c r="Q33" s="62"/>
      <c r="R33" s="62"/>
      <c r="S33" s="62"/>
      <c r="T33" s="62"/>
      <c r="U33" s="62"/>
      <c r="V33" s="62"/>
      <c r="W33" s="62"/>
      <c r="X33" s="62"/>
      <c r="Y33" s="62"/>
    </row>
    <row r="34" spans="1:25" ht="20.100000000000001" customHeight="1" x14ac:dyDescent="0.25">
      <c r="A34" s="5" t="str">
        <f>HYPERLINK("#'14.1.1-2 Purchased electricity'!A1", "14.1.1-2 Purchased electricity")</f>
        <v>14.1.1-2 Purchased electricity</v>
      </c>
      <c r="J34" s="64"/>
      <c r="K34" s="65"/>
      <c r="L34" s="62"/>
      <c r="M34" s="62"/>
      <c r="N34" s="62"/>
      <c r="O34" s="62"/>
      <c r="P34" s="62"/>
      <c r="Q34" s="62"/>
      <c r="R34" s="62"/>
      <c r="S34" s="62"/>
      <c r="T34" s="62"/>
      <c r="U34" s="62"/>
      <c r="V34" s="62"/>
      <c r="W34" s="62"/>
      <c r="X34" s="62"/>
      <c r="Y34" s="62"/>
    </row>
    <row r="35" spans="1:25" ht="20.100000000000001" customHeight="1" x14ac:dyDescent="0.25">
      <c r="A35"/>
      <c r="J35" s="64"/>
      <c r="K35" s="65"/>
      <c r="L35" s="62"/>
      <c r="M35" s="62"/>
      <c r="N35" s="62"/>
      <c r="O35" s="62"/>
      <c r="P35" s="62"/>
      <c r="Q35" s="62"/>
      <c r="R35" s="62"/>
      <c r="S35" s="62"/>
      <c r="T35" s="62"/>
      <c r="U35" s="62"/>
      <c r="V35" s="62"/>
      <c r="W35" s="62"/>
      <c r="X35" s="62"/>
      <c r="Y35" s="62"/>
    </row>
    <row r="36" spans="1:25" ht="20.100000000000001" customHeight="1" x14ac:dyDescent="0.25">
      <c r="A36"/>
      <c r="D36" s="66"/>
      <c r="E36" s="66"/>
      <c r="F36" s="67"/>
      <c r="G36" s="64"/>
      <c r="H36" s="64"/>
      <c r="I36" s="68"/>
      <c r="J36" s="64"/>
      <c r="K36" s="65"/>
      <c r="L36" s="62"/>
      <c r="M36" s="62"/>
      <c r="N36" s="62"/>
      <c r="O36" s="62"/>
      <c r="P36" s="62"/>
      <c r="Q36" s="62"/>
      <c r="R36" s="62"/>
      <c r="S36" s="62"/>
      <c r="T36" s="62"/>
      <c r="U36" s="62"/>
      <c r="V36" s="62"/>
      <c r="W36" s="62"/>
      <c r="X36" s="62"/>
      <c r="Y36" s="62"/>
    </row>
    <row r="37" spans="1:25" ht="20.100000000000001" customHeight="1" x14ac:dyDescent="0.25">
      <c r="A37" s="251" t="s">
        <v>1</v>
      </c>
      <c r="D37" s="66"/>
      <c r="E37" s="66"/>
      <c r="F37" s="67"/>
      <c r="G37" s="64"/>
      <c r="H37" s="64"/>
      <c r="I37" s="68"/>
      <c r="J37" s="64"/>
      <c r="K37" s="65"/>
      <c r="L37" s="62"/>
      <c r="M37" s="62"/>
      <c r="N37" s="62"/>
      <c r="O37" s="62"/>
      <c r="P37" s="62"/>
      <c r="Q37" s="62"/>
      <c r="R37" s="62"/>
      <c r="S37" s="62"/>
      <c r="T37" s="62"/>
      <c r="U37" s="62"/>
      <c r="V37" s="62"/>
      <c r="W37" s="62"/>
      <c r="X37" s="62"/>
      <c r="Y37" s="62"/>
    </row>
    <row r="38" spans="1:25" ht="20.100000000000001" customHeight="1" x14ac:dyDescent="0.25">
      <c r="A38" s="5" t="str">
        <f>HYPERLINK("#'Constants - Pasture Beef'!A1", "Constants - Pasture Beef")</f>
        <v>Constants - Pasture Beef</v>
      </c>
      <c r="D38" s="66"/>
      <c r="E38" s="66"/>
      <c r="F38" s="67"/>
      <c r="G38" s="64"/>
      <c r="H38" s="64"/>
      <c r="I38" s="68"/>
      <c r="J38" s="64"/>
      <c r="K38" s="65"/>
      <c r="L38" s="62"/>
      <c r="M38" s="62"/>
      <c r="N38" s="62"/>
      <c r="O38" s="62"/>
      <c r="P38" s="62"/>
      <c r="Q38" s="62"/>
      <c r="R38" s="62"/>
      <c r="S38" s="62"/>
      <c r="T38" s="62"/>
      <c r="U38" s="62"/>
      <c r="V38" s="62"/>
      <c r="W38" s="62"/>
      <c r="X38" s="62"/>
      <c r="Y38" s="62"/>
    </row>
    <row r="39" spans="1:25" ht="20.100000000000001" customHeight="1" x14ac:dyDescent="0.25">
      <c r="A39" s="5" t="str">
        <f>HYPERLINK("#'Constants - Ag Residue'!A1", "Constants - Ag residue")</f>
        <v>Constants - Ag residue</v>
      </c>
      <c r="D39" s="66"/>
      <c r="E39" s="66"/>
      <c r="F39" s="67"/>
      <c r="G39" s="64"/>
      <c r="H39" s="64"/>
      <c r="I39" s="68"/>
      <c r="J39" s="64"/>
      <c r="K39" s="65"/>
      <c r="L39" s="62"/>
      <c r="M39" s="62"/>
      <c r="N39" s="62"/>
      <c r="O39" s="62"/>
      <c r="P39" s="62"/>
      <c r="Q39" s="62"/>
      <c r="R39" s="62"/>
      <c r="S39" s="62"/>
      <c r="T39" s="62"/>
      <c r="U39" s="62"/>
      <c r="V39" s="62"/>
      <c r="W39" s="62"/>
      <c r="X39" s="62"/>
      <c r="Y39" s="62"/>
    </row>
    <row r="40" spans="1:25" ht="20.100000000000001" customHeight="1" x14ac:dyDescent="0.25">
      <c r="A40" s="5" t="str">
        <f>HYPERLINK("#'Constants - Common Livestock'!A1", "Constants - Common Livestock")</f>
        <v>Constants - Common Livestock</v>
      </c>
      <c r="D40" s="69"/>
      <c r="E40" s="69"/>
      <c r="F40" s="69"/>
      <c r="G40" s="70"/>
      <c r="H40" s="71"/>
      <c r="I40" s="71"/>
      <c r="J40" s="71"/>
      <c r="K40" s="71"/>
      <c r="L40" s="72"/>
      <c r="M40" s="72"/>
      <c r="N40" s="72"/>
      <c r="O40" s="72"/>
      <c r="P40" s="72"/>
      <c r="Q40" s="72"/>
      <c r="R40" s="72"/>
      <c r="S40" s="72"/>
      <c r="T40" s="72"/>
      <c r="U40" s="72"/>
      <c r="V40" s="72"/>
      <c r="W40" s="72"/>
      <c r="X40" s="72"/>
      <c r="Y40" s="72"/>
    </row>
    <row r="41" spans="1:25" ht="20.100000000000001" customHeight="1" x14ac:dyDescent="0.25">
      <c r="A41" s="5" t="str">
        <f>HYPERLINK("#'Constants - Electricity'!A1", "Constants - Electricity")</f>
        <v>Constants - Electricity</v>
      </c>
    </row>
    <row r="42" spans="1:25" ht="20.100000000000001" customHeight="1" x14ac:dyDescent="0.25">
      <c r="A42" s="5" t="str">
        <f>HYPERLINK("#'Constants - Fertiliser'!A1", "Constants - Fertiliser")</f>
        <v>Constants - Fertiliser</v>
      </c>
    </row>
    <row r="43" spans="1:25" ht="20.100000000000001" customHeight="1" x14ac:dyDescent="0.25">
      <c r="A43" s="5" t="str">
        <f>HYPERLINK("#'Constants - Fuel'!A1", "Constants - Fuel")</f>
        <v>Constants - Fuel</v>
      </c>
    </row>
    <row r="44" spans="1:25" ht="20.100000000000001" customHeight="1" x14ac:dyDescent="0.25">
      <c r="A44" s="5" t="str">
        <f>HYPERLINK("#'Constants - Common'!A1", "Constants - Common")</f>
        <v>Constants - Common</v>
      </c>
    </row>
    <row r="45" spans="1:25" ht="20.100000000000001" customHeight="1" x14ac:dyDescent="0.25">
      <c r="A45" s="5" t="str">
        <f>HYPERLINK("#'Acknowledgements'!A1", "Acknowledgements")</f>
        <v>Acknowledgements</v>
      </c>
      <c r="D45" s="2"/>
    </row>
    <row r="46" spans="1:25" ht="20.100000000000001" customHeight="1" x14ac:dyDescent="0.25">
      <c r="A46" s="5" t="str">
        <f>HYPERLINK("#'Overview'!A1", "Overview")</f>
        <v>Overview</v>
      </c>
      <c r="D46" s="2"/>
    </row>
    <row r="47" spans="1:25" ht="20.100000000000001" customHeight="1" x14ac:dyDescent="0.25">
      <c r="A47"/>
      <c r="D47" s="73"/>
      <c r="E47" s="73"/>
      <c r="F47" s="73"/>
      <c r="G47" s="73"/>
      <c r="H47" s="73"/>
    </row>
    <row r="48" spans="1:25" ht="20.100000000000001" customHeight="1" x14ac:dyDescent="0.25">
      <c r="A48"/>
      <c r="D48" s="74"/>
      <c r="E48" s="74"/>
      <c r="F48" s="75"/>
      <c r="G48" s="75"/>
      <c r="H48" s="74"/>
    </row>
    <row r="49" spans="1:8" ht="20.100000000000001" customHeight="1" x14ac:dyDescent="0.25">
      <c r="A49"/>
      <c r="D49" s="74"/>
      <c r="E49" s="74"/>
      <c r="F49" s="75"/>
      <c r="G49" s="75"/>
      <c r="H49" s="74"/>
    </row>
    <row r="50" spans="1:8" ht="20.100000000000001" customHeight="1" x14ac:dyDescent="0.25">
      <c r="A50"/>
      <c r="D50" s="74"/>
      <c r="E50" s="74"/>
      <c r="F50" s="75"/>
      <c r="G50" s="75"/>
      <c r="H50" s="74"/>
    </row>
    <row r="51" spans="1:8" ht="20.100000000000001" customHeight="1" x14ac:dyDescent="0.25">
      <c r="A51"/>
      <c r="D51" s="76"/>
      <c r="E51" s="77"/>
      <c r="F51" s="77"/>
      <c r="G51" s="77"/>
      <c r="H51" s="78"/>
    </row>
    <row r="52" spans="1:8" ht="20.100000000000001" customHeight="1" x14ac:dyDescent="0.25">
      <c r="A52"/>
    </row>
    <row r="53" spans="1:8" ht="20.100000000000001" customHeight="1" x14ac:dyDescent="0.25">
      <c r="A53"/>
    </row>
    <row r="54" spans="1:8" ht="20.100000000000001" customHeight="1" x14ac:dyDescent="0.25">
      <c r="A54"/>
      <c r="G54" s="79"/>
    </row>
    <row r="55" spans="1:8" ht="20.100000000000001" customHeight="1" x14ac:dyDescent="0.25">
      <c r="A55"/>
      <c r="D55" s="2"/>
    </row>
    <row r="56" spans="1:8" ht="20.100000000000001" customHeight="1" x14ac:dyDescent="0.25">
      <c r="A56"/>
    </row>
    <row r="57" spans="1:8" ht="20.100000000000001" customHeight="1" x14ac:dyDescent="0.25">
      <c r="A57"/>
      <c r="D57" s="80"/>
      <c r="F57" s="81"/>
    </row>
    <row r="58" spans="1:8" ht="20.100000000000001" customHeight="1" x14ac:dyDescent="0.25">
      <c r="A58"/>
      <c r="D58" s="1"/>
      <c r="E58" s="82"/>
    </row>
    <row r="59" spans="1:8" ht="20.100000000000001" customHeight="1" x14ac:dyDescent="0.25">
      <c r="A59"/>
      <c r="D59" s="1"/>
      <c r="E59" s="82"/>
    </row>
    <row r="60" spans="1:8" ht="20.100000000000001" customHeight="1" x14ac:dyDescent="0.25">
      <c r="A60"/>
      <c r="D60" s="1"/>
      <c r="E60" s="83"/>
    </row>
    <row r="61" spans="1:8" ht="20.100000000000001" customHeight="1" x14ac:dyDescent="0.25">
      <c r="A61"/>
      <c r="D61" s="1"/>
    </row>
    <row r="62" spans="1:8" ht="20.100000000000001" customHeight="1" x14ac:dyDescent="0.25">
      <c r="A62"/>
    </row>
    <row r="63" spans="1:8" ht="20.100000000000001" customHeight="1" x14ac:dyDescent="0.25">
      <c r="A63"/>
      <c r="D63" s="80"/>
    </row>
    <row r="64" spans="1:8" ht="20.100000000000001" customHeight="1" x14ac:dyDescent="0.25">
      <c r="A64"/>
      <c r="D64" s="1"/>
      <c r="E64" s="82"/>
    </row>
    <row r="65" spans="1:9" ht="20.100000000000001" customHeight="1" x14ac:dyDescent="0.25">
      <c r="A65"/>
      <c r="D65" s="1"/>
      <c r="E65" s="82"/>
    </row>
    <row r="66" spans="1:9" ht="20.100000000000001" customHeight="1" x14ac:dyDescent="0.25">
      <c r="A66"/>
      <c r="D66" s="1"/>
      <c r="E66" s="83"/>
    </row>
    <row r="67" spans="1:9" ht="20.100000000000001" customHeight="1" x14ac:dyDescent="0.25">
      <c r="A67"/>
    </row>
    <row r="68" spans="1:9" ht="20.100000000000001" customHeight="1" x14ac:dyDescent="0.25">
      <c r="A68"/>
    </row>
    <row r="69" spans="1:9" ht="20.100000000000001" customHeight="1" x14ac:dyDescent="0.25">
      <c r="A69"/>
      <c r="D69" s="84"/>
      <c r="E69" s="84"/>
      <c r="F69" s="84"/>
      <c r="G69" s="84"/>
      <c r="H69" s="84"/>
      <c r="I69" s="84"/>
    </row>
    <row r="70" spans="1:9" ht="20.100000000000001" customHeight="1" x14ac:dyDescent="0.25">
      <c r="A70"/>
      <c r="D70" s="84"/>
      <c r="E70" s="84"/>
      <c r="F70" s="84"/>
      <c r="G70" s="84"/>
      <c r="H70" s="84"/>
      <c r="I70" s="84"/>
    </row>
    <row r="71" spans="1:9" ht="20.100000000000001" customHeight="1" x14ac:dyDescent="0.25">
      <c r="A71"/>
      <c r="D71" s="84"/>
      <c r="E71" s="84"/>
      <c r="F71" s="84"/>
      <c r="G71" s="84"/>
      <c r="H71" s="84"/>
      <c r="I71" s="84"/>
    </row>
    <row r="72" spans="1:9" ht="20.100000000000001" customHeight="1" x14ac:dyDescent="0.25">
      <c r="A72"/>
      <c r="D72" s="84"/>
      <c r="E72" s="84"/>
      <c r="F72" s="84"/>
      <c r="G72" s="84"/>
      <c r="H72" s="84"/>
      <c r="I72" s="84"/>
    </row>
    <row r="73" spans="1:9" ht="20.100000000000001" customHeight="1" x14ac:dyDescent="0.25">
      <c r="A73"/>
    </row>
    <row r="74" spans="1:9" ht="20.100000000000001" customHeight="1" x14ac:dyDescent="0.25">
      <c r="A74"/>
    </row>
    <row r="75" spans="1:9" ht="20.100000000000001" customHeight="1" x14ac:dyDescent="0.25">
      <c r="A75"/>
    </row>
    <row r="76" spans="1:9" ht="20.100000000000001" customHeight="1" x14ac:dyDescent="0.25">
      <c r="A76"/>
    </row>
    <row r="77" spans="1:9" ht="20.100000000000001" customHeight="1" x14ac:dyDescent="0.25">
      <c r="A77"/>
    </row>
    <row r="78" spans="1:9" ht="20.100000000000001" customHeight="1" x14ac:dyDescent="0.25">
      <c r="A78"/>
      <c r="D78" s="85"/>
    </row>
    <row r="79" spans="1:9" ht="20.100000000000001" customHeight="1" x14ac:dyDescent="0.25">
      <c r="A79"/>
      <c r="D79" s="85"/>
    </row>
    <row r="80" spans="1:9" ht="20.100000000000001" customHeight="1" x14ac:dyDescent="0.25">
      <c r="A80"/>
      <c r="D80" s="85"/>
    </row>
    <row r="81" spans="1:4" ht="20.100000000000001" customHeight="1" x14ac:dyDescent="0.25">
      <c r="A81"/>
      <c r="D81" s="85"/>
    </row>
    <row r="82" spans="1:4" ht="20.100000000000001" customHeight="1" x14ac:dyDescent="0.25">
      <c r="A82"/>
      <c r="D82" s="85"/>
    </row>
    <row r="83" spans="1:4" ht="20.100000000000001" customHeight="1" x14ac:dyDescent="0.25">
      <c r="A83"/>
    </row>
    <row r="84" spans="1:4" ht="20.100000000000001" customHeight="1" x14ac:dyDescent="0.25">
      <c r="A84"/>
    </row>
    <row r="85" spans="1:4" ht="20.100000000000001" customHeight="1" x14ac:dyDescent="0.25">
      <c r="A85"/>
    </row>
    <row r="86" spans="1:4" ht="20.100000000000001" customHeight="1" x14ac:dyDescent="0.25">
      <c r="A86"/>
    </row>
    <row r="87" spans="1:4" ht="20.100000000000001" customHeight="1" x14ac:dyDescent="0.25">
      <c r="A87"/>
    </row>
    <row r="88" spans="1:4" ht="20.100000000000001" customHeight="1" x14ac:dyDescent="0.25">
      <c r="A88"/>
    </row>
    <row r="89" spans="1:4" ht="20.100000000000001" customHeight="1" x14ac:dyDescent="0.25">
      <c r="A89"/>
    </row>
    <row r="90" spans="1:4" ht="20.100000000000001" customHeight="1" x14ac:dyDescent="0.25">
      <c r="A90"/>
    </row>
    <row r="91" spans="1:4" ht="20.100000000000001" customHeight="1" x14ac:dyDescent="0.25">
      <c r="A91"/>
    </row>
    <row r="92" spans="1:4" ht="20.100000000000001" customHeight="1" x14ac:dyDescent="0.25">
      <c r="A92"/>
    </row>
    <row r="93" spans="1:4" ht="20.100000000000001" customHeight="1" x14ac:dyDescent="0.25">
      <c r="A93"/>
    </row>
    <row r="94" spans="1:4" ht="20.100000000000001" customHeight="1" x14ac:dyDescent="0.25">
      <c r="A94"/>
    </row>
    <row r="95" spans="1:4" ht="20.100000000000001" customHeight="1" x14ac:dyDescent="0.25">
      <c r="A95"/>
    </row>
    <row r="96" spans="1:4"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dataValidations count="4">
    <dataValidation type="list" allowBlank="1" showInputMessage="1" showErrorMessage="1" sqref="E12" xr:uid="{620909BD-05B7-4260-BB85-4888DFAEE1F3}">
      <formula1>"YES - In leaching zone, NO - Not in leaching zone"</formula1>
    </dataValidation>
    <dataValidation type="list" allowBlank="1" showInputMessage="1" showErrorMessage="1" sqref="G36:G39" xr:uid="{FC4F355F-8194-44E7-BAB7-2E788D632391}">
      <formula1>$D$41:$D$43</formula1>
    </dataValidation>
    <dataValidation type="list" allowBlank="1" showInputMessage="1" showErrorMessage="1" sqref="E11" xr:uid="{674A5993-80C6-40F8-9C7E-8360EE985D6D}">
      <formula1>INDIRECT("Table_WASA4Areas[SA 4 Name]")</formula1>
    </dataValidation>
    <dataValidation type="list" allowBlank="1" showInputMessage="1" showErrorMessage="1" sqref="E10" xr:uid="{3E5D42A7-7A09-4510-8DDD-588AA6407F0E}">
      <formula1>INDIRECT("Table_AustralianStates[Common Name]")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62B84F-4810-409F-833E-2B6FEFE97939}">
  <dimension ref="A1:AA350"/>
  <sheetViews>
    <sheetView showGridLines="0" topLeftCell="A176" zoomScale="70" zoomScaleNormal="70" workbookViewId="0">
      <selection activeCell="A46" sqref="A46"/>
    </sheetView>
  </sheetViews>
  <sheetFormatPr defaultRowHeight="15.75" x14ac:dyDescent="0.25"/>
  <cols>
    <col min="1" max="1" width="30.7109375" customWidth="1"/>
    <col min="2" max="2" width="4.7109375" customWidth="1"/>
    <col min="3" max="3" width="4.7109375" style="1" customWidth="1"/>
    <col min="4" max="4" width="79" style="1" customWidth="1"/>
    <col min="5" max="15" width="30.7109375" style="1" customWidth="1"/>
    <col min="16" max="16" width="4.7109375" style="1" customWidth="1"/>
    <col min="17" max="18" width="4.7109375" style="91" customWidth="1"/>
    <col min="19" max="24" width="30.7109375" style="91" customWidth="1"/>
    <col min="25" max="25" width="4.7109375" style="91" customWidth="1"/>
  </cols>
  <sheetData>
    <row r="1" spans="1:25" s="16" customFormat="1" ht="30" customHeight="1" x14ac:dyDescent="0.35">
      <c r="A1" s="16" t="e" vm="1">
        <v>#VALUE!</v>
      </c>
      <c r="C1" s="16" t="s">
        <v>184</v>
      </c>
      <c r="Q1" s="91"/>
      <c r="R1" s="91"/>
      <c r="S1" s="91"/>
      <c r="T1" s="91"/>
      <c r="U1" s="91"/>
      <c r="V1" s="91"/>
      <c r="W1" s="91"/>
      <c r="X1" s="91"/>
      <c r="Y1" s="91"/>
    </row>
    <row r="2" spans="1:25" s="3" customFormat="1" ht="20.100000000000001" customHeight="1" x14ac:dyDescent="0.25">
      <c r="A2"/>
      <c r="Q2" s="91"/>
      <c r="R2" s="91"/>
      <c r="S2" s="91"/>
      <c r="T2" s="91"/>
      <c r="U2" s="91"/>
      <c r="V2" s="91"/>
      <c r="W2" s="91"/>
      <c r="X2" s="91"/>
      <c r="Y2" s="91"/>
    </row>
    <row r="3" spans="1:25" ht="20.100000000000001" customHeight="1" x14ac:dyDescent="0.25">
      <c r="A3" s="5" t="str">
        <f>HYPERLINK("#'Home'!A1", "Home")</f>
        <v>Home</v>
      </c>
      <c r="C3" s="39"/>
      <c r="D3" s="39"/>
      <c r="E3" s="39"/>
      <c r="F3" s="39"/>
      <c r="G3" s="39"/>
      <c r="H3" s="39"/>
      <c r="I3" s="39"/>
      <c r="J3" s="39"/>
      <c r="K3" s="39"/>
      <c r="L3" s="39"/>
      <c r="M3" s="39"/>
      <c r="N3" s="39"/>
      <c r="O3" s="39"/>
      <c r="P3" s="39"/>
    </row>
    <row r="4" spans="1:25" ht="20.100000000000001" customHeight="1" x14ac:dyDescent="0.25">
      <c r="A4" s="5" t="str">
        <f>HYPERLINK("#'Results'!A1", "Results")</f>
        <v>Results</v>
      </c>
    </row>
    <row r="5" spans="1:25" ht="20.100000000000001" customHeight="1" x14ac:dyDescent="0.25">
      <c r="D5" s="2" t="s">
        <v>185</v>
      </c>
      <c r="P5" s="35"/>
      <c r="T5" s="32"/>
    </row>
    <row r="6" spans="1:25" ht="20.100000000000001" customHeight="1" x14ac:dyDescent="0.25">
      <c r="P6" s="35"/>
      <c r="T6" s="32"/>
    </row>
    <row r="7" spans="1:25" ht="20.100000000000001" customHeight="1" x14ac:dyDescent="0.25">
      <c r="A7" s="7" t="s">
        <v>0</v>
      </c>
      <c r="D7" s="1" t="s">
        <v>107</v>
      </c>
      <c r="E7" s="25" t="str">
        <f>X_Cell_Site_State</f>
        <v>Western Australia</v>
      </c>
      <c r="P7" s="35"/>
      <c r="T7" s="32"/>
    </row>
    <row r="8" spans="1:25" ht="20.100000000000001" customHeight="1" x14ac:dyDescent="0.25">
      <c r="A8" s="5" t="str">
        <f>HYPERLINK("#'Input - Enterprise'!A1", "Enterprise")</f>
        <v>Enterprise</v>
      </c>
      <c r="D8" s="1" t="s">
        <v>186</v>
      </c>
      <c r="E8" s="23" t="s">
        <v>187</v>
      </c>
      <c r="F8" s="26" t="s">
        <v>109</v>
      </c>
      <c r="P8" s="35"/>
      <c r="T8" s="32"/>
    </row>
    <row r="9" spans="1:25" ht="20.100000000000001" customHeight="1" x14ac:dyDescent="0.25">
      <c r="A9" s="5" t="str">
        <f>HYPERLINK("#'Input - Site'!A1", "Site")</f>
        <v>Site</v>
      </c>
      <c r="D9" s="1" t="s">
        <v>188</v>
      </c>
      <c r="E9" s="23" t="s">
        <v>189</v>
      </c>
      <c r="F9" s="26" t="s">
        <v>109</v>
      </c>
      <c r="T9" s="32"/>
    </row>
    <row r="10" spans="1:25" ht="20.100000000000001" customHeight="1" x14ac:dyDescent="0.25">
      <c r="A10" s="135" t="str">
        <f>HYPERLINK("#'Input - Pasture Beef'!A1", "Pasture Beef")</f>
        <v>Pasture Beef</v>
      </c>
      <c r="T10" s="32"/>
    </row>
    <row r="11" spans="1:25" ht="20.100000000000001" customHeight="1" x14ac:dyDescent="0.25">
      <c r="A11" s="5" t="str">
        <f>HYPERLINK("#'Input - Pasture Beef (Enteric)'!A1", "Pasture Beef (Enteric)")</f>
        <v>Pasture Beef (Enteric)</v>
      </c>
      <c r="T11" s="32"/>
    </row>
    <row r="12" spans="1:25" ht="20.100000000000001" customHeight="1" x14ac:dyDescent="0.25">
      <c r="A12" s="5" t="str">
        <f>HYPERLINK("#'Input - Pasture'!A1", "Pasture")</f>
        <v>Pasture</v>
      </c>
      <c r="T12" s="32"/>
    </row>
    <row r="13" spans="1:25" ht="20.100000000000001" customHeight="1" x14ac:dyDescent="0.25">
      <c r="A13" s="5" t="str">
        <f>HYPERLINK("#'Input - Fertiliser'!A1", "Fertiliser")</f>
        <v>Fertiliser</v>
      </c>
      <c r="D13" s="46" t="s">
        <v>190</v>
      </c>
      <c r="E13" s="48"/>
      <c r="F13" s="48"/>
      <c r="G13" s="49"/>
      <c r="T13" s="52"/>
    </row>
    <row r="14" spans="1:25" ht="20.100000000000001" customHeight="1" x14ac:dyDescent="0.25">
      <c r="A14" s="5" t="str">
        <f>HYPERLINK("#'Input - Fuel'!A1", "Fuel")</f>
        <v>Fuel</v>
      </c>
      <c r="T14" s="52"/>
    </row>
    <row r="15" spans="1:25" ht="20.100000000000001" customHeight="1" x14ac:dyDescent="0.25">
      <c r="A15" s="5" t="str">
        <f>HYPERLINK("#'Input - Electricity'!A1", "Electricity")</f>
        <v>Electricity</v>
      </c>
      <c r="D15" s="92" t="s">
        <v>191</v>
      </c>
      <c r="T15" s="52"/>
    </row>
    <row r="16" spans="1:25" ht="20.100000000000001" customHeight="1" x14ac:dyDescent="0.25">
      <c r="D16" s="93" t="s">
        <v>192</v>
      </c>
      <c r="E16" s="93" t="s">
        <v>193</v>
      </c>
      <c r="F16" s="93" t="s">
        <v>194</v>
      </c>
      <c r="G16" s="93" t="s">
        <v>195</v>
      </c>
      <c r="H16" s="93" t="s">
        <v>196</v>
      </c>
      <c r="I16" s="93" t="s">
        <v>197</v>
      </c>
      <c r="J16" s="93" t="s">
        <v>198</v>
      </c>
      <c r="K16" s="93" t="s">
        <v>199</v>
      </c>
      <c r="L16" s="93" t="s">
        <v>200</v>
      </c>
      <c r="M16" s="93" t="s">
        <v>201</v>
      </c>
      <c r="N16" s="93" t="s">
        <v>202</v>
      </c>
      <c r="T16" s="52"/>
    </row>
    <row r="17" spans="1:20" ht="20.100000000000001" customHeight="1" x14ac:dyDescent="0.25">
      <c r="D17" s="1" t="s">
        <v>203</v>
      </c>
      <c r="E17" s="25">
        <v>91.25</v>
      </c>
      <c r="F17" s="25">
        <v>91.25</v>
      </c>
      <c r="G17" s="25">
        <v>91.25</v>
      </c>
      <c r="H17" s="25">
        <v>91.25</v>
      </c>
      <c r="I17" s="25">
        <v>91.25</v>
      </c>
      <c r="J17" s="25">
        <v>91.25</v>
      </c>
      <c r="K17" s="25">
        <v>91.25</v>
      </c>
      <c r="L17" s="25">
        <v>91.25</v>
      </c>
      <c r="M17" s="25">
        <v>91.25</v>
      </c>
      <c r="N17" s="25">
        <v>91.25</v>
      </c>
      <c r="O17" s="26" t="s">
        <v>121</v>
      </c>
      <c r="T17" s="32"/>
    </row>
    <row r="18" spans="1:20" ht="20.100000000000001" customHeight="1" x14ac:dyDescent="0.25">
      <c r="A18" s="6" t="s">
        <v>2</v>
      </c>
      <c r="D18" s="1" t="s">
        <v>204</v>
      </c>
      <c r="E18" s="25">
        <v>91.25</v>
      </c>
      <c r="F18" s="25">
        <v>91.25</v>
      </c>
      <c r="G18" s="25">
        <v>91.25</v>
      </c>
      <c r="H18" s="25">
        <v>91.25</v>
      </c>
      <c r="I18" s="25">
        <v>91.25</v>
      </c>
      <c r="J18" s="25">
        <v>91.25</v>
      </c>
      <c r="K18" s="25">
        <v>91.25</v>
      </c>
      <c r="L18" s="25">
        <v>91.25</v>
      </c>
      <c r="M18" s="25">
        <v>91.25</v>
      </c>
      <c r="N18" s="25">
        <v>91.25</v>
      </c>
      <c r="O18" s="26" t="s">
        <v>121</v>
      </c>
      <c r="T18" s="32"/>
    </row>
    <row r="19" spans="1:20" ht="20.100000000000001" customHeight="1" x14ac:dyDescent="0.25">
      <c r="A19" s="5" t="str">
        <f>HYPERLINK("#'3.2.1.1-2 Enteric Methane'!A1", "3.2.1.1-2 Enteric methane")</f>
        <v>3.2.1.1-2 Enteric methane</v>
      </c>
      <c r="D19" s="1" t="s">
        <v>205</v>
      </c>
      <c r="E19" s="25">
        <v>91.25</v>
      </c>
      <c r="F19" s="25">
        <v>91.25</v>
      </c>
      <c r="G19" s="25">
        <v>91.25</v>
      </c>
      <c r="H19" s="25">
        <v>91.25</v>
      </c>
      <c r="I19" s="25">
        <v>91.25</v>
      </c>
      <c r="J19" s="25">
        <v>91.25</v>
      </c>
      <c r="K19" s="25">
        <v>91.25</v>
      </c>
      <c r="L19" s="25">
        <v>91.25</v>
      </c>
      <c r="M19" s="25">
        <v>91.25</v>
      </c>
      <c r="N19" s="25">
        <v>91.25</v>
      </c>
      <c r="O19" s="26" t="s">
        <v>121</v>
      </c>
      <c r="T19" s="32"/>
    </row>
    <row r="20" spans="1:20" ht="20.100000000000001" customHeight="1" x14ac:dyDescent="0.25">
      <c r="A20" s="5" t="str">
        <f>HYPERLINK("#'4.2.1.1-2 Methane'!A1", "4.2.1.1-2 Manure methane")</f>
        <v>4.2.1.1-2 Manure methane</v>
      </c>
      <c r="D20" s="1" t="s">
        <v>206</v>
      </c>
      <c r="E20" s="25">
        <v>91.25</v>
      </c>
      <c r="F20" s="25">
        <v>91.25</v>
      </c>
      <c r="G20" s="25">
        <v>91.25</v>
      </c>
      <c r="H20" s="25">
        <v>91.25</v>
      </c>
      <c r="I20" s="25">
        <v>91.25</v>
      </c>
      <c r="J20" s="25">
        <v>91.25</v>
      </c>
      <c r="K20" s="25">
        <v>91.25</v>
      </c>
      <c r="L20" s="25">
        <v>91.25</v>
      </c>
      <c r="M20" s="25">
        <v>91.25</v>
      </c>
      <c r="N20" s="25">
        <v>91.25</v>
      </c>
      <c r="O20" s="26" t="s">
        <v>121</v>
      </c>
      <c r="T20" s="32"/>
    </row>
    <row r="21" spans="1:20" ht="20.100000000000001" customHeight="1" x14ac:dyDescent="0.25">
      <c r="A21" s="5" t="str">
        <f>HYPERLINK("#'4.2.1.3-4 Soil direct N20'!A1", "4.2.1.3-4 Soil direct N2O")</f>
        <v>4.2.1.3-4 Soil direct N2O</v>
      </c>
      <c r="T21" s="32"/>
    </row>
    <row r="22" spans="1:20" ht="20.100000000000001" customHeight="1" x14ac:dyDescent="0.25">
      <c r="A22" s="5" t="str">
        <f>HYPERLINK("#'4.2.1.5-6 Soil Atmos Dep'!A1", "4.2.1.5-6 Soil atm. deposition")</f>
        <v>4.2.1.5-6 Soil atm. deposition</v>
      </c>
      <c r="D22" s="93" t="s">
        <v>207</v>
      </c>
      <c r="E22" s="93" t="s">
        <v>193</v>
      </c>
      <c r="F22" s="93" t="s">
        <v>194</v>
      </c>
      <c r="G22" s="93" t="s">
        <v>195</v>
      </c>
      <c r="H22" s="93" t="s">
        <v>196</v>
      </c>
      <c r="I22" s="93" t="s">
        <v>197</v>
      </c>
      <c r="J22" s="93" t="s">
        <v>198</v>
      </c>
      <c r="K22" s="93" t="s">
        <v>199</v>
      </c>
      <c r="L22" s="93" t="s">
        <v>200</v>
      </c>
      <c r="M22" s="93" t="s">
        <v>201</v>
      </c>
      <c r="N22" s="93" t="s">
        <v>202</v>
      </c>
      <c r="T22" s="32"/>
    </row>
    <row r="23" spans="1:20" ht="20.100000000000001" customHeight="1" x14ac:dyDescent="0.25">
      <c r="A23" s="5" t="str">
        <f>HYPERLINK("#'4.2.1.7-8 Soil leach runoff'!A1", "4.2.1.7-8 Soil leach &amp; runoff")</f>
        <v>4.2.1.7-8 Soil leach &amp; runoff</v>
      </c>
      <c r="D23" s="1" t="str">
        <f>TEXT(X_Cell_Site_StartDate, "mmmm yyyy")</f>
        <v>January 2025</v>
      </c>
      <c r="E23" s="86">
        <v>31</v>
      </c>
      <c r="F23" s="86">
        <v>31</v>
      </c>
      <c r="G23" s="86">
        <v>31</v>
      </c>
      <c r="H23" s="86">
        <v>31</v>
      </c>
      <c r="I23" s="86">
        <v>31</v>
      </c>
      <c r="J23" s="86">
        <v>31</v>
      </c>
      <c r="K23" s="86">
        <v>31</v>
      </c>
      <c r="L23" s="86">
        <v>31</v>
      </c>
      <c r="M23" s="86">
        <v>31</v>
      </c>
      <c r="N23" s="86">
        <v>31</v>
      </c>
      <c r="O23" s="26" t="s">
        <v>121</v>
      </c>
      <c r="T23" s="32"/>
    </row>
    <row r="24" spans="1:20" ht="20.100000000000001" customHeight="1" x14ac:dyDescent="0.25">
      <c r="A24" s="5" t="str">
        <f>HYPERLINK("#'5.1.1.1-2 Inorganic fert N2O'!A1", "5.1.1.1-2 Inorganic fert N2O")</f>
        <v>5.1.1.1-2 Inorganic fert N2O</v>
      </c>
      <c r="D24" s="1" t="str">
        <f>TEXT(EDATE(X_Cell_Site_StartDate,1), "mmmm yyyy")</f>
        <v>February 2025</v>
      </c>
      <c r="E24" s="86">
        <v>29</v>
      </c>
      <c r="F24" s="86">
        <v>29</v>
      </c>
      <c r="G24" s="86">
        <v>29</v>
      </c>
      <c r="H24" s="86">
        <v>29</v>
      </c>
      <c r="I24" s="86">
        <v>29</v>
      </c>
      <c r="J24" s="86">
        <v>29</v>
      </c>
      <c r="K24" s="86">
        <v>29</v>
      </c>
      <c r="L24" s="86">
        <v>29</v>
      </c>
      <c r="M24" s="86">
        <v>29</v>
      </c>
      <c r="N24" s="86">
        <v>29</v>
      </c>
      <c r="O24" s="26" t="s">
        <v>121</v>
      </c>
      <c r="T24" s="32"/>
    </row>
    <row r="25" spans="1:20" ht="20.100000000000001" customHeight="1" x14ac:dyDescent="0.25">
      <c r="A25" s="5" t="str">
        <f>HYPERLINK("#'5.1.1.3-4 Inorganic fert CO2'!A1", "5.1.1.3-4 Inorganic fert CO2")</f>
        <v>5.1.1.3-4 Inorganic fert CO2</v>
      </c>
      <c r="D25" s="1" t="str">
        <f>TEXT(EDATE(X_Cell_Site_StartDate,2), "mmmm yyyy")</f>
        <v>March 2025</v>
      </c>
      <c r="E25" s="86">
        <v>31</v>
      </c>
      <c r="F25" s="86">
        <v>31</v>
      </c>
      <c r="G25" s="86">
        <v>31</v>
      </c>
      <c r="H25" s="86">
        <v>31</v>
      </c>
      <c r="I25" s="86">
        <v>31</v>
      </c>
      <c r="J25" s="86">
        <v>31</v>
      </c>
      <c r="K25" s="86">
        <v>31</v>
      </c>
      <c r="L25" s="86">
        <v>31</v>
      </c>
      <c r="M25" s="86">
        <v>31</v>
      </c>
      <c r="N25" s="86">
        <v>31</v>
      </c>
      <c r="O25" s="26" t="s">
        <v>121</v>
      </c>
      <c r="T25" s="32"/>
    </row>
    <row r="26" spans="1:20" ht="20.100000000000001" customHeight="1" x14ac:dyDescent="0.25">
      <c r="A26" s="5" t="str">
        <f>HYPERLINK("#'5.2.1.1-2 Organic Fert N2O'!A1", "5.2.1.1-2 Organic fert N2O")</f>
        <v>5.2.1.1-2 Organic fert N2O</v>
      </c>
      <c r="D26" s="1" t="str">
        <f>TEXT(EDATE(X_Cell_Site_StartDate,3), "mmmm yyyy")</f>
        <v>April 2025</v>
      </c>
      <c r="E26" s="86">
        <v>30</v>
      </c>
      <c r="F26" s="86">
        <v>30</v>
      </c>
      <c r="G26" s="86">
        <v>30</v>
      </c>
      <c r="H26" s="86">
        <v>30</v>
      </c>
      <c r="I26" s="86">
        <v>30</v>
      </c>
      <c r="J26" s="86">
        <v>30</v>
      </c>
      <c r="K26" s="86">
        <v>30</v>
      </c>
      <c r="L26" s="86">
        <v>30</v>
      </c>
      <c r="M26" s="86">
        <v>30</v>
      </c>
      <c r="N26" s="86">
        <v>30</v>
      </c>
      <c r="O26" s="26" t="s">
        <v>121</v>
      </c>
      <c r="T26" s="32"/>
    </row>
    <row r="27" spans="1:20" ht="20.100000000000001" customHeight="1" x14ac:dyDescent="0.25">
      <c r="A27" s="5" t="str">
        <f>HYPERLINK("#'5.3.1.1-2 Lime CO2'!A1", "5.3.1.1-2 Lime CO2")</f>
        <v>5.3.1.1-2 Lime CO2</v>
      </c>
      <c r="D27" s="1" t="str">
        <f>TEXT(EDATE(X_Cell_Site_StartDate,4), "mmmm yyyy")</f>
        <v>May 2025</v>
      </c>
      <c r="E27" s="86">
        <v>31</v>
      </c>
      <c r="F27" s="86">
        <v>31</v>
      </c>
      <c r="G27" s="86">
        <v>31</v>
      </c>
      <c r="H27" s="86">
        <v>31</v>
      </c>
      <c r="I27" s="86">
        <v>31</v>
      </c>
      <c r="J27" s="86">
        <v>31</v>
      </c>
      <c r="K27" s="86">
        <v>31</v>
      </c>
      <c r="L27" s="86">
        <v>31</v>
      </c>
      <c r="M27" s="86">
        <v>31</v>
      </c>
      <c r="N27" s="86">
        <v>31</v>
      </c>
      <c r="O27" s="26" t="s">
        <v>121</v>
      </c>
      <c r="T27" s="32"/>
    </row>
    <row r="28" spans="1:20" ht="20.100000000000001" customHeight="1" x14ac:dyDescent="0.25">
      <c r="A28" s="5" t="str">
        <f>HYPERLINK("#'5.4.1.1-4 Atmos deposition'!A1", "5.4.1.1-4 Atmos. deposition")</f>
        <v>5.4.1.1-4 Atmos. deposition</v>
      </c>
      <c r="D28" s="1" t="str">
        <f>TEXT(EDATE(X_Cell_Site_StartDate,5), "mmmm yyyy")</f>
        <v>June 2025</v>
      </c>
      <c r="E28" s="86">
        <v>30</v>
      </c>
      <c r="F28" s="86">
        <v>30</v>
      </c>
      <c r="G28" s="86">
        <v>30</v>
      </c>
      <c r="H28" s="86">
        <v>30</v>
      </c>
      <c r="I28" s="86">
        <v>30</v>
      </c>
      <c r="J28" s="86">
        <v>30</v>
      </c>
      <c r="K28" s="86">
        <v>30</v>
      </c>
      <c r="L28" s="86">
        <v>30</v>
      </c>
      <c r="M28" s="86">
        <v>30</v>
      </c>
      <c r="N28" s="86">
        <v>30</v>
      </c>
      <c r="O28" s="26" t="s">
        <v>121</v>
      </c>
      <c r="T28" s="32"/>
    </row>
    <row r="29" spans="1:20" ht="20.100000000000001" customHeight="1" x14ac:dyDescent="0.25">
      <c r="A29" s="5" t="str">
        <f>HYPERLINK("#'5.5.1.1-2 Leaching and runoff'!A1", "5.5.1.1-2 Leaching &amp; runoff")</f>
        <v>5.5.1.1-2 Leaching &amp; runoff</v>
      </c>
      <c r="D29" s="1" t="str">
        <f>TEXT(EDATE(X_Cell_Site_StartDate,6), "mmmm yyyy")</f>
        <v>July 2025</v>
      </c>
      <c r="E29" s="86">
        <v>31</v>
      </c>
      <c r="F29" s="86">
        <v>31</v>
      </c>
      <c r="G29" s="86">
        <v>31</v>
      </c>
      <c r="H29" s="86">
        <v>31</v>
      </c>
      <c r="I29" s="86">
        <v>31</v>
      </c>
      <c r="J29" s="86">
        <v>31</v>
      </c>
      <c r="K29" s="86">
        <v>31</v>
      </c>
      <c r="L29" s="86">
        <v>31</v>
      </c>
      <c r="M29" s="86">
        <v>31</v>
      </c>
      <c r="N29" s="86">
        <v>31</v>
      </c>
      <c r="O29" s="26" t="s">
        <v>121</v>
      </c>
      <c r="T29" s="32"/>
    </row>
    <row r="30" spans="1:20" ht="20.100000000000001" customHeight="1" x14ac:dyDescent="0.25">
      <c r="A30" s="5" t="str">
        <f>HYPERLINK("#'6.2.1.1-2 Pasture residue N2O'!A1", "6.2.1.1-2 Pasture residue N2O")</f>
        <v>6.2.1.1-2 Pasture residue N2O</v>
      </c>
      <c r="D30" s="1" t="str">
        <f>TEXT(EDATE(X_Cell_Site_StartDate,7), "mmmm yyyy")</f>
        <v>August 2025</v>
      </c>
      <c r="E30" s="86">
        <v>31</v>
      </c>
      <c r="F30" s="86">
        <v>31</v>
      </c>
      <c r="G30" s="86">
        <v>31</v>
      </c>
      <c r="H30" s="86">
        <v>31</v>
      </c>
      <c r="I30" s="86">
        <v>31</v>
      </c>
      <c r="J30" s="86">
        <v>31</v>
      </c>
      <c r="K30" s="86">
        <v>31</v>
      </c>
      <c r="L30" s="86">
        <v>31</v>
      </c>
      <c r="M30" s="86">
        <v>31</v>
      </c>
      <c r="N30" s="86">
        <v>31</v>
      </c>
      <c r="O30" s="26" t="s">
        <v>121</v>
      </c>
      <c r="T30" s="32"/>
    </row>
    <row r="31" spans="1:20" ht="20.100000000000001" customHeight="1" x14ac:dyDescent="0.25">
      <c r="A31" s="5" t="str">
        <f>HYPERLINK("#'6.3.1.1-2 Leach runoff pasture'!A1", "6.3.1.1-2 Leach &amp; runoff (pasture)")</f>
        <v>6.3.1.1-2 Leach &amp; runoff (pasture)</v>
      </c>
      <c r="D31" s="1" t="str">
        <f>TEXT(EDATE(X_Cell_Site_StartDate,8), "mmmm yyyy")</f>
        <v>September 2025</v>
      </c>
      <c r="E31" s="86">
        <v>30</v>
      </c>
      <c r="F31" s="86">
        <v>30</v>
      </c>
      <c r="G31" s="86">
        <v>30</v>
      </c>
      <c r="H31" s="86">
        <v>30</v>
      </c>
      <c r="I31" s="86">
        <v>30</v>
      </c>
      <c r="J31" s="86">
        <v>30</v>
      </c>
      <c r="K31" s="86">
        <v>30</v>
      </c>
      <c r="L31" s="86">
        <v>30</v>
      </c>
      <c r="M31" s="86">
        <v>30</v>
      </c>
      <c r="N31" s="86">
        <v>30</v>
      </c>
      <c r="O31" s="26" t="s">
        <v>121</v>
      </c>
      <c r="T31" s="32"/>
    </row>
    <row r="32" spans="1:20" ht="20.100000000000001" customHeight="1" x14ac:dyDescent="0.25">
      <c r="A32" s="5" t="str">
        <f>HYPERLINK("#'8.1.1.1-2 Transport fuel'!A1", "8.1.1.1-2 Transport fuel")</f>
        <v>8.1.1.1-2 Transport fuel</v>
      </c>
      <c r="D32" s="1" t="str">
        <f>TEXT(EDATE(X_Cell_Site_StartDate,9), "mmmm yyyy")</f>
        <v>October 2025</v>
      </c>
      <c r="E32" s="86">
        <v>31</v>
      </c>
      <c r="F32" s="86">
        <v>31</v>
      </c>
      <c r="G32" s="86">
        <v>31</v>
      </c>
      <c r="H32" s="86">
        <v>31</v>
      </c>
      <c r="I32" s="86">
        <v>31</v>
      </c>
      <c r="J32" s="86">
        <v>31</v>
      </c>
      <c r="K32" s="86">
        <v>31</v>
      </c>
      <c r="L32" s="86">
        <v>31</v>
      </c>
      <c r="M32" s="86">
        <v>31</v>
      </c>
      <c r="N32" s="86">
        <v>31</v>
      </c>
      <c r="O32" s="26" t="s">
        <v>121</v>
      </c>
      <c r="T32" s="32"/>
    </row>
    <row r="33" spans="1:20" ht="20.100000000000001" customHeight="1" x14ac:dyDescent="0.25">
      <c r="A33" s="5" t="str">
        <f>HYPERLINK("#'8.2.1.1-2 Stationary fuel'!A1", "8.2.1.1-2 Stationary fuel")</f>
        <v>8.2.1.1-2 Stationary fuel</v>
      </c>
      <c r="D33" s="1" t="str">
        <f>TEXT(EDATE(X_Cell_Site_StartDate,10), "mmmm yyyy")</f>
        <v>November 2025</v>
      </c>
      <c r="E33" s="86">
        <v>30</v>
      </c>
      <c r="F33" s="86">
        <v>30</v>
      </c>
      <c r="G33" s="86">
        <v>30</v>
      </c>
      <c r="H33" s="86">
        <v>30</v>
      </c>
      <c r="I33" s="86">
        <v>30</v>
      </c>
      <c r="J33" s="86">
        <v>30</v>
      </c>
      <c r="K33" s="86">
        <v>30</v>
      </c>
      <c r="L33" s="86">
        <v>30</v>
      </c>
      <c r="M33" s="86">
        <v>30</v>
      </c>
      <c r="N33" s="86">
        <v>30</v>
      </c>
      <c r="O33" s="26" t="s">
        <v>121</v>
      </c>
      <c r="T33" s="32"/>
    </row>
    <row r="34" spans="1:20" ht="20.100000000000001" customHeight="1" x14ac:dyDescent="0.25">
      <c r="A34" s="5" t="str">
        <f>HYPERLINK("#'14.1.1-2 Purchased electricity'!A1", "14.1.1-2 Purchased electricity")</f>
        <v>14.1.1-2 Purchased electricity</v>
      </c>
      <c r="D34" s="1" t="str">
        <f>TEXT(EDATE(X_Cell_Site_StartDate,11), "mmmm yyyy")</f>
        <v>December 2025</v>
      </c>
      <c r="E34" s="86">
        <v>31</v>
      </c>
      <c r="F34" s="86">
        <v>31</v>
      </c>
      <c r="G34" s="86">
        <v>31</v>
      </c>
      <c r="H34" s="86">
        <v>31</v>
      </c>
      <c r="I34" s="86">
        <v>31</v>
      </c>
      <c r="J34" s="86">
        <v>31</v>
      </c>
      <c r="K34" s="86">
        <v>31</v>
      </c>
      <c r="L34" s="86">
        <v>31</v>
      </c>
      <c r="M34" s="86">
        <v>31</v>
      </c>
      <c r="N34" s="86">
        <v>31</v>
      </c>
      <c r="O34" s="26" t="s">
        <v>121</v>
      </c>
      <c r="T34" s="32"/>
    </row>
    <row r="35" spans="1:20" ht="20.100000000000001" customHeight="1" x14ac:dyDescent="0.25">
      <c r="T35" s="32"/>
    </row>
    <row r="36" spans="1:20" ht="20.100000000000001" customHeight="1" x14ac:dyDescent="0.25">
      <c r="T36" s="32"/>
    </row>
    <row r="37" spans="1:20" ht="20.100000000000001" customHeight="1" x14ac:dyDescent="0.25">
      <c r="A37" s="251" t="s">
        <v>1</v>
      </c>
      <c r="D37" s="92" t="s">
        <v>208</v>
      </c>
      <c r="T37" s="32"/>
    </row>
    <row r="38" spans="1:20" ht="20.100000000000001" customHeight="1" x14ac:dyDescent="0.25">
      <c r="A38" s="5" t="str">
        <f>HYPERLINK("#'Constants - Pasture Beef'!A1", "Constants - Pasture Beef")</f>
        <v>Constants - Pasture Beef</v>
      </c>
      <c r="D38" s="93" t="s">
        <v>209</v>
      </c>
      <c r="E38" s="93" t="s">
        <v>193</v>
      </c>
      <c r="F38" s="93" t="s">
        <v>194</v>
      </c>
      <c r="G38" s="93" t="s">
        <v>195</v>
      </c>
      <c r="H38" s="93" t="s">
        <v>196</v>
      </c>
      <c r="I38" s="93" t="s">
        <v>197</v>
      </c>
      <c r="J38" s="93" t="s">
        <v>198</v>
      </c>
      <c r="K38" s="93" t="s">
        <v>199</v>
      </c>
      <c r="L38" s="93" t="s">
        <v>200</v>
      </c>
      <c r="M38" s="93" t="s">
        <v>201</v>
      </c>
      <c r="N38" s="93" t="s">
        <v>202</v>
      </c>
      <c r="T38" s="32"/>
    </row>
    <row r="39" spans="1:20" ht="20.100000000000001" customHeight="1" x14ac:dyDescent="0.25">
      <c r="A39" s="5" t="str">
        <f>HYPERLINK("#'Constants - Ag Residue'!A1", "Constants - Ag residue")</f>
        <v>Constants - Ag residue</v>
      </c>
      <c r="D39" s="1" t="s">
        <v>203</v>
      </c>
      <c r="E39" s="86">
        <v>100</v>
      </c>
      <c r="F39" s="86">
        <v>100</v>
      </c>
      <c r="G39" s="86">
        <v>100</v>
      </c>
      <c r="H39" s="86">
        <v>100</v>
      </c>
      <c r="I39" s="86">
        <v>100</v>
      </c>
      <c r="J39" s="86">
        <v>100</v>
      </c>
      <c r="K39" s="86">
        <v>100</v>
      </c>
      <c r="L39" s="86">
        <v>100</v>
      </c>
      <c r="M39" s="86">
        <v>100</v>
      </c>
      <c r="N39" s="86">
        <v>100</v>
      </c>
      <c r="O39" s="26" t="s">
        <v>208</v>
      </c>
      <c r="T39" s="32"/>
    </row>
    <row r="40" spans="1:20" ht="20.100000000000001" customHeight="1" x14ac:dyDescent="0.25">
      <c r="A40" s="5" t="str">
        <f>HYPERLINK("#'Constants - Common Livestock'!A1", "Constants - Common Livestock")</f>
        <v>Constants - Common Livestock</v>
      </c>
      <c r="D40" s="1" t="s">
        <v>204</v>
      </c>
      <c r="E40" s="86">
        <v>100</v>
      </c>
      <c r="F40" s="86">
        <v>100</v>
      </c>
      <c r="G40" s="86">
        <v>100</v>
      </c>
      <c r="H40" s="86">
        <v>100</v>
      </c>
      <c r="I40" s="86">
        <v>100</v>
      </c>
      <c r="J40" s="86">
        <v>100</v>
      </c>
      <c r="K40" s="86">
        <v>100</v>
      </c>
      <c r="L40" s="86">
        <v>100</v>
      </c>
      <c r="M40" s="86">
        <v>100</v>
      </c>
      <c r="N40" s="86">
        <v>100</v>
      </c>
      <c r="O40" s="26" t="s">
        <v>208</v>
      </c>
      <c r="T40" s="32"/>
    </row>
    <row r="41" spans="1:20" ht="20.100000000000001" customHeight="1" x14ac:dyDescent="0.25">
      <c r="A41" s="5" t="str">
        <f>HYPERLINK("#'Constants - Electricity'!A1", "Constants - Electricity")</f>
        <v>Constants - Electricity</v>
      </c>
      <c r="D41" s="1" t="s">
        <v>205</v>
      </c>
      <c r="E41" s="86">
        <v>100</v>
      </c>
      <c r="F41" s="86">
        <v>100</v>
      </c>
      <c r="G41" s="86">
        <v>100</v>
      </c>
      <c r="H41" s="86">
        <v>100</v>
      </c>
      <c r="I41" s="86">
        <v>100</v>
      </c>
      <c r="J41" s="86">
        <v>100</v>
      </c>
      <c r="K41" s="86">
        <v>100</v>
      </c>
      <c r="L41" s="86">
        <v>100</v>
      </c>
      <c r="M41" s="86">
        <v>100</v>
      </c>
      <c r="N41" s="86">
        <v>100</v>
      </c>
      <c r="O41" s="26" t="s">
        <v>208</v>
      </c>
      <c r="T41" s="32"/>
    </row>
    <row r="42" spans="1:20" ht="20.100000000000001" customHeight="1" x14ac:dyDescent="0.25">
      <c r="A42" s="5" t="str">
        <f>HYPERLINK("#'Constants - Fertiliser'!A1", "Constants - Fertiliser")</f>
        <v>Constants - Fertiliser</v>
      </c>
      <c r="D42" s="1" t="s">
        <v>206</v>
      </c>
      <c r="E42" s="86">
        <v>100</v>
      </c>
      <c r="F42" s="86">
        <v>100</v>
      </c>
      <c r="G42" s="86">
        <v>100</v>
      </c>
      <c r="H42" s="86">
        <v>100</v>
      </c>
      <c r="I42" s="86">
        <v>100</v>
      </c>
      <c r="J42" s="86">
        <v>100</v>
      </c>
      <c r="K42" s="86">
        <v>100</v>
      </c>
      <c r="L42" s="86">
        <v>100</v>
      </c>
      <c r="M42" s="86">
        <v>100</v>
      </c>
      <c r="N42" s="86">
        <v>100</v>
      </c>
      <c r="O42" s="26" t="s">
        <v>208</v>
      </c>
      <c r="T42" s="32"/>
    </row>
    <row r="43" spans="1:20" ht="20.100000000000001" customHeight="1" x14ac:dyDescent="0.25">
      <c r="A43" s="5" t="str">
        <f>HYPERLINK("#'Constants - Fuel'!A1", "Constants - Fuel")</f>
        <v>Constants - Fuel</v>
      </c>
      <c r="O43" s="26"/>
      <c r="T43" s="32"/>
    </row>
    <row r="44" spans="1:20" ht="20.100000000000001" customHeight="1" x14ac:dyDescent="0.25">
      <c r="A44" s="5" t="str">
        <f>HYPERLINK("#'Constants - Common'!A1", "Constants - Common")</f>
        <v>Constants - Common</v>
      </c>
      <c r="D44" s="93" t="s">
        <v>210</v>
      </c>
      <c r="E44" s="93" t="s">
        <v>193</v>
      </c>
      <c r="F44" s="93" t="s">
        <v>194</v>
      </c>
      <c r="G44" s="93" t="s">
        <v>195</v>
      </c>
      <c r="H44" s="93" t="s">
        <v>196</v>
      </c>
      <c r="I44" s="93" t="s">
        <v>197</v>
      </c>
      <c r="J44" s="93" t="s">
        <v>198</v>
      </c>
      <c r="K44" s="93" t="s">
        <v>199</v>
      </c>
      <c r="L44" s="93" t="s">
        <v>200</v>
      </c>
      <c r="M44" s="93" t="s">
        <v>201</v>
      </c>
      <c r="N44" s="93" t="s">
        <v>202</v>
      </c>
      <c r="O44" s="26"/>
      <c r="T44" s="32"/>
    </row>
    <row r="45" spans="1:20" ht="20.100000000000001" customHeight="1" x14ac:dyDescent="0.25">
      <c r="A45" s="5" t="str">
        <f>HYPERLINK("#'Acknowledgements'!A1", "Acknowledgements")</f>
        <v>Acknowledgements</v>
      </c>
      <c r="D45" s="1" t="str">
        <f>TEXT(X_Cell_Site_StartDate, "mmmm yyyy")</f>
        <v>January 2025</v>
      </c>
      <c r="E45" s="86">
        <v>100</v>
      </c>
      <c r="F45" s="86">
        <v>100</v>
      </c>
      <c r="G45" s="86">
        <v>100</v>
      </c>
      <c r="H45" s="86">
        <v>100</v>
      </c>
      <c r="I45" s="86">
        <v>100</v>
      </c>
      <c r="J45" s="86">
        <v>100</v>
      </c>
      <c r="K45" s="86">
        <v>100</v>
      </c>
      <c r="L45" s="86">
        <v>100</v>
      </c>
      <c r="M45" s="86">
        <v>100</v>
      </c>
      <c r="N45" s="86">
        <v>100</v>
      </c>
      <c r="O45" s="26" t="s">
        <v>208</v>
      </c>
      <c r="T45" s="32"/>
    </row>
    <row r="46" spans="1:20" ht="20.100000000000001" customHeight="1" x14ac:dyDescent="0.25">
      <c r="A46" s="5" t="str">
        <f>HYPERLINK("#'Overview'!A1", "Overview")</f>
        <v>Overview</v>
      </c>
      <c r="D46" s="1" t="str">
        <f>TEXT(EDATE(X_Cell_Site_StartDate,1), "mmmm yyyy")</f>
        <v>February 2025</v>
      </c>
      <c r="E46" s="86">
        <v>100</v>
      </c>
      <c r="F46" s="86">
        <v>100</v>
      </c>
      <c r="G46" s="86">
        <v>100</v>
      </c>
      <c r="H46" s="86">
        <v>100</v>
      </c>
      <c r="I46" s="86">
        <v>100</v>
      </c>
      <c r="J46" s="86">
        <v>100</v>
      </c>
      <c r="K46" s="86">
        <v>100</v>
      </c>
      <c r="L46" s="86">
        <v>100</v>
      </c>
      <c r="M46" s="86">
        <v>100</v>
      </c>
      <c r="N46" s="86">
        <v>100</v>
      </c>
      <c r="O46" s="26" t="s">
        <v>208</v>
      </c>
      <c r="T46" s="32"/>
    </row>
    <row r="47" spans="1:20" ht="20.100000000000001" customHeight="1" x14ac:dyDescent="0.25">
      <c r="D47" s="1" t="str">
        <f>TEXT(EDATE(X_Cell_Site_StartDate,2), "mmmm yyyy")</f>
        <v>March 2025</v>
      </c>
      <c r="E47" s="86">
        <v>100</v>
      </c>
      <c r="F47" s="86">
        <v>100</v>
      </c>
      <c r="G47" s="86">
        <v>100</v>
      </c>
      <c r="H47" s="86">
        <v>100</v>
      </c>
      <c r="I47" s="86">
        <v>100</v>
      </c>
      <c r="J47" s="86">
        <v>100</v>
      </c>
      <c r="K47" s="86">
        <v>100</v>
      </c>
      <c r="L47" s="86">
        <v>100</v>
      </c>
      <c r="M47" s="86">
        <v>100</v>
      </c>
      <c r="N47" s="86">
        <v>100</v>
      </c>
      <c r="O47" s="26" t="s">
        <v>208</v>
      </c>
      <c r="T47" s="32"/>
    </row>
    <row r="48" spans="1:20" ht="20.100000000000001" customHeight="1" x14ac:dyDescent="0.25">
      <c r="D48" s="1" t="str">
        <f>TEXT(EDATE(X_Cell_Site_StartDate,3), "mmmm yyyy")</f>
        <v>April 2025</v>
      </c>
      <c r="E48" s="86">
        <v>100</v>
      </c>
      <c r="F48" s="86">
        <v>100</v>
      </c>
      <c r="G48" s="86">
        <v>100</v>
      </c>
      <c r="H48" s="86">
        <v>100</v>
      </c>
      <c r="I48" s="86">
        <v>100</v>
      </c>
      <c r="J48" s="86">
        <v>100</v>
      </c>
      <c r="K48" s="86">
        <v>100</v>
      </c>
      <c r="L48" s="86">
        <v>100</v>
      </c>
      <c r="M48" s="86">
        <v>100</v>
      </c>
      <c r="N48" s="86">
        <v>100</v>
      </c>
      <c r="O48" s="26" t="s">
        <v>208</v>
      </c>
      <c r="T48" s="32"/>
    </row>
    <row r="49" spans="4:20" ht="20.100000000000001" customHeight="1" x14ac:dyDescent="0.25">
      <c r="D49" s="1" t="str">
        <f>TEXT(EDATE(X_Cell_Site_StartDate,4), "mmmm yyyy")</f>
        <v>May 2025</v>
      </c>
      <c r="E49" s="86">
        <v>100</v>
      </c>
      <c r="F49" s="86">
        <v>100</v>
      </c>
      <c r="G49" s="86">
        <v>100</v>
      </c>
      <c r="H49" s="86">
        <v>100</v>
      </c>
      <c r="I49" s="86">
        <v>100</v>
      </c>
      <c r="J49" s="86">
        <v>100</v>
      </c>
      <c r="K49" s="86">
        <v>100</v>
      </c>
      <c r="L49" s="86">
        <v>100</v>
      </c>
      <c r="M49" s="86">
        <v>100</v>
      </c>
      <c r="N49" s="86">
        <v>100</v>
      </c>
      <c r="O49" s="26" t="s">
        <v>208</v>
      </c>
      <c r="T49" s="32"/>
    </row>
    <row r="50" spans="4:20" ht="20.100000000000001" customHeight="1" x14ac:dyDescent="0.25">
      <c r="D50" s="1" t="str">
        <f>TEXT(EDATE(X_Cell_Site_StartDate,5), "mmmm yyyy")</f>
        <v>June 2025</v>
      </c>
      <c r="E50" s="86">
        <v>100</v>
      </c>
      <c r="F50" s="86">
        <v>100</v>
      </c>
      <c r="G50" s="86">
        <v>100</v>
      </c>
      <c r="H50" s="86">
        <v>100</v>
      </c>
      <c r="I50" s="86">
        <v>100</v>
      </c>
      <c r="J50" s="86">
        <v>100</v>
      </c>
      <c r="K50" s="86">
        <v>100</v>
      </c>
      <c r="L50" s="86">
        <v>100</v>
      </c>
      <c r="M50" s="86">
        <v>100</v>
      </c>
      <c r="N50" s="86">
        <v>100</v>
      </c>
      <c r="O50" s="26" t="s">
        <v>208</v>
      </c>
      <c r="P50" s="35"/>
      <c r="T50" s="32"/>
    </row>
    <row r="51" spans="4:20" ht="20.100000000000001" customHeight="1" x14ac:dyDescent="0.25">
      <c r="D51" s="1" t="str">
        <f>TEXT(EDATE(X_Cell_Site_StartDate,6), "mmmm yyyy")</f>
        <v>July 2025</v>
      </c>
      <c r="E51" s="86">
        <v>100</v>
      </c>
      <c r="F51" s="86">
        <v>100</v>
      </c>
      <c r="G51" s="86">
        <v>100</v>
      </c>
      <c r="H51" s="86">
        <v>100</v>
      </c>
      <c r="I51" s="86">
        <v>100</v>
      </c>
      <c r="J51" s="86">
        <v>100</v>
      </c>
      <c r="K51" s="86">
        <v>100</v>
      </c>
      <c r="L51" s="86">
        <v>100</v>
      </c>
      <c r="M51" s="86">
        <v>100</v>
      </c>
      <c r="N51" s="86">
        <v>100</v>
      </c>
      <c r="O51" s="26" t="s">
        <v>208</v>
      </c>
      <c r="P51" s="35"/>
      <c r="T51" s="32"/>
    </row>
    <row r="52" spans="4:20" ht="20.100000000000001" customHeight="1" x14ac:dyDescent="0.25">
      <c r="D52" s="1" t="str">
        <f>TEXT(EDATE(X_Cell_Site_StartDate,7), "mmmm yyyy")</f>
        <v>August 2025</v>
      </c>
      <c r="E52" s="86">
        <v>100</v>
      </c>
      <c r="F52" s="86">
        <v>100</v>
      </c>
      <c r="G52" s="86">
        <v>100</v>
      </c>
      <c r="H52" s="86">
        <v>100</v>
      </c>
      <c r="I52" s="86">
        <v>100</v>
      </c>
      <c r="J52" s="86">
        <v>100</v>
      </c>
      <c r="K52" s="86">
        <v>100</v>
      </c>
      <c r="L52" s="86">
        <v>100</v>
      </c>
      <c r="M52" s="86">
        <v>100</v>
      </c>
      <c r="N52" s="86">
        <v>100</v>
      </c>
      <c r="O52" s="26" t="s">
        <v>208</v>
      </c>
      <c r="P52" s="35"/>
      <c r="T52" s="32"/>
    </row>
    <row r="53" spans="4:20" ht="20.100000000000001" customHeight="1" x14ac:dyDescent="0.25">
      <c r="D53" s="1" t="str">
        <f>TEXT(EDATE(X_Cell_Site_StartDate,8), "mmmm yyyy")</f>
        <v>September 2025</v>
      </c>
      <c r="E53" s="86">
        <v>100</v>
      </c>
      <c r="F53" s="86">
        <v>100</v>
      </c>
      <c r="G53" s="86">
        <v>100</v>
      </c>
      <c r="H53" s="86">
        <v>100</v>
      </c>
      <c r="I53" s="86">
        <v>100</v>
      </c>
      <c r="J53" s="86">
        <v>100</v>
      </c>
      <c r="K53" s="86">
        <v>100</v>
      </c>
      <c r="L53" s="86">
        <v>100</v>
      </c>
      <c r="M53" s="86">
        <v>100</v>
      </c>
      <c r="N53" s="86">
        <v>100</v>
      </c>
      <c r="O53" s="26" t="s">
        <v>208</v>
      </c>
      <c r="P53" s="35"/>
      <c r="T53" s="32"/>
    </row>
    <row r="54" spans="4:20" ht="20.100000000000001" customHeight="1" x14ac:dyDescent="0.25">
      <c r="D54" s="1" t="str">
        <f>TEXT(EDATE(X_Cell_Site_StartDate,9), "mmmm yyyy")</f>
        <v>October 2025</v>
      </c>
      <c r="E54" s="86">
        <v>100</v>
      </c>
      <c r="F54" s="86">
        <v>100</v>
      </c>
      <c r="G54" s="86">
        <v>100</v>
      </c>
      <c r="H54" s="86">
        <v>100</v>
      </c>
      <c r="I54" s="86">
        <v>100</v>
      </c>
      <c r="J54" s="86">
        <v>100</v>
      </c>
      <c r="K54" s="86">
        <v>100</v>
      </c>
      <c r="L54" s="86">
        <v>100</v>
      </c>
      <c r="M54" s="86">
        <v>100</v>
      </c>
      <c r="N54" s="86">
        <v>100</v>
      </c>
      <c r="O54" s="26" t="s">
        <v>208</v>
      </c>
      <c r="P54" s="35"/>
      <c r="T54" s="32"/>
    </row>
    <row r="55" spans="4:20" ht="20.100000000000001" customHeight="1" x14ac:dyDescent="0.25">
      <c r="D55" s="1" t="str">
        <f>TEXT(EDATE(X_Cell_Site_StartDate,10), "mmmm yyyy")</f>
        <v>November 2025</v>
      </c>
      <c r="E55" s="86">
        <v>100</v>
      </c>
      <c r="F55" s="86">
        <v>100</v>
      </c>
      <c r="G55" s="86">
        <v>100</v>
      </c>
      <c r="H55" s="86">
        <v>100</v>
      </c>
      <c r="I55" s="86">
        <v>100</v>
      </c>
      <c r="J55" s="86">
        <v>100</v>
      </c>
      <c r="K55" s="86">
        <v>100</v>
      </c>
      <c r="L55" s="86">
        <v>100</v>
      </c>
      <c r="M55" s="86">
        <v>100</v>
      </c>
      <c r="N55" s="86">
        <v>100</v>
      </c>
      <c r="O55" s="26" t="s">
        <v>208</v>
      </c>
      <c r="P55" s="35"/>
      <c r="T55" s="32"/>
    </row>
    <row r="56" spans="4:20" ht="20.100000000000001" customHeight="1" x14ac:dyDescent="0.25">
      <c r="D56" s="1" t="str">
        <f>TEXT(EDATE(X_Cell_Site_StartDate,11), "mmmm yyyy")</f>
        <v>December 2025</v>
      </c>
      <c r="E56" s="86">
        <v>100</v>
      </c>
      <c r="F56" s="86">
        <v>100</v>
      </c>
      <c r="G56" s="86">
        <v>100</v>
      </c>
      <c r="H56" s="86">
        <v>100</v>
      </c>
      <c r="I56" s="86">
        <v>100</v>
      </c>
      <c r="J56" s="86">
        <v>100</v>
      </c>
      <c r="K56" s="86">
        <v>100</v>
      </c>
      <c r="L56" s="86">
        <v>100</v>
      </c>
      <c r="M56" s="86">
        <v>100</v>
      </c>
      <c r="N56" s="86">
        <v>100</v>
      </c>
      <c r="O56" s="26" t="s">
        <v>208</v>
      </c>
      <c r="P56" s="35"/>
      <c r="T56" s="32"/>
    </row>
    <row r="57" spans="4:20" ht="20.100000000000001" customHeight="1" x14ac:dyDescent="0.25">
      <c r="P57" s="35"/>
      <c r="T57" s="32"/>
    </row>
    <row r="58" spans="4:20" ht="20.100000000000001" customHeight="1" x14ac:dyDescent="0.25">
      <c r="P58" s="35"/>
      <c r="T58" s="32"/>
    </row>
    <row r="59" spans="4:20" ht="20.100000000000001" customHeight="1" x14ac:dyDescent="0.25">
      <c r="D59" s="92" t="s">
        <v>211</v>
      </c>
      <c r="P59" s="35"/>
      <c r="T59" s="32"/>
    </row>
    <row r="60" spans="4:20" ht="20.100000000000001" customHeight="1" x14ac:dyDescent="0.25">
      <c r="D60" s="93" t="s">
        <v>192</v>
      </c>
      <c r="E60" s="93" t="s">
        <v>193</v>
      </c>
      <c r="F60" s="93" t="s">
        <v>194</v>
      </c>
      <c r="G60" s="93" t="s">
        <v>195</v>
      </c>
      <c r="H60" s="93" t="s">
        <v>196</v>
      </c>
      <c r="I60" s="93" t="s">
        <v>197</v>
      </c>
      <c r="J60" s="93" t="s">
        <v>198</v>
      </c>
      <c r="K60" s="93" t="s">
        <v>199</v>
      </c>
      <c r="L60" s="93" t="s">
        <v>200</v>
      </c>
      <c r="M60" s="93" t="s">
        <v>201</v>
      </c>
      <c r="N60" s="93" t="s">
        <v>202</v>
      </c>
      <c r="P60" s="35"/>
      <c r="T60" s="32"/>
    </row>
    <row r="61" spans="4:20" ht="20.100000000000001" customHeight="1" x14ac:dyDescent="0.25">
      <c r="D61" s="1" t="s">
        <v>203</v>
      </c>
      <c r="E61" s="25">
        <v>340</v>
      </c>
      <c r="F61" s="25">
        <v>800</v>
      </c>
      <c r="G61" s="25">
        <v>260</v>
      </c>
      <c r="H61" s="25">
        <v>420</v>
      </c>
      <c r="I61" s="25">
        <v>550</v>
      </c>
      <c r="J61" s="25">
        <v>550</v>
      </c>
      <c r="K61" s="25">
        <v>300</v>
      </c>
      <c r="L61" s="25">
        <v>480</v>
      </c>
      <c r="M61" s="25">
        <v>480</v>
      </c>
      <c r="N61" s="25">
        <v>480</v>
      </c>
      <c r="O61" s="26" t="s">
        <v>212</v>
      </c>
      <c r="P61" s="35"/>
      <c r="T61" s="32"/>
    </row>
    <row r="62" spans="4:20" ht="20.100000000000001" customHeight="1" x14ac:dyDescent="0.25">
      <c r="D62" s="1" t="s">
        <v>204</v>
      </c>
      <c r="E62" s="25">
        <v>380</v>
      </c>
      <c r="F62" s="25">
        <v>780</v>
      </c>
      <c r="G62" s="25">
        <v>300</v>
      </c>
      <c r="H62" s="25">
        <v>450</v>
      </c>
      <c r="I62" s="25">
        <v>530</v>
      </c>
      <c r="J62" s="25">
        <v>530</v>
      </c>
      <c r="K62" s="25">
        <v>340</v>
      </c>
      <c r="L62" s="25">
        <v>470</v>
      </c>
      <c r="M62" s="25">
        <v>470</v>
      </c>
      <c r="N62" s="25">
        <v>470</v>
      </c>
      <c r="O62" s="26" t="s">
        <v>212</v>
      </c>
      <c r="P62" s="35"/>
      <c r="T62" s="32"/>
    </row>
    <row r="63" spans="4:20" ht="20.100000000000001" customHeight="1" x14ac:dyDescent="0.25">
      <c r="D63" s="1" t="s">
        <v>205</v>
      </c>
      <c r="E63" s="25">
        <v>100</v>
      </c>
      <c r="F63" s="25">
        <v>680</v>
      </c>
      <c r="G63" s="25">
        <v>80</v>
      </c>
      <c r="H63" s="25">
        <v>320</v>
      </c>
      <c r="I63" s="25">
        <v>480</v>
      </c>
      <c r="J63" s="25">
        <v>480</v>
      </c>
      <c r="K63" s="25">
        <v>100</v>
      </c>
      <c r="L63" s="25">
        <v>340</v>
      </c>
      <c r="M63" s="25">
        <v>340</v>
      </c>
      <c r="N63" s="25">
        <v>340</v>
      </c>
      <c r="O63" s="26" t="s">
        <v>212</v>
      </c>
      <c r="P63" s="35"/>
      <c r="T63" s="32"/>
    </row>
    <row r="64" spans="4:20" ht="20.100000000000001" customHeight="1" x14ac:dyDescent="0.25">
      <c r="D64" s="1" t="s">
        <v>206</v>
      </c>
      <c r="E64" s="25">
        <v>190</v>
      </c>
      <c r="F64" s="25">
        <v>700</v>
      </c>
      <c r="G64" s="25">
        <v>150</v>
      </c>
      <c r="H64" s="25">
        <v>330</v>
      </c>
      <c r="I64" s="25">
        <v>490</v>
      </c>
      <c r="J64" s="25">
        <v>490</v>
      </c>
      <c r="K64" s="25">
        <v>170</v>
      </c>
      <c r="L64" s="25">
        <v>360</v>
      </c>
      <c r="M64" s="25">
        <v>360</v>
      </c>
      <c r="N64" s="25">
        <v>360</v>
      </c>
      <c r="O64" s="26" t="s">
        <v>212</v>
      </c>
      <c r="P64" s="35"/>
      <c r="T64" s="32"/>
    </row>
    <row r="65" spans="4:20" ht="20.100000000000001" customHeight="1" x14ac:dyDescent="0.25">
      <c r="O65" s="26"/>
      <c r="P65" s="35"/>
      <c r="T65" s="32"/>
    </row>
    <row r="66" spans="4:20" ht="20.100000000000001" customHeight="1" x14ac:dyDescent="0.25">
      <c r="D66" s="93" t="s">
        <v>207</v>
      </c>
      <c r="E66" s="93" t="s">
        <v>193</v>
      </c>
      <c r="F66" s="93" t="s">
        <v>194</v>
      </c>
      <c r="G66" s="93" t="s">
        <v>195</v>
      </c>
      <c r="H66" s="93" t="s">
        <v>196</v>
      </c>
      <c r="I66" s="93" t="s">
        <v>197</v>
      </c>
      <c r="J66" s="93" t="s">
        <v>198</v>
      </c>
      <c r="K66" s="93" t="s">
        <v>199</v>
      </c>
      <c r="L66" s="93" t="s">
        <v>200</v>
      </c>
      <c r="M66" s="93" t="s">
        <v>201</v>
      </c>
      <c r="N66" s="93" t="s">
        <v>202</v>
      </c>
      <c r="O66" s="26"/>
      <c r="P66" s="35"/>
      <c r="T66" s="32"/>
    </row>
    <row r="67" spans="4:20" ht="20.100000000000001" customHeight="1" x14ac:dyDescent="0.25">
      <c r="D67" s="1" t="str">
        <f>TEXT(X_Cell_Site_StartDate, "mmmm yyyy")</f>
        <v>January 2025</v>
      </c>
      <c r="E67" s="86">
        <v>380</v>
      </c>
      <c r="F67" s="86">
        <v>780</v>
      </c>
      <c r="G67" s="86">
        <v>300</v>
      </c>
      <c r="H67" s="86">
        <v>450</v>
      </c>
      <c r="I67" s="86">
        <v>530</v>
      </c>
      <c r="J67" s="86">
        <v>530</v>
      </c>
      <c r="K67" s="86">
        <v>340</v>
      </c>
      <c r="L67" s="86">
        <v>470</v>
      </c>
      <c r="M67" s="86">
        <v>470</v>
      </c>
      <c r="N67" s="86">
        <v>470</v>
      </c>
      <c r="O67" s="26" t="s">
        <v>212</v>
      </c>
      <c r="P67" s="35"/>
      <c r="T67" s="32"/>
    </row>
    <row r="68" spans="4:20" ht="20.100000000000001" customHeight="1" x14ac:dyDescent="0.25">
      <c r="D68" s="1" t="str">
        <f>TEXT(EDATE(X_Cell_Site_StartDate,1), "mmmm yyyy")</f>
        <v>February 2025</v>
      </c>
      <c r="E68" s="86">
        <v>380</v>
      </c>
      <c r="F68" s="86">
        <v>780</v>
      </c>
      <c r="G68" s="86">
        <v>300</v>
      </c>
      <c r="H68" s="86">
        <v>450</v>
      </c>
      <c r="I68" s="86">
        <v>530</v>
      </c>
      <c r="J68" s="86">
        <v>530</v>
      </c>
      <c r="K68" s="86">
        <v>340</v>
      </c>
      <c r="L68" s="86">
        <v>470</v>
      </c>
      <c r="M68" s="86">
        <v>470</v>
      </c>
      <c r="N68" s="86">
        <v>470</v>
      </c>
      <c r="O68" s="26" t="s">
        <v>212</v>
      </c>
      <c r="P68" s="35"/>
      <c r="T68" s="32"/>
    </row>
    <row r="69" spans="4:20" ht="20.100000000000001" customHeight="1" x14ac:dyDescent="0.25">
      <c r="D69" s="1" t="str">
        <f>TEXT(EDATE(X_Cell_Site_StartDate,2), "mmmm yyyy")</f>
        <v>March 2025</v>
      </c>
      <c r="E69" s="86">
        <v>100</v>
      </c>
      <c r="F69" s="86">
        <v>680</v>
      </c>
      <c r="G69" s="86">
        <v>80</v>
      </c>
      <c r="H69" s="86">
        <v>320</v>
      </c>
      <c r="I69" s="86">
        <v>480</v>
      </c>
      <c r="J69" s="86">
        <v>480</v>
      </c>
      <c r="K69" s="86">
        <v>100</v>
      </c>
      <c r="L69" s="86">
        <v>340</v>
      </c>
      <c r="M69" s="86">
        <v>340</v>
      </c>
      <c r="N69" s="86">
        <v>340</v>
      </c>
      <c r="O69" s="26" t="s">
        <v>212</v>
      </c>
      <c r="P69" s="35"/>
      <c r="T69" s="32"/>
    </row>
    <row r="70" spans="4:20" ht="20.100000000000001" customHeight="1" x14ac:dyDescent="0.25">
      <c r="D70" s="1" t="str">
        <f>TEXT(EDATE(X_Cell_Site_StartDate,3), "mmmm yyyy")</f>
        <v>April 2025</v>
      </c>
      <c r="E70" s="86">
        <v>100</v>
      </c>
      <c r="F70" s="86">
        <v>680</v>
      </c>
      <c r="G70" s="86">
        <v>80</v>
      </c>
      <c r="H70" s="86">
        <v>320</v>
      </c>
      <c r="I70" s="86">
        <v>480</v>
      </c>
      <c r="J70" s="86">
        <v>480</v>
      </c>
      <c r="K70" s="86">
        <v>100</v>
      </c>
      <c r="L70" s="86">
        <v>340</v>
      </c>
      <c r="M70" s="86">
        <v>340</v>
      </c>
      <c r="N70" s="86">
        <v>340</v>
      </c>
      <c r="O70" s="26" t="s">
        <v>212</v>
      </c>
      <c r="P70" s="35"/>
      <c r="T70" s="32"/>
    </row>
    <row r="71" spans="4:20" ht="20.100000000000001" customHeight="1" x14ac:dyDescent="0.25">
      <c r="D71" s="1" t="str">
        <f>TEXT(EDATE(X_Cell_Site_StartDate,4), "mmmm yyyy")</f>
        <v>May 2025</v>
      </c>
      <c r="E71" s="86">
        <v>100</v>
      </c>
      <c r="F71" s="86">
        <v>680</v>
      </c>
      <c r="G71" s="86">
        <v>80</v>
      </c>
      <c r="H71" s="86">
        <v>320</v>
      </c>
      <c r="I71" s="86">
        <v>480</v>
      </c>
      <c r="J71" s="86">
        <v>480</v>
      </c>
      <c r="K71" s="86">
        <v>100</v>
      </c>
      <c r="L71" s="86">
        <v>340</v>
      </c>
      <c r="M71" s="86">
        <v>340</v>
      </c>
      <c r="N71" s="86">
        <v>340</v>
      </c>
      <c r="O71" s="26" t="s">
        <v>212</v>
      </c>
      <c r="P71" s="35"/>
      <c r="T71" s="32"/>
    </row>
    <row r="72" spans="4:20" ht="20.100000000000001" customHeight="1" x14ac:dyDescent="0.25">
      <c r="D72" s="1" t="str">
        <f>TEXT(EDATE(X_Cell_Site_StartDate,5), "mmmm yyyy")</f>
        <v>June 2025</v>
      </c>
      <c r="E72" s="86">
        <v>190</v>
      </c>
      <c r="F72" s="86">
        <v>700</v>
      </c>
      <c r="G72" s="86">
        <v>150</v>
      </c>
      <c r="H72" s="86">
        <v>330</v>
      </c>
      <c r="I72" s="86">
        <v>490</v>
      </c>
      <c r="J72" s="86">
        <v>490</v>
      </c>
      <c r="K72" s="86">
        <v>170</v>
      </c>
      <c r="L72" s="86">
        <v>360</v>
      </c>
      <c r="M72" s="86">
        <v>360</v>
      </c>
      <c r="N72" s="86">
        <v>360</v>
      </c>
      <c r="O72" s="26" t="s">
        <v>212</v>
      </c>
      <c r="T72" s="32"/>
    </row>
    <row r="73" spans="4:20" ht="20.100000000000001" customHeight="1" x14ac:dyDescent="0.25">
      <c r="D73" s="1" t="str">
        <f>TEXT(EDATE(X_Cell_Site_StartDate,6), "mmmm yyyy")</f>
        <v>July 2025</v>
      </c>
      <c r="E73" s="86">
        <v>190</v>
      </c>
      <c r="F73" s="86">
        <v>700</v>
      </c>
      <c r="G73" s="86">
        <v>150</v>
      </c>
      <c r="H73" s="86">
        <v>330</v>
      </c>
      <c r="I73" s="86">
        <v>490</v>
      </c>
      <c r="J73" s="86">
        <v>490</v>
      </c>
      <c r="K73" s="86">
        <v>170</v>
      </c>
      <c r="L73" s="86">
        <v>360</v>
      </c>
      <c r="M73" s="86">
        <v>360</v>
      </c>
      <c r="N73" s="86">
        <v>360</v>
      </c>
      <c r="O73" s="26" t="s">
        <v>212</v>
      </c>
      <c r="T73" s="32"/>
    </row>
    <row r="74" spans="4:20" ht="20.100000000000001" customHeight="1" x14ac:dyDescent="0.25">
      <c r="D74" s="1" t="str">
        <f>TEXT(EDATE(X_Cell_Site_StartDate,7), "mmmm yyyy")</f>
        <v>August 2025</v>
      </c>
      <c r="E74" s="86">
        <v>190</v>
      </c>
      <c r="F74" s="86">
        <v>700</v>
      </c>
      <c r="G74" s="86">
        <v>150</v>
      </c>
      <c r="H74" s="86">
        <v>330</v>
      </c>
      <c r="I74" s="86">
        <v>490</v>
      </c>
      <c r="J74" s="86">
        <v>490</v>
      </c>
      <c r="K74" s="86">
        <v>170</v>
      </c>
      <c r="L74" s="86">
        <v>360</v>
      </c>
      <c r="M74" s="86">
        <v>360</v>
      </c>
      <c r="N74" s="86">
        <v>360</v>
      </c>
      <c r="O74" s="26" t="s">
        <v>212</v>
      </c>
      <c r="T74" s="32"/>
    </row>
    <row r="75" spans="4:20" ht="20.100000000000001" customHeight="1" x14ac:dyDescent="0.25">
      <c r="D75" s="1" t="str">
        <f>TEXT(EDATE(X_Cell_Site_StartDate,8), "mmmm yyyy")</f>
        <v>September 2025</v>
      </c>
      <c r="E75" s="86">
        <v>340</v>
      </c>
      <c r="F75" s="86">
        <v>800</v>
      </c>
      <c r="G75" s="86">
        <v>260</v>
      </c>
      <c r="H75" s="86">
        <v>420</v>
      </c>
      <c r="I75" s="86">
        <v>550</v>
      </c>
      <c r="J75" s="86">
        <v>550</v>
      </c>
      <c r="K75" s="86">
        <v>300</v>
      </c>
      <c r="L75" s="86">
        <v>480</v>
      </c>
      <c r="M75" s="86">
        <v>480</v>
      </c>
      <c r="N75" s="86">
        <v>480</v>
      </c>
      <c r="O75" s="26" t="s">
        <v>212</v>
      </c>
      <c r="T75" s="32"/>
    </row>
    <row r="76" spans="4:20" ht="20.100000000000001" customHeight="1" x14ac:dyDescent="0.25">
      <c r="D76" s="1" t="str">
        <f>TEXT(EDATE(X_Cell_Site_StartDate,9), "mmmm yyyy")</f>
        <v>October 2025</v>
      </c>
      <c r="E76" s="86">
        <v>340</v>
      </c>
      <c r="F76" s="86">
        <v>800</v>
      </c>
      <c r="G76" s="86">
        <v>260</v>
      </c>
      <c r="H76" s="86">
        <v>420</v>
      </c>
      <c r="I76" s="86">
        <v>550</v>
      </c>
      <c r="J76" s="86">
        <v>550</v>
      </c>
      <c r="K76" s="86">
        <v>300</v>
      </c>
      <c r="L76" s="86">
        <v>480</v>
      </c>
      <c r="M76" s="86">
        <v>480</v>
      </c>
      <c r="N76" s="86">
        <v>480</v>
      </c>
      <c r="O76" s="26" t="s">
        <v>212</v>
      </c>
      <c r="T76" s="32"/>
    </row>
    <row r="77" spans="4:20" ht="20.100000000000001" customHeight="1" x14ac:dyDescent="0.25">
      <c r="D77" s="1" t="str">
        <f>TEXT(EDATE(X_Cell_Site_StartDate,10), "mmmm yyyy")</f>
        <v>November 2025</v>
      </c>
      <c r="E77" s="86">
        <v>340</v>
      </c>
      <c r="F77" s="86">
        <v>800</v>
      </c>
      <c r="G77" s="86">
        <v>260</v>
      </c>
      <c r="H77" s="86">
        <v>420</v>
      </c>
      <c r="I77" s="86">
        <v>550</v>
      </c>
      <c r="J77" s="86">
        <v>550</v>
      </c>
      <c r="K77" s="86">
        <v>300</v>
      </c>
      <c r="L77" s="86">
        <v>480</v>
      </c>
      <c r="M77" s="86">
        <v>480</v>
      </c>
      <c r="N77" s="86">
        <v>480</v>
      </c>
      <c r="O77" s="26" t="s">
        <v>212</v>
      </c>
      <c r="T77" s="32"/>
    </row>
    <row r="78" spans="4:20" ht="20.100000000000001" customHeight="1" x14ac:dyDescent="0.25">
      <c r="D78" s="1" t="str">
        <f>TEXT(EDATE(X_Cell_Site_StartDate,11), "mmmm yyyy")</f>
        <v>December 2025</v>
      </c>
      <c r="E78" s="86">
        <v>380</v>
      </c>
      <c r="F78" s="86">
        <v>780</v>
      </c>
      <c r="G78" s="86">
        <v>300</v>
      </c>
      <c r="H78" s="86">
        <v>450</v>
      </c>
      <c r="I78" s="86">
        <v>530</v>
      </c>
      <c r="J78" s="86">
        <v>530</v>
      </c>
      <c r="K78" s="86">
        <v>340</v>
      </c>
      <c r="L78" s="86">
        <v>470</v>
      </c>
      <c r="M78" s="86">
        <v>470</v>
      </c>
      <c r="N78" s="86">
        <v>470</v>
      </c>
      <c r="O78" s="26" t="s">
        <v>212</v>
      </c>
      <c r="T78" s="32"/>
    </row>
    <row r="79" spans="4:20" ht="20.100000000000001" customHeight="1" x14ac:dyDescent="0.25">
      <c r="T79" s="32"/>
    </row>
    <row r="80" spans="4:20" ht="20.100000000000001" customHeight="1" x14ac:dyDescent="0.25">
      <c r="T80" s="32"/>
    </row>
    <row r="81" spans="4:20" ht="20.100000000000001" customHeight="1" x14ac:dyDescent="0.25">
      <c r="D81" s="92" t="s">
        <v>213</v>
      </c>
      <c r="T81" s="32"/>
    </row>
    <row r="82" spans="4:20" ht="20.100000000000001" customHeight="1" x14ac:dyDescent="0.25">
      <c r="D82" s="93" t="s">
        <v>192</v>
      </c>
      <c r="E82" s="93" t="s">
        <v>193</v>
      </c>
      <c r="F82" s="93" t="s">
        <v>194</v>
      </c>
      <c r="G82" s="93" t="s">
        <v>195</v>
      </c>
      <c r="H82" s="93" t="s">
        <v>196</v>
      </c>
      <c r="I82" s="93" t="s">
        <v>197</v>
      </c>
      <c r="J82" s="93" t="s">
        <v>198</v>
      </c>
      <c r="K82" s="93" t="s">
        <v>199</v>
      </c>
      <c r="L82" s="93" t="s">
        <v>200</v>
      </c>
      <c r="M82" s="93" t="s">
        <v>201</v>
      </c>
      <c r="N82" s="93" t="s">
        <v>202</v>
      </c>
      <c r="T82" s="32"/>
    </row>
    <row r="83" spans="4:20" ht="20.100000000000001" customHeight="1" x14ac:dyDescent="0.25">
      <c r="D83" s="1" t="s">
        <v>203</v>
      </c>
      <c r="E83" s="25">
        <v>1.64</v>
      </c>
      <c r="F83" s="25">
        <v>1.1000000000000001</v>
      </c>
      <c r="G83" s="25">
        <v>1.21</v>
      </c>
      <c r="H83" s="25">
        <v>0.99</v>
      </c>
      <c r="I83" s="25">
        <v>0.66</v>
      </c>
      <c r="J83" s="25">
        <v>0.66</v>
      </c>
      <c r="K83" s="25">
        <v>1.42</v>
      </c>
      <c r="L83" s="25">
        <v>1.1000000000000001</v>
      </c>
      <c r="M83" s="25">
        <v>1.1000000000000001</v>
      </c>
      <c r="N83" s="25">
        <v>1.1000000000000001</v>
      </c>
      <c r="O83" s="26" t="s">
        <v>214</v>
      </c>
      <c r="T83" s="32"/>
    </row>
    <row r="84" spans="4:20" ht="20.100000000000001" customHeight="1" x14ac:dyDescent="0.25">
      <c r="D84" s="1" t="s">
        <v>204</v>
      </c>
      <c r="E84" s="25">
        <v>0.44</v>
      </c>
      <c r="F84" s="25">
        <v>-0.22</v>
      </c>
      <c r="G84" s="25">
        <v>0.44</v>
      </c>
      <c r="H84" s="25">
        <v>0.33</v>
      </c>
      <c r="I84" s="25">
        <v>-0.22</v>
      </c>
      <c r="J84" s="25">
        <v>-0.22</v>
      </c>
      <c r="K84" s="25">
        <v>0.44</v>
      </c>
      <c r="L84" s="25">
        <v>-0.11</v>
      </c>
      <c r="M84" s="25">
        <v>-0.11</v>
      </c>
      <c r="N84" s="25">
        <v>-0.11</v>
      </c>
      <c r="O84" s="26" t="s">
        <v>214</v>
      </c>
      <c r="T84" s="32"/>
    </row>
    <row r="85" spans="4:20" ht="20.100000000000001" customHeight="1" x14ac:dyDescent="0.25">
      <c r="D85" s="1" t="s">
        <v>205</v>
      </c>
      <c r="E85" s="25">
        <v>0.6</v>
      </c>
      <c r="F85" s="25">
        <v>0</v>
      </c>
      <c r="G85" s="25">
        <v>0.6</v>
      </c>
      <c r="H85" s="25">
        <v>0.22</v>
      </c>
      <c r="I85" s="25">
        <v>-0.55000000000000004</v>
      </c>
      <c r="J85" s="25">
        <v>-0.55000000000000004</v>
      </c>
      <c r="K85" s="25">
        <v>0.6</v>
      </c>
      <c r="L85" s="25">
        <v>0</v>
      </c>
      <c r="M85" s="25">
        <v>0</v>
      </c>
      <c r="N85" s="25">
        <v>0</v>
      </c>
      <c r="O85" s="26" t="s">
        <v>214</v>
      </c>
      <c r="T85" s="32"/>
    </row>
    <row r="86" spans="4:20" ht="20.100000000000001" customHeight="1" x14ac:dyDescent="0.25">
      <c r="D86" s="1" t="s">
        <v>206</v>
      </c>
      <c r="E86" s="25">
        <v>0.99</v>
      </c>
      <c r="F86" s="25">
        <v>0.22</v>
      </c>
      <c r="G86" s="25">
        <v>0.77</v>
      </c>
      <c r="H86" s="25">
        <v>0.11</v>
      </c>
      <c r="I86" s="25">
        <v>0.11</v>
      </c>
      <c r="J86" s="25">
        <v>0.11</v>
      </c>
      <c r="K86" s="25">
        <v>0.77</v>
      </c>
      <c r="L86" s="25">
        <v>0.44</v>
      </c>
      <c r="M86" s="25">
        <v>0.44</v>
      </c>
      <c r="N86" s="25">
        <v>0.44</v>
      </c>
      <c r="O86" s="26" t="s">
        <v>214</v>
      </c>
      <c r="T86" s="32"/>
    </row>
    <row r="87" spans="4:20" ht="20.100000000000001" customHeight="1" x14ac:dyDescent="0.25">
      <c r="O87" s="26"/>
      <c r="T87" s="32"/>
    </row>
    <row r="88" spans="4:20" ht="20.100000000000001" customHeight="1" x14ac:dyDescent="0.25">
      <c r="D88" s="93" t="s">
        <v>207</v>
      </c>
      <c r="E88" s="93" t="s">
        <v>193</v>
      </c>
      <c r="F88" s="93" t="s">
        <v>194</v>
      </c>
      <c r="G88" s="93" t="s">
        <v>195</v>
      </c>
      <c r="H88" s="93" t="s">
        <v>196</v>
      </c>
      <c r="I88" s="93" t="s">
        <v>197</v>
      </c>
      <c r="J88" s="93" t="s">
        <v>198</v>
      </c>
      <c r="K88" s="93" t="s">
        <v>199</v>
      </c>
      <c r="L88" s="93" t="s">
        <v>200</v>
      </c>
      <c r="M88" s="93" t="s">
        <v>201</v>
      </c>
      <c r="N88" s="93" t="s">
        <v>202</v>
      </c>
      <c r="O88" s="26"/>
      <c r="T88" s="32"/>
    </row>
    <row r="89" spans="4:20" ht="20.100000000000001" customHeight="1" x14ac:dyDescent="0.25">
      <c r="D89" s="1" t="str">
        <f>TEXT(X_Cell_Site_StartDate, "mmmm yyyy")</f>
        <v>January 2025</v>
      </c>
      <c r="E89" s="86">
        <v>0.44</v>
      </c>
      <c r="F89" s="86">
        <v>-0.22</v>
      </c>
      <c r="G89" s="86">
        <v>0.44</v>
      </c>
      <c r="H89" s="86">
        <v>0.33</v>
      </c>
      <c r="I89" s="86">
        <v>-0.22</v>
      </c>
      <c r="J89" s="86">
        <v>-0.22</v>
      </c>
      <c r="K89" s="86">
        <v>0.44</v>
      </c>
      <c r="L89" s="86">
        <v>-0.11</v>
      </c>
      <c r="M89" s="86">
        <v>-0.11</v>
      </c>
      <c r="N89" s="86">
        <v>-0.11</v>
      </c>
      <c r="O89" s="26" t="s">
        <v>214</v>
      </c>
      <c r="T89" s="32"/>
    </row>
    <row r="90" spans="4:20" ht="20.100000000000001" customHeight="1" x14ac:dyDescent="0.25">
      <c r="D90" s="1" t="str">
        <f>TEXT(EDATE(X_Cell_Site_StartDate,1), "mmmm yyyy")</f>
        <v>February 2025</v>
      </c>
      <c r="E90" s="86">
        <v>0.44</v>
      </c>
      <c r="F90" s="86">
        <v>-0.22</v>
      </c>
      <c r="G90" s="86">
        <v>0.44</v>
      </c>
      <c r="H90" s="86">
        <v>0.33</v>
      </c>
      <c r="I90" s="86">
        <v>-0.22</v>
      </c>
      <c r="J90" s="86">
        <v>-0.22</v>
      </c>
      <c r="K90" s="86">
        <v>0.44</v>
      </c>
      <c r="L90" s="86">
        <v>-0.11</v>
      </c>
      <c r="M90" s="86">
        <v>-0.11</v>
      </c>
      <c r="N90" s="86">
        <v>-0.11</v>
      </c>
      <c r="O90" s="26" t="s">
        <v>214</v>
      </c>
      <c r="T90" s="32"/>
    </row>
    <row r="91" spans="4:20" ht="20.100000000000001" customHeight="1" x14ac:dyDescent="0.25">
      <c r="D91" s="1" t="str">
        <f>TEXT(EDATE(X_Cell_Site_StartDate,2), "mmmm yyyy")</f>
        <v>March 2025</v>
      </c>
      <c r="E91" s="86">
        <v>0.6</v>
      </c>
      <c r="F91" s="86">
        <v>0</v>
      </c>
      <c r="G91" s="86">
        <v>0.6</v>
      </c>
      <c r="H91" s="86">
        <v>0.22</v>
      </c>
      <c r="I91" s="86">
        <v>-0.55000000000000004</v>
      </c>
      <c r="J91" s="86">
        <v>-0.55000000000000004</v>
      </c>
      <c r="K91" s="86">
        <v>0.6</v>
      </c>
      <c r="L91" s="86">
        <v>0</v>
      </c>
      <c r="M91" s="86">
        <v>0</v>
      </c>
      <c r="N91" s="86">
        <v>0</v>
      </c>
      <c r="O91" s="26" t="s">
        <v>214</v>
      </c>
      <c r="T91" s="32"/>
    </row>
    <row r="92" spans="4:20" ht="20.100000000000001" customHeight="1" x14ac:dyDescent="0.25">
      <c r="D92" s="1" t="str">
        <f>TEXT(EDATE(X_Cell_Site_StartDate,3), "mmmm yyyy")</f>
        <v>April 2025</v>
      </c>
      <c r="E92" s="86">
        <v>0.6</v>
      </c>
      <c r="F92" s="86">
        <v>0</v>
      </c>
      <c r="G92" s="86">
        <v>0.6</v>
      </c>
      <c r="H92" s="86">
        <v>0.22</v>
      </c>
      <c r="I92" s="86">
        <v>-0.55000000000000004</v>
      </c>
      <c r="J92" s="86">
        <v>-0.55000000000000004</v>
      </c>
      <c r="K92" s="86">
        <v>0.6</v>
      </c>
      <c r="L92" s="86">
        <v>0</v>
      </c>
      <c r="M92" s="86">
        <v>0</v>
      </c>
      <c r="N92" s="86">
        <v>0</v>
      </c>
      <c r="O92" s="26" t="s">
        <v>214</v>
      </c>
      <c r="T92" s="32"/>
    </row>
    <row r="93" spans="4:20" ht="20.100000000000001" customHeight="1" x14ac:dyDescent="0.25">
      <c r="D93" s="1" t="str">
        <f>TEXT(EDATE(X_Cell_Site_StartDate,4), "mmmm yyyy")</f>
        <v>May 2025</v>
      </c>
      <c r="E93" s="86">
        <v>0.6</v>
      </c>
      <c r="F93" s="86">
        <v>0</v>
      </c>
      <c r="G93" s="86">
        <v>0.6</v>
      </c>
      <c r="H93" s="86">
        <v>0.22</v>
      </c>
      <c r="I93" s="86">
        <v>-0.55000000000000004</v>
      </c>
      <c r="J93" s="86">
        <v>-0.55000000000000004</v>
      </c>
      <c r="K93" s="86">
        <v>0.6</v>
      </c>
      <c r="L93" s="86">
        <v>0</v>
      </c>
      <c r="M93" s="86">
        <v>0</v>
      </c>
      <c r="N93" s="86">
        <v>0</v>
      </c>
      <c r="O93" s="26" t="s">
        <v>214</v>
      </c>
      <c r="T93" s="32"/>
    </row>
    <row r="94" spans="4:20" ht="20.100000000000001" customHeight="1" x14ac:dyDescent="0.25">
      <c r="D94" s="1" t="str">
        <f>TEXT(EDATE(X_Cell_Site_StartDate,5), "mmmm yyyy")</f>
        <v>June 2025</v>
      </c>
      <c r="E94" s="86">
        <v>0.99</v>
      </c>
      <c r="F94" s="86">
        <v>0.22</v>
      </c>
      <c r="G94" s="86">
        <v>0.77</v>
      </c>
      <c r="H94" s="86">
        <v>0.11</v>
      </c>
      <c r="I94" s="86">
        <v>0.11</v>
      </c>
      <c r="J94" s="86">
        <v>0.11</v>
      </c>
      <c r="K94" s="86">
        <v>0.77</v>
      </c>
      <c r="L94" s="86">
        <v>0.44</v>
      </c>
      <c r="M94" s="86">
        <v>0.44</v>
      </c>
      <c r="N94" s="86">
        <v>0.44</v>
      </c>
      <c r="O94" s="26" t="s">
        <v>214</v>
      </c>
      <c r="T94" s="32"/>
    </row>
    <row r="95" spans="4:20" ht="20.100000000000001" customHeight="1" x14ac:dyDescent="0.25">
      <c r="D95" s="1" t="str">
        <f>TEXT(EDATE(X_Cell_Site_StartDate,6), "mmmm yyyy")</f>
        <v>July 2025</v>
      </c>
      <c r="E95" s="86">
        <v>0.99</v>
      </c>
      <c r="F95" s="86">
        <v>0.22</v>
      </c>
      <c r="G95" s="86">
        <v>0.77</v>
      </c>
      <c r="H95" s="86">
        <v>0.11</v>
      </c>
      <c r="I95" s="86">
        <v>0.11</v>
      </c>
      <c r="J95" s="86">
        <v>0.11</v>
      </c>
      <c r="K95" s="86">
        <v>0.77</v>
      </c>
      <c r="L95" s="86">
        <v>0.44</v>
      </c>
      <c r="M95" s="86">
        <v>0.44</v>
      </c>
      <c r="N95" s="86">
        <v>0.44</v>
      </c>
      <c r="O95" s="26" t="s">
        <v>214</v>
      </c>
      <c r="T95" s="32"/>
    </row>
    <row r="96" spans="4:20" ht="20.100000000000001" customHeight="1" x14ac:dyDescent="0.25">
      <c r="D96" s="1" t="str">
        <f>TEXT(EDATE(X_Cell_Site_StartDate,7), "mmmm yyyy")</f>
        <v>August 2025</v>
      </c>
      <c r="E96" s="86">
        <v>0.99</v>
      </c>
      <c r="F96" s="86">
        <v>0.22</v>
      </c>
      <c r="G96" s="86">
        <v>0.77</v>
      </c>
      <c r="H96" s="86">
        <v>0.11</v>
      </c>
      <c r="I96" s="86">
        <v>0.11</v>
      </c>
      <c r="J96" s="86">
        <v>0.11</v>
      </c>
      <c r="K96" s="86">
        <v>0.77</v>
      </c>
      <c r="L96" s="86">
        <v>0.44</v>
      </c>
      <c r="M96" s="86">
        <v>0.44</v>
      </c>
      <c r="N96" s="86">
        <v>0.44</v>
      </c>
      <c r="O96" s="26" t="s">
        <v>214</v>
      </c>
      <c r="T96" s="32"/>
    </row>
    <row r="97" spans="4:20" ht="20.100000000000001" customHeight="1" x14ac:dyDescent="0.25">
      <c r="D97" s="1" t="str">
        <f>TEXT(EDATE(X_Cell_Site_StartDate,8), "mmmm yyyy")</f>
        <v>September 2025</v>
      </c>
      <c r="E97" s="86">
        <v>1.64</v>
      </c>
      <c r="F97" s="86">
        <v>1.1000000000000001</v>
      </c>
      <c r="G97" s="86">
        <v>1.21</v>
      </c>
      <c r="H97" s="86">
        <v>0.99</v>
      </c>
      <c r="I97" s="86">
        <v>0.66</v>
      </c>
      <c r="J97" s="86">
        <v>0.66</v>
      </c>
      <c r="K97" s="86">
        <v>1.42</v>
      </c>
      <c r="L97" s="86">
        <v>1.1000000000000001</v>
      </c>
      <c r="M97" s="86">
        <v>1.1000000000000001</v>
      </c>
      <c r="N97" s="86">
        <v>1.1000000000000001</v>
      </c>
      <c r="O97" s="26" t="s">
        <v>214</v>
      </c>
      <c r="T97" s="32"/>
    </row>
    <row r="98" spans="4:20" ht="20.100000000000001" customHeight="1" x14ac:dyDescent="0.25">
      <c r="D98" s="1" t="str">
        <f>TEXT(EDATE(X_Cell_Site_StartDate,9), "mmmm yyyy")</f>
        <v>October 2025</v>
      </c>
      <c r="E98" s="86">
        <v>1.64</v>
      </c>
      <c r="F98" s="86">
        <v>1.1000000000000001</v>
      </c>
      <c r="G98" s="86">
        <v>1.21</v>
      </c>
      <c r="H98" s="86">
        <v>0.99</v>
      </c>
      <c r="I98" s="86">
        <v>0.66</v>
      </c>
      <c r="J98" s="86">
        <v>0.66</v>
      </c>
      <c r="K98" s="86">
        <v>1.42</v>
      </c>
      <c r="L98" s="86">
        <v>1.1000000000000001</v>
      </c>
      <c r="M98" s="86">
        <v>1.1000000000000001</v>
      </c>
      <c r="N98" s="86">
        <v>1.1000000000000001</v>
      </c>
      <c r="O98" s="26" t="s">
        <v>214</v>
      </c>
      <c r="T98" s="32"/>
    </row>
    <row r="99" spans="4:20" ht="20.100000000000001" customHeight="1" x14ac:dyDescent="0.25">
      <c r="D99" s="1" t="str">
        <f>TEXT(EDATE(X_Cell_Site_StartDate,10), "mmmm yyyy")</f>
        <v>November 2025</v>
      </c>
      <c r="E99" s="86">
        <v>1.64</v>
      </c>
      <c r="F99" s="86">
        <v>1.1000000000000001</v>
      </c>
      <c r="G99" s="86">
        <v>1.21</v>
      </c>
      <c r="H99" s="86">
        <v>0.99</v>
      </c>
      <c r="I99" s="86">
        <v>0.66</v>
      </c>
      <c r="J99" s="86">
        <v>0.66</v>
      </c>
      <c r="K99" s="86">
        <v>1.42</v>
      </c>
      <c r="L99" s="86">
        <v>1.1000000000000001</v>
      </c>
      <c r="M99" s="86">
        <v>1.1000000000000001</v>
      </c>
      <c r="N99" s="86">
        <v>1.1000000000000001</v>
      </c>
      <c r="O99" s="26" t="s">
        <v>214</v>
      </c>
      <c r="T99" s="32"/>
    </row>
    <row r="100" spans="4:20" ht="20.100000000000001" customHeight="1" x14ac:dyDescent="0.25">
      <c r="D100" s="1" t="str">
        <f>TEXT(EDATE(X_Cell_Site_StartDate,11), "mmmm yyyy")</f>
        <v>December 2025</v>
      </c>
      <c r="E100" s="86">
        <v>0.44</v>
      </c>
      <c r="F100" s="86">
        <v>-0.22</v>
      </c>
      <c r="G100" s="86">
        <v>0.44</v>
      </c>
      <c r="H100" s="86">
        <v>0.33</v>
      </c>
      <c r="I100" s="86">
        <v>-0.22</v>
      </c>
      <c r="J100" s="86">
        <v>-0.22</v>
      </c>
      <c r="K100" s="86">
        <v>0.44</v>
      </c>
      <c r="L100" s="86">
        <v>-0.11</v>
      </c>
      <c r="M100" s="86">
        <v>-0.11</v>
      </c>
      <c r="N100" s="86">
        <v>-0.11</v>
      </c>
      <c r="O100" s="26" t="s">
        <v>214</v>
      </c>
      <c r="T100" s="32"/>
    </row>
    <row r="101" spans="4:20" ht="20.100000000000001" customHeight="1" x14ac:dyDescent="0.25">
      <c r="T101" s="32"/>
    </row>
    <row r="102" spans="4:20" ht="20.100000000000001" customHeight="1" x14ac:dyDescent="0.25">
      <c r="T102" s="32"/>
    </row>
    <row r="103" spans="4:20" ht="20.100000000000001" customHeight="1" x14ac:dyDescent="0.25">
      <c r="D103" s="92" t="s">
        <v>215</v>
      </c>
      <c r="K103" s="26"/>
      <c r="L103" s="26"/>
      <c r="M103" s="26"/>
      <c r="N103" s="26"/>
      <c r="O103" s="26"/>
      <c r="T103" s="32"/>
    </row>
    <row r="104" spans="4:20" ht="20.100000000000001" customHeight="1" x14ac:dyDescent="0.25">
      <c r="D104" s="93" t="s">
        <v>209</v>
      </c>
      <c r="E104" s="93"/>
      <c r="F104" s="93"/>
      <c r="G104" s="93"/>
      <c r="T104" s="32"/>
    </row>
    <row r="105" spans="4:20" ht="20.100000000000001" customHeight="1" x14ac:dyDescent="0.25">
      <c r="D105" s="1" t="s">
        <v>216</v>
      </c>
      <c r="E105" s="23" t="s">
        <v>206</v>
      </c>
      <c r="F105" s="26" t="s">
        <v>109</v>
      </c>
      <c r="T105" s="32"/>
    </row>
    <row r="106" spans="4:20" ht="20.100000000000001" customHeight="1" x14ac:dyDescent="0.25">
      <c r="T106" s="32"/>
    </row>
    <row r="107" spans="4:20" ht="20.100000000000001" customHeight="1" x14ac:dyDescent="0.25"/>
    <row r="108" spans="4:20" ht="20.100000000000001" customHeight="1" x14ac:dyDescent="0.25">
      <c r="K108" s="1" t="s">
        <v>217</v>
      </c>
    </row>
    <row r="109" spans="4:20" ht="20.100000000000001" customHeight="1" x14ac:dyDescent="0.25"/>
    <row r="110" spans="4:20" ht="20.100000000000001" customHeight="1" x14ac:dyDescent="0.25">
      <c r="E110" s="93" t="s">
        <v>218</v>
      </c>
      <c r="F110" s="93" t="s">
        <v>196</v>
      </c>
      <c r="G110" s="93" t="s">
        <v>197</v>
      </c>
      <c r="H110" s="93" t="s">
        <v>198</v>
      </c>
      <c r="L110" s="1" t="s">
        <v>195</v>
      </c>
      <c r="M110" s="1" t="s">
        <v>199</v>
      </c>
      <c r="N110" s="26"/>
      <c r="O110" s="26"/>
    </row>
    <row r="111" spans="4:20" ht="20.100000000000001" customHeight="1" x14ac:dyDescent="0.25">
      <c r="D111" s="1" t="str">
        <f>"Proportion of cows &gt; 1 years in calf in " &amp; E105</f>
        <v>Proportion of cows &gt; 1 years in calf in Winter</v>
      </c>
      <c r="E111" s="23" t="s">
        <v>219</v>
      </c>
      <c r="F111" s="28">
        <v>0.7</v>
      </c>
      <c r="G111" s="28">
        <v>0.5</v>
      </c>
      <c r="H111" s="28">
        <v>0.5</v>
      </c>
      <c r="I111" s="26" t="s">
        <v>220</v>
      </c>
      <c r="L111" s="25">
        <f>MAX(0, G42-G41)</f>
        <v>0</v>
      </c>
      <c r="M111" s="25">
        <f>MAX(0,K42-K41)</f>
        <v>0</v>
      </c>
      <c r="N111" s="26"/>
      <c r="O111" s="26"/>
    </row>
    <row r="112" spans="4:20" ht="20.100000000000001" customHeight="1" x14ac:dyDescent="0.25">
      <c r="D112" s="1" t="s">
        <v>203</v>
      </c>
      <c r="E112" s="23" t="s">
        <v>219</v>
      </c>
      <c r="F112" s="28">
        <v>0.1</v>
      </c>
      <c r="G112" s="28">
        <v>0.4</v>
      </c>
      <c r="H112" s="28">
        <v>0.4</v>
      </c>
      <c r="I112" s="26" t="s">
        <v>220</v>
      </c>
      <c r="L112" s="25">
        <f>MAX(0, G39-G42)</f>
        <v>0</v>
      </c>
      <c r="M112" s="25">
        <f>MAX(0,K39-K42)</f>
        <v>0</v>
      </c>
    </row>
    <row r="113" spans="4:15" ht="20.100000000000001" customHeight="1" x14ac:dyDescent="0.25">
      <c r="D113" s="1" t="s">
        <v>204</v>
      </c>
      <c r="E113" s="23" t="s">
        <v>219</v>
      </c>
      <c r="F113" s="28">
        <v>0.1</v>
      </c>
      <c r="G113" s="28">
        <v>0</v>
      </c>
      <c r="H113" s="28">
        <v>0</v>
      </c>
      <c r="I113" s="26" t="s">
        <v>220</v>
      </c>
      <c r="L113" s="25">
        <f>MAX(0, G40-G39)</f>
        <v>0</v>
      </c>
      <c r="M113" s="25">
        <f>MAX(0,K40-K39)</f>
        <v>0</v>
      </c>
    </row>
    <row r="114" spans="4:15" ht="20.100000000000001" customHeight="1" x14ac:dyDescent="0.25">
      <c r="D114" s="1" t="s">
        <v>205</v>
      </c>
      <c r="E114" s="23" t="s">
        <v>221</v>
      </c>
      <c r="F114" s="28">
        <v>0</v>
      </c>
      <c r="G114" s="28">
        <v>0</v>
      </c>
      <c r="H114" s="28">
        <v>0</v>
      </c>
      <c r="I114" s="26" t="s">
        <v>220</v>
      </c>
      <c r="L114" s="25">
        <f>MAX(0,G41-G40)</f>
        <v>0</v>
      </c>
      <c r="M114" s="25">
        <f>MAX(0,K41-K40)</f>
        <v>0</v>
      </c>
    </row>
    <row r="115" spans="4:15" ht="20.100000000000001" customHeight="1" x14ac:dyDescent="0.25">
      <c r="J115" s="1" t="s">
        <v>222</v>
      </c>
    </row>
    <row r="116" spans="4:15" ht="20.100000000000001" customHeight="1" x14ac:dyDescent="0.25"/>
    <row r="117" spans="4:15" ht="20.100000000000001" customHeight="1" x14ac:dyDescent="0.25"/>
    <row r="118" spans="4:15" ht="20.100000000000001" customHeight="1" x14ac:dyDescent="0.25">
      <c r="D118" s="93" t="s">
        <v>210</v>
      </c>
      <c r="E118" s="93"/>
      <c r="F118" s="93"/>
      <c r="G118" s="93"/>
      <c r="L118" s="94" t="s">
        <v>223</v>
      </c>
    </row>
    <row r="119" spans="4:15" ht="20.100000000000001" customHeight="1" x14ac:dyDescent="0.25">
      <c r="D119" s="1" t="s">
        <v>224</v>
      </c>
      <c r="E119" s="23" t="s">
        <v>225</v>
      </c>
      <c r="F119" s="26" t="s">
        <v>109</v>
      </c>
      <c r="J119" s="88" t="s">
        <v>193</v>
      </c>
    </row>
    <row r="120" spans="4:15" ht="20.100000000000001" customHeight="1" x14ac:dyDescent="0.25">
      <c r="D120" s="1" t="s">
        <v>226</v>
      </c>
      <c r="E120" s="25" t="str">
        <f>TEXT(EDATE(E119,1), "mmmm yyyy")</f>
        <v>September 2024</v>
      </c>
      <c r="J120" s="1" t="s">
        <v>208</v>
      </c>
      <c r="K120" s="1" t="s">
        <v>227</v>
      </c>
      <c r="L120" s="1" t="s">
        <v>222</v>
      </c>
      <c r="M120" s="1" t="s">
        <v>228</v>
      </c>
      <c r="N120" s="1" t="s">
        <v>229</v>
      </c>
      <c r="O120" s="1" t="s">
        <v>230</v>
      </c>
    </row>
    <row r="121" spans="4:15" ht="20.100000000000001" customHeight="1" x14ac:dyDescent="0.25">
      <c r="D121" s="1" t="s">
        <v>231</v>
      </c>
      <c r="E121" s="25" t="str">
        <f>TEXT(EDATE(E119,2), "mmmm yyyy")</f>
        <v>October 2024</v>
      </c>
      <c r="J121" s="25">
        <f>E39</f>
        <v>100</v>
      </c>
      <c r="K121" s="25">
        <f>MAX(0, E39-E42)</f>
        <v>0</v>
      </c>
      <c r="L121" s="1">
        <f>K121/J121</f>
        <v>0</v>
      </c>
      <c r="M121" s="1">
        <f>K124/J121</f>
        <v>0</v>
      </c>
      <c r="N121" s="26">
        <f>1-(L121+M121)</f>
        <v>1</v>
      </c>
      <c r="O121" s="88">
        <f>(L121*6)+(M121*4)+(N121*0)</f>
        <v>0</v>
      </c>
    </row>
    <row r="122" spans="4:15" ht="20.100000000000001" customHeight="1" x14ac:dyDescent="0.25">
      <c r="J122" s="25">
        <f>E40</f>
        <v>100</v>
      </c>
      <c r="K122" s="25">
        <f>MAX(0, E40-E39)</f>
        <v>0</v>
      </c>
      <c r="L122" s="1">
        <f>K122/J122</f>
        <v>0</v>
      </c>
      <c r="M122" s="1">
        <f>K121/J122</f>
        <v>0</v>
      </c>
      <c r="N122" s="26">
        <f>1-(L122+M122)</f>
        <v>1</v>
      </c>
      <c r="O122" s="88">
        <f t="shared" ref="O122:O124" si="0">(L122*6)+(M122*4)+(N122*0)</f>
        <v>0</v>
      </c>
    </row>
    <row r="123" spans="4:15" ht="20.100000000000001" customHeight="1" x14ac:dyDescent="0.25">
      <c r="J123" s="25">
        <f>E41</f>
        <v>100</v>
      </c>
      <c r="K123" s="25">
        <f>MAX(0,E41-E40)</f>
        <v>0</v>
      </c>
      <c r="L123" s="1">
        <f>K123/J123</f>
        <v>0</v>
      </c>
      <c r="M123" s="1">
        <f>K122/J123</f>
        <v>0</v>
      </c>
      <c r="N123" s="26">
        <f>1-(L123+M123)</f>
        <v>1</v>
      </c>
      <c r="O123" s="88">
        <f t="shared" si="0"/>
        <v>0</v>
      </c>
    </row>
    <row r="124" spans="4:15" ht="20.100000000000001" customHeight="1" x14ac:dyDescent="0.25">
      <c r="E124" s="93" t="s">
        <v>196</v>
      </c>
      <c r="F124" s="93" t="s">
        <v>197</v>
      </c>
      <c r="G124" s="93" t="s">
        <v>198</v>
      </c>
      <c r="J124" s="25">
        <f>E42</f>
        <v>100</v>
      </c>
      <c r="K124" s="25">
        <f>MAX(0, E42-E41)</f>
        <v>0</v>
      </c>
      <c r="L124" s="1">
        <f>K124/J124</f>
        <v>0</v>
      </c>
      <c r="M124" s="26">
        <f>K123/J124</f>
        <v>0</v>
      </c>
      <c r="N124" s="26">
        <f>1-(L124+M124)</f>
        <v>1</v>
      </c>
      <c r="O124" s="88">
        <f t="shared" si="0"/>
        <v>0</v>
      </c>
    </row>
    <row r="125" spans="4:15" ht="20.100000000000001" customHeight="1" x14ac:dyDescent="0.25">
      <c r="D125" s="1" t="str">
        <f>E119</f>
        <v>August 2024</v>
      </c>
      <c r="E125" s="28">
        <v>0.25</v>
      </c>
      <c r="F125" s="28">
        <v>0.25</v>
      </c>
      <c r="G125" s="28">
        <v>0.25</v>
      </c>
      <c r="H125" s="26" t="s">
        <v>220</v>
      </c>
      <c r="L125" s="26"/>
      <c r="M125" s="26"/>
      <c r="N125" s="26"/>
      <c r="O125" s="26"/>
    </row>
    <row r="126" spans="4:15" ht="20.100000000000001" customHeight="1" x14ac:dyDescent="0.25">
      <c r="D126" s="1" t="str">
        <f>E120</f>
        <v>September 2024</v>
      </c>
      <c r="E126" s="28">
        <v>0.25</v>
      </c>
      <c r="F126" s="28">
        <v>0.25</v>
      </c>
      <c r="G126" s="28">
        <v>0.25</v>
      </c>
      <c r="H126" s="26" t="s">
        <v>220</v>
      </c>
    </row>
    <row r="127" spans="4:15" ht="20.100000000000001" customHeight="1" x14ac:dyDescent="0.25">
      <c r="D127" s="1" t="str">
        <f>E121</f>
        <v>October 2024</v>
      </c>
      <c r="E127" s="28">
        <v>0.25</v>
      </c>
      <c r="F127" s="28">
        <v>0.25</v>
      </c>
      <c r="G127" s="28">
        <v>0.25</v>
      </c>
      <c r="H127" s="26" t="s">
        <v>220</v>
      </c>
    </row>
    <row r="128" spans="4:15" ht="20.100000000000001" customHeight="1" x14ac:dyDescent="0.25">
      <c r="D128" s="1" t="str">
        <f>"Proportion of cows &gt; 1 years in calf in " &amp; D125 &amp; " to " &amp; D127</f>
        <v>Proportion of cows &gt; 1 years in calf in August 2024 to October 2024</v>
      </c>
      <c r="E128" s="29">
        <f>SUM(E125:E127)</f>
        <v>0.75</v>
      </c>
      <c r="F128" s="29">
        <f>SUM(F125:F127)</f>
        <v>0.75</v>
      </c>
      <c r="G128" s="29">
        <f>SUM(G125:G127)</f>
        <v>0.75</v>
      </c>
      <c r="H128" s="26" t="s">
        <v>220</v>
      </c>
    </row>
    <row r="129" spans="4:15" ht="20.100000000000001" customHeight="1" x14ac:dyDescent="0.25"/>
    <row r="130" spans="4:15" ht="20.100000000000001" customHeight="1" x14ac:dyDescent="0.25">
      <c r="K130" s="26"/>
      <c r="L130" s="26"/>
      <c r="M130" s="26"/>
      <c r="N130" s="26"/>
      <c r="O130" s="26"/>
    </row>
    <row r="131" spans="4:15" ht="20.100000000000001" customHeight="1" x14ac:dyDescent="0.25">
      <c r="D131" s="92" t="s">
        <v>232</v>
      </c>
      <c r="K131" s="26"/>
      <c r="L131" s="26"/>
      <c r="M131" s="26"/>
      <c r="N131" s="26"/>
      <c r="O131" s="26"/>
    </row>
    <row r="132" spans="4:15" ht="20.100000000000001" customHeight="1" x14ac:dyDescent="0.25">
      <c r="D132" s="93" t="s">
        <v>192</v>
      </c>
      <c r="E132" s="93" t="s">
        <v>193</v>
      </c>
      <c r="F132" s="93" t="s">
        <v>194</v>
      </c>
      <c r="G132" s="93" t="s">
        <v>195</v>
      </c>
      <c r="H132" s="93" t="s">
        <v>196</v>
      </c>
      <c r="I132" s="93" t="s">
        <v>197</v>
      </c>
      <c r="J132" s="93" t="s">
        <v>198</v>
      </c>
      <c r="K132" s="93" t="s">
        <v>199</v>
      </c>
      <c r="L132" s="93" t="s">
        <v>200</v>
      </c>
      <c r="M132" s="93" t="s">
        <v>201</v>
      </c>
      <c r="N132" s="93" t="s">
        <v>202</v>
      </c>
    </row>
    <row r="133" spans="4:15" ht="20.100000000000001" customHeight="1" x14ac:dyDescent="0.25">
      <c r="D133" s="1" t="s">
        <v>203</v>
      </c>
      <c r="E133" s="25">
        <v>0.8</v>
      </c>
      <c r="F133" s="25">
        <v>0.8</v>
      </c>
      <c r="G133" s="25">
        <v>0.8</v>
      </c>
      <c r="H133" s="25">
        <v>0.8</v>
      </c>
      <c r="I133" s="25">
        <v>0.8</v>
      </c>
      <c r="J133" s="25">
        <v>0.8</v>
      </c>
      <c r="K133" s="25">
        <v>0.8</v>
      </c>
      <c r="L133" s="25">
        <v>0.8</v>
      </c>
      <c r="M133" s="25">
        <v>0.8</v>
      </c>
      <c r="N133" s="25">
        <v>0.8</v>
      </c>
      <c r="O133" s="26" t="s">
        <v>233</v>
      </c>
    </row>
    <row r="134" spans="4:15" ht="20.100000000000001" customHeight="1" x14ac:dyDescent="0.25">
      <c r="D134" s="1" t="s">
        <v>204</v>
      </c>
      <c r="E134" s="25">
        <v>0.57999999999999996</v>
      </c>
      <c r="F134" s="25">
        <v>0.57999999999999996</v>
      </c>
      <c r="G134" s="25">
        <v>0.57999999999999996</v>
      </c>
      <c r="H134" s="25">
        <v>0.57999999999999996</v>
      </c>
      <c r="I134" s="25">
        <v>0.57999999999999996</v>
      </c>
      <c r="J134" s="25">
        <v>0.57999999999999996</v>
      </c>
      <c r="K134" s="25">
        <v>0.57999999999999996</v>
      </c>
      <c r="L134" s="25">
        <v>0.57999999999999996</v>
      </c>
      <c r="M134" s="25">
        <v>0.57999999999999996</v>
      </c>
      <c r="N134" s="25">
        <v>0.57999999999999996</v>
      </c>
      <c r="O134" s="26" t="s">
        <v>233</v>
      </c>
    </row>
    <row r="135" spans="4:15" ht="20.100000000000001" customHeight="1" x14ac:dyDescent="0.25">
      <c r="D135" s="1" t="s">
        <v>205</v>
      </c>
      <c r="E135" s="25">
        <v>0.5</v>
      </c>
      <c r="F135" s="25">
        <v>0.5</v>
      </c>
      <c r="G135" s="25">
        <v>0.5</v>
      </c>
      <c r="H135" s="25">
        <v>0.5</v>
      </c>
      <c r="I135" s="25">
        <v>0.5</v>
      </c>
      <c r="J135" s="25">
        <v>0.5</v>
      </c>
      <c r="K135" s="25">
        <v>0.5</v>
      </c>
      <c r="L135" s="25">
        <v>0.5</v>
      </c>
      <c r="M135" s="25">
        <v>0.5</v>
      </c>
      <c r="N135" s="25">
        <v>0.5</v>
      </c>
      <c r="O135" s="26" t="s">
        <v>233</v>
      </c>
    </row>
    <row r="136" spans="4:15" ht="20.100000000000001" customHeight="1" x14ac:dyDescent="0.25">
      <c r="D136" s="1" t="s">
        <v>206</v>
      </c>
      <c r="E136" s="25">
        <v>0.75</v>
      </c>
      <c r="F136" s="25">
        <v>0.75</v>
      </c>
      <c r="G136" s="25">
        <v>0.75</v>
      </c>
      <c r="H136" s="25">
        <v>0.75</v>
      </c>
      <c r="I136" s="25">
        <v>0.75</v>
      </c>
      <c r="J136" s="25">
        <v>0.75</v>
      </c>
      <c r="K136" s="25">
        <v>0.75</v>
      </c>
      <c r="L136" s="25">
        <v>0.75</v>
      </c>
      <c r="M136" s="25">
        <v>0.75</v>
      </c>
      <c r="N136" s="25">
        <v>0.75</v>
      </c>
      <c r="O136" s="26" t="s">
        <v>233</v>
      </c>
    </row>
    <row r="137" spans="4:15" ht="20.100000000000001" customHeight="1" x14ac:dyDescent="0.25"/>
    <row r="138" spans="4:15" ht="20.100000000000001" customHeight="1" x14ac:dyDescent="0.25">
      <c r="D138" s="93" t="s">
        <v>207</v>
      </c>
      <c r="E138" s="93" t="s">
        <v>193</v>
      </c>
      <c r="F138" s="93" t="s">
        <v>194</v>
      </c>
      <c r="G138" s="93" t="s">
        <v>195</v>
      </c>
      <c r="H138" s="93" t="s">
        <v>196</v>
      </c>
      <c r="I138" s="93" t="s">
        <v>197</v>
      </c>
      <c r="J138" s="93" t="s">
        <v>198</v>
      </c>
      <c r="K138" s="93" t="s">
        <v>199</v>
      </c>
      <c r="L138" s="93" t="s">
        <v>200</v>
      </c>
      <c r="M138" s="93" t="s">
        <v>201</v>
      </c>
      <c r="N138" s="93" t="s">
        <v>202</v>
      </c>
    </row>
    <row r="139" spans="4:15" ht="20.100000000000001" customHeight="1" x14ac:dyDescent="0.25">
      <c r="D139" s="1" t="str">
        <f>TEXT(X_Cell_Site_StartDate, "mmmm yyyy")</f>
        <v>January 2025</v>
      </c>
      <c r="E139" s="86">
        <v>0.57999999999999996</v>
      </c>
      <c r="F139" s="86">
        <v>0.57999999999999996</v>
      </c>
      <c r="G139" s="86">
        <v>0.57999999999999996</v>
      </c>
      <c r="H139" s="86">
        <v>0.57999999999999996</v>
      </c>
      <c r="I139" s="86">
        <v>0.57999999999999996</v>
      </c>
      <c r="J139" s="86">
        <v>0.57999999999999996</v>
      </c>
      <c r="K139" s="86">
        <v>0.57999999999999996</v>
      </c>
      <c r="L139" s="86">
        <v>0.57999999999999996</v>
      </c>
      <c r="M139" s="86">
        <v>0.57999999999999996</v>
      </c>
      <c r="N139" s="86">
        <v>0.57999999999999996</v>
      </c>
      <c r="O139" s="26" t="s">
        <v>233</v>
      </c>
    </row>
    <row r="140" spans="4:15" ht="20.100000000000001" customHeight="1" x14ac:dyDescent="0.25">
      <c r="D140" s="1" t="str">
        <f>TEXT(EDATE(X_Cell_Site_StartDate,1), "mmmm yyyy")</f>
        <v>February 2025</v>
      </c>
      <c r="E140" s="86">
        <v>0.57999999999999996</v>
      </c>
      <c r="F140" s="86">
        <v>0.57999999999999996</v>
      </c>
      <c r="G140" s="86">
        <v>0.57999999999999996</v>
      </c>
      <c r="H140" s="86">
        <v>0.57999999999999996</v>
      </c>
      <c r="I140" s="86">
        <v>0.57999999999999996</v>
      </c>
      <c r="J140" s="86">
        <v>0.57999999999999996</v>
      </c>
      <c r="K140" s="86">
        <v>0.57999999999999996</v>
      </c>
      <c r="L140" s="86">
        <v>0.57999999999999996</v>
      </c>
      <c r="M140" s="86">
        <v>0.57999999999999996</v>
      </c>
      <c r="N140" s="86">
        <v>0.57999999999999996</v>
      </c>
      <c r="O140" s="26" t="s">
        <v>233</v>
      </c>
    </row>
    <row r="141" spans="4:15" ht="20.100000000000001" customHeight="1" x14ac:dyDescent="0.25">
      <c r="D141" s="1" t="str">
        <f>TEXT(EDATE(X_Cell_Site_StartDate,2), "mmmm yyyy")</f>
        <v>March 2025</v>
      </c>
      <c r="E141" s="86">
        <v>0.5</v>
      </c>
      <c r="F141" s="86">
        <v>0.5</v>
      </c>
      <c r="G141" s="86">
        <v>0.5</v>
      </c>
      <c r="H141" s="86">
        <v>0.5</v>
      </c>
      <c r="I141" s="86">
        <v>0.5</v>
      </c>
      <c r="J141" s="86">
        <v>0.5</v>
      </c>
      <c r="K141" s="86">
        <v>0.5</v>
      </c>
      <c r="L141" s="86">
        <v>0.5</v>
      </c>
      <c r="M141" s="86">
        <v>0.5</v>
      </c>
      <c r="N141" s="86">
        <v>0.5</v>
      </c>
      <c r="O141" s="26" t="s">
        <v>233</v>
      </c>
    </row>
    <row r="142" spans="4:15" ht="20.100000000000001" customHeight="1" x14ac:dyDescent="0.25">
      <c r="D142" s="1" t="str">
        <f>TEXT(EDATE(X_Cell_Site_StartDate,3), "mmmm yyyy")</f>
        <v>April 2025</v>
      </c>
      <c r="E142" s="86">
        <v>0.5</v>
      </c>
      <c r="F142" s="86">
        <v>0.5</v>
      </c>
      <c r="G142" s="86">
        <v>0.5</v>
      </c>
      <c r="H142" s="86">
        <v>0.5</v>
      </c>
      <c r="I142" s="86">
        <v>0.5</v>
      </c>
      <c r="J142" s="86">
        <v>0.5</v>
      </c>
      <c r="K142" s="86">
        <v>0.5</v>
      </c>
      <c r="L142" s="86">
        <v>0.5</v>
      </c>
      <c r="M142" s="86">
        <v>0.5</v>
      </c>
      <c r="N142" s="86">
        <v>0.5</v>
      </c>
      <c r="O142" s="26" t="s">
        <v>233</v>
      </c>
    </row>
    <row r="143" spans="4:15" ht="20.100000000000001" customHeight="1" x14ac:dyDescent="0.25">
      <c r="D143" s="1" t="str">
        <f>TEXT(EDATE(X_Cell_Site_StartDate,4), "mmmm yyyy")</f>
        <v>May 2025</v>
      </c>
      <c r="E143" s="86">
        <v>0.5</v>
      </c>
      <c r="F143" s="86">
        <v>0.5</v>
      </c>
      <c r="G143" s="86">
        <v>0.5</v>
      </c>
      <c r="H143" s="86">
        <v>0.5</v>
      </c>
      <c r="I143" s="86">
        <v>0.5</v>
      </c>
      <c r="J143" s="86">
        <v>0.5</v>
      </c>
      <c r="K143" s="86">
        <v>0.5</v>
      </c>
      <c r="L143" s="86">
        <v>0.5</v>
      </c>
      <c r="M143" s="86">
        <v>0.5</v>
      </c>
      <c r="N143" s="86">
        <v>0.5</v>
      </c>
      <c r="O143" s="26" t="s">
        <v>233</v>
      </c>
    </row>
    <row r="144" spans="4:15" ht="20.100000000000001" customHeight="1" x14ac:dyDescent="0.25">
      <c r="D144" s="1" t="str">
        <f>TEXT(EDATE(X_Cell_Site_StartDate,5), "mmmm yyyy")</f>
        <v>June 2025</v>
      </c>
      <c r="E144" s="86">
        <v>0.75</v>
      </c>
      <c r="F144" s="86">
        <v>0.75</v>
      </c>
      <c r="G144" s="86">
        <v>0.75</v>
      </c>
      <c r="H144" s="86">
        <v>0.75</v>
      </c>
      <c r="I144" s="86">
        <v>0.75</v>
      </c>
      <c r="J144" s="86">
        <v>0.75</v>
      </c>
      <c r="K144" s="86">
        <v>0.75</v>
      </c>
      <c r="L144" s="86">
        <v>0.75</v>
      </c>
      <c r="M144" s="86">
        <v>0.75</v>
      </c>
      <c r="N144" s="86">
        <v>0.75</v>
      </c>
      <c r="O144" s="26" t="s">
        <v>233</v>
      </c>
    </row>
    <row r="145" spans="4:15" ht="20.100000000000001" customHeight="1" x14ac:dyDescent="0.25">
      <c r="D145" s="1" t="str">
        <f>TEXT(EDATE(X_Cell_Site_StartDate,6), "mmmm yyyy")</f>
        <v>July 2025</v>
      </c>
      <c r="E145" s="86">
        <v>0.75</v>
      </c>
      <c r="F145" s="86">
        <v>0.75</v>
      </c>
      <c r="G145" s="86">
        <v>0.75</v>
      </c>
      <c r="H145" s="86">
        <v>0.75</v>
      </c>
      <c r="I145" s="86">
        <v>0.75</v>
      </c>
      <c r="J145" s="86">
        <v>0.75</v>
      </c>
      <c r="K145" s="86">
        <v>0.75</v>
      </c>
      <c r="L145" s="86">
        <v>0.75</v>
      </c>
      <c r="M145" s="86">
        <v>0.75</v>
      </c>
      <c r="N145" s="86">
        <v>0.75</v>
      </c>
      <c r="O145" s="26" t="s">
        <v>233</v>
      </c>
    </row>
    <row r="146" spans="4:15" ht="20.100000000000001" customHeight="1" x14ac:dyDescent="0.25">
      <c r="D146" s="1" t="str">
        <f>TEXT(EDATE(X_Cell_Site_StartDate,7), "mmmm yyyy")</f>
        <v>August 2025</v>
      </c>
      <c r="E146" s="86">
        <v>0.75</v>
      </c>
      <c r="F146" s="86">
        <v>0.75</v>
      </c>
      <c r="G146" s="86">
        <v>0.75</v>
      </c>
      <c r="H146" s="86">
        <v>0.75</v>
      </c>
      <c r="I146" s="86">
        <v>0.75</v>
      </c>
      <c r="J146" s="86">
        <v>0.75</v>
      </c>
      <c r="K146" s="86">
        <v>0.75</v>
      </c>
      <c r="L146" s="86">
        <v>0.75</v>
      </c>
      <c r="M146" s="86">
        <v>0.75</v>
      </c>
      <c r="N146" s="86">
        <v>0.75</v>
      </c>
      <c r="O146" s="26" t="s">
        <v>233</v>
      </c>
    </row>
    <row r="147" spans="4:15" ht="20.100000000000001" customHeight="1" x14ac:dyDescent="0.25">
      <c r="D147" s="1" t="str">
        <f>TEXT(EDATE(X_Cell_Site_StartDate,8), "mmmm yyyy")</f>
        <v>September 2025</v>
      </c>
      <c r="E147" s="86">
        <v>0.8</v>
      </c>
      <c r="F147" s="86">
        <v>0.8</v>
      </c>
      <c r="G147" s="86">
        <v>0.8</v>
      </c>
      <c r="H147" s="86">
        <v>0.8</v>
      </c>
      <c r="I147" s="86">
        <v>0.8</v>
      </c>
      <c r="J147" s="86">
        <v>0.8</v>
      </c>
      <c r="K147" s="86">
        <v>0.8</v>
      </c>
      <c r="L147" s="86">
        <v>0.8</v>
      </c>
      <c r="M147" s="86">
        <v>0.8</v>
      </c>
      <c r="N147" s="86">
        <v>0.8</v>
      </c>
      <c r="O147" s="26" t="s">
        <v>233</v>
      </c>
    </row>
    <row r="148" spans="4:15" ht="20.100000000000001" customHeight="1" x14ac:dyDescent="0.25">
      <c r="D148" s="1" t="str">
        <f>TEXT(EDATE(X_Cell_Site_StartDate,9), "mmmm yyyy")</f>
        <v>October 2025</v>
      </c>
      <c r="E148" s="86">
        <v>0.8</v>
      </c>
      <c r="F148" s="86">
        <v>0.8</v>
      </c>
      <c r="G148" s="86">
        <v>0.8</v>
      </c>
      <c r="H148" s="86">
        <v>0.8</v>
      </c>
      <c r="I148" s="86">
        <v>0.8</v>
      </c>
      <c r="J148" s="86">
        <v>0.8</v>
      </c>
      <c r="K148" s="86">
        <v>0.8</v>
      </c>
      <c r="L148" s="86">
        <v>0.8</v>
      </c>
      <c r="M148" s="86">
        <v>0.8</v>
      </c>
      <c r="N148" s="86">
        <v>0.8</v>
      </c>
      <c r="O148" s="26" t="s">
        <v>233</v>
      </c>
    </row>
    <row r="149" spans="4:15" ht="20.100000000000001" customHeight="1" x14ac:dyDescent="0.25">
      <c r="D149" s="1" t="str">
        <f>TEXT(EDATE(X_Cell_Site_StartDate,10), "mmmm yyyy")</f>
        <v>November 2025</v>
      </c>
      <c r="E149" s="86">
        <v>0.8</v>
      </c>
      <c r="F149" s="86">
        <v>0.8</v>
      </c>
      <c r="G149" s="86">
        <v>0.8</v>
      </c>
      <c r="H149" s="86">
        <v>0.8</v>
      </c>
      <c r="I149" s="86">
        <v>0.8</v>
      </c>
      <c r="J149" s="86">
        <v>0.8</v>
      </c>
      <c r="K149" s="86">
        <v>0.8</v>
      </c>
      <c r="L149" s="86">
        <v>0.8</v>
      </c>
      <c r="M149" s="86">
        <v>0.8</v>
      </c>
      <c r="N149" s="86">
        <v>0.8</v>
      </c>
      <c r="O149" s="26" t="s">
        <v>233</v>
      </c>
    </row>
    <row r="150" spans="4:15" ht="20.100000000000001" customHeight="1" x14ac:dyDescent="0.25">
      <c r="D150" s="1" t="str">
        <f>TEXT(EDATE(X_Cell_Site_StartDate,11), "mmmm yyyy")</f>
        <v>December 2025</v>
      </c>
      <c r="E150" s="86">
        <v>0.57999999999999996</v>
      </c>
      <c r="F150" s="86">
        <v>0.57999999999999996</v>
      </c>
      <c r="G150" s="86">
        <v>0.57999999999999996</v>
      </c>
      <c r="H150" s="86">
        <v>0.57999999999999996</v>
      </c>
      <c r="I150" s="86">
        <v>0.57999999999999996</v>
      </c>
      <c r="J150" s="86">
        <v>0.57999999999999996</v>
      </c>
      <c r="K150" s="86">
        <v>0.57999999999999996</v>
      </c>
      <c r="L150" s="86">
        <v>0.57999999999999996</v>
      </c>
      <c r="M150" s="86">
        <v>0.57999999999999996</v>
      </c>
      <c r="N150" s="86">
        <v>0.57999999999999996</v>
      </c>
      <c r="O150" s="26" t="s">
        <v>233</v>
      </c>
    </row>
    <row r="151" spans="4:15" ht="20.100000000000001" customHeight="1" x14ac:dyDescent="0.25"/>
    <row r="152" spans="4:15" ht="20.100000000000001" customHeight="1" x14ac:dyDescent="0.25"/>
    <row r="153" spans="4:15" ht="20.100000000000001" customHeight="1" x14ac:dyDescent="0.25">
      <c r="D153" s="92" t="s">
        <v>234</v>
      </c>
      <c r="K153" s="26"/>
      <c r="L153" s="26"/>
      <c r="M153" s="26"/>
      <c r="N153" s="26"/>
      <c r="O153" s="26"/>
    </row>
    <row r="154" spans="4:15" ht="20.100000000000001" customHeight="1" x14ac:dyDescent="0.25">
      <c r="D154" s="93" t="s">
        <v>192</v>
      </c>
      <c r="E154" s="93" t="s">
        <v>193</v>
      </c>
      <c r="F154" s="93" t="s">
        <v>194</v>
      </c>
      <c r="G154" s="93" t="s">
        <v>195</v>
      </c>
      <c r="H154" s="93" t="s">
        <v>196</v>
      </c>
      <c r="I154" s="93" t="s">
        <v>197</v>
      </c>
      <c r="J154" s="93" t="s">
        <v>198</v>
      </c>
      <c r="K154" s="93" t="s">
        <v>199</v>
      </c>
      <c r="L154" s="93" t="s">
        <v>200</v>
      </c>
      <c r="M154" s="93" t="s">
        <v>201</v>
      </c>
      <c r="N154" s="93" t="s">
        <v>202</v>
      </c>
    </row>
    <row r="155" spans="4:15" ht="20.100000000000001" customHeight="1" x14ac:dyDescent="0.25">
      <c r="D155" s="1" t="s">
        <v>203</v>
      </c>
      <c r="E155" s="25">
        <v>0.2</v>
      </c>
      <c r="F155" s="25">
        <v>0.2</v>
      </c>
      <c r="G155" s="25">
        <v>0.2</v>
      </c>
      <c r="H155" s="25">
        <v>0.2</v>
      </c>
      <c r="I155" s="25">
        <v>0.2</v>
      </c>
      <c r="J155" s="25">
        <v>0.2</v>
      </c>
      <c r="K155" s="25">
        <v>0.2</v>
      </c>
      <c r="L155" s="25">
        <v>0.2</v>
      </c>
      <c r="M155" s="25">
        <v>0.2</v>
      </c>
      <c r="N155" s="25">
        <v>0.2</v>
      </c>
      <c r="O155" s="26" t="s">
        <v>233</v>
      </c>
    </row>
    <row r="156" spans="4:15" ht="20.100000000000001" customHeight="1" x14ac:dyDescent="0.25">
      <c r="D156" s="1" t="s">
        <v>204</v>
      </c>
      <c r="E156" s="25">
        <v>0.09</v>
      </c>
      <c r="F156" s="25">
        <v>0.09</v>
      </c>
      <c r="G156" s="25">
        <v>0.09</v>
      </c>
      <c r="H156" s="25">
        <v>0.09</v>
      </c>
      <c r="I156" s="25">
        <v>0.09</v>
      </c>
      <c r="J156" s="25">
        <v>0.09</v>
      </c>
      <c r="K156" s="25">
        <v>0.09</v>
      </c>
      <c r="L156" s="25">
        <v>0.09</v>
      </c>
      <c r="M156" s="25">
        <v>0.09</v>
      </c>
      <c r="N156" s="25">
        <v>0.09</v>
      </c>
      <c r="O156" s="26" t="s">
        <v>233</v>
      </c>
    </row>
    <row r="157" spans="4:15" ht="20.100000000000001" customHeight="1" x14ac:dyDescent="0.25">
      <c r="D157" s="1" t="s">
        <v>205</v>
      </c>
      <c r="E157" s="25">
        <v>0.06</v>
      </c>
      <c r="F157" s="25">
        <v>0.06</v>
      </c>
      <c r="G157" s="25">
        <v>0.06</v>
      </c>
      <c r="H157" s="25">
        <v>0.06</v>
      </c>
      <c r="I157" s="25">
        <v>0.06</v>
      </c>
      <c r="J157" s="25">
        <v>0.06</v>
      </c>
      <c r="K157" s="25">
        <v>0.06</v>
      </c>
      <c r="L157" s="25">
        <v>0.06</v>
      </c>
      <c r="M157" s="25">
        <v>0.06</v>
      </c>
      <c r="N157" s="25">
        <v>0.06</v>
      </c>
      <c r="O157" s="26" t="s">
        <v>233</v>
      </c>
    </row>
    <row r="158" spans="4:15" ht="20.100000000000001" customHeight="1" x14ac:dyDescent="0.25">
      <c r="D158" s="1" t="s">
        <v>206</v>
      </c>
      <c r="E158" s="25">
        <v>0.2</v>
      </c>
      <c r="F158" s="25">
        <v>0.2</v>
      </c>
      <c r="G158" s="25">
        <v>0.2</v>
      </c>
      <c r="H158" s="25">
        <v>0.2</v>
      </c>
      <c r="I158" s="25">
        <v>0.2</v>
      </c>
      <c r="J158" s="25">
        <v>0.2</v>
      </c>
      <c r="K158" s="25">
        <v>0.2</v>
      </c>
      <c r="L158" s="25">
        <v>0.2</v>
      </c>
      <c r="M158" s="25">
        <v>0.2</v>
      </c>
      <c r="N158" s="25">
        <v>0.2</v>
      </c>
      <c r="O158" s="26" t="s">
        <v>233</v>
      </c>
    </row>
    <row r="159" spans="4:15" ht="20.100000000000001" customHeight="1" x14ac:dyDescent="0.25"/>
    <row r="160" spans="4:15" ht="20.100000000000001" customHeight="1" x14ac:dyDescent="0.25">
      <c r="D160" s="93" t="s">
        <v>207</v>
      </c>
      <c r="E160" s="93" t="s">
        <v>193</v>
      </c>
      <c r="F160" s="93" t="s">
        <v>194</v>
      </c>
      <c r="G160" s="93" t="s">
        <v>195</v>
      </c>
      <c r="H160" s="93" t="s">
        <v>196</v>
      </c>
      <c r="I160" s="93" t="s">
        <v>197</v>
      </c>
      <c r="J160" s="93" t="s">
        <v>198</v>
      </c>
      <c r="K160" s="93" t="s">
        <v>199</v>
      </c>
      <c r="L160" s="93" t="s">
        <v>200</v>
      </c>
      <c r="M160" s="93" t="s">
        <v>201</v>
      </c>
      <c r="N160" s="93" t="s">
        <v>202</v>
      </c>
    </row>
    <row r="161" spans="4:15" ht="20.100000000000001" customHeight="1" x14ac:dyDescent="0.25">
      <c r="D161" s="1" t="str">
        <f>TEXT(X_Cell_Site_StartDate, "mmmm yyyy")</f>
        <v>January 2025</v>
      </c>
      <c r="E161" s="86">
        <v>0.09</v>
      </c>
      <c r="F161" s="86">
        <v>0.09</v>
      </c>
      <c r="G161" s="86">
        <v>0.09</v>
      </c>
      <c r="H161" s="86">
        <v>0.09</v>
      </c>
      <c r="I161" s="86">
        <v>0.09</v>
      </c>
      <c r="J161" s="86">
        <v>0.09</v>
      </c>
      <c r="K161" s="86">
        <v>0.09</v>
      </c>
      <c r="L161" s="86">
        <v>0.09</v>
      </c>
      <c r="M161" s="86">
        <v>0.09</v>
      </c>
      <c r="N161" s="86">
        <v>0.09</v>
      </c>
      <c r="O161" s="26" t="s">
        <v>233</v>
      </c>
    </row>
    <row r="162" spans="4:15" ht="20.100000000000001" customHeight="1" x14ac:dyDescent="0.25">
      <c r="D162" s="1" t="str">
        <f>TEXT(EDATE(X_Cell_Site_StartDate,1), "mmmm yyyy")</f>
        <v>February 2025</v>
      </c>
      <c r="E162" s="86">
        <v>0.09</v>
      </c>
      <c r="F162" s="86">
        <v>0.09</v>
      </c>
      <c r="G162" s="86">
        <v>0.09</v>
      </c>
      <c r="H162" s="86">
        <v>0.09</v>
      </c>
      <c r="I162" s="86">
        <v>0.09</v>
      </c>
      <c r="J162" s="86">
        <v>0.09</v>
      </c>
      <c r="K162" s="86">
        <v>0.09</v>
      </c>
      <c r="L162" s="86">
        <v>0.09</v>
      </c>
      <c r="M162" s="86">
        <v>0.09</v>
      </c>
      <c r="N162" s="86">
        <v>0.09</v>
      </c>
      <c r="O162" s="26" t="s">
        <v>233</v>
      </c>
    </row>
    <row r="163" spans="4:15" ht="20.100000000000001" customHeight="1" x14ac:dyDescent="0.25">
      <c r="D163" s="1" t="str">
        <f>TEXT(EDATE(X_Cell_Site_StartDate,2), "mmmm yyyy")</f>
        <v>March 2025</v>
      </c>
      <c r="E163" s="86">
        <v>0.06</v>
      </c>
      <c r="F163" s="86">
        <v>0.06</v>
      </c>
      <c r="G163" s="86">
        <v>0.06</v>
      </c>
      <c r="H163" s="86">
        <v>0.06</v>
      </c>
      <c r="I163" s="86">
        <v>0.06</v>
      </c>
      <c r="J163" s="86">
        <v>0.06</v>
      </c>
      <c r="K163" s="86">
        <v>0.06</v>
      </c>
      <c r="L163" s="86">
        <v>0.06</v>
      </c>
      <c r="M163" s="86">
        <v>0.06</v>
      </c>
      <c r="N163" s="86">
        <v>0.06</v>
      </c>
      <c r="O163" s="26" t="s">
        <v>233</v>
      </c>
    </row>
    <row r="164" spans="4:15" ht="20.100000000000001" customHeight="1" x14ac:dyDescent="0.25">
      <c r="D164" s="1" t="str">
        <f>TEXT(EDATE(X_Cell_Site_StartDate,3), "mmmm yyyy")</f>
        <v>April 2025</v>
      </c>
      <c r="E164" s="86">
        <v>0.06</v>
      </c>
      <c r="F164" s="86">
        <v>0.06</v>
      </c>
      <c r="G164" s="86">
        <v>0.06</v>
      </c>
      <c r="H164" s="86">
        <v>0.06</v>
      </c>
      <c r="I164" s="86">
        <v>0.06</v>
      </c>
      <c r="J164" s="86">
        <v>0.06</v>
      </c>
      <c r="K164" s="86">
        <v>0.06</v>
      </c>
      <c r="L164" s="86">
        <v>0.06</v>
      </c>
      <c r="M164" s="86">
        <v>0.06</v>
      </c>
      <c r="N164" s="86">
        <v>0.06</v>
      </c>
      <c r="O164" s="26" t="s">
        <v>233</v>
      </c>
    </row>
    <row r="165" spans="4:15" ht="20.100000000000001" customHeight="1" x14ac:dyDescent="0.25">
      <c r="D165" s="1" t="str">
        <f>TEXT(EDATE(X_Cell_Site_StartDate,4), "mmmm yyyy")</f>
        <v>May 2025</v>
      </c>
      <c r="E165" s="86">
        <v>0.06</v>
      </c>
      <c r="F165" s="86">
        <v>0.06</v>
      </c>
      <c r="G165" s="86">
        <v>0.06</v>
      </c>
      <c r="H165" s="86">
        <v>0.06</v>
      </c>
      <c r="I165" s="86">
        <v>0.06</v>
      </c>
      <c r="J165" s="86">
        <v>0.06</v>
      </c>
      <c r="K165" s="86">
        <v>0.06</v>
      </c>
      <c r="L165" s="86">
        <v>0.06</v>
      </c>
      <c r="M165" s="86">
        <v>0.06</v>
      </c>
      <c r="N165" s="86">
        <v>0.06</v>
      </c>
      <c r="O165" s="26" t="s">
        <v>233</v>
      </c>
    </row>
    <row r="166" spans="4:15" ht="20.100000000000001" customHeight="1" x14ac:dyDescent="0.25">
      <c r="D166" s="1" t="str">
        <f>TEXT(EDATE(X_Cell_Site_StartDate,5), "mmmm yyyy")</f>
        <v>June 2025</v>
      </c>
      <c r="E166" s="86">
        <v>0.2</v>
      </c>
      <c r="F166" s="86">
        <v>0.2</v>
      </c>
      <c r="G166" s="86">
        <v>0.2</v>
      </c>
      <c r="H166" s="86">
        <v>0.2</v>
      </c>
      <c r="I166" s="86">
        <v>0.2</v>
      </c>
      <c r="J166" s="86">
        <v>0.2</v>
      </c>
      <c r="K166" s="86">
        <v>0.2</v>
      </c>
      <c r="L166" s="86">
        <v>0.2</v>
      </c>
      <c r="M166" s="86">
        <v>0.2</v>
      </c>
      <c r="N166" s="86">
        <v>0.2</v>
      </c>
      <c r="O166" s="26" t="s">
        <v>233</v>
      </c>
    </row>
    <row r="167" spans="4:15" ht="20.100000000000001" customHeight="1" x14ac:dyDescent="0.25">
      <c r="D167" s="1" t="str">
        <f>TEXT(EDATE(X_Cell_Site_StartDate,6), "mmmm yyyy")</f>
        <v>July 2025</v>
      </c>
      <c r="E167" s="86">
        <v>0.2</v>
      </c>
      <c r="F167" s="86">
        <v>0.2</v>
      </c>
      <c r="G167" s="86">
        <v>0.2</v>
      </c>
      <c r="H167" s="86">
        <v>0.2</v>
      </c>
      <c r="I167" s="86">
        <v>0.2</v>
      </c>
      <c r="J167" s="86">
        <v>0.2</v>
      </c>
      <c r="K167" s="86">
        <v>0.2</v>
      </c>
      <c r="L167" s="86">
        <v>0.2</v>
      </c>
      <c r="M167" s="86">
        <v>0.2</v>
      </c>
      <c r="N167" s="86">
        <v>0.2</v>
      </c>
      <c r="O167" s="26" t="s">
        <v>233</v>
      </c>
    </row>
    <row r="168" spans="4:15" ht="20.100000000000001" customHeight="1" x14ac:dyDescent="0.25">
      <c r="D168" s="1" t="str">
        <f>TEXT(EDATE(X_Cell_Site_StartDate,7), "mmmm yyyy")</f>
        <v>August 2025</v>
      </c>
      <c r="E168" s="86">
        <v>0.2</v>
      </c>
      <c r="F168" s="86">
        <v>0.2</v>
      </c>
      <c r="G168" s="86">
        <v>0.2</v>
      </c>
      <c r="H168" s="86">
        <v>0.2</v>
      </c>
      <c r="I168" s="86">
        <v>0.2</v>
      </c>
      <c r="J168" s="86">
        <v>0.2</v>
      </c>
      <c r="K168" s="86">
        <v>0.2</v>
      </c>
      <c r="L168" s="86">
        <v>0.2</v>
      </c>
      <c r="M168" s="86">
        <v>0.2</v>
      </c>
      <c r="N168" s="86">
        <v>0.2</v>
      </c>
      <c r="O168" s="26" t="s">
        <v>233</v>
      </c>
    </row>
    <row r="169" spans="4:15" ht="20.100000000000001" customHeight="1" x14ac:dyDescent="0.25">
      <c r="D169" s="1" t="str">
        <f>TEXT(EDATE(X_Cell_Site_StartDate,8), "mmmm yyyy")</f>
        <v>September 2025</v>
      </c>
      <c r="E169" s="86">
        <v>0.2</v>
      </c>
      <c r="F169" s="86">
        <v>0.2</v>
      </c>
      <c r="G169" s="86">
        <v>0.2</v>
      </c>
      <c r="H169" s="86">
        <v>0.2</v>
      </c>
      <c r="I169" s="86">
        <v>0.2</v>
      </c>
      <c r="J169" s="86">
        <v>0.2</v>
      </c>
      <c r="K169" s="86">
        <v>0.2</v>
      </c>
      <c r="L169" s="86">
        <v>0.2</v>
      </c>
      <c r="M169" s="86">
        <v>0.2</v>
      </c>
      <c r="N169" s="86">
        <v>0.2</v>
      </c>
      <c r="O169" s="26" t="s">
        <v>233</v>
      </c>
    </row>
    <row r="170" spans="4:15" ht="20.100000000000001" customHeight="1" x14ac:dyDescent="0.25">
      <c r="D170" s="1" t="str">
        <f>TEXT(EDATE(X_Cell_Site_StartDate,9), "mmmm yyyy")</f>
        <v>October 2025</v>
      </c>
      <c r="E170" s="86">
        <v>0.2</v>
      </c>
      <c r="F170" s="86">
        <v>0.2</v>
      </c>
      <c r="G170" s="86">
        <v>0.2</v>
      </c>
      <c r="H170" s="86">
        <v>0.2</v>
      </c>
      <c r="I170" s="86">
        <v>0.2</v>
      </c>
      <c r="J170" s="86">
        <v>0.2</v>
      </c>
      <c r="K170" s="86">
        <v>0.2</v>
      </c>
      <c r="L170" s="86">
        <v>0.2</v>
      </c>
      <c r="M170" s="86">
        <v>0.2</v>
      </c>
      <c r="N170" s="86">
        <v>0.2</v>
      </c>
      <c r="O170" s="26" t="s">
        <v>233</v>
      </c>
    </row>
    <row r="171" spans="4:15" ht="20.100000000000001" customHeight="1" x14ac:dyDescent="0.25">
      <c r="D171" s="1" t="str">
        <f>TEXT(EDATE(X_Cell_Site_StartDate,10), "mmmm yyyy")</f>
        <v>November 2025</v>
      </c>
      <c r="E171" s="86">
        <v>0.2</v>
      </c>
      <c r="F171" s="86">
        <v>0.2</v>
      </c>
      <c r="G171" s="86">
        <v>0.2</v>
      </c>
      <c r="H171" s="86">
        <v>0.2</v>
      </c>
      <c r="I171" s="86">
        <v>0.2</v>
      </c>
      <c r="J171" s="86">
        <v>0.2</v>
      </c>
      <c r="K171" s="86">
        <v>0.2</v>
      </c>
      <c r="L171" s="86">
        <v>0.2</v>
      </c>
      <c r="M171" s="86">
        <v>0.2</v>
      </c>
      <c r="N171" s="86">
        <v>0.2</v>
      </c>
      <c r="O171" s="26" t="s">
        <v>233</v>
      </c>
    </row>
    <row r="172" spans="4:15" ht="20.100000000000001" customHeight="1" x14ac:dyDescent="0.25">
      <c r="D172" s="1" t="str">
        <f>TEXT(EDATE(X_Cell_Site_StartDate,11), "mmmm yyyy")</f>
        <v>December 2025</v>
      </c>
      <c r="E172" s="86">
        <v>0.09</v>
      </c>
      <c r="F172" s="86">
        <v>0.09</v>
      </c>
      <c r="G172" s="86">
        <v>0.09</v>
      </c>
      <c r="H172" s="86">
        <v>0.09</v>
      </c>
      <c r="I172" s="86">
        <v>0.09</v>
      </c>
      <c r="J172" s="86">
        <v>0.09</v>
      </c>
      <c r="K172" s="86">
        <v>0.09</v>
      </c>
      <c r="L172" s="86">
        <v>0.09</v>
      </c>
      <c r="M172" s="86">
        <v>0.09</v>
      </c>
      <c r="N172" s="86">
        <v>0.09</v>
      </c>
      <c r="O172" s="26" t="s">
        <v>233</v>
      </c>
    </row>
    <row r="173" spans="4:15" ht="20.100000000000001" customHeight="1" x14ac:dyDescent="0.25">
      <c r="L173" s="26"/>
      <c r="M173" s="26"/>
      <c r="N173" s="26"/>
      <c r="O173" s="26"/>
    </row>
    <row r="174" spans="4:15" ht="20.100000000000001" customHeight="1" x14ac:dyDescent="0.25">
      <c r="L174" s="26"/>
      <c r="M174" s="26"/>
      <c r="N174" s="26"/>
      <c r="O174" s="26"/>
    </row>
    <row r="175" spans="4:15" ht="20.100000000000001" customHeight="1" x14ac:dyDescent="0.25">
      <c r="D175" s="92" t="s">
        <v>235</v>
      </c>
      <c r="L175" s="26"/>
      <c r="M175" s="26"/>
      <c r="N175" s="26"/>
      <c r="O175" s="26"/>
    </row>
    <row r="176" spans="4:15" ht="20.100000000000001" customHeight="1" x14ac:dyDescent="0.25"/>
    <row r="177" spans="4:15" ht="20.100000000000001" customHeight="1" x14ac:dyDescent="0.25">
      <c r="D177" s="1" t="s">
        <v>236</v>
      </c>
      <c r="E177" s="23" t="s">
        <v>221</v>
      </c>
      <c r="F177" s="26" t="s">
        <v>109</v>
      </c>
      <c r="L177" s="26"/>
      <c r="M177" s="26"/>
      <c r="N177" s="26"/>
      <c r="O177" s="26"/>
    </row>
    <row r="178" spans="4:15" ht="20.100000000000001" customHeight="1" x14ac:dyDescent="0.25"/>
    <row r="179" spans="4:15" ht="20.100000000000001" customHeight="1" x14ac:dyDescent="0.25">
      <c r="D179" s="93" t="s">
        <v>237</v>
      </c>
      <c r="E179" s="93" t="s">
        <v>238</v>
      </c>
      <c r="L179" s="26"/>
      <c r="M179" s="26"/>
      <c r="N179" s="26"/>
      <c r="O179" s="26"/>
    </row>
    <row r="180" spans="4:15" ht="20.100000000000001" customHeight="1" x14ac:dyDescent="0.25">
      <c r="D180" s="1" t="s">
        <v>93</v>
      </c>
      <c r="E180" s="95">
        <f>IF($E$177="Yes", 1,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Name],Table_AustralianStates[Abbreviation]),$E$8,Table_SourceData_PastureBeef_FractionManureToMMS[State],Table_SourceData_PastureBeef_FractionManureToMMS[Region],Table_SourceData_PastureBeef_FractionManureToMMS[Pasture range and paddock]))/100</f>
        <v>0.99621999999999999</v>
      </c>
      <c r="F180" s="26" t="s">
        <v>220</v>
      </c>
      <c r="L180" s="26"/>
      <c r="M180" s="26"/>
      <c r="N180" s="26"/>
      <c r="O180" s="26"/>
    </row>
    <row r="181" spans="4:15" ht="20.100000000000001" customHeight="1" x14ac:dyDescent="0.25">
      <c r="D181" s="1" t="s">
        <v>81</v>
      </c>
      <c r="E181" s="95">
        <f>IF($E$177="Yes", 0,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Name],Table_AustralianStates[Abbreviation]),$E$8,Table_SourceData_PastureBeef_FractionManureToMMS[State],Table_SourceData_PastureBeef_FractionManureToMMS[Region],Table_SourceData_PastureBeef_FractionManureToMMS[Uncovered Anaerobic lagoon]))/100</f>
        <v>3.7799999999999999E-3</v>
      </c>
      <c r="F181" s="26" t="s">
        <v>220</v>
      </c>
      <c r="L181" s="26"/>
      <c r="M181" s="26"/>
      <c r="N181" s="26"/>
      <c r="O181" s="26"/>
    </row>
    <row r="182" spans="4:15" ht="20.100000000000001" customHeight="1" x14ac:dyDescent="0.25">
      <c r="L182" s="26"/>
      <c r="M182" s="26"/>
      <c r="N182" s="26"/>
      <c r="O182" s="26"/>
    </row>
    <row r="183" spans="4:15" ht="20.100000000000001" customHeight="1" x14ac:dyDescent="0.25"/>
    <row r="184" spans="4:15" ht="20.100000000000001" customHeight="1" x14ac:dyDescent="0.25">
      <c r="D184" s="1" t="s">
        <v>239</v>
      </c>
      <c r="E184" s="23" t="s">
        <v>240</v>
      </c>
      <c r="F184" s="26" t="s">
        <v>109</v>
      </c>
      <c r="L184" s="26"/>
      <c r="M184" s="26"/>
      <c r="N184" s="26"/>
      <c r="O184" s="26"/>
    </row>
    <row r="185" spans="4:15" ht="20.100000000000001" customHeight="1" x14ac:dyDescent="0.25">
      <c r="E185" s="23" t="s">
        <v>241</v>
      </c>
      <c r="F185" s="26" t="s">
        <v>109</v>
      </c>
    </row>
    <row r="186" spans="4:15" ht="20.100000000000001" customHeight="1" x14ac:dyDescent="0.25"/>
    <row r="187" spans="4:15" ht="20.100000000000001" customHeight="1" x14ac:dyDescent="0.25"/>
    <row r="188" spans="4:15" ht="20.100000000000001" customHeight="1" x14ac:dyDescent="0.25">
      <c r="D188" s="2" t="s">
        <v>242</v>
      </c>
    </row>
    <row r="189" spans="4:15" ht="20.100000000000001" customHeight="1" x14ac:dyDescent="0.25">
      <c r="D189" s="96" t="s">
        <v>243</v>
      </c>
    </row>
    <row r="190" spans="4:15" ht="20.100000000000001" customHeight="1" x14ac:dyDescent="0.25">
      <c r="D190" s="30" t="s">
        <v>244</v>
      </c>
      <c r="E190" s="30" t="s">
        <v>245</v>
      </c>
      <c r="F190" s="30" t="s">
        <v>246</v>
      </c>
      <c r="G190" s="30" t="s">
        <v>247</v>
      </c>
      <c r="H190" s="30" t="s">
        <v>248</v>
      </c>
      <c r="I190" s="30" t="s">
        <v>249</v>
      </c>
      <c r="J190" s="97" t="s">
        <v>250</v>
      </c>
      <c r="K190" s="97" t="s">
        <v>251</v>
      </c>
    </row>
    <row r="191" spans="4:15" ht="20.100000000000001" customHeight="1" x14ac:dyDescent="0.25">
      <c r="D191" s="44" t="s">
        <v>252</v>
      </c>
      <c r="E191" s="98">
        <v>45547</v>
      </c>
      <c r="F191" s="23" t="s">
        <v>199</v>
      </c>
      <c r="G191" s="99" t="s">
        <v>253</v>
      </c>
      <c r="H191" s="23" t="s">
        <v>254</v>
      </c>
      <c r="I191" s="86">
        <v>100</v>
      </c>
      <c r="J191" s="25" cm="1">
        <f t="array" ref="J191">Scope3_InputFunctions.GetLiveweight_PastureBeef(Table_Input_LivestockPurchases_Beefcattle49[[#This Row],[Purchase date]],Table_Input_LivestockPurchases_Beefcattle49[[#This Row],[Class (select)]],Table_Input_LivestockPurchases_Beefcattle49[[#This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210</v>
      </c>
      <c r="K191" s="86">
        <v>205</v>
      </c>
    </row>
    <row r="192" spans="4:15" ht="20.100000000000001" customHeight="1" x14ac:dyDescent="0.25">
      <c r="D192" s="44"/>
      <c r="E192" s="44"/>
      <c r="F192" s="100"/>
      <c r="G192" s="99"/>
      <c r="H192" s="23"/>
      <c r="I192" s="86"/>
      <c r="J192" s="25" cm="1">
        <f t="array" ref="J192">Scope3_InputFunctions.GetLiveweight_PastureBeef(Table_Input_LivestockPurchases_Beefcattle49[[#This Row],[Purchase date]],Table_Input_LivestockPurchases_Beefcattle49[[#This Row],[Class (select)]],Table_Input_LivestockPurchases_Beefcattle49[[#This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2" s="86"/>
    </row>
    <row r="193" spans="4:27" ht="20.100000000000001" customHeight="1" x14ac:dyDescent="0.25">
      <c r="D193" s="44"/>
      <c r="E193" s="44"/>
      <c r="F193" s="100"/>
      <c r="G193" s="99"/>
      <c r="H193" s="23"/>
      <c r="I193" s="86"/>
      <c r="J193" s="25" cm="1">
        <f t="array" ref="J193">Scope3_InputFunctions.GetLiveweight_PastureBeef(Table_Input_LivestockPurchases_Beefcattle49[[#This Row],[Purchase date]],Table_Input_LivestockPurchases_Beefcattle49[[#This Row],[Class (select)]],Table_Input_LivestockPurchases_Beefcattle49[[#This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3" s="86"/>
    </row>
    <row r="194" spans="4:27" ht="20.100000000000001" customHeight="1" x14ac:dyDescent="0.25">
      <c r="D194" s="44"/>
      <c r="E194" s="44"/>
      <c r="F194" s="100"/>
      <c r="G194" s="99"/>
      <c r="H194" s="23"/>
      <c r="I194" s="86"/>
      <c r="J194" s="25" cm="1">
        <f t="array" ref="J194">Scope3_InputFunctions.GetLiveweight_PastureBeef(Table_Input_LivestockPurchases_Beefcattle49[[#This Row],[Purchase date]],Table_Input_LivestockPurchases_Beefcattle49[[#This Row],[Class (select)]],Table_Input_LivestockPurchases_Beefcattle49[[#This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4" s="86"/>
    </row>
    <row r="195" spans="4:27" ht="20.100000000000001" customHeight="1" x14ac:dyDescent="0.25">
      <c r="D195" s="44"/>
      <c r="E195" s="44"/>
      <c r="F195" s="100"/>
      <c r="G195" s="99"/>
      <c r="H195" s="23"/>
      <c r="I195" s="86"/>
      <c r="J195" s="25" cm="1">
        <f t="array" ref="J195">Scope3_InputFunctions.GetLiveweight_PastureBeef(Table_Input_LivestockPurchases_Beefcattle49[[#This Row],[Purchase date]],Table_Input_LivestockPurchases_Beefcattle49[[#This Row],[Class (select)]],Table_Input_LivestockPurchases_Beefcattle49[[#This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5" s="86"/>
    </row>
    <row r="196" spans="4:27" ht="20.100000000000001" customHeight="1" x14ac:dyDescent="0.25">
      <c r="D196" s="44"/>
      <c r="E196" s="44"/>
      <c r="F196" s="100"/>
      <c r="G196" s="99"/>
      <c r="H196" s="23"/>
      <c r="I196" s="86"/>
      <c r="J196" s="25" cm="1">
        <f t="array" ref="J196">Scope3_InputFunctions.GetLiveweight_PastureBeef(Table_Input_LivestockPurchases_Beefcattle49[[#This Row],[Purchase date]],Table_Input_LivestockPurchases_Beefcattle49[[#This Row],[Class (select)]],Table_Input_LivestockPurchases_Beefcattle49[[#This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6" s="86"/>
    </row>
    <row r="197" spans="4:27" ht="20.100000000000001" customHeight="1" x14ac:dyDescent="0.25">
      <c r="D197" s="44"/>
      <c r="E197" s="44"/>
      <c r="F197" s="100"/>
      <c r="G197" s="99"/>
      <c r="H197" s="23"/>
      <c r="I197" s="86"/>
      <c r="J197" s="25" cm="1">
        <f t="array" ref="J197">Scope3_InputFunctions.GetLiveweight_PastureBeef(Table_Input_LivestockPurchases_Beefcattle49[[#This Row],[Purchase date]],Table_Input_LivestockPurchases_Beefcattle49[[#This Row],[Class (select)]],Table_Input_LivestockPurchases_Beefcattle49[[#This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7" s="86"/>
    </row>
    <row r="198" spans="4:27" ht="20.100000000000001" customHeight="1" x14ac:dyDescent="0.25">
      <c r="D198" s="44"/>
      <c r="E198" s="44"/>
      <c r="F198" s="100"/>
      <c r="G198" s="99"/>
      <c r="H198" s="23"/>
      <c r="I198" s="86"/>
      <c r="J198" s="25" cm="1">
        <f t="array" ref="J198">Scope3_InputFunctions.GetLiveweight_PastureBeef(Table_Input_LivestockPurchases_Beefcattle49[[#This Row],[Purchase date]],Table_Input_LivestockPurchases_Beefcattle49[[#This Row],[Class (select)]],Table_Input_LivestockPurchases_Beefcattle49[[#This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8" s="86"/>
    </row>
    <row r="199" spans="4:27" ht="20.100000000000001" customHeight="1" x14ac:dyDescent="0.25">
      <c r="D199" s="44"/>
      <c r="E199" s="44"/>
      <c r="F199" s="100"/>
      <c r="G199" s="99"/>
      <c r="H199" s="23"/>
      <c r="I199" s="86"/>
      <c r="J199" s="25" cm="1">
        <f t="array" ref="J199">Scope3_InputFunctions.GetLiveweight_PastureBeef(Table_Input_LivestockPurchases_Beefcattle49[[#This Row],[Purchase date]],Table_Input_LivestockPurchases_Beefcattle49[[#This Row],[Class (select)]],Table_Input_LivestockPurchases_Beefcattle49[[#This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9" s="86"/>
    </row>
    <row r="200" spans="4:27" ht="20.100000000000001" customHeight="1" x14ac:dyDescent="0.25">
      <c r="D200" s="101"/>
      <c r="E200" s="101"/>
      <c r="F200" s="100"/>
      <c r="G200" s="102"/>
      <c r="H200" s="100"/>
      <c r="I200" s="103"/>
      <c r="J200" s="25" cm="1">
        <f t="array" ref="J200">Scope3_InputFunctions.GetLiveweight_PastureBeef(Table_Input_LivestockPurchases_Beefcattle49[[#This Row],[Purchase date]],Table_Input_LivestockPurchases_Beefcattle49[[#This Row],[Class (select)]],Table_Input_LivestockPurchases_Beefcattle49[[#This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200" s="103"/>
    </row>
    <row r="201" spans="4:27" ht="20.100000000000001" customHeight="1" x14ac:dyDescent="0.25"/>
    <row r="202" spans="4:27" ht="20.100000000000001" customHeight="1" x14ac:dyDescent="0.25"/>
    <row r="203" spans="4:27" ht="20.100000000000001" customHeight="1" x14ac:dyDescent="0.25"/>
    <row r="204" spans="4:27" ht="20.100000000000001" customHeight="1" x14ac:dyDescent="0.25">
      <c r="D204" s="2" t="s">
        <v>255</v>
      </c>
    </row>
    <row r="205" spans="4:27" ht="20.100000000000001" customHeight="1" x14ac:dyDescent="0.25">
      <c r="D205" s="96" t="s">
        <v>243</v>
      </c>
      <c r="Q205" s="1"/>
      <c r="Z205" s="91"/>
    </row>
    <row r="206" spans="4:27" ht="20.100000000000001" customHeight="1" x14ac:dyDescent="0.25">
      <c r="D206" s="30" t="s">
        <v>244</v>
      </c>
      <c r="E206" s="30" t="s">
        <v>246</v>
      </c>
      <c r="F206" s="30" t="s">
        <v>256</v>
      </c>
      <c r="G206" s="30" t="s">
        <v>257</v>
      </c>
      <c r="H206" s="30" t="s">
        <v>258</v>
      </c>
      <c r="I206" s="30" t="s">
        <v>259</v>
      </c>
      <c r="Q206" s="1"/>
      <c r="R206" s="1"/>
      <c r="Z206" s="91"/>
      <c r="AA206" s="91"/>
    </row>
    <row r="207" spans="4:27" ht="20.100000000000001" customHeight="1" x14ac:dyDescent="0.25">
      <c r="D207" s="44"/>
      <c r="E207" s="23" t="s">
        <v>194</v>
      </c>
      <c r="F207" s="104">
        <v>45566</v>
      </c>
      <c r="G207" s="30">
        <v>10</v>
      </c>
      <c r="H207" s="30">
        <v>500</v>
      </c>
      <c r="I207" s="25">
        <f t="shared" ref="I207:I216" si="1">G207*H207</f>
        <v>5000</v>
      </c>
      <c r="Q207" s="1"/>
      <c r="R207" s="1"/>
      <c r="Z207" s="91"/>
      <c r="AA207" s="91"/>
    </row>
    <row r="208" spans="4:27" ht="20.100000000000001" customHeight="1" x14ac:dyDescent="0.25">
      <c r="D208" s="44"/>
      <c r="E208" s="23"/>
      <c r="F208" s="104"/>
      <c r="G208" s="30"/>
      <c r="H208" s="30"/>
      <c r="I208" s="25">
        <f t="shared" si="1"/>
        <v>0</v>
      </c>
      <c r="Q208" s="1"/>
      <c r="R208" s="1"/>
      <c r="Z208" s="91"/>
      <c r="AA208" s="91"/>
    </row>
    <row r="209" spans="4:27" ht="20.100000000000001" customHeight="1" x14ac:dyDescent="0.25">
      <c r="D209" s="44"/>
      <c r="E209" s="23"/>
      <c r="F209" s="104"/>
      <c r="G209" s="30"/>
      <c r="H209" s="30"/>
      <c r="I209" s="25">
        <f t="shared" si="1"/>
        <v>0</v>
      </c>
      <c r="Q209" s="1"/>
      <c r="R209" s="1"/>
      <c r="Z209" s="91"/>
      <c r="AA209" s="91"/>
    </row>
    <row r="210" spans="4:27" ht="20.100000000000001" customHeight="1" x14ac:dyDescent="0.25">
      <c r="D210" s="44"/>
      <c r="E210" s="23"/>
      <c r="F210" s="104"/>
      <c r="G210" s="30"/>
      <c r="H210" s="30"/>
      <c r="I210" s="25">
        <f t="shared" si="1"/>
        <v>0</v>
      </c>
      <c r="Q210" s="1"/>
      <c r="R210" s="1"/>
      <c r="Z210" s="91"/>
      <c r="AA210" s="91"/>
    </row>
    <row r="211" spans="4:27" ht="20.100000000000001" customHeight="1" x14ac:dyDescent="0.25">
      <c r="D211" s="44"/>
      <c r="E211" s="23"/>
      <c r="F211" s="104"/>
      <c r="G211" s="30"/>
      <c r="H211" s="30"/>
      <c r="I211" s="25">
        <f t="shared" si="1"/>
        <v>0</v>
      </c>
      <c r="Q211" s="1"/>
      <c r="R211" s="1"/>
      <c r="Z211" s="91"/>
      <c r="AA211" s="91"/>
    </row>
    <row r="212" spans="4:27" ht="20.100000000000001" customHeight="1" x14ac:dyDescent="0.25">
      <c r="D212" s="44"/>
      <c r="E212" s="23"/>
      <c r="F212" s="104"/>
      <c r="G212" s="30"/>
      <c r="H212" s="30"/>
      <c r="I212" s="25">
        <f t="shared" si="1"/>
        <v>0</v>
      </c>
      <c r="Q212" s="1"/>
      <c r="R212" s="1"/>
      <c r="Z212" s="91"/>
      <c r="AA212" s="91"/>
    </row>
    <row r="213" spans="4:27" ht="20.100000000000001" customHeight="1" x14ac:dyDescent="0.25">
      <c r="D213" s="44"/>
      <c r="E213" s="23"/>
      <c r="F213" s="104"/>
      <c r="G213" s="30"/>
      <c r="H213" s="30"/>
      <c r="I213" s="25">
        <f t="shared" si="1"/>
        <v>0</v>
      </c>
      <c r="Q213" s="1"/>
      <c r="R213" s="1"/>
      <c r="Z213" s="91"/>
      <c r="AA213" s="91"/>
    </row>
    <row r="214" spans="4:27" ht="20.100000000000001" customHeight="1" x14ac:dyDescent="0.25">
      <c r="D214" s="44"/>
      <c r="E214" s="23"/>
      <c r="F214" s="104"/>
      <c r="G214" s="30"/>
      <c r="H214" s="30"/>
      <c r="I214" s="25">
        <f t="shared" si="1"/>
        <v>0</v>
      </c>
      <c r="Q214" s="1"/>
      <c r="R214" s="1"/>
      <c r="Z214" s="91"/>
      <c r="AA214" s="91"/>
    </row>
    <row r="215" spans="4:27" ht="20.100000000000001" customHeight="1" x14ac:dyDescent="0.25">
      <c r="D215" s="44"/>
      <c r="E215" s="23"/>
      <c r="F215" s="104"/>
      <c r="G215" s="30"/>
      <c r="H215" s="30"/>
      <c r="I215" s="25">
        <f t="shared" si="1"/>
        <v>0</v>
      </c>
      <c r="Q215" s="1"/>
      <c r="R215" s="1"/>
      <c r="Z215" s="91"/>
      <c r="AA215" s="91"/>
    </row>
    <row r="216" spans="4:27" ht="20.100000000000001" customHeight="1" x14ac:dyDescent="0.25">
      <c r="D216" s="44"/>
      <c r="E216" s="23"/>
      <c r="F216" s="104"/>
      <c r="G216" s="30"/>
      <c r="H216" s="30"/>
      <c r="I216" s="25">
        <f t="shared" si="1"/>
        <v>0</v>
      </c>
      <c r="Q216" s="1"/>
      <c r="Z216" s="91"/>
    </row>
    <row r="217" spans="4:27" ht="20.100000000000001" customHeight="1" x14ac:dyDescent="0.25"/>
    <row r="218" spans="4:27" ht="20.100000000000001" customHeight="1" x14ac:dyDescent="0.25"/>
    <row r="219" spans="4:27" ht="20.100000000000001" customHeight="1" x14ac:dyDescent="0.25"/>
    <row r="220" spans="4:27" ht="20.100000000000001" customHeight="1" x14ac:dyDescent="0.25"/>
    <row r="221" spans="4:27" ht="20.100000000000001" customHeight="1" x14ac:dyDescent="0.25"/>
    <row r="222" spans="4:27" ht="20.100000000000001" customHeight="1" x14ac:dyDescent="0.25"/>
    <row r="223" spans="4:27" ht="20.100000000000001" customHeight="1" x14ac:dyDescent="0.25"/>
    <row r="227" spans="11:15" x14ac:dyDescent="0.25">
      <c r="L227" s="26"/>
      <c r="M227" s="26"/>
      <c r="N227" s="26"/>
      <c r="O227" s="26"/>
    </row>
    <row r="228" spans="11:15" x14ac:dyDescent="0.25">
      <c r="L228" s="26"/>
      <c r="M228" s="26"/>
      <c r="N228" s="26"/>
      <c r="O228" s="26"/>
    </row>
    <row r="229" spans="11:15" x14ac:dyDescent="0.25">
      <c r="L229" s="26"/>
      <c r="M229" s="26"/>
      <c r="N229" s="26"/>
      <c r="O229" s="26"/>
    </row>
    <row r="232" spans="11:15" x14ac:dyDescent="0.25">
      <c r="L232" s="26"/>
      <c r="M232" s="26"/>
      <c r="N232" s="26"/>
      <c r="O232" s="26"/>
    </row>
    <row r="233" spans="11:15" x14ac:dyDescent="0.25">
      <c r="L233" s="26"/>
      <c r="M233" s="26"/>
      <c r="N233" s="26"/>
      <c r="O233" s="26"/>
    </row>
    <row r="234" spans="11:15" x14ac:dyDescent="0.25">
      <c r="K234" s="26"/>
      <c r="L234" s="26"/>
      <c r="M234" s="26"/>
      <c r="N234" s="26"/>
      <c r="O234" s="26"/>
    </row>
    <row r="237" spans="11:15" x14ac:dyDescent="0.25">
      <c r="L237" s="26"/>
      <c r="M237" s="26"/>
      <c r="N237" s="26"/>
      <c r="O237" s="26"/>
    </row>
    <row r="238" spans="11:15" x14ac:dyDescent="0.25">
      <c r="L238" s="26"/>
      <c r="M238" s="26"/>
      <c r="N238" s="26"/>
      <c r="O238" s="26"/>
    </row>
    <row r="239" spans="11:15" x14ac:dyDescent="0.25">
      <c r="K239" s="26"/>
      <c r="L239" s="26"/>
      <c r="M239" s="26"/>
      <c r="N239" s="26"/>
      <c r="O239" s="26"/>
    </row>
    <row r="242" spans="11:15" x14ac:dyDescent="0.25">
      <c r="L242" s="26"/>
      <c r="M242" s="26"/>
      <c r="N242" s="26"/>
      <c r="O242" s="26"/>
    </row>
    <row r="243" spans="11:15" x14ac:dyDescent="0.25">
      <c r="L243" s="26"/>
      <c r="M243" s="26"/>
      <c r="N243" s="26"/>
      <c r="O243" s="26"/>
    </row>
    <row r="244" spans="11:15" x14ac:dyDescent="0.25">
      <c r="K244" s="26"/>
      <c r="L244" s="26"/>
      <c r="M244" s="26"/>
      <c r="N244" s="26"/>
      <c r="O244" s="26"/>
    </row>
    <row r="249" spans="11:15" x14ac:dyDescent="0.25">
      <c r="K249" s="26"/>
    </row>
    <row r="250" spans="11:15" x14ac:dyDescent="0.25">
      <c r="K250" s="26"/>
    </row>
    <row r="251" spans="11:15" x14ac:dyDescent="0.25">
      <c r="K251" s="26"/>
      <c r="L251" s="26"/>
      <c r="M251" s="26"/>
      <c r="N251" s="26"/>
      <c r="O251" s="26"/>
    </row>
    <row r="252" spans="11:15" x14ac:dyDescent="0.25">
      <c r="K252" s="26"/>
      <c r="L252" s="26"/>
      <c r="M252" s="26"/>
      <c r="N252" s="26"/>
      <c r="O252" s="26"/>
    </row>
    <row r="253" spans="11:15" x14ac:dyDescent="0.25">
      <c r="K253" s="26"/>
      <c r="L253" s="26"/>
      <c r="M253" s="26"/>
      <c r="N253" s="26"/>
      <c r="O253" s="26"/>
    </row>
    <row r="255" spans="11:15" x14ac:dyDescent="0.25">
      <c r="K255" s="26"/>
    </row>
    <row r="256" spans="11:15" x14ac:dyDescent="0.25">
      <c r="L256" s="26"/>
      <c r="M256" s="26"/>
      <c r="N256" s="26"/>
      <c r="O256" s="26"/>
    </row>
    <row r="257" spans="11:15" x14ac:dyDescent="0.25">
      <c r="K257" s="26"/>
      <c r="L257" s="26"/>
      <c r="M257" s="26"/>
      <c r="N257" s="26"/>
      <c r="O257" s="26"/>
    </row>
    <row r="258" spans="11:15" x14ac:dyDescent="0.25">
      <c r="K258" s="26"/>
      <c r="L258" s="26"/>
      <c r="M258" s="26"/>
      <c r="N258" s="26"/>
      <c r="O258" s="26"/>
    </row>
    <row r="259" spans="11:15" x14ac:dyDescent="0.25">
      <c r="K259" s="26"/>
    </row>
    <row r="260" spans="11:15" x14ac:dyDescent="0.25">
      <c r="K260" s="26"/>
    </row>
    <row r="261" spans="11:15" x14ac:dyDescent="0.25">
      <c r="L261" s="26"/>
      <c r="M261" s="26"/>
      <c r="N261" s="26"/>
      <c r="O261" s="26"/>
    </row>
    <row r="262" spans="11:15" x14ac:dyDescent="0.25">
      <c r="K262" s="26"/>
      <c r="L262" s="26"/>
      <c r="M262" s="26"/>
      <c r="N262" s="26"/>
      <c r="O262" s="26"/>
    </row>
    <row r="263" spans="11:15" x14ac:dyDescent="0.25">
      <c r="L263" s="26"/>
      <c r="M263" s="26"/>
      <c r="N263" s="26"/>
      <c r="O263" s="26"/>
    </row>
    <row r="266" spans="11:15" x14ac:dyDescent="0.25">
      <c r="L266" s="26"/>
      <c r="M266" s="26"/>
      <c r="N266" s="26"/>
      <c r="O266" s="26"/>
    </row>
    <row r="267" spans="11:15" x14ac:dyDescent="0.25">
      <c r="L267" s="26"/>
      <c r="M267" s="26"/>
      <c r="N267" s="26"/>
      <c r="O267" s="26"/>
    </row>
    <row r="268" spans="11:15" x14ac:dyDescent="0.25">
      <c r="K268" s="26"/>
      <c r="L268" s="26"/>
      <c r="M268" s="26"/>
      <c r="N268" s="26"/>
      <c r="O268" s="26"/>
    </row>
    <row r="273" spans="11:11" x14ac:dyDescent="0.25">
      <c r="K273" s="26"/>
    </row>
    <row r="278" spans="11:11" x14ac:dyDescent="0.25">
      <c r="K278" s="26"/>
    </row>
    <row r="283" spans="11:11" x14ac:dyDescent="0.25">
      <c r="K283" s="26"/>
    </row>
    <row r="284" spans="11:11" x14ac:dyDescent="0.25">
      <c r="K284" s="26"/>
    </row>
    <row r="285" spans="11:11" x14ac:dyDescent="0.25">
      <c r="K285" s="26"/>
    </row>
    <row r="286" spans="11:11" x14ac:dyDescent="0.25">
      <c r="K286" s="26"/>
    </row>
    <row r="287" spans="11:11" x14ac:dyDescent="0.25">
      <c r="K287" s="26"/>
    </row>
    <row r="289" spans="11:11" x14ac:dyDescent="0.25">
      <c r="K289" s="26"/>
    </row>
    <row r="291" spans="11:11" x14ac:dyDescent="0.25">
      <c r="K291" s="26"/>
    </row>
    <row r="292" spans="11:11" x14ac:dyDescent="0.25">
      <c r="K292" s="26"/>
    </row>
    <row r="293" spans="11:11" x14ac:dyDescent="0.25">
      <c r="K293" s="26"/>
    </row>
    <row r="294" spans="11:11" x14ac:dyDescent="0.25">
      <c r="K294" s="26"/>
    </row>
    <row r="296" spans="11:11" x14ac:dyDescent="0.25">
      <c r="K296" s="26"/>
    </row>
    <row r="304" spans="11:11" x14ac:dyDescent="0.25">
      <c r="K304" s="26"/>
    </row>
    <row r="305" spans="11:11" x14ac:dyDescent="0.25">
      <c r="K305" s="26"/>
    </row>
    <row r="306" spans="11:11" x14ac:dyDescent="0.25">
      <c r="K306" s="26"/>
    </row>
    <row r="309" spans="11:11" x14ac:dyDescent="0.25">
      <c r="K309" s="26"/>
    </row>
    <row r="310" spans="11:11" x14ac:dyDescent="0.25">
      <c r="K310" s="26"/>
    </row>
    <row r="311" spans="11:11" x14ac:dyDescent="0.25">
      <c r="K311" s="26"/>
    </row>
    <row r="314" spans="11:11" x14ac:dyDescent="0.25">
      <c r="K314" s="26"/>
    </row>
    <row r="315" spans="11:11" x14ac:dyDescent="0.25">
      <c r="K315" s="26"/>
    </row>
    <row r="316" spans="11:11" x14ac:dyDescent="0.25">
      <c r="K316" s="26"/>
    </row>
    <row r="319" spans="11:11" x14ac:dyDescent="0.25">
      <c r="K319" s="26"/>
    </row>
    <row r="320" spans="11:11" x14ac:dyDescent="0.25">
      <c r="K320" s="26"/>
    </row>
    <row r="321" spans="11:11" x14ac:dyDescent="0.25">
      <c r="K321" s="26"/>
    </row>
    <row r="328" spans="11:11" x14ac:dyDescent="0.25">
      <c r="K328" s="26"/>
    </row>
    <row r="329" spans="11:11" x14ac:dyDescent="0.25">
      <c r="K329" s="26"/>
    </row>
    <row r="330" spans="11:11" x14ac:dyDescent="0.25">
      <c r="K330" s="26"/>
    </row>
    <row r="333" spans="11:11" x14ac:dyDescent="0.25">
      <c r="K333" s="26"/>
    </row>
    <row r="334" spans="11:11" x14ac:dyDescent="0.25">
      <c r="K334" s="26"/>
    </row>
    <row r="335" spans="11:11" x14ac:dyDescent="0.25">
      <c r="K335" s="26"/>
    </row>
    <row r="338" spans="4:11" x14ac:dyDescent="0.25">
      <c r="K338" s="26"/>
    </row>
    <row r="339" spans="4:11" x14ac:dyDescent="0.25">
      <c r="K339" s="26"/>
    </row>
    <row r="340" spans="4:11" x14ac:dyDescent="0.25">
      <c r="K340" s="26"/>
    </row>
    <row r="343" spans="4:11" x14ac:dyDescent="0.25">
      <c r="K343" s="26"/>
    </row>
    <row r="344" spans="4:11" x14ac:dyDescent="0.25">
      <c r="K344" s="26"/>
    </row>
    <row r="345" spans="4:11" x14ac:dyDescent="0.25">
      <c r="K345" s="26"/>
    </row>
    <row r="350" spans="4:11" x14ac:dyDescent="0.25">
      <c r="D350" s="96"/>
    </row>
  </sheetData>
  <conditionalFormatting sqref="E103:O103 L110:O111 M124:N124 I125 L125:O125 L173:O175 L177:O177 L179:O182 L184:O184 J214:J216 J219:J221 J234:K234 J239:K239 J244:K244 J249:K253 J255:K255 J257:K260 J262:K262 J268:K268 J273:K273 J278:K278 J283:K287 J289:K289 J291:K294 J296:K296">
    <cfRule type="cellIs" dxfId="88" priority="12" operator="lessThan">
      <formula>0</formula>
    </cfRule>
  </conditionalFormatting>
  <conditionalFormatting sqref="F239:F240">
    <cfRule type="cellIs" dxfId="87" priority="11" operator="lessThan">
      <formula>0</formula>
    </cfRule>
  </conditionalFormatting>
  <conditionalFormatting sqref="F244:F245">
    <cfRule type="cellIs" dxfId="86" priority="10" operator="lessThan">
      <formula>0</formula>
    </cfRule>
  </conditionalFormatting>
  <conditionalFormatting sqref="F249:F250">
    <cfRule type="cellIs" dxfId="85" priority="9" operator="lessThan">
      <formula>0</formula>
    </cfRule>
  </conditionalFormatting>
  <conditionalFormatting sqref="F273:F274">
    <cfRule type="cellIs" dxfId="84" priority="8" operator="lessThan">
      <formula>0</formula>
    </cfRule>
  </conditionalFormatting>
  <conditionalFormatting sqref="F278:F279">
    <cfRule type="cellIs" dxfId="83" priority="7" operator="lessThan">
      <formula>0</formula>
    </cfRule>
  </conditionalFormatting>
  <conditionalFormatting sqref="F283:F284">
    <cfRule type="cellIs" dxfId="82" priority="6" operator="lessThan">
      <formula>0</formula>
    </cfRule>
  </conditionalFormatting>
  <conditionalFormatting sqref="H124:K124">
    <cfRule type="cellIs" dxfId="81" priority="4" operator="lessThan">
      <formula>0</formula>
    </cfRule>
  </conditionalFormatting>
  <conditionalFormatting sqref="I130:O131">
    <cfRule type="cellIs" dxfId="80" priority="5" operator="lessThan">
      <formula>0</formula>
    </cfRule>
  </conditionalFormatting>
  <conditionalFormatting sqref="I153:O153">
    <cfRule type="cellIs" dxfId="79" priority="3" operator="lessThan">
      <formula>0</formula>
    </cfRule>
  </conditionalFormatting>
  <conditionalFormatting sqref="K123:K124">
    <cfRule type="cellIs" dxfId="78" priority="2" operator="lessThan">
      <formula>0</formula>
    </cfRule>
  </conditionalFormatting>
  <conditionalFormatting sqref="N121:N123">
    <cfRule type="cellIs" dxfId="77" priority="1" operator="lessThan">
      <formula>0</formula>
    </cfRule>
  </conditionalFormatting>
  <conditionalFormatting sqref="P43:R43">
    <cfRule type="cellIs" dxfId="76" priority="13" operator="lessThan">
      <formula>0</formula>
    </cfRule>
  </conditionalFormatting>
  <dataValidations count="12">
    <dataValidation type="list" allowBlank="1" showInputMessage="1" showErrorMessage="1" sqref="H191:H200" xr:uid="{DC96F22F-EBFA-4A63-B9D7-162DCACB4E7C}">
      <formula1>INDIRECT("Table_ProductRegions_Beefcattle[Region]")</formula1>
    </dataValidation>
    <dataValidation type="list" allowBlank="1" showInputMessage="1" showErrorMessage="1" sqref="G191:G200" xr:uid="{870E1A70-6411-44A4-9001-7270D085293B}">
      <formula1>INDIRECT(TRIM("Table_SourceData_LivestockProduct_Beefcattle[Product]"))</formula1>
    </dataValidation>
    <dataValidation type="list" allowBlank="1" showInputMessage="1" showErrorMessage="1" sqref="F191:F200 E207:E216" xr:uid="{C725380C-B9AE-4B9B-8D3C-20984C143B3A}">
      <formula1>INDIRECT("Table_LivestockClasses_Beefcattle[Livestock class]")</formula1>
    </dataValidation>
    <dataValidation type="list" allowBlank="1" showInputMessage="1" showErrorMessage="1" sqref="E119" xr:uid="{D398CD99-27A0-464C-94DE-33BF3CC36E17}">
      <formula1>$D$23:$D$34</formula1>
    </dataValidation>
    <dataValidation type="list" allowBlank="1" showInputMessage="1" showErrorMessage="1" sqref="E105" xr:uid="{9E187477-BB9E-4206-A903-8182D9DD2A1E}">
      <formula1>"Spring, Summer, Autumn, Winter"</formula1>
    </dataValidation>
    <dataValidation type="list" allowBlank="1" showInputMessage="1" showErrorMessage="1" sqref="E184" xr:uid="{A5BA6C72-B6C9-4888-B497-CF89F64B1E29}">
      <formula1>INDIRECT("Table_SourceData_PastureBeef_CropProdSystems[Production system]")</formula1>
    </dataValidation>
    <dataValidation type="list" allowBlank="1" showInputMessage="1" showErrorMessage="1" sqref="E185" xr:uid="{52B81ACE-C207-4379-96DE-5C79EA0B73BB}">
      <formula1>INDIRECT("Table_SourceData_PastureBeef_IrrigationMethods[Irrigation method]")</formula1>
    </dataValidation>
    <dataValidation type="list" allowBlank="1" showInputMessage="1" showErrorMessage="1" sqref="E9" xr:uid="{6EC236E8-E7BA-475D-B5AA-9B62B7EAC352}">
      <formula1>INDIRECT("Table_SourceData_PastureBeef_FeedIntakeAdjustment[Breed]")</formula1>
    </dataValidation>
    <dataValidation type="list" allowBlank="1" showInputMessage="1" showErrorMessage="1" sqref="E8" xr:uid="{EAD4D788-A371-4213-AD15-FFE95BBC4F4D}">
      <formula1>INDIRECT("Table_SourceData_PastureBeef_Region_" &amp; SUBSTITUTE($E$7, " ", "") &amp; "[Region]")</formula1>
    </dataValidation>
    <dataValidation type="list" allowBlank="1" showInputMessage="1" showErrorMessage="1" sqref="E15 E37 E59 E81" xr:uid="{CBAAD272-01AF-431B-9495-F77111B4B10B}">
      <formula1>INDIRECT("Table_SourceData_Dairy_WjCowsHeifers[Breed]")</formula1>
    </dataValidation>
    <dataValidation type="list" allowBlank="1" showInputMessage="1" showErrorMessage="1" sqref="E238 E243 E248 E282 E277 E272 E177" xr:uid="{D8FE911F-A54D-4B54-A423-C6453C64DE60}">
      <formula1>"Yes, No"</formula1>
    </dataValidation>
    <dataValidation type="list" allowBlank="1" showInputMessage="1" showErrorMessage="1" sqref="D266" xr:uid="{CA0E7471-92A1-4966-912C-C1DA7A4BD4E9}">
      <formula1>INDIRECT("Table_SourceData_PoultryMMSStage1[MMS]")</formula1>
    </dataValidation>
  </dataValidations>
  <pageMargins left="0.7" right="0.7" top="0.75" bottom="0.75" header="0.3" footer="0.3"/>
  <pageSetup paperSize="9" orientation="portrait" r:id="rId1"/>
  <tableParts count="2">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557D3-7F8C-47D0-ADC9-2757A52B7DC0}">
  <dimension ref="A1:AA350"/>
  <sheetViews>
    <sheetView showGridLines="0" topLeftCell="D199" zoomScale="85" zoomScaleNormal="85" workbookViewId="0">
      <selection activeCell="A46" sqref="A46"/>
    </sheetView>
  </sheetViews>
  <sheetFormatPr defaultRowHeight="15.75" x14ac:dyDescent="0.25"/>
  <cols>
    <col min="1" max="1" width="30.7109375" customWidth="1"/>
    <col min="2" max="2" width="4.7109375" customWidth="1"/>
    <col min="3" max="3" width="4.7109375" style="1" customWidth="1"/>
    <col min="4" max="4" width="79" style="1" customWidth="1"/>
    <col min="5" max="15" width="30.7109375" style="1" customWidth="1"/>
    <col min="16" max="16" width="4.7109375" style="1" customWidth="1"/>
    <col min="17" max="18" width="4.7109375" style="91" customWidth="1"/>
    <col min="19" max="24" width="30.7109375" style="91" customWidth="1"/>
    <col min="25" max="25" width="4.7109375" style="91" customWidth="1"/>
  </cols>
  <sheetData>
    <row r="1" spans="1:25" s="16" customFormat="1" ht="30" customHeight="1" x14ac:dyDescent="0.35">
      <c r="A1" s="16" t="e" vm="1">
        <v>#VALUE!</v>
      </c>
      <c r="C1" s="16" t="s">
        <v>184</v>
      </c>
      <c r="Q1" s="91"/>
      <c r="R1" s="91"/>
      <c r="S1" s="91"/>
      <c r="T1" s="91"/>
      <c r="U1" s="91"/>
      <c r="V1" s="91"/>
      <c r="W1" s="91"/>
      <c r="X1" s="91"/>
      <c r="Y1" s="91"/>
    </row>
    <row r="2" spans="1:25" s="3" customFormat="1" ht="20.100000000000001" customHeight="1" x14ac:dyDescent="0.25">
      <c r="A2"/>
      <c r="Q2" s="91"/>
      <c r="R2" s="91"/>
      <c r="S2" s="91"/>
      <c r="T2" s="91"/>
      <c r="U2" s="91"/>
      <c r="V2" s="91"/>
      <c r="W2" s="91"/>
      <c r="X2" s="91"/>
      <c r="Y2" s="91"/>
    </row>
    <row r="3" spans="1:25" ht="20.100000000000001" customHeight="1" x14ac:dyDescent="0.25">
      <c r="A3" s="5" t="str">
        <f>HYPERLINK("#'Home'!A1", "Home")</f>
        <v>Home</v>
      </c>
      <c r="C3" s="39"/>
      <c r="D3" s="39"/>
      <c r="E3" s="39"/>
      <c r="F3" s="39"/>
      <c r="G3" s="39"/>
      <c r="H3" s="39"/>
      <c r="I3" s="39"/>
      <c r="J3" s="39"/>
      <c r="K3" s="39"/>
      <c r="L3" s="39"/>
      <c r="M3" s="39"/>
      <c r="N3" s="39"/>
      <c r="O3" s="39"/>
      <c r="P3" s="39"/>
    </row>
    <row r="4" spans="1:25" ht="20.100000000000001" customHeight="1" x14ac:dyDescent="0.25">
      <c r="A4" s="5" t="str">
        <f>HYPERLINK("#'Results'!A1", "Results")</f>
        <v>Results</v>
      </c>
    </row>
    <row r="5" spans="1:25" ht="20.100000000000001" customHeight="1" x14ac:dyDescent="0.25">
      <c r="D5" s="2" t="s">
        <v>185</v>
      </c>
      <c r="P5" s="35"/>
      <c r="T5" s="32"/>
    </row>
    <row r="6" spans="1:25" ht="20.100000000000001" customHeight="1" x14ac:dyDescent="0.25">
      <c r="P6" s="35"/>
      <c r="T6" s="32"/>
    </row>
    <row r="7" spans="1:25" ht="20.100000000000001" customHeight="1" x14ac:dyDescent="0.25">
      <c r="A7" s="7" t="s">
        <v>0</v>
      </c>
      <c r="D7" s="1" t="s">
        <v>107</v>
      </c>
      <c r="E7" s="25" t="str">
        <f>X_Cell_Site_State</f>
        <v>Western Australia</v>
      </c>
      <c r="P7" s="35"/>
      <c r="T7" s="32"/>
    </row>
    <row r="8" spans="1:25" ht="20.100000000000001" customHeight="1" x14ac:dyDescent="0.25">
      <c r="A8" s="5" t="str">
        <f>HYPERLINK("#'Input - Enterprise'!A1", "Enterprise")</f>
        <v>Enterprise</v>
      </c>
      <c r="D8" s="1" t="s">
        <v>186</v>
      </c>
      <c r="E8" s="23" t="s">
        <v>187</v>
      </c>
      <c r="F8" s="26" t="s">
        <v>109</v>
      </c>
      <c r="P8" s="35"/>
      <c r="T8" s="32"/>
    </row>
    <row r="9" spans="1:25" ht="20.100000000000001" customHeight="1" x14ac:dyDescent="0.25">
      <c r="A9" s="5" t="str">
        <f>HYPERLINK("#'Input - Site'!A1", "Site")</f>
        <v>Site</v>
      </c>
      <c r="D9" s="1" t="s">
        <v>188</v>
      </c>
      <c r="E9" s="23" t="s">
        <v>189</v>
      </c>
      <c r="F9" s="26" t="s">
        <v>109</v>
      </c>
      <c r="T9" s="32"/>
    </row>
    <row r="10" spans="1:25" ht="20.100000000000001" customHeight="1" x14ac:dyDescent="0.25">
      <c r="A10" s="5" t="str">
        <f>HYPERLINK("#'Input - Pasture Beef'!A1", "Pasture Beef")</f>
        <v>Pasture Beef</v>
      </c>
      <c r="T10" s="32"/>
    </row>
    <row r="11" spans="1:25" ht="20.100000000000001" customHeight="1" x14ac:dyDescent="0.25">
      <c r="A11" s="135" t="str">
        <f>HYPERLINK("#'Input - Pasture Beef (Enteric)'!A1", "Pasture Beef (Enteric)")</f>
        <v>Pasture Beef (Enteric)</v>
      </c>
      <c r="T11" s="32"/>
    </row>
    <row r="12" spans="1:25" ht="20.100000000000001" customHeight="1" x14ac:dyDescent="0.25">
      <c r="A12" s="5" t="str">
        <f>HYPERLINK("#'Input - Pasture'!A1", "Pasture")</f>
        <v>Pasture</v>
      </c>
      <c r="T12" s="32"/>
    </row>
    <row r="13" spans="1:25" ht="20.100000000000001" customHeight="1" x14ac:dyDescent="0.25">
      <c r="A13" s="5" t="str">
        <f>HYPERLINK("#'Input - Fertiliser'!A1", "Fertiliser")</f>
        <v>Fertiliser</v>
      </c>
      <c r="D13" s="46" t="s">
        <v>190</v>
      </c>
      <c r="E13" s="48"/>
      <c r="F13" s="48"/>
      <c r="G13" s="49"/>
      <c r="T13" s="52"/>
    </row>
    <row r="14" spans="1:25" ht="20.100000000000001" customHeight="1" x14ac:dyDescent="0.25">
      <c r="A14" s="5" t="str">
        <f>HYPERLINK("#'Input - Fuel'!A1", "Fuel")</f>
        <v>Fuel</v>
      </c>
      <c r="T14" s="52"/>
    </row>
    <row r="15" spans="1:25" ht="20.100000000000001" customHeight="1" x14ac:dyDescent="0.25">
      <c r="A15" s="5" t="str">
        <f>HYPERLINK("#'Input - Electricity'!A1", "Electricity")</f>
        <v>Electricity</v>
      </c>
      <c r="D15" s="92" t="s">
        <v>191</v>
      </c>
      <c r="T15" s="52"/>
    </row>
    <row r="16" spans="1:25" ht="20.100000000000001" customHeight="1" x14ac:dyDescent="0.25">
      <c r="D16" s="93" t="s">
        <v>192</v>
      </c>
      <c r="E16" s="93" t="s">
        <v>193</v>
      </c>
      <c r="F16" s="93" t="s">
        <v>194</v>
      </c>
      <c r="G16" s="93" t="s">
        <v>195</v>
      </c>
      <c r="H16" s="93" t="s">
        <v>196</v>
      </c>
      <c r="I16" s="93" t="s">
        <v>197</v>
      </c>
      <c r="J16" s="93" t="s">
        <v>198</v>
      </c>
      <c r="K16" s="93" t="s">
        <v>199</v>
      </c>
      <c r="L16" s="93" t="s">
        <v>200</v>
      </c>
      <c r="M16" s="93" t="s">
        <v>201</v>
      </c>
      <c r="N16" s="93" t="s">
        <v>202</v>
      </c>
      <c r="T16" s="52"/>
    </row>
    <row r="17" spans="1:20" ht="20.100000000000001" customHeight="1" x14ac:dyDescent="0.25">
      <c r="D17" s="1" t="s">
        <v>203</v>
      </c>
      <c r="E17" s="25">
        <v>91.25</v>
      </c>
      <c r="F17" s="25">
        <v>91.25</v>
      </c>
      <c r="G17" s="25">
        <v>91.25</v>
      </c>
      <c r="H17" s="25">
        <v>91.25</v>
      </c>
      <c r="I17" s="25">
        <v>91.25</v>
      </c>
      <c r="J17" s="25">
        <v>91.25</v>
      </c>
      <c r="K17" s="25">
        <v>91.25</v>
      </c>
      <c r="L17" s="25">
        <v>91.25</v>
      </c>
      <c r="M17" s="25">
        <v>91.25</v>
      </c>
      <c r="N17" s="25">
        <v>91.25</v>
      </c>
      <c r="O17" s="26" t="s">
        <v>121</v>
      </c>
      <c r="T17" s="32"/>
    </row>
    <row r="18" spans="1:20" ht="20.100000000000001" customHeight="1" x14ac:dyDescent="0.25">
      <c r="A18" s="6" t="s">
        <v>2</v>
      </c>
      <c r="D18" s="1" t="s">
        <v>204</v>
      </c>
      <c r="E18" s="25">
        <v>91.25</v>
      </c>
      <c r="F18" s="25">
        <v>91.25</v>
      </c>
      <c r="G18" s="25">
        <v>91.25</v>
      </c>
      <c r="H18" s="25">
        <v>91.25</v>
      </c>
      <c r="I18" s="25">
        <v>91.25</v>
      </c>
      <c r="J18" s="25">
        <v>91.25</v>
      </c>
      <c r="K18" s="25">
        <v>91.25</v>
      </c>
      <c r="L18" s="25">
        <v>91.25</v>
      </c>
      <c r="M18" s="25">
        <v>91.25</v>
      </c>
      <c r="N18" s="25">
        <v>91.25</v>
      </c>
      <c r="O18" s="26" t="s">
        <v>121</v>
      </c>
      <c r="T18" s="32"/>
    </row>
    <row r="19" spans="1:20" ht="20.100000000000001" customHeight="1" x14ac:dyDescent="0.25">
      <c r="A19" s="5" t="str">
        <f>HYPERLINK("#'3.2.1.1-2 Enteric Methane'!A1", "3.2.1.1-2 Enteric methane")</f>
        <v>3.2.1.1-2 Enteric methane</v>
      </c>
      <c r="D19" s="1" t="s">
        <v>205</v>
      </c>
      <c r="E19" s="25">
        <v>91.25</v>
      </c>
      <c r="F19" s="25">
        <v>91.25</v>
      </c>
      <c r="G19" s="25">
        <v>91.25</v>
      </c>
      <c r="H19" s="25">
        <v>91.25</v>
      </c>
      <c r="I19" s="25">
        <v>91.25</v>
      </c>
      <c r="J19" s="25">
        <v>91.25</v>
      </c>
      <c r="K19" s="25">
        <v>91.25</v>
      </c>
      <c r="L19" s="25">
        <v>91.25</v>
      </c>
      <c r="M19" s="25">
        <v>91.25</v>
      </c>
      <c r="N19" s="25">
        <v>91.25</v>
      </c>
      <c r="O19" s="26" t="s">
        <v>121</v>
      </c>
      <c r="T19" s="32"/>
    </row>
    <row r="20" spans="1:20" ht="20.100000000000001" customHeight="1" x14ac:dyDescent="0.25">
      <c r="A20" s="5" t="str">
        <f>HYPERLINK("#'4.2.1.1-2 Methane'!A1", "4.2.1.1-2 Manure methane")</f>
        <v>4.2.1.1-2 Manure methane</v>
      </c>
      <c r="D20" s="1" t="s">
        <v>206</v>
      </c>
      <c r="E20" s="25">
        <v>91.25</v>
      </c>
      <c r="F20" s="25">
        <v>91.25</v>
      </c>
      <c r="G20" s="25">
        <v>91.25</v>
      </c>
      <c r="H20" s="25">
        <v>91.25</v>
      </c>
      <c r="I20" s="25">
        <v>91.25</v>
      </c>
      <c r="J20" s="25">
        <v>91.25</v>
      </c>
      <c r="K20" s="25">
        <v>91.25</v>
      </c>
      <c r="L20" s="25">
        <v>91.25</v>
      </c>
      <c r="M20" s="25">
        <v>91.25</v>
      </c>
      <c r="N20" s="25">
        <v>91.25</v>
      </c>
      <c r="O20" s="26" t="s">
        <v>121</v>
      </c>
      <c r="T20" s="32"/>
    </row>
    <row r="21" spans="1:20" ht="20.100000000000001" customHeight="1" x14ac:dyDescent="0.25">
      <c r="A21" s="5" t="str">
        <f>HYPERLINK("#'4.2.1.3-4 Soil direct N20'!A1", "4.2.1.3-4 Soil direct N2O")</f>
        <v>4.2.1.3-4 Soil direct N2O</v>
      </c>
      <c r="T21" s="32"/>
    </row>
    <row r="22" spans="1:20" ht="20.100000000000001" customHeight="1" x14ac:dyDescent="0.25">
      <c r="A22" s="5" t="str">
        <f>HYPERLINK("#'4.2.1.5-6 Soil Atmos Dep'!A1", "4.2.1.5-6 Soil atm. deposition")</f>
        <v>4.2.1.5-6 Soil atm. deposition</v>
      </c>
      <c r="D22" s="93" t="s">
        <v>207</v>
      </c>
      <c r="E22" s="93" t="s">
        <v>193</v>
      </c>
      <c r="F22" s="93" t="s">
        <v>194</v>
      </c>
      <c r="G22" s="93" t="s">
        <v>195</v>
      </c>
      <c r="H22" s="93" t="s">
        <v>196</v>
      </c>
      <c r="I22" s="93" t="s">
        <v>197</v>
      </c>
      <c r="J22" s="93" t="s">
        <v>198</v>
      </c>
      <c r="K22" s="93" t="s">
        <v>199</v>
      </c>
      <c r="L22" s="93" t="s">
        <v>200</v>
      </c>
      <c r="M22" s="93" t="s">
        <v>201</v>
      </c>
      <c r="N22" s="93" t="s">
        <v>202</v>
      </c>
      <c r="T22" s="32"/>
    </row>
    <row r="23" spans="1:20" ht="20.100000000000001" customHeight="1" x14ac:dyDescent="0.25">
      <c r="A23" s="5" t="str">
        <f>HYPERLINK("#'4.2.1.7-8 Soil leach runoff'!A1", "4.2.1.7-8 Soil leach &amp; runoff")</f>
        <v>4.2.1.7-8 Soil leach &amp; runoff</v>
      </c>
      <c r="D23" s="1" t="str">
        <f>TEXT(X_Cell_Site_StartDate, "mmmm yyyy")</f>
        <v>January 2025</v>
      </c>
      <c r="E23" s="86">
        <f t="shared" ref="E23:N34" si="0">DAY(EOMONTH($D23,0))</f>
        <v>31</v>
      </c>
      <c r="F23" s="86">
        <f t="shared" si="0"/>
        <v>31</v>
      </c>
      <c r="G23" s="86">
        <f t="shared" si="0"/>
        <v>31</v>
      </c>
      <c r="H23" s="86">
        <f t="shared" si="0"/>
        <v>31</v>
      </c>
      <c r="I23" s="86">
        <f t="shared" si="0"/>
        <v>31</v>
      </c>
      <c r="J23" s="86">
        <f t="shared" si="0"/>
        <v>31</v>
      </c>
      <c r="K23" s="86">
        <f t="shared" si="0"/>
        <v>31</v>
      </c>
      <c r="L23" s="86">
        <f t="shared" si="0"/>
        <v>31</v>
      </c>
      <c r="M23" s="86">
        <f t="shared" si="0"/>
        <v>31</v>
      </c>
      <c r="N23" s="86">
        <f t="shared" si="0"/>
        <v>31</v>
      </c>
      <c r="O23" s="26" t="s">
        <v>121</v>
      </c>
      <c r="T23" s="32"/>
    </row>
    <row r="24" spans="1:20" ht="20.100000000000001" customHeight="1" x14ac:dyDescent="0.25">
      <c r="A24" s="5" t="str">
        <f>HYPERLINK("#'5.1.1.1-2 Inorganic fert N2O'!A1", "5.1.1.1-2 Inorganic fert N2O")</f>
        <v>5.1.1.1-2 Inorganic fert N2O</v>
      </c>
      <c r="D24" s="1" t="str">
        <f>TEXT(EDATE(X_Cell_Site_StartDate,1), "mmmm yyyy")</f>
        <v>February 2025</v>
      </c>
      <c r="E24" s="86">
        <f t="shared" si="0"/>
        <v>28</v>
      </c>
      <c r="F24" s="86">
        <f t="shared" si="0"/>
        <v>28</v>
      </c>
      <c r="G24" s="86">
        <f t="shared" si="0"/>
        <v>28</v>
      </c>
      <c r="H24" s="86">
        <f t="shared" si="0"/>
        <v>28</v>
      </c>
      <c r="I24" s="86">
        <f t="shared" si="0"/>
        <v>28</v>
      </c>
      <c r="J24" s="86">
        <f t="shared" si="0"/>
        <v>28</v>
      </c>
      <c r="K24" s="86">
        <f t="shared" si="0"/>
        <v>28</v>
      </c>
      <c r="L24" s="86">
        <f t="shared" si="0"/>
        <v>28</v>
      </c>
      <c r="M24" s="86">
        <f t="shared" si="0"/>
        <v>28</v>
      </c>
      <c r="N24" s="86">
        <f t="shared" si="0"/>
        <v>28</v>
      </c>
      <c r="O24" s="26" t="s">
        <v>121</v>
      </c>
      <c r="T24" s="32"/>
    </row>
    <row r="25" spans="1:20" ht="20.100000000000001" customHeight="1" x14ac:dyDescent="0.25">
      <c r="A25" s="5" t="str">
        <f>HYPERLINK("#'5.1.1.3-4 Inorganic fert CO2'!A1", "5.1.1.3-4 Inorganic fert CO2")</f>
        <v>5.1.1.3-4 Inorganic fert CO2</v>
      </c>
      <c r="D25" s="1" t="str">
        <f>TEXT(EDATE(X_Cell_Site_StartDate,2), "mmmm yyyy")</f>
        <v>March 2025</v>
      </c>
      <c r="E25" s="86">
        <f t="shared" si="0"/>
        <v>31</v>
      </c>
      <c r="F25" s="86">
        <f t="shared" si="0"/>
        <v>31</v>
      </c>
      <c r="G25" s="86">
        <f t="shared" si="0"/>
        <v>31</v>
      </c>
      <c r="H25" s="86">
        <f t="shared" si="0"/>
        <v>31</v>
      </c>
      <c r="I25" s="86">
        <f t="shared" si="0"/>
        <v>31</v>
      </c>
      <c r="J25" s="86">
        <f t="shared" si="0"/>
        <v>31</v>
      </c>
      <c r="K25" s="86">
        <f t="shared" si="0"/>
        <v>31</v>
      </c>
      <c r="L25" s="86">
        <f t="shared" si="0"/>
        <v>31</v>
      </c>
      <c r="M25" s="86">
        <f t="shared" si="0"/>
        <v>31</v>
      </c>
      <c r="N25" s="86">
        <f t="shared" si="0"/>
        <v>31</v>
      </c>
      <c r="O25" s="26" t="s">
        <v>121</v>
      </c>
      <c r="T25" s="32"/>
    </row>
    <row r="26" spans="1:20" ht="20.100000000000001" customHeight="1" x14ac:dyDescent="0.25">
      <c r="A26" s="5" t="str">
        <f>HYPERLINK("#'5.2.1.1-2 Organic Fert N2O'!A1", "5.2.1.1-2 Organic fert N2O")</f>
        <v>5.2.1.1-2 Organic fert N2O</v>
      </c>
      <c r="D26" s="1" t="str">
        <f>TEXT(EDATE(X_Cell_Site_StartDate,3), "mmmm yyyy")</f>
        <v>April 2025</v>
      </c>
      <c r="E26" s="86">
        <f t="shared" si="0"/>
        <v>30</v>
      </c>
      <c r="F26" s="86">
        <f t="shared" si="0"/>
        <v>30</v>
      </c>
      <c r="G26" s="86">
        <f t="shared" si="0"/>
        <v>30</v>
      </c>
      <c r="H26" s="86">
        <f t="shared" si="0"/>
        <v>30</v>
      </c>
      <c r="I26" s="86">
        <f t="shared" si="0"/>
        <v>30</v>
      </c>
      <c r="J26" s="86">
        <f t="shared" si="0"/>
        <v>30</v>
      </c>
      <c r="K26" s="86">
        <f t="shared" si="0"/>
        <v>30</v>
      </c>
      <c r="L26" s="86">
        <f t="shared" si="0"/>
        <v>30</v>
      </c>
      <c r="M26" s="86">
        <f t="shared" si="0"/>
        <v>30</v>
      </c>
      <c r="N26" s="86">
        <f t="shared" si="0"/>
        <v>30</v>
      </c>
      <c r="O26" s="26" t="s">
        <v>121</v>
      </c>
      <c r="T26" s="32"/>
    </row>
    <row r="27" spans="1:20" ht="20.100000000000001" customHeight="1" x14ac:dyDescent="0.25">
      <c r="A27" s="5" t="str">
        <f>HYPERLINK("#'5.3.1.1-2 Lime CO2'!A1", "5.3.1.1-2 Lime CO2")</f>
        <v>5.3.1.1-2 Lime CO2</v>
      </c>
      <c r="D27" s="1" t="str">
        <f>TEXT(EDATE(X_Cell_Site_StartDate,4), "mmmm yyyy")</f>
        <v>May 2025</v>
      </c>
      <c r="E27" s="86">
        <f t="shared" si="0"/>
        <v>31</v>
      </c>
      <c r="F27" s="86">
        <f t="shared" si="0"/>
        <v>31</v>
      </c>
      <c r="G27" s="86">
        <f t="shared" si="0"/>
        <v>31</v>
      </c>
      <c r="H27" s="86">
        <f t="shared" si="0"/>
        <v>31</v>
      </c>
      <c r="I27" s="86">
        <f t="shared" si="0"/>
        <v>31</v>
      </c>
      <c r="J27" s="86">
        <f t="shared" si="0"/>
        <v>31</v>
      </c>
      <c r="K27" s="86">
        <f t="shared" si="0"/>
        <v>31</v>
      </c>
      <c r="L27" s="86">
        <f t="shared" si="0"/>
        <v>31</v>
      </c>
      <c r="M27" s="86">
        <f t="shared" si="0"/>
        <v>31</v>
      </c>
      <c r="N27" s="86">
        <f t="shared" si="0"/>
        <v>31</v>
      </c>
      <c r="O27" s="26" t="s">
        <v>121</v>
      </c>
      <c r="T27" s="32"/>
    </row>
    <row r="28" spans="1:20" ht="20.100000000000001" customHeight="1" x14ac:dyDescent="0.25">
      <c r="A28" s="5" t="str">
        <f>HYPERLINK("#'5.4.1.1-4 Atmos deposition'!A1", "5.4.1.1-4 Atmos. deposition")</f>
        <v>5.4.1.1-4 Atmos. deposition</v>
      </c>
      <c r="D28" s="1" t="str">
        <f>TEXT(EDATE(X_Cell_Site_StartDate,5), "mmmm yyyy")</f>
        <v>June 2025</v>
      </c>
      <c r="E28" s="86">
        <f t="shared" si="0"/>
        <v>30</v>
      </c>
      <c r="F28" s="86">
        <f t="shared" si="0"/>
        <v>30</v>
      </c>
      <c r="G28" s="86">
        <f t="shared" si="0"/>
        <v>30</v>
      </c>
      <c r="H28" s="86">
        <f t="shared" si="0"/>
        <v>30</v>
      </c>
      <c r="I28" s="86">
        <f t="shared" si="0"/>
        <v>30</v>
      </c>
      <c r="J28" s="86">
        <f t="shared" si="0"/>
        <v>30</v>
      </c>
      <c r="K28" s="86">
        <f t="shared" si="0"/>
        <v>30</v>
      </c>
      <c r="L28" s="86">
        <f t="shared" si="0"/>
        <v>30</v>
      </c>
      <c r="M28" s="86">
        <f t="shared" si="0"/>
        <v>30</v>
      </c>
      <c r="N28" s="86">
        <f t="shared" si="0"/>
        <v>30</v>
      </c>
      <c r="O28" s="26" t="s">
        <v>121</v>
      </c>
      <c r="T28" s="32"/>
    </row>
    <row r="29" spans="1:20" ht="20.100000000000001" customHeight="1" x14ac:dyDescent="0.25">
      <c r="A29" s="5" t="str">
        <f>HYPERLINK("#'5.5.1.1-2 Leaching and runoff'!A1", "5.5.1.1-2 Leaching &amp; runoff")</f>
        <v>5.5.1.1-2 Leaching &amp; runoff</v>
      </c>
      <c r="D29" s="1" t="str">
        <f>TEXT(EDATE(X_Cell_Site_StartDate,6), "mmmm yyyy")</f>
        <v>July 2025</v>
      </c>
      <c r="E29" s="86">
        <f t="shared" si="0"/>
        <v>31</v>
      </c>
      <c r="F29" s="86">
        <f t="shared" si="0"/>
        <v>31</v>
      </c>
      <c r="G29" s="86">
        <f t="shared" si="0"/>
        <v>31</v>
      </c>
      <c r="H29" s="86">
        <f t="shared" si="0"/>
        <v>31</v>
      </c>
      <c r="I29" s="86">
        <f t="shared" si="0"/>
        <v>31</v>
      </c>
      <c r="J29" s="86">
        <f t="shared" si="0"/>
        <v>31</v>
      </c>
      <c r="K29" s="86">
        <f t="shared" si="0"/>
        <v>31</v>
      </c>
      <c r="L29" s="86">
        <f t="shared" si="0"/>
        <v>31</v>
      </c>
      <c r="M29" s="86">
        <f t="shared" si="0"/>
        <v>31</v>
      </c>
      <c r="N29" s="86">
        <f t="shared" si="0"/>
        <v>31</v>
      </c>
      <c r="O29" s="26" t="s">
        <v>121</v>
      </c>
      <c r="T29" s="32"/>
    </row>
    <row r="30" spans="1:20" ht="20.100000000000001" customHeight="1" x14ac:dyDescent="0.25">
      <c r="A30" s="5" t="str">
        <f>HYPERLINK("#'6.2.1.1-2 Pasture residue N2O'!A1", "6.2.1.1-2 Pasture residue N2O")</f>
        <v>6.2.1.1-2 Pasture residue N2O</v>
      </c>
      <c r="D30" s="1" t="str">
        <f>TEXT(EDATE(X_Cell_Site_StartDate,7), "mmmm yyyy")</f>
        <v>August 2025</v>
      </c>
      <c r="E30" s="86">
        <f t="shared" si="0"/>
        <v>31</v>
      </c>
      <c r="F30" s="86">
        <f t="shared" si="0"/>
        <v>31</v>
      </c>
      <c r="G30" s="86">
        <f t="shared" si="0"/>
        <v>31</v>
      </c>
      <c r="H30" s="86">
        <f t="shared" si="0"/>
        <v>31</v>
      </c>
      <c r="I30" s="86">
        <f t="shared" si="0"/>
        <v>31</v>
      </c>
      <c r="J30" s="86">
        <f t="shared" si="0"/>
        <v>31</v>
      </c>
      <c r="K30" s="86">
        <f t="shared" si="0"/>
        <v>31</v>
      </c>
      <c r="L30" s="86">
        <f t="shared" si="0"/>
        <v>31</v>
      </c>
      <c r="M30" s="86">
        <f t="shared" si="0"/>
        <v>31</v>
      </c>
      <c r="N30" s="86">
        <f t="shared" si="0"/>
        <v>31</v>
      </c>
      <c r="O30" s="26" t="s">
        <v>121</v>
      </c>
      <c r="T30" s="32"/>
    </row>
    <row r="31" spans="1:20" ht="20.100000000000001" customHeight="1" x14ac:dyDescent="0.25">
      <c r="A31" s="5" t="str">
        <f>HYPERLINK("#'6.3.1.1-2 Leach runoff pasture'!A1", "6.3.1.1-2 Leach &amp; runoff (pasture)")</f>
        <v>6.3.1.1-2 Leach &amp; runoff (pasture)</v>
      </c>
      <c r="D31" s="1" t="str">
        <f>TEXT(EDATE(X_Cell_Site_StartDate,8), "mmmm yyyy")</f>
        <v>September 2025</v>
      </c>
      <c r="E31" s="86">
        <f t="shared" si="0"/>
        <v>30</v>
      </c>
      <c r="F31" s="86">
        <f t="shared" si="0"/>
        <v>30</v>
      </c>
      <c r="G31" s="86">
        <f t="shared" si="0"/>
        <v>30</v>
      </c>
      <c r="H31" s="86">
        <f t="shared" si="0"/>
        <v>30</v>
      </c>
      <c r="I31" s="86">
        <f t="shared" si="0"/>
        <v>30</v>
      </c>
      <c r="J31" s="86">
        <f t="shared" si="0"/>
        <v>30</v>
      </c>
      <c r="K31" s="86">
        <f t="shared" si="0"/>
        <v>30</v>
      </c>
      <c r="L31" s="86">
        <f t="shared" si="0"/>
        <v>30</v>
      </c>
      <c r="M31" s="86">
        <f t="shared" si="0"/>
        <v>30</v>
      </c>
      <c r="N31" s="86">
        <f t="shared" si="0"/>
        <v>30</v>
      </c>
      <c r="O31" s="26" t="s">
        <v>121</v>
      </c>
      <c r="T31" s="32"/>
    </row>
    <row r="32" spans="1:20" ht="20.100000000000001" customHeight="1" x14ac:dyDescent="0.25">
      <c r="A32" s="5" t="str">
        <f>HYPERLINK("#'8.1.1.1-2 Transport fuel'!A1", "8.1.1.1-2 Transport fuel")</f>
        <v>8.1.1.1-2 Transport fuel</v>
      </c>
      <c r="D32" s="1" t="str">
        <f>TEXT(EDATE(X_Cell_Site_StartDate,9), "mmmm yyyy")</f>
        <v>October 2025</v>
      </c>
      <c r="E32" s="86">
        <f t="shared" si="0"/>
        <v>31</v>
      </c>
      <c r="F32" s="86">
        <f t="shared" si="0"/>
        <v>31</v>
      </c>
      <c r="G32" s="86">
        <f t="shared" si="0"/>
        <v>31</v>
      </c>
      <c r="H32" s="86">
        <f t="shared" si="0"/>
        <v>31</v>
      </c>
      <c r="I32" s="86">
        <f t="shared" si="0"/>
        <v>31</v>
      </c>
      <c r="J32" s="86">
        <f t="shared" si="0"/>
        <v>31</v>
      </c>
      <c r="K32" s="86">
        <f t="shared" si="0"/>
        <v>31</v>
      </c>
      <c r="L32" s="86">
        <f t="shared" si="0"/>
        <v>31</v>
      </c>
      <c r="M32" s="86">
        <f t="shared" si="0"/>
        <v>31</v>
      </c>
      <c r="N32" s="86">
        <f t="shared" si="0"/>
        <v>31</v>
      </c>
      <c r="O32" s="26" t="s">
        <v>121</v>
      </c>
      <c r="T32" s="32"/>
    </row>
    <row r="33" spans="1:20" ht="20.100000000000001" customHeight="1" x14ac:dyDescent="0.25">
      <c r="A33" s="5" t="str">
        <f>HYPERLINK("#'8.2.1.1-2 Stationary fuel'!A1", "8.2.1.1-2 Stationary fuel")</f>
        <v>8.2.1.1-2 Stationary fuel</v>
      </c>
      <c r="D33" s="1" t="str">
        <f>TEXT(EDATE(X_Cell_Site_StartDate,10), "mmmm yyyy")</f>
        <v>November 2025</v>
      </c>
      <c r="E33" s="86">
        <f t="shared" si="0"/>
        <v>30</v>
      </c>
      <c r="F33" s="86">
        <f t="shared" si="0"/>
        <v>30</v>
      </c>
      <c r="G33" s="86">
        <f t="shared" si="0"/>
        <v>30</v>
      </c>
      <c r="H33" s="86">
        <f t="shared" si="0"/>
        <v>30</v>
      </c>
      <c r="I33" s="86">
        <f t="shared" si="0"/>
        <v>30</v>
      </c>
      <c r="J33" s="86">
        <f t="shared" si="0"/>
        <v>30</v>
      </c>
      <c r="K33" s="86">
        <f t="shared" si="0"/>
        <v>30</v>
      </c>
      <c r="L33" s="86">
        <f t="shared" si="0"/>
        <v>30</v>
      </c>
      <c r="M33" s="86">
        <f t="shared" si="0"/>
        <v>30</v>
      </c>
      <c r="N33" s="86">
        <f t="shared" si="0"/>
        <v>30</v>
      </c>
      <c r="O33" s="26" t="s">
        <v>121</v>
      </c>
      <c r="T33" s="32"/>
    </row>
    <row r="34" spans="1:20" ht="20.100000000000001" customHeight="1" x14ac:dyDescent="0.25">
      <c r="A34" s="5" t="str">
        <f>HYPERLINK("#'14.1.1-2 Purchased electricity'!A1", "14.1.1-2 Purchased electricity")</f>
        <v>14.1.1-2 Purchased electricity</v>
      </c>
      <c r="D34" s="1" t="str">
        <f>TEXT(EDATE(X_Cell_Site_StartDate,11), "mmmm yyyy")</f>
        <v>December 2025</v>
      </c>
      <c r="E34" s="86">
        <f t="shared" si="0"/>
        <v>31</v>
      </c>
      <c r="F34" s="86">
        <f t="shared" si="0"/>
        <v>31</v>
      </c>
      <c r="G34" s="86">
        <f t="shared" si="0"/>
        <v>31</v>
      </c>
      <c r="H34" s="86">
        <f t="shared" si="0"/>
        <v>31</v>
      </c>
      <c r="I34" s="86">
        <f t="shared" si="0"/>
        <v>31</v>
      </c>
      <c r="J34" s="86">
        <f t="shared" si="0"/>
        <v>31</v>
      </c>
      <c r="K34" s="86">
        <f t="shared" si="0"/>
        <v>31</v>
      </c>
      <c r="L34" s="86">
        <f t="shared" si="0"/>
        <v>31</v>
      </c>
      <c r="M34" s="86">
        <f t="shared" si="0"/>
        <v>31</v>
      </c>
      <c r="N34" s="86">
        <f t="shared" si="0"/>
        <v>31</v>
      </c>
      <c r="O34" s="26" t="s">
        <v>121</v>
      </c>
      <c r="T34" s="32"/>
    </row>
    <row r="35" spans="1:20" ht="20.100000000000001" customHeight="1" x14ac:dyDescent="0.25">
      <c r="T35" s="32"/>
    </row>
    <row r="36" spans="1:20" ht="20.100000000000001" customHeight="1" x14ac:dyDescent="0.25">
      <c r="T36" s="32"/>
    </row>
    <row r="37" spans="1:20" ht="20.100000000000001" customHeight="1" x14ac:dyDescent="0.25">
      <c r="A37" s="251" t="s">
        <v>1</v>
      </c>
      <c r="D37" s="92" t="s">
        <v>208</v>
      </c>
      <c r="T37" s="32"/>
    </row>
    <row r="38" spans="1:20" ht="20.100000000000001" customHeight="1" x14ac:dyDescent="0.25">
      <c r="A38" s="5" t="str">
        <f>HYPERLINK("#'Constants - Pasture Beef'!A1", "Constants - Pasture Beef")</f>
        <v>Constants - Pasture Beef</v>
      </c>
      <c r="D38" s="93" t="s">
        <v>209</v>
      </c>
      <c r="E38" s="93" t="s">
        <v>193</v>
      </c>
      <c r="F38" s="93" t="s">
        <v>194</v>
      </c>
      <c r="G38" s="93" t="s">
        <v>195</v>
      </c>
      <c r="H38" s="93" t="s">
        <v>196</v>
      </c>
      <c r="I38" s="93" t="s">
        <v>197</v>
      </c>
      <c r="J38" s="93" t="s">
        <v>198</v>
      </c>
      <c r="K38" s="93" t="s">
        <v>199</v>
      </c>
      <c r="L38" s="93" t="s">
        <v>200</v>
      </c>
      <c r="M38" s="93" t="s">
        <v>201</v>
      </c>
      <c r="N38" s="93" t="s">
        <v>202</v>
      </c>
      <c r="T38" s="32"/>
    </row>
    <row r="39" spans="1:20" ht="20.100000000000001" customHeight="1" x14ac:dyDescent="0.25">
      <c r="A39" s="5" t="str">
        <f>HYPERLINK("#'Constants - Ag Residue'!A1", "Constants - Ag residue")</f>
        <v>Constants - Ag residue</v>
      </c>
      <c r="D39" s="1" t="s">
        <v>203</v>
      </c>
      <c r="E39" s="86">
        <v>100</v>
      </c>
      <c r="F39" s="86">
        <v>100</v>
      </c>
      <c r="G39" s="86">
        <v>100</v>
      </c>
      <c r="H39" s="86">
        <v>100</v>
      </c>
      <c r="I39" s="86">
        <v>100</v>
      </c>
      <c r="J39" s="86">
        <v>100</v>
      </c>
      <c r="K39" s="86">
        <v>100</v>
      </c>
      <c r="L39" s="86">
        <v>100</v>
      </c>
      <c r="M39" s="86">
        <v>100</v>
      </c>
      <c r="N39" s="86">
        <v>100</v>
      </c>
      <c r="O39" s="26" t="s">
        <v>208</v>
      </c>
      <c r="T39" s="32"/>
    </row>
    <row r="40" spans="1:20" ht="20.100000000000001" customHeight="1" x14ac:dyDescent="0.25">
      <c r="A40" s="5" t="str">
        <f>HYPERLINK("#'Constants - Common Livestock'!A1", "Constants - Common Livestock")</f>
        <v>Constants - Common Livestock</v>
      </c>
      <c r="D40" s="1" t="s">
        <v>204</v>
      </c>
      <c r="E40" s="86">
        <v>100</v>
      </c>
      <c r="F40" s="86">
        <v>100</v>
      </c>
      <c r="G40" s="86">
        <v>100</v>
      </c>
      <c r="H40" s="86">
        <v>100</v>
      </c>
      <c r="I40" s="86">
        <v>100</v>
      </c>
      <c r="J40" s="86">
        <v>100</v>
      </c>
      <c r="K40" s="86">
        <v>100</v>
      </c>
      <c r="L40" s="86">
        <v>100</v>
      </c>
      <c r="M40" s="86">
        <v>100</v>
      </c>
      <c r="N40" s="86">
        <v>100</v>
      </c>
      <c r="O40" s="26" t="s">
        <v>208</v>
      </c>
      <c r="T40" s="32"/>
    </row>
    <row r="41" spans="1:20" ht="20.100000000000001" customHeight="1" x14ac:dyDescent="0.25">
      <c r="A41" s="5" t="str">
        <f>HYPERLINK("#'Constants - Electricity'!A1", "Constants - Electricity")</f>
        <v>Constants - Electricity</v>
      </c>
      <c r="D41" s="1" t="s">
        <v>205</v>
      </c>
      <c r="E41" s="86">
        <v>100</v>
      </c>
      <c r="F41" s="86">
        <v>100</v>
      </c>
      <c r="G41" s="86">
        <v>100</v>
      </c>
      <c r="H41" s="86">
        <v>100</v>
      </c>
      <c r="I41" s="86">
        <v>100</v>
      </c>
      <c r="J41" s="86">
        <v>100</v>
      </c>
      <c r="K41" s="86">
        <v>100</v>
      </c>
      <c r="L41" s="86">
        <v>100</v>
      </c>
      <c r="M41" s="86">
        <v>100</v>
      </c>
      <c r="N41" s="86">
        <v>100</v>
      </c>
      <c r="O41" s="26" t="s">
        <v>208</v>
      </c>
      <c r="T41" s="32"/>
    </row>
    <row r="42" spans="1:20" ht="20.100000000000001" customHeight="1" x14ac:dyDescent="0.25">
      <c r="A42" s="5" t="str">
        <f>HYPERLINK("#'Constants - Fertiliser'!A1", "Constants - Fertiliser")</f>
        <v>Constants - Fertiliser</v>
      </c>
      <c r="D42" s="1" t="s">
        <v>206</v>
      </c>
      <c r="E42" s="86">
        <v>100</v>
      </c>
      <c r="F42" s="86">
        <v>100</v>
      </c>
      <c r="G42" s="86">
        <v>100</v>
      </c>
      <c r="H42" s="86">
        <v>100</v>
      </c>
      <c r="I42" s="86">
        <v>100</v>
      </c>
      <c r="J42" s="86">
        <v>100</v>
      </c>
      <c r="K42" s="86">
        <v>100</v>
      </c>
      <c r="L42" s="86">
        <v>100</v>
      </c>
      <c r="M42" s="86">
        <v>100</v>
      </c>
      <c r="N42" s="86">
        <v>100</v>
      </c>
      <c r="O42" s="26" t="s">
        <v>208</v>
      </c>
      <c r="T42" s="32"/>
    </row>
    <row r="43" spans="1:20" ht="20.100000000000001" customHeight="1" x14ac:dyDescent="0.25">
      <c r="A43" s="5" t="str">
        <f>HYPERLINK("#'Constants - Fuel'!A1", "Constants - Fuel")</f>
        <v>Constants - Fuel</v>
      </c>
      <c r="O43" s="26"/>
      <c r="T43" s="32"/>
    </row>
    <row r="44" spans="1:20" ht="20.100000000000001" customHeight="1" x14ac:dyDescent="0.25">
      <c r="A44" s="5" t="str">
        <f>HYPERLINK("#'Constants - Common'!A1", "Constants - Common")</f>
        <v>Constants - Common</v>
      </c>
      <c r="D44" s="93" t="s">
        <v>210</v>
      </c>
      <c r="E44" s="93" t="s">
        <v>193</v>
      </c>
      <c r="F44" s="93" t="s">
        <v>194</v>
      </c>
      <c r="G44" s="93" t="s">
        <v>195</v>
      </c>
      <c r="H44" s="93" t="s">
        <v>196</v>
      </c>
      <c r="I44" s="93" t="s">
        <v>197</v>
      </c>
      <c r="J44" s="93" t="s">
        <v>198</v>
      </c>
      <c r="K44" s="93" t="s">
        <v>199</v>
      </c>
      <c r="L44" s="93" t="s">
        <v>200</v>
      </c>
      <c r="M44" s="93" t="s">
        <v>201</v>
      </c>
      <c r="N44" s="93" t="s">
        <v>202</v>
      </c>
      <c r="O44" s="26"/>
      <c r="T44" s="32"/>
    </row>
    <row r="45" spans="1:20" ht="20.100000000000001" customHeight="1" x14ac:dyDescent="0.25">
      <c r="A45" s="5" t="str">
        <f>HYPERLINK("#'Acknowledgements'!A1", "Acknowledgements")</f>
        <v>Acknowledgements</v>
      </c>
      <c r="D45" s="1" t="str">
        <f>TEXT(X_Cell_Site_StartDate, "mmmm yyyy")</f>
        <v>January 2025</v>
      </c>
      <c r="E45" s="86">
        <v>100</v>
      </c>
      <c r="F45" s="86">
        <v>100</v>
      </c>
      <c r="G45" s="86">
        <v>100</v>
      </c>
      <c r="H45" s="86">
        <v>100</v>
      </c>
      <c r="I45" s="86">
        <v>100</v>
      </c>
      <c r="J45" s="86">
        <v>100</v>
      </c>
      <c r="K45" s="86">
        <v>100</v>
      </c>
      <c r="L45" s="86">
        <v>100</v>
      </c>
      <c r="M45" s="86">
        <v>100</v>
      </c>
      <c r="N45" s="86">
        <v>100</v>
      </c>
      <c r="O45" s="26" t="s">
        <v>208</v>
      </c>
      <c r="T45" s="32"/>
    </row>
    <row r="46" spans="1:20" ht="20.100000000000001" customHeight="1" x14ac:dyDescent="0.25">
      <c r="A46" s="5" t="str">
        <f>HYPERLINK("#'Overview'!A1", "Overview")</f>
        <v>Overview</v>
      </c>
      <c r="D46" s="1" t="str">
        <f>TEXT(EDATE(X_Cell_Site_StartDate,1), "mmmm yyyy")</f>
        <v>February 2025</v>
      </c>
      <c r="E46" s="86">
        <v>100</v>
      </c>
      <c r="F46" s="86">
        <v>100</v>
      </c>
      <c r="G46" s="86">
        <v>100</v>
      </c>
      <c r="H46" s="86">
        <v>100</v>
      </c>
      <c r="I46" s="86">
        <v>100</v>
      </c>
      <c r="J46" s="86">
        <v>100</v>
      </c>
      <c r="K46" s="86">
        <v>100</v>
      </c>
      <c r="L46" s="86">
        <v>100</v>
      </c>
      <c r="M46" s="86">
        <v>100</v>
      </c>
      <c r="N46" s="86">
        <v>100</v>
      </c>
      <c r="O46" s="26" t="s">
        <v>208</v>
      </c>
      <c r="T46" s="32"/>
    </row>
    <row r="47" spans="1:20" ht="20.100000000000001" customHeight="1" x14ac:dyDescent="0.25">
      <c r="D47" s="1" t="str">
        <f>TEXT(EDATE(X_Cell_Site_StartDate,2), "mmmm yyyy")</f>
        <v>March 2025</v>
      </c>
      <c r="E47" s="86">
        <v>100</v>
      </c>
      <c r="F47" s="86">
        <v>100</v>
      </c>
      <c r="G47" s="86">
        <v>100</v>
      </c>
      <c r="H47" s="86">
        <v>100</v>
      </c>
      <c r="I47" s="86">
        <v>100</v>
      </c>
      <c r="J47" s="86">
        <v>100</v>
      </c>
      <c r="K47" s="86">
        <v>100</v>
      </c>
      <c r="L47" s="86">
        <v>100</v>
      </c>
      <c r="M47" s="86">
        <v>100</v>
      </c>
      <c r="N47" s="86">
        <v>100</v>
      </c>
      <c r="O47" s="26" t="s">
        <v>208</v>
      </c>
      <c r="T47" s="32"/>
    </row>
    <row r="48" spans="1:20" ht="20.100000000000001" customHeight="1" x14ac:dyDescent="0.25">
      <c r="D48" s="1" t="str">
        <f>TEXT(EDATE(X_Cell_Site_StartDate,3), "mmmm yyyy")</f>
        <v>April 2025</v>
      </c>
      <c r="E48" s="86">
        <v>100</v>
      </c>
      <c r="F48" s="86">
        <v>100</v>
      </c>
      <c r="G48" s="86">
        <v>100</v>
      </c>
      <c r="H48" s="86">
        <v>100</v>
      </c>
      <c r="I48" s="86">
        <v>100</v>
      </c>
      <c r="J48" s="86">
        <v>100</v>
      </c>
      <c r="K48" s="86">
        <v>100</v>
      </c>
      <c r="L48" s="86">
        <v>100</v>
      </c>
      <c r="M48" s="86">
        <v>100</v>
      </c>
      <c r="N48" s="86">
        <v>100</v>
      </c>
      <c r="O48" s="26" t="s">
        <v>208</v>
      </c>
      <c r="T48" s="32"/>
    </row>
    <row r="49" spans="4:20" ht="20.100000000000001" customHeight="1" x14ac:dyDescent="0.25">
      <c r="D49" s="1" t="str">
        <f>TEXT(EDATE(X_Cell_Site_StartDate,4), "mmmm yyyy")</f>
        <v>May 2025</v>
      </c>
      <c r="E49" s="86">
        <v>100</v>
      </c>
      <c r="F49" s="86">
        <v>100</v>
      </c>
      <c r="G49" s="86">
        <v>100</v>
      </c>
      <c r="H49" s="86">
        <v>100</v>
      </c>
      <c r="I49" s="86">
        <v>100</v>
      </c>
      <c r="J49" s="86">
        <v>100</v>
      </c>
      <c r="K49" s="86">
        <v>100</v>
      </c>
      <c r="L49" s="86">
        <v>100</v>
      </c>
      <c r="M49" s="86">
        <v>100</v>
      </c>
      <c r="N49" s="86">
        <v>100</v>
      </c>
      <c r="O49" s="26" t="s">
        <v>208</v>
      </c>
      <c r="T49" s="32"/>
    </row>
    <row r="50" spans="4:20" ht="20.100000000000001" customHeight="1" x14ac:dyDescent="0.25">
      <c r="D50" s="1" t="str">
        <f>TEXT(EDATE(X_Cell_Site_StartDate,5), "mmmm yyyy")</f>
        <v>June 2025</v>
      </c>
      <c r="E50" s="86">
        <v>100</v>
      </c>
      <c r="F50" s="86">
        <v>100</v>
      </c>
      <c r="G50" s="86">
        <v>100</v>
      </c>
      <c r="H50" s="86">
        <v>100</v>
      </c>
      <c r="I50" s="86">
        <v>100</v>
      </c>
      <c r="J50" s="86">
        <v>100</v>
      </c>
      <c r="K50" s="86">
        <v>100</v>
      </c>
      <c r="L50" s="86">
        <v>100</v>
      </c>
      <c r="M50" s="86">
        <v>100</v>
      </c>
      <c r="N50" s="86">
        <v>100</v>
      </c>
      <c r="O50" s="26" t="s">
        <v>208</v>
      </c>
      <c r="P50" s="35"/>
      <c r="T50" s="32"/>
    </row>
    <row r="51" spans="4:20" ht="20.100000000000001" customHeight="1" x14ac:dyDescent="0.25">
      <c r="D51" s="1" t="str">
        <f>TEXT(EDATE(X_Cell_Site_StartDate,6), "mmmm yyyy")</f>
        <v>July 2025</v>
      </c>
      <c r="E51" s="86">
        <v>100</v>
      </c>
      <c r="F51" s="86">
        <v>100</v>
      </c>
      <c r="G51" s="86">
        <v>100</v>
      </c>
      <c r="H51" s="86">
        <v>100</v>
      </c>
      <c r="I51" s="86">
        <v>100</v>
      </c>
      <c r="J51" s="86">
        <v>100</v>
      </c>
      <c r="K51" s="86">
        <v>100</v>
      </c>
      <c r="L51" s="86">
        <v>100</v>
      </c>
      <c r="M51" s="86">
        <v>100</v>
      </c>
      <c r="N51" s="86">
        <v>100</v>
      </c>
      <c r="O51" s="26" t="s">
        <v>208</v>
      </c>
      <c r="P51" s="35"/>
      <c r="T51" s="32"/>
    </row>
    <row r="52" spans="4:20" ht="20.100000000000001" customHeight="1" x14ac:dyDescent="0.25">
      <c r="D52" s="1" t="str">
        <f>TEXT(EDATE(X_Cell_Site_StartDate,7), "mmmm yyyy")</f>
        <v>August 2025</v>
      </c>
      <c r="E52" s="86">
        <v>100</v>
      </c>
      <c r="F52" s="86">
        <v>100</v>
      </c>
      <c r="G52" s="86">
        <v>100</v>
      </c>
      <c r="H52" s="86">
        <v>100</v>
      </c>
      <c r="I52" s="86">
        <v>100</v>
      </c>
      <c r="J52" s="86">
        <v>100</v>
      </c>
      <c r="K52" s="86">
        <v>100</v>
      </c>
      <c r="L52" s="86">
        <v>100</v>
      </c>
      <c r="M52" s="86">
        <v>100</v>
      </c>
      <c r="N52" s="86">
        <v>100</v>
      </c>
      <c r="O52" s="26" t="s">
        <v>208</v>
      </c>
      <c r="P52" s="35"/>
      <c r="T52" s="32"/>
    </row>
    <row r="53" spans="4:20" ht="20.100000000000001" customHeight="1" x14ac:dyDescent="0.25">
      <c r="D53" s="1" t="str">
        <f>TEXT(EDATE(X_Cell_Site_StartDate,8), "mmmm yyyy")</f>
        <v>September 2025</v>
      </c>
      <c r="E53" s="86">
        <v>100</v>
      </c>
      <c r="F53" s="86">
        <v>100</v>
      </c>
      <c r="G53" s="86">
        <v>100</v>
      </c>
      <c r="H53" s="86">
        <v>100</v>
      </c>
      <c r="I53" s="86">
        <v>100</v>
      </c>
      <c r="J53" s="86">
        <v>100</v>
      </c>
      <c r="K53" s="86">
        <v>100</v>
      </c>
      <c r="L53" s="86">
        <v>100</v>
      </c>
      <c r="M53" s="86">
        <v>100</v>
      </c>
      <c r="N53" s="86">
        <v>100</v>
      </c>
      <c r="O53" s="26" t="s">
        <v>208</v>
      </c>
      <c r="P53" s="35"/>
      <c r="T53" s="32"/>
    </row>
    <row r="54" spans="4:20" ht="20.100000000000001" customHeight="1" x14ac:dyDescent="0.25">
      <c r="D54" s="1" t="str">
        <f>TEXT(EDATE(X_Cell_Site_StartDate,9), "mmmm yyyy")</f>
        <v>October 2025</v>
      </c>
      <c r="E54" s="86">
        <v>100</v>
      </c>
      <c r="F54" s="86">
        <v>100</v>
      </c>
      <c r="G54" s="86">
        <v>100</v>
      </c>
      <c r="H54" s="86">
        <v>100</v>
      </c>
      <c r="I54" s="86">
        <v>100</v>
      </c>
      <c r="J54" s="86">
        <v>100</v>
      </c>
      <c r="K54" s="86">
        <v>100</v>
      </c>
      <c r="L54" s="86">
        <v>100</v>
      </c>
      <c r="M54" s="86">
        <v>100</v>
      </c>
      <c r="N54" s="86">
        <v>100</v>
      </c>
      <c r="O54" s="26" t="s">
        <v>208</v>
      </c>
      <c r="P54" s="35"/>
      <c r="T54" s="32"/>
    </row>
    <row r="55" spans="4:20" ht="20.100000000000001" customHeight="1" x14ac:dyDescent="0.25">
      <c r="D55" s="1" t="str">
        <f>TEXT(EDATE(X_Cell_Site_StartDate,10), "mmmm yyyy")</f>
        <v>November 2025</v>
      </c>
      <c r="E55" s="86">
        <v>100</v>
      </c>
      <c r="F55" s="86">
        <v>100</v>
      </c>
      <c r="G55" s="86">
        <v>100</v>
      </c>
      <c r="H55" s="86">
        <v>100</v>
      </c>
      <c r="I55" s="86">
        <v>100</v>
      </c>
      <c r="J55" s="86">
        <v>100</v>
      </c>
      <c r="K55" s="86">
        <v>100</v>
      </c>
      <c r="L55" s="86">
        <v>100</v>
      </c>
      <c r="M55" s="86">
        <v>100</v>
      </c>
      <c r="N55" s="86">
        <v>100</v>
      </c>
      <c r="O55" s="26" t="s">
        <v>208</v>
      </c>
      <c r="P55" s="35"/>
      <c r="T55" s="32"/>
    </row>
    <row r="56" spans="4:20" ht="20.100000000000001" customHeight="1" x14ac:dyDescent="0.25">
      <c r="D56" s="1" t="str">
        <f>TEXT(EDATE(X_Cell_Site_StartDate,11), "mmmm yyyy")</f>
        <v>December 2025</v>
      </c>
      <c r="E56" s="86">
        <v>100</v>
      </c>
      <c r="F56" s="86">
        <v>100</v>
      </c>
      <c r="G56" s="86">
        <v>100</v>
      </c>
      <c r="H56" s="86">
        <v>100</v>
      </c>
      <c r="I56" s="86">
        <v>100</v>
      </c>
      <c r="J56" s="86">
        <v>100</v>
      </c>
      <c r="K56" s="86">
        <v>100</v>
      </c>
      <c r="L56" s="86">
        <v>100</v>
      </c>
      <c r="M56" s="86">
        <v>100</v>
      </c>
      <c r="N56" s="86">
        <v>100</v>
      </c>
      <c r="O56" s="26" t="s">
        <v>208</v>
      </c>
      <c r="P56" s="35"/>
      <c r="T56" s="32"/>
    </row>
    <row r="57" spans="4:20" ht="20.100000000000001" customHeight="1" x14ac:dyDescent="0.25">
      <c r="P57" s="35"/>
      <c r="T57" s="32"/>
    </row>
    <row r="58" spans="4:20" ht="20.100000000000001" customHeight="1" x14ac:dyDescent="0.25">
      <c r="P58" s="35"/>
      <c r="T58" s="32"/>
    </row>
    <row r="59" spans="4:20" ht="20.100000000000001" customHeight="1" x14ac:dyDescent="0.25">
      <c r="D59" s="92" t="s">
        <v>211</v>
      </c>
      <c r="P59" s="35"/>
      <c r="T59" s="32"/>
    </row>
    <row r="60" spans="4:20" ht="20.100000000000001" customHeight="1" x14ac:dyDescent="0.25">
      <c r="D60" s="93" t="s">
        <v>192</v>
      </c>
      <c r="E60" s="93" t="s">
        <v>193</v>
      </c>
      <c r="F60" s="93" t="s">
        <v>194</v>
      </c>
      <c r="G60" s="93" t="s">
        <v>195</v>
      </c>
      <c r="H60" s="93" t="s">
        <v>196</v>
      </c>
      <c r="I60" s="93" t="s">
        <v>197</v>
      </c>
      <c r="J60" s="93" t="s">
        <v>198</v>
      </c>
      <c r="K60" s="93" t="s">
        <v>199</v>
      </c>
      <c r="L60" s="93" t="s">
        <v>200</v>
      </c>
      <c r="M60" s="93" t="s">
        <v>201</v>
      </c>
      <c r="N60" s="93" t="s">
        <v>202</v>
      </c>
      <c r="P60" s="35"/>
      <c r="T60" s="32"/>
    </row>
    <row r="61" spans="4:20" ht="20.100000000000001" customHeight="1" x14ac:dyDescent="0.25">
      <c r="D61" s="1" t="s">
        <v>203</v>
      </c>
      <c r="E61" s="25">
        <f>InputFunctions_PastureBeef.LookupLiveweightFromSeason($E$7,$E$8,$D61,E$60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340</v>
      </c>
      <c r="F61" s="25">
        <f>InputFunctions_PastureBeef.LookupLiveweightFromSeason($E$7,$E$8,$D61,F$60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800</v>
      </c>
      <c r="G61" s="25">
        <f>InputFunctions_PastureBeef.LookupLiveweightFromSeason($E$7,$E$8,$D61,G$60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260</v>
      </c>
      <c r="H61" s="25">
        <f>InputFunctions_PastureBeef.LookupLiveweightFromSeason($E$7,$E$8,$D61,H$60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420</v>
      </c>
      <c r="I61" s="25">
        <f>InputFunctions_PastureBeef.LookupLiveweightFromSeason($E$7,$E$8,$D61,I$60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550</v>
      </c>
      <c r="J61" s="25">
        <f>InputFunctions_PastureBeef.LookupLiveweightFromSeason($E$7,$E$8,$D61,J$60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550</v>
      </c>
      <c r="K61" s="25">
        <f>InputFunctions_PastureBeef.LookupLiveweightFromSeason($E$7,$E$8,$D61,K$60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300</v>
      </c>
      <c r="L61" s="25">
        <f>InputFunctions_PastureBeef.LookupLiveweightFromSeason($E$7,$E$8,$D61,L$60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480</v>
      </c>
      <c r="M61" s="25">
        <f>InputFunctions_PastureBeef.LookupLiveweightFromSeason($E$7,$E$8,$D61,M$60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480</v>
      </c>
      <c r="N61" s="25">
        <f>InputFunctions_PastureBeef.LookupLiveweightFromSeason($E$7,$E$8,$D61,N$60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480</v>
      </c>
      <c r="O61" s="26" t="s">
        <v>212</v>
      </c>
      <c r="P61" s="35"/>
      <c r="T61" s="32"/>
    </row>
    <row r="62" spans="4:20" ht="20.100000000000001" customHeight="1" x14ac:dyDescent="0.25">
      <c r="D62" s="1" t="s">
        <v>204</v>
      </c>
      <c r="E62" s="25">
        <f>InputFunctions_PastureBeef.LookupLiveweightFromSeason($E$7,$E$8,$D62,E$60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380</v>
      </c>
      <c r="F62" s="25">
        <f>InputFunctions_PastureBeef.LookupLiveweightFromSeason($E$7,$E$8,$D62,F$60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780</v>
      </c>
      <c r="G62" s="25">
        <f>InputFunctions_PastureBeef.LookupLiveweightFromSeason($E$7,$E$8,$D62,G$60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300</v>
      </c>
      <c r="H62" s="25">
        <f>InputFunctions_PastureBeef.LookupLiveweightFromSeason($E$7,$E$8,$D62,H$60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450</v>
      </c>
      <c r="I62" s="25">
        <f>InputFunctions_PastureBeef.LookupLiveweightFromSeason($E$7,$E$8,$D62,I$60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530</v>
      </c>
      <c r="J62" s="25">
        <f>InputFunctions_PastureBeef.LookupLiveweightFromSeason($E$7,$E$8,$D62,J$60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530</v>
      </c>
      <c r="K62" s="25">
        <f>InputFunctions_PastureBeef.LookupLiveweightFromSeason($E$7,$E$8,$D62,K$60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340</v>
      </c>
      <c r="L62" s="25">
        <f>InputFunctions_PastureBeef.LookupLiveweightFromSeason($E$7,$E$8,$D62,L$60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470</v>
      </c>
      <c r="M62" s="25">
        <f>InputFunctions_PastureBeef.LookupLiveweightFromSeason($E$7,$E$8,$D62,M$60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470</v>
      </c>
      <c r="N62" s="25">
        <f>InputFunctions_PastureBeef.LookupLiveweightFromSeason($E$7,$E$8,$D62,N$60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470</v>
      </c>
      <c r="O62" s="26" t="s">
        <v>212</v>
      </c>
      <c r="P62" s="35"/>
      <c r="T62" s="32"/>
    </row>
    <row r="63" spans="4:20" ht="20.100000000000001" customHeight="1" x14ac:dyDescent="0.25">
      <c r="D63" s="1" t="s">
        <v>205</v>
      </c>
      <c r="E63" s="25">
        <f>InputFunctions_PastureBeef.LookupLiveweightFromSeason($E$7,$E$8,$D63,E$60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100</v>
      </c>
      <c r="F63" s="25">
        <f>InputFunctions_PastureBeef.LookupLiveweightFromSeason($E$7,$E$8,$D63,F$60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680</v>
      </c>
      <c r="G63" s="25">
        <f>InputFunctions_PastureBeef.LookupLiveweightFromSeason($E$7,$E$8,$D63,G$60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80</v>
      </c>
      <c r="H63" s="25">
        <f>InputFunctions_PastureBeef.LookupLiveweightFromSeason($E$7,$E$8,$D63,H$60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320</v>
      </c>
      <c r="I63" s="25">
        <f>InputFunctions_PastureBeef.LookupLiveweightFromSeason($E$7,$E$8,$D63,I$60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480</v>
      </c>
      <c r="J63" s="25">
        <f>InputFunctions_PastureBeef.LookupLiveweightFromSeason($E$7,$E$8,$D63,J$60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480</v>
      </c>
      <c r="K63" s="25">
        <f>InputFunctions_PastureBeef.LookupLiveweightFromSeason($E$7,$E$8,$D63,K$60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100</v>
      </c>
      <c r="L63" s="25">
        <f>InputFunctions_PastureBeef.LookupLiveweightFromSeason($E$7,$E$8,$D63,L$60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340</v>
      </c>
      <c r="M63" s="25">
        <f>InputFunctions_PastureBeef.LookupLiveweightFromSeason($E$7,$E$8,$D63,M$60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340</v>
      </c>
      <c r="N63" s="25">
        <f>InputFunctions_PastureBeef.LookupLiveweightFromSeason($E$7,$E$8,$D63,N$60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340</v>
      </c>
      <c r="O63" s="26" t="s">
        <v>212</v>
      </c>
      <c r="P63" s="35"/>
      <c r="T63" s="32"/>
    </row>
    <row r="64" spans="4:20" ht="20.100000000000001" customHeight="1" x14ac:dyDescent="0.25">
      <c r="D64" s="1" t="s">
        <v>206</v>
      </c>
      <c r="E64" s="25">
        <f>InputFunctions_PastureBeef.LookupLiveweightFromSeason($E$7,$E$8,$D64,E$60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190</v>
      </c>
      <c r="F64" s="25">
        <f>InputFunctions_PastureBeef.LookupLiveweightFromSeason($E$7,$E$8,$D64,F$60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700</v>
      </c>
      <c r="G64" s="25">
        <f>InputFunctions_PastureBeef.LookupLiveweightFromSeason($E$7,$E$8,$D64,G$60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150</v>
      </c>
      <c r="H64" s="25">
        <f>InputFunctions_PastureBeef.LookupLiveweightFromSeason($E$7,$E$8,$D64,H$60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330</v>
      </c>
      <c r="I64" s="25">
        <f>InputFunctions_PastureBeef.LookupLiveweightFromSeason($E$7,$E$8,$D64,I$60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490</v>
      </c>
      <c r="J64" s="25">
        <f>InputFunctions_PastureBeef.LookupLiveweightFromSeason($E$7,$E$8,$D64,J$60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490</v>
      </c>
      <c r="K64" s="25">
        <f>InputFunctions_PastureBeef.LookupLiveweightFromSeason($E$7,$E$8,$D64,K$60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170</v>
      </c>
      <c r="L64" s="25">
        <f>InputFunctions_PastureBeef.LookupLiveweightFromSeason($E$7,$E$8,$D64,L$60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360</v>
      </c>
      <c r="M64" s="25">
        <f>InputFunctions_PastureBeef.LookupLiveweightFromSeason($E$7,$E$8,$D64,M$60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360</v>
      </c>
      <c r="N64" s="25">
        <f>InputFunctions_PastureBeef.LookupLiveweightFromSeason($E$7,$E$8,$D64,N$60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360</v>
      </c>
      <c r="O64" s="26" t="s">
        <v>212</v>
      </c>
      <c r="P64" s="35"/>
      <c r="T64" s="32"/>
    </row>
    <row r="65" spans="4:20" ht="20.100000000000001" customHeight="1" x14ac:dyDescent="0.25">
      <c r="O65" s="26"/>
      <c r="P65" s="35"/>
      <c r="T65" s="32"/>
    </row>
    <row r="66" spans="4:20" ht="20.100000000000001" customHeight="1" x14ac:dyDescent="0.25">
      <c r="D66" s="93" t="s">
        <v>207</v>
      </c>
      <c r="E66" s="93" t="s">
        <v>193</v>
      </c>
      <c r="F66" s="93" t="s">
        <v>194</v>
      </c>
      <c r="G66" s="93" t="s">
        <v>195</v>
      </c>
      <c r="H66" s="93" t="s">
        <v>196</v>
      </c>
      <c r="I66" s="93" t="s">
        <v>197</v>
      </c>
      <c r="J66" s="93" t="s">
        <v>198</v>
      </c>
      <c r="K66" s="93" t="s">
        <v>199</v>
      </c>
      <c r="L66" s="93" t="s">
        <v>200</v>
      </c>
      <c r="M66" s="93" t="s">
        <v>201</v>
      </c>
      <c r="N66" s="93" t="s">
        <v>202</v>
      </c>
      <c r="O66" s="26"/>
      <c r="P66" s="35"/>
      <c r="T66" s="32"/>
    </row>
    <row r="67" spans="4:20" ht="20.100000000000001" customHeight="1" x14ac:dyDescent="0.25">
      <c r="D67" s="1" t="str">
        <f>TEXT(X_Cell_Site_StartDate, "mmmm yyyy")</f>
        <v>January 2025</v>
      </c>
      <c r="E67" s="86">
        <f>InputFunctions_PastureBeef.LookupLiveweightFromMonth($E$7,$E$8,$D67,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380</v>
      </c>
      <c r="F67" s="86">
        <f>InputFunctions_PastureBeef.LookupLiveweightFromMonth($E$7,$E$8,$D67,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780</v>
      </c>
      <c r="G67" s="86">
        <f>InputFunctions_PastureBeef.LookupLiveweightFromMonth($E$7,$E$8,$D67,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300</v>
      </c>
      <c r="H67" s="86">
        <f>InputFunctions_PastureBeef.LookupLiveweightFromMonth($E$7,$E$8,$D67,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450</v>
      </c>
      <c r="I67" s="86">
        <f>InputFunctions_PastureBeef.LookupLiveweightFromMonth($E$7,$E$8,$D67,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530</v>
      </c>
      <c r="J67" s="86">
        <f>InputFunctions_PastureBeef.LookupLiveweightFromMonth($E$7,$E$8,$D67,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530</v>
      </c>
      <c r="K67" s="86">
        <f>InputFunctions_PastureBeef.LookupLiveweightFromMonth($E$7,$E$8,$D67,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L67" s="86">
        <f>InputFunctions_PastureBeef.LookupLiveweightFromMonth($E$7,$E$8,$D67,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470</v>
      </c>
      <c r="M67" s="86">
        <f>InputFunctions_PastureBeef.LookupLiveweightFromMonth($E$7,$E$8,$D67,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470</v>
      </c>
      <c r="N67" s="86">
        <f>InputFunctions_PastureBeef.LookupLiveweightFromMonth($E$7,$E$8,$D67,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470</v>
      </c>
      <c r="O67" s="26" t="s">
        <v>212</v>
      </c>
      <c r="P67" s="35"/>
      <c r="T67" s="32"/>
    </row>
    <row r="68" spans="4:20" ht="20.100000000000001" customHeight="1" x14ac:dyDescent="0.25">
      <c r="D68" s="1" t="str">
        <f>TEXT(EDATE(X_Cell_Site_StartDate,1), "mmmm yyyy")</f>
        <v>February 2025</v>
      </c>
      <c r="E68" s="86">
        <f>InputFunctions_PastureBeef.LookupLiveweightFromMonth($E$7,$E$8,$D68,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380</v>
      </c>
      <c r="F68" s="86">
        <f>InputFunctions_PastureBeef.LookupLiveweightFromMonth($E$7,$E$8,$D68,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780</v>
      </c>
      <c r="G68" s="86">
        <f>InputFunctions_PastureBeef.LookupLiveweightFromMonth($E$7,$E$8,$D68,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300</v>
      </c>
      <c r="H68" s="86">
        <f>InputFunctions_PastureBeef.LookupLiveweightFromMonth($E$7,$E$8,$D68,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450</v>
      </c>
      <c r="I68" s="86">
        <f>InputFunctions_PastureBeef.LookupLiveweightFromMonth($E$7,$E$8,$D68,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530</v>
      </c>
      <c r="J68" s="86">
        <f>InputFunctions_PastureBeef.LookupLiveweightFromMonth($E$7,$E$8,$D68,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530</v>
      </c>
      <c r="K68" s="86">
        <f>InputFunctions_PastureBeef.LookupLiveweightFromMonth($E$7,$E$8,$D68,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L68" s="86">
        <f>InputFunctions_PastureBeef.LookupLiveweightFromMonth($E$7,$E$8,$D68,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470</v>
      </c>
      <c r="M68" s="86">
        <f>InputFunctions_PastureBeef.LookupLiveweightFromMonth($E$7,$E$8,$D68,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470</v>
      </c>
      <c r="N68" s="86">
        <f>InputFunctions_PastureBeef.LookupLiveweightFromMonth($E$7,$E$8,$D68,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470</v>
      </c>
      <c r="O68" s="26" t="s">
        <v>212</v>
      </c>
      <c r="P68" s="35"/>
      <c r="T68" s="32"/>
    </row>
    <row r="69" spans="4:20" ht="20.100000000000001" customHeight="1" x14ac:dyDescent="0.25">
      <c r="D69" s="1" t="str">
        <f>TEXT(EDATE(X_Cell_Site_StartDate,2), "mmmm yyyy")</f>
        <v>March 2025</v>
      </c>
      <c r="E69" s="86">
        <f>InputFunctions_PastureBeef.LookupLiveweightFromMonth($E$7,$E$8,$D69,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100</v>
      </c>
      <c r="F69" s="86">
        <f>InputFunctions_PastureBeef.LookupLiveweightFromMonth($E$7,$E$8,$D69,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680</v>
      </c>
      <c r="G69" s="86">
        <f>InputFunctions_PastureBeef.LookupLiveweightFromMonth($E$7,$E$8,$D69,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80</v>
      </c>
      <c r="H69" s="86">
        <f>InputFunctions_PastureBeef.LookupLiveweightFromMonth($E$7,$E$8,$D69,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320</v>
      </c>
      <c r="I69" s="86">
        <f>InputFunctions_PastureBeef.LookupLiveweightFromMonth($E$7,$E$8,$D69,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J69" s="86">
        <f>InputFunctions_PastureBeef.LookupLiveweightFromMonth($E$7,$E$8,$D69,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K69" s="86">
        <f>InputFunctions_PastureBeef.LookupLiveweightFromMonth($E$7,$E$8,$D69,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100</v>
      </c>
      <c r="L69" s="86">
        <f>InputFunctions_PastureBeef.LookupLiveweightFromMonth($E$7,$E$8,$D69,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M69" s="86">
        <f>InputFunctions_PastureBeef.LookupLiveweightFromMonth($E$7,$E$8,$D69,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N69" s="86">
        <f>InputFunctions_PastureBeef.LookupLiveweightFromMonth($E$7,$E$8,$D69,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O69" s="26" t="s">
        <v>212</v>
      </c>
      <c r="P69" s="35"/>
      <c r="T69" s="32"/>
    </row>
    <row r="70" spans="4:20" ht="20.100000000000001" customHeight="1" x14ac:dyDescent="0.25">
      <c r="D70" s="1" t="str">
        <f>TEXT(EDATE(X_Cell_Site_StartDate,3), "mmmm yyyy")</f>
        <v>April 2025</v>
      </c>
      <c r="E70" s="86">
        <f>InputFunctions_PastureBeef.LookupLiveweightFromMonth($E$7,$E$8,$D70,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100</v>
      </c>
      <c r="F70" s="86">
        <f>InputFunctions_PastureBeef.LookupLiveweightFromMonth($E$7,$E$8,$D70,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680</v>
      </c>
      <c r="G70" s="86">
        <f>InputFunctions_PastureBeef.LookupLiveweightFromMonth($E$7,$E$8,$D70,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80</v>
      </c>
      <c r="H70" s="86">
        <f>InputFunctions_PastureBeef.LookupLiveweightFromMonth($E$7,$E$8,$D70,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320</v>
      </c>
      <c r="I70" s="86">
        <f>InputFunctions_PastureBeef.LookupLiveweightFromMonth($E$7,$E$8,$D70,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J70" s="86">
        <f>InputFunctions_PastureBeef.LookupLiveweightFromMonth($E$7,$E$8,$D70,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K70" s="86">
        <f>InputFunctions_PastureBeef.LookupLiveweightFromMonth($E$7,$E$8,$D70,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100</v>
      </c>
      <c r="L70" s="86">
        <f>InputFunctions_PastureBeef.LookupLiveweightFromMonth($E$7,$E$8,$D70,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M70" s="86">
        <f>InputFunctions_PastureBeef.LookupLiveweightFromMonth($E$7,$E$8,$D70,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N70" s="86">
        <f>InputFunctions_PastureBeef.LookupLiveweightFromMonth($E$7,$E$8,$D70,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O70" s="26" t="s">
        <v>212</v>
      </c>
      <c r="P70" s="35"/>
      <c r="T70" s="32"/>
    </row>
    <row r="71" spans="4:20" ht="20.100000000000001" customHeight="1" x14ac:dyDescent="0.25">
      <c r="D71" s="1" t="str">
        <f>TEXT(EDATE(X_Cell_Site_StartDate,4), "mmmm yyyy")</f>
        <v>May 2025</v>
      </c>
      <c r="E71" s="86">
        <f>InputFunctions_PastureBeef.LookupLiveweightFromMonth($E$7,$E$8,$D71,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100</v>
      </c>
      <c r="F71" s="86">
        <f>InputFunctions_PastureBeef.LookupLiveweightFromMonth($E$7,$E$8,$D71,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680</v>
      </c>
      <c r="G71" s="86">
        <f>InputFunctions_PastureBeef.LookupLiveweightFromMonth($E$7,$E$8,$D71,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80</v>
      </c>
      <c r="H71" s="86">
        <f>InputFunctions_PastureBeef.LookupLiveweightFromMonth($E$7,$E$8,$D71,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320</v>
      </c>
      <c r="I71" s="86">
        <f>InputFunctions_PastureBeef.LookupLiveweightFromMonth($E$7,$E$8,$D71,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J71" s="86">
        <f>InputFunctions_PastureBeef.LookupLiveweightFromMonth($E$7,$E$8,$D71,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K71" s="86">
        <f>InputFunctions_PastureBeef.LookupLiveweightFromMonth($E$7,$E$8,$D71,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100</v>
      </c>
      <c r="L71" s="86">
        <f>InputFunctions_PastureBeef.LookupLiveweightFromMonth($E$7,$E$8,$D71,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M71" s="86">
        <f>InputFunctions_PastureBeef.LookupLiveweightFromMonth($E$7,$E$8,$D71,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N71" s="86">
        <f>InputFunctions_PastureBeef.LookupLiveweightFromMonth($E$7,$E$8,$D71,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O71" s="26" t="s">
        <v>212</v>
      </c>
      <c r="P71" s="35"/>
      <c r="T71" s="32"/>
    </row>
    <row r="72" spans="4:20" ht="20.100000000000001" customHeight="1" x14ac:dyDescent="0.25">
      <c r="D72" s="1" t="str">
        <f>TEXT(EDATE(X_Cell_Site_StartDate,5), "mmmm yyyy")</f>
        <v>June 2025</v>
      </c>
      <c r="E72" s="86">
        <f>InputFunctions_PastureBeef.LookupLiveweightFromMonth($E$7,$E$8,$D72,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190</v>
      </c>
      <c r="F72" s="86">
        <f>InputFunctions_PastureBeef.LookupLiveweightFromMonth($E$7,$E$8,$D72,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700</v>
      </c>
      <c r="G72" s="86">
        <f>InputFunctions_PastureBeef.LookupLiveweightFromMonth($E$7,$E$8,$D72,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150</v>
      </c>
      <c r="H72" s="86">
        <f>InputFunctions_PastureBeef.LookupLiveweightFromMonth($E$7,$E$8,$D72,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330</v>
      </c>
      <c r="I72" s="86">
        <f>InputFunctions_PastureBeef.LookupLiveweightFromMonth($E$7,$E$8,$D72,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490</v>
      </c>
      <c r="J72" s="86">
        <f>InputFunctions_PastureBeef.LookupLiveweightFromMonth($E$7,$E$8,$D72,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490</v>
      </c>
      <c r="K72" s="86">
        <f>InputFunctions_PastureBeef.LookupLiveweightFromMonth($E$7,$E$8,$D72,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170</v>
      </c>
      <c r="L72" s="86">
        <f>InputFunctions_PastureBeef.LookupLiveweightFromMonth($E$7,$E$8,$D72,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360</v>
      </c>
      <c r="M72" s="86">
        <f>InputFunctions_PastureBeef.LookupLiveweightFromMonth($E$7,$E$8,$D72,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360</v>
      </c>
      <c r="N72" s="86">
        <f>InputFunctions_PastureBeef.LookupLiveweightFromMonth($E$7,$E$8,$D72,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360</v>
      </c>
      <c r="O72" s="26" t="s">
        <v>212</v>
      </c>
      <c r="T72" s="32"/>
    </row>
    <row r="73" spans="4:20" ht="20.100000000000001" customHeight="1" x14ac:dyDescent="0.25">
      <c r="D73" s="1" t="str">
        <f>TEXT(EDATE(X_Cell_Site_StartDate,6), "mmmm yyyy")</f>
        <v>July 2025</v>
      </c>
      <c r="E73" s="86">
        <f>InputFunctions_PastureBeef.LookupLiveweightFromMonth($E$7,$E$8,$D73,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190</v>
      </c>
      <c r="F73" s="86">
        <f>InputFunctions_PastureBeef.LookupLiveweightFromMonth($E$7,$E$8,$D73,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700</v>
      </c>
      <c r="G73" s="86">
        <f>InputFunctions_PastureBeef.LookupLiveweightFromMonth($E$7,$E$8,$D73,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150</v>
      </c>
      <c r="H73" s="86">
        <f>InputFunctions_PastureBeef.LookupLiveweightFromMonth($E$7,$E$8,$D73,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330</v>
      </c>
      <c r="I73" s="86">
        <f>InputFunctions_PastureBeef.LookupLiveweightFromMonth($E$7,$E$8,$D73,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490</v>
      </c>
      <c r="J73" s="86">
        <f>InputFunctions_PastureBeef.LookupLiveweightFromMonth($E$7,$E$8,$D73,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490</v>
      </c>
      <c r="K73" s="86">
        <f>InputFunctions_PastureBeef.LookupLiveweightFromMonth($E$7,$E$8,$D73,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170</v>
      </c>
      <c r="L73" s="86">
        <f>InputFunctions_PastureBeef.LookupLiveweightFromMonth($E$7,$E$8,$D73,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360</v>
      </c>
      <c r="M73" s="86">
        <f>InputFunctions_PastureBeef.LookupLiveweightFromMonth($E$7,$E$8,$D73,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360</v>
      </c>
      <c r="N73" s="86">
        <f>InputFunctions_PastureBeef.LookupLiveweightFromMonth($E$7,$E$8,$D73,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360</v>
      </c>
      <c r="O73" s="26" t="s">
        <v>212</v>
      </c>
      <c r="T73" s="32"/>
    </row>
    <row r="74" spans="4:20" ht="20.100000000000001" customHeight="1" x14ac:dyDescent="0.25">
      <c r="D74" s="1" t="str">
        <f>TEXT(EDATE(X_Cell_Site_StartDate,7), "mmmm yyyy")</f>
        <v>August 2025</v>
      </c>
      <c r="E74" s="86">
        <f>InputFunctions_PastureBeef.LookupLiveweightFromMonth($E$7,$E$8,$D74,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190</v>
      </c>
      <c r="F74" s="86">
        <f>InputFunctions_PastureBeef.LookupLiveweightFromMonth($E$7,$E$8,$D74,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700</v>
      </c>
      <c r="G74" s="86">
        <f>InputFunctions_PastureBeef.LookupLiveweightFromMonth($E$7,$E$8,$D74,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150</v>
      </c>
      <c r="H74" s="86">
        <f>InputFunctions_PastureBeef.LookupLiveweightFromMonth($E$7,$E$8,$D74,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330</v>
      </c>
      <c r="I74" s="86">
        <f>InputFunctions_PastureBeef.LookupLiveweightFromMonth($E$7,$E$8,$D74,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490</v>
      </c>
      <c r="J74" s="86">
        <f>InputFunctions_PastureBeef.LookupLiveweightFromMonth($E$7,$E$8,$D74,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490</v>
      </c>
      <c r="K74" s="86">
        <f>InputFunctions_PastureBeef.LookupLiveweightFromMonth($E$7,$E$8,$D74,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170</v>
      </c>
      <c r="L74" s="86">
        <f>InputFunctions_PastureBeef.LookupLiveweightFromMonth($E$7,$E$8,$D74,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360</v>
      </c>
      <c r="M74" s="86">
        <f>InputFunctions_PastureBeef.LookupLiveweightFromMonth($E$7,$E$8,$D74,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360</v>
      </c>
      <c r="N74" s="86">
        <f>InputFunctions_PastureBeef.LookupLiveweightFromMonth($E$7,$E$8,$D74,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360</v>
      </c>
      <c r="O74" s="26" t="s">
        <v>212</v>
      </c>
      <c r="T74" s="32"/>
    </row>
    <row r="75" spans="4:20" ht="20.100000000000001" customHeight="1" x14ac:dyDescent="0.25">
      <c r="D75" s="1" t="str">
        <f>TEXT(EDATE(X_Cell_Site_StartDate,8), "mmmm yyyy")</f>
        <v>September 2025</v>
      </c>
      <c r="E75" s="86">
        <f>InputFunctions_PastureBeef.LookupLiveweightFromMonth($E$7,$E$8,$D75,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F75" s="86">
        <f>InputFunctions_PastureBeef.LookupLiveweightFromMonth($E$7,$E$8,$D75,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800</v>
      </c>
      <c r="G75" s="86">
        <f>InputFunctions_PastureBeef.LookupLiveweightFromMonth($E$7,$E$8,$D75,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260</v>
      </c>
      <c r="H75" s="86">
        <f>InputFunctions_PastureBeef.LookupLiveweightFromMonth($E$7,$E$8,$D75,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420</v>
      </c>
      <c r="I75" s="86">
        <f>InputFunctions_PastureBeef.LookupLiveweightFromMonth($E$7,$E$8,$D75,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550</v>
      </c>
      <c r="J75" s="86">
        <f>InputFunctions_PastureBeef.LookupLiveweightFromMonth($E$7,$E$8,$D75,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550</v>
      </c>
      <c r="K75" s="86">
        <f>InputFunctions_PastureBeef.LookupLiveweightFromMonth($E$7,$E$8,$D75,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300</v>
      </c>
      <c r="L75" s="86">
        <f>InputFunctions_PastureBeef.LookupLiveweightFromMonth($E$7,$E$8,$D75,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M75" s="86">
        <f>InputFunctions_PastureBeef.LookupLiveweightFromMonth($E$7,$E$8,$D75,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N75" s="86">
        <f>InputFunctions_PastureBeef.LookupLiveweightFromMonth($E$7,$E$8,$D75,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O75" s="26" t="s">
        <v>212</v>
      </c>
      <c r="T75" s="32"/>
    </row>
    <row r="76" spans="4:20" ht="20.100000000000001" customHeight="1" x14ac:dyDescent="0.25">
      <c r="D76" s="1" t="str">
        <f>TEXT(EDATE(X_Cell_Site_StartDate,9), "mmmm yyyy")</f>
        <v>October 2025</v>
      </c>
      <c r="E76" s="86">
        <f>InputFunctions_PastureBeef.LookupLiveweightFromMonth($E$7,$E$8,$D76,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F76" s="86">
        <f>InputFunctions_PastureBeef.LookupLiveweightFromMonth($E$7,$E$8,$D76,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800</v>
      </c>
      <c r="G76" s="86">
        <f>InputFunctions_PastureBeef.LookupLiveweightFromMonth($E$7,$E$8,$D76,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260</v>
      </c>
      <c r="H76" s="86">
        <f>InputFunctions_PastureBeef.LookupLiveweightFromMonth($E$7,$E$8,$D76,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420</v>
      </c>
      <c r="I76" s="86">
        <f>InputFunctions_PastureBeef.LookupLiveweightFromMonth($E$7,$E$8,$D76,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550</v>
      </c>
      <c r="J76" s="86">
        <f>InputFunctions_PastureBeef.LookupLiveweightFromMonth($E$7,$E$8,$D76,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550</v>
      </c>
      <c r="K76" s="86">
        <f>InputFunctions_PastureBeef.LookupLiveweightFromMonth($E$7,$E$8,$D76,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300</v>
      </c>
      <c r="L76" s="86">
        <f>InputFunctions_PastureBeef.LookupLiveweightFromMonth($E$7,$E$8,$D76,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M76" s="86">
        <f>InputFunctions_PastureBeef.LookupLiveweightFromMonth($E$7,$E$8,$D76,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N76" s="86">
        <f>InputFunctions_PastureBeef.LookupLiveweightFromMonth($E$7,$E$8,$D76,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O76" s="26" t="s">
        <v>212</v>
      </c>
      <c r="T76" s="32"/>
    </row>
    <row r="77" spans="4:20" ht="20.100000000000001" customHeight="1" x14ac:dyDescent="0.25">
      <c r="D77" s="1" t="str">
        <f>TEXT(EDATE(X_Cell_Site_StartDate,10), "mmmm yyyy")</f>
        <v>November 2025</v>
      </c>
      <c r="E77" s="86">
        <f>InputFunctions_PastureBeef.LookupLiveweightFromMonth($E$7,$E$8,$D77,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F77" s="86">
        <f>InputFunctions_PastureBeef.LookupLiveweightFromMonth($E$7,$E$8,$D77,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800</v>
      </c>
      <c r="G77" s="86">
        <f>InputFunctions_PastureBeef.LookupLiveweightFromMonth($E$7,$E$8,$D77,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260</v>
      </c>
      <c r="H77" s="86">
        <f>InputFunctions_PastureBeef.LookupLiveweightFromMonth($E$7,$E$8,$D77,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420</v>
      </c>
      <c r="I77" s="86">
        <f>InputFunctions_PastureBeef.LookupLiveweightFromMonth($E$7,$E$8,$D77,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550</v>
      </c>
      <c r="J77" s="86">
        <f>InputFunctions_PastureBeef.LookupLiveweightFromMonth($E$7,$E$8,$D77,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550</v>
      </c>
      <c r="K77" s="86">
        <f>InputFunctions_PastureBeef.LookupLiveweightFromMonth($E$7,$E$8,$D77,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300</v>
      </c>
      <c r="L77" s="86">
        <f>InputFunctions_PastureBeef.LookupLiveweightFromMonth($E$7,$E$8,$D77,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M77" s="86">
        <f>InputFunctions_PastureBeef.LookupLiveweightFromMonth($E$7,$E$8,$D77,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N77" s="86">
        <f>InputFunctions_PastureBeef.LookupLiveweightFromMonth($E$7,$E$8,$D77,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O77" s="26" t="s">
        <v>212</v>
      </c>
      <c r="T77" s="32"/>
    </row>
    <row r="78" spans="4:20" ht="20.100000000000001" customHeight="1" x14ac:dyDescent="0.25">
      <c r="D78" s="1" t="str">
        <f>TEXT(EDATE(X_Cell_Site_StartDate,11), "mmmm yyyy")</f>
        <v>December 2025</v>
      </c>
      <c r="E78" s="86">
        <f>InputFunctions_PastureBeef.LookupLiveweightFromMonth($E$7,$E$8,$D78,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380</v>
      </c>
      <c r="F78" s="86">
        <f>InputFunctions_PastureBeef.LookupLiveweightFromMonth($E$7,$E$8,$D78,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780</v>
      </c>
      <c r="G78" s="86">
        <f>InputFunctions_PastureBeef.LookupLiveweightFromMonth($E$7,$E$8,$D78,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300</v>
      </c>
      <c r="H78" s="86">
        <f>InputFunctions_PastureBeef.LookupLiveweightFromMonth($E$7,$E$8,$D78,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450</v>
      </c>
      <c r="I78" s="86">
        <f>InputFunctions_PastureBeef.LookupLiveweightFromMonth($E$7,$E$8,$D78,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530</v>
      </c>
      <c r="J78" s="86">
        <f>InputFunctions_PastureBeef.LookupLiveweightFromMonth($E$7,$E$8,$D78,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530</v>
      </c>
      <c r="K78" s="86">
        <f>InputFunctions_PastureBeef.LookupLiveweightFromMonth($E$7,$E$8,$D78,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L78" s="86">
        <f>InputFunctions_PastureBeef.LookupLiveweightFromMonth($E$7,$E$8,$D78,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470</v>
      </c>
      <c r="M78" s="86">
        <f>InputFunctions_PastureBeef.LookupLiveweightFromMonth($E$7,$E$8,$D78,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470</v>
      </c>
      <c r="N78" s="86">
        <f>InputFunctions_PastureBeef.LookupLiveweightFromMonth($E$7,$E$8,$D78,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470</v>
      </c>
      <c r="O78" s="26" t="s">
        <v>212</v>
      </c>
      <c r="T78" s="32"/>
    </row>
    <row r="79" spans="4:20" ht="20.100000000000001" customHeight="1" x14ac:dyDescent="0.25">
      <c r="T79" s="32"/>
    </row>
    <row r="80" spans="4:20" ht="20.100000000000001" customHeight="1" x14ac:dyDescent="0.25">
      <c r="T80" s="32"/>
    </row>
    <row r="81" spans="4:20" ht="20.100000000000001" customHeight="1" x14ac:dyDescent="0.25">
      <c r="D81" s="92" t="s">
        <v>213</v>
      </c>
      <c r="T81" s="32"/>
    </row>
    <row r="82" spans="4:20" ht="20.100000000000001" customHeight="1" x14ac:dyDescent="0.25">
      <c r="D82" s="93" t="s">
        <v>192</v>
      </c>
      <c r="E82" s="93" t="s">
        <v>193</v>
      </c>
      <c r="F82" s="93" t="s">
        <v>194</v>
      </c>
      <c r="G82" s="93" t="s">
        <v>195</v>
      </c>
      <c r="H82" s="93" t="s">
        <v>196</v>
      </c>
      <c r="I82" s="93" t="s">
        <v>197</v>
      </c>
      <c r="J82" s="93" t="s">
        <v>198</v>
      </c>
      <c r="K82" s="93" t="s">
        <v>199</v>
      </c>
      <c r="L82" s="93" t="s">
        <v>200</v>
      </c>
      <c r="M82" s="93" t="s">
        <v>201</v>
      </c>
      <c r="N82" s="93" t="s">
        <v>202</v>
      </c>
      <c r="T82" s="32"/>
    </row>
    <row r="83" spans="4:20" ht="20.100000000000001" customHeight="1" x14ac:dyDescent="0.25">
      <c r="D83" s="1" t="s">
        <v>203</v>
      </c>
      <c r="E83" s="25">
        <f>InputFunctions_PastureBeef.LookupLiveweightFromSeason($E$7,$E$8,$D83,E$82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1.64</v>
      </c>
      <c r="F83" s="25">
        <f>InputFunctions_PastureBeef.LookupLiveweightFromSeason($E$7,$E$8,$D83,F$82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1.1000000000000001</v>
      </c>
      <c r="G83" s="25">
        <f>InputFunctions_PastureBeef.LookupLiveweightFromSeason($E$7,$E$8,$D83,G$82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1.21</v>
      </c>
      <c r="H83" s="25">
        <f>InputFunctions_PastureBeef.LookupLiveweightFromSeason($E$7,$E$8,$D83,H$82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0.99</v>
      </c>
      <c r="I83" s="25">
        <f>InputFunctions_PastureBeef.LookupLiveweightFromSeason($E$7,$E$8,$D83,I$82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0.66</v>
      </c>
      <c r="J83" s="25">
        <f>InputFunctions_PastureBeef.LookupLiveweightFromSeason($E$7,$E$8,$D83,J$82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0.66</v>
      </c>
      <c r="K83" s="25">
        <f>InputFunctions_PastureBeef.LookupLiveweightFromSeason($E$7,$E$8,$D83,K$82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1.42</v>
      </c>
      <c r="L83" s="25">
        <f>InputFunctions_PastureBeef.LookupLiveweightFromSeason($E$7,$E$8,$D83,L$82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1.1000000000000001</v>
      </c>
      <c r="M83" s="25">
        <f>InputFunctions_PastureBeef.LookupLiveweightFromSeason($E$7,$E$8,$D83,M$82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1.1000000000000001</v>
      </c>
      <c r="N83" s="25">
        <f>InputFunctions_PastureBeef.LookupLiveweightFromSeason($E$7,$E$8,$D83,N$82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1.1000000000000001</v>
      </c>
      <c r="O83" s="26" t="s">
        <v>214</v>
      </c>
      <c r="T83" s="32"/>
    </row>
    <row r="84" spans="4:20" ht="20.100000000000001" customHeight="1" x14ac:dyDescent="0.25">
      <c r="D84" s="1" t="s">
        <v>204</v>
      </c>
      <c r="E84" s="25">
        <f>InputFunctions_PastureBeef.LookupLiveweightFromSeason($E$7,$E$8,$D84,E$82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0.44</v>
      </c>
      <c r="F84" s="25">
        <f>InputFunctions_PastureBeef.LookupLiveweightFromSeason($E$7,$E$8,$D84,F$82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-0.22</v>
      </c>
      <c r="G84" s="25">
        <f>InputFunctions_PastureBeef.LookupLiveweightFromSeason($E$7,$E$8,$D84,G$82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0.44</v>
      </c>
      <c r="H84" s="25">
        <f>InputFunctions_PastureBeef.LookupLiveweightFromSeason($E$7,$E$8,$D84,H$82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0.33</v>
      </c>
      <c r="I84" s="25">
        <f>InputFunctions_PastureBeef.LookupLiveweightFromSeason($E$7,$E$8,$D84,I$82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-0.22</v>
      </c>
      <c r="J84" s="25">
        <f>InputFunctions_PastureBeef.LookupLiveweightFromSeason($E$7,$E$8,$D84,J$82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-0.22</v>
      </c>
      <c r="K84" s="25">
        <f>InputFunctions_PastureBeef.LookupLiveweightFromSeason($E$7,$E$8,$D84,K$82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0.44</v>
      </c>
      <c r="L84" s="25">
        <f>InputFunctions_PastureBeef.LookupLiveweightFromSeason($E$7,$E$8,$D84,L$82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-0.11</v>
      </c>
      <c r="M84" s="25">
        <f>InputFunctions_PastureBeef.LookupLiveweightFromSeason($E$7,$E$8,$D84,M$82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-0.11</v>
      </c>
      <c r="N84" s="25">
        <f>InputFunctions_PastureBeef.LookupLiveweightFromSeason($E$7,$E$8,$D84,N$82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-0.11</v>
      </c>
      <c r="O84" s="26" t="s">
        <v>214</v>
      </c>
      <c r="T84" s="32"/>
    </row>
    <row r="85" spans="4:20" ht="20.100000000000001" customHeight="1" x14ac:dyDescent="0.25">
      <c r="D85" s="1" t="s">
        <v>205</v>
      </c>
      <c r="E85" s="25">
        <f>InputFunctions_PastureBeef.LookupLiveweightFromSeason($E$7,$E$8,$D85,E$82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0.6</v>
      </c>
      <c r="F85" s="25">
        <f>InputFunctions_PastureBeef.LookupLiveweightFromSeason($E$7,$E$8,$D85,F$82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v>
      </c>
      <c r="G85" s="25">
        <f>InputFunctions_PastureBeef.LookupLiveweightFromSeason($E$7,$E$8,$D85,G$82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0.6</v>
      </c>
      <c r="H85" s="25">
        <f>InputFunctions_PastureBeef.LookupLiveweightFromSeason($E$7,$E$8,$D85,H$82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0.22</v>
      </c>
      <c r="I85" s="25">
        <f>InputFunctions_PastureBeef.LookupLiveweightFromSeason($E$7,$E$8,$D85,I$82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-0.55000000000000004</v>
      </c>
      <c r="J85" s="25">
        <f>InputFunctions_PastureBeef.LookupLiveweightFromSeason($E$7,$E$8,$D85,J$82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-0.55000000000000004</v>
      </c>
      <c r="K85" s="25">
        <f>InputFunctions_PastureBeef.LookupLiveweightFromSeason($E$7,$E$8,$D85,K$82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0.6</v>
      </c>
      <c r="L85" s="25">
        <f>InputFunctions_PastureBeef.LookupLiveweightFromSeason($E$7,$E$8,$D85,L$82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v>
      </c>
      <c r="M85" s="25">
        <f>InputFunctions_PastureBeef.LookupLiveweightFromSeason($E$7,$E$8,$D85,M$82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v>
      </c>
      <c r="N85" s="25">
        <f>InputFunctions_PastureBeef.LookupLiveweightFromSeason($E$7,$E$8,$D85,N$82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v>
      </c>
      <c r="O85" s="26" t="s">
        <v>214</v>
      </c>
      <c r="T85" s="32"/>
    </row>
    <row r="86" spans="4:20" ht="20.100000000000001" customHeight="1" x14ac:dyDescent="0.25">
      <c r="D86" s="1" t="s">
        <v>206</v>
      </c>
      <c r="E86" s="25">
        <f>InputFunctions_PastureBeef.LookupLiveweightFromSeason($E$7,$E$8,$D86,E$82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0.99</v>
      </c>
      <c r="F86" s="25">
        <f>InputFunctions_PastureBeef.LookupLiveweightFromSeason($E$7,$E$8,$D86,F$82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0.22</v>
      </c>
      <c r="G86" s="25">
        <f>InputFunctions_PastureBeef.LookupLiveweightFromSeason($E$7,$E$8,$D86,G$82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0.77</v>
      </c>
      <c r="H86" s="25">
        <f>InputFunctions_PastureBeef.LookupLiveweightFromSeason($E$7,$E$8,$D86,H$82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0.11</v>
      </c>
      <c r="I86" s="25">
        <f>InputFunctions_PastureBeef.LookupLiveweightFromSeason($E$7,$E$8,$D86,I$82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0.11</v>
      </c>
      <c r="J86" s="25">
        <f>InputFunctions_PastureBeef.LookupLiveweightFromSeason($E$7,$E$8,$D86,J$82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0.11</v>
      </c>
      <c r="K86" s="25">
        <f>InputFunctions_PastureBeef.LookupLiveweightFromSeason($E$7,$E$8,$D86,K$82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0.77</v>
      </c>
      <c r="L86" s="25">
        <f>InputFunctions_PastureBeef.LookupLiveweightFromSeason($E$7,$E$8,$D86,L$82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0.44</v>
      </c>
      <c r="M86" s="25">
        <f>InputFunctions_PastureBeef.LookupLiveweightFromSeason($E$7,$E$8,$D86,M$82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0.44</v>
      </c>
      <c r="N86" s="25">
        <f>InputFunctions_PastureBeef.LookupLiveweightFromSeason($E$7,$E$8,$D86,N$82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0.44</v>
      </c>
      <c r="O86" s="26" t="s">
        <v>214</v>
      </c>
      <c r="T86" s="32"/>
    </row>
    <row r="87" spans="4:20" ht="20.100000000000001" customHeight="1" x14ac:dyDescent="0.25">
      <c r="O87" s="26"/>
      <c r="T87" s="32"/>
    </row>
    <row r="88" spans="4:20" ht="20.100000000000001" customHeight="1" x14ac:dyDescent="0.25">
      <c r="D88" s="93" t="s">
        <v>207</v>
      </c>
      <c r="E88" s="93" t="s">
        <v>193</v>
      </c>
      <c r="F88" s="93" t="s">
        <v>194</v>
      </c>
      <c r="G88" s="93" t="s">
        <v>195</v>
      </c>
      <c r="H88" s="93" t="s">
        <v>196</v>
      </c>
      <c r="I88" s="93" t="s">
        <v>197</v>
      </c>
      <c r="J88" s="93" t="s">
        <v>198</v>
      </c>
      <c r="K88" s="93" t="s">
        <v>199</v>
      </c>
      <c r="L88" s="93" t="s">
        <v>200</v>
      </c>
      <c r="M88" s="93" t="s">
        <v>201</v>
      </c>
      <c r="N88" s="93" t="s">
        <v>202</v>
      </c>
      <c r="O88" s="26"/>
      <c r="T88" s="32"/>
    </row>
    <row r="89" spans="4:20" ht="20.100000000000001" customHeight="1" x14ac:dyDescent="0.25">
      <c r="D89" s="1" t="str">
        <f>TEXT(X_Cell_Site_StartDate, "mmmm yyyy")</f>
        <v>January 2025</v>
      </c>
      <c r="E89" s="86">
        <f>InputFunctions_PastureBeef.LookupLiveweightFromMonth($E$7,$E$8,$D89,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F89" s="86">
        <f>InputFunctions_PastureBeef.LookupLiveweightFromMonth($E$7,$E$8,$D89,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G89" s="86">
        <f>InputFunctions_PastureBeef.LookupLiveweightFromMonth($E$7,$E$8,$D89,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H89" s="86">
        <f>InputFunctions_PastureBeef.LookupLiveweightFromMonth($E$7,$E$8,$D89,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0.33</v>
      </c>
      <c r="I89" s="86">
        <f>InputFunctions_PastureBeef.LookupLiveweightFromMonth($E$7,$E$8,$D89,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J89" s="86">
        <f>InputFunctions_PastureBeef.LookupLiveweightFromMonth($E$7,$E$8,$D89,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K89" s="86">
        <f>InputFunctions_PastureBeef.LookupLiveweightFromMonth($E$7,$E$8,$D89,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L89" s="86">
        <f>InputFunctions_PastureBeef.LookupLiveweightFromMonth($E$7,$E$8,$D89,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M89" s="86">
        <f>InputFunctions_PastureBeef.LookupLiveweightFromMonth($E$7,$E$8,$D89,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N89" s="86">
        <f>InputFunctions_PastureBeef.LookupLiveweightFromMonth($E$7,$E$8,$D89,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O89" s="26" t="s">
        <v>214</v>
      </c>
      <c r="T89" s="32"/>
    </row>
    <row r="90" spans="4:20" ht="20.100000000000001" customHeight="1" x14ac:dyDescent="0.25">
      <c r="D90" s="1" t="str">
        <f>TEXT(EDATE(X_Cell_Site_StartDate,1), "mmmm yyyy")</f>
        <v>February 2025</v>
      </c>
      <c r="E90" s="86">
        <f>InputFunctions_PastureBeef.LookupLiveweightFromMonth($E$7,$E$8,$D90,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F90" s="86">
        <f>InputFunctions_PastureBeef.LookupLiveweightFromMonth($E$7,$E$8,$D90,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G90" s="86">
        <f>InputFunctions_PastureBeef.LookupLiveweightFromMonth($E$7,$E$8,$D90,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H90" s="86">
        <f>InputFunctions_PastureBeef.LookupLiveweightFromMonth($E$7,$E$8,$D90,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0.33</v>
      </c>
      <c r="I90" s="86">
        <f>InputFunctions_PastureBeef.LookupLiveweightFromMonth($E$7,$E$8,$D90,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J90" s="86">
        <f>InputFunctions_PastureBeef.LookupLiveweightFromMonth($E$7,$E$8,$D90,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K90" s="86">
        <f>InputFunctions_PastureBeef.LookupLiveweightFromMonth($E$7,$E$8,$D90,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L90" s="86">
        <f>InputFunctions_PastureBeef.LookupLiveweightFromMonth($E$7,$E$8,$D90,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M90" s="86">
        <f>InputFunctions_PastureBeef.LookupLiveweightFromMonth($E$7,$E$8,$D90,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N90" s="86">
        <f>InputFunctions_PastureBeef.LookupLiveweightFromMonth($E$7,$E$8,$D90,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O90" s="26" t="s">
        <v>214</v>
      </c>
      <c r="T90" s="32"/>
    </row>
    <row r="91" spans="4:20" ht="20.100000000000001" customHeight="1" x14ac:dyDescent="0.25">
      <c r="D91" s="1" t="str">
        <f>TEXT(EDATE(X_Cell_Site_StartDate,2), "mmmm yyyy")</f>
        <v>March 2025</v>
      </c>
      <c r="E91" s="86">
        <f>InputFunctions_PastureBeef.LookupLiveweightFromMonth($E$7,$E$8,$D91,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v>
      </c>
      <c r="F91" s="86">
        <f>InputFunctions_PastureBeef.LookupLiveweightFromMonth($E$7,$E$8,$D91,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v>
      </c>
      <c r="G91" s="86">
        <f>InputFunctions_PastureBeef.LookupLiveweightFromMonth($E$7,$E$8,$D91,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v>
      </c>
      <c r="H91" s="86">
        <f>InputFunctions_PastureBeef.LookupLiveweightFromMonth($E$7,$E$8,$D91,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I91" s="86">
        <f>InputFunctions_PastureBeef.LookupLiveweightFromMonth($E$7,$E$8,$D91,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-0.55000000000000004</v>
      </c>
      <c r="J91" s="86">
        <f>InputFunctions_PastureBeef.LookupLiveweightFromMonth($E$7,$E$8,$D91,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-0.55000000000000004</v>
      </c>
      <c r="K91" s="86">
        <f>InputFunctions_PastureBeef.LookupLiveweightFromMonth($E$7,$E$8,$D91,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v>
      </c>
      <c r="L91" s="86">
        <f>InputFunctions_PastureBeef.LookupLiveweightFromMonth($E$7,$E$8,$D91,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v>
      </c>
      <c r="M91" s="86">
        <f>InputFunctions_PastureBeef.LookupLiveweightFromMonth($E$7,$E$8,$D91,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v>
      </c>
      <c r="N91" s="86">
        <f>InputFunctions_PastureBeef.LookupLiveweightFromMonth($E$7,$E$8,$D91,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v>
      </c>
      <c r="O91" s="26" t="s">
        <v>214</v>
      </c>
      <c r="T91" s="32"/>
    </row>
    <row r="92" spans="4:20" ht="20.100000000000001" customHeight="1" x14ac:dyDescent="0.25">
      <c r="D92" s="1" t="str">
        <f>TEXT(EDATE(X_Cell_Site_StartDate,3), "mmmm yyyy")</f>
        <v>April 2025</v>
      </c>
      <c r="E92" s="86">
        <f>InputFunctions_PastureBeef.LookupLiveweightFromMonth($E$7,$E$8,$D92,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v>
      </c>
      <c r="F92" s="86">
        <f>InputFunctions_PastureBeef.LookupLiveweightFromMonth($E$7,$E$8,$D92,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v>
      </c>
      <c r="G92" s="86">
        <f>InputFunctions_PastureBeef.LookupLiveweightFromMonth($E$7,$E$8,$D92,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v>
      </c>
      <c r="H92" s="86">
        <f>InputFunctions_PastureBeef.LookupLiveweightFromMonth($E$7,$E$8,$D92,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I92" s="86">
        <f>InputFunctions_PastureBeef.LookupLiveweightFromMonth($E$7,$E$8,$D92,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-0.55000000000000004</v>
      </c>
      <c r="J92" s="86">
        <f>InputFunctions_PastureBeef.LookupLiveweightFromMonth($E$7,$E$8,$D92,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-0.55000000000000004</v>
      </c>
      <c r="K92" s="86">
        <f>InputFunctions_PastureBeef.LookupLiveweightFromMonth($E$7,$E$8,$D92,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v>
      </c>
      <c r="L92" s="86">
        <f>InputFunctions_PastureBeef.LookupLiveweightFromMonth($E$7,$E$8,$D92,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v>
      </c>
      <c r="M92" s="86">
        <f>InputFunctions_PastureBeef.LookupLiveweightFromMonth($E$7,$E$8,$D92,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v>
      </c>
      <c r="N92" s="86">
        <f>InputFunctions_PastureBeef.LookupLiveweightFromMonth($E$7,$E$8,$D92,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v>
      </c>
      <c r="O92" s="26" t="s">
        <v>214</v>
      </c>
      <c r="T92" s="32"/>
    </row>
    <row r="93" spans="4:20" ht="20.100000000000001" customHeight="1" x14ac:dyDescent="0.25">
      <c r="D93" s="1" t="str">
        <f>TEXT(EDATE(X_Cell_Site_StartDate,4), "mmmm yyyy")</f>
        <v>May 2025</v>
      </c>
      <c r="E93" s="86">
        <f>InputFunctions_PastureBeef.LookupLiveweightFromMonth($E$7,$E$8,$D93,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v>
      </c>
      <c r="F93" s="86">
        <f>InputFunctions_PastureBeef.LookupLiveweightFromMonth($E$7,$E$8,$D93,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v>
      </c>
      <c r="G93" s="86">
        <f>InputFunctions_PastureBeef.LookupLiveweightFromMonth($E$7,$E$8,$D93,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v>
      </c>
      <c r="H93" s="86">
        <f>InputFunctions_PastureBeef.LookupLiveweightFromMonth($E$7,$E$8,$D93,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I93" s="86">
        <f>InputFunctions_PastureBeef.LookupLiveweightFromMonth($E$7,$E$8,$D93,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-0.55000000000000004</v>
      </c>
      <c r="J93" s="86">
        <f>InputFunctions_PastureBeef.LookupLiveweightFromMonth($E$7,$E$8,$D93,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-0.55000000000000004</v>
      </c>
      <c r="K93" s="86">
        <f>InputFunctions_PastureBeef.LookupLiveweightFromMonth($E$7,$E$8,$D93,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v>
      </c>
      <c r="L93" s="86">
        <f>InputFunctions_PastureBeef.LookupLiveweightFromMonth($E$7,$E$8,$D93,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v>
      </c>
      <c r="M93" s="86">
        <f>InputFunctions_PastureBeef.LookupLiveweightFromMonth($E$7,$E$8,$D93,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v>
      </c>
      <c r="N93" s="86">
        <f>InputFunctions_PastureBeef.LookupLiveweightFromMonth($E$7,$E$8,$D93,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v>
      </c>
      <c r="O93" s="26" t="s">
        <v>214</v>
      </c>
      <c r="T93" s="32"/>
    </row>
    <row r="94" spans="4:20" ht="20.100000000000001" customHeight="1" x14ac:dyDescent="0.25">
      <c r="D94" s="1" t="str">
        <f>TEXT(EDATE(X_Cell_Site_StartDate,5), "mmmm yyyy")</f>
        <v>June 2025</v>
      </c>
      <c r="E94" s="86">
        <f>InputFunctions_PastureBeef.LookupLiveweightFromMonth($E$7,$E$8,$D94,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0.99</v>
      </c>
      <c r="F94" s="86">
        <f>InputFunctions_PastureBeef.LookupLiveweightFromMonth($E$7,$E$8,$D94,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G94" s="86">
        <f>InputFunctions_PastureBeef.LookupLiveweightFromMonth($E$7,$E$8,$D94,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0.77</v>
      </c>
      <c r="H94" s="86">
        <f>InputFunctions_PastureBeef.LookupLiveweightFromMonth($E$7,$E$8,$D94,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I94" s="86">
        <f>InputFunctions_PastureBeef.LookupLiveweightFromMonth($E$7,$E$8,$D94,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J94" s="86">
        <f>InputFunctions_PastureBeef.LookupLiveweightFromMonth($E$7,$E$8,$D94,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K94" s="86">
        <f>InputFunctions_PastureBeef.LookupLiveweightFromMonth($E$7,$E$8,$D94,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0.77</v>
      </c>
      <c r="L94" s="86">
        <f>InputFunctions_PastureBeef.LookupLiveweightFromMonth($E$7,$E$8,$D94,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M94" s="86">
        <f>InputFunctions_PastureBeef.LookupLiveweightFromMonth($E$7,$E$8,$D94,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N94" s="86">
        <f>InputFunctions_PastureBeef.LookupLiveweightFromMonth($E$7,$E$8,$D94,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O94" s="26" t="s">
        <v>214</v>
      </c>
      <c r="T94" s="32"/>
    </row>
    <row r="95" spans="4:20" ht="20.100000000000001" customHeight="1" x14ac:dyDescent="0.25">
      <c r="D95" s="1" t="str">
        <f>TEXT(EDATE(X_Cell_Site_StartDate,6), "mmmm yyyy")</f>
        <v>July 2025</v>
      </c>
      <c r="E95" s="86">
        <f>InputFunctions_PastureBeef.LookupLiveweightFromMonth($E$7,$E$8,$D95,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0.99</v>
      </c>
      <c r="F95" s="86">
        <f>InputFunctions_PastureBeef.LookupLiveweightFromMonth($E$7,$E$8,$D95,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G95" s="86">
        <f>InputFunctions_PastureBeef.LookupLiveweightFromMonth($E$7,$E$8,$D95,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0.77</v>
      </c>
      <c r="H95" s="86">
        <f>InputFunctions_PastureBeef.LookupLiveweightFromMonth($E$7,$E$8,$D95,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I95" s="86">
        <f>InputFunctions_PastureBeef.LookupLiveweightFromMonth($E$7,$E$8,$D95,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J95" s="86">
        <f>InputFunctions_PastureBeef.LookupLiveweightFromMonth($E$7,$E$8,$D95,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K95" s="86">
        <f>InputFunctions_PastureBeef.LookupLiveweightFromMonth($E$7,$E$8,$D95,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0.77</v>
      </c>
      <c r="L95" s="86">
        <f>InputFunctions_PastureBeef.LookupLiveweightFromMonth($E$7,$E$8,$D95,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M95" s="86">
        <f>InputFunctions_PastureBeef.LookupLiveweightFromMonth($E$7,$E$8,$D95,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N95" s="86">
        <f>InputFunctions_PastureBeef.LookupLiveweightFromMonth($E$7,$E$8,$D95,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O95" s="26" t="s">
        <v>214</v>
      </c>
      <c r="T95" s="32"/>
    </row>
    <row r="96" spans="4:20" ht="20.100000000000001" customHeight="1" x14ac:dyDescent="0.25">
      <c r="D96" s="1" t="str">
        <f>TEXT(EDATE(X_Cell_Site_StartDate,7), "mmmm yyyy")</f>
        <v>August 2025</v>
      </c>
      <c r="E96" s="86">
        <f>InputFunctions_PastureBeef.LookupLiveweightFromMonth($E$7,$E$8,$D96,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0.99</v>
      </c>
      <c r="F96" s="86">
        <f>InputFunctions_PastureBeef.LookupLiveweightFromMonth($E$7,$E$8,$D96,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G96" s="86">
        <f>InputFunctions_PastureBeef.LookupLiveweightFromMonth($E$7,$E$8,$D96,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0.77</v>
      </c>
      <c r="H96" s="86">
        <f>InputFunctions_PastureBeef.LookupLiveweightFromMonth($E$7,$E$8,$D96,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I96" s="86">
        <f>InputFunctions_PastureBeef.LookupLiveweightFromMonth($E$7,$E$8,$D96,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J96" s="86">
        <f>InputFunctions_PastureBeef.LookupLiveweightFromMonth($E$7,$E$8,$D96,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K96" s="86">
        <f>InputFunctions_PastureBeef.LookupLiveweightFromMonth($E$7,$E$8,$D96,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0.77</v>
      </c>
      <c r="L96" s="86">
        <f>InputFunctions_PastureBeef.LookupLiveweightFromMonth($E$7,$E$8,$D96,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M96" s="86">
        <f>InputFunctions_PastureBeef.LookupLiveweightFromMonth($E$7,$E$8,$D96,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N96" s="86">
        <f>InputFunctions_PastureBeef.LookupLiveweightFromMonth($E$7,$E$8,$D96,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O96" s="26" t="s">
        <v>214</v>
      </c>
      <c r="T96" s="32"/>
    </row>
    <row r="97" spans="4:20" ht="20.100000000000001" customHeight="1" x14ac:dyDescent="0.25">
      <c r="D97" s="1" t="str">
        <f>TEXT(EDATE(X_Cell_Site_StartDate,8), "mmmm yyyy")</f>
        <v>September 2025</v>
      </c>
      <c r="E97" s="86">
        <f>InputFunctions_PastureBeef.LookupLiveweightFromMonth($E$7,$E$8,$D97,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1.64</v>
      </c>
      <c r="F97" s="86">
        <f>InputFunctions_PastureBeef.LookupLiveweightFromMonth($E$7,$E$8,$D97,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1.1000000000000001</v>
      </c>
      <c r="G97" s="86">
        <f>InputFunctions_PastureBeef.LookupLiveweightFromMonth($E$7,$E$8,$D97,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1.21</v>
      </c>
      <c r="H97" s="86">
        <f>InputFunctions_PastureBeef.LookupLiveweightFromMonth($E$7,$E$8,$D97,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0.99</v>
      </c>
      <c r="I97" s="86">
        <f>InputFunctions_PastureBeef.LookupLiveweightFromMonth($E$7,$E$8,$D97,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0.66</v>
      </c>
      <c r="J97" s="86">
        <f>InputFunctions_PastureBeef.LookupLiveweightFromMonth($E$7,$E$8,$D97,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0.66</v>
      </c>
      <c r="K97" s="86">
        <f>InputFunctions_PastureBeef.LookupLiveweightFromMonth($E$7,$E$8,$D97,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1.42</v>
      </c>
      <c r="L97" s="86">
        <f>InputFunctions_PastureBeef.LookupLiveweightFromMonth($E$7,$E$8,$D97,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1.1000000000000001</v>
      </c>
      <c r="M97" s="86">
        <f>InputFunctions_PastureBeef.LookupLiveweightFromMonth($E$7,$E$8,$D97,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1.1000000000000001</v>
      </c>
      <c r="N97" s="86">
        <f>InputFunctions_PastureBeef.LookupLiveweightFromMonth($E$7,$E$8,$D97,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1.1000000000000001</v>
      </c>
      <c r="O97" s="26" t="s">
        <v>214</v>
      </c>
      <c r="T97" s="32"/>
    </row>
    <row r="98" spans="4:20" ht="20.100000000000001" customHeight="1" x14ac:dyDescent="0.25">
      <c r="D98" s="1" t="str">
        <f>TEXT(EDATE(X_Cell_Site_StartDate,9), "mmmm yyyy")</f>
        <v>October 2025</v>
      </c>
      <c r="E98" s="86">
        <f>InputFunctions_PastureBeef.LookupLiveweightFromMonth($E$7,$E$8,$D98,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1.64</v>
      </c>
      <c r="F98" s="86">
        <f>InputFunctions_PastureBeef.LookupLiveweightFromMonth($E$7,$E$8,$D98,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1.1000000000000001</v>
      </c>
      <c r="G98" s="86">
        <f>InputFunctions_PastureBeef.LookupLiveweightFromMonth($E$7,$E$8,$D98,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1.21</v>
      </c>
      <c r="H98" s="86">
        <f>InputFunctions_PastureBeef.LookupLiveweightFromMonth($E$7,$E$8,$D98,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0.99</v>
      </c>
      <c r="I98" s="86">
        <f>InputFunctions_PastureBeef.LookupLiveweightFromMonth($E$7,$E$8,$D98,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0.66</v>
      </c>
      <c r="J98" s="86">
        <f>InputFunctions_PastureBeef.LookupLiveweightFromMonth($E$7,$E$8,$D98,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0.66</v>
      </c>
      <c r="K98" s="86">
        <f>InputFunctions_PastureBeef.LookupLiveweightFromMonth($E$7,$E$8,$D98,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1.42</v>
      </c>
      <c r="L98" s="86">
        <f>InputFunctions_PastureBeef.LookupLiveweightFromMonth($E$7,$E$8,$D98,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1.1000000000000001</v>
      </c>
      <c r="M98" s="86">
        <f>InputFunctions_PastureBeef.LookupLiveweightFromMonth($E$7,$E$8,$D98,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1.1000000000000001</v>
      </c>
      <c r="N98" s="86">
        <f>InputFunctions_PastureBeef.LookupLiveweightFromMonth($E$7,$E$8,$D98,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1.1000000000000001</v>
      </c>
      <c r="O98" s="26" t="s">
        <v>214</v>
      </c>
      <c r="T98" s="32"/>
    </row>
    <row r="99" spans="4:20" ht="20.100000000000001" customHeight="1" x14ac:dyDescent="0.25">
      <c r="D99" s="1" t="str">
        <f>TEXT(EDATE(X_Cell_Site_StartDate,10), "mmmm yyyy")</f>
        <v>November 2025</v>
      </c>
      <c r="E99" s="86">
        <f>InputFunctions_PastureBeef.LookupLiveweightFromMonth($E$7,$E$8,$D99,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1.64</v>
      </c>
      <c r="F99" s="86">
        <f>InputFunctions_PastureBeef.LookupLiveweightFromMonth($E$7,$E$8,$D99,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1.1000000000000001</v>
      </c>
      <c r="G99" s="86">
        <f>InputFunctions_PastureBeef.LookupLiveweightFromMonth($E$7,$E$8,$D99,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1.21</v>
      </c>
      <c r="H99" s="86">
        <f>InputFunctions_PastureBeef.LookupLiveweightFromMonth($E$7,$E$8,$D99,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0.99</v>
      </c>
      <c r="I99" s="86">
        <f>InputFunctions_PastureBeef.LookupLiveweightFromMonth($E$7,$E$8,$D99,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0.66</v>
      </c>
      <c r="J99" s="86">
        <f>InputFunctions_PastureBeef.LookupLiveweightFromMonth($E$7,$E$8,$D99,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0.66</v>
      </c>
      <c r="K99" s="86">
        <f>InputFunctions_PastureBeef.LookupLiveweightFromMonth($E$7,$E$8,$D99,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1.42</v>
      </c>
      <c r="L99" s="86">
        <f>InputFunctions_PastureBeef.LookupLiveweightFromMonth($E$7,$E$8,$D99,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1.1000000000000001</v>
      </c>
      <c r="M99" s="86">
        <f>InputFunctions_PastureBeef.LookupLiveweightFromMonth($E$7,$E$8,$D99,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1.1000000000000001</v>
      </c>
      <c r="N99" s="86">
        <f>InputFunctions_PastureBeef.LookupLiveweightFromMonth($E$7,$E$8,$D99,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1.1000000000000001</v>
      </c>
      <c r="O99" s="26" t="s">
        <v>214</v>
      </c>
      <c r="T99" s="32"/>
    </row>
    <row r="100" spans="4:20" ht="20.100000000000001" customHeight="1" x14ac:dyDescent="0.25">
      <c r="D100" s="1" t="str">
        <f>TEXT(EDATE(X_Cell_Site_StartDate,11), "mmmm yyyy")</f>
        <v>December 2025</v>
      </c>
      <c r="E100" s="86">
        <f>InputFunctions_PastureBeef.LookupLiveweightFromMonth($E$7,$E$8,$D100,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F100" s="86">
        <f>InputFunctions_PastureBeef.LookupLiveweightFromMonth($E$7,$E$8,$D100,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G100" s="86">
        <f>InputFunctions_PastureBeef.LookupLiveweightFromMonth($E$7,$E$8,$D100,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H100" s="86">
        <f>InputFunctions_PastureBeef.LookupLiveweightFromMonth($E$7,$E$8,$D100,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0.33</v>
      </c>
      <c r="I100" s="86">
        <f>InputFunctions_PastureBeef.LookupLiveweightFromMonth($E$7,$E$8,$D100,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J100" s="86">
        <f>InputFunctions_PastureBeef.LookupLiveweightFromMonth($E$7,$E$8,$D100,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K100" s="86">
        <f>InputFunctions_PastureBeef.LookupLiveweightFromMonth($E$7,$E$8,$D100,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L100" s="86">
        <f>InputFunctions_PastureBeef.LookupLiveweightFromMonth($E$7,$E$8,$D100,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M100" s="86">
        <f>InputFunctions_PastureBeef.LookupLiveweightFromMonth($E$7,$E$8,$D100,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N100" s="86">
        <f>InputFunctions_PastureBeef.LookupLiveweightFromMonth($E$7,$E$8,$D100,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O100" s="26" t="s">
        <v>214</v>
      </c>
      <c r="T100" s="32"/>
    </row>
    <row r="101" spans="4:20" ht="20.100000000000001" customHeight="1" x14ac:dyDescent="0.25">
      <c r="T101" s="32"/>
    </row>
    <row r="102" spans="4:20" ht="20.100000000000001" customHeight="1" x14ac:dyDescent="0.25">
      <c r="T102" s="32"/>
    </row>
    <row r="103" spans="4:20" ht="20.100000000000001" customHeight="1" x14ac:dyDescent="0.25">
      <c r="D103" s="92" t="s">
        <v>215</v>
      </c>
      <c r="K103" s="26"/>
      <c r="L103" s="26"/>
      <c r="M103" s="26"/>
      <c r="N103" s="26"/>
      <c r="O103" s="26"/>
      <c r="T103" s="32"/>
    </row>
    <row r="104" spans="4:20" ht="20.100000000000001" customHeight="1" x14ac:dyDescent="0.25">
      <c r="D104" s="93" t="s">
        <v>209</v>
      </c>
      <c r="E104" s="93"/>
      <c r="F104" s="93"/>
      <c r="G104" s="93"/>
      <c r="T104" s="32"/>
    </row>
    <row r="105" spans="4:20" ht="20.100000000000001" customHeight="1" x14ac:dyDescent="0.25">
      <c r="D105" s="1" t="s">
        <v>216</v>
      </c>
      <c r="E105" s="23" t="s">
        <v>206</v>
      </c>
      <c r="F105" s="26" t="s">
        <v>109</v>
      </c>
      <c r="T105" s="32"/>
    </row>
    <row r="106" spans="4:20" ht="20.100000000000001" customHeight="1" x14ac:dyDescent="0.25">
      <c r="T106" s="32"/>
    </row>
    <row r="107" spans="4:20" ht="20.100000000000001" customHeight="1" x14ac:dyDescent="0.25"/>
    <row r="108" spans="4:20" ht="20.100000000000001" customHeight="1" x14ac:dyDescent="0.25">
      <c r="K108" s="1" t="s">
        <v>217</v>
      </c>
    </row>
    <row r="109" spans="4:20" ht="20.100000000000001" customHeight="1" x14ac:dyDescent="0.25"/>
    <row r="110" spans="4:20" ht="20.100000000000001" customHeight="1" x14ac:dyDescent="0.25">
      <c r="E110" s="93" t="s">
        <v>218</v>
      </c>
      <c r="F110" s="93" t="s">
        <v>196</v>
      </c>
      <c r="G110" s="93" t="s">
        <v>197</v>
      </c>
      <c r="H110" s="93" t="s">
        <v>198</v>
      </c>
      <c r="L110" s="1" t="s">
        <v>195</v>
      </c>
      <c r="M110" s="1" t="s">
        <v>199</v>
      </c>
      <c r="N110" s="26"/>
      <c r="O110" s="26"/>
    </row>
    <row r="111" spans="4:20" ht="20.100000000000001" customHeight="1" x14ac:dyDescent="0.25">
      <c r="D111" s="1" t="str">
        <f>"Proportion of cows &gt; 1 years in calf in " &amp; E105</f>
        <v>Proportion of cows &gt; 1 years in calf in Winter</v>
      </c>
      <c r="E111" s="23" t="s">
        <v>219</v>
      </c>
      <c r="F111" s="28">
        <v>0.7</v>
      </c>
      <c r="G111" s="28">
        <v>0.5</v>
      </c>
      <c r="H111" s="28">
        <v>0.5</v>
      </c>
      <c r="I111" s="26" t="s">
        <v>220</v>
      </c>
      <c r="L111" s="25">
        <f>MAX(0, G42-G41)</f>
        <v>0</v>
      </c>
      <c r="M111" s="25">
        <f>MAX(0,K42-K41)</f>
        <v>0</v>
      </c>
      <c r="N111" s="26"/>
      <c r="O111" s="26"/>
    </row>
    <row r="112" spans="4:20" ht="20.100000000000001" customHeight="1" x14ac:dyDescent="0.25">
      <c r="D112" s="1" t="s">
        <v>203</v>
      </c>
      <c r="E112" s="23" t="s">
        <v>219</v>
      </c>
      <c r="F112" s="28">
        <v>0.1</v>
      </c>
      <c r="G112" s="28">
        <v>0.4</v>
      </c>
      <c r="H112" s="28">
        <v>0.4</v>
      </c>
      <c r="I112" s="26" t="s">
        <v>220</v>
      </c>
      <c r="L112" s="25">
        <f>MAX(0, G39-G42)</f>
        <v>0</v>
      </c>
      <c r="M112" s="25">
        <f>MAX(0,K39-K42)</f>
        <v>0</v>
      </c>
    </row>
    <row r="113" spans="4:15" ht="20.100000000000001" customHeight="1" x14ac:dyDescent="0.25">
      <c r="D113" s="1" t="s">
        <v>204</v>
      </c>
      <c r="E113" s="23" t="s">
        <v>219</v>
      </c>
      <c r="F113" s="28">
        <v>0.1</v>
      </c>
      <c r="G113" s="28">
        <v>0</v>
      </c>
      <c r="H113" s="28">
        <v>0</v>
      </c>
      <c r="I113" s="26" t="s">
        <v>220</v>
      </c>
      <c r="L113" s="25">
        <f>MAX(0, G40-G39)</f>
        <v>0</v>
      </c>
      <c r="M113" s="25">
        <f>MAX(0,K40-K39)</f>
        <v>0</v>
      </c>
    </row>
    <row r="114" spans="4:15" ht="20.100000000000001" customHeight="1" x14ac:dyDescent="0.25">
      <c r="D114" s="1" t="s">
        <v>205</v>
      </c>
      <c r="E114" s="23" t="s">
        <v>221</v>
      </c>
      <c r="F114" s="28">
        <v>0</v>
      </c>
      <c r="G114" s="28">
        <v>0</v>
      </c>
      <c r="H114" s="28">
        <v>0</v>
      </c>
      <c r="I114" s="26" t="s">
        <v>220</v>
      </c>
      <c r="L114" s="25">
        <f>MAX(0,G41-G40)</f>
        <v>0</v>
      </c>
      <c r="M114" s="25">
        <f>MAX(0,K41-K40)</f>
        <v>0</v>
      </c>
    </row>
    <row r="115" spans="4:15" ht="20.100000000000001" customHeight="1" x14ac:dyDescent="0.25">
      <c r="J115" s="1" t="s">
        <v>222</v>
      </c>
    </row>
    <row r="116" spans="4:15" ht="20.100000000000001" customHeight="1" x14ac:dyDescent="0.25"/>
    <row r="117" spans="4:15" ht="20.100000000000001" customHeight="1" x14ac:dyDescent="0.25"/>
    <row r="118" spans="4:15" ht="20.100000000000001" customHeight="1" x14ac:dyDescent="0.25">
      <c r="D118" s="93" t="s">
        <v>210</v>
      </c>
      <c r="E118" s="93"/>
      <c r="F118" s="93"/>
      <c r="G118" s="93"/>
      <c r="L118" s="94" t="s">
        <v>223</v>
      </c>
    </row>
    <row r="119" spans="4:15" ht="20.100000000000001" customHeight="1" x14ac:dyDescent="0.25">
      <c r="D119" s="1" t="s">
        <v>224</v>
      </c>
      <c r="E119" s="23" t="s">
        <v>225</v>
      </c>
      <c r="F119" s="26" t="s">
        <v>109</v>
      </c>
      <c r="J119" s="88" t="s">
        <v>193</v>
      </c>
    </row>
    <row r="120" spans="4:15" ht="20.100000000000001" customHeight="1" x14ac:dyDescent="0.25">
      <c r="D120" s="1" t="s">
        <v>226</v>
      </c>
      <c r="E120" s="25" t="str">
        <f>TEXT(EDATE(E119,1), "mmmm yyyy")</f>
        <v>September 2024</v>
      </c>
      <c r="J120" s="1" t="s">
        <v>208</v>
      </c>
      <c r="K120" s="1" t="s">
        <v>227</v>
      </c>
      <c r="L120" s="1" t="s">
        <v>222</v>
      </c>
      <c r="M120" s="1" t="s">
        <v>228</v>
      </c>
      <c r="N120" s="1" t="s">
        <v>229</v>
      </c>
      <c r="O120" s="1" t="s">
        <v>230</v>
      </c>
    </row>
    <row r="121" spans="4:15" ht="20.100000000000001" customHeight="1" x14ac:dyDescent="0.25">
      <c r="D121" s="1" t="s">
        <v>231</v>
      </c>
      <c r="E121" s="25" t="str">
        <f>TEXT(EDATE(E119,2), "mmmm yyyy")</f>
        <v>October 2024</v>
      </c>
      <c r="J121" s="25">
        <f>E39</f>
        <v>100</v>
      </c>
      <c r="K121" s="25">
        <f>MAX(0, E39-E42)</f>
        <v>0</v>
      </c>
      <c r="L121" s="1">
        <f>K121/J121</f>
        <v>0</v>
      </c>
      <c r="M121" s="1">
        <f>K124/J121</f>
        <v>0</v>
      </c>
      <c r="N121" s="26">
        <f>1-(L121+M121)</f>
        <v>1</v>
      </c>
      <c r="O121" s="88">
        <f>(L121*6)+(M121*4)+(N121*0)</f>
        <v>0</v>
      </c>
    </row>
    <row r="122" spans="4:15" ht="20.100000000000001" customHeight="1" x14ac:dyDescent="0.25">
      <c r="J122" s="25">
        <f>E40</f>
        <v>100</v>
      </c>
      <c r="K122" s="25">
        <f>MAX(0, E40-E39)</f>
        <v>0</v>
      </c>
      <c r="L122" s="1">
        <f>K122/J122</f>
        <v>0</v>
      </c>
      <c r="M122" s="1">
        <f>K121/J122</f>
        <v>0</v>
      </c>
      <c r="N122" s="26">
        <f>1-(L122+M122)</f>
        <v>1</v>
      </c>
      <c r="O122" s="88">
        <f t="shared" ref="O122:O124" si="1">(L122*6)+(M122*4)+(N122*0)</f>
        <v>0</v>
      </c>
    </row>
    <row r="123" spans="4:15" ht="20.100000000000001" customHeight="1" x14ac:dyDescent="0.25">
      <c r="J123" s="25">
        <f>E41</f>
        <v>100</v>
      </c>
      <c r="K123" s="25">
        <f>MAX(0,E41-E40)</f>
        <v>0</v>
      </c>
      <c r="L123" s="1">
        <f>K123/J123</f>
        <v>0</v>
      </c>
      <c r="M123" s="1">
        <f>K122/J123</f>
        <v>0</v>
      </c>
      <c r="N123" s="26">
        <f>1-(L123+M123)</f>
        <v>1</v>
      </c>
      <c r="O123" s="88">
        <f t="shared" si="1"/>
        <v>0</v>
      </c>
    </row>
    <row r="124" spans="4:15" ht="20.100000000000001" customHeight="1" x14ac:dyDescent="0.25">
      <c r="E124" s="93" t="s">
        <v>196</v>
      </c>
      <c r="F124" s="93" t="s">
        <v>197</v>
      </c>
      <c r="G124" s="93" t="s">
        <v>198</v>
      </c>
      <c r="J124" s="25">
        <f>E42</f>
        <v>100</v>
      </c>
      <c r="K124" s="25">
        <f>MAX(0, E42-E41)</f>
        <v>0</v>
      </c>
      <c r="L124" s="1">
        <f>K124/J124</f>
        <v>0</v>
      </c>
      <c r="M124" s="26">
        <f>K123/J124</f>
        <v>0</v>
      </c>
      <c r="N124" s="26">
        <f>1-(L124+M124)</f>
        <v>1</v>
      </c>
      <c r="O124" s="88">
        <f t="shared" si="1"/>
        <v>0</v>
      </c>
    </row>
    <row r="125" spans="4:15" ht="20.100000000000001" customHeight="1" x14ac:dyDescent="0.25">
      <c r="D125" s="1" t="str">
        <f>E119</f>
        <v>August 2024</v>
      </c>
      <c r="E125" s="28">
        <v>0.25</v>
      </c>
      <c r="F125" s="28">
        <v>0.25</v>
      </c>
      <c r="G125" s="28">
        <v>0.25</v>
      </c>
      <c r="H125" s="26" t="s">
        <v>220</v>
      </c>
      <c r="L125" s="26"/>
      <c r="M125" s="26"/>
      <c r="N125" s="26"/>
      <c r="O125" s="26"/>
    </row>
    <row r="126" spans="4:15" ht="20.100000000000001" customHeight="1" x14ac:dyDescent="0.25">
      <c r="D126" s="1" t="str">
        <f>E120</f>
        <v>September 2024</v>
      </c>
      <c r="E126" s="28">
        <v>0.25</v>
      </c>
      <c r="F126" s="28">
        <v>0.25</v>
      </c>
      <c r="G126" s="28">
        <v>0.25</v>
      </c>
      <c r="H126" s="26" t="s">
        <v>220</v>
      </c>
    </row>
    <row r="127" spans="4:15" ht="20.100000000000001" customHeight="1" x14ac:dyDescent="0.25">
      <c r="D127" s="1" t="str">
        <f>E121</f>
        <v>October 2024</v>
      </c>
      <c r="E127" s="28">
        <v>0.25</v>
      </c>
      <c r="F127" s="28">
        <v>0.25</v>
      </c>
      <c r="G127" s="28">
        <v>0.25</v>
      </c>
      <c r="H127" s="26" t="s">
        <v>220</v>
      </c>
    </row>
    <row r="128" spans="4:15" ht="20.100000000000001" customHeight="1" x14ac:dyDescent="0.25">
      <c r="D128" s="1" t="str">
        <f>"Proportion of cows &gt; 1 years in calf in " &amp; D125 &amp; " to " &amp; D127</f>
        <v>Proportion of cows &gt; 1 years in calf in August 2024 to October 2024</v>
      </c>
      <c r="E128" s="29">
        <f>SUM(E125:E127)</f>
        <v>0.75</v>
      </c>
      <c r="F128" s="29">
        <f>SUM(F125:F127)</f>
        <v>0.75</v>
      </c>
      <c r="G128" s="29">
        <f>SUM(G125:G127)</f>
        <v>0.75</v>
      </c>
      <c r="H128" s="26" t="s">
        <v>220</v>
      </c>
    </row>
    <row r="129" spans="4:15" ht="20.100000000000001" customHeight="1" x14ac:dyDescent="0.25"/>
    <row r="130" spans="4:15" ht="20.100000000000001" customHeight="1" x14ac:dyDescent="0.25">
      <c r="K130" s="26"/>
      <c r="L130" s="26"/>
      <c r="M130" s="26"/>
      <c r="N130" s="26"/>
      <c r="O130" s="26"/>
    </row>
    <row r="131" spans="4:15" ht="20.100000000000001" customHeight="1" x14ac:dyDescent="0.25">
      <c r="D131" s="92" t="s">
        <v>232</v>
      </c>
      <c r="K131" s="26"/>
      <c r="L131" s="26"/>
      <c r="M131" s="26"/>
      <c r="N131" s="26"/>
      <c r="O131" s="26"/>
    </row>
    <row r="132" spans="4:15" ht="20.100000000000001" customHeight="1" x14ac:dyDescent="0.25">
      <c r="D132" s="93" t="s">
        <v>192</v>
      </c>
      <c r="E132" s="93" t="s">
        <v>193</v>
      </c>
      <c r="F132" s="93" t="s">
        <v>194</v>
      </c>
      <c r="G132" s="93" t="s">
        <v>195</v>
      </c>
      <c r="H132" s="93" t="s">
        <v>196</v>
      </c>
      <c r="I132" s="93" t="s">
        <v>197</v>
      </c>
      <c r="J132" s="93" t="s">
        <v>198</v>
      </c>
      <c r="K132" s="93" t="s">
        <v>199</v>
      </c>
      <c r="L132" s="93" t="s">
        <v>200</v>
      </c>
      <c r="M132" s="93" t="s">
        <v>201</v>
      </c>
      <c r="N132" s="93" t="s">
        <v>202</v>
      </c>
    </row>
    <row r="133" spans="4:15" ht="20.100000000000001" customHeight="1" x14ac:dyDescent="0.25">
      <c r="D133" s="1" t="s">
        <v>203</v>
      </c>
      <c r="E133" s="25">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0.8</v>
      </c>
      <c r="F133" s="25">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0.8</v>
      </c>
      <c r="G133" s="25">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0.8</v>
      </c>
      <c r="H133" s="25">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0.8</v>
      </c>
      <c r="I133" s="25">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0.8</v>
      </c>
      <c r="J133" s="25">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0.8</v>
      </c>
      <c r="K133" s="25">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0.8</v>
      </c>
      <c r="L133" s="25">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0.8</v>
      </c>
      <c r="M133" s="25">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0.8</v>
      </c>
      <c r="N133" s="25">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0.8</v>
      </c>
      <c r="O133" s="26" t="s">
        <v>233</v>
      </c>
    </row>
    <row r="134" spans="4:15" ht="20.100000000000001" customHeight="1" x14ac:dyDescent="0.25">
      <c r="D134" s="1" t="s">
        <v>204</v>
      </c>
      <c r="E134" s="25">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0.57999999999999996</v>
      </c>
      <c r="F134" s="25">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0.57999999999999996</v>
      </c>
      <c r="G134" s="25">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0.57999999999999996</v>
      </c>
      <c r="H134" s="25">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0.57999999999999996</v>
      </c>
      <c r="I134" s="25">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0.57999999999999996</v>
      </c>
      <c r="J134" s="25">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0.57999999999999996</v>
      </c>
      <c r="K134" s="25">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0.57999999999999996</v>
      </c>
      <c r="L134" s="25">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0.57999999999999996</v>
      </c>
      <c r="M134" s="25">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0.57999999999999996</v>
      </c>
      <c r="N134" s="25">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0.57999999999999996</v>
      </c>
      <c r="O134" s="26" t="s">
        <v>233</v>
      </c>
    </row>
    <row r="135" spans="4:15" ht="20.100000000000001" customHeight="1" x14ac:dyDescent="0.25">
      <c r="D135" s="1" t="s">
        <v>205</v>
      </c>
      <c r="E135" s="25">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v>
      </c>
      <c r="F135" s="25">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v>
      </c>
      <c r="G135" s="25">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v>
      </c>
      <c r="H135" s="25">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v>
      </c>
      <c r="I135" s="25">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v>
      </c>
      <c r="J135" s="25">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v>
      </c>
      <c r="K135" s="25">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v>
      </c>
      <c r="L135" s="25">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v>
      </c>
      <c r="M135" s="25">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v>
      </c>
      <c r="N135" s="25">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v>
      </c>
      <c r="O135" s="26" t="s">
        <v>233</v>
      </c>
    </row>
    <row r="136" spans="4:15" ht="20.100000000000001" customHeight="1" x14ac:dyDescent="0.25">
      <c r="D136" s="1" t="s">
        <v>206</v>
      </c>
      <c r="E136" s="25">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0.75</v>
      </c>
      <c r="F136" s="25">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0.75</v>
      </c>
      <c r="G136" s="25">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0.75</v>
      </c>
      <c r="H136" s="25">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0.75</v>
      </c>
      <c r="I136" s="25">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0.75</v>
      </c>
      <c r="J136" s="25">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0.75</v>
      </c>
      <c r="K136" s="25">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0.75</v>
      </c>
      <c r="L136" s="25">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0.75</v>
      </c>
      <c r="M136" s="25">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0.75</v>
      </c>
      <c r="N136" s="25">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0.75</v>
      </c>
      <c r="O136" s="26" t="s">
        <v>233</v>
      </c>
    </row>
    <row r="137" spans="4:15" ht="20.100000000000001" customHeight="1" x14ac:dyDescent="0.25"/>
    <row r="138" spans="4:15" ht="20.100000000000001" customHeight="1" x14ac:dyDescent="0.25">
      <c r="D138" s="93" t="s">
        <v>207</v>
      </c>
      <c r="E138" s="93" t="s">
        <v>193</v>
      </c>
      <c r="F138" s="93" t="s">
        <v>194</v>
      </c>
      <c r="G138" s="93" t="s">
        <v>195</v>
      </c>
      <c r="H138" s="93" t="s">
        <v>196</v>
      </c>
      <c r="I138" s="93" t="s">
        <v>197</v>
      </c>
      <c r="J138" s="93" t="s">
        <v>198</v>
      </c>
      <c r="K138" s="93" t="s">
        <v>199</v>
      </c>
      <c r="L138" s="93" t="s">
        <v>200</v>
      </c>
      <c r="M138" s="93" t="s">
        <v>201</v>
      </c>
      <c r="N138" s="93" t="s">
        <v>202</v>
      </c>
    </row>
    <row r="139" spans="4:15" ht="20.100000000000001" customHeight="1" x14ac:dyDescent="0.25">
      <c r="D139" s="1" t="str">
        <f>TEXT(X_Cell_Site_StartDate, "mmmm yyyy")</f>
        <v>January 2025</v>
      </c>
      <c r="E139" s="86">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F139" s="86">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G139" s="86">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H139" s="86">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I139" s="86">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J139" s="86">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K139" s="86">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L139" s="86">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M139" s="86">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N139" s="86">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O139" s="26" t="s">
        <v>233</v>
      </c>
    </row>
    <row r="140" spans="4:15" ht="20.100000000000001" customHeight="1" x14ac:dyDescent="0.25">
      <c r="D140" s="1" t="str">
        <f>TEXT(EDATE(X_Cell_Site_StartDate,1), "mmmm yyyy")</f>
        <v>February 2025</v>
      </c>
      <c r="E140" s="86">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F140" s="86">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G140" s="86">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H140" s="86">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I140" s="86">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J140" s="86">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K140" s="86">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L140" s="86">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M140" s="86">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N140" s="86">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O140" s="26" t="s">
        <v>233</v>
      </c>
    </row>
    <row r="141" spans="4:15" ht="20.100000000000001" customHeight="1" x14ac:dyDescent="0.25">
      <c r="D141" s="1" t="str">
        <f>TEXT(EDATE(X_Cell_Site_StartDate,2), "mmmm yyyy")</f>
        <v>March 2025</v>
      </c>
      <c r="E141" s="86">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F141" s="86">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G141" s="86">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H141" s="86">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I141" s="86">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J141" s="86">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K141" s="86">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L141" s="86">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M141" s="86">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N141" s="86">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O141" s="26" t="s">
        <v>233</v>
      </c>
    </row>
    <row r="142" spans="4:15" ht="20.100000000000001" customHeight="1" x14ac:dyDescent="0.25">
      <c r="D142" s="1" t="str">
        <f>TEXT(EDATE(X_Cell_Site_StartDate,3), "mmmm yyyy")</f>
        <v>April 2025</v>
      </c>
      <c r="E142" s="86">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F142" s="86">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G142" s="86">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H142" s="86">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I142" s="86">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J142" s="86">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K142" s="86">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L142" s="86">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M142" s="86">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N142" s="86">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O142" s="26" t="s">
        <v>233</v>
      </c>
    </row>
    <row r="143" spans="4:15" ht="20.100000000000001" customHeight="1" x14ac:dyDescent="0.25">
      <c r="D143" s="1" t="str">
        <f>TEXT(EDATE(X_Cell_Site_StartDate,4), "mmmm yyyy")</f>
        <v>May 2025</v>
      </c>
      <c r="E143" s="86">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F143" s="86">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G143" s="86">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H143" s="86">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I143" s="86">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J143" s="86">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K143" s="86">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L143" s="86">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M143" s="86">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N143" s="86">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O143" s="26" t="s">
        <v>233</v>
      </c>
    </row>
    <row r="144" spans="4:15" ht="20.100000000000001" customHeight="1" x14ac:dyDescent="0.25">
      <c r="D144" s="1" t="str">
        <f>TEXT(EDATE(X_Cell_Site_StartDate,5), "mmmm yyyy")</f>
        <v>June 2025</v>
      </c>
      <c r="E144" s="86">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F144" s="86">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G144" s="86">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H144" s="86">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I144" s="86">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J144" s="86">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K144" s="86">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L144" s="86">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M144" s="86">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N144" s="86">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O144" s="26" t="s">
        <v>233</v>
      </c>
    </row>
    <row r="145" spans="4:15" ht="20.100000000000001" customHeight="1" x14ac:dyDescent="0.25">
      <c r="D145" s="1" t="str">
        <f>TEXT(EDATE(X_Cell_Site_StartDate,6), "mmmm yyyy")</f>
        <v>July 2025</v>
      </c>
      <c r="E145" s="86">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F145" s="86">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G145" s="86">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H145" s="86">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I145" s="86">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J145" s="86">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K145" s="86">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L145" s="86">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M145" s="86">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N145" s="86">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O145" s="26" t="s">
        <v>233</v>
      </c>
    </row>
    <row r="146" spans="4:15" ht="20.100000000000001" customHeight="1" x14ac:dyDescent="0.25">
      <c r="D146" s="1" t="str">
        <f>TEXT(EDATE(X_Cell_Site_StartDate,7), "mmmm yyyy")</f>
        <v>August 2025</v>
      </c>
      <c r="E146" s="86">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F146" s="86">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G146" s="86">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H146" s="86">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I146" s="86">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J146" s="86">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K146" s="86">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L146" s="86">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M146" s="86">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N146" s="86">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O146" s="26" t="s">
        <v>233</v>
      </c>
    </row>
    <row r="147" spans="4:15" ht="20.100000000000001" customHeight="1" x14ac:dyDescent="0.25">
      <c r="D147" s="1" t="str">
        <f>TEXT(EDATE(X_Cell_Site_StartDate,8), "mmmm yyyy")</f>
        <v>September 2025</v>
      </c>
      <c r="E147" s="86">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F147" s="86">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G147" s="86">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H147" s="86">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I147" s="86">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J147" s="86">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K147" s="86">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L147" s="86">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M147" s="86">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N147" s="86">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O147" s="26" t="s">
        <v>233</v>
      </c>
    </row>
    <row r="148" spans="4:15" ht="20.100000000000001" customHeight="1" x14ac:dyDescent="0.25">
      <c r="D148" s="1" t="str">
        <f>TEXT(EDATE(X_Cell_Site_StartDate,9), "mmmm yyyy")</f>
        <v>October 2025</v>
      </c>
      <c r="E148" s="86">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F148" s="86">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G148" s="86">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H148" s="86">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I148" s="86">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J148" s="86">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K148" s="86">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L148" s="86">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M148" s="86">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N148" s="86">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O148" s="26" t="s">
        <v>233</v>
      </c>
    </row>
    <row r="149" spans="4:15" ht="20.100000000000001" customHeight="1" x14ac:dyDescent="0.25">
      <c r="D149" s="1" t="str">
        <f>TEXT(EDATE(X_Cell_Site_StartDate,10), "mmmm yyyy")</f>
        <v>November 2025</v>
      </c>
      <c r="E149" s="86">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F149" s="86">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G149" s="86">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H149" s="86">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I149" s="86">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J149" s="86">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K149" s="86">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L149" s="86">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M149" s="86">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N149" s="86">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O149" s="26" t="s">
        <v>233</v>
      </c>
    </row>
    <row r="150" spans="4:15" ht="20.100000000000001" customHeight="1" x14ac:dyDescent="0.25">
      <c r="D150" s="1" t="str">
        <f>TEXT(EDATE(X_Cell_Site_StartDate,11), "mmmm yyyy")</f>
        <v>December 2025</v>
      </c>
      <c r="E150" s="86">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F150" s="86">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G150" s="86">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H150" s="86">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I150" s="86">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J150" s="86">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K150" s="86">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L150" s="86">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M150" s="86">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N150" s="86">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O150" s="26" t="s">
        <v>233</v>
      </c>
    </row>
    <row r="151" spans="4:15" ht="20.100000000000001" customHeight="1" x14ac:dyDescent="0.25"/>
    <row r="152" spans="4:15" ht="20.100000000000001" customHeight="1" x14ac:dyDescent="0.25"/>
    <row r="153" spans="4:15" ht="20.100000000000001" customHeight="1" x14ac:dyDescent="0.25">
      <c r="D153" s="92" t="s">
        <v>234</v>
      </c>
      <c r="K153" s="26"/>
      <c r="L153" s="26"/>
      <c r="M153" s="26"/>
      <c r="N153" s="26"/>
      <c r="O153" s="26"/>
    </row>
    <row r="154" spans="4:15" ht="20.100000000000001" customHeight="1" x14ac:dyDescent="0.25">
      <c r="D154" s="93" t="s">
        <v>192</v>
      </c>
      <c r="E154" s="93" t="s">
        <v>193</v>
      </c>
      <c r="F154" s="93" t="s">
        <v>194</v>
      </c>
      <c r="G154" s="93" t="s">
        <v>195</v>
      </c>
      <c r="H154" s="93" t="s">
        <v>196</v>
      </c>
      <c r="I154" s="93" t="s">
        <v>197</v>
      </c>
      <c r="J154" s="93" t="s">
        <v>198</v>
      </c>
      <c r="K154" s="93" t="s">
        <v>199</v>
      </c>
      <c r="L154" s="93" t="s">
        <v>200</v>
      </c>
      <c r="M154" s="93" t="s">
        <v>201</v>
      </c>
      <c r="N154" s="93" t="s">
        <v>202</v>
      </c>
    </row>
    <row r="155" spans="4:15" ht="20.100000000000001" customHeight="1" x14ac:dyDescent="0.25">
      <c r="D155" s="1" t="s">
        <v>203</v>
      </c>
      <c r="E155" s="25">
        <f>InputFunctions_PastureBeef.LookupValueFromStateRegionSeason($E$7,$E$8,$D155, Table_SourceData_PastureBeef_CrudeProtein[State],Table_SourceData_PastureBeef_CrudeProtein[Region],Table_SourceData_PastureBeef_CrudeProtein[#Headers],Table_SourceData_PastureBeef_CrudeProtein[#Data],Table_AustralianStates[Common Name],Table_AustralianStates[Abbreviation])</f>
        <v>0.2</v>
      </c>
      <c r="F155" s="25">
        <f>InputFunctions_PastureBeef.LookupValueFromStateRegionSeason($E$7,$E$8,$D155, Table_SourceData_PastureBeef_CrudeProtein[State],Table_SourceData_PastureBeef_CrudeProtein[Region],Table_SourceData_PastureBeef_CrudeProtein[#Headers],Table_SourceData_PastureBeef_CrudeProtein[#Data],Table_AustralianStates[Common Name],Table_AustralianStates[Abbreviation])</f>
        <v>0.2</v>
      </c>
      <c r="G155" s="25">
        <f>InputFunctions_PastureBeef.LookupValueFromStateRegionSeason($E$7,$E$8,$D155, Table_SourceData_PastureBeef_CrudeProtein[State],Table_SourceData_PastureBeef_CrudeProtein[Region],Table_SourceData_PastureBeef_CrudeProtein[#Headers],Table_SourceData_PastureBeef_CrudeProtein[#Data],Table_AustralianStates[Common Name],Table_AustralianStates[Abbreviation])</f>
        <v>0.2</v>
      </c>
      <c r="H155" s="25">
        <f>InputFunctions_PastureBeef.LookupValueFromStateRegionSeason($E$7,$E$8,$D155, Table_SourceData_PastureBeef_CrudeProtein[State],Table_SourceData_PastureBeef_CrudeProtein[Region],Table_SourceData_PastureBeef_CrudeProtein[#Headers],Table_SourceData_PastureBeef_CrudeProtein[#Data],Table_AustralianStates[Common Name],Table_AustralianStates[Abbreviation])</f>
        <v>0.2</v>
      </c>
      <c r="I155" s="25">
        <f>InputFunctions_PastureBeef.LookupValueFromStateRegionSeason($E$7,$E$8,$D155, Table_SourceData_PastureBeef_CrudeProtein[State],Table_SourceData_PastureBeef_CrudeProtein[Region],Table_SourceData_PastureBeef_CrudeProtein[#Headers],Table_SourceData_PastureBeef_CrudeProtein[#Data],Table_AustralianStates[Common Name],Table_AustralianStates[Abbreviation])</f>
        <v>0.2</v>
      </c>
      <c r="J155" s="25">
        <f>InputFunctions_PastureBeef.LookupValueFromStateRegionSeason($E$7,$E$8,$D155, Table_SourceData_PastureBeef_CrudeProtein[State],Table_SourceData_PastureBeef_CrudeProtein[Region],Table_SourceData_PastureBeef_CrudeProtein[#Headers],Table_SourceData_PastureBeef_CrudeProtein[#Data],Table_AustralianStates[Common Name],Table_AustralianStates[Abbreviation])</f>
        <v>0.2</v>
      </c>
      <c r="K155" s="25">
        <f>InputFunctions_PastureBeef.LookupValueFromStateRegionSeason($E$7,$E$8,$D155, Table_SourceData_PastureBeef_CrudeProtein[State],Table_SourceData_PastureBeef_CrudeProtein[Region],Table_SourceData_PastureBeef_CrudeProtein[#Headers],Table_SourceData_PastureBeef_CrudeProtein[#Data],Table_AustralianStates[Common Name],Table_AustralianStates[Abbreviation])</f>
        <v>0.2</v>
      </c>
      <c r="L155" s="25">
        <f>InputFunctions_PastureBeef.LookupValueFromStateRegionSeason($E$7,$E$8,$D155, Table_SourceData_PastureBeef_CrudeProtein[State],Table_SourceData_PastureBeef_CrudeProtein[Region],Table_SourceData_PastureBeef_CrudeProtein[#Headers],Table_SourceData_PastureBeef_CrudeProtein[#Data],Table_AustralianStates[Common Name],Table_AustralianStates[Abbreviation])</f>
        <v>0.2</v>
      </c>
      <c r="M155" s="25">
        <f>InputFunctions_PastureBeef.LookupValueFromStateRegionSeason($E$7,$E$8,$D155, Table_SourceData_PastureBeef_CrudeProtein[State],Table_SourceData_PastureBeef_CrudeProtein[Region],Table_SourceData_PastureBeef_CrudeProtein[#Headers],Table_SourceData_PastureBeef_CrudeProtein[#Data],Table_AustralianStates[Common Name],Table_AustralianStates[Abbreviation])</f>
        <v>0.2</v>
      </c>
      <c r="N155" s="25">
        <f>InputFunctions_PastureBeef.LookupValueFromStateRegionSeason($E$7,$E$8,$D155, Table_SourceData_PastureBeef_CrudeProtein[State],Table_SourceData_PastureBeef_CrudeProtein[Region],Table_SourceData_PastureBeef_CrudeProtein[#Headers],Table_SourceData_PastureBeef_CrudeProtein[#Data],Table_AustralianStates[Common Name],Table_AustralianStates[Abbreviation])</f>
        <v>0.2</v>
      </c>
      <c r="O155" s="26" t="s">
        <v>233</v>
      </c>
    </row>
    <row r="156" spans="4:15" ht="20.100000000000001" customHeight="1" x14ac:dyDescent="0.25">
      <c r="D156" s="1" t="s">
        <v>204</v>
      </c>
      <c r="E156" s="25">
        <f>InputFunctions_PastureBeef.LookupValueFromStateRegionSeason($E$7,$E$8,$D156, Table_SourceData_PastureBeef_CrudeProtein[State],Table_SourceData_PastureBeef_CrudeProtein[Region],Table_SourceData_PastureBeef_CrudeProtein[#Headers],Table_SourceData_PastureBeef_CrudeProtein[#Data],Table_AustralianStates[Common Name],Table_AustralianStates[Abbreviation])</f>
        <v>0.09</v>
      </c>
      <c r="F156" s="25">
        <f>InputFunctions_PastureBeef.LookupValueFromStateRegionSeason($E$7,$E$8,$D156, Table_SourceData_PastureBeef_CrudeProtein[State],Table_SourceData_PastureBeef_CrudeProtein[Region],Table_SourceData_PastureBeef_CrudeProtein[#Headers],Table_SourceData_PastureBeef_CrudeProtein[#Data],Table_AustralianStates[Common Name],Table_AustralianStates[Abbreviation])</f>
        <v>0.09</v>
      </c>
      <c r="G156" s="25">
        <f>InputFunctions_PastureBeef.LookupValueFromStateRegionSeason($E$7,$E$8,$D156, Table_SourceData_PastureBeef_CrudeProtein[State],Table_SourceData_PastureBeef_CrudeProtein[Region],Table_SourceData_PastureBeef_CrudeProtein[#Headers],Table_SourceData_PastureBeef_CrudeProtein[#Data],Table_AustralianStates[Common Name],Table_AustralianStates[Abbreviation])</f>
        <v>0.09</v>
      </c>
      <c r="H156" s="25">
        <f>InputFunctions_PastureBeef.LookupValueFromStateRegionSeason($E$7,$E$8,$D156, Table_SourceData_PastureBeef_CrudeProtein[State],Table_SourceData_PastureBeef_CrudeProtein[Region],Table_SourceData_PastureBeef_CrudeProtein[#Headers],Table_SourceData_PastureBeef_CrudeProtein[#Data],Table_AustralianStates[Common Name],Table_AustralianStates[Abbreviation])</f>
        <v>0.09</v>
      </c>
      <c r="I156" s="25">
        <f>InputFunctions_PastureBeef.LookupValueFromStateRegionSeason($E$7,$E$8,$D156, Table_SourceData_PastureBeef_CrudeProtein[State],Table_SourceData_PastureBeef_CrudeProtein[Region],Table_SourceData_PastureBeef_CrudeProtein[#Headers],Table_SourceData_PastureBeef_CrudeProtein[#Data],Table_AustralianStates[Common Name],Table_AustralianStates[Abbreviation])</f>
        <v>0.09</v>
      </c>
      <c r="J156" s="25">
        <f>InputFunctions_PastureBeef.LookupValueFromStateRegionSeason($E$7,$E$8,$D156, Table_SourceData_PastureBeef_CrudeProtein[State],Table_SourceData_PastureBeef_CrudeProtein[Region],Table_SourceData_PastureBeef_CrudeProtein[#Headers],Table_SourceData_PastureBeef_CrudeProtein[#Data],Table_AustralianStates[Common Name],Table_AustralianStates[Abbreviation])</f>
        <v>0.09</v>
      </c>
      <c r="K156" s="25">
        <f>InputFunctions_PastureBeef.LookupValueFromStateRegionSeason($E$7,$E$8,$D156, Table_SourceData_PastureBeef_CrudeProtein[State],Table_SourceData_PastureBeef_CrudeProtein[Region],Table_SourceData_PastureBeef_CrudeProtein[#Headers],Table_SourceData_PastureBeef_CrudeProtein[#Data],Table_AustralianStates[Common Name],Table_AustralianStates[Abbreviation])</f>
        <v>0.09</v>
      </c>
      <c r="L156" s="25">
        <f>InputFunctions_PastureBeef.LookupValueFromStateRegionSeason($E$7,$E$8,$D156, Table_SourceData_PastureBeef_CrudeProtein[State],Table_SourceData_PastureBeef_CrudeProtein[Region],Table_SourceData_PastureBeef_CrudeProtein[#Headers],Table_SourceData_PastureBeef_CrudeProtein[#Data],Table_AustralianStates[Common Name],Table_AustralianStates[Abbreviation])</f>
        <v>0.09</v>
      </c>
      <c r="M156" s="25">
        <f>InputFunctions_PastureBeef.LookupValueFromStateRegionSeason($E$7,$E$8,$D156, Table_SourceData_PastureBeef_CrudeProtein[State],Table_SourceData_PastureBeef_CrudeProtein[Region],Table_SourceData_PastureBeef_CrudeProtein[#Headers],Table_SourceData_PastureBeef_CrudeProtein[#Data],Table_AustralianStates[Common Name],Table_AustralianStates[Abbreviation])</f>
        <v>0.09</v>
      </c>
      <c r="N156" s="25">
        <f>InputFunctions_PastureBeef.LookupValueFromStateRegionSeason($E$7,$E$8,$D156, Table_SourceData_PastureBeef_CrudeProtein[State],Table_SourceData_PastureBeef_CrudeProtein[Region],Table_SourceData_PastureBeef_CrudeProtein[#Headers],Table_SourceData_PastureBeef_CrudeProtein[#Data],Table_AustralianStates[Common Name],Table_AustralianStates[Abbreviation])</f>
        <v>0.09</v>
      </c>
      <c r="O156" s="26" t="s">
        <v>233</v>
      </c>
    </row>
    <row r="157" spans="4:15" ht="20.100000000000001" customHeight="1" x14ac:dyDescent="0.25">
      <c r="D157" s="1" t="s">
        <v>205</v>
      </c>
      <c r="E157" s="25">
        <f>InputFunctions_PastureBeef.LookupValueFromStateRegionSeason($E$7,$E$8,$D157, Table_SourceData_PastureBeef_CrudeProtein[State],Table_SourceData_PastureBeef_CrudeProtein[Region],Table_SourceData_PastureBeef_CrudeProtein[#Headers],Table_SourceData_PastureBeef_CrudeProtein[#Data],Table_AustralianStates[Common Name],Table_AustralianStates[Abbreviation])</f>
        <v>0.06</v>
      </c>
      <c r="F157" s="25">
        <f>InputFunctions_PastureBeef.LookupValueFromStateRegionSeason($E$7,$E$8,$D157, Table_SourceData_PastureBeef_CrudeProtein[State],Table_SourceData_PastureBeef_CrudeProtein[Region],Table_SourceData_PastureBeef_CrudeProtein[#Headers],Table_SourceData_PastureBeef_CrudeProtein[#Data],Table_AustralianStates[Common Name],Table_AustralianStates[Abbreviation])</f>
        <v>0.06</v>
      </c>
      <c r="G157" s="25">
        <f>InputFunctions_PastureBeef.LookupValueFromStateRegionSeason($E$7,$E$8,$D157, Table_SourceData_PastureBeef_CrudeProtein[State],Table_SourceData_PastureBeef_CrudeProtein[Region],Table_SourceData_PastureBeef_CrudeProtein[#Headers],Table_SourceData_PastureBeef_CrudeProtein[#Data],Table_AustralianStates[Common Name],Table_AustralianStates[Abbreviation])</f>
        <v>0.06</v>
      </c>
      <c r="H157" s="25">
        <f>InputFunctions_PastureBeef.LookupValueFromStateRegionSeason($E$7,$E$8,$D157, Table_SourceData_PastureBeef_CrudeProtein[State],Table_SourceData_PastureBeef_CrudeProtein[Region],Table_SourceData_PastureBeef_CrudeProtein[#Headers],Table_SourceData_PastureBeef_CrudeProtein[#Data],Table_AustralianStates[Common Name],Table_AustralianStates[Abbreviation])</f>
        <v>0.06</v>
      </c>
      <c r="I157" s="25">
        <f>InputFunctions_PastureBeef.LookupValueFromStateRegionSeason($E$7,$E$8,$D157, Table_SourceData_PastureBeef_CrudeProtein[State],Table_SourceData_PastureBeef_CrudeProtein[Region],Table_SourceData_PastureBeef_CrudeProtein[#Headers],Table_SourceData_PastureBeef_CrudeProtein[#Data],Table_AustralianStates[Common Name],Table_AustralianStates[Abbreviation])</f>
        <v>0.06</v>
      </c>
      <c r="J157" s="25">
        <f>InputFunctions_PastureBeef.LookupValueFromStateRegionSeason($E$7,$E$8,$D157, Table_SourceData_PastureBeef_CrudeProtein[State],Table_SourceData_PastureBeef_CrudeProtein[Region],Table_SourceData_PastureBeef_CrudeProtein[#Headers],Table_SourceData_PastureBeef_CrudeProtein[#Data],Table_AustralianStates[Common Name],Table_AustralianStates[Abbreviation])</f>
        <v>0.06</v>
      </c>
      <c r="K157" s="25">
        <f>InputFunctions_PastureBeef.LookupValueFromStateRegionSeason($E$7,$E$8,$D157, Table_SourceData_PastureBeef_CrudeProtein[State],Table_SourceData_PastureBeef_CrudeProtein[Region],Table_SourceData_PastureBeef_CrudeProtein[#Headers],Table_SourceData_PastureBeef_CrudeProtein[#Data],Table_AustralianStates[Common Name],Table_AustralianStates[Abbreviation])</f>
        <v>0.06</v>
      </c>
      <c r="L157" s="25">
        <f>InputFunctions_PastureBeef.LookupValueFromStateRegionSeason($E$7,$E$8,$D157, Table_SourceData_PastureBeef_CrudeProtein[State],Table_SourceData_PastureBeef_CrudeProtein[Region],Table_SourceData_PastureBeef_CrudeProtein[#Headers],Table_SourceData_PastureBeef_CrudeProtein[#Data],Table_AustralianStates[Common Name],Table_AustralianStates[Abbreviation])</f>
        <v>0.06</v>
      </c>
      <c r="M157" s="25">
        <f>InputFunctions_PastureBeef.LookupValueFromStateRegionSeason($E$7,$E$8,$D157, Table_SourceData_PastureBeef_CrudeProtein[State],Table_SourceData_PastureBeef_CrudeProtein[Region],Table_SourceData_PastureBeef_CrudeProtein[#Headers],Table_SourceData_PastureBeef_CrudeProtein[#Data],Table_AustralianStates[Common Name],Table_AustralianStates[Abbreviation])</f>
        <v>0.06</v>
      </c>
      <c r="N157" s="25">
        <f>InputFunctions_PastureBeef.LookupValueFromStateRegionSeason($E$7,$E$8,$D157, Table_SourceData_PastureBeef_CrudeProtein[State],Table_SourceData_PastureBeef_CrudeProtein[Region],Table_SourceData_PastureBeef_CrudeProtein[#Headers],Table_SourceData_PastureBeef_CrudeProtein[#Data],Table_AustralianStates[Common Name],Table_AustralianStates[Abbreviation])</f>
        <v>0.06</v>
      </c>
      <c r="O157" s="26" t="s">
        <v>233</v>
      </c>
    </row>
    <row r="158" spans="4:15" ht="20.100000000000001" customHeight="1" x14ac:dyDescent="0.25">
      <c r="D158" s="1" t="s">
        <v>206</v>
      </c>
      <c r="E158" s="25">
        <f>InputFunctions_PastureBeef.LookupValueFromStateRegionSeason($E$7,$E$8,$D158, Table_SourceData_PastureBeef_CrudeProtein[State],Table_SourceData_PastureBeef_CrudeProtein[Region],Table_SourceData_PastureBeef_CrudeProtein[#Headers],Table_SourceData_PastureBeef_CrudeProtein[#Data],Table_AustralianStates[Common Name],Table_AustralianStates[Abbreviation])</f>
        <v>0.2</v>
      </c>
      <c r="F158" s="25">
        <f>InputFunctions_PastureBeef.LookupValueFromStateRegionSeason($E$7,$E$8,$D158, Table_SourceData_PastureBeef_CrudeProtein[State],Table_SourceData_PastureBeef_CrudeProtein[Region],Table_SourceData_PastureBeef_CrudeProtein[#Headers],Table_SourceData_PastureBeef_CrudeProtein[#Data],Table_AustralianStates[Common Name],Table_AustralianStates[Abbreviation])</f>
        <v>0.2</v>
      </c>
      <c r="G158" s="25">
        <f>InputFunctions_PastureBeef.LookupValueFromStateRegionSeason($E$7,$E$8,$D158, Table_SourceData_PastureBeef_CrudeProtein[State],Table_SourceData_PastureBeef_CrudeProtein[Region],Table_SourceData_PastureBeef_CrudeProtein[#Headers],Table_SourceData_PastureBeef_CrudeProtein[#Data],Table_AustralianStates[Common Name],Table_AustralianStates[Abbreviation])</f>
        <v>0.2</v>
      </c>
      <c r="H158" s="25">
        <f>InputFunctions_PastureBeef.LookupValueFromStateRegionSeason($E$7,$E$8,$D158, Table_SourceData_PastureBeef_CrudeProtein[State],Table_SourceData_PastureBeef_CrudeProtein[Region],Table_SourceData_PastureBeef_CrudeProtein[#Headers],Table_SourceData_PastureBeef_CrudeProtein[#Data],Table_AustralianStates[Common Name],Table_AustralianStates[Abbreviation])</f>
        <v>0.2</v>
      </c>
      <c r="I158" s="25">
        <f>InputFunctions_PastureBeef.LookupValueFromStateRegionSeason($E$7,$E$8,$D158, Table_SourceData_PastureBeef_CrudeProtein[State],Table_SourceData_PastureBeef_CrudeProtein[Region],Table_SourceData_PastureBeef_CrudeProtein[#Headers],Table_SourceData_PastureBeef_CrudeProtein[#Data],Table_AustralianStates[Common Name],Table_AustralianStates[Abbreviation])</f>
        <v>0.2</v>
      </c>
      <c r="J158" s="25">
        <f>InputFunctions_PastureBeef.LookupValueFromStateRegionSeason($E$7,$E$8,$D158, Table_SourceData_PastureBeef_CrudeProtein[State],Table_SourceData_PastureBeef_CrudeProtein[Region],Table_SourceData_PastureBeef_CrudeProtein[#Headers],Table_SourceData_PastureBeef_CrudeProtein[#Data],Table_AustralianStates[Common Name],Table_AustralianStates[Abbreviation])</f>
        <v>0.2</v>
      </c>
      <c r="K158" s="25">
        <f>InputFunctions_PastureBeef.LookupValueFromStateRegionSeason($E$7,$E$8,$D158, Table_SourceData_PastureBeef_CrudeProtein[State],Table_SourceData_PastureBeef_CrudeProtein[Region],Table_SourceData_PastureBeef_CrudeProtein[#Headers],Table_SourceData_PastureBeef_CrudeProtein[#Data],Table_AustralianStates[Common Name],Table_AustralianStates[Abbreviation])</f>
        <v>0.2</v>
      </c>
      <c r="L158" s="25">
        <f>InputFunctions_PastureBeef.LookupValueFromStateRegionSeason($E$7,$E$8,$D158, Table_SourceData_PastureBeef_CrudeProtein[State],Table_SourceData_PastureBeef_CrudeProtein[Region],Table_SourceData_PastureBeef_CrudeProtein[#Headers],Table_SourceData_PastureBeef_CrudeProtein[#Data],Table_AustralianStates[Common Name],Table_AustralianStates[Abbreviation])</f>
        <v>0.2</v>
      </c>
      <c r="M158" s="25">
        <f>InputFunctions_PastureBeef.LookupValueFromStateRegionSeason($E$7,$E$8,$D158, Table_SourceData_PastureBeef_CrudeProtein[State],Table_SourceData_PastureBeef_CrudeProtein[Region],Table_SourceData_PastureBeef_CrudeProtein[#Headers],Table_SourceData_PastureBeef_CrudeProtein[#Data],Table_AustralianStates[Common Name],Table_AustralianStates[Abbreviation])</f>
        <v>0.2</v>
      </c>
      <c r="N158" s="25">
        <f>InputFunctions_PastureBeef.LookupValueFromStateRegionSeason($E$7,$E$8,$D158, Table_SourceData_PastureBeef_CrudeProtein[State],Table_SourceData_PastureBeef_CrudeProtein[Region],Table_SourceData_PastureBeef_CrudeProtein[#Headers],Table_SourceData_PastureBeef_CrudeProtein[#Data],Table_AustralianStates[Common Name],Table_AustralianStates[Abbreviation])</f>
        <v>0.2</v>
      </c>
      <c r="O158" s="26" t="s">
        <v>233</v>
      </c>
    </row>
    <row r="159" spans="4:15" ht="20.100000000000001" customHeight="1" x14ac:dyDescent="0.25"/>
    <row r="160" spans="4:15" ht="20.100000000000001" customHeight="1" x14ac:dyDescent="0.25">
      <c r="D160" s="93" t="s">
        <v>207</v>
      </c>
      <c r="E160" s="93" t="s">
        <v>193</v>
      </c>
      <c r="F160" s="93" t="s">
        <v>194</v>
      </c>
      <c r="G160" s="93" t="s">
        <v>195</v>
      </c>
      <c r="H160" s="93" t="s">
        <v>196</v>
      </c>
      <c r="I160" s="93" t="s">
        <v>197</v>
      </c>
      <c r="J160" s="93" t="s">
        <v>198</v>
      </c>
      <c r="K160" s="93" t="s">
        <v>199</v>
      </c>
      <c r="L160" s="93" t="s">
        <v>200</v>
      </c>
      <c r="M160" s="93" t="s">
        <v>201</v>
      </c>
      <c r="N160" s="93" t="s">
        <v>202</v>
      </c>
    </row>
    <row r="161" spans="4:15" ht="20.100000000000001" customHeight="1" x14ac:dyDescent="0.25">
      <c r="D161" s="1" t="str">
        <f>TEXT(X_Cell_Site_StartDate, "mmmm yyyy")</f>
        <v>January 2025</v>
      </c>
      <c r="E161" s="86">
        <f>InputFunctions_PastureBeef.LookupValueFromStateRegionMonth($E$7,$E$8,$D161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F161" s="86">
        <f>InputFunctions_PastureBeef.LookupValueFromStateRegionMonth($E$7,$E$8,$D161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G161" s="86">
        <f>InputFunctions_PastureBeef.LookupValueFromStateRegionMonth($E$7,$E$8,$D161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H161" s="86">
        <f>InputFunctions_PastureBeef.LookupValueFromStateRegionMonth($E$7,$E$8,$D161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I161" s="86">
        <f>InputFunctions_PastureBeef.LookupValueFromStateRegionMonth($E$7,$E$8,$D161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J161" s="86">
        <f>InputFunctions_PastureBeef.LookupValueFromStateRegionMonth($E$7,$E$8,$D161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K161" s="86">
        <f>InputFunctions_PastureBeef.LookupValueFromStateRegionMonth($E$7,$E$8,$D161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L161" s="86">
        <f>InputFunctions_PastureBeef.LookupValueFromStateRegionMonth($E$7,$E$8,$D161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M161" s="86">
        <f>InputFunctions_PastureBeef.LookupValueFromStateRegionMonth($E$7,$E$8,$D161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N161" s="86">
        <f>InputFunctions_PastureBeef.LookupValueFromStateRegionMonth($E$7,$E$8,$D161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O161" s="26" t="s">
        <v>233</v>
      </c>
    </row>
    <row r="162" spans="4:15" ht="20.100000000000001" customHeight="1" x14ac:dyDescent="0.25">
      <c r="D162" s="1" t="str">
        <f>TEXT(EDATE(X_Cell_Site_StartDate,1), "mmmm yyyy")</f>
        <v>February 2025</v>
      </c>
      <c r="E162" s="86">
        <f>InputFunctions_PastureBeef.LookupValueFromStateRegionMonth($E$7,$E$8,$D162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F162" s="86">
        <f>InputFunctions_PastureBeef.LookupValueFromStateRegionMonth($E$7,$E$8,$D162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G162" s="86">
        <f>InputFunctions_PastureBeef.LookupValueFromStateRegionMonth($E$7,$E$8,$D162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H162" s="86">
        <f>InputFunctions_PastureBeef.LookupValueFromStateRegionMonth($E$7,$E$8,$D162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I162" s="86">
        <f>InputFunctions_PastureBeef.LookupValueFromStateRegionMonth($E$7,$E$8,$D162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J162" s="86">
        <f>InputFunctions_PastureBeef.LookupValueFromStateRegionMonth($E$7,$E$8,$D162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K162" s="86">
        <f>InputFunctions_PastureBeef.LookupValueFromStateRegionMonth($E$7,$E$8,$D162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L162" s="86">
        <f>InputFunctions_PastureBeef.LookupValueFromStateRegionMonth($E$7,$E$8,$D162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M162" s="86">
        <f>InputFunctions_PastureBeef.LookupValueFromStateRegionMonth($E$7,$E$8,$D162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N162" s="86">
        <f>InputFunctions_PastureBeef.LookupValueFromStateRegionMonth($E$7,$E$8,$D162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O162" s="26" t="s">
        <v>233</v>
      </c>
    </row>
    <row r="163" spans="4:15" ht="20.100000000000001" customHeight="1" x14ac:dyDescent="0.25">
      <c r="D163" s="1" t="str">
        <f>TEXT(EDATE(X_Cell_Site_StartDate,2), "mmmm yyyy")</f>
        <v>March 2025</v>
      </c>
      <c r="E163" s="86">
        <f>InputFunctions_PastureBeef.LookupValueFromStateRegionMonth($E$7,$E$8,$D163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F163" s="86">
        <f>InputFunctions_PastureBeef.LookupValueFromStateRegionMonth($E$7,$E$8,$D163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G163" s="86">
        <f>InputFunctions_PastureBeef.LookupValueFromStateRegionMonth($E$7,$E$8,$D163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H163" s="86">
        <f>InputFunctions_PastureBeef.LookupValueFromStateRegionMonth($E$7,$E$8,$D163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I163" s="86">
        <f>InputFunctions_PastureBeef.LookupValueFromStateRegionMonth($E$7,$E$8,$D163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J163" s="86">
        <f>InputFunctions_PastureBeef.LookupValueFromStateRegionMonth($E$7,$E$8,$D163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K163" s="86">
        <f>InputFunctions_PastureBeef.LookupValueFromStateRegionMonth($E$7,$E$8,$D163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L163" s="86">
        <f>InputFunctions_PastureBeef.LookupValueFromStateRegionMonth($E$7,$E$8,$D163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M163" s="86">
        <f>InputFunctions_PastureBeef.LookupValueFromStateRegionMonth($E$7,$E$8,$D163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N163" s="86">
        <f>InputFunctions_PastureBeef.LookupValueFromStateRegionMonth($E$7,$E$8,$D163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O163" s="26" t="s">
        <v>233</v>
      </c>
    </row>
    <row r="164" spans="4:15" ht="20.100000000000001" customHeight="1" x14ac:dyDescent="0.25">
      <c r="D164" s="1" t="str">
        <f>TEXT(EDATE(X_Cell_Site_StartDate,3), "mmmm yyyy")</f>
        <v>April 2025</v>
      </c>
      <c r="E164" s="86">
        <f>InputFunctions_PastureBeef.LookupValueFromStateRegionMonth($E$7,$E$8,$D164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F164" s="86">
        <f>InputFunctions_PastureBeef.LookupValueFromStateRegionMonth($E$7,$E$8,$D164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G164" s="86">
        <f>InputFunctions_PastureBeef.LookupValueFromStateRegionMonth($E$7,$E$8,$D164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H164" s="86">
        <f>InputFunctions_PastureBeef.LookupValueFromStateRegionMonth($E$7,$E$8,$D164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I164" s="86">
        <f>InputFunctions_PastureBeef.LookupValueFromStateRegionMonth($E$7,$E$8,$D164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J164" s="86">
        <f>InputFunctions_PastureBeef.LookupValueFromStateRegionMonth($E$7,$E$8,$D164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K164" s="86">
        <f>InputFunctions_PastureBeef.LookupValueFromStateRegionMonth($E$7,$E$8,$D164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L164" s="86">
        <f>InputFunctions_PastureBeef.LookupValueFromStateRegionMonth($E$7,$E$8,$D164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M164" s="86">
        <f>InputFunctions_PastureBeef.LookupValueFromStateRegionMonth($E$7,$E$8,$D164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N164" s="86">
        <f>InputFunctions_PastureBeef.LookupValueFromStateRegionMonth($E$7,$E$8,$D164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O164" s="26" t="s">
        <v>233</v>
      </c>
    </row>
    <row r="165" spans="4:15" ht="20.100000000000001" customHeight="1" x14ac:dyDescent="0.25">
      <c r="D165" s="1" t="str">
        <f>TEXT(EDATE(X_Cell_Site_StartDate,4), "mmmm yyyy")</f>
        <v>May 2025</v>
      </c>
      <c r="E165" s="86">
        <f>InputFunctions_PastureBeef.LookupValueFromStateRegionMonth($E$7,$E$8,$D165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F165" s="86">
        <f>InputFunctions_PastureBeef.LookupValueFromStateRegionMonth($E$7,$E$8,$D165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G165" s="86">
        <f>InputFunctions_PastureBeef.LookupValueFromStateRegionMonth($E$7,$E$8,$D165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H165" s="86">
        <f>InputFunctions_PastureBeef.LookupValueFromStateRegionMonth($E$7,$E$8,$D165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I165" s="86">
        <f>InputFunctions_PastureBeef.LookupValueFromStateRegionMonth($E$7,$E$8,$D165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J165" s="86">
        <f>InputFunctions_PastureBeef.LookupValueFromStateRegionMonth($E$7,$E$8,$D165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K165" s="86">
        <f>InputFunctions_PastureBeef.LookupValueFromStateRegionMonth($E$7,$E$8,$D165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L165" s="86">
        <f>InputFunctions_PastureBeef.LookupValueFromStateRegionMonth($E$7,$E$8,$D165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M165" s="86">
        <f>InputFunctions_PastureBeef.LookupValueFromStateRegionMonth($E$7,$E$8,$D165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N165" s="86">
        <f>InputFunctions_PastureBeef.LookupValueFromStateRegionMonth($E$7,$E$8,$D165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O165" s="26" t="s">
        <v>233</v>
      </c>
    </row>
    <row r="166" spans="4:15" ht="20.100000000000001" customHeight="1" x14ac:dyDescent="0.25">
      <c r="D166" s="1" t="str">
        <f>TEXT(EDATE(X_Cell_Site_StartDate,5), "mmmm yyyy")</f>
        <v>June 2025</v>
      </c>
      <c r="E166" s="86">
        <f>InputFunctions_PastureBeef.LookupValueFromStateRegionMonth($E$7,$E$8,$D166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F166" s="86">
        <f>InputFunctions_PastureBeef.LookupValueFromStateRegionMonth($E$7,$E$8,$D166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G166" s="86">
        <f>InputFunctions_PastureBeef.LookupValueFromStateRegionMonth($E$7,$E$8,$D166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H166" s="86">
        <f>InputFunctions_PastureBeef.LookupValueFromStateRegionMonth($E$7,$E$8,$D166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I166" s="86">
        <f>InputFunctions_PastureBeef.LookupValueFromStateRegionMonth($E$7,$E$8,$D166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J166" s="86">
        <f>InputFunctions_PastureBeef.LookupValueFromStateRegionMonth($E$7,$E$8,$D166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K166" s="86">
        <f>InputFunctions_PastureBeef.LookupValueFromStateRegionMonth($E$7,$E$8,$D166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L166" s="86">
        <f>InputFunctions_PastureBeef.LookupValueFromStateRegionMonth($E$7,$E$8,$D166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M166" s="86">
        <f>InputFunctions_PastureBeef.LookupValueFromStateRegionMonth($E$7,$E$8,$D166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N166" s="86">
        <f>InputFunctions_PastureBeef.LookupValueFromStateRegionMonth($E$7,$E$8,$D166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O166" s="26" t="s">
        <v>233</v>
      </c>
    </row>
    <row r="167" spans="4:15" ht="20.100000000000001" customHeight="1" x14ac:dyDescent="0.25">
      <c r="D167" s="1" t="str">
        <f>TEXT(EDATE(X_Cell_Site_StartDate,6), "mmmm yyyy")</f>
        <v>July 2025</v>
      </c>
      <c r="E167" s="86">
        <f>InputFunctions_PastureBeef.LookupValueFromStateRegionMonth($E$7,$E$8,$D167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F167" s="86">
        <f>InputFunctions_PastureBeef.LookupValueFromStateRegionMonth($E$7,$E$8,$D167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G167" s="86">
        <f>InputFunctions_PastureBeef.LookupValueFromStateRegionMonth($E$7,$E$8,$D167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H167" s="86">
        <f>InputFunctions_PastureBeef.LookupValueFromStateRegionMonth($E$7,$E$8,$D167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I167" s="86">
        <f>InputFunctions_PastureBeef.LookupValueFromStateRegionMonth($E$7,$E$8,$D167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J167" s="86">
        <f>InputFunctions_PastureBeef.LookupValueFromStateRegionMonth($E$7,$E$8,$D167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K167" s="86">
        <f>InputFunctions_PastureBeef.LookupValueFromStateRegionMonth($E$7,$E$8,$D167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L167" s="86">
        <f>InputFunctions_PastureBeef.LookupValueFromStateRegionMonth($E$7,$E$8,$D167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M167" s="86">
        <f>InputFunctions_PastureBeef.LookupValueFromStateRegionMonth($E$7,$E$8,$D167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N167" s="86">
        <f>InputFunctions_PastureBeef.LookupValueFromStateRegionMonth($E$7,$E$8,$D167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O167" s="26" t="s">
        <v>233</v>
      </c>
    </row>
    <row r="168" spans="4:15" ht="20.100000000000001" customHeight="1" x14ac:dyDescent="0.25">
      <c r="D168" s="1" t="str">
        <f>TEXT(EDATE(X_Cell_Site_StartDate,7), "mmmm yyyy")</f>
        <v>August 2025</v>
      </c>
      <c r="E168" s="86">
        <f>InputFunctions_PastureBeef.LookupValueFromStateRegionMonth($E$7,$E$8,$D168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F168" s="86">
        <f>InputFunctions_PastureBeef.LookupValueFromStateRegionMonth($E$7,$E$8,$D168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G168" s="86">
        <f>InputFunctions_PastureBeef.LookupValueFromStateRegionMonth($E$7,$E$8,$D168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H168" s="86">
        <f>InputFunctions_PastureBeef.LookupValueFromStateRegionMonth($E$7,$E$8,$D168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I168" s="86">
        <f>InputFunctions_PastureBeef.LookupValueFromStateRegionMonth($E$7,$E$8,$D168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J168" s="86">
        <f>InputFunctions_PastureBeef.LookupValueFromStateRegionMonth($E$7,$E$8,$D168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K168" s="86">
        <f>InputFunctions_PastureBeef.LookupValueFromStateRegionMonth($E$7,$E$8,$D168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L168" s="86">
        <f>InputFunctions_PastureBeef.LookupValueFromStateRegionMonth($E$7,$E$8,$D168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M168" s="86">
        <f>InputFunctions_PastureBeef.LookupValueFromStateRegionMonth($E$7,$E$8,$D168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N168" s="86">
        <f>InputFunctions_PastureBeef.LookupValueFromStateRegionMonth($E$7,$E$8,$D168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O168" s="26" t="s">
        <v>233</v>
      </c>
    </row>
    <row r="169" spans="4:15" ht="20.100000000000001" customHeight="1" x14ac:dyDescent="0.25">
      <c r="D169" s="1" t="str">
        <f>TEXT(EDATE(X_Cell_Site_StartDate,8), "mmmm yyyy")</f>
        <v>September 2025</v>
      </c>
      <c r="E169" s="86">
        <f>InputFunctions_PastureBeef.LookupValueFromStateRegionMonth($E$7,$E$8,$D169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F169" s="86">
        <f>InputFunctions_PastureBeef.LookupValueFromStateRegionMonth($E$7,$E$8,$D169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G169" s="86">
        <f>InputFunctions_PastureBeef.LookupValueFromStateRegionMonth($E$7,$E$8,$D169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H169" s="86">
        <f>InputFunctions_PastureBeef.LookupValueFromStateRegionMonth($E$7,$E$8,$D169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I169" s="86">
        <f>InputFunctions_PastureBeef.LookupValueFromStateRegionMonth($E$7,$E$8,$D169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J169" s="86">
        <f>InputFunctions_PastureBeef.LookupValueFromStateRegionMonth($E$7,$E$8,$D169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K169" s="86">
        <f>InputFunctions_PastureBeef.LookupValueFromStateRegionMonth($E$7,$E$8,$D169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L169" s="86">
        <f>InputFunctions_PastureBeef.LookupValueFromStateRegionMonth($E$7,$E$8,$D169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M169" s="86">
        <f>InputFunctions_PastureBeef.LookupValueFromStateRegionMonth($E$7,$E$8,$D169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N169" s="86">
        <f>InputFunctions_PastureBeef.LookupValueFromStateRegionMonth($E$7,$E$8,$D169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O169" s="26" t="s">
        <v>233</v>
      </c>
    </row>
    <row r="170" spans="4:15" ht="20.100000000000001" customHeight="1" x14ac:dyDescent="0.25">
      <c r="D170" s="1" t="str">
        <f>TEXT(EDATE(X_Cell_Site_StartDate,9), "mmmm yyyy")</f>
        <v>October 2025</v>
      </c>
      <c r="E170" s="86">
        <f>InputFunctions_PastureBeef.LookupValueFromStateRegionMonth($E$7,$E$8,$D170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F170" s="86">
        <f>InputFunctions_PastureBeef.LookupValueFromStateRegionMonth($E$7,$E$8,$D170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G170" s="86">
        <f>InputFunctions_PastureBeef.LookupValueFromStateRegionMonth($E$7,$E$8,$D170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H170" s="86">
        <f>InputFunctions_PastureBeef.LookupValueFromStateRegionMonth($E$7,$E$8,$D170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I170" s="86">
        <f>InputFunctions_PastureBeef.LookupValueFromStateRegionMonth($E$7,$E$8,$D170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J170" s="86">
        <f>InputFunctions_PastureBeef.LookupValueFromStateRegionMonth($E$7,$E$8,$D170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K170" s="86">
        <f>InputFunctions_PastureBeef.LookupValueFromStateRegionMonth($E$7,$E$8,$D170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L170" s="86">
        <f>InputFunctions_PastureBeef.LookupValueFromStateRegionMonth($E$7,$E$8,$D170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M170" s="86">
        <f>InputFunctions_PastureBeef.LookupValueFromStateRegionMonth($E$7,$E$8,$D170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N170" s="86">
        <f>InputFunctions_PastureBeef.LookupValueFromStateRegionMonth($E$7,$E$8,$D170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O170" s="26" t="s">
        <v>233</v>
      </c>
    </row>
    <row r="171" spans="4:15" ht="20.100000000000001" customHeight="1" x14ac:dyDescent="0.25">
      <c r="D171" s="1" t="str">
        <f>TEXT(EDATE(X_Cell_Site_StartDate,10), "mmmm yyyy")</f>
        <v>November 2025</v>
      </c>
      <c r="E171" s="86">
        <f>InputFunctions_PastureBeef.LookupValueFromStateRegionMonth($E$7,$E$8,$D171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F171" s="86">
        <f>InputFunctions_PastureBeef.LookupValueFromStateRegionMonth($E$7,$E$8,$D171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G171" s="86">
        <f>InputFunctions_PastureBeef.LookupValueFromStateRegionMonth($E$7,$E$8,$D171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H171" s="86">
        <f>InputFunctions_PastureBeef.LookupValueFromStateRegionMonth($E$7,$E$8,$D171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I171" s="86">
        <f>InputFunctions_PastureBeef.LookupValueFromStateRegionMonth($E$7,$E$8,$D171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J171" s="86">
        <f>InputFunctions_PastureBeef.LookupValueFromStateRegionMonth($E$7,$E$8,$D171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K171" s="86">
        <f>InputFunctions_PastureBeef.LookupValueFromStateRegionMonth($E$7,$E$8,$D171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L171" s="86">
        <f>InputFunctions_PastureBeef.LookupValueFromStateRegionMonth($E$7,$E$8,$D171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M171" s="86">
        <f>InputFunctions_PastureBeef.LookupValueFromStateRegionMonth($E$7,$E$8,$D171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N171" s="86">
        <f>InputFunctions_PastureBeef.LookupValueFromStateRegionMonth($E$7,$E$8,$D171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O171" s="26" t="s">
        <v>233</v>
      </c>
    </row>
    <row r="172" spans="4:15" ht="20.100000000000001" customHeight="1" x14ac:dyDescent="0.25">
      <c r="D172" s="1" t="str">
        <f>TEXT(EDATE(X_Cell_Site_StartDate,11), "mmmm yyyy")</f>
        <v>December 2025</v>
      </c>
      <c r="E172" s="86">
        <f>InputFunctions_PastureBeef.LookupValueFromStateRegionMonth($E$7,$E$8,$D172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F172" s="86">
        <f>InputFunctions_PastureBeef.LookupValueFromStateRegionMonth($E$7,$E$8,$D172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G172" s="86">
        <f>InputFunctions_PastureBeef.LookupValueFromStateRegionMonth($E$7,$E$8,$D172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H172" s="86">
        <f>InputFunctions_PastureBeef.LookupValueFromStateRegionMonth($E$7,$E$8,$D172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I172" s="86">
        <f>InputFunctions_PastureBeef.LookupValueFromStateRegionMonth($E$7,$E$8,$D172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J172" s="86">
        <f>InputFunctions_PastureBeef.LookupValueFromStateRegionMonth($E$7,$E$8,$D172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K172" s="86">
        <f>InputFunctions_PastureBeef.LookupValueFromStateRegionMonth($E$7,$E$8,$D172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L172" s="86">
        <f>InputFunctions_PastureBeef.LookupValueFromStateRegionMonth($E$7,$E$8,$D172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M172" s="86">
        <f>InputFunctions_PastureBeef.LookupValueFromStateRegionMonth($E$7,$E$8,$D172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N172" s="86">
        <f>InputFunctions_PastureBeef.LookupValueFromStateRegionMonth($E$7,$E$8,$D172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O172" s="26" t="s">
        <v>233</v>
      </c>
    </row>
    <row r="173" spans="4:15" ht="20.100000000000001" customHeight="1" x14ac:dyDescent="0.25">
      <c r="L173" s="26"/>
      <c r="M173" s="26"/>
      <c r="N173" s="26"/>
      <c r="O173" s="26"/>
    </row>
    <row r="174" spans="4:15" ht="20.100000000000001" customHeight="1" x14ac:dyDescent="0.25">
      <c r="L174" s="26"/>
      <c r="M174" s="26"/>
      <c r="N174" s="26"/>
      <c r="O174" s="26"/>
    </row>
    <row r="175" spans="4:15" ht="20.100000000000001" customHeight="1" x14ac:dyDescent="0.25">
      <c r="D175" s="92" t="s">
        <v>235</v>
      </c>
      <c r="L175" s="26"/>
      <c r="M175" s="26"/>
      <c r="N175" s="26"/>
      <c r="O175" s="26"/>
    </row>
    <row r="176" spans="4:15" ht="20.100000000000001" customHeight="1" x14ac:dyDescent="0.25"/>
    <row r="177" spans="4:15" ht="20.100000000000001" customHeight="1" x14ac:dyDescent="0.25">
      <c r="D177" s="1" t="s">
        <v>236</v>
      </c>
      <c r="E177" s="23" t="s">
        <v>221</v>
      </c>
      <c r="F177" s="26" t="s">
        <v>109</v>
      </c>
      <c r="L177" s="26"/>
      <c r="M177" s="26"/>
      <c r="N177" s="26"/>
      <c r="O177" s="26"/>
    </row>
    <row r="178" spans="4:15" ht="20.100000000000001" customHeight="1" x14ac:dyDescent="0.25"/>
    <row r="179" spans="4:15" ht="20.100000000000001" customHeight="1" x14ac:dyDescent="0.25">
      <c r="D179" s="93" t="s">
        <v>237</v>
      </c>
      <c r="E179" s="93" t="s">
        <v>238</v>
      </c>
      <c r="L179" s="26"/>
      <c r="M179" s="26"/>
      <c r="N179" s="26"/>
      <c r="O179" s="26"/>
    </row>
    <row r="180" spans="4:15" ht="20.100000000000001" customHeight="1" x14ac:dyDescent="0.25">
      <c r="D180" s="1" t="s">
        <v>93</v>
      </c>
      <c r="E180" s="95">
        <f>IF($E$177="Yes", 1,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Name],Table_AustralianStates[Abbreviation]),$E$8,Table_SourceData_PastureBeef_FractionManureToMMS[State],Table_SourceData_PastureBeef_FractionManureToMMS[Region],Table_SourceData_PastureBeef_FractionManureToMMS[Pasture range and paddock]))/100</f>
        <v>0.99621999999999999</v>
      </c>
      <c r="F180" s="26" t="s">
        <v>220</v>
      </c>
      <c r="L180" s="26"/>
      <c r="M180" s="26"/>
      <c r="N180" s="26"/>
      <c r="O180" s="26"/>
    </row>
    <row r="181" spans="4:15" ht="20.100000000000001" customHeight="1" x14ac:dyDescent="0.25">
      <c r="D181" s="1" t="s">
        <v>81</v>
      </c>
      <c r="E181" s="95">
        <f>IF($E$177="Yes", 0,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Name],Table_AustralianStates[Abbreviation]),$E$8,Table_SourceData_PastureBeef_FractionManureToMMS[State],Table_SourceData_PastureBeef_FractionManureToMMS[Region],Table_SourceData_PastureBeef_FractionManureToMMS[Uncovered Anaerobic lagoon]))/100</f>
        <v>3.7799999999999999E-3</v>
      </c>
      <c r="F181" s="26" t="s">
        <v>220</v>
      </c>
      <c r="L181" s="26"/>
      <c r="M181" s="26"/>
      <c r="N181" s="26"/>
      <c r="O181" s="26"/>
    </row>
    <row r="182" spans="4:15" ht="20.100000000000001" customHeight="1" x14ac:dyDescent="0.25">
      <c r="L182" s="26"/>
      <c r="M182" s="26"/>
      <c r="N182" s="26"/>
      <c r="O182" s="26"/>
    </row>
    <row r="183" spans="4:15" ht="20.100000000000001" customHeight="1" x14ac:dyDescent="0.25"/>
    <row r="184" spans="4:15" ht="20.100000000000001" customHeight="1" x14ac:dyDescent="0.25">
      <c r="D184" s="1" t="s">
        <v>239</v>
      </c>
      <c r="E184" s="23" t="s">
        <v>240</v>
      </c>
      <c r="F184" s="26" t="s">
        <v>109</v>
      </c>
      <c r="L184" s="26"/>
      <c r="M184" s="26"/>
      <c r="N184" s="26"/>
      <c r="O184" s="26"/>
    </row>
    <row r="185" spans="4:15" ht="20.100000000000001" customHeight="1" x14ac:dyDescent="0.25">
      <c r="E185" s="23" t="s">
        <v>241</v>
      </c>
      <c r="F185" s="26" t="s">
        <v>109</v>
      </c>
    </row>
    <row r="186" spans="4:15" ht="20.100000000000001" customHeight="1" x14ac:dyDescent="0.25"/>
    <row r="187" spans="4:15" ht="20.100000000000001" customHeight="1" x14ac:dyDescent="0.25"/>
    <row r="188" spans="4:15" ht="20.100000000000001" customHeight="1" x14ac:dyDescent="0.25">
      <c r="D188" s="2" t="s">
        <v>242</v>
      </c>
    </row>
    <row r="189" spans="4:15" ht="20.100000000000001" customHeight="1" x14ac:dyDescent="0.25">
      <c r="D189" s="96" t="s">
        <v>243</v>
      </c>
    </row>
    <row r="190" spans="4:15" ht="20.100000000000001" customHeight="1" x14ac:dyDescent="0.25">
      <c r="D190" s="30" t="s">
        <v>244</v>
      </c>
      <c r="E190" s="30" t="s">
        <v>245</v>
      </c>
      <c r="F190" s="30" t="s">
        <v>246</v>
      </c>
      <c r="G190" s="30" t="s">
        <v>247</v>
      </c>
      <c r="H190" s="30" t="s">
        <v>248</v>
      </c>
      <c r="I190" s="30" t="s">
        <v>249</v>
      </c>
      <c r="J190" s="97" t="s">
        <v>250</v>
      </c>
      <c r="K190" s="97" t="s">
        <v>251</v>
      </c>
    </row>
    <row r="191" spans="4:15" ht="20.100000000000001" customHeight="1" x14ac:dyDescent="0.25">
      <c r="D191" s="44" t="s">
        <v>252</v>
      </c>
      <c r="E191" s="98">
        <v>45547</v>
      </c>
      <c r="F191" s="23" t="s">
        <v>199</v>
      </c>
      <c r="G191" s="99" t="s">
        <v>253</v>
      </c>
      <c r="H191" s="23" t="s">
        <v>254</v>
      </c>
      <c r="I191" s="86">
        <v>100</v>
      </c>
      <c r="J191" s="25" cm="1">
        <f t="array" ref="J191">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210</v>
      </c>
      <c r="K191" s="86">
        <v>205</v>
      </c>
    </row>
    <row r="192" spans="4:15" ht="20.100000000000001" customHeight="1" x14ac:dyDescent="0.25">
      <c r="D192" s="44"/>
      <c r="E192" s="44"/>
      <c r="F192" s="100"/>
      <c r="G192" s="99"/>
      <c r="H192" s="23"/>
      <c r="I192" s="86"/>
      <c r="J192" s="25" cm="1">
        <f t="array" ref="J192">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2" s="86"/>
    </row>
    <row r="193" spans="4:27" ht="20.100000000000001" customHeight="1" x14ac:dyDescent="0.25">
      <c r="D193" s="44"/>
      <c r="E193" s="44"/>
      <c r="F193" s="100"/>
      <c r="G193" s="99"/>
      <c r="H193" s="23"/>
      <c r="I193" s="86"/>
      <c r="J193" s="25" cm="1">
        <f t="array" ref="J193">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3" s="86"/>
    </row>
    <row r="194" spans="4:27" ht="20.100000000000001" customHeight="1" x14ac:dyDescent="0.25">
      <c r="D194" s="44"/>
      <c r="E194" s="44"/>
      <c r="F194" s="100"/>
      <c r="G194" s="99"/>
      <c r="H194" s="23"/>
      <c r="I194" s="86"/>
      <c r="J194" s="25" cm="1">
        <f t="array" ref="J194">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4" s="86"/>
    </row>
    <row r="195" spans="4:27" ht="20.100000000000001" customHeight="1" x14ac:dyDescent="0.25">
      <c r="D195" s="44"/>
      <c r="E195" s="44"/>
      <c r="F195" s="100"/>
      <c r="G195" s="99"/>
      <c r="H195" s="23"/>
      <c r="I195" s="86"/>
      <c r="J195" s="25" cm="1">
        <f t="array" ref="J195">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5" s="86"/>
    </row>
    <row r="196" spans="4:27" ht="20.100000000000001" customHeight="1" x14ac:dyDescent="0.25">
      <c r="D196" s="44"/>
      <c r="E196" s="44"/>
      <c r="F196" s="100"/>
      <c r="G196" s="99"/>
      <c r="H196" s="23"/>
      <c r="I196" s="86"/>
      <c r="J196" s="25" cm="1">
        <f t="array" ref="J196">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6" s="86"/>
    </row>
    <row r="197" spans="4:27" ht="20.100000000000001" customHeight="1" x14ac:dyDescent="0.25">
      <c r="D197" s="44"/>
      <c r="E197" s="44"/>
      <c r="F197" s="100"/>
      <c r="G197" s="99"/>
      <c r="H197" s="23"/>
      <c r="I197" s="86"/>
      <c r="J197" s="25" cm="1">
        <f t="array" ref="J197">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7" s="86"/>
    </row>
    <row r="198" spans="4:27" ht="20.100000000000001" customHeight="1" x14ac:dyDescent="0.25">
      <c r="D198" s="44"/>
      <c r="E198" s="44"/>
      <c r="F198" s="100"/>
      <c r="G198" s="99"/>
      <c r="H198" s="23"/>
      <c r="I198" s="86"/>
      <c r="J198" s="25" cm="1">
        <f t="array" ref="J198">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8" s="86"/>
    </row>
    <row r="199" spans="4:27" ht="20.100000000000001" customHeight="1" x14ac:dyDescent="0.25">
      <c r="D199" s="44"/>
      <c r="E199" s="44"/>
      <c r="F199" s="100"/>
      <c r="G199" s="99"/>
      <c r="H199" s="23"/>
      <c r="I199" s="86"/>
      <c r="J199" s="25" cm="1">
        <f t="array" ref="J199">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9" s="86"/>
    </row>
    <row r="200" spans="4:27" ht="20.100000000000001" customHeight="1" x14ac:dyDescent="0.25">
      <c r="D200" s="101"/>
      <c r="E200" s="101"/>
      <c r="F200" s="100"/>
      <c r="G200" s="102"/>
      <c r="H200" s="100"/>
      <c r="I200" s="103"/>
      <c r="J200" s="25" cm="1">
        <f t="array" ref="J200">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200" s="103"/>
    </row>
    <row r="201" spans="4:27" ht="20.100000000000001" customHeight="1" x14ac:dyDescent="0.25"/>
    <row r="202" spans="4:27" ht="20.100000000000001" customHeight="1" x14ac:dyDescent="0.25"/>
    <row r="203" spans="4:27" ht="20.100000000000001" customHeight="1" x14ac:dyDescent="0.25"/>
    <row r="204" spans="4:27" ht="20.100000000000001" customHeight="1" x14ac:dyDescent="0.25">
      <c r="D204" s="2" t="s">
        <v>255</v>
      </c>
    </row>
    <row r="205" spans="4:27" ht="20.100000000000001" customHeight="1" x14ac:dyDescent="0.25">
      <c r="D205" s="96" t="s">
        <v>243</v>
      </c>
      <c r="Q205" s="1"/>
      <c r="Z205" s="91"/>
    </row>
    <row r="206" spans="4:27" ht="20.100000000000001" customHeight="1" x14ac:dyDescent="0.25">
      <c r="D206" s="30" t="s">
        <v>244</v>
      </c>
      <c r="E206" s="30" t="s">
        <v>246</v>
      </c>
      <c r="F206" s="30" t="s">
        <v>256</v>
      </c>
      <c r="G206" s="30" t="s">
        <v>257</v>
      </c>
      <c r="H206" s="30" t="s">
        <v>258</v>
      </c>
      <c r="I206" s="30" t="s">
        <v>259</v>
      </c>
      <c r="Q206" s="1"/>
      <c r="R206" s="1"/>
      <c r="Z206" s="91"/>
      <c r="AA206" s="91"/>
    </row>
    <row r="207" spans="4:27" ht="20.100000000000001" customHeight="1" x14ac:dyDescent="0.25">
      <c r="D207" s="44"/>
      <c r="E207" s="23" t="s">
        <v>194</v>
      </c>
      <c r="F207" s="104">
        <v>45566</v>
      </c>
      <c r="G207" s="30">
        <v>10</v>
      </c>
      <c r="H207" s="30">
        <v>500</v>
      </c>
      <c r="I207" s="25">
        <f t="shared" ref="I207:I216" si="2">G207*H207</f>
        <v>5000</v>
      </c>
      <c r="Q207" s="1"/>
      <c r="R207" s="1"/>
      <c r="Z207" s="91"/>
      <c r="AA207" s="91"/>
    </row>
    <row r="208" spans="4:27" ht="20.100000000000001" customHeight="1" x14ac:dyDescent="0.25">
      <c r="D208" s="44"/>
      <c r="E208" s="23"/>
      <c r="F208" s="104"/>
      <c r="G208" s="30"/>
      <c r="H208" s="30"/>
      <c r="I208" s="25">
        <f t="shared" si="2"/>
        <v>0</v>
      </c>
      <c r="Q208" s="1"/>
      <c r="R208" s="1"/>
      <c r="Z208" s="91"/>
      <c r="AA208" s="91"/>
    </row>
    <row r="209" spans="4:27" ht="20.100000000000001" customHeight="1" x14ac:dyDescent="0.25">
      <c r="D209" s="44"/>
      <c r="E209" s="23"/>
      <c r="F209" s="104"/>
      <c r="G209" s="30"/>
      <c r="H209" s="30"/>
      <c r="I209" s="25">
        <f t="shared" si="2"/>
        <v>0</v>
      </c>
      <c r="Q209" s="1"/>
      <c r="R209" s="1"/>
      <c r="Z209" s="91"/>
      <c r="AA209" s="91"/>
    </row>
    <row r="210" spans="4:27" ht="20.100000000000001" customHeight="1" x14ac:dyDescent="0.25">
      <c r="D210" s="44"/>
      <c r="E210" s="23"/>
      <c r="F210" s="104"/>
      <c r="G210" s="30"/>
      <c r="H210" s="30"/>
      <c r="I210" s="25">
        <f t="shared" si="2"/>
        <v>0</v>
      </c>
      <c r="Q210" s="1"/>
      <c r="R210" s="1"/>
      <c r="Z210" s="91"/>
      <c r="AA210" s="91"/>
    </row>
    <row r="211" spans="4:27" ht="20.100000000000001" customHeight="1" x14ac:dyDescent="0.25">
      <c r="D211" s="44"/>
      <c r="E211" s="23"/>
      <c r="F211" s="104"/>
      <c r="G211" s="30"/>
      <c r="H211" s="30"/>
      <c r="I211" s="25">
        <f t="shared" si="2"/>
        <v>0</v>
      </c>
      <c r="Q211" s="1"/>
      <c r="R211" s="1"/>
      <c r="Z211" s="91"/>
      <c r="AA211" s="91"/>
    </row>
    <row r="212" spans="4:27" ht="20.100000000000001" customHeight="1" x14ac:dyDescent="0.25">
      <c r="D212" s="44"/>
      <c r="E212" s="23"/>
      <c r="F212" s="104"/>
      <c r="G212" s="30"/>
      <c r="H212" s="30"/>
      <c r="I212" s="25">
        <f t="shared" si="2"/>
        <v>0</v>
      </c>
      <c r="Q212" s="1"/>
      <c r="R212" s="1"/>
      <c r="Z212" s="91"/>
      <c r="AA212" s="91"/>
    </row>
    <row r="213" spans="4:27" ht="20.100000000000001" customHeight="1" x14ac:dyDescent="0.25">
      <c r="D213" s="44"/>
      <c r="E213" s="23"/>
      <c r="F213" s="104"/>
      <c r="G213" s="30"/>
      <c r="H213" s="30"/>
      <c r="I213" s="25">
        <f t="shared" si="2"/>
        <v>0</v>
      </c>
      <c r="Q213" s="1"/>
      <c r="R213" s="1"/>
      <c r="Z213" s="91"/>
      <c r="AA213" s="91"/>
    </row>
    <row r="214" spans="4:27" ht="20.100000000000001" customHeight="1" x14ac:dyDescent="0.25">
      <c r="D214" s="44"/>
      <c r="E214" s="23"/>
      <c r="F214" s="104"/>
      <c r="G214" s="30"/>
      <c r="H214" s="30"/>
      <c r="I214" s="25">
        <f t="shared" si="2"/>
        <v>0</v>
      </c>
      <c r="Q214" s="1"/>
      <c r="R214" s="1"/>
      <c r="Z214" s="91"/>
      <c r="AA214" s="91"/>
    </row>
    <row r="215" spans="4:27" ht="20.100000000000001" customHeight="1" x14ac:dyDescent="0.25">
      <c r="D215" s="44"/>
      <c r="E215" s="23"/>
      <c r="F215" s="104"/>
      <c r="G215" s="30"/>
      <c r="H215" s="30"/>
      <c r="I215" s="25">
        <f t="shared" si="2"/>
        <v>0</v>
      </c>
      <c r="Q215" s="1"/>
      <c r="R215" s="1"/>
      <c r="Z215" s="91"/>
      <c r="AA215" s="91"/>
    </row>
    <row r="216" spans="4:27" ht="20.100000000000001" customHeight="1" x14ac:dyDescent="0.25">
      <c r="D216" s="44"/>
      <c r="E216" s="23"/>
      <c r="F216" s="104"/>
      <c r="G216" s="30"/>
      <c r="H216" s="30"/>
      <c r="I216" s="25">
        <f t="shared" si="2"/>
        <v>0</v>
      </c>
      <c r="Q216" s="1"/>
      <c r="Z216" s="91"/>
    </row>
    <row r="217" spans="4:27" ht="20.100000000000001" customHeight="1" x14ac:dyDescent="0.25"/>
    <row r="218" spans="4:27" ht="20.100000000000001" customHeight="1" x14ac:dyDescent="0.25"/>
    <row r="219" spans="4:27" ht="20.100000000000001" customHeight="1" x14ac:dyDescent="0.25"/>
    <row r="220" spans="4:27" ht="20.100000000000001" customHeight="1" x14ac:dyDescent="0.25"/>
    <row r="221" spans="4:27" ht="20.100000000000001" customHeight="1" x14ac:dyDescent="0.25"/>
    <row r="222" spans="4:27" ht="20.100000000000001" customHeight="1" x14ac:dyDescent="0.25"/>
    <row r="223" spans="4:27" ht="20.100000000000001" customHeight="1" x14ac:dyDescent="0.25"/>
    <row r="227" spans="11:15" x14ac:dyDescent="0.25">
      <c r="L227" s="26"/>
      <c r="M227" s="26"/>
      <c r="N227" s="26"/>
      <c r="O227" s="26"/>
    </row>
    <row r="228" spans="11:15" x14ac:dyDescent="0.25">
      <c r="L228" s="26"/>
      <c r="M228" s="26"/>
      <c r="N228" s="26"/>
      <c r="O228" s="26"/>
    </row>
    <row r="229" spans="11:15" x14ac:dyDescent="0.25">
      <c r="L229" s="26"/>
      <c r="M229" s="26"/>
      <c r="N229" s="26"/>
      <c r="O229" s="26"/>
    </row>
    <row r="232" spans="11:15" x14ac:dyDescent="0.25">
      <c r="L232" s="26"/>
      <c r="M232" s="26"/>
      <c r="N232" s="26"/>
      <c r="O232" s="26"/>
    </row>
    <row r="233" spans="11:15" x14ac:dyDescent="0.25">
      <c r="L233" s="26"/>
      <c r="M233" s="26"/>
      <c r="N233" s="26"/>
      <c r="O233" s="26"/>
    </row>
    <row r="234" spans="11:15" x14ac:dyDescent="0.25">
      <c r="K234" s="26"/>
      <c r="L234" s="26"/>
      <c r="M234" s="26"/>
      <c r="N234" s="26"/>
      <c r="O234" s="26"/>
    </row>
    <row r="237" spans="11:15" x14ac:dyDescent="0.25">
      <c r="L237" s="26"/>
      <c r="M237" s="26"/>
      <c r="N237" s="26"/>
      <c r="O237" s="26"/>
    </row>
    <row r="238" spans="11:15" x14ac:dyDescent="0.25">
      <c r="L238" s="26"/>
      <c r="M238" s="26"/>
      <c r="N238" s="26"/>
      <c r="O238" s="26"/>
    </row>
    <row r="239" spans="11:15" x14ac:dyDescent="0.25">
      <c r="K239" s="26"/>
      <c r="L239" s="26"/>
      <c r="M239" s="26"/>
      <c r="N239" s="26"/>
      <c r="O239" s="26"/>
    </row>
    <row r="242" spans="11:15" x14ac:dyDescent="0.25">
      <c r="L242" s="26"/>
      <c r="M242" s="26"/>
      <c r="N242" s="26"/>
      <c r="O242" s="26"/>
    </row>
    <row r="243" spans="11:15" x14ac:dyDescent="0.25">
      <c r="L243" s="26"/>
      <c r="M243" s="26"/>
      <c r="N243" s="26"/>
      <c r="O243" s="26"/>
    </row>
    <row r="244" spans="11:15" x14ac:dyDescent="0.25">
      <c r="K244" s="26"/>
      <c r="L244" s="26"/>
      <c r="M244" s="26"/>
      <c r="N244" s="26"/>
      <c r="O244" s="26"/>
    </row>
    <row r="249" spans="11:15" x14ac:dyDescent="0.25">
      <c r="K249" s="26"/>
    </row>
    <row r="250" spans="11:15" x14ac:dyDescent="0.25">
      <c r="K250" s="26"/>
    </row>
    <row r="251" spans="11:15" x14ac:dyDescent="0.25">
      <c r="K251" s="26"/>
      <c r="L251" s="26"/>
      <c r="M251" s="26"/>
      <c r="N251" s="26"/>
      <c r="O251" s="26"/>
    </row>
    <row r="252" spans="11:15" x14ac:dyDescent="0.25">
      <c r="K252" s="26"/>
      <c r="L252" s="26"/>
      <c r="M252" s="26"/>
      <c r="N252" s="26"/>
      <c r="O252" s="26"/>
    </row>
    <row r="253" spans="11:15" x14ac:dyDescent="0.25">
      <c r="K253" s="26"/>
      <c r="L253" s="26"/>
      <c r="M253" s="26"/>
      <c r="N253" s="26"/>
      <c r="O253" s="26"/>
    </row>
    <row r="255" spans="11:15" x14ac:dyDescent="0.25">
      <c r="K255" s="26"/>
    </row>
    <row r="256" spans="11:15" x14ac:dyDescent="0.25">
      <c r="L256" s="26"/>
      <c r="M256" s="26"/>
      <c r="N256" s="26"/>
      <c r="O256" s="26"/>
    </row>
    <row r="257" spans="11:15" x14ac:dyDescent="0.25">
      <c r="K257" s="26"/>
      <c r="L257" s="26"/>
      <c r="M257" s="26"/>
      <c r="N257" s="26"/>
      <c r="O257" s="26"/>
    </row>
    <row r="258" spans="11:15" x14ac:dyDescent="0.25">
      <c r="K258" s="26"/>
      <c r="L258" s="26"/>
      <c r="M258" s="26"/>
      <c r="N258" s="26"/>
      <c r="O258" s="26"/>
    </row>
    <row r="259" spans="11:15" x14ac:dyDescent="0.25">
      <c r="K259" s="26"/>
    </row>
    <row r="260" spans="11:15" x14ac:dyDescent="0.25">
      <c r="K260" s="26"/>
    </row>
    <row r="261" spans="11:15" x14ac:dyDescent="0.25">
      <c r="L261" s="26"/>
      <c r="M261" s="26"/>
      <c r="N261" s="26"/>
      <c r="O261" s="26"/>
    </row>
    <row r="262" spans="11:15" x14ac:dyDescent="0.25">
      <c r="K262" s="26"/>
      <c r="L262" s="26"/>
      <c r="M262" s="26"/>
      <c r="N262" s="26"/>
      <c r="O262" s="26"/>
    </row>
    <row r="263" spans="11:15" x14ac:dyDescent="0.25">
      <c r="L263" s="26"/>
      <c r="M263" s="26"/>
      <c r="N263" s="26"/>
      <c r="O263" s="26"/>
    </row>
    <row r="266" spans="11:15" x14ac:dyDescent="0.25">
      <c r="L266" s="26"/>
      <c r="M266" s="26"/>
      <c r="N266" s="26"/>
      <c r="O266" s="26"/>
    </row>
    <row r="267" spans="11:15" x14ac:dyDescent="0.25">
      <c r="L267" s="26"/>
      <c r="M267" s="26"/>
      <c r="N267" s="26"/>
      <c r="O267" s="26"/>
    </row>
    <row r="268" spans="11:15" x14ac:dyDescent="0.25">
      <c r="K268" s="26"/>
      <c r="L268" s="26"/>
      <c r="M268" s="26"/>
      <c r="N268" s="26"/>
      <c r="O268" s="26"/>
    </row>
    <row r="273" spans="11:11" x14ac:dyDescent="0.25">
      <c r="K273" s="26"/>
    </row>
    <row r="278" spans="11:11" x14ac:dyDescent="0.25">
      <c r="K278" s="26"/>
    </row>
    <row r="283" spans="11:11" x14ac:dyDescent="0.25">
      <c r="K283" s="26"/>
    </row>
    <row r="284" spans="11:11" x14ac:dyDescent="0.25">
      <c r="K284" s="26"/>
    </row>
    <row r="285" spans="11:11" x14ac:dyDescent="0.25">
      <c r="K285" s="26"/>
    </row>
    <row r="286" spans="11:11" x14ac:dyDescent="0.25">
      <c r="K286" s="26"/>
    </row>
    <row r="287" spans="11:11" x14ac:dyDescent="0.25">
      <c r="K287" s="26"/>
    </row>
    <row r="289" spans="11:11" x14ac:dyDescent="0.25">
      <c r="K289" s="26"/>
    </row>
    <row r="291" spans="11:11" x14ac:dyDescent="0.25">
      <c r="K291" s="26"/>
    </row>
    <row r="292" spans="11:11" x14ac:dyDescent="0.25">
      <c r="K292" s="26"/>
    </row>
    <row r="293" spans="11:11" x14ac:dyDescent="0.25">
      <c r="K293" s="26"/>
    </row>
    <row r="294" spans="11:11" x14ac:dyDescent="0.25">
      <c r="K294" s="26"/>
    </row>
    <row r="296" spans="11:11" x14ac:dyDescent="0.25">
      <c r="K296" s="26"/>
    </row>
    <row r="304" spans="11:11" x14ac:dyDescent="0.25">
      <c r="K304" s="26"/>
    </row>
    <row r="305" spans="11:11" x14ac:dyDescent="0.25">
      <c r="K305" s="26"/>
    </row>
    <row r="306" spans="11:11" x14ac:dyDescent="0.25">
      <c r="K306" s="26"/>
    </row>
    <row r="309" spans="11:11" x14ac:dyDescent="0.25">
      <c r="K309" s="26"/>
    </row>
    <row r="310" spans="11:11" x14ac:dyDescent="0.25">
      <c r="K310" s="26"/>
    </row>
    <row r="311" spans="11:11" x14ac:dyDescent="0.25">
      <c r="K311" s="26"/>
    </row>
    <row r="314" spans="11:11" x14ac:dyDescent="0.25">
      <c r="K314" s="26"/>
    </row>
    <row r="315" spans="11:11" x14ac:dyDescent="0.25">
      <c r="K315" s="26"/>
    </row>
    <row r="316" spans="11:11" x14ac:dyDescent="0.25">
      <c r="K316" s="26"/>
    </row>
    <row r="319" spans="11:11" x14ac:dyDescent="0.25">
      <c r="K319" s="26"/>
    </row>
    <row r="320" spans="11:11" x14ac:dyDescent="0.25">
      <c r="K320" s="26"/>
    </row>
    <row r="321" spans="11:11" x14ac:dyDescent="0.25">
      <c r="K321" s="26"/>
    </row>
    <row r="328" spans="11:11" x14ac:dyDescent="0.25">
      <c r="K328" s="26"/>
    </row>
    <row r="329" spans="11:11" x14ac:dyDescent="0.25">
      <c r="K329" s="26"/>
    </row>
    <row r="330" spans="11:11" x14ac:dyDescent="0.25">
      <c r="K330" s="26"/>
    </row>
    <row r="333" spans="11:11" x14ac:dyDescent="0.25">
      <c r="K333" s="26"/>
    </row>
    <row r="334" spans="11:11" x14ac:dyDescent="0.25">
      <c r="K334" s="26"/>
    </row>
    <row r="335" spans="11:11" x14ac:dyDescent="0.25">
      <c r="K335" s="26"/>
    </row>
    <row r="338" spans="4:11" x14ac:dyDescent="0.25">
      <c r="K338" s="26"/>
    </row>
    <row r="339" spans="4:11" x14ac:dyDescent="0.25">
      <c r="K339" s="26"/>
    </row>
    <row r="340" spans="4:11" x14ac:dyDescent="0.25">
      <c r="K340" s="26"/>
    </row>
    <row r="343" spans="4:11" x14ac:dyDescent="0.25">
      <c r="K343" s="26"/>
    </row>
    <row r="344" spans="4:11" x14ac:dyDescent="0.25">
      <c r="K344" s="26"/>
    </row>
    <row r="345" spans="4:11" x14ac:dyDescent="0.25">
      <c r="K345" s="26"/>
    </row>
    <row r="350" spans="4:11" x14ac:dyDescent="0.25">
      <c r="D350" s="96"/>
    </row>
  </sheetData>
  <conditionalFormatting sqref="E103:O103 L110:O111 M124:N124 I125 L125:O125 L173:O175 L177:O177 L179:O182 L184:O184 J214:J216 J219:J221 J234:K234 J239:K239 J244:K244 J249:K253 J255:K255 J257:K260 J262:K262 J268:K268 J273:K273 J278:K278 J283:K287 J289:K289 J291:K294 J296:K296">
    <cfRule type="cellIs" dxfId="75" priority="12" operator="lessThan">
      <formula>0</formula>
    </cfRule>
  </conditionalFormatting>
  <conditionalFormatting sqref="F239:F240">
    <cfRule type="cellIs" dxfId="74" priority="11" operator="lessThan">
      <formula>0</formula>
    </cfRule>
  </conditionalFormatting>
  <conditionalFormatting sqref="F244:F245">
    <cfRule type="cellIs" dxfId="73" priority="10" operator="lessThan">
      <formula>0</formula>
    </cfRule>
  </conditionalFormatting>
  <conditionalFormatting sqref="F249:F250">
    <cfRule type="cellIs" dxfId="72" priority="9" operator="lessThan">
      <formula>0</formula>
    </cfRule>
  </conditionalFormatting>
  <conditionalFormatting sqref="F273:F274">
    <cfRule type="cellIs" dxfId="71" priority="8" operator="lessThan">
      <formula>0</formula>
    </cfRule>
  </conditionalFormatting>
  <conditionalFormatting sqref="F278:F279">
    <cfRule type="cellIs" dxfId="70" priority="7" operator="lessThan">
      <formula>0</formula>
    </cfRule>
  </conditionalFormatting>
  <conditionalFormatting sqref="F283:F284">
    <cfRule type="cellIs" dxfId="69" priority="6" operator="lessThan">
      <formula>0</formula>
    </cfRule>
  </conditionalFormatting>
  <conditionalFormatting sqref="H124:K124">
    <cfRule type="cellIs" dxfId="68" priority="4" operator="lessThan">
      <formula>0</formula>
    </cfRule>
  </conditionalFormatting>
  <conditionalFormatting sqref="I130:O131">
    <cfRule type="cellIs" dxfId="67" priority="5" operator="lessThan">
      <formula>0</formula>
    </cfRule>
  </conditionalFormatting>
  <conditionalFormatting sqref="I153:O153">
    <cfRule type="cellIs" dxfId="66" priority="3" operator="lessThan">
      <formula>0</formula>
    </cfRule>
  </conditionalFormatting>
  <conditionalFormatting sqref="K123:K124">
    <cfRule type="cellIs" dxfId="65" priority="2" operator="lessThan">
      <formula>0</formula>
    </cfRule>
  </conditionalFormatting>
  <conditionalFormatting sqref="N121:N123">
    <cfRule type="cellIs" dxfId="64" priority="1" operator="lessThan">
      <formula>0</formula>
    </cfRule>
  </conditionalFormatting>
  <conditionalFormatting sqref="P43:R43">
    <cfRule type="cellIs" dxfId="63" priority="13" operator="lessThan">
      <formula>0</formula>
    </cfRule>
  </conditionalFormatting>
  <dataValidations count="12">
    <dataValidation type="list" allowBlank="1" showInputMessage="1" showErrorMessage="1" sqref="E119" xr:uid="{DBA54CAA-997D-4DB6-8EF5-146132718489}">
      <formula1>$D$23:$D$34</formula1>
    </dataValidation>
    <dataValidation type="list" allowBlank="1" showInputMessage="1" showErrorMessage="1" sqref="F191:F200 E207:E216" xr:uid="{47770B17-DAE4-4B7A-A6A4-74089C3534C4}">
      <formula1>INDIRECT("Table_LivestockClasses_Beefcattle[Livestock class]")</formula1>
    </dataValidation>
    <dataValidation type="list" allowBlank="1" showInputMessage="1" showErrorMessage="1" sqref="G191:G200" xr:uid="{44ADFB60-5B03-4FEA-9C63-06050A0B62E5}">
      <formula1>INDIRECT(TRIM("Table_SourceData_LivestockProduct_Beefcattle[Product]"))</formula1>
    </dataValidation>
    <dataValidation type="list" allowBlank="1" showInputMessage="1" showErrorMessage="1" sqref="H191:H200" xr:uid="{7BEDF577-A98A-4F0B-9646-86A7564F7C90}">
      <formula1>INDIRECT("Table_ProductRegions_Beefcattle[Region]")</formula1>
    </dataValidation>
    <dataValidation type="list" allowBlank="1" showInputMessage="1" showErrorMessage="1" sqref="E105" xr:uid="{290DB999-AE83-4BA0-A451-0B58F4EFE305}">
      <formula1>"Spring, Summer, Autumn, Winter"</formula1>
    </dataValidation>
    <dataValidation type="list" allowBlank="1" showInputMessage="1" showErrorMessage="1" sqref="E184" xr:uid="{55B29E27-6175-4617-959A-44C8E4703B76}">
      <formula1>INDIRECT("Table_SourceData_PastureBeef_CropProdSystems[Production system]")</formula1>
    </dataValidation>
    <dataValidation type="list" allowBlank="1" showInputMessage="1" showErrorMessage="1" sqref="E185" xr:uid="{80AC25FA-131F-48FF-80F0-8BAF46F17FEC}">
      <formula1>INDIRECT("Table_SourceData_PastureBeef_IrrigationMethods[Irrigation method]")</formula1>
    </dataValidation>
    <dataValidation type="list" allowBlank="1" showInputMessage="1" showErrorMessage="1" sqref="E9" xr:uid="{282565A0-DE5A-4457-B3F0-E9CFECCC0A4C}">
      <formula1>INDIRECT("Table_SourceData_PastureBeef_FeedIntakeAdjustment[Breed]")</formula1>
    </dataValidation>
    <dataValidation type="list" allowBlank="1" showInputMessage="1" showErrorMessage="1" sqref="E8" xr:uid="{4A7BC93A-1005-4A7B-B9E3-370B1A64DFBC}">
      <formula1>INDIRECT("Table_SourceData_PastureBeef_Region_" &amp; SUBSTITUTE($E$7, " ", "") &amp; "[Region]")</formula1>
    </dataValidation>
    <dataValidation type="list" allowBlank="1" showInputMessage="1" showErrorMessage="1" sqref="E15 E37 E59 E81" xr:uid="{6583AF9C-8610-4B5D-AA8C-363EAE0A0F2B}">
      <formula1>INDIRECT("Table_SourceData_Dairy_WjCowsHeifers[Breed]")</formula1>
    </dataValidation>
    <dataValidation type="list" allowBlank="1" showInputMessage="1" showErrorMessage="1" sqref="E238 E243 E248 E282 E277 E272 E177" xr:uid="{A5DC3A58-1CAA-4424-ABE0-F608920B766B}">
      <formula1>"Yes, No"</formula1>
    </dataValidation>
    <dataValidation type="list" allowBlank="1" showInputMessage="1" showErrorMessage="1" sqref="D266" xr:uid="{A1C00FF8-58CB-4E45-B5D5-4A387CA5236F}">
      <formula1>INDIRECT("Table_SourceData_PoultryMMSStage1[MMS]")</formula1>
    </dataValidation>
  </dataValidations>
  <pageMargins left="0.7" right="0.7" top="0.75" bottom="0.75" header="0.3" footer="0.3"/>
  <pageSetup paperSize="9" orientation="portrait" r:id="rId1"/>
  <tableParts count="2">
    <tablePart r:id="rId2"/>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7384B-3904-4205-8A89-029F0A3C2F20}">
  <dimension ref="A1:G46"/>
  <sheetViews>
    <sheetView showGridLines="0" workbookViewId="0">
      <selection activeCell="A46" sqref="A46"/>
    </sheetView>
  </sheetViews>
  <sheetFormatPr defaultRowHeight="15.75" x14ac:dyDescent="0.25"/>
  <cols>
    <col min="1" max="1" width="30.7109375" customWidth="1"/>
    <col min="2" max="2" width="4.7109375" customWidth="1"/>
    <col min="3" max="3" width="4.7109375" style="1" customWidth="1"/>
    <col min="4" max="4" width="50.7109375" style="1" customWidth="1"/>
    <col min="5" max="6" width="30.7109375" style="1" customWidth="1"/>
    <col min="7" max="7" width="4.7109375" style="1" customWidth="1"/>
  </cols>
  <sheetData>
    <row r="1" spans="1:7" ht="30" customHeight="1" x14ac:dyDescent="0.35">
      <c r="A1" s="16" t="e" vm="1">
        <v>#VALUE!</v>
      </c>
      <c r="C1" s="16" t="s">
        <v>800</v>
      </c>
      <c r="D1" s="16"/>
      <c r="E1" s="16"/>
      <c r="F1" s="16"/>
      <c r="G1" s="16"/>
    </row>
    <row r="2" spans="1:7" ht="20.100000000000001" customHeight="1" x14ac:dyDescent="0.25">
      <c r="C2" s="3"/>
      <c r="D2" s="3"/>
      <c r="E2" s="3"/>
      <c r="F2" s="3"/>
      <c r="G2" s="3"/>
    </row>
    <row r="3" spans="1:7" ht="20.100000000000001" customHeight="1" x14ac:dyDescent="0.25">
      <c r="A3" s="5" t="str">
        <f>HYPERLINK("#'Home'!A1", "Home")</f>
        <v>Home</v>
      </c>
      <c r="C3" s="39"/>
      <c r="D3" s="39"/>
      <c r="E3" s="39"/>
      <c r="F3" s="39"/>
      <c r="G3" s="39"/>
    </row>
    <row r="4" spans="1:7" ht="20.100000000000001" customHeight="1" x14ac:dyDescent="0.25">
      <c r="A4" s="5" t="str">
        <f>HYPERLINK("#'Results'!A1", "Results")</f>
        <v>Results</v>
      </c>
    </row>
    <row r="5" spans="1:7" ht="20.100000000000001" customHeight="1" x14ac:dyDescent="0.25">
      <c r="D5" s="2" t="s">
        <v>801</v>
      </c>
    </row>
    <row r="6" spans="1:7" ht="20.100000000000001" customHeight="1" x14ac:dyDescent="0.25"/>
    <row r="7" spans="1:7" ht="20.100000000000001" customHeight="1" x14ac:dyDescent="0.25">
      <c r="A7" s="7" t="s">
        <v>0</v>
      </c>
      <c r="D7" s="80" t="s">
        <v>802</v>
      </c>
      <c r="E7" s="80"/>
      <c r="F7" s="80"/>
    </row>
    <row r="8" spans="1:7" ht="20.100000000000001" customHeight="1" x14ac:dyDescent="0.25">
      <c r="A8" s="5" t="str">
        <f>HYPERLINK("#'Input - Enterprise'!A1", "Enterprise")</f>
        <v>Enterprise</v>
      </c>
    </row>
    <row r="9" spans="1:7" ht="20.100000000000001" customHeight="1" x14ac:dyDescent="0.25">
      <c r="A9" s="5" t="str">
        <f>HYPERLINK("#'Input - Site'!A1", "Site")</f>
        <v>Site</v>
      </c>
      <c r="D9" s="1" t="s">
        <v>803</v>
      </c>
      <c r="E9" s="23" t="s">
        <v>804</v>
      </c>
      <c r="F9" s="26" t="s">
        <v>805</v>
      </c>
    </row>
    <row r="10" spans="1:7" ht="20.100000000000001" customHeight="1" x14ac:dyDescent="0.25">
      <c r="A10" s="5" t="str">
        <f>HYPERLINK("#'Input - Pasture Beef'!A1", "Pasture Beef")</f>
        <v>Pasture Beef</v>
      </c>
      <c r="D10" s="1" t="s">
        <v>74</v>
      </c>
      <c r="E10" s="23" t="s">
        <v>325</v>
      </c>
      <c r="F10" s="26" t="s">
        <v>805</v>
      </c>
    </row>
    <row r="11" spans="1:7" ht="20.100000000000001" customHeight="1" x14ac:dyDescent="0.25">
      <c r="A11" s="5" t="str">
        <f>HYPERLINK("#'Input - Pasture Beef (Enteric)'!A1", "Pasture Beef (Enteric)")</f>
        <v>Pasture Beef (Enteric)</v>
      </c>
    </row>
    <row r="12" spans="1:7" ht="20.100000000000001" customHeight="1" x14ac:dyDescent="0.25">
      <c r="A12" s="135" t="str">
        <f>HYPERLINK("#'Input - Pasture'!A1", "Pasture")</f>
        <v>Pasture</v>
      </c>
      <c r="D12" s="1" t="s">
        <v>806</v>
      </c>
      <c r="E12" s="86">
        <v>1000</v>
      </c>
      <c r="F12" s="26" t="s">
        <v>807</v>
      </c>
    </row>
    <row r="13" spans="1:7" ht="20.100000000000001" customHeight="1" x14ac:dyDescent="0.25">
      <c r="A13" s="5" t="str">
        <f>HYPERLINK("#'Input - Fertiliser'!A1", "Fertiliser")</f>
        <v>Fertiliser</v>
      </c>
    </row>
    <row r="14" spans="1:7" ht="20.100000000000001" customHeight="1" x14ac:dyDescent="0.25">
      <c r="A14" s="5" t="str">
        <f>HYPERLINK("#'Input - Fuel'!A1", "Fuel")</f>
        <v>Fuel</v>
      </c>
      <c r="D14" s="2" t="s">
        <v>808</v>
      </c>
    </row>
    <row r="15" spans="1:7" ht="20.100000000000001" customHeight="1" x14ac:dyDescent="0.25">
      <c r="A15" s="5" t="str">
        <f>HYPERLINK("#'Input - Electricity'!A1", "Electricity")</f>
        <v>Electricity</v>
      </c>
    </row>
    <row r="16" spans="1:7" ht="20.100000000000001" customHeight="1" x14ac:dyDescent="0.25">
      <c r="D16" s="239" t="s">
        <v>809</v>
      </c>
      <c r="E16" s="54"/>
      <c r="F16" s="55"/>
    </row>
    <row r="17" spans="1:6" ht="20.100000000000001" customHeight="1" x14ac:dyDescent="0.25">
      <c r="D17" s="56" t="s">
        <v>810</v>
      </c>
      <c r="E17" s="57"/>
      <c r="F17" s="58"/>
    </row>
    <row r="18" spans="1:6" ht="20.100000000000001" customHeight="1" x14ac:dyDescent="0.25">
      <c r="A18" s="6" t="s">
        <v>2</v>
      </c>
    </row>
    <row r="19" spans="1:6" ht="20.100000000000001" customHeight="1" x14ac:dyDescent="0.25">
      <c r="A19" s="5" t="str">
        <f>HYPERLINK("#'3.2.1.1-2 Enteric Methane'!A1", "3.2.1.1-2 Enteric methane")</f>
        <v>3.2.1.1-2 Enteric methane</v>
      </c>
      <c r="D19" s="1" t="s">
        <v>811</v>
      </c>
      <c r="E19" s="86">
        <v>8.34</v>
      </c>
      <c r="F19" s="26" t="s">
        <v>812</v>
      </c>
    </row>
    <row r="20" spans="1:6" ht="20.100000000000001" customHeight="1" x14ac:dyDescent="0.25">
      <c r="A20" s="5" t="str">
        <f>HYPERLINK("#'4.2.1.1-2 Methane'!A1", "4.2.1.1-2 Manure methane")</f>
        <v>4.2.1.1-2 Manure methane</v>
      </c>
      <c r="D20" s="1" t="s">
        <v>813</v>
      </c>
      <c r="E20" s="25">
        <f>E12*E19</f>
        <v>8340</v>
      </c>
      <c r="F20" s="26" t="s">
        <v>814</v>
      </c>
    </row>
    <row r="21" spans="1:6" ht="20.100000000000001" customHeight="1" x14ac:dyDescent="0.25">
      <c r="A21" s="5" t="str">
        <f>HYPERLINK("#'4.2.1.3-4 Soil direct N20'!A1", "4.2.1.3-4 Soil direct N2O")</f>
        <v>4.2.1.3-4 Soil direct N2O</v>
      </c>
    </row>
    <row r="22" spans="1:6" ht="20.100000000000001" customHeight="1" x14ac:dyDescent="0.25">
      <c r="A22" s="5" t="str">
        <f>HYPERLINK("#'4.2.1.5-6 Soil Atmos Dep'!A1", "4.2.1.5-6 Soil atm. deposition")</f>
        <v>4.2.1.5-6 Soil atm. deposition</v>
      </c>
    </row>
    <row r="23" spans="1:6" ht="20.100000000000001" customHeight="1" x14ac:dyDescent="0.25">
      <c r="A23" s="5" t="str">
        <f>HYPERLINK("#'4.2.1.7-8 Soil leach runoff'!A1", "4.2.1.7-8 Soil leach &amp; runoff")</f>
        <v>4.2.1.7-8 Soil leach &amp; runoff</v>
      </c>
      <c r="D23" s="2" t="s">
        <v>815</v>
      </c>
    </row>
    <row r="24" spans="1:6" ht="20.100000000000001" customHeight="1" x14ac:dyDescent="0.25">
      <c r="A24" s="5" t="str">
        <f>HYPERLINK("#'5.1.1.1-2 Inorganic fert N2O'!A1", "5.1.1.1-2 Inorganic fert N2O")</f>
        <v>5.1.1.1-2 Inorganic fert N2O</v>
      </c>
    </row>
    <row r="25" spans="1:6" ht="20.100000000000001" customHeight="1" x14ac:dyDescent="0.25">
      <c r="A25" s="5" t="str">
        <f>HYPERLINK("#'5.1.1.3-4 Inorganic fert CO2'!A1", "5.1.1.3-4 Inorganic fert CO2")</f>
        <v>5.1.1.3-4 Inorganic fert CO2</v>
      </c>
      <c r="D25" s="1" t="s">
        <v>816</v>
      </c>
      <c r="E25" s="86">
        <v>500</v>
      </c>
      <c r="F25" s="26" t="s">
        <v>807</v>
      </c>
    </row>
    <row r="26" spans="1:6" ht="20.100000000000001" customHeight="1" x14ac:dyDescent="0.25">
      <c r="A26" s="5" t="str">
        <f>HYPERLINK("#'5.2.1.1-2 Organic Fert N2O'!A1", "5.2.1.1-2 Organic fert N2O")</f>
        <v>5.2.1.1-2 Organic fert N2O</v>
      </c>
    </row>
    <row r="27" spans="1:6" ht="20.100000000000001" customHeight="1" x14ac:dyDescent="0.25">
      <c r="A27" s="5" t="str">
        <f>HYPERLINK("#'5.3.1.1-2 Lime CO2'!A1", "5.3.1.1-2 Lime CO2")</f>
        <v>5.3.1.1-2 Lime CO2</v>
      </c>
    </row>
    <row r="28" spans="1:6" ht="20.100000000000001" customHeight="1" x14ac:dyDescent="0.25">
      <c r="A28" s="5" t="str">
        <f>HYPERLINK("#'5.4.1.1-4 Atmos deposition'!A1", "5.4.1.1-4 Atmos. deposition")</f>
        <v>5.4.1.1-4 Atmos. deposition</v>
      </c>
    </row>
    <row r="29" spans="1:6" ht="20.100000000000001" customHeight="1" x14ac:dyDescent="0.25">
      <c r="A29" s="5" t="str">
        <f>HYPERLINK("#'5.5.1.1-2 Leaching and runoff'!A1", "5.5.1.1-2 Leaching &amp; runoff")</f>
        <v>5.5.1.1-2 Leaching &amp; runoff</v>
      </c>
    </row>
    <row r="30" spans="1:6" ht="20.100000000000001" customHeight="1" x14ac:dyDescent="0.25">
      <c r="A30" s="5" t="str">
        <f>HYPERLINK("#'6.2.1.1-2 Pasture residue N2O'!A1", "6.2.1.1-2 Pasture residue N2O")</f>
        <v>6.2.1.1-2 Pasture residue N2O</v>
      </c>
    </row>
    <row r="31" spans="1:6" ht="20.100000000000001" customHeight="1" x14ac:dyDescent="0.25">
      <c r="A31" s="5" t="str">
        <f>HYPERLINK("#'6.3.1.1-2 Leach runoff pasture'!A1", "6.3.1.1-2 Leach &amp; runoff (pasture)")</f>
        <v>6.3.1.1-2 Leach &amp; runoff (pasture)</v>
      </c>
    </row>
    <row r="32" spans="1:6" ht="20.100000000000001" customHeight="1" x14ac:dyDescent="0.25">
      <c r="A32" s="5" t="str">
        <f>HYPERLINK("#'8.1.1.1-2 Transport fuel'!A1", "8.1.1.1-2 Transport fuel")</f>
        <v>8.1.1.1-2 Transport fuel</v>
      </c>
    </row>
    <row r="33" spans="1:1" ht="20.100000000000001" customHeight="1" x14ac:dyDescent="0.25">
      <c r="A33" s="5" t="str">
        <f>HYPERLINK("#'8.2.1.1-2 Stationary fuel'!A1", "8.2.1.1-2 Stationary fuel")</f>
        <v>8.2.1.1-2 Stationary fuel</v>
      </c>
    </row>
    <row r="34" spans="1:1" ht="20.100000000000001" customHeight="1" x14ac:dyDescent="0.25">
      <c r="A34" s="5" t="str">
        <f>HYPERLINK("#'14.1.1-2 Purchased electricity'!A1", "14.1.1-2 Purchased electricity")</f>
        <v>14.1.1-2 Purchased electricity</v>
      </c>
    </row>
    <row r="35" spans="1:1" ht="20.100000000000001" customHeight="1" x14ac:dyDescent="0.25"/>
    <row r="36" spans="1:1" ht="20.100000000000001" customHeight="1" x14ac:dyDescent="0.25"/>
    <row r="37" spans="1:1" ht="20.100000000000001" customHeight="1" x14ac:dyDescent="0.25">
      <c r="A37" s="251" t="s">
        <v>1</v>
      </c>
    </row>
    <row r="38" spans="1:1" ht="20.100000000000001" customHeight="1" x14ac:dyDescent="0.25">
      <c r="A38" s="5" t="str">
        <f>HYPERLINK("#'Constants - Pasture Beef'!A1", "Constants - Pasture Beef")</f>
        <v>Constants - Pasture Beef</v>
      </c>
    </row>
    <row r="39" spans="1:1" ht="20.100000000000001" customHeight="1" x14ac:dyDescent="0.25">
      <c r="A39" s="5" t="str">
        <f>HYPERLINK("#'Constants - Ag Residue'!A1", "Constants - Ag residue")</f>
        <v>Constants - Ag residue</v>
      </c>
    </row>
    <row r="40" spans="1:1" x14ac:dyDescent="0.25">
      <c r="A40" s="5" t="str">
        <f>HYPERLINK("#'Constants - Common Livestock'!A1", "Constants - Common Livestock")</f>
        <v>Constants - Common Livestock</v>
      </c>
    </row>
    <row r="41" spans="1:1" x14ac:dyDescent="0.25">
      <c r="A41" s="5" t="str">
        <f>HYPERLINK("#'Constants - Electricity'!A1", "Constants - Electricity")</f>
        <v>Constants - Electricity</v>
      </c>
    </row>
    <row r="42" spans="1:1" x14ac:dyDescent="0.25">
      <c r="A42" s="5" t="str">
        <f>HYPERLINK("#'Constants - Fertiliser'!A1", "Constants - Fertiliser")</f>
        <v>Constants - Fertiliser</v>
      </c>
    </row>
    <row r="43" spans="1:1" x14ac:dyDescent="0.25">
      <c r="A43" s="5" t="str">
        <f>HYPERLINK("#'Constants - Fuel'!A1", "Constants - Fuel")</f>
        <v>Constants - Fuel</v>
      </c>
    </row>
    <row r="44" spans="1:1" x14ac:dyDescent="0.25">
      <c r="A44" s="5" t="str">
        <f>HYPERLINK("#'Constants - Common'!A1", "Constants - Common")</f>
        <v>Constants - Common</v>
      </c>
    </row>
    <row r="45" spans="1:1" x14ac:dyDescent="0.25">
      <c r="A45" s="5" t="str">
        <f>HYPERLINK("#'Acknowledgements'!A1", "Acknowledgements")</f>
        <v>Acknowledgements</v>
      </c>
    </row>
    <row r="46" spans="1:1" x14ac:dyDescent="0.25">
      <c r="A46" s="5" t="str">
        <f>HYPERLINK("#'Overview'!A1", "Overview")</f>
        <v>Overview</v>
      </c>
    </row>
  </sheetData>
  <conditionalFormatting sqref="D16:G16">
    <cfRule type="expression" dxfId="62" priority="1">
      <formula>$D$24&gt;$D$11</formula>
    </cfRule>
  </conditionalFormatting>
  <dataValidations count="2">
    <dataValidation type="list" allowBlank="1" showInputMessage="1" showErrorMessage="1" sqref="E10" xr:uid="{AB5CDD22-56D1-45B7-9DB0-CD217D315DE9}">
      <formula1>INDIRECT("Table_SourceData_Fertiliser_IrrigationMethods[Irrigation method]")</formula1>
    </dataValidation>
    <dataValidation type="list" allowBlank="1" showInputMessage="1" showErrorMessage="1" sqref="E9" xr:uid="{3E6205AD-FB84-4509-8A70-5B9850FC9580}">
      <formula1>INDIRECT("Table_SourceData_PastureAttributes[Pasture type]")</formula1>
    </dataValidation>
  </dataValidation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9B90D-EB29-4DF5-B4F2-5A9CD19DD813}">
  <dimension ref="A1:Y366"/>
  <sheetViews>
    <sheetView showGridLines="0" topLeftCell="A5" zoomScale="85" zoomScaleNormal="85" workbookViewId="0">
      <selection activeCell="A46" sqref="A46"/>
    </sheetView>
  </sheetViews>
  <sheetFormatPr defaultRowHeight="15.75" x14ac:dyDescent="0.25"/>
  <cols>
    <col min="1" max="1" width="30.7109375" customWidth="1"/>
    <col min="2" max="2" width="4.7109375" customWidth="1"/>
    <col min="3" max="3" width="4.7109375" style="1" customWidth="1"/>
    <col min="4" max="4" width="52.140625" style="1" customWidth="1"/>
    <col min="5" max="5" width="30.7109375" style="1" customWidth="1"/>
    <col min="6" max="24" width="15.7109375" style="1" customWidth="1"/>
    <col min="25" max="25" width="4.7109375" style="1" customWidth="1"/>
    <col min="26" max="26" width="4.7109375" customWidth="1"/>
  </cols>
  <sheetData>
    <row r="1" spans="1:25" s="16" customFormat="1" ht="30" customHeight="1" x14ac:dyDescent="0.35">
      <c r="A1" s="16" t="e" vm="1">
        <v>#VALUE!</v>
      </c>
      <c r="C1" s="16" t="s">
        <v>468</v>
      </c>
    </row>
    <row r="2" spans="1:25" s="3" customFormat="1" ht="20.100000000000001" customHeight="1" x14ac:dyDescent="0.25">
      <c r="A2"/>
    </row>
    <row r="3" spans="1:25" ht="20.100000000000001" customHeight="1" x14ac:dyDescent="0.25">
      <c r="A3" s="5" t="str">
        <f>HYPERLINK("#'Home'!A1", "Home")</f>
        <v>Home</v>
      </c>
      <c r="C3" s="39"/>
      <c r="D3" s="39"/>
      <c r="E3" s="39"/>
      <c r="F3" s="39"/>
      <c r="G3" s="39"/>
      <c r="H3" s="39"/>
      <c r="I3" s="39"/>
      <c r="J3" s="39"/>
      <c r="K3" s="39"/>
      <c r="L3" s="39"/>
      <c r="M3" s="39"/>
      <c r="N3" s="39"/>
      <c r="O3" s="39"/>
      <c r="P3" s="39"/>
      <c r="Q3" s="39"/>
      <c r="R3" s="39"/>
      <c r="S3" s="39"/>
      <c r="T3" s="39"/>
      <c r="U3" s="39"/>
      <c r="V3" s="39"/>
      <c r="W3" s="39"/>
      <c r="X3" s="39"/>
      <c r="Y3" s="39"/>
    </row>
    <row r="4" spans="1:25" ht="20.100000000000001" customHeight="1" x14ac:dyDescent="0.25">
      <c r="A4" s="5" t="str">
        <f>HYPERLINK("#'Results'!A1", "Results")</f>
        <v>Results</v>
      </c>
    </row>
    <row r="5" spans="1:25" ht="20.100000000000001" customHeight="1" x14ac:dyDescent="0.25"/>
    <row r="6" spans="1:25" ht="20.100000000000001" customHeight="1" x14ac:dyDescent="0.25">
      <c r="D6" s="1" t="s">
        <v>311</v>
      </c>
      <c r="E6" s="23" t="s">
        <v>469</v>
      </c>
      <c r="F6" s="26" t="s">
        <v>109</v>
      </c>
    </row>
    <row r="7" spans="1:25" ht="20.100000000000001" customHeight="1" x14ac:dyDescent="0.25">
      <c r="A7" s="7" t="s">
        <v>0</v>
      </c>
      <c r="D7" s="1" t="s">
        <v>470</v>
      </c>
      <c r="E7" s="23" t="s">
        <v>471</v>
      </c>
      <c r="F7" s="26" t="s">
        <v>109</v>
      </c>
    </row>
    <row r="8" spans="1:25" ht="20.100000000000001" customHeight="1" x14ac:dyDescent="0.25">
      <c r="A8" s="5" t="str">
        <f>HYPERLINK("#'Input - Enterprise'!A1", "Enterprise")</f>
        <v>Enterprise</v>
      </c>
      <c r="D8" s="1" t="s">
        <v>74</v>
      </c>
      <c r="E8" s="23" t="s">
        <v>878</v>
      </c>
      <c r="F8" s="26" t="s">
        <v>109</v>
      </c>
    </row>
    <row r="9" spans="1:25" ht="20.100000000000001" customHeight="1" x14ac:dyDescent="0.25">
      <c r="A9" s="5" t="str">
        <f>HYPERLINK("#'Input - Site'!A1", "Site")</f>
        <v>Site</v>
      </c>
      <c r="D9" s="1" t="s">
        <v>472</v>
      </c>
      <c r="E9" s="86">
        <v>100</v>
      </c>
      <c r="F9" s="26" t="s">
        <v>473</v>
      </c>
    </row>
    <row r="10" spans="1:25" ht="20.100000000000001" customHeight="1" x14ac:dyDescent="0.25">
      <c r="A10" s="5" t="str">
        <f>HYPERLINK("#'Input - Pasture Beef'!A1", "Pasture Beef")</f>
        <v>Pasture Beef</v>
      </c>
    </row>
    <row r="11" spans="1:25" ht="20.100000000000001" customHeight="1" x14ac:dyDescent="0.25">
      <c r="A11" s="5" t="str">
        <f>HYPERLINK("#'Input - Pasture Beef (Enteric)'!A1", "Pasture Beef (Enteric)")</f>
        <v>Pasture Beef (Enteric)</v>
      </c>
      <c r="D11" s="2" t="s">
        <v>474</v>
      </c>
      <c r="E11" s="35"/>
      <c r="F11" s="35"/>
      <c r="G11" s="35"/>
      <c r="H11" s="35"/>
      <c r="I11" s="35"/>
      <c r="J11" s="35"/>
      <c r="K11" s="35"/>
      <c r="L11" s="35"/>
      <c r="M11" s="35"/>
    </row>
    <row r="12" spans="1:25" ht="20.100000000000001" customHeight="1" x14ac:dyDescent="0.25">
      <c r="A12" s="5" t="str">
        <f>HYPERLINK("#'Input - Pasture'!A1", "Pasture")</f>
        <v>Pasture</v>
      </c>
      <c r="D12" s="8"/>
      <c r="E12" s="8"/>
      <c r="F12" s="8"/>
      <c r="G12" s="8"/>
      <c r="H12" s="8"/>
      <c r="I12" s="8"/>
      <c r="J12" s="8"/>
      <c r="K12" s="8"/>
      <c r="L12" s="8"/>
      <c r="M12" s="8"/>
    </row>
    <row r="13" spans="1:25" ht="20.100000000000001" customHeight="1" x14ac:dyDescent="0.25">
      <c r="A13" s="135" t="str">
        <f>HYPERLINK("#'Input - Fertiliser'!A1", "Fertiliser")</f>
        <v>Fertiliser</v>
      </c>
      <c r="D13" s="136" t="s">
        <v>475</v>
      </c>
      <c r="E13" s="54"/>
      <c r="F13" s="54"/>
      <c r="G13" s="54"/>
      <c r="H13" s="55"/>
      <c r="I13" s="137"/>
      <c r="J13" s="138"/>
      <c r="K13" s="139"/>
      <c r="L13" s="139"/>
      <c r="M13" s="139"/>
    </row>
    <row r="14" spans="1:25" ht="20.100000000000001" customHeight="1" x14ac:dyDescent="0.25">
      <c r="A14" s="5" t="str">
        <f>HYPERLINK("#'Input - Fuel'!A1", "Fuel")</f>
        <v>Fuel</v>
      </c>
      <c r="D14" s="56" t="s">
        <v>476</v>
      </c>
      <c r="E14" s="57"/>
      <c r="F14" s="57"/>
      <c r="G14" s="58"/>
      <c r="H14" s="140"/>
      <c r="I14" s="8"/>
      <c r="J14" s="8"/>
      <c r="K14" s="8"/>
      <c r="L14" s="8"/>
      <c r="M14" s="8"/>
    </row>
    <row r="15" spans="1:25" ht="20.100000000000001" customHeight="1" x14ac:dyDescent="0.25">
      <c r="A15" s="5" t="str">
        <f>HYPERLINK("#'Input - Electricity'!A1", "Electricity")</f>
        <v>Electricity</v>
      </c>
      <c r="D15" s="8"/>
      <c r="E15" s="8"/>
      <c r="F15" s="8"/>
      <c r="G15" s="8"/>
      <c r="H15" s="8"/>
      <c r="I15" s="8"/>
      <c r="J15" s="8"/>
      <c r="K15" s="8"/>
      <c r="L15" s="8"/>
      <c r="M15" s="8"/>
    </row>
    <row r="16" spans="1:25" ht="20.100000000000001" customHeight="1" x14ac:dyDescent="0.25">
      <c r="D16" s="92" t="s">
        <v>477</v>
      </c>
      <c r="E16" s="8"/>
      <c r="F16" s="8"/>
      <c r="G16" s="8"/>
      <c r="H16" s="8"/>
      <c r="I16" s="8"/>
      <c r="J16" s="8"/>
      <c r="K16" s="8"/>
      <c r="L16" s="8"/>
      <c r="M16" s="8"/>
    </row>
    <row r="17" spans="1:24" ht="36" customHeight="1" x14ac:dyDescent="0.25">
      <c r="D17" s="141" t="s">
        <v>478</v>
      </c>
      <c r="E17" s="142" t="s">
        <v>479</v>
      </c>
      <c r="F17" s="143" t="s">
        <v>480</v>
      </c>
      <c r="G17" s="143" t="s">
        <v>481</v>
      </c>
      <c r="H17" s="142" t="s">
        <v>482</v>
      </c>
      <c r="I17" s="142" t="s">
        <v>483</v>
      </c>
      <c r="J17" s="141" t="s">
        <v>484</v>
      </c>
      <c r="K17" s="141" t="s">
        <v>485</v>
      </c>
      <c r="L17" s="141" t="s">
        <v>486</v>
      </c>
      <c r="M17" s="141" t="s">
        <v>487</v>
      </c>
      <c r="N17" s="141" t="s">
        <v>488</v>
      </c>
      <c r="O17" s="141" t="s">
        <v>489</v>
      </c>
      <c r="P17" s="141" t="s">
        <v>490</v>
      </c>
      <c r="Q17" s="141" t="s">
        <v>491</v>
      </c>
      <c r="R17" s="141" t="s">
        <v>492</v>
      </c>
      <c r="S17" s="141" t="s">
        <v>493</v>
      </c>
      <c r="T17" s="141" t="s">
        <v>494</v>
      </c>
      <c r="U17" s="141" t="s">
        <v>495</v>
      </c>
      <c r="V17" s="141" t="s">
        <v>496</v>
      </c>
      <c r="W17" s="144" t="s">
        <v>497</v>
      </c>
      <c r="X17" s="144" t="s">
        <v>498</v>
      </c>
    </row>
    <row r="18" spans="1:24" ht="36" customHeight="1" x14ac:dyDescent="0.25">
      <c r="A18" s="6" t="s">
        <v>2</v>
      </c>
      <c r="D18" s="99" t="s">
        <v>499</v>
      </c>
      <c r="E18" s="145">
        <v>100</v>
      </c>
      <c r="F18" s="25" t="s">
        <v>782</v>
      </c>
      <c r="G18" s="25">
        <v>1.26</v>
      </c>
      <c r="H18" s="145">
        <v>100</v>
      </c>
      <c r="I18" s="146">
        <v>12600</v>
      </c>
      <c r="J18" s="146" t="s">
        <v>512</v>
      </c>
      <c r="K18" s="146">
        <v>0.22500000000000001</v>
      </c>
      <c r="L18" s="146" t="s">
        <v>882</v>
      </c>
      <c r="M18" s="146">
        <v>0.04</v>
      </c>
      <c r="N18" s="146" t="s">
        <v>883</v>
      </c>
      <c r="O18" s="146">
        <v>2.5999999999999999E-2</v>
      </c>
      <c r="P18" s="146"/>
      <c r="Q18" s="146"/>
      <c r="R18" s="146"/>
      <c r="S18" s="146"/>
      <c r="T18" s="146"/>
      <c r="U18" s="146"/>
      <c r="V18" s="146">
        <v>3.2759999999999998</v>
      </c>
      <c r="W18" s="25"/>
      <c r="X18" s="25"/>
    </row>
    <row r="19" spans="1:24" ht="36" customHeight="1" x14ac:dyDescent="0.25">
      <c r="A19" s="5" t="str">
        <f>HYPERLINK("#'3.2.1.1-2 Enteric Methane'!A1", "3.2.1.1-2 Enteric methane")</f>
        <v>3.2.1.1-2 Enteric methane</v>
      </c>
      <c r="D19" s="99" t="s">
        <v>500</v>
      </c>
      <c r="E19" s="145">
        <v>100</v>
      </c>
      <c r="F19" s="25" t="s">
        <v>782</v>
      </c>
      <c r="G19" s="25">
        <v>1.2849999999999999</v>
      </c>
      <c r="H19" s="145">
        <v>100</v>
      </c>
      <c r="I19" s="146">
        <v>12850</v>
      </c>
      <c r="J19" s="146" t="s">
        <v>882</v>
      </c>
      <c r="K19" s="146">
        <v>0.13500000000000001</v>
      </c>
      <c r="L19" s="146" t="s">
        <v>884</v>
      </c>
      <c r="M19" s="146">
        <v>0.04</v>
      </c>
      <c r="N19" s="146"/>
      <c r="O19" s="146"/>
      <c r="P19" s="146"/>
      <c r="Q19" s="146"/>
      <c r="R19" s="146"/>
      <c r="S19" s="146"/>
      <c r="T19" s="146"/>
      <c r="U19" s="146"/>
      <c r="V19" s="146">
        <v>0</v>
      </c>
      <c r="W19" s="146"/>
      <c r="X19" s="146"/>
    </row>
    <row r="20" spans="1:24" ht="36" customHeight="1" x14ac:dyDescent="0.25">
      <c r="A20" s="5" t="str">
        <f>HYPERLINK("#'4.2.1.1-2 Methane'!A1", "4.2.1.1-2 Manure methane")</f>
        <v>4.2.1.1-2 Manure methane</v>
      </c>
      <c r="D20" s="99" t="s">
        <v>500</v>
      </c>
      <c r="E20" s="145">
        <v>100</v>
      </c>
      <c r="F20" s="25" t="s">
        <v>782</v>
      </c>
      <c r="G20" s="25">
        <v>1.2849999999999999</v>
      </c>
      <c r="H20" s="145">
        <v>100</v>
      </c>
      <c r="I20" s="146">
        <v>12850</v>
      </c>
      <c r="J20" s="146" t="s">
        <v>882</v>
      </c>
      <c r="K20" s="146">
        <v>0.13500000000000001</v>
      </c>
      <c r="L20" s="146" t="s">
        <v>884</v>
      </c>
      <c r="M20" s="146">
        <v>0.04</v>
      </c>
      <c r="N20" s="146"/>
      <c r="O20" s="146"/>
      <c r="P20" s="146"/>
      <c r="Q20" s="146"/>
      <c r="R20" s="146"/>
      <c r="S20" s="146"/>
      <c r="T20" s="146"/>
      <c r="U20" s="146"/>
      <c r="V20" s="146">
        <v>0</v>
      </c>
      <c r="W20" s="146"/>
      <c r="X20" s="146"/>
    </row>
    <row r="21" spans="1:24" ht="36" customHeight="1" x14ac:dyDescent="0.25">
      <c r="A21" s="5" t="str">
        <f>HYPERLINK("#'4.2.1.3-4 Soil direct N20'!A1", "4.2.1.3-4 Soil direct N2O")</f>
        <v>4.2.1.3-4 Soil direct N2O</v>
      </c>
      <c r="D21" s="99" t="s">
        <v>501</v>
      </c>
      <c r="E21" s="145">
        <v>100</v>
      </c>
      <c r="F21" s="25" t="s">
        <v>782</v>
      </c>
      <c r="G21" s="25">
        <v>1.26</v>
      </c>
      <c r="H21" s="145">
        <v>100</v>
      </c>
      <c r="I21" s="146">
        <v>12600</v>
      </c>
      <c r="J21" s="146" t="s">
        <v>512</v>
      </c>
      <c r="K21" s="146">
        <v>0.105</v>
      </c>
      <c r="L21" s="146" t="s">
        <v>883</v>
      </c>
      <c r="M21" s="146">
        <v>9.6000000000000002E-2</v>
      </c>
      <c r="N21" s="146" t="s">
        <v>882</v>
      </c>
      <c r="O21" s="146">
        <v>0.05</v>
      </c>
      <c r="P21" s="146"/>
      <c r="Q21" s="146"/>
      <c r="R21" s="146"/>
      <c r="S21" s="146"/>
      <c r="T21" s="146"/>
      <c r="U21" s="146"/>
      <c r="V21" s="146">
        <v>12.096</v>
      </c>
      <c r="W21" s="146"/>
      <c r="X21" s="146"/>
    </row>
    <row r="22" spans="1:24" ht="36" customHeight="1" x14ac:dyDescent="0.25">
      <c r="A22" s="5" t="str">
        <f>HYPERLINK("#'4.2.1.5-6 Soil Atmos Dep'!A1", "4.2.1.5-6 Soil atm. deposition")</f>
        <v>4.2.1.5-6 Soil atm. deposition</v>
      </c>
      <c r="D22" s="99" t="s">
        <v>502</v>
      </c>
      <c r="E22" s="145">
        <v>100</v>
      </c>
      <c r="F22" s="25" t="s">
        <v>782</v>
      </c>
      <c r="G22" s="25">
        <v>1.5</v>
      </c>
      <c r="H22" s="145">
        <v>100</v>
      </c>
      <c r="I22" s="146">
        <v>15000</v>
      </c>
      <c r="J22" s="146" t="s">
        <v>884</v>
      </c>
      <c r="K22" s="146">
        <v>0.16200000000000001</v>
      </c>
      <c r="L22" s="146" t="s">
        <v>885</v>
      </c>
      <c r="M22" s="146">
        <v>0.13200000000000001</v>
      </c>
      <c r="N22" s="146"/>
      <c r="O22" s="146"/>
      <c r="P22" s="146"/>
      <c r="Q22" s="146"/>
      <c r="R22" s="146"/>
      <c r="S22" s="146"/>
      <c r="T22" s="146"/>
      <c r="U22" s="146"/>
      <c r="V22" s="146">
        <v>19.8</v>
      </c>
      <c r="W22" s="146"/>
      <c r="X22" s="146"/>
    </row>
    <row r="23" spans="1:24" ht="36" customHeight="1" x14ac:dyDescent="0.25">
      <c r="A23" s="5" t="str">
        <f>HYPERLINK("#'4.2.1.7-8 Soil leach runoff'!A1", "4.2.1.7-8 Soil leach &amp; runoff")</f>
        <v>4.2.1.7-8 Soil leach &amp; runoff</v>
      </c>
      <c r="D23" s="147"/>
      <c r="E23" s="148"/>
      <c r="F23" s="149"/>
      <c r="G23" s="149"/>
      <c r="H23" s="149"/>
      <c r="I23" s="149"/>
      <c r="J23" s="150"/>
      <c r="K23" s="150"/>
      <c r="L23" s="151"/>
      <c r="M23" s="151"/>
      <c r="N23" s="152"/>
      <c r="O23" s="152"/>
      <c r="P23" s="152"/>
      <c r="Q23" s="152"/>
      <c r="R23" s="152"/>
      <c r="S23" s="152"/>
      <c r="T23" s="152"/>
      <c r="U23" s="152"/>
      <c r="V23" s="152"/>
      <c r="W23" s="152"/>
      <c r="X23" s="152"/>
    </row>
    <row r="24" spans="1:24" ht="36" customHeight="1" x14ac:dyDescent="0.25">
      <c r="A24" s="5" t="str">
        <f>HYPERLINK("#'5.1.1.1-2 Inorganic fert N2O'!A1", "5.1.1.1-2 Inorganic fert N2O")</f>
        <v>5.1.1.1-2 Inorganic fert N2O</v>
      </c>
      <c r="D24" s="153" t="s">
        <v>503</v>
      </c>
      <c r="E24" s="154"/>
      <c r="F24" s="154"/>
      <c r="G24" s="154"/>
      <c r="H24" s="154"/>
      <c r="I24" s="154"/>
      <c r="J24" s="154"/>
      <c r="K24" s="154"/>
      <c r="L24" s="154"/>
      <c r="M24" s="154"/>
      <c r="N24" s="152"/>
      <c r="O24" s="152"/>
      <c r="P24" s="152"/>
      <c r="Q24" s="152"/>
      <c r="R24" s="152"/>
      <c r="S24" s="152"/>
      <c r="T24" s="152"/>
      <c r="V24" s="152"/>
      <c r="W24" s="152"/>
      <c r="X24" s="152"/>
    </row>
    <row r="25" spans="1:24" ht="36" customHeight="1" x14ac:dyDescent="0.25">
      <c r="A25" s="5" t="str">
        <f>HYPERLINK("#'5.1.1.3-4 Inorganic fert CO2'!A1", "5.1.1.3-4 Inorganic fert CO2")</f>
        <v>5.1.1.3-4 Inorganic fert CO2</v>
      </c>
      <c r="D25" s="142" t="s">
        <v>504</v>
      </c>
      <c r="E25" s="142" t="s">
        <v>505</v>
      </c>
      <c r="F25" s="142" t="s">
        <v>482</v>
      </c>
      <c r="G25" s="142" t="s">
        <v>483</v>
      </c>
      <c r="H25" s="142" t="s">
        <v>506</v>
      </c>
      <c r="I25" s="142" t="s">
        <v>485</v>
      </c>
      <c r="J25" s="142" t="s">
        <v>486</v>
      </c>
      <c r="K25" s="142" t="s">
        <v>487</v>
      </c>
      <c r="L25" s="142" t="s">
        <v>488</v>
      </c>
      <c r="M25" s="142" t="s">
        <v>489</v>
      </c>
      <c r="N25" s="142" t="s">
        <v>490</v>
      </c>
      <c r="O25" s="142" t="s">
        <v>491</v>
      </c>
      <c r="P25" s="142" t="s">
        <v>496</v>
      </c>
      <c r="Q25" s="144" t="s">
        <v>507</v>
      </c>
      <c r="R25" s="144" t="s">
        <v>508</v>
      </c>
      <c r="S25" s="152"/>
      <c r="T25" s="152"/>
      <c r="V25" s="152"/>
      <c r="W25" s="152"/>
      <c r="X25" s="152"/>
    </row>
    <row r="26" spans="1:24" ht="36" customHeight="1" x14ac:dyDescent="0.25">
      <c r="A26" s="5" t="str">
        <f>HYPERLINK("#'5.2.1.1-2 Organic Fert N2O'!A1", "5.2.1.1-2 Organic fert N2O")</f>
        <v>5.2.1.1-2 Organic fert N2O</v>
      </c>
      <c r="D26" s="44" t="s">
        <v>509</v>
      </c>
      <c r="E26" s="142">
        <v>100</v>
      </c>
      <c r="F26" s="145">
        <v>100</v>
      </c>
      <c r="G26" s="146">
        <v>10000</v>
      </c>
      <c r="H26" s="155" t="s">
        <v>510</v>
      </c>
      <c r="I26" s="156">
        <v>0.5</v>
      </c>
      <c r="J26" s="155" t="s">
        <v>511</v>
      </c>
      <c r="K26" s="156">
        <v>0.2</v>
      </c>
      <c r="L26" s="155" t="s">
        <v>512</v>
      </c>
      <c r="M26" s="156">
        <v>0.2</v>
      </c>
      <c r="N26" s="157" t="s">
        <v>513</v>
      </c>
      <c r="O26" s="28">
        <v>0.1</v>
      </c>
      <c r="P26" s="146">
        <v>7.75</v>
      </c>
      <c r="Q26" s="23"/>
      <c r="R26" s="23"/>
      <c r="T26" s="88"/>
    </row>
    <row r="27" spans="1:24" ht="20.100000000000001" customHeight="1" x14ac:dyDescent="0.25">
      <c r="A27" s="5" t="str">
        <f>HYPERLINK("#'5.3.1.1-2 Lime CO2'!A1", "5.3.1.1-2 Lime CO2")</f>
        <v>5.3.1.1-2 Lime CO2</v>
      </c>
      <c r="D27" s="44" t="s">
        <v>514</v>
      </c>
      <c r="E27" s="142">
        <v>100</v>
      </c>
      <c r="F27" s="158">
        <v>100</v>
      </c>
      <c r="G27" s="146">
        <v>10000</v>
      </c>
      <c r="H27" s="155" t="s">
        <v>515</v>
      </c>
      <c r="I27" s="159">
        <v>1</v>
      </c>
      <c r="J27" s="155"/>
      <c r="K27" s="159"/>
      <c r="L27" s="155"/>
      <c r="M27" s="159"/>
      <c r="N27" s="157"/>
      <c r="O27" s="28"/>
      <c r="P27" s="146">
        <v>46</v>
      </c>
      <c r="Q27" s="23"/>
      <c r="R27" s="23"/>
      <c r="W27" s="88"/>
    </row>
    <row r="28" spans="1:24" ht="20.100000000000001" customHeight="1" x14ac:dyDescent="0.25">
      <c r="A28" s="5" t="str">
        <f>HYPERLINK("#'5.4.1.1-4 Atmos deposition'!A1", "5.4.1.1-4 Atmos. deposition")</f>
        <v>5.4.1.1-4 Atmos. deposition</v>
      </c>
      <c r="D28" s="44" t="s">
        <v>516</v>
      </c>
      <c r="E28" s="142">
        <v>100</v>
      </c>
      <c r="F28" s="158">
        <v>100</v>
      </c>
      <c r="G28" s="146">
        <v>10000</v>
      </c>
      <c r="H28" s="155" t="s">
        <v>517</v>
      </c>
      <c r="I28" s="159">
        <v>0.5</v>
      </c>
      <c r="J28" s="155"/>
      <c r="K28" s="159"/>
      <c r="L28" s="155"/>
      <c r="M28" s="159"/>
      <c r="N28" s="157"/>
      <c r="O28" s="28"/>
      <c r="P28" s="146">
        <v>41.174999999999997</v>
      </c>
      <c r="Q28" s="23"/>
      <c r="R28" s="23"/>
    </row>
    <row r="29" spans="1:24" ht="20.100000000000001" customHeight="1" x14ac:dyDescent="0.25">
      <c r="A29" s="5" t="str">
        <f>HYPERLINK("#'5.5.1.1-2 Leaching and runoff'!A1", "5.5.1.1-2 Leaching &amp; runoff")</f>
        <v>5.5.1.1-2 Leaching &amp; runoff</v>
      </c>
      <c r="V29" s="88"/>
    </row>
    <row r="30" spans="1:24" ht="20.100000000000001" customHeight="1" x14ac:dyDescent="0.25">
      <c r="A30" s="5" t="str">
        <f>HYPERLINK("#'6.2.1.1-2 Pasture residue N2O'!A1", "6.2.1.1-2 Pasture residue N2O")</f>
        <v>6.2.1.1-2 Pasture residue N2O</v>
      </c>
      <c r="D30" s="2" t="s">
        <v>518</v>
      </c>
      <c r="E30" s="35"/>
      <c r="F30" s="35"/>
      <c r="G30" s="35"/>
      <c r="H30" s="35"/>
      <c r="I30" s="35"/>
      <c r="J30" s="35"/>
      <c r="K30" s="8"/>
      <c r="L30" s="8"/>
      <c r="M30" s="8"/>
    </row>
    <row r="31" spans="1:24" ht="20.100000000000001" customHeight="1" x14ac:dyDescent="0.25">
      <c r="A31" s="5" t="str">
        <f>HYPERLINK("#'6.3.1.1-2 Leach runoff pasture'!A1", "6.3.1.1-2 Leach &amp; runoff (pasture)")</f>
        <v>6.3.1.1-2 Leach &amp; runoff (pasture)</v>
      </c>
      <c r="D31" s="8"/>
      <c r="E31" s="8"/>
      <c r="F31" s="8"/>
      <c r="G31" s="8"/>
      <c r="H31" s="8"/>
      <c r="I31" s="8"/>
      <c r="J31" s="8"/>
      <c r="K31" s="8"/>
      <c r="L31" s="8"/>
      <c r="M31" s="35"/>
    </row>
    <row r="32" spans="1:24" ht="30" customHeight="1" x14ac:dyDescent="0.25">
      <c r="A32" s="5" t="str">
        <f>HYPERLINK("#'8.1.1.1-2 Transport fuel'!A1", "8.1.1.1-2 Transport fuel")</f>
        <v>8.1.1.1-2 Transport fuel</v>
      </c>
      <c r="D32" s="136" t="s">
        <v>519</v>
      </c>
      <c r="E32" s="54"/>
      <c r="F32" s="55"/>
      <c r="G32" s="136"/>
      <c r="H32" s="55"/>
      <c r="I32" s="35"/>
      <c r="J32" s="35"/>
      <c r="K32" s="8"/>
      <c r="L32" s="8"/>
      <c r="M32" s="8"/>
    </row>
    <row r="33" spans="1:25" ht="36" customHeight="1" x14ac:dyDescent="0.25">
      <c r="A33" s="5" t="str">
        <f>HYPERLINK("#'8.2.1.1-2 Stationary fuel'!A1", "8.2.1.1-2 Stationary fuel")</f>
        <v>8.2.1.1-2 Stationary fuel</v>
      </c>
      <c r="D33" s="160" t="s">
        <v>520</v>
      </c>
      <c r="E33" s="161"/>
      <c r="F33" s="162"/>
      <c r="G33" s="160"/>
      <c r="H33" s="162"/>
      <c r="I33" s="8"/>
      <c r="J33" s="8"/>
      <c r="K33" s="8"/>
      <c r="L33" s="8"/>
      <c r="M33" s="35"/>
    </row>
    <row r="34" spans="1:25" ht="36" customHeight="1" x14ac:dyDescent="0.25">
      <c r="A34" s="5" t="str">
        <f>HYPERLINK("#'14.1.1-2 Purchased electricity'!A1", "14.1.1-2 Purchased electricity")</f>
        <v>14.1.1-2 Purchased electricity</v>
      </c>
      <c r="D34" s="56" t="s">
        <v>476</v>
      </c>
      <c r="E34" s="57"/>
      <c r="F34" s="57"/>
      <c r="G34" s="57"/>
      <c r="H34" s="58"/>
      <c r="I34" s="8"/>
      <c r="J34" s="8"/>
      <c r="K34" s="8"/>
      <c r="L34" s="8"/>
      <c r="M34" s="35"/>
    </row>
    <row r="35" spans="1:25" ht="36" customHeight="1" x14ac:dyDescent="0.25">
      <c r="D35" s="96" t="str">
        <f>IF(MAX(Table_Input_Lime[Total]) &gt; 1, "There can not be more than 100% ingredients in a product. Check the table below.", "")</f>
        <v/>
      </c>
    </row>
    <row r="36" spans="1:25" ht="36" customHeight="1" x14ac:dyDescent="0.25">
      <c r="D36" s="163" t="s">
        <v>153</v>
      </c>
      <c r="E36" s="163" t="s">
        <v>521</v>
      </c>
      <c r="F36" s="163" t="s">
        <v>482</v>
      </c>
      <c r="G36" s="163" t="s">
        <v>522</v>
      </c>
      <c r="H36" s="163" t="s">
        <v>523</v>
      </c>
      <c r="I36" s="163" t="s">
        <v>524</v>
      </c>
      <c r="J36" s="163" t="s">
        <v>525</v>
      </c>
      <c r="K36" s="163" t="s">
        <v>4</v>
      </c>
    </row>
    <row r="37" spans="1:25" ht="20.100000000000001" customHeight="1" x14ac:dyDescent="0.25">
      <c r="A37" s="251" t="s">
        <v>1</v>
      </c>
      <c r="D37" s="164" t="s">
        <v>526</v>
      </c>
      <c r="E37" s="145">
        <v>1</v>
      </c>
      <c r="F37" s="145">
        <v>100</v>
      </c>
      <c r="G37" s="146">
        <v>100</v>
      </c>
      <c r="H37" s="165">
        <v>0.8</v>
      </c>
      <c r="I37" s="165">
        <v>0.1</v>
      </c>
      <c r="J37" s="165">
        <v>0.1</v>
      </c>
      <c r="K37" s="166">
        <f>SUM(Table_Input_Lime[[#This Row],[Percent Lime CaCO3]:[Percent Gypsum]])</f>
        <v>1</v>
      </c>
    </row>
    <row r="38" spans="1:25" ht="20.100000000000001" customHeight="1" x14ac:dyDescent="0.25">
      <c r="A38" s="5" t="str">
        <f>HYPERLINK("#'Constants - Pasture Beef'!A1", "Constants - Pasture Beef")</f>
        <v>Constants - Pasture Beef</v>
      </c>
      <c r="C38" s="152"/>
      <c r="D38" s="164" t="s">
        <v>527</v>
      </c>
      <c r="E38" s="145">
        <v>1</v>
      </c>
      <c r="F38" s="145">
        <v>100</v>
      </c>
      <c r="G38" s="146">
        <v>100</v>
      </c>
      <c r="H38" s="165">
        <v>1</v>
      </c>
      <c r="I38" s="165"/>
      <c r="J38" s="165"/>
      <c r="K38" s="166">
        <f>SUM(Table_Input_Lime[[#This Row],[Percent Lime CaCO3]:[Percent Gypsum]])</f>
        <v>1</v>
      </c>
      <c r="L38" s="35"/>
    </row>
    <row r="39" spans="1:25" ht="20.100000000000001" customHeight="1" x14ac:dyDescent="0.25">
      <c r="A39" s="5" t="str">
        <f>HYPERLINK("#'Constants - Ag Residue'!A1", "Constants - Ag residue")</f>
        <v>Constants - Ag residue</v>
      </c>
      <c r="C39" s="152"/>
      <c r="D39" s="164" t="s">
        <v>528</v>
      </c>
      <c r="E39" s="145">
        <v>1</v>
      </c>
      <c r="F39" s="145">
        <v>100</v>
      </c>
      <c r="G39" s="146">
        <v>100</v>
      </c>
      <c r="H39" s="165">
        <v>0</v>
      </c>
      <c r="I39" s="165"/>
      <c r="J39" s="165">
        <v>1</v>
      </c>
      <c r="K39" s="166">
        <f>SUM(Table_Input_Lime[[#This Row],[Percent Lime CaCO3]:[Percent Gypsum]])</f>
        <v>1</v>
      </c>
      <c r="L39" s="35"/>
      <c r="M39" s="35"/>
    </row>
    <row r="40" spans="1:25" s="167" customFormat="1" ht="20.100000000000001" customHeight="1" x14ac:dyDescent="0.25">
      <c r="A40" s="5" t="str">
        <f>HYPERLINK("#'Constants - Common Livestock'!A1", "Constants - Common Livestock")</f>
        <v>Constants - Common Livestock</v>
      </c>
      <c r="C40" s="1"/>
      <c r="D40" s="8"/>
      <c r="E40" s="8"/>
      <c r="F40" s="8"/>
      <c r="G40" s="8"/>
      <c r="H40" s="8"/>
      <c r="I40" s="8"/>
      <c r="J40" s="8"/>
      <c r="K40" s="1"/>
      <c r="L40" s="8"/>
      <c r="M40" s="35"/>
      <c r="N40" s="1"/>
      <c r="O40" s="1"/>
      <c r="P40" s="1"/>
      <c r="Q40" s="1"/>
      <c r="R40" s="1"/>
      <c r="S40" s="1"/>
      <c r="T40" s="1"/>
      <c r="U40" s="1"/>
      <c r="V40" s="1"/>
      <c r="W40" s="1"/>
      <c r="X40" s="1"/>
      <c r="Y40" s="1"/>
    </row>
    <row r="41" spans="1:25" s="167" customFormat="1" ht="20.100000000000001" customHeight="1" x14ac:dyDescent="0.25">
      <c r="A41" s="5" t="str">
        <f>HYPERLINK("#'Constants - Electricity'!A1", "Constants - Electricity")</f>
        <v>Constants - Electricity</v>
      </c>
      <c r="C41" s="1"/>
      <c r="D41" s="8"/>
      <c r="E41" s="8"/>
      <c r="F41" s="8"/>
      <c r="G41" s="8"/>
      <c r="H41" s="8"/>
      <c r="I41" s="8"/>
      <c r="J41" s="168"/>
      <c r="K41" s="35"/>
      <c r="L41" s="8"/>
      <c r="M41" s="8"/>
      <c r="N41" s="1"/>
      <c r="O41" s="1"/>
      <c r="P41" s="1"/>
      <c r="Q41" s="1"/>
      <c r="R41" s="1"/>
      <c r="S41" s="1"/>
      <c r="T41" s="1"/>
      <c r="U41" s="1"/>
      <c r="V41" s="1"/>
      <c r="W41" s="1"/>
      <c r="X41" s="1"/>
      <c r="Y41" s="1"/>
    </row>
    <row r="42" spans="1:25" ht="30" customHeight="1" x14ac:dyDescent="0.25">
      <c r="A42" s="5" t="str">
        <f>HYPERLINK("#'Constants - Fertiliser'!A1", "Constants - Fertiliser")</f>
        <v>Constants - Fertiliser</v>
      </c>
      <c r="D42" s="2" t="s">
        <v>529</v>
      </c>
      <c r="E42" s="35"/>
      <c r="F42" s="35"/>
      <c r="G42" s="35"/>
      <c r="H42" s="8"/>
      <c r="I42" s="8"/>
      <c r="J42" s="8"/>
      <c r="K42" s="8"/>
      <c r="L42" s="8"/>
      <c r="M42" s="8"/>
      <c r="S42" s="152"/>
    </row>
    <row r="43" spans="1:25" ht="36" customHeight="1" x14ac:dyDescent="0.25">
      <c r="A43" s="5" t="str">
        <f>HYPERLINK("#'Constants - Fuel'!A1", "Constants - Fuel")</f>
        <v>Constants - Fuel</v>
      </c>
      <c r="D43" s="8"/>
      <c r="E43" s="8"/>
      <c r="F43" s="8"/>
      <c r="G43" s="8"/>
      <c r="H43" s="8"/>
      <c r="I43" s="8"/>
      <c r="J43" s="8"/>
      <c r="K43" s="8"/>
      <c r="L43" s="8"/>
      <c r="M43" s="8"/>
      <c r="Q43" s="152"/>
      <c r="R43" s="152"/>
      <c r="S43" s="152"/>
    </row>
    <row r="44" spans="1:25" ht="36" customHeight="1" x14ac:dyDescent="0.25">
      <c r="A44" s="5" t="str">
        <f>HYPERLINK("#'Constants - Common'!A1", "Constants - Common")</f>
        <v>Constants - Common</v>
      </c>
      <c r="D44" s="136" t="s">
        <v>519</v>
      </c>
      <c r="E44" s="54"/>
      <c r="F44" s="54"/>
      <c r="G44" s="54"/>
      <c r="H44" s="55"/>
      <c r="I44" s="8"/>
      <c r="J44" s="8"/>
      <c r="K44" s="8"/>
      <c r="L44" s="8"/>
      <c r="M44" s="8"/>
      <c r="O44" s="152"/>
      <c r="P44" s="152"/>
      <c r="Q44" s="152"/>
      <c r="R44" s="152"/>
    </row>
    <row r="45" spans="1:25" ht="36" customHeight="1" x14ac:dyDescent="0.25">
      <c r="A45" s="5" t="str">
        <f>HYPERLINK("#'Acknowledgements'!A1", "Acknowledgements")</f>
        <v>Acknowledgements</v>
      </c>
      <c r="D45" s="56" t="s">
        <v>476</v>
      </c>
      <c r="E45" s="57"/>
      <c r="F45" s="57"/>
      <c r="G45" s="57"/>
      <c r="H45" s="58"/>
      <c r="I45" s="8"/>
      <c r="J45" s="8"/>
      <c r="K45" s="8"/>
      <c r="L45" s="154"/>
      <c r="M45" s="152"/>
      <c r="N45" s="152"/>
      <c r="O45" s="152"/>
      <c r="P45" s="152"/>
    </row>
    <row r="46" spans="1:25" ht="36" customHeight="1" x14ac:dyDescent="0.25">
      <c r="A46" s="5" t="str">
        <f>HYPERLINK("#'Overview'!A1", "Overview")</f>
        <v>Overview</v>
      </c>
      <c r="D46" s="8"/>
      <c r="E46" s="8"/>
      <c r="F46" s="8"/>
      <c r="G46" s="8"/>
      <c r="H46" s="8"/>
      <c r="I46" s="8"/>
      <c r="J46" s="8"/>
      <c r="K46" s="8"/>
      <c r="L46" s="154"/>
      <c r="M46" s="152"/>
      <c r="N46" s="152"/>
    </row>
    <row r="47" spans="1:25" ht="20.100000000000001" customHeight="1" x14ac:dyDescent="0.25">
      <c r="D47" s="163" t="s">
        <v>530</v>
      </c>
      <c r="E47" s="163" t="s">
        <v>531</v>
      </c>
      <c r="F47" s="163" t="s">
        <v>532</v>
      </c>
      <c r="G47" s="163" t="s">
        <v>533</v>
      </c>
      <c r="H47" s="163" t="s">
        <v>482</v>
      </c>
      <c r="I47" s="163" t="s">
        <v>534</v>
      </c>
      <c r="J47" s="163" t="s">
        <v>535</v>
      </c>
      <c r="K47" s="154"/>
    </row>
    <row r="48" spans="1:25" ht="20.100000000000001" customHeight="1" x14ac:dyDescent="0.25">
      <c r="D48" s="99" t="s">
        <v>536</v>
      </c>
      <c r="E48" s="165">
        <v>0.3</v>
      </c>
      <c r="F48" s="145">
        <v>10</v>
      </c>
      <c r="G48" s="146">
        <v>3</v>
      </c>
      <c r="H48" s="145">
        <v>100</v>
      </c>
      <c r="I48" s="146">
        <v>1000</v>
      </c>
      <c r="J48" s="146">
        <v>300</v>
      </c>
      <c r="K48" s="154"/>
    </row>
    <row r="49" spans="4:10" ht="20.100000000000001" customHeight="1" x14ac:dyDescent="0.25">
      <c r="D49" s="99" t="s">
        <v>537</v>
      </c>
      <c r="E49" s="165">
        <v>0.25</v>
      </c>
      <c r="F49" s="145">
        <v>10</v>
      </c>
      <c r="G49" s="146">
        <v>2.5</v>
      </c>
      <c r="H49" s="145">
        <v>100</v>
      </c>
      <c r="I49" s="146">
        <v>1000</v>
      </c>
      <c r="J49" s="146">
        <v>250</v>
      </c>
    </row>
    <row r="50" spans="4:10" ht="20.100000000000001" customHeight="1" x14ac:dyDescent="0.25">
      <c r="D50" s="99" t="s">
        <v>538</v>
      </c>
      <c r="E50" s="165">
        <v>0.16</v>
      </c>
      <c r="F50" s="145">
        <v>10</v>
      </c>
      <c r="G50" s="146">
        <v>1.6</v>
      </c>
      <c r="H50" s="145">
        <v>100</v>
      </c>
      <c r="I50" s="146">
        <v>1000</v>
      </c>
      <c r="J50" s="146">
        <v>160</v>
      </c>
    </row>
    <row r="51" spans="4:10" ht="20.100000000000001" customHeight="1" x14ac:dyDescent="0.25"/>
    <row r="52" spans="4:10" ht="20.100000000000001" customHeight="1" x14ac:dyDescent="0.25"/>
    <row r="53" spans="4:10" ht="20.100000000000001" customHeight="1" x14ac:dyDescent="0.25"/>
    <row r="54" spans="4:10" ht="20.100000000000001" customHeight="1" x14ac:dyDescent="0.25"/>
    <row r="55" spans="4:10" ht="20.100000000000001" customHeight="1" x14ac:dyDescent="0.25"/>
    <row r="56" spans="4:10" ht="20.100000000000001" customHeight="1" x14ac:dyDescent="0.25"/>
    <row r="57" spans="4:10" ht="20.100000000000001" customHeight="1" x14ac:dyDescent="0.25"/>
    <row r="58" spans="4:10" ht="20.100000000000001" customHeight="1" x14ac:dyDescent="0.25"/>
    <row r="59" spans="4:10" ht="20.100000000000001" customHeight="1" x14ac:dyDescent="0.25"/>
    <row r="60" spans="4:10" ht="20.100000000000001" customHeight="1" x14ac:dyDescent="0.25"/>
    <row r="61" spans="4:10" ht="20.100000000000001" customHeight="1" x14ac:dyDescent="0.25"/>
    <row r="62" spans="4:10" ht="20.100000000000001" customHeight="1" x14ac:dyDescent="0.25"/>
    <row r="63" spans="4:10" ht="20.100000000000001" customHeight="1" x14ac:dyDescent="0.25"/>
    <row r="64" spans="4:10"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spans="13:13" ht="20.100000000000001" customHeight="1" x14ac:dyDescent="0.25"/>
    <row r="114" spans="13:13" ht="20.100000000000001" customHeight="1" x14ac:dyDescent="0.25">
      <c r="M114" s="35"/>
    </row>
    <row r="115" spans="13:13" ht="20.100000000000001" customHeight="1" x14ac:dyDescent="0.25">
      <c r="M115" s="35"/>
    </row>
    <row r="116" spans="13:13" ht="20.100000000000001" customHeight="1" x14ac:dyDescent="0.25">
      <c r="M116" s="35"/>
    </row>
    <row r="117" spans="13:13" ht="20.100000000000001" customHeight="1" x14ac:dyDescent="0.25">
      <c r="M117" s="35"/>
    </row>
    <row r="118" spans="13:13" ht="20.100000000000001" customHeight="1" x14ac:dyDescent="0.25">
      <c r="M118" s="35"/>
    </row>
    <row r="119" spans="13:13" ht="20.100000000000001" customHeight="1" x14ac:dyDescent="0.25">
      <c r="M119" s="35"/>
    </row>
    <row r="120" spans="13:13" ht="20.100000000000001" customHeight="1" x14ac:dyDescent="0.25">
      <c r="M120" s="35"/>
    </row>
    <row r="121" spans="13:13" ht="20.100000000000001" customHeight="1" x14ac:dyDescent="0.25">
      <c r="M121" s="35"/>
    </row>
    <row r="122" spans="13:13" ht="20.100000000000001" customHeight="1" x14ac:dyDescent="0.25">
      <c r="M122" s="35"/>
    </row>
    <row r="123" spans="13:13" ht="20.100000000000001" customHeight="1" x14ac:dyDescent="0.25">
      <c r="M123" s="35"/>
    </row>
    <row r="124" spans="13:13" ht="20.100000000000001" customHeight="1" x14ac:dyDescent="0.25">
      <c r="M124" s="35"/>
    </row>
    <row r="125" spans="13:13" ht="20.100000000000001" customHeight="1" x14ac:dyDescent="0.25">
      <c r="M125" s="35"/>
    </row>
    <row r="126" spans="13:13" ht="20.100000000000001" customHeight="1" x14ac:dyDescent="0.25">
      <c r="M126" s="35"/>
    </row>
    <row r="127" spans="13:13" ht="20.100000000000001" customHeight="1" x14ac:dyDescent="0.25">
      <c r="M127" s="35"/>
    </row>
    <row r="128" spans="13:13" ht="20.100000000000001" customHeight="1" x14ac:dyDescent="0.25">
      <c r="M128" s="35"/>
    </row>
    <row r="129" spans="13:13" ht="20.100000000000001" customHeight="1" x14ac:dyDescent="0.25">
      <c r="M129" s="35"/>
    </row>
    <row r="130" spans="13:13" ht="20.100000000000001" customHeight="1" x14ac:dyDescent="0.25">
      <c r="M130" s="35"/>
    </row>
    <row r="131" spans="13:13" ht="20.100000000000001" customHeight="1" x14ac:dyDescent="0.25">
      <c r="M131" s="35"/>
    </row>
    <row r="132" spans="13:13" ht="20.100000000000001" customHeight="1" x14ac:dyDescent="0.25">
      <c r="M132" s="35"/>
    </row>
    <row r="133" spans="13:13" ht="20.100000000000001" customHeight="1" x14ac:dyDescent="0.25">
      <c r="M133" s="35"/>
    </row>
    <row r="134" spans="13:13" ht="20.100000000000001" customHeight="1" x14ac:dyDescent="0.25">
      <c r="M134" s="35"/>
    </row>
    <row r="135" spans="13:13" ht="20.100000000000001" customHeight="1" x14ac:dyDescent="0.25">
      <c r="M135" s="35"/>
    </row>
    <row r="136" spans="13:13" ht="20.100000000000001" customHeight="1" x14ac:dyDescent="0.25"/>
    <row r="137" spans="13:13" ht="20.100000000000001" customHeight="1" x14ac:dyDescent="0.25"/>
    <row r="138" spans="13:13" ht="20.100000000000001" customHeight="1" x14ac:dyDescent="0.25"/>
    <row r="139" spans="13:13" ht="20.100000000000001" customHeight="1" x14ac:dyDescent="0.25"/>
    <row r="140" spans="13:13" ht="20.100000000000001" customHeight="1" x14ac:dyDescent="0.25"/>
    <row r="141" spans="13:13" ht="20.100000000000001" customHeight="1" x14ac:dyDescent="0.25"/>
    <row r="142" spans="13:13" ht="20.100000000000001" customHeight="1" x14ac:dyDescent="0.25"/>
    <row r="143" spans="13:13" ht="20.100000000000001" customHeight="1" x14ac:dyDescent="0.25"/>
    <row r="144" spans="13:13"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212" spans="12:12" x14ac:dyDescent="0.25">
      <c r="L212" s="26"/>
    </row>
    <row r="213" spans="12:12" x14ac:dyDescent="0.25">
      <c r="L213" s="26"/>
    </row>
    <row r="214" spans="12:12" x14ac:dyDescent="0.25">
      <c r="L214" s="26"/>
    </row>
    <row r="215" spans="12:12" x14ac:dyDescent="0.25">
      <c r="L215" s="26"/>
    </row>
    <row r="216" spans="12:12" x14ac:dyDescent="0.25">
      <c r="L216" s="26"/>
    </row>
    <row r="218" spans="12:12" x14ac:dyDescent="0.25">
      <c r="L218" s="26"/>
    </row>
    <row r="220" spans="12:12" x14ac:dyDescent="0.25">
      <c r="L220" s="26"/>
    </row>
    <row r="221" spans="12:12" x14ac:dyDescent="0.25">
      <c r="L221" s="26"/>
    </row>
    <row r="222" spans="12:12" x14ac:dyDescent="0.25">
      <c r="L222" s="26"/>
    </row>
    <row r="223" spans="12:12" x14ac:dyDescent="0.25">
      <c r="L223" s="26"/>
    </row>
    <row r="225" spans="12:12" x14ac:dyDescent="0.25">
      <c r="L225" s="26"/>
    </row>
    <row r="233" spans="12:12" x14ac:dyDescent="0.25">
      <c r="L233" s="26"/>
    </row>
    <row r="234" spans="12:12" x14ac:dyDescent="0.25">
      <c r="L234" s="26"/>
    </row>
    <row r="235" spans="12:12" x14ac:dyDescent="0.25">
      <c r="L235" s="26"/>
    </row>
    <row r="238" spans="12:12" x14ac:dyDescent="0.25">
      <c r="L238" s="26"/>
    </row>
    <row r="239" spans="12:12" x14ac:dyDescent="0.25">
      <c r="L239" s="26"/>
    </row>
    <row r="240" spans="12:12" x14ac:dyDescent="0.25">
      <c r="L240" s="26"/>
    </row>
    <row r="243" spans="11:12" x14ac:dyDescent="0.25">
      <c r="L243" s="26"/>
    </row>
    <row r="244" spans="11:12" x14ac:dyDescent="0.25">
      <c r="L244" s="26"/>
    </row>
    <row r="245" spans="11:12" x14ac:dyDescent="0.25">
      <c r="L245" s="26"/>
    </row>
    <row r="248" spans="11:12" x14ac:dyDescent="0.25">
      <c r="L248" s="26"/>
    </row>
    <row r="249" spans="11:12" x14ac:dyDescent="0.25">
      <c r="L249" s="26"/>
    </row>
    <row r="250" spans="11:12" x14ac:dyDescent="0.25">
      <c r="L250" s="26"/>
    </row>
    <row r="251" spans="11:12" x14ac:dyDescent="0.25">
      <c r="K251" s="26"/>
    </row>
    <row r="256" spans="11:12" x14ac:dyDescent="0.25">
      <c r="K256" s="26"/>
    </row>
    <row r="257" spans="11:12" x14ac:dyDescent="0.25">
      <c r="L257" s="26"/>
    </row>
    <row r="258" spans="11:12" x14ac:dyDescent="0.25">
      <c r="L258" s="26"/>
    </row>
    <row r="259" spans="11:12" x14ac:dyDescent="0.25">
      <c r="L259" s="26"/>
    </row>
    <row r="261" spans="11:12" x14ac:dyDescent="0.25">
      <c r="K261" s="26"/>
    </row>
    <row r="262" spans="11:12" x14ac:dyDescent="0.25">
      <c r="L262" s="26"/>
    </row>
    <row r="263" spans="11:12" x14ac:dyDescent="0.25">
      <c r="L263" s="26"/>
    </row>
    <row r="264" spans="11:12" x14ac:dyDescent="0.25">
      <c r="L264" s="26"/>
    </row>
    <row r="266" spans="11:12" x14ac:dyDescent="0.25">
      <c r="K266" s="26"/>
    </row>
    <row r="267" spans="11:12" x14ac:dyDescent="0.25">
      <c r="K267" s="26"/>
      <c r="L267" s="26"/>
    </row>
    <row r="268" spans="11:12" x14ac:dyDescent="0.25">
      <c r="K268" s="26"/>
      <c r="L268" s="26"/>
    </row>
    <row r="269" spans="11:12" x14ac:dyDescent="0.25">
      <c r="K269" s="26"/>
      <c r="L269" s="26"/>
    </row>
    <row r="270" spans="11:12" x14ac:dyDescent="0.25">
      <c r="K270" s="26"/>
    </row>
    <row r="272" spans="11:12" x14ac:dyDescent="0.25">
      <c r="K272" s="26"/>
      <c r="L272" s="26"/>
    </row>
    <row r="273" spans="11:12" x14ac:dyDescent="0.25">
      <c r="L273" s="26"/>
    </row>
    <row r="274" spans="11:12" x14ac:dyDescent="0.25">
      <c r="K274" s="26"/>
      <c r="L274" s="26"/>
    </row>
    <row r="275" spans="11:12" x14ac:dyDescent="0.25">
      <c r="K275" s="26"/>
    </row>
    <row r="276" spans="11:12" x14ac:dyDescent="0.25">
      <c r="K276" s="26"/>
    </row>
    <row r="277" spans="11:12" x14ac:dyDescent="0.25">
      <c r="K277" s="26"/>
    </row>
    <row r="279" spans="11:12" x14ac:dyDescent="0.25">
      <c r="K279" s="26"/>
    </row>
    <row r="285" spans="11:12" x14ac:dyDescent="0.25">
      <c r="K285" s="26"/>
    </row>
    <row r="290" spans="11:11" x14ac:dyDescent="0.25">
      <c r="K290" s="26"/>
    </row>
    <row r="295" spans="11:11" x14ac:dyDescent="0.25">
      <c r="K295" s="26"/>
    </row>
    <row r="300" spans="11:11" x14ac:dyDescent="0.25">
      <c r="K300" s="26"/>
    </row>
    <row r="301" spans="11:11" x14ac:dyDescent="0.25">
      <c r="K301" s="26"/>
    </row>
    <row r="302" spans="11:11" x14ac:dyDescent="0.25">
      <c r="K302" s="26"/>
    </row>
    <row r="303" spans="11:11" x14ac:dyDescent="0.25">
      <c r="K303" s="26"/>
    </row>
    <row r="304" spans="11:11" x14ac:dyDescent="0.25">
      <c r="K304" s="26"/>
    </row>
    <row r="306" spans="11:11" x14ac:dyDescent="0.25">
      <c r="K306" s="26"/>
    </row>
    <row r="308" spans="11:11" x14ac:dyDescent="0.25">
      <c r="K308" s="26"/>
    </row>
    <row r="309" spans="11:11" x14ac:dyDescent="0.25">
      <c r="K309" s="26"/>
    </row>
    <row r="310" spans="11:11" x14ac:dyDescent="0.25">
      <c r="K310" s="26"/>
    </row>
    <row r="311" spans="11:11" x14ac:dyDescent="0.25">
      <c r="K311" s="26"/>
    </row>
    <row r="313" spans="11:11" x14ac:dyDescent="0.25">
      <c r="K313" s="26"/>
    </row>
    <row r="321" spans="11:11" x14ac:dyDescent="0.25">
      <c r="K321" s="26"/>
    </row>
    <row r="322" spans="11:11" x14ac:dyDescent="0.25">
      <c r="K322" s="26"/>
    </row>
    <row r="323" spans="11:11" x14ac:dyDescent="0.25">
      <c r="K323" s="26"/>
    </row>
    <row r="326" spans="11:11" x14ac:dyDescent="0.25">
      <c r="K326" s="26"/>
    </row>
    <row r="327" spans="11:11" x14ac:dyDescent="0.25">
      <c r="K327" s="26"/>
    </row>
    <row r="328" spans="11:11" x14ac:dyDescent="0.25">
      <c r="K328" s="26"/>
    </row>
    <row r="331" spans="11:11" x14ac:dyDescent="0.25">
      <c r="K331" s="26"/>
    </row>
    <row r="332" spans="11:11" x14ac:dyDescent="0.25">
      <c r="K332" s="26"/>
    </row>
    <row r="333" spans="11:11" x14ac:dyDescent="0.25">
      <c r="K333" s="26"/>
    </row>
    <row r="336" spans="11:11" x14ac:dyDescent="0.25">
      <c r="K336" s="26"/>
    </row>
    <row r="337" spans="11:11" x14ac:dyDescent="0.25">
      <c r="K337" s="26"/>
    </row>
    <row r="338" spans="11:11" x14ac:dyDescent="0.25">
      <c r="K338" s="26"/>
    </row>
    <row r="345" spans="11:11" x14ac:dyDescent="0.25">
      <c r="K345" s="26"/>
    </row>
    <row r="346" spans="11:11" x14ac:dyDescent="0.25">
      <c r="K346" s="26"/>
    </row>
    <row r="347" spans="11:11" x14ac:dyDescent="0.25">
      <c r="K347" s="26"/>
    </row>
    <row r="350" spans="11:11" x14ac:dyDescent="0.25">
      <c r="K350" s="26"/>
    </row>
    <row r="351" spans="11:11" x14ac:dyDescent="0.25">
      <c r="K351" s="26"/>
    </row>
    <row r="352" spans="11:11" x14ac:dyDescent="0.25">
      <c r="K352" s="26"/>
    </row>
    <row r="355" spans="4:11" x14ac:dyDescent="0.25">
      <c r="K355" s="26"/>
    </row>
    <row r="356" spans="4:11" x14ac:dyDescent="0.25">
      <c r="K356" s="26"/>
    </row>
    <row r="357" spans="4:11" x14ac:dyDescent="0.25">
      <c r="K357" s="26"/>
    </row>
    <row r="360" spans="4:11" x14ac:dyDescent="0.25">
      <c r="K360" s="26"/>
    </row>
    <row r="361" spans="4:11" x14ac:dyDescent="0.25">
      <c r="K361" s="26"/>
    </row>
    <row r="362" spans="4:11" x14ac:dyDescent="0.25">
      <c r="K362" s="26"/>
    </row>
    <row r="366" spans="4:11" x14ac:dyDescent="0.25">
      <c r="D366" s="96"/>
    </row>
  </sheetData>
  <conditionalFormatting sqref="F52 L186 K188 L190:L191 K192:K193 L194:L195 K196:K197 L200:L201 K202:K203 L204:L205 K206:K207 L211:L216 K213">
    <cfRule type="cellIs" dxfId="61" priority="19" operator="lessThan">
      <formula>0</formula>
    </cfRule>
  </conditionalFormatting>
  <conditionalFormatting sqref="F155:F156">
    <cfRule type="cellIs" dxfId="60" priority="15" operator="lessThan">
      <formula>0</formula>
    </cfRule>
  </conditionalFormatting>
  <conditionalFormatting sqref="F167:F168">
    <cfRule type="cellIs" dxfId="59" priority="14" operator="lessThan">
      <formula>0</formula>
    </cfRule>
  </conditionalFormatting>
  <conditionalFormatting sqref="F255:F256">
    <cfRule type="cellIs" dxfId="58" priority="27" operator="lessThan">
      <formula>0</formula>
    </cfRule>
  </conditionalFormatting>
  <conditionalFormatting sqref="F260:F261">
    <cfRule type="cellIs" dxfId="57" priority="26" operator="lessThan">
      <formula>0</formula>
    </cfRule>
  </conditionalFormatting>
  <conditionalFormatting sqref="F265:F266">
    <cfRule type="cellIs" dxfId="56" priority="25" operator="lessThan">
      <formula>0</formula>
    </cfRule>
  </conditionalFormatting>
  <conditionalFormatting sqref="F289:F290">
    <cfRule type="cellIs" dxfId="55" priority="24" operator="lessThan">
      <formula>0</formula>
    </cfRule>
  </conditionalFormatting>
  <conditionalFormatting sqref="F294:F295">
    <cfRule type="cellIs" dxfId="54" priority="23" operator="lessThan">
      <formula>0</formula>
    </cfRule>
  </conditionalFormatting>
  <conditionalFormatting sqref="F299:F300">
    <cfRule type="cellIs" dxfId="53" priority="22" operator="lessThan">
      <formula>0</formula>
    </cfRule>
  </conditionalFormatting>
  <conditionalFormatting sqref="H47:H50 F131:F132">
    <cfRule type="cellIs" dxfId="52" priority="17" operator="lessThan">
      <formula>0</formula>
    </cfRule>
  </conditionalFormatting>
  <conditionalFormatting sqref="I34 I45:I46 O47 N48 I51 I53:I55 I57:I58 I209:J209 E215:G215 I215:J215 K251 J253 K256 J258 K261 J263 K266:K270 J268:J272 K272 J274 K274:K277 J276:J279 K279 J281 K285 J287 K290 J292 K295 J297 K300:K304 J302:J306 K306 J308 K308:K311 J310:J313 K313 J315">
    <cfRule type="cellIs" dxfId="51" priority="21" operator="lessThan">
      <formula>0</formula>
    </cfRule>
  </conditionalFormatting>
  <conditionalFormatting sqref="I36:I41 F143:F144">
    <cfRule type="cellIs" dxfId="50" priority="16" operator="lessThan">
      <formula>0</formula>
    </cfRule>
  </conditionalFormatting>
  <conditionalFormatting sqref="I62:I66">
    <cfRule type="cellIs" dxfId="49" priority="4" operator="lessThan">
      <formula>0</formula>
    </cfRule>
  </conditionalFormatting>
  <conditionalFormatting sqref="I70 M107 I129:J129">
    <cfRule type="cellIs" dxfId="48" priority="20" operator="lessThan">
      <formula>0</formula>
    </cfRule>
  </conditionalFormatting>
  <conditionalFormatting sqref="I81:I83">
    <cfRule type="cellIs" dxfId="47" priority="3" operator="lessThan">
      <formula>0</formula>
    </cfRule>
  </conditionalFormatting>
  <conditionalFormatting sqref="I87:I90">
    <cfRule type="cellIs" dxfId="46" priority="2" operator="lessThan">
      <formula>0</formula>
    </cfRule>
  </conditionalFormatting>
  <conditionalFormatting sqref="I94:I98">
    <cfRule type="cellIs" dxfId="45" priority="1" operator="lessThan">
      <formula>0</formula>
    </cfRule>
  </conditionalFormatting>
  <conditionalFormatting sqref="J157">
    <cfRule type="cellIs" dxfId="44" priority="18" operator="lessThan">
      <formula>0</formula>
    </cfRule>
  </conditionalFormatting>
  <conditionalFormatting sqref="L119:L122">
    <cfRule type="cellIs" dxfId="43" priority="8" operator="lessThan">
      <formula>0</formula>
    </cfRule>
  </conditionalFormatting>
  <conditionalFormatting sqref="L125">
    <cfRule type="cellIs" dxfId="42" priority="13" operator="lessThan">
      <formula>0</formula>
    </cfRule>
  </conditionalFormatting>
  <conditionalFormatting sqref="L131:L134">
    <cfRule type="cellIs" dxfId="41" priority="7" operator="lessThan">
      <formula>0</formula>
    </cfRule>
  </conditionalFormatting>
  <conditionalFormatting sqref="L137">
    <cfRule type="cellIs" dxfId="40" priority="12" operator="lessThan">
      <formula>0</formula>
    </cfRule>
  </conditionalFormatting>
  <conditionalFormatting sqref="L143:L146">
    <cfRule type="cellIs" dxfId="39" priority="6" operator="lessThan">
      <formula>0</formula>
    </cfRule>
  </conditionalFormatting>
  <conditionalFormatting sqref="L149">
    <cfRule type="cellIs" dxfId="38" priority="11" operator="lessThan">
      <formula>0</formula>
    </cfRule>
  </conditionalFormatting>
  <conditionalFormatting sqref="L155:L158">
    <cfRule type="cellIs" dxfId="37" priority="5" operator="lessThan">
      <formula>0</formula>
    </cfRule>
  </conditionalFormatting>
  <conditionalFormatting sqref="L161">
    <cfRule type="cellIs" dxfId="36" priority="10" operator="lessThan">
      <formula>0</formula>
    </cfRule>
  </conditionalFormatting>
  <conditionalFormatting sqref="L165:L166">
    <cfRule type="cellIs" dxfId="35" priority="9" operator="lessThan">
      <formula>0</formula>
    </cfRule>
  </conditionalFormatting>
  <conditionalFormatting sqref="L218 L220:L223 L225 J233:J235 J238:J240">
    <cfRule type="cellIs" dxfId="34" priority="28" operator="lessThan">
      <formula>0</formula>
    </cfRule>
  </conditionalFormatting>
  <dataValidations count="12">
    <dataValidation type="list" allowBlank="1" showInputMessage="1" showErrorMessage="1" sqref="Q26:R28" xr:uid="{2977D661-AA61-4AC1-9BD2-EE92EC19B6B6}">
      <formula1>INDIRECT("Table_SourceData_Fertiliser_UreaAmmoniaSources[Source]")</formula1>
    </dataValidation>
    <dataValidation type="list" allowBlank="1" showInputMessage="1" showErrorMessage="1" sqref="D18:D22" xr:uid="{D1418D00-97E9-480E-BA23-097C1AA8859B}">
      <formula1>INDIRECT("FertiliserProducts[Product Name]")</formula1>
    </dataValidation>
    <dataValidation type="list" allowBlank="1" showInputMessage="1" showErrorMessage="1" sqref="D48:D50" xr:uid="{334DE149-C240-4671-BDCA-18AE423D4B48}">
      <formula1>INDIRECT("Table_SourceData_OrganicFertiliserTypes[Organic fertiliser type]")</formula1>
    </dataValidation>
    <dataValidation type="list" allowBlank="1" showInputMessage="1" showErrorMessage="1" sqref="H26:H28 J26:J28 L26:L28 N26:N28" xr:uid="{D7EA6938-0278-4FFD-8204-35FDEDCB2088}">
      <formula1>INDIRECT("Table_Fertiliser_ChemicalCompounds[Fertiliser type f]")</formula1>
    </dataValidation>
    <dataValidation type="list" allowBlank="1" showInputMessage="1" showErrorMessage="1" sqref="E7" xr:uid="{2CAD7BCA-B9B2-462D-A709-FD89866DC989}">
      <formula1>INDIRECT("Table_SourceData_Fertiliser_CropTypes[Production system]")</formula1>
    </dataValidation>
    <dataValidation type="list" allowBlank="1" showInputMessage="1" showErrorMessage="1" sqref="E8" xr:uid="{90939079-6814-4400-A6AD-F90997115597}">
      <formula1>INDIRECT("Table_SourceData_Fertiliser_IrrigationMethods[Irrigation method]")</formula1>
    </dataValidation>
    <dataValidation type="list" allowBlank="1" showInputMessage="1" showErrorMessage="1" sqref="E6" xr:uid="{0927D6AA-0502-49D9-9600-360473BF955E}">
      <formula1>INDIRECT("Table_SourceData_Fertiliser_CropProdSystems[Production system]")</formula1>
    </dataValidation>
    <dataValidation type="list" allowBlank="1" showInputMessage="1" showErrorMessage="1" sqref="E69" xr:uid="{AA22EE93-4B6F-41F2-B312-BBC91F3A5073}">
      <formula1>INDIRECT("Table_SourceData_Swine_CropProdSystems[Production system]")</formula1>
    </dataValidation>
    <dataValidation type="list" allowBlank="1" showInputMessage="1" showErrorMessage="1" sqref="E70" xr:uid="{D4AC544C-CA39-4641-A33E-EF7193CF917D}">
      <formula1>INDIRECT("Table_SourceData_Swine_IrrigationMethods[Irrigation method]")</formula1>
    </dataValidation>
    <dataValidation type="list" allowBlank="1" showInputMessage="1" showErrorMessage="1" sqref="E254 E259 E264 E298 E293 E288 E166 E154 E130 E142" xr:uid="{4BDF1A5E-538C-470F-8D14-B239A17D412E}">
      <formula1>"Yes, No"</formula1>
    </dataValidation>
    <dataValidation type="list" allowBlank="1" showInputMessage="1" showErrorMessage="1" sqref="E230" xr:uid="{879C21C2-5AB4-4189-8C9C-887C71FF4FCB}">
      <formula1>INDIRECT("Table_SourceData_Dairy_ProductionSystemTemplates[Area]")</formula1>
    </dataValidation>
    <dataValidation type="list" allowBlank="1" showInputMessage="1" showErrorMessage="1" sqref="D282" xr:uid="{5F800AF8-FA47-4E6B-BB6B-6443BC27EB50}">
      <formula1>INDIRECT("Table_SourceData_PoultryMMSStage1[MMS]")</formula1>
    </dataValidation>
  </dataValidations>
  <pageMargins left="0.7" right="0.7" top="0.75" bottom="0.75" header="0.3" footer="0.3"/>
  <pageSetup paperSize="9" orientation="portrait" r:id="rId1"/>
  <tableParts count="4">
    <tablePart r:id="rId2"/>
    <tablePart r:id="rId3"/>
    <tablePart r:id="rId4"/>
    <tablePart r:id="rId5"/>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6073C-E006-4507-B732-DE32553C94C1}">
  <dimension ref="A1:K346"/>
  <sheetViews>
    <sheetView showGridLines="0" topLeftCell="A2" zoomScale="85" zoomScaleNormal="85" workbookViewId="0">
      <selection activeCell="A46" sqref="A46"/>
    </sheetView>
  </sheetViews>
  <sheetFormatPr defaultRowHeight="15.75" x14ac:dyDescent="0.25"/>
  <cols>
    <col min="1" max="1" width="30.7109375" customWidth="1"/>
    <col min="2" max="2" width="4.7109375" customWidth="1"/>
    <col min="3" max="3" width="4.7109375" style="1" customWidth="1"/>
    <col min="4" max="4" width="52.140625" style="1" customWidth="1"/>
    <col min="5" max="5" width="47" style="1" customWidth="1"/>
    <col min="6" max="10" width="24.85546875" style="1" customWidth="1"/>
    <col min="11" max="11" width="4.7109375" style="1" customWidth="1"/>
    <col min="12" max="12" width="4.7109375" customWidth="1"/>
  </cols>
  <sheetData>
    <row r="1" spans="1:11" s="16" customFormat="1" ht="30" customHeight="1" x14ac:dyDescent="0.35">
      <c r="A1" s="16" t="e" vm="1">
        <v>#VALUE!</v>
      </c>
      <c r="C1" s="16" t="s">
        <v>702</v>
      </c>
    </row>
    <row r="2" spans="1:11" s="3" customFormat="1" ht="20.100000000000001" customHeight="1" x14ac:dyDescent="0.25">
      <c r="A2"/>
    </row>
    <row r="3" spans="1:11" ht="20.100000000000001" customHeight="1" x14ac:dyDescent="0.25">
      <c r="A3" s="5" t="str">
        <f>HYPERLINK("#'Home'!A1", "Home")</f>
        <v>Home</v>
      </c>
      <c r="C3" s="39"/>
      <c r="D3" s="39"/>
      <c r="E3" s="39"/>
      <c r="F3" s="39"/>
      <c r="G3" s="39"/>
      <c r="H3" s="39"/>
      <c r="I3" s="39"/>
      <c r="J3" s="39"/>
      <c r="K3" s="39"/>
    </row>
    <row r="4" spans="1:11" ht="20.100000000000001" customHeight="1" x14ac:dyDescent="0.25">
      <c r="A4" s="5" t="str">
        <f>HYPERLINK("#'Results'!A1", "Results")</f>
        <v>Results</v>
      </c>
    </row>
    <row r="5" spans="1:11" ht="20.100000000000001" customHeight="1" x14ac:dyDescent="0.25">
      <c r="D5" s="2" t="s">
        <v>703</v>
      </c>
      <c r="E5" s="35"/>
      <c r="F5" s="35"/>
      <c r="G5" s="35"/>
      <c r="H5" s="35"/>
    </row>
    <row r="6" spans="1:11" ht="20.100000000000001" customHeight="1" x14ac:dyDescent="0.25">
      <c r="D6" s="8"/>
      <c r="E6" s="8"/>
      <c r="F6" s="8"/>
      <c r="G6" s="8"/>
      <c r="H6" s="8"/>
      <c r="I6" s="8"/>
      <c r="J6" s="8"/>
    </row>
    <row r="7" spans="1:11" ht="20.100000000000001" customHeight="1" x14ac:dyDescent="0.25">
      <c r="A7" s="7" t="s">
        <v>0</v>
      </c>
      <c r="D7" s="1" t="s">
        <v>704</v>
      </c>
    </row>
    <row r="8" spans="1:11" ht="20.100000000000001" customHeight="1" x14ac:dyDescent="0.25">
      <c r="A8" s="5" t="str">
        <f>HYPERLINK("#'Input - Enterprise'!A1", "Enterprise")</f>
        <v>Enterprise</v>
      </c>
      <c r="D8" s="1" t="s">
        <v>705</v>
      </c>
    </row>
    <row r="9" spans="1:11" ht="20.100000000000001" customHeight="1" x14ac:dyDescent="0.25">
      <c r="A9" s="5" t="str">
        <f>HYPERLINK("#'Input - Site'!A1", "Site")</f>
        <v>Site</v>
      </c>
      <c r="D9" s="1" t="s">
        <v>706</v>
      </c>
    </row>
    <row r="10" spans="1:11" ht="20.100000000000001" customHeight="1" x14ac:dyDescent="0.25">
      <c r="A10" s="5" t="str">
        <f>HYPERLINK("#'Input - Pasture Beef'!A1", "Pasture Beef")</f>
        <v>Pasture Beef</v>
      </c>
    </row>
    <row r="11" spans="1:11" ht="20.100000000000001" customHeight="1" x14ac:dyDescent="0.25">
      <c r="A11" s="5" t="str">
        <f>HYPERLINK("#'Input - Pasture Beef (Enteric)'!A1", "Pasture Beef (Enteric)")</f>
        <v>Pasture Beef (Enteric)</v>
      </c>
      <c r="D11" s="1" t="s">
        <v>707</v>
      </c>
      <c r="E11" s="23" t="s">
        <v>708</v>
      </c>
      <c r="F11" s="26" t="s">
        <v>109</v>
      </c>
    </row>
    <row r="12" spans="1:11" ht="20.100000000000001" customHeight="1" x14ac:dyDescent="0.25">
      <c r="A12" s="5" t="str">
        <f>HYPERLINK("#'Input - Pasture'!A1", "Pasture")</f>
        <v>Pasture</v>
      </c>
    </row>
    <row r="13" spans="1:11" ht="20.100000000000001" customHeight="1" x14ac:dyDescent="0.25">
      <c r="A13" s="5" t="str">
        <f>HYPERLINK("#'Input - Fertiliser'!A1", "Fertiliser")</f>
        <v>Fertiliser</v>
      </c>
      <c r="D13" s="136" t="s">
        <v>674</v>
      </c>
      <c r="E13" s="54"/>
      <c r="F13" s="54"/>
      <c r="G13" s="54"/>
      <c r="H13" s="55"/>
    </row>
    <row r="14" spans="1:11" ht="20.100000000000001" customHeight="1" x14ac:dyDescent="0.25">
      <c r="A14" s="135" t="str">
        <f>HYPERLINK("#'Input - Fuel'!A1", "Fuel")</f>
        <v>Fuel</v>
      </c>
      <c r="D14" s="56" t="s">
        <v>709</v>
      </c>
      <c r="E14" s="57"/>
      <c r="F14" s="57"/>
      <c r="G14" s="57"/>
      <c r="H14" s="58"/>
    </row>
    <row r="15" spans="1:11" ht="20.100000000000001" customHeight="1" x14ac:dyDescent="0.25">
      <c r="A15" s="5" t="str">
        <f>HYPERLINK("#'Input - Electricity'!A1", "Electricity")</f>
        <v>Electricity</v>
      </c>
      <c r="D15" s="8"/>
      <c r="E15" s="8"/>
      <c r="F15" s="8"/>
      <c r="G15" s="8"/>
      <c r="H15" s="8"/>
      <c r="I15" s="8"/>
      <c r="J15" s="8"/>
    </row>
    <row r="16" spans="1:11" ht="20.100000000000001" customHeight="1" x14ac:dyDescent="0.25">
      <c r="D16" s="117" t="s">
        <v>710</v>
      </c>
      <c r="E16" s="117" t="s">
        <v>711</v>
      </c>
      <c r="F16" s="117" t="s">
        <v>712</v>
      </c>
      <c r="G16" s="117" t="s">
        <v>713</v>
      </c>
      <c r="H16" s="117" t="s">
        <v>714</v>
      </c>
      <c r="I16" s="117" t="s">
        <v>715</v>
      </c>
      <c r="J16" s="117" t="s">
        <v>716</v>
      </c>
    </row>
    <row r="17" spans="1:10" ht="20.100000000000001" customHeight="1" x14ac:dyDescent="0.25">
      <c r="D17" s="23" t="s">
        <v>717</v>
      </c>
      <c r="E17" s="23" t="s">
        <v>718</v>
      </c>
      <c r="F17" s="196">
        <v>100</v>
      </c>
      <c r="G17" s="25" t="s">
        <v>799</v>
      </c>
      <c r="H17" s="197">
        <v>1</v>
      </c>
      <c r="I17" s="25">
        <f>Table_Input_Fuel[[#This Row],[Amount purchased]]*Table_Input_Fuel[[#This Row],[Percent consumed]]*IF(Table_Input_Fuel[[#This Row],[Amount unit]]="L", 10^-3, 1)</f>
        <v>100</v>
      </c>
      <c r="J17" s="25" t="str" cm="1">
        <f t="array" ref="J17">Common_InputFunctions.Utility_LookupValueInTable(Table_Input_Fuel[[#This Row],[Fuel type (select)]],Table_FuelTypes_Units[Fuel type], Table_FuelTypes_Units[Unit])</f>
        <v>GJ</v>
      </c>
    </row>
    <row r="18" spans="1:10" ht="20.100000000000001" customHeight="1" x14ac:dyDescent="0.25">
      <c r="A18" s="6" t="s">
        <v>2</v>
      </c>
      <c r="D18" s="23" t="s">
        <v>717</v>
      </c>
      <c r="E18" s="23" t="s">
        <v>719</v>
      </c>
      <c r="F18" s="196">
        <v>10000</v>
      </c>
      <c r="G18" s="25" t="s">
        <v>782</v>
      </c>
      <c r="H18" s="198">
        <v>1</v>
      </c>
      <c r="I18" s="25">
        <f>Table_Input_Fuel[[#This Row],[Amount purchased]]*Table_Input_Fuel[[#This Row],[Percent consumed]]*IF(Table_Input_Fuel[[#This Row],[Amount unit]]="L", 10^-3, 1)</f>
        <v>10</v>
      </c>
      <c r="J18" s="25" t="str" cm="1">
        <f t="array" ref="J18">Common_InputFunctions.Utility_LookupValueInTable(Table_Input_Fuel[[#This Row],[Fuel type (select)]],Table_FuelTypes_Units[Fuel type], Table_FuelTypes_Units[Unit])</f>
        <v>kL</v>
      </c>
    </row>
    <row r="19" spans="1:10" ht="20.100000000000001" customHeight="1" x14ac:dyDescent="0.25">
      <c r="A19" s="5" t="str">
        <f>HYPERLINK("#'3.2.1.1-2 Enteric Methane'!A1", "3.2.1.1-2 Enteric methane")</f>
        <v>3.2.1.1-2 Enteric methane</v>
      </c>
      <c r="D19" s="23" t="s">
        <v>720</v>
      </c>
      <c r="E19" s="23" t="s">
        <v>721</v>
      </c>
      <c r="F19" s="196">
        <v>10000</v>
      </c>
      <c r="G19" s="25" t="s">
        <v>782</v>
      </c>
      <c r="H19" s="198">
        <v>1</v>
      </c>
      <c r="I19" s="25">
        <f>Table_Input_Fuel[[#This Row],[Amount purchased]]*Table_Input_Fuel[[#This Row],[Percent consumed]]*IF(Table_Input_Fuel[[#This Row],[Amount unit]]="L", 10^-3, 1)</f>
        <v>10</v>
      </c>
      <c r="J19" s="25" t="str" cm="1">
        <f t="array" ref="J19">Common_InputFunctions.Utility_LookupValueInTable(Table_Input_Fuel[[#This Row],[Fuel type (select)]],Table_FuelTypes_Units[Fuel type], Table_FuelTypes_Units[Unit])</f>
        <v>kL</v>
      </c>
    </row>
    <row r="20" spans="1:10" ht="20.100000000000001" customHeight="1" x14ac:dyDescent="0.25">
      <c r="A20" s="5" t="str">
        <f>HYPERLINK("#'4.2.1.1-2 Methane'!A1", "4.2.1.1-2 Manure methane")</f>
        <v>4.2.1.1-2 Manure methane</v>
      </c>
      <c r="D20" s="23" t="s">
        <v>722</v>
      </c>
      <c r="E20" s="23" t="s">
        <v>721</v>
      </c>
      <c r="F20" s="196">
        <v>10000</v>
      </c>
      <c r="G20" s="25" t="s">
        <v>782</v>
      </c>
      <c r="H20" s="198">
        <v>1</v>
      </c>
      <c r="I20" s="25">
        <f>Table_Input_Fuel[[#This Row],[Amount purchased]]*Table_Input_Fuel[[#This Row],[Percent consumed]]*IF(Table_Input_Fuel[[#This Row],[Amount unit]]="L", 10^-3, 1)</f>
        <v>10</v>
      </c>
      <c r="J20" s="25" t="str" cm="1">
        <f t="array" ref="J20">Common_InputFunctions.Utility_LookupValueInTable(Table_Input_Fuel[[#This Row],[Fuel type (select)]],Table_FuelTypes_Units[Fuel type], Table_FuelTypes_Units[Unit])</f>
        <v>kL</v>
      </c>
    </row>
    <row r="21" spans="1:10" ht="20.100000000000001" customHeight="1" x14ac:dyDescent="0.25">
      <c r="A21" s="5" t="str">
        <f>HYPERLINK("#'4.2.1.3-4 Soil direct N20'!A1", "4.2.1.3-4 Soil direct N2O")</f>
        <v>4.2.1.3-4 Soil direct N2O</v>
      </c>
      <c r="D21" s="100" t="s">
        <v>723</v>
      </c>
      <c r="E21" s="100" t="s">
        <v>724</v>
      </c>
      <c r="F21" s="196">
        <v>10000</v>
      </c>
      <c r="G21" s="199" t="s">
        <v>782</v>
      </c>
      <c r="H21" s="200">
        <v>1</v>
      </c>
      <c r="I21" s="199">
        <f>Table_Input_Fuel[[#This Row],[Amount purchased]]*Table_Input_Fuel[[#This Row],[Percent consumed]]*IF(Table_Input_Fuel[[#This Row],[Amount unit]]="L", 10^-3, 1)</f>
        <v>10</v>
      </c>
      <c r="J21" s="25" t="str" cm="1">
        <f t="array" ref="J21">Common_InputFunctions.Utility_LookupValueInTable(Table_Input_Fuel[[#This Row],[Fuel type (select)]],Table_FuelTypes_Units[Fuel type], Table_FuelTypes_Units[Unit])</f>
        <v>kL</v>
      </c>
    </row>
    <row r="22" spans="1:10" ht="20.100000000000001" customHeight="1" x14ac:dyDescent="0.25">
      <c r="A22" s="5" t="str">
        <f>HYPERLINK("#'4.2.1.5-6 Soil Atmos Dep'!A1", "4.2.1.5-6 Soil atm. deposition")</f>
        <v>4.2.1.5-6 Soil atm. deposition</v>
      </c>
    </row>
    <row r="23" spans="1:10" ht="20.100000000000001" customHeight="1" x14ac:dyDescent="0.25">
      <c r="A23" s="5" t="str">
        <f>HYPERLINK("#'4.2.1.7-8 Soil leach runoff'!A1", "4.2.1.7-8 Soil leach &amp; runoff")</f>
        <v>4.2.1.7-8 Soil leach &amp; runoff</v>
      </c>
    </row>
    <row r="24" spans="1:10" ht="20.100000000000001" customHeight="1" x14ac:dyDescent="0.25">
      <c r="A24" s="5" t="str">
        <f>HYPERLINK("#'5.1.1.1-2 Inorganic fert N2O'!A1", "5.1.1.1-2 Inorganic fert N2O")</f>
        <v>5.1.1.1-2 Inorganic fert N2O</v>
      </c>
    </row>
    <row r="25" spans="1:10" ht="20.100000000000001" customHeight="1" x14ac:dyDescent="0.25">
      <c r="A25" s="5" t="str">
        <f>HYPERLINK("#'5.1.1.3-4 Inorganic fert CO2'!A1", "5.1.1.3-4 Inorganic fert CO2")</f>
        <v>5.1.1.3-4 Inorganic fert CO2</v>
      </c>
    </row>
    <row r="26" spans="1:10" ht="20.100000000000001" customHeight="1" x14ac:dyDescent="0.25">
      <c r="A26" s="5" t="str">
        <f>HYPERLINK("#'5.2.1.1-2 Organic Fert N2O'!A1", "5.2.1.1-2 Organic fert N2O")</f>
        <v>5.2.1.1-2 Organic fert N2O</v>
      </c>
    </row>
    <row r="27" spans="1:10" ht="20.100000000000001" customHeight="1" x14ac:dyDescent="0.25">
      <c r="A27" s="5" t="str">
        <f>HYPERLINK("#'5.3.1.1-2 Lime CO2'!A1", "5.3.1.1-2 Lime CO2")</f>
        <v>5.3.1.1-2 Lime CO2</v>
      </c>
    </row>
    <row r="28" spans="1:10" ht="20.100000000000001" customHeight="1" x14ac:dyDescent="0.25">
      <c r="A28" s="5" t="str">
        <f>HYPERLINK("#'5.4.1.1-4 Atmos deposition'!A1", "5.4.1.1-4 Atmos. deposition")</f>
        <v>5.4.1.1-4 Atmos. deposition</v>
      </c>
    </row>
    <row r="29" spans="1:10" ht="20.100000000000001" customHeight="1" x14ac:dyDescent="0.25">
      <c r="A29" s="5" t="str">
        <f>HYPERLINK("#'5.5.1.1-2 Leaching and runoff'!A1", "5.5.1.1-2 Leaching &amp; runoff")</f>
        <v>5.5.1.1-2 Leaching &amp; runoff</v>
      </c>
    </row>
    <row r="30" spans="1:10" ht="20.100000000000001" customHeight="1" x14ac:dyDescent="0.25">
      <c r="A30" s="5" t="str">
        <f>HYPERLINK("#'6.2.1.1-2 Pasture residue N2O'!A1", "6.2.1.1-2 Pasture residue N2O")</f>
        <v>6.2.1.1-2 Pasture residue N2O</v>
      </c>
    </row>
    <row r="31" spans="1:10" ht="20.100000000000001" customHeight="1" x14ac:dyDescent="0.25">
      <c r="A31" s="5" t="str">
        <f>HYPERLINK("#'6.3.1.1-2 Leach runoff pasture'!A1", "6.3.1.1-2 Leach &amp; runoff (pasture)")</f>
        <v>6.3.1.1-2 Leach &amp; runoff (pasture)</v>
      </c>
    </row>
    <row r="32" spans="1:10" ht="20.100000000000001" customHeight="1" x14ac:dyDescent="0.25">
      <c r="A32" s="5" t="str">
        <f>HYPERLINK("#'8.1.1.1-2 Transport fuel'!A1", "8.1.1.1-2 Transport fuel")</f>
        <v>8.1.1.1-2 Transport fuel</v>
      </c>
    </row>
    <row r="33" spans="1:11" ht="20.100000000000001" customHeight="1" x14ac:dyDescent="0.25">
      <c r="A33" s="5" t="str">
        <f>HYPERLINK("#'8.2.1.1-2 Stationary fuel'!A1", "8.2.1.1-2 Stationary fuel")</f>
        <v>8.2.1.1-2 Stationary fuel</v>
      </c>
    </row>
    <row r="34" spans="1:11" ht="20.100000000000001" customHeight="1" x14ac:dyDescent="0.25">
      <c r="A34" s="5" t="str">
        <f>HYPERLINK("#'14.1.1-2 Purchased electricity'!A1", "14.1.1-2 Purchased electricity")</f>
        <v>14.1.1-2 Purchased electricity</v>
      </c>
    </row>
    <row r="35" spans="1:11" ht="20.100000000000001" customHeight="1" x14ac:dyDescent="0.25"/>
    <row r="36" spans="1:11" ht="20.100000000000001" customHeight="1" x14ac:dyDescent="0.25"/>
    <row r="37" spans="1:11" ht="20.100000000000001" customHeight="1" x14ac:dyDescent="0.25">
      <c r="A37" s="251" t="s">
        <v>1</v>
      </c>
    </row>
    <row r="38" spans="1:11" ht="20.100000000000001" customHeight="1" x14ac:dyDescent="0.25">
      <c r="A38" s="5" t="str">
        <f>HYPERLINK("#'Constants - Pasture Beef'!A1", "Constants - Pasture Beef")</f>
        <v>Constants - Pasture Beef</v>
      </c>
      <c r="C38" s="152"/>
      <c r="K38" s="152"/>
    </row>
    <row r="39" spans="1:11" ht="20.100000000000001" customHeight="1" x14ac:dyDescent="0.25">
      <c r="A39" s="5" t="str">
        <f>HYPERLINK("#'Constants - Ag Residue'!A1", "Constants - Ag residue")</f>
        <v>Constants - Ag residue</v>
      </c>
      <c r="C39" s="152"/>
      <c r="K39" s="152"/>
    </row>
    <row r="40" spans="1:11" s="167" customFormat="1" ht="20.100000000000001" customHeight="1" x14ac:dyDescent="0.25">
      <c r="A40" s="5" t="str">
        <f>HYPERLINK("#'Constants - Common Livestock'!A1", "Constants - Common Livestock")</f>
        <v>Constants - Common Livestock</v>
      </c>
      <c r="C40" s="1"/>
      <c r="D40" s="1"/>
      <c r="E40" s="1"/>
      <c r="F40" s="1"/>
      <c r="G40" s="1"/>
      <c r="H40" s="1"/>
      <c r="I40" s="1"/>
      <c r="J40" s="1"/>
      <c r="K40" s="1"/>
    </row>
    <row r="41" spans="1:11" s="167" customFormat="1" ht="20.100000000000001" customHeight="1" x14ac:dyDescent="0.25">
      <c r="A41" s="5" t="str">
        <f>HYPERLINK("#'Constants - Electricity'!A1", "Constants - Electricity")</f>
        <v>Constants - Electricity</v>
      </c>
      <c r="C41" s="1"/>
      <c r="D41" s="1"/>
      <c r="E41" s="1"/>
      <c r="F41" s="1"/>
      <c r="G41" s="1"/>
      <c r="H41" s="1"/>
      <c r="I41" s="1"/>
      <c r="J41" s="1"/>
      <c r="K41" s="1"/>
    </row>
    <row r="42" spans="1:11" ht="20.100000000000001" customHeight="1" x14ac:dyDescent="0.25">
      <c r="A42" s="5" t="str">
        <f>HYPERLINK("#'Constants - Fertiliser'!A1", "Constants - Fertiliser")</f>
        <v>Constants - Fertiliser</v>
      </c>
    </row>
    <row r="43" spans="1:11" ht="20.100000000000001" customHeight="1" x14ac:dyDescent="0.25">
      <c r="A43" s="5" t="str">
        <f>HYPERLINK("#'Constants - Fuel'!A1", "Constants - Fuel")</f>
        <v>Constants - Fuel</v>
      </c>
    </row>
    <row r="44" spans="1:11" ht="20.100000000000001" customHeight="1" x14ac:dyDescent="0.25">
      <c r="A44" s="5" t="str">
        <f>HYPERLINK("#'Constants - Common'!A1", "Constants - Common")</f>
        <v>Constants - Common</v>
      </c>
    </row>
    <row r="45" spans="1:11" ht="20.100000000000001" customHeight="1" x14ac:dyDescent="0.25">
      <c r="A45" s="5" t="str">
        <f>HYPERLINK("#'Acknowledgements'!A1", "Acknowledgements")</f>
        <v>Acknowledgements</v>
      </c>
    </row>
    <row r="46" spans="1:11" ht="20.100000000000001" customHeight="1" x14ac:dyDescent="0.25">
      <c r="A46" s="5" t="str">
        <f>HYPERLINK("#'Overview'!A1", "Overview")</f>
        <v>Overview</v>
      </c>
    </row>
    <row r="47" spans="1:11" ht="20.100000000000001" customHeight="1" x14ac:dyDescent="0.25"/>
    <row r="48" spans="1: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46" spans="4:4" x14ac:dyDescent="0.25">
      <c r="D346" s="96"/>
    </row>
  </sheetData>
  <conditionalFormatting sqref="F32">
    <cfRule type="cellIs" dxfId="33" priority="9" operator="lessThan">
      <formula>0</formula>
    </cfRule>
  </conditionalFormatting>
  <conditionalFormatting sqref="F111:F112">
    <cfRule type="cellIs" dxfId="32" priority="8" operator="lessThan">
      <formula>0</formula>
    </cfRule>
  </conditionalFormatting>
  <conditionalFormatting sqref="F123:F124">
    <cfRule type="cellIs" dxfId="31" priority="7" operator="lessThan">
      <formula>0</formula>
    </cfRule>
  </conditionalFormatting>
  <conditionalFormatting sqref="F135:F136">
    <cfRule type="cellIs" dxfId="30" priority="6" operator="lessThan">
      <formula>0</formula>
    </cfRule>
  </conditionalFormatting>
  <conditionalFormatting sqref="F147:F148">
    <cfRule type="cellIs" dxfId="29" priority="5" operator="lessThan">
      <formula>0</formula>
    </cfRule>
  </conditionalFormatting>
  <conditionalFormatting sqref="F235:F236">
    <cfRule type="cellIs" dxfId="28" priority="17" operator="lessThan">
      <formula>0</formula>
    </cfRule>
  </conditionalFormatting>
  <conditionalFormatting sqref="F240:F241">
    <cfRule type="cellIs" dxfId="27" priority="16" operator="lessThan">
      <formula>0</formula>
    </cfRule>
  </conditionalFormatting>
  <conditionalFormatting sqref="F245:F246">
    <cfRule type="cellIs" dxfId="26" priority="15" operator="lessThan">
      <formula>0</formula>
    </cfRule>
  </conditionalFormatting>
  <conditionalFormatting sqref="F269:F270">
    <cfRule type="cellIs" dxfId="25" priority="14" operator="lessThan">
      <formula>0</formula>
    </cfRule>
  </conditionalFormatting>
  <conditionalFormatting sqref="F274:F275">
    <cfRule type="cellIs" dxfId="24" priority="13" operator="lessThan">
      <formula>0</formula>
    </cfRule>
  </conditionalFormatting>
  <conditionalFormatting sqref="F279:F280">
    <cfRule type="cellIs" dxfId="23" priority="12" operator="lessThan">
      <formula>0</formula>
    </cfRule>
  </conditionalFormatting>
  <conditionalFormatting sqref="I26:J27 H28:H30 I31:J31 I33:J35 I37:J38 I189:J189 E195:G195 I195:J195">
    <cfRule type="cellIs" dxfId="22" priority="11" operator="lessThan">
      <formula>0</formula>
    </cfRule>
  </conditionalFormatting>
  <conditionalFormatting sqref="I42:J46">
    <cfRule type="cellIs" dxfId="21" priority="4" operator="lessThan">
      <formula>0</formula>
    </cfRule>
  </conditionalFormatting>
  <conditionalFormatting sqref="I50:J50 I109:J109">
    <cfRule type="cellIs" dxfId="20" priority="10" operator="lessThan">
      <formula>0</formula>
    </cfRule>
  </conditionalFormatting>
  <conditionalFormatting sqref="I61:J63">
    <cfRule type="cellIs" dxfId="19" priority="3" operator="lessThan">
      <formula>0</formula>
    </cfRule>
  </conditionalFormatting>
  <conditionalFormatting sqref="I67:J70">
    <cfRule type="cellIs" dxfId="18" priority="2" operator="lessThan">
      <formula>0</formula>
    </cfRule>
  </conditionalFormatting>
  <conditionalFormatting sqref="I74:J78">
    <cfRule type="cellIs" dxfId="17" priority="1" operator="lessThan">
      <formula>0</formula>
    </cfRule>
  </conditionalFormatting>
  <dataValidations count="9">
    <dataValidation type="list" allowBlank="1" showInputMessage="1" showErrorMessage="1" sqref="E17:E21" xr:uid="{6F0BF5DD-A781-4947-A803-4F8EA7A1E169}">
      <formula1>_xlfn.TRIMRANGE(INDIRECT("Table_FuelTypesPerUse["&amp;D17&amp;"]"))</formula1>
    </dataValidation>
    <dataValidation type="list" allowBlank="1" showInputMessage="1" showErrorMessage="1" sqref="D17:D21" xr:uid="{ED57BF2C-A2C6-4334-AD85-A26BC3251642}">
      <formula1>INDIRECT("Table_FuelTypesPerUse[#Headers]")</formula1>
    </dataValidation>
    <dataValidation type="list" allowBlank="1" showInputMessage="1" showErrorMessage="1" sqref="E11" xr:uid="{08E9A077-A910-45CE-ABCA-05A55FF4049C}">
      <formula1>"Metro, Non-metro"</formula1>
    </dataValidation>
    <dataValidation type="list" allowBlank="1" showInputMessage="1" showErrorMessage="1" sqref="D29:D30" xr:uid="{B8C98E54-EBC6-4719-BCBE-D5BACD3A71EF}">
      <formula1>INDIRECT("Table_SourceData_OrganicFertiliserTypes[Organic fertiliser type]")</formula1>
    </dataValidation>
    <dataValidation type="list" allowBlank="1" showInputMessage="1" showErrorMessage="1" sqref="E49" xr:uid="{9C10D46A-0150-422F-8F0E-AAB89EA5B01F}">
      <formula1>INDIRECT("Table_SourceData_Swine_CropProdSystems[Production system]")</formula1>
    </dataValidation>
    <dataValidation type="list" allowBlank="1" showInputMessage="1" showErrorMessage="1" sqref="E50" xr:uid="{C9D33A34-2951-4318-A462-73B39EBDE3EF}">
      <formula1>INDIRECT("Table_SourceData_Swine_IrrigationMethods[Irrigation method]")</formula1>
    </dataValidation>
    <dataValidation type="list" allowBlank="1" showInputMessage="1" showErrorMessage="1" sqref="E234 E239 E244 E278 E273 E268 E146 E134 E110 E122" xr:uid="{FFD2496F-E198-47E4-8721-33DCBC25CBC5}">
      <formula1>"Yes, No"</formula1>
    </dataValidation>
    <dataValidation type="list" allowBlank="1" showInputMessage="1" showErrorMessage="1" sqref="E210" xr:uid="{26641548-091A-45CE-906C-C6FF21853AAF}">
      <formula1>INDIRECT("Table_SourceData_Dairy_ProductionSystemTemplates[Area]")</formula1>
    </dataValidation>
    <dataValidation type="list" allowBlank="1" showInputMessage="1" showErrorMessage="1" sqref="D262" xr:uid="{0A4F46C6-AA2E-445D-A91E-A54E25699E03}">
      <formula1>INDIRECT("Table_SourceData_PoultryMMSStage1[MMS]")</formula1>
    </dataValidation>
  </dataValidations>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E44E8-8918-4714-BEB5-B11EB6EEC92E}">
  <dimension ref="A1:L365"/>
  <sheetViews>
    <sheetView showGridLines="0" zoomScaleNormal="100" workbookViewId="0">
      <selection activeCell="A46" sqref="A46"/>
    </sheetView>
  </sheetViews>
  <sheetFormatPr defaultRowHeight="15.75" x14ac:dyDescent="0.25"/>
  <cols>
    <col min="1" max="1" width="30.7109375" customWidth="1"/>
    <col min="2" max="2" width="4.7109375" customWidth="1"/>
    <col min="3" max="3" width="4.7109375" style="1" customWidth="1"/>
    <col min="4" max="4" width="66.7109375" style="1" customWidth="1"/>
    <col min="5" max="5" width="47" style="1" customWidth="1"/>
    <col min="6" max="8" width="24.85546875" style="1" customWidth="1"/>
    <col min="9" max="9" width="29.7109375" style="1" customWidth="1"/>
    <col min="10" max="10" width="4.7109375" style="1" customWidth="1"/>
    <col min="11" max="11" width="4.7109375" customWidth="1"/>
  </cols>
  <sheetData>
    <row r="1" spans="1:10" s="16" customFormat="1" ht="30" customHeight="1" x14ac:dyDescent="0.35">
      <c r="A1" s="16" t="e" vm="1">
        <v>#VALUE!</v>
      </c>
      <c r="C1" s="16" t="s">
        <v>655</v>
      </c>
    </row>
    <row r="2" spans="1:10" s="3" customFormat="1" ht="20.100000000000001" customHeight="1" x14ac:dyDescent="0.25">
      <c r="A2"/>
    </row>
    <row r="3" spans="1:10" ht="20.100000000000001" customHeight="1" x14ac:dyDescent="0.25">
      <c r="A3" s="5" t="str">
        <f>HYPERLINK("#'Home'!A1", "Home")</f>
        <v>Home</v>
      </c>
      <c r="C3" s="39"/>
      <c r="D3" s="39"/>
      <c r="E3" s="39"/>
      <c r="F3" s="39"/>
      <c r="G3" s="39"/>
      <c r="H3" s="39"/>
      <c r="I3" s="39"/>
      <c r="J3" s="39"/>
    </row>
    <row r="4" spans="1:10" ht="20.100000000000001" customHeight="1" x14ac:dyDescent="0.25">
      <c r="A4" s="5" t="str">
        <f>HYPERLINK("#'Results'!A1", "Results")</f>
        <v>Results</v>
      </c>
    </row>
    <row r="5" spans="1:10" ht="20.100000000000001" customHeight="1" x14ac:dyDescent="0.25">
      <c r="D5" s="1" t="s">
        <v>656</v>
      </c>
      <c r="E5" s="23" t="s">
        <v>657</v>
      </c>
      <c r="F5" s="26" t="s">
        <v>109</v>
      </c>
    </row>
    <row r="6" spans="1:10" ht="20.100000000000001" customHeight="1" x14ac:dyDescent="0.25">
      <c r="E6" s="96" t="str">
        <f>IF(X_Cell_Electricity_CalculationMethod="Location-based (simpler)", "Complete the fields in the Location-based section", "Complete the fields in the Market-based section")</f>
        <v>Complete the fields in the Location-based section</v>
      </c>
    </row>
    <row r="7" spans="1:10" ht="20.100000000000001" customHeight="1" x14ac:dyDescent="0.25">
      <c r="A7" s="7" t="s">
        <v>0</v>
      </c>
    </row>
    <row r="8" spans="1:10" ht="20.100000000000001" customHeight="1" x14ac:dyDescent="0.25">
      <c r="A8" s="5" t="str">
        <f>HYPERLINK("#'Input - Enterprise'!A1", "Enterprise")</f>
        <v>Enterprise</v>
      </c>
      <c r="C8" s="118"/>
      <c r="D8" s="118"/>
      <c r="E8" s="118"/>
      <c r="F8" s="118"/>
      <c r="G8" s="118"/>
      <c r="H8" s="118"/>
      <c r="I8" s="118"/>
      <c r="J8" s="118"/>
    </row>
    <row r="9" spans="1:10" ht="20.100000000000001" customHeight="1" x14ac:dyDescent="0.25">
      <c r="A9" s="5" t="str">
        <f>HYPERLINK("#'Input - Site'!A1", "Site")</f>
        <v>Site</v>
      </c>
      <c r="D9" s="2" t="s">
        <v>658</v>
      </c>
    </row>
    <row r="10" spans="1:10" ht="20.100000000000001" customHeight="1" x14ac:dyDescent="0.25">
      <c r="A10" s="5" t="str">
        <f>HYPERLINK("#'Input - Pasture Beef'!A1", "Pasture Beef")</f>
        <v>Pasture Beef</v>
      </c>
    </row>
    <row r="11" spans="1:10" ht="20.100000000000001" customHeight="1" x14ac:dyDescent="0.25">
      <c r="A11" s="5" t="str">
        <f>HYPERLINK("#'Input - Pasture Beef (Enteric)'!A1", "Pasture Beef (Enteric)")</f>
        <v>Pasture Beef (Enteric)</v>
      </c>
      <c r="D11" s="92" t="s">
        <v>659</v>
      </c>
    </row>
    <row r="12" spans="1:10" ht="20.100000000000001" customHeight="1" x14ac:dyDescent="0.25">
      <c r="A12" s="5" t="str">
        <f>HYPERLINK("#'Input - Pasture'!A1", "Pasture")</f>
        <v>Pasture</v>
      </c>
    </row>
    <row r="13" spans="1:10" ht="20.100000000000001" customHeight="1" x14ac:dyDescent="0.25">
      <c r="A13" s="5" t="str">
        <f>HYPERLINK("#'Input - Fertiliser'!A1", "Fertiliser")</f>
        <v>Fertiliser</v>
      </c>
      <c r="D13" s="46" t="s">
        <v>660</v>
      </c>
      <c r="E13" s="49"/>
      <c r="F13" s="8"/>
    </row>
    <row r="14" spans="1:10" ht="20.100000000000001" customHeight="1" x14ac:dyDescent="0.25">
      <c r="A14" s="5" t="str">
        <f>HYPERLINK("#'Input - Fuel'!A1", "Fuel")</f>
        <v>Fuel</v>
      </c>
      <c r="D14" s="8"/>
      <c r="E14" s="8"/>
      <c r="F14" s="8"/>
    </row>
    <row r="15" spans="1:10" ht="20.100000000000001" customHeight="1" x14ac:dyDescent="0.25">
      <c r="A15" s="135" t="str">
        <f>HYPERLINK("#'Input - Electricity'!A1", "Electricity")</f>
        <v>Electricity</v>
      </c>
      <c r="D15" s="1" t="s">
        <v>661</v>
      </c>
      <c r="E15" s="188">
        <v>30000</v>
      </c>
      <c r="F15" s="26" t="s">
        <v>662</v>
      </c>
    </row>
    <row r="16" spans="1:10" ht="20.100000000000001" customHeight="1" x14ac:dyDescent="0.25">
      <c r="D16" s="1" t="s">
        <v>663</v>
      </c>
      <c r="E16" s="25" t="str">
        <f>IF('Input - Site'!E21="Western Australia", 'Input - Site'!E22, 'Input - Site'!E21)</f>
        <v>Dry climate zone</v>
      </c>
      <c r="F16" s="8"/>
    </row>
    <row r="17" spans="1:11" ht="20.100000000000001" customHeight="1" x14ac:dyDescent="0.25">
      <c r="D17" s="1" t="s">
        <v>664</v>
      </c>
      <c r="E17" s="23" t="s">
        <v>665</v>
      </c>
      <c r="F17" s="26" t="s">
        <v>109</v>
      </c>
    </row>
    <row r="18" spans="1:11" ht="20.100000000000001" customHeight="1" x14ac:dyDescent="0.25">
      <c r="A18" s="6" t="s">
        <v>2</v>
      </c>
    </row>
    <row r="19" spans="1:11" ht="20.100000000000001" customHeight="1" x14ac:dyDescent="0.25">
      <c r="A19" s="5" t="str">
        <f>HYPERLINK("#'3.2.1.1-2 Enteric Methane'!A1", "3.2.1.1-2 Enteric methane")</f>
        <v>3.2.1.1-2 Enteric methane</v>
      </c>
    </row>
    <row r="20" spans="1:11" ht="20.100000000000001" customHeight="1" x14ac:dyDescent="0.25">
      <c r="A20" s="5" t="str">
        <f>HYPERLINK("#'4.2.1.1-2 Methane'!A1", "4.2.1.1-2 Manure methane")</f>
        <v>4.2.1.1-2 Manure methane</v>
      </c>
      <c r="C20" s="118"/>
      <c r="D20" s="118"/>
      <c r="E20" s="118"/>
      <c r="F20" s="118"/>
      <c r="G20" s="118"/>
      <c r="H20" s="118"/>
      <c r="I20" s="118"/>
      <c r="J20" s="118"/>
    </row>
    <row r="21" spans="1:11" ht="20.100000000000001" customHeight="1" x14ac:dyDescent="0.25">
      <c r="A21" s="5" t="str">
        <f>HYPERLINK("#'4.2.1.3-4 Soil direct N20'!A1", "4.2.1.3-4 Soil direct N2O")</f>
        <v>4.2.1.3-4 Soil direct N2O</v>
      </c>
      <c r="D21" s="2" t="s">
        <v>666</v>
      </c>
    </row>
    <row r="22" spans="1:11" ht="20.100000000000001" customHeight="1" x14ac:dyDescent="0.25">
      <c r="A22" s="5" t="str">
        <f>HYPERLINK("#'4.2.1.5-6 Soil Atmos Dep'!A1", "4.2.1.5-6 Soil atm. deposition")</f>
        <v>4.2.1.5-6 Soil atm. deposition</v>
      </c>
      <c r="E22" s="96" t="str">
        <f>IF(E16="ACT", "", "ALERT: Your farm is not in the ACT, so the JRPP is not applicable")</f>
        <v>ALERT: Your farm is not in the ACT, so the JRPP is not applicable</v>
      </c>
    </row>
    <row r="23" spans="1:11" ht="20.100000000000001" customHeight="1" x14ac:dyDescent="0.25">
      <c r="A23" s="5" t="str">
        <f>HYPERLINK("#'4.2.1.7-8 Soil leach runoff'!A1", "4.2.1.7-8 Soil leach &amp; runoff")</f>
        <v>4.2.1.7-8 Soil leach &amp; runoff</v>
      </c>
      <c r="D23" s="1" t="s">
        <v>667</v>
      </c>
      <c r="E23" s="188">
        <v>30000</v>
      </c>
      <c r="F23" s="26" t="s">
        <v>662</v>
      </c>
    </row>
    <row r="24" spans="1:11" ht="20.100000000000001" customHeight="1" x14ac:dyDescent="0.25">
      <c r="A24" s="5" t="str">
        <f>HYPERLINK("#'5.1.1.1-2 Inorganic fert N2O'!A1", "5.1.1.1-2 Inorganic fert N2O")</f>
        <v>5.1.1.1-2 Inorganic fert N2O</v>
      </c>
      <c r="D24" s="1" t="s">
        <v>668</v>
      </c>
      <c r="E24" s="28">
        <v>0.1</v>
      </c>
      <c r="F24" s="26" t="s">
        <v>174</v>
      </c>
    </row>
    <row r="25" spans="1:11" ht="20.100000000000001" customHeight="1" x14ac:dyDescent="0.25">
      <c r="A25" s="5" t="str">
        <f>HYPERLINK("#'5.1.1.3-4 Inorganic fert CO2'!A1", "5.1.1.3-4 Inorganic fert CO2")</f>
        <v>5.1.1.3-4 Inorganic fert CO2</v>
      </c>
      <c r="D25" s="1" t="s">
        <v>669</v>
      </c>
      <c r="E25" s="28">
        <v>0.1</v>
      </c>
      <c r="F25" s="26" t="s">
        <v>174</v>
      </c>
    </row>
    <row r="26" spans="1:11" ht="20.100000000000001" customHeight="1" x14ac:dyDescent="0.25">
      <c r="A26" s="5" t="str">
        <f>HYPERLINK("#'5.2.1.1-2 Organic Fert N2O'!A1", "5.2.1.1-2 Organic fert N2O")</f>
        <v>5.2.1.1-2 Organic fert N2O</v>
      </c>
    </row>
    <row r="27" spans="1:11" ht="20.100000000000001" customHeight="1" x14ac:dyDescent="0.25">
      <c r="A27" s="5" t="str">
        <f>HYPERLINK("#'5.3.1.1-2 Lime CO2'!A1", "5.3.1.1-2 Lime CO2")</f>
        <v>5.3.1.1-2 Lime CO2</v>
      </c>
      <c r="D27" s="1" t="s">
        <v>670</v>
      </c>
      <c r="E27" s="188">
        <v>10000</v>
      </c>
      <c r="F27" s="26" t="s">
        <v>662</v>
      </c>
    </row>
    <row r="28" spans="1:11" ht="20.100000000000001" customHeight="1" x14ac:dyDescent="0.25">
      <c r="A28" s="5" t="str">
        <f>HYPERLINK("#'5.4.1.1-4 Atmos deposition'!A1", "5.4.1.1-4 Atmos. deposition")</f>
        <v>5.4.1.1-4 Atmos. deposition</v>
      </c>
    </row>
    <row r="29" spans="1:11" ht="20.100000000000001" customHeight="1" x14ac:dyDescent="0.25">
      <c r="A29" s="5" t="str">
        <f>HYPERLINK("#'5.5.1.1-2 Leaching and runoff'!A1", "5.5.1.1-2 Leaching &amp; runoff")</f>
        <v>5.5.1.1-2 Leaching &amp; runoff</v>
      </c>
      <c r="D29" s="1" t="s">
        <v>671</v>
      </c>
      <c r="E29" s="189" t="str">
        <f>TEXT('Input - Site'!$E$12, "dd mmm yyyy")</f>
        <v>NO - Not in leaching zone</v>
      </c>
      <c r="K29" s="167"/>
    </row>
    <row r="30" spans="1:11" ht="20.100000000000001" customHeight="1" x14ac:dyDescent="0.25">
      <c r="A30" s="5" t="str">
        <f>HYPERLINK("#'6.2.1.1-2 Pasture residue N2O'!A1", "6.2.1.1-2 Pasture residue N2O")</f>
        <v>6.2.1.1-2 Pasture residue N2O</v>
      </c>
      <c r="D30" s="1" t="s">
        <v>672</v>
      </c>
      <c r="E30" s="189" t="str">
        <f>TEXT('Input - Site'!$E$13, "dd mmm yyyy")</f>
        <v>02 Nov 1900</v>
      </c>
      <c r="K30" s="167"/>
    </row>
    <row r="31" spans="1:11" ht="20.100000000000001" customHeight="1" x14ac:dyDescent="0.25">
      <c r="A31" s="5" t="str">
        <f>HYPERLINK("#'6.3.1.1-2 Leach runoff pasture'!A1", "6.3.1.1-2 Leach &amp; runoff (pasture)")</f>
        <v>6.3.1.1-2 Leach &amp; runoff (pasture)</v>
      </c>
      <c r="K31" s="167"/>
    </row>
    <row r="32" spans="1:11" ht="20.100000000000001" customHeight="1" x14ac:dyDescent="0.25">
      <c r="A32" s="5" t="str">
        <f>HYPERLINK("#'8.1.1.1-2 Transport fuel'!A1", "8.1.1.1-2 Transport fuel")</f>
        <v>8.1.1.1-2 Transport fuel</v>
      </c>
      <c r="D32" s="92" t="s">
        <v>673</v>
      </c>
      <c r="K32" s="167"/>
    </row>
    <row r="33" spans="1:12" ht="20.100000000000001" customHeight="1" x14ac:dyDescent="0.25">
      <c r="A33" s="5" t="str">
        <f>HYPERLINK("#'8.2.1.1-2 Stationary fuel'!A1", "8.2.1.1-2 Stationary fuel")</f>
        <v>8.2.1.1-2 Stationary fuel</v>
      </c>
      <c r="K33" s="167"/>
    </row>
    <row r="34" spans="1:12" ht="20.100000000000001" customHeight="1" x14ac:dyDescent="0.25">
      <c r="A34" s="5" t="str">
        <f>HYPERLINK("#'14.1.1-2 Purchased electricity'!A1", "14.1.1-2 Purchased electricity")</f>
        <v>14.1.1-2 Purchased electricity</v>
      </c>
      <c r="D34" s="46" t="s">
        <v>674</v>
      </c>
      <c r="E34" s="49"/>
      <c r="K34" s="167"/>
    </row>
    <row r="35" spans="1:12" ht="20.100000000000001" customHeight="1" x14ac:dyDescent="0.25"/>
    <row r="36" spans="1:12" ht="20.100000000000001" customHeight="1" x14ac:dyDescent="0.25">
      <c r="D36" s="117" t="s">
        <v>675</v>
      </c>
      <c r="E36" s="117" t="s">
        <v>676</v>
      </c>
      <c r="F36" s="117" t="s">
        <v>677</v>
      </c>
      <c r="G36" s="117" t="s">
        <v>678</v>
      </c>
      <c r="H36" s="117" t="s">
        <v>679</v>
      </c>
      <c r="I36" s="117" t="s">
        <v>680</v>
      </c>
      <c r="L36" s="167"/>
    </row>
    <row r="37" spans="1:12" ht="20.100000000000001" customHeight="1" x14ac:dyDescent="0.25">
      <c r="A37" s="251" t="s">
        <v>1</v>
      </c>
      <c r="D37" s="30" t="s">
        <v>681</v>
      </c>
      <c r="E37" s="23" t="s">
        <v>682</v>
      </c>
      <c r="F37" s="190">
        <v>44185</v>
      </c>
      <c r="G37" s="30">
        <v>12</v>
      </c>
      <c r="H37" s="25"/>
      <c r="I37" s="25"/>
      <c r="L37" s="167"/>
    </row>
    <row r="38" spans="1:12" ht="20.100000000000001" customHeight="1" x14ac:dyDescent="0.25">
      <c r="A38" s="5" t="str">
        <f>HYPERLINK("#'Constants - Pasture Beef'!A1", "Constants - Pasture Beef")</f>
        <v>Constants - Pasture Beef</v>
      </c>
      <c r="D38" s="30" t="s">
        <v>683</v>
      </c>
      <c r="E38" s="23" t="s">
        <v>684</v>
      </c>
      <c r="F38" s="190">
        <v>44575</v>
      </c>
      <c r="G38" s="30">
        <v>5</v>
      </c>
      <c r="H38" s="25"/>
      <c r="I38" s="25"/>
    </row>
    <row r="39" spans="1:12" ht="20.100000000000001" customHeight="1" x14ac:dyDescent="0.25">
      <c r="A39" s="5" t="str">
        <f>HYPERLINK("#'Constants - Ag Residue'!A1", "Constants - Ag residue")</f>
        <v>Constants - Ag residue</v>
      </c>
      <c r="D39" s="30" t="s">
        <v>685</v>
      </c>
      <c r="E39" s="23" t="s">
        <v>682</v>
      </c>
      <c r="F39" s="190">
        <v>45438</v>
      </c>
      <c r="G39" s="30">
        <v>5</v>
      </c>
      <c r="H39" s="25"/>
      <c r="I39" s="25"/>
    </row>
    <row r="40" spans="1:12" s="167" customFormat="1" ht="20.100000000000001" customHeight="1" x14ac:dyDescent="0.25">
      <c r="A40" s="5" t="str">
        <f>HYPERLINK("#'Constants - Common Livestock'!A1", "Constants - Common Livestock")</f>
        <v>Constants - Common Livestock</v>
      </c>
      <c r="C40" s="1"/>
      <c r="D40" s="1"/>
      <c r="E40" s="1"/>
      <c r="F40" s="1"/>
      <c r="G40" s="1"/>
      <c r="H40" s="1"/>
      <c r="I40" s="1"/>
      <c r="J40" s="1"/>
    </row>
    <row r="41" spans="1:12" s="167" customFormat="1" ht="20.100000000000001" customHeight="1" x14ac:dyDescent="0.25">
      <c r="A41" s="5" t="str">
        <f>HYPERLINK("#'Constants - Electricity'!A1", "Constants - Electricity")</f>
        <v>Constants - Electricity</v>
      </c>
      <c r="C41" s="1"/>
      <c r="D41" s="1" t="s">
        <v>686</v>
      </c>
      <c r="E41" s="25">
        <f>SUMIF(Table_Input_RECSurrendered[Elegibility], "Elegible", Table_Input_RECSurrendered[MWh])</f>
        <v>0</v>
      </c>
      <c r="F41" s="26" t="s">
        <v>679</v>
      </c>
      <c r="G41" s="1"/>
      <c r="H41" s="1"/>
      <c r="I41" s="1"/>
      <c r="J41" s="1"/>
      <c r="L41" s="167" t="s">
        <v>687</v>
      </c>
    </row>
    <row r="42" spans="1:12" ht="20.100000000000001" customHeight="1" x14ac:dyDescent="0.25">
      <c r="A42" s="5" t="str">
        <f>HYPERLINK("#'Constants - Fertiliser'!A1", "Constants - Fertiliser")</f>
        <v>Constants - Fertiliser</v>
      </c>
      <c r="C42" s="152"/>
    </row>
    <row r="43" spans="1:12" ht="20.100000000000001" customHeight="1" x14ac:dyDescent="0.25">
      <c r="A43" s="5" t="str">
        <f>HYPERLINK("#'Constants - Fuel'!A1", "Constants - Fuel")</f>
        <v>Constants - Fuel</v>
      </c>
      <c r="C43" s="152"/>
      <c r="D43" s="92" t="s">
        <v>688</v>
      </c>
      <c r="J43" s="152"/>
    </row>
    <row r="44" spans="1:12" ht="20.100000000000001" customHeight="1" x14ac:dyDescent="0.25">
      <c r="A44" s="5" t="str">
        <f>HYPERLINK("#'Constants - Common'!A1", "Constants - Common")</f>
        <v>Constants - Common</v>
      </c>
    </row>
    <row r="45" spans="1:12" ht="20.100000000000001" customHeight="1" x14ac:dyDescent="0.25">
      <c r="A45" s="5" t="str">
        <f>HYPERLINK("#'Acknowledgements'!A1", "Acknowledgements")</f>
        <v>Acknowledgements</v>
      </c>
      <c r="D45" s="117" t="s">
        <v>675</v>
      </c>
      <c r="E45" s="117" t="s">
        <v>628</v>
      </c>
      <c r="F45" s="117" t="s">
        <v>677</v>
      </c>
      <c r="G45" s="117" t="s">
        <v>678</v>
      </c>
      <c r="H45" s="117" t="s">
        <v>679</v>
      </c>
      <c r="I45" s="117" t="s">
        <v>680</v>
      </c>
    </row>
    <row r="46" spans="1:12" ht="20.100000000000001" customHeight="1" x14ac:dyDescent="0.25">
      <c r="A46" s="5" t="str">
        <f>HYPERLINK("#'Overview'!A1", "Overview")</f>
        <v>Overview</v>
      </c>
      <c r="D46" s="30" t="s">
        <v>689</v>
      </c>
      <c r="E46" s="191"/>
      <c r="F46" s="190">
        <v>44697</v>
      </c>
      <c r="G46" s="30">
        <v>10</v>
      </c>
      <c r="H46" s="25"/>
      <c r="I46" s="25"/>
    </row>
    <row r="47" spans="1:12" ht="20.100000000000001" customHeight="1" x14ac:dyDescent="0.25">
      <c r="D47" s="30" t="s">
        <v>690</v>
      </c>
      <c r="E47" s="191"/>
      <c r="F47" s="190">
        <v>45483</v>
      </c>
      <c r="G47" s="30">
        <v>4</v>
      </c>
      <c r="H47" s="25"/>
      <c r="I47" s="25"/>
    </row>
    <row r="48" spans="1:12" ht="20.100000000000001" customHeight="1" x14ac:dyDescent="0.25">
      <c r="D48" s="192">
        <v>46350</v>
      </c>
      <c r="E48" s="191"/>
      <c r="F48" s="190">
        <v>45607</v>
      </c>
      <c r="G48" s="30">
        <v>7</v>
      </c>
      <c r="H48" s="25"/>
      <c r="I48" s="25"/>
    </row>
    <row r="49" spans="4:6" ht="20.100000000000001" customHeight="1" x14ac:dyDescent="0.25"/>
    <row r="50" spans="4:6" ht="20.100000000000001" customHeight="1" x14ac:dyDescent="0.25">
      <c r="D50" s="1" t="s">
        <v>691</v>
      </c>
      <c r="E50" s="25">
        <f>SUMIF(Table_Input_RECConsumedByEntity[Elegibility], "Elegible", Table_Input_RECConsumedByEntity[Number of certificates])</f>
        <v>0</v>
      </c>
      <c r="F50" s="26" t="s">
        <v>679</v>
      </c>
    </row>
    <row r="51" spans="4:6" ht="20.100000000000001" customHeight="1" x14ac:dyDescent="0.25"/>
    <row r="52" spans="4:6" ht="20.100000000000001" customHeight="1" x14ac:dyDescent="0.25"/>
    <row r="53" spans="4:6" ht="20.100000000000001" customHeight="1" x14ac:dyDescent="0.25"/>
    <row r="54" spans="4:6" ht="20.100000000000001" customHeight="1" x14ac:dyDescent="0.25"/>
    <row r="55" spans="4:6" ht="20.100000000000001" customHeight="1" x14ac:dyDescent="0.25">
      <c r="D55" s="193"/>
    </row>
    <row r="56" spans="4:6" ht="20.100000000000001" customHeight="1" x14ac:dyDescent="0.25">
      <c r="D56" s="193"/>
    </row>
    <row r="57" spans="4:6" ht="20.100000000000001" customHeight="1" x14ac:dyDescent="0.25"/>
    <row r="58" spans="4:6" ht="20.100000000000001" customHeight="1" x14ac:dyDescent="0.25"/>
    <row r="59" spans="4:6" ht="20.100000000000001" customHeight="1" x14ac:dyDescent="0.25"/>
    <row r="60" spans="4:6" ht="20.100000000000001" customHeight="1" x14ac:dyDescent="0.25"/>
    <row r="61" spans="4:6" ht="20.100000000000001" customHeight="1" x14ac:dyDescent="0.25"/>
    <row r="62" spans="4:6" ht="20.100000000000001" customHeight="1" x14ac:dyDescent="0.25"/>
    <row r="63" spans="4:6" ht="20.100000000000001" customHeight="1" x14ac:dyDescent="0.25"/>
    <row r="64" spans="4:6"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65" spans="4:4" x14ac:dyDescent="0.25">
      <c r="D365" s="96"/>
    </row>
  </sheetData>
  <conditionalFormatting sqref="F130:F131">
    <cfRule type="cellIs" dxfId="16" priority="8" operator="lessThan">
      <formula>0</formula>
    </cfRule>
  </conditionalFormatting>
  <conditionalFormatting sqref="F142:F143">
    <cfRule type="cellIs" dxfId="15" priority="7" operator="lessThan">
      <formula>0</formula>
    </cfRule>
  </conditionalFormatting>
  <conditionalFormatting sqref="F154:F155">
    <cfRule type="cellIs" dxfId="14" priority="6" operator="lessThan">
      <formula>0</formula>
    </cfRule>
  </conditionalFormatting>
  <conditionalFormatting sqref="F166:F167">
    <cfRule type="cellIs" dxfId="13" priority="5" operator="lessThan">
      <formula>0</formula>
    </cfRule>
  </conditionalFormatting>
  <conditionalFormatting sqref="F254:F255">
    <cfRule type="cellIs" dxfId="12" priority="17" operator="lessThan">
      <formula>0</formula>
    </cfRule>
  </conditionalFormatting>
  <conditionalFormatting sqref="F259:F260">
    <cfRule type="cellIs" dxfId="11" priority="16" operator="lessThan">
      <formula>0</formula>
    </cfRule>
  </conditionalFormatting>
  <conditionalFormatting sqref="F264:F265">
    <cfRule type="cellIs" dxfId="10" priority="15" operator="lessThan">
      <formula>0</formula>
    </cfRule>
  </conditionalFormatting>
  <conditionalFormatting sqref="F288:F289">
    <cfRule type="cellIs" dxfId="9" priority="14" operator="lessThan">
      <formula>0</formula>
    </cfRule>
  </conditionalFormatting>
  <conditionalFormatting sqref="F293:F294">
    <cfRule type="cellIs" dxfId="8" priority="13" operator="lessThan">
      <formula>0</formula>
    </cfRule>
  </conditionalFormatting>
  <conditionalFormatting sqref="F298:F299">
    <cfRule type="cellIs" dxfId="7" priority="12" operator="lessThan">
      <formula>0</formula>
    </cfRule>
  </conditionalFormatting>
  <conditionalFormatting sqref="I59:I63">
    <cfRule type="cellIs" dxfId="6" priority="4" operator="lessThan">
      <formula>0</formula>
    </cfRule>
  </conditionalFormatting>
  <conditionalFormatting sqref="I67 I126">
    <cfRule type="cellIs" dxfId="5" priority="10" operator="lessThan">
      <formula>0</formula>
    </cfRule>
  </conditionalFormatting>
  <conditionalFormatting sqref="I78:I80">
    <cfRule type="cellIs" dxfId="4" priority="3" operator="lessThan">
      <formula>0</formula>
    </cfRule>
  </conditionalFormatting>
  <conditionalFormatting sqref="I84:I87">
    <cfRule type="cellIs" dxfId="3" priority="2" operator="lessThan">
      <formula>0</formula>
    </cfRule>
  </conditionalFormatting>
  <conditionalFormatting sqref="I91:I95">
    <cfRule type="cellIs" dxfId="2" priority="1" operator="lessThan">
      <formula>0</formula>
    </cfRule>
  </conditionalFormatting>
  <conditionalFormatting sqref="J35 I49:I50 H51:H53 I52 I54:I55 I206 I212 E214:G214">
    <cfRule type="cellIs" dxfId="1" priority="11" operator="lessThan">
      <formula>0</formula>
    </cfRule>
  </conditionalFormatting>
  <conditionalFormatting sqref="J39 I40 J41 I43">
    <cfRule type="cellIs" dxfId="0" priority="9" operator="lessThan">
      <formula>0</formula>
    </cfRule>
  </conditionalFormatting>
  <dataValidations count="7">
    <dataValidation type="list" allowBlank="1" showInputMessage="1" showErrorMessage="1" sqref="E5" xr:uid="{738CBB33-F5E2-43CF-A54C-A5F310BB1BA5}">
      <formula1>"Location-based (simpler), Market-based (more complex)"</formula1>
    </dataValidation>
    <dataValidation type="list" allowBlank="1" showInputMessage="1" showErrorMessage="1" sqref="E37:E39" xr:uid="{589C8E9E-864D-4ED5-ACE3-0C682CA8F904}">
      <formula1>"Purchased certificate, Issued for generated electricity"</formula1>
    </dataValidation>
    <dataValidation type="list" allowBlank="1" showInputMessage="1" showErrorMessage="1" sqref="E17" xr:uid="{B3CD4417-7357-46F0-9720-38F738BFFC56}">
      <formula1>INDIRECT("Table_SourceData_ElectricityEFs[State, Territory or grid description]")</formula1>
    </dataValidation>
    <dataValidation type="list" allowBlank="1" showInputMessage="1" showErrorMessage="1" sqref="E69" xr:uid="{CB333662-22E4-4C25-97A0-137ADA01A6BE}">
      <formula1>INDIRECT("Table_SourceData_Swine_IrrigationMethods[Irrigation method]")</formula1>
    </dataValidation>
    <dataValidation type="list" allowBlank="1" showInputMessage="1" showErrorMessage="1" sqref="E253 E258 E263 E297 E292 E287 E165 E153 E129 E141" xr:uid="{8900034F-5966-4331-83E5-6DBCB7AACE40}">
      <formula1>"Yes, No"</formula1>
    </dataValidation>
    <dataValidation type="list" allowBlank="1" showInputMessage="1" showErrorMessage="1" sqref="E229" xr:uid="{462FDFCB-30C8-4B63-BF24-D7AABAFBE8F9}">
      <formula1>INDIRECT("Table_SourceData_Dairy_ProductionSystemTemplates[Area]")</formula1>
    </dataValidation>
    <dataValidation type="list" allowBlank="1" showInputMessage="1" showErrorMessage="1" sqref="D281" xr:uid="{0DBA90E0-92EB-487E-A569-019F4EE0355C}">
      <formula1>INDIRECT("Table_SourceData_PoultryMMSStage1[MMS]")</formula1>
    </dataValidation>
  </dataValidations>
  <pageMargins left="0.7" right="0.7" top="0.75" bottom="0.75" header="0.3" footer="0.3"/>
  <pageSetup paperSize="9" orientation="portrait" r:id="rId1"/>
  <tableParts count="2">
    <tablePart r:id="rId2"/>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22134B-CF53-4AA0-B279-A5C55A6DF095}">
  <dimension ref="A1:AI274"/>
  <sheetViews>
    <sheetView showGridLines="0" topLeftCell="A50" zoomScale="85" zoomScaleNormal="85" workbookViewId="0">
      <selection activeCell="A46" sqref="A46"/>
    </sheetView>
  </sheetViews>
  <sheetFormatPr defaultRowHeight="15.75" x14ac:dyDescent="0.25"/>
  <cols>
    <col min="1" max="1" width="30.7109375" customWidth="1"/>
    <col min="2" max="2" width="4.7109375" customWidth="1"/>
    <col min="3" max="3" width="4.7109375" style="1" customWidth="1"/>
    <col min="4" max="17" width="30.7109375" style="1" customWidth="1"/>
    <col min="18" max="18" width="4.7109375" style="1" customWidth="1"/>
    <col min="19" max="19" width="4.7109375" customWidth="1"/>
    <col min="20" max="20" width="4.7109375" style="1" customWidth="1"/>
    <col min="21" max="34" width="30.7109375" style="1" customWidth="1"/>
    <col min="35" max="35" width="4.7109375" style="1" customWidth="1"/>
  </cols>
  <sheetData>
    <row r="1" spans="1:35" s="31" customFormat="1" ht="30" customHeight="1" x14ac:dyDescent="0.35">
      <c r="A1" s="16" t="e" vm="1">
        <v>#VALUE!</v>
      </c>
      <c r="C1" s="31" t="s">
        <v>260</v>
      </c>
    </row>
    <row r="2" spans="1:35" s="3" customFormat="1" ht="20.100000000000001" customHeight="1" x14ac:dyDescent="0.25">
      <c r="A2"/>
    </row>
    <row r="3" spans="1:35" ht="20.100000000000001" customHeight="1" x14ac:dyDescent="0.25">
      <c r="A3" s="5" t="str">
        <f>HYPERLINK("#'Home'!A1", "Home")</f>
        <v>Home</v>
      </c>
      <c r="C3" s="33"/>
      <c r="D3" s="33" t="s">
        <v>149</v>
      </c>
      <c r="E3" s="33"/>
      <c r="F3" s="33"/>
      <c r="G3" s="33"/>
      <c r="H3" s="33"/>
      <c r="I3" s="33"/>
      <c r="J3" s="33"/>
      <c r="K3" s="33"/>
      <c r="L3" s="33"/>
      <c r="M3" s="33"/>
      <c r="N3" s="33"/>
      <c r="O3" s="33"/>
      <c r="P3" s="33"/>
      <c r="Q3" s="33"/>
      <c r="R3" s="33"/>
      <c r="T3" s="33"/>
      <c r="U3" s="33" t="s">
        <v>150</v>
      </c>
      <c r="V3" s="33"/>
      <c r="W3" s="33"/>
      <c r="X3" s="33"/>
      <c r="Y3" s="33"/>
      <c r="Z3" s="33"/>
      <c r="AA3" s="33"/>
      <c r="AB3" s="33"/>
      <c r="AC3" s="33"/>
      <c r="AD3" s="33"/>
      <c r="AE3" s="33"/>
      <c r="AF3" s="33"/>
      <c r="AG3" s="33"/>
      <c r="AH3" s="33"/>
      <c r="AI3" s="33"/>
    </row>
    <row r="4" spans="1:35" ht="20.100000000000001" customHeight="1" x14ac:dyDescent="0.25">
      <c r="A4" s="5" t="str">
        <f>HYPERLINK("#'Results'!A1", "Results")</f>
        <v>Results</v>
      </c>
    </row>
    <row r="5" spans="1:35" ht="20.100000000000001" customHeight="1" x14ac:dyDescent="0.25">
      <c r="D5" s="2" t="str" cm="1">
        <f t="array" ref="D5">EntericMethane_PastureBeef_Equations.VEERG_3_2_1_1__4_AdditionalIntakeForMilkProduction_Title()</f>
        <v>Additional intake for milk production in the season of calving and the season after calving</v>
      </c>
    </row>
    <row r="6" spans="1:35" ht="20.100000000000001" customHeight="1" x14ac:dyDescent="0.25">
      <c r="D6" s="27" t="str" cm="1">
        <f t="array" ref="D6">EntericMethane_PastureBeef_Equations.VEERG_3_2_1_1__4_AdditionalIntakeForMilkProduction_Source()</f>
        <v>VEERG 2026: 3.2.1.1, Equation (4)</v>
      </c>
    </row>
    <row r="7" spans="1:35" ht="20.100000000000001" customHeight="1" x14ac:dyDescent="0.25">
      <c r="A7" s="7" t="s">
        <v>0</v>
      </c>
      <c r="D7" s="105" t="s">
        <v>261</v>
      </c>
      <c r="E7" s="105" t="s">
        <v>262</v>
      </c>
    </row>
    <row r="8" spans="1:35" ht="20.100000000000001" customHeight="1" x14ac:dyDescent="0.25">
      <c r="A8" s="5" t="str">
        <f>HYPERLINK("#'Input - Enterprise'!A1", "Enterprise")</f>
        <v>Enterprise</v>
      </c>
    </row>
    <row r="9" spans="1:35" ht="20.100000000000001" customHeight="1" x14ac:dyDescent="0.25">
      <c r="A9" s="5" t="str">
        <f>HYPERLINK("#'Input - Site'!A1", "Site")</f>
        <v>Site</v>
      </c>
    </row>
    <row r="10" spans="1:35" ht="20.100000000000001" customHeight="1" x14ac:dyDescent="0.25">
      <c r="A10" s="5" t="str">
        <f>HYPERLINK("#'Input - Pasture Beef'!A1", "Pasture Beef")</f>
        <v>Pasture Beef</v>
      </c>
      <c r="D10" s="88" t="s">
        <v>263</v>
      </c>
      <c r="E10" s="1" t="str" cm="1">
        <f t="array" ref="E10">EntericMethane_PastureBeef_Equations.VEERG_3_2_1_1__4_AdditionalIntakeForMilkProduction_Variable()</f>
        <v>MA_jk45</v>
      </c>
    </row>
    <row r="11" spans="1:35" ht="20.100000000000001" customHeight="1" x14ac:dyDescent="0.25">
      <c r="A11" s="5" t="str">
        <f>HYPERLINK("#'Input - Pasture Beef (Enteric)'!A1", "Pasture Beef (Enteric)")</f>
        <v>Pasture Beef (Enteric)</v>
      </c>
      <c r="D11" s="88" t="s">
        <v>130</v>
      </c>
      <c r="E11" s="15" t="str" cm="1">
        <f t="array" ref="E11">EntericMethane_PastureBeef_Equations.VEERG_3_2_1_1__4_AdditionalIntakeForMilkProduction_Unit()</f>
        <v>fraction</v>
      </c>
    </row>
    <row r="12" spans="1:35" ht="20.100000000000001" customHeight="1" x14ac:dyDescent="0.25">
      <c r="A12" s="5" t="str">
        <f>HYPERLINK("#'Input - Pasture'!A1", "Pasture")</f>
        <v>Pasture</v>
      </c>
    </row>
    <row r="13" spans="1:35" ht="20.100000000000001" customHeight="1" x14ac:dyDescent="0.25">
      <c r="A13" s="5" t="str">
        <f>HYPERLINK("#'Input - Fertiliser'!A1", "Fertiliser")</f>
        <v>Fertiliser</v>
      </c>
      <c r="D13" s="107" t="str" cm="1">
        <f t="array" ref="D13:E16">_xlfn.CHOOSECOLS(EntericMethane_PastureBeef_Equations.VEERG_3_2_1_1__4_AdditionalIntakeForMilkProduction_ArgumentsVariation(), 1, 2)</f>
        <v>LC_jk45</v>
      </c>
      <c r="E13" s="108" t="str">
        <v>proportion of cows greater than 1 year in calf in the season of calving expressed as a fraction</v>
      </c>
      <c r="F13" s="109"/>
      <c r="G13" s="110"/>
      <c r="H13" s="107" t="str" cm="1">
        <f t="array" ref="H13:I16">_xlfn.CHOOSECOLS(EntericMethane_PastureBeef_Equations.VEERG_3_2_1_1__4_AdditionalIntakeForMilkProduction_ArgumentsVariation(), 3,4)</f>
        <v>fraction</v>
      </c>
      <c r="I13" s="111" t="str">
        <v>Input</v>
      </c>
      <c r="J13" s="113" t="str" cm="1">
        <f t="array" aca="1" ref="J13" ca="1">HYPERLINK(Common_InputFunctions.Utility_SourceHyperlink($D$18), $D$18)</f>
        <v>M1_Table_LC_j_k-4-5</v>
      </c>
    </row>
    <row r="14" spans="1:35" ht="20.100000000000001" customHeight="1" x14ac:dyDescent="0.25">
      <c r="A14" s="5" t="str">
        <f>HYPERLINK("#'Input - Fuel'!A1", "Fuel")</f>
        <v>Fuel</v>
      </c>
      <c r="D14" s="107" t="str">
        <v>FA_jk45calv</v>
      </c>
      <c r="E14" s="108" t="str">
        <v>feed adjustment value for lactating cows in the season of calving expressed as a fraction</v>
      </c>
      <c r="F14" s="109"/>
      <c r="G14" s="110"/>
      <c r="H14" s="107" t="str">
        <v>fraction</v>
      </c>
      <c r="I14" s="112" t="str">
        <v>Constant</v>
      </c>
      <c r="J14" s="107" cm="1">
        <f t="array" ref="J14">_xlfn.XLOOKUP(1, (Table_SourceData_PastureBeef_FeedIntakeAdjustment_Variation[Breed]=$J$16)*(Table_SourceData_PastureBeef_FeedIntakeAdjustment_Variation[Season]=+"Calving season"),Table_SourceData_PastureBeef_FeedIntakeAdjustment_Variation[Feed adjustment])</f>
        <v>1.3</v>
      </c>
    </row>
    <row r="15" spans="1:35" ht="20.100000000000001" customHeight="1" x14ac:dyDescent="0.25">
      <c r="A15" s="5" t="str">
        <f>HYPERLINK("#'Input - Electricity'!A1", "Electricity")</f>
        <v>Electricity</v>
      </c>
      <c r="D15" s="107" t="str">
        <v>FA_jk45after</v>
      </c>
      <c r="E15" s="108" t="str">
        <v>feed adjustment value for lactating cows in the season immediately after calving expressed as a fraction</v>
      </c>
      <c r="F15" s="109"/>
      <c r="G15" s="110"/>
      <c r="H15" s="107" t="str">
        <v>fraction</v>
      </c>
      <c r="I15" s="112" t="str">
        <v>Constant</v>
      </c>
      <c r="J15" s="107" cm="1">
        <f t="array" ref="J15">_xlfn.XLOOKUP(1, (Table_SourceData_PastureBeef_FeedIntakeAdjustment_Variation[Breed]=$J$16)*(Table_SourceData_PastureBeef_FeedIntakeAdjustment_Variation[Season]=+"Season after calving"),Table_SourceData_PastureBeef_FeedIntakeAdjustment_Variation[Feed adjustment])</f>
        <v>1.1000000000000001</v>
      </c>
    </row>
    <row r="16" spans="1:35" ht="20.100000000000001" customHeight="1" x14ac:dyDescent="0.25">
      <c r="D16" s="107" t="str">
        <v>b</v>
      </c>
      <c r="E16" s="108" t="str">
        <v>breed of cattle</v>
      </c>
      <c r="F16" s="109"/>
      <c r="G16" s="110"/>
      <c r="H16" s="107" t="str">
        <v/>
      </c>
      <c r="I16" s="111" t="str">
        <v>Input</v>
      </c>
      <c r="J16" s="107" t="str">
        <f>X_Cell_PastureBeef_Breed</f>
        <v>Hereford or Shorthorn breeds</v>
      </c>
    </row>
    <row r="17" spans="1:34" ht="20.100000000000001" customHeight="1" x14ac:dyDescent="0.25"/>
    <row r="18" spans="1:34" ht="20.100000000000001" customHeight="1" x14ac:dyDescent="0.25">
      <c r="A18" s="6" t="s">
        <v>2</v>
      </c>
      <c r="D18" s="114" t="s">
        <v>264</v>
      </c>
    </row>
    <row r="19" spans="1:34" ht="20.100000000000001" customHeight="1" x14ac:dyDescent="0.25">
      <c r="A19" s="106" t="str">
        <f>HYPERLINK("#'3.2.1.1-2 Enteric Methane'!A1", "3.2.1.1-2 Enteric methane")</f>
        <v>3.2.1.1-2 Enteric methane</v>
      </c>
      <c r="D19" s="115" t="s">
        <v>265</v>
      </c>
      <c r="U19" s="114" t="s">
        <v>266</v>
      </c>
    </row>
    <row r="20" spans="1:34" ht="20.100000000000001" customHeight="1" x14ac:dyDescent="0.25">
      <c r="A20" s="5" t="str">
        <f>HYPERLINK("#'4.2.1.1-2 Methane'!A1", "4.2.1.1-2 Manure methane")</f>
        <v>4.2.1.1-2 Manure methane</v>
      </c>
      <c r="D20" s="116" t="s">
        <v>78</v>
      </c>
      <c r="E20" s="117" t="s">
        <v>196</v>
      </c>
      <c r="F20" s="117" t="s">
        <v>197</v>
      </c>
      <c r="G20" s="117" t="s">
        <v>198</v>
      </c>
      <c r="U20" s="115" t="s">
        <v>267</v>
      </c>
    </row>
    <row r="21" spans="1:34" ht="20.100000000000001" customHeight="1" x14ac:dyDescent="0.25">
      <c r="A21" s="5" t="str">
        <f>HYPERLINK("#'4.2.1.3-4 Soil direct N20'!A1", "4.2.1.3-4 Soil direct N2O")</f>
        <v>4.2.1.3-4 Soil direct N2O</v>
      </c>
      <c r="D21" s="25">
        <f>'Input - Pasture Beef (Enteric)'!$E$104</f>
        <v>0</v>
      </c>
      <c r="E21" s="25">
        <f>'Input - Pasture Beef (Enteric)'!$E$107</f>
        <v>0</v>
      </c>
      <c r="F21" s="25">
        <f>'Input - Pasture Beef (Enteric)'!$F$107</f>
        <v>0</v>
      </c>
      <c r="G21" s="25">
        <f>'Input - Pasture Beef (Enteric)'!$G$107</f>
        <v>0</v>
      </c>
      <c r="H21" s="26" t="s">
        <v>268</v>
      </c>
      <c r="U21" s="116" t="s">
        <v>77</v>
      </c>
      <c r="V21" s="117" t="s">
        <v>196</v>
      </c>
      <c r="W21" s="117" t="s">
        <v>197</v>
      </c>
      <c r="X21" s="117" t="s">
        <v>198</v>
      </c>
    </row>
    <row r="22" spans="1:34" ht="20.100000000000001" customHeight="1" x14ac:dyDescent="0.25">
      <c r="A22" s="5" t="str">
        <f>HYPERLINK("#'4.2.1.5-6 Soil Atmos Dep'!A1", "4.2.1.5-6 Soil atm. deposition")</f>
        <v>4.2.1.5-6 Soil atm. deposition</v>
      </c>
      <c r="U22" s="25" t="e">
        <f>TEXT(EDATE('Input - Pasture Beef (Enteric)'!$D$117,0), "mmmm") &amp; ", " &amp; TEXT(EDATE('Input - Pasture Beef (Enteric)'!$D$118,0), "mmmm") &amp; ", " &amp; TEXT(EDATE('Input - Pasture Beef (Enteric)'!$D$119,0), "mmmm")</f>
        <v>#VALUE!</v>
      </c>
      <c r="V22" s="25" t="str">
        <f>'Input - Pasture Beef (Enteric)'!$E$120</f>
        <v>September 2024</v>
      </c>
      <c r="W22" s="25">
        <f>'Input - Pasture Beef (Enteric)'!$F$120</f>
        <v>0</v>
      </c>
      <c r="X22" s="25">
        <f>'Input - Pasture Beef (Enteric)'!$G$120</f>
        <v>0</v>
      </c>
      <c r="Y22" s="26" t="s">
        <v>268</v>
      </c>
    </row>
    <row r="23" spans="1:34" ht="20.100000000000001" customHeight="1" x14ac:dyDescent="0.25">
      <c r="A23" s="5" t="str">
        <f>HYPERLINK("#'4.2.1.7-8 Soil leach runoff'!A1", "4.2.1.7-8 Soil leach &amp; runoff")</f>
        <v>4.2.1.7-8 Soil leach &amp; runoff</v>
      </c>
      <c r="D23" s="114" t="s">
        <v>269</v>
      </c>
      <c r="U23" s="25" t="e">
        <f>TEXT(EDATE('Input - Pasture Beef (Enteric)'!$D$119,1), "mmmm") &amp; ", " &amp; TEXT(EDATE('Input - Pasture Beef (Enteric)'!$D$119,2), "mmmm") &amp; ", " &amp; TEXT(EDATE('Input - Pasture Beef (Enteric)'!$D$119,3), "mmmm")</f>
        <v>#VALUE!</v>
      </c>
      <c r="Y23" s="26"/>
    </row>
    <row r="24" spans="1:34" ht="20.100000000000001" customHeight="1" x14ac:dyDescent="0.25">
      <c r="A24" s="5" t="str">
        <f>HYPERLINK("#'5.1.1.1-2 Inorganic fert N2O'!A1", "5.1.1.1-2 Inorganic fert N2O")</f>
        <v>5.1.1.1-2 Inorganic fert N2O</v>
      </c>
      <c r="D24" s="115" t="s">
        <v>270</v>
      </c>
      <c r="Y24" s="26"/>
    </row>
    <row r="25" spans="1:34" ht="20.100000000000001" customHeight="1" x14ac:dyDescent="0.25">
      <c r="A25" s="5" t="str">
        <f>HYPERLINK("#'5.1.1.3-4 Inorganic fert CO2'!A1", "5.1.1.3-4 Inorganic fert CO2")</f>
        <v>5.1.1.3-4 Inorganic fert CO2</v>
      </c>
      <c r="D25" s="116" t="s">
        <v>78</v>
      </c>
      <c r="E25" s="116" t="s">
        <v>216</v>
      </c>
      <c r="F25" s="116" t="s">
        <v>271</v>
      </c>
      <c r="G25" s="116" t="s">
        <v>193</v>
      </c>
      <c r="H25" s="116" t="s">
        <v>194</v>
      </c>
      <c r="I25" s="116" t="s">
        <v>195</v>
      </c>
      <c r="J25" s="116" t="s">
        <v>196</v>
      </c>
      <c r="K25" s="116" t="s">
        <v>197</v>
      </c>
      <c r="L25" s="116" t="s">
        <v>198</v>
      </c>
      <c r="M25" s="116" t="s">
        <v>199</v>
      </c>
      <c r="N25" s="116" t="s">
        <v>200</v>
      </c>
      <c r="O25" s="116" t="s">
        <v>201</v>
      </c>
      <c r="P25" s="116" t="s">
        <v>202</v>
      </c>
      <c r="U25" s="114" t="s">
        <v>272</v>
      </c>
    </row>
    <row r="26" spans="1:34" ht="20.100000000000001" customHeight="1" x14ac:dyDescent="0.25">
      <c r="A26" s="5" t="str">
        <f>HYPERLINK("#'5.2.1.1-2 Organic Fert N2O'!A1", "5.2.1.1-2 Organic fert N2O")</f>
        <v>5.2.1.1-2 Organic fert N2O</v>
      </c>
      <c r="D26" s="25" t="s">
        <v>203</v>
      </c>
      <c r="E26" s="25" t="e" cm="1">
        <f t="array" ref="E26">_xlfn.IFS(D21=D26, "Calving season", D21=D29, "Season after calving", D21=D27, "", D21=D28, "")</f>
        <v>#N/A</v>
      </c>
      <c r="F26" s="25" t="e" cm="1">
        <f t="array" ref="F26">_xlfn.IFS(E26="Calving season", $J$14, E26="Season after calving", $J$15, E26="", "")</f>
        <v>#N/A</v>
      </c>
      <c r="G26" s="25">
        <v>1</v>
      </c>
      <c r="H26" s="25">
        <v>1</v>
      </c>
      <c r="I26" s="25">
        <v>1</v>
      </c>
      <c r="J26" s="25" cm="1">
        <f t="array" ref="J26">IFERROR(EntericMethane_PastureBeef_Equations.VEERG_3_2_1_1__4_AdditionalIntakeForMilkProduction(E$21,$F26), 1)</f>
        <v>1</v>
      </c>
      <c r="K26" s="25" cm="1">
        <f t="array" ref="K26">IFERROR(EntericMethane_PastureBeef_Equations.VEERG_3_2_1_1__4_AdditionalIntakeForMilkProduction(F$21,$F26), 1)</f>
        <v>1</v>
      </c>
      <c r="L26" s="25" cm="1">
        <f t="array" ref="L26">IFERROR(EntericMethane_PastureBeef_Equations.VEERG_3_2_1_1__4_AdditionalIntakeForMilkProduction(G$21,$F26), 1)</f>
        <v>1</v>
      </c>
      <c r="M26" s="25">
        <v>1</v>
      </c>
      <c r="N26" s="25">
        <v>1</v>
      </c>
      <c r="O26" s="25">
        <v>1</v>
      </c>
      <c r="P26" s="25">
        <v>1</v>
      </c>
      <c r="Q26" s="26" t="str">
        <f>$E$11</f>
        <v>fraction</v>
      </c>
      <c r="U26" s="115" t="s">
        <v>273</v>
      </c>
    </row>
    <row r="27" spans="1:34" ht="20.100000000000001" customHeight="1" x14ac:dyDescent="0.25">
      <c r="A27" s="5" t="str">
        <f>HYPERLINK("#'5.3.1.1-2 Lime CO2'!A1", "5.3.1.1-2 Lime CO2")</f>
        <v>5.3.1.1-2 Lime CO2</v>
      </c>
      <c r="D27" s="25" t="s">
        <v>204</v>
      </c>
      <c r="E27" s="25" t="e" cm="1">
        <f t="array" ref="E27">_xlfn.IFS(D21=D27, "Calving season", D21=D26, "Season after calving", D21=D28, "", D21=D29, "")</f>
        <v>#N/A</v>
      </c>
      <c r="F27" s="25" t="e" cm="1">
        <f t="array" ref="F27">_xlfn.IFS(E27="Calving season", $J$14, E27="Season after calving", $J$15, E27="", "")</f>
        <v>#N/A</v>
      </c>
      <c r="G27" s="25">
        <v>1</v>
      </c>
      <c r="H27" s="25">
        <v>1</v>
      </c>
      <c r="I27" s="25">
        <v>1</v>
      </c>
      <c r="J27" s="25" cm="1">
        <f t="array" ref="J27">IFERROR(EntericMethane_PastureBeef_Equations.VEERG_3_2_1_1__4_AdditionalIntakeForMilkProduction(E$21,$F27), 1)</f>
        <v>1</v>
      </c>
      <c r="K27" s="25" cm="1">
        <f t="array" ref="K27">IFERROR(EntericMethane_PastureBeef_Equations.VEERG_3_2_1_1__4_AdditionalIntakeForMilkProduction(F$21,$F27), 1)</f>
        <v>1</v>
      </c>
      <c r="L27" s="25" cm="1">
        <f t="array" ref="L27">IFERROR(EntericMethane_PastureBeef_Equations.VEERG_3_2_1_1__4_AdditionalIntakeForMilkProduction(G$21,$F27), 1)</f>
        <v>1</v>
      </c>
      <c r="M27" s="25">
        <v>1</v>
      </c>
      <c r="N27" s="25">
        <v>1</v>
      </c>
      <c r="O27" s="25">
        <v>1</v>
      </c>
      <c r="P27" s="25">
        <v>1</v>
      </c>
      <c r="Q27" s="26" t="str">
        <f t="shared" ref="Q27:Q29" si="0">$E$11</f>
        <v>fraction</v>
      </c>
      <c r="U27" s="116" t="s">
        <v>77</v>
      </c>
      <c r="V27" s="116" t="s">
        <v>216</v>
      </c>
      <c r="W27" s="116" t="s">
        <v>271</v>
      </c>
      <c r="X27" s="116" t="s">
        <v>193</v>
      </c>
      <c r="Y27" s="116" t="s">
        <v>194</v>
      </c>
      <c r="Z27" s="116" t="s">
        <v>195</v>
      </c>
      <c r="AA27" s="116" t="s">
        <v>196</v>
      </c>
      <c r="AB27" s="116" t="s">
        <v>197</v>
      </c>
      <c r="AC27" s="116" t="s">
        <v>198</v>
      </c>
      <c r="AD27" s="116" t="s">
        <v>199</v>
      </c>
      <c r="AE27" s="116" t="s">
        <v>200</v>
      </c>
      <c r="AF27" s="116" t="s">
        <v>201</v>
      </c>
      <c r="AG27" s="116" t="s">
        <v>202</v>
      </c>
    </row>
    <row r="28" spans="1:34" ht="20.100000000000001" customHeight="1" x14ac:dyDescent="0.25">
      <c r="A28" s="5" t="str">
        <f>HYPERLINK("#'5.4.1.1-4 Atmos deposition'!A1", "5.4.1.1-4 Atmos. deposition")</f>
        <v>5.4.1.1-4 Atmos. deposition</v>
      </c>
      <c r="D28" s="25" t="s">
        <v>205</v>
      </c>
      <c r="E28" s="25" t="e" cm="1">
        <f t="array" ref="E28">_xlfn.IFS(D21=D28, "Calving season", D21=D27, "Season after calving", D21=D29, "", D21=D26, "")</f>
        <v>#N/A</v>
      </c>
      <c r="F28" s="25" t="e" cm="1">
        <f t="array" ref="F28">_xlfn.IFS(E28="Calving season", $J$14, E28="Season after calving", $J$15, E28="", "")</f>
        <v>#N/A</v>
      </c>
      <c r="G28" s="25">
        <v>1</v>
      </c>
      <c r="H28" s="25">
        <v>1</v>
      </c>
      <c r="I28" s="25">
        <v>1</v>
      </c>
      <c r="J28" s="25" cm="1">
        <f t="array" ref="J28">IFERROR(EntericMethane_PastureBeef_Equations.VEERG_3_2_1_1__4_AdditionalIntakeForMilkProduction(E$21,$F28), 1)</f>
        <v>1</v>
      </c>
      <c r="K28" s="25" cm="1">
        <f t="array" ref="K28">IFERROR(EntericMethane_PastureBeef_Equations.VEERG_3_2_1_1__4_AdditionalIntakeForMilkProduction(F$21,$F28), 1)</f>
        <v>1</v>
      </c>
      <c r="L28" s="25" cm="1">
        <f t="array" ref="L28">IFERROR(EntericMethane_PastureBeef_Equations.VEERG_3_2_1_1__4_AdditionalIntakeForMilkProduction(G$21,$F28), 1)</f>
        <v>1</v>
      </c>
      <c r="M28" s="25">
        <v>1</v>
      </c>
      <c r="N28" s="25">
        <v>1</v>
      </c>
      <c r="O28" s="25">
        <v>1</v>
      </c>
      <c r="P28" s="25">
        <v>1</v>
      </c>
      <c r="Q28" s="26" t="str">
        <f t="shared" si="0"/>
        <v>fraction</v>
      </c>
      <c r="U28" s="25" t="str">
        <f>TEXT('Input - Site'!$E$12,"mmmm")</f>
        <v>NO - Not in leaching zone</v>
      </c>
      <c r="V28" s="25" t="str" cm="1">
        <f t="array" ref="V28">IFERROR(_xlfn.IFS(SUMPRODUCT(ISNUMBER(SEARCH(TRIM(_xlfn.TEXTSPLIT($U$22,",")),U28))*1)&gt;0,"Calving season",SUMPRODUCT(ISNUMBER(SEARCH(TRIM(_xlfn.TEXTSPLIT($U$23,",")),U28))*1)&gt;0,"Season after calving"), "")</f>
        <v/>
      </c>
      <c r="W28" s="25" t="str" cm="1">
        <f t="array" ref="W28">_xlfn.IFS(V28="Calving season", $J$14, V28="Season after calving", $J$15, V28="", "")</f>
        <v/>
      </c>
      <c r="X28" s="25">
        <v>1</v>
      </c>
      <c r="Y28" s="25">
        <v>1</v>
      </c>
      <c r="Z28" s="25">
        <v>1</v>
      </c>
      <c r="AA28" s="25" cm="1">
        <f t="array" ref="AA28">IFERROR(EntericMethane_PastureBeef_Equations.VEERG_3_2_1_1__4_AdditionalIntakeForMilkProduction(V$22,$W28), 1)</f>
        <v>1</v>
      </c>
      <c r="AB28" s="25" cm="1">
        <f t="array" ref="AB28">IFERROR(EntericMethane_PastureBeef_Equations.VEERG_3_2_1_1__4_AdditionalIntakeForMilkProduction(W$22,$W28), 1)</f>
        <v>1</v>
      </c>
      <c r="AC28" s="25" cm="1">
        <f t="array" ref="AC28">IFERROR(EntericMethane_PastureBeef_Equations.VEERG_3_2_1_1__4_AdditionalIntakeForMilkProduction(X$22,$W28), 1)</f>
        <v>1</v>
      </c>
      <c r="AD28" s="25">
        <v>1</v>
      </c>
      <c r="AE28" s="25">
        <v>1</v>
      </c>
      <c r="AF28" s="25">
        <v>1</v>
      </c>
      <c r="AG28" s="25">
        <v>1</v>
      </c>
      <c r="AH28" s="26" t="str">
        <f>$E$11</f>
        <v>fraction</v>
      </c>
    </row>
    <row r="29" spans="1:34" ht="20.100000000000001" customHeight="1" x14ac:dyDescent="0.25">
      <c r="A29" s="5" t="str">
        <f>HYPERLINK("#'5.5.1.1-2 Leaching and runoff'!A1", "5.5.1.1-2 Leaching &amp; runoff")</f>
        <v>5.5.1.1-2 Leaching &amp; runoff</v>
      </c>
      <c r="D29" s="25" t="s">
        <v>206</v>
      </c>
      <c r="E29" s="25" t="e" cm="1">
        <f t="array" ref="E29">_xlfn.IFS(D21=D29, "Calving season", D21=D28, "Season after calving", D21=D26, "", D21=D27, "")</f>
        <v>#N/A</v>
      </c>
      <c r="F29" s="25" t="e" cm="1">
        <f t="array" ref="F29">_xlfn.IFS(E29="Calving season", $J$14, E29="Season after calving", $J$15, E29="", "")</f>
        <v>#N/A</v>
      </c>
      <c r="G29" s="25">
        <v>1</v>
      </c>
      <c r="H29" s="25">
        <v>1</v>
      </c>
      <c r="I29" s="25">
        <v>1</v>
      </c>
      <c r="J29" s="25" cm="1">
        <f t="array" ref="J29">IFERROR(EntericMethane_PastureBeef_Equations.VEERG_3_2_1_1__4_AdditionalIntakeForMilkProduction(E$21,$F29), 1)</f>
        <v>1</v>
      </c>
      <c r="K29" s="25" cm="1">
        <f t="array" ref="K29">IFERROR(EntericMethane_PastureBeef_Equations.VEERG_3_2_1_1__4_AdditionalIntakeForMilkProduction(F$21,$F29), 1)</f>
        <v>1</v>
      </c>
      <c r="L29" s="25" cm="1">
        <f t="array" ref="L29">IFERROR(EntericMethane_PastureBeef_Equations.VEERG_3_2_1_1__4_AdditionalIntakeForMilkProduction(G$21,$F29), 1)</f>
        <v>1</v>
      </c>
      <c r="M29" s="25">
        <v>1</v>
      </c>
      <c r="N29" s="25">
        <v>1</v>
      </c>
      <c r="O29" s="25">
        <v>1</v>
      </c>
      <c r="P29" s="25">
        <v>1</v>
      </c>
      <c r="Q29" s="26" t="str">
        <f t="shared" si="0"/>
        <v>fraction</v>
      </c>
      <c r="U29" s="25" t="e">
        <f>TEXT(EDATE('Input - Site'!$E$12,1), "mmmm")</f>
        <v>#VALUE!</v>
      </c>
      <c r="V29" s="25" t="str" cm="1">
        <f t="array" ref="V29">IFERROR(_xlfn.IFS(SUMPRODUCT(ISNUMBER(SEARCH(TRIM(_xlfn.TEXTSPLIT($U$22,",")),U29))*1)&gt;0,"Calving season",SUMPRODUCT(ISNUMBER(SEARCH(TRIM(_xlfn.TEXTSPLIT($U$23,",")),U29))*1)&gt;0,"Season after calving"), "")</f>
        <v/>
      </c>
      <c r="W29" s="25" t="str" cm="1">
        <f t="array" ref="W29">_xlfn.IFS(V29="Calving season", $J$14, V29="Season after calving", $J$15, V29="", "")</f>
        <v/>
      </c>
      <c r="X29" s="25">
        <v>1</v>
      </c>
      <c r="Y29" s="25">
        <v>1</v>
      </c>
      <c r="Z29" s="25">
        <v>1</v>
      </c>
      <c r="AA29" s="25" cm="1">
        <f t="array" ref="AA29">IFERROR(EntericMethane_PastureBeef_Equations.VEERG_3_2_1_1__4_AdditionalIntakeForMilkProduction(V$22,$W29), 1)</f>
        <v>1</v>
      </c>
      <c r="AB29" s="25" cm="1">
        <f t="array" ref="AB29">IFERROR(EntericMethane_PastureBeef_Equations.VEERG_3_2_1_1__4_AdditionalIntakeForMilkProduction(W$22,$W29), 1)</f>
        <v>1</v>
      </c>
      <c r="AC29" s="25" cm="1">
        <f t="array" ref="AC29">IFERROR(EntericMethane_PastureBeef_Equations.VEERG_3_2_1_1__4_AdditionalIntakeForMilkProduction(X$22,$W29), 1)</f>
        <v>1</v>
      </c>
      <c r="AD29" s="25">
        <v>1</v>
      </c>
      <c r="AE29" s="25">
        <v>1</v>
      </c>
      <c r="AF29" s="25">
        <v>1</v>
      </c>
      <c r="AG29" s="25">
        <v>1</v>
      </c>
      <c r="AH29" s="26" t="str">
        <f t="shared" ref="AH29:AH39" si="1">$E$11</f>
        <v>fraction</v>
      </c>
    </row>
    <row r="30" spans="1:34" ht="20.100000000000001" customHeight="1" x14ac:dyDescent="0.25">
      <c r="A30" s="5" t="str">
        <f>HYPERLINK("#'6.2.1.1-2 Pasture residue N2O'!A1", "6.2.1.1-2 Pasture residue N2O")</f>
        <v>6.2.1.1-2 Pasture residue N2O</v>
      </c>
      <c r="U30" s="25" t="e">
        <f>TEXT(EDATE('Input - Site'!$E$12,2), "mmmm")</f>
        <v>#VALUE!</v>
      </c>
      <c r="V30" s="25" t="str" cm="1">
        <f t="array" ref="V30">IFERROR(_xlfn.IFS(SUMPRODUCT(ISNUMBER(SEARCH(TRIM(_xlfn.TEXTSPLIT($U$22,",")),U30))*1)&gt;0,"Calving season",SUMPRODUCT(ISNUMBER(SEARCH(TRIM(_xlfn.TEXTSPLIT($U$23,",")),U30))*1)&gt;0,"Season after calving"), "")</f>
        <v/>
      </c>
      <c r="W30" s="25" t="str" cm="1">
        <f t="array" ref="W30">_xlfn.IFS(V30="Calving season", $J$14, V30="Season after calving", $J$15, V30="", "")</f>
        <v/>
      </c>
      <c r="X30" s="25">
        <v>1</v>
      </c>
      <c r="Y30" s="25">
        <v>1</v>
      </c>
      <c r="Z30" s="25">
        <v>1</v>
      </c>
      <c r="AA30" s="25" cm="1">
        <f t="array" ref="AA30">IFERROR(EntericMethane_PastureBeef_Equations.VEERG_3_2_1_1__4_AdditionalIntakeForMilkProduction(V$22,$W30), 1)</f>
        <v>1</v>
      </c>
      <c r="AB30" s="25" cm="1">
        <f t="array" ref="AB30">IFERROR(EntericMethane_PastureBeef_Equations.VEERG_3_2_1_1__4_AdditionalIntakeForMilkProduction(W$22,$W30), 1)</f>
        <v>1</v>
      </c>
      <c r="AC30" s="25" cm="1">
        <f t="array" ref="AC30">IFERROR(EntericMethane_PastureBeef_Equations.VEERG_3_2_1_1__4_AdditionalIntakeForMilkProduction(X$22,$W30), 1)</f>
        <v>1</v>
      </c>
      <c r="AD30" s="25">
        <v>1</v>
      </c>
      <c r="AE30" s="25">
        <v>1</v>
      </c>
      <c r="AF30" s="25">
        <v>1</v>
      </c>
      <c r="AG30" s="25">
        <v>1</v>
      </c>
      <c r="AH30" s="26" t="str">
        <f t="shared" si="1"/>
        <v>fraction</v>
      </c>
    </row>
    <row r="31" spans="1:34" ht="20.100000000000001" customHeight="1" x14ac:dyDescent="0.25">
      <c r="A31" s="5" t="str">
        <f>HYPERLINK("#'6.3.1.1-2 Leach runoff pasture'!A1", "6.3.1.1-2 Leach &amp; runoff (pasture)")</f>
        <v>6.3.1.1-2 Leach &amp; runoff (pasture)</v>
      </c>
      <c r="U31" s="25" t="e">
        <f>TEXT(EDATE('Input - Site'!$E$12,3), "mmmm")</f>
        <v>#VALUE!</v>
      </c>
      <c r="V31" s="25" t="str" cm="1">
        <f t="array" ref="V31">IFERROR(_xlfn.IFS(SUMPRODUCT(ISNUMBER(SEARCH(TRIM(_xlfn.TEXTSPLIT($U$22,",")),U31))*1)&gt;0,"Calving season",SUMPRODUCT(ISNUMBER(SEARCH(TRIM(_xlfn.TEXTSPLIT($U$23,",")),U31))*1)&gt;0,"Season after calving"), "")</f>
        <v/>
      </c>
      <c r="W31" s="25" t="str" cm="1">
        <f t="array" ref="W31">_xlfn.IFS(V31="Calving season", $J$14, V31="Season after calving", $J$15, V31="", "")</f>
        <v/>
      </c>
      <c r="X31" s="25">
        <v>1</v>
      </c>
      <c r="Y31" s="25">
        <v>1</v>
      </c>
      <c r="Z31" s="25">
        <v>1</v>
      </c>
      <c r="AA31" s="25" cm="1">
        <f t="array" ref="AA31">IFERROR(EntericMethane_PastureBeef_Equations.VEERG_3_2_1_1__4_AdditionalIntakeForMilkProduction(V$22,$W31), 1)</f>
        <v>1</v>
      </c>
      <c r="AB31" s="25" cm="1">
        <f t="array" ref="AB31">IFERROR(EntericMethane_PastureBeef_Equations.VEERG_3_2_1_1__4_AdditionalIntakeForMilkProduction(W$22,$W31), 1)</f>
        <v>1</v>
      </c>
      <c r="AC31" s="25" cm="1">
        <f t="array" ref="AC31">IFERROR(EntericMethane_PastureBeef_Equations.VEERG_3_2_1_1__4_AdditionalIntakeForMilkProduction(X$22,$W31), 1)</f>
        <v>1</v>
      </c>
      <c r="AD31" s="25">
        <v>1</v>
      </c>
      <c r="AE31" s="25">
        <v>1</v>
      </c>
      <c r="AF31" s="25">
        <v>1</v>
      </c>
      <c r="AG31" s="25">
        <v>1</v>
      </c>
      <c r="AH31" s="26" t="str">
        <f t="shared" si="1"/>
        <v>fraction</v>
      </c>
    </row>
    <row r="32" spans="1:34" ht="20.100000000000001" customHeight="1" x14ac:dyDescent="0.25">
      <c r="A32" s="5" t="str">
        <f>HYPERLINK("#'8.1.1.1-2 Transport fuel'!A1", "8.1.1.1-2 Transport fuel")</f>
        <v>8.1.1.1-2 Transport fuel</v>
      </c>
      <c r="C32" s="118"/>
      <c r="D32" s="118"/>
      <c r="E32" s="118"/>
      <c r="F32" s="118"/>
      <c r="G32" s="118"/>
      <c r="H32" s="118"/>
      <c r="I32" s="118"/>
      <c r="J32" s="118"/>
      <c r="K32" s="118"/>
      <c r="L32" s="118"/>
      <c r="M32" s="118"/>
      <c r="N32" s="118"/>
      <c r="O32" s="118"/>
      <c r="P32" s="118"/>
      <c r="Q32" s="118"/>
      <c r="R32" s="118"/>
      <c r="U32" s="25" t="e">
        <f>TEXT(EDATE('Input - Site'!$E$12,4), "mmmm")</f>
        <v>#VALUE!</v>
      </c>
      <c r="V32" s="25" t="str" cm="1">
        <f t="array" ref="V32">IFERROR(_xlfn.IFS(SUMPRODUCT(ISNUMBER(SEARCH(TRIM(_xlfn.TEXTSPLIT($U$22,",")),U32))*1)&gt;0,"Calving season",SUMPRODUCT(ISNUMBER(SEARCH(TRIM(_xlfn.TEXTSPLIT($U$23,",")),U32))*1)&gt;0,"Season after calving"), "")</f>
        <v/>
      </c>
      <c r="W32" s="25" t="str" cm="1">
        <f t="array" ref="W32">_xlfn.IFS(V32="Calving season", $J$14, V32="Season after calving", $J$15, V32="", "")</f>
        <v/>
      </c>
      <c r="X32" s="25">
        <v>1</v>
      </c>
      <c r="Y32" s="25">
        <v>1</v>
      </c>
      <c r="Z32" s="25">
        <v>1</v>
      </c>
      <c r="AA32" s="25" cm="1">
        <f t="array" ref="AA32">IFERROR(EntericMethane_PastureBeef_Equations.VEERG_3_2_1_1__4_AdditionalIntakeForMilkProduction(V$22,$W32), 1)</f>
        <v>1</v>
      </c>
      <c r="AB32" s="25" cm="1">
        <f t="array" ref="AB32">IFERROR(EntericMethane_PastureBeef_Equations.VEERG_3_2_1_1__4_AdditionalIntakeForMilkProduction(W$22,$W32), 1)</f>
        <v>1</v>
      </c>
      <c r="AC32" s="25" cm="1">
        <f t="array" ref="AC32">IFERROR(EntericMethane_PastureBeef_Equations.VEERG_3_2_1_1__4_AdditionalIntakeForMilkProduction(X$22,$W32), 1)</f>
        <v>1</v>
      </c>
      <c r="AD32" s="25">
        <v>1</v>
      </c>
      <c r="AE32" s="25">
        <v>1</v>
      </c>
      <c r="AF32" s="25">
        <v>1</v>
      </c>
      <c r="AG32" s="25">
        <v>1</v>
      </c>
      <c r="AH32" s="26" t="str">
        <f t="shared" si="1"/>
        <v>fraction</v>
      </c>
    </row>
    <row r="33" spans="1:34" ht="20.100000000000001" customHeight="1" x14ac:dyDescent="0.25">
      <c r="A33" s="5" t="str">
        <f>HYPERLINK("#'8.2.1.1-2 Stationary fuel'!A1", "8.2.1.1-2 Stationary fuel")</f>
        <v>8.2.1.1-2 Stationary fuel</v>
      </c>
      <c r="D33" s="2" t="str" cm="1">
        <f t="array" ref="D33">EntericMethane_PastureBeef_Equations.VEERG_3_2_1_1__3_FeedIntakeForGrazingBeef_Title()</f>
        <v>Feed intake for grazing beef cattle</v>
      </c>
      <c r="U33" s="25" t="e">
        <f>TEXT(EDATE('Input - Site'!$E$12,5), "mmmm")</f>
        <v>#VALUE!</v>
      </c>
      <c r="V33" s="25" t="str" cm="1">
        <f t="array" ref="V33">IFERROR(_xlfn.IFS(SUMPRODUCT(ISNUMBER(SEARCH(TRIM(_xlfn.TEXTSPLIT($U$22,",")),U33))*1)&gt;0,"Calving season",SUMPRODUCT(ISNUMBER(SEARCH(TRIM(_xlfn.TEXTSPLIT($U$23,",")),U33))*1)&gt;0,"Season after calving"), "")</f>
        <v/>
      </c>
      <c r="W33" s="25" t="str" cm="1">
        <f t="array" ref="W33">_xlfn.IFS(V33="Calving season", $J$14, V33="Season after calving", $J$15, V33="", "")</f>
        <v/>
      </c>
      <c r="X33" s="25">
        <v>1</v>
      </c>
      <c r="Y33" s="25">
        <v>1</v>
      </c>
      <c r="Z33" s="25">
        <v>1</v>
      </c>
      <c r="AA33" s="25" cm="1">
        <f t="array" ref="AA33">IFERROR(EntericMethane_PastureBeef_Equations.VEERG_3_2_1_1__4_AdditionalIntakeForMilkProduction(V$22,$W33), 1)</f>
        <v>1</v>
      </c>
      <c r="AB33" s="25" cm="1">
        <f t="array" ref="AB33">IFERROR(EntericMethane_PastureBeef_Equations.VEERG_3_2_1_1__4_AdditionalIntakeForMilkProduction(W$22,$W33), 1)</f>
        <v>1</v>
      </c>
      <c r="AC33" s="25" cm="1">
        <f t="array" ref="AC33">IFERROR(EntericMethane_PastureBeef_Equations.VEERG_3_2_1_1__4_AdditionalIntakeForMilkProduction(X$22,$W33), 1)</f>
        <v>1</v>
      </c>
      <c r="AD33" s="25">
        <v>1</v>
      </c>
      <c r="AE33" s="25">
        <v>1</v>
      </c>
      <c r="AF33" s="25">
        <v>1</v>
      </c>
      <c r="AG33" s="25">
        <v>1</v>
      </c>
      <c r="AH33" s="26" t="str">
        <f t="shared" si="1"/>
        <v>fraction</v>
      </c>
    </row>
    <row r="34" spans="1:34" ht="20.100000000000001" customHeight="1" x14ac:dyDescent="0.25">
      <c r="A34" s="5" t="str">
        <f>HYPERLINK("#'14.1.1-2 Purchased electricity'!A1", "14.1.1-2 Purchased electricity")</f>
        <v>14.1.1-2 Purchased electricity</v>
      </c>
      <c r="D34" s="27" t="str" cm="1">
        <f t="array" ref="D34">EntericMethane_PastureBeef_Equations.VEERG_3_2_1_1__3_FeedIntakeForGrazingBeef_Source()</f>
        <v>VEERG 2026: 3.2.1.1, Equation (3)</v>
      </c>
      <c r="U34" s="25" t="e">
        <f>TEXT(EDATE('Input - Site'!$E$12,6), "mmmm")</f>
        <v>#VALUE!</v>
      </c>
      <c r="V34" s="25" t="str" cm="1">
        <f t="array" ref="V34">IFERROR(_xlfn.IFS(SUMPRODUCT(ISNUMBER(SEARCH(TRIM(_xlfn.TEXTSPLIT($U$22,",")),U34))*1)&gt;0,"Calving season",SUMPRODUCT(ISNUMBER(SEARCH(TRIM(_xlfn.TEXTSPLIT($U$23,",")),U34))*1)&gt;0,"Season after calving"), "")</f>
        <v/>
      </c>
      <c r="W34" s="25" t="str" cm="1">
        <f t="array" ref="W34">_xlfn.IFS(V34="Calving season", $J$14, V34="Season after calving", $J$15, V34="", "")</f>
        <v/>
      </c>
      <c r="X34" s="25">
        <v>1</v>
      </c>
      <c r="Y34" s="25">
        <v>1</v>
      </c>
      <c r="Z34" s="25">
        <v>1</v>
      </c>
      <c r="AA34" s="25" cm="1">
        <f t="array" ref="AA34">IFERROR(EntericMethane_PastureBeef_Equations.VEERG_3_2_1_1__4_AdditionalIntakeForMilkProduction(V$22,$W34), 1)</f>
        <v>1</v>
      </c>
      <c r="AB34" s="25" cm="1">
        <f t="array" ref="AB34">IFERROR(EntericMethane_PastureBeef_Equations.VEERG_3_2_1_1__4_AdditionalIntakeForMilkProduction(W$22,$W34), 1)</f>
        <v>1</v>
      </c>
      <c r="AC34" s="25" cm="1">
        <f t="array" ref="AC34">IFERROR(EntericMethane_PastureBeef_Equations.VEERG_3_2_1_1__4_AdditionalIntakeForMilkProduction(X$22,$W34), 1)</f>
        <v>1</v>
      </c>
      <c r="AD34" s="25">
        <v>1</v>
      </c>
      <c r="AE34" s="25">
        <v>1</v>
      </c>
      <c r="AF34" s="25">
        <v>1</v>
      </c>
      <c r="AG34" s="25">
        <v>1</v>
      </c>
      <c r="AH34" s="26" t="str">
        <f t="shared" si="1"/>
        <v>fraction</v>
      </c>
    </row>
    <row r="35" spans="1:34" ht="20.100000000000001" customHeight="1" x14ac:dyDescent="0.25">
      <c r="D35" s="105" t="s">
        <v>261</v>
      </c>
      <c r="E35" s="105" t="str" cm="1">
        <f t="array" aca="1" ref="E35" ca="1">Common_InputFunctions.Utility_DisplayFunctionName($E$64)</f>
        <v>=EntericMethane_PastureBeef_Equations.VEERG_3_2_1_1__3_FeedIntakeForGrazingBeef</v>
      </c>
      <c r="U35" s="25" t="e">
        <f>TEXT(EDATE('Input - Site'!$E$12,7), "mmmm")</f>
        <v>#VALUE!</v>
      </c>
      <c r="V35" s="25" t="str" cm="1">
        <f t="array" ref="V35">IFERROR(_xlfn.IFS(SUMPRODUCT(ISNUMBER(SEARCH(TRIM(_xlfn.TEXTSPLIT($U$22,",")),U35))*1)&gt;0,"Calving season",SUMPRODUCT(ISNUMBER(SEARCH(TRIM(_xlfn.TEXTSPLIT($U$23,",")),U35))*1)&gt;0,"Season after calving"), "")</f>
        <v/>
      </c>
      <c r="W35" s="25" t="str" cm="1">
        <f t="array" ref="W35">_xlfn.IFS(V35="Calving season", $J$14, V35="Season after calving", $J$15, V35="", "")</f>
        <v/>
      </c>
      <c r="X35" s="25">
        <v>1</v>
      </c>
      <c r="Y35" s="25">
        <v>1</v>
      </c>
      <c r="Z35" s="25">
        <v>1</v>
      </c>
      <c r="AA35" s="25" cm="1">
        <f t="array" ref="AA35">IFERROR(EntericMethane_PastureBeef_Equations.VEERG_3_2_1_1__4_AdditionalIntakeForMilkProduction(V$22,$W35), 1)</f>
        <v>1</v>
      </c>
      <c r="AB35" s="25" cm="1">
        <f t="array" ref="AB35">IFERROR(EntericMethane_PastureBeef_Equations.VEERG_3_2_1_1__4_AdditionalIntakeForMilkProduction(W$22,$W35), 1)</f>
        <v>1</v>
      </c>
      <c r="AC35" s="25" cm="1">
        <f t="array" ref="AC35">IFERROR(EntericMethane_PastureBeef_Equations.VEERG_3_2_1_1__4_AdditionalIntakeForMilkProduction(X$22,$W35), 1)</f>
        <v>1</v>
      </c>
      <c r="AD35" s="25">
        <v>1</v>
      </c>
      <c r="AE35" s="25">
        <v>1</v>
      </c>
      <c r="AF35" s="25">
        <v>1</v>
      </c>
      <c r="AG35" s="25">
        <v>1</v>
      </c>
      <c r="AH35" s="26" t="str">
        <f t="shared" si="1"/>
        <v>fraction</v>
      </c>
    </row>
    <row r="36" spans="1:34" ht="20.100000000000001" customHeight="1" x14ac:dyDescent="0.25">
      <c r="U36" s="25" t="e">
        <f>TEXT(EDATE('Input - Site'!$E$12,8), "mmmm")</f>
        <v>#VALUE!</v>
      </c>
      <c r="V36" s="25" t="str" cm="1">
        <f t="array" ref="V36">IFERROR(_xlfn.IFS(SUMPRODUCT(ISNUMBER(SEARCH(TRIM(_xlfn.TEXTSPLIT($U$22,",")),U36))*1)&gt;0,"Calving season",SUMPRODUCT(ISNUMBER(SEARCH(TRIM(_xlfn.TEXTSPLIT($U$23,",")),U36))*1)&gt;0,"Season after calving"), "")</f>
        <v/>
      </c>
      <c r="W36" s="25" t="str" cm="1">
        <f t="array" ref="W36">_xlfn.IFS(V36="Calving season", $J$14, V36="Season after calving", $J$15, V36="", "")</f>
        <v/>
      </c>
      <c r="X36" s="25">
        <v>1</v>
      </c>
      <c r="Y36" s="25">
        <v>1</v>
      </c>
      <c r="Z36" s="25">
        <v>1</v>
      </c>
      <c r="AA36" s="25" cm="1">
        <f t="array" ref="AA36">IFERROR(EntericMethane_PastureBeef_Equations.VEERG_3_2_1_1__4_AdditionalIntakeForMilkProduction(V$22,$W36), 1)</f>
        <v>1</v>
      </c>
      <c r="AB36" s="25" cm="1">
        <f t="array" ref="AB36">IFERROR(EntericMethane_PastureBeef_Equations.VEERG_3_2_1_1__4_AdditionalIntakeForMilkProduction(W$22,$W36), 1)</f>
        <v>1</v>
      </c>
      <c r="AC36" s="25" cm="1">
        <f t="array" ref="AC36">IFERROR(EntericMethane_PastureBeef_Equations.VEERG_3_2_1_1__4_AdditionalIntakeForMilkProduction(X$22,$W36), 1)</f>
        <v>1</v>
      </c>
      <c r="AD36" s="25">
        <v>1</v>
      </c>
      <c r="AE36" s="25">
        <v>1</v>
      </c>
      <c r="AF36" s="25">
        <v>1</v>
      </c>
      <c r="AG36" s="25">
        <v>1</v>
      </c>
      <c r="AH36" s="26" t="str">
        <f t="shared" si="1"/>
        <v>fraction</v>
      </c>
    </row>
    <row r="37" spans="1:34" ht="20.100000000000001" customHeight="1" x14ac:dyDescent="0.25">
      <c r="A37" s="251" t="s">
        <v>1</v>
      </c>
      <c r="G37" s="2" t="str" cm="1">
        <f t="array" ref="G37">EntericMethane_PastureBeef_Equations.VEERG_3_2_1_1__3_FeedIntakeForGrazingBeef_LatexEquation()</f>
        <v>I_{jkl}=(1.185+0.00454\times W_{jkl}-0.0000026\times W_{jkl}^{2}+0.315\times LWG_{jkl})^2\times MA_{jk=4,5}</v>
      </c>
      <c r="U37" s="25" t="e">
        <f>TEXT(EDATE('Input - Site'!$E$12,9), "mmmm")</f>
        <v>#VALUE!</v>
      </c>
      <c r="V37" s="25" t="str" cm="1">
        <f t="array" ref="V37">IFERROR(_xlfn.IFS(SUMPRODUCT(ISNUMBER(SEARCH(TRIM(_xlfn.TEXTSPLIT($U$22,",")),U37))*1)&gt;0,"Calving season",SUMPRODUCT(ISNUMBER(SEARCH(TRIM(_xlfn.TEXTSPLIT($U$23,",")),U37))*1)&gt;0,"Season after calving"), "")</f>
        <v/>
      </c>
      <c r="W37" s="25" t="str" cm="1">
        <f t="array" ref="W37">_xlfn.IFS(V37="Calving season", $J$14, V37="Season after calving", $J$15, V37="", "")</f>
        <v/>
      </c>
      <c r="X37" s="25">
        <v>1</v>
      </c>
      <c r="Y37" s="25">
        <v>1</v>
      </c>
      <c r="Z37" s="25">
        <v>1</v>
      </c>
      <c r="AA37" s="25" cm="1">
        <f t="array" ref="AA37">IFERROR(EntericMethane_PastureBeef_Equations.VEERG_3_2_1_1__4_AdditionalIntakeForMilkProduction(V$22,$W37), 1)</f>
        <v>1</v>
      </c>
      <c r="AB37" s="25" cm="1">
        <f t="array" ref="AB37">IFERROR(EntericMethane_PastureBeef_Equations.VEERG_3_2_1_1__4_AdditionalIntakeForMilkProduction(W$22,$W37), 1)</f>
        <v>1</v>
      </c>
      <c r="AC37" s="25" cm="1">
        <f t="array" ref="AC37">IFERROR(EntericMethane_PastureBeef_Equations.VEERG_3_2_1_1__4_AdditionalIntakeForMilkProduction(X$22,$W37), 1)</f>
        <v>1</v>
      </c>
      <c r="AD37" s="25">
        <v>1</v>
      </c>
      <c r="AE37" s="25">
        <v>1</v>
      </c>
      <c r="AF37" s="25">
        <v>1</v>
      </c>
      <c r="AG37" s="25">
        <v>1</v>
      </c>
      <c r="AH37" s="26" t="str">
        <f t="shared" si="1"/>
        <v>fraction</v>
      </c>
    </row>
    <row r="38" spans="1:34" ht="20.100000000000001" customHeight="1" x14ac:dyDescent="0.25">
      <c r="A38" s="5" t="str">
        <f>HYPERLINK("#'Constants - Pasture Beef'!A1", "Constants - Pasture Beef")</f>
        <v>Constants - Pasture Beef</v>
      </c>
      <c r="D38" s="88" t="s">
        <v>263</v>
      </c>
      <c r="E38" s="1" t="str" cm="1">
        <f t="array" ref="E38">EntericMethane_PastureBeef_Equations.VEERG_3_2_1_1__3_FeedIntakeForGrazingBeef_Variable()</f>
        <v>I_jkl</v>
      </c>
      <c r="U38" s="25" t="e">
        <f>TEXT(EDATE('Input - Site'!$E$12,10), "mmmm")</f>
        <v>#VALUE!</v>
      </c>
      <c r="V38" s="25" t="str" cm="1">
        <f t="array" ref="V38">IFERROR(_xlfn.IFS(SUMPRODUCT(ISNUMBER(SEARCH(TRIM(_xlfn.TEXTSPLIT($U$22,",")),U38))*1)&gt;0,"Calving season",SUMPRODUCT(ISNUMBER(SEARCH(TRIM(_xlfn.TEXTSPLIT($U$23,",")),U38))*1)&gt;0,"Season after calving"), "")</f>
        <v/>
      </c>
      <c r="W38" s="25" t="str" cm="1">
        <f t="array" ref="W38">_xlfn.IFS(V38="Calving season", $J$14, V38="Season after calving", $J$15, V38="", "")</f>
        <v/>
      </c>
      <c r="X38" s="25">
        <v>1</v>
      </c>
      <c r="Y38" s="25">
        <v>1</v>
      </c>
      <c r="Z38" s="25">
        <v>1</v>
      </c>
      <c r="AA38" s="25" cm="1">
        <f t="array" ref="AA38">IFERROR(EntericMethane_PastureBeef_Equations.VEERG_3_2_1_1__4_AdditionalIntakeForMilkProduction(V$22,$W38), 1)</f>
        <v>1</v>
      </c>
      <c r="AB38" s="25" cm="1">
        <f t="array" ref="AB38">IFERROR(EntericMethane_PastureBeef_Equations.VEERG_3_2_1_1__4_AdditionalIntakeForMilkProduction(W$22,$W38), 1)</f>
        <v>1</v>
      </c>
      <c r="AC38" s="25" cm="1">
        <f t="array" ref="AC38">IFERROR(EntericMethane_PastureBeef_Equations.VEERG_3_2_1_1__4_AdditionalIntakeForMilkProduction(X$22,$W38), 1)</f>
        <v>1</v>
      </c>
      <c r="AD38" s="25">
        <v>1</v>
      </c>
      <c r="AE38" s="25">
        <v>1</v>
      </c>
      <c r="AF38" s="25">
        <v>1</v>
      </c>
      <c r="AG38" s="25">
        <v>1</v>
      </c>
      <c r="AH38" s="26" t="str">
        <f t="shared" si="1"/>
        <v>fraction</v>
      </c>
    </row>
    <row r="39" spans="1:34" ht="20.100000000000001" customHeight="1" x14ac:dyDescent="0.25">
      <c r="A39" s="5" t="str">
        <f>HYPERLINK("#'Constants - Ag Residue'!A1", "Constants - Ag residue")</f>
        <v>Constants - Ag residue</v>
      </c>
      <c r="D39" s="88" t="s">
        <v>130</v>
      </c>
      <c r="E39" s="15" t="str" cm="1">
        <f t="array" ref="E39">EntericMethane_PastureBeef_Equations.VEERG_3_2_1_1__3_FeedIntakeForGrazingBeef_Unit()</f>
        <v>kg DM/head/day</v>
      </c>
      <c r="U39" s="25" t="e">
        <f>TEXT(EDATE('Input - Site'!$E$12,11), "mmmm")</f>
        <v>#VALUE!</v>
      </c>
      <c r="V39" s="25" t="str" cm="1">
        <f t="array" ref="V39">IFERROR(_xlfn.IFS(SUMPRODUCT(ISNUMBER(SEARCH(TRIM(_xlfn.TEXTSPLIT($U$22,",")),U39))*1)&gt;0,"Calving season",SUMPRODUCT(ISNUMBER(SEARCH(TRIM(_xlfn.TEXTSPLIT($U$23,",")),U39))*1)&gt;0,"Season after calving"), "")</f>
        <v/>
      </c>
      <c r="W39" s="25" t="str" cm="1">
        <f t="array" ref="W39">_xlfn.IFS(V39="Calving season", $J$14, V39="Season after calving", $J$15, V39="", "")</f>
        <v/>
      </c>
      <c r="X39" s="25">
        <v>1</v>
      </c>
      <c r="Y39" s="25">
        <v>1</v>
      </c>
      <c r="Z39" s="25">
        <v>1</v>
      </c>
      <c r="AA39" s="25" cm="1">
        <f t="array" ref="AA39">IFERROR(EntericMethane_PastureBeef_Equations.VEERG_3_2_1_1__4_AdditionalIntakeForMilkProduction(V$22,$W39), 1)</f>
        <v>1</v>
      </c>
      <c r="AB39" s="25" cm="1">
        <f t="array" ref="AB39">IFERROR(EntericMethane_PastureBeef_Equations.VEERG_3_2_1_1__4_AdditionalIntakeForMilkProduction(W$22,$W39), 1)</f>
        <v>1</v>
      </c>
      <c r="AC39" s="25" cm="1">
        <f t="array" ref="AC39">IFERROR(EntericMethane_PastureBeef_Equations.VEERG_3_2_1_1__4_AdditionalIntakeForMilkProduction(X$22,$W39), 1)</f>
        <v>1</v>
      </c>
      <c r="AD39" s="25">
        <v>1</v>
      </c>
      <c r="AE39" s="25">
        <v>1</v>
      </c>
      <c r="AF39" s="25">
        <v>1</v>
      </c>
      <c r="AG39" s="25">
        <v>1</v>
      </c>
      <c r="AH39" s="26" t="str">
        <f t="shared" si="1"/>
        <v>fraction</v>
      </c>
    </row>
    <row r="40" spans="1:34" ht="20.100000000000001" customHeight="1" x14ac:dyDescent="0.25">
      <c r="A40" s="5" t="str">
        <f>HYPERLINK("#'Constants - Common Livestock'!A1", "Constants - Common Livestock")</f>
        <v>Constants - Common Livestock</v>
      </c>
    </row>
    <row r="41" spans="1:34" ht="20.100000000000001" customHeight="1" x14ac:dyDescent="0.25">
      <c r="A41" s="5" t="str">
        <f>HYPERLINK("#'Constants - Electricity'!A1", "Constants - Electricity")</f>
        <v>Constants - Electricity</v>
      </c>
      <c r="D41" s="107" t="str" cm="1">
        <f t="array" ref="D41:E43">_xlfn.CHOOSECOLS(EntericMethane_PastureBeef_Equations.VEERG_3_2_1_1__3_FeedIntakeForGrazingBeef_Arguments(), 1, 2)</f>
        <v>W_jkl</v>
      </c>
      <c r="E41" s="108" t="str">
        <v>liveweight (kg)</v>
      </c>
      <c r="F41" s="110"/>
      <c r="G41" s="107" t="str" cm="1">
        <f t="array" ref="G41:H43">_xlfn.CHOOSECOLS(EntericMethane_PastureBeef_Equations.VEERG_3_2_1_1__3_FeedIntakeForGrazingBeef_Arguments(), 3,4)</f>
        <v>kg</v>
      </c>
      <c r="H41" s="111" t="str">
        <v>Input</v>
      </c>
      <c r="I41" s="113" t="str" cm="1">
        <f t="array" aca="1" ref="I41" ca="1">HYPERLINK(Common_InputFunctions.Utility_SourceHyperlink($D$45), $D$45)</f>
        <v>M1_Table_W_j_k_l</v>
      </c>
      <c r="U41" s="114" t="s">
        <v>274</v>
      </c>
    </row>
    <row r="42" spans="1:34" ht="20.100000000000001" customHeight="1" x14ac:dyDescent="0.25">
      <c r="A42" s="5" t="str">
        <f>HYPERLINK("#'Constants - Fertiliser'!A1", "Constants - Fertiliser")</f>
        <v>Constants - Fertiliser</v>
      </c>
      <c r="D42" s="107" t="str">
        <v>LWG_jkl</v>
      </c>
      <c r="E42" s="108" t="str">
        <v>live weight gain (kg/head/day)</v>
      </c>
      <c r="F42" s="110"/>
      <c r="G42" s="107" t="str">
        <v>kg/head/day</v>
      </c>
      <c r="H42" s="111" t="str">
        <v>Input</v>
      </c>
      <c r="I42" s="113" t="str" cm="1">
        <f t="array" aca="1" ref="I42" ca="1">HYPERLINK(Common_InputFunctions.Utility_SourceHyperlink($D$53), $D$53)</f>
        <v>M1_Table_LWG_j_k_l</v>
      </c>
      <c r="U42" s="115" t="s">
        <v>275</v>
      </c>
    </row>
    <row r="43" spans="1:34" ht="20.100000000000001" customHeight="1" x14ac:dyDescent="0.25">
      <c r="A43" s="5" t="str">
        <f>HYPERLINK("#'Constants - Fuel'!A1", "Constants - Fuel")</f>
        <v>Constants - Fuel</v>
      </c>
      <c r="D43" s="107" t="str">
        <v>MA_jk45</v>
      </c>
      <c r="E43" s="108" t="str">
        <v>additional intake for milk production in cows greater than 2 years</v>
      </c>
      <c r="F43" s="110"/>
      <c r="G43" s="107" t="str">
        <v>kg/head/day</v>
      </c>
      <c r="H43" s="112" t="str">
        <v>Calculated from 3.2.1.1, (4)</v>
      </c>
      <c r="I43" s="113" t="str" cm="1">
        <f t="array" aca="1" ref="I43" ca="1">HYPERLINK(Common_InputFunctions.Utility_SourceHyperlink($D$23), $D$23)</f>
        <v>M1_Table_MA_j_k-4-5</v>
      </c>
      <c r="U43" s="116" t="s">
        <v>77</v>
      </c>
      <c r="V43" s="117" t="s">
        <v>193</v>
      </c>
      <c r="W43" s="117" t="s">
        <v>194</v>
      </c>
      <c r="X43" s="117" t="s">
        <v>195</v>
      </c>
      <c r="Y43" s="117" t="s">
        <v>196</v>
      </c>
      <c r="Z43" s="117" t="s">
        <v>197</v>
      </c>
      <c r="AA43" s="117" t="s">
        <v>198</v>
      </c>
      <c r="AB43" s="117" t="s">
        <v>199</v>
      </c>
      <c r="AC43" s="117" t="s">
        <v>200</v>
      </c>
      <c r="AD43" s="117" t="s">
        <v>201</v>
      </c>
      <c r="AE43" s="117" t="s">
        <v>202</v>
      </c>
      <c r="AF43" s="26"/>
    </row>
    <row r="44" spans="1:34" ht="20.100000000000001" customHeight="1" x14ac:dyDescent="0.25">
      <c r="A44" s="5" t="str">
        <f>HYPERLINK("#'Constants - Common'!A1", "Constants - Common")</f>
        <v>Constants - Common</v>
      </c>
      <c r="U44" s="25" t="str">
        <f>TEXT('Input - Site'!$E$12,"mmmm")</f>
        <v>NO - Not in leaching zone</v>
      </c>
      <c r="V44" s="25" cm="1">
        <f t="array" aca="1" ref="V44:AE55" ca="1">OFFSET(X_Table_PastureBeef_Liveweight_Method2,1,1,12,10)</f>
        <v>380</v>
      </c>
      <c r="W44" s="25">
        <f ca="1"/>
        <v>780</v>
      </c>
      <c r="X44" s="25">
        <f ca="1"/>
        <v>300</v>
      </c>
      <c r="Y44" s="25">
        <f ca="1"/>
        <v>450</v>
      </c>
      <c r="Z44" s="25">
        <f ca="1"/>
        <v>530</v>
      </c>
      <c r="AA44" s="25">
        <f ca="1"/>
        <v>530</v>
      </c>
      <c r="AB44" s="25">
        <f ca="1"/>
        <v>340</v>
      </c>
      <c r="AC44" s="25">
        <f ca="1"/>
        <v>470</v>
      </c>
      <c r="AD44" s="25">
        <f ca="1"/>
        <v>470</v>
      </c>
      <c r="AE44" s="25">
        <f ca="1"/>
        <v>470</v>
      </c>
      <c r="AF44" s="26" t="s">
        <v>212</v>
      </c>
    </row>
    <row r="45" spans="1:34" ht="20.100000000000001" customHeight="1" x14ac:dyDescent="0.25">
      <c r="A45" s="5" t="str">
        <f>HYPERLINK("#'Acknowledgements'!A1", "Acknowledgements")</f>
        <v>Acknowledgements</v>
      </c>
      <c r="D45" s="114" t="s">
        <v>276</v>
      </c>
      <c r="U45" s="25" t="e">
        <f>TEXT(EDATE('Input - Site'!$E$12,1), "mmmm")</f>
        <v>#VALUE!</v>
      </c>
      <c r="V45" s="25">
        <f ca="1"/>
        <v>380</v>
      </c>
      <c r="W45" s="25">
        <f ca="1"/>
        <v>780</v>
      </c>
      <c r="X45" s="25">
        <f ca="1"/>
        <v>300</v>
      </c>
      <c r="Y45" s="25">
        <f ca="1"/>
        <v>450</v>
      </c>
      <c r="Z45" s="25">
        <f ca="1"/>
        <v>530</v>
      </c>
      <c r="AA45" s="25">
        <f ca="1"/>
        <v>530</v>
      </c>
      <c r="AB45" s="25">
        <f ca="1"/>
        <v>340</v>
      </c>
      <c r="AC45" s="25">
        <f ca="1"/>
        <v>470</v>
      </c>
      <c r="AD45" s="25">
        <f ca="1"/>
        <v>470</v>
      </c>
      <c r="AE45" s="25">
        <f ca="1"/>
        <v>470</v>
      </c>
      <c r="AF45" s="26" t="s">
        <v>212</v>
      </c>
    </row>
    <row r="46" spans="1:34" ht="20.100000000000001" customHeight="1" x14ac:dyDescent="0.25">
      <c r="A46" s="5" t="str">
        <f>HYPERLINK("#'Overview'!A1", "Overview")</f>
        <v>Overview</v>
      </c>
      <c r="D46" s="115" t="s">
        <v>277</v>
      </c>
      <c r="U46" s="25" t="e">
        <f>TEXT(EDATE('Input - Site'!$E$12,2), "mmmm")</f>
        <v>#VALUE!</v>
      </c>
      <c r="V46" s="25">
        <f ca="1"/>
        <v>100</v>
      </c>
      <c r="W46" s="25">
        <f ca="1"/>
        <v>680</v>
      </c>
      <c r="X46" s="25">
        <f ca="1"/>
        <v>80</v>
      </c>
      <c r="Y46" s="25">
        <f ca="1"/>
        <v>320</v>
      </c>
      <c r="Z46" s="25">
        <f ca="1"/>
        <v>480</v>
      </c>
      <c r="AA46" s="25">
        <f ca="1"/>
        <v>480</v>
      </c>
      <c r="AB46" s="25">
        <f ca="1"/>
        <v>100</v>
      </c>
      <c r="AC46" s="25">
        <f ca="1"/>
        <v>340</v>
      </c>
      <c r="AD46" s="25">
        <f ca="1"/>
        <v>340</v>
      </c>
      <c r="AE46" s="25">
        <f ca="1"/>
        <v>340</v>
      </c>
      <c r="AF46" s="26" t="s">
        <v>212</v>
      </c>
    </row>
    <row r="47" spans="1:34" ht="20.100000000000001" customHeight="1" x14ac:dyDescent="0.25">
      <c r="D47" s="116" t="s">
        <v>78</v>
      </c>
      <c r="E47" s="117" t="s">
        <v>193</v>
      </c>
      <c r="F47" s="117" t="s">
        <v>194</v>
      </c>
      <c r="G47" s="117" t="s">
        <v>195</v>
      </c>
      <c r="H47" s="117" t="s">
        <v>196</v>
      </c>
      <c r="I47" s="117" t="s">
        <v>197</v>
      </c>
      <c r="J47" s="117" t="s">
        <v>198</v>
      </c>
      <c r="K47" s="117" t="s">
        <v>199</v>
      </c>
      <c r="L47" s="117" t="s">
        <v>200</v>
      </c>
      <c r="M47" s="117" t="s">
        <v>201</v>
      </c>
      <c r="N47" s="117" t="s">
        <v>202</v>
      </c>
      <c r="U47" s="25" t="e">
        <f>TEXT(EDATE('Input - Site'!$E$12,3), "mmmm")</f>
        <v>#VALUE!</v>
      </c>
      <c r="V47" s="25">
        <f ca="1"/>
        <v>100</v>
      </c>
      <c r="W47" s="25">
        <f ca="1"/>
        <v>680</v>
      </c>
      <c r="X47" s="25">
        <f ca="1"/>
        <v>80</v>
      </c>
      <c r="Y47" s="25">
        <f ca="1"/>
        <v>320</v>
      </c>
      <c r="Z47" s="25">
        <f ca="1"/>
        <v>480</v>
      </c>
      <c r="AA47" s="25">
        <f ca="1"/>
        <v>480</v>
      </c>
      <c r="AB47" s="25">
        <f ca="1"/>
        <v>100</v>
      </c>
      <c r="AC47" s="25">
        <f ca="1"/>
        <v>340</v>
      </c>
      <c r="AD47" s="25">
        <f ca="1"/>
        <v>340</v>
      </c>
      <c r="AE47" s="25">
        <f ca="1"/>
        <v>340</v>
      </c>
      <c r="AF47" s="26" t="s">
        <v>212</v>
      </c>
    </row>
    <row r="48" spans="1:34" ht="20.100000000000001" customHeight="1" x14ac:dyDescent="0.25">
      <c r="D48" s="25" t="str">
        <f>INDEX(X_Table_PastureBeef_Liveweight_Method1,2,1)</f>
        <v>Spring</v>
      </c>
      <c r="E48" s="25" cm="1">
        <f t="array" aca="1" ref="E48:N51" ca="1">OFFSET(X_Table_PastureBeef_Liveweight_Method1, 1,1, 4,10)</f>
        <v>340</v>
      </c>
      <c r="F48" s="25">
        <f ca="1"/>
        <v>800</v>
      </c>
      <c r="G48" s="25">
        <f ca="1"/>
        <v>260</v>
      </c>
      <c r="H48" s="25">
        <f ca="1"/>
        <v>420</v>
      </c>
      <c r="I48" s="25">
        <f ca="1"/>
        <v>550</v>
      </c>
      <c r="J48" s="25">
        <f ca="1"/>
        <v>550</v>
      </c>
      <c r="K48" s="25">
        <f ca="1"/>
        <v>300</v>
      </c>
      <c r="L48" s="25">
        <f ca="1"/>
        <v>480</v>
      </c>
      <c r="M48" s="25">
        <f ca="1"/>
        <v>480</v>
      </c>
      <c r="N48" s="25">
        <f ca="1"/>
        <v>480</v>
      </c>
      <c r="O48" s="26" t="s">
        <v>212</v>
      </c>
      <c r="P48" s="26"/>
      <c r="Q48" s="26"/>
      <c r="U48" s="25" t="e">
        <f>TEXT(EDATE('Input - Site'!$E$12,4), "mmmm")</f>
        <v>#VALUE!</v>
      </c>
      <c r="V48" s="25">
        <f ca="1"/>
        <v>100</v>
      </c>
      <c r="W48" s="25">
        <f ca="1"/>
        <v>680</v>
      </c>
      <c r="X48" s="25">
        <f ca="1"/>
        <v>80</v>
      </c>
      <c r="Y48" s="25">
        <f ca="1"/>
        <v>320</v>
      </c>
      <c r="Z48" s="25">
        <f ca="1"/>
        <v>480</v>
      </c>
      <c r="AA48" s="25">
        <f ca="1"/>
        <v>480</v>
      </c>
      <c r="AB48" s="25">
        <f ca="1"/>
        <v>100</v>
      </c>
      <c r="AC48" s="25">
        <f ca="1"/>
        <v>340</v>
      </c>
      <c r="AD48" s="25">
        <f ca="1"/>
        <v>340</v>
      </c>
      <c r="AE48" s="25">
        <f ca="1"/>
        <v>340</v>
      </c>
      <c r="AF48" s="26" t="s">
        <v>212</v>
      </c>
    </row>
    <row r="49" spans="4:34" ht="20.100000000000001" customHeight="1" x14ac:dyDescent="0.25">
      <c r="D49" s="25" t="str">
        <f>INDEX(X_Table_PastureBeef_Liveweight_Method1,3,1)</f>
        <v>Summer</v>
      </c>
      <c r="E49" s="25">
        <f ca="1"/>
        <v>380</v>
      </c>
      <c r="F49" s="25">
        <f ca="1"/>
        <v>780</v>
      </c>
      <c r="G49" s="25">
        <f ca="1"/>
        <v>300</v>
      </c>
      <c r="H49" s="25">
        <f ca="1"/>
        <v>450</v>
      </c>
      <c r="I49" s="25">
        <f ca="1"/>
        <v>530</v>
      </c>
      <c r="J49" s="25">
        <f ca="1"/>
        <v>530</v>
      </c>
      <c r="K49" s="25">
        <f ca="1"/>
        <v>340</v>
      </c>
      <c r="L49" s="25">
        <f ca="1"/>
        <v>470</v>
      </c>
      <c r="M49" s="25">
        <f ca="1"/>
        <v>470</v>
      </c>
      <c r="N49" s="25">
        <f ca="1"/>
        <v>470</v>
      </c>
      <c r="O49" s="26" t="s">
        <v>212</v>
      </c>
      <c r="P49" s="26"/>
      <c r="Q49" s="26"/>
      <c r="U49" s="25" t="e">
        <f>TEXT(EDATE('Input - Site'!$E$12,5), "mmmm")</f>
        <v>#VALUE!</v>
      </c>
      <c r="V49" s="25">
        <f ca="1"/>
        <v>190</v>
      </c>
      <c r="W49" s="25">
        <f ca="1"/>
        <v>700</v>
      </c>
      <c r="X49" s="25">
        <f ca="1"/>
        <v>150</v>
      </c>
      <c r="Y49" s="25">
        <f ca="1"/>
        <v>330</v>
      </c>
      <c r="Z49" s="25">
        <f ca="1"/>
        <v>490</v>
      </c>
      <c r="AA49" s="25">
        <f ca="1"/>
        <v>490</v>
      </c>
      <c r="AB49" s="25">
        <f ca="1"/>
        <v>170</v>
      </c>
      <c r="AC49" s="25">
        <f ca="1"/>
        <v>360</v>
      </c>
      <c r="AD49" s="25">
        <f ca="1"/>
        <v>360</v>
      </c>
      <c r="AE49" s="25">
        <f ca="1"/>
        <v>360</v>
      </c>
      <c r="AF49" s="26" t="s">
        <v>212</v>
      </c>
    </row>
    <row r="50" spans="4:34" ht="20.100000000000001" customHeight="1" x14ac:dyDescent="0.25">
      <c r="D50" s="25" t="str">
        <f>INDEX(X_Table_PastureBeef_Liveweight_Method1,4,1)</f>
        <v>Autumn</v>
      </c>
      <c r="E50" s="25">
        <f ca="1"/>
        <v>100</v>
      </c>
      <c r="F50" s="25">
        <f ca="1"/>
        <v>680</v>
      </c>
      <c r="G50" s="25">
        <f ca="1"/>
        <v>80</v>
      </c>
      <c r="H50" s="25">
        <f ca="1"/>
        <v>320</v>
      </c>
      <c r="I50" s="25">
        <f ca="1"/>
        <v>480</v>
      </c>
      <c r="J50" s="25">
        <f ca="1"/>
        <v>480</v>
      </c>
      <c r="K50" s="25">
        <f ca="1"/>
        <v>100</v>
      </c>
      <c r="L50" s="25">
        <f ca="1"/>
        <v>340</v>
      </c>
      <c r="M50" s="25">
        <f ca="1"/>
        <v>340</v>
      </c>
      <c r="N50" s="25">
        <f ca="1"/>
        <v>340</v>
      </c>
      <c r="O50" s="26" t="s">
        <v>212</v>
      </c>
      <c r="P50" s="26"/>
      <c r="Q50" s="26"/>
      <c r="U50" s="25" t="e">
        <f>TEXT(EDATE('Input - Site'!$E$12,6), "mmmm")</f>
        <v>#VALUE!</v>
      </c>
      <c r="V50" s="25">
        <f ca="1"/>
        <v>190</v>
      </c>
      <c r="W50" s="25">
        <f ca="1"/>
        <v>700</v>
      </c>
      <c r="X50" s="25">
        <f ca="1"/>
        <v>150</v>
      </c>
      <c r="Y50" s="25">
        <f ca="1"/>
        <v>330</v>
      </c>
      <c r="Z50" s="25">
        <f ca="1"/>
        <v>490</v>
      </c>
      <c r="AA50" s="25">
        <f ca="1"/>
        <v>490</v>
      </c>
      <c r="AB50" s="25">
        <f ca="1"/>
        <v>170</v>
      </c>
      <c r="AC50" s="25">
        <f ca="1"/>
        <v>360</v>
      </c>
      <c r="AD50" s="25">
        <f ca="1"/>
        <v>360</v>
      </c>
      <c r="AE50" s="25">
        <f ca="1"/>
        <v>360</v>
      </c>
      <c r="AF50" s="26" t="s">
        <v>212</v>
      </c>
    </row>
    <row r="51" spans="4:34" ht="20.100000000000001" customHeight="1" x14ac:dyDescent="0.25">
      <c r="D51" s="25" t="str">
        <f>INDEX(X_Table_PastureBeef_Liveweight_Method1,5,1)</f>
        <v>Winter</v>
      </c>
      <c r="E51" s="25">
        <f ca="1"/>
        <v>190</v>
      </c>
      <c r="F51" s="25">
        <f ca="1"/>
        <v>700</v>
      </c>
      <c r="G51" s="25">
        <f ca="1"/>
        <v>150</v>
      </c>
      <c r="H51" s="25">
        <f ca="1"/>
        <v>330</v>
      </c>
      <c r="I51" s="25">
        <f ca="1"/>
        <v>490</v>
      </c>
      <c r="J51" s="25">
        <f ca="1"/>
        <v>490</v>
      </c>
      <c r="K51" s="25">
        <f ca="1"/>
        <v>170</v>
      </c>
      <c r="L51" s="25">
        <f ca="1"/>
        <v>360</v>
      </c>
      <c r="M51" s="25">
        <f ca="1"/>
        <v>360</v>
      </c>
      <c r="N51" s="25">
        <f ca="1"/>
        <v>360</v>
      </c>
      <c r="O51" s="26" t="s">
        <v>212</v>
      </c>
      <c r="P51" s="26"/>
      <c r="Q51" s="26"/>
      <c r="U51" s="25" t="e">
        <f>TEXT(EDATE('Input - Site'!$E$12,7), "mmmm")</f>
        <v>#VALUE!</v>
      </c>
      <c r="V51" s="25">
        <f ca="1"/>
        <v>190</v>
      </c>
      <c r="W51" s="25">
        <f ca="1"/>
        <v>700</v>
      </c>
      <c r="X51" s="25">
        <f ca="1"/>
        <v>150</v>
      </c>
      <c r="Y51" s="25">
        <f ca="1"/>
        <v>330</v>
      </c>
      <c r="Z51" s="25">
        <f ca="1"/>
        <v>490</v>
      </c>
      <c r="AA51" s="25">
        <f ca="1"/>
        <v>490</v>
      </c>
      <c r="AB51" s="25">
        <f ca="1"/>
        <v>170</v>
      </c>
      <c r="AC51" s="25">
        <f ca="1"/>
        <v>360</v>
      </c>
      <c r="AD51" s="25">
        <f ca="1"/>
        <v>360</v>
      </c>
      <c r="AE51" s="25">
        <f ca="1"/>
        <v>360</v>
      </c>
      <c r="AF51" s="26" t="s">
        <v>212</v>
      </c>
      <c r="AG51" s="26"/>
      <c r="AH51" s="26"/>
    </row>
    <row r="52" spans="4:34" ht="20.100000000000001" customHeight="1" x14ac:dyDescent="0.25">
      <c r="U52" s="25" t="e">
        <f>TEXT(EDATE('Input - Site'!$E$12,8), "mmmm")</f>
        <v>#VALUE!</v>
      </c>
      <c r="V52" s="25">
        <f ca="1"/>
        <v>340</v>
      </c>
      <c r="W52" s="25">
        <f ca="1"/>
        <v>800</v>
      </c>
      <c r="X52" s="25">
        <f ca="1"/>
        <v>260</v>
      </c>
      <c r="Y52" s="25">
        <f ca="1"/>
        <v>420</v>
      </c>
      <c r="Z52" s="25">
        <f ca="1"/>
        <v>550</v>
      </c>
      <c r="AA52" s="25">
        <f ca="1"/>
        <v>550</v>
      </c>
      <c r="AB52" s="25">
        <f ca="1"/>
        <v>300</v>
      </c>
      <c r="AC52" s="25">
        <f ca="1"/>
        <v>480</v>
      </c>
      <c r="AD52" s="25">
        <f ca="1"/>
        <v>480</v>
      </c>
      <c r="AE52" s="25">
        <f ca="1"/>
        <v>480</v>
      </c>
      <c r="AF52" s="26" t="s">
        <v>212</v>
      </c>
      <c r="AG52" s="26"/>
      <c r="AH52" s="26"/>
    </row>
    <row r="53" spans="4:34" ht="20.100000000000001" customHeight="1" x14ac:dyDescent="0.25">
      <c r="D53" s="114" t="s">
        <v>278</v>
      </c>
      <c r="U53" s="25" t="e">
        <f>TEXT(EDATE('Input - Site'!$E$12,9), "mmmm")</f>
        <v>#VALUE!</v>
      </c>
      <c r="V53" s="25">
        <f ca="1"/>
        <v>340</v>
      </c>
      <c r="W53" s="25">
        <f ca="1"/>
        <v>800</v>
      </c>
      <c r="X53" s="25">
        <f ca="1"/>
        <v>260</v>
      </c>
      <c r="Y53" s="25">
        <f ca="1"/>
        <v>420</v>
      </c>
      <c r="Z53" s="25">
        <f ca="1"/>
        <v>550</v>
      </c>
      <c r="AA53" s="25">
        <f ca="1"/>
        <v>550</v>
      </c>
      <c r="AB53" s="25">
        <f ca="1"/>
        <v>300</v>
      </c>
      <c r="AC53" s="25">
        <f ca="1"/>
        <v>480</v>
      </c>
      <c r="AD53" s="25">
        <f ca="1"/>
        <v>480</v>
      </c>
      <c r="AE53" s="25">
        <f ca="1"/>
        <v>480</v>
      </c>
      <c r="AF53" s="26" t="s">
        <v>212</v>
      </c>
      <c r="AG53" s="26"/>
      <c r="AH53" s="26"/>
    </row>
    <row r="54" spans="4:34" ht="20.100000000000001" customHeight="1" x14ac:dyDescent="0.25">
      <c r="D54" s="115" t="s">
        <v>279</v>
      </c>
      <c r="U54" s="25" t="e">
        <f>TEXT(EDATE('Input - Site'!$E$12,10), "mmmm")</f>
        <v>#VALUE!</v>
      </c>
      <c r="V54" s="25">
        <f ca="1"/>
        <v>340</v>
      </c>
      <c r="W54" s="25">
        <f ca="1"/>
        <v>800</v>
      </c>
      <c r="X54" s="25">
        <f ca="1"/>
        <v>260</v>
      </c>
      <c r="Y54" s="25">
        <f ca="1"/>
        <v>420</v>
      </c>
      <c r="Z54" s="25">
        <f ca="1"/>
        <v>550</v>
      </c>
      <c r="AA54" s="25">
        <f ca="1"/>
        <v>550</v>
      </c>
      <c r="AB54" s="25">
        <f ca="1"/>
        <v>300</v>
      </c>
      <c r="AC54" s="25">
        <f ca="1"/>
        <v>480</v>
      </c>
      <c r="AD54" s="25">
        <f ca="1"/>
        <v>480</v>
      </c>
      <c r="AE54" s="25">
        <f ca="1"/>
        <v>480</v>
      </c>
      <c r="AF54" s="26" t="s">
        <v>212</v>
      </c>
      <c r="AG54" s="26"/>
      <c r="AH54" s="26"/>
    </row>
    <row r="55" spans="4:34" ht="20.100000000000001" customHeight="1" x14ac:dyDescent="0.25">
      <c r="D55" s="116" t="s">
        <v>78</v>
      </c>
      <c r="E55" s="117" t="s">
        <v>193</v>
      </c>
      <c r="F55" s="117" t="s">
        <v>194</v>
      </c>
      <c r="G55" s="117" t="s">
        <v>195</v>
      </c>
      <c r="H55" s="117" t="s">
        <v>196</v>
      </c>
      <c r="I55" s="117" t="s">
        <v>197</v>
      </c>
      <c r="J55" s="117" t="s">
        <v>198</v>
      </c>
      <c r="K55" s="117" t="s">
        <v>199</v>
      </c>
      <c r="L55" s="117" t="s">
        <v>200</v>
      </c>
      <c r="M55" s="117" t="s">
        <v>201</v>
      </c>
      <c r="N55" s="117" t="s">
        <v>202</v>
      </c>
      <c r="U55" s="25" t="e">
        <f>TEXT(EDATE('Input - Site'!$E$12,11), "mmmm")</f>
        <v>#VALUE!</v>
      </c>
      <c r="V55" s="25">
        <f ca="1"/>
        <v>380</v>
      </c>
      <c r="W55" s="25">
        <f ca="1"/>
        <v>780</v>
      </c>
      <c r="X55" s="25">
        <f ca="1"/>
        <v>300</v>
      </c>
      <c r="Y55" s="25">
        <f ca="1"/>
        <v>450</v>
      </c>
      <c r="Z55" s="25">
        <f ca="1"/>
        <v>530</v>
      </c>
      <c r="AA55" s="25">
        <f ca="1"/>
        <v>530</v>
      </c>
      <c r="AB55" s="25">
        <f ca="1"/>
        <v>340</v>
      </c>
      <c r="AC55" s="25">
        <f ca="1"/>
        <v>470</v>
      </c>
      <c r="AD55" s="25">
        <f ca="1"/>
        <v>470</v>
      </c>
      <c r="AE55" s="25">
        <f ca="1"/>
        <v>470</v>
      </c>
      <c r="AF55" s="26" t="s">
        <v>212</v>
      </c>
      <c r="AG55" s="26"/>
      <c r="AH55" s="26"/>
    </row>
    <row r="56" spans="4:34" ht="20.100000000000001" customHeight="1" x14ac:dyDescent="0.25">
      <c r="D56" s="25" t="str">
        <f>INDEX(X_Table_PastureBeef_LiveweightGain_Method1,2,1)</f>
        <v>Spring</v>
      </c>
      <c r="E56" s="25" cm="1">
        <f t="array" aca="1" ref="E56:N59" ca="1">OFFSET(X_Table_PastureBeef_LiveweightGain_Method1, 1,1, 4,10)</f>
        <v>1.64</v>
      </c>
      <c r="F56" s="25">
        <f ca="1"/>
        <v>1.1000000000000001</v>
      </c>
      <c r="G56" s="25">
        <f ca="1"/>
        <v>1.21</v>
      </c>
      <c r="H56" s="25">
        <f ca="1"/>
        <v>0.99</v>
      </c>
      <c r="I56" s="25">
        <f ca="1"/>
        <v>0.66</v>
      </c>
      <c r="J56" s="25">
        <f ca="1"/>
        <v>0.66</v>
      </c>
      <c r="K56" s="25">
        <f ca="1"/>
        <v>1.42</v>
      </c>
      <c r="L56" s="25">
        <f ca="1"/>
        <v>1.1000000000000001</v>
      </c>
      <c r="M56" s="25">
        <f ca="1"/>
        <v>1.1000000000000001</v>
      </c>
      <c r="N56" s="25">
        <f ca="1"/>
        <v>1.1000000000000001</v>
      </c>
      <c r="O56" s="26" t="s">
        <v>212</v>
      </c>
      <c r="P56" s="26"/>
      <c r="Q56" s="26"/>
      <c r="AG56" s="26"/>
      <c r="AH56" s="26"/>
    </row>
    <row r="57" spans="4:34" ht="20.100000000000001" customHeight="1" x14ac:dyDescent="0.25">
      <c r="D57" s="25" t="str">
        <f>INDEX(X_Table_PastureBeef_LiveweightGain_Method1,3,1)</f>
        <v>Summer</v>
      </c>
      <c r="E57" s="25">
        <f ca="1"/>
        <v>0.44</v>
      </c>
      <c r="F57" s="25">
        <f ca="1"/>
        <v>-0.22</v>
      </c>
      <c r="G57" s="25">
        <f ca="1"/>
        <v>0.44</v>
      </c>
      <c r="H57" s="25">
        <f ca="1"/>
        <v>0.33</v>
      </c>
      <c r="I57" s="25">
        <f ca="1"/>
        <v>-0.22</v>
      </c>
      <c r="J57" s="25">
        <f ca="1"/>
        <v>-0.22</v>
      </c>
      <c r="K57" s="25">
        <f ca="1"/>
        <v>0.44</v>
      </c>
      <c r="L57" s="25">
        <f ca="1"/>
        <v>-0.11</v>
      </c>
      <c r="M57" s="25">
        <f ca="1"/>
        <v>-0.11</v>
      </c>
      <c r="N57" s="25">
        <f ca="1"/>
        <v>-0.11</v>
      </c>
      <c r="O57" s="26" t="s">
        <v>212</v>
      </c>
      <c r="P57" s="26"/>
      <c r="Q57" s="26"/>
      <c r="U57" s="114" t="s">
        <v>280</v>
      </c>
      <c r="AG57" s="26"/>
      <c r="AH57" s="26"/>
    </row>
    <row r="58" spans="4:34" ht="20.100000000000001" customHeight="1" x14ac:dyDescent="0.25">
      <c r="D58" s="25" t="str">
        <f>INDEX(X_Table_PastureBeef_LiveweightGain_Method1,4,1)</f>
        <v>Autumn</v>
      </c>
      <c r="E58" s="25">
        <f ca="1"/>
        <v>0.6</v>
      </c>
      <c r="F58" s="25">
        <f ca="1"/>
        <v>0</v>
      </c>
      <c r="G58" s="25">
        <f ca="1"/>
        <v>0.6</v>
      </c>
      <c r="H58" s="25">
        <f ca="1"/>
        <v>0.22</v>
      </c>
      <c r="I58" s="25">
        <f ca="1"/>
        <v>-0.55000000000000004</v>
      </c>
      <c r="J58" s="25">
        <f ca="1"/>
        <v>-0.55000000000000004</v>
      </c>
      <c r="K58" s="25">
        <f ca="1"/>
        <v>0.6</v>
      </c>
      <c r="L58" s="25">
        <f ca="1"/>
        <v>0</v>
      </c>
      <c r="M58" s="25">
        <f ca="1"/>
        <v>0</v>
      </c>
      <c r="N58" s="25">
        <f ca="1"/>
        <v>0</v>
      </c>
      <c r="O58" s="26" t="s">
        <v>212</v>
      </c>
      <c r="P58" s="26"/>
      <c r="Q58" s="26"/>
      <c r="U58" s="115" t="s">
        <v>281</v>
      </c>
      <c r="AG58" s="26"/>
      <c r="AH58" s="26"/>
    </row>
    <row r="59" spans="4:34" ht="20.100000000000001" customHeight="1" x14ac:dyDescent="0.25">
      <c r="D59" s="25" t="str">
        <f>INDEX(X_Table_PastureBeef_LiveweightGain_Method1,5,1)</f>
        <v>Winter</v>
      </c>
      <c r="E59" s="25">
        <f ca="1"/>
        <v>0.99</v>
      </c>
      <c r="F59" s="25">
        <f ca="1"/>
        <v>0.22</v>
      </c>
      <c r="G59" s="25">
        <f ca="1"/>
        <v>0.77</v>
      </c>
      <c r="H59" s="25">
        <f ca="1"/>
        <v>0.11</v>
      </c>
      <c r="I59" s="25">
        <f ca="1"/>
        <v>0.11</v>
      </c>
      <c r="J59" s="25">
        <f ca="1"/>
        <v>0.11</v>
      </c>
      <c r="K59" s="25">
        <f ca="1"/>
        <v>0.77</v>
      </c>
      <c r="L59" s="25">
        <f ca="1"/>
        <v>0.44</v>
      </c>
      <c r="M59" s="25">
        <f ca="1"/>
        <v>0.44</v>
      </c>
      <c r="N59" s="25">
        <f ca="1"/>
        <v>0.44</v>
      </c>
      <c r="O59" s="26" t="s">
        <v>212</v>
      </c>
      <c r="P59" s="26"/>
      <c r="Q59" s="26"/>
      <c r="U59" s="116" t="s">
        <v>77</v>
      </c>
      <c r="V59" s="117" t="s">
        <v>193</v>
      </c>
      <c r="W59" s="117" t="s">
        <v>194</v>
      </c>
      <c r="X59" s="117" t="s">
        <v>195</v>
      </c>
      <c r="Y59" s="117" t="s">
        <v>196</v>
      </c>
      <c r="Z59" s="117" t="s">
        <v>197</v>
      </c>
      <c r="AA59" s="117" t="s">
        <v>198</v>
      </c>
      <c r="AB59" s="117" t="s">
        <v>199</v>
      </c>
      <c r="AC59" s="117" t="s">
        <v>200</v>
      </c>
      <c r="AD59" s="117" t="s">
        <v>201</v>
      </c>
      <c r="AE59" s="117" t="s">
        <v>202</v>
      </c>
      <c r="AG59" s="26"/>
      <c r="AH59" s="26"/>
    </row>
    <row r="60" spans="4:34" ht="20.100000000000001" customHeight="1" x14ac:dyDescent="0.25">
      <c r="U60" s="25" t="str">
        <f>TEXT('Input - Site'!$E$12,"mmmm")</f>
        <v>NO - Not in leaching zone</v>
      </c>
      <c r="V60" s="25" cm="1">
        <f t="array" aca="1" ref="V60:AE71" ca="1">OFFSET(X_Table_PastureBeef_LiveweightGain_Method2,1,1,12,10)</f>
        <v>0.44</v>
      </c>
      <c r="W60" s="25">
        <f ca="1"/>
        <v>-0.22</v>
      </c>
      <c r="X60" s="25">
        <f ca="1"/>
        <v>0.44</v>
      </c>
      <c r="Y60" s="25">
        <f ca="1"/>
        <v>0.33</v>
      </c>
      <c r="Z60" s="25">
        <f ca="1"/>
        <v>-0.22</v>
      </c>
      <c r="AA60" s="25">
        <f ca="1"/>
        <v>-0.22</v>
      </c>
      <c r="AB60" s="25">
        <f ca="1"/>
        <v>0.44</v>
      </c>
      <c r="AC60" s="25">
        <f ca="1"/>
        <v>-0.11</v>
      </c>
      <c r="AD60" s="25">
        <f ca="1"/>
        <v>-0.11</v>
      </c>
      <c r="AE60" s="25">
        <f ca="1"/>
        <v>-0.11</v>
      </c>
      <c r="AF60" s="26" t="s">
        <v>214</v>
      </c>
      <c r="AG60" s="26"/>
      <c r="AH60" s="26"/>
    </row>
    <row r="61" spans="4:34" ht="20.100000000000001" customHeight="1" x14ac:dyDescent="0.25">
      <c r="D61" s="114" t="s">
        <v>282</v>
      </c>
      <c r="U61" s="25" t="e">
        <f>TEXT(EDATE('Input - Site'!$E$12,1), "mmmm")</f>
        <v>#VALUE!</v>
      </c>
      <c r="V61" s="25">
        <f ca="1"/>
        <v>0.44</v>
      </c>
      <c r="W61" s="25">
        <f ca="1"/>
        <v>-0.22</v>
      </c>
      <c r="X61" s="25">
        <f ca="1"/>
        <v>0.44</v>
      </c>
      <c r="Y61" s="25">
        <f ca="1"/>
        <v>0.33</v>
      </c>
      <c r="Z61" s="25">
        <f ca="1"/>
        <v>-0.22</v>
      </c>
      <c r="AA61" s="25">
        <f ca="1"/>
        <v>-0.22</v>
      </c>
      <c r="AB61" s="25">
        <f ca="1"/>
        <v>0.44</v>
      </c>
      <c r="AC61" s="25">
        <f ca="1"/>
        <v>-0.11</v>
      </c>
      <c r="AD61" s="25">
        <f ca="1"/>
        <v>-0.11</v>
      </c>
      <c r="AE61" s="25">
        <f ca="1"/>
        <v>-0.11</v>
      </c>
      <c r="AF61" s="26" t="s">
        <v>214</v>
      </c>
      <c r="AG61" s="26"/>
      <c r="AH61" s="26"/>
    </row>
    <row r="62" spans="4:34" ht="20.100000000000001" customHeight="1" x14ac:dyDescent="0.25">
      <c r="D62" s="115" t="s">
        <v>283</v>
      </c>
      <c r="U62" s="25" t="e">
        <f>TEXT(EDATE('Input - Site'!$E$12,2), "mmmm")</f>
        <v>#VALUE!</v>
      </c>
      <c r="V62" s="25">
        <f ca="1"/>
        <v>0.6</v>
      </c>
      <c r="W62" s="25">
        <f ca="1"/>
        <v>0</v>
      </c>
      <c r="X62" s="25">
        <f ca="1"/>
        <v>0.6</v>
      </c>
      <c r="Y62" s="25">
        <f ca="1"/>
        <v>0.22</v>
      </c>
      <c r="Z62" s="25">
        <f ca="1"/>
        <v>-0.55000000000000004</v>
      </c>
      <c r="AA62" s="25">
        <f ca="1"/>
        <v>-0.55000000000000004</v>
      </c>
      <c r="AB62" s="25">
        <f ca="1"/>
        <v>0.6</v>
      </c>
      <c r="AC62" s="25">
        <f ca="1"/>
        <v>0</v>
      </c>
      <c r="AD62" s="25">
        <f ca="1"/>
        <v>0</v>
      </c>
      <c r="AE62" s="25">
        <f ca="1"/>
        <v>0</v>
      </c>
      <c r="AF62" s="26" t="s">
        <v>214</v>
      </c>
      <c r="AG62" s="26"/>
      <c r="AH62" s="26"/>
    </row>
    <row r="63" spans="4:34" ht="20.100000000000001" customHeight="1" x14ac:dyDescent="0.25">
      <c r="D63" s="116" t="s">
        <v>78</v>
      </c>
      <c r="E63" s="116" t="s">
        <v>193</v>
      </c>
      <c r="F63" s="116" t="s">
        <v>194</v>
      </c>
      <c r="G63" s="116" t="s">
        <v>195</v>
      </c>
      <c r="H63" s="116" t="s">
        <v>196</v>
      </c>
      <c r="I63" s="116" t="s">
        <v>197</v>
      </c>
      <c r="J63" s="116" t="s">
        <v>198</v>
      </c>
      <c r="K63" s="116" t="s">
        <v>199</v>
      </c>
      <c r="L63" s="116" t="s">
        <v>200</v>
      </c>
      <c r="M63" s="116" t="s">
        <v>201</v>
      </c>
      <c r="N63" s="116" t="s">
        <v>202</v>
      </c>
      <c r="U63" s="25" t="e">
        <f>TEXT(EDATE('Input - Site'!$E$12,3), "mmmm")</f>
        <v>#VALUE!</v>
      </c>
      <c r="V63" s="25">
        <f ca="1"/>
        <v>0.6</v>
      </c>
      <c r="W63" s="25">
        <f ca="1"/>
        <v>0</v>
      </c>
      <c r="X63" s="25">
        <f ca="1"/>
        <v>0.6</v>
      </c>
      <c r="Y63" s="25">
        <f ca="1"/>
        <v>0.22</v>
      </c>
      <c r="Z63" s="25">
        <f ca="1"/>
        <v>-0.55000000000000004</v>
      </c>
      <c r="AA63" s="25">
        <f ca="1"/>
        <v>-0.55000000000000004</v>
      </c>
      <c r="AB63" s="25">
        <f ca="1"/>
        <v>0.6</v>
      </c>
      <c r="AC63" s="25">
        <f ca="1"/>
        <v>0</v>
      </c>
      <c r="AD63" s="25">
        <f ca="1"/>
        <v>0</v>
      </c>
      <c r="AE63" s="25">
        <f ca="1"/>
        <v>0</v>
      </c>
      <c r="AF63" s="26" t="s">
        <v>214</v>
      </c>
      <c r="AG63" s="26"/>
      <c r="AH63" s="26"/>
    </row>
    <row r="64" spans="4:34" ht="20.100000000000001" customHeight="1" x14ac:dyDescent="0.25">
      <c r="D64" s="25" t="s">
        <v>203</v>
      </c>
      <c r="E64" s="25" cm="1">
        <f t="array" aca="1" ref="E64" ca="1">EntericMethane_PastureBeef_Equations.VEERG_3_2_1_1__3_FeedIntakeForGrazingBeef(E48,E56,G26)</f>
        <v>8.6709047296000001</v>
      </c>
      <c r="F64" s="25" cm="1">
        <f t="array" aca="1" ref="F64" ca="1">EntericMethane_PastureBeef_Equations.VEERG_3_2_1_1__3_FeedIntakeForGrazingBeef(F48,F56,H26)</f>
        <v>12.246500250000002</v>
      </c>
      <c r="G64" s="25" cm="1">
        <f t="array" aca="1" ref="G64" ca="1">EntericMethane_PastureBeef_Equations.VEERG_3_2_1_1__3_FeedIntakeForGrazingBeef(G48,G56,I26)</f>
        <v>6.6089612241000006</v>
      </c>
      <c r="H64" s="25" cm="1">
        <f t="array" aca="1" ref="H64" ca="1">EntericMethane_PastureBeef_Equations.VEERG_3_2_1_1__3_FeedIntakeForGrazingBeef(H48,H56,J26)</f>
        <v>8.6730839001000017</v>
      </c>
      <c r="I64" s="25" cm="1">
        <f t="array" aca="1" ref="I64" ca="1">EntericMethane_PastureBeef_Equations.VEERG_3_2_1_1__3_FeedIntakeForGrazingBeef(I48,I56,K26)</f>
        <v>9.6310915600000016</v>
      </c>
      <c r="J64" s="25" cm="1">
        <f t="array" aca="1" ref="J64" ca="1">EntericMethane_PastureBeef_Equations.VEERG_3_2_1_1__3_FeedIntakeForGrazingBeef(J48,J56,L26)</f>
        <v>9.6310915600000016</v>
      </c>
      <c r="K64" s="25" cm="1">
        <f t="array" aca="1" ref="K64" ca="1">EntericMethane_PastureBeef_Equations.VEERG_3_2_1_1__3_FeedIntakeForGrazingBeef(K48,K56,M26)</f>
        <v>7.6192560899999977</v>
      </c>
      <c r="L64" s="25" cm="1">
        <f t="array" aca="1" ref="L64" ca="1">EntericMethane_PastureBeef_Equations.VEERG_3_2_1_1__3_FeedIntakeForGrazingBeef(L48,L56,N26)</f>
        <v>9.6824279555999979</v>
      </c>
      <c r="M64" s="25" cm="1">
        <f t="array" aca="1" ref="M64" ca="1">EntericMethane_PastureBeef_Equations.VEERG_3_2_1_1__3_FeedIntakeForGrazingBeef(M48,M56,O26)</f>
        <v>9.6824279555999979</v>
      </c>
      <c r="N64" s="25" cm="1">
        <f t="array" aca="1" ref="N64" ca="1">EntericMethane_PastureBeef_Equations.VEERG_3_2_1_1__3_FeedIntakeForGrazingBeef(N48,N56,P26)</f>
        <v>9.6824279555999979</v>
      </c>
      <c r="O64" s="26" t="str">
        <f>$E$39</f>
        <v>kg DM/head/day</v>
      </c>
      <c r="P64" s="26"/>
      <c r="Q64" s="26"/>
      <c r="U64" s="25" t="e">
        <f>TEXT(EDATE('Input - Site'!$E$12,4), "mmmm")</f>
        <v>#VALUE!</v>
      </c>
      <c r="V64" s="25">
        <f ca="1"/>
        <v>0.6</v>
      </c>
      <c r="W64" s="25">
        <f ca="1"/>
        <v>0</v>
      </c>
      <c r="X64" s="25">
        <f ca="1"/>
        <v>0.6</v>
      </c>
      <c r="Y64" s="25">
        <f ca="1"/>
        <v>0.22</v>
      </c>
      <c r="Z64" s="25">
        <f ca="1"/>
        <v>-0.55000000000000004</v>
      </c>
      <c r="AA64" s="25">
        <f ca="1"/>
        <v>-0.55000000000000004</v>
      </c>
      <c r="AB64" s="25">
        <f ca="1"/>
        <v>0.6</v>
      </c>
      <c r="AC64" s="25">
        <f ca="1"/>
        <v>0</v>
      </c>
      <c r="AD64" s="25">
        <f ca="1"/>
        <v>0</v>
      </c>
      <c r="AE64" s="25">
        <f ca="1"/>
        <v>0</v>
      </c>
      <c r="AF64" s="26" t="s">
        <v>214</v>
      </c>
    </row>
    <row r="65" spans="3:34" ht="20.100000000000001" customHeight="1" x14ac:dyDescent="0.25">
      <c r="D65" s="25" t="s">
        <v>204</v>
      </c>
      <c r="E65" s="25" cm="1">
        <f t="array" aca="1" ref="E65" ca="1">EntericMethane_PastureBeef_Equations.VEERG_3_2_1_1__3_FeedIntakeForGrazingBeef(E49,E57,G27)</f>
        <v>7.1468536895999959</v>
      </c>
      <c r="F65" s="25" cm="1">
        <f t="array" aca="1" ref="F65" ca="1">EntericMethane_PastureBeef_Equations.VEERG_3_2_1_1__3_FeedIntakeForGrazingBeef(F49,F57,H27)</f>
        <v>9.4559940036000008</v>
      </c>
      <c r="G65" s="25" cm="1">
        <f t="array" aca="1" ref="G65" ca="1">EntericMethane_PastureBeef_Equations.VEERG_3_2_1_1__3_FeedIntakeForGrazingBeef(G49,G57,I27)</f>
        <v>6.010342559999998</v>
      </c>
      <c r="H65" s="25" cm="1">
        <f t="array" aca="1" ref="H65" ca="1">EntericMethane_PastureBeef_Equations.VEERG_3_2_1_1__3_FeedIntakeForGrazingBeef(H49,H57,J27)</f>
        <v>7.8705497025</v>
      </c>
      <c r="I65" s="25" cm="1">
        <f t="array" aca="1" ref="I65" ca="1">EntericMethane_PastureBeef_Equations.VEERG_3_2_1_1__3_FeedIntakeForGrazingBeef(I49,I57,K27)</f>
        <v>7.7928072335999978</v>
      </c>
      <c r="J65" s="25" cm="1">
        <f t="array" aca="1" ref="J65" ca="1">EntericMethane_PastureBeef_Equations.VEERG_3_2_1_1__3_FeedIntakeForGrazingBeef(J49,J57,L27)</f>
        <v>7.7928072335999978</v>
      </c>
      <c r="K65" s="25" cm="1">
        <f t="array" aca="1" ref="K65" ca="1">EntericMethane_PastureBeef_Equations.VEERG_3_2_1_1__3_FeedIntakeForGrazingBeef(K49,K57,M27)</f>
        <v>6.5876408896000003</v>
      </c>
      <c r="L65" s="25" cm="1">
        <f t="array" aca="1" ref="L65" ca="1">EntericMethane_PastureBeef_Equations.VEERG_3_2_1_1__3_FeedIntakeForGrazingBeef(L49,L57,N27)</f>
        <v>7.3430702361</v>
      </c>
      <c r="M65" s="25" cm="1">
        <f t="array" aca="1" ref="M65" ca="1">EntericMethane_PastureBeef_Equations.VEERG_3_2_1_1__3_FeedIntakeForGrazingBeef(M49,M57,O27)</f>
        <v>7.3430702361</v>
      </c>
      <c r="N65" s="25" cm="1">
        <f t="array" aca="1" ref="N65" ca="1">EntericMethane_PastureBeef_Equations.VEERG_3_2_1_1__3_FeedIntakeForGrazingBeef(N49,N57,P27)</f>
        <v>7.3430702361</v>
      </c>
      <c r="O65" s="26" t="str">
        <f>$E$39</f>
        <v>kg DM/head/day</v>
      </c>
      <c r="P65" s="26"/>
      <c r="Q65" s="26"/>
      <c r="U65" s="25" t="e">
        <f>TEXT(EDATE('Input - Site'!$E$12,5), "mmmm")</f>
        <v>#VALUE!</v>
      </c>
      <c r="V65" s="25">
        <f ca="1"/>
        <v>0.99</v>
      </c>
      <c r="W65" s="25">
        <f ca="1"/>
        <v>0.22</v>
      </c>
      <c r="X65" s="25">
        <f ca="1"/>
        <v>0.77</v>
      </c>
      <c r="Y65" s="25">
        <f ca="1"/>
        <v>0.11</v>
      </c>
      <c r="Z65" s="25">
        <f ca="1"/>
        <v>0.11</v>
      </c>
      <c r="AA65" s="25">
        <f ca="1"/>
        <v>0.11</v>
      </c>
      <c r="AB65" s="25">
        <f ca="1"/>
        <v>0.77</v>
      </c>
      <c r="AC65" s="25">
        <f ca="1"/>
        <v>0.44</v>
      </c>
      <c r="AD65" s="25">
        <f ca="1"/>
        <v>0.44</v>
      </c>
      <c r="AE65" s="25">
        <f ca="1"/>
        <v>0.44</v>
      </c>
      <c r="AF65" s="26" t="s">
        <v>214</v>
      </c>
    </row>
    <row r="66" spans="3:34" ht="20.100000000000001" customHeight="1" x14ac:dyDescent="0.25">
      <c r="D66" s="25" t="s">
        <v>205</v>
      </c>
      <c r="E66" s="25" cm="1">
        <f t="array" aca="1" ref="E66" ca="1">EntericMethane_PastureBeef_Equations.VEERG_3_2_1_1__3_FeedIntakeForGrazingBeef(E50,E58,G28)</f>
        <v>3.247204</v>
      </c>
      <c r="F66" s="25" cm="1">
        <f t="array" aca="1" ref="F66" ca="1">EntericMethane_PastureBeef_Equations.VEERG_3_2_1_1__3_FeedIntakeForGrazingBeef(F50,F58,H28)</f>
        <v>9.4246544015999998</v>
      </c>
      <c r="G66" s="25" cm="1">
        <f t="array" aca="1" ref="G66" ca="1">EntericMethane_PastureBeef_Equations.VEERG_3_2_1_1__3_FeedIntakeForGrazingBeef(G50,G58,I28)</f>
        <v>2.9603267136000002</v>
      </c>
      <c r="H66" s="25" cm="1">
        <f t="array" aca="1" ref="H66" ca="1">EntericMethane_PastureBeef_Equations.VEERG_3_2_1_1__3_FeedIntakeForGrazingBeef(H50,H58,J28)</f>
        <v>5.9577975395999987</v>
      </c>
      <c r="I66" s="25" cm="1">
        <f t="array" aca="1" ref="I66" ca="1">EntericMethane_PastureBeef_Equations.VEERG_3_2_1_1__3_FeedIntakeForGrazingBeef(I50,I58,K28)</f>
        <v>6.7179974480999993</v>
      </c>
      <c r="J66" s="25" cm="1">
        <f t="array" aca="1" ref="J66" ca="1">EntericMethane_PastureBeef_Equations.VEERG_3_2_1_1__3_FeedIntakeForGrazingBeef(J50,J58,L28)</f>
        <v>6.7179974480999993</v>
      </c>
      <c r="K66" s="25" cm="1">
        <f t="array" aca="1" ref="K66" ca="1">EntericMethane_PastureBeef_Equations.VEERG_3_2_1_1__3_FeedIntakeForGrazingBeef(K50,K58,M28)</f>
        <v>3.247204</v>
      </c>
      <c r="L66" s="25" cm="1">
        <f t="array" aca="1" ref="L66" ca="1">EntericMethane_PastureBeef_Equations.VEERG_3_2_1_1__3_FeedIntakeForGrazingBeef(L50,L58,N28)</f>
        <v>5.8953782416000013</v>
      </c>
      <c r="M66" s="25" cm="1">
        <f t="array" aca="1" ref="M66" ca="1">EntericMethane_PastureBeef_Equations.VEERG_3_2_1_1__3_FeedIntakeForGrazingBeef(M50,M58,O28)</f>
        <v>5.8953782416000013</v>
      </c>
      <c r="N66" s="25" cm="1">
        <f t="array" aca="1" ref="N66" ca="1">EntericMethane_PastureBeef_Equations.VEERG_3_2_1_1__3_FeedIntakeForGrazingBeef(N50,N58,P28)</f>
        <v>5.8953782416000013</v>
      </c>
      <c r="O66" s="26" t="str">
        <f>$E$39</f>
        <v>kg DM/head/day</v>
      </c>
      <c r="P66" s="26"/>
      <c r="Q66" s="26"/>
      <c r="U66" s="25" t="e">
        <f>TEXT(EDATE('Input - Site'!$E$12,6), "mmmm")</f>
        <v>#VALUE!</v>
      </c>
      <c r="V66" s="25">
        <f ca="1"/>
        <v>0.99</v>
      </c>
      <c r="W66" s="25">
        <f ca="1"/>
        <v>0.22</v>
      </c>
      <c r="X66" s="25">
        <f ca="1"/>
        <v>0.77</v>
      </c>
      <c r="Y66" s="25">
        <f ca="1"/>
        <v>0.11</v>
      </c>
      <c r="Z66" s="25">
        <f ca="1"/>
        <v>0.11</v>
      </c>
      <c r="AA66" s="25">
        <f ca="1"/>
        <v>0.11</v>
      </c>
      <c r="AB66" s="25">
        <f ca="1"/>
        <v>0.77</v>
      </c>
      <c r="AC66" s="25">
        <f ca="1"/>
        <v>0.44</v>
      </c>
      <c r="AD66" s="25">
        <f ca="1"/>
        <v>0.44</v>
      </c>
      <c r="AE66" s="25">
        <f ca="1"/>
        <v>0.44</v>
      </c>
      <c r="AF66" s="26" t="s">
        <v>214</v>
      </c>
    </row>
    <row r="67" spans="3:34" ht="20.100000000000001" customHeight="1" x14ac:dyDescent="0.25">
      <c r="D67" s="25" t="s">
        <v>206</v>
      </c>
      <c r="E67" s="25" cm="1">
        <f t="array" aca="1" ref="E67" ca="1">EntericMethane_PastureBeef_Equations.VEERG_3_2_1_1__3_FeedIntakeForGrazingBeef(E51,E59,G29)</f>
        <v>5.1328980481000004</v>
      </c>
      <c r="F67" s="25" cm="1">
        <f t="array" aca="1" ref="F67" ca="1">EntericMethane_PastureBeef_Equations.VEERG_3_2_1_1__3_FeedIntakeForGrazingBeef(F51,F59,H29)</f>
        <v>9.9748588899999984</v>
      </c>
      <c r="G67" s="25" cm="1">
        <f t="array" aca="1" ref="G67" ca="1">EntericMethane_PastureBeef_Equations.VEERG_3_2_1_1__3_FeedIntakeForGrazingBeef(G51,G59,I29)</f>
        <v>4.202705002500001</v>
      </c>
      <c r="H67" s="25" cm="1">
        <f t="array" aca="1" ref="H67" ca="1">EntericMethane_PastureBeef_Equations.VEERG_3_2_1_1__3_FeedIntakeForGrazingBeef(H51,H59,J29)</f>
        <v>5.9278127841000021</v>
      </c>
      <c r="I67" s="25" cm="1">
        <f t="array" aca="1" ref="I67" ca="1">EntericMethane_PastureBeef_Equations.VEERG_3_2_1_1__3_FeedIntakeForGrazingBeef(I51,I59,K29)</f>
        <v>7.952343600099999</v>
      </c>
      <c r="J67" s="25" cm="1">
        <f t="array" aca="1" ref="J67" ca="1">EntericMethane_PastureBeef_Equations.VEERG_3_2_1_1__3_FeedIntakeForGrazingBeef(J51,J59,L29)</f>
        <v>7.952343600099999</v>
      </c>
      <c r="K67" s="25" cm="1">
        <f t="array" aca="1" ref="K67" ca="1">EntericMethane_PastureBeef_Equations.VEERG_3_2_1_1__3_FeedIntakeForGrazingBeef(K51,K59,M29)</f>
        <v>4.5122681240999984</v>
      </c>
      <c r="L67" s="25" cm="1">
        <f t="array" aca="1" ref="L67" ca="1">EntericMethane_PastureBeef_Equations.VEERG_3_2_1_1__3_FeedIntakeForGrazingBeef(L51,L59,N29)</f>
        <v>6.8698506815999991</v>
      </c>
      <c r="M67" s="25" cm="1">
        <f t="array" aca="1" ref="M67" ca="1">EntericMethane_PastureBeef_Equations.VEERG_3_2_1_1__3_FeedIntakeForGrazingBeef(M51,M59,O29)</f>
        <v>6.8698506815999991</v>
      </c>
      <c r="N67" s="25" cm="1">
        <f t="array" aca="1" ref="N67" ca="1">EntericMethane_PastureBeef_Equations.VEERG_3_2_1_1__3_FeedIntakeForGrazingBeef(N51,N59,P29)</f>
        <v>6.8698506815999991</v>
      </c>
      <c r="O67" s="26" t="str">
        <f>$E$39</f>
        <v>kg DM/head/day</v>
      </c>
      <c r="P67" s="26"/>
      <c r="Q67" s="26"/>
      <c r="U67" s="25" t="e">
        <f>TEXT(EDATE('Input - Site'!$E$12,7), "mmmm")</f>
        <v>#VALUE!</v>
      </c>
      <c r="V67" s="25">
        <f ca="1"/>
        <v>0.99</v>
      </c>
      <c r="W67" s="25">
        <f ca="1"/>
        <v>0.22</v>
      </c>
      <c r="X67" s="25">
        <f ca="1"/>
        <v>0.77</v>
      </c>
      <c r="Y67" s="25">
        <f ca="1"/>
        <v>0.11</v>
      </c>
      <c r="Z67" s="25">
        <f ca="1"/>
        <v>0.11</v>
      </c>
      <c r="AA67" s="25">
        <f ca="1"/>
        <v>0.11</v>
      </c>
      <c r="AB67" s="25">
        <f ca="1"/>
        <v>0.77</v>
      </c>
      <c r="AC67" s="25">
        <f ca="1"/>
        <v>0.44</v>
      </c>
      <c r="AD67" s="25">
        <f ca="1"/>
        <v>0.44</v>
      </c>
      <c r="AE67" s="25">
        <f ca="1"/>
        <v>0.44</v>
      </c>
      <c r="AF67" s="26" t="s">
        <v>214</v>
      </c>
    </row>
    <row r="68" spans="3:34" ht="20.100000000000001" customHeight="1" x14ac:dyDescent="0.25">
      <c r="U68" s="25" t="e">
        <f>TEXT(EDATE('Input - Site'!$E$12,8), "mmmm")</f>
        <v>#VALUE!</v>
      </c>
      <c r="V68" s="25">
        <f ca="1"/>
        <v>1.64</v>
      </c>
      <c r="W68" s="25">
        <f ca="1"/>
        <v>1.1000000000000001</v>
      </c>
      <c r="X68" s="25">
        <f ca="1"/>
        <v>1.21</v>
      </c>
      <c r="Y68" s="25">
        <f ca="1"/>
        <v>0.99</v>
      </c>
      <c r="Z68" s="25">
        <f ca="1"/>
        <v>0.66</v>
      </c>
      <c r="AA68" s="25">
        <f ca="1"/>
        <v>0.66</v>
      </c>
      <c r="AB68" s="25">
        <f ca="1"/>
        <v>1.42</v>
      </c>
      <c r="AC68" s="25">
        <f ca="1"/>
        <v>1.1000000000000001</v>
      </c>
      <c r="AD68" s="25">
        <f ca="1"/>
        <v>1.1000000000000001</v>
      </c>
      <c r="AE68" s="25">
        <f ca="1"/>
        <v>1.1000000000000001</v>
      </c>
      <c r="AF68" s="26" t="s">
        <v>214</v>
      </c>
      <c r="AG68" s="26"/>
      <c r="AH68" s="26"/>
    </row>
    <row r="69" spans="3:34" ht="20.100000000000001" customHeight="1" x14ac:dyDescent="0.25">
      <c r="U69" s="25" t="e">
        <f>TEXT(EDATE('Input - Site'!$E$12,9), "mmmm")</f>
        <v>#VALUE!</v>
      </c>
      <c r="V69" s="25">
        <f ca="1"/>
        <v>1.64</v>
      </c>
      <c r="W69" s="25">
        <f ca="1"/>
        <v>1.1000000000000001</v>
      </c>
      <c r="X69" s="25">
        <f ca="1"/>
        <v>1.21</v>
      </c>
      <c r="Y69" s="25">
        <f ca="1"/>
        <v>0.99</v>
      </c>
      <c r="Z69" s="25">
        <f ca="1"/>
        <v>0.66</v>
      </c>
      <c r="AA69" s="25">
        <f ca="1"/>
        <v>0.66</v>
      </c>
      <c r="AB69" s="25">
        <f ca="1"/>
        <v>1.42</v>
      </c>
      <c r="AC69" s="25">
        <f ca="1"/>
        <v>1.1000000000000001</v>
      </c>
      <c r="AD69" s="25">
        <f ca="1"/>
        <v>1.1000000000000001</v>
      </c>
      <c r="AE69" s="25">
        <f ca="1"/>
        <v>1.1000000000000001</v>
      </c>
      <c r="AF69" s="26" t="s">
        <v>214</v>
      </c>
      <c r="AG69" s="26"/>
      <c r="AH69" s="26"/>
    </row>
    <row r="70" spans="3:34" ht="20.100000000000001" customHeight="1" x14ac:dyDescent="0.25">
      <c r="C70" s="118"/>
      <c r="D70" s="118"/>
      <c r="E70" s="118"/>
      <c r="F70" s="118"/>
      <c r="G70" s="118"/>
      <c r="H70" s="118"/>
      <c r="I70" s="118"/>
      <c r="J70" s="118"/>
      <c r="K70" s="118"/>
      <c r="L70" s="118"/>
      <c r="M70" s="118"/>
      <c r="N70" s="118"/>
      <c r="O70" s="118"/>
      <c r="P70" s="118"/>
      <c r="Q70" s="118"/>
      <c r="R70" s="118"/>
      <c r="U70" s="25" t="e">
        <f>TEXT(EDATE('Input - Site'!$E$12,10), "mmmm")</f>
        <v>#VALUE!</v>
      </c>
      <c r="V70" s="25">
        <f ca="1"/>
        <v>1.64</v>
      </c>
      <c r="W70" s="25">
        <f ca="1"/>
        <v>1.1000000000000001</v>
      </c>
      <c r="X70" s="25">
        <f ca="1"/>
        <v>1.21</v>
      </c>
      <c r="Y70" s="25">
        <f ca="1"/>
        <v>0.99</v>
      </c>
      <c r="Z70" s="25">
        <f ca="1"/>
        <v>0.66</v>
      </c>
      <c r="AA70" s="25">
        <f ca="1"/>
        <v>0.66</v>
      </c>
      <c r="AB70" s="25">
        <f ca="1"/>
        <v>1.42</v>
      </c>
      <c r="AC70" s="25">
        <f ca="1"/>
        <v>1.1000000000000001</v>
      </c>
      <c r="AD70" s="25">
        <f ca="1"/>
        <v>1.1000000000000001</v>
      </c>
      <c r="AE70" s="25">
        <f ca="1"/>
        <v>1.1000000000000001</v>
      </c>
      <c r="AF70" s="26" t="s">
        <v>214</v>
      </c>
      <c r="AG70" s="26"/>
      <c r="AH70" s="26"/>
    </row>
    <row r="71" spans="3:34" ht="20.100000000000001" customHeight="1" x14ac:dyDescent="0.25">
      <c r="D71" s="2" t="str" cm="1">
        <f t="array" ref="D71">EntericMethane_PastureBeef_Equations.VEERG_3_2_1_1__2_DailyEntericMethaneProduction_Title()</f>
        <v>Daily production of enteric methane</v>
      </c>
      <c r="U71" s="25" t="e">
        <f>TEXT(EDATE('Input - Site'!$E$12,11), "mmmm")</f>
        <v>#VALUE!</v>
      </c>
      <c r="V71" s="25">
        <f ca="1"/>
        <v>0.44</v>
      </c>
      <c r="W71" s="25">
        <f ca="1"/>
        <v>-0.22</v>
      </c>
      <c r="X71" s="25">
        <f ca="1"/>
        <v>0.44</v>
      </c>
      <c r="Y71" s="25">
        <f ca="1"/>
        <v>0.33</v>
      </c>
      <c r="Z71" s="25">
        <f ca="1"/>
        <v>-0.22</v>
      </c>
      <c r="AA71" s="25">
        <f ca="1"/>
        <v>-0.22</v>
      </c>
      <c r="AB71" s="25">
        <f ca="1"/>
        <v>0.44</v>
      </c>
      <c r="AC71" s="25">
        <f ca="1"/>
        <v>-0.11</v>
      </c>
      <c r="AD71" s="25">
        <f ca="1"/>
        <v>-0.11</v>
      </c>
      <c r="AE71" s="25">
        <f ca="1"/>
        <v>-0.11</v>
      </c>
      <c r="AF71" s="26" t="s">
        <v>214</v>
      </c>
      <c r="AG71" s="26"/>
      <c r="AH71" s="26"/>
    </row>
    <row r="72" spans="3:34" ht="20.100000000000001" customHeight="1" x14ac:dyDescent="0.25">
      <c r="D72" s="27" t="str" cm="1">
        <f t="array" ref="D72">EntericMethane_PastureBeef_Equations.VEERG_3_2_1_1__2_DailyEntericMethaneProduction_Source()</f>
        <v>VEERG 2026: 3.2.1.1, Equation (2)</v>
      </c>
      <c r="AG72" s="26"/>
      <c r="AH72" s="26"/>
    </row>
    <row r="73" spans="3:34" ht="20.100000000000001" customHeight="1" x14ac:dyDescent="0.25">
      <c r="D73" s="105" t="s">
        <v>261</v>
      </c>
      <c r="E73" s="105" t="str" cm="1">
        <f t="array" aca="1" ref="E73" ca="1">Common_InputFunctions.Utility_DisplayFunctionName(E85)</f>
        <v>=EntericMethane_PastureBeef_Equations.VEERG_3_2_1_1__2_DailyEntericMethaneProduction</v>
      </c>
      <c r="U73" s="114" t="s">
        <v>284</v>
      </c>
      <c r="AG73" s="26"/>
      <c r="AH73" s="26"/>
    </row>
    <row r="74" spans="3:34" ht="20.100000000000001" customHeight="1" x14ac:dyDescent="0.25">
      <c r="U74" s="115" t="s">
        <v>285</v>
      </c>
      <c r="AG74" s="26"/>
      <c r="AH74" s="26"/>
    </row>
    <row r="75" spans="3:34" ht="20.100000000000001" customHeight="1" x14ac:dyDescent="0.25">
      <c r="U75" s="116" t="s">
        <v>77</v>
      </c>
      <c r="V75" s="116" t="s">
        <v>193</v>
      </c>
      <c r="W75" s="116" t="s">
        <v>194</v>
      </c>
      <c r="X75" s="116" t="s">
        <v>195</v>
      </c>
      <c r="Y75" s="116" t="s">
        <v>196</v>
      </c>
      <c r="Z75" s="116" t="s">
        <v>197</v>
      </c>
      <c r="AA75" s="116" t="s">
        <v>198</v>
      </c>
      <c r="AB75" s="116" t="s">
        <v>199</v>
      </c>
      <c r="AC75" s="116" t="s">
        <v>200</v>
      </c>
      <c r="AD75" s="116" t="s">
        <v>201</v>
      </c>
      <c r="AE75" s="116" t="s">
        <v>202</v>
      </c>
      <c r="AG75" s="26"/>
      <c r="AH75" s="26"/>
    </row>
    <row r="76" spans="3:34" ht="20.100000000000001" customHeight="1" x14ac:dyDescent="0.25">
      <c r="U76" s="25" t="str">
        <f>TEXT('Input - Site'!$E$12, "mmmm yyyy")</f>
        <v>NO - Not in leaching zone</v>
      </c>
      <c r="V76" s="25" cm="1">
        <f t="array" aca="1" ref="V76" ca="1">EntericMethane_PastureBeef_Equations.VEERG_3_2_1_1__3_FeedIntakeForGrazingBeef(V44,V60,X28)</f>
        <v>7.1468536895999959</v>
      </c>
      <c r="W76" s="25" cm="1">
        <f t="array" aca="1" ref="W76" ca="1">EntericMethane_PastureBeef_Equations.VEERG_3_2_1_1__3_FeedIntakeForGrazingBeef(W44,W60,Y28)</f>
        <v>9.4559940036000008</v>
      </c>
      <c r="X76" s="25" cm="1">
        <f t="array" aca="1" ref="X76" ca="1">EntericMethane_PastureBeef_Equations.VEERG_3_2_1_1__3_FeedIntakeForGrazingBeef(X44,X60,Z28)</f>
        <v>6.010342559999998</v>
      </c>
      <c r="Y76" s="25" cm="1">
        <f t="array" aca="1" ref="Y76" ca="1">EntericMethane_PastureBeef_Equations.VEERG_3_2_1_1__3_FeedIntakeForGrazingBeef(Y44,Y60,AA28)</f>
        <v>7.8705497025</v>
      </c>
      <c r="Z76" s="25" cm="1">
        <f t="array" aca="1" ref="Z76" ca="1">EntericMethane_PastureBeef_Equations.VEERG_3_2_1_1__3_FeedIntakeForGrazingBeef(Z44,Z60,AB28)</f>
        <v>7.7928072335999978</v>
      </c>
      <c r="AA76" s="25" cm="1">
        <f t="array" aca="1" ref="AA76" ca="1">EntericMethane_PastureBeef_Equations.VEERG_3_2_1_1__3_FeedIntakeForGrazingBeef(AA44,AA60,AC28)</f>
        <v>7.7928072335999978</v>
      </c>
      <c r="AB76" s="25" cm="1">
        <f t="array" aca="1" ref="AB76" ca="1">EntericMethane_PastureBeef_Equations.VEERG_3_2_1_1__3_FeedIntakeForGrazingBeef(AB44,AB60,AD28)</f>
        <v>6.5876408896000003</v>
      </c>
      <c r="AC76" s="25" cm="1">
        <f t="array" aca="1" ref="AC76" ca="1">EntericMethane_PastureBeef_Equations.VEERG_3_2_1_1__3_FeedIntakeForGrazingBeef(AC44,AC60,AE28)</f>
        <v>7.3430702361</v>
      </c>
      <c r="AD76" s="25" cm="1">
        <f t="array" aca="1" ref="AD76" ca="1">EntericMethane_PastureBeef_Equations.VEERG_3_2_1_1__3_FeedIntakeForGrazingBeef(AD44,AD60,AF28)</f>
        <v>7.3430702361</v>
      </c>
      <c r="AE76" s="25" cm="1">
        <f t="array" aca="1" ref="AE76" ca="1">EntericMethane_PastureBeef_Equations.VEERG_3_2_1_1__3_FeedIntakeForGrazingBeef(AE44,AE60,AG28)</f>
        <v>7.3430702361</v>
      </c>
      <c r="AF76" s="26" t="str">
        <f t="shared" ref="AF76:AF87" si="2">$E$39</f>
        <v>kg DM/head/day</v>
      </c>
      <c r="AG76" s="26"/>
      <c r="AH76" s="26"/>
    </row>
    <row r="77" spans="3:34" ht="20.100000000000001" customHeight="1" x14ac:dyDescent="0.25">
      <c r="D77" s="88" t="s">
        <v>263</v>
      </c>
      <c r="E77" s="1" t="str" cm="1">
        <f t="array" ref="E77">EntericMethane_PastureBeef_Equations.VEERG_3_2_1_1__2_DailyEntericMethaneProduction_Variable()</f>
        <v>M_jkl</v>
      </c>
      <c r="U77" s="25" t="e">
        <f>TEXT(EDATE('Input - Site'!$E$12,1), "mmmm yyyy")</f>
        <v>#VALUE!</v>
      </c>
      <c r="V77" s="25" cm="1">
        <f t="array" aca="1" ref="V77" ca="1">EntericMethane_PastureBeef_Equations.VEERG_3_2_1_1__3_FeedIntakeForGrazingBeef(V45,V61,X29)</f>
        <v>7.1468536895999959</v>
      </c>
      <c r="W77" s="25" cm="1">
        <f t="array" aca="1" ref="W77" ca="1">EntericMethane_PastureBeef_Equations.VEERG_3_2_1_1__3_FeedIntakeForGrazingBeef(W45,W61,Y29)</f>
        <v>9.4559940036000008</v>
      </c>
      <c r="X77" s="25" cm="1">
        <f t="array" aca="1" ref="X77" ca="1">EntericMethane_PastureBeef_Equations.VEERG_3_2_1_1__3_FeedIntakeForGrazingBeef(X45,X61,Z29)</f>
        <v>6.010342559999998</v>
      </c>
      <c r="Y77" s="25" cm="1">
        <f t="array" aca="1" ref="Y77" ca="1">EntericMethane_PastureBeef_Equations.VEERG_3_2_1_1__3_FeedIntakeForGrazingBeef(Y45,Y61,AA29)</f>
        <v>7.8705497025</v>
      </c>
      <c r="Z77" s="25" cm="1">
        <f t="array" aca="1" ref="Z77" ca="1">EntericMethane_PastureBeef_Equations.VEERG_3_2_1_1__3_FeedIntakeForGrazingBeef(Z45,Z61,AB29)</f>
        <v>7.7928072335999978</v>
      </c>
      <c r="AA77" s="25" cm="1">
        <f t="array" aca="1" ref="AA77" ca="1">EntericMethane_PastureBeef_Equations.VEERG_3_2_1_1__3_FeedIntakeForGrazingBeef(AA45,AA61,AC29)</f>
        <v>7.7928072335999978</v>
      </c>
      <c r="AB77" s="25" cm="1">
        <f t="array" aca="1" ref="AB77" ca="1">EntericMethane_PastureBeef_Equations.VEERG_3_2_1_1__3_FeedIntakeForGrazingBeef(AB45,AB61,AD29)</f>
        <v>6.5876408896000003</v>
      </c>
      <c r="AC77" s="25" cm="1">
        <f t="array" aca="1" ref="AC77" ca="1">EntericMethane_PastureBeef_Equations.VEERG_3_2_1_1__3_FeedIntakeForGrazingBeef(AC45,AC61,AE29)</f>
        <v>7.3430702361</v>
      </c>
      <c r="AD77" s="25" cm="1">
        <f t="array" aca="1" ref="AD77" ca="1">EntericMethane_PastureBeef_Equations.VEERG_3_2_1_1__3_FeedIntakeForGrazingBeef(AD45,AD61,AF29)</f>
        <v>7.3430702361</v>
      </c>
      <c r="AE77" s="25" cm="1">
        <f t="array" aca="1" ref="AE77" ca="1">EntericMethane_PastureBeef_Equations.VEERG_3_2_1_1__3_FeedIntakeForGrazingBeef(AE45,AE61,AG29)</f>
        <v>7.3430702361</v>
      </c>
      <c r="AF77" s="26" t="str">
        <f t="shared" si="2"/>
        <v>kg DM/head/day</v>
      </c>
      <c r="AG77" s="26"/>
      <c r="AH77" s="26"/>
    </row>
    <row r="78" spans="3:34" ht="20.100000000000001" customHeight="1" x14ac:dyDescent="0.25">
      <c r="D78" s="88" t="s">
        <v>130</v>
      </c>
      <c r="E78" s="15" t="str" cm="1">
        <f t="array" ref="E78">EntericMethane_PastureBeef_Equations.VEERG_3_2_1_1__2_DailyEntericMethaneProduction_Unit()</f>
        <v>kg CH4/head/day</v>
      </c>
      <c r="U78" s="25" t="e">
        <f>TEXT(EDATE('Input - Site'!$E$12,2), "mmmm yyyy")</f>
        <v>#VALUE!</v>
      </c>
      <c r="V78" s="25" cm="1">
        <f t="array" aca="1" ref="V78" ca="1">EntericMethane_PastureBeef_Equations.VEERG_3_2_1_1__3_FeedIntakeForGrazingBeef(V46,V62,X30)</f>
        <v>3.247204</v>
      </c>
      <c r="W78" s="25" cm="1">
        <f t="array" aca="1" ref="W78" ca="1">EntericMethane_PastureBeef_Equations.VEERG_3_2_1_1__3_FeedIntakeForGrazingBeef(W46,W62,Y30)</f>
        <v>9.4246544015999998</v>
      </c>
      <c r="X78" s="25" cm="1">
        <f t="array" aca="1" ref="X78" ca="1">EntericMethane_PastureBeef_Equations.VEERG_3_2_1_1__3_FeedIntakeForGrazingBeef(X46,X62,Z30)</f>
        <v>2.9603267136000002</v>
      </c>
      <c r="Y78" s="25" cm="1">
        <f t="array" aca="1" ref="Y78" ca="1">EntericMethane_PastureBeef_Equations.VEERG_3_2_1_1__3_FeedIntakeForGrazingBeef(Y46,Y62,AA30)</f>
        <v>5.9577975395999987</v>
      </c>
      <c r="Z78" s="25" cm="1">
        <f t="array" aca="1" ref="Z78" ca="1">EntericMethane_PastureBeef_Equations.VEERG_3_2_1_1__3_FeedIntakeForGrazingBeef(Z46,Z62,AB30)</f>
        <v>6.7179974480999993</v>
      </c>
      <c r="AA78" s="25" cm="1">
        <f t="array" aca="1" ref="AA78" ca="1">EntericMethane_PastureBeef_Equations.VEERG_3_2_1_1__3_FeedIntakeForGrazingBeef(AA46,AA62,AC30)</f>
        <v>6.7179974480999993</v>
      </c>
      <c r="AB78" s="25" cm="1">
        <f t="array" aca="1" ref="AB78" ca="1">EntericMethane_PastureBeef_Equations.VEERG_3_2_1_1__3_FeedIntakeForGrazingBeef(AB46,AB62,AD30)</f>
        <v>3.247204</v>
      </c>
      <c r="AC78" s="25" cm="1">
        <f t="array" aca="1" ref="AC78" ca="1">EntericMethane_PastureBeef_Equations.VEERG_3_2_1_1__3_FeedIntakeForGrazingBeef(AC46,AC62,AE30)</f>
        <v>5.8953782416000013</v>
      </c>
      <c r="AD78" s="25" cm="1">
        <f t="array" aca="1" ref="AD78" ca="1">EntericMethane_PastureBeef_Equations.VEERG_3_2_1_1__3_FeedIntakeForGrazingBeef(AD46,AD62,AF30)</f>
        <v>5.8953782416000013</v>
      </c>
      <c r="AE78" s="25" cm="1">
        <f t="array" aca="1" ref="AE78" ca="1">EntericMethane_PastureBeef_Equations.VEERG_3_2_1_1__3_FeedIntakeForGrazingBeef(AE46,AE62,AG30)</f>
        <v>5.8953782416000013</v>
      </c>
      <c r="AF78" s="26" t="str">
        <f t="shared" si="2"/>
        <v>kg DM/head/day</v>
      </c>
      <c r="AG78" s="26"/>
      <c r="AH78" s="26"/>
    </row>
    <row r="79" spans="3:34" ht="20.100000000000001" customHeight="1" x14ac:dyDescent="0.25">
      <c r="U79" s="25" t="e">
        <f>TEXT(EDATE('Input - Site'!$E$12,3), "mmmm yyyy")</f>
        <v>#VALUE!</v>
      </c>
      <c r="V79" s="25" cm="1">
        <f t="array" aca="1" ref="V79" ca="1">EntericMethane_PastureBeef_Equations.VEERG_3_2_1_1__3_FeedIntakeForGrazingBeef(V47,V63,X31)</f>
        <v>3.247204</v>
      </c>
      <c r="W79" s="25" cm="1">
        <f t="array" aca="1" ref="W79" ca="1">EntericMethane_PastureBeef_Equations.VEERG_3_2_1_1__3_FeedIntakeForGrazingBeef(W47,W63,Y31)</f>
        <v>9.4246544015999998</v>
      </c>
      <c r="X79" s="25" cm="1">
        <f t="array" aca="1" ref="X79" ca="1">EntericMethane_PastureBeef_Equations.VEERG_3_2_1_1__3_FeedIntakeForGrazingBeef(X47,X63,Z31)</f>
        <v>2.9603267136000002</v>
      </c>
      <c r="Y79" s="25" cm="1">
        <f t="array" aca="1" ref="Y79" ca="1">EntericMethane_PastureBeef_Equations.VEERG_3_2_1_1__3_FeedIntakeForGrazingBeef(Y47,Y63,AA31)</f>
        <v>5.9577975395999987</v>
      </c>
      <c r="Z79" s="25" cm="1">
        <f t="array" aca="1" ref="Z79" ca="1">EntericMethane_PastureBeef_Equations.VEERG_3_2_1_1__3_FeedIntakeForGrazingBeef(Z47,Z63,AB31)</f>
        <v>6.7179974480999993</v>
      </c>
      <c r="AA79" s="25" cm="1">
        <f t="array" aca="1" ref="AA79" ca="1">EntericMethane_PastureBeef_Equations.VEERG_3_2_1_1__3_FeedIntakeForGrazingBeef(AA47,AA63,AC31)</f>
        <v>6.7179974480999993</v>
      </c>
      <c r="AB79" s="25" cm="1">
        <f t="array" aca="1" ref="AB79" ca="1">EntericMethane_PastureBeef_Equations.VEERG_3_2_1_1__3_FeedIntakeForGrazingBeef(AB47,AB63,AD31)</f>
        <v>3.247204</v>
      </c>
      <c r="AC79" s="25" cm="1">
        <f t="array" aca="1" ref="AC79" ca="1">EntericMethane_PastureBeef_Equations.VEERG_3_2_1_1__3_FeedIntakeForGrazingBeef(AC47,AC63,AE31)</f>
        <v>5.8953782416000013</v>
      </c>
      <c r="AD79" s="25" cm="1">
        <f t="array" aca="1" ref="AD79" ca="1">EntericMethane_PastureBeef_Equations.VEERG_3_2_1_1__3_FeedIntakeForGrazingBeef(AD47,AD63,AF31)</f>
        <v>5.8953782416000013</v>
      </c>
      <c r="AE79" s="25" cm="1">
        <f t="array" aca="1" ref="AE79" ca="1">EntericMethane_PastureBeef_Equations.VEERG_3_2_1_1__3_FeedIntakeForGrazingBeef(AE47,AE63,AG31)</f>
        <v>5.8953782416000013</v>
      </c>
      <c r="AF79" s="26" t="str">
        <f t="shared" si="2"/>
        <v>kg DM/head/day</v>
      </c>
      <c r="AG79" s="26"/>
      <c r="AH79" s="26"/>
    </row>
    <row r="80" spans="3:34" ht="20.100000000000001" customHeight="1" x14ac:dyDescent="0.25">
      <c r="D80" s="107" t="str" cm="1">
        <f t="array" ref="D80:E80">_xlfn.CHOOSECOLS(EntericMethane_PastureBeef_Equations.VEERG_3_2_1_1__2_DailyEntericMethaneProduction_Arguments(), 1, 2)</f>
        <v>I_jkl</v>
      </c>
      <c r="E80" s="108" t="str">
        <v>dry matter intake</v>
      </c>
      <c r="F80" s="110"/>
      <c r="G80" s="107" t="str" cm="1">
        <f t="array" ref="G80:H80">_xlfn.CHOOSECOLS(EntericMethane_PastureBeef_Equations.VEERG_3_2_1_1__2_DailyEntericMethaneProduction_Arguments(), 3,4)</f>
        <v>kg DM/head/day</v>
      </c>
      <c r="H80" s="112" t="str">
        <v>Calculated from 3.2.1.1, (3)</v>
      </c>
      <c r="I80" s="113" t="str" cm="1">
        <f t="array" aca="1" ref="I80" ca="1">HYPERLINK(Common_InputFunctions.Utility_SourceHyperlink($D$61), $D$61)</f>
        <v>M1_Table_I_j_k_l</v>
      </c>
      <c r="U80" s="25" t="e">
        <f>TEXT(EDATE('Input - Site'!$E$12,4), "mmmm yyyy")</f>
        <v>#VALUE!</v>
      </c>
      <c r="V80" s="25" cm="1">
        <f t="array" aca="1" ref="V80" ca="1">EntericMethane_PastureBeef_Equations.VEERG_3_2_1_1__3_FeedIntakeForGrazingBeef(V48,V64,X32)</f>
        <v>3.247204</v>
      </c>
      <c r="W80" s="25" cm="1">
        <f t="array" aca="1" ref="W80" ca="1">EntericMethane_PastureBeef_Equations.VEERG_3_2_1_1__3_FeedIntakeForGrazingBeef(W48,W64,Y32)</f>
        <v>9.4246544015999998</v>
      </c>
      <c r="X80" s="25" cm="1">
        <f t="array" aca="1" ref="X80" ca="1">EntericMethane_PastureBeef_Equations.VEERG_3_2_1_1__3_FeedIntakeForGrazingBeef(X48,X64,Z32)</f>
        <v>2.9603267136000002</v>
      </c>
      <c r="Y80" s="25" cm="1">
        <f t="array" aca="1" ref="Y80" ca="1">EntericMethane_PastureBeef_Equations.VEERG_3_2_1_1__3_FeedIntakeForGrazingBeef(Y48,Y64,AA32)</f>
        <v>5.9577975395999987</v>
      </c>
      <c r="Z80" s="25" cm="1">
        <f t="array" aca="1" ref="Z80" ca="1">EntericMethane_PastureBeef_Equations.VEERG_3_2_1_1__3_FeedIntakeForGrazingBeef(Z48,Z64,AB32)</f>
        <v>6.7179974480999993</v>
      </c>
      <c r="AA80" s="25" cm="1">
        <f t="array" aca="1" ref="AA80" ca="1">EntericMethane_PastureBeef_Equations.VEERG_3_2_1_1__3_FeedIntakeForGrazingBeef(AA48,AA64,AC32)</f>
        <v>6.7179974480999993</v>
      </c>
      <c r="AB80" s="25" cm="1">
        <f t="array" aca="1" ref="AB80" ca="1">EntericMethane_PastureBeef_Equations.VEERG_3_2_1_1__3_FeedIntakeForGrazingBeef(AB48,AB64,AD32)</f>
        <v>3.247204</v>
      </c>
      <c r="AC80" s="25" cm="1">
        <f t="array" aca="1" ref="AC80" ca="1">EntericMethane_PastureBeef_Equations.VEERG_3_2_1_1__3_FeedIntakeForGrazingBeef(AC48,AC64,AE32)</f>
        <v>5.8953782416000013</v>
      </c>
      <c r="AD80" s="25" cm="1">
        <f t="array" aca="1" ref="AD80" ca="1">EntericMethane_PastureBeef_Equations.VEERG_3_2_1_1__3_FeedIntakeForGrazingBeef(AD48,AD64,AF32)</f>
        <v>5.8953782416000013</v>
      </c>
      <c r="AE80" s="25" cm="1">
        <f t="array" aca="1" ref="AE80" ca="1">EntericMethane_PastureBeef_Equations.VEERG_3_2_1_1__3_FeedIntakeForGrazingBeef(AE48,AE64,AG32)</f>
        <v>5.8953782416000013</v>
      </c>
      <c r="AF80" s="26" t="str">
        <f t="shared" si="2"/>
        <v>kg DM/head/day</v>
      </c>
    </row>
    <row r="81" spans="3:35" ht="20.100000000000001" customHeight="1" x14ac:dyDescent="0.25">
      <c r="U81" s="25" t="e">
        <f>TEXT(EDATE('Input - Site'!$E$12,5), "mmmm yyyy")</f>
        <v>#VALUE!</v>
      </c>
      <c r="V81" s="25" cm="1">
        <f t="array" aca="1" ref="V81" ca="1">EntericMethane_PastureBeef_Equations.VEERG_3_2_1_1__3_FeedIntakeForGrazingBeef(V49,V65,X33)</f>
        <v>5.1328980481000004</v>
      </c>
      <c r="W81" s="25" cm="1">
        <f t="array" aca="1" ref="W81" ca="1">EntericMethane_PastureBeef_Equations.VEERG_3_2_1_1__3_FeedIntakeForGrazingBeef(W49,W65,Y33)</f>
        <v>9.9748588899999984</v>
      </c>
      <c r="X81" s="25" cm="1">
        <f t="array" aca="1" ref="X81" ca="1">EntericMethane_PastureBeef_Equations.VEERG_3_2_1_1__3_FeedIntakeForGrazingBeef(X49,X65,Z33)</f>
        <v>4.202705002500001</v>
      </c>
      <c r="Y81" s="25" cm="1">
        <f t="array" aca="1" ref="Y81" ca="1">EntericMethane_PastureBeef_Equations.VEERG_3_2_1_1__3_FeedIntakeForGrazingBeef(Y49,Y65,AA33)</f>
        <v>5.9278127841000021</v>
      </c>
      <c r="Z81" s="25" cm="1">
        <f t="array" aca="1" ref="Z81" ca="1">EntericMethane_PastureBeef_Equations.VEERG_3_2_1_1__3_FeedIntakeForGrazingBeef(Z49,Z65,AB33)</f>
        <v>7.952343600099999</v>
      </c>
      <c r="AA81" s="25" cm="1">
        <f t="array" aca="1" ref="AA81" ca="1">EntericMethane_PastureBeef_Equations.VEERG_3_2_1_1__3_FeedIntakeForGrazingBeef(AA49,AA65,AC33)</f>
        <v>7.952343600099999</v>
      </c>
      <c r="AB81" s="25" cm="1">
        <f t="array" aca="1" ref="AB81" ca="1">EntericMethane_PastureBeef_Equations.VEERG_3_2_1_1__3_FeedIntakeForGrazingBeef(AB49,AB65,AD33)</f>
        <v>4.5122681240999984</v>
      </c>
      <c r="AC81" s="25" cm="1">
        <f t="array" aca="1" ref="AC81" ca="1">EntericMethane_PastureBeef_Equations.VEERG_3_2_1_1__3_FeedIntakeForGrazingBeef(AC49,AC65,AE33)</f>
        <v>6.8698506815999991</v>
      </c>
      <c r="AD81" s="25" cm="1">
        <f t="array" aca="1" ref="AD81" ca="1">EntericMethane_PastureBeef_Equations.VEERG_3_2_1_1__3_FeedIntakeForGrazingBeef(AD49,AD65,AF33)</f>
        <v>6.8698506815999991</v>
      </c>
      <c r="AE81" s="25" cm="1">
        <f t="array" aca="1" ref="AE81" ca="1">EntericMethane_PastureBeef_Equations.VEERG_3_2_1_1__3_FeedIntakeForGrazingBeef(AE49,AE65,AG33)</f>
        <v>6.8698506815999991</v>
      </c>
      <c r="AF81" s="26" t="str">
        <f t="shared" si="2"/>
        <v>kg DM/head/day</v>
      </c>
    </row>
    <row r="82" spans="3:35" ht="20.100000000000001" customHeight="1" x14ac:dyDescent="0.25">
      <c r="D82" s="114" t="s">
        <v>286</v>
      </c>
      <c r="U82" s="25" t="e">
        <f>TEXT(EDATE('Input - Site'!$E$12,6), "mmmm yyyy")</f>
        <v>#VALUE!</v>
      </c>
      <c r="V82" s="25" cm="1">
        <f t="array" aca="1" ref="V82" ca="1">EntericMethane_PastureBeef_Equations.VEERG_3_2_1_1__3_FeedIntakeForGrazingBeef(V50,V66,X34)</f>
        <v>5.1328980481000004</v>
      </c>
      <c r="W82" s="25" cm="1">
        <f t="array" aca="1" ref="W82" ca="1">EntericMethane_PastureBeef_Equations.VEERG_3_2_1_1__3_FeedIntakeForGrazingBeef(W50,W66,Y34)</f>
        <v>9.9748588899999984</v>
      </c>
      <c r="X82" s="25" cm="1">
        <f t="array" aca="1" ref="X82" ca="1">EntericMethane_PastureBeef_Equations.VEERG_3_2_1_1__3_FeedIntakeForGrazingBeef(X50,X66,Z34)</f>
        <v>4.202705002500001</v>
      </c>
      <c r="Y82" s="25" cm="1">
        <f t="array" aca="1" ref="Y82" ca="1">EntericMethane_PastureBeef_Equations.VEERG_3_2_1_1__3_FeedIntakeForGrazingBeef(Y50,Y66,AA34)</f>
        <v>5.9278127841000021</v>
      </c>
      <c r="Z82" s="25" cm="1">
        <f t="array" aca="1" ref="Z82" ca="1">EntericMethane_PastureBeef_Equations.VEERG_3_2_1_1__3_FeedIntakeForGrazingBeef(Z50,Z66,AB34)</f>
        <v>7.952343600099999</v>
      </c>
      <c r="AA82" s="25" cm="1">
        <f t="array" aca="1" ref="AA82" ca="1">EntericMethane_PastureBeef_Equations.VEERG_3_2_1_1__3_FeedIntakeForGrazingBeef(AA50,AA66,AC34)</f>
        <v>7.952343600099999</v>
      </c>
      <c r="AB82" s="25" cm="1">
        <f t="array" aca="1" ref="AB82" ca="1">EntericMethane_PastureBeef_Equations.VEERG_3_2_1_1__3_FeedIntakeForGrazingBeef(AB50,AB66,AD34)</f>
        <v>4.5122681240999984</v>
      </c>
      <c r="AC82" s="25" cm="1">
        <f t="array" aca="1" ref="AC82" ca="1">EntericMethane_PastureBeef_Equations.VEERG_3_2_1_1__3_FeedIntakeForGrazingBeef(AC50,AC66,AE34)</f>
        <v>6.8698506815999991</v>
      </c>
      <c r="AD82" s="25" cm="1">
        <f t="array" aca="1" ref="AD82" ca="1">EntericMethane_PastureBeef_Equations.VEERG_3_2_1_1__3_FeedIntakeForGrazingBeef(AD50,AD66,AF34)</f>
        <v>6.8698506815999991</v>
      </c>
      <c r="AE82" s="25" cm="1">
        <f t="array" aca="1" ref="AE82" ca="1">EntericMethane_PastureBeef_Equations.VEERG_3_2_1_1__3_FeedIntakeForGrazingBeef(AE50,AE66,AG34)</f>
        <v>6.8698506815999991</v>
      </c>
      <c r="AF82" s="26" t="str">
        <f t="shared" si="2"/>
        <v>kg DM/head/day</v>
      </c>
    </row>
    <row r="83" spans="3:35" ht="20.100000000000001" customHeight="1" x14ac:dyDescent="0.25">
      <c r="D83" s="115" t="s">
        <v>287</v>
      </c>
      <c r="U83" s="25" t="e">
        <f>TEXT(EDATE('Input - Site'!$E$12,7), "mmmm yyyy")</f>
        <v>#VALUE!</v>
      </c>
      <c r="V83" s="25" cm="1">
        <f t="array" aca="1" ref="V83" ca="1">EntericMethane_PastureBeef_Equations.VEERG_3_2_1_1__3_FeedIntakeForGrazingBeef(V51,V67,X35)</f>
        <v>5.1328980481000004</v>
      </c>
      <c r="W83" s="25" cm="1">
        <f t="array" aca="1" ref="W83" ca="1">EntericMethane_PastureBeef_Equations.VEERG_3_2_1_1__3_FeedIntakeForGrazingBeef(W51,W67,Y35)</f>
        <v>9.9748588899999984</v>
      </c>
      <c r="X83" s="25" cm="1">
        <f t="array" aca="1" ref="X83" ca="1">EntericMethane_PastureBeef_Equations.VEERG_3_2_1_1__3_FeedIntakeForGrazingBeef(X51,X67,Z35)</f>
        <v>4.202705002500001</v>
      </c>
      <c r="Y83" s="25" cm="1">
        <f t="array" aca="1" ref="Y83" ca="1">EntericMethane_PastureBeef_Equations.VEERG_3_2_1_1__3_FeedIntakeForGrazingBeef(Y51,Y67,AA35)</f>
        <v>5.9278127841000021</v>
      </c>
      <c r="Z83" s="25" cm="1">
        <f t="array" aca="1" ref="Z83" ca="1">EntericMethane_PastureBeef_Equations.VEERG_3_2_1_1__3_FeedIntakeForGrazingBeef(Z51,Z67,AB35)</f>
        <v>7.952343600099999</v>
      </c>
      <c r="AA83" s="25" cm="1">
        <f t="array" aca="1" ref="AA83" ca="1">EntericMethane_PastureBeef_Equations.VEERG_3_2_1_1__3_FeedIntakeForGrazingBeef(AA51,AA67,AC35)</f>
        <v>7.952343600099999</v>
      </c>
      <c r="AB83" s="25" cm="1">
        <f t="array" aca="1" ref="AB83" ca="1">EntericMethane_PastureBeef_Equations.VEERG_3_2_1_1__3_FeedIntakeForGrazingBeef(AB51,AB67,AD35)</f>
        <v>4.5122681240999984</v>
      </c>
      <c r="AC83" s="25" cm="1">
        <f t="array" aca="1" ref="AC83" ca="1">EntericMethane_PastureBeef_Equations.VEERG_3_2_1_1__3_FeedIntakeForGrazingBeef(AC51,AC67,AE35)</f>
        <v>6.8698506815999991</v>
      </c>
      <c r="AD83" s="25" cm="1">
        <f t="array" aca="1" ref="AD83" ca="1">EntericMethane_PastureBeef_Equations.VEERG_3_2_1_1__3_FeedIntakeForGrazingBeef(AD51,AD67,AF35)</f>
        <v>6.8698506815999991</v>
      </c>
      <c r="AE83" s="25" cm="1">
        <f t="array" aca="1" ref="AE83" ca="1">EntericMethane_PastureBeef_Equations.VEERG_3_2_1_1__3_FeedIntakeForGrazingBeef(AE51,AE67,AG35)</f>
        <v>6.8698506815999991</v>
      </c>
      <c r="AF83" s="26" t="str">
        <f t="shared" si="2"/>
        <v>kg DM/head/day</v>
      </c>
    </row>
    <row r="84" spans="3:35" ht="20.100000000000001" customHeight="1" x14ac:dyDescent="0.25">
      <c r="D84" s="116" t="s">
        <v>78</v>
      </c>
      <c r="E84" s="116" t="s">
        <v>193</v>
      </c>
      <c r="F84" s="116" t="s">
        <v>194</v>
      </c>
      <c r="G84" s="116" t="s">
        <v>195</v>
      </c>
      <c r="H84" s="116" t="s">
        <v>196</v>
      </c>
      <c r="I84" s="116" t="s">
        <v>197</v>
      </c>
      <c r="J84" s="116" t="s">
        <v>198</v>
      </c>
      <c r="K84" s="116" t="s">
        <v>199</v>
      </c>
      <c r="L84" s="116" t="s">
        <v>200</v>
      </c>
      <c r="M84" s="116" t="s">
        <v>201</v>
      </c>
      <c r="N84" s="116" t="s">
        <v>202</v>
      </c>
      <c r="U84" s="25" t="e">
        <f>TEXT(EDATE('Input - Site'!$E$12,8), "mmmm yyyy")</f>
        <v>#VALUE!</v>
      </c>
      <c r="V84" s="25" cm="1">
        <f t="array" aca="1" ref="V84" ca="1">EntericMethane_PastureBeef_Equations.VEERG_3_2_1_1__3_FeedIntakeForGrazingBeef(V52,V68,X36)</f>
        <v>8.6709047296000001</v>
      </c>
      <c r="W84" s="25" cm="1">
        <f t="array" aca="1" ref="W84" ca="1">EntericMethane_PastureBeef_Equations.VEERG_3_2_1_1__3_FeedIntakeForGrazingBeef(W52,W68,Y36)</f>
        <v>12.246500250000002</v>
      </c>
      <c r="X84" s="25" cm="1">
        <f t="array" aca="1" ref="X84" ca="1">EntericMethane_PastureBeef_Equations.VEERG_3_2_1_1__3_FeedIntakeForGrazingBeef(X52,X68,Z36)</f>
        <v>6.6089612241000006</v>
      </c>
      <c r="Y84" s="25" cm="1">
        <f t="array" aca="1" ref="Y84" ca="1">EntericMethane_PastureBeef_Equations.VEERG_3_2_1_1__3_FeedIntakeForGrazingBeef(Y52,Y68,AA36)</f>
        <v>8.6730839001000017</v>
      </c>
      <c r="Z84" s="25" cm="1">
        <f t="array" aca="1" ref="Z84" ca="1">EntericMethane_PastureBeef_Equations.VEERG_3_2_1_1__3_FeedIntakeForGrazingBeef(Z52,Z68,AB36)</f>
        <v>9.6310915600000016</v>
      </c>
      <c r="AA84" s="25" cm="1">
        <f t="array" aca="1" ref="AA84" ca="1">EntericMethane_PastureBeef_Equations.VEERG_3_2_1_1__3_FeedIntakeForGrazingBeef(AA52,AA68,AC36)</f>
        <v>9.6310915600000016</v>
      </c>
      <c r="AB84" s="25" cm="1">
        <f t="array" aca="1" ref="AB84" ca="1">EntericMethane_PastureBeef_Equations.VEERG_3_2_1_1__3_FeedIntakeForGrazingBeef(AB52,AB68,AD36)</f>
        <v>7.6192560899999977</v>
      </c>
      <c r="AC84" s="25" cm="1">
        <f t="array" aca="1" ref="AC84" ca="1">EntericMethane_PastureBeef_Equations.VEERG_3_2_1_1__3_FeedIntakeForGrazingBeef(AC52,AC68,AE36)</f>
        <v>9.6824279555999979</v>
      </c>
      <c r="AD84" s="25" cm="1">
        <f t="array" aca="1" ref="AD84" ca="1">EntericMethane_PastureBeef_Equations.VEERG_3_2_1_1__3_FeedIntakeForGrazingBeef(AD52,AD68,AF36)</f>
        <v>9.6824279555999979</v>
      </c>
      <c r="AE84" s="25" cm="1">
        <f t="array" aca="1" ref="AE84" ca="1">EntericMethane_PastureBeef_Equations.VEERG_3_2_1_1__3_FeedIntakeForGrazingBeef(AE52,AE68,AG36)</f>
        <v>9.6824279555999979</v>
      </c>
      <c r="AF84" s="26" t="str">
        <f t="shared" si="2"/>
        <v>kg DM/head/day</v>
      </c>
      <c r="AG84" s="26"/>
      <c r="AH84" s="26"/>
    </row>
    <row r="85" spans="3:35" ht="20.100000000000001" customHeight="1" x14ac:dyDescent="0.25">
      <c r="D85" s="25" t="s">
        <v>203</v>
      </c>
      <c r="E85" s="25" cm="1">
        <f t="array" aca="1" ref="E85" ca="1">EntericMethane_PastureBeef_Equations.VEERG_3_2_1_1__2_DailyEntericMethaneProduction(E64)</f>
        <v>0.17948772790272</v>
      </c>
      <c r="F85" s="25" cm="1">
        <f t="array" aca="1" ref="F85" ca="1">EntericMethane_PastureBeef_Equations.VEERG_3_2_1_1__2_DailyEntericMethaneProduction(F64)</f>
        <v>0.25350255517500003</v>
      </c>
      <c r="G85" s="25" cm="1">
        <f t="array" aca="1" ref="G85" ca="1">EntericMethane_PastureBeef_Equations.VEERG_3_2_1_1__2_DailyEntericMethaneProduction(G64)</f>
        <v>0.13680549733887001</v>
      </c>
      <c r="H85" s="25" cm="1">
        <f t="array" aca="1" ref="H85" ca="1">EntericMethane_PastureBeef_Equations.VEERG_3_2_1_1__2_DailyEntericMethaneProduction(H64)</f>
        <v>0.17953283673207002</v>
      </c>
      <c r="I85" s="25" cm="1">
        <f t="array" aca="1" ref="I85" ca="1">EntericMethane_PastureBeef_Equations.VEERG_3_2_1_1__2_DailyEntericMethaneProduction(I64)</f>
        <v>0.19936359529200001</v>
      </c>
      <c r="J85" s="25" cm="1">
        <f t="array" aca="1" ref="J85" ca="1">EntericMethane_PastureBeef_Equations.VEERG_3_2_1_1__2_DailyEntericMethaneProduction(J64)</f>
        <v>0.19936359529200001</v>
      </c>
      <c r="K85" s="25" cm="1">
        <f t="array" aca="1" ref="K85" ca="1">EntericMethane_PastureBeef_Equations.VEERG_3_2_1_1__2_DailyEntericMethaneProduction(K64)</f>
        <v>0.15771860106299995</v>
      </c>
      <c r="L85" s="25" cm="1">
        <f t="array" aca="1" ref="L85" ca="1">EntericMethane_PastureBeef_Equations.VEERG_3_2_1_1__2_DailyEntericMethaneProduction(L64)</f>
        <v>0.20042625868091996</v>
      </c>
      <c r="M85" s="25" cm="1">
        <f t="array" aca="1" ref="M85" ca="1">EntericMethane_PastureBeef_Equations.VEERG_3_2_1_1__2_DailyEntericMethaneProduction(M64)</f>
        <v>0.20042625868091996</v>
      </c>
      <c r="N85" s="25" cm="1">
        <f t="array" aca="1" ref="N85" ca="1">EntericMethane_PastureBeef_Equations.VEERG_3_2_1_1__2_DailyEntericMethaneProduction(N64)</f>
        <v>0.20042625868091996</v>
      </c>
      <c r="O85" s="26" t="str">
        <f>G80</f>
        <v>kg DM/head/day</v>
      </c>
      <c r="P85" s="26"/>
      <c r="Q85" s="26"/>
      <c r="U85" s="25" t="e">
        <f>TEXT(EDATE('Input - Site'!$E$12,9), "mmmm yyyy")</f>
        <v>#VALUE!</v>
      </c>
      <c r="V85" s="25" cm="1">
        <f t="array" aca="1" ref="V85" ca="1">EntericMethane_PastureBeef_Equations.VEERG_3_2_1_1__3_FeedIntakeForGrazingBeef(V53,V69,X37)</f>
        <v>8.6709047296000001</v>
      </c>
      <c r="W85" s="25" cm="1">
        <f t="array" aca="1" ref="W85" ca="1">EntericMethane_PastureBeef_Equations.VEERG_3_2_1_1__3_FeedIntakeForGrazingBeef(W53,W69,Y37)</f>
        <v>12.246500250000002</v>
      </c>
      <c r="X85" s="25" cm="1">
        <f t="array" aca="1" ref="X85" ca="1">EntericMethane_PastureBeef_Equations.VEERG_3_2_1_1__3_FeedIntakeForGrazingBeef(X53,X69,Z37)</f>
        <v>6.6089612241000006</v>
      </c>
      <c r="Y85" s="25" cm="1">
        <f t="array" aca="1" ref="Y85" ca="1">EntericMethane_PastureBeef_Equations.VEERG_3_2_1_1__3_FeedIntakeForGrazingBeef(Y53,Y69,AA37)</f>
        <v>8.6730839001000017</v>
      </c>
      <c r="Z85" s="25" cm="1">
        <f t="array" aca="1" ref="Z85" ca="1">EntericMethane_PastureBeef_Equations.VEERG_3_2_1_1__3_FeedIntakeForGrazingBeef(Z53,Z69,AB37)</f>
        <v>9.6310915600000016</v>
      </c>
      <c r="AA85" s="25" cm="1">
        <f t="array" aca="1" ref="AA85" ca="1">EntericMethane_PastureBeef_Equations.VEERG_3_2_1_1__3_FeedIntakeForGrazingBeef(AA53,AA69,AC37)</f>
        <v>9.6310915600000016</v>
      </c>
      <c r="AB85" s="25" cm="1">
        <f t="array" aca="1" ref="AB85" ca="1">EntericMethane_PastureBeef_Equations.VEERG_3_2_1_1__3_FeedIntakeForGrazingBeef(AB53,AB69,AD37)</f>
        <v>7.6192560899999977</v>
      </c>
      <c r="AC85" s="25" cm="1">
        <f t="array" aca="1" ref="AC85" ca="1">EntericMethane_PastureBeef_Equations.VEERG_3_2_1_1__3_FeedIntakeForGrazingBeef(AC53,AC69,AE37)</f>
        <v>9.6824279555999979</v>
      </c>
      <c r="AD85" s="25" cm="1">
        <f t="array" aca="1" ref="AD85" ca="1">EntericMethane_PastureBeef_Equations.VEERG_3_2_1_1__3_FeedIntakeForGrazingBeef(AD53,AD69,AF37)</f>
        <v>9.6824279555999979</v>
      </c>
      <c r="AE85" s="25" cm="1">
        <f t="array" aca="1" ref="AE85" ca="1">EntericMethane_PastureBeef_Equations.VEERG_3_2_1_1__3_FeedIntakeForGrazingBeef(AE53,AE69,AG37)</f>
        <v>9.6824279555999979</v>
      </c>
      <c r="AF85" s="26" t="str">
        <f t="shared" si="2"/>
        <v>kg DM/head/day</v>
      </c>
      <c r="AG85" s="26"/>
      <c r="AH85" s="26"/>
    </row>
    <row r="86" spans="3:35" ht="20.100000000000001" customHeight="1" x14ac:dyDescent="0.25">
      <c r="D86" s="25" t="s">
        <v>204</v>
      </c>
      <c r="E86" s="25" cm="1">
        <f t="array" aca="1" ref="E86" ca="1">EntericMethane_PastureBeef_Equations.VEERG_3_2_1_1__2_DailyEntericMethaneProduction(E65)</f>
        <v>0.14793987137471989</v>
      </c>
      <c r="F86" s="25" cm="1">
        <f t="array" aca="1" ref="F86" ca="1">EntericMethane_PastureBeef_Equations.VEERG_3_2_1_1__2_DailyEntericMethaneProduction(F65)</f>
        <v>0.19573907587452002</v>
      </c>
      <c r="G86" s="25" cm="1">
        <f t="array" aca="1" ref="G86" ca="1">EntericMethane_PastureBeef_Equations.VEERG_3_2_1_1__2_DailyEntericMethaneProduction(G65)</f>
        <v>0.12441409099199996</v>
      </c>
      <c r="H86" s="25" cm="1">
        <f t="array" aca="1" ref="H86" ca="1">EntericMethane_PastureBeef_Equations.VEERG_3_2_1_1__2_DailyEntericMethaneProduction(H65)</f>
        <v>0.16292037884175001</v>
      </c>
      <c r="I86" s="25" cm="1">
        <f t="array" aca="1" ref="I86" ca="1">EntericMethane_PastureBeef_Equations.VEERG_3_2_1_1__2_DailyEntericMethaneProduction(I65)</f>
        <v>0.16131110973551996</v>
      </c>
      <c r="J86" s="25" cm="1">
        <f t="array" aca="1" ref="J86" ca="1">EntericMethane_PastureBeef_Equations.VEERG_3_2_1_1__2_DailyEntericMethaneProduction(J65)</f>
        <v>0.16131110973551996</v>
      </c>
      <c r="K86" s="25" cm="1">
        <f t="array" aca="1" ref="K86" ca="1">EntericMethane_PastureBeef_Equations.VEERG_3_2_1_1__2_DailyEntericMethaneProduction(K65)</f>
        <v>0.13636416641471999</v>
      </c>
      <c r="L86" s="25" cm="1">
        <f t="array" aca="1" ref="L86" ca="1">EntericMethane_PastureBeef_Equations.VEERG_3_2_1_1__2_DailyEntericMethaneProduction(L65)</f>
        <v>0.15200155388727002</v>
      </c>
      <c r="M86" s="25" cm="1">
        <f t="array" aca="1" ref="M86" ca="1">EntericMethane_PastureBeef_Equations.VEERG_3_2_1_1__2_DailyEntericMethaneProduction(M65)</f>
        <v>0.15200155388727002</v>
      </c>
      <c r="N86" s="25" cm="1">
        <f t="array" aca="1" ref="N86" ca="1">EntericMethane_PastureBeef_Equations.VEERG_3_2_1_1__2_DailyEntericMethaneProduction(N65)</f>
        <v>0.15200155388727002</v>
      </c>
      <c r="O86" s="26"/>
      <c r="P86" s="26"/>
      <c r="Q86" s="26"/>
      <c r="U86" s="25" t="e">
        <f>TEXT(EDATE('Input - Site'!$E$12,10), "mmmm yyyy")</f>
        <v>#VALUE!</v>
      </c>
      <c r="V86" s="25" cm="1">
        <f t="array" aca="1" ref="V86" ca="1">EntericMethane_PastureBeef_Equations.VEERG_3_2_1_1__3_FeedIntakeForGrazingBeef(V54,V70,X38)</f>
        <v>8.6709047296000001</v>
      </c>
      <c r="W86" s="25" cm="1">
        <f t="array" aca="1" ref="W86" ca="1">EntericMethane_PastureBeef_Equations.VEERG_3_2_1_1__3_FeedIntakeForGrazingBeef(W54,W70,Y38)</f>
        <v>12.246500250000002</v>
      </c>
      <c r="X86" s="25" cm="1">
        <f t="array" aca="1" ref="X86" ca="1">EntericMethane_PastureBeef_Equations.VEERG_3_2_1_1__3_FeedIntakeForGrazingBeef(X54,X70,Z38)</f>
        <v>6.6089612241000006</v>
      </c>
      <c r="Y86" s="25" cm="1">
        <f t="array" aca="1" ref="Y86" ca="1">EntericMethane_PastureBeef_Equations.VEERG_3_2_1_1__3_FeedIntakeForGrazingBeef(Y54,Y70,AA38)</f>
        <v>8.6730839001000017</v>
      </c>
      <c r="Z86" s="25" cm="1">
        <f t="array" aca="1" ref="Z86" ca="1">EntericMethane_PastureBeef_Equations.VEERG_3_2_1_1__3_FeedIntakeForGrazingBeef(Z54,Z70,AB38)</f>
        <v>9.6310915600000016</v>
      </c>
      <c r="AA86" s="25" cm="1">
        <f t="array" aca="1" ref="AA86" ca="1">EntericMethane_PastureBeef_Equations.VEERG_3_2_1_1__3_FeedIntakeForGrazingBeef(AA54,AA70,AC38)</f>
        <v>9.6310915600000016</v>
      </c>
      <c r="AB86" s="25" cm="1">
        <f t="array" aca="1" ref="AB86" ca="1">EntericMethane_PastureBeef_Equations.VEERG_3_2_1_1__3_FeedIntakeForGrazingBeef(AB54,AB70,AD38)</f>
        <v>7.6192560899999977</v>
      </c>
      <c r="AC86" s="25" cm="1">
        <f t="array" aca="1" ref="AC86" ca="1">EntericMethane_PastureBeef_Equations.VEERG_3_2_1_1__3_FeedIntakeForGrazingBeef(AC54,AC70,AE38)</f>
        <v>9.6824279555999979</v>
      </c>
      <c r="AD86" s="25" cm="1">
        <f t="array" aca="1" ref="AD86" ca="1">EntericMethane_PastureBeef_Equations.VEERG_3_2_1_1__3_FeedIntakeForGrazingBeef(AD54,AD70,AF38)</f>
        <v>9.6824279555999979</v>
      </c>
      <c r="AE86" s="25" cm="1">
        <f t="array" aca="1" ref="AE86" ca="1">EntericMethane_PastureBeef_Equations.VEERG_3_2_1_1__3_FeedIntakeForGrazingBeef(AE54,AE70,AG38)</f>
        <v>9.6824279555999979</v>
      </c>
      <c r="AF86" s="26" t="str">
        <f t="shared" si="2"/>
        <v>kg DM/head/day</v>
      </c>
      <c r="AG86" s="26"/>
      <c r="AH86" s="26"/>
    </row>
    <row r="87" spans="3:35" ht="20.100000000000001" customHeight="1" x14ac:dyDescent="0.25">
      <c r="D87" s="25" t="s">
        <v>205</v>
      </c>
      <c r="E87" s="25" cm="1">
        <f t="array" aca="1" ref="E87" ca="1">EntericMethane_PastureBeef_Equations.VEERG_3_2_1_1__2_DailyEntericMethaneProduction(E66)</f>
        <v>6.7217122800000001E-2</v>
      </c>
      <c r="F87" s="25" cm="1">
        <f t="array" aca="1" ref="F87" ca="1">EntericMethane_PastureBeef_Equations.VEERG_3_2_1_1__2_DailyEntericMethaneProduction(F66)</f>
        <v>0.19509034611311998</v>
      </c>
      <c r="G87" s="25" cm="1">
        <f t="array" aca="1" ref="G87" ca="1">EntericMethane_PastureBeef_Equations.VEERG_3_2_1_1__2_DailyEntericMethaneProduction(G66)</f>
        <v>6.1278762971520004E-2</v>
      </c>
      <c r="H87" s="25" cm="1">
        <f t="array" aca="1" ref="H87" ca="1">EntericMethane_PastureBeef_Equations.VEERG_3_2_1_1__2_DailyEntericMethaneProduction(H66)</f>
        <v>0.12332640906971998</v>
      </c>
      <c r="I87" s="25" cm="1">
        <f t="array" aca="1" ref="I87" ca="1">EntericMethane_PastureBeef_Equations.VEERG_3_2_1_1__2_DailyEntericMethaneProduction(I66)</f>
        <v>0.13906254717566999</v>
      </c>
      <c r="J87" s="25" cm="1">
        <f t="array" aca="1" ref="J87" ca="1">EntericMethane_PastureBeef_Equations.VEERG_3_2_1_1__2_DailyEntericMethaneProduction(J66)</f>
        <v>0.13906254717566999</v>
      </c>
      <c r="K87" s="25" cm="1">
        <f t="array" aca="1" ref="K87" ca="1">EntericMethane_PastureBeef_Equations.VEERG_3_2_1_1__2_DailyEntericMethaneProduction(K66)</f>
        <v>6.7217122800000001E-2</v>
      </c>
      <c r="L87" s="25" cm="1">
        <f t="array" aca="1" ref="L87" ca="1">EntericMethane_PastureBeef_Equations.VEERG_3_2_1_1__2_DailyEntericMethaneProduction(L66)</f>
        <v>0.12203432960112003</v>
      </c>
      <c r="M87" s="25" cm="1">
        <f t="array" aca="1" ref="M87" ca="1">EntericMethane_PastureBeef_Equations.VEERG_3_2_1_1__2_DailyEntericMethaneProduction(M66)</f>
        <v>0.12203432960112003</v>
      </c>
      <c r="N87" s="25" cm="1">
        <f t="array" aca="1" ref="N87" ca="1">EntericMethane_PastureBeef_Equations.VEERG_3_2_1_1__2_DailyEntericMethaneProduction(N66)</f>
        <v>0.12203432960112003</v>
      </c>
      <c r="O87" s="26"/>
      <c r="P87" s="26"/>
      <c r="Q87" s="26"/>
      <c r="U87" s="25" t="e">
        <f>TEXT(EDATE('Input - Site'!$E$12,11), "mmmm yyyy")</f>
        <v>#VALUE!</v>
      </c>
      <c r="V87" s="25" cm="1">
        <f t="array" aca="1" ref="V87" ca="1">EntericMethane_PastureBeef_Equations.VEERG_3_2_1_1__3_FeedIntakeForGrazingBeef(V55,V71,X39)</f>
        <v>7.1468536895999959</v>
      </c>
      <c r="W87" s="25" cm="1">
        <f t="array" aca="1" ref="W87" ca="1">EntericMethane_PastureBeef_Equations.VEERG_3_2_1_1__3_FeedIntakeForGrazingBeef(W55,W71,Y39)</f>
        <v>9.4559940036000008</v>
      </c>
      <c r="X87" s="25" cm="1">
        <f t="array" aca="1" ref="X87" ca="1">EntericMethane_PastureBeef_Equations.VEERG_3_2_1_1__3_FeedIntakeForGrazingBeef(X55,X71,Z39)</f>
        <v>6.010342559999998</v>
      </c>
      <c r="Y87" s="25" cm="1">
        <f t="array" aca="1" ref="Y87" ca="1">EntericMethane_PastureBeef_Equations.VEERG_3_2_1_1__3_FeedIntakeForGrazingBeef(Y55,Y71,AA39)</f>
        <v>7.8705497025</v>
      </c>
      <c r="Z87" s="25" cm="1">
        <f t="array" aca="1" ref="Z87" ca="1">EntericMethane_PastureBeef_Equations.VEERG_3_2_1_1__3_FeedIntakeForGrazingBeef(Z55,Z71,AB39)</f>
        <v>7.7928072335999978</v>
      </c>
      <c r="AA87" s="25" cm="1">
        <f t="array" aca="1" ref="AA87" ca="1">EntericMethane_PastureBeef_Equations.VEERG_3_2_1_1__3_FeedIntakeForGrazingBeef(AA55,AA71,AC39)</f>
        <v>7.7928072335999978</v>
      </c>
      <c r="AB87" s="25" cm="1">
        <f t="array" aca="1" ref="AB87" ca="1">EntericMethane_PastureBeef_Equations.VEERG_3_2_1_1__3_FeedIntakeForGrazingBeef(AB55,AB71,AD39)</f>
        <v>6.5876408896000003</v>
      </c>
      <c r="AC87" s="25" cm="1">
        <f t="array" aca="1" ref="AC87" ca="1">EntericMethane_PastureBeef_Equations.VEERG_3_2_1_1__3_FeedIntakeForGrazingBeef(AC55,AC71,AE39)</f>
        <v>7.3430702361</v>
      </c>
      <c r="AD87" s="25" cm="1">
        <f t="array" aca="1" ref="AD87" ca="1">EntericMethane_PastureBeef_Equations.VEERG_3_2_1_1__3_FeedIntakeForGrazingBeef(AD55,AD71,AF39)</f>
        <v>7.3430702361</v>
      </c>
      <c r="AE87" s="25" cm="1">
        <f t="array" aca="1" ref="AE87" ca="1">EntericMethane_PastureBeef_Equations.VEERG_3_2_1_1__3_FeedIntakeForGrazingBeef(AE55,AE71,AG39)</f>
        <v>7.3430702361</v>
      </c>
      <c r="AF87" s="26" t="str">
        <f t="shared" si="2"/>
        <v>kg DM/head/day</v>
      </c>
      <c r="AG87" s="26"/>
      <c r="AH87" s="26"/>
    </row>
    <row r="88" spans="3:35" ht="20.100000000000001" customHeight="1" x14ac:dyDescent="0.25">
      <c r="D88" s="25" t="s">
        <v>206</v>
      </c>
      <c r="E88" s="25" cm="1">
        <f t="array" aca="1" ref="E88" ca="1">EntericMethane_PastureBeef_Equations.VEERG_3_2_1_1__2_DailyEntericMethaneProduction(E67)</f>
        <v>0.10625098959567</v>
      </c>
      <c r="F88" s="25" cm="1">
        <f t="array" aca="1" ref="F88" ca="1">EntericMethane_PastureBeef_Equations.VEERG_3_2_1_1__2_DailyEntericMethaneProduction(F67)</f>
        <v>0.20647957902299996</v>
      </c>
      <c r="G88" s="25" cm="1">
        <f t="array" aca="1" ref="G88" ca="1">EntericMethane_PastureBeef_Equations.VEERG_3_2_1_1__2_DailyEntericMethaneProduction(G67)</f>
        <v>8.6995993551750014E-2</v>
      </c>
      <c r="H88" s="25" cm="1">
        <f t="array" aca="1" ref="H88" ca="1">EntericMethane_PastureBeef_Equations.VEERG_3_2_1_1__2_DailyEntericMethaneProduction(H67)</f>
        <v>0.12270572463087004</v>
      </c>
      <c r="I88" s="25" cm="1">
        <f t="array" aca="1" ref="I88" ca="1">EntericMethane_PastureBeef_Equations.VEERG_3_2_1_1__2_DailyEntericMethaneProduction(I67)</f>
        <v>0.16461351252206999</v>
      </c>
      <c r="J88" s="25" cm="1">
        <f t="array" aca="1" ref="J88" ca="1">EntericMethane_PastureBeef_Equations.VEERG_3_2_1_1__2_DailyEntericMethaneProduction(J67)</f>
        <v>0.16461351252206999</v>
      </c>
      <c r="K88" s="25" cm="1">
        <f t="array" aca="1" ref="K88" ca="1">EntericMethane_PastureBeef_Equations.VEERG_3_2_1_1__2_DailyEntericMethaneProduction(K67)</f>
        <v>9.3403950168869973E-2</v>
      </c>
      <c r="L88" s="25" cm="1">
        <f t="array" aca="1" ref="L88" ca="1">EntericMethane_PastureBeef_Equations.VEERG_3_2_1_1__2_DailyEntericMethaneProduction(L67)</f>
        <v>0.14220590910911998</v>
      </c>
      <c r="M88" s="25" cm="1">
        <f t="array" aca="1" ref="M88" ca="1">EntericMethane_PastureBeef_Equations.VEERG_3_2_1_1__2_DailyEntericMethaneProduction(M67)</f>
        <v>0.14220590910911998</v>
      </c>
      <c r="N88" s="25" cm="1">
        <f t="array" aca="1" ref="N88" ca="1">EntericMethane_PastureBeef_Equations.VEERG_3_2_1_1__2_DailyEntericMethaneProduction(N67)</f>
        <v>0.14220590910911998</v>
      </c>
      <c r="O88" s="26"/>
      <c r="P88" s="26"/>
      <c r="Q88" s="26"/>
      <c r="AG88" s="26"/>
      <c r="AH88" s="26"/>
    </row>
    <row r="89" spans="3:35" ht="20.100000000000001" customHeight="1" x14ac:dyDescent="0.25">
      <c r="AG89" s="26"/>
      <c r="AH89" s="26"/>
    </row>
    <row r="90" spans="3:35" ht="20.100000000000001" customHeight="1" x14ac:dyDescent="0.25">
      <c r="AG90" s="26"/>
      <c r="AH90" s="26"/>
    </row>
    <row r="91" spans="3:35" ht="20.100000000000001" customHeight="1" x14ac:dyDescent="0.25">
      <c r="C91" s="118"/>
      <c r="D91" s="118"/>
      <c r="E91" s="118"/>
      <c r="F91" s="118"/>
      <c r="G91" s="118"/>
      <c r="H91" s="118"/>
      <c r="I91" s="118"/>
      <c r="J91" s="118"/>
      <c r="K91" s="118"/>
      <c r="L91" s="118"/>
      <c r="M91" s="118"/>
      <c r="N91" s="118"/>
      <c r="O91" s="118"/>
      <c r="P91" s="118"/>
      <c r="Q91" s="118"/>
      <c r="R91" s="118"/>
      <c r="T91" s="118"/>
      <c r="U91" s="118"/>
      <c r="V91" s="118"/>
      <c r="W91" s="118"/>
      <c r="X91" s="118"/>
      <c r="Y91" s="118"/>
      <c r="Z91" s="118"/>
      <c r="AA91" s="118"/>
      <c r="AB91" s="118"/>
      <c r="AC91" s="118"/>
      <c r="AD91" s="118"/>
      <c r="AE91" s="118"/>
      <c r="AF91" s="118"/>
      <c r="AG91" s="118"/>
      <c r="AH91" s="118"/>
      <c r="AI91" s="118"/>
    </row>
    <row r="92" spans="3:35" ht="20.100000000000001" customHeight="1" x14ac:dyDescent="0.25">
      <c r="D92" s="2" t="str" cm="1">
        <f t="array" ref="D92">EntericMethane_PastureBeef_Equations.VEERG_3_2_1_1__1_TotalAnnualMethaneFromEntericFermentation_Title()</f>
        <v>Total annual methane production from enteric fermentation in grazing beef cattle</v>
      </c>
      <c r="U92" s="2" t="str" cm="1">
        <f t="array" ref="U92">EntericMethane_PastureBeef_Equations.VEERG_3_2_1_1__2_DailyEntericMethaneProduction_Title()</f>
        <v>Daily production of enteric methane</v>
      </c>
    </row>
    <row r="93" spans="3:35" ht="20.100000000000001" customHeight="1" x14ac:dyDescent="0.25">
      <c r="D93" s="27" t="str" cm="1">
        <f t="array" ref="D93">EntericMethane_PastureBeef_Equations.VEERG_3_2_1_1__1_TotalAnnualMethaneFromEntericFermentation_Source()</f>
        <v>VEERG 2026: 3.2.1.1, Equation (1)</v>
      </c>
    </row>
    <row r="94" spans="3:35" ht="20.100000000000001" customHeight="1" x14ac:dyDescent="0.25">
      <c r="D94" s="105" t="s">
        <v>261</v>
      </c>
      <c r="E94" s="105" t="str" cm="1">
        <f t="array" aca="1" ref="E94" ca="1">Common_InputFunctions.Utility_DisplayFunctionName(E123)</f>
        <v>=EntericMethane_PastureBeef_Equations.VEERG_3_2_1_1__1_TotalAnnualMethaneFromEntericFermentation</v>
      </c>
      <c r="U94" s="114" t="s">
        <v>288</v>
      </c>
    </row>
    <row r="95" spans="3:35" ht="20.100000000000001" customHeight="1" x14ac:dyDescent="0.25">
      <c r="U95" s="115" t="s">
        <v>289</v>
      </c>
    </row>
    <row r="96" spans="3:35" ht="20.100000000000001" customHeight="1" x14ac:dyDescent="0.25">
      <c r="U96" s="116" t="s">
        <v>77</v>
      </c>
      <c r="V96" s="116" t="s">
        <v>193</v>
      </c>
      <c r="W96" s="116" t="s">
        <v>194</v>
      </c>
      <c r="X96" s="116" t="s">
        <v>195</v>
      </c>
      <c r="Y96" s="116" t="s">
        <v>196</v>
      </c>
      <c r="Z96" s="116" t="s">
        <v>197</v>
      </c>
      <c r="AA96" s="116" t="s">
        <v>198</v>
      </c>
      <c r="AB96" s="116" t="s">
        <v>199</v>
      </c>
      <c r="AC96" s="116" t="s">
        <v>200</v>
      </c>
      <c r="AD96" s="116" t="s">
        <v>201</v>
      </c>
      <c r="AE96" s="116" t="s">
        <v>202</v>
      </c>
    </row>
    <row r="97" spans="4:35" ht="20.100000000000001" customHeight="1" x14ac:dyDescent="0.25">
      <c r="D97" s="88" t="s">
        <v>263</v>
      </c>
      <c r="E97" s="1" t="str" cm="1">
        <f t="array" ref="E97">EntericMethane_PastureBeef_Equations.VEERG_3_2_1_1__1_TotalAnnualMethaneFromEntericFermentation_Variable()</f>
        <v>E_enteric</v>
      </c>
      <c r="U97" s="25" t="str">
        <f>TEXT('Input - Site'!$E$12, "mmmm yyyy")</f>
        <v>NO - Not in leaching zone</v>
      </c>
      <c r="V97" s="25" cm="1">
        <f t="array" aca="1" ref="V97" ca="1">EntericMethane_PastureBeef_Equations.VEERG_3_2_1_1__2_DailyEntericMethaneProduction(V76)</f>
        <v>0.14793987137471989</v>
      </c>
      <c r="W97" s="25" cm="1">
        <f t="array" aca="1" ref="W97" ca="1">EntericMethane_PastureBeef_Equations.VEERG_3_2_1_1__2_DailyEntericMethaneProduction(W76)</f>
        <v>0.19573907587452002</v>
      </c>
      <c r="X97" s="25" cm="1">
        <f t="array" aca="1" ref="X97" ca="1">EntericMethane_PastureBeef_Equations.VEERG_3_2_1_1__2_DailyEntericMethaneProduction(X76)</f>
        <v>0.12441409099199996</v>
      </c>
      <c r="Y97" s="25" cm="1">
        <f t="array" aca="1" ref="Y97" ca="1">EntericMethane_PastureBeef_Equations.VEERG_3_2_1_1__2_DailyEntericMethaneProduction(Y76)</f>
        <v>0.16292037884175001</v>
      </c>
      <c r="Z97" s="25" cm="1">
        <f t="array" aca="1" ref="Z97" ca="1">EntericMethane_PastureBeef_Equations.VEERG_3_2_1_1__2_DailyEntericMethaneProduction(Z76)</f>
        <v>0.16131110973551996</v>
      </c>
      <c r="AA97" s="25" cm="1">
        <f t="array" aca="1" ref="AA97" ca="1">EntericMethane_PastureBeef_Equations.VEERG_3_2_1_1__2_DailyEntericMethaneProduction(AA76)</f>
        <v>0.16131110973551996</v>
      </c>
      <c r="AB97" s="25" cm="1">
        <f t="array" aca="1" ref="AB97" ca="1">EntericMethane_PastureBeef_Equations.VEERG_3_2_1_1__2_DailyEntericMethaneProduction(AB76)</f>
        <v>0.13636416641471999</v>
      </c>
      <c r="AC97" s="25" cm="1">
        <f t="array" aca="1" ref="AC97" ca="1">EntericMethane_PastureBeef_Equations.VEERG_3_2_1_1__2_DailyEntericMethaneProduction(AC76)</f>
        <v>0.15200155388727002</v>
      </c>
      <c r="AD97" s="25" cm="1">
        <f t="array" aca="1" ref="AD97" ca="1">EntericMethane_PastureBeef_Equations.VEERG_3_2_1_1__2_DailyEntericMethaneProduction(AD76)</f>
        <v>0.15200155388727002</v>
      </c>
      <c r="AE97" s="25" cm="1">
        <f t="array" aca="1" ref="AE97" ca="1">EntericMethane_PastureBeef_Equations.VEERG_3_2_1_1__2_DailyEntericMethaneProduction(AE76)</f>
        <v>0.15200155388727002</v>
      </c>
      <c r="AF97" s="26" t="str">
        <f>$G$80</f>
        <v>kg DM/head/day</v>
      </c>
    </row>
    <row r="98" spans="4:35" ht="20.100000000000001" customHeight="1" x14ac:dyDescent="0.25">
      <c r="D98" s="88" t="s">
        <v>130</v>
      </c>
      <c r="E98" s="15" t="str" cm="1">
        <f t="array" ref="E98">EntericMethane_PastureBeef_Equations.VEERG_3_2_1_1__1_TotalAnnualMethaneFromEntericFermentation_Unit()</f>
        <v>t CH4</v>
      </c>
      <c r="U98" s="25" t="e">
        <f>TEXT(EDATE('Input - Site'!$E$12,1), "mmmm yyyy")</f>
        <v>#VALUE!</v>
      </c>
      <c r="V98" s="25" cm="1">
        <f t="array" aca="1" ref="V98" ca="1">EntericMethane_PastureBeef_Equations.VEERG_3_2_1_1__2_DailyEntericMethaneProduction(V77)</f>
        <v>0.14793987137471989</v>
      </c>
      <c r="W98" s="25" cm="1">
        <f t="array" aca="1" ref="W98" ca="1">EntericMethane_PastureBeef_Equations.VEERG_3_2_1_1__2_DailyEntericMethaneProduction(W77)</f>
        <v>0.19573907587452002</v>
      </c>
      <c r="X98" s="25" cm="1">
        <f t="array" aca="1" ref="X98" ca="1">EntericMethane_PastureBeef_Equations.VEERG_3_2_1_1__2_DailyEntericMethaneProduction(X77)</f>
        <v>0.12441409099199996</v>
      </c>
      <c r="Y98" s="25" cm="1">
        <f t="array" aca="1" ref="Y98" ca="1">EntericMethane_PastureBeef_Equations.VEERG_3_2_1_1__2_DailyEntericMethaneProduction(Y77)</f>
        <v>0.16292037884175001</v>
      </c>
      <c r="Z98" s="25" cm="1">
        <f t="array" aca="1" ref="Z98" ca="1">EntericMethane_PastureBeef_Equations.VEERG_3_2_1_1__2_DailyEntericMethaneProduction(Z77)</f>
        <v>0.16131110973551996</v>
      </c>
      <c r="AA98" s="25" cm="1">
        <f t="array" aca="1" ref="AA98" ca="1">EntericMethane_PastureBeef_Equations.VEERG_3_2_1_1__2_DailyEntericMethaneProduction(AA77)</f>
        <v>0.16131110973551996</v>
      </c>
      <c r="AB98" s="25" cm="1">
        <f t="array" aca="1" ref="AB98" ca="1">EntericMethane_PastureBeef_Equations.VEERG_3_2_1_1__2_DailyEntericMethaneProduction(AB77)</f>
        <v>0.13636416641471999</v>
      </c>
      <c r="AC98" s="25" cm="1">
        <f t="array" aca="1" ref="AC98" ca="1">EntericMethane_PastureBeef_Equations.VEERG_3_2_1_1__2_DailyEntericMethaneProduction(AC77)</f>
        <v>0.15200155388727002</v>
      </c>
      <c r="AD98" s="25" cm="1">
        <f t="array" aca="1" ref="AD98" ca="1">EntericMethane_PastureBeef_Equations.VEERG_3_2_1_1__2_DailyEntericMethaneProduction(AD77)</f>
        <v>0.15200155388727002</v>
      </c>
      <c r="AE98" s="25" cm="1">
        <f t="array" aca="1" ref="AE98" ca="1">EntericMethane_PastureBeef_Equations.VEERG_3_2_1_1__2_DailyEntericMethaneProduction(AE77)</f>
        <v>0.15200155388727002</v>
      </c>
      <c r="AF98" s="26"/>
    </row>
    <row r="99" spans="4:35" ht="20.100000000000001" customHeight="1" x14ac:dyDescent="0.25">
      <c r="U99" s="25" t="e">
        <f>TEXT(EDATE('Input - Site'!$E$12,2), "mmmm yyyy")</f>
        <v>#VALUE!</v>
      </c>
      <c r="V99" s="25" cm="1">
        <f t="array" aca="1" ref="V99" ca="1">EntericMethane_PastureBeef_Equations.VEERG_3_2_1_1__2_DailyEntericMethaneProduction(V78)</f>
        <v>6.7217122800000001E-2</v>
      </c>
      <c r="W99" s="25" cm="1">
        <f t="array" aca="1" ref="W99" ca="1">EntericMethane_PastureBeef_Equations.VEERG_3_2_1_1__2_DailyEntericMethaneProduction(W78)</f>
        <v>0.19509034611311998</v>
      </c>
      <c r="X99" s="25" cm="1">
        <f t="array" aca="1" ref="X99" ca="1">EntericMethane_PastureBeef_Equations.VEERG_3_2_1_1__2_DailyEntericMethaneProduction(X78)</f>
        <v>6.1278762971520004E-2</v>
      </c>
      <c r="Y99" s="25" cm="1">
        <f t="array" aca="1" ref="Y99" ca="1">EntericMethane_PastureBeef_Equations.VEERG_3_2_1_1__2_DailyEntericMethaneProduction(Y78)</f>
        <v>0.12332640906971998</v>
      </c>
      <c r="Z99" s="25" cm="1">
        <f t="array" aca="1" ref="Z99" ca="1">EntericMethane_PastureBeef_Equations.VEERG_3_2_1_1__2_DailyEntericMethaneProduction(Z78)</f>
        <v>0.13906254717566999</v>
      </c>
      <c r="AA99" s="25" cm="1">
        <f t="array" aca="1" ref="AA99" ca="1">EntericMethane_PastureBeef_Equations.VEERG_3_2_1_1__2_DailyEntericMethaneProduction(AA78)</f>
        <v>0.13906254717566999</v>
      </c>
      <c r="AB99" s="25" cm="1">
        <f t="array" aca="1" ref="AB99" ca="1">EntericMethane_PastureBeef_Equations.VEERG_3_2_1_1__2_DailyEntericMethaneProduction(AB78)</f>
        <v>6.7217122800000001E-2</v>
      </c>
      <c r="AC99" s="25" cm="1">
        <f t="array" aca="1" ref="AC99" ca="1">EntericMethane_PastureBeef_Equations.VEERG_3_2_1_1__2_DailyEntericMethaneProduction(AC78)</f>
        <v>0.12203432960112003</v>
      </c>
      <c r="AD99" s="25" cm="1">
        <f t="array" aca="1" ref="AD99" ca="1">EntericMethane_PastureBeef_Equations.VEERG_3_2_1_1__2_DailyEntericMethaneProduction(AD78)</f>
        <v>0.12203432960112003</v>
      </c>
      <c r="AE99" s="25" cm="1">
        <f t="array" aca="1" ref="AE99" ca="1">EntericMethane_PastureBeef_Equations.VEERG_3_2_1_1__2_DailyEntericMethaneProduction(AE78)</f>
        <v>0.12203432960112003</v>
      </c>
      <c r="AF99" s="26"/>
    </row>
    <row r="100" spans="4:35" ht="20.100000000000001" customHeight="1" x14ac:dyDescent="0.25">
      <c r="D100" s="107" t="str" cm="1">
        <f t="array" ref="D100:E102">_xlfn.CHOOSECOLS(EntericMethane_PastureBeef_Equations.VEERG_3_2_1_1__1_TotalAnnualMethaneFromEntericFermentation_Arguments(), 1, 2)</f>
        <v>D_j</v>
      </c>
      <c r="E100" s="108" t="str">
        <v>number of days the animal is on the farm in each time-period</v>
      </c>
      <c r="F100" s="110"/>
      <c r="G100" s="107" t="str" cm="1">
        <f t="array" ref="G100:H102">_xlfn.CHOOSECOLS(EntericMethane_PastureBeef_Equations.VEERG_3_2_1_1__1_TotalAnnualMethaneFromEntericFermentation_Arguments(), 3,4)</f>
        <v>days</v>
      </c>
      <c r="H100" s="111" t="str">
        <v>Input</v>
      </c>
      <c r="I100" s="113" t="str" cm="1">
        <f t="array" aca="1" ref="I100" ca="1">HYPERLINK(Common_InputFunctions.Utility_SourceHyperlink($D$112), $D$112)</f>
        <v>M1_Table_D_j</v>
      </c>
      <c r="U100" s="25" t="e">
        <f>TEXT(EDATE('Input - Site'!$E$12,3), "mmmm yyyy")</f>
        <v>#VALUE!</v>
      </c>
      <c r="V100" s="25" cm="1">
        <f t="array" aca="1" ref="V100" ca="1">EntericMethane_PastureBeef_Equations.VEERG_3_2_1_1__2_DailyEntericMethaneProduction(V79)</f>
        <v>6.7217122800000001E-2</v>
      </c>
      <c r="W100" s="25" cm="1">
        <f t="array" aca="1" ref="W100" ca="1">EntericMethane_PastureBeef_Equations.VEERG_3_2_1_1__2_DailyEntericMethaneProduction(W79)</f>
        <v>0.19509034611311998</v>
      </c>
      <c r="X100" s="25" cm="1">
        <f t="array" aca="1" ref="X100" ca="1">EntericMethane_PastureBeef_Equations.VEERG_3_2_1_1__2_DailyEntericMethaneProduction(X79)</f>
        <v>6.1278762971520004E-2</v>
      </c>
      <c r="Y100" s="25" cm="1">
        <f t="array" aca="1" ref="Y100" ca="1">EntericMethane_PastureBeef_Equations.VEERG_3_2_1_1__2_DailyEntericMethaneProduction(Y79)</f>
        <v>0.12332640906971998</v>
      </c>
      <c r="Z100" s="25" cm="1">
        <f t="array" aca="1" ref="Z100" ca="1">EntericMethane_PastureBeef_Equations.VEERG_3_2_1_1__2_DailyEntericMethaneProduction(Z79)</f>
        <v>0.13906254717566999</v>
      </c>
      <c r="AA100" s="25" cm="1">
        <f t="array" aca="1" ref="AA100" ca="1">EntericMethane_PastureBeef_Equations.VEERG_3_2_1_1__2_DailyEntericMethaneProduction(AA79)</f>
        <v>0.13906254717566999</v>
      </c>
      <c r="AB100" s="25" cm="1">
        <f t="array" aca="1" ref="AB100" ca="1">EntericMethane_PastureBeef_Equations.VEERG_3_2_1_1__2_DailyEntericMethaneProduction(AB79)</f>
        <v>6.7217122800000001E-2</v>
      </c>
      <c r="AC100" s="25" cm="1">
        <f t="array" aca="1" ref="AC100" ca="1">EntericMethane_PastureBeef_Equations.VEERG_3_2_1_1__2_DailyEntericMethaneProduction(AC79)</f>
        <v>0.12203432960112003</v>
      </c>
      <c r="AD100" s="25" cm="1">
        <f t="array" aca="1" ref="AD100" ca="1">EntericMethane_PastureBeef_Equations.VEERG_3_2_1_1__2_DailyEntericMethaneProduction(AD79)</f>
        <v>0.12203432960112003</v>
      </c>
      <c r="AE100" s="25" cm="1">
        <f t="array" aca="1" ref="AE100" ca="1">EntericMethane_PastureBeef_Equations.VEERG_3_2_1_1__2_DailyEntericMethaneProduction(AE79)</f>
        <v>0.12203432960112003</v>
      </c>
      <c r="AF100" s="26"/>
    </row>
    <row r="101" spans="4:35" ht="20.100000000000001" customHeight="1" x14ac:dyDescent="0.25">
      <c r="D101" s="107" t="str">
        <v>M_jkl</v>
      </c>
      <c r="E101" s="108" t="str">
        <v>daily production of enteric methane in each time-period, class and subclass</v>
      </c>
      <c r="F101" s="110"/>
      <c r="G101" s="107" t="str">
        <v>kg CH4/head/day</v>
      </c>
      <c r="H101" s="112" t="str">
        <v>Calculated from 3.2.1.1, (2)</v>
      </c>
      <c r="I101" s="113" t="str" cm="1">
        <f t="array" aca="1" ref="I101" ca="1">HYPERLINK(Common_InputFunctions.Utility_SourceHyperlink($D$82), $D$82)</f>
        <v>M1_Table_M_j_k_l</v>
      </c>
      <c r="U101" s="25" t="e">
        <f>TEXT(EDATE('Input - Site'!$E$12,4), "mmmm yyyy")</f>
        <v>#VALUE!</v>
      </c>
      <c r="V101" s="25" cm="1">
        <f t="array" aca="1" ref="V101" ca="1">EntericMethane_PastureBeef_Equations.VEERG_3_2_1_1__2_DailyEntericMethaneProduction(V80)</f>
        <v>6.7217122800000001E-2</v>
      </c>
      <c r="W101" s="25" cm="1">
        <f t="array" aca="1" ref="W101" ca="1">EntericMethane_PastureBeef_Equations.VEERG_3_2_1_1__2_DailyEntericMethaneProduction(W80)</f>
        <v>0.19509034611311998</v>
      </c>
      <c r="X101" s="25" cm="1">
        <f t="array" aca="1" ref="X101" ca="1">EntericMethane_PastureBeef_Equations.VEERG_3_2_1_1__2_DailyEntericMethaneProduction(X80)</f>
        <v>6.1278762971520004E-2</v>
      </c>
      <c r="Y101" s="25" cm="1">
        <f t="array" aca="1" ref="Y101" ca="1">EntericMethane_PastureBeef_Equations.VEERG_3_2_1_1__2_DailyEntericMethaneProduction(Y80)</f>
        <v>0.12332640906971998</v>
      </c>
      <c r="Z101" s="25" cm="1">
        <f t="array" aca="1" ref="Z101" ca="1">EntericMethane_PastureBeef_Equations.VEERG_3_2_1_1__2_DailyEntericMethaneProduction(Z80)</f>
        <v>0.13906254717566999</v>
      </c>
      <c r="AA101" s="25" cm="1">
        <f t="array" aca="1" ref="AA101" ca="1">EntericMethane_PastureBeef_Equations.VEERG_3_2_1_1__2_DailyEntericMethaneProduction(AA80)</f>
        <v>0.13906254717566999</v>
      </c>
      <c r="AB101" s="25" cm="1">
        <f t="array" aca="1" ref="AB101" ca="1">EntericMethane_PastureBeef_Equations.VEERG_3_2_1_1__2_DailyEntericMethaneProduction(AB80)</f>
        <v>6.7217122800000001E-2</v>
      </c>
      <c r="AC101" s="25" cm="1">
        <f t="array" aca="1" ref="AC101" ca="1">EntericMethane_PastureBeef_Equations.VEERG_3_2_1_1__2_DailyEntericMethaneProduction(AC80)</f>
        <v>0.12203432960112003</v>
      </c>
      <c r="AD101" s="25" cm="1">
        <f t="array" aca="1" ref="AD101" ca="1">EntericMethane_PastureBeef_Equations.VEERG_3_2_1_1__2_DailyEntericMethaneProduction(AD80)</f>
        <v>0.12203432960112003</v>
      </c>
      <c r="AE101" s="25" cm="1">
        <f t="array" aca="1" ref="AE101" ca="1">EntericMethane_PastureBeef_Equations.VEERG_3_2_1_1__2_DailyEntericMethaneProduction(AE80)</f>
        <v>0.12203432960112003</v>
      </c>
      <c r="AF101" s="26"/>
    </row>
    <row r="102" spans="4:35" ht="20.100000000000001" customHeight="1" x14ac:dyDescent="0.25">
      <c r="D102" s="107" t="str">
        <v>N_jkl</v>
      </c>
      <c r="E102" s="108" t="str">
        <v>number of beef cattle in each time-period, class and subclass</v>
      </c>
      <c r="F102" s="110"/>
      <c r="G102" s="107" t="str">
        <v>head</v>
      </c>
      <c r="H102" s="111" t="str">
        <v>Input</v>
      </c>
      <c r="I102" s="113" t="str" cm="1">
        <f t="array" aca="1" ref="I102" ca="1">HYPERLINK(Common_InputFunctions.Utility_SourceHyperlink($D$104), $D$104)</f>
        <v>M1_Table_N_j_k_l</v>
      </c>
      <c r="U102" s="25" t="e">
        <f>TEXT(EDATE('Input - Site'!$E$12,5), "mmmm yyyy")</f>
        <v>#VALUE!</v>
      </c>
      <c r="V102" s="25" cm="1">
        <f t="array" aca="1" ref="V102" ca="1">EntericMethane_PastureBeef_Equations.VEERG_3_2_1_1__2_DailyEntericMethaneProduction(V81)</f>
        <v>0.10625098959567</v>
      </c>
      <c r="W102" s="25" cm="1">
        <f t="array" aca="1" ref="W102" ca="1">EntericMethane_PastureBeef_Equations.VEERG_3_2_1_1__2_DailyEntericMethaneProduction(W81)</f>
        <v>0.20647957902299996</v>
      </c>
      <c r="X102" s="25" cm="1">
        <f t="array" aca="1" ref="X102" ca="1">EntericMethane_PastureBeef_Equations.VEERG_3_2_1_1__2_DailyEntericMethaneProduction(X81)</f>
        <v>8.6995993551750014E-2</v>
      </c>
      <c r="Y102" s="25" cm="1">
        <f t="array" aca="1" ref="Y102" ca="1">EntericMethane_PastureBeef_Equations.VEERG_3_2_1_1__2_DailyEntericMethaneProduction(Y81)</f>
        <v>0.12270572463087004</v>
      </c>
      <c r="Z102" s="25" cm="1">
        <f t="array" aca="1" ref="Z102" ca="1">EntericMethane_PastureBeef_Equations.VEERG_3_2_1_1__2_DailyEntericMethaneProduction(Z81)</f>
        <v>0.16461351252206999</v>
      </c>
      <c r="AA102" s="25" cm="1">
        <f t="array" aca="1" ref="AA102" ca="1">EntericMethane_PastureBeef_Equations.VEERG_3_2_1_1__2_DailyEntericMethaneProduction(AA81)</f>
        <v>0.16461351252206999</v>
      </c>
      <c r="AB102" s="25" cm="1">
        <f t="array" aca="1" ref="AB102" ca="1">EntericMethane_PastureBeef_Equations.VEERG_3_2_1_1__2_DailyEntericMethaneProduction(AB81)</f>
        <v>9.3403950168869973E-2</v>
      </c>
      <c r="AC102" s="25" cm="1">
        <f t="array" aca="1" ref="AC102" ca="1">EntericMethane_PastureBeef_Equations.VEERG_3_2_1_1__2_DailyEntericMethaneProduction(AC81)</f>
        <v>0.14220590910911998</v>
      </c>
      <c r="AD102" s="25" cm="1">
        <f t="array" aca="1" ref="AD102" ca="1">EntericMethane_PastureBeef_Equations.VEERG_3_2_1_1__2_DailyEntericMethaneProduction(AD81)</f>
        <v>0.14220590910911998</v>
      </c>
      <c r="AE102" s="25" cm="1">
        <f t="array" aca="1" ref="AE102" ca="1">EntericMethane_PastureBeef_Equations.VEERG_3_2_1_1__2_DailyEntericMethaneProduction(AE81)</f>
        <v>0.14220590910911998</v>
      </c>
      <c r="AF102" s="26"/>
    </row>
    <row r="103" spans="4:35" ht="20.100000000000001" customHeight="1" x14ac:dyDescent="0.25">
      <c r="U103" s="25" t="e">
        <f>TEXT(EDATE('Input - Site'!$E$12,6), "mmmm yyyy")</f>
        <v>#VALUE!</v>
      </c>
      <c r="V103" s="25" cm="1">
        <f t="array" aca="1" ref="V103" ca="1">EntericMethane_PastureBeef_Equations.VEERG_3_2_1_1__2_DailyEntericMethaneProduction(V82)</f>
        <v>0.10625098959567</v>
      </c>
      <c r="W103" s="25" cm="1">
        <f t="array" aca="1" ref="W103" ca="1">EntericMethane_PastureBeef_Equations.VEERG_3_2_1_1__2_DailyEntericMethaneProduction(W82)</f>
        <v>0.20647957902299996</v>
      </c>
      <c r="X103" s="25" cm="1">
        <f t="array" aca="1" ref="X103" ca="1">EntericMethane_PastureBeef_Equations.VEERG_3_2_1_1__2_DailyEntericMethaneProduction(X82)</f>
        <v>8.6995993551750014E-2</v>
      </c>
      <c r="Y103" s="25" cm="1">
        <f t="array" aca="1" ref="Y103" ca="1">EntericMethane_PastureBeef_Equations.VEERG_3_2_1_1__2_DailyEntericMethaneProduction(Y82)</f>
        <v>0.12270572463087004</v>
      </c>
      <c r="Z103" s="25" cm="1">
        <f t="array" aca="1" ref="Z103" ca="1">EntericMethane_PastureBeef_Equations.VEERG_3_2_1_1__2_DailyEntericMethaneProduction(Z82)</f>
        <v>0.16461351252206999</v>
      </c>
      <c r="AA103" s="25" cm="1">
        <f t="array" aca="1" ref="AA103" ca="1">EntericMethane_PastureBeef_Equations.VEERG_3_2_1_1__2_DailyEntericMethaneProduction(AA82)</f>
        <v>0.16461351252206999</v>
      </c>
      <c r="AB103" s="25" cm="1">
        <f t="array" aca="1" ref="AB103" ca="1">EntericMethane_PastureBeef_Equations.VEERG_3_2_1_1__2_DailyEntericMethaneProduction(AB82)</f>
        <v>9.3403950168869973E-2</v>
      </c>
      <c r="AC103" s="25" cm="1">
        <f t="array" aca="1" ref="AC103" ca="1">EntericMethane_PastureBeef_Equations.VEERG_3_2_1_1__2_DailyEntericMethaneProduction(AC82)</f>
        <v>0.14220590910911998</v>
      </c>
      <c r="AD103" s="25" cm="1">
        <f t="array" aca="1" ref="AD103" ca="1">EntericMethane_PastureBeef_Equations.VEERG_3_2_1_1__2_DailyEntericMethaneProduction(AD82)</f>
        <v>0.14220590910911998</v>
      </c>
      <c r="AE103" s="25" cm="1">
        <f t="array" aca="1" ref="AE103" ca="1">EntericMethane_PastureBeef_Equations.VEERG_3_2_1_1__2_DailyEntericMethaneProduction(AE82)</f>
        <v>0.14220590910911998</v>
      </c>
      <c r="AF103" s="26"/>
    </row>
    <row r="104" spans="4:35" ht="20.100000000000001" customHeight="1" x14ac:dyDescent="0.25">
      <c r="D104" s="114" t="s">
        <v>290</v>
      </c>
      <c r="U104" s="25" t="e">
        <f>TEXT(EDATE('Input - Site'!$E$12,7), "mmmm yyyy")</f>
        <v>#VALUE!</v>
      </c>
      <c r="V104" s="25" cm="1">
        <f t="array" aca="1" ref="V104" ca="1">EntericMethane_PastureBeef_Equations.VEERG_3_2_1_1__2_DailyEntericMethaneProduction(V83)</f>
        <v>0.10625098959567</v>
      </c>
      <c r="W104" s="25" cm="1">
        <f t="array" aca="1" ref="W104" ca="1">EntericMethane_PastureBeef_Equations.VEERG_3_2_1_1__2_DailyEntericMethaneProduction(W83)</f>
        <v>0.20647957902299996</v>
      </c>
      <c r="X104" s="25" cm="1">
        <f t="array" aca="1" ref="X104" ca="1">EntericMethane_PastureBeef_Equations.VEERG_3_2_1_1__2_DailyEntericMethaneProduction(X83)</f>
        <v>8.6995993551750014E-2</v>
      </c>
      <c r="Y104" s="25" cm="1">
        <f t="array" aca="1" ref="Y104" ca="1">EntericMethane_PastureBeef_Equations.VEERG_3_2_1_1__2_DailyEntericMethaneProduction(Y83)</f>
        <v>0.12270572463087004</v>
      </c>
      <c r="Z104" s="25" cm="1">
        <f t="array" aca="1" ref="Z104" ca="1">EntericMethane_PastureBeef_Equations.VEERG_3_2_1_1__2_DailyEntericMethaneProduction(Z83)</f>
        <v>0.16461351252206999</v>
      </c>
      <c r="AA104" s="25" cm="1">
        <f t="array" aca="1" ref="AA104" ca="1">EntericMethane_PastureBeef_Equations.VEERG_3_2_1_1__2_DailyEntericMethaneProduction(AA83)</f>
        <v>0.16461351252206999</v>
      </c>
      <c r="AB104" s="25" cm="1">
        <f t="array" aca="1" ref="AB104" ca="1">EntericMethane_PastureBeef_Equations.VEERG_3_2_1_1__2_DailyEntericMethaneProduction(AB83)</f>
        <v>9.3403950168869973E-2</v>
      </c>
      <c r="AC104" s="25" cm="1">
        <f t="array" aca="1" ref="AC104" ca="1">EntericMethane_PastureBeef_Equations.VEERG_3_2_1_1__2_DailyEntericMethaneProduction(AC83)</f>
        <v>0.14220590910911998</v>
      </c>
      <c r="AD104" s="25" cm="1">
        <f t="array" aca="1" ref="AD104" ca="1">EntericMethane_PastureBeef_Equations.VEERG_3_2_1_1__2_DailyEntericMethaneProduction(AD83)</f>
        <v>0.14220590910911998</v>
      </c>
      <c r="AE104" s="25" cm="1">
        <f t="array" aca="1" ref="AE104" ca="1">EntericMethane_PastureBeef_Equations.VEERG_3_2_1_1__2_DailyEntericMethaneProduction(AE83)</f>
        <v>0.14220590910911998</v>
      </c>
      <c r="AF104" s="26"/>
    </row>
    <row r="105" spans="4:35" ht="20.100000000000001" customHeight="1" x14ac:dyDescent="0.25">
      <c r="D105" s="115" t="s">
        <v>291</v>
      </c>
      <c r="U105" s="25" t="e">
        <f>TEXT(EDATE('Input - Site'!$E$12,8), "mmmm yyyy")</f>
        <v>#VALUE!</v>
      </c>
      <c r="V105" s="25" cm="1">
        <f t="array" aca="1" ref="V105" ca="1">EntericMethane_PastureBeef_Equations.VEERG_3_2_1_1__2_DailyEntericMethaneProduction(V84)</f>
        <v>0.17948772790272</v>
      </c>
      <c r="W105" s="25" cm="1">
        <f t="array" aca="1" ref="W105" ca="1">EntericMethane_PastureBeef_Equations.VEERG_3_2_1_1__2_DailyEntericMethaneProduction(W84)</f>
        <v>0.25350255517500003</v>
      </c>
      <c r="X105" s="25" cm="1">
        <f t="array" aca="1" ref="X105" ca="1">EntericMethane_PastureBeef_Equations.VEERG_3_2_1_1__2_DailyEntericMethaneProduction(X84)</f>
        <v>0.13680549733887001</v>
      </c>
      <c r="Y105" s="25" cm="1">
        <f t="array" aca="1" ref="Y105" ca="1">EntericMethane_PastureBeef_Equations.VEERG_3_2_1_1__2_DailyEntericMethaneProduction(Y84)</f>
        <v>0.17953283673207002</v>
      </c>
      <c r="Z105" s="25" cm="1">
        <f t="array" aca="1" ref="Z105" ca="1">EntericMethane_PastureBeef_Equations.VEERG_3_2_1_1__2_DailyEntericMethaneProduction(Z84)</f>
        <v>0.19936359529200001</v>
      </c>
      <c r="AA105" s="25" cm="1">
        <f t="array" aca="1" ref="AA105" ca="1">EntericMethane_PastureBeef_Equations.VEERG_3_2_1_1__2_DailyEntericMethaneProduction(AA84)</f>
        <v>0.19936359529200001</v>
      </c>
      <c r="AB105" s="25" cm="1">
        <f t="array" aca="1" ref="AB105" ca="1">EntericMethane_PastureBeef_Equations.VEERG_3_2_1_1__2_DailyEntericMethaneProduction(AB84)</f>
        <v>0.15771860106299995</v>
      </c>
      <c r="AC105" s="25" cm="1">
        <f t="array" aca="1" ref="AC105" ca="1">EntericMethane_PastureBeef_Equations.VEERG_3_2_1_1__2_DailyEntericMethaneProduction(AC84)</f>
        <v>0.20042625868091996</v>
      </c>
      <c r="AD105" s="25" cm="1">
        <f t="array" aca="1" ref="AD105" ca="1">EntericMethane_PastureBeef_Equations.VEERG_3_2_1_1__2_DailyEntericMethaneProduction(AD84)</f>
        <v>0.20042625868091996</v>
      </c>
      <c r="AE105" s="25" cm="1">
        <f t="array" aca="1" ref="AE105" ca="1">EntericMethane_PastureBeef_Equations.VEERG_3_2_1_1__2_DailyEntericMethaneProduction(AE84)</f>
        <v>0.20042625868091996</v>
      </c>
      <c r="AF105" s="26"/>
    </row>
    <row r="106" spans="4:35" ht="20.100000000000001" customHeight="1" x14ac:dyDescent="0.25">
      <c r="D106" s="116" t="s">
        <v>78</v>
      </c>
      <c r="E106" s="117" t="s">
        <v>193</v>
      </c>
      <c r="F106" s="117" t="s">
        <v>194</v>
      </c>
      <c r="G106" s="117" t="s">
        <v>195</v>
      </c>
      <c r="H106" s="117" t="s">
        <v>196</v>
      </c>
      <c r="I106" s="117" t="s">
        <v>197</v>
      </c>
      <c r="J106" s="117" t="s">
        <v>198</v>
      </c>
      <c r="K106" s="117" t="s">
        <v>199</v>
      </c>
      <c r="L106" s="117" t="s">
        <v>200</v>
      </c>
      <c r="M106" s="117" t="s">
        <v>201</v>
      </c>
      <c r="N106" s="117" t="s">
        <v>202</v>
      </c>
      <c r="U106" s="25" t="e">
        <f>TEXT(EDATE('Input - Site'!$E$12,9), "mmmm yyyy")</f>
        <v>#VALUE!</v>
      </c>
      <c r="V106" s="25" cm="1">
        <f t="array" aca="1" ref="V106" ca="1">EntericMethane_PastureBeef_Equations.VEERG_3_2_1_1__2_DailyEntericMethaneProduction(V85)</f>
        <v>0.17948772790272</v>
      </c>
      <c r="W106" s="25" cm="1">
        <f t="array" aca="1" ref="W106" ca="1">EntericMethane_PastureBeef_Equations.VEERG_3_2_1_1__2_DailyEntericMethaneProduction(W85)</f>
        <v>0.25350255517500003</v>
      </c>
      <c r="X106" s="25" cm="1">
        <f t="array" aca="1" ref="X106" ca="1">EntericMethane_PastureBeef_Equations.VEERG_3_2_1_1__2_DailyEntericMethaneProduction(X85)</f>
        <v>0.13680549733887001</v>
      </c>
      <c r="Y106" s="25" cm="1">
        <f t="array" aca="1" ref="Y106" ca="1">EntericMethane_PastureBeef_Equations.VEERG_3_2_1_1__2_DailyEntericMethaneProduction(Y85)</f>
        <v>0.17953283673207002</v>
      </c>
      <c r="Z106" s="25" cm="1">
        <f t="array" aca="1" ref="Z106" ca="1">EntericMethane_PastureBeef_Equations.VEERG_3_2_1_1__2_DailyEntericMethaneProduction(Z85)</f>
        <v>0.19936359529200001</v>
      </c>
      <c r="AA106" s="25" cm="1">
        <f t="array" aca="1" ref="AA106" ca="1">EntericMethane_PastureBeef_Equations.VEERG_3_2_1_1__2_DailyEntericMethaneProduction(AA85)</f>
        <v>0.19936359529200001</v>
      </c>
      <c r="AB106" s="25" cm="1">
        <f t="array" aca="1" ref="AB106" ca="1">EntericMethane_PastureBeef_Equations.VEERG_3_2_1_1__2_DailyEntericMethaneProduction(AB85)</f>
        <v>0.15771860106299995</v>
      </c>
      <c r="AC106" s="25" cm="1">
        <f t="array" aca="1" ref="AC106" ca="1">EntericMethane_PastureBeef_Equations.VEERG_3_2_1_1__2_DailyEntericMethaneProduction(AC85)</f>
        <v>0.20042625868091996</v>
      </c>
      <c r="AD106" s="25" cm="1">
        <f t="array" aca="1" ref="AD106" ca="1">EntericMethane_PastureBeef_Equations.VEERG_3_2_1_1__2_DailyEntericMethaneProduction(AD85)</f>
        <v>0.20042625868091996</v>
      </c>
      <c r="AE106" s="25" cm="1">
        <f t="array" aca="1" ref="AE106" ca="1">EntericMethane_PastureBeef_Equations.VEERG_3_2_1_1__2_DailyEntericMethaneProduction(AE85)</f>
        <v>0.20042625868091996</v>
      </c>
      <c r="AF106" s="26"/>
    </row>
    <row r="107" spans="4:35" ht="20.100000000000001" customHeight="1" x14ac:dyDescent="0.25">
      <c r="D107" s="25" t="s">
        <v>203</v>
      </c>
      <c r="E107" s="25" cm="1">
        <f t="array" aca="1" ref="E107:N110" ca="1">OFFSET(X_Table_PastureBeef_Head_Method1,1,1,4,10)</f>
        <v>100</v>
      </c>
      <c r="F107" s="25">
        <f ca="1"/>
        <v>100</v>
      </c>
      <c r="G107" s="25">
        <f ca="1"/>
        <v>100</v>
      </c>
      <c r="H107" s="25">
        <f ca="1"/>
        <v>100</v>
      </c>
      <c r="I107" s="25">
        <f ca="1"/>
        <v>100</v>
      </c>
      <c r="J107" s="25">
        <f ca="1"/>
        <v>100</v>
      </c>
      <c r="K107" s="25">
        <f ca="1"/>
        <v>100</v>
      </c>
      <c r="L107" s="25">
        <f ca="1"/>
        <v>100</v>
      </c>
      <c r="M107" s="25">
        <f ca="1"/>
        <v>100</v>
      </c>
      <c r="N107" s="25">
        <f ca="1"/>
        <v>100</v>
      </c>
      <c r="O107" s="26" t="str">
        <f>G102</f>
        <v>head</v>
      </c>
      <c r="U107" s="25" t="e">
        <f>TEXT(EDATE('Input - Site'!$E$12,10), "mmmm yyyy")</f>
        <v>#VALUE!</v>
      </c>
      <c r="V107" s="25" cm="1">
        <f t="array" aca="1" ref="V107" ca="1">EntericMethane_PastureBeef_Equations.VEERG_3_2_1_1__2_DailyEntericMethaneProduction(V86)</f>
        <v>0.17948772790272</v>
      </c>
      <c r="W107" s="25" cm="1">
        <f t="array" aca="1" ref="W107" ca="1">EntericMethane_PastureBeef_Equations.VEERG_3_2_1_1__2_DailyEntericMethaneProduction(W86)</f>
        <v>0.25350255517500003</v>
      </c>
      <c r="X107" s="25" cm="1">
        <f t="array" aca="1" ref="X107" ca="1">EntericMethane_PastureBeef_Equations.VEERG_3_2_1_1__2_DailyEntericMethaneProduction(X86)</f>
        <v>0.13680549733887001</v>
      </c>
      <c r="Y107" s="25" cm="1">
        <f t="array" aca="1" ref="Y107" ca="1">EntericMethane_PastureBeef_Equations.VEERG_3_2_1_1__2_DailyEntericMethaneProduction(Y86)</f>
        <v>0.17953283673207002</v>
      </c>
      <c r="Z107" s="25" cm="1">
        <f t="array" aca="1" ref="Z107" ca="1">EntericMethane_PastureBeef_Equations.VEERG_3_2_1_1__2_DailyEntericMethaneProduction(Z86)</f>
        <v>0.19936359529200001</v>
      </c>
      <c r="AA107" s="25" cm="1">
        <f t="array" aca="1" ref="AA107" ca="1">EntericMethane_PastureBeef_Equations.VEERG_3_2_1_1__2_DailyEntericMethaneProduction(AA86)</f>
        <v>0.19936359529200001</v>
      </c>
      <c r="AB107" s="25" cm="1">
        <f t="array" aca="1" ref="AB107" ca="1">EntericMethane_PastureBeef_Equations.VEERG_3_2_1_1__2_DailyEntericMethaneProduction(AB86)</f>
        <v>0.15771860106299995</v>
      </c>
      <c r="AC107" s="25" cm="1">
        <f t="array" aca="1" ref="AC107" ca="1">EntericMethane_PastureBeef_Equations.VEERG_3_2_1_1__2_DailyEntericMethaneProduction(AC86)</f>
        <v>0.20042625868091996</v>
      </c>
      <c r="AD107" s="25" cm="1">
        <f t="array" aca="1" ref="AD107" ca="1">EntericMethane_PastureBeef_Equations.VEERG_3_2_1_1__2_DailyEntericMethaneProduction(AD86)</f>
        <v>0.20042625868091996</v>
      </c>
      <c r="AE107" s="25" cm="1">
        <f t="array" aca="1" ref="AE107" ca="1">EntericMethane_PastureBeef_Equations.VEERG_3_2_1_1__2_DailyEntericMethaneProduction(AE86)</f>
        <v>0.20042625868091996</v>
      </c>
      <c r="AF107" s="26"/>
    </row>
    <row r="108" spans="4:35" ht="20.100000000000001" customHeight="1" x14ac:dyDescent="0.25">
      <c r="D108" s="25" t="s">
        <v>204</v>
      </c>
      <c r="E108" s="25">
        <f ca="1"/>
        <v>100</v>
      </c>
      <c r="F108" s="25">
        <f ca="1"/>
        <v>100</v>
      </c>
      <c r="G108" s="25">
        <f ca="1"/>
        <v>100</v>
      </c>
      <c r="H108" s="25">
        <f ca="1"/>
        <v>100</v>
      </c>
      <c r="I108" s="25">
        <f ca="1"/>
        <v>100</v>
      </c>
      <c r="J108" s="25">
        <f ca="1"/>
        <v>100</v>
      </c>
      <c r="K108" s="25">
        <f ca="1"/>
        <v>100</v>
      </c>
      <c r="L108" s="25">
        <f ca="1"/>
        <v>100</v>
      </c>
      <c r="M108" s="25">
        <f ca="1"/>
        <v>100</v>
      </c>
      <c r="N108" s="25">
        <f ca="1"/>
        <v>100</v>
      </c>
      <c r="O108" s="26"/>
      <c r="U108" s="25" t="e">
        <f>TEXT(EDATE('Input - Site'!$E$12,11), "mmmm yyyy")</f>
        <v>#VALUE!</v>
      </c>
      <c r="V108" s="25" cm="1">
        <f t="array" aca="1" ref="V108" ca="1">EntericMethane_PastureBeef_Equations.VEERG_3_2_1_1__2_DailyEntericMethaneProduction(V87)</f>
        <v>0.14793987137471989</v>
      </c>
      <c r="W108" s="25" cm="1">
        <f t="array" aca="1" ref="W108" ca="1">EntericMethane_PastureBeef_Equations.VEERG_3_2_1_1__2_DailyEntericMethaneProduction(W87)</f>
        <v>0.19573907587452002</v>
      </c>
      <c r="X108" s="25" cm="1">
        <f t="array" aca="1" ref="X108" ca="1">EntericMethane_PastureBeef_Equations.VEERG_3_2_1_1__2_DailyEntericMethaneProduction(X87)</f>
        <v>0.12441409099199996</v>
      </c>
      <c r="Y108" s="25" cm="1">
        <f t="array" aca="1" ref="Y108" ca="1">EntericMethane_PastureBeef_Equations.VEERG_3_2_1_1__2_DailyEntericMethaneProduction(Y87)</f>
        <v>0.16292037884175001</v>
      </c>
      <c r="Z108" s="25" cm="1">
        <f t="array" aca="1" ref="Z108" ca="1">EntericMethane_PastureBeef_Equations.VEERG_3_2_1_1__2_DailyEntericMethaneProduction(Z87)</f>
        <v>0.16131110973551996</v>
      </c>
      <c r="AA108" s="25" cm="1">
        <f t="array" aca="1" ref="AA108" ca="1">EntericMethane_PastureBeef_Equations.VEERG_3_2_1_1__2_DailyEntericMethaneProduction(AA87)</f>
        <v>0.16131110973551996</v>
      </c>
      <c r="AB108" s="25" cm="1">
        <f t="array" aca="1" ref="AB108" ca="1">EntericMethane_PastureBeef_Equations.VEERG_3_2_1_1__2_DailyEntericMethaneProduction(AB87)</f>
        <v>0.13636416641471999</v>
      </c>
      <c r="AC108" s="25" cm="1">
        <f t="array" aca="1" ref="AC108" ca="1">EntericMethane_PastureBeef_Equations.VEERG_3_2_1_1__2_DailyEntericMethaneProduction(AC87)</f>
        <v>0.15200155388727002</v>
      </c>
      <c r="AD108" s="25" cm="1">
        <f t="array" aca="1" ref="AD108" ca="1">EntericMethane_PastureBeef_Equations.VEERG_3_2_1_1__2_DailyEntericMethaneProduction(AD87)</f>
        <v>0.15200155388727002</v>
      </c>
      <c r="AE108" s="25" cm="1">
        <f t="array" aca="1" ref="AE108" ca="1">EntericMethane_PastureBeef_Equations.VEERG_3_2_1_1__2_DailyEntericMethaneProduction(AE87)</f>
        <v>0.15200155388727002</v>
      </c>
      <c r="AF108" s="26"/>
    </row>
    <row r="109" spans="4:35" ht="20.100000000000001" customHeight="1" x14ac:dyDescent="0.25">
      <c r="D109" s="25" t="s">
        <v>205</v>
      </c>
      <c r="E109" s="25">
        <f ca="1"/>
        <v>100</v>
      </c>
      <c r="F109" s="25">
        <f ca="1"/>
        <v>100</v>
      </c>
      <c r="G109" s="25">
        <f ca="1"/>
        <v>100</v>
      </c>
      <c r="H109" s="25">
        <f ca="1"/>
        <v>100</v>
      </c>
      <c r="I109" s="25">
        <f ca="1"/>
        <v>100</v>
      </c>
      <c r="J109" s="25">
        <f ca="1"/>
        <v>100</v>
      </c>
      <c r="K109" s="25">
        <f ca="1"/>
        <v>100</v>
      </c>
      <c r="L109" s="25">
        <f ca="1"/>
        <v>100</v>
      </c>
      <c r="M109" s="25">
        <f ca="1"/>
        <v>100</v>
      </c>
      <c r="N109" s="25">
        <f ca="1"/>
        <v>100</v>
      </c>
      <c r="O109" s="26"/>
    </row>
    <row r="110" spans="4:35" ht="20.100000000000001" customHeight="1" x14ac:dyDescent="0.25">
      <c r="D110" s="25" t="s">
        <v>206</v>
      </c>
      <c r="E110" s="25">
        <f ca="1"/>
        <v>100</v>
      </c>
      <c r="F110" s="25">
        <f ca="1"/>
        <v>100</v>
      </c>
      <c r="G110" s="25">
        <f ca="1"/>
        <v>100</v>
      </c>
      <c r="H110" s="25">
        <f ca="1"/>
        <v>100</v>
      </c>
      <c r="I110" s="25">
        <f ca="1"/>
        <v>100</v>
      </c>
      <c r="J110" s="25">
        <f ca="1"/>
        <v>100</v>
      </c>
      <c r="K110" s="25">
        <f ca="1"/>
        <v>100</v>
      </c>
      <c r="L110" s="25">
        <f ca="1"/>
        <v>100</v>
      </c>
      <c r="M110" s="25">
        <f ca="1"/>
        <v>100</v>
      </c>
      <c r="N110" s="25">
        <f ca="1"/>
        <v>100</v>
      </c>
      <c r="O110" s="26"/>
    </row>
    <row r="111" spans="4:35" ht="20.100000000000001" customHeight="1" x14ac:dyDescent="0.25">
      <c r="T111" s="118"/>
      <c r="U111" s="118"/>
      <c r="V111" s="118"/>
      <c r="W111" s="118"/>
      <c r="X111" s="118"/>
      <c r="Y111" s="118"/>
      <c r="Z111" s="118"/>
      <c r="AA111" s="118"/>
      <c r="AB111" s="118"/>
      <c r="AC111" s="118"/>
      <c r="AD111" s="118"/>
      <c r="AE111" s="118"/>
      <c r="AF111" s="118"/>
      <c r="AG111" s="118"/>
      <c r="AH111" s="118"/>
      <c r="AI111" s="118"/>
    </row>
    <row r="112" spans="4:35" ht="20.100000000000001" customHeight="1" x14ac:dyDescent="0.25">
      <c r="D112" s="114" t="s">
        <v>292</v>
      </c>
      <c r="U112" s="2" t="str" cm="1">
        <f t="array" ref="U112">EntericMethane_PastureBeef_Equations.VEERG_3_2_1_1__1_TotalAnnualMethaneFromEntericFermentation_Title()</f>
        <v>Total annual methane production from enteric fermentation in grazing beef cattle</v>
      </c>
    </row>
    <row r="113" spans="4:34" ht="20.100000000000001" customHeight="1" x14ac:dyDescent="0.25">
      <c r="D113" s="115" t="s">
        <v>293</v>
      </c>
    </row>
    <row r="114" spans="4:34" ht="20.100000000000001" customHeight="1" x14ac:dyDescent="0.25">
      <c r="D114" s="116" t="s">
        <v>78</v>
      </c>
      <c r="E114" s="117" t="s">
        <v>193</v>
      </c>
      <c r="F114" s="117" t="s">
        <v>194</v>
      </c>
      <c r="G114" s="117" t="s">
        <v>195</v>
      </c>
      <c r="H114" s="117" t="s">
        <v>196</v>
      </c>
      <c r="I114" s="117" t="s">
        <v>197</v>
      </c>
      <c r="J114" s="117" t="s">
        <v>198</v>
      </c>
      <c r="K114" s="117" t="s">
        <v>199</v>
      </c>
      <c r="L114" s="117" t="s">
        <v>200</v>
      </c>
      <c r="M114" s="117" t="s">
        <v>201</v>
      </c>
      <c r="N114" s="117" t="s">
        <v>202</v>
      </c>
      <c r="U114" s="114" t="s">
        <v>294</v>
      </c>
    </row>
    <row r="115" spans="4:34" ht="20.100000000000001" customHeight="1" x14ac:dyDescent="0.25">
      <c r="D115" s="25" t="s">
        <v>203</v>
      </c>
      <c r="E115" s="25" cm="1">
        <f t="array" aca="1" ref="E115:N118" ca="1">OFFSET(X_Table_PastureBeef_Duration_Method1,1,1,4,10)</f>
        <v>91.25</v>
      </c>
      <c r="F115" s="25">
        <f ca="1"/>
        <v>91.25</v>
      </c>
      <c r="G115" s="25">
        <f ca="1"/>
        <v>91.25</v>
      </c>
      <c r="H115" s="25">
        <f ca="1"/>
        <v>91.25</v>
      </c>
      <c r="I115" s="25">
        <f ca="1"/>
        <v>91.25</v>
      </c>
      <c r="J115" s="25">
        <f ca="1"/>
        <v>91.25</v>
      </c>
      <c r="K115" s="25">
        <f ca="1"/>
        <v>91.25</v>
      </c>
      <c r="L115" s="25">
        <f ca="1"/>
        <v>91.25</v>
      </c>
      <c r="M115" s="25">
        <f ca="1"/>
        <v>91.25</v>
      </c>
      <c r="N115" s="25">
        <f ca="1"/>
        <v>91.25</v>
      </c>
      <c r="O115" s="26" t="str">
        <f>G100</f>
        <v>days</v>
      </c>
      <c r="U115" s="115" t="s">
        <v>295</v>
      </c>
      <c r="AH115" s="26"/>
    </row>
    <row r="116" spans="4:34" ht="20.100000000000001" customHeight="1" x14ac:dyDescent="0.25">
      <c r="D116" s="25" t="s">
        <v>204</v>
      </c>
      <c r="E116" s="25">
        <f ca="1"/>
        <v>91.25</v>
      </c>
      <c r="F116" s="25">
        <f ca="1"/>
        <v>91.25</v>
      </c>
      <c r="G116" s="25">
        <f ca="1"/>
        <v>91.25</v>
      </c>
      <c r="H116" s="25">
        <f ca="1"/>
        <v>91.25</v>
      </c>
      <c r="I116" s="25">
        <f ca="1"/>
        <v>91.25</v>
      </c>
      <c r="J116" s="25">
        <f ca="1"/>
        <v>91.25</v>
      </c>
      <c r="K116" s="25">
        <f ca="1"/>
        <v>91.25</v>
      </c>
      <c r="L116" s="25">
        <f ca="1"/>
        <v>91.25</v>
      </c>
      <c r="M116" s="25">
        <f ca="1"/>
        <v>91.25</v>
      </c>
      <c r="N116" s="25">
        <f ca="1"/>
        <v>91.25</v>
      </c>
      <c r="O116" s="26"/>
      <c r="U116" s="116" t="s">
        <v>77</v>
      </c>
      <c r="V116" s="117" t="s">
        <v>193</v>
      </c>
      <c r="W116" s="117" t="s">
        <v>194</v>
      </c>
      <c r="X116" s="117" t="s">
        <v>195</v>
      </c>
      <c r="Y116" s="117" t="s">
        <v>196</v>
      </c>
      <c r="Z116" s="117" t="s">
        <v>197</v>
      </c>
      <c r="AA116" s="117" t="s">
        <v>198</v>
      </c>
      <c r="AB116" s="117" t="s">
        <v>199</v>
      </c>
      <c r="AC116" s="117" t="s">
        <v>200</v>
      </c>
      <c r="AD116" s="117" t="s">
        <v>201</v>
      </c>
      <c r="AE116" s="117" t="s">
        <v>202</v>
      </c>
      <c r="AF116" s="26"/>
      <c r="AH116" s="26"/>
    </row>
    <row r="117" spans="4:34" ht="20.100000000000001" customHeight="1" x14ac:dyDescent="0.25">
      <c r="D117" s="25" t="s">
        <v>205</v>
      </c>
      <c r="E117" s="25">
        <f ca="1"/>
        <v>91.25</v>
      </c>
      <c r="F117" s="25">
        <f ca="1"/>
        <v>91.25</v>
      </c>
      <c r="G117" s="25">
        <f ca="1"/>
        <v>91.25</v>
      </c>
      <c r="H117" s="25">
        <f ca="1"/>
        <v>91.25</v>
      </c>
      <c r="I117" s="25">
        <f ca="1"/>
        <v>91.25</v>
      </c>
      <c r="J117" s="25">
        <f ca="1"/>
        <v>91.25</v>
      </c>
      <c r="K117" s="25">
        <f ca="1"/>
        <v>91.25</v>
      </c>
      <c r="L117" s="25">
        <f ca="1"/>
        <v>91.25</v>
      </c>
      <c r="M117" s="25">
        <f ca="1"/>
        <v>91.25</v>
      </c>
      <c r="N117" s="25">
        <f ca="1"/>
        <v>91.25</v>
      </c>
      <c r="O117" s="26"/>
      <c r="U117" s="25" t="str">
        <f>TEXT('Input - Site'!$E$12, "mmmm yyyy")</f>
        <v>NO - Not in leaching zone</v>
      </c>
      <c r="V117" s="25" cm="1">
        <f t="array" aca="1" ref="V117:AE128" ca="1">OFFSET(X_Table_PastureBeef_Head_Method2,1,1,12,10)</f>
        <v>100</v>
      </c>
      <c r="W117" s="25">
        <f ca="1"/>
        <v>100</v>
      </c>
      <c r="X117" s="25">
        <f ca="1"/>
        <v>100</v>
      </c>
      <c r="Y117" s="25">
        <f ca="1"/>
        <v>100</v>
      </c>
      <c r="Z117" s="25">
        <f ca="1"/>
        <v>100</v>
      </c>
      <c r="AA117" s="25">
        <f ca="1"/>
        <v>100</v>
      </c>
      <c r="AB117" s="25">
        <f ca="1"/>
        <v>100</v>
      </c>
      <c r="AC117" s="25">
        <f ca="1"/>
        <v>100</v>
      </c>
      <c r="AD117" s="25">
        <f ca="1"/>
        <v>100</v>
      </c>
      <c r="AE117" s="25">
        <f ca="1"/>
        <v>100</v>
      </c>
      <c r="AF117" s="26" t="str">
        <f>$G$102</f>
        <v>head</v>
      </c>
      <c r="AH117" s="26"/>
    </row>
    <row r="118" spans="4:34" ht="20.100000000000001" customHeight="1" x14ac:dyDescent="0.25">
      <c r="D118" s="25" t="s">
        <v>206</v>
      </c>
      <c r="E118" s="25">
        <f ca="1"/>
        <v>91.25</v>
      </c>
      <c r="F118" s="25">
        <f ca="1"/>
        <v>91.25</v>
      </c>
      <c r="G118" s="25">
        <f ca="1"/>
        <v>91.25</v>
      </c>
      <c r="H118" s="25">
        <f ca="1"/>
        <v>91.25</v>
      </c>
      <c r="I118" s="25">
        <f ca="1"/>
        <v>91.25</v>
      </c>
      <c r="J118" s="25">
        <f ca="1"/>
        <v>91.25</v>
      </c>
      <c r="K118" s="25">
        <f ca="1"/>
        <v>91.25</v>
      </c>
      <c r="L118" s="25">
        <f ca="1"/>
        <v>91.25</v>
      </c>
      <c r="M118" s="25">
        <f ca="1"/>
        <v>91.25</v>
      </c>
      <c r="N118" s="25">
        <f ca="1"/>
        <v>91.25</v>
      </c>
      <c r="O118" s="26"/>
      <c r="U118" s="25" t="e">
        <f>TEXT(EDATE('Input - Site'!$E$12,1), "mmmm yyyy")</f>
        <v>#VALUE!</v>
      </c>
      <c r="V118" s="25">
        <f ca="1"/>
        <v>100</v>
      </c>
      <c r="W118" s="25">
        <f ca="1"/>
        <v>100</v>
      </c>
      <c r="X118" s="25">
        <f ca="1"/>
        <v>100</v>
      </c>
      <c r="Y118" s="25">
        <f ca="1"/>
        <v>100</v>
      </c>
      <c r="Z118" s="25">
        <f ca="1"/>
        <v>100</v>
      </c>
      <c r="AA118" s="25">
        <f ca="1"/>
        <v>100</v>
      </c>
      <c r="AB118" s="25">
        <f ca="1"/>
        <v>100</v>
      </c>
      <c r="AC118" s="25">
        <f ca="1"/>
        <v>100</v>
      </c>
      <c r="AD118" s="25">
        <f ca="1"/>
        <v>100</v>
      </c>
      <c r="AE118" s="25">
        <f ca="1"/>
        <v>100</v>
      </c>
      <c r="AF118" s="26"/>
      <c r="AH118" s="26"/>
    </row>
    <row r="119" spans="4:34" ht="20.100000000000001" customHeight="1" x14ac:dyDescent="0.25">
      <c r="U119" s="25" t="e">
        <f>TEXT(EDATE('Input - Site'!$E$12,2), "mmmm yyyy")</f>
        <v>#VALUE!</v>
      </c>
      <c r="V119" s="25">
        <f ca="1"/>
        <v>100</v>
      </c>
      <c r="W119" s="25">
        <f ca="1"/>
        <v>100</v>
      </c>
      <c r="X119" s="25">
        <f ca="1"/>
        <v>100</v>
      </c>
      <c r="Y119" s="25">
        <f ca="1"/>
        <v>100</v>
      </c>
      <c r="Z119" s="25">
        <f ca="1"/>
        <v>100</v>
      </c>
      <c r="AA119" s="25">
        <f ca="1"/>
        <v>100</v>
      </c>
      <c r="AB119" s="25">
        <f ca="1"/>
        <v>100</v>
      </c>
      <c r="AC119" s="25">
        <f ca="1"/>
        <v>100</v>
      </c>
      <c r="AD119" s="25">
        <f ca="1"/>
        <v>100</v>
      </c>
      <c r="AE119" s="25">
        <f ca="1"/>
        <v>100</v>
      </c>
      <c r="AF119" s="26"/>
      <c r="AH119" s="26"/>
    </row>
    <row r="120" spans="4:34" ht="20.100000000000001" customHeight="1" x14ac:dyDescent="0.25">
      <c r="D120" s="114" t="s">
        <v>296</v>
      </c>
      <c r="U120" s="25" t="e">
        <f>TEXT(EDATE('Input - Site'!$E$12,3), "mmmm yyyy")</f>
        <v>#VALUE!</v>
      </c>
      <c r="V120" s="25">
        <f ca="1"/>
        <v>100</v>
      </c>
      <c r="W120" s="25">
        <f ca="1"/>
        <v>100</v>
      </c>
      <c r="X120" s="25">
        <f ca="1"/>
        <v>100</v>
      </c>
      <c r="Y120" s="25">
        <f ca="1"/>
        <v>100</v>
      </c>
      <c r="Z120" s="25">
        <f ca="1"/>
        <v>100</v>
      </c>
      <c r="AA120" s="25">
        <f ca="1"/>
        <v>100</v>
      </c>
      <c r="AB120" s="25">
        <f ca="1"/>
        <v>100</v>
      </c>
      <c r="AC120" s="25">
        <f ca="1"/>
        <v>100</v>
      </c>
      <c r="AD120" s="25">
        <f ca="1"/>
        <v>100</v>
      </c>
      <c r="AE120" s="25">
        <f ca="1"/>
        <v>100</v>
      </c>
      <c r="AF120" s="26"/>
      <c r="AH120" s="26"/>
    </row>
    <row r="121" spans="4:34" ht="20.100000000000001" customHeight="1" x14ac:dyDescent="0.25">
      <c r="D121" s="115" t="s">
        <v>297</v>
      </c>
      <c r="U121" s="25" t="e">
        <f>TEXT(EDATE('Input - Site'!$E$12,4), "mmmm yyyy")</f>
        <v>#VALUE!</v>
      </c>
      <c r="V121" s="25">
        <f ca="1"/>
        <v>100</v>
      </c>
      <c r="W121" s="25">
        <f ca="1"/>
        <v>100</v>
      </c>
      <c r="X121" s="25">
        <f ca="1"/>
        <v>100</v>
      </c>
      <c r="Y121" s="25">
        <f ca="1"/>
        <v>100</v>
      </c>
      <c r="Z121" s="25">
        <f ca="1"/>
        <v>100</v>
      </c>
      <c r="AA121" s="25">
        <f ca="1"/>
        <v>100</v>
      </c>
      <c r="AB121" s="25">
        <f ca="1"/>
        <v>100</v>
      </c>
      <c r="AC121" s="25">
        <f ca="1"/>
        <v>100</v>
      </c>
      <c r="AD121" s="25">
        <f ca="1"/>
        <v>100</v>
      </c>
      <c r="AE121" s="25">
        <f ca="1"/>
        <v>100</v>
      </c>
      <c r="AF121" s="26"/>
      <c r="AH121" s="26"/>
    </row>
    <row r="122" spans="4:34" ht="20.100000000000001" customHeight="1" x14ac:dyDescent="0.25">
      <c r="D122" s="116" t="s">
        <v>78</v>
      </c>
      <c r="E122" s="116" t="s">
        <v>193</v>
      </c>
      <c r="F122" s="116" t="s">
        <v>194</v>
      </c>
      <c r="G122" s="116" t="s">
        <v>195</v>
      </c>
      <c r="H122" s="116" t="s">
        <v>196</v>
      </c>
      <c r="I122" s="116" t="s">
        <v>197</v>
      </c>
      <c r="J122" s="116" t="s">
        <v>198</v>
      </c>
      <c r="K122" s="116" t="s">
        <v>199</v>
      </c>
      <c r="L122" s="116" t="s">
        <v>200</v>
      </c>
      <c r="M122" s="116" t="s">
        <v>201</v>
      </c>
      <c r="N122" s="116" t="s">
        <v>202</v>
      </c>
      <c r="U122" s="25" t="e">
        <f>TEXT(EDATE('Input - Site'!$E$12,5), "mmmm yyyy")</f>
        <v>#VALUE!</v>
      </c>
      <c r="V122" s="25">
        <f ca="1"/>
        <v>100</v>
      </c>
      <c r="W122" s="25">
        <f ca="1"/>
        <v>100</v>
      </c>
      <c r="X122" s="25">
        <f ca="1"/>
        <v>100</v>
      </c>
      <c r="Y122" s="25">
        <f ca="1"/>
        <v>100</v>
      </c>
      <c r="Z122" s="25">
        <f ca="1"/>
        <v>100</v>
      </c>
      <c r="AA122" s="25">
        <f ca="1"/>
        <v>100</v>
      </c>
      <c r="AB122" s="25">
        <f ca="1"/>
        <v>100</v>
      </c>
      <c r="AC122" s="25">
        <f ca="1"/>
        <v>100</v>
      </c>
      <c r="AD122" s="25">
        <f ca="1"/>
        <v>100</v>
      </c>
      <c r="AE122" s="25">
        <f ca="1"/>
        <v>100</v>
      </c>
      <c r="AF122" s="26"/>
      <c r="AH122" s="26"/>
    </row>
    <row r="123" spans="4:34" ht="20.100000000000001" customHeight="1" x14ac:dyDescent="0.25">
      <c r="D123" s="25" t="s">
        <v>203</v>
      </c>
      <c r="E123" s="25" cm="1">
        <f t="array" aca="1" ref="E123" ca="1">EntericMethane_PastureBeef_Equations.VEERG_3_2_1_1__1_TotalAnnualMethaneFromEntericFermentation(E115,E85,E107)</f>
        <v>1.6378255171123202</v>
      </c>
      <c r="F123" s="25" cm="1">
        <f t="array" aca="1" ref="F123" ca="1">EntericMethane_PastureBeef_Equations.VEERG_3_2_1_1__1_TotalAnnualMethaneFromEntericFermentation(F115,F85,F107)</f>
        <v>2.3132108159718756</v>
      </c>
      <c r="G123" s="25" cm="1">
        <f t="array" aca="1" ref="G123" ca="1">EntericMethane_PastureBeef_Equations.VEERG_3_2_1_1__1_TotalAnnualMethaneFromEntericFermentation(G115,G85,G107)</f>
        <v>1.2483501632171887</v>
      </c>
      <c r="H123" s="25" cm="1">
        <f t="array" aca="1" ref="H123" ca="1">EntericMethane_PastureBeef_Equations.VEERG_3_2_1_1__1_TotalAnnualMethaneFromEntericFermentation(H115,H85,H107)</f>
        <v>1.638237135180139</v>
      </c>
      <c r="I123" s="25" cm="1">
        <f t="array" aca="1" ref="I123" ca="1">EntericMethane_PastureBeef_Equations.VEERG_3_2_1_1__1_TotalAnnualMethaneFromEntericFermentation(I115,I85,I107)</f>
        <v>1.8191928070395003</v>
      </c>
      <c r="J123" s="25" cm="1">
        <f t="array" aca="1" ref="J123" ca="1">EntericMethane_PastureBeef_Equations.VEERG_3_2_1_1__1_TotalAnnualMethaneFromEntericFermentation(J115,J85,J107)</f>
        <v>1.8191928070395003</v>
      </c>
      <c r="K123" s="25" cm="1">
        <f t="array" aca="1" ref="K123" ca="1">EntericMethane_PastureBeef_Equations.VEERG_3_2_1_1__1_TotalAnnualMethaneFromEntericFermentation(K115,K85,K107)</f>
        <v>1.4391822346998746</v>
      </c>
      <c r="L123" s="25" cm="1">
        <f t="array" aca="1" ref="L123" ca="1">EntericMethane_PastureBeef_Equations.VEERG_3_2_1_1__1_TotalAnnualMethaneFromEntericFermentation(L115,L85,L107)</f>
        <v>1.8288896104633945</v>
      </c>
      <c r="M123" s="25" cm="1">
        <f t="array" aca="1" ref="M123" ca="1">EntericMethane_PastureBeef_Equations.VEERG_3_2_1_1__1_TotalAnnualMethaneFromEntericFermentation(M115,M85,M107)</f>
        <v>1.8288896104633945</v>
      </c>
      <c r="N123" s="25" cm="1">
        <f t="array" aca="1" ref="N123" ca="1">EntericMethane_PastureBeef_Equations.VEERG_3_2_1_1__1_TotalAnnualMethaneFromEntericFermentation(N115,N85,N107)</f>
        <v>1.8288896104633945</v>
      </c>
      <c r="O123" s="26" t="str">
        <f>E98</f>
        <v>t CH4</v>
      </c>
      <c r="Q123" s="26"/>
      <c r="U123" s="25" t="e">
        <f>TEXT(EDATE('Input - Site'!$E$12,6), "mmmm yyyy")</f>
        <v>#VALUE!</v>
      </c>
      <c r="V123" s="25">
        <f ca="1"/>
        <v>100</v>
      </c>
      <c r="W123" s="25">
        <f ca="1"/>
        <v>100</v>
      </c>
      <c r="X123" s="25">
        <f ca="1"/>
        <v>100</v>
      </c>
      <c r="Y123" s="25">
        <f ca="1"/>
        <v>100</v>
      </c>
      <c r="Z123" s="25">
        <f ca="1"/>
        <v>100</v>
      </c>
      <c r="AA123" s="25">
        <f ca="1"/>
        <v>100</v>
      </c>
      <c r="AB123" s="25">
        <f ca="1"/>
        <v>100</v>
      </c>
      <c r="AC123" s="25">
        <f ca="1"/>
        <v>100</v>
      </c>
      <c r="AD123" s="25">
        <f ca="1"/>
        <v>100</v>
      </c>
      <c r="AE123" s="25">
        <f ca="1"/>
        <v>100</v>
      </c>
      <c r="AF123" s="26"/>
      <c r="AH123" s="26"/>
    </row>
    <row r="124" spans="4:34" ht="20.100000000000001" customHeight="1" x14ac:dyDescent="0.25">
      <c r="D124" s="25" t="s">
        <v>204</v>
      </c>
      <c r="E124" s="25" cm="1">
        <f t="array" aca="1" ref="E124" ca="1">EntericMethane_PastureBeef_Equations.VEERG_3_2_1_1__1_TotalAnnualMethaneFromEntericFermentation(E116,E86,E108)</f>
        <v>1.3499513262943192</v>
      </c>
      <c r="F124" s="25" cm="1">
        <f t="array" aca="1" ref="F124" ca="1">EntericMethane_PastureBeef_Equations.VEERG_3_2_1_1__1_TotalAnnualMethaneFromEntericFermentation(F116,F86,F108)</f>
        <v>1.7861190673549951</v>
      </c>
      <c r="G124" s="25" cm="1">
        <f t="array" aca="1" ref="G124" ca="1">EntericMethane_PastureBeef_Equations.VEERG_3_2_1_1__1_TotalAnnualMethaneFromEntericFermentation(G116,G86,G108)</f>
        <v>1.1352785803019998</v>
      </c>
      <c r="H124" s="25" cm="1">
        <f t="array" aca="1" ref="H124" ca="1">EntericMethane_PastureBeef_Equations.VEERG_3_2_1_1__1_TotalAnnualMethaneFromEntericFermentation(H116,H86,H108)</f>
        <v>1.486648456930969</v>
      </c>
      <c r="I124" s="25" cm="1">
        <f t="array" aca="1" ref="I124" ca="1">EntericMethane_PastureBeef_Equations.VEERG_3_2_1_1__1_TotalAnnualMethaneFromEntericFermentation(I116,I86,I108)</f>
        <v>1.4719638763366196</v>
      </c>
      <c r="J124" s="25" cm="1">
        <f t="array" aca="1" ref="J124" ca="1">EntericMethane_PastureBeef_Equations.VEERG_3_2_1_1__1_TotalAnnualMethaneFromEntericFermentation(J116,J86,J108)</f>
        <v>1.4719638763366196</v>
      </c>
      <c r="K124" s="25" cm="1">
        <f t="array" aca="1" ref="K124" ca="1">EntericMethane_PastureBeef_Equations.VEERG_3_2_1_1__1_TotalAnnualMethaneFromEntericFermentation(K116,K86,K108)</f>
        <v>1.2443230185343197</v>
      </c>
      <c r="L124" s="25" cm="1">
        <f t="array" aca="1" ref="L124" ca="1">EntericMethane_PastureBeef_Equations.VEERG_3_2_1_1__1_TotalAnnualMethaneFromEntericFermentation(L116,L86,L108)</f>
        <v>1.3870141792213391</v>
      </c>
      <c r="M124" s="25" cm="1">
        <f t="array" aca="1" ref="M124" ca="1">EntericMethane_PastureBeef_Equations.VEERG_3_2_1_1__1_TotalAnnualMethaneFromEntericFermentation(M116,M86,M108)</f>
        <v>1.3870141792213391</v>
      </c>
      <c r="N124" s="25" cm="1">
        <f t="array" aca="1" ref="N124" ca="1">EntericMethane_PastureBeef_Equations.VEERG_3_2_1_1__1_TotalAnnualMethaneFromEntericFermentation(N116,N86,N108)</f>
        <v>1.3870141792213391</v>
      </c>
      <c r="O124" s="26"/>
      <c r="Q124" s="26"/>
      <c r="U124" s="25" t="e">
        <f>TEXT(EDATE('Input - Site'!$E$12,7), "mmmm yyyy")</f>
        <v>#VALUE!</v>
      </c>
      <c r="V124" s="25">
        <f ca="1"/>
        <v>100</v>
      </c>
      <c r="W124" s="25">
        <f ca="1"/>
        <v>100</v>
      </c>
      <c r="X124" s="25">
        <f ca="1"/>
        <v>100</v>
      </c>
      <c r="Y124" s="25">
        <f ca="1"/>
        <v>100</v>
      </c>
      <c r="Z124" s="25">
        <f ca="1"/>
        <v>100</v>
      </c>
      <c r="AA124" s="25">
        <f ca="1"/>
        <v>100</v>
      </c>
      <c r="AB124" s="25">
        <f ca="1"/>
        <v>100</v>
      </c>
      <c r="AC124" s="25">
        <f ca="1"/>
        <v>100</v>
      </c>
      <c r="AD124" s="25">
        <f ca="1"/>
        <v>100</v>
      </c>
      <c r="AE124" s="25">
        <f ca="1"/>
        <v>100</v>
      </c>
      <c r="AF124" s="26"/>
      <c r="AH124" s="26"/>
    </row>
    <row r="125" spans="4:34" ht="20.100000000000001" customHeight="1" x14ac:dyDescent="0.25">
      <c r="D125" s="25" t="s">
        <v>205</v>
      </c>
      <c r="E125" s="25" cm="1">
        <f t="array" aca="1" ref="E125" ca="1">EntericMethane_PastureBeef_Equations.VEERG_3_2_1_1__1_TotalAnnualMethaneFromEntericFermentation(E117,E87,E109)</f>
        <v>0.61335624555000001</v>
      </c>
      <c r="F125" s="25" cm="1">
        <f t="array" aca="1" ref="F125" ca="1">EntericMethane_PastureBeef_Equations.VEERG_3_2_1_1__1_TotalAnnualMethaneFromEntericFermentation(F117,F87,F109)</f>
        <v>1.7801994082822199</v>
      </c>
      <c r="G125" s="25" cm="1">
        <f t="array" aca="1" ref="G125" ca="1">EntericMethane_PastureBeef_Equations.VEERG_3_2_1_1__1_TotalAnnualMethaneFromEntericFermentation(G117,G87,G109)</f>
        <v>0.55916871211511998</v>
      </c>
      <c r="H125" s="25" cm="1">
        <f t="array" aca="1" ref="H125" ca="1">EntericMethane_PastureBeef_Equations.VEERG_3_2_1_1__1_TotalAnnualMethaneFromEntericFermentation(H117,H87,H109)</f>
        <v>1.1253534827611948</v>
      </c>
      <c r="I125" s="25" cm="1">
        <f t="array" aca="1" ref="I125" ca="1">EntericMethane_PastureBeef_Equations.VEERG_3_2_1_1__1_TotalAnnualMethaneFromEntericFermentation(I117,I87,I109)</f>
        <v>1.2689457429779887</v>
      </c>
      <c r="J125" s="25" cm="1">
        <f t="array" aca="1" ref="J125" ca="1">EntericMethane_PastureBeef_Equations.VEERG_3_2_1_1__1_TotalAnnualMethaneFromEntericFermentation(J117,J87,J109)</f>
        <v>1.2689457429779887</v>
      </c>
      <c r="K125" s="25" cm="1">
        <f t="array" aca="1" ref="K125" ca="1">EntericMethane_PastureBeef_Equations.VEERG_3_2_1_1__1_TotalAnnualMethaneFromEntericFermentation(K117,K87,K109)</f>
        <v>0.61335624555000001</v>
      </c>
      <c r="L125" s="25" cm="1">
        <f t="array" aca="1" ref="L125" ca="1">EntericMethane_PastureBeef_Equations.VEERG_3_2_1_1__1_TotalAnnualMethaneFromEntericFermentation(L117,L87,L109)</f>
        <v>1.1135632576102203</v>
      </c>
      <c r="M125" s="25" cm="1">
        <f t="array" aca="1" ref="M125" ca="1">EntericMethane_PastureBeef_Equations.VEERG_3_2_1_1__1_TotalAnnualMethaneFromEntericFermentation(M117,M87,M109)</f>
        <v>1.1135632576102203</v>
      </c>
      <c r="N125" s="25" cm="1">
        <f t="array" aca="1" ref="N125" ca="1">EntericMethane_PastureBeef_Equations.VEERG_3_2_1_1__1_TotalAnnualMethaneFromEntericFermentation(N117,N87,N109)</f>
        <v>1.1135632576102203</v>
      </c>
      <c r="O125" s="26"/>
      <c r="Q125" s="26"/>
      <c r="U125" s="25" t="e">
        <f>TEXT(EDATE('Input - Site'!$E$12,8), "mmmm yyyy")</f>
        <v>#VALUE!</v>
      </c>
      <c r="V125" s="25">
        <f ca="1"/>
        <v>100</v>
      </c>
      <c r="W125" s="25">
        <f ca="1"/>
        <v>100</v>
      </c>
      <c r="X125" s="25">
        <f ca="1"/>
        <v>100</v>
      </c>
      <c r="Y125" s="25">
        <f ca="1"/>
        <v>100</v>
      </c>
      <c r="Z125" s="25">
        <f ca="1"/>
        <v>100</v>
      </c>
      <c r="AA125" s="25">
        <f ca="1"/>
        <v>100</v>
      </c>
      <c r="AB125" s="25">
        <f ca="1"/>
        <v>100</v>
      </c>
      <c r="AC125" s="25">
        <f ca="1"/>
        <v>100</v>
      </c>
      <c r="AD125" s="25">
        <f ca="1"/>
        <v>100</v>
      </c>
      <c r="AE125" s="25">
        <f ca="1"/>
        <v>100</v>
      </c>
      <c r="AF125" s="26"/>
      <c r="AH125" s="26"/>
    </row>
    <row r="126" spans="4:34" ht="20.100000000000001" customHeight="1" x14ac:dyDescent="0.25">
      <c r="D126" s="25" t="s">
        <v>206</v>
      </c>
      <c r="E126" s="25" cm="1">
        <f t="array" aca="1" ref="E126" ca="1">EntericMethane_PastureBeef_Equations.VEERG_3_2_1_1__1_TotalAnnualMethaneFromEntericFermentation(E118,E88,E110)</f>
        <v>0.96954028006048887</v>
      </c>
      <c r="F126" s="25" cm="1">
        <f t="array" aca="1" ref="F126" ca="1">EntericMethane_PastureBeef_Equations.VEERG_3_2_1_1__1_TotalAnnualMethaneFromEntericFermentation(F118,F88,F110)</f>
        <v>1.8841261585848745</v>
      </c>
      <c r="G126" s="25" cm="1">
        <f t="array" aca="1" ref="G126" ca="1">EntericMethane_PastureBeef_Equations.VEERG_3_2_1_1__1_TotalAnnualMethaneFromEntericFermentation(G118,G88,G110)</f>
        <v>0.79383844115971891</v>
      </c>
      <c r="H126" s="25" cm="1">
        <f t="array" aca="1" ref="H126" ca="1">EntericMethane_PastureBeef_Equations.VEERG_3_2_1_1__1_TotalAnnualMethaneFromEntericFermentation(H118,H88,H110)</f>
        <v>1.1196897372566892</v>
      </c>
      <c r="I126" s="25" cm="1">
        <f t="array" aca="1" ref="I126" ca="1">EntericMethane_PastureBeef_Equations.VEERG_3_2_1_1__1_TotalAnnualMethaneFromEntericFermentation(I118,I88,I110)</f>
        <v>1.5020983017638887</v>
      </c>
      <c r="J126" s="25" cm="1">
        <f t="array" aca="1" ref="J126" ca="1">EntericMethane_PastureBeef_Equations.VEERG_3_2_1_1__1_TotalAnnualMethaneFromEntericFermentation(J118,J88,J110)</f>
        <v>1.5020983017638887</v>
      </c>
      <c r="K126" s="25" cm="1">
        <f t="array" aca="1" ref="K126" ca="1">EntericMethane_PastureBeef_Equations.VEERG_3_2_1_1__1_TotalAnnualMethaneFromEntericFermentation(K118,K88,K110)</f>
        <v>0.8523110452909386</v>
      </c>
      <c r="L126" s="25" cm="1">
        <f t="array" aca="1" ref="L126" ca="1">EntericMethane_PastureBeef_Equations.VEERG_3_2_1_1__1_TotalAnnualMethaneFromEntericFermentation(L118,L88,L110)</f>
        <v>1.2976289206207199</v>
      </c>
      <c r="M126" s="25" cm="1">
        <f t="array" aca="1" ref="M126" ca="1">EntericMethane_PastureBeef_Equations.VEERG_3_2_1_1__1_TotalAnnualMethaneFromEntericFermentation(M118,M88,M110)</f>
        <v>1.2976289206207199</v>
      </c>
      <c r="N126" s="25" cm="1">
        <f t="array" aca="1" ref="N126" ca="1">EntericMethane_PastureBeef_Equations.VEERG_3_2_1_1__1_TotalAnnualMethaneFromEntericFermentation(N118,N88,N110)</f>
        <v>1.2976289206207199</v>
      </c>
      <c r="O126" s="26"/>
      <c r="Q126" s="26"/>
      <c r="U126" s="25" t="e">
        <f>TEXT(EDATE('Input - Site'!$E$12,9), "mmmm yyyy")</f>
        <v>#VALUE!</v>
      </c>
      <c r="V126" s="25">
        <f ca="1"/>
        <v>100</v>
      </c>
      <c r="W126" s="25">
        <f ca="1"/>
        <v>100</v>
      </c>
      <c r="X126" s="25">
        <f ca="1"/>
        <v>100</v>
      </c>
      <c r="Y126" s="25">
        <f ca="1"/>
        <v>100</v>
      </c>
      <c r="Z126" s="25">
        <f ca="1"/>
        <v>100</v>
      </c>
      <c r="AA126" s="25">
        <f ca="1"/>
        <v>100</v>
      </c>
      <c r="AB126" s="25">
        <f ca="1"/>
        <v>100</v>
      </c>
      <c r="AC126" s="25">
        <f ca="1"/>
        <v>100</v>
      </c>
      <c r="AD126" s="25">
        <f ca="1"/>
        <v>100</v>
      </c>
      <c r="AE126" s="25">
        <f ca="1"/>
        <v>100</v>
      </c>
      <c r="AF126" s="26"/>
      <c r="AH126" s="26"/>
    </row>
    <row r="127" spans="4:34" ht="20.100000000000001" customHeight="1" x14ac:dyDescent="0.25">
      <c r="Q127" s="26"/>
      <c r="U127" s="25" t="e">
        <f>TEXT(EDATE('Input - Site'!$E$12,10), "mmmm yyyy")</f>
        <v>#VALUE!</v>
      </c>
      <c r="V127" s="25">
        <f ca="1"/>
        <v>100</v>
      </c>
      <c r="W127" s="25">
        <f ca="1"/>
        <v>100</v>
      </c>
      <c r="X127" s="25">
        <f ca="1"/>
        <v>100</v>
      </c>
      <c r="Y127" s="25">
        <f ca="1"/>
        <v>100</v>
      </c>
      <c r="Z127" s="25">
        <f ca="1"/>
        <v>100</v>
      </c>
      <c r="AA127" s="25">
        <f ca="1"/>
        <v>100</v>
      </c>
      <c r="AB127" s="25">
        <f ca="1"/>
        <v>100</v>
      </c>
      <c r="AC127" s="25">
        <f ca="1"/>
        <v>100</v>
      </c>
      <c r="AD127" s="25">
        <f ca="1"/>
        <v>100</v>
      </c>
      <c r="AE127" s="25">
        <f ca="1"/>
        <v>100</v>
      </c>
      <c r="AF127" s="26"/>
    </row>
    <row r="128" spans="4:34" ht="20.100000000000001" customHeight="1" x14ac:dyDescent="0.25">
      <c r="D128" s="119" t="s">
        <v>298</v>
      </c>
      <c r="E128" s="120">
        <f ca="1">SUM(E123:N126)</f>
        <v>54.595755432192263</v>
      </c>
      <c r="F128" s="121" t="str">
        <f>$E$98</f>
        <v>t CH4</v>
      </c>
      <c r="Q128" s="26"/>
      <c r="U128" s="25" t="e">
        <f>TEXT(EDATE('Input - Site'!$E$12,11), "mmmm yyyy")</f>
        <v>#VALUE!</v>
      </c>
      <c r="V128" s="25">
        <f ca="1"/>
        <v>100</v>
      </c>
      <c r="W128" s="25">
        <f ca="1"/>
        <v>100</v>
      </c>
      <c r="X128" s="25">
        <f ca="1"/>
        <v>100</v>
      </c>
      <c r="Y128" s="25">
        <f ca="1"/>
        <v>100</v>
      </c>
      <c r="Z128" s="25">
        <f ca="1"/>
        <v>100</v>
      </c>
      <c r="AA128" s="25">
        <f ca="1"/>
        <v>100</v>
      </c>
      <c r="AB128" s="25">
        <f ca="1"/>
        <v>100</v>
      </c>
      <c r="AC128" s="25">
        <f ca="1"/>
        <v>100</v>
      </c>
      <c r="AD128" s="25">
        <f ca="1"/>
        <v>100</v>
      </c>
      <c r="AE128" s="25">
        <f ca="1"/>
        <v>100</v>
      </c>
      <c r="AF128" s="26"/>
    </row>
    <row r="129" spans="4:34" ht="20.100000000000001" customHeight="1" x14ac:dyDescent="0.25">
      <c r="Q129" s="26"/>
    </row>
    <row r="130" spans="4:34" ht="20.100000000000001" customHeight="1" x14ac:dyDescent="0.25">
      <c r="D130" s="122" t="str" cm="1">
        <f t="array" ref="D130:E131">Common_Equations.Common_ConvertCH4ToCO2e_Arguments()</f>
        <v>ECH4</v>
      </c>
      <c r="E130" s="123" t="str">
        <v>Methane emissions (t CH4)</v>
      </c>
      <c r="F130" s="124"/>
      <c r="G130" s="25">
        <f ca="1">E128</f>
        <v>54.595755432192263</v>
      </c>
      <c r="Q130" s="26"/>
      <c r="U130" s="114" t="s">
        <v>299</v>
      </c>
    </row>
    <row r="131" spans="4:34" ht="20.100000000000001" customHeight="1" x14ac:dyDescent="0.25">
      <c r="D131" s="122" t="str">
        <v>GWPCH4</v>
      </c>
      <c r="E131" s="123" t="str">
        <v>Global warming potential for methane (t CO2-e / t CH4)</v>
      </c>
      <c r="F131" s="124"/>
      <c r="G131" s="25">
        <f>Common_InputFunctions.Utility_LookupValueInTableNumber("CH4",Table_GWPData[Gas],Table_GWPData[CO2-e factor])</f>
        <v>28</v>
      </c>
      <c r="U131" s="115" t="s">
        <v>300</v>
      </c>
      <c r="AH131" s="26"/>
    </row>
    <row r="132" spans="4:34" ht="20.100000000000001" customHeight="1" x14ac:dyDescent="0.25">
      <c r="U132" s="116" t="s">
        <v>77</v>
      </c>
      <c r="V132" s="117" t="s">
        <v>193</v>
      </c>
      <c r="W132" s="117" t="s">
        <v>194</v>
      </c>
      <c r="X132" s="117" t="s">
        <v>195</v>
      </c>
      <c r="Y132" s="117" t="s">
        <v>196</v>
      </c>
      <c r="Z132" s="117" t="s">
        <v>197</v>
      </c>
      <c r="AA132" s="117" t="s">
        <v>198</v>
      </c>
      <c r="AB132" s="117" t="s">
        <v>199</v>
      </c>
      <c r="AC132" s="117" t="s">
        <v>200</v>
      </c>
      <c r="AD132" s="117" t="s">
        <v>201</v>
      </c>
      <c r="AE132" s="117" t="s">
        <v>202</v>
      </c>
      <c r="AF132" s="26"/>
      <c r="AH132" s="26"/>
    </row>
    <row r="133" spans="4:34" ht="20.100000000000001" customHeight="1" x14ac:dyDescent="0.25">
      <c r="D133" s="118" t="s">
        <v>301</v>
      </c>
      <c r="E133" s="118" cm="1">
        <f t="array" aca="1" ref="E133" ca="1">Common_Equations.Common_ConvertN2OToCO2e(G130,G131)</f>
        <v>1528.6811521013833</v>
      </c>
      <c r="F133" s="125" t="str" cm="1">
        <f t="array" ref="F133">Common_Equations.Common_ConvertN2OToCO2e_Unit()</f>
        <v>t CO2e</v>
      </c>
      <c r="U133" s="25" t="str">
        <f>TEXT('Input - Site'!$E$12, "mmmm yyyy")</f>
        <v>NO - Not in leaching zone</v>
      </c>
      <c r="V133" s="25" cm="1">
        <f t="array" aca="1" ref="V133:AE144" ca="1">OFFSET(X_Table_PastureBeef_Duration_Method2,1,1,12,10)</f>
        <v>31</v>
      </c>
      <c r="W133" s="25">
        <f ca="1"/>
        <v>31</v>
      </c>
      <c r="X133" s="25">
        <f ca="1"/>
        <v>31</v>
      </c>
      <c r="Y133" s="25">
        <f ca="1"/>
        <v>31</v>
      </c>
      <c r="Z133" s="25">
        <f ca="1"/>
        <v>31</v>
      </c>
      <c r="AA133" s="25">
        <f ca="1"/>
        <v>31</v>
      </c>
      <c r="AB133" s="25">
        <f ca="1"/>
        <v>31</v>
      </c>
      <c r="AC133" s="25">
        <f ca="1"/>
        <v>31</v>
      </c>
      <c r="AD133" s="25">
        <f ca="1"/>
        <v>31</v>
      </c>
      <c r="AE133" s="25">
        <f ca="1"/>
        <v>31</v>
      </c>
      <c r="AF133" s="26" t="str">
        <f>$G$100</f>
        <v>days</v>
      </c>
      <c r="AH133" s="26"/>
    </row>
    <row r="134" spans="4:34" ht="20.100000000000001" customHeight="1" x14ac:dyDescent="0.25">
      <c r="U134" s="25" t="e">
        <f>TEXT(EDATE('Input - Site'!$E$12,1), "mmmm yyyy")</f>
        <v>#VALUE!</v>
      </c>
      <c r="V134" s="25">
        <f ca="1"/>
        <v>29</v>
      </c>
      <c r="W134" s="25">
        <f ca="1"/>
        <v>29</v>
      </c>
      <c r="X134" s="25">
        <f ca="1"/>
        <v>29</v>
      </c>
      <c r="Y134" s="25">
        <f ca="1"/>
        <v>29</v>
      </c>
      <c r="Z134" s="25">
        <f ca="1"/>
        <v>29</v>
      </c>
      <c r="AA134" s="25">
        <f ca="1"/>
        <v>29</v>
      </c>
      <c r="AB134" s="25">
        <f ca="1"/>
        <v>29</v>
      </c>
      <c r="AC134" s="25">
        <f ca="1"/>
        <v>29</v>
      </c>
      <c r="AD134" s="25">
        <f ca="1"/>
        <v>29</v>
      </c>
      <c r="AE134" s="25">
        <f ca="1"/>
        <v>29</v>
      </c>
      <c r="AF134" s="26"/>
      <c r="AH134" s="26"/>
    </row>
    <row r="135" spans="4:34" ht="20.100000000000001" customHeight="1" x14ac:dyDescent="0.25">
      <c r="U135" s="25" t="e">
        <f>TEXT(EDATE('Input - Site'!$E$12,2), "mmmm yyyy")</f>
        <v>#VALUE!</v>
      </c>
      <c r="V135" s="25">
        <f ca="1"/>
        <v>31</v>
      </c>
      <c r="W135" s="25">
        <f ca="1"/>
        <v>31</v>
      </c>
      <c r="X135" s="25">
        <f ca="1"/>
        <v>31</v>
      </c>
      <c r="Y135" s="25">
        <f ca="1"/>
        <v>31</v>
      </c>
      <c r="Z135" s="25">
        <f ca="1"/>
        <v>31</v>
      </c>
      <c r="AA135" s="25">
        <f ca="1"/>
        <v>31</v>
      </c>
      <c r="AB135" s="25">
        <f ca="1"/>
        <v>31</v>
      </c>
      <c r="AC135" s="25">
        <f ca="1"/>
        <v>31</v>
      </c>
      <c r="AD135" s="25">
        <f ca="1"/>
        <v>31</v>
      </c>
      <c r="AE135" s="25">
        <f ca="1"/>
        <v>31</v>
      </c>
      <c r="AF135" s="26"/>
      <c r="AH135" s="26"/>
    </row>
    <row r="136" spans="4:34" ht="20.100000000000001" customHeight="1" x14ac:dyDescent="0.25">
      <c r="U136" s="25" t="e">
        <f>TEXT(EDATE('Input - Site'!$E$12,3), "mmmm yyyy")</f>
        <v>#VALUE!</v>
      </c>
      <c r="V136" s="25">
        <f ca="1"/>
        <v>30</v>
      </c>
      <c r="W136" s="25">
        <f ca="1"/>
        <v>30</v>
      </c>
      <c r="X136" s="25">
        <f ca="1"/>
        <v>30</v>
      </c>
      <c r="Y136" s="25">
        <f ca="1"/>
        <v>30</v>
      </c>
      <c r="Z136" s="25">
        <f ca="1"/>
        <v>30</v>
      </c>
      <c r="AA136" s="25">
        <f ca="1"/>
        <v>30</v>
      </c>
      <c r="AB136" s="25">
        <f ca="1"/>
        <v>30</v>
      </c>
      <c r="AC136" s="25">
        <f ca="1"/>
        <v>30</v>
      </c>
      <c r="AD136" s="25">
        <f ca="1"/>
        <v>30</v>
      </c>
      <c r="AE136" s="25">
        <f ca="1"/>
        <v>30</v>
      </c>
      <c r="AF136" s="26"/>
      <c r="AH136" s="26"/>
    </row>
    <row r="137" spans="4:34" ht="20.100000000000001" customHeight="1" x14ac:dyDescent="0.25">
      <c r="U137" s="25" t="e">
        <f>TEXT(EDATE('Input - Site'!$E$12,4), "mmmm yyyy")</f>
        <v>#VALUE!</v>
      </c>
      <c r="V137" s="25">
        <f ca="1"/>
        <v>31</v>
      </c>
      <c r="W137" s="25">
        <f ca="1"/>
        <v>31</v>
      </c>
      <c r="X137" s="25">
        <f ca="1"/>
        <v>31</v>
      </c>
      <c r="Y137" s="25">
        <f ca="1"/>
        <v>31</v>
      </c>
      <c r="Z137" s="25">
        <f ca="1"/>
        <v>31</v>
      </c>
      <c r="AA137" s="25">
        <f ca="1"/>
        <v>31</v>
      </c>
      <c r="AB137" s="25">
        <f ca="1"/>
        <v>31</v>
      </c>
      <c r="AC137" s="25">
        <f ca="1"/>
        <v>31</v>
      </c>
      <c r="AD137" s="25">
        <f ca="1"/>
        <v>31</v>
      </c>
      <c r="AE137" s="25">
        <f ca="1"/>
        <v>31</v>
      </c>
      <c r="AF137" s="26"/>
      <c r="AH137" s="26"/>
    </row>
    <row r="138" spans="4:34" ht="20.100000000000001" customHeight="1" x14ac:dyDescent="0.25">
      <c r="U138" s="25" t="e">
        <f>TEXT(EDATE('Input - Site'!$E$12,5), "mmmm yyyy")</f>
        <v>#VALUE!</v>
      </c>
      <c r="V138" s="25">
        <f ca="1"/>
        <v>30</v>
      </c>
      <c r="W138" s="25">
        <f ca="1"/>
        <v>30</v>
      </c>
      <c r="X138" s="25">
        <f ca="1"/>
        <v>30</v>
      </c>
      <c r="Y138" s="25">
        <f ca="1"/>
        <v>30</v>
      </c>
      <c r="Z138" s="25">
        <f ca="1"/>
        <v>30</v>
      </c>
      <c r="AA138" s="25">
        <f ca="1"/>
        <v>30</v>
      </c>
      <c r="AB138" s="25">
        <f ca="1"/>
        <v>30</v>
      </c>
      <c r="AC138" s="25">
        <f ca="1"/>
        <v>30</v>
      </c>
      <c r="AD138" s="25">
        <f ca="1"/>
        <v>30</v>
      </c>
      <c r="AE138" s="25">
        <f ca="1"/>
        <v>30</v>
      </c>
      <c r="AF138" s="26"/>
      <c r="AH138" s="26"/>
    </row>
    <row r="139" spans="4:34" ht="20.100000000000001" customHeight="1" x14ac:dyDescent="0.25">
      <c r="U139" s="25" t="e">
        <f>TEXT(EDATE('Input - Site'!$E$12,6), "mmmm yyyy")</f>
        <v>#VALUE!</v>
      </c>
      <c r="V139" s="25">
        <f ca="1"/>
        <v>31</v>
      </c>
      <c r="W139" s="25">
        <f ca="1"/>
        <v>31</v>
      </c>
      <c r="X139" s="25">
        <f ca="1"/>
        <v>31</v>
      </c>
      <c r="Y139" s="25">
        <f ca="1"/>
        <v>31</v>
      </c>
      <c r="Z139" s="25">
        <f ca="1"/>
        <v>31</v>
      </c>
      <c r="AA139" s="25">
        <f ca="1"/>
        <v>31</v>
      </c>
      <c r="AB139" s="25">
        <f ca="1"/>
        <v>31</v>
      </c>
      <c r="AC139" s="25">
        <f ca="1"/>
        <v>31</v>
      </c>
      <c r="AD139" s="25">
        <f ca="1"/>
        <v>31</v>
      </c>
      <c r="AE139" s="25">
        <f ca="1"/>
        <v>31</v>
      </c>
      <c r="AF139" s="26"/>
      <c r="AH139" s="26"/>
    </row>
    <row r="140" spans="4:34" ht="20.100000000000001" customHeight="1" x14ac:dyDescent="0.25">
      <c r="U140" s="25" t="e">
        <f>TEXT(EDATE('Input - Site'!$E$12,7), "mmmm yyyy")</f>
        <v>#VALUE!</v>
      </c>
      <c r="V140" s="25">
        <f ca="1"/>
        <v>31</v>
      </c>
      <c r="W140" s="25">
        <f ca="1"/>
        <v>31</v>
      </c>
      <c r="X140" s="25">
        <f ca="1"/>
        <v>31</v>
      </c>
      <c r="Y140" s="25">
        <f ca="1"/>
        <v>31</v>
      </c>
      <c r="Z140" s="25">
        <f ca="1"/>
        <v>31</v>
      </c>
      <c r="AA140" s="25">
        <f ca="1"/>
        <v>31</v>
      </c>
      <c r="AB140" s="25">
        <f ca="1"/>
        <v>31</v>
      </c>
      <c r="AC140" s="25">
        <f ca="1"/>
        <v>31</v>
      </c>
      <c r="AD140" s="25">
        <f ca="1"/>
        <v>31</v>
      </c>
      <c r="AE140" s="25">
        <f ca="1"/>
        <v>31</v>
      </c>
      <c r="AF140" s="26"/>
      <c r="AH140" s="26"/>
    </row>
    <row r="141" spans="4:34" ht="20.100000000000001" customHeight="1" x14ac:dyDescent="0.25">
      <c r="U141" s="25" t="e">
        <f>TEXT(EDATE('Input - Site'!$E$12,8), "mmmm yyyy")</f>
        <v>#VALUE!</v>
      </c>
      <c r="V141" s="25">
        <f ca="1"/>
        <v>30</v>
      </c>
      <c r="W141" s="25">
        <f ca="1"/>
        <v>30</v>
      </c>
      <c r="X141" s="25">
        <f ca="1"/>
        <v>30</v>
      </c>
      <c r="Y141" s="25">
        <f ca="1"/>
        <v>30</v>
      </c>
      <c r="Z141" s="25">
        <f ca="1"/>
        <v>30</v>
      </c>
      <c r="AA141" s="25">
        <f ca="1"/>
        <v>30</v>
      </c>
      <c r="AB141" s="25">
        <f ca="1"/>
        <v>30</v>
      </c>
      <c r="AC141" s="25">
        <f ca="1"/>
        <v>30</v>
      </c>
      <c r="AD141" s="25">
        <f ca="1"/>
        <v>30</v>
      </c>
      <c r="AE141" s="25">
        <f ca="1"/>
        <v>30</v>
      </c>
      <c r="AF141" s="26"/>
      <c r="AH141" s="26"/>
    </row>
    <row r="142" spans="4:34" ht="20.100000000000001" customHeight="1" x14ac:dyDescent="0.25">
      <c r="U142" s="25" t="e">
        <f>TEXT(EDATE('Input - Site'!$E$12,9), "mmmm yyyy")</f>
        <v>#VALUE!</v>
      </c>
      <c r="V142" s="25">
        <f ca="1"/>
        <v>31</v>
      </c>
      <c r="W142" s="25">
        <f ca="1"/>
        <v>31</v>
      </c>
      <c r="X142" s="25">
        <f ca="1"/>
        <v>31</v>
      </c>
      <c r="Y142" s="25">
        <f ca="1"/>
        <v>31</v>
      </c>
      <c r="Z142" s="25">
        <f ca="1"/>
        <v>31</v>
      </c>
      <c r="AA142" s="25">
        <f ca="1"/>
        <v>31</v>
      </c>
      <c r="AB142" s="25">
        <f ca="1"/>
        <v>31</v>
      </c>
      <c r="AC142" s="25">
        <f ca="1"/>
        <v>31</v>
      </c>
      <c r="AD142" s="25">
        <f ca="1"/>
        <v>31</v>
      </c>
      <c r="AE142" s="25">
        <f ca="1"/>
        <v>31</v>
      </c>
      <c r="AF142" s="26"/>
      <c r="AH142" s="26"/>
    </row>
    <row r="143" spans="4:34" ht="20.100000000000001" customHeight="1" x14ac:dyDescent="0.25">
      <c r="U143" s="25" t="e">
        <f>TEXT(EDATE('Input - Site'!$E$12,10), "mmmm yyyy")</f>
        <v>#VALUE!</v>
      </c>
      <c r="V143" s="25">
        <f ca="1"/>
        <v>30</v>
      </c>
      <c r="W143" s="25">
        <f ca="1"/>
        <v>30</v>
      </c>
      <c r="X143" s="25">
        <f ca="1"/>
        <v>30</v>
      </c>
      <c r="Y143" s="25">
        <f ca="1"/>
        <v>30</v>
      </c>
      <c r="Z143" s="25">
        <f ca="1"/>
        <v>30</v>
      </c>
      <c r="AA143" s="25">
        <f ca="1"/>
        <v>30</v>
      </c>
      <c r="AB143" s="25">
        <f ca="1"/>
        <v>30</v>
      </c>
      <c r="AC143" s="25">
        <f ca="1"/>
        <v>30</v>
      </c>
      <c r="AD143" s="25">
        <f ca="1"/>
        <v>30</v>
      </c>
      <c r="AE143" s="25">
        <f ca="1"/>
        <v>30</v>
      </c>
      <c r="AF143" s="26"/>
    </row>
    <row r="144" spans="4:34" ht="20.100000000000001" customHeight="1" x14ac:dyDescent="0.25">
      <c r="U144" s="25" t="e">
        <f>TEXT(EDATE('Input - Site'!$E$12,11), "mmmm yyyy")</f>
        <v>#VALUE!</v>
      </c>
      <c r="V144" s="25">
        <f ca="1"/>
        <v>31</v>
      </c>
      <c r="W144" s="25">
        <f ca="1"/>
        <v>31</v>
      </c>
      <c r="X144" s="25">
        <f ca="1"/>
        <v>31</v>
      </c>
      <c r="Y144" s="25">
        <f ca="1"/>
        <v>31</v>
      </c>
      <c r="Z144" s="25">
        <f ca="1"/>
        <v>31</v>
      </c>
      <c r="AA144" s="25">
        <f ca="1"/>
        <v>31</v>
      </c>
      <c r="AB144" s="25">
        <f ca="1"/>
        <v>31</v>
      </c>
      <c r="AC144" s="25">
        <f ca="1"/>
        <v>31</v>
      </c>
      <c r="AD144" s="25">
        <f ca="1"/>
        <v>31</v>
      </c>
      <c r="AE144" s="25">
        <f ca="1"/>
        <v>31</v>
      </c>
      <c r="AF144" s="26"/>
    </row>
    <row r="145" spans="21:32" ht="20.100000000000001" customHeight="1" x14ac:dyDescent="0.25"/>
    <row r="146" spans="21:32" ht="20.100000000000001" customHeight="1" x14ac:dyDescent="0.25">
      <c r="U146" s="114" t="s">
        <v>302</v>
      </c>
    </row>
    <row r="147" spans="21:32" ht="20.100000000000001" customHeight="1" x14ac:dyDescent="0.25">
      <c r="U147" s="115" t="s">
        <v>303</v>
      </c>
    </row>
    <row r="148" spans="21:32" ht="20.100000000000001" customHeight="1" x14ac:dyDescent="0.25">
      <c r="U148" s="116" t="s">
        <v>77</v>
      </c>
      <c r="V148" s="116" t="s">
        <v>193</v>
      </c>
      <c r="W148" s="116" t="s">
        <v>194</v>
      </c>
      <c r="X148" s="116" t="s">
        <v>195</v>
      </c>
      <c r="Y148" s="116" t="s">
        <v>196</v>
      </c>
      <c r="Z148" s="116" t="s">
        <v>197</v>
      </c>
      <c r="AA148" s="116" t="s">
        <v>198</v>
      </c>
      <c r="AB148" s="116" t="s">
        <v>199</v>
      </c>
      <c r="AC148" s="116" t="s">
        <v>200</v>
      </c>
      <c r="AD148" s="116" t="s">
        <v>201</v>
      </c>
      <c r="AE148" s="116" t="s">
        <v>202</v>
      </c>
    </row>
    <row r="149" spans="21:32" ht="20.100000000000001" customHeight="1" x14ac:dyDescent="0.25">
      <c r="U149" s="25" t="str">
        <f t="shared" ref="U149:U160" si="3">U133</f>
        <v>NO - Not in leaching zone</v>
      </c>
      <c r="V149" s="25" cm="1">
        <f t="array" aca="1" ref="V149" ca="1">EntericMethane_PastureBeef_Equations.VEERG_3_2_1_1__1_TotalAnnualMethaneFromEntericFermentation(V133,V97,V117)</f>
        <v>0.4586136012616317</v>
      </c>
      <c r="W149" s="25" cm="1">
        <f t="array" aca="1" ref="W149" ca="1">EntericMethane_PastureBeef_Equations.VEERG_3_2_1_1__1_TotalAnnualMethaneFromEntericFermentation(W133,W97,W117)</f>
        <v>0.60679113521101213</v>
      </c>
      <c r="X149" s="25" cm="1">
        <f t="array" aca="1" ref="X149" ca="1">EntericMethane_PastureBeef_Equations.VEERG_3_2_1_1__1_TotalAnnualMethaneFromEntericFermentation(X133,X97,X117)</f>
        <v>0.38568368207519993</v>
      </c>
      <c r="Y149" s="25" cm="1">
        <f t="array" aca="1" ref="Y149" ca="1">EntericMethane_PastureBeef_Equations.VEERG_3_2_1_1__1_TotalAnnualMethaneFromEntericFermentation(Y133,Y97,Y117)</f>
        <v>0.5050531744094251</v>
      </c>
      <c r="Z149" s="25" cm="1">
        <f t="array" aca="1" ref="Z149" ca="1">EntericMethane_PastureBeef_Equations.VEERG_3_2_1_1__1_TotalAnnualMethaneFromEntericFermentation(Z133,Z97,Z117)</f>
        <v>0.50006444018011187</v>
      </c>
      <c r="AA149" s="25" cm="1">
        <f t="array" aca="1" ref="AA149" ca="1">EntericMethane_PastureBeef_Equations.VEERG_3_2_1_1__1_TotalAnnualMethaneFromEntericFermentation(AA133,AA97,AA117)</f>
        <v>0.50006444018011187</v>
      </c>
      <c r="AB149" s="25" cm="1">
        <f t="array" aca="1" ref="AB149" ca="1">EntericMethane_PastureBeef_Equations.VEERG_3_2_1_1__1_TotalAnnualMethaneFromEntericFermentation(AB133,AB97,AB117)</f>
        <v>0.422728915885632</v>
      </c>
      <c r="AC149" s="25" cm="1">
        <f t="array" aca="1" ref="AC149" ca="1">EntericMethane_PastureBeef_Equations.VEERG_3_2_1_1__1_TotalAnnualMethaneFromEntericFermentation(AC133,AC97,AC117)</f>
        <v>0.47120481705053707</v>
      </c>
      <c r="AD149" s="25" cm="1">
        <f t="array" aca="1" ref="AD149" ca="1">EntericMethane_PastureBeef_Equations.VEERG_3_2_1_1__1_TotalAnnualMethaneFromEntericFermentation(AD133,AD97,AD117)</f>
        <v>0.47120481705053707</v>
      </c>
      <c r="AE149" s="25" cm="1">
        <f t="array" aca="1" ref="AE149" ca="1">EntericMethane_PastureBeef_Equations.VEERG_3_2_1_1__1_TotalAnnualMethaneFromEntericFermentation(AE133,AE97,AE117)</f>
        <v>0.47120481705053707</v>
      </c>
      <c r="AF149" s="26" t="str">
        <f>$E$98</f>
        <v>t CH4</v>
      </c>
    </row>
    <row r="150" spans="21:32" ht="20.100000000000001" customHeight="1" x14ac:dyDescent="0.25">
      <c r="U150" s="25" t="e">
        <f t="shared" si="3"/>
        <v>#VALUE!</v>
      </c>
      <c r="V150" s="25" cm="1">
        <f t="array" aca="1" ref="V150" ca="1">EntericMethane_PastureBeef_Equations.VEERG_3_2_1_1__1_TotalAnnualMethaneFromEntericFermentation(V134,V98,V118)</f>
        <v>0.42902562698668767</v>
      </c>
      <c r="W150" s="25" cm="1">
        <f t="array" aca="1" ref="W150" ca="1">EntericMethane_PastureBeef_Equations.VEERG_3_2_1_1__1_TotalAnnualMethaneFromEntericFermentation(W134,W98,W118)</f>
        <v>0.56764332003610807</v>
      </c>
      <c r="X150" s="25" cm="1">
        <f t="array" aca="1" ref="X150" ca="1">EntericMethane_PastureBeef_Equations.VEERG_3_2_1_1__1_TotalAnnualMethaneFromEntericFermentation(X134,X98,X118)</f>
        <v>0.36080086387679988</v>
      </c>
      <c r="Y150" s="25" cm="1">
        <f t="array" aca="1" ref="Y150" ca="1">EntericMethane_PastureBeef_Equations.VEERG_3_2_1_1__1_TotalAnnualMethaneFromEntericFermentation(Y134,Y98,Y118)</f>
        <v>0.47246909864107506</v>
      </c>
      <c r="Z150" s="25" cm="1">
        <f t="array" aca="1" ref="Z150" ca="1">EntericMethane_PastureBeef_Equations.VEERG_3_2_1_1__1_TotalAnnualMethaneFromEntericFermentation(Z134,Z98,Z118)</f>
        <v>0.46780221823300788</v>
      </c>
      <c r="AA150" s="25" cm="1">
        <f t="array" aca="1" ref="AA150" ca="1">EntericMethane_PastureBeef_Equations.VEERG_3_2_1_1__1_TotalAnnualMethaneFromEntericFermentation(AA134,AA98,AA118)</f>
        <v>0.46780221823300788</v>
      </c>
      <c r="AB150" s="25" cm="1">
        <f t="array" aca="1" ref="AB150" ca="1">EntericMethane_PastureBeef_Equations.VEERG_3_2_1_1__1_TotalAnnualMethaneFromEntericFermentation(AB134,AB98,AB118)</f>
        <v>0.39545608260268794</v>
      </c>
      <c r="AC150" s="25" cm="1">
        <f t="array" aca="1" ref="AC150" ca="1">EntericMethane_PastureBeef_Equations.VEERG_3_2_1_1__1_TotalAnnualMethaneFromEntericFermentation(AC134,AC98,AC118)</f>
        <v>0.4408045062730831</v>
      </c>
      <c r="AD150" s="25" cm="1">
        <f t="array" aca="1" ref="AD150" ca="1">EntericMethane_PastureBeef_Equations.VEERG_3_2_1_1__1_TotalAnnualMethaneFromEntericFermentation(AD134,AD98,AD118)</f>
        <v>0.4408045062730831</v>
      </c>
      <c r="AE150" s="25" cm="1">
        <f t="array" aca="1" ref="AE150" ca="1">EntericMethane_PastureBeef_Equations.VEERG_3_2_1_1__1_TotalAnnualMethaneFromEntericFermentation(AE134,AE98,AE118)</f>
        <v>0.4408045062730831</v>
      </c>
      <c r="AF150" s="26"/>
    </row>
    <row r="151" spans="21:32" ht="20.100000000000001" customHeight="1" x14ac:dyDescent="0.25">
      <c r="U151" s="25" t="e">
        <f t="shared" si="3"/>
        <v>#VALUE!</v>
      </c>
      <c r="V151" s="25" cm="1">
        <f t="array" aca="1" ref="V151" ca="1">EntericMethane_PastureBeef_Equations.VEERG_3_2_1_1__1_TotalAnnualMethaneFromEntericFermentation(V135,V99,V119)</f>
        <v>0.20837308068000002</v>
      </c>
      <c r="W151" s="25" cm="1">
        <f t="array" aca="1" ref="W151" ca="1">EntericMethane_PastureBeef_Equations.VEERG_3_2_1_1__1_TotalAnnualMethaneFromEntericFermentation(W135,W99,W119)</f>
        <v>0.60478007295067204</v>
      </c>
      <c r="X151" s="25" cm="1">
        <f t="array" aca="1" ref="X151" ca="1">EntericMethane_PastureBeef_Equations.VEERG_3_2_1_1__1_TotalAnnualMethaneFromEntericFermentation(X135,X99,X119)</f>
        <v>0.18996416521171203</v>
      </c>
      <c r="Y151" s="25" cm="1">
        <f t="array" aca="1" ref="Y151" ca="1">EntericMethane_PastureBeef_Equations.VEERG_3_2_1_1__1_TotalAnnualMethaneFromEntericFermentation(Y135,Y99,Y119)</f>
        <v>0.38231186811613199</v>
      </c>
      <c r="Z151" s="25" cm="1">
        <f t="array" aca="1" ref="Z151" ca="1">EntericMethane_PastureBeef_Equations.VEERG_3_2_1_1__1_TotalAnnualMethaneFromEntericFermentation(Z135,Z99,Z119)</f>
        <v>0.431093896244577</v>
      </c>
      <c r="AA151" s="25" cm="1">
        <f t="array" aca="1" ref="AA151" ca="1">EntericMethane_PastureBeef_Equations.VEERG_3_2_1_1__1_TotalAnnualMethaneFromEntericFermentation(AA135,AA99,AA119)</f>
        <v>0.431093896244577</v>
      </c>
      <c r="AB151" s="25" cm="1">
        <f t="array" aca="1" ref="AB151" ca="1">EntericMethane_PastureBeef_Equations.VEERG_3_2_1_1__1_TotalAnnualMethaneFromEntericFermentation(AB135,AB99,AB119)</f>
        <v>0.20837308068000002</v>
      </c>
      <c r="AC151" s="25" cm="1">
        <f t="array" aca="1" ref="AC151" ca="1">EntericMethane_PastureBeef_Equations.VEERG_3_2_1_1__1_TotalAnnualMethaneFromEntericFermentation(AC135,AC99,AC119)</f>
        <v>0.37830642176347212</v>
      </c>
      <c r="AD151" s="25" cm="1">
        <f t="array" aca="1" ref="AD151" ca="1">EntericMethane_PastureBeef_Equations.VEERG_3_2_1_1__1_TotalAnnualMethaneFromEntericFermentation(AD135,AD99,AD119)</f>
        <v>0.37830642176347212</v>
      </c>
      <c r="AE151" s="25" cm="1">
        <f t="array" aca="1" ref="AE151" ca="1">EntericMethane_PastureBeef_Equations.VEERG_3_2_1_1__1_TotalAnnualMethaneFromEntericFermentation(AE135,AE99,AE119)</f>
        <v>0.37830642176347212</v>
      </c>
      <c r="AF151" s="26"/>
    </row>
    <row r="152" spans="21:32" ht="20.100000000000001" customHeight="1" x14ac:dyDescent="0.25">
      <c r="U152" s="25" t="e">
        <f t="shared" si="3"/>
        <v>#VALUE!</v>
      </c>
      <c r="V152" s="25" cm="1">
        <f t="array" aca="1" ref="V152" ca="1">EntericMethane_PastureBeef_Equations.VEERG_3_2_1_1__1_TotalAnnualMethaneFromEntericFermentation(V136,V100,V120)</f>
        <v>0.2016513684</v>
      </c>
      <c r="W152" s="25" cm="1">
        <f t="array" aca="1" ref="W152" ca="1">EntericMethane_PastureBeef_Equations.VEERG_3_2_1_1__1_TotalAnnualMethaneFromEntericFermentation(W136,W100,W120)</f>
        <v>0.58527103833936001</v>
      </c>
      <c r="X152" s="25" cm="1">
        <f t="array" aca="1" ref="X152" ca="1">EntericMethane_PastureBeef_Equations.VEERG_3_2_1_1__1_TotalAnnualMethaneFromEntericFermentation(X136,X100,X120)</f>
        <v>0.18383628891456003</v>
      </c>
      <c r="Y152" s="25" cm="1">
        <f t="array" aca="1" ref="Y152" ca="1">EntericMethane_PastureBeef_Equations.VEERG_3_2_1_1__1_TotalAnnualMethaneFromEntericFermentation(Y136,Y100,Y120)</f>
        <v>0.36997922720915993</v>
      </c>
      <c r="Z152" s="25" cm="1">
        <f t="array" aca="1" ref="Z152" ca="1">EntericMethane_PastureBeef_Equations.VEERG_3_2_1_1__1_TotalAnnualMethaneFromEntericFermentation(Z136,Z100,Z120)</f>
        <v>0.41718764152700993</v>
      </c>
      <c r="AA152" s="25" cm="1">
        <f t="array" aca="1" ref="AA152" ca="1">EntericMethane_PastureBeef_Equations.VEERG_3_2_1_1__1_TotalAnnualMethaneFromEntericFermentation(AA136,AA100,AA120)</f>
        <v>0.41718764152700993</v>
      </c>
      <c r="AB152" s="25" cm="1">
        <f t="array" aca="1" ref="AB152" ca="1">EntericMethane_PastureBeef_Equations.VEERG_3_2_1_1__1_TotalAnnualMethaneFromEntericFermentation(AB136,AB100,AB120)</f>
        <v>0.2016513684</v>
      </c>
      <c r="AC152" s="25" cm="1">
        <f t="array" aca="1" ref="AC152" ca="1">EntericMethane_PastureBeef_Equations.VEERG_3_2_1_1__1_TotalAnnualMethaneFromEntericFermentation(AC136,AC100,AC120)</f>
        <v>0.36610298880336012</v>
      </c>
      <c r="AD152" s="25" cm="1">
        <f t="array" aca="1" ref="AD152" ca="1">EntericMethane_PastureBeef_Equations.VEERG_3_2_1_1__1_TotalAnnualMethaneFromEntericFermentation(AD136,AD100,AD120)</f>
        <v>0.36610298880336012</v>
      </c>
      <c r="AE152" s="25" cm="1">
        <f t="array" aca="1" ref="AE152" ca="1">EntericMethane_PastureBeef_Equations.VEERG_3_2_1_1__1_TotalAnnualMethaneFromEntericFermentation(AE136,AE100,AE120)</f>
        <v>0.36610298880336012</v>
      </c>
      <c r="AF152" s="26"/>
    </row>
    <row r="153" spans="21:32" ht="20.100000000000001" customHeight="1" x14ac:dyDescent="0.25">
      <c r="U153" s="25" t="e">
        <f t="shared" si="3"/>
        <v>#VALUE!</v>
      </c>
      <c r="V153" s="25" cm="1">
        <f t="array" aca="1" ref="V153" ca="1">EntericMethane_PastureBeef_Equations.VEERG_3_2_1_1__1_TotalAnnualMethaneFromEntericFermentation(V137,V101,V121)</f>
        <v>0.20837308068000002</v>
      </c>
      <c r="W153" s="25" cm="1">
        <f t="array" aca="1" ref="W153" ca="1">EntericMethane_PastureBeef_Equations.VEERG_3_2_1_1__1_TotalAnnualMethaneFromEntericFermentation(W137,W101,W121)</f>
        <v>0.60478007295067204</v>
      </c>
      <c r="X153" s="25" cm="1">
        <f t="array" aca="1" ref="X153" ca="1">EntericMethane_PastureBeef_Equations.VEERG_3_2_1_1__1_TotalAnnualMethaneFromEntericFermentation(X137,X101,X121)</f>
        <v>0.18996416521171203</v>
      </c>
      <c r="Y153" s="25" cm="1">
        <f t="array" aca="1" ref="Y153" ca="1">EntericMethane_PastureBeef_Equations.VEERG_3_2_1_1__1_TotalAnnualMethaneFromEntericFermentation(Y137,Y101,Y121)</f>
        <v>0.38231186811613199</v>
      </c>
      <c r="Z153" s="25" cm="1">
        <f t="array" aca="1" ref="Z153" ca="1">EntericMethane_PastureBeef_Equations.VEERG_3_2_1_1__1_TotalAnnualMethaneFromEntericFermentation(Z137,Z101,Z121)</f>
        <v>0.431093896244577</v>
      </c>
      <c r="AA153" s="25" cm="1">
        <f t="array" aca="1" ref="AA153" ca="1">EntericMethane_PastureBeef_Equations.VEERG_3_2_1_1__1_TotalAnnualMethaneFromEntericFermentation(AA137,AA101,AA121)</f>
        <v>0.431093896244577</v>
      </c>
      <c r="AB153" s="25" cm="1">
        <f t="array" aca="1" ref="AB153" ca="1">EntericMethane_PastureBeef_Equations.VEERG_3_2_1_1__1_TotalAnnualMethaneFromEntericFermentation(AB137,AB101,AB121)</f>
        <v>0.20837308068000002</v>
      </c>
      <c r="AC153" s="25" cm="1">
        <f t="array" aca="1" ref="AC153" ca="1">EntericMethane_PastureBeef_Equations.VEERG_3_2_1_1__1_TotalAnnualMethaneFromEntericFermentation(AC137,AC101,AC121)</f>
        <v>0.37830642176347212</v>
      </c>
      <c r="AD153" s="25" cm="1">
        <f t="array" aca="1" ref="AD153" ca="1">EntericMethane_PastureBeef_Equations.VEERG_3_2_1_1__1_TotalAnnualMethaneFromEntericFermentation(AD137,AD101,AD121)</f>
        <v>0.37830642176347212</v>
      </c>
      <c r="AE153" s="25" cm="1">
        <f t="array" aca="1" ref="AE153" ca="1">EntericMethane_PastureBeef_Equations.VEERG_3_2_1_1__1_TotalAnnualMethaneFromEntericFermentation(AE137,AE101,AE121)</f>
        <v>0.37830642176347212</v>
      </c>
      <c r="AF153" s="26"/>
    </row>
    <row r="154" spans="21:32" ht="20.100000000000001" customHeight="1" x14ac:dyDescent="0.25">
      <c r="U154" s="25" t="e">
        <f t="shared" si="3"/>
        <v>#VALUE!</v>
      </c>
      <c r="V154" s="25" cm="1">
        <f t="array" aca="1" ref="V154" ca="1">EntericMethane_PastureBeef_Equations.VEERG_3_2_1_1__1_TotalAnnualMethaneFromEntericFermentation(V138,V102,V122)</f>
        <v>0.31875296878700998</v>
      </c>
      <c r="W154" s="25" cm="1">
        <f t="array" aca="1" ref="W154" ca="1">EntericMethane_PastureBeef_Equations.VEERG_3_2_1_1__1_TotalAnnualMethaneFromEntericFermentation(W138,W102,W122)</f>
        <v>0.61943873706899988</v>
      </c>
      <c r="X154" s="25" cm="1">
        <f t="array" aca="1" ref="X154" ca="1">EntericMethane_PastureBeef_Equations.VEERG_3_2_1_1__1_TotalAnnualMethaneFromEntericFermentation(X138,X102,X122)</f>
        <v>0.26098798065525008</v>
      </c>
      <c r="Y154" s="25" cm="1">
        <f t="array" aca="1" ref="Y154" ca="1">EntericMethane_PastureBeef_Equations.VEERG_3_2_1_1__1_TotalAnnualMethaneFromEntericFermentation(Y138,Y102,Y122)</f>
        <v>0.36811717389261017</v>
      </c>
      <c r="Z154" s="25" cm="1">
        <f t="array" aca="1" ref="Z154" ca="1">EntericMethane_PastureBeef_Equations.VEERG_3_2_1_1__1_TotalAnnualMethaneFromEntericFermentation(Z138,Z102,Z122)</f>
        <v>0.49384053756620999</v>
      </c>
      <c r="AA154" s="25" cm="1">
        <f t="array" aca="1" ref="AA154" ca="1">EntericMethane_PastureBeef_Equations.VEERG_3_2_1_1__1_TotalAnnualMethaneFromEntericFermentation(AA138,AA102,AA122)</f>
        <v>0.49384053756620999</v>
      </c>
      <c r="AB154" s="25" cm="1">
        <f t="array" aca="1" ref="AB154" ca="1">EntericMethane_PastureBeef_Equations.VEERG_3_2_1_1__1_TotalAnnualMethaneFromEntericFermentation(AB138,AB102,AB122)</f>
        <v>0.28021185050660996</v>
      </c>
      <c r="AC154" s="25" cm="1">
        <f t="array" aca="1" ref="AC154" ca="1">EntericMethane_PastureBeef_Equations.VEERG_3_2_1_1__1_TotalAnnualMethaneFromEntericFermentation(AC138,AC102,AC122)</f>
        <v>0.42661772732735997</v>
      </c>
      <c r="AD154" s="25" cm="1">
        <f t="array" aca="1" ref="AD154" ca="1">EntericMethane_PastureBeef_Equations.VEERG_3_2_1_1__1_TotalAnnualMethaneFromEntericFermentation(AD138,AD102,AD122)</f>
        <v>0.42661772732735997</v>
      </c>
      <c r="AE154" s="25" cm="1">
        <f t="array" aca="1" ref="AE154" ca="1">EntericMethane_PastureBeef_Equations.VEERG_3_2_1_1__1_TotalAnnualMethaneFromEntericFermentation(AE138,AE102,AE122)</f>
        <v>0.42661772732735997</v>
      </c>
      <c r="AF154" s="26"/>
    </row>
    <row r="155" spans="21:32" ht="20.100000000000001" customHeight="1" x14ac:dyDescent="0.25">
      <c r="U155" s="25" t="e">
        <f t="shared" si="3"/>
        <v>#VALUE!</v>
      </c>
      <c r="V155" s="25" cm="1">
        <f t="array" aca="1" ref="V155" ca="1">EntericMethane_PastureBeef_Equations.VEERG_3_2_1_1__1_TotalAnnualMethaneFromEntericFermentation(V139,V103,V123)</f>
        <v>0.32937806774657702</v>
      </c>
      <c r="W155" s="25" cm="1">
        <f t="array" aca="1" ref="W155" ca="1">EntericMethane_PastureBeef_Equations.VEERG_3_2_1_1__1_TotalAnnualMethaneFromEntericFermentation(W139,W103,W123)</f>
        <v>0.64008669497129989</v>
      </c>
      <c r="X155" s="25" cm="1">
        <f t="array" aca="1" ref="X155" ca="1">EntericMethane_PastureBeef_Equations.VEERG_3_2_1_1__1_TotalAnnualMethaneFromEntericFermentation(X139,X103,X123)</f>
        <v>0.26968758001042503</v>
      </c>
      <c r="Y155" s="25" cm="1">
        <f t="array" aca="1" ref="Y155" ca="1">EntericMethane_PastureBeef_Equations.VEERG_3_2_1_1__1_TotalAnnualMethaneFromEntericFermentation(Y139,Y103,Y123)</f>
        <v>0.38038774635569711</v>
      </c>
      <c r="Z155" s="25" cm="1">
        <f t="array" aca="1" ref="Z155" ca="1">EntericMethane_PastureBeef_Equations.VEERG_3_2_1_1__1_TotalAnnualMethaneFromEntericFermentation(Z139,Z103,Z123)</f>
        <v>0.51030188881841698</v>
      </c>
      <c r="AA155" s="25" cm="1">
        <f t="array" aca="1" ref="AA155" ca="1">EntericMethane_PastureBeef_Equations.VEERG_3_2_1_1__1_TotalAnnualMethaneFromEntericFermentation(AA139,AA103,AA123)</f>
        <v>0.51030188881841698</v>
      </c>
      <c r="AB155" s="25" cm="1">
        <f t="array" aca="1" ref="AB155" ca="1">EntericMethane_PastureBeef_Equations.VEERG_3_2_1_1__1_TotalAnnualMethaneFromEntericFermentation(AB139,AB103,AB123)</f>
        <v>0.2895522455234969</v>
      </c>
      <c r="AC155" s="25" cm="1">
        <f t="array" aca="1" ref="AC155" ca="1">EntericMethane_PastureBeef_Equations.VEERG_3_2_1_1__1_TotalAnnualMethaneFromEntericFermentation(AC139,AC103,AC123)</f>
        <v>0.44083831823827196</v>
      </c>
      <c r="AD155" s="25" cm="1">
        <f t="array" aca="1" ref="AD155" ca="1">EntericMethane_PastureBeef_Equations.VEERG_3_2_1_1__1_TotalAnnualMethaneFromEntericFermentation(AD139,AD103,AD123)</f>
        <v>0.44083831823827196</v>
      </c>
      <c r="AE155" s="25" cm="1">
        <f t="array" aca="1" ref="AE155" ca="1">EntericMethane_PastureBeef_Equations.VEERG_3_2_1_1__1_TotalAnnualMethaneFromEntericFermentation(AE139,AE103,AE123)</f>
        <v>0.44083831823827196</v>
      </c>
      <c r="AF155" s="26"/>
    </row>
    <row r="156" spans="21:32" ht="20.100000000000001" customHeight="1" x14ac:dyDescent="0.25">
      <c r="U156" s="25" t="e">
        <f t="shared" si="3"/>
        <v>#VALUE!</v>
      </c>
      <c r="V156" s="25" cm="1">
        <f t="array" aca="1" ref="V156" ca="1">EntericMethane_PastureBeef_Equations.VEERG_3_2_1_1__1_TotalAnnualMethaneFromEntericFermentation(V140,V104,V124)</f>
        <v>0.32937806774657702</v>
      </c>
      <c r="W156" s="25" cm="1">
        <f t="array" aca="1" ref="W156" ca="1">EntericMethane_PastureBeef_Equations.VEERG_3_2_1_1__1_TotalAnnualMethaneFromEntericFermentation(W140,W104,W124)</f>
        <v>0.64008669497129989</v>
      </c>
      <c r="X156" s="25" cm="1">
        <f t="array" aca="1" ref="X156" ca="1">EntericMethane_PastureBeef_Equations.VEERG_3_2_1_1__1_TotalAnnualMethaneFromEntericFermentation(X140,X104,X124)</f>
        <v>0.26968758001042503</v>
      </c>
      <c r="Y156" s="25" cm="1">
        <f t="array" aca="1" ref="Y156" ca="1">EntericMethane_PastureBeef_Equations.VEERG_3_2_1_1__1_TotalAnnualMethaneFromEntericFermentation(Y140,Y104,Y124)</f>
        <v>0.38038774635569711</v>
      </c>
      <c r="Z156" s="25" cm="1">
        <f t="array" aca="1" ref="Z156" ca="1">EntericMethane_PastureBeef_Equations.VEERG_3_2_1_1__1_TotalAnnualMethaneFromEntericFermentation(Z140,Z104,Z124)</f>
        <v>0.51030188881841698</v>
      </c>
      <c r="AA156" s="25" cm="1">
        <f t="array" aca="1" ref="AA156" ca="1">EntericMethane_PastureBeef_Equations.VEERG_3_2_1_1__1_TotalAnnualMethaneFromEntericFermentation(AA140,AA104,AA124)</f>
        <v>0.51030188881841698</v>
      </c>
      <c r="AB156" s="25" cm="1">
        <f t="array" aca="1" ref="AB156" ca="1">EntericMethane_PastureBeef_Equations.VEERG_3_2_1_1__1_TotalAnnualMethaneFromEntericFermentation(AB140,AB104,AB124)</f>
        <v>0.2895522455234969</v>
      </c>
      <c r="AC156" s="25" cm="1">
        <f t="array" aca="1" ref="AC156" ca="1">EntericMethane_PastureBeef_Equations.VEERG_3_2_1_1__1_TotalAnnualMethaneFromEntericFermentation(AC140,AC104,AC124)</f>
        <v>0.44083831823827196</v>
      </c>
      <c r="AD156" s="25" cm="1">
        <f t="array" aca="1" ref="AD156" ca="1">EntericMethane_PastureBeef_Equations.VEERG_3_2_1_1__1_TotalAnnualMethaneFromEntericFermentation(AD140,AD104,AD124)</f>
        <v>0.44083831823827196</v>
      </c>
      <c r="AE156" s="25" cm="1">
        <f t="array" aca="1" ref="AE156" ca="1">EntericMethane_PastureBeef_Equations.VEERG_3_2_1_1__1_TotalAnnualMethaneFromEntericFermentation(AE140,AE104,AE124)</f>
        <v>0.44083831823827196</v>
      </c>
      <c r="AF156" s="26"/>
    </row>
    <row r="157" spans="21:32" ht="20.100000000000001" customHeight="1" x14ac:dyDescent="0.25">
      <c r="U157" s="25" t="e">
        <f t="shared" si="3"/>
        <v>#VALUE!</v>
      </c>
      <c r="V157" s="25" cm="1">
        <f t="array" aca="1" ref="V157" ca="1">EntericMethane_PastureBeef_Equations.VEERG_3_2_1_1__1_TotalAnnualMethaneFromEntericFermentation(V141,V105,V125)</f>
        <v>0.53846318370816004</v>
      </c>
      <c r="W157" s="25" cm="1">
        <f t="array" aca="1" ref="W157" ca="1">EntericMethane_PastureBeef_Equations.VEERG_3_2_1_1__1_TotalAnnualMethaneFromEntericFermentation(W141,W105,W125)</f>
        <v>0.76050766552500015</v>
      </c>
      <c r="X157" s="25" cm="1">
        <f t="array" aca="1" ref="X157" ca="1">EntericMethane_PastureBeef_Equations.VEERG_3_2_1_1__1_TotalAnnualMethaneFromEntericFermentation(X141,X105,X125)</f>
        <v>0.41041649201661007</v>
      </c>
      <c r="Y157" s="25" cm="1">
        <f t="array" aca="1" ref="Y157" ca="1">EntericMethane_PastureBeef_Equations.VEERG_3_2_1_1__1_TotalAnnualMethaneFromEntericFermentation(Y141,Y105,Y125)</f>
        <v>0.53859851019621008</v>
      </c>
      <c r="Z157" s="25" cm="1">
        <f t="array" aca="1" ref="Z157" ca="1">EntericMethane_PastureBeef_Equations.VEERG_3_2_1_1__1_TotalAnnualMethaneFromEntericFermentation(Z141,Z105,Z125)</f>
        <v>0.59809078587600006</v>
      </c>
      <c r="AA157" s="25" cm="1">
        <f t="array" aca="1" ref="AA157" ca="1">EntericMethane_PastureBeef_Equations.VEERG_3_2_1_1__1_TotalAnnualMethaneFromEntericFermentation(AA141,AA105,AA125)</f>
        <v>0.59809078587600006</v>
      </c>
      <c r="AB157" s="25" cm="1">
        <f t="array" aca="1" ref="AB157" ca="1">EntericMethane_PastureBeef_Equations.VEERG_3_2_1_1__1_TotalAnnualMethaneFromEntericFermentation(AB141,AB105,AB125)</f>
        <v>0.47315580318899986</v>
      </c>
      <c r="AC157" s="25" cm="1">
        <f t="array" aca="1" ref="AC157" ca="1">EntericMethane_PastureBeef_Equations.VEERG_3_2_1_1__1_TotalAnnualMethaneFromEntericFermentation(AC141,AC105,AC125)</f>
        <v>0.60127877604275992</v>
      </c>
      <c r="AD157" s="25" cm="1">
        <f t="array" aca="1" ref="AD157" ca="1">EntericMethane_PastureBeef_Equations.VEERG_3_2_1_1__1_TotalAnnualMethaneFromEntericFermentation(AD141,AD105,AD125)</f>
        <v>0.60127877604275992</v>
      </c>
      <c r="AE157" s="25" cm="1">
        <f t="array" aca="1" ref="AE157" ca="1">EntericMethane_PastureBeef_Equations.VEERG_3_2_1_1__1_TotalAnnualMethaneFromEntericFermentation(AE141,AE105,AE125)</f>
        <v>0.60127877604275992</v>
      </c>
      <c r="AF157" s="26"/>
    </row>
    <row r="158" spans="21:32" ht="20.100000000000001" customHeight="1" x14ac:dyDescent="0.25">
      <c r="U158" s="25" t="e">
        <f t="shared" si="3"/>
        <v>#VALUE!</v>
      </c>
      <c r="V158" s="25" cm="1">
        <f t="array" aca="1" ref="V158" ca="1">EntericMethane_PastureBeef_Equations.VEERG_3_2_1_1__1_TotalAnnualMethaneFromEntericFermentation(V142,V106,V126)</f>
        <v>0.556411956498432</v>
      </c>
      <c r="W158" s="25" cm="1">
        <f t="array" aca="1" ref="W158" ca="1">EntericMethane_PastureBeef_Equations.VEERG_3_2_1_1__1_TotalAnnualMethaneFromEntericFermentation(W142,W106,W126)</f>
        <v>0.78585792104250007</v>
      </c>
      <c r="X158" s="25" cm="1">
        <f t="array" aca="1" ref="X158" ca="1">EntericMethane_PastureBeef_Equations.VEERG_3_2_1_1__1_TotalAnnualMethaneFromEntericFermentation(X142,X106,X126)</f>
        <v>0.42409704175049701</v>
      </c>
      <c r="Y158" s="25" cm="1">
        <f t="array" aca="1" ref="Y158" ca="1">EntericMethane_PastureBeef_Equations.VEERG_3_2_1_1__1_TotalAnnualMethaneFromEntericFermentation(Y142,Y106,Y126)</f>
        <v>0.556551793869417</v>
      </c>
      <c r="Z158" s="25" cm="1">
        <f t="array" aca="1" ref="Z158" ca="1">EntericMethane_PastureBeef_Equations.VEERG_3_2_1_1__1_TotalAnnualMethaneFromEntericFermentation(Z142,Z106,Z126)</f>
        <v>0.6180271454052001</v>
      </c>
      <c r="AA158" s="25" cm="1">
        <f t="array" aca="1" ref="AA158" ca="1">EntericMethane_PastureBeef_Equations.VEERG_3_2_1_1__1_TotalAnnualMethaneFromEntericFermentation(AA142,AA106,AA126)</f>
        <v>0.6180271454052001</v>
      </c>
      <c r="AB158" s="25" cm="1">
        <f t="array" aca="1" ref="AB158" ca="1">EntericMethane_PastureBeef_Equations.VEERG_3_2_1_1__1_TotalAnnualMethaneFromEntericFermentation(AB142,AB106,AB126)</f>
        <v>0.4889276632952998</v>
      </c>
      <c r="AC158" s="25" cm="1">
        <f t="array" aca="1" ref="AC158" ca="1">EntericMethane_PastureBeef_Equations.VEERG_3_2_1_1__1_TotalAnnualMethaneFromEntericFermentation(AC142,AC106,AC126)</f>
        <v>0.62132140191085194</v>
      </c>
      <c r="AD158" s="25" cm="1">
        <f t="array" aca="1" ref="AD158" ca="1">EntericMethane_PastureBeef_Equations.VEERG_3_2_1_1__1_TotalAnnualMethaneFromEntericFermentation(AD142,AD106,AD126)</f>
        <v>0.62132140191085194</v>
      </c>
      <c r="AE158" s="25" cm="1">
        <f t="array" aca="1" ref="AE158" ca="1">EntericMethane_PastureBeef_Equations.VEERG_3_2_1_1__1_TotalAnnualMethaneFromEntericFermentation(AE142,AE106,AE126)</f>
        <v>0.62132140191085194</v>
      </c>
      <c r="AF158" s="26"/>
    </row>
    <row r="159" spans="21:32" ht="20.100000000000001" customHeight="1" x14ac:dyDescent="0.25">
      <c r="U159" s="25" t="e">
        <f t="shared" si="3"/>
        <v>#VALUE!</v>
      </c>
      <c r="V159" s="25" cm="1">
        <f t="array" aca="1" ref="V159" ca="1">EntericMethane_PastureBeef_Equations.VEERG_3_2_1_1__1_TotalAnnualMethaneFromEntericFermentation(V143,V107,V127)</f>
        <v>0.53846318370816004</v>
      </c>
      <c r="W159" s="25" cm="1">
        <f t="array" aca="1" ref="W159" ca="1">EntericMethane_PastureBeef_Equations.VEERG_3_2_1_1__1_TotalAnnualMethaneFromEntericFermentation(W143,W107,W127)</f>
        <v>0.76050766552500015</v>
      </c>
      <c r="X159" s="25" cm="1">
        <f t="array" aca="1" ref="X159" ca="1">EntericMethane_PastureBeef_Equations.VEERG_3_2_1_1__1_TotalAnnualMethaneFromEntericFermentation(X143,X107,X127)</f>
        <v>0.41041649201661007</v>
      </c>
      <c r="Y159" s="25" cm="1">
        <f t="array" aca="1" ref="Y159" ca="1">EntericMethane_PastureBeef_Equations.VEERG_3_2_1_1__1_TotalAnnualMethaneFromEntericFermentation(Y143,Y107,Y127)</f>
        <v>0.53859851019621008</v>
      </c>
      <c r="Z159" s="25" cm="1">
        <f t="array" aca="1" ref="Z159" ca="1">EntericMethane_PastureBeef_Equations.VEERG_3_2_1_1__1_TotalAnnualMethaneFromEntericFermentation(Z143,Z107,Z127)</f>
        <v>0.59809078587600006</v>
      </c>
      <c r="AA159" s="25" cm="1">
        <f t="array" aca="1" ref="AA159" ca="1">EntericMethane_PastureBeef_Equations.VEERG_3_2_1_1__1_TotalAnnualMethaneFromEntericFermentation(AA143,AA107,AA127)</f>
        <v>0.59809078587600006</v>
      </c>
      <c r="AB159" s="25" cm="1">
        <f t="array" aca="1" ref="AB159" ca="1">EntericMethane_PastureBeef_Equations.VEERG_3_2_1_1__1_TotalAnnualMethaneFromEntericFermentation(AB143,AB107,AB127)</f>
        <v>0.47315580318899986</v>
      </c>
      <c r="AC159" s="25" cm="1">
        <f t="array" aca="1" ref="AC159" ca="1">EntericMethane_PastureBeef_Equations.VEERG_3_2_1_1__1_TotalAnnualMethaneFromEntericFermentation(AC143,AC107,AC127)</f>
        <v>0.60127877604275992</v>
      </c>
      <c r="AD159" s="25" cm="1">
        <f t="array" aca="1" ref="AD159" ca="1">EntericMethane_PastureBeef_Equations.VEERG_3_2_1_1__1_TotalAnnualMethaneFromEntericFermentation(AD143,AD107,AD127)</f>
        <v>0.60127877604275992</v>
      </c>
      <c r="AE159" s="25" cm="1">
        <f t="array" aca="1" ref="AE159" ca="1">EntericMethane_PastureBeef_Equations.VEERG_3_2_1_1__1_TotalAnnualMethaneFromEntericFermentation(AE143,AE107,AE127)</f>
        <v>0.60127877604275992</v>
      </c>
      <c r="AF159" s="26"/>
    </row>
    <row r="160" spans="21:32" ht="20.100000000000001" customHeight="1" x14ac:dyDescent="0.25">
      <c r="U160" s="25" t="e">
        <f t="shared" si="3"/>
        <v>#VALUE!</v>
      </c>
      <c r="V160" s="25" cm="1">
        <f t="array" aca="1" ref="V160" ca="1">EntericMethane_PastureBeef_Equations.VEERG_3_2_1_1__1_TotalAnnualMethaneFromEntericFermentation(V144,V108,V128)</f>
        <v>0.4586136012616317</v>
      </c>
      <c r="W160" s="25" cm="1">
        <f t="array" aca="1" ref="W160" ca="1">EntericMethane_PastureBeef_Equations.VEERG_3_2_1_1__1_TotalAnnualMethaneFromEntericFermentation(W144,W108,W128)</f>
        <v>0.60679113521101213</v>
      </c>
      <c r="X160" s="25" cm="1">
        <f t="array" aca="1" ref="X160" ca="1">EntericMethane_PastureBeef_Equations.VEERG_3_2_1_1__1_TotalAnnualMethaneFromEntericFermentation(X144,X108,X128)</f>
        <v>0.38568368207519993</v>
      </c>
      <c r="Y160" s="25" cm="1">
        <f t="array" aca="1" ref="Y160" ca="1">EntericMethane_PastureBeef_Equations.VEERG_3_2_1_1__1_TotalAnnualMethaneFromEntericFermentation(Y144,Y108,Y128)</f>
        <v>0.5050531744094251</v>
      </c>
      <c r="Z160" s="25" cm="1">
        <f t="array" aca="1" ref="Z160" ca="1">EntericMethane_PastureBeef_Equations.VEERG_3_2_1_1__1_TotalAnnualMethaneFromEntericFermentation(Z144,Z108,Z128)</f>
        <v>0.50006444018011187</v>
      </c>
      <c r="AA160" s="25" cm="1">
        <f t="array" aca="1" ref="AA160" ca="1">EntericMethane_PastureBeef_Equations.VEERG_3_2_1_1__1_TotalAnnualMethaneFromEntericFermentation(AA144,AA108,AA128)</f>
        <v>0.50006444018011187</v>
      </c>
      <c r="AB160" s="25" cm="1">
        <f t="array" aca="1" ref="AB160" ca="1">EntericMethane_PastureBeef_Equations.VEERG_3_2_1_1__1_TotalAnnualMethaneFromEntericFermentation(AB144,AB108,AB128)</f>
        <v>0.422728915885632</v>
      </c>
      <c r="AC160" s="25" cm="1">
        <f t="array" aca="1" ref="AC160" ca="1">EntericMethane_PastureBeef_Equations.VEERG_3_2_1_1__1_TotalAnnualMethaneFromEntericFermentation(AC144,AC108,AC128)</f>
        <v>0.47120481705053707</v>
      </c>
      <c r="AD160" s="25" cm="1">
        <f t="array" aca="1" ref="AD160" ca="1">EntericMethane_PastureBeef_Equations.VEERG_3_2_1_1__1_TotalAnnualMethaneFromEntericFermentation(AD144,AD108,AD128)</f>
        <v>0.47120481705053707</v>
      </c>
      <c r="AE160" s="25" cm="1">
        <f t="array" aca="1" ref="AE160" ca="1">EntericMethane_PastureBeef_Equations.VEERG_3_2_1_1__1_TotalAnnualMethaneFromEntericFermentation(AE144,AE108,AE128)</f>
        <v>0.47120481705053707</v>
      </c>
      <c r="AF160" s="26"/>
    </row>
    <row r="161" spans="21:24" ht="20.100000000000001" customHeight="1" x14ac:dyDescent="0.25">
      <c r="U161" s="119" t="s">
        <v>298</v>
      </c>
      <c r="V161" s="120">
        <f ca="1">SUM(V149:AE160)</f>
        <v>54.699181903674365</v>
      </c>
      <c r="W161" s="121">
        <f ca="1">V140</f>
        <v>31</v>
      </c>
    </row>
    <row r="162" spans="21:24" ht="20.100000000000001" customHeight="1" x14ac:dyDescent="0.25"/>
    <row r="163" spans="21:24" ht="20.100000000000001" customHeight="1" x14ac:dyDescent="0.25">
      <c r="U163" s="122" t="str" cm="1">
        <f t="array" ref="U163:V164">Common_Equations.Common_ConvertCH4ToCO2e_Arguments()</f>
        <v>ECH4</v>
      </c>
      <c r="V163" s="123" t="str">
        <v>Methane emissions (t CH4)</v>
      </c>
      <c r="W163" s="124"/>
      <c r="X163" s="25">
        <f ca="1">V161</f>
        <v>54.699181903674365</v>
      </c>
    </row>
    <row r="164" spans="21:24" ht="20.100000000000001" customHeight="1" x14ac:dyDescent="0.25">
      <c r="U164" s="122" t="str">
        <v>GWPCH4</v>
      </c>
      <c r="V164" s="123" t="str">
        <v>Global warming potential for methane (t CO2-e / t CH4)</v>
      </c>
      <c r="W164" s="124"/>
      <c r="X164" s="25">
        <f>Common_InputFunctions.Utility_LookupValueInTableNumber("CH4",Table_GWPData[Gas],Table_GWPData[CO2-e factor])</f>
        <v>28</v>
      </c>
    </row>
    <row r="165" spans="21:24" ht="20.100000000000001" customHeight="1" x14ac:dyDescent="0.25"/>
    <row r="166" spans="21:24" ht="20.100000000000001" customHeight="1" x14ac:dyDescent="0.25">
      <c r="U166" s="118" t="s">
        <v>301</v>
      </c>
      <c r="V166" s="118" cm="1">
        <f t="array" aca="1" ref="V166" ca="1">Common_Equations.Common_ConvertN2OToCO2e(X163,X164)</f>
        <v>1531.5770933028823</v>
      </c>
      <c r="W166" s="125" t="str" cm="1">
        <f t="array" ref="W166">Common_Equations.Common_ConvertN2OToCO2e_Unit()</f>
        <v>t CO2e</v>
      </c>
    </row>
    <row r="167" spans="21:24" ht="20.100000000000001" customHeight="1" x14ac:dyDescent="0.25"/>
    <row r="168" spans="21:24" ht="20.100000000000001" customHeight="1" x14ac:dyDescent="0.25"/>
    <row r="169" spans="21:24" ht="20.100000000000001" customHeight="1" x14ac:dyDescent="0.25"/>
    <row r="170" spans="21:24" ht="20.100000000000001" customHeight="1" x14ac:dyDescent="0.25"/>
    <row r="171" spans="21:24" ht="20.100000000000001" customHeight="1" x14ac:dyDescent="0.25"/>
    <row r="172" spans="21:24" ht="20.100000000000001" customHeight="1" x14ac:dyDescent="0.25"/>
    <row r="173" spans="21:24" ht="20.100000000000001" customHeight="1" x14ac:dyDescent="0.25"/>
    <row r="174" spans="21:24" ht="20.100000000000001" customHeight="1" x14ac:dyDescent="0.25"/>
    <row r="175" spans="21:24" ht="20.100000000000001" customHeight="1" x14ac:dyDescent="0.25"/>
    <row r="176" spans="21:24" ht="20.100000000000001" customHeight="1" x14ac:dyDescent="0.25"/>
    <row r="177" spans="34:34" ht="20.100000000000001" customHeight="1" x14ac:dyDescent="0.25">
      <c r="AH177" s="26"/>
    </row>
    <row r="178" spans="34:34" ht="20.100000000000001" customHeight="1" x14ac:dyDescent="0.25"/>
    <row r="179" spans="34:34" ht="20.100000000000001" customHeight="1" x14ac:dyDescent="0.25"/>
    <row r="180" spans="34:34" ht="20.100000000000001" customHeight="1" x14ac:dyDescent="0.25"/>
    <row r="181" spans="34:34" ht="20.100000000000001" customHeight="1" x14ac:dyDescent="0.25"/>
    <row r="182" spans="34:34" ht="20.100000000000001" customHeight="1" x14ac:dyDescent="0.25"/>
    <row r="183" spans="34:34" ht="20.100000000000001" customHeight="1" x14ac:dyDescent="0.25"/>
    <row r="184" spans="34:34" ht="20.100000000000001" customHeight="1" x14ac:dyDescent="0.25"/>
    <row r="185" spans="34:34" ht="20.100000000000001" customHeight="1" x14ac:dyDescent="0.25"/>
    <row r="186" spans="34:34" ht="20.100000000000001" customHeight="1" x14ac:dyDescent="0.25"/>
    <row r="187" spans="34:34" ht="20.100000000000001" customHeight="1" x14ac:dyDescent="0.25"/>
    <row r="188" spans="34:34" ht="20.100000000000001" customHeight="1" x14ac:dyDescent="0.25"/>
    <row r="189" spans="34:34" ht="20.100000000000001" customHeight="1" x14ac:dyDescent="0.25"/>
    <row r="190" spans="34:34" ht="20.100000000000001" customHeight="1" x14ac:dyDescent="0.25"/>
    <row r="191" spans="34:34" ht="20.100000000000001" customHeight="1" x14ac:dyDescent="0.25"/>
    <row r="192" spans="34:34"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spans="17:17" ht="20.100000000000001" customHeight="1" x14ac:dyDescent="0.25"/>
    <row r="226" spans="17:17" ht="20.100000000000001" customHeight="1" x14ac:dyDescent="0.25"/>
    <row r="227" spans="17:17" ht="20.100000000000001" customHeight="1" x14ac:dyDescent="0.25"/>
    <row r="228" spans="17:17" ht="20.100000000000001" customHeight="1" x14ac:dyDescent="0.25"/>
    <row r="229" spans="17:17" ht="20.100000000000001" customHeight="1" x14ac:dyDescent="0.25"/>
    <row r="230" spans="17:17" ht="20.100000000000001" customHeight="1" x14ac:dyDescent="0.25"/>
    <row r="231" spans="17:17" ht="20.100000000000001" customHeight="1" x14ac:dyDescent="0.25"/>
    <row r="232" spans="17:17" ht="20.100000000000001" customHeight="1" x14ac:dyDescent="0.25"/>
    <row r="233" spans="17:17" ht="20.100000000000001" customHeight="1" x14ac:dyDescent="0.25"/>
    <row r="234" spans="17:17" ht="20.100000000000001" customHeight="1" x14ac:dyDescent="0.25"/>
    <row r="235" spans="17:17" ht="20.100000000000001" customHeight="1" x14ac:dyDescent="0.25">
      <c r="Q235" s="26"/>
    </row>
    <row r="236" spans="17:17" ht="20.100000000000001" customHeight="1" x14ac:dyDescent="0.25">
      <c r="Q236" s="26"/>
    </row>
    <row r="237" spans="17:17" ht="20.100000000000001" customHeight="1" x14ac:dyDescent="0.25">
      <c r="Q237" s="26"/>
    </row>
    <row r="238" spans="17:17" ht="20.100000000000001" customHeight="1" x14ac:dyDescent="0.25">
      <c r="Q238" s="26"/>
    </row>
    <row r="239" spans="17:17" ht="20.100000000000001" customHeight="1" x14ac:dyDescent="0.25">
      <c r="Q239" s="26"/>
    </row>
    <row r="240" spans="17:17" ht="20.100000000000001" customHeight="1" x14ac:dyDescent="0.25">
      <c r="Q240" s="26"/>
    </row>
    <row r="241" spans="17:34" ht="20.100000000000001" customHeight="1" x14ac:dyDescent="0.25">
      <c r="Q241" s="26"/>
    </row>
    <row r="242" spans="17:34" ht="20.100000000000001" customHeight="1" x14ac:dyDescent="0.25">
      <c r="Q242" s="26"/>
    </row>
    <row r="243" spans="17:34" ht="20.100000000000001" customHeight="1" x14ac:dyDescent="0.25"/>
    <row r="244" spans="17:34" ht="20.100000000000001" customHeight="1" x14ac:dyDescent="0.25"/>
    <row r="245" spans="17:34" ht="20.100000000000001" customHeight="1" x14ac:dyDescent="0.25"/>
    <row r="246" spans="17:34" ht="20.100000000000001" customHeight="1" x14ac:dyDescent="0.25"/>
    <row r="247" spans="17:34" ht="20.100000000000001" customHeight="1" x14ac:dyDescent="0.25"/>
    <row r="248" spans="17:34" ht="20.100000000000001" customHeight="1" x14ac:dyDescent="0.25"/>
    <row r="249" spans="17:34" ht="20.100000000000001" customHeight="1" x14ac:dyDescent="0.25"/>
    <row r="250" spans="17:34" ht="20.100000000000001" customHeight="1" x14ac:dyDescent="0.25"/>
    <row r="251" spans="17:34" ht="20.100000000000001" customHeight="1" x14ac:dyDescent="0.25">
      <c r="AH251" s="26"/>
    </row>
    <row r="252" spans="17:34" ht="20.100000000000001" customHeight="1" x14ac:dyDescent="0.25">
      <c r="AH252" s="26"/>
    </row>
    <row r="253" spans="17:34" ht="20.100000000000001" customHeight="1" x14ac:dyDescent="0.25">
      <c r="AH253" s="26"/>
    </row>
    <row r="254" spans="17:34" ht="20.100000000000001" customHeight="1" x14ac:dyDescent="0.25">
      <c r="AH254" s="26"/>
    </row>
    <row r="255" spans="17:34" ht="20.100000000000001" customHeight="1" x14ac:dyDescent="0.25">
      <c r="AH255" s="26"/>
    </row>
    <row r="256" spans="17:34" ht="20.100000000000001" customHeight="1" x14ac:dyDescent="0.25">
      <c r="AH256" s="26"/>
    </row>
    <row r="257" spans="34:34" ht="20.100000000000001" customHeight="1" x14ac:dyDescent="0.25">
      <c r="AH257" s="26"/>
    </row>
    <row r="258" spans="34:34" ht="20.100000000000001" customHeight="1" x14ac:dyDescent="0.25">
      <c r="AH258" s="26"/>
    </row>
    <row r="259" spans="34:34" ht="20.100000000000001" customHeight="1" x14ac:dyDescent="0.25">
      <c r="AH259" s="26"/>
    </row>
    <row r="260" spans="34:34" ht="20.100000000000001" customHeight="1" x14ac:dyDescent="0.25">
      <c r="AH260" s="26"/>
    </row>
    <row r="261" spans="34:34" ht="20.100000000000001" customHeight="1" x14ac:dyDescent="0.25">
      <c r="AH261" s="26"/>
    </row>
    <row r="262" spans="34:34" ht="20.100000000000001" customHeight="1" x14ac:dyDescent="0.25">
      <c r="AH262" s="26"/>
    </row>
    <row r="263" spans="34:34" ht="20.100000000000001" customHeight="1" x14ac:dyDescent="0.25">
      <c r="AH263" s="26"/>
    </row>
    <row r="264" spans="34:34" ht="20.100000000000001" customHeight="1" x14ac:dyDescent="0.25">
      <c r="AH264" s="26"/>
    </row>
    <row r="265" spans="34:34" ht="20.100000000000001" customHeight="1" x14ac:dyDescent="0.25">
      <c r="AH265" s="26"/>
    </row>
    <row r="266" spans="34:34" ht="20.100000000000001" customHeight="1" x14ac:dyDescent="0.25">
      <c r="AH266" s="26"/>
    </row>
    <row r="267" spans="34:34" ht="20.100000000000001" customHeight="1" x14ac:dyDescent="0.25">
      <c r="AH267" s="26"/>
    </row>
    <row r="268" spans="34:34" ht="20.100000000000001" customHeight="1" x14ac:dyDescent="0.25">
      <c r="AH268" s="26"/>
    </row>
    <row r="269" spans="34:34" ht="20.100000000000001" customHeight="1" x14ac:dyDescent="0.25">
      <c r="AH269" s="26"/>
    </row>
    <row r="270" spans="34:34" ht="20.100000000000001" customHeight="1" x14ac:dyDescent="0.25">
      <c r="AH270" s="26"/>
    </row>
    <row r="271" spans="34:34" ht="20.100000000000001" customHeight="1" x14ac:dyDescent="0.25">
      <c r="AH271" s="26"/>
    </row>
    <row r="272" spans="34:34" x14ac:dyDescent="0.25">
      <c r="AH272" s="26"/>
    </row>
    <row r="273" spans="34:34" x14ac:dyDescent="0.25">
      <c r="AH273" s="26"/>
    </row>
    <row r="274" spans="34:34" x14ac:dyDescent="0.25">
      <c r="AH274" s="26"/>
    </row>
  </sheetData>
  <dataValidations count="1">
    <dataValidation operator="equal" allowBlank="1" showInputMessage="1" showErrorMessage="1" sqref="E255 D100:G100 E258 V111 D103:I103 F119:J119" xr:uid="{30A5E129-15C8-4CB2-B5EB-5E36C495A857}"/>
  </dataValidations>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CEB9B-9AE0-45FF-A4F0-136A0EF66602}">
  <dimension ref="A1:AK281"/>
  <sheetViews>
    <sheetView showGridLines="0" topLeftCell="A114" zoomScale="70" zoomScaleNormal="70" workbookViewId="0">
      <selection activeCell="A46" sqref="A46"/>
    </sheetView>
  </sheetViews>
  <sheetFormatPr defaultRowHeight="15.75" x14ac:dyDescent="0.25"/>
  <cols>
    <col min="1" max="1" width="30.7109375" customWidth="1"/>
    <col min="2" max="2" width="4.7109375" customWidth="1"/>
    <col min="3" max="3" width="4.7109375" style="1" customWidth="1"/>
    <col min="4" max="19" width="30.7109375" style="1" customWidth="1"/>
    <col min="20" max="20" width="4.7109375" style="1" customWidth="1"/>
    <col min="21" max="21" width="4.7109375" customWidth="1"/>
    <col min="22" max="22" width="4.7109375" style="1" customWidth="1"/>
    <col min="23" max="36" width="30.7109375" style="1" customWidth="1"/>
    <col min="37" max="37" width="4.7109375" style="1" customWidth="1"/>
  </cols>
  <sheetData>
    <row r="1" spans="1:37" s="31" customFormat="1" ht="30" customHeight="1" x14ac:dyDescent="0.35">
      <c r="A1" s="16" t="e" vm="1">
        <v>#VALUE!</v>
      </c>
      <c r="C1" s="31" t="s">
        <v>392</v>
      </c>
    </row>
    <row r="2" spans="1:37" s="3" customFormat="1" ht="20.100000000000001" customHeight="1" x14ac:dyDescent="0.25">
      <c r="A2"/>
    </row>
    <row r="3" spans="1:37" ht="20.100000000000001" customHeight="1" x14ac:dyDescent="0.25">
      <c r="A3" s="5" t="str">
        <f>HYPERLINK("#'Home'!A1", "Home")</f>
        <v>Home</v>
      </c>
      <c r="C3" s="33"/>
      <c r="D3" s="33" t="s">
        <v>149</v>
      </c>
      <c r="E3" s="33"/>
      <c r="F3" s="33"/>
      <c r="G3" s="33"/>
      <c r="H3" s="33"/>
      <c r="I3" s="33"/>
      <c r="J3" s="33"/>
      <c r="K3" s="33"/>
      <c r="L3" s="33"/>
      <c r="M3" s="33"/>
      <c r="N3" s="33"/>
      <c r="O3" s="33"/>
      <c r="P3" s="33"/>
      <c r="Q3" s="33"/>
      <c r="R3" s="33"/>
      <c r="S3" s="33"/>
      <c r="T3" s="33"/>
      <c r="V3" s="33"/>
      <c r="W3" s="33" t="s">
        <v>150</v>
      </c>
      <c r="X3" s="33"/>
      <c r="Y3" s="33"/>
      <c r="Z3" s="33"/>
      <c r="AA3" s="33"/>
      <c r="AB3" s="33"/>
      <c r="AC3" s="33"/>
      <c r="AD3" s="33"/>
      <c r="AE3" s="33"/>
      <c r="AF3" s="33"/>
      <c r="AG3" s="33"/>
      <c r="AH3" s="33"/>
      <c r="AI3" s="33"/>
      <c r="AJ3" s="33"/>
      <c r="AK3" s="33"/>
    </row>
    <row r="4" spans="1:37" ht="20.100000000000001" customHeight="1" x14ac:dyDescent="0.25">
      <c r="A4" s="5" t="str">
        <f>HYPERLINK("#'Results'!A1", "Results")</f>
        <v>Results</v>
      </c>
    </row>
    <row r="5" spans="1:37" ht="20.100000000000001" customHeight="1" x14ac:dyDescent="0.25">
      <c r="D5" s="2" t="str" cm="1">
        <f t="array" ref="D5">EntericMethane_PastureBeef_Equations.VEERG_3_2_1_1__4_AdditionalIntakeForMilkProduction_Title()</f>
        <v>Additional intake for milk production in the season of calving and the season after calving</v>
      </c>
    </row>
    <row r="6" spans="1:37" ht="20.100000000000001" customHeight="1" x14ac:dyDescent="0.25">
      <c r="D6" s="27" t="str" cm="1">
        <f t="array" ref="D6">EntericMethane_PastureBeef_Equations.VEERG_3_2_1_1__4_AdditionalIntakeForMilkProduction_Source()</f>
        <v>VEERG 2026: 3.2.1.1, Equation (4)</v>
      </c>
    </row>
    <row r="7" spans="1:37" ht="20.100000000000001" customHeight="1" x14ac:dyDescent="0.25">
      <c r="A7" s="7" t="s">
        <v>0</v>
      </c>
      <c r="D7" s="105" t="s">
        <v>261</v>
      </c>
      <c r="E7" s="105" t="s">
        <v>262</v>
      </c>
    </row>
    <row r="8" spans="1:37" ht="20.100000000000001" customHeight="1" x14ac:dyDescent="0.25">
      <c r="A8" s="5" t="str">
        <f>HYPERLINK("#'Input - Enterprise'!A1", "Enterprise")</f>
        <v>Enterprise</v>
      </c>
    </row>
    <row r="9" spans="1:37" ht="20.100000000000001" customHeight="1" x14ac:dyDescent="0.25">
      <c r="A9" s="5" t="str">
        <f>HYPERLINK("#'Input - Site'!A1", "Site")</f>
        <v>Site</v>
      </c>
    </row>
    <row r="10" spans="1:37" ht="20.100000000000001" customHeight="1" x14ac:dyDescent="0.25">
      <c r="A10" s="5" t="str">
        <f>HYPERLINK("#'Input - Pasture Beef'!A1", "Pasture Beef")</f>
        <v>Pasture Beef</v>
      </c>
      <c r="D10" s="88" t="s">
        <v>263</v>
      </c>
      <c r="E10" s="1" t="str" cm="1">
        <f t="array" ref="E10">EntericMethane_PastureBeef_Equations.VEERG_3_2_1_1__4_AdditionalIntakeForMilkProduction_Variable()</f>
        <v>MA_jk45</v>
      </c>
    </row>
    <row r="11" spans="1:37" ht="20.100000000000001" customHeight="1" x14ac:dyDescent="0.25">
      <c r="A11" s="5" t="str">
        <f>HYPERLINK("#'Input - Pasture Beef (Enteric)'!A1", "Pasture Beef (Enteric)")</f>
        <v>Pasture Beef (Enteric)</v>
      </c>
      <c r="D11" s="88" t="s">
        <v>130</v>
      </c>
      <c r="E11" s="15" t="str" cm="1">
        <f t="array" ref="E11">EntericMethane_PastureBeef_Equations.VEERG_3_2_1_1__4_AdditionalIntakeForMilkProduction_Unit()</f>
        <v>fraction</v>
      </c>
    </row>
    <row r="12" spans="1:37" ht="20.100000000000001" customHeight="1" x14ac:dyDescent="0.25">
      <c r="A12" s="5" t="str">
        <f>HYPERLINK("#'Input - Pasture'!A1", "Pasture")</f>
        <v>Pasture</v>
      </c>
    </row>
    <row r="13" spans="1:37" ht="20.100000000000001" customHeight="1" x14ac:dyDescent="0.25">
      <c r="A13" s="5" t="str">
        <f>HYPERLINK("#'Input - Fertiliser'!A1", "Fertiliser")</f>
        <v>Fertiliser</v>
      </c>
      <c r="D13" s="107" t="str" cm="1">
        <f t="array" ref="D13:E16">_xlfn.CHOOSECOLS(EntericMethane_PastureBeef_Equations.VEERG_3_2_1_1__4_AdditionalIntakeForMilkProduction_ArgumentsVariation(), 1, 2)</f>
        <v>LC_jk45</v>
      </c>
      <c r="E13" s="108" t="str">
        <v>proportion of cows greater than 1 year in calf in the season of calving expressed as a fraction</v>
      </c>
      <c r="F13" s="109"/>
      <c r="G13" s="110"/>
      <c r="H13" s="107" t="str" cm="1">
        <f t="array" ref="H13:I16">_xlfn.CHOOSECOLS(EntericMethane_PastureBeef_Equations.VEERG_3_2_1_1__4_AdditionalIntakeForMilkProduction_ArgumentsVariation(), 3,4)</f>
        <v>fraction</v>
      </c>
      <c r="I13" s="111" t="str">
        <v>Input</v>
      </c>
      <c r="J13" s="113" t="str" cm="1">
        <f t="array" aca="1" ref="J13" ca="1">HYPERLINK(Common_InputFunctions.Utility_SourceHyperlink($D$19), $D$19)</f>
        <v>M1_Table_LC_j_k-4-5</v>
      </c>
    </row>
    <row r="14" spans="1:37" ht="20.100000000000001" customHeight="1" x14ac:dyDescent="0.25">
      <c r="A14" s="5" t="str">
        <f>HYPERLINK("#'Input - Fuel'!A1", "Fuel")</f>
        <v>Fuel</v>
      </c>
      <c r="D14" s="107" t="str">
        <v>FA_jk45calv</v>
      </c>
      <c r="E14" s="108" t="str">
        <v>feed adjustment value for lactating cows in the season of calving expressed as a fraction</v>
      </c>
      <c r="F14" s="109"/>
      <c r="G14" s="110"/>
      <c r="H14" s="107" t="str">
        <v>fraction</v>
      </c>
      <c r="I14" s="112" t="str">
        <v>Constant</v>
      </c>
      <c r="J14" s="107" cm="1">
        <f t="array" ref="J14">_xlfn.XLOOKUP(1, (Table_SourceData_PastureBeef_FeedIntakeAdjustment_Variation[Breed]=$J$16)*(Table_SourceData_PastureBeef_FeedIntakeAdjustment_Variation[Season]=+"Calving season"),Table_SourceData_PastureBeef_FeedIntakeAdjustment_Variation[Feed adjustment])</f>
        <v>1.3</v>
      </c>
    </row>
    <row r="15" spans="1:37" ht="20.100000000000001" customHeight="1" x14ac:dyDescent="0.25">
      <c r="A15" s="5" t="str">
        <f>HYPERLINK("#'Input - Electricity'!A1", "Electricity")</f>
        <v>Electricity</v>
      </c>
      <c r="D15" s="107" t="str">
        <v>FA_jk45after</v>
      </c>
      <c r="E15" s="108" t="str">
        <v>feed adjustment value for lactating cows in the season immediately after calving expressed as a fraction</v>
      </c>
      <c r="F15" s="109"/>
      <c r="G15" s="110"/>
      <c r="H15" s="107" t="str">
        <v>fraction</v>
      </c>
      <c r="I15" s="112" t="str">
        <v>Constant</v>
      </c>
      <c r="J15" s="107" cm="1">
        <f t="array" ref="J15">_xlfn.XLOOKUP(1, (Table_SourceData_PastureBeef_FeedIntakeAdjustment_Variation[Breed]=$J$16)*(Table_SourceData_PastureBeef_FeedIntakeAdjustment_Variation[Season]=+"Season after calving"),Table_SourceData_PastureBeef_FeedIntakeAdjustment_Variation[Feed adjustment])</f>
        <v>1.1000000000000001</v>
      </c>
    </row>
    <row r="16" spans="1:37" ht="20.100000000000001" customHeight="1" x14ac:dyDescent="0.25">
      <c r="D16" s="107" t="str">
        <v>b</v>
      </c>
      <c r="E16" s="108" t="str">
        <v>breed of cattle</v>
      </c>
      <c r="F16" s="109"/>
      <c r="G16" s="110"/>
      <c r="H16" s="107" t="str">
        <v/>
      </c>
      <c r="I16" s="111" t="str">
        <v>Input</v>
      </c>
      <c r="J16" s="107" t="str">
        <f>X_Cell_PastureBeef_Breed</f>
        <v>Hereford or Shorthorn breeds</v>
      </c>
    </row>
    <row r="17" spans="1:36" ht="20.100000000000001" customHeight="1" x14ac:dyDescent="0.25"/>
    <row r="18" spans="1:36" ht="20.100000000000001" customHeight="1" x14ac:dyDescent="0.25">
      <c r="A18" s="6" t="s">
        <v>2</v>
      </c>
    </row>
    <row r="19" spans="1:36" ht="20.100000000000001" customHeight="1" x14ac:dyDescent="0.25">
      <c r="A19" s="5" t="str">
        <f>HYPERLINK("#'3.2.1.1-2 Enteric Methane'!A1", "3.2.1.1-2 Enteric methane")</f>
        <v>3.2.1.1-2 Enteric methane</v>
      </c>
      <c r="D19" s="114" t="s">
        <v>264</v>
      </c>
      <c r="W19" s="114" t="s">
        <v>266</v>
      </c>
    </row>
    <row r="20" spans="1:36" ht="20.100000000000001" customHeight="1" x14ac:dyDescent="0.25">
      <c r="A20" s="106" t="str">
        <f>HYPERLINK("#'4.2.1.1-2 Methane'!A1", "4.2.1.1-2 Manure methane")</f>
        <v>4.2.1.1-2 Manure methane</v>
      </c>
      <c r="D20" s="115" t="s">
        <v>265</v>
      </c>
      <c r="W20" s="115" t="s">
        <v>267</v>
      </c>
    </row>
    <row r="21" spans="1:36" ht="20.100000000000001" customHeight="1" x14ac:dyDescent="0.25">
      <c r="A21" s="5" t="str">
        <f>HYPERLINK("#'4.2.1.3-4 Soil direct N20'!A1", "4.2.1.3-4 Soil direct N2O")</f>
        <v>4.2.1.3-4 Soil direct N2O</v>
      </c>
      <c r="D21" s="116" t="s">
        <v>78</v>
      </c>
      <c r="E21" s="117" t="s">
        <v>216</v>
      </c>
      <c r="F21" s="117" t="s">
        <v>196</v>
      </c>
      <c r="G21" s="117" t="s">
        <v>197</v>
      </c>
      <c r="H21" s="117" t="s">
        <v>198</v>
      </c>
      <c r="W21" s="116" t="s">
        <v>77</v>
      </c>
      <c r="X21" s="117" t="s">
        <v>196</v>
      </c>
      <c r="Y21" s="117" t="s">
        <v>197</v>
      </c>
      <c r="Z21" s="117" t="s">
        <v>198</v>
      </c>
    </row>
    <row r="22" spans="1:36" ht="20.100000000000001" customHeight="1" x14ac:dyDescent="0.25">
      <c r="A22" s="5" t="str">
        <f>HYPERLINK("#'4.2.1.5-6 Soil Atmos Dep'!A1", "4.2.1.5-6 Soil atm. deposition")</f>
        <v>4.2.1.5-6 Soil atm. deposition</v>
      </c>
      <c r="D22" s="25" t="s">
        <v>203</v>
      </c>
      <c r="E22" s="25" t="str">
        <f>'Input - Pasture Beef'!$E112</f>
        <v>Yes</v>
      </c>
      <c r="F22" s="176">
        <f>'Input - Pasture Beef'!$F112</f>
        <v>0.1</v>
      </c>
      <c r="G22" s="176">
        <f>'Input - Pasture Beef'!$G112</f>
        <v>0.4</v>
      </c>
      <c r="H22" s="176">
        <f>'Input - Pasture Beef'!$H112</f>
        <v>0.4</v>
      </c>
      <c r="I22" s="26" t="s">
        <v>268</v>
      </c>
      <c r="W22" s="25" t="str">
        <f>TEXT(EDATE('Input - Pasture Beef'!$D$125,0), "mmmm") &amp; ", " &amp; TEXT(EDATE('Input - Pasture Beef'!$D$126,0), "mmmm") &amp; ", " &amp; TEXT(EDATE('Input - Pasture Beef'!$D$127,0), "mmmm")</f>
        <v>August, September, October</v>
      </c>
      <c r="X22" s="176">
        <f>'Input - Pasture Beef'!$E$128</f>
        <v>0.75</v>
      </c>
      <c r="Y22" s="176">
        <f>'Input - Pasture Beef'!$F$128</f>
        <v>0.75</v>
      </c>
      <c r="Z22" s="176">
        <f>'Input - Pasture Beef'!$G$128</f>
        <v>0.75</v>
      </c>
      <c r="AA22" s="26" t="s">
        <v>268</v>
      </c>
    </row>
    <row r="23" spans="1:36" ht="20.100000000000001" customHeight="1" x14ac:dyDescent="0.25">
      <c r="A23" s="5" t="str">
        <f>HYPERLINK("#'4.2.1.7-8 Soil leach runoff'!A1", "4.2.1.7-8 Soil leach &amp; runoff")</f>
        <v>4.2.1.7-8 Soil leach &amp; runoff</v>
      </c>
      <c r="D23" s="25" t="s">
        <v>204</v>
      </c>
      <c r="E23" s="25" t="str">
        <f>'Input - Pasture Beef'!$E113</f>
        <v>Yes</v>
      </c>
      <c r="F23" s="176">
        <f>'Input - Pasture Beef'!$F113</f>
        <v>0.1</v>
      </c>
      <c r="G23" s="176">
        <f>'Input - Pasture Beef'!$G113</f>
        <v>0</v>
      </c>
      <c r="H23" s="176">
        <f>'Input - Pasture Beef'!$H113</f>
        <v>0</v>
      </c>
      <c r="W23" s="25" t="str">
        <f>TEXT(EDATE('Input - Pasture Beef'!$D$127,1), "mmmm") &amp; ", " &amp; TEXT(EDATE('Input - Pasture Beef'!$D$127,2), "mmmm") &amp; ", " &amp; TEXT(EDATE('Input - Pasture Beef'!$D$127,3), "mmmm")</f>
        <v>November, December, January</v>
      </c>
      <c r="AA23" s="26"/>
    </row>
    <row r="24" spans="1:36" ht="20.100000000000001" customHeight="1" x14ac:dyDescent="0.25">
      <c r="A24" s="5" t="str">
        <f>HYPERLINK("#'5.1.1.1-2 Inorganic fert N2O'!A1", "5.1.1.1-2 Inorganic fert N2O")</f>
        <v>5.1.1.1-2 Inorganic fert N2O</v>
      </c>
      <c r="D24" s="25" t="s">
        <v>205</v>
      </c>
      <c r="E24" s="25" t="str">
        <f>'Input - Pasture Beef'!$E114</f>
        <v>No</v>
      </c>
      <c r="F24" s="176">
        <f>'Input - Pasture Beef'!$F114</f>
        <v>0</v>
      </c>
      <c r="G24" s="176">
        <f>'Input - Pasture Beef'!$G114</f>
        <v>0</v>
      </c>
      <c r="H24" s="176">
        <f>'Input - Pasture Beef'!$H114</f>
        <v>0</v>
      </c>
      <c r="AA24" s="26"/>
    </row>
    <row r="25" spans="1:36" ht="20.100000000000001" customHeight="1" x14ac:dyDescent="0.25">
      <c r="A25" s="5" t="str">
        <f>HYPERLINK("#'5.1.1.3-4 Inorganic fert CO2'!A1", "5.1.1.3-4 Inorganic fert CO2")</f>
        <v>5.1.1.3-4 Inorganic fert CO2</v>
      </c>
      <c r="D25" s="25" t="s">
        <v>206</v>
      </c>
      <c r="E25" s="25" t="str">
        <f>'Input - Pasture Beef'!$E112</f>
        <v>Yes</v>
      </c>
      <c r="F25" s="176">
        <f>'Input - Pasture Beef'!$F$111</f>
        <v>0.7</v>
      </c>
      <c r="G25" s="176">
        <f>'Input - Pasture Beef'!$G$111</f>
        <v>0.5</v>
      </c>
      <c r="H25" s="176">
        <f>'Input - Pasture Beef'!$H$111</f>
        <v>0.5</v>
      </c>
      <c r="W25" s="114" t="s">
        <v>272</v>
      </c>
    </row>
    <row r="26" spans="1:36" ht="20.100000000000001" customHeight="1" x14ac:dyDescent="0.25">
      <c r="A26" s="5" t="str">
        <f>HYPERLINK("#'5.2.1.1-2 Organic Fert N2O'!A1", "5.2.1.1-2 Organic fert N2O")</f>
        <v>5.2.1.1-2 Organic fert N2O</v>
      </c>
      <c r="W26" s="115" t="s">
        <v>273</v>
      </c>
    </row>
    <row r="27" spans="1:36" ht="20.100000000000001" customHeight="1" x14ac:dyDescent="0.25">
      <c r="A27" s="5" t="str">
        <f>HYPERLINK("#'5.3.1.1-2 Lime CO2'!A1", "5.3.1.1-2 Lime CO2")</f>
        <v>5.3.1.1-2 Lime CO2</v>
      </c>
      <c r="D27" s="114" t="s">
        <v>269</v>
      </c>
      <c r="W27" s="116" t="s">
        <v>77</v>
      </c>
      <c r="X27" s="116" t="s">
        <v>216</v>
      </c>
      <c r="Y27" s="116" t="s">
        <v>271</v>
      </c>
      <c r="Z27" s="116" t="s">
        <v>193</v>
      </c>
      <c r="AA27" s="116" t="s">
        <v>194</v>
      </c>
      <c r="AB27" s="116" t="s">
        <v>195</v>
      </c>
      <c r="AC27" s="116" t="s">
        <v>196</v>
      </c>
      <c r="AD27" s="116" t="s">
        <v>197</v>
      </c>
      <c r="AE27" s="116" t="s">
        <v>198</v>
      </c>
      <c r="AF27" s="116" t="s">
        <v>199</v>
      </c>
      <c r="AG27" s="116" t="s">
        <v>200</v>
      </c>
      <c r="AH27" s="116" t="s">
        <v>201</v>
      </c>
      <c r="AI27" s="116" t="s">
        <v>202</v>
      </c>
    </row>
    <row r="28" spans="1:36" ht="20.100000000000001" customHeight="1" x14ac:dyDescent="0.25">
      <c r="A28" s="5" t="str">
        <f>HYPERLINK("#'5.4.1.1-4 Atmos deposition'!A1", "5.4.1.1-4 Atmos. deposition")</f>
        <v>5.4.1.1-4 Atmos. deposition</v>
      </c>
      <c r="D28" s="115" t="s">
        <v>270</v>
      </c>
      <c r="W28" s="25" t="str">
        <f>TEXT('Input - Site'!$E$12,"mmmm")</f>
        <v>NO - Not in leaching zone</v>
      </c>
      <c r="X28" s="25" t="str" cm="1">
        <f t="array" ref="X28">IFERROR(_xlfn.IFS(SUMPRODUCT(ISNUMBER(SEARCH(TRIM(_xlfn.TEXTSPLIT($W$22,",")),W28))*1)&gt;0,"Calving season",SUMPRODUCT(ISNUMBER(SEARCH(TRIM(_xlfn.TEXTSPLIT($W$23,",")),W28))*1)&gt;0,"Season after calving"), "")</f>
        <v/>
      </c>
      <c r="Y28" s="25" t="str" cm="1">
        <f t="array" ref="Y28">_xlfn.IFS(X28="Calving season", $J$14, X28="Season after calving", $J$15, X28="", "")</f>
        <v/>
      </c>
      <c r="Z28" s="25">
        <v>1</v>
      </c>
      <c r="AA28" s="25">
        <v>1</v>
      </c>
      <c r="AB28" s="25">
        <v>1</v>
      </c>
      <c r="AC28" s="25" cm="1">
        <f t="array" ref="AC28">IFERROR(EntericMethane_PastureBeef_Equations.VEERG_3_2_1_1__4_AdditionalIntakeForMilkProduction(X$22,$Y28), 1)</f>
        <v>1</v>
      </c>
      <c r="AD28" s="25" cm="1">
        <f t="array" ref="AD28">IFERROR(EntericMethane_PastureBeef_Equations.VEERG_3_2_1_1__4_AdditionalIntakeForMilkProduction(Y$22,$Y28), 1)</f>
        <v>1</v>
      </c>
      <c r="AE28" s="25" cm="1">
        <f t="array" ref="AE28">IFERROR(EntericMethane_PastureBeef_Equations.VEERG_3_2_1_1__4_AdditionalIntakeForMilkProduction(Z$22,$Y28), 1)</f>
        <v>1</v>
      </c>
      <c r="AF28" s="25">
        <v>1</v>
      </c>
      <c r="AG28" s="25">
        <v>1</v>
      </c>
      <c r="AH28" s="25">
        <v>1</v>
      </c>
      <c r="AI28" s="25">
        <v>1</v>
      </c>
      <c r="AJ28" s="26" t="str">
        <f>$E$11</f>
        <v>fraction</v>
      </c>
    </row>
    <row r="29" spans="1:36" ht="20.100000000000001" customHeight="1" x14ac:dyDescent="0.25">
      <c r="A29" s="5" t="str">
        <f>HYPERLINK("#'5.5.1.1-2 Leaching and runoff'!A1", "5.5.1.1-2 Leaching &amp; runoff")</f>
        <v>5.5.1.1-2 Leaching &amp; runoff</v>
      </c>
      <c r="D29" s="116" t="s">
        <v>78</v>
      </c>
      <c r="E29" s="116" t="s">
        <v>216</v>
      </c>
      <c r="F29" s="116" t="s">
        <v>380</v>
      </c>
      <c r="G29" s="116" t="s">
        <v>271</v>
      </c>
      <c r="H29" s="116" t="s">
        <v>271</v>
      </c>
      <c r="I29" s="116" t="s">
        <v>193</v>
      </c>
      <c r="J29" s="116" t="s">
        <v>194</v>
      </c>
      <c r="K29" s="116" t="s">
        <v>195</v>
      </c>
      <c r="L29" s="116" t="s">
        <v>196</v>
      </c>
      <c r="M29" s="116" t="s">
        <v>197</v>
      </c>
      <c r="N29" s="116" t="s">
        <v>198</v>
      </c>
      <c r="O29" s="116" t="s">
        <v>199</v>
      </c>
      <c r="P29" s="116" t="s">
        <v>200</v>
      </c>
      <c r="Q29" s="116" t="s">
        <v>201</v>
      </c>
      <c r="R29" s="116" t="s">
        <v>202</v>
      </c>
      <c r="W29" s="25" t="e">
        <f>TEXT(EDATE('Input - Site'!$E$12,1), "mmmm")</f>
        <v>#VALUE!</v>
      </c>
      <c r="X29" s="25" t="str" cm="1">
        <f t="array" ref="X29">IFERROR(_xlfn.IFS(SUMPRODUCT(ISNUMBER(SEARCH(TRIM(_xlfn.TEXTSPLIT($W$22,",")),W29))*1)&gt;0,"Calving season",SUMPRODUCT(ISNUMBER(SEARCH(TRIM(_xlfn.TEXTSPLIT($W$23,",")),W29))*1)&gt;0,"Season after calving"), "")</f>
        <v/>
      </c>
      <c r="Y29" s="25" t="str" cm="1">
        <f t="array" ref="Y29">_xlfn.IFS(X29="Calving season", $J$14, X29="Season after calving", $J$15, X29="", "")</f>
        <v/>
      </c>
      <c r="Z29" s="25">
        <v>1</v>
      </c>
      <c r="AA29" s="25">
        <v>1</v>
      </c>
      <c r="AB29" s="25">
        <v>1</v>
      </c>
      <c r="AC29" s="25" cm="1">
        <f t="array" ref="AC29">IFERROR(EntericMethane_PastureBeef_Equations.VEERG_3_2_1_1__4_AdditionalIntakeForMilkProduction(X$22,$Y29), 1)</f>
        <v>1</v>
      </c>
      <c r="AD29" s="25" cm="1">
        <f t="array" ref="AD29">IFERROR(EntericMethane_PastureBeef_Equations.VEERG_3_2_1_1__4_AdditionalIntakeForMilkProduction(Y$22,$Y29), 1)</f>
        <v>1</v>
      </c>
      <c r="AE29" s="25" cm="1">
        <f t="array" ref="AE29">IFERROR(EntericMethane_PastureBeef_Equations.VEERG_3_2_1_1__4_AdditionalIntakeForMilkProduction(Z$22,$Y29), 1)</f>
        <v>1</v>
      </c>
      <c r="AF29" s="25">
        <v>1</v>
      </c>
      <c r="AG29" s="25">
        <v>1</v>
      </c>
      <c r="AH29" s="25">
        <v>1</v>
      </c>
      <c r="AI29" s="25">
        <v>1</v>
      </c>
      <c r="AJ29" s="26" t="str">
        <f t="shared" ref="AJ29:AJ39" si="0">$E$11</f>
        <v>fraction</v>
      </c>
    </row>
    <row r="30" spans="1:36" ht="20.100000000000001" customHeight="1" x14ac:dyDescent="0.25">
      <c r="A30" s="5" t="str">
        <f>HYPERLINK("#'6.2.1.1-2 Pasture residue N2O'!A1", "6.2.1.1-2 Pasture residue N2O")</f>
        <v>6.2.1.1-2 Pasture residue N2O</v>
      </c>
      <c r="D30" s="25" t="s">
        <v>203</v>
      </c>
      <c r="E30" s="25" t="str">
        <f>IF('Input - Pasture Beef'!E112="Yes", "Calving season", "")</f>
        <v>Calving season</v>
      </c>
      <c r="F30" s="25" t="str">
        <f>IF('Input - Pasture Beef'!E111="Yes", "Season after calving","")</f>
        <v>Season after calving</v>
      </c>
      <c r="G30" s="25">
        <f>IF(E30="Calving season", $J$14, 1)</f>
        <v>1.3</v>
      </c>
      <c r="H30" s="25">
        <f>IF(F30="Season after calving", $J$15, 1)</f>
        <v>1.1000000000000001</v>
      </c>
      <c r="I30" s="25">
        <v>1</v>
      </c>
      <c r="J30" s="25">
        <v>1</v>
      </c>
      <c r="K30" s="25">
        <v>1</v>
      </c>
      <c r="L30" s="129" cm="1">
        <f t="array" ref="L30">EntericMethane_PastureBeef_Equations.VEERG_3_2_1_1__4_AdditionalIntakeForMilkProductionVariation(F22,F25,$G30,$H30)</f>
        <v>1.1000000000000001</v>
      </c>
      <c r="M30" s="129" cm="1">
        <f t="array" ref="M30">EntericMethane_PastureBeef_Equations.VEERG_3_2_1_1__4_AdditionalIntakeForMilkProductionVariation(G22,G25,$G30,$H30)</f>
        <v>1.17</v>
      </c>
      <c r="N30" s="129" cm="1">
        <f t="array" ref="N30">EntericMethane_PastureBeef_Equations.VEERG_3_2_1_1__4_AdditionalIntakeForMilkProductionVariation(H22,H25,$G30,$H30)</f>
        <v>1.17</v>
      </c>
      <c r="O30" s="25">
        <v>1</v>
      </c>
      <c r="P30" s="25">
        <v>1</v>
      </c>
      <c r="Q30" s="25">
        <v>1</v>
      </c>
      <c r="R30" s="25">
        <v>1</v>
      </c>
      <c r="S30" s="26" t="str">
        <f>$E$11</f>
        <v>fraction</v>
      </c>
      <c r="W30" s="25" t="e">
        <f>TEXT(EDATE('Input - Site'!$E$12,2), "mmmm")</f>
        <v>#VALUE!</v>
      </c>
      <c r="X30" s="25" t="str" cm="1">
        <f t="array" ref="X30">IFERROR(_xlfn.IFS(SUMPRODUCT(ISNUMBER(SEARCH(TRIM(_xlfn.TEXTSPLIT($W$22,",")),W30))*1)&gt;0,"Calving season",SUMPRODUCT(ISNUMBER(SEARCH(TRIM(_xlfn.TEXTSPLIT($W$23,",")),W30))*1)&gt;0,"Season after calving"), "")</f>
        <v/>
      </c>
      <c r="Y30" s="25" t="str" cm="1">
        <f t="array" ref="Y30">_xlfn.IFS(X30="Calving season", $J$14, X30="Season after calving", $J$15, X30="", "")</f>
        <v/>
      </c>
      <c r="Z30" s="25">
        <v>1</v>
      </c>
      <c r="AA30" s="25">
        <v>1</v>
      </c>
      <c r="AB30" s="25">
        <v>1</v>
      </c>
      <c r="AC30" s="25" cm="1">
        <f t="array" ref="AC30">IFERROR(EntericMethane_PastureBeef_Equations.VEERG_3_2_1_1__4_AdditionalIntakeForMilkProduction(X$22,$Y30), 1)</f>
        <v>1</v>
      </c>
      <c r="AD30" s="25" cm="1">
        <f t="array" ref="AD30">IFERROR(EntericMethane_PastureBeef_Equations.VEERG_3_2_1_1__4_AdditionalIntakeForMilkProduction(Y$22,$Y30), 1)</f>
        <v>1</v>
      </c>
      <c r="AE30" s="25" cm="1">
        <f t="array" ref="AE30">IFERROR(EntericMethane_PastureBeef_Equations.VEERG_3_2_1_1__4_AdditionalIntakeForMilkProduction(Z$22,$Y30), 1)</f>
        <v>1</v>
      </c>
      <c r="AF30" s="25">
        <v>1</v>
      </c>
      <c r="AG30" s="25">
        <v>1</v>
      </c>
      <c r="AH30" s="25">
        <v>1</v>
      </c>
      <c r="AI30" s="25">
        <v>1</v>
      </c>
      <c r="AJ30" s="26" t="str">
        <f t="shared" si="0"/>
        <v>fraction</v>
      </c>
    </row>
    <row r="31" spans="1:36" ht="20.100000000000001" customHeight="1" x14ac:dyDescent="0.25">
      <c r="A31" s="5" t="str">
        <f>HYPERLINK("#'6.3.1.1-2 Leach runoff pasture'!A1", "6.3.1.1-2 Leach &amp; runoff (pasture)")</f>
        <v>6.3.1.1-2 Leach &amp; runoff (pasture)</v>
      </c>
      <c r="D31" s="25" t="s">
        <v>204</v>
      </c>
      <c r="E31" s="25" t="str">
        <f>IF('Input - Pasture Beef'!E113="Yes", "Calving season", "")</f>
        <v>Calving season</v>
      </c>
      <c r="F31" s="25" t="str">
        <f>IF('Input - Pasture Beef'!E112="Yes", "Season after calving","")</f>
        <v>Season after calving</v>
      </c>
      <c r="G31" s="25">
        <f>IF(E31="Calving season", $J$14, 1)</f>
        <v>1.3</v>
      </c>
      <c r="H31" s="25">
        <f>IF(F31="Season after calving", $J$15, 1)</f>
        <v>1.1000000000000001</v>
      </c>
      <c r="I31" s="25">
        <v>1</v>
      </c>
      <c r="J31" s="25">
        <v>1</v>
      </c>
      <c r="K31" s="25">
        <v>1</v>
      </c>
      <c r="L31" s="129" cm="1">
        <f t="array" ref="L31">EntericMethane_PastureBeef_Equations.VEERG_3_2_1_1__4_AdditionalIntakeForMilkProductionVariation(F23,F22,$G31,$H31)</f>
        <v>1.04</v>
      </c>
      <c r="M31" s="129" cm="1">
        <f t="array" ref="M31">EntericMethane_PastureBeef_Equations.VEERG_3_2_1_1__4_AdditionalIntakeForMilkProductionVariation(G23,G22,$G31,$H31)</f>
        <v>1.04</v>
      </c>
      <c r="N31" s="129" cm="1">
        <f t="array" ref="N31">EntericMethane_PastureBeef_Equations.VEERG_3_2_1_1__4_AdditionalIntakeForMilkProductionVariation(H23,H22,$G31,$H31)</f>
        <v>1.04</v>
      </c>
      <c r="O31" s="25">
        <v>1</v>
      </c>
      <c r="P31" s="25">
        <v>1</v>
      </c>
      <c r="Q31" s="25">
        <v>1</v>
      </c>
      <c r="R31" s="25">
        <v>1</v>
      </c>
      <c r="S31" s="26" t="str">
        <f t="shared" ref="S31:S33" si="1">$E$11</f>
        <v>fraction</v>
      </c>
      <c r="W31" s="25" t="e">
        <f>TEXT(EDATE('Input - Site'!$E$12,3), "mmmm")</f>
        <v>#VALUE!</v>
      </c>
      <c r="X31" s="25" t="str" cm="1">
        <f t="array" ref="X31">IFERROR(_xlfn.IFS(SUMPRODUCT(ISNUMBER(SEARCH(TRIM(_xlfn.TEXTSPLIT($W$22,",")),W31))*1)&gt;0,"Calving season",SUMPRODUCT(ISNUMBER(SEARCH(TRIM(_xlfn.TEXTSPLIT($W$23,",")),W31))*1)&gt;0,"Season after calving"), "")</f>
        <v/>
      </c>
      <c r="Y31" s="25" t="str" cm="1">
        <f t="array" ref="Y31">_xlfn.IFS(X31="Calving season", $J$14, X31="Season after calving", $J$15, X31="", "")</f>
        <v/>
      </c>
      <c r="Z31" s="25">
        <v>1</v>
      </c>
      <c r="AA31" s="25">
        <v>1</v>
      </c>
      <c r="AB31" s="25">
        <v>1</v>
      </c>
      <c r="AC31" s="25" cm="1">
        <f t="array" ref="AC31">IFERROR(EntericMethane_PastureBeef_Equations.VEERG_3_2_1_1__4_AdditionalIntakeForMilkProduction(X$22,$Y31), 1)</f>
        <v>1</v>
      </c>
      <c r="AD31" s="25" cm="1">
        <f t="array" ref="AD31">IFERROR(EntericMethane_PastureBeef_Equations.VEERG_3_2_1_1__4_AdditionalIntakeForMilkProduction(Y$22,$Y31), 1)</f>
        <v>1</v>
      </c>
      <c r="AE31" s="25" cm="1">
        <f t="array" ref="AE31">IFERROR(EntericMethane_PastureBeef_Equations.VEERG_3_2_1_1__4_AdditionalIntakeForMilkProduction(Z$22,$Y31), 1)</f>
        <v>1</v>
      </c>
      <c r="AF31" s="25">
        <v>1</v>
      </c>
      <c r="AG31" s="25">
        <v>1</v>
      </c>
      <c r="AH31" s="25">
        <v>1</v>
      </c>
      <c r="AI31" s="25">
        <v>1</v>
      </c>
      <c r="AJ31" s="26" t="str">
        <f t="shared" si="0"/>
        <v>fraction</v>
      </c>
    </row>
    <row r="32" spans="1:36" ht="20.100000000000001" customHeight="1" x14ac:dyDescent="0.25">
      <c r="A32" s="5" t="str">
        <f>HYPERLINK("#'8.1.1.1-2 Transport fuel'!A1", "8.1.1.1-2 Transport fuel")</f>
        <v>8.1.1.1-2 Transport fuel</v>
      </c>
      <c r="D32" s="25" t="s">
        <v>205</v>
      </c>
      <c r="E32" s="25" t="str">
        <f>IF('Input - Pasture Beef'!E114="Yes", "Calving season", "")</f>
        <v/>
      </c>
      <c r="F32" s="25" t="str">
        <f>IF('Input - Pasture Beef'!E113="Yes", "Season after calving","")</f>
        <v>Season after calving</v>
      </c>
      <c r="G32" s="25">
        <f>IF(E32="Calving season", $J$14, 1)</f>
        <v>1</v>
      </c>
      <c r="H32" s="25">
        <f>IF(F32="Season after calving", $J$15, 1)</f>
        <v>1.1000000000000001</v>
      </c>
      <c r="I32" s="25">
        <v>1</v>
      </c>
      <c r="J32" s="25">
        <v>1</v>
      </c>
      <c r="K32" s="25">
        <v>1</v>
      </c>
      <c r="L32" s="129" cm="1">
        <f t="array" ref="L32">EntericMethane_PastureBeef_Equations.VEERG_3_2_1_1__4_AdditionalIntakeForMilkProductionVariation(F24,F23,$G32,$H32)</f>
        <v>1.01</v>
      </c>
      <c r="M32" s="129" cm="1">
        <f t="array" ref="M32">EntericMethane_PastureBeef_Equations.VEERG_3_2_1_1__4_AdditionalIntakeForMilkProductionVariation(G24,G23,$G32,$H32)</f>
        <v>1</v>
      </c>
      <c r="N32" s="129" cm="1">
        <f t="array" ref="N32">EntericMethane_PastureBeef_Equations.VEERG_3_2_1_1__4_AdditionalIntakeForMilkProductionVariation(H24,H23,$G32,$H32)</f>
        <v>1</v>
      </c>
      <c r="O32" s="25">
        <v>1</v>
      </c>
      <c r="P32" s="25">
        <v>1</v>
      </c>
      <c r="Q32" s="25">
        <v>1</v>
      </c>
      <c r="R32" s="25">
        <v>1</v>
      </c>
      <c r="S32" s="26" t="str">
        <f t="shared" si="1"/>
        <v>fraction</v>
      </c>
      <c r="W32" s="25" t="e">
        <f>TEXT(EDATE('Input - Site'!$E$12,4), "mmmm")</f>
        <v>#VALUE!</v>
      </c>
      <c r="X32" s="25" t="str" cm="1">
        <f t="array" ref="X32">IFERROR(_xlfn.IFS(SUMPRODUCT(ISNUMBER(SEARCH(TRIM(_xlfn.TEXTSPLIT($W$22,",")),W32))*1)&gt;0,"Calving season",SUMPRODUCT(ISNUMBER(SEARCH(TRIM(_xlfn.TEXTSPLIT($W$23,",")),W32))*1)&gt;0,"Season after calving"), "")</f>
        <v/>
      </c>
      <c r="Y32" s="25" t="str" cm="1">
        <f t="array" ref="Y32">_xlfn.IFS(X32="Calving season", $J$14, X32="Season after calving", $J$15, X32="", "")</f>
        <v/>
      </c>
      <c r="Z32" s="25">
        <v>1</v>
      </c>
      <c r="AA32" s="25">
        <v>1</v>
      </c>
      <c r="AB32" s="25">
        <v>1</v>
      </c>
      <c r="AC32" s="25" cm="1">
        <f t="array" ref="AC32">IFERROR(EntericMethane_PastureBeef_Equations.VEERG_3_2_1_1__4_AdditionalIntakeForMilkProduction(X$22,$Y32), 1)</f>
        <v>1</v>
      </c>
      <c r="AD32" s="25" cm="1">
        <f t="array" ref="AD32">IFERROR(EntericMethane_PastureBeef_Equations.VEERG_3_2_1_1__4_AdditionalIntakeForMilkProduction(Y$22,$Y32), 1)</f>
        <v>1</v>
      </c>
      <c r="AE32" s="25" cm="1">
        <f t="array" ref="AE32">IFERROR(EntericMethane_PastureBeef_Equations.VEERG_3_2_1_1__4_AdditionalIntakeForMilkProduction(Z$22,$Y32), 1)</f>
        <v>1</v>
      </c>
      <c r="AF32" s="25">
        <v>1</v>
      </c>
      <c r="AG32" s="25">
        <v>1</v>
      </c>
      <c r="AH32" s="25">
        <v>1</v>
      </c>
      <c r="AI32" s="25">
        <v>1</v>
      </c>
      <c r="AJ32" s="26" t="str">
        <f t="shared" si="0"/>
        <v>fraction</v>
      </c>
    </row>
    <row r="33" spans="1:36" ht="20.100000000000001" customHeight="1" x14ac:dyDescent="0.25">
      <c r="A33" s="5" t="str">
        <f>HYPERLINK("#'8.2.1.1-2 Stationary fuel'!A1", "8.2.1.1-2 Stationary fuel")</f>
        <v>8.2.1.1-2 Stationary fuel</v>
      </c>
      <c r="D33" s="25" t="s">
        <v>206</v>
      </c>
      <c r="E33" s="25" t="str">
        <f>IF('Input - Pasture Beef'!E111="Yes", "Calving season", "")</f>
        <v>Calving season</v>
      </c>
      <c r="F33" s="25" t="str">
        <f>IF('Input - Pasture Beef'!E114="Yes", "Season after calving","")</f>
        <v/>
      </c>
      <c r="G33" s="25">
        <f>IF(E33="Calving season", $J$14, 1)</f>
        <v>1.3</v>
      </c>
      <c r="H33" s="25">
        <f>IF(F33="Season after calving", $J$15, 1)</f>
        <v>1</v>
      </c>
      <c r="I33" s="25">
        <v>1</v>
      </c>
      <c r="J33" s="25">
        <v>1</v>
      </c>
      <c r="K33" s="25">
        <v>1</v>
      </c>
      <c r="L33" s="129" cm="1">
        <f t="array" ref="L33">EntericMethane_PastureBeef_Equations.VEERG_3_2_1_1__4_AdditionalIntakeForMilkProductionVariation(F25,F24,$G33,$H33)</f>
        <v>1.21</v>
      </c>
      <c r="M33" s="129" cm="1">
        <f t="array" ref="M33">EntericMethane_PastureBeef_Equations.VEERG_3_2_1_1__4_AdditionalIntakeForMilkProductionVariation(G25,G24,$G33,$H33)</f>
        <v>1.1499999999999999</v>
      </c>
      <c r="N33" s="129" cm="1">
        <f t="array" ref="N33">EntericMethane_PastureBeef_Equations.VEERG_3_2_1_1__4_AdditionalIntakeForMilkProductionVariation(H25,H24,$G33,$H33)</f>
        <v>1.1499999999999999</v>
      </c>
      <c r="O33" s="25">
        <v>1</v>
      </c>
      <c r="P33" s="25">
        <v>1</v>
      </c>
      <c r="Q33" s="25">
        <v>1</v>
      </c>
      <c r="R33" s="25">
        <v>1</v>
      </c>
      <c r="S33" s="26" t="str">
        <f t="shared" si="1"/>
        <v>fraction</v>
      </c>
      <c r="W33" s="25" t="e">
        <f>TEXT(EDATE('Input - Site'!$E$12,5), "mmmm")</f>
        <v>#VALUE!</v>
      </c>
      <c r="X33" s="25" t="str" cm="1">
        <f t="array" ref="X33">IFERROR(_xlfn.IFS(SUMPRODUCT(ISNUMBER(SEARCH(TRIM(_xlfn.TEXTSPLIT($W$22,",")),W33))*1)&gt;0,"Calving season",SUMPRODUCT(ISNUMBER(SEARCH(TRIM(_xlfn.TEXTSPLIT($W$23,",")),W33))*1)&gt;0,"Season after calving"), "")</f>
        <v/>
      </c>
      <c r="Y33" s="25" t="str" cm="1">
        <f t="array" ref="Y33">_xlfn.IFS(X33="Calving season", $J$14, X33="Season after calving", $J$15, X33="", "")</f>
        <v/>
      </c>
      <c r="Z33" s="25">
        <v>1</v>
      </c>
      <c r="AA33" s="25">
        <v>1</v>
      </c>
      <c r="AB33" s="25">
        <v>1</v>
      </c>
      <c r="AC33" s="25" cm="1">
        <f t="array" ref="AC33">IFERROR(EntericMethane_PastureBeef_Equations.VEERG_3_2_1_1__4_AdditionalIntakeForMilkProduction(X$22,$Y33), 1)</f>
        <v>1</v>
      </c>
      <c r="AD33" s="25" cm="1">
        <f t="array" ref="AD33">IFERROR(EntericMethane_PastureBeef_Equations.VEERG_3_2_1_1__4_AdditionalIntakeForMilkProduction(Y$22,$Y33), 1)</f>
        <v>1</v>
      </c>
      <c r="AE33" s="25" cm="1">
        <f t="array" ref="AE33">IFERROR(EntericMethane_PastureBeef_Equations.VEERG_3_2_1_1__4_AdditionalIntakeForMilkProduction(Z$22,$Y33), 1)</f>
        <v>1</v>
      </c>
      <c r="AF33" s="25">
        <v>1</v>
      </c>
      <c r="AG33" s="25">
        <v>1</v>
      </c>
      <c r="AH33" s="25">
        <v>1</v>
      </c>
      <c r="AI33" s="25">
        <v>1</v>
      </c>
      <c r="AJ33" s="26" t="str">
        <f t="shared" si="0"/>
        <v>fraction</v>
      </c>
    </row>
    <row r="34" spans="1:36" ht="20.100000000000001" customHeight="1" x14ac:dyDescent="0.25">
      <c r="A34" s="5" t="str">
        <f>HYPERLINK("#'14.1.1-2 Purchased electricity'!A1", "14.1.1-2 Purchased electricity")</f>
        <v>14.1.1-2 Purchased electricity</v>
      </c>
      <c r="W34" s="25" t="e">
        <f>TEXT(EDATE('Input - Site'!$E$12,6), "mmmm")</f>
        <v>#VALUE!</v>
      </c>
      <c r="X34" s="25" t="str" cm="1">
        <f t="array" ref="X34">IFERROR(_xlfn.IFS(SUMPRODUCT(ISNUMBER(SEARCH(TRIM(_xlfn.TEXTSPLIT($W$22,",")),W34))*1)&gt;0,"Calving season",SUMPRODUCT(ISNUMBER(SEARCH(TRIM(_xlfn.TEXTSPLIT($W$23,",")),W34))*1)&gt;0,"Season after calving"), "")</f>
        <v/>
      </c>
      <c r="Y34" s="25" t="str" cm="1">
        <f t="array" ref="Y34">_xlfn.IFS(X34="Calving season", $J$14, X34="Season after calving", $J$15, X34="", "")</f>
        <v/>
      </c>
      <c r="Z34" s="25">
        <v>1</v>
      </c>
      <c r="AA34" s="25">
        <v>1</v>
      </c>
      <c r="AB34" s="25">
        <v>1</v>
      </c>
      <c r="AC34" s="25" cm="1">
        <f t="array" ref="AC34">IFERROR(EntericMethane_PastureBeef_Equations.VEERG_3_2_1_1__4_AdditionalIntakeForMilkProduction(X$22,$Y34), 1)</f>
        <v>1</v>
      </c>
      <c r="AD34" s="25" cm="1">
        <f t="array" ref="AD34">IFERROR(EntericMethane_PastureBeef_Equations.VEERG_3_2_1_1__4_AdditionalIntakeForMilkProduction(Y$22,$Y34), 1)</f>
        <v>1</v>
      </c>
      <c r="AE34" s="25" cm="1">
        <f t="array" ref="AE34">IFERROR(EntericMethane_PastureBeef_Equations.VEERG_3_2_1_1__4_AdditionalIntakeForMilkProduction(Z$22,$Y34), 1)</f>
        <v>1</v>
      </c>
      <c r="AF34" s="25">
        <v>1</v>
      </c>
      <c r="AG34" s="25">
        <v>1</v>
      </c>
      <c r="AH34" s="25">
        <v>1</v>
      </c>
      <c r="AI34" s="25">
        <v>1</v>
      </c>
      <c r="AJ34" s="26" t="str">
        <f t="shared" si="0"/>
        <v>fraction</v>
      </c>
    </row>
    <row r="35" spans="1:36" ht="20.100000000000001" customHeight="1" x14ac:dyDescent="0.25">
      <c r="W35" s="25" t="e">
        <f>TEXT(EDATE('Input - Site'!$E$12,7), "mmmm")</f>
        <v>#VALUE!</v>
      </c>
      <c r="X35" s="25" t="str" cm="1">
        <f t="array" ref="X35">IFERROR(_xlfn.IFS(SUMPRODUCT(ISNUMBER(SEARCH(TRIM(_xlfn.TEXTSPLIT($W$22,",")),W35))*1)&gt;0,"Calving season",SUMPRODUCT(ISNUMBER(SEARCH(TRIM(_xlfn.TEXTSPLIT($W$23,",")),W35))*1)&gt;0,"Season after calving"), "")</f>
        <v/>
      </c>
      <c r="Y35" s="25" t="str" cm="1">
        <f t="array" ref="Y35">_xlfn.IFS(X35="Calving season", $J$14, X35="Season after calving", $J$15, X35="", "")</f>
        <v/>
      </c>
      <c r="Z35" s="25">
        <v>1</v>
      </c>
      <c r="AA35" s="25">
        <v>1</v>
      </c>
      <c r="AB35" s="25">
        <v>1</v>
      </c>
      <c r="AC35" s="25" cm="1">
        <f t="array" ref="AC35">IFERROR(EntericMethane_PastureBeef_Equations.VEERG_3_2_1_1__4_AdditionalIntakeForMilkProduction(X$22,$Y35), 1)</f>
        <v>1</v>
      </c>
      <c r="AD35" s="25" cm="1">
        <f t="array" ref="AD35">IFERROR(EntericMethane_PastureBeef_Equations.VEERG_3_2_1_1__4_AdditionalIntakeForMilkProduction(Y$22,$Y35), 1)</f>
        <v>1</v>
      </c>
      <c r="AE35" s="25" cm="1">
        <f t="array" ref="AE35">IFERROR(EntericMethane_PastureBeef_Equations.VEERG_3_2_1_1__4_AdditionalIntakeForMilkProduction(Z$22,$Y35), 1)</f>
        <v>1</v>
      </c>
      <c r="AF35" s="25">
        <v>1</v>
      </c>
      <c r="AG35" s="25">
        <v>1</v>
      </c>
      <c r="AH35" s="25">
        <v>1</v>
      </c>
      <c r="AI35" s="25">
        <v>1</v>
      </c>
      <c r="AJ35" s="26" t="str">
        <f t="shared" si="0"/>
        <v>fraction</v>
      </c>
    </row>
    <row r="36" spans="1:36" ht="20.100000000000001" customHeight="1" x14ac:dyDescent="0.25">
      <c r="C36" s="118"/>
      <c r="D36" s="118"/>
      <c r="E36" s="118"/>
      <c r="F36" s="118"/>
      <c r="G36" s="118"/>
      <c r="H36" s="118"/>
      <c r="I36" s="118"/>
      <c r="J36" s="118"/>
      <c r="K36" s="118"/>
      <c r="L36" s="118"/>
      <c r="M36" s="118"/>
      <c r="N36" s="118"/>
      <c r="O36" s="118"/>
      <c r="P36" s="118"/>
      <c r="Q36" s="118"/>
      <c r="R36" s="118"/>
      <c r="S36" s="118"/>
      <c r="T36" s="118"/>
      <c r="W36" s="25" t="e">
        <f>TEXT(EDATE('Input - Site'!$E$12,8), "mmmm")</f>
        <v>#VALUE!</v>
      </c>
      <c r="X36" s="25" t="str" cm="1">
        <f t="array" ref="X36">IFERROR(_xlfn.IFS(SUMPRODUCT(ISNUMBER(SEARCH(TRIM(_xlfn.TEXTSPLIT($W$22,",")),W36))*1)&gt;0,"Calving season",SUMPRODUCT(ISNUMBER(SEARCH(TRIM(_xlfn.TEXTSPLIT($W$23,",")),W36))*1)&gt;0,"Season after calving"), "")</f>
        <v/>
      </c>
      <c r="Y36" s="25" t="str" cm="1">
        <f t="array" ref="Y36">_xlfn.IFS(X36="Calving season", $J$14, X36="Season after calving", $J$15, X36="", "")</f>
        <v/>
      </c>
      <c r="Z36" s="25">
        <v>1</v>
      </c>
      <c r="AA36" s="25">
        <v>1</v>
      </c>
      <c r="AB36" s="25">
        <v>1</v>
      </c>
      <c r="AC36" s="25" cm="1">
        <f t="array" ref="AC36">IFERROR(EntericMethane_PastureBeef_Equations.VEERG_3_2_1_1__4_AdditionalIntakeForMilkProduction(X$22,$Y36), 1)</f>
        <v>1</v>
      </c>
      <c r="AD36" s="25" cm="1">
        <f t="array" ref="AD36">IFERROR(EntericMethane_PastureBeef_Equations.VEERG_3_2_1_1__4_AdditionalIntakeForMilkProduction(Y$22,$Y36), 1)</f>
        <v>1</v>
      </c>
      <c r="AE36" s="25" cm="1">
        <f t="array" ref="AE36">IFERROR(EntericMethane_PastureBeef_Equations.VEERG_3_2_1_1__4_AdditionalIntakeForMilkProduction(Z$22,$Y36), 1)</f>
        <v>1</v>
      </c>
      <c r="AF36" s="25">
        <v>1</v>
      </c>
      <c r="AG36" s="25">
        <v>1</v>
      </c>
      <c r="AH36" s="25">
        <v>1</v>
      </c>
      <c r="AI36" s="25">
        <v>1</v>
      </c>
      <c r="AJ36" s="26" t="str">
        <f t="shared" si="0"/>
        <v>fraction</v>
      </c>
    </row>
    <row r="37" spans="1:36" ht="20.100000000000001" customHeight="1" x14ac:dyDescent="0.25">
      <c r="A37" s="251" t="s">
        <v>1</v>
      </c>
      <c r="D37" s="2" t="str" cm="1">
        <f t="array" ref="D37">EntericMethane_PastureBeef_Equations.VEERG_3_2_1_1__3_FeedIntakeForGrazingBeef_Title()</f>
        <v>Feed intake for grazing beef cattle</v>
      </c>
      <c r="W37" s="25" t="e">
        <f>TEXT(EDATE('Input - Site'!$E$12,9), "mmmm")</f>
        <v>#VALUE!</v>
      </c>
      <c r="X37" s="25" t="str" cm="1">
        <f t="array" ref="X37">IFERROR(_xlfn.IFS(SUMPRODUCT(ISNUMBER(SEARCH(TRIM(_xlfn.TEXTSPLIT($W$22,",")),W37))*1)&gt;0,"Calving season",SUMPRODUCT(ISNUMBER(SEARCH(TRIM(_xlfn.TEXTSPLIT($W$23,",")),W37))*1)&gt;0,"Season after calving"), "")</f>
        <v/>
      </c>
      <c r="Y37" s="25" t="str" cm="1">
        <f t="array" ref="Y37">_xlfn.IFS(X37="Calving season", $J$14, X37="Season after calving", $J$15, X37="", "")</f>
        <v/>
      </c>
      <c r="Z37" s="25">
        <v>1</v>
      </c>
      <c r="AA37" s="25">
        <v>1</v>
      </c>
      <c r="AB37" s="25">
        <v>1</v>
      </c>
      <c r="AC37" s="25" cm="1">
        <f t="array" ref="AC37">IFERROR(EntericMethane_PastureBeef_Equations.VEERG_3_2_1_1__4_AdditionalIntakeForMilkProduction(X$22,$Y37), 1)</f>
        <v>1</v>
      </c>
      <c r="AD37" s="25" cm="1">
        <f t="array" ref="AD37">IFERROR(EntericMethane_PastureBeef_Equations.VEERG_3_2_1_1__4_AdditionalIntakeForMilkProduction(Y$22,$Y37), 1)</f>
        <v>1</v>
      </c>
      <c r="AE37" s="25" cm="1">
        <f t="array" ref="AE37">IFERROR(EntericMethane_PastureBeef_Equations.VEERG_3_2_1_1__4_AdditionalIntakeForMilkProduction(Z$22,$Y37), 1)</f>
        <v>1</v>
      </c>
      <c r="AF37" s="25">
        <v>1</v>
      </c>
      <c r="AG37" s="25">
        <v>1</v>
      </c>
      <c r="AH37" s="25">
        <v>1</v>
      </c>
      <c r="AI37" s="25">
        <v>1</v>
      </c>
      <c r="AJ37" s="26" t="str">
        <f t="shared" si="0"/>
        <v>fraction</v>
      </c>
    </row>
    <row r="38" spans="1:36" ht="20.100000000000001" customHeight="1" x14ac:dyDescent="0.25">
      <c r="A38" s="5" t="str">
        <f>HYPERLINK("#'Constants - Pasture Beef'!A1", "Constants - Pasture Beef")</f>
        <v>Constants - Pasture Beef</v>
      </c>
      <c r="D38" s="27" t="str" cm="1">
        <f t="array" ref="D38">EntericMethane_PastureBeef_Equations.VEERG_3_2_1_1__3_FeedIntakeForGrazingBeef_Source()</f>
        <v>VEERG 2026: 3.2.1.1, Equation (3)</v>
      </c>
      <c r="K38" s="1" t="s">
        <v>393</v>
      </c>
      <c r="L38" s="1" t="s">
        <v>394</v>
      </c>
      <c r="M38" s="1" t="s">
        <v>395</v>
      </c>
      <c r="W38" s="25" t="e">
        <f>TEXT(EDATE('Input - Site'!$E$12,10), "mmmm")</f>
        <v>#VALUE!</v>
      </c>
      <c r="X38" s="25" t="str" cm="1">
        <f t="array" ref="X38">IFERROR(_xlfn.IFS(SUMPRODUCT(ISNUMBER(SEARCH(TRIM(_xlfn.TEXTSPLIT($W$22,",")),W38))*1)&gt;0,"Calving season",SUMPRODUCT(ISNUMBER(SEARCH(TRIM(_xlfn.TEXTSPLIT($W$23,",")),W38))*1)&gt;0,"Season after calving"), "")</f>
        <v/>
      </c>
      <c r="Y38" s="25" t="str" cm="1">
        <f t="array" ref="Y38">_xlfn.IFS(X38="Calving season", $J$14, X38="Season after calving", $J$15, X38="", "")</f>
        <v/>
      </c>
      <c r="Z38" s="25">
        <v>1</v>
      </c>
      <c r="AA38" s="25">
        <v>1</v>
      </c>
      <c r="AB38" s="25">
        <v>1</v>
      </c>
      <c r="AC38" s="25" cm="1">
        <f t="array" ref="AC38">IFERROR(EntericMethane_PastureBeef_Equations.VEERG_3_2_1_1__4_AdditionalIntakeForMilkProduction(X$22,$Y38), 1)</f>
        <v>1</v>
      </c>
      <c r="AD38" s="25" cm="1">
        <f t="array" ref="AD38">IFERROR(EntericMethane_PastureBeef_Equations.VEERG_3_2_1_1__4_AdditionalIntakeForMilkProduction(Y$22,$Y38), 1)</f>
        <v>1</v>
      </c>
      <c r="AE38" s="25" cm="1">
        <f t="array" ref="AE38">IFERROR(EntericMethane_PastureBeef_Equations.VEERG_3_2_1_1__4_AdditionalIntakeForMilkProduction(Z$22,$Y38), 1)</f>
        <v>1</v>
      </c>
      <c r="AF38" s="25">
        <v>1</v>
      </c>
      <c r="AG38" s="25">
        <v>1</v>
      </c>
      <c r="AH38" s="25">
        <v>1</v>
      </c>
      <c r="AI38" s="25">
        <v>1</v>
      </c>
      <c r="AJ38" s="26" t="str">
        <f t="shared" si="0"/>
        <v>fraction</v>
      </c>
    </row>
    <row r="39" spans="1:36" ht="20.100000000000001" customHeight="1" x14ac:dyDescent="0.25">
      <c r="A39" s="5" t="str">
        <f>HYPERLINK("#'Constants - Ag Residue'!A1", "Constants - Ag residue")</f>
        <v>Constants - Ag residue</v>
      </c>
      <c r="D39" s="105" t="s">
        <v>261</v>
      </c>
      <c r="E39" s="105" t="str" cm="1">
        <f t="array" aca="1" ref="E39" ca="1">Common_InputFunctions.Utility_DisplayFunctionName($E$84)</f>
        <v>=EntericMethane_PastureBeef_Equations.VEERG_3_2_1_1__3_FeedIntakeForGrazingBeef</v>
      </c>
      <c r="W39" s="25" t="e">
        <f>TEXT(EDATE('Input - Site'!$E$12,11), "mmmm")</f>
        <v>#VALUE!</v>
      </c>
      <c r="X39" s="25" t="str" cm="1">
        <f t="array" ref="X39">IFERROR(_xlfn.IFS(SUMPRODUCT(ISNUMBER(SEARCH(TRIM(_xlfn.TEXTSPLIT($W$22,",")),W39))*1)&gt;0,"Calving season",SUMPRODUCT(ISNUMBER(SEARCH(TRIM(_xlfn.TEXTSPLIT($W$23,",")),W39))*1)&gt;0,"Season after calving"), "")</f>
        <v/>
      </c>
      <c r="Y39" s="25" t="str" cm="1">
        <f t="array" ref="Y39">_xlfn.IFS(X39="Calving season", $J$14, X39="Season after calving", $J$15, X39="", "")</f>
        <v/>
      </c>
      <c r="Z39" s="25">
        <v>1</v>
      </c>
      <c r="AA39" s="25">
        <v>1</v>
      </c>
      <c r="AB39" s="25">
        <v>1</v>
      </c>
      <c r="AC39" s="25" cm="1">
        <f t="array" ref="AC39">IFERROR(EntericMethane_PastureBeef_Equations.VEERG_3_2_1_1__4_AdditionalIntakeForMilkProduction(X$22,$Y39), 1)</f>
        <v>1</v>
      </c>
      <c r="AD39" s="25" cm="1">
        <f t="array" ref="AD39">IFERROR(EntericMethane_PastureBeef_Equations.VEERG_3_2_1_1__4_AdditionalIntakeForMilkProduction(Y$22,$Y39), 1)</f>
        <v>1</v>
      </c>
      <c r="AE39" s="25" cm="1">
        <f t="array" ref="AE39">IFERROR(EntericMethane_PastureBeef_Equations.VEERG_3_2_1_1__4_AdditionalIntakeForMilkProduction(Z$22,$Y39), 1)</f>
        <v>1</v>
      </c>
      <c r="AF39" s="25">
        <v>1</v>
      </c>
      <c r="AG39" s="25">
        <v>1</v>
      </c>
      <c r="AH39" s="25">
        <v>1</v>
      </c>
      <c r="AI39" s="25">
        <v>1</v>
      </c>
      <c r="AJ39" s="26" t="str">
        <f t="shared" si="0"/>
        <v>fraction</v>
      </c>
    </row>
    <row r="40" spans="1:36" ht="20.100000000000001" customHeight="1" x14ac:dyDescent="0.25">
      <c r="A40" s="5" t="str">
        <f>HYPERLINK("#'Constants - Common Livestock'!A1", "Constants - Common Livestock")</f>
        <v>Constants - Common Livestock</v>
      </c>
    </row>
    <row r="41" spans="1:36" ht="20.100000000000001" customHeight="1" x14ac:dyDescent="0.25">
      <c r="A41" s="5" t="str">
        <f>HYPERLINK("#'Constants - Electricity'!A1", "Constants - Electricity")</f>
        <v>Constants - Electricity</v>
      </c>
      <c r="W41" s="114" t="s">
        <v>274</v>
      </c>
    </row>
    <row r="42" spans="1:36" ht="20.100000000000001" customHeight="1" x14ac:dyDescent="0.25">
      <c r="A42" s="5" t="str">
        <f>HYPERLINK("#'Constants - Fertiliser'!A1", "Constants - Fertiliser")</f>
        <v>Constants - Fertiliser</v>
      </c>
      <c r="D42" s="88" t="s">
        <v>263</v>
      </c>
      <c r="E42" s="1" t="str" cm="1">
        <f t="array" ref="E42">EntericMethane_PastureBeef_Equations.VEERG_3_2_1_1__3_FeedIntakeForGrazingBeef_Variable()</f>
        <v>I_jkl</v>
      </c>
      <c r="W42" s="115" t="s">
        <v>275</v>
      </c>
    </row>
    <row r="43" spans="1:36" ht="20.100000000000001" customHeight="1" x14ac:dyDescent="0.25">
      <c r="A43" s="5" t="str">
        <f>HYPERLINK("#'Constants - Fuel'!A1", "Constants - Fuel")</f>
        <v>Constants - Fuel</v>
      </c>
      <c r="D43" s="88" t="s">
        <v>130</v>
      </c>
      <c r="E43" s="15" t="str" cm="1">
        <f t="array" ref="E43">EntericMethane_PastureBeef_Equations.VEERG_3_2_1_1__3_FeedIntakeForGrazingBeef_Unit()</f>
        <v>kg DM/head/day</v>
      </c>
      <c r="W43" s="116" t="s">
        <v>77</v>
      </c>
      <c r="X43" s="117" t="s">
        <v>193</v>
      </c>
      <c r="Y43" s="117" t="s">
        <v>194</v>
      </c>
      <c r="Z43" s="117" t="s">
        <v>195</v>
      </c>
      <c r="AA43" s="117" t="s">
        <v>196</v>
      </c>
      <c r="AB43" s="117" t="s">
        <v>197</v>
      </c>
      <c r="AC43" s="117" t="s">
        <v>198</v>
      </c>
      <c r="AD43" s="117" t="s">
        <v>199</v>
      </c>
      <c r="AE43" s="117" t="s">
        <v>200</v>
      </c>
      <c r="AF43" s="117" t="s">
        <v>201</v>
      </c>
      <c r="AG43" s="117" t="s">
        <v>202</v>
      </c>
      <c r="AH43" s="26"/>
    </row>
    <row r="44" spans="1:36" ht="20.100000000000001" customHeight="1" x14ac:dyDescent="0.25">
      <c r="A44" s="5" t="str">
        <f>HYPERLINK("#'Constants - Common'!A1", "Constants - Common")</f>
        <v>Constants - Common</v>
      </c>
      <c r="W44" s="25" t="str">
        <f>TEXT('Input - Site'!$E$12, "mmmm yyyy")</f>
        <v>NO - Not in leaching zone</v>
      </c>
      <c r="X44" s="25" cm="1">
        <f t="array" aca="1" ref="X44:AG55" ca="1">OFFSET(X_Table_PastureBeef_Liveweight_Method2, 1,1, 12,10)</f>
        <v>380</v>
      </c>
      <c r="Y44" s="25">
        <f ca="1"/>
        <v>780</v>
      </c>
      <c r="Z44" s="25">
        <f ca="1"/>
        <v>300</v>
      </c>
      <c r="AA44" s="25">
        <f ca="1"/>
        <v>450</v>
      </c>
      <c r="AB44" s="25">
        <f ca="1"/>
        <v>530</v>
      </c>
      <c r="AC44" s="25">
        <f ca="1"/>
        <v>530</v>
      </c>
      <c r="AD44" s="25">
        <f ca="1"/>
        <v>340</v>
      </c>
      <c r="AE44" s="25">
        <f ca="1"/>
        <v>470</v>
      </c>
      <c r="AF44" s="25">
        <f ca="1"/>
        <v>470</v>
      </c>
      <c r="AG44" s="25">
        <f ca="1"/>
        <v>470</v>
      </c>
      <c r="AH44" s="26" t="s">
        <v>212</v>
      </c>
    </row>
    <row r="45" spans="1:36" ht="20.100000000000001" customHeight="1" x14ac:dyDescent="0.25">
      <c r="A45" s="5" t="str">
        <f>HYPERLINK("#'Acknowledgements'!A1", "Acknowledgements")</f>
        <v>Acknowledgements</v>
      </c>
      <c r="D45" s="107" t="str" cm="1">
        <f t="array" ref="D45:E47">_xlfn.CHOOSECOLS(EntericMethane_PastureBeef_Equations.VEERG_3_2_1_1__3_FeedIntakeForGrazingBeef_Arguments(), 1, 2)</f>
        <v>W_jkl</v>
      </c>
      <c r="E45" s="108" t="str">
        <v>liveweight (kg)</v>
      </c>
      <c r="F45" s="110"/>
      <c r="G45" s="107" t="str" cm="1">
        <f t="array" ref="G45:H47">_xlfn.CHOOSECOLS(EntericMethane_PastureBeef_Equations.VEERG_3_2_1_1__3_FeedIntakeForGrazingBeef_Arguments(), 3,4)</f>
        <v>kg</v>
      </c>
      <c r="H45" s="111" t="str">
        <v>Input</v>
      </c>
      <c r="I45" s="113" t="str" cm="1">
        <f t="array" aca="1" ref="I45" ca="1">HYPERLINK(Common_InputFunctions.Utility_SourceHyperlink($D$49), $D$49)</f>
        <v>M1_Table_W_j_k_l</v>
      </c>
      <c r="W45" s="25" t="e">
        <f>TEXT(EDATE('Input - Site'!$E$12,1), "mmmm yyyy")</f>
        <v>#VALUE!</v>
      </c>
      <c r="X45" s="25">
        <f ca="1"/>
        <v>380</v>
      </c>
      <c r="Y45" s="25">
        <f ca="1"/>
        <v>780</v>
      </c>
      <c r="Z45" s="25">
        <f ca="1"/>
        <v>300</v>
      </c>
      <c r="AA45" s="25">
        <f ca="1"/>
        <v>450</v>
      </c>
      <c r="AB45" s="25">
        <f ca="1"/>
        <v>530</v>
      </c>
      <c r="AC45" s="25">
        <f ca="1"/>
        <v>530</v>
      </c>
      <c r="AD45" s="25">
        <f ca="1"/>
        <v>340</v>
      </c>
      <c r="AE45" s="25">
        <f ca="1"/>
        <v>470</v>
      </c>
      <c r="AF45" s="25">
        <f ca="1"/>
        <v>470</v>
      </c>
      <c r="AG45" s="25">
        <f ca="1"/>
        <v>470</v>
      </c>
      <c r="AH45" s="26" t="s">
        <v>212</v>
      </c>
    </row>
    <row r="46" spans="1:36" ht="20.100000000000001" customHeight="1" x14ac:dyDescent="0.25">
      <c r="A46" s="5" t="str">
        <f>HYPERLINK("#'Overview'!A1", "Overview")</f>
        <v>Overview</v>
      </c>
      <c r="D46" s="107" t="str">
        <v>LWG_jkl</v>
      </c>
      <c r="E46" s="108" t="str">
        <v>live weight gain (kg/head/day)</v>
      </c>
      <c r="F46" s="110"/>
      <c r="G46" s="107" t="str">
        <v>kg/head/day</v>
      </c>
      <c r="H46" s="111" t="str">
        <v>Input</v>
      </c>
      <c r="I46" s="113" t="str" cm="1">
        <f t="array" aca="1" ref="I46" ca="1">HYPERLINK(Common_InputFunctions.Utility_SourceHyperlink($D$65), $D$65)</f>
        <v>M1_Table_LWG_j_k_l</v>
      </c>
      <c r="W46" s="25" t="e">
        <f>TEXT(EDATE('Input - Site'!$E$12,2), "mmmm yyyy")</f>
        <v>#VALUE!</v>
      </c>
      <c r="X46" s="25">
        <f ca="1"/>
        <v>100</v>
      </c>
      <c r="Y46" s="25">
        <f ca="1"/>
        <v>680</v>
      </c>
      <c r="Z46" s="25">
        <f ca="1"/>
        <v>80</v>
      </c>
      <c r="AA46" s="25">
        <f ca="1"/>
        <v>320</v>
      </c>
      <c r="AB46" s="25">
        <f ca="1"/>
        <v>480</v>
      </c>
      <c r="AC46" s="25">
        <f ca="1"/>
        <v>480</v>
      </c>
      <c r="AD46" s="25">
        <f ca="1"/>
        <v>100</v>
      </c>
      <c r="AE46" s="25">
        <f ca="1"/>
        <v>340</v>
      </c>
      <c r="AF46" s="25">
        <f ca="1"/>
        <v>340</v>
      </c>
      <c r="AG46" s="25">
        <f ca="1"/>
        <v>340</v>
      </c>
      <c r="AH46" s="26" t="s">
        <v>212</v>
      </c>
    </row>
    <row r="47" spans="1:36" ht="20.100000000000001" customHeight="1" x14ac:dyDescent="0.25">
      <c r="D47" s="107" t="str">
        <v>MA_jk45</v>
      </c>
      <c r="E47" s="108" t="str">
        <v>additional intake for milk production in cows greater than 2 years</v>
      </c>
      <c r="F47" s="110"/>
      <c r="G47" s="107" t="str">
        <v>kg/head/day</v>
      </c>
      <c r="H47" s="112" t="str">
        <v>Calculated from 3.2.1.1, (4)</v>
      </c>
      <c r="I47" s="113" t="str" cm="1">
        <f t="array" aca="1" ref="I47" ca="1">HYPERLINK(Common_InputFunctions.Utility_SourceHyperlink($D$27), $D$27)</f>
        <v>M1_Table_MA_j_k-4-5</v>
      </c>
      <c r="W47" s="25" t="e">
        <f>TEXT(EDATE('Input - Site'!$E$12,3), "mmmm yyyy")</f>
        <v>#VALUE!</v>
      </c>
      <c r="X47" s="25">
        <f ca="1"/>
        <v>100</v>
      </c>
      <c r="Y47" s="25">
        <f ca="1"/>
        <v>680</v>
      </c>
      <c r="Z47" s="25">
        <f ca="1"/>
        <v>80</v>
      </c>
      <c r="AA47" s="25">
        <f ca="1"/>
        <v>320</v>
      </c>
      <c r="AB47" s="25">
        <f ca="1"/>
        <v>480</v>
      </c>
      <c r="AC47" s="25">
        <f ca="1"/>
        <v>480</v>
      </c>
      <c r="AD47" s="25">
        <f ca="1"/>
        <v>100</v>
      </c>
      <c r="AE47" s="25">
        <f ca="1"/>
        <v>340</v>
      </c>
      <c r="AF47" s="25">
        <f ca="1"/>
        <v>340</v>
      </c>
      <c r="AG47" s="25">
        <f ca="1"/>
        <v>340</v>
      </c>
      <c r="AH47" s="26" t="s">
        <v>212</v>
      </c>
    </row>
    <row r="48" spans="1:36" ht="20.100000000000001" customHeight="1" x14ac:dyDescent="0.25">
      <c r="W48" s="25" t="e">
        <f>TEXT(EDATE('Input - Site'!$E$12,4), "mmmm yyyy")</f>
        <v>#VALUE!</v>
      </c>
      <c r="X48" s="25">
        <f ca="1"/>
        <v>100</v>
      </c>
      <c r="Y48" s="25">
        <f ca="1"/>
        <v>680</v>
      </c>
      <c r="Z48" s="25">
        <f ca="1"/>
        <v>80</v>
      </c>
      <c r="AA48" s="25">
        <f ca="1"/>
        <v>320</v>
      </c>
      <c r="AB48" s="25">
        <f ca="1"/>
        <v>480</v>
      </c>
      <c r="AC48" s="25">
        <f ca="1"/>
        <v>480</v>
      </c>
      <c r="AD48" s="25">
        <f ca="1"/>
        <v>100</v>
      </c>
      <c r="AE48" s="25">
        <f ca="1"/>
        <v>340</v>
      </c>
      <c r="AF48" s="25">
        <f ca="1"/>
        <v>340</v>
      </c>
      <c r="AG48" s="25">
        <f ca="1"/>
        <v>340</v>
      </c>
      <c r="AH48" s="26" t="s">
        <v>212</v>
      </c>
    </row>
    <row r="49" spans="4:36" ht="20.100000000000001" customHeight="1" x14ac:dyDescent="0.25">
      <c r="D49" s="114" t="s">
        <v>276</v>
      </c>
      <c r="W49" s="25" t="e">
        <f>TEXT(EDATE('Input - Site'!$E$12,5), "mmmm yyyy")</f>
        <v>#VALUE!</v>
      </c>
      <c r="X49" s="25">
        <f ca="1"/>
        <v>190</v>
      </c>
      <c r="Y49" s="25">
        <f ca="1"/>
        <v>700</v>
      </c>
      <c r="Z49" s="25">
        <f ca="1"/>
        <v>150</v>
      </c>
      <c r="AA49" s="25">
        <f ca="1"/>
        <v>330</v>
      </c>
      <c r="AB49" s="25">
        <f ca="1"/>
        <v>490</v>
      </c>
      <c r="AC49" s="25">
        <f ca="1"/>
        <v>490</v>
      </c>
      <c r="AD49" s="25">
        <f ca="1"/>
        <v>170</v>
      </c>
      <c r="AE49" s="25">
        <f ca="1"/>
        <v>360</v>
      </c>
      <c r="AF49" s="25">
        <f ca="1"/>
        <v>360</v>
      </c>
      <c r="AG49" s="25">
        <f ca="1"/>
        <v>360</v>
      </c>
      <c r="AH49" s="26" t="s">
        <v>212</v>
      </c>
    </row>
    <row r="50" spans="4:36" ht="20.100000000000001" customHeight="1" x14ac:dyDescent="0.25">
      <c r="D50" s="115" t="s">
        <v>277</v>
      </c>
      <c r="W50" s="25" t="e">
        <f>TEXT(EDATE('Input - Site'!$E$12,6), "mmmm yyyy")</f>
        <v>#VALUE!</v>
      </c>
      <c r="X50" s="25">
        <f ca="1"/>
        <v>190</v>
      </c>
      <c r="Y50" s="25">
        <f ca="1"/>
        <v>700</v>
      </c>
      <c r="Z50" s="25">
        <f ca="1"/>
        <v>150</v>
      </c>
      <c r="AA50" s="25">
        <f ca="1"/>
        <v>330</v>
      </c>
      <c r="AB50" s="25">
        <f ca="1"/>
        <v>490</v>
      </c>
      <c r="AC50" s="25">
        <f ca="1"/>
        <v>490</v>
      </c>
      <c r="AD50" s="25">
        <f ca="1"/>
        <v>170</v>
      </c>
      <c r="AE50" s="25">
        <f ca="1"/>
        <v>360</v>
      </c>
      <c r="AF50" s="25">
        <f ca="1"/>
        <v>360</v>
      </c>
      <c r="AG50" s="25">
        <f ca="1"/>
        <v>360</v>
      </c>
      <c r="AH50" s="26" t="s">
        <v>212</v>
      </c>
    </row>
    <row r="51" spans="4:36" ht="20.100000000000001" customHeight="1" x14ac:dyDescent="0.25">
      <c r="D51" s="116" t="s">
        <v>78</v>
      </c>
      <c r="E51" s="117" t="s">
        <v>193</v>
      </c>
      <c r="F51" s="117" t="s">
        <v>194</v>
      </c>
      <c r="G51" s="117" t="s">
        <v>195</v>
      </c>
      <c r="H51" s="117" t="s">
        <v>196</v>
      </c>
      <c r="I51" s="117" t="s">
        <v>197</v>
      </c>
      <c r="J51" s="117" t="s">
        <v>198</v>
      </c>
      <c r="K51" s="117" t="s">
        <v>199</v>
      </c>
      <c r="L51" s="117" t="s">
        <v>200</v>
      </c>
      <c r="M51" s="117" t="s">
        <v>201</v>
      </c>
      <c r="N51" s="117" t="s">
        <v>202</v>
      </c>
      <c r="W51" s="25" t="e">
        <f>TEXT(EDATE('Input - Site'!$E$12,7), "mmmm yyyy")</f>
        <v>#VALUE!</v>
      </c>
      <c r="X51" s="25">
        <f ca="1"/>
        <v>190</v>
      </c>
      <c r="Y51" s="25">
        <f ca="1"/>
        <v>700</v>
      </c>
      <c r="Z51" s="25">
        <f ca="1"/>
        <v>150</v>
      </c>
      <c r="AA51" s="25">
        <f ca="1"/>
        <v>330</v>
      </c>
      <c r="AB51" s="25">
        <f ca="1"/>
        <v>490</v>
      </c>
      <c r="AC51" s="25">
        <f ca="1"/>
        <v>490</v>
      </c>
      <c r="AD51" s="25">
        <f ca="1"/>
        <v>170</v>
      </c>
      <c r="AE51" s="25">
        <f ca="1"/>
        <v>360</v>
      </c>
      <c r="AF51" s="25">
        <f ca="1"/>
        <v>360</v>
      </c>
      <c r="AG51" s="25">
        <f ca="1"/>
        <v>360</v>
      </c>
      <c r="AH51" s="26" t="s">
        <v>212</v>
      </c>
      <c r="AI51" s="26"/>
      <c r="AJ51" s="26"/>
    </row>
    <row r="52" spans="4:36" ht="20.100000000000001" customHeight="1" x14ac:dyDescent="0.25">
      <c r="D52" s="25" t="str">
        <f>INDEX(X_Table_PastureBeef_Liveweight_Method1,2,1)</f>
        <v>Spring</v>
      </c>
      <c r="E52" s="25" cm="1">
        <f t="array" aca="1" ref="E52:N55" ca="1">OFFSET(X_Table_PastureBeef_Liveweight_Method1, 1,1, 4,10)</f>
        <v>340</v>
      </c>
      <c r="F52" s="25">
        <f ca="1"/>
        <v>800</v>
      </c>
      <c r="G52" s="25">
        <f ca="1"/>
        <v>260</v>
      </c>
      <c r="H52" s="25">
        <f ca="1"/>
        <v>420</v>
      </c>
      <c r="I52" s="25">
        <f ca="1"/>
        <v>550</v>
      </c>
      <c r="J52" s="25">
        <f ca="1"/>
        <v>550</v>
      </c>
      <c r="K52" s="25">
        <f ca="1"/>
        <v>300</v>
      </c>
      <c r="L52" s="25">
        <f ca="1"/>
        <v>480</v>
      </c>
      <c r="M52" s="25">
        <f ca="1"/>
        <v>480</v>
      </c>
      <c r="N52" s="25">
        <f ca="1"/>
        <v>480</v>
      </c>
      <c r="O52" s="26" t="s">
        <v>212</v>
      </c>
      <c r="P52" s="26"/>
      <c r="Q52" s="26"/>
      <c r="R52" s="26"/>
      <c r="S52" s="26"/>
      <c r="W52" s="25" t="e">
        <f>TEXT(EDATE('Input - Site'!$E$12,8), "mmmm yyyy")</f>
        <v>#VALUE!</v>
      </c>
      <c r="X52" s="25">
        <f ca="1"/>
        <v>340</v>
      </c>
      <c r="Y52" s="25">
        <f ca="1"/>
        <v>800</v>
      </c>
      <c r="Z52" s="25">
        <f ca="1"/>
        <v>260</v>
      </c>
      <c r="AA52" s="25">
        <f ca="1"/>
        <v>420</v>
      </c>
      <c r="AB52" s="25">
        <f ca="1"/>
        <v>550</v>
      </c>
      <c r="AC52" s="25">
        <f ca="1"/>
        <v>550</v>
      </c>
      <c r="AD52" s="25">
        <f ca="1"/>
        <v>300</v>
      </c>
      <c r="AE52" s="25">
        <f ca="1"/>
        <v>480</v>
      </c>
      <c r="AF52" s="25">
        <f ca="1"/>
        <v>480</v>
      </c>
      <c r="AG52" s="25">
        <f ca="1"/>
        <v>480</v>
      </c>
      <c r="AH52" s="26" t="s">
        <v>212</v>
      </c>
      <c r="AI52" s="26"/>
      <c r="AJ52" s="26"/>
    </row>
    <row r="53" spans="4:36" ht="20.100000000000001" customHeight="1" x14ac:dyDescent="0.25">
      <c r="D53" s="25" t="str">
        <f>INDEX(X_Table_PastureBeef_Liveweight_Method1,3,1)</f>
        <v>Summer</v>
      </c>
      <c r="E53" s="25">
        <f ca="1"/>
        <v>380</v>
      </c>
      <c r="F53" s="25">
        <f ca="1"/>
        <v>780</v>
      </c>
      <c r="G53" s="25">
        <f ca="1"/>
        <v>300</v>
      </c>
      <c r="H53" s="25">
        <f ca="1"/>
        <v>450</v>
      </c>
      <c r="I53" s="25">
        <f ca="1"/>
        <v>530</v>
      </c>
      <c r="J53" s="25">
        <f ca="1"/>
        <v>530</v>
      </c>
      <c r="K53" s="25">
        <f ca="1"/>
        <v>340</v>
      </c>
      <c r="L53" s="25">
        <f ca="1"/>
        <v>470</v>
      </c>
      <c r="M53" s="25">
        <f ca="1"/>
        <v>470</v>
      </c>
      <c r="N53" s="25">
        <f ca="1"/>
        <v>470</v>
      </c>
      <c r="O53" s="26" t="s">
        <v>212</v>
      </c>
      <c r="P53" s="26"/>
      <c r="Q53" s="26"/>
      <c r="R53" s="26"/>
      <c r="S53" s="26"/>
      <c r="W53" s="25" t="e">
        <f>TEXT(EDATE('Input - Site'!$E$12,9), "mmmm yyyy")</f>
        <v>#VALUE!</v>
      </c>
      <c r="X53" s="25">
        <f ca="1"/>
        <v>340</v>
      </c>
      <c r="Y53" s="25">
        <f ca="1"/>
        <v>800</v>
      </c>
      <c r="Z53" s="25">
        <f ca="1"/>
        <v>260</v>
      </c>
      <c r="AA53" s="25">
        <f ca="1"/>
        <v>420</v>
      </c>
      <c r="AB53" s="25">
        <f ca="1"/>
        <v>550</v>
      </c>
      <c r="AC53" s="25">
        <f ca="1"/>
        <v>550</v>
      </c>
      <c r="AD53" s="25">
        <f ca="1"/>
        <v>300</v>
      </c>
      <c r="AE53" s="25">
        <f ca="1"/>
        <v>480</v>
      </c>
      <c r="AF53" s="25">
        <f ca="1"/>
        <v>480</v>
      </c>
      <c r="AG53" s="25">
        <f ca="1"/>
        <v>480</v>
      </c>
      <c r="AH53" s="26" t="s">
        <v>212</v>
      </c>
      <c r="AI53" s="26"/>
      <c r="AJ53" s="26"/>
    </row>
    <row r="54" spans="4:36" ht="20.100000000000001" customHeight="1" x14ac:dyDescent="0.25">
      <c r="D54" s="25" t="str">
        <f>INDEX(X_Table_PastureBeef_Liveweight_Method1,4,1)</f>
        <v>Autumn</v>
      </c>
      <c r="E54" s="25">
        <f ca="1"/>
        <v>100</v>
      </c>
      <c r="F54" s="25">
        <f ca="1"/>
        <v>680</v>
      </c>
      <c r="G54" s="25">
        <f ca="1"/>
        <v>80</v>
      </c>
      <c r="H54" s="25">
        <f ca="1"/>
        <v>320</v>
      </c>
      <c r="I54" s="25">
        <f ca="1"/>
        <v>480</v>
      </c>
      <c r="J54" s="25">
        <f ca="1"/>
        <v>480</v>
      </c>
      <c r="K54" s="25">
        <f ca="1"/>
        <v>100</v>
      </c>
      <c r="L54" s="25">
        <f ca="1"/>
        <v>340</v>
      </c>
      <c r="M54" s="25">
        <f ca="1"/>
        <v>340</v>
      </c>
      <c r="N54" s="25">
        <f ca="1"/>
        <v>340</v>
      </c>
      <c r="O54" s="26" t="s">
        <v>212</v>
      </c>
      <c r="P54" s="26"/>
      <c r="Q54" s="26"/>
      <c r="R54" s="26"/>
      <c r="S54" s="26"/>
      <c r="W54" s="25" t="e">
        <f>TEXT(EDATE('Input - Site'!$E$12,10), "mmmm yyyy")</f>
        <v>#VALUE!</v>
      </c>
      <c r="X54" s="25">
        <f ca="1"/>
        <v>340</v>
      </c>
      <c r="Y54" s="25">
        <f ca="1"/>
        <v>800</v>
      </c>
      <c r="Z54" s="25">
        <f ca="1"/>
        <v>260</v>
      </c>
      <c r="AA54" s="25">
        <f ca="1"/>
        <v>420</v>
      </c>
      <c r="AB54" s="25">
        <f ca="1"/>
        <v>550</v>
      </c>
      <c r="AC54" s="25">
        <f ca="1"/>
        <v>550</v>
      </c>
      <c r="AD54" s="25">
        <f ca="1"/>
        <v>300</v>
      </c>
      <c r="AE54" s="25">
        <f ca="1"/>
        <v>480</v>
      </c>
      <c r="AF54" s="25">
        <f ca="1"/>
        <v>480</v>
      </c>
      <c r="AG54" s="25">
        <f ca="1"/>
        <v>480</v>
      </c>
      <c r="AH54" s="26" t="s">
        <v>212</v>
      </c>
      <c r="AI54" s="26"/>
      <c r="AJ54" s="26"/>
    </row>
    <row r="55" spans="4:36" ht="20.100000000000001" customHeight="1" x14ac:dyDescent="0.25">
      <c r="D55" s="25" t="str">
        <f>INDEX(X_Table_PastureBeef_Liveweight_Method1,5,1)</f>
        <v>Winter</v>
      </c>
      <c r="E55" s="25">
        <f ca="1"/>
        <v>190</v>
      </c>
      <c r="F55" s="25">
        <f ca="1"/>
        <v>700</v>
      </c>
      <c r="G55" s="25">
        <f ca="1"/>
        <v>150</v>
      </c>
      <c r="H55" s="25">
        <f ca="1"/>
        <v>330</v>
      </c>
      <c r="I55" s="25">
        <f ca="1"/>
        <v>490</v>
      </c>
      <c r="J55" s="25">
        <f ca="1"/>
        <v>490</v>
      </c>
      <c r="K55" s="25">
        <f ca="1"/>
        <v>170</v>
      </c>
      <c r="L55" s="25">
        <f ca="1"/>
        <v>360</v>
      </c>
      <c r="M55" s="25">
        <f ca="1"/>
        <v>360</v>
      </c>
      <c r="N55" s="25">
        <f ca="1"/>
        <v>360</v>
      </c>
      <c r="O55" s="26" t="s">
        <v>212</v>
      </c>
      <c r="P55" s="26"/>
      <c r="Q55" s="26"/>
      <c r="R55" s="26"/>
      <c r="S55" s="26"/>
      <c r="W55" s="25" t="e">
        <f>TEXT(EDATE('Input - Site'!$E$12,11), "mmmm yyyy")</f>
        <v>#VALUE!</v>
      </c>
      <c r="X55" s="25">
        <f ca="1"/>
        <v>380</v>
      </c>
      <c r="Y55" s="25">
        <f ca="1"/>
        <v>780</v>
      </c>
      <c r="Z55" s="25">
        <f ca="1"/>
        <v>300</v>
      </c>
      <c r="AA55" s="25">
        <f ca="1"/>
        <v>450</v>
      </c>
      <c r="AB55" s="25">
        <f ca="1"/>
        <v>530</v>
      </c>
      <c r="AC55" s="25">
        <f ca="1"/>
        <v>530</v>
      </c>
      <c r="AD55" s="25">
        <f ca="1"/>
        <v>340</v>
      </c>
      <c r="AE55" s="25">
        <f ca="1"/>
        <v>470</v>
      </c>
      <c r="AF55" s="25">
        <f ca="1"/>
        <v>470</v>
      </c>
      <c r="AG55" s="25">
        <f ca="1"/>
        <v>470</v>
      </c>
      <c r="AH55" s="26" t="s">
        <v>212</v>
      </c>
      <c r="AI55" s="26"/>
      <c r="AJ55" s="26"/>
    </row>
    <row r="56" spans="4:36" ht="20.100000000000001" customHeight="1" x14ac:dyDescent="0.25">
      <c r="AI56" s="26"/>
      <c r="AJ56" s="26"/>
    </row>
    <row r="57" spans="4:36" ht="20.100000000000001" customHeight="1" x14ac:dyDescent="0.25">
      <c r="W57" s="114" t="s">
        <v>280</v>
      </c>
      <c r="AI57" s="26"/>
      <c r="AJ57" s="26"/>
    </row>
    <row r="58" spans="4:36" ht="20.100000000000001" customHeight="1" x14ac:dyDescent="0.25">
      <c r="W58" s="115" t="s">
        <v>281</v>
      </c>
      <c r="AI58" s="26"/>
      <c r="AJ58" s="26"/>
    </row>
    <row r="59" spans="4:36" ht="20.100000000000001" customHeight="1" x14ac:dyDescent="0.25">
      <c r="W59" s="116" t="s">
        <v>77</v>
      </c>
      <c r="X59" s="117" t="s">
        <v>193</v>
      </c>
      <c r="Y59" s="117" t="s">
        <v>194</v>
      </c>
      <c r="Z59" s="117" t="s">
        <v>195</v>
      </c>
      <c r="AA59" s="117" t="s">
        <v>196</v>
      </c>
      <c r="AB59" s="117" t="s">
        <v>197</v>
      </c>
      <c r="AC59" s="117" t="s">
        <v>198</v>
      </c>
      <c r="AD59" s="117" t="s">
        <v>199</v>
      </c>
      <c r="AE59" s="117" t="s">
        <v>200</v>
      </c>
      <c r="AF59" s="117" t="s">
        <v>201</v>
      </c>
      <c r="AG59" s="117" t="s">
        <v>202</v>
      </c>
      <c r="AI59" s="26"/>
      <c r="AJ59" s="26"/>
    </row>
    <row r="60" spans="4:36" ht="20.100000000000001" customHeight="1" x14ac:dyDescent="0.25">
      <c r="W60" s="25" t="str">
        <f>TEXT('Input - Site'!$E$12, "mmmm yyyy")</f>
        <v>NO - Not in leaching zone</v>
      </c>
      <c r="X60" s="25" cm="1">
        <f t="array" aca="1" ref="X60:AG71" ca="1">OFFSET(X_Table_PastureBeef_LiveweightGain_Method2, 1,1, 12,10)</f>
        <v>0.44</v>
      </c>
      <c r="Y60" s="25">
        <f ca="1"/>
        <v>-0.22</v>
      </c>
      <c r="Z60" s="25">
        <f ca="1"/>
        <v>0.44</v>
      </c>
      <c r="AA60" s="25">
        <f ca="1"/>
        <v>0.33</v>
      </c>
      <c r="AB60" s="25">
        <f ca="1"/>
        <v>-0.22</v>
      </c>
      <c r="AC60" s="25">
        <f ca="1"/>
        <v>-0.22</v>
      </c>
      <c r="AD60" s="25">
        <f ca="1"/>
        <v>0.44</v>
      </c>
      <c r="AE60" s="25">
        <f ca="1"/>
        <v>-0.11</v>
      </c>
      <c r="AF60" s="25">
        <f ca="1"/>
        <v>-0.11</v>
      </c>
      <c r="AG60" s="25">
        <f ca="1"/>
        <v>-0.11</v>
      </c>
      <c r="AH60" s="26" t="s">
        <v>214</v>
      </c>
      <c r="AI60" s="26"/>
      <c r="AJ60" s="26"/>
    </row>
    <row r="61" spans="4:36" ht="20.100000000000001" customHeight="1" x14ac:dyDescent="0.25">
      <c r="W61" s="25" t="e">
        <f>TEXT(EDATE('Input - Site'!$E$12,1), "mmmm yyyy")</f>
        <v>#VALUE!</v>
      </c>
      <c r="X61" s="25">
        <f ca="1"/>
        <v>0.44</v>
      </c>
      <c r="Y61" s="25">
        <f ca="1"/>
        <v>-0.22</v>
      </c>
      <c r="Z61" s="25">
        <f ca="1"/>
        <v>0.44</v>
      </c>
      <c r="AA61" s="25">
        <f ca="1"/>
        <v>0.33</v>
      </c>
      <c r="AB61" s="25">
        <f ca="1"/>
        <v>-0.22</v>
      </c>
      <c r="AC61" s="25">
        <f ca="1"/>
        <v>-0.22</v>
      </c>
      <c r="AD61" s="25">
        <f ca="1"/>
        <v>0.44</v>
      </c>
      <c r="AE61" s="25">
        <f ca="1"/>
        <v>-0.11</v>
      </c>
      <c r="AF61" s="25">
        <f ca="1"/>
        <v>-0.11</v>
      </c>
      <c r="AG61" s="25">
        <f ca="1"/>
        <v>-0.11</v>
      </c>
      <c r="AH61" s="26" t="s">
        <v>214</v>
      </c>
      <c r="AI61" s="26"/>
      <c r="AJ61" s="26"/>
    </row>
    <row r="62" spans="4:36" ht="20.100000000000001" customHeight="1" x14ac:dyDescent="0.25">
      <c r="W62" s="25" t="e">
        <f>TEXT(EDATE('Input - Site'!$E$12,2), "mmmm yyyy")</f>
        <v>#VALUE!</v>
      </c>
      <c r="X62" s="25">
        <f ca="1"/>
        <v>0.6</v>
      </c>
      <c r="Y62" s="25">
        <f ca="1"/>
        <v>0</v>
      </c>
      <c r="Z62" s="25">
        <f ca="1"/>
        <v>0.6</v>
      </c>
      <c r="AA62" s="25">
        <f ca="1"/>
        <v>0.22</v>
      </c>
      <c r="AB62" s="25">
        <f ca="1"/>
        <v>-0.55000000000000004</v>
      </c>
      <c r="AC62" s="25">
        <f ca="1"/>
        <v>-0.55000000000000004</v>
      </c>
      <c r="AD62" s="25">
        <f ca="1"/>
        <v>0.6</v>
      </c>
      <c r="AE62" s="25">
        <f ca="1"/>
        <v>0</v>
      </c>
      <c r="AF62" s="25">
        <f ca="1"/>
        <v>0</v>
      </c>
      <c r="AG62" s="25">
        <f ca="1"/>
        <v>0</v>
      </c>
      <c r="AH62" s="26" t="s">
        <v>214</v>
      </c>
      <c r="AI62" s="26"/>
      <c r="AJ62" s="26"/>
    </row>
    <row r="63" spans="4:36" ht="20.100000000000001" customHeight="1" x14ac:dyDescent="0.25">
      <c r="W63" s="25" t="e">
        <f>TEXT(EDATE('Input - Site'!$E$12,3), "mmmm yyyy")</f>
        <v>#VALUE!</v>
      </c>
      <c r="X63" s="25">
        <f ca="1"/>
        <v>0.6</v>
      </c>
      <c r="Y63" s="25">
        <f ca="1"/>
        <v>0</v>
      </c>
      <c r="Z63" s="25">
        <f ca="1"/>
        <v>0.6</v>
      </c>
      <c r="AA63" s="25">
        <f ca="1"/>
        <v>0.22</v>
      </c>
      <c r="AB63" s="25">
        <f ca="1"/>
        <v>-0.55000000000000004</v>
      </c>
      <c r="AC63" s="25">
        <f ca="1"/>
        <v>-0.55000000000000004</v>
      </c>
      <c r="AD63" s="25">
        <f ca="1"/>
        <v>0.6</v>
      </c>
      <c r="AE63" s="25">
        <f ca="1"/>
        <v>0</v>
      </c>
      <c r="AF63" s="25">
        <f ca="1"/>
        <v>0</v>
      </c>
      <c r="AG63" s="25">
        <f ca="1"/>
        <v>0</v>
      </c>
      <c r="AH63" s="26" t="s">
        <v>214</v>
      </c>
      <c r="AI63" s="26"/>
      <c r="AJ63" s="26"/>
    </row>
    <row r="64" spans="4:36" ht="20.100000000000001" customHeight="1" x14ac:dyDescent="0.25">
      <c r="W64" s="25" t="e">
        <f>TEXT(EDATE('Input - Site'!$E$12,4), "mmmm yyyy")</f>
        <v>#VALUE!</v>
      </c>
      <c r="X64" s="25">
        <f ca="1"/>
        <v>0.6</v>
      </c>
      <c r="Y64" s="25">
        <f ca="1"/>
        <v>0</v>
      </c>
      <c r="Z64" s="25">
        <f ca="1"/>
        <v>0.6</v>
      </c>
      <c r="AA64" s="25">
        <f ca="1"/>
        <v>0.22</v>
      </c>
      <c r="AB64" s="25">
        <f ca="1"/>
        <v>-0.55000000000000004</v>
      </c>
      <c r="AC64" s="25">
        <f ca="1"/>
        <v>-0.55000000000000004</v>
      </c>
      <c r="AD64" s="25">
        <f ca="1"/>
        <v>0.6</v>
      </c>
      <c r="AE64" s="25">
        <f ca="1"/>
        <v>0</v>
      </c>
      <c r="AF64" s="25">
        <f ca="1"/>
        <v>0</v>
      </c>
      <c r="AG64" s="25">
        <f ca="1"/>
        <v>0</v>
      </c>
      <c r="AH64" s="26" t="s">
        <v>214</v>
      </c>
    </row>
    <row r="65" spans="4:36" ht="20.100000000000001" customHeight="1" x14ac:dyDescent="0.25">
      <c r="D65" s="114" t="s">
        <v>278</v>
      </c>
      <c r="W65" s="25" t="e">
        <f>TEXT(EDATE('Input - Site'!$E$12,5), "mmmm yyyy")</f>
        <v>#VALUE!</v>
      </c>
      <c r="X65" s="25">
        <f ca="1"/>
        <v>0.99</v>
      </c>
      <c r="Y65" s="25">
        <f ca="1"/>
        <v>0.22</v>
      </c>
      <c r="Z65" s="25">
        <f ca="1"/>
        <v>0.77</v>
      </c>
      <c r="AA65" s="25">
        <f ca="1"/>
        <v>0.11</v>
      </c>
      <c r="AB65" s="25">
        <f ca="1"/>
        <v>0.11</v>
      </c>
      <c r="AC65" s="25">
        <f ca="1"/>
        <v>0.11</v>
      </c>
      <c r="AD65" s="25">
        <f ca="1"/>
        <v>0.77</v>
      </c>
      <c r="AE65" s="25">
        <f ca="1"/>
        <v>0.44</v>
      </c>
      <c r="AF65" s="25">
        <f ca="1"/>
        <v>0.44</v>
      </c>
      <c r="AG65" s="25">
        <f ca="1"/>
        <v>0.44</v>
      </c>
      <c r="AH65" s="26" t="s">
        <v>214</v>
      </c>
    </row>
    <row r="66" spans="4:36" ht="20.100000000000001" customHeight="1" x14ac:dyDescent="0.25">
      <c r="D66" s="115" t="s">
        <v>279</v>
      </c>
      <c r="W66" s="25" t="e">
        <f>TEXT(EDATE('Input - Site'!$E$12,6), "mmmm yyyy")</f>
        <v>#VALUE!</v>
      </c>
      <c r="X66" s="25">
        <f ca="1"/>
        <v>0.99</v>
      </c>
      <c r="Y66" s="25">
        <f ca="1"/>
        <v>0.22</v>
      </c>
      <c r="Z66" s="25">
        <f ca="1"/>
        <v>0.77</v>
      </c>
      <c r="AA66" s="25">
        <f ca="1"/>
        <v>0.11</v>
      </c>
      <c r="AB66" s="25">
        <f ca="1"/>
        <v>0.11</v>
      </c>
      <c r="AC66" s="25">
        <f ca="1"/>
        <v>0.11</v>
      </c>
      <c r="AD66" s="25">
        <f ca="1"/>
        <v>0.77</v>
      </c>
      <c r="AE66" s="25">
        <f ca="1"/>
        <v>0.44</v>
      </c>
      <c r="AF66" s="25">
        <f ca="1"/>
        <v>0.44</v>
      </c>
      <c r="AG66" s="25">
        <f ca="1"/>
        <v>0.44</v>
      </c>
      <c r="AH66" s="26" t="s">
        <v>214</v>
      </c>
    </row>
    <row r="67" spans="4:36" ht="20.100000000000001" customHeight="1" x14ac:dyDescent="0.25">
      <c r="D67" s="116" t="s">
        <v>78</v>
      </c>
      <c r="E67" s="117" t="s">
        <v>193</v>
      </c>
      <c r="F67" s="117" t="s">
        <v>194</v>
      </c>
      <c r="G67" s="117" t="s">
        <v>195</v>
      </c>
      <c r="H67" s="117" t="s">
        <v>196</v>
      </c>
      <c r="I67" s="117" t="s">
        <v>197</v>
      </c>
      <c r="J67" s="117" t="s">
        <v>198</v>
      </c>
      <c r="K67" s="117" t="s">
        <v>199</v>
      </c>
      <c r="L67" s="117" t="s">
        <v>200</v>
      </c>
      <c r="M67" s="117" t="s">
        <v>201</v>
      </c>
      <c r="N67" s="117" t="s">
        <v>202</v>
      </c>
      <c r="W67" s="25" t="e">
        <f>TEXT(EDATE('Input - Site'!$E$12,7), "mmmm yyyy")</f>
        <v>#VALUE!</v>
      </c>
      <c r="X67" s="25">
        <f ca="1"/>
        <v>0.99</v>
      </c>
      <c r="Y67" s="25">
        <f ca="1"/>
        <v>0.22</v>
      </c>
      <c r="Z67" s="25">
        <f ca="1"/>
        <v>0.77</v>
      </c>
      <c r="AA67" s="25">
        <f ca="1"/>
        <v>0.11</v>
      </c>
      <c r="AB67" s="25">
        <f ca="1"/>
        <v>0.11</v>
      </c>
      <c r="AC67" s="25">
        <f ca="1"/>
        <v>0.11</v>
      </c>
      <c r="AD67" s="25">
        <f ca="1"/>
        <v>0.77</v>
      </c>
      <c r="AE67" s="25">
        <f ca="1"/>
        <v>0.44</v>
      </c>
      <c r="AF67" s="25">
        <f ca="1"/>
        <v>0.44</v>
      </c>
      <c r="AG67" s="25">
        <f ca="1"/>
        <v>0.44</v>
      </c>
      <c r="AH67" s="26" t="s">
        <v>214</v>
      </c>
    </row>
    <row r="68" spans="4:36" ht="20.100000000000001" customHeight="1" x14ac:dyDescent="0.25">
      <c r="D68" s="25" t="str">
        <f>INDEX(X_Table_PastureBeef_LiveweightGain_Method1,2,1)</f>
        <v>Spring</v>
      </c>
      <c r="E68" s="25" cm="1">
        <f t="array" aca="1" ref="E68:N71" ca="1">OFFSET(X_Table_PastureBeef_LiveweightGain_Method1, 1,1, 4,10)</f>
        <v>1.64</v>
      </c>
      <c r="F68" s="25">
        <f ca="1"/>
        <v>1.1000000000000001</v>
      </c>
      <c r="G68" s="25">
        <f ca="1"/>
        <v>1.21</v>
      </c>
      <c r="H68" s="25">
        <f ca="1"/>
        <v>0.99</v>
      </c>
      <c r="I68" s="25">
        <f ca="1"/>
        <v>0.66</v>
      </c>
      <c r="J68" s="25">
        <f ca="1"/>
        <v>0.66</v>
      </c>
      <c r="K68" s="25">
        <f ca="1"/>
        <v>1.42</v>
      </c>
      <c r="L68" s="25">
        <f ca="1"/>
        <v>1.1000000000000001</v>
      </c>
      <c r="M68" s="25">
        <f ca="1"/>
        <v>1.1000000000000001</v>
      </c>
      <c r="N68" s="25">
        <f ca="1"/>
        <v>1.1000000000000001</v>
      </c>
      <c r="O68" s="26" t="s">
        <v>212</v>
      </c>
      <c r="P68" s="26"/>
      <c r="Q68" s="26"/>
      <c r="R68" s="26"/>
      <c r="S68" s="26"/>
      <c r="W68" s="25" t="e">
        <f>TEXT(EDATE('Input - Site'!$E$12,8), "mmmm yyyy")</f>
        <v>#VALUE!</v>
      </c>
      <c r="X68" s="25">
        <f ca="1"/>
        <v>1.64</v>
      </c>
      <c r="Y68" s="25">
        <f ca="1"/>
        <v>1.1000000000000001</v>
      </c>
      <c r="Z68" s="25">
        <f ca="1"/>
        <v>1.21</v>
      </c>
      <c r="AA68" s="25">
        <f ca="1"/>
        <v>0.99</v>
      </c>
      <c r="AB68" s="25">
        <f ca="1"/>
        <v>0.66</v>
      </c>
      <c r="AC68" s="25">
        <f ca="1"/>
        <v>0.66</v>
      </c>
      <c r="AD68" s="25">
        <f ca="1"/>
        <v>1.42</v>
      </c>
      <c r="AE68" s="25">
        <f ca="1"/>
        <v>1.1000000000000001</v>
      </c>
      <c r="AF68" s="25">
        <f ca="1"/>
        <v>1.1000000000000001</v>
      </c>
      <c r="AG68" s="25">
        <f ca="1"/>
        <v>1.1000000000000001</v>
      </c>
      <c r="AH68" s="26" t="s">
        <v>214</v>
      </c>
      <c r="AI68" s="26"/>
      <c r="AJ68" s="26"/>
    </row>
    <row r="69" spans="4:36" ht="20.100000000000001" customHeight="1" x14ac:dyDescent="0.25">
      <c r="D69" s="25" t="str">
        <f>INDEX(X_Table_PastureBeef_LiveweightGain_Method1,3,1)</f>
        <v>Summer</v>
      </c>
      <c r="E69" s="25">
        <f ca="1"/>
        <v>0.44</v>
      </c>
      <c r="F69" s="25">
        <f ca="1"/>
        <v>-0.22</v>
      </c>
      <c r="G69" s="25">
        <f ca="1"/>
        <v>0.44</v>
      </c>
      <c r="H69" s="25">
        <f ca="1"/>
        <v>0.33</v>
      </c>
      <c r="I69" s="25">
        <f ca="1"/>
        <v>-0.22</v>
      </c>
      <c r="J69" s="25">
        <f ca="1"/>
        <v>-0.22</v>
      </c>
      <c r="K69" s="25">
        <f ca="1"/>
        <v>0.44</v>
      </c>
      <c r="L69" s="25">
        <f ca="1"/>
        <v>-0.11</v>
      </c>
      <c r="M69" s="25">
        <f ca="1"/>
        <v>-0.11</v>
      </c>
      <c r="N69" s="25">
        <f ca="1"/>
        <v>-0.11</v>
      </c>
      <c r="O69" s="26" t="s">
        <v>212</v>
      </c>
      <c r="P69" s="26"/>
      <c r="Q69" s="26"/>
      <c r="R69" s="26"/>
      <c r="S69" s="26"/>
      <c r="W69" s="25" t="e">
        <f>TEXT(EDATE('Input - Site'!$E$12,9), "mmmm yyyy")</f>
        <v>#VALUE!</v>
      </c>
      <c r="X69" s="25">
        <f ca="1"/>
        <v>1.64</v>
      </c>
      <c r="Y69" s="25">
        <f ca="1"/>
        <v>1.1000000000000001</v>
      </c>
      <c r="Z69" s="25">
        <f ca="1"/>
        <v>1.21</v>
      </c>
      <c r="AA69" s="25">
        <f ca="1"/>
        <v>0.99</v>
      </c>
      <c r="AB69" s="25">
        <f ca="1"/>
        <v>0.66</v>
      </c>
      <c r="AC69" s="25">
        <f ca="1"/>
        <v>0.66</v>
      </c>
      <c r="AD69" s="25">
        <f ca="1"/>
        <v>1.42</v>
      </c>
      <c r="AE69" s="25">
        <f ca="1"/>
        <v>1.1000000000000001</v>
      </c>
      <c r="AF69" s="25">
        <f ca="1"/>
        <v>1.1000000000000001</v>
      </c>
      <c r="AG69" s="25">
        <f ca="1"/>
        <v>1.1000000000000001</v>
      </c>
      <c r="AH69" s="26" t="s">
        <v>214</v>
      </c>
      <c r="AI69" s="26"/>
      <c r="AJ69" s="26"/>
    </row>
    <row r="70" spans="4:36" ht="20.100000000000001" customHeight="1" x14ac:dyDescent="0.25">
      <c r="D70" s="25" t="str">
        <f>INDEX(X_Table_PastureBeef_LiveweightGain_Method1,4,1)</f>
        <v>Autumn</v>
      </c>
      <c r="E70" s="25">
        <f ca="1"/>
        <v>0.6</v>
      </c>
      <c r="F70" s="25">
        <f ca="1"/>
        <v>0</v>
      </c>
      <c r="G70" s="25">
        <f ca="1"/>
        <v>0.6</v>
      </c>
      <c r="H70" s="25">
        <f ca="1"/>
        <v>0.22</v>
      </c>
      <c r="I70" s="25">
        <f ca="1"/>
        <v>-0.55000000000000004</v>
      </c>
      <c r="J70" s="25">
        <f ca="1"/>
        <v>-0.55000000000000004</v>
      </c>
      <c r="K70" s="25">
        <f ca="1"/>
        <v>0.6</v>
      </c>
      <c r="L70" s="25">
        <f ca="1"/>
        <v>0</v>
      </c>
      <c r="M70" s="25">
        <f ca="1"/>
        <v>0</v>
      </c>
      <c r="N70" s="25">
        <f ca="1"/>
        <v>0</v>
      </c>
      <c r="O70" s="26" t="s">
        <v>212</v>
      </c>
      <c r="P70" s="26"/>
      <c r="Q70" s="26"/>
      <c r="R70" s="26"/>
      <c r="S70" s="26"/>
      <c r="W70" s="25" t="e">
        <f>TEXT(EDATE('Input - Site'!$E$12,10), "mmmm yyyy")</f>
        <v>#VALUE!</v>
      </c>
      <c r="X70" s="25">
        <f ca="1"/>
        <v>1.64</v>
      </c>
      <c r="Y70" s="25">
        <f ca="1"/>
        <v>1.1000000000000001</v>
      </c>
      <c r="Z70" s="25">
        <f ca="1"/>
        <v>1.21</v>
      </c>
      <c r="AA70" s="25">
        <f ca="1"/>
        <v>0.99</v>
      </c>
      <c r="AB70" s="25">
        <f ca="1"/>
        <v>0.66</v>
      </c>
      <c r="AC70" s="25">
        <f ca="1"/>
        <v>0.66</v>
      </c>
      <c r="AD70" s="25">
        <f ca="1"/>
        <v>1.42</v>
      </c>
      <c r="AE70" s="25">
        <f ca="1"/>
        <v>1.1000000000000001</v>
      </c>
      <c r="AF70" s="25">
        <f ca="1"/>
        <v>1.1000000000000001</v>
      </c>
      <c r="AG70" s="25">
        <f ca="1"/>
        <v>1.1000000000000001</v>
      </c>
      <c r="AH70" s="26" t="s">
        <v>214</v>
      </c>
      <c r="AI70" s="26"/>
      <c r="AJ70" s="26"/>
    </row>
    <row r="71" spans="4:36" ht="20.100000000000001" customHeight="1" x14ac:dyDescent="0.25">
      <c r="D71" s="25" t="str">
        <f>INDEX(X_Table_PastureBeef_LiveweightGain_Method1,5,1)</f>
        <v>Winter</v>
      </c>
      <c r="E71" s="25">
        <f ca="1"/>
        <v>0.99</v>
      </c>
      <c r="F71" s="25">
        <f ca="1"/>
        <v>0.22</v>
      </c>
      <c r="G71" s="25">
        <f ca="1"/>
        <v>0.77</v>
      </c>
      <c r="H71" s="25">
        <f ca="1"/>
        <v>0.11</v>
      </c>
      <c r="I71" s="25">
        <f ca="1"/>
        <v>0.11</v>
      </c>
      <c r="J71" s="25">
        <f ca="1"/>
        <v>0.11</v>
      </c>
      <c r="K71" s="25">
        <f ca="1"/>
        <v>0.77</v>
      </c>
      <c r="L71" s="25">
        <f ca="1"/>
        <v>0.44</v>
      </c>
      <c r="M71" s="25">
        <f ca="1"/>
        <v>0.44</v>
      </c>
      <c r="N71" s="25">
        <f ca="1"/>
        <v>0.44</v>
      </c>
      <c r="O71" s="26" t="s">
        <v>212</v>
      </c>
      <c r="P71" s="26"/>
      <c r="Q71" s="26"/>
      <c r="R71" s="26"/>
      <c r="S71" s="26"/>
      <c r="W71" s="25" t="e">
        <f>TEXT(EDATE('Input - Site'!$E$12,11), "mmmm yyyy")</f>
        <v>#VALUE!</v>
      </c>
      <c r="X71" s="25">
        <f ca="1"/>
        <v>0.44</v>
      </c>
      <c r="Y71" s="25">
        <f ca="1"/>
        <v>-0.22</v>
      </c>
      <c r="Z71" s="25">
        <f ca="1"/>
        <v>0.44</v>
      </c>
      <c r="AA71" s="25">
        <f ca="1"/>
        <v>0.33</v>
      </c>
      <c r="AB71" s="25">
        <f ca="1"/>
        <v>-0.22</v>
      </c>
      <c r="AC71" s="25">
        <f ca="1"/>
        <v>-0.22</v>
      </c>
      <c r="AD71" s="25">
        <f ca="1"/>
        <v>0.44</v>
      </c>
      <c r="AE71" s="25">
        <f ca="1"/>
        <v>-0.11</v>
      </c>
      <c r="AF71" s="25">
        <f ca="1"/>
        <v>-0.11</v>
      </c>
      <c r="AG71" s="25">
        <f ca="1"/>
        <v>-0.11</v>
      </c>
      <c r="AH71" s="26" t="s">
        <v>214</v>
      </c>
      <c r="AI71" s="26"/>
      <c r="AJ71" s="26"/>
    </row>
    <row r="72" spans="4:36" ht="20.100000000000001" customHeight="1" x14ac:dyDescent="0.25">
      <c r="AI72" s="26"/>
      <c r="AJ72" s="26"/>
    </row>
    <row r="73" spans="4:36" ht="20.100000000000001" customHeight="1" x14ac:dyDescent="0.25">
      <c r="W73" s="114" t="s">
        <v>284</v>
      </c>
      <c r="AI73" s="26"/>
      <c r="AJ73" s="26"/>
    </row>
    <row r="74" spans="4:36" ht="20.100000000000001" customHeight="1" x14ac:dyDescent="0.25">
      <c r="W74" s="115" t="s">
        <v>285</v>
      </c>
      <c r="AI74" s="26"/>
      <c r="AJ74" s="26"/>
    </row>
    <row r="75" spans="4:36" ht="20.100000000000001" customHeight="1" x14ac:dyDescent="0.25">
      <c r="W75" s="116" t="s">
        <v>77</v>
      </c>
      <c r="X75" s="116" t="s">
        <v>193</v>
      </c>
      <c r="Y75" s="116" t="s">
        <v>194</v>
      </c>
      <c r="Z75" s="116" t="s">
        <v>195</v>
      </c>
      <c r="AA75" s="116" t="s">
        <v>196</v>
      </c>
      <c r="AB75" s="116" t="s">
        <v>197</v>
      </c>
      <c r="AC75" s="116" t="s">
        <v>198</v>
      </c>
      <c r="AD75" s="116" t="s">
        <v>199</v>
      </c>
      <c r="AE75" s="116" t="s">
        <v>200</v>
      </c>
      <c r="AF75" s="116" t="s">
        <v>201</v>
      </c>
      <c r="AG75" s="116" t="s">
        <v>202</v>
      </c>
      <c r="AI75" s="26"/>
      <c r="AJ75" s="26"/>
    </row>
    <row r="76" spans="4:36" ht="20.100000000000001" customHeight="1" x14ac:dyDescent="0.25">
      <c r="W76" s="25" t="str">
        <f>TEXT('Input - Site'!$E$12, "mmmm yyyy")</f>
        <v>NO - Not in leaching zone</v>
      </c>
      <c r="X76" s="25" cm="1">
        <f t="array" aca="1" ref="X76" ca="1">EntericMethane_PastureBeef_Equations.VEERG_3_2_1_1__3_FeedIntakeForGrazingBeef(X44,X60,Z28)</f>
        <v>7.1468536895999959</v>
      </c>
      <c r="Y76" s="25" cm="1">
        <f t="array" aca="1" ref="Y76" ca="1">EntericMethane_PastureBeef_Equations.VEERG_3_2_1_1__3_FeedIntakeForGrazingBeef(Y44,Y60,AA28)</f>
        <v>9.4559940036000008</v>
      </c>
      <c r="Z76" s="25" cm="1">
        <f t="array" aca="1" ref="Z76" ca="1">EntericMethane_PastureBeef_Equations.VEERG_3_2_1_1__3_FeedIntakeForGrazingBeef(Z44,Z60,AB28)</f>
        <v>6.010342559999998</v>
      </c>
      <c r="AA76" s="25" cm="1">
        <f t="array" aca="1" ref="AA76" ca="1">EntericMethane_PastureBeef_Equations.VEERG_3_2_1_1__3_FeedIntakeForGrazingBeef(AA44,AA60,AC28)</f>
        <v>7.8705497025</v>
      </c>
      <c r="AB76" s="25" cm="1">
        <f t="array" aca="1" ref="AB76" ca="1">EntericMethane_PastureBeef_Equations.VEERG_3_2_1_1__3_FeedIntakeForGrazingBeef(AB44,AB60,AD28)</f>
        <v>7.7928072335999978</v>
      </c>
      <c r="AC76" s="25" cm="1">
        <f t="array" aca="1" ref="AC76" ca="1">EntericMethane_PastureBeef_Equations.VEERG_3_2_1_1__3_FeedIntakeForGrazingBeef(AC44,AC60,AE28)</f>
        <v>7.7928072335999978</v>
      </c>
      <c r="AD76" s="25" cm="1">
        <f t="array" aca="1" ref="AD76" ca="1">EntericMethane_PastureBeef_Equations.VEERG_3_2_1_1__3_FeedIntakeForGrazingBeef(AD44,AD60,AF28)</f>
        <v>6.5876408896000003</v>
      </c>
      <c r="AE76" s="25" cm="1">
        <f t="array" aca="1" ref="AE76" ca="1">EntericMethane_PastureBeef_Equations.VEERG_3_2_1_1__3_FeedIntakeForGrazingBeef(AE44,AE60,AG28)</f>
        <v>7.3430702361</v>
      </c>
      <c r="AF76" s="25" cm="1">
        <f t="array" aca="1" ref="AF76" ca="1">EntericMethane_PastureBeef_Equations.VEERG_3_2_1_1__3_FeedIntakeForGrazingBeef(AF44,AF60,AH28)</f>
        <v>7.3430702361</v>
      </c>
      <c r="AG76" s="25" cm="1">
        <f t="array" aca="1" ref="AG76" ca="1">EntericMethane_PastureBeef_Equations.VEERG_3_2_1_1__3_FeedIntakeForGrazingBeef(AG44,AG60,AI28)</f>
        <v>7.3430702361</v>
      </c>
      <c r="AH76" s="26" t="str">
        <f t="shared" ref="AH76:AH87" si="2">$E$43</f>
        <v>kg DM/head/day</v>
      </c>
      <c r="AI76" s="26"/>
      <c r="AJ76" s="26"/>
    </row>
    <row r="77" spans="4:36" ht="20.100000000000001" customHeight="1" x14ac:dyDescent="0.25">
      <c r="W77" s="25" t="e">
        <f>TEXT(EDATE('Input - Site'!$E$12,1), "mmmm yyyy")</f>
        <v>#VALUE!</v>
      </c>
      <c r="X77" s="25" cm="1">
        <f t="array" aca="1" ref="X77" ca="1">EntericMethane_PastureBeef_Equations.VEERG_3_2_1_1__3_FeedIntakeForGrazingBeef(X45,X61,Z29)</f>
        <v>7.1468536895999959</v>
      </c>
      <c r="Y77" s="25" cm="1">
        <f t="array" aca="1" ref="Y77" ca="1">EntericMethane_PastureBeef_Equations.VEERG_3_2_1_1__3_FeedIntakeForGrazingBeef(Y45,Y61,AA29)</f>
        <v>9.4559940036000008</v>
      </c>
      <c r="Z77" s="25" cm="1">
        <f t="array" aca="1" ref="Z77" ca="1">EntericMethane_PastureBeef_Equations.VEERG_3_2_1_1__3_FeedIntakeForGrazingBeef(Z45,Z61,AB29)</f>
        <v>6.010342559999998</v>
      </c>
      <c r="AA77" s="25" cm="1">
        <f t="array" aca="1" ref="AA77" ca="1">EntericMethane_PastureBeef_Equations.VEERG_3_2_1_1__3_FeedIntakeForGrazingBeef(AA45,AA61,AC29)</f>
        <v>7.8705497025</v>
      </c>
      <c r="AB77" s="25" cm="1">
        <f t="array" aca="1" ref="AB77" ca="1">EntericMethane_PastureBeef_Equations.VEERG_3_2_1_1__3_FeedIntakeForGrazingBeef(AB45,AB61,AD29)</f>
        <v>7.7928072335999978</v>
      </c>
      <c r="AC77" s="25" cm="1">
        <f t="array" aca="1" ref="AC77" ca="1">EntericMethane_PastureBeef_Equations.VEERG_3_2_1_1__3_FeedIntakeForGrazingBeef(AC45,AC61,AE29)</f>
        <v>7.7928072335999978</v>
      </c>
      <c r="AD77" s="25" cm="1">
        <f t="array" aca="1" ref="AD77" ca="1">EntericMethane_PastureBeef_Equations.VEERG_3_2_1_1__3_FeedIntakeForGrazingBeef(AD45,AD61,AF29)</f>
        <v>6.5876408896000003</v>
      </c>
      <c r="AE77" s="25" cm="1">
        <f t="array" aca="1" ref="AE77" ca="1">EntericMethane_PastureBeef_Equations.VEERG_3_2_1_1__3_FeedIntakeForGrazingBeef(AE45,AE61,AG29)</f>
        <v>7.3430702361</v>
      </c>
      <c r="AF77" s="25" cm="1">
        <f t="array" aca="1" ref="AF77" ca="1">EntericMethane_PastureBeef_Equations.VEERG_3_2_1_1__3_FeedIntakeForGrazingBeef(AF45,AF61,AH29)</f>
        <v>7.3430702361</v>
      </c>
      <c r="AG77" s="25" cm="1">
        <f t="array" aca="1" ref="AG77" ca="1">EntericMethane_PastureBeef_Equations.VEERG_3_2_1_1__3_FeedIntakeForGrazingBeef(AG45,AG61,AI29)</f>
        <v>7.3430702361</v>
      </c>
      <c r="AH77" s="26" t="str">
        <f t="shared" si="2"/>
        <v>kg DM/head/day</v>
      </c>
      <c r="AI77" s="26"/>
      <c r="AJ77" s="26"/>
    </row>
    <row r="78" spans="4:36" ht="20.100000000000001" customHeight="1" x14ac:dyDescent="0.25">
      <c r="W78" s="25" t="e">
        <f>TEXT(EDATE('Input - Site'!$E$12,2), "mmmm yyyy")</f>
        <v>#VALUE!</v>
      </c>
      <c r="X78" s="25" cm="1">
        <f t="array" aca="1" ref="X78" ca="1">EntericMethane_PastureBeef_Equations.VEERG_3_2_1_1__3_FeedIntakeForGrazingBeef(X46,X62,Z30)</f>
        <v>3.247204</v>
      </c>
      <c r="Y78" s="25" cm="1">
        <f t="array" aca="1" ref="Y78" ca="1">EntericMethane_PastureBeef_Equations.VEERG_3_2_1_1__3_FeedIntakeForGrazingBeef(Y46,Y62,AA30)</f>
        <v>9.4246544015999998</v>
      </c>
      <c r="Z78" s="25" cm="1">
        <f t="array" aca="1" ref="Z78" ca="1">EntericMethane_PastureBeef_Equations.VEERG_3_2_1_1__3_FeedIntakeForGrazingBeef(Z46,Z62,AB30)</f>
        <v>2.9603267136000002</v>
      </c>
      <c r="AA78" s="25" cm="1">
        <f t="array" aca="1" ref="AA78" ca="1">EntericMethane_PastureBeef_Equations.VEERG_3_2_1_1__3_FeedIntakeForGrazingBeef(AA46,AA62,AC30)</f>
        <v>5.9577975395999987</v>
      </c>
      <c r="AB78" s="25" cm="1">
        <f t="array" aca="1" ref="AB78" ca="1">EntericMethane_PastureBeef_Equations.VEERG_3_2_1_1__3_FeedIntakeForGrazingBeef(AB46,AB62,AD30)</f>
        <v>6.7179974480999993</v>
      </c>
      <c r="AC78" s="25" cm="1">
        <f t="array" aca="1" ref="AC78" ca="1">EntericMethane_PastureBeef_Equations.VEERG_3_2_1_1__3_FeedIntakeForGrazingBeef(AC46,AC62,AE30)</f>
        <v>6.7179974480999993</v>
      </c>
      <c r="AD78" s="25" cm="1">
        <f t="array" aca="1" ref="AD78" ca="1">EntericMethane_PastureBeef_Equations.VEERG_3_2_1_1__3_FeedIntakeForGrazingBeef(AD46,AD62,AF30)</f>
        <v>3.247204</v>
      </c>
      <c r="AE78" s="25" cm="1">
        <f t="array" aca="1" ref="AE78" ca="1">EntericMethane_PastureBeef_Equations.VEERG_3_2_1_1__3_FeedIntakeForGrazingBeef(AE46,AE62,AG30)</f>
        <v>5.8953782416000013</v>
      </c>
      <c r="AF78" s="25" cm="1">
        <f t="array" aca="1" ref="AF78" ca="1">EntericMethane_PastureBeef_Equations.VEERG_3_2_1_1__3_FeedIntakeForGrazingBeef(AF46,AF62,AH30)</f>
        <v>5.8953782416000013</v>
      </c>
      <c r="AG78" s="25" cm="1">
        <f t="array" aca="1" ref="AG78" ca="1">EntericMethane_PastureBeef_Equations.VEERG_3_2_1_1__3_FeedIntakeForGrazingBeef(AG46,AG62,AI30)</f>
        <v>5.8953782416000013</v>
      </c>
      <c r="AH78" s="26" t="str">
        <f t="shared" si="2"/>
        <v>kg DM/head/day</v>
      </c>
      <c r="AI78" s="26"/>
      <c r="AJ78" s="26"/>
    </row>
    <row r="79" spans="4:36" ht="20.100000000000001" customHeight="1" x14ac:dyDescent="0.25">
      <c r="W79" s="25" t="e">
        <f>TEXT(EDATE('Input - Site'!$E$12,3), "mmmm yyyy")</f>
        <v>#VALUE!</v>
      </c>
      <c r="X79" s="25" cm="1">
        <f t="array" aca="1" ref="X79" ca="1">EntericMethane_PastureBeef_Equations.VEERG_3_2_1_1__3_FeedIntakeForGrazingBeef(X47,X63,Z31)</f>
        <v>3.247204</v>
      </c>
      <c r="Y79" s="25" cm="1">
        <f t="array" aca="1" ref="Y79" ca="1">EntericMethane_PastureBeef_Equations.VEERG_3_2_1_1__3_FeedIntakeForGrazingBeef(Y47,Y63,AA31)</f>
        <v>9.4246544015999998</v>
      </c>
      <c r="Z79" s="25" cm="1">
        <f t="array" aca="1" ref="Z79" ca="1">EntericMethane_PastureBeef_Equations.VEERG_3_2_1_1__3_FeedIntakeForGrazingBeef(Z47,Z63,AB31)</f>
        <v>2.9603267136000002</v>
      </c>
      <c r="AA79" s="25" cm="1">
        <f t="array" aca="1" ref="AA79" ca="1">EntericMethane_PastureBeef_Equations.VEERG_3_2_1_1__3_FeedIntakeForGrazingBeef(AA47,AA63,AC31)</f>
        <v>5.9577975395999987</v>
      </c>
      <c r="AB79" s="25" cm="1">
        <f t="array" aca="1" ref="AB79" ca="1">EntericMethane_PastureBeef_Equations.VEERG_3_2_1_1__3_FeedIntakeForGrazingBeef(AB47,AB63,AD31)</f>
        <v>6.7179974480999993</v>
      </c>
      <c r="AC79" s="25" cm="1">
        <f t="array" aca="1" ref="AC79" ca="1">EntericMethane_PastureBeef_Equations.VEERG_3_2_1_1__3_FeedIntakeForGrazingBeef(AC47,AC63,AE31)</f>
        <v>6.7179974480999993</v>
      </c>
      <c r="AD79" s="25" cm="1">
        <f t="array" aca="1" ref="AD79" ca="1">EntericMethane_PastureBeef_Equations.VEERG_3_2_1_1__3_FeedIntakeForGrazingBeef(AD47,AD63,AF31)</f>
        <v>3.247204</v>
      </c>
      <c r="AE79" s="25" cm="1">
        <f t="array" aca="1" ref="AE79" ca="1">EntericMethane_PastureBeef_Equations.VEERG_3_2_1_1__3_FeedIntakeForGrazingBeef(AE47,AE63,AG31)</f>
        <v>5.8953782416000013</v>
      </c>
      <c r="AF79" s="25" cm="1">
        <f t="array" aca="1" ref="AF79" ca="1">EntericMethane_PastureBeef_Equations.VEERG_3_2_1_1__3_FeedIntakeForGrazingBeef(AF47,AF63,AH31)</f>
        <v>5.8953782416000013</v>
      </c>
      <c r="AG79" s="25" cm="1">
        <f t="array" aca="1" ref="AG79" ca="1">EntericMethane_PastureBeef_Equations.VEERG_3_2_1_1__3_FeedIntakeForGrazingBeef(AG47,AG63,AI31)</f>
        <v>5.8953782416000013</v>
      </c>
      <c r="AH79" s="26" t="str">
        <f t="shared" si="2"/>
        <v>kg DM/head/day</v>
      </c>
      <c r="AI79" s="26"/>
      <c r="AJ79" s="26"/>
    </row>
    <row r="80" spans="4:36" ht="20.100000000000001" customHeight="1" x14ac:dyDescent="0.25">
      <c r="W80" s="25" t="e">
        <f>TEXT(EDATE('Input - Site'!$E$12,4), "mmmm yyyy")</f>
        <v>#VALUE!</v>
      </c>
      <c r="X80" s="25" cm="1">
        <f t="array" aca="1" ref="X80" ca="1">EntericMethane_PastureBeef_Equations.VEERG_3_2_1_1__3_FeedIntakeForGrazingBeef(X48,X64,Z32)</f>
        <v>3.247204</v>
      </c>
      <c r="Y80" s="25" cm="1">
        <f t="array" aca="1" ref="Y80" ca="1">EntericMethane_PastureBeef_Equations.VEERG_3_2_1_1__3_FeedIntakeForGrazingBeef(Y48,Y64,AA32)</f>
        <v>9.4246544015999998</v>
      </c>
      <c r="Z80" s="25" cm="1">
        <f t="array" aca="1" ref="Z80" ca="1">EntericMethane_PastureBeef_Equations.VEERG_3_2_1_1__3_FeedIntakeForGrazingBeef(Z48,Z64,AB32)</f>
        <v>2.9603267136000002</v>
      </c>
      <c r="AA80" s="25" cm="1">
        <f t="array" aca="1" ref="AA80" ca="1">EntericMethane_PastureBeef_Equations.VEERG_3_2_1_1__3_FeedIntakeForGrazingBeef(AA48,AA64,AC32)</f>
        <v>5.9577975395999987</v>
      </c>
      <c r="AB80" s="25" cm="1">
        <f t="array" aca="1" ref="AB80" ca="1">EntericMethane_PastureBeef_Equations.VEERG_3_2_1_1__3_FeedIntakeForGrazingBeef(AB48,AB64,AD32)</f>
        <v>6.7179974480999993</v>
      </c>
      <c r="AC80" s="25" cm="1">
        <f t="array" aca="1" ref="AC80" ca="1">EntericMethane_PastureBeef_Equations.VEERG_3_2_1_1__3_FeedIntakeForGrazingBeef(AC48,AC64,AE32)</f>
        <v>6.7179974480999993</v>
      </c>
      <c r="AD80" s="25" cm="1">
        <f t="array" aca="1" ref="AD80" ca="1">EntericMethane_PastureBeef_Equations.VEERG_3_2_1_1__3_FeedIntakeForGrazingBeef(AD48,AD64,AF32)</f>
        <v>3.247204</v>
      </c>
      <c r="AE80" s="25" cm="1">
        <f t="array" aca="1" ref="AE80" ca="1">EntericMethane_PastureBeef_Equations.VEERG_3_2_1_1__3_FeedIntakeForGrazingBeef(AE48,AE64,AG32)</f>
        <v>5.8953782416000013</v>
      </c>
      <c r="AF80" s="25" cm="1">
        <f t="array" aca="1" ref="AF80" ca="1">EntericMethane_PastureBeef_Equations.VEERG_3_2_1_1__3_FeedIntakeForGrazingBeef(AF48,AF64,AH32)</f>
        <v>5.8953782416000013</v>
      </c>
      <c r="AG80" s="25" cm="1">
        <f t="array" aca="1" ref="AG80" ca="1">EntericMethane_PastureBeef_Equations.VEERG_3_2_1_1__3_FeedIntakeForGrazingBeef(AG48,AG64,AI32)</f>
        <v>5.8953782416000013</v>
      </c>
      <c r="AH80" s="26" t="str">
        <f t="shared" si="2"/>
        <v>kg DM/head/day</v>
      </c>
    </row>
    <row r="81" spans="4:36" ht="20.100000000000001" customHeight="1" x14ac:dyDescent="0.25">
      <c r="D81" s="114" t="s">
        <v>282</v>
      </c>
      <c r="W81" s="25" t="e">
        <f>TEXT(EDATE('Input - Site'!$E$12,5), "mmmm yyyy")</f>
        <v>#VALUE!</v>
      </c>
      <c r="X81" s="25" cm="1">
        <f t="array" aca="1" ref="X81" ca="1">EntericMethane_PastureBeef_Equations.VEERG_3_2_1_1__3_FeedIntakeForGrazingBeef(X49,X65,Z33)</f>
        <v>5.1328980481000004</v>
      </c>
      <c r="Y81" s="25" cm="1">
        <f t="array" aca="1" ref="Y81" ca="1">EntericMethane_PastureBeef_Equations.VEERG_3_2_1_1__3_FeedIntakeForGrazingBeef(Y49,Y65,AA33)</f>
        <v>9.9748588899999984</v>
      </c>
      <c r="Z81" s="25" cm="1">
        <f t="array" aca="1" ref="Z81" ca="1">EntericMethane_PastureBeef_Equations.VEERG_3_2_1_1__3_FeedIntakeForGrazingBeef(Z49,Z65,AB33)</f>
        <v>4.202705002500001</v>
      </c>
      <c r="AA81" s="25" cm="1">
        <f t="array" aca="1" ref="AA81" ca="1">EntericMethane_PastureBeef_Equations.VEERG_3_2_1_1__3_FeedIntakeForGrazingBeef(AA49,AA65,AC33)</f>
        <v>5.9278127841000021</v>
      </c>
      <c r="AB81" s="25" cm="1">
        <f t="array" aca="1" ref="AB81" ca="1">EntericMethane_PastureBeef_Equations.VEERG_3_2_1_1__3_FeedIntakeForGrazingBeef(AB49,AB65,AD33)</f>
        <v>7.952343600099999</v>
      </c>
      <c r="AC81" s="25" cm="1">
        <f t="array" aca="1" ref="AC81" ca="1">EntericMethane_PastureBeef_Equations.VEERG_3_2_1_1__3_FeedIntakeForGrazingBeef(AC49,AC65,AE33)</f>
        <v>7.952343600099999</v>
      </c>
      <c r="AD81" s="25" cm="1">
        <f t="array" aca="1" ref="AD81" ca="1">EntericMethane_PastureBeef_Equations.VEERG_3_2_1_1__3_FeedIntakeForGrazingBeef(AD49,AD65,AF33)</f>
        <v>4.5122681240999984</v>
      </c>
      <c r="AE81" s="25" cm="1">
        <f t="array" aca="1" ref="AE81" ca="1">EntericMethane_PastureBeef_Equations.VEERG_3_2_1_1__3_FeedIntakeForGrazingBeef(AE49,AE65,AG33)</f>
        <v>6.8698506815999991</v>
      </c>
      <c r="AF81" s="25" cm="1">
        <f t="array" aca="1" ref="AF81" ca="1">EntericMethane_PastureBeef_Equations.VEERG_3_2_1_1__3_FeedIntakeForGrazingBeef(AF49,AF65,AH33)</f>
        <v>6.8698506815999991</v>
      </c>
      <c r="AG81" s="25" cm="1">
        <f t="array" aca="1" ref="AG81" ca="1">EntericMethane_PastureBeef_Equations.VEERG_3_2_1_1__3_FeedIntakeForGrazingBeef(AG49,AG65,AI33)</f>
        <v>6.8698506815999991</v>
      </c>
      <c r="AH81" s="26" t="str">
        <f t="shared" si="2"/>
        <v>kg DM/head/day</v>
      </c>
    </row>
    <row r="82" spans="4:36" ht="20.100000000000001" customHeight="1" x14ac:dyDescent="0.25">
      <c r="D82" s="115" t="s">
        <v>283</v>
      </c>
      <c r="W82" s="25" t="e">
        <f>TEXT(EDATE('Input - Site'!$E$12,6), "mmmm yyyy")</f>
        <v>#VALUE!</v>
      </c>
      <c r="X82" s="25" cm="1">
        <f t="array" aca="1" ref="X82" ca="1">EntericMethane_PastureBeef_Equations.VEERG_3_2_1_1__3_FeedIntakeForGrazingBeef(X50,X66,Z34)</f>
        <v>5.1328980481000004</v>
      </c>
      <c r="Y82" s="25" cm="1">
        <f t="array" aca="1" ref="Y82" ca="1">EntericMethane_PastureBeef_Equations.VEERG_3_2_1_1__3_FeedIntakeForGrazingBeef(Y50,Y66,AA34)</f>
        <v>9.9748588899999984</v>
      </c>
      <c r="Z82" s="25" cm="1">
        <f t="array" aca="1" ref="Z82" ca="1">EntericMethane_PastureBeef_Equations.VEERG_3_2_1_1__3_FeedIntakeForGrazingBeef(Z50,Z66,AB34)</f>
        <v>4.202705002500001</v>
      </c>
      <c r="AA82" s="25" cm="1">
        <f t="array" aca="1" ref="AA82" ca="1">EntericMethane_PastureBeef_Equations.VEERG_3_2_1_1__3_FeedIntakeForGrazingBeef(AA50,AA66,AC34)</f>
        <v>5.9278127841000021</v>
      </c>
      <c r="AB82" s="25" cm="1">
        <f t="array" aca="1" ref="AB82" ca="1">EntericMethane_PastureBeef_Equations.VEERG_3_2_1_1__3_FeedIntakeForGrazingBeef(AB50,AB66,AD34)</f>
        <v>7.952343600099999</v>
      </c>
      <c r="AC82" s="25" cm="1">
        <f t="array" aca="1" ref="AC82" ca="1">EntericMethane_PastureBeef_Equations.VEERG_3_2_1_1__3_FeedIntakeForGrazingBeef(AC50,AC66,AE34)</f>
        <v>7.952343600099999</v>
      </c>
      <c r="AD82" s="25" cm="1">
        <f t="array" aca="1" ref="AD82" ca="1">EntericMethane_PastureBeef_Equations.VEERG_3_2_1_1__3_FeedIntakeForGrazingBeef(AD50,AD66,AF34)</f>
        <v>4.5122681240999984</v>
      </c>
      <c r="AE82" s="25" cm="1">
        <f t="array" aca="1" ref="AE82" ca="1">EntericMethane_PastureBeef_Equations.VEERG_3_2_1_1__3_FeedIntakeForGrazingBeef(AE50,AE66,AG34)</f>
        <v>6.8698506815999991</v>
      </c>
      <c r="AF82" s="25" cm="1">
        <f t="array" aca="1" ref="AF82" ca="1">EntericMethane_PastureBeef_Equations.VEERG_3_2_1_1__3_FeedIntakeForGrazingBeef(AF50,AF66,AH34)</f>
        <v>6.8698506815999991</v>
      </c>
      <c r="AG82" s="25" cm="1">
        <f t="array" aca="1" ref="AG82" ca="1">EntericMethane_PastureBeef_Equations.VEERG_3_2_1_1__3_FeedIntakeForGrazingBeef(AG50,AG66,AI34)</f>
        <v>6.8698506815999991</v>
      </c>
      <c r="AH82" s="26" t="str">
        <f t="shared" si="2"/>
        <v>kg DM/head/day</v>
      </c>
    </row>
    <row r="83" spans="4:36" ht="20.100000000000001" customHeight="1" x14ac:dyDescent="0.25">
      <c r="D83" s="116" t="s">
        <v>78</v>
      </c>
      <c r="E83" s="116" t="s">
        <v>193</v>
      </c>
      <c r="F83" s="116" t="s">
        <v>194</v>
      </c>
      <c r="G83" s="116" t="s">
        <v>195</v>
      </c>
      <c r="H83" s="116" t="s">
        <v>196</v>
      </c>
      <c r="I83" s="116" t="s">
        <v>197</v>
      </c>
      <c r="J83" s="116" t="s">
        <v>198</v>
      </c>
      <c r="K83" s="116" t="s">
        <v>199</v>
      </c>
      <c r="L83" s="116" t="s">
        <v>200</v>
      </c>
      <c r="M83" s="116" t="s">
        <v>201</v>
      </c>
      <c r="N83" s="116" t="s">
        <v>202</v>
      </c>
      <c r="W83" s="25" t="e">
        <f>TEXT(EDATE('Input - Site'!$E$12,7), "mmmm yyyy")</f>
        <v>#VALUE!</v>
      </c>
      <c r="X83" s="25" cm="1">
        <f t="array" aca="1" ref="X83" ca="1">EntericMethane_PastureBeef_Equations.VEERG_3_2_1_1__3_FeedIntakeForGrazingBeef(X51,X67,Z35)</f>
        <v>5.1328980481000004</v>
      </c>
      <c r="Y83" s="25" cm="1">
        <f t="array" aca="1" ref="Y83" ca="1">EntericMethane_PastureBeef_Equations.VEERG_3_2_1_1__3_FeedIntakeForGrazingBeef(Y51,Y67,AA35)</f>
        <v>9.9748588899999984</v>
      </c>
      <c r="Z83" s="25" cm="1">
        <f t="array" aca="1" ref="Z83" ca="1">EntericMethane_PastureBeef_Equations.VEERG_3_2_1_1__3_FeedIntakeForGrazingBeef(Z51,Z67,AB35)</f>
        <v>4.202705002500001</v>
      </c>
      <c r="AA83" s="25" cm="1">
        <f t="array" aca="1" ref="AA83" ca="1">EntericMethane_PastureBeef_Equations.VEERG_3_2_1_1__3_FeedIntakeForGrazingBeef(AA51,AA67,AC35)</f>
        <v>5.9278127841000021</v>
      </c>
      <c r="AB83" s="25" cm="1">
        <f t="array" aca="1" ref="AB83" ca="1">EntericMethane_PastureBeef_Equations.VEERG_3_2_1_1__3_FeedIntakeForGrazingBeef(AB51,AB67,AD35)</f>
        <v>7.952343600099999</v>
      </c>
      <c r="AC83" s="25" cm="1">
        <f t="array" aca="1" ref="AC83" ca="1">EntericMethane_PastureBeef_Equations.VEERG_3_2_1_1__3_FeedIntakeForGrazingBeef(AC51,AC67,AE35)</f>
        <v>7.952343600099999</v>
      </c>
      <c r="AD83" s="25" cm="1">
        <f t="array" aca="1" ref="AD83" ca="1">EntericMethane_PastureBeef_Equations.VEERG_3_2_1_1__3_FeedIntakeForGrazingBeef(AD51,AD67,AF35)</f>
        <v>4.5122681240999984</v>
      </c>
      <c r="AE83" s="25" cm="1">
        <f t="array" aca="1" ref="AE83" ca="1">EntericMethane_PastureBeef_Equations.VEERG_3_2_1_1__3_FeedIntakeForGrazingBeef(AE51,AE67,AG35)</f>
        <v>6.8698506815999991</v>
      </c>
      <c r="AF83" s="25" cm="1">
        <f t="array" aca="1" ref="AF83" ca="1">EntericMethane_PastureBeef_Equations.VEERG_3_2_1_1__3_FeedIntakeForGrazingBeef(AF51,AF67,AH35)</f>
        <v>6.8698506815999991</v>
      </c>
      <c r="AG83" s="25" cm="1">
        <f t="array" aca="1" ref="AG83" ca="1">EntericMethane_PastureBeef_Equations.VEERG_3_2_1_1__3_FeedIntakeForGrazingBeef(AG51,AG67,AI35)</f>
        <v>6.8698506815999991</v>
      </c>
      <c r="AH83" s="26" t="str">
        <f t="shared" si="2"/>
        <v>kg DM/head/day</v>
      </c>
    </row>
    <row r="84" spans="4:36" ht="20.100000000000001" customHeight="1" x14ac:dyDescent="0.25">
      <c r="D84" s="25" t="s">
        <v>203</v>
      </c>
      <c r="E84" s="25" cm="1">
        <f t="array" aca="1" ref="E84" ca="1">EntericMethane_PastureBeef_Equations.VEERG_3_2_1_1__3_FeedIntakeForGrazingBeef(E52,E68,I30)</f>
        <v>8.6709047296000001</v>
      </c>
      <c r="F84" s="25" cm="1">
        <f t="array" aca="1" ref="F84" ca="1">EntericMethane_PastureBeef_Equations.VEERG_3_2_1_1__3_FeedIntakeForGrazingBeef(F52,F68,J30)</f>
        <v>12.246500250000002</v>
      </c>
      <c r="G84" s="25" cm="1">
        <f t="array" aca="1" ref="G84" ca="1">EntericMethane_PastureBeef_Equations.VEERG_3_2_1_1__3_FeedIntakeForGrazingBeef(G52,G68,K30)</f>
        <v>6.6089612241000006</v>
      </c>
      <c r="H84" s="25" cm="1">
        <f t="array" aca="1" ref="H84" ca="1">EntericMethane_PastureBeef_Equations.VEERG_3_2_1_1__3_FeedIntakeForGrazingBeef(H52,H68,L30)</f>
        <v>9.5403922901100024</v>
      </c>
      <c r="I84" s="25" cm="1">
        <f t="array" aca="1" ref="I84" ca="1">EntericMethane_PastureBeef_Equations.VEERG_3_2_1_1__3_FeedIntakeForGrazingBeef(I52,I68,M30)</f>
        <v>11.268377125200001</v>
      </c>
      <c r="J84" s="25" cm="1">
        <f t="array" aca="1" ref="J84" ca="1">EntericMethane_PastureBeef_Equations.VEERG_3_2_1_1__3_FeedIntakeForGrazingBeef(J52,J68,N30)</f>
        <v>11.268377125200001</v>
      </c>
      <c r="K84" s="25" cm="1">
        <f t="array" aca="1" ref="K84" ca="1">EntericMethane_PastureBeef_Equations.VEERG_3_2_1_1__3_FeedIntakeForGrazingBeef(K52,K68,O30)</f>
        <v>7.6192560899999977</v>
      </c>
      <c r="L84" s="25" cm="1">
        <f t="array" aca="1" ref="L84" ca="1">EntericMethane_PastureBeef_Equations.VEERG_3_2_1_1__3_FeedIntakeForGrazingBeef(L52,L68,P30)</f>
        <v>9.6824279555999979</v>
      </c>
      <c r="M84" s="25" cm="1">
        <f t="array" aca="1" ref="M84" ca="1">EntericMethane_PastureBeef_Equations.VEERG_3_2_1_1__3_FeedIntakeForGrazingBeef(M52,M68,Q30)</f>
        <v>9.6824279555999979</v>
      </c>
      <c r="N84" s="25" cm="1">
        <f t="array" aca="1" ref="N84" ca="1">EntericMethane_PastureBeef_Equations.VEERG_3_2_1_1__3_FeedIntakeForGrazingBeef(N52,N68,R30)</f>
        <v>9.6824279555999979</v>
      </c>
      <c r="O84" s="26" t="str">
        <f>$E$43</f>
        <v>kg DM/head/day</v>
      </c>
      <c r="P84" s="26"/>
      <c r="Q84" s="26"/>
      <c r="R84" s="26"/>
      <c r="S84" s="26"/>
      <c r="W84" s="25" t="e">
        <f>TEXT(EDATE('Input - Site'!$E$12,8), "mmmm yyyy")</f>
        <v>#VALUE!</v>
      </c>
      <c r="X84" s="25" cm="1">
        <f t="array" aca="1" ref="X84" ca="1">EntericMethane_PastureBeef_Equations.VEERG_3_2_1_1__3_FeedIntakeForGrazingBeef(X52,X68,Z36)</f>
        <v>8.6709047296000001</v>
      </c>
      <c r="Y84" s="25" cm="1">
        <f t="array" aca="1" ref="Y84" ca="1">EntericMethane_PastureBeef_Equations.VEERG_3_2_1_1__3_FeedIntakeForGrazingBeef(Y52,Y68,AA36)</f>
        <v>12.246500250000002</v>
      </c>
      <c r="Z84" s="25" cm="1">
        <f t="array" aca="1" ref="Z84" ca="1">EntericMethane_PastureBeef_Equations.VEERG_3_2_1_1__3_FeedIntakeForGrazingBeef(Z52,Z68,AB36)</f>
        <v>6.6089612241000006</v>
      </c>
      <c r="AA84" s="25" cm="1">
        <f t="array" aca="1" ref="AA84" ca="1">EntericMethane_PastureBeef_Equations.VEERG_3_2_1_1__3_FeedIntakeForGrazingBeef(AA52,AA68,AC36)</f>
        <v>8.6730839001000017</v>
      </c>
      <c r="AB84" s="25" cm="1">
        <f t="array" aca="1" ref="AB84" ca="1">EntericMethane_PastureBeef_Equations.VEERG_3_2_1_1__3_FeedIntakeForGrazingBeef(AB52,AB68,AD36)</f>
        <v>9.6310915600000016</v>
      </c>
      <c r="AC84" s="25" cm="1">
        <f t="array" aca="1" ref="AC84" ca="1">EntericMethane_PastureBeef_Equations.VEERG_3_2_1_1__3_FeedIntakeForGrazingBeef(AC52,AC68,AE36)</f>
        <v>9.6310915600000016</v>
      </c>
      <c r="AD84" s="25" cm="1">
        <f t="array" aca="1" ref="AD84" ca="1">EntericMethane_PastureBeef_Equations.VEERG_3_2_1_1__3_FeedIntakeForGrazingBeef(AD52,AD68,AF36)</f>
        <v>7.6192560899999977</v>
      </c>
      <c r="AE84" s="25" cm="1">
        <f t="array" aca="1" ref="AE84" ca="1">EntericMethane_PastureBeef_Equations.VEERG_3_2_1_1__3_FeedIntakeForGrazingBeef(AE52,AE68,AG36)</f>
        <v>9.6824279555999979</v>
      </c>
      <c r="AF84" s="25" cm="1">
        <f t="array" aca="1" ref="AF84" ca="1">EntericMethane_PastureBeef_Equations.VEERG_3_2_1_1__3_FeedIntakeForGrazingBeef(AF52,AF68,AH36)</f>
        <v>9.6824279555999979</v>
      </c>
      <c r="AG84" s="25" cm="1">
        <f t="array" aca="1" ref="AG84" ca="1">EntericMethane_PastureBeef_Equations.VEERG_3_2_1_1__3_FeedIntakeForGrazingBeef(AG52,AG68,AI36)</f>
        <v>9.6824279555999979</v>
      </c>
      <c r="AH84" s="26" t="str">
        <f t="shared" si="2"/>
        <v>kg DM/head/day</v>
      </c>
      <c r="AI84" s="26"/>
      <c r="AJ84" s="26"/>
    </row>
    <row r="85" spans="4:36" ht="20.100000000000001" customHeight="1" x14ac:dyDescent="0.25">
      <c r="D85" s="25" t="s">
        <v>204</v>
      </c>
      <c r="E85" s="25" cm="1">
        <f t="array" aca="1" ref="E85" ca="1">EntericMethane_PastureBeef_Equations.VEERG_3_2_1_1__3_FeedIntakeForGrazingBeef(E53,E69,I31)</f>
        <v>7.1468536895999959</v>
      </c>
      <c r="F85" s="25" cm="1">
        <f t="array" aca="1" ref="F85" ca="1">EntericMethane_PastureBeef_Equations.VEERG_3_2_1_1__3_FeedIntakeForGrazingBeef(F53,F69,J31)</f>
        <v>9.4559940036000008</v>
      </c>
      <c r="G85" s="25" cm="1">
        <f t="array" aca="1" ref="G85" ca="1">EntericMethane_PastureBeef_Equations.VEERG_3_2_1_1__3_FeedIntakeForGrazingBeef(G53,G69,K31)</f>
        <v>6.010342559999998</v>
      </c>
      <c r="H85" s="25" cm="1">
        <f t="array" aca="1" ref="H85" ca="1">EntericMethane_PastureBeef_Equations.VEERG_3_2_1_1__3_FeedIntakeForGrazingBeef(H53,H69,L31)</f>
        <v>8.1853716906000002</v>
      </c>
      <c r="I85" s="25" cm="1">
        <f t="array" aca="1" ref="I85" ca="1">EntericMethane_PastureBeef_Equations.VEERG_3_2_1_1__3_FeedIntakeForGrazingBeef(I53,I69,M31)</f>
        <v>8.1045195229439972</v>
      </c>
      <c r="J85" s="25" cm="1">
        <f t="array" aca="1" ref="J85" ca="1">EntericMethane_PastureBeef_Equations.VEERG_3_2_1_1__3_FeedIntakeForGrazingBeef(J53,J69,N31)</f>
        <v>8.1045195229439972</v>
      </c>
      <c r="K85" s="25" cm="1">
        <f t="array" aca="1" ref="K85" ca="1">EntericMethane_PastureBeef_Equations.VEERG_3_2_1_1__3_FeedIntakeForGrazingBeef(K53,K69,O31)</f>
        <v>6.5876408896000003</v>
      </c>
      <c r="L85" s="25" cm="1">
        <f t="array" aca="1" ref="L85" ca="1">EntericMethane_PastureBeef_Equations.VEERG_3_2_1_1__3_FeedIntakeForGrazingBeef(L53,L69,P31)</f>
        <v>7.3430702361</v>
      </c>
      <c r="M85" s="25" cm="1">
        <f t="array" aca="1" ref="M85" ca="1">EntericMethane_PastureBeef_Equations.VEERG_3_2_1_1__3_FeedIntakeForGrazingBeef(M53,M69,Q31)</f>
        <v>7.3430702361</v>
      </c>
      <c r="N85" s="25" cm="1">
        <f t="array" aca="1" ref="N85" ca="1">EntericMethane_PastureBeef_Equations.VEERG_3_2_1_1__3_FeedIntakeForGrazingBeef(N53,N69,R31)</f>
        <v>7.3430702361</v>
      </c>
      <c r="O85" s="26" t="str">
        <f>$E$43</f>
        <v>kg DM/head/day</v>
      </c>
      <c r="P85" s="26"/>
      <c r="Q85" s="26"/>
      <c r="R85" s="26"/>
      <c r="S85" s="26"/>
      <c r="W85" s="25" t="e">
        <f>TEXT(EDATE('Input - Site'!$E$12,9), "mmmm yyyy")</f>
        <v>#VALUE!</v>
      </c>
      <c r="X85" s="25" cm="1">
        <f t="array" aca="1" ref="X85" ca="1">EntericMethane_PastureBeef_Equations.VEERG_3_2_1_1__3_FeedIntakeForGrazingBeef(X53,X69,Z37)</f>
        <v>8.6709047296000001</v>
      </c>
      <c r="Y85" s="25" cm="1">
        <f t="array" aca="1" ref="Y85" ca="1">EntericMethane_PastureBeef_Equations.VEERG_3_2_1_1__3_FeedIntakeForGrazingBeef(Y53,Y69,AA37)</f>
        <v>12.246500250000002</v>
      </c>
      <c r="Z85" s="25" cm="1">
        <f t="array" aca="1" ref="Z85" ca="1">EntericMethane_PastureBeef_Equations.VEERG_3_2_1_1__3_FeedIntakeForGrazingBeef(Z53,Z69,AB37)</f>
        <v>6.6089612241000006</v>
      </c>
      <c r="AA85" s="25" cm="1">
        <f t="array" aca="1" ref="AA85" ca="1">EntericMethane_PastureBeef_Equations.VEERG_3_2_1_1__3_FeedIntakeForGrazingBeef(AA53,AA69,AC37)</f>
        <v>8.6730839001000017</v>
      </c>
      <c r="AB85" s="25" cm="1">
        <f t="array" aca="1" ref="AB85" ca="1">EntericMethane_PastureBeef_Equations.VEERG_3_2_1_1__3_FeedIntakeForGrazingBeef(AB53,AB69,AD37)</f>
        <v>9.6310915600000016</v>
      </c>
      <c r="AC85" s="25" cm="1">
        <f t="array" aca="1" ref="AC85" ca="1">EntericMethane_PastureBeef_Equations.VEERG_3_2_1_1__3_FeedIntakeForGrazingBeef(AC53,AC69,AE37)</f>
        <v>9.6310915600000016</v>
      </c>
      <c r="AD85" s="25" cm="1">
        <f t="array" aca="1" ref="AD85" ca="1">EntericMethane_PastureBeef_Equations.VEERG_3_2_1_1__3_FeedIntakeForGrazingBeef(AD53,AD69,AF37)</f>
        <v>7.6192560899999977</v>
      </c>
      <c r="AE85" s="25" cm="1">
        <f t="array" aca="1" ref="AE85" ca="1">EntericMethane_PastureBeef_Equations.VEERG_3_2_1_1__3_FeedIntakeForGrazingBeef(AE53,AE69,AG37)</f>
        <v>9.6824279555999979</v>
      </c>
      <c r="AF85" s="25" cm="1">
        <f t="array" aca="1" ref="AF85" ca="1">EntericMethane_PastureBeef_Equations.VEERG_3_2_1_1__3_FeedIntakeForGrazingBeef(AF53,AF69,AH37)</f>
        <v>9.6824279555999979</v>
      </c>
      <c r="AG85" s="25" cm="1">
        <f t="array" aca="1" ref="AG85" ca="1">EntericMethane_PastureBeef_Equations.VEERG_3_2_1_1__3_FeedIntakeForGrazingBeef(AG53,AG69,AI37)</f>
        <v>9.6824279555999979</v>
      </c>
      <c r="AH85" s="26" t="str">
        <f t="shared" si="2"/>
        <v>kg DM/head/day</v>
      </c>
      <c r="AI85" s="26"/>
      <c r="AJ85" s="26"/>
    </row>
    <row r="86" spans="4:36" ht="20.100000000000001" customHeight="1" x14ac:dyDescent="0.25">
      <c r="D86" s="25" t="s">
        <v>205</v>
      </c>
      <c r="E86" s="25" cm="1">
        <f t="array" aca="1" ref="E86" ca="1">EntericMethane_PastureBeef_Equations.VEERG_3_2_1_1__3_FeedIntakeForGrazingBeef(E54,E70,I32)</f>
        <v>3.247204</v>
      </c>
      <c r="F86" s="25" cm="1">
        <f t="array" aca="1" ref="F86" ca="1">EntericMethane_PastureBeef_Equations.VEERG_3_2_1_1__3_FeedIntakeForGrazingBeef(F54,F70,J32)</f>
        <v>9.4246544015999998</v>
      </c>
      <c r="G86" s="25" cm="1">
        <f t="array" aca="1" ref="G86" ca="1">EntericMethane_PastureBeef_Equations.VEERG_3_2_1_1__3_FeedIntakeForGrazingBeef(G54,G70,K32)</f>
        <v>2.9603267136000002</v>
      </c>
      <c r="H86" s="25" cm="1">
        <f t="array" aca="1" ref="H86" ca="1">EntericMethane_PastureBeef_Equations.VEERG_3_2_1_1__3_FeedIntakeForGrazingBeef(H54,H70,L32)</f>
        <v>6.0173755149959991</v>
      </c>
      <c r="I86" s="25" cm="1">
        <f t="array" aca="1" ref="I86" ca="1">EntericMethane_PastureBeef_Equations.VEERG_3_2_1_1__3_FeedIntakeForGrazingBeef(I54,I70,M32)</f>
        <v>6.7179974480999993</v>
      </c>
      <c r="J86" s="25" cm="1">
        <f t="array" aca="1" ref="J86" ca="1">EntericMethane_PastureBeef_Equations.VEERG_3_2_1_1__3_FeedIntakeForGrazingBeef(J54,J70,N32)</f>
        <v>6.7179974480999993</v>
      </c>
      <c r="K86" s="25" cm="1">
        <f t="array" aca="1" ref="K86" ca="1">EntericMethane_PastureBeef_Equations.VEERG_3_2_1_1__3_FeedIntakeForGrazingBeef(K54,K70,O32)</f>
        <v>3.247204</v>
      </c>
      <c r="L86" s="25" cm="1">
        <f t="array" aca="1" ref="L86" ca="1">EntericMethane_PastureBeef_Equations.VEERG_3_2_1_1__3_FeedIntakeForGrazingBeef(L54,L70,P32)</f>
        <v>5.8953782416000013</v>
      </c>
      <c r="M86" s="25" cm="1">
        <f t="array" aca="1" ref="M86" ca="1">EntericMethane_PastureBeef_Equations.VEERG_3_2_1_1__3_FeedIntakeForGrazingBeef(M54,M70,Q32)</f>
        <v>5.8953782416000013</v>
      </c>
      <c r="N86" s="25" cm="1">
        <f t="array" aca="1" ref="N86" ca="1">EntericMethane_PastureBeef_Equations.VEERG_3_2_1_1__3_FeedIntakeForGrazingBeef(N54,N70,R32)</f>
        <v>5.8953782416000013</v>
      </c>
      <c r="O86" s="26" t="str">
        <f>$E$43</f>
        <v>kg DM/head/day</v>
      </c>
      <c r="P86" s="26"/>
      <c r="Q86" s="26"/>
      <c r="R86" s="26"/>
      <c r="S86" s="26"/>
      <c r="W86" s="25" t="e">
        <f>TEXT(EDATE('Input - Site'!$E$12,10), "mmmm yyyy")</f>
        <v>#VALUE!</v>
      </c>
      <c r="X86" s="25" cm="1">
        <f t="array" aca="1" ref="X86" ca="1">EntericMethane_PastureBeef_Equations.VEERG_3_2_1_1__3_FeedIntakeForGrazingBeef(X54,X70,Z38)</f>
        <v>8.6709047296000001</v>
      </c>
      <c r="Y86" s="25" cm="1">
        <f t="array" aca="1" ref="Y86" ca="1">EntericMethane_PastureBeef_Equations.VEERG_3_2_1_1__3_FeedIntakeForGrazingBeef(Y54,Y70,AA38)</f>
        <v>12.246500250000002</v>
      </c>
      <c r="Z86" s="25" cm="1">
        <f t="array" aca="1" ref="Z86" ca="1">EntericMethane_PastureBeef_Equations.VEERG_3_2_1_1__3_FeedIntakeForGrazingBeef(Z54,Z70,AB38)</f>
        <v>6.6089612241000006</v>
      </c>
      <c r="AA86" s="25" cm="1">
        <f t="array" aca="1" ref="AA86" ca="1">EntericMethane_PastureBeef_Equations.VEERG_3_2_1_1__3_FeedIntakeForGrazingBeef(AA54,AA70,AC38)</f>
        <v>8.6730839001000017</v>
      </c>
      <c r="AB86" s="25" cm="1">
        <f t="array" aca="1" ref="AB86" ca="1">EntericMethane_PastureBeef_Equations.VEERG_3_2_1_1__3_FeedIntakeForGrazingBeef(AB54,AB70,AD38)</f>
        <v>9.6310915600000016</v>
      </c>
      <c r="AC86" s="25" cm="1">
        <f t="array" aca="1" ref="AC86" ca="1">EntericMethane_PastureBeef_Equations.VEERG_3_2_1_1__3_FeedIntakeForGrazingBeef(AC54,AC70,AE38)</f>
        <v>9.6310915600000016</v>
      </c>
      <c r="AD86" s="25" cm="1">
        <f t="array" aca="1" ref="AD86" ca="1">EntericMethane_PastureBeef_Equations.VEERG_3_2_1_1__3_FeedIntakeForGrazingBeef(AD54,AD70,AF38)</f>
        <v>7.6192560899999977</v>
      </c>
      <c r="AE86" s="25" cm="1">
        <f t="array" aca="1" ref="AE86" ca="1">EntericMethane_PastureBeef_Equations.VEERG_3_2_1_1__3_FeedIntakeForGrazingBeef(AE54,AE70,AG38)</f>
        <v>9.6824279555999979</v>
      </c>
      <c r="AF86" s="25" cm="1">
        <f t="array" aca="1" ref="AF86" ca="1">EntericMethane_PastureBeef_Equations.VEERG_3_2_1_1__3_FeedIntakeForGrazingBeef(AF54,AF70,AH38)</f>
        <v>9.6824279555999979</v>
      </c>
      <c r="AG86" s="25" cm="1">
        <f t="array" aca="1" ref="AG86" ca="1">EntericMethane_PastureBeef_Equations.VEERG_3_2_1_1__3_FeedIntakeForGrazingBeef(AG54,AG70,AI38)</f>
        <v>9.6824279555999979</v>
      </c>
      <c r="AH86" s="26" t="str">
        <f t="shared" si="2"/>
        <v>kg DM/head/day</v>
      </c>
      <c r="AI86" s="26"/>
      <c r="AJ86" s="26"/>
    </row>
    <row r="87" spans="4:36" ht="20.100000000000001" customHeight="1" x14ac:dyDescent="0.25">
      <c r="D87" s="25" t="s">
        <v>206</v>
      </c>
      <c r="E87" s="25" cm="1">
        <f t="array" aca="1" ref="E87" ca="1">EntericMethane_PastureBeef_Equations.VEERG_3_2_1_1__3_FeedIntakeForGrazingBeef(E55,E71,I33)</f>
        <v>5.1328980481000004</v>
      </c>
      <c r="F87" s="25" cm="1">
        <f t="array" aca="1" ref="F87" ca="1">EntericMethane_PastureBeef_Equations.VEERG_3_2_1_1__3_FeedIntakeForGrazingBeef(F55,F71,J33)</f>
        <v>9.9748588899999984</v>
      </c>
      <c r="G87" s="25" cm="1">
        <f t="array" aca="1" ref="G87" ca="1">EntericMethane_PastureBeef_Equations.VEERG_3_2_1_1__3_FeedIntakeForGrazingBeef(G55,G71,K33)</f>
        <v>4.202705002500001</v>
      </c>
      <c r="H87" s="25" cm="1">
        <f t="array" aca="1" ref="H87" ca="1">EntericMethane_PastureBeef_Equations.VEERG_3_2_1_1__3_FeedIntakeForGrazingBeef(H55,H71,L33)</f>
        <v>7.172653468761002</v>
      </c>
      <c r="I87" s="25" cm="1">
        <f t="array" aca="1" ref="I87" ca="1">EntericMethane_PastureBeef_Equations.VEERG_3_2_1_1__3_FeedIntakeForGrazingBeef(I55,I71,M33)</f>
        <v>9.145195140114998</v>
      </c>
      <c r="J87" s="25" cm="1">
        <f t="array" aca="1" ref="J87" ca="1">EntericMethane_PastureBeef_Equations.VEERG_3_2_1_1__3_FeedIntakeForGrazingBeef(J55,J71,N33)</f>
        <v>9.145195140114998</v>
      </c>
      <c r="K87" s="25" cm="1">
        <f t="array" aca="1" ref="K87" ca="1">EntericMethane_PastureBeef_Equations.VEERG_3_2_1_1__3_FeedIntakeForGrazingBeef(K55,K71,O33)</f>
        <v>4.5122681240999984</v>
      </c>
      <c r="L87" s="25" cm="1">
        <f t="array" aca="1" ref="L87" ca="1">EntericMethane_PastureBeef_Equations.VEERG_3_2_1_1__3_FeedIntakeForGrazingBeef(L55,L71,P33)</f>
        <v>6.8698506815999991</v>
      </c>
      <c r="M87" s="25" cm="1">
        <f t="array" aca="1" ref="M87" ca="1">EntericMethane_PastureBeef_Equations.VEERG_3_2_1_1__3_FeedIntakeForGrazingBeef(M55,M71,Q33)</f>
        <v>6.8698506815999991</v>
      </c>
      <c r="N87" s="25" cm="1">
        <f t="array" aca="1" ref="N87" ca="1">EntericMethane_PastureBeef_Equations.VEERG_3_2_1_1__3_FeedIntakeForGrazingBeef(N55,N71,R33)</f>
        <v>6.8698506815999991</v>
      </c>
      <c r="O87" s="26" t="str">
        <f>$E$43</f>
        <v>kg DM/head/day</v>
      </c>
      <c r="P87" s="26"/>
      <c r="Q87" s="26"/>
      <c r="R87" s="26"/>
      <c r="S87" s="26"/>
      <c r="W87" s="25" t="e">
        <f>TEXT(EDATE('Input - Site'!$E$12,11), "mmmm yyyy")</f>
        <v>#VALUE!</v>
      </c>
      <c r="X87" s="25" cm="1">
        <f t="array" aca="1" ref="X87" ca="1">EntericMethane_PastureBeef_Equations.VEERG_3_2_1_1__3_FeedIntakeForGrazingBeef(X55,X71,Z39)</f>
        <v>7.1468536895999959</v>
      </c>
      <c r="Y87" s="25" cm="1">
        <f t="array" aca="1" ref="Y87" ca="1">EntericMethane_PastureBeef_Equations.VEERG_3_2_1_1__3_FeedIntakeForGrazingBeef(Y55,Y71,AA39)</f>
        <v>9.4559940036000008</v>
      </c>
      <c r="Z87" s="25" cm="1">
        <f t="array" aca="1" ref="Z87" ca="1">EntericMethane_PastureBeef_Equations.VEERG_3_2_1_1__3_FeedIntakeForGrazingBeef(Z55,Z71,AB39)</f>
        <v>6.010342559999998</v>
      </c>
      <c r="AA87" s="25" cm="1">
        <f t="array" aca="1" ref="AA87" ca="1">EntericMethane_PastureBeef_Equations.VEERG_3_2_1_1__3_FeedIntakeForGrazingBeef(AA55,AA71,AC39)</f>
        <v>7.8705497025</v>
      </c>
      <c r="AB87" s="25" cm="1">
        <f t="array" aca="1" ref="AB87" ca="1">EntericMethane_PastureBeef_Equations.VEERG_3_2_1_1__3_FeedIntakeForGrazingBeef(AB55,AB71,AD39)</f>
        <v>7.7928072335999978</v>
      </c>
      <c r="AC87" s="25" cm="1">
        <f t="array" aca="1" ref="AC87" ca="1">EntericMethane_PastureBeef_Equations.VEERG_3_2_1_1__3_FeedIntakeForGrazingBeef(AC55,AC71,AE39)</f>
        <v>7.7928072335999978</v>
      </c>
      <c r="AD87" s="25" cm="1">
        <f t="array" aca="1" ref="AD87" ca="1">EntericMethane_PastureBeef_Equations.VEERG_3_2_1_1__3_FeedIntakeForGrazingBeef(AD55,AD71,AF39)</f>
        <v>6.5876408896000003</v>
      </c>
      <c r="AE87" s="25" cm="1">
        <f t="array" aca="1" ref="AE87" ca="1">EntericMethane_PastureBeef_Equations.VEERG_3_2_1_1__3_FeedIntakeForGrazingBeef(AE55,AE71,AG39)</f>
        <v>7.3430702361</v>
      </c>
      <c r="AF87" s="25" cm="1">
        <f t="array" aca="1" ref="AF87" ca="1">EntericMethane_PastureBeef_Equations.VEERG_3_2_1_1__3_FeedIntakeForGrazingBeef(AF55,AF71,AH39)</f>
        <v>7.3430702361</v>
      </c>
      <c r="AG87" s="25" cm="1">
        <f t="array" aca="1" ref="AG87" ca="1">EntericMethane_PastureBeef_Equations.VEERG_3_2_1_1__3_FeedIntakeForGrazingBeef(AG55,AG71,AI39)</f>
        <v>7.3430702361</v>
      </c>
      <c r="AH87" s="26" t="str">
        <f t="shared" si="2"/>
        <v>kg DM/head/day</v>
      </c>
      <c r="AI87" s="26"/>
      <c r="AJ87" s="26"/>
    </row>
    <row r="88" spans="4:36" ht="20.100000000000001" customHeight="1" x14ac:dyDescent="0.25">
      <c r="AI88" s="26"/>
      <c r="AJ88" s="26"/>
    </row>
    <row r="89" spans="4:36" ht="20.100000000000001" customHeight="1" x14ac:dyDescent="0.25">
      <c r="AI89" s="26"/>
      <c r="AJ89" s="26"/>
    </row>
    <row r="90" spans="4:36" ht="20.100000000000001" customHeight="1" x14ac:dyDescent="0.25">
      <c r="AI90" s="26"/>
      <c r="AJ90" s="26"/>
    </row>
    <row r="91" spans="4:36" ht="20.100000000000001" customHeight="1" x14ac:dyDescent="0.25">
      <c r="AI91" s="26"/>
      <c r="AJ91" s="26"/>
    </row>
    <row r="92" spans="4:36" ht="20.100000000000001" customHeight="1" x14ac:dyDescent="0.25">
      <c r="AI92" s="26"/>
      <c r="AJ92" s="26"/>
    </row>
    <row r="93" spans="4:36" ht="20.100000000000001" customHeight="1" x14ac:dyDescent="0.25">
      <c r="AI93" s="26"/>
      <c r="AJ93" s="26"/>
    </row>
    <row r="94" spans="4:36" ht="20.100000000000001" customHeight="1" x14ac:dyDescent="0.25">
      <c r="AI94" s="26"/>
      <c r="AJ94" s="26"/>
    </row>
    <row r="95" spans="4:36" ht="20.100000000000001" customHeight="1" x14ac:dyDescent="0.25">
      <c r="AI95" s="26"/>
      <c r="AJ95" s="26"/>
    </row>
    <row r="96" spans="4:36" ht="20.100000000000001" customHeight="1" x14ac:dyDescent="0.25"/>
    <row r="97" spans="3:37" ht="20.100000000000001" customHeight="1" x14ac:dyDescent="0.25"/>
    <row r="98" spans="3:37" ht="20.100000000000001" customHeight="1" x14ac:dyDescent="0.25">
      <c r="C98" s="118"/>
      <c r="D98" s="118"/>
      <c r="E98" s="118"/>
      <c r="F98" s="118"/>
      <c r="G98" s="118"/>
      <c r="H98" s="118"/>
      <c r="I98" s="118"/>
      <c r="J98" s="118"/>
      <c r="K98" s="118"/>
      <c r="L98" s="118"/>
      <c r="M98" s="118"/>
      <c r="N98" s="118"/>
      <c r="O98" s="118"/>
      <c r="P98" s="118"/>
      <c r="Q98" s="118"/>
      <c r="R98" s="118"/>
      <c r="S98" s="118"/>
      <c r="T98" s="118"/>
      <c r="V98" s="118"/>
      <c r="W98" s="118"/>
      <c r="X98" s="118"/>
      <c r="Y98" s="118"/>
      <c r="Z98" s="118"/>
      <c r="AA98" s="118"/>
      <c r="AB98" s="118"/>
      <c r="AC98" s="118"/>
      <c r="AD98" s="118"/>
      <c r="AE98" s="118"/>
      <c r="AF98" s="118"/>
      <c r="AG98" s="118"/>
      <c r="AH98" s="118"/>
      <c r="AI98" s="118"/>
      <c r="AJ98" s="118"/>
      <c r="AK98" s="118"/>
    </row>
    <row r="99" spans="3:37" ht="20.100000000000001" customHeight="1" x14ac:dyDescent="0.25">
      <c r="D99" s="2" t="str" cm="1">
        <f t="array" ref="D99">MMS_PastureBeef_Methane_Equations.VEERG_4_2_1_1__3_VolatileSolidProductionFromGrazingBeef_Title()</f>
        <v>Volatile solid production from grazing beef</v>
      </c>
    </row>
    <row r="100" spans="3:37" ht="20.100000000000001" customHeight="1" x14ac:dyDescent="0.25">
      <c r="D100" s="27" t="str" cm="1">
        <f t="array" ref="D100">MMS_PastureBeef_Methane_Equations.VEERG_4_2_1_1__3_VolatileSolidProductionFromGrazingBeef_Source()</f>
        <v>VEERG 2026: 4.2.1.1, Equation (3)</v>
      </c>
    </row>
    <row r="101" spans="3:37" ht="20.100000000000001" customHeight="1" x14ac:dyDescent="0.25">
      <c r="D101" s="105" t="s">
        <v>261</v>
      </c>
      <c r="E101" s="105" t="str" cm="1">
        <f t="array" aca="1" ref="E101" ca="1">Common_InputFunctions.Utility_DisplayFunctionName($E$131)</f>
        <v>=MMS_PastureBeef_Methane_Equations.VEERG_4_2_1_1__3_VolatileSolidProductionFromGrazingBeef</v>
      </c>
    </row>
    <row r="102" spans="3:37" ht="20.100000000000001" customHeight="1" x14ac:dyDescent="0.25"/>
    <row r="103" spans="3:37" ht="20.100000000000001" customHeight="1" x14ac:dyDescent="0.25"/>
    <row r="104" spans="3:37" ht="20.100000000000001" customHeight="1" x14ac:dyDescent="0.25"/>
    <row r="105" spans="3:37" ht="20.100000000000001" customHeight="1" x14ac:dyDescent="0.25">
      <c r="D105" s="88" t="s">
        <v>263</v>
      </c>
      <c r="E105" s="1" t="str" cm="1">
        <f t="array" ref="E105">MMS_PastureBeef_Methane_Equations.VEERG_4_2_1_1__3_VolatileSolidProductionFromGrazingBeef_Variable()</f>
        <v>VS_jkl</v>
      </c>
    </row>
    <row r="106" spans="3:37" ht="20.100000000000001" customHeight="1" x14ac:dyDescent="0.25">
      <c r="D106" s="88" t="s">
        <v>130</v>
      </c>
      <c r="E106" s="15" t="str" cm="1">
        <f t="array" ref="E106">MMS_PastureBeef_Methane_Equations.VEERG_4_2_1_1__3_VolatileSolidProductionFromGrazingBeef_Unit()</f>
        <v>kg/head/day</v>
      </c>
    </row>
    <row r="107" spans="3:37" ht="20.100000000000001" customHeight="1" x14ac:dyDescent="0.25"/>
    <row r="108" spans="3:37" ht="20.100000000000001" customHeight="1" x14ac:dyDescent="0.25">
      <c r="D108" s="107" t="str" cm="1">
        <f t="array" ref="D108:E110">_xlfn.CHOOSECOLS(MMS_PastureBeef_Methane_Equations.VEERG_4_2_1_1__3_VolatileSolidProductionFromGrazingBeef_Arguments(), 1, 2)</f>
        <v>I_jkl</v>
      </c>
      <c r="E108" s="108" t="str">
        <v>dry matter intake as calculated in Chapter 3 Section 3.2.1</v>
      </c>
      <c r="F108" s="110"/>
      <c r="G108" s="107" t="str" cm="1">
        <f t="array" ref="G108:H110">_xlfn.CHOOSECOLS(MMS_PastureBeef_Methane_Equations.VEERG_4_2_1_1__3_VolatileSolidProductionFromGrazingBeef_Arguments(), 3,4)</f>
        <v>kg/head/day</v>
      </c>
      <c r="H108" s="112" t="str">
        <v>Calculated from 3.2.1.1, (3)</v>
      </c>
      <c r="I108" s="113" t="str" cm="1">
        <f t="array" aca="1" ref="I108" ca="1">HYPERLINK(Common_InputFunctions.Utility_SourceHyperlink($D$81), $D$81)</f>
        <v>M1_Table_I_j_k_l</v>
      </c>
    </row>
    <row r="109" spans="3:37" ht="20.100000000000001" customHeight="1" x14ac:dyDescent="0.25">
      <c r="D109" s="107" t="str">
        <v>DMD_jkl</v>
      </c>
      <c r="E109" s="108" t="str">
        <v>dry matter digestibility expressed as a fraction</v>
      </c>
      <c r="F109" s="110"/>
      <c r="G109" s="107" t="str">
        <v>fraction</v>
      </c>
      <c r="H109" s="111" t="str">
        <v>Input</v>
      </c>
      <c r="I109" s="113" t="str" cm="1">
        <f t="array" aca="1" ref="I109" ca="1">HYPERLINK(Common_InputFunctions.Utility_SourceHyperlink($D$112), $D$112)</f>
        <v>M1_Table_DMD_j_k_l</v>
      </c>
    </row>
    <row r="110" spans="3:37" ht="20.100000000000001" customHeight="1" x14ac:dyDescent="0.25">
      <c r="D110" s="107" t="str">
        <v>A</v>
      </c>
      <c r="E110" s="108" t="str">
        <v>ash content of feed intake expressed as a fraction</v>
      </c>
      <c r="F110" s="110"/>
      <c r="G110" s="107" t="str">
        <v>fraction</v>
      </c>
      <c r="H110" s="112" t="str">
        <v>Constant</v>
      </c>
      <c r="I110" s="107">
        <f>'Constants - Pasture Beef'!$D$422</f>
        <v>0.08</v>
      </c>
    </row>
    <row r="111" spans="3:37" ht="20.100000000000001" customHeight="1" x14ac:dyDescent="0.25"/>
    <row r="112" spans="3:37" ht="20.100000000000001" customHeight="1" x14ac:dyDescent="0.25">
      <c r="D112" s="114" t="s">
        <v>396</v>
      </c>
      <c r="W112" s="114" t="s">
        <v>397</v>
      </c>
    </row>
    <row r="113" spans="4:36" ht="20.100000000000001" customHeight="1" x14ac:dyDescent="0.25">
      <c r="D113" s="115" t="s">
        <v>398</v>
      </c>
      <c r="W113" s="115" t="s">
        <v>399</v>
      </c>
    </row>
    <row r="114" spans="4:36" ht="20.100000000000001" customHeight="1" x14ac:dyDescent="0.25">
      <c r="D114" s="116" t="s">
        <v>78</v>
      </c>
      <c r="E114" s="117" t="s">
        <v>193</v>
      </c>
      <c r="F114" s="117" t="s">
        <v>194</v>
      </c>
      <c r="G114" s="117" t="s">
        <v>195</v>
      </c>
      <c r="H114" s="117" t="s">
        <v>196</v>
      </c>
      <c r="I114" s="117" t="s">
        <v>197</v>
      </c>
      <c r="J114" s="117" t="s">
        <v>198</v>
      </c>
      <c r="K114" s="117" t="s">
        <v>199</v>
      </c>
      <c r="L114" s="117" t="s">
        <v>200</v>
      </c>
      <c r="M114" s="117" t="s">
        <v>201</v>
      </c>
      <c r="N114" s="117" t="s">
        <v>202</v>
      </c>
      <c r="W114" s="116" t="s">
        <v>77</v>
      </c>
      <c r="X114" s="117" t="s">
        <v>193</v>
      </c>
      <c r="Y114" s="117" t="s">
        <v>194</v>
      </c>
      <c r="Z114" s="117" t="s">
        <v>195</v>
      </c>
      <c r="AA114" s="117" t="s">
        <v>196</v>
      </c>
      <c r="AB114" s="117" t="s">
        <v>197</v>
      </c>
      <c r="AC114" s="117" t="s">
        <v>198</v>
      </c>
      <c r="AD114" s="117" t="s">
        <v>199</v>
      </c>
      <c r="AE114" s="117" t="s">
        <v>200</v>
      </c>
      <c r="AF114" s="117" t="s">
        <v>201</v>
      </c>
      <c r="AG114" s="117" t="s">
        <v>202</v>
      </c>
    </row>
    <row r="115" spans="4:36" ht="20.100000000000001" customHeight="1" x14ac:dyDescent="0.25">
      <c r="D115" s="25" t="s">
        <v>203</v>
      </c>
      <c r="E115" s="25" cm="1">
        <f t="array" aca="1" ref="E115:N118" ca="1">OFFSET(X_Table_PastureBeef_DryMatterDigestibility_Method1, 1,1, 4,10)</f>
        <v>0.8</v>
      </c>
      <c r="F115" s="25">
        <f ca="1"/>
        <v>0.8</v>
      </c>
      <c r="G115" s="25">
        <f ca="1"/>
        <v>0.8</v>
      </c>
      <c r="H115" s="25">
        <f ca="1"/>
        <v>0.8</v>
      </c>
      <c r="I115" s="25">
        <f ca="1"/>
        <v>0.8</v>
      </c>
      <c r="J115" s="25">
        <f ca="1"/>
        <v>0.8</v>
      </c>
      <c r="K115" s="25">
        <f ca="1"/>
        <v>0.8</v>
      </c>
      <c r="L115" s="25">
        <f ca="1"/>
        <v>0.8</v>
      </c>
      <c r="M115" s="25">
        <f ca="1"/>
        <v>0.8</v>
      </c>
      <c r="N115" s="25">
        <f ca="1"/>
        <v>0.8</v>
      </c>
      <c r="O115" s="26" t="s">
        <v>233</v>
      </c>
      <c r="P115" s="26"/>
      <c r="Q115" s="26"/>
      <c r="R115" s="26"/>
      <c r="S115" s="26"/>
      <c r="W115" s="25" t="str">
        <f>INDEX(X_Table_PastureBeef_CrudeProtein_Method2,2,1)</f>
        <v>January 2025</v>
      </c>
      <c r="X115" s="25" cm="1">
        <f t="array" aca="1" ref="X115:AG126" ca="1">OFFSET(X_Table_PastureBeef_DryMatterDigestibility_Method2, 1,1, 12,10)</f>
        <v>0.57999999999999996</v>
      </c>
      <c r="Y115" s="25">
        <f ca="1"/>
        <v>0.57999999999999996</v>
      </c>
      <c r="Z115" s="25">
        <f ca="1"/>
        <v>0.57999999999999996</v>
      </c>
      <c r="AA115" s="25">
        <f ca="1"/>
        <v>0.57999999999999996</v>
      </c>
      <c r="AB115" s="25">
        <f ca="1"/>
        <v>0.57999999999999996</v>
      </c>
      <c r="AC115" s="25">
        <f ca="1"/>
        <v>0.57999999999999996</v>
      </c>
      <c r="AD115" s="25">
        <f ca="1"/>
        <v>0.57999999999999996</v>
      </c>
      <c r="AE115" s="25">
        <f ca="1"/>
        <v>0.57999999999999996</v>
      </c>
      <c r="AF115" s="25">
        <f ca="1"/>
        <v>0.57999999999999996</v>
      </c>
      <c r="AG115" s="25">
        <f ca="1"/>
        <v>0.57999999999999996</v>
      </c>
      <c r="AH115" s="26" t="s">
        <v>233</v>
      </c>
      <c r="AI115" s="26"/>
      <c r="AJ115" s="26"/>
    </row>
    <row r="116" spans="4:36" ht="20.100000000000001" customHeight="1" x14ac:dyDescent="0.25">
      <c r="D116" s="25" t="s">
        <v>204</v>
      </c>
      <c r="E116" s="25">
        <f ca="1"/>
        <v>0.57999999999999996</v>
      </c>
      <c r="F116" s="25">
        <f ca="1"/>
        <v>0.57999999999999996</v>
      </c>
      <c r="G116" s="25">
        <f ca="1"/>
        <v>0.57999999999999996</v>
      </c>
      <c r="H116" s="25">
        <f ca="1"/>
        <v>0.57999999999999996</v>
      </c>
      <c r="I116" s="25">
        <f ca="1"/>
        <v>0.57999999999999996</v>
      </c>
      <c r="J116" s="25">
        <f ca="1"/>
        <v>0.57999999999999996</v>
      </c>
      <c r="K116" s="25">
        <f ca="1"/>
        <v>0.57999999999999996</v>
      </c>
      <c r="L116" s="25">
        <f ca="1"/>
        <v>0.57999999999999996</v>
      </c>
      <c r="M116" s="25">
        <f ca="1"/>
        <v>0.57999999999999996</v>
      </c>
      <c r="N116" s="25">
        <f ca="1"/>
        <v>0.57999999999999996</v>
      </c>
      <c r="O116" s="26" t="s">
        <v>233</v>
      </c>
      <c r="P116" s="26"/>
      <c r="Q116" s="26"/>
      <c r="R116" s="26"/>
      <c r="S116" s="26"/>
      <c r="W116" s="25" t="str">
        <f>INDEX(X_Table_PastureBeef_CrudeProtein_Method2,3,1)</f>
        <v>February 2025</v>
      </c>
      <c r="X116" s="25">
        <f ca="1"/>
        <v>0.57999999999999996</v>
      </c>
      <c r="Y116" s="25">
        <f ca="1"/>
        <v>0.57999999999999996</v>
      </c>
      <c r="Z116" s="25">
        <f ca="1"/>
        <v>0.57999999999999996</v>
      </c>
      <c r="AA116" s="25">
        <f ca="1"/>
        <v>0.57999999999999996</v>
      </c>
      <c r="AB116" s="25">
        <f ca="1"/>
        <v>0.57999999999999996</v>
      </c>
      <c r="AC116" s="25">
        <f ca="1"/>
        <v>0.57999999999999996</v>
      </c>
      <c r="AD116" s="25">
        <f ca="1"/>
        <v>0.57999999999999996</v>
      </c>
      <c r="AE116" s="25">
        <f ca="1"/>
        <v>0.57999999999999996</v>
      </c>
      <c r="AF116" s="25">
        <f ca="1"/>
        <v>0.57999999999999996</v>
      </c>
      <c r="AG116" s="25">
        <f ca="1"/>
        <v>0.57999999999999996</v>
      </c>
      <c r="AH116" s="26" t="s">
        <v>233</v>
      </c>
      <c r="AI116" s="26"/>
      <c r="AJ116" s="26"/>
    </row>
    <row r="117" spans="4:36" ht="20.100000000000001" customHeight="1" x14ac:dyDescent="0.25">
      <c r="D117" s="25" t="s">
        <v>205</v>
      </c>
      <c r="E117" s="25">
        <f ca="1"/>
        <v>0.5</v>
      </c>
      <c r="F117" s="25">
        <f ca="1"/>
        <v>0.5</v>
      </c>
      <c r="G117" s="25">
        <f ca="1"/>
        <v>0.5</v>
      </c>
      <c r="H117" s="25">
        <f ca="1"/>
        <v>0.5</v>
      </c>
      <c r="I117" s="25">
        <f ca="1"/>
        <v>0.5</v>
      </c>
      <c r="J117" s="25">
        <f ca="1"/>
        <v>0.5</v>
      </c>
      <c r="K117" s="25">
        <f ca="1"/>
        <v>0.5</v>
      </c>
      <c r="L117" s="25">
        <f ca="1"/>
        <v>0.5</v>
      </c>
      <c r="M117" s="25">
        <f ca="1"/>
        <v>0.5</v>
      </c>
      <c r="N117" s="25">
        <f ca="1"/>
        <v>0.5</v>
      </c>
      <c r="O117" s="26" t="s">
        <v>233</v>
      </c>
      <c r="P117" s="26"/>
      <c r="Q117" s="26"/>
      <c r="R117" s="26"/>
      <c r="S117" s="26"/>
      <c r="W117" s="25" t="str">
        <f>INDEX(X_Table_PastureBeef_CrudeProtein_Method2,4,1)</f>
        <v>March 2025</v>
      </c>
      <c r="X117" s="25">
        <f ca="1"/>
        <v>0.5</v>
      </c>
      <c r="Y117" s="25">
        <f ca="1"/>
        <v>0.5</v>
      </c>
      <c r="Z117" s="25">
        <f ca="1"/>
        <v>0.5</v>
      </c>
      <c r="AA117" s="25">
        <f ca="1"/>
        <v>0.5</v>
      </c>
      <c r="AB117" s="25">
        <f ca="1"/>
        <v>0.5</v>
      </c>
      <c r="AC117" s="25">
        <f ca="1"/>
        <v>0.5</v>
      </c>
      <c r="AD117" s="25">
        <f ca="1"/>
        <v>0.5</v>
      </c>
      <c r="AE117" s="25">
        <f ca="1"/>
        <v>0.5</v>
      </c>
      <c r="AF117" s="25">
        <f ca="1"/>
        <v>0.5</v>
      </c>
      <c r="AG117" s="25">
        <f ca="1"/>
        <v>0.5</v>
      </c>
      <c r="AH117" s="26" t="s">
        <v>233</v>
      </c>
      <c r="AI117" s="26"/>
      <c r="AJ117" s="26"/>
    </row>
    <row r="118" spans="4:36" ht="20.100000000000001" customHeight="1" x14ac:dyDescent="0.25">
      <c r="D118" s="25" t="s">
        <v>206</v>
      </c>
      <c r="E118" s="25">
        <f ca="1"/>
        <v>0.75</v>
      </c>
      <c r="F118" s="25">
        <f ca="1"/>
        <v>0.75</v>
      </c>
      <c r="G118" s="25">
        <f ca="1"/>
        <v>0.75</v>
      </c>
      <c r="H118" s="25">
        <f ca="1"/>
        <v>0.75</v>
      </c>
      <c r="I118" s="25">
        <f ca="1"/>
        <v>0.75</v>
      </c>
      <c r="J118" s="25">
        <f ca="1"/>
        <v>0.75</v>
      </c>
      <c r="K118" s="25">
        <f ca="1"/>
        <v>0.75</v>
      </c>
      <c r="L118" s="25">
        <f ca="1"/>
        <v>0.75</v>
      </c>
      <c r="M118" s="25">
        <f ca="1"/>
        <v>0.75</v>
      </c>
      <c r="N118" s="25">
        <f ca="1"/>
        <v>0.75</v>
      </c>
      <c r="O118" s="26" t="s">
        <v>233</v>
      </c>
      <c r="P118" s="26"/>
      <c r="Q118" s="26"/>
      <c r="R118" s="26"/>
      <c r="S118" s="26"/>
      <c r="W118" s="25" t="str">
        <f>INDEX(X_Table_PastureBeef_CrudeProtein_Method2,5,1)</f>
        <v>April 2025</v>
      </c>
      <c r="X118" s="25">
        <f ca="1"/>
        <v>0.5</v>
      </c>
      <c r="Y118" s="25">
        <f ca="1"/>
        <v>0.5</v>
      </c>
      <c r="Z118" s="25">
        <f ca="1"/>
        <v>0.5</v>
      </c>
      <c r="AA118" s="25">
        <f ca="1"/>
        <v>0.5</v>
      </c>
      <c r="AB118" s="25">
        <f ca="1"/>
        <v>0.5</v>
      </c>
      <c r="AC118" s="25">
        <f ca="1"/>
        <v>0.5</v>
      </c>
      <c r="AD118" s="25">
        <f ca="1"/>
        <v>0.5</v>
      </c>
      <c r="AE118" s="25">
        <f ca="1"/>
        <v>0.5</v>
      </c>
      <c r="AF118" s="25">
        <f ca="1"/>
        <v>0.5</v>
      </c>
      <c r="AG118" s="25">
        <f ca="1"/>
        <v>0.5</v>
      </c>
      <c r="AH118" s="26" t="s">
        <v>233</v>
      </c>
      <c r="AI118" s="26"/>
      <c r="AJ118" s="26"/>
    </row>
    <row r="119" spans="4:36" ht="20.100000000000001" customHeight="1" x14ac:dyDescent="0.25">
      <c r="W119" s="25" t="str">
        <f>INDEX(X_Table_PastureBeef_CrudeProtein_Method2,6,1)</f>
        <v>May 2025</v>
      </c>
      <c r="X119" s="25">
        <f ca="1"/>
        <v>0.5</v>
      </c>
      <c r="Y119" s="25">
        <f ca="1"/>
        <v>0.5</v>
      </c>
      <c r="Z119" s="25">
        <f ca="1"/>
        <v>0.5</v>
      </c>
      <c r="AA119" s="25">
        <f ca="1"/>
        <v>0.5</v>
      </c>
      <c r="AB119" s="25">
        <f ca="1"/>
        <v>0.5</v>
      </c>
      <c r="AC119" s="25">
        <f ca="1"/>
        <v>0.5</v>
      </c>
      <c r="AD119" s="25">
        <f ca="1"/>
        <v>0.5</v>
      </c>
      <c r="AE119" s="25">
        <f ca="1"/>
        <v>0.5</v>
      </c>
      <c r="AF119" s="25">
        <f ca="1"/>
        <v>0.5</v>
      </c>
      <c r="AG119" s="25">
        <f ca="1"/>
        <v>0.5</v>
      </c>
      <c r="AH119" s="26" t="s">
        <v>233</v>
      </c>
      <c r="AI119" s="26"/>
      <c r="AJ119" s="26"/>
    </row>
    <row r="120" spans="4:36" ht="20.100000000000001" customHeight="1" x14ac:dyDescent="0.25">
      <c r="W120" s="25" t="str">
        <f>INDEX(X_Table_PastureBeef_CrudeProtein_Method2,7,1)</f>
        <v>June 2025</v>
      </c>
      <c r="X120" s="25">
        <f ca="1"/>
        <v>0.75</v>
      </c>
      <c r="Y120" s="25">
        <f ca="1"/>
        <v>0.75</v>
      </c>
      <c r="Z120" s="25">
        <f ca="1"/>
        <v>0.75</v>
      </c>
      <c r="AA120" s="25">
        <f ca="1"/>
        <v>0.75</v>
      </c>
      <c r="AB120" s="25">
        <f ca="1"/>
        <v>0.75</v>
      </c>
      <c r="AC120" s="25">
        <f ca="1"/>
        <v>0.75</v>
      </c>
      <c r="AD120" s="25">
        <f ca="1"/>
        <v>0.75</v>
      </c>
      <c r="AE120" s="25">
        <f ca="1"/>
        <v>0.75</v>
      </c>
      <c r="AF120" s="25">
        <f ca="1"/>
        <v>0.75</v>
      </c>
      <c r="AG120" s="25">
        <f ca="1"/>
        <v>0.75</v>
      </c>
      <c r="AH120" s="26" t="s">
        <v>233</v>
      </c>
      <c r="AI120" s="26"/>
      <c r="AJ120" s="26"/>
    </row>
    <row r="121" spans="4:36" ht="20.100000000000001" customHeight="1" x14ac:dyDescent="0.25">
      <c r="W121" s="25" t="str">
        <f>INDEX(X_Table_PastureBeef_CrudeProtein_Method2,8,1)</f>
        <v>July 2025</v>
      </c>
      <c r="X121" s="25">
        <f ca="1"/>
        <v>0.75</v>
      </c>
      <c r="Y121" s="25">
        <f ca="1"/>
        <v>0.75</v>
      </c>
      <c r="Z121" s="25">
        <f ca="1"/>
        <v>0.75</v>
      </c>
      <c r="AA121" s="25">
        <f ca="1"/>
        <v>0.75</v>
      </c>
      <c r="AB121" s="25">
        <f ca="1"/>
        <v>0.75</v>
      </c>
      <c r="AC121" s="25">
        <f ca="1"/>
        <v>0.75</v>
      </c>
      <c r="AD121" s="25">
        <f ca="1"/>
        <v>0.75</v>
      </c>
      <c r="AE121" s="25">
        <f ca="1"/>
        <v>0.75</v>
      </c>
      <c r="AF121" s="25">
        <f ca="1"/>
        <v>0.75</v>
      </c>
      <c r="AG121" s="25">
        <f ca="1"/>
        <v>0.75</v>
      </c>
      <c r="AH121" s="26" t="s">
        <v>233</v>
      </c>
      <c r="AI121" s="26"/>
      <c r="AJ121" s="26"/>
    </row>
    <row r="122" spans="4:36" ht="20.100000000000001" customHeight="1" x14ac:dyDescent="0.25">
      <c r="W122" s="25" t="str">
        <f>INDEX(X_Table_PastureBeef_CrudeProtein_Method2,9,1)</f>
        <v>August 2025</v>
      </c>
      <c r="X122" s="25">
        <f ca="1"/>
        <v>0.75</v>
      </c>
      <c r="Y122" s="25">
        <f ca="1"/>
        <v>0.75</v>
      </c>
      <c r="Z122" s="25">
        <f ca="1"/>
        <v>0.75</v>
      </c>
      <c r="AA122" s="25">
        <f ca="1"/>
        <v>0.75</v>
      </c>
      <c r="AB122" s="25">
        <f ca="1"/>
        <v>0.75</v>
      </c>
      <c r="AC122" s="25">
        <f ca="1"/>
        <v>0.75</v>
      </c>
      <c r="AD122" s="25">
        <f ca="1"/>
        <v>0.75</v>
      </c>
      <c r="AE122" s="25">
        <f ca="1"/>
        <v>0.75</v>
      </c>
      <c r="AF122" s="25">
        <f ca="1"/>
        <v>0.75</v>
      </c>
      <c r="AG122" s="25">
        <f ca="1"/>
        <v>0.75</v>
      </c>
      <c r="AH122" s="26" t="s">
        <v>233</v>
      </c>
      <c r="AI122" s="26"/>
      <c r="AJ122" s="26"/>
    </row>
    <row r="123" spans="4:36" ht="20.100000000000001" customHeight="1" x14ac:dyDescent="0.25">
      <c r="W123" s="25" t="str">
        <f>INDEX(X_Table_PastureBeef_CrudeProtein_Method2,10,1)</f>
        <v>September 2025</v>
      </c>
      <c r="X123" s="25">
        <f ca="1"/>
        <v>0.8</v>
      </c>
      <c r="Y123" s="25">
        <f ca="1"/>
        <v>0.8</v>
      </c>
      <c r="Z123" s="25">
        <f ca="1"/>
        <v>0.8</v>
      </c>
      <c r="AA123" s="25">
        <f ca="1"/>
        <v>0.8</v>
      </c>
      <c r="AB123" s="25">
        <f ca="1"/>
        <v>0.8</v>
      </c>
      <c r="AC123" s="25">
        <f ca="1"/>
        <v>0.8</v>
      </c>
      <c r="AD123" s="25">
        <f ca="1"/>
        <v>0.8</v>
      </c>
      <c r="AE123" s="25">
        <f ca="1"/>
        <v>0.8</v>
      </c>
      <c r="AF123" s="25">
        <f ca="1"/>
        <v>0.8</v>
      </c>
      <c r="AG123" s="25">
        <f ca="1"/>
        <v>0.8</v>
      </c>
      <c r="AH123" s="26" t="s">
        <v>233</v>
      </c>
      <c r="AI123" s="26"/>
      <c r="AJ123" s="26"/>
    </row>
    <row r="124" spans="4:36" ht="20.100000000000001" customHeight="1" x14ac:dyDescent="0.25">
      <c r="W124" s="25" t="str">
        <f>INDEX(X_Table_PastureBeef_CrudeProtein_Method2,11,1)</f>
        <v>October 2025</v>
      </c>
      <c r="X124" s="25">
        <f ca="1"/>
        <v>0.8</v>
      </c>
      <c r="Y124" s="25">
        <f ca="1"/>
        <v>0.8</v>
      </c>
      <c r="Z124" s="25">
        <f ca="1"/>
        <v>0.8</v>
      </c>
      <c r="AA124" s="25">
        <f ca="1"/>
        <v>0.8</v>
      </c>
      <c r="AB124" s="25">
        <f ca="1"/>
        <v>0.8</v>
      </c>
      <c r="AC124" s="25">
        <f ca="1"/>
        <v>0.8</v>
      </c>
      <c r="AD124" s="25">
        <f ca="1"/>
        <v>0.8</v>
      </c>
      <c r="AE124" s="25">
        <f ca="1"/>
        <v>0.8</v>
      </c>
      <c r="AF124" s="25">
        <f ca="1"/>
        <v>0.8</v>
      </c>
      <c r="AG124" s="25">
        <f ca="1"/>
        <v>0.8</v>
      </c>
      <c r="AH124" s="26" t="s">
        <v>233</v>
      </c>
      <c r="AI124" s="26"/>
      <c r="AJ124" s="26"/>
    </row>
    <row r="125" spans="4:36" ht="20.100000000000001" customHeight="1" x14ac:dyDescent="0.25">
      <c r="W125" s="25" t="str">
        <f>INDEX(X_Table_PastureBeef_CrudeProtein_Method2,12,1)</f>
        <v>November 2025</v>
      </c>
      <c r="X125" s="25">
        <f ca="1"/>
        <v>0.8</v>
      </c>
      <c r="Y125" s="25">
        <f ca="1"/>
        <v>0.8</v>
      </c>
      <c r="Z125" s="25">
        <f ca="1"/>
        <v>0.8</v>
      </c>
      <c r="AA125" s="25">
        <f ca="1"/>
        <v>0.8</v>
      </c>
      <c r="AB125" s="25">
        <f ca="1"/>
        <v>0.8</v>
      </c>
      <c r="AC125" s="25">
        <f ca="1"/>
        <v>0.8</v>
      </c>
      <c r="AD125" s="25">
        <f ca="1"/>
        <v>0.8</v>
      </c>
      <c r="AE125" s="25">
        <f ca="1"/>
        <v>0.8</v>
      </c>
      <c r="AF125" s="25">
        <f ca="1"/>
        <v>0.8</v>
      </c>
      <c r="AG125" s="25">
        <f ca="1"/>
        <v>0.8</v>
      </c>
      <c r="AH125" s="26" t="s">
        <v>233</v>
      </c>
      <c r="AI125" s="26"/>
      <c r="AJ125" s="26"/>
    </row>
    <row r="126" spans="4:36" ht="20.100000000000001" customHeight="1" x14ac:dyDescent="0.25">
      <c r="W126" s="25" t="str">
        <f>INDEX(X_Table_PastureBeef_CrudeProtein_Method2,13,1)</f>
        <v>December 2025</v>
      </c>
      <c r="X126" s="25">
        <f ca="1"/>
        <v>0.57999999999999996</v>
      </c>
      <c r="Y126" s="25">
        <f ca="1"/>
        <v>0.57999999999999996</v>
      </c>
      <c r="Z126" s="25">
        <f ca="1"/>
        <v>0.57999999999999996</v>
      </c>
      <c r="AA126" s="25">
        <f ca="1"/>
        <v>0.57999999999999996</v>
      </c>
      <c r="AB126" s="25">
        <f ca="1"/>
        <v>0.57999999999999996</v>
      </c>
      <c r="AC126" s="25">
        <f ca="1"/>
        <v>0.57999999999999996</v>
      </c>
      <c r="AD126" s="25">
        <f ca="1"/>
        <v>0.57999999999999996</v>
      </c>
      <c r="AE126" s="25">
        <f ca="1"/>
        <v>0.57999999999999996</v>
      </c>
      <c r="AF126" s="25">
        <f ca="1"/>
        <v>0.57999999999999996</v>
      </c>
      <c r="AG126" s="25">
        <f ca="1"/>
        <v>0.57999999999999996</v>
      </c>
      <c r="AH126" s="26" t="s">
        <v>233</v>
      </c>
      <c r="AI126" s="26"/>
      <c r="AJ126" s="26"/>
    </row>
    <row r="127" spans="4:36" ht="20.100000000000001" customHeight="1" x14ac:dyDescent="0.25"/>
    <row r="128" spans="4:36" ht="20.100000000000001" customHeight="1" x14ac:dyDescent="0.25">
      <c r="D128" s="114" t="s">
        <v>400</v>
      </c>
      <c r="W128" s="114" t="s">
        <v>401</v>
      </c>
    </row>
    <row r="129" spans="4:36" ht="20.100000000000001" customHeight="1" x14ac:dyDescent="0.25">
      <c r="D129" s="115" t="s">
        <v>402</v>
      </c>
      <c r="W129" s="115" t="s">
        <v>403</v>
      </c>
    </row>
    <row r="130" spans="4:36" ht="20.100000000000001" customHeight="1" x14ac:dyDescent="0.25">
      <c r="D130" s="116" t="s">
        <v>78</v>
      </c>
      <c r="E130" s="116" t="s">
        <v>193</v>
      </c>
      <c r="F130" s="116" t="s">
        <v>194</v>
      </c>
      <c r="G130" s="116" t="s">
        <v>195</v>
      </c>
      <c r="H130" s="116" t="s">
        <v>196</v>
      </c>
      <c r="I130" s="116" t="s">
        <v>197</v>
      </c>
      <c r="J130" s="116" t="s">
        <v>198</v>
      </c>
      <c r="K130" s="116" t="s">
        <v>199</v>
      </c>
      <c r="L130" s="116" t="s">
        <v>200</v>
      </c>
      <c r="M130" s="116" t="s">
        <v>201</v>
      </c>
      <c r="N130" s="116" t="s">
        <v>202</v>
      </c>
      <c r="W130" s="116" t="s">
        <v>77</v>
      </c>
      <c r="X130" s="116" t="s">
        <v>193</v>
      </c>
      <c r="Y130" s="116" t="s">
        <v>194</v>
      </c>
      <c r="Z130" s="116" t="s">
        <v>195</v>
      </c>
      <c r="AA130" s="116" t="s">
        <v>196</v>
      </c>
      <c r="AB130" s="116" t="s">
        <v>197</v>
      </c>
      <c r="AC130" s="116" t="s">
        <v>198</v>
      </c>
      <c r="AD130" s="116" t="s">
        <v>199</v>
      </c>
      <c r="AE130" s="116" t="s">
        <v>200</v>
      </c>
      <c r="AF130" s="116" t="s">
        <v>201</v>
      </c>
      <c r="AG130" s="116" t="s">
        <v>202</v>
      </c>
    </row>
    <row r="131" spans="4:36" ht="20.100000000000001" customHeight="1" x14ac:dyDescent="0.25">
      <c r="D131" s="25" t="s">
        <v>203</v>
      </c>
      <c r="E131" s="25" cm="1">
        <f t="array" aca="1" ref="E131" ca="1">MMS_PastureBeef_Methane_Equations.VEERG_4_2_1_1__3_VolatileSolidProductionFromGrazingBeef(E84,E115,$I$110)</f>
        <v>1.9145357642956797</v>
      </c>
      <c r="F131" s="25" cm="1">
        <f t="array" aca="1" ref="F131" ca="1">MMS_PastureBeef_Methane_Equations.VEERG_4_2_1_1__3_VolatileSolidProductionFromGrazingBeef(F84,F115,$I$110)</f>
        <v>2.7040272552000002</v>
      </c>
      <c r="G131" s="25" cm="1">
        <f t="array" aca="1" ref="G131" ca="1">MMS_PastureBeef_Methane_Equations.VEERG_4_2_1_1__3_VolatileSolidProductionFromGrazingBeef(G84,G115,$I$110)</f>
        <v>1.45925863828128</v>
      </c>
      <c r="H131" s="25" cm="1">
        <f t="array" aca="1" ref="H131" ca="1">MMS_PastureBeef_Methane_Equations.VEERG_4_2_1_1__3_VolatileSolidProductionFromGrazingBeef(H84,H115,$I$110)</f>
        <v>2.1065186176562882</v>
      </c>
      <c r="I131" s="25" cm="1">
        <f t="array" aca="1" ref="I131" ca="1">MMS_PastureBeef_Methane_Equations.VEERG_4_2_1_1__3_VolatileSolidProductionFromGrazingBeef(I84,I115,$I$110)</f>
        <v>2.4880576692441596</v>
      </c>
      <c r="J131" s="25" cm="1">
        <f t="array" aca="1" ref="J131" ca="1">MMS_PastureBeef_Methane_Equations.VEERG_4_2_1_1__3_VolatileSolidProductionFromGrazingBeef(J84,J115,$I$110)</f>
        <v>2.4880576692441596</v>
      </c>
      <c r="K131" s="25" cm="1">
        <f t="array" aca="1" ref="K131" ca="1">MMS_PastureBeef_Methane_Equations.VEERG_4_2_1_1__3_VolatileSolidProductionFromGrazingBeef(K84,K115,$I$110)</f>
        <v>1.6823317446719992</v>
      </c>
      <c r="L131" s="25" cm="1">
        <f t="array" aca="1" ref="L131" ca="1">MMS_PastureBeef_Methane_Equations.VEERG_4_2_1_1__3_VolatileSolidProductionFromGrazingBeef(L84,L115,$I$110)</f>
        <v>2.1378800925964794</v>
      </c>
      <c r="M131" s="25" cm="1">
        <f t="array" aca="1" ref="M131" ca="1">MMS_PastureBeef_Methane_Equations.VEERG_4_2_1_1__3_VolatileSolidProductionFromGrazingBeef(M84,M115,$I$110)</f>
        <v>2.1378800925964794</v>
      </c>
      <c r="N131" s="25" cm="1">
        <f t="array" aca="1" ref="N131" ca="1">MMS_PastureBeef_Methane_Equations.VEERG_4_2_1_1__3_VolatileSolidProductionFromGrazingBeef(N84,N115,$I$110)</f>
        <v>2.1378800925964794</v>
      </c>
      <c r="O131" s="26" t="str">
        <f>$E$106</f>
        <v>kg/head/day</v>
      </c>
      <c r="P131" s="26"/>
      <c r="Q131" s="26"/>
      <c r="R131" s="26"/>
      <c r="S131" s="26"/>
      <c r="W131" s="25" t="str">
        <f>W115</f>
        <v>January 2025</v>
      </c>
      <c r="X131" s="25" cm="1">
        <f t="array" aca="1" ref="X131" ca="1">MMS_PastureBeef_Methane_Equations.VEERG_4_2_1_1__3_VolatileSolidProductionFromGrazingBeef(X76,X115,$I$110)</f>
        <v>3.0245484814387189</v>
      </c>
      <c r="Y131" s="25" cm="1">
        <f t="array" aca="1" ref="Y131" ca="1">MMS_PastureBeef_Methane_Equations.VEERG_4_2_1_1__3_VolatileSolidProductionFromGrazingBeef(Y76,Y115,$I$110)</f>
        <v>4.0017766623235218</v>
      </c>
      <c r="Z131" s="25" cm="1">
        <f t="array" aca="1" ref="Z131" ca="1">MMS_PastureBeef_Methane_Equations.VEERG_4_2_1_1__3_VolatileSolidProductionFromGrazingBeef(Z76,Z115,$I$110)</f>
        <v>2.5435769713919996</v>
      </c>
      <c r="AA131" s="25" cm="1">
        <f t="array" aca="1" ref="AA131" ca="1">MMS_PastureBeef_Methane_Equations.VEERG_4_2_1_1__3_VolatileSolidProductionFromGrazingBeef(AA76,AA115,$I$110)</f>
        <v>3.3308166340980003</v>
      </c>
      <c r="AB131" s="25" cm="1">
        <f t="array" aca="1" ref="AB131" ca="1">MMS_PastureBeef_Methane_Equations.VEERG_4_2_1_1__3_VolatileSolidProductionFromGrazingBeef(AB76,AB115,$I$110)</f>
        <v>3.2979160212595193</v>
      </c>
      <c r="AC131" s="25" cm="1">
        <f t="array" aca="1" ref="AC131" ca="1">MMS_PastureBeef_Methane_Equations.VEERG_4_2_1_1__3_VolatileSolidProductionFromGrazingBeef(AC76,AC115,$I$110)</f>
        <v>3.2979160212595193</v>
      </c>
      <c r="AD131" s="25" cm="1">
        <f t="array" aca="1" ref="AD131" ca="1">MMS_PastureBeef_Methane_Equations.VEERG_4_2_1_1__3_VolatileSolidProductionFromGrazingBeef(AD76,AD115,$I$110)</f>
        <v>2.7878896244787201</v>
      </c>
      <c r="AE131" s="25" cm="1">
        <f t="array" aca="1" ref="AE131" ca="1">MMS_PastureBeef_Methane_Equations.VEERG_4_2_1_1__3_VolatileSolidProductionFromGrazingBeef(AE76,AE115,$I$110)</f>
        <v>3.1075873239175205</v>
      </c>
      <c r="AF131" s="25" cm="1">
        <f t="array" aca="1" ref="AF131" ca="1">MMS_PastureBeef_Methane_Equations.VEERG_4_2_1_1__3_VolatileSolidProductionFromGrazingBeef(AF76,AF115,$I$110)</f>
        <v>3.1075873239175205</v>
      </c>
      <c r="AG131" s="25" cm="1">
        <f t="array" aca="1" ref="AG131" ca="1">MMS_PastureBeef_Methane_Equations.VEERG_4_2_1_1__3_VolatileSolidProductionFromGrazingBeef(AG76,AG115,$I$110)</f>
        <v>3.1075873239175205</v>
      </c>
      <c r="AH131" s="26" t="str">
        <f t="shared" ref="AH131:AH142" si="3">$E$106</f>
        <v>kg/head/day</v>
      </c>
      <c r="AI131" s="26"/>
      <c r="AJ131" s="26"/>
    </row>
    <row r="132" spans="4:36" ht="20.100000000000001" customHeight="1" x14ac:dyDescent="0.25">
      <c r="D132" s="25" t="s">
        <v>204</v>
      </c>
      <c r="E132" s="25" cm="1">
        <f t="array" aca="1" ref="E132" ca="1">MMS_PastureBeef_Methane_Equations.VEERG_4_2_1_1__3_VolatileSolidProductionFromGrazingBeef(E85,E116,$I$110)</f>
        <v>3.0245484814387189</v>
      </c>
      <c r="F132" s="25" cm="1">
        <f t="array" aca="1" ref="F132" ca="1">MMS_PastureBeef_Methane_Equations.VEERG_4_2_1_1__3_VolatileSolidProductionFromGrazingBeef(F85,F116,$I$110)</f>
        <v>4.0017766623235218</v>
      </c>
      <c r="G132" s="25" cm="1">
        <f t="array" aca="1" ref="G132" ca="1">MMS_PastureBeef_Methane_Equations.VEERG_4_2_1_1__3_VolatileSolidProductionFromGrazingBeef(G85,G116,$I$110)</f>
        <v>2.5435769713919996</v>
      </c>
      <c r="H132" s="25" cm="1">
        <f t="array" aca="1" ref="H132" ca="1">MMS_PastureBeef_Methane_Equations.VEERG_4_2_1_1__3_VolatileSolidProductionFromGrazingBeef(H85,H116,$I$110)</f>
        <v>3.4640492994619203</v>
      </c>
      <c r="I132" s="25" cm="1">
        <f t="array" aca="1" ref="I132" ca="1">MMS_PastureBeef_Methane_Equations.VEERG_4_2_1_1__3_VolatileSolidProductionFromGrazingBeef(I85,I116,$I$110)</f>
        <v>3.4298326621099</v>
      </c>
      <c r="J132" s="25" cm="1">
        <f t="array" aca="1" ref="J132" ca="1">MMS_PastureBeef_Methane_Equations.VEERG_4_2_1_1__3_VolatileSolidProductionFromGrazingBeef(J85,J116,$I$110)</f>
        <v>3.4298326621099</v>
      </c>
      <c r="K132" s="25" cm="1">
        <f t="array" aca="1" ref="K132" ca="1">MMS_PastureBeef_Methane_Equations.VEERG_4_2_1_1__3_VolatileSolidProductionFromGrazingBeef(K85,K116,$I$110)</f>
        <v>2.7878896244787201</v>
      </c>
      <c r="L132" s="25" cm="1">
        <f t="array" aca="1" ref="L132" ca="1">MMS_PastureBeef_Methane_Equations.VEERG_4_2_1_1__3_VolatileSolidProductionFromGrazingBeef(L85,L116,$I$110)</f>
        <v>3.1075873239175205</v>
      </c>
      <c r="M132" s="25" cm="1">
        <f t="array" aca="1" ref="M132" ca="1">MMS_PastureBeef_Methane_Equations.VEERG_4_2_1_1__3_VolatileSolidProductionFromGrazingBeef(M85,M116,$I$110)</f>
        <v>3.1075873239175205</v>
      </c>
      <c r="N132" s="25" cm="1">
        <f t="array" aca="1" ref="N132" ca="1">MMS_PastureBeef_Methane_Equations.VEERG_4_2_1_1__3_VolatileSolidProductionFromGrazingBeef(N85,N116,$I$110)</f>
        <v>3.1075873239175205</v>
      </c>
      <c r="O132" s="26" t="str">
        <f t="shared" ref="O132:O134" si="4">$E$106</f>
        <v>kg/head/day</v>
      </c>
      <c r="P132" s="26"/>
      <c r="Q132" s="26"/>
      <c r="R132" s="26"/>
      <c r="S132" s="26"/>
      <c r="W132" s="25" t="str">
        <f t="shared" ref="W132:W142" si="5">W116</f>
        <v>February 2025</v>
      </c>
      <c r="X132" s="25" cm="1">
        <f t="array" aca="1" ref="X132" ca="1">MMS_PastureBeef_Methane_Equations.VEERG_4_2_1_1__3_VolatileSolidProductionFromGrazingBeef(X77,X116,$I$110)</f>
        <v>3.0245484814387189</v>
      </c>
      <c r="Y132" s="25" cm="1">
        <f t="array" aca="1" ref="Y132" ca="1">MMS_PastureBeef_Methane_Equations.VEERG_4_2_1_1__3_VolatileSolidProductionFromGrazingBeef(Y77,Y116,$I$110)</f>
        <v>4.0017766623235218</v>
      </c>
      <c r="Z132" s="25" cm="1">
        <f t="array" aca="1" ref="Z132" ca="1">MMS_PastureBeef_Methane_Equations.VEERG_4_2_1_1__3_VolatileSolidProductionFromGrazingBeef(Z77,Z116,$I$110)</f>
        <v>2.5435769713919996</v>
      </c>
      <c r="AA132" s="25" cm="1">
        <f t="array" aca="1" ref="AA132" ca="1">MMS_PastureBeef_Methane_Equations.VEERG_4_2_1_1__3_VolatileSolidProductionFromGrazingBeef(AA77,AA116,$I$110)</f>
        <v>3.3308166340980003</v>
      </c>
      <c r="AB132" s="25" cm="1">
        <f t="array" aca="1" ref="AB132" ca="1">MMS_PastureBeef_Methane_Equations.VEERG_4_2_1_1__3_VolatileSolidProductionFromGrazingBeef(AB77,AB116,$I$110)</f>
        <v>3.2979160212595193</v>
      </c>
      <c r="AC132" s="25" cm="1">
        <f t="array" aca="1" ref="AC132" ca="1">MMS_PastureBeef_Methane_Equations.VEERG_4_2_1_1__3_VolatileSolidProductionFromGrazingBeef(AC77,AC116,$I$110)</f>
        <v>3.2979160212595193</v>
      </c>
      <c r="AD132" s="25" cm="1">
        <f t="array" aca="1" ref="AD132" ca="1">MMS_PastureBeef_Methane_Equations.VEERG_4_2_1_1__3_VolatileSolidProductionFromGrazingBeef(AD77,AD116,$I$110)</f>
        <v>2.7878896244787201</v>
      </c>
      <c r="AE132" s="25" cm="1">
        <f t="array" aca="1" ref="AE132" ca="1">MMS_PastureBeef_Methane_Equations.VEERG_4_2_1_1__3_VolatileSolidProductionFromGrazingBeef(AE77,AE116,$I$110)</f>
        <v>3.1075873239175205</v>
      </c>
      <c r="AF132" s="25" cm="1">
        <f t="array" aca="1" ref="AF132" ca="1">MMS_PastureBeef_Methane_Equations.VEERG_4_2_1_1__3_VolatileSolidProductionFromGrazingBeef(AF77,AF116,$I$110)</f>
        <v>3.1075873239175205</v>
      </c>
      <c r="AG132" s="25" cm="1">
        <f t="array" aca="1" ref="AG132" ca="1">MMS_PastureBeef_Methane_Equations.VEERG_4_2_1_1__3_VolatileSolidProductionFromGrazingBeef(AG77,AG116,$I$110)</f>
        <v>3.1075873239175205</v>
      </c>
      <c r="AH132" s="26" t="str">
        <f t="shared" si="3"/>
        <v>kg/head/day</v>
      </c>
      <c r="AI132" s="26"/>
      <c r="AJ132" s="26"/>
    </row>
    <row r="133" spans="4:36" ht="20.100000000000001" customHeight="1" x14ac:dyDescent="0.25">
      <c r="D133" s="25" t="s">
        <v>205</v>
      </c>
      <c r="E133" s="25" cm="1">
        <f t="array" aca="1" ref="E133" ca="1">MMS_PastureBeef_Methane_Equations.VEERG_4_2_1_1__3_VolatileSolidProductionFromGrazingBeef(E86,E117,$I$110)</f>
        <v>1.6132109472</v>
      </c>
      <c r="F133" s="25" cm="1">
        <f t="array" aca="1" ref="F133" ca="1">MMS_PastureBeef_Methane_Equations.VEERG_4_2_1_1__3_VolatileSolidProductionFromGrazingBeef(F86,F117,$I$110)</f>
        <v>4.68216830671488</v>
      </c>
      <c r="G133" s="25" cm="1">
        <f t="array" aca="1" ref="G133" ca="1">MMS_PastureBeef_Methane_Equations.VEERG_4_2_1_1__3_VolatileSolidProductionFromGrazingBeef(G86,G117,$I$110)</f>
        <v>1.47069031131648</v>
      </c>
      <c r="H133" s="25" cm="1">
        <f t="array" aca="1" ref="H133" ca="1">MMS_PastureBeef_Methane_Equations.VEERG_4_2_1_1__3_VolatileSolidProductionFromGrazingBeef(H86,H117,$I$110)</f>
        <v>2.9894321558500128</v>
      </c>
      <c r="I133" s="25" cm="1">
        <f t="array" aca="1" ref="I133" ca="1">MMS_PastureBeef_Methane_Equations.VEERG_4_2_1_1__3_VolatileSolidProductionFromGrazingBeef(I86,I117,$I$110)</f>
        <v>3.3375011322160799</v>
      </c>
      <c r="J133" s="25" cm="1">
        <f t="array" aca="1" ref="J133" ca="1">MMS_PastureBeef_Methane_Equations.VEERG_4_2_1_1__3_VolatileSolidProductionFromGrazingBeef(J86,J117,$I$110)</f>
        <v>3.3375011322160799</v>
      </c>
      <c r="K133" s="25" cm="1">
        <f t="array" aca="1" ref="K133" ca="1">MMS_PastureBeef_Methane_Equations.VEERG_4_2_1_1__3_VolatileSolidProductionFromGrazingBeef(K86,K117,$I$110)</f>
        <v>1.6132109472</v>
      </c>
      <c r="L133" s="25" cm="1">
        <f t="array" aca="1" ref="L133" ca="1">MMS_PastureBeef_Methane_Equations.VEERG_4_2_1_1__3_VolatileSolidProductionFromGrazingBeef(L86,L117,$I$110)</f>
        <v>2.9288239104268809</v>
      </c>
      <c r="M133" s="25" cm="1">
        <f t="array" aca="1" ref="M133" ca="1">MMS_PastureBeef_Methane_Equations.VEERG_4_2_1_1__3_VolatileSolidProductionFromGrazingBeef(M86,M117,$I$110)</f>
        <v>2.9288239104268809</v>
      </c>
      <c r="N133" s="25" cm="1">
        <f t="array" aca="1" ref="N133" ca="1">MMS_PastureBeef_Methane_Equations.VEERG_4_2_1_1__3_VolatileSolidProductionFromGrazingBeef(N86,N117,$I$110)</f>
        <v>2.9288239104268809</v>
      </c>
      <c r="O133" s="26" t="str">
        <f t="shared" si="4"/>
        <v>kg/head/day</v>
      </c>
      <c r="P133" s="26"/>
      <c r="Q133" s="26"/>
      <c r="R133" s="26"/>
      <c r="S133" s="26"/>
      <c r="W133" s="25" t="str">
        <f t="shared" si="5"/>
        <v>March 2025</v>
      </c>
      <c r="X133" s="25" cm="1">
        <f t="array" aca="1" ref="X133" ca="1">MMS_PastureBeef_Methane_Equations.VEERG_4_2_1_1__3_VolatileSolidProductionFromGrazingBeef(X78,X117,$I$110)</f>
        <v>1.6132109472</v>
      </c>
      <c r="Y133" s="25" cm="1">
        <f t="array" aca="1" ref="Y133" ca="1">MMS_PastureBeef_Methane_Equations.VEERG_4_2_1_1__3_VolatileSolidProductionFromGrazingBeef(Y78,Y117,$I$110)</f>
        <v>4.68216830671488</v>
      </c>
      <c r="Z133" s="25" cm="1">
        <f t="array" aca="1" ref="Z133" ca="1">MMS_PastureBeef_Methane_Equations.VEERG_4_2_1_1__3_VolatileSolidProductionFromGrazingBeef(Z78,Z117,$I$110)</f>
        <v>1.47069031131648</v>
      </c>
      <c r="AA133" s="25" cm="1">
        <f t="array" aca="1" ref="AA133" ca="1">MMS_PastureBeef_Methane_Equations.VEERG_4_2_1_1__3_VolatileSolidProductionFromGrazingBeef(AA78,AA117,$I$110)</f>
        <v>2.9598338176732795</v>
      </c>
      <c r="AB133" s="25" cm="1">
        <f t="array" aca="1" ref="AB133" ca="1">MMS_PastureBeef_Methane_Equations.VEERG_4_2_1_1__3_VolatileSolidProductionFromGrazingBeef(AB78,AB117,$I$110)</f>
        <v>3.3375011322160799</v>
      </c>
      <c r="AC133" s="25" cm="1">
        <f t="array" aca="1" ref="AC133" ca="1">MMS_PastureBeef_Methane_Equations.VEERG_4_2_1_1__3_VolatileSolidProductionFromGrazingBeef(AC78,AC117,$I$110)</f>
        <v>3.3375011322160799</v>
      </c>
      <c r="AD133" s="25" cm="1">
        <f t="array" aca="1" ref="AD133" ca="1">MMS_PastureBeef_Methane_Equations.VEERG_4_2_1_1__3_VolatileSolidProductionFromGrazingBeef(AD78,AD117,$I$110)</f>
        <v>1.6132109472</v>
      </c>
      <c r="AE133" s="25" cm="1">
        <f t="array" aca="1" ref="AE133" ca="1">MMS_PastureBeef_Methane_Equations.VEERG_4_2_1_1__3_VolatileSolidProductionFromGrazingBeef(AE78,AE117,$I$110)</f>
        <v>2.9288239104268809</v>
      </c>
      <c r="AF133" s="25" cm="1">
        <f t="array" aca="1" ref="AF133" ca="1">MMS_PastureBeef_Methane_Equations.VEERG_4_2_1_1__3_VolatileSolidProductionFromGrazingBeef(AF78,AF117,$I$110)</f>
        <v>2.9288239104268809</v>
      </c>
      <c r="AG133" s="25" cm="1">
        <f t="array" aca="1" ref="AG133" ca="1">MMS_PastureBeef_Methane_Equations.VEERG_4_2_1_1__3_VolatileSolidProductionFromGrazingBeef(AG78,AG117,$I$110)</f>
        <v>2.9288239104268809</v>
      </c>
      <c r="AH133" s="26" t="str">
        <f t="shared" si="3"/>
        <v>kg/head/day</v>
      </c>
      <c r="AI133" s="26"/>
      <c r="AJ133" s="26"/>
    </row>
    <row r="134" spans="4:36" ht="20.100000000000001" customHeight="1" x14ac:dyDescent="0.25">
      <c r="D134" s="25" t="s">
        <v>206</v>
      </c>
      <c r="E134" s="25" cm="1">
        <f t="array" aca="1" ref="E134" ca="1">MMS_PastureBeef_Methane_Equations.VEERG_4_2_1_1__3_VolatileSolidProductionFromGrazingBeef(E87,E118,$I$110)</f>
        <v>1.3694571992330802</v>
      </c>
      <c r="F134" s="25" cm="1">
        <f t="array" aca="1" ref="F134" ca="1">MMS_PastureBeef_Methane_Equations.VEERG_4_2_1_1__3_VolatileSolidProductionFromGrazingBeef(F87,F118,$I$110)</f>
        <v>2.6612923518519995</v>
      </c>
      <c r="G134" s="25" cm="1">
        <f t="array" aca="1" ref="G134" ca="1">MMS_PastureBeef_Methane_Equations.VEERG_4_2_1_1__3_VolatileSolidProductionFromGrazingBeef(G87,G118,$I$110)</f>
        <v>1.1212816946670003</v>
      </c>
      <c r="H134" s="25" cm="1">
        <f t="array" aca="1" ref="H134" ca="1">MMS_PastureBeef_Methane_Equations.VEERG_4_2_1_1__3_VolatileSolidProductionFromGrazingBeef(H87,H118,$I$110)</f>
        <v>1.9136639454654354</v>
      </c>
      <c r="I134" s="25" cm="1">
        <f t="array" aca="1" ref="I134" ca="1">MMS_PastureBeef_Methane_Equations.VEERG_4_2_1_1__3_VolatileSolidProductionFromGrazingBeef(I87,I118,$I$110)</f>
        <v>2.4399380633826815</v>
      </c>
      <c r="J134" s="25" cm="1">
        <f t="array" aca="1" ref="J134" ca="1">MMS_PastureBeef_Methane_Equations.VEERG_4_2_1_1__3_VolatileSolidProductionFromGrazingBeef(J87,J118,$I$110)</f>
        <v>2.4399380633826815</v>
      </c>
      <c r="K134" s="25" cm="1">
        <f t="array" aca="1" ref="K134" ca="1">MMS_PastureBeef_Methane_Equations.VEERG_4_2_1_1__3_VolatileSolidProductionFromGrazingBeef(K87,K118,$I$110)</f>
        <v>1.2038731355098797</v>
      </c>
      <c r="L134" s="25" cm="1">
        <f t="array" aca="1" ref="L134" ca="1">MMS_PastureBeef_Methane_Equations.VEERG_4_2_1_1__3_VolatileSolidProductionFromGrazingBeef(L87,L118,$I$110)</f>
        <v>1.8328761618508798</v>
      </c>
      <c r="M134" s="25" cm="1">
        <f t="array" aca="1" ref="M134" ca="1">MMS_PastureBeef_Methane_Equations.VEERG_4_2_1_1__3_VolatileSolidProductionFromGrazingBeef(M87,M118,$I$110)</f>
        <v>1.8328761618508798</v>
      </c>
      <c r="N134" s="25" cm="1">
        <f t="array" aca="1" ref="N134" ca="1">MMS_PastureBeef_Methane_Equations.VEERG_4_2_1_1__3_VolatileSolidProductionFromGrazingBeef(N87,N118,$I$110)</f>
        <v>1.8328761618508798</v>
      </c>
      <c r="O134" s="26" t="str">
        <f t="shared" si="4"/>
        <v>kg/head/day</v>
      </c>
      <c r="P134" s="26"/>
      <c r="Q134" s="26"/>
      <c r="R134" s="26"/>
      <c r="S134" s="26"/>
      <c r="W134" s="25" t="str">
        <f t="shared" si="5"/>
        <v>April 2025</v>
      </c>
      <c r="X134" s="25" cm="1">
        <f t="array" aca="1" ref="X134" ca="1">MMS_PastureBeef_Methane_Equations.VEERG_4_2_1_1__3_VolatileSolidProductionFromGrazingBeef(X79,X118,$I$110)</f>
        <v>1.6132109472</v>
      </c>
      <c r="Y134" s="25" cm="1">
        <f t="array" aca="1" ref="Y134" ca="1">MMS_PastureBeef_Methane_Equations.VEERG_4_2_1_1__3_VolatileSolidProductionFromGrazingBeef(Y79,Y118,$I$110)</f>
        <v>4.68216830671488</v>
      </c>
      <c r="Z134" s="25" cm="1">
        <f t="array" aca="1" ref="Z134" ca="1">MMS_PastureBeef_Methane_Equations.VEERG_4_2_1_1__3_VolatileSolidProductionFromGrazingBeef(Z79,Z118,$I$110)</f>
        <v>1.47069031131648</v>
      </c>
      <c r="AA134" s="25" cm="1">
        <f t="array" aca="1" ref="AA134" ca="1">MMS_PastureBeef_Methane_Equations.VEERG_4_2_1_1__3_VolatileSolidProductionFromGrazingBeef(AA79,AA118,$I$110)</f>
        <v>2.9598338176732795</v>
      </c>
      <c r="AB134" s="25" cm="1">
        <f t="array" aca="1" ref="AB134" ca="1">MMS_PastureBeef_Methane_Equations.VEERG_4_2_1_1__3_VolatileSolidProductionFromGrazingBeef(AB79,AB118,$I$110)</f>
        <v>3.3375011322160799</v>
      </c>
      <c r="AC134" s="25" cm="1">
        <f t="array" aca="1" ref="AC134" ca="1">MMS_PastureBeef_Methane_Equations.VEERG_4_2_1_1__3_VolatileSolidProductionFromGrazingBeef(AC79,AC118,$I$110)</f>
        <v>3.3375011322160799</v>
      </c>
      <c r="AD134" s="25" cm="1">
        <f t="array" aca="1" ref="AD134" ca="1">MMS_PastureBeef_Methane_Equations.VEERG_4_2_1_1__3_VolatileSolidProductionFromGrazingBeef(AD79,AD118,$I$110)</f>
        <v>1.6132109472</v>
      </c>
      <c r="AE134" s="25" cm="1">
        <f t="array" aca="1" ref="AE134" ca="1">MMS_PastureBeef_Methane_Equations.VEERG_4_2_1_1__3_VolatileSolidProductionFromGrazingBeef(AE79,AE118,$I$110)</f>
        <v>2.9288239104268809</v>
      </c>
      <c r="AF134" s="25" cm="1">
        <f t="array" aca="1" ref="AF134" ca="1">MMS_PastureBeef_Methane_Equations.VEERG_4_2_1_1__3_VolatileSolidProductionFromGrazingBeef(AF79,AF118,$I$110)</f>
        <v>2.9288239104268809</v>
      </c>
      <c r="AG134" s="25" cm="1">
        <f t="array" aca="1" ref="AG134" ca="1">MMS_PastureBeef_Methane_Equations.VEERG_4_2_1_1__3_VolatileSolidProductionFromGrazingBeef(AG79,AG118,$I$110)</f>
        <v>2.9288239104268809</v>
      </c>
      <c r="AH134" s="26" t="str">
        <f t="shared" si="3"/>
        <v>kg/head/day</v>
      </c>
      <c r="AI134" s="26"/>
      <c r="AJ134" s="26"/>
    </row>
    <row r="135" spans="4:36" ht="20.100000000000001" customHeight="1" x14ac:dyDescent="0.25">
      <c r="W135" s="25" t="str">
        <f t="shared" si="5"/>
        <v>May 2025</v>
      </c>
      <c r="X135" s="25" cm="1">
        <f t="array" aca="1" ref="X135" ca="1">MMS_PastureBeef_Methane_Equations.VEERG_4_2_1_1__3_VolatileSolidProductionFromGrazingBeef(X80,X119,$I$110)</f>
        <v>1.6132109472</v>
      </c>
      <c r="Y135" s="25" cm="1">
        <f t="array" aca="1" ref="Y135" ca="1">MMS_PastureBeef_Methane_Equations.VEERG_4_2_1_1__3_VolatileSolidProductionFromGrazingBeef(Y80,Y119,$I$110)</f>
        <v>4.68216830671488</v>
      </c>
      <c r="Z135" s="25" cm="1">
        <f t="array" aca="1" ref="Z135" ca="1">MMS_PastureBeef_Methane_Equations.VEERG_4_2_1_1__3_VolatileSolidProductionFromGrazingBeef(Z80,Z119,$I$110)</f>
        <v>1.47069031131648</v>
      </c>
      <c r="AA135" s="25" cm="1">
        <f t="array" aca="1" ref="AA135" ca="1">MMS_PastureBeef_Methane_Equations.VEERG_4_2_1_1__3_VolatileSolidProductionFromGrazingBeef(AA80,AA119,$I$110)</f>
        <v>2.9598338176732795</v>
      </c>
      <c r="AB135" s="25" cm="1">
        <f t="array" aca="1" ref="AB135" ca="1">MMS_PastureBeef_Methane_Equations.VEERG_4_2_1_1__3_VolatileSolidProductionFromGrazingBeef(AB80,AB119,$I$110)</f>
        <v>3.3375011322160799</v>
      </c>
      <c r="AC135" s="25" cm="1">
        <f t="array" aca="1" ref="AC135" ca="1">MMS_PastureBeef_Methane_Equations.VEERG_4_2_1_1__3_VolatileSolidProductionFromGrazingBeef(AC80,AC119,$I$110)</f>
        <v>3.3375011322160799</v>
      </c>
      <c r="AD135" s="25" cm="1">
        <f t="array" aca="1" ref="AD135" ca="1">MMS_PastureBeef_Methane_Equations.VEERG_4_2_1_1__3_VolatileSolidProductionFromGrazingBeef(AD80,AD119,$I$110)</f>
        <v>1.6132109472</v>
      </c>
      <c r="AE135" s="25" cm="1">
        <f t="array" aca="1" ref="AE135" ca="1">MMS_PastureBeef_Methane_Equations.VEERG_4_2_1_1__3_VolatileSolidProductionFromGrazingBeef(AE80,AE119,$I$110)</f>
        <v>2.9288239104268809</v>
      </c>
      <c r="AF135" s="25" cm="1">
        <f t="array" aca="1" ref="AF135" ca="1">MMS_PastureBeef_Methane_Equations.VEERG_4_2_1_1__3_VolatileSolidProductionFromGrazingBeef(AF80,AF119,$I$110)</f>
        <v>2.9288239104268809</v>
      </c>
      <c r="AG135" s="25" cm="1">
        <f t="array" aca="1" ref="AG135" ca="1">MMS_PastureBeef_Methane_Equations.VEERG_4_2_1_1__3_VolatileSolidProductionFromGrazingBeef(AG80,AG119,$I$110)</f>
        <v>2.9288239104268809</v>
      </c>
      <c r="AH135" s="26" t="str">
        <f t="shared" si="3"/>
        <v>kg/head/day</v>
      </c>
      <c r="AI135" s="26"/>
      <c r="AJ135" s="26"/>
    </row>
    <row r="136" spans="4:36" ht="20.100000000000001" customHeight="1" x14ac:dyDescent="0.25">
      <c r="W136" s="25" t="str">
        <f t="shared" si="5"/>
        <v>June 2025</v>
      </c>
      <c r="X136" s="25" cm="1">
        <f t="array" aca="1" ref="X136" ca="1">MMS_PastureBeef_Methane_Equations.VEERG_4_2_1_1__3_VolatileSolidProductionFromGrazingBeef(X81,X120,$I$110)</f>
        <v>1.3694571992330802</v>
      </c>
      <c r="Y136" s="25" cm="1">
        <f t="array" aca="1" ref="Y136" ca="1">MMS_PastureBeef_Methane_Equations.VEERG_4_2_1_1__3_VolatileSolidProductionFromGrazingBeef(Y81,Y120,$I$110)</f>
        <v>2.6612923518519995</v>
      </c>
      <c r="Z136" s="25" cm="1">
        <f t="array" aca="1" ref="Z136" ca="1">MMS_PastureBeef_Methane_Equations.VEERG_4_2_1_1__3_VolatileSolidProductionFromGrazingBeef(Z81,Z120,$I$110)</f>
        <v>1.1212816946670003</v>
      </c>
      <c r="AA136" s="25" cm="1">
        <f t="array" aca="1" ref="AA136" ca="1">MMS_PastureBeef_Methane_Equations.VEERG_4_2_1_1__3_VolatileSolidProductionFromGrazingBeef(AA81,AA120,$I$110)</f>
        <v>1.5815404507978805</v>
      </c>
      <c r="AB136" s="25" cm="1">
        <f t="array" aca="1" ref="AB136" ca="1">MMS_PastureBeef_Methane_Equations.VEERG_4_2_1_1__3_VolatileSolidProductionFromGrazingBeef(AB81,AB120,$I$110)</f>
        <v>2.1216852725066797</v>
      </c>
      <c r="AC136" s="25" cm="1">
        <f t="array" aca="1" ref="AC136" ca="1">MMS_PastureBeef_Methane_Equations.VEERG_4_2_1_1__3_VolatileSolidProductionFromGrazingBeef(AC81,AC120,$I$110)</f>
        <v>2.1216852725066797</v>
      </c>
      <c r="AD136" s="25" cm="1">
        <f t="array" aca="1" ref="AD136" ca="1">MMS_PastureBeef_Methane_Equations.VEERG_4_2_1_1__3_VolatileSolidProductionFromGrazingBeef(AD81,AD120,$I$110)</f>
        <v>1.2038731355098797</v>
      </c>
      <c r="AE136" s="25" cm="1">
        <f t="array" aca="1" ref="AE136" ca="1">MMS_PastureBeef_Methane_Equations.VEERG_4_2_1_1__3_VolatileSolidProductionFromGrazingBeef(AE81,AE120,$I$110)</f>
        <v>1.8328761618508798</v>
      </c>
      <c r="AF136" s="25" cm="1">
        <f t="array" aca="1" ref="AF136" ca="1">MMS_PastureBeef_Methane_Equations.VEERG_4_2_1_1__3_VolatileSolidProductionFromGrazingBeef(AF81,AF120,$I$110)</f>
        <v>1.8328761618508798</v>
      </c>
      <c r="AG136" s="25" cm="1">
        <f t="array" aca="1" ref="AG136" ca="1">MMS_PastureBeef_Methane_Equations.VEERG_4_2_1_1__3_VolatileSolidProductionFromGrazingBeef(AG81,AG120,$I$110)</f>
        <v>1.8328761618508798</v>
      </c>
      <c r="AH136" s="26" t="str">
        <f t="shared" si="3"/>
        <v>kg/head/day</v>
      </c>
      <c r="AI136" s="26"/>
      <c r="AJ136" s="26"/>
    </row>
    <row r="137" spans="4:36" ht="20.100000000000001" customHeight="1" x14ac:dyDescent="0.25">
      <c r="W137" s="25" t="str">
        <f t="shared" si="5"/>
        <v>July 2025</v>
      </c>
      <c r="X137" s="25" cm="1">
        <f t="array" aca="1" ref="X137" ca="1">MMS_PastureBeef_Methane_Equations.VEERG_4_2_1_1__3_VolatileSolidProductionFromGrazingBeef(X82,X121,$I$110)</f>
        <v>1.3694571992330802</v>
      </c>
      <c r="Y137" s="25" cm="1">
        <f t="array" aca="1" ref="Y137" ca="1">MMS_PastureBeef_Methane_Equations.VEERG_4_2_1_1__3_VolatileSolidProductionFromGrazingBeef(Y82,Y121,$I$110)</f>
        <v>2.6612923518519995</v>
      </c>
      <c r="Z137" s="25" cm="1">
        <f t="array" aca="1" ref="Z137" ca="1">MMS_PastureBeef_Methane_Equations.VEERG_4_2_1_1__3_VolatileSolidProductionFromGrazingBeef(Z82,Z121,$I$110)</f>
        <v>1.1212816946670003</v>
      </c>
      <c r="AA137" s="25" cm="1">
        <f t="array" aca="1" ref="AA137" ca="1">MMS_PastureBeef_Methane_Equations.VEERG_4_2_1_1__3_VolatileSolidProductionFromGrazingBeef(AA82,AA121,$I$110)</f>
        <v>1.5815404507978805</v>
      </c>
      <c r="AB137" s="25" cm="1">
        <f t="array" aca="1" ref="AB137" ca="1">MMS_PastureBeef_Methane_Equations.VEERG_4_2_1_1__3_VolatileSolidProductionFromGrazingBeef(AB82,AB121,$I$110)</f>
        <v>2.1216852725066797</v>
      </c>
      <c r="AC137" s="25" cm="1">
        <f t="array" aca="1" ref="AC137" ca="1">MMS_PastureBeef_Methane_Equations.VEERG_4_2_1_1__3_VolatileSolidProductionFromGrazingBeef(AC82,AC121,$I$110)</f>
        <v>2.1216852725066797</v>
      </c>
      <c r="AD137" s="25" cm="1">
        <f t="array" aca="1" ref="AD137" ca="1">MMS_PastureBeef_Methane_Equations.VEERG_4_2_1_1__3_VolatileSolidProductionFromGrazingBeef(AD82,AD121,$I$110)</f>
        <v>1.2038731355098797</v>
      </c>
      <c r="AE137" s="25" cm="1">
        <f t="array" aca="1" ref="AE137" ca="1">MMS_PastureBeef_Methane_Equations.VEERG_4_2_1_1__3_VolatileSolidProductionFromGrazingBeef(AE82,AE121,$I$110)</f>
        <v>1.8328761618508798</v>
      </c>
      <c r="AF137" s="25" cm="1">
        <f t="array" aca="1" ref="AF137" ca="1">MMS_PastureBeef_Methane_Equations.VEERG_4_2_1_1__3_VolatileSolidProductionFromGrazingBeef(AF82,AF121,$I$110)</f>
        <v>1.8328761618508798</v>
      </c>
      <c r="AG137" s="25" cm="1">
        <f t="array" aca="1" ref="AG137" ca="1">MMS_PastureBeef_Methane_Equations.VEERG_4_2_1_1__3_VolatileSolidProductionFromGrazingBeef(AG82,AG121,$I$110)</f>
        <v>1.8328761618508798</v>
      </c>
      <c r="AH137" s="26" t="str">
        <f t="shared" si="3"/>
        <v>kg/head/day</v>
      </c>
      <c r="AI137" s="26"/>
      <c r="AJ137" s="26"/>
    </row>
    <row r="138" spans="4:36" ht="20.100000000000001" customHeight="1" x14ac:dyDescent="0.25">
      <c r="W138" s="25" t="str">
        <f t="shared" si="5"/>
        <v>August 2025</v>
      </c>
      <c r="X138" s="25" cm="1">
        <f t="array" aca="1" ref="X138" ca="1">MMS_PastureBeef_Methane_Equations.VEERG_4_2_1_1__3_VolatileSolidProductionFromGrazingBeef(X83,X122,$I$110)</f>
        <v>1.3694571992330802</v>
      </c>
      <c r="Y138" s="25" cm="1">
        <f t="array" aca="1" ref="Y138" ca="1">MMS_PastureBeef_Methane_Equations.VEERG_4_2_1_1__3_VolatileSolidProductionFromGrazingBeef(Y83,Y122,$I$110)</f>
        <v>2.6612923518519995</v>
      </c>
      <c r="Z138" s="25" cm="1">
        <f t="array" aca="1" ref="Z138" ca="1">MMS_PastureBeef_Methane_Equations.VEERG_4_2_1_1__3_VolatileSolidProductionFromGrazingBeef(Z83,Z122,$I$110)</f>
        <v>1.1212816946670003</v>
      </c>
      <c r="AA138" s="25" cm="1">
        <f t="array" aca="1" ref="AA138" ca="1">MMS_PastureBeef_Methane_Equations.VEERG_4_2_1_1__3_VolatileSolidProductionFromGrazingBeef(AA83,AA122,$I$110)</f>
        <v>1.5815404507978805</v>
      </c>
      <c r="AB138" s="25" cm="1">
        <f t="array" aca="1" ref="AB138" ca="1">MMS_PastureBeef_Methane_Equations.VEERG_4_2_1_1__3_VolatileSolidProductionFromGrazingBeef(AB83,AB122,$I$110)</f>
        <v>2.1216852725066797</v>
      </c>
      <c r="AC138" s="25" cm="1">
        <f t="array" aca="1" ref="AC138" ca="1">MMS_PastureBeef_Methane_Equations.VEERG_4_2_1_1__3_VolatileSolidProductionFromGrazingBeef(AC83,AC122,$I$110)</f>
        <v>2.1216852725066797</v>
      </c>
      <c r="AD138" s="25" cm="1">
        <f t="array" aca="1" ref="AD138" ca="1">MMS_PastureBeef_Methane_Equations.VEERG_4_2_1_1__3_VolatileSolidProductionFromGrazingBeef(AD83,AD122,$I$110)</f>
        <v>1.2038731355098797</v>
      </c>
      <c r="AE138" s="25" cm="1">
        <f t="array" aca="1" ref="AE138" ca="1">MMS_PastureBeef_Methane_Equations.VEERG_4_2_1_1__3_VolatileSolidProductionFromGrazingBeef(AE83,AE122,$I$110)</f>
        <v>1.8328761618508798</v>
      </c>
      <c r="AF138" s="25" cm="1">
        <f t="array" aca="1" ref="AF138" ca="1">MMS_PastureBeef_Methane_Equations.VEERG_4_2_1_1__3_VolatileSolidProductionFromGrazingBeef(AF83,AF122,$I$110)</f>
        <v>1.8328761618508798</v>
      </c>
      <c r="AG138" s="25" cm="1">
        <f t="array" aca="1" ref="AG138" ca="1">MMS_PastureBeef_Methane_Equations.VEERG_4_2_1_1__3_VolatileSolidProductionFromGrazingBeef(AG83,AG122,$I$110)</f>
        <v>1.8328761618508798</v>
      </c>
      <c r="AH138" s="26" t="str">
        <f t="shared" si="3"/>
        <v>kg/head/day</v>
      </c>
      <c r="AI138" s="26"/>
      <c r="AJ138" s="26"/>
    </row>
    <row r="139" spans="4:36" ht="20.100000000000001" customHeight="1" x14ac:dyDescent="0.25">
      <c r="W139" s="25" t="str">
        <f t="shared" si="5"/>
        <v>September 2025</v>
      </c>
      <c r="X139" s="25" cm="1">
        <f t="array" aca="1" ref="X139" ca="1">MMS_PastureBeef_Methane_Equations.VEERG_4_2_1_1__3_VolatileSolidProductionFromGrazingBeef(X84,X123,$I$110)</f>
        <v>1.9145357642956797</v>
      </c>
      <c r="Y139" s="25" cm="1">
        <f t="array" aca="1" ref="Y139" ca="1">MMS_PastureBeef_Methane_Equations.VEERG_4_2_1_1__3_VolatileSolidProductionFromGrazingBeef(Y84,Y123,$I$110)</f>
        <v>2.7040272552000002</v>
      </c>
      <c r="Z139" s="25" cm="1">
        <f t="array" aca="1" ref="Z139" ca="1">MMS_PastureBeef_Methane_Equations.VEERG_4_2_1_1__3_VolatileSolidProductionFromGrazingBeef(Z84,Z123,$I$110)</f>
        <v>1.45925863828128</v>
      </c>
      <c r="AA139" s="25" cm="1">
        <f t="array" aca="1" ref="AA139" ca="1">MMS_PastureBeef_Methane_Equations.VEERG_4_2_1_1__3_VolatileSolidProductionFromGrazingBeef(AA84,AA123,$I$110)</f>
        <v>1.9150169251420801</v>
      </c>
      <c r="AB139" s="25" cm="1">
        <f t="array" aca="1" ref="AB139" ca="1">MMS_PastureBeef_Methane_Equations.VEERG_4_2_1_1__3_VolatileSolidProductionFromGrazingBeef(AB84,AB123,$I$110)</f>
        <v>2.126545016448</v>
      </c>
      <c r="AC139" s="25" cm="1">
        <f t="array" aca="1" ref="AC139" ca="1">MMS_PastureBeef_Methane_Equations.VEERG_4_2_1_1__3_VolatileSolidProductionFromGrazingBeef(AC84,AC123,$I$110)</f>
        <v>2.126545016448</v>
      </c>
      <c r="AD139" s="25" cm="1">
        <f t="array" aca="1" ref="AD139" ca="1">MMS_PastureBeef_Methane_Equations.VEERG_4_2_1_1__3_VolatileSolidProductionFromGrazingBeef(AD84,AD123,$I$110)</f>
        <v>1.6823317446719992</v>
      </c>
      <c r="AE139" s="25" cm="1">
        <f t="array" aca="1" ref="AE139" ca="1">MMS_PastureBeef_Methane_Equations.VEERG_4_2_1_1__3_VolatileSolidProductionFromGrazingBeef(AE84,AE123,$I$110)</f>
        <v>2.1378800925964794</v>
      </c>
      <c r="AF139" s="25" cm="1">
        <f t="array" aca="1" ref="AF139" ca="1">MMS_PastureBeef_Methane_Equations.VEERG_4_2_1_1__3_VolatileSolidProductionFromGrazingBeef(AF84,AF123,$I$110)</f>
        <v>2.1378800925964794</v>
      </c>
      <c r="AG139" s="25" cm="1">
        <f t="array" aca="1" ref="AG139" ca="1">MMS_PastureBeef_Methane_Equations.VEERG_4_2_1_1__3_VolatileSolidProductionFromGrazingBeef(AG84,AG123,$I$110)</f>
        <v>2.1378800925964794</v>
      </c>
      <c r="AH139" s="26" t="str">
        <f t="shared" si="3"/>
        <v>kg/head/day</v>
      </c>
      <c r="AI139" s="26"/>
      <c r="AJ139" s="26"/>
    </row>
    <row r="140" spans="4:36" ht="20.100000000000001" customHeight="1" x14ac:dyDescent="0.25">
      <c r="W140" s="25" t="str">
        <f t="shared" si="5"/>
        <v>October 2025</v>
      </c>
      <c r="X140" s="25" cm="1">
        <f t="array" aca="1" ref="X140" ca="1">MMS_PastureBeef_Methane_Equations.VEERG_4_2_1_1__3_VolatileSolidProductionFromGrazingBeef(X85,X124,$I$110)</f>
        <v>1.9145357642956797</v>
      </c>
      <c r="Y140" s="25" cm="1">
        <f t="array" aca="1" ref="Y140" ca="1">MMS_PastureBeef_Methane_Equations.VEERG_4_2_1_1__3_VolatileSolidProductionFromGrazingBeef(Y85,Y124,$I$110)</f>
        <v>2.7040272552000002</v>
      </c>
      <c r="Z140" s="25" cm="1">
        <f t="array" aca="1" ref="Z140" ca="1">MMS_PastureBeef_Methane_Equations.VEERG_4_2_1_1__3_VolatileSolidProductionFromGrazingBeef(Z85,Z124,$I$110)</f>
        <v>1.45925863828128</v>
      </c>
      <c r="AA140" s="25" cm="1">
        <f t="array" aca="1" ref="AA140" ca="1">MMS_PastureBeef_Methane_Equations.VEERG_4_2_1_1__3_VolatileSolidProductionFromGrazingBeef(AA85,AA124,$I$110)</f>
        <v>1.9150169251420801</v>
      </c>
      <c r="AB140" s="25" cm="1">
        <f t="array" aca="1" ref="AB140" ca="1">MMS_PastureBeef_Methane_Equations.VEERG_4_2_1_1__3_VolatileSolidProductionFromGrazingBeef(AB85,AB124,$I$110)</f>
        <v>2.126545016448</v>
      </c>
      <c r="AC140" s="25" cm="1">
        <f t="array" aca="1" ref="AC140" ca="1">MMS_PastureBeef_Methane_Equations.VEERG_4_2_1_1__3_VolatileSolidProductionFromGrazingBeef(AC85,AC124,$I$110)</f>
        <v>2.126545016448</v>
      </c>
      <c r="AD140" s="25" cm="1">
        <f t="array" aca="1" ref="AD140" ca="1">MMS_PastureBeef_Methane_Equations.VEERG_4_2_1_1__3_VolatileSolidProductionFromGrazingBeef(AD85,AD124,$I$110)</f>
        <v>1.6823317446719992</v>
      </c>
      <c r="AE140" s="25" cm="1">
        <f t="array" aca="1" ref="AE140" ca="1">MMS_PastureBeef_Methane_Equations.VEERG_4_2_1_1__3_VolatileSolidProductionFromGrazingBeef(AE85,AE124,$I$110)</f>
        <v>2.1378800925964794</v>
      </c>
      <c r="AF140" s="25" cm="1">
        <f t="array" aca="1" ref="AF140" ca="1">MMS_PastureBeef_Methane_Equations.VEERG_4_2_1_1__3_VolatileSolidProductionFromGrazingBeef(AF85,AF124,$I$110)</f>
        <v>2.1378800925964794</v>
      </c>
      <c r="AG140" s="25" cm="1">
        <f t="array" aca="1" ref="AG140" ca="1">MMS_PastureBeef_Methane_Equations.VEERG_4_2_1_1__3_VolatileSolidProductionFromGrazingBeef(AG85,AG124,$I$110)</f>
        <v>2.1378800925964794</v>
      </c>
      <c r="AH140" s="26" t="str">
        <f t="shared" si="3"/>
        <v>kg/head/day</v>
      </c>
      <c r="AI140" s="26"/>
      <c r="AJ140" s="26"/>
    </row>
    <row r="141" spans="4:36" ht="20.100000000000001" customHeight="1" x14ac:dyDescent="0.25">
      <c r="W141" s="25" t="str">
        <f t="shared" si="5"/>
        <v>November 2025</v>
      </c>
      <c r="X141" s="25" cm="1">
        <f t="array" aca="1" ref="X141" ca="1">MMS_PastureBeef_Methane_Equations.VEERG_4_2_1_1__3_VolatileSolidProductionFromGrazingBeef(X86,X125,$I$110)</f>
        <v>1.9145357642956797</v>
      </c>
      <c r="Y141" s="25" cm="1">
        <f t="array" aca="1" ref="Y141" ca="1">MMS_PastureBeef_Methane_Equations.VEERG_4_2_1_1__3_VolatileSolidProductionFromGrazingBeef(Y86,Y125,$I$110)</f>
        <v>2.7040272552000002</v>
      </c>
      <c r="Z141" s="25" cm="1">
        <f t="array" aca="1" ref="Z141" ca="1">MMS_PastureBeef_Methane_Equations.VEERG_4_2_1_1__3_VolatileSolidProductionFromGrazingBeef(Z86,Z125,$I$110)</f>
        <v>1.45925863828128</v>
      </c>
      <c r="AA141" s="25" cm="1">
        <f t="array" aca="1" ref="AA141" ca="1">MMS_PastureBeef_Methane_Equations.VEERG_4_2_1_1__3_VolatileSolidProductionFromGrazingBeef(AA86,AA125,$I$110)</f>
        <v>1.9150169251420801</v>
      </c>
      <c r="AB141" s="25" cm="1">
        <f t="array" aca="1" ref="AB141" ca="1">MMS_PastureBeef_Methane_Equations.VEERG_4_2_1_1__3_VolatileSolidProductionFromGrazingBeef(AB86,AB125,$I$110)</f>
        <v>2.126545016448</v>
      </c>
      <c r="AC141" s="25" cm="1">
        <f t="array" aca="1" ref="AC141" ca="1">MMS_PastureBeef_Methane_Equations.VEERG_4_2_1_1__3_VolatileSolidProductionFromGrazingBeef(AC86,AC125,$I$110)</f>
        <v>2.126545016448</v>
      </c>
      <c r="AD141" s="25" cm="1">
        <f t="array" aca="1" ref="AD141" ca="1">MMS_PastureBeef_Methane_Equations.VEERG_4_2_1_1__3_VolatileSolidProductionFromGrazingBeef(AD86,AD125,$I$110)</f>
        <v>1.6823317446719992</v>
      </c>
      <c r="AE141" s="25" cm="1">
        <f t="array" aca="1" ref="AE141" ca="1">MMS_PastureBeef_Methane_Equations.VEERG_4_2_1_1__3_VolatileSolidProductionFromGrazingBeef(AE86,AE125,$I$110)</f>
        <v>2.1378800925964794</v>
      </c>
      <c r="AF141" s="25" cm="1">
        <f t="array" aca="1" ref="AF141" ca="1">MMS_PastureBeef_Methane_Equations.VEERG_4_2_1_1__3_VolatileSolidProductionFromGrazingBeef(AF86,AF125,$I$110)</f>
        <v>2.1378800925964794</v>
      </c>
      <c r="AG141" s="25" cm="1">
        <f t="array" aca="1" ref="AG141" ca="1">MMS_PastureBeef_Methane_Equations.VEERG_4_2_1_1__3_VolatileSolidProductionFromGrazingBeef(AG86,AG125,$I$110)</f>
        <v>2.1378800925964794</v>
      </c>
      <c r="AH141" s="26" t="str">
        <f t="shared" si="3"/>
        <v>kg/head/day</v>
      </c>
      <c r="AI141" s="26"/>
      <c r="AJ141" s="26"/>
    </row>
    <row r="142" spans="4:36" ht="20.100000000000001" customHeight="1" x14ac:dyDescent="0.25">
      <c r="W142" s="25" t="str">
        <f t="shared" si="5"/>
        <v>December 2025</v>
      </c>
      <c r="X142" s="25" cm="1">
        <f t="array" aca="1" ref="X142" ca="1">MMS_PastureBeef_Methane_Equations.VEERG_4_2_1_1__3_VolatileSolidProductionFromGrazingBeef(X87,X126,$I$110)</f>
        <v>3.0245484814387189</v>
      </c>
      <c r="Y142" s="25" cm="1">
        <f t="array" aca="1" ref="Y142" ca="1">MMS_PastureBeef_Methane_Equations.VEERG_4_2_1_1__3_VolatileSolidProductionFromGrazingBeef(Y87,Y126,$I$110)</f>
        <v>4.0017766623235218</v>
      </c>
      <c r="Z142" s="25" cm="1">
        <f t="array" aca="1" ref="Z142" ca="1">MMS_PastureBeef_Methane_Equations.VEERG_4_2_1_1__3_VolatileSolidProductionFromGrazingBeef(Z87,Z126,$I$110)</f>
        <v>2.5435769713919996</v>
      </c>
      <c r="AA142" s="25" cm="1">
        <f t="array" aca="1" ref="AA142" ca="1">MMS_PastureBeef_Methane_Equations.VEERG_4_2_1_1__3_VolatileSolidProductionFromGrazingBeef(AA87,AA126,$I$110)</f>
        <v>3.3308166340980003</v>
      </c>
      <c r="AB142" s="25" cm="1">
        <f t="array" aca="1" ref="AB142" ca="1">MMS_PastureBeef_Methane_Equations.VEERG_4_2_1_1__3_VolatileSolidProductionFromGrazingBeef(AB87,AB126,$I$110)</f>
        <v>3.2979160212595193</v>
      </c>
      <c r="AC142" s="25" cm="1">
        <f t="array" aca="1" ref="AC142" ca="1">MMS_PastureBeef_Methane_Equations.VEERG_4_2_1_1__3_VolatileSolidProductionFromGrazingBeef(AC87,AC126,$I$110)</f>
        <v>3.2979160212595193</v>
      </c>
      <c r="AD142" s="25" cm="1">
        <f t="array" aca="1" ref="AD142" ca="1">MMS_PastureBeef_Methane_Equations.VEERG_4_2_1_1__3_VolatileSolidProductionFromGrazingBeef(AD87,AD126,$I$110)</f>
        <v>2.7878896244787201</v>
      </c>
      <c r="AE142" s="25" cm="1">
        <f t="array" aca="1" ref="AE142" ca="1">MMS_PastureBeef_Methane_Equations.VEERG_4_2_1_1__3_VolatileSolidProductionFromGrazingBeef(AE87,AE126,$I$110)</f>
        <v>3.1075873239175205</v>
      </c>
      <c r="AF142" s="25" cm="1">
        <f t="array" aca="1" ref="AF142" ca="1">MMS_PastureBeef_Methane_Equations.VEERG_4_2_1_1__3_VolatileSolidProductionFromGrazingBeef(AF87,AF126,$I$110)</f>
        <v>3.1075873239175205</v>
      </c>
      <c r="AG142" s="25" cm="1">
        <f t="array" aca="1" ref="AG142" ca="1">MMS_PastureBeef_Methane_Equations.VEERG_4_2_1_1__3_VolatileSolidProductionFromGrazingBeef(AG87,AG126,$I$110)</f>
        <v>3.1075873239175205</v>
      </c>
      <c r="AH142" s="26" t="str">
        <f t="shared" si="3"/>
        <v>kg/head/day</v>
      </c>
      <c r="AI142" s="26"/>
      <c r="AJ142" s="26"/>
    </row>
    <row r="143" spans="4:36" ht="20.100000000000001" customHeight="1" x14ac:dyDescent="0.25"/>
    <row r="144" spans="4:36" ht="20.100000000000001" customHeight="1" x14ac:dyDescent="0.25"/>
    <row r="145" spans="3:37" ht="20.100000000000001" customHeight="1" x14ac:dyDescent="0.25">
      <c r="C145" s="118"/>
      <c r="D145" s="118"/>
      <c r="E145" s="118"/>
      <c r="F145" s="118"/>
      <c r="G145" s="118"/>
      <c r="H145" s="118"/>
      <c r="I145" s="118"/>
      <c r="J145" s="118"/>
      <c r="K145" s="118"/>
      <c r="L145" s="118"/>
      <c r="M145" s="118"/>
      <c r="N145" s="118"/>
      <c r="O145" s="118"/>
      <c r="P145" s="118"/>
      <c r="Q145" s="118"/>
      <c r="R145" s="118"/>
      <c r="S145" s="118"/>
      <c r="T145" s="118"/>
      <c r="V145" s="118"/>
      <c r="W145" s="118"/>
      <c r="X145" s="118"/>
      <c r="Y145" s="118"/>
      <c r="Z145" s="118"/>
      <c r="AA145" s="118"/>
      <c r="AB145" s="118"/>
      <c r="AC145" s="118"/>
      <c r="AD145" s="118"/>
      <c r="AE145" s="118"/>
      <c r="AF145" s="118"/>
      <c r="AG145" s="118"/>
      <c r="AH145" s="118"/>
      <c r="AI145" s="118"/>
      <c r="AJ145" s="118"/>
      <c r="AK145" s="118"/>
    </row>
    <row r="146" spans="3:37" ht="20.100000000000001" customHeight="1" x14ac:dyDescent="0.25">
      <c r="D146" s="2" t="str" cm="1">
        <f t="array" ref="D146">MMS_PastureBeef_Methane_Equations.VEERG_4_2_1_1__2_MethaneProductionFromManure_Title()</f>
        <v>Methane production from the manure of grazing beef cattle</v>
      </c>
    </row>
    <row r="147" spans="3:37" ht="20.100000000000001" customHeight="1" x14ac:dyDescent="0.25">
      <c r="D147" s="27" t="str" cm="1">
        <f t="array" ref="D147">MMS_PastureBeef_Methane_Equations.VEERG_4_2_1_1__2_MethaneProductionFromManure_Source()</f>
        <v>VEERG 2026: 4.2.1.1, Equation (2)</v>
      </c>
    </row>
    <row r="148" spans="3:37" ht="20.100000000000001" customHeight="1" x14ac:dyDescent="0.25">
      <c r="D148" s="105" t="s">
        <v>261</v>
      </c>
      <c r="E148" s="105" t="str" cm="1">
        <f t="array" aca="1" ref="E148" ca="1">Common_InputFunctions.Utility_DisplayFunctionName($F$177)</f>
        <v>=MMS_PastureBeef_Methane_Equations.VEERG_4_2_1_1__2_MethaneProductionFromManure</v>
      </c>
    </row>
    <row r="149" spans="3:37" ht="20.100000000000001" customHeight="1" x14ac:dyDescent="0.25"/>
    <row r="150" spans="3:37" ht="20.100000000000001" customHeight="1" x14ac:dyDescent="0.25"/>
    <row r="151" spans="3:37" ht="20.100000000000001" customHeight="1" x14ac:dyDescent="0.25">
      <c r="D151" s="88" t="s">
        <v>263</v>
      </c>
      <c r="E151" s="1" t="str" cm="1">
        <f t="array" ref="E151">MMS_PastureBeef_Methane_Equations.VEERG_4_2_1_1__2_MethaneProductionFromManure_Variable()</f>
        <v>M_jklm</v>
      </c>
    </row>
    <row r="152" spans="3:37" ht="20.100000000000001" customHeight="1" x14ac:dyDescent="0.25">
      <c r="D152" s="88" t="s">
        <v>130</v>
      </c>
      <c r="E152" s="15" t="str" cm="1">
        <f t="array" ref="E152">MMS_PastureBeef_Methane_Equations.VEERG_4_2_1_1__2_MethaneProductionFromManure_Unit()</f>
        <v>kg CH4/head/day</v>
      </c>
    </row>
    <row r="153" spans="3:37" ht="20.100000000000001" customHeight="1" x14ac:dyDescent="0.25"/>
    <row r="154" spans="3:37" ht="20.100000000000001" customHeight="1" x14ac:dyDescent="0.25">
      <c r="D154" s="107" t="str" cm="1">
        <f t="array" ref="D154:E160">_xlfn.CHOOSECOLS(MMS_PastureBeef_Methane_Equations.VEERG_4_2_1_1__2_MethaneProductionFromManure_Arguments(), 1, 2)</f>
        <v>VS_jkl</v>
      </c>
      <c r="E154" s="108" t="str">
        <v>volatile solid production</v>
      </c>
      <c r="F154" s="110"/>
      <c r="G154" s="107" t="str" cm="1">
        <f t="array" ref="G154:H160">_xlfn.CHOOSECOLS(MMS_PastureBeef_Methane_Equations.VEERG_4_2_1_1__2_MethaneProductionFromManure_Arguments(), 3,4)</f>
        <v>kg/day</v>
      </c>
      <c r="H154" s="112" t="str">
        <v>Calculated from 4.2.1.1 (3)</v>
      </c>
      <c r="I154" s="113" t="str" cm="1">
        <f t="array" aca="1" ref="I154" ca="1">HYPERLINK(Common_InputFunctions.Utility_SourceHyperlink($D$128), $D$128)</f>
        <v>M1_Table_VS_j_k_l</v>
      </c>
      <c r="W154" s="107" t="str" cm="1">
        <f t="array" ref="W154:X159">_xlfn.CHOOSECOLS(MMS_PastureBeef_Methane_Equations.VEERG_4_2_1_1__2_MethaneProductionFromManure_Arguments_Method2(), 1, 2)</f>
        <v>VS_jkl</v>
      </c>
      <c r="X154" s="108" t="str">
        <v>volatile solid production</v>
      </c>
      <c r="Y154" s="110"/>
      <c r="Z154" s="107" t="str" cm="1">
        <f t="array" ref="Z154:AA159">_xlfn.CHOOSECOLS(MMS_PastureBeef_Methane_Equations.VEERG_4_2_1_1__2_MethaneProductionFromManure_Arguments_Method2(), 3,4)</f>
        <v>kg/day</v>
      </c>
      <c r="AA154" s="112" t="str">
        <v>Calculated from 4.2.1.1 (3)</v>
      </c>
      <c r="AB154" s="113"/>
    </row>
    <row r="155" spans="3:37" ht="20.100000000000001" customHeight="1" x14ac:dyDescent="0.25">
      <c r="D155" s="107" t="str">
        <v>B_o</v>
      </c>
      <c r="E155" s="108" t="str">
        <v>emissions potential</v>
      </c>
      <c r="F155" s="110"/>
      <c r="G155" s="107" t="str">
        <v>m3 CH4/kg VS</v>
      </c>
      <c r="H155" s="112" t="str">
        <v>Constant</v>
      </c>
      <c r="I155" s="107">
        <f>'Constants - Pasture Beef'!$D$428</f>
        <v>0.19</v>
      </c>
      <c r="W155" s="107" t="str">
        <v>B_o</v>
      </c>
      <c r="X155" s="108" t="str">
        <v>emissions potential</v>
      </c>
      <c r="Y155" s="110"/>
      <c r="Z155" s="107" t="str">
        <v>m3 CH4/kg VS</v>
      </c>
      <c r="AA155" s="112" t="str">
        <v>Constant</v>
      </c>
      <c r="AB155" s="107"/>
    </row>
    <row r="156" spans="3:37" ht="20.100000000000001" customHeight="1" x14ac:dyDescent="0.25">
      <c r="D156" s="107" t="str">
        <v>MMS_m</v>
      </c>
      <c r="E156" s="108" t="str">
        <v>fraction of waste in each manure management system</v>
      </c>
      <c r="F156" s="110"/>
      <c r="G156" s="107" t="str">
        <v>fraction</v>
      </c>
      <c r="H156" s="111" t="str">
        <v>Input</v>
      </c>
      <c r="I156" s="113" t="str" cm="1">
        <f t="array" aca="1" ref="I156" ca="1">HYPERLINK(Common_InputFunctions.Utility_SourceHyperlink($D$162), $D$162)</f>
        <v>Table_MMS_m</v>
      </c>
      <c r="W156" s="107" t="str">
        <v>MMS_m</v>
      </c>
      <c r="X156" s="108" t="str">
        <v>fraction of waste in each manure management system</v>
      </c>
      <c r="Y156" s="110"/>
      <c r="Z156" s="107" t="str">
        <v>fraction</v>
      </c>
      <c r="AA156" s="111" t="str">
        <v>Input</v>
      </c>
      <c r="AB156" s="113"/>
    </row>
    <row r="157" spans="3:37" ht="20.100000000000001" customHeight="1" x14ac:dyDescent="0.25">
      <c r="D157" s="107" t="str">
        <v>MCF_im</v>
      </c>
      <c r="E157" s="108" t="str">
        <v>methane conversion factor for temperature zone and MMS</v>
      </c>
      <c r="F157" s="110"/>
      <c r="G157" s="107" t="str">
        <v>fraction</v>
      </c>
      <c r="H157" s="112" t="str">
        <v>Constant</v>
      </c>
      <c r="I157" s="113" t="str" cm="1">
        <f t="array" aca="1" ref="I157" ca="1">HYPERLINK(Common_InputFunctions.Utility_SourceHyperlink($D$168), $D$168)</f>
        <v>M1_Table_MCF_i_m</v>
      </c>
      <c r="W157" s="107" t="str">
        <v>MCF_im</v>
      </c>
      <c r="X157" s="108" t="str">
        <v>methane conversion factor for temperature zone and MMS</v>
      </c>
      <c r="Y157" s="110"/>
      <c r="Z157" s="107" t="str">
        <v>fraction</v>
      </c>
      <c r="AA157" s="112" t="str">
        <v>Constant</v>
      </c>
      <c r="AB157" s="113"/>
    </row>
    <row r="158" spans="3:37" ht="20.100000000000001" customHeight="1" x14ac:dyDescent="0.25">
      <c r="D158" s="107" t="str">
        <v>rho</v>
      </c>
      <c r="E158" s="108" t="str">
        <v>density of methane</v>
      </c>
      <c r="F158" s="110"/>
      <c r="G158" s="107" t="str">
        <v>kg/m3</v>
      </c>
      <c r="H158" s="112" t="str">
        <v>Constant</v>
      </c>
      <c r="I158" s="107">
        <f>'Constants - Common'!$D$175</f>
        <v>0.6784</v>
      </c>
      <c r="W158" s="107" t="str">
        <v>rho</v>
      </c>
      <c r="X158" s="108" t="str">
        <v>density of methane</v>
      </c>
      <c r="Y158" s="110"/>
      <c r="Z158" s="107" t="str">
        <v>kg/m3</v>
      </c>
      <c r="AA158" s="112" t="str">
        <v>Constant</v>
      </c>
      <c r="AB158" s="107"/>
    </row>
    <row r="159" spans="3:37" ht="20.100000000000001" customHeight="1" x14ac:dyDescent="0.25">
      <c r="D159" s="107" t="str">
        <v>i</v>
      </c>
      <c r="E159" s="108" t="str">
        <v>state</v>
      </c>
      <c r="F159" s="110"/>
      <c r="G159" s="107" t="str">
        <v/>
      </c>
      <c r="H159" s="111" t="str">
        <v>Input</v>
      </c>
      <c r="I159" s="107" t="str">
        <f>X_Cell_Site_State</f>
        <v>Western Australia</v>
      </c>
      <c r="W159" s="107" t="str">
        <v>MAT</v>
      </c>
      <c r="X159" s="108" t="str">
        <v>Mean annual temperature</v>
      </c>
      <c r="Y159" s="110"/>
      <c r="Z159" s="107" t="str">
        <v>°C</v>
      </c>
      <c r="AA159" s="111" t="str">
        <v>Input</v>
      </c>
      <c r="AB159" s="107">
        <f>X_Cell_Site_AverageTemperature</f>
        <v>18</v>
      </c>
    </row>
    <row r="160" spans="3:37" ht="20.100000000000001" customHeight="1" x14ac:dyDescent="0.25">
      <c r="D160" s="107" t="str">
        <v>i</v>
      </c>
      <c r="E160" s="108" t="str">
        <v>region</v>
      </c>
      <c r="F160" s="110"/>
      <c r="G160" s="107" t="str">
        <v/>
      </c>
      <c r="H160" s="111" t="str">
        <v>Input</v>
      </c>
      <c r="I160" s="107" t="str">
        <f>X_Cell_PastureBeef_ProductionRegion</f>
        <v>South West</v>
      </c>
    </row>
    <row r="161" spans="4:34" ht="20.100000000000001" customHeight="1" x14ac:dyDescent="0.25"/>
    <row r="162" spans="4:34" ht="20.100000000000001" customHeight="1" x14ac:dyDescent="0.25">
      <c r="D162" s="114" t="s">
        <v>404</v>
      </c>
    </row>
    <row r="163" spans="4:34" ht="20.100000000000001" customHeight="1" x14ac:dyDescent="0.25">
      <c r="D163" s="115" t="s">
        <v>405</v>
      </c>
    </row>
    <row r="164" spans="4:34" ht="20.100000000000001" customHeight="1" x14ac:dyDescent="0.25">
      <c r="D164" s="116" t="s">
        <v>406</v>
      </c>
      <c r="E164" s="117" t="s">
        <v>407</v>
      </c>
      <c r="F164" s="26" t="s">
        <v>233</v>
      </c>
    </row>
    <row r="165" spans="4:34" ht="20.100000000000001" customHeight="1" x14ac:dyDescent="0.25">
      <c r="D165" s="25" t="str">
        <f>'Input - Pasture Beef'!$D$180</f>
        <v>Pasture range and paddock</v>
      </c>
      <c r="E165" s="25">
        <f>'Input - Pasture Beef'!$E$180</f>
        <v>0.99621999999999999</v>
      </c>
      <c r="F165" s="26" t="s">
        <v>233</v>
      </c>
    </row>
    <row r="166" spans="4:34" ht="20.100000000000001" customHeight="1" x14ac:dyDescent="0.25">
      <c r="D166" s="25" t="str">
        <f>'Input - Pasture Beef'!$D$181</f>
        <v>Anaerobic lagoon</v>
      </c>
      <c r="E166" s="25">
        <f>'Input - Pasture Beef'!$E$181</f>
        <v>3.7799999999999999E-3</v>
      </c>
    </row>
    <row r="167" spans="4:34" ht="20.100000000000001" customHeight="1" x14ac:dyDescent="0.25"/>
    <row r="168" spans="4:34" ht="20.100000000000001" customHeight="1" x14ac:dyDescent="0.25">
      <c r="D168" s="114" t="s">
        <v>408</v>
      </c>
      <c r="W168" s="114" t="s">
        <v>409</v>
      </c>
    </row>
    <row r="169" spans="4:34" ht="20.100000000000001" customHeight="1" x14ac:dyDescent="0.25">
      <c r="D169" s="115" t="s">
        <v>410</v>
      </c>
      <c r="W169" s="115" t="s">
        <v>411</v>
      </c>
    </row>
    <row r="170" spans="4:34" ht="20.100000000000001" customHeight="1" x14ac:dyDescent="0.25">
      <c r="D170" s="116" t="s">
        <v>406</v>
      </c>
      <c r="E170" s="116" t="s">
        <v>412</v>
      </c>
      <c r="W170" s="116" t="s">
        <v>406</v>
      </c>
      <c r="X170" s="116" t="s">
        <v>412</v>
      </c>
    </row>
    <row r="171" spans="4:34" ht="20.100000000000001" customHeight="1" x14ac:dyDescent="0.25">
      <c r="D171" s="25" t="str">
        <f>'Input - Pasture Beef'!$D$180</f>
        <v>Pasture range and paddock</v>
      </c>
      <c r="E171" s="25">
        <f>Common_InputFunctions.Utility_LookupValueInTableTwoColumns(Common_InputFunctions.Utility_ConvertStateCommonNameToAbbreviation($I$159, Table_AustralianStates[Common Name],Table_AustralianStates[Abbreviation]),$I$160,Table_SourceData_PastureBeef_MethaneConversionFactor[State],Table_SourceData_PastureBeef_MethaneConversionFactor[Region],Table_SourceData_PastureBeef_MethaneConversionFactor[Pasture range and paddock])</f>
        <v>4.7000000000000002E-3</v>
      </c>
      <c r="W171" s="25" t="str">
        <f>'Input - Pasture Beef'!$D$180</f>
        <v>Pasture range and paddock</v>
      </c>
      <c r="X171" s="25">
        <f>Common_InputFunctions.Common_GetMCFTemperatureZone($AB$159, W171,Table_SourceData_Common_MCFTemperatureZone[MAT raw],Table_SourceData_Common_MCFTemperatureZone[#Headers],Table_SourceData_Common_MCFTemperatureZone[#Data])</f>
        <v>4.7000000000000002E-3</v>
      </c>
    </row>
    <row r="172" spans="4:34" ht="20.100000000000001" customHeight="1" x14ac:dyDescent="0.25">
      <c r="D172" s="25" t="str">
        <f>'Input - Pasture Beef'!$D$181</f>
        <v>Anaerobic lagoon</v>
      </c>
      <c r="E172" s="25">
        <f>Common_InputFunctions.Utility_LookupValueInTableTwoColumns(Common_InputFunctions.Utility_ConvertStateCommonNameToAbbreviation($I$159, Table_AustralianStates[Common Name],Table_AustralianStates[Abbreviation]),$I$160,Table_SourceData_PastureBeef_MethaneConversionFactor[State],Table_SourceData_PastureBeef_MethaneConversionFactor[Region],Table_SourceData_PastureBeef_MethaneConversionFactor[Uncovered Anaerobic lagoon])</f>
        <v>0.76</v>
      </c>
      <c r="W172" s="25" t="str">
        <f>'Input - Pasture Beef'!$D$181</f>
        <v>Anaerobic lagoon</v>
      </c>
      <c r="X172" s="25">
        <f>Common_InputFunctions.Common_GetMCFTemperatureZone($AB$159, W172,Table_SourceData_Common_MCFTemperatureZone[MAT raw],Table_SourceData_Common_MCFTemperatureZone[#Headers],Table_SourceData_Common_MCFTemperatureZone[#Data])</f>
        <v>0.77</v>
      </c>
    </row>
    <row r="173" spans="4:34" ht="20.100000000000001" customHeight="1" x14ac:dyDescent="0.25"/>
    <row r="174" spans="4:34" ht="20.100000000000001" customHeight="1" x14ac:dyDescent="0.25">
      <c r="D174" s="114" t="s">
        <v>413</v>
      </c>
      <c r="W174" s="114" t="s">
        <v>414</v>
      </c>
    </row>
    <row r="175" spans="4:34" ht="20.100000000000001" customHeight="1" x14ac:dyDescent="0.25">
      <c r="D175" s="115" t="s">
        <v>415</v>
      </c>
      <c r="W175" s="115" t="s">
        <v>416</v>
      </c>
    </row>
    <row r="176" spans="4:34" ht="20.100000000000001" customHeight="1" x14ac:dyDescent="0.25">
      <c r="D176" s="116" t="s">
        <v>406</v>
      </c>
      <c r="E176" s="116" t="s">
        <v>78</v>
      </c>
      <c r="F176" s="116" t="s">
        <v>193</v>
      </c>
      <c r="G176" s="116" t="s">
        <v>194</v>
      </c>
      <c r="H176" s="116" t="s">
        <v>195</v>
      </c>
      <c r="I176" s="116" t="s">
        <v>196</v>
      </c>
      <c r="J176" s="116" t="s">
        <v>197</v>
      </c>
      <c r="K176" s="116" t="s">
        <v>198</v>
      </c>
      <c r="L176" s="116" t="s">
        <v>199</v>
      </c>
      <c r="M176" s="116" t="s">
        <v>200</v>
      </c>
      <c r="N176" s="116" t="s">
        <v>201</v>
      </c>
      <c r="O176" s="116" t="s">
        <v>202</v>
      </c>
      <c r="W176" s="116" t="s">
        <v>406</v>
      </c>
      <c r="X176" s="116" t="s">
        <v>77</v>
      </c>
      <c r="Y176" s="116" t="s">
        <v>193</v>
      </c>
      <c r="Z176" s="116" t="s">
        <v>194</v>
      </c>
      <c r="AA176" s="116" t="s">
        <v>195</v>
      </c>
      <c r="AB176" s="116" t="s">
        <v>196</v>
      </c>
      <c r="AC176" s="116" t="s">
        <v>197</v>
      </c>
      <c r="AD176" s="116" t="s">
        <v>198</v>
      </c>
      <c r="AE176" s="116" t="s">
        <v>199</v>
      </c>
      <c r="AF176" s="116" t="s">
        <v>200</v>
      </c>
      <c r="AG176" s="116" t="s">
        <v>201</v>
      </c>
      <c r="AH176" s="116" t="s">
        <v>202</v>
      </c>
    </row>
    <row r="177" spans="4:36" ht="20.100000000000001" customHeight="1" x14ac:dyDescent="0.25">
      <c r="D177" s="25" t="str">
        <f>'Input - Pasture Beef'!$D$180</f>
        <v>Pasture range and paddock</v>
      </c>
      <c r="E177" s="25" t="s">
        <v>203</v>
      </c>
      <c r="F177" s="25" cm="1">
        <f t="array" aca="1" ref="F177" ca="1">MMS_PastureBeef_Methane_Equations.VEERG_4_2_1_1__2_MethaneProductionFromManure(E131,$I$155,$E$165,$E$171,$I$158)</f>
        <v>1.1554629863615776E-3</v>
      </c>
      <c r="G177" s="25" cm="1">
        <f t="array" aca="1" ref="G177" ca="1">MMS_PastureBeef_Methane_Equations.VEERG_4_2_1_1__2_MethaneProductionFromManure(F131,$I$155,$E$165,$E$171,$I$158)</f>
        <v>1.6319378649193843E-3</v>
      </c>
      <c r="H177" s="25" cm="1">
        <f t="array" aca="1" ref="H177" ca="1">MMS_PastureBeef_Methane_Equations.VEERG_4_2_1_1__2_MethaneProductionFromManure(G131,$I$155,$E$165,$E$171,$I$158)</f>
        <v>8.8069357361036688E-4</v>
      </c>
      <c r="I177" s="25" cm="1">
        <f t="array" aca="1" ref="I177" ca="1">MMS_PastureBeef_Methane_Equations.VEERG_4_2_1_1__2_MethaneProductionFromManure(H131,$I$155,$E$165,$E$171,$I$158)</f>
        <v>1.2713287148641069E-3</v>
      </c>
      <c r="J177" s="25" cm="1">
        <f t="array" aca="1" ref="J177" ca="1">MMS_PastureBeef_Methane_Equations.VEERG_4_2_1_1__2_MethaneProductionFromManure(I131,$I$155,$E$165,$E$171,$I$158)</f>
        <v>1.5015956339694118E-3</v>
      </c>
      <c r="K177" s="25" cm="1">
        <f t="array" aca="1" ref="K177" ca="1">MMS_PastureBeef_Methane_Equations.VEERG_4_2_1_1__2_MethaneProductionFromManure(J131,$I$155,$E$165,$E$171,$I$158)</f>
        <v>1.5015956339694118E-3</v>
      </c>
      <c r="L177" s="25" cm="1">
        <f t="array" aca="1" ref="L177" ca="1">MMS_PastureBeef_Methane_Equations.VEERG_4_2_1_1__2_MethaneProductionFromManure(K131,$I$155,$E$165,$E$171,$I$158)</f>
        <v>1.0153229299765547E-3</v>
      </c>
      <c r="M177" s="25" cm="1">
        <f t="array" aca="1" ref="M177" ca="1">MMS_PastureBeef_Methane_Equations.VEERG_4_2_1_1__2_MethaneProductionFromManure(L131,$I$155,$E$165,$E$171,$I$158)</f>
        <v>1.2902560309095339E-3</v>
      </c>
      <c r="N177" s="25" cm="1">
        <f t="array" aca="1" ref="N177" ca="1">MMS_PastureBeef_Methane_Equations.VEERG_4_2_1_1__2_MethaneProductionFromManure(M131,$I$155,$E$165,$E$171,$I$158)</f>
        <v>1.2902560309095339E-3</v>
      </c>
      <c r="O177" s="25" cm="1">
        <f t="array" aca="1" ref="O177" ca="1">MMS_PastureBeef_Methane_Equations.VEERG_4_2_1_1__2_MethaneProductionFromManure(N131,$I$155,$E$165,$E$171,$I$158)</f>
        <v>1.2902560309095339E-3</v>
      </c>
      <c r="P177" s="26" t="str">
        <f t="shared" ref="P177:P184" si="6">$E$152</f>
        <v>kg CH4/head/day</v>
      </c>
      <c r="Q177" s="26"/>
      <c r="R177" s="26"/>
      <c r="S177" s="26"/>
      <c r="W177" s="25" t="str">
        <f>'Input - Pasture Beef'!$D$180</f>
        <v>Pasture range and paddock</v>
      </c>
      <c r="X177" s="25" t="str">
        <f t="shared" ref="X177:X188" si="7">W131</f>
        <v>January 2025</v>
      </c>
      <c r="Y177" s="25" cm="1">
        <f t="array" aca="1" ref="Y177" ca="1">MMS_PastureBeef_Methane_Equations.VEERG_4_2_1_1__2_MethaneProductionFromManure(X131,$I$155,$E$165,$X$171,$I$158)</f>
        <v>1.8253792307944732E-3</v>
      </c>
      <c r="Z177" s="25" cm="1">
        <f t="array" aca="1" ref="Z177" ca="1">MMS_PastureBeef_Methane_Equations.VEERG_4_2_1_1__2_MethaneProductionFromManure(Y131,$I$155,$E$165,$X$171,$I$158)</f>
        <v>2.4151571880932964E-3</v>
      </c>
      <c r="AA177" s="25" cm="1">
        <f t="array" aca="1" ref="AA177" ca="1">MMS_PastureBeef_Methane_Equations.VEERG_4_2_1_1__2_MethaneProductionFromManure(Z131,$I$155,$E$165,$X$171,$I$158)</f>
        <v>1.5351027116938406E-3</v>
      </c>
      <c r="AB177" s="25" cm="1">
        <f t="array" aca="1" ref="AB177" ca="1">MMS_PastureBeef_Methane_Equations.VEERG_4_2_1_1__2_MethaneProductionFromManure(AA131,$I$155,$E$165,$X$171,$I$158)</f>
        <v>2.0102185641193977E-3</v>
      </c>
      <c r="AC177" s="25" cm="1">
        <f t="array" aca="1" ref="AC177" ca="1">MMS_PastureBeef_Methane_Equations.VEERG_4_2_1_1__2_MethaneProductionFromManure(AB131,$I$155,$E$165,$X$171,$I$158)</f>
        <v>1.9903623456708156E-3</v>
      </c>
      <c r="AD177" s="25" cm="1">
        <f t="array" aca="1" ref="AD177" ca="1">MMS_PastureBeef_Methane_Equations.VEERG_4_2_1_1__2_MethaneProductionFromManure(AC131,$I$155,$E$165,$X$171,$I$158)</f>
        <v>1.9903623456708156E-3</v>
      </c>
      <c r="AE177" s="25" cm="1">
        <f t="array" aca="1" ref="AE177" ca="1">MMS_PastureBeef_Methane_Equations.VEERG_4_2_1_1__2_MethaneProductionFromManure(AD131,$I$155,$E$165,$X$171,$I$158)</f>
        <v>1.6825505854844633E-3</v>
      </c>
      <c r="AF177" s="25" cm="1">
        <f t="array" aca="1" ref="AF177" ca="1">MMS_PastureBeef_Methane_Equations.VEERG_4_2_1_1__2_MethaneProductionFromManure(AE131,$I$155,$E$165,$X$171,$I$158)</f>
        <v>1.8754949354493101E-3</v>
      </c>
      <c r="AG177" s="25" cm="1">
        <f t="array" aca="1" ref="AG177" ca="1">MMS_PastureBeef_Methane_Equations.VEERG_4_2_1_1__2_MethaneProductionFromManure(AF131,$I$155,$E$165,$X$171,$I$158)</f>
        <v>1.8754949354493101E-3</v>
      </c>
      <c r="AH177" s="25" cm="1">
        <f t="array" aca="1" ref="AH177" ca="1">MMS_PastureBeef_Methane_Equations.VEERG_4_2_1_1__2_MethaneProductionFromManure(AG131,$I$155,$E$165,$X$171,$I$158)</f>
        <v>1.8754949354493101E-3</v>
      </c>
      <c r="AI177" s="26" t="str">
        <f t="shared" ref="AI177:AI200" si="8">$E$152</f>
        <v>kg CH4/head/day</v>
      </c>
      <c r="AJ177" s="26"/>
    </row>
    <row r="178" spans="4:36" ht="20.100000000000001" customHeight="1" x14ac:dyDescent="0.25">
      <c r="D178" s="25" t="str">
        <f>'Input - Pasture Beef'!$D$180</f>
        <v>Pasture range and paddock</v>
      </c>
      <c r="E178" s="25" t="s">
        <v>204</v>
      </c>
      <c r="F178" s="25" cm="1">
        <f t="array" aca="1" ref="F178" ca="1">MMS_PastureBeef_Methane_Equations.VEERG_4_2_1_1__2_MethaneProductionFromManure(E132,$I$155,$E$165,$E$171,$I$158)</f>
        <v>1.8253792307944732E-3</v>
      </c>
      <c r="G178" s="25" cm="1">
        <f t="array" aca="1" ref="G178" ca="1">MMS_PastureBeef_Methane_Equations.VEERG_4_2_1_1__2_MethaneProductionFromManure(F132,$I$155,$E$165,$E$171,$I$158)</f>
        <v>2.4151571880932964E-3</v>
      </c>
      <c r="H178" s="25" cm="1">
        <f t="array" aca="1" ref="H178" ca="1">MMS_PastureBeef_Methane_Equations.VEERG_4_2_1_1__2_MethaneProductionFromManure(G132,$I$155,$E$165,$E$171,$I$158)</f>
        <v>1.5351027116938406E-3</v>
      </c>
      <c r="I178" s="25" cm="1">
        <f t="array" aca="1" ref="I178" ca="1">MMS_PastureBeef_Methane_Equations.VEERG_4_2_1_1__2_MethaneProductionFromManure(H132,$I$155,$E$165,$E$171,$I$158)</f>
        <v>2.0906273066841736E-3</v>
      </c>
      <c r="J178" s="25" cm="1">
        <f t="array" aca="1" ref="J178" ca="1">MMS_PastureBeef_Methane_Equations.VEERG_4_2_1_1__2_MethaneProductionFromManure(I132,$I$155,$E$165,$E$171,$I$158)</f>
        <v>2.0699768394976483E-3</v>
      </c>
      <c r="K178" s="25" cm="1">
        <f t="array" aca="1" ref="K178" ca="1">MMS_PastureBeef_Methane_Equations.VEERG_4_2_1_1__2_MethaneProductionFromManure(J132,$I$155,$E$165,$E$171,$I$158)</f>
        <v>2.0699768394976483E-3</v>
      </c>
      <c r="L178" s="25" cm="1">
        <f t="array" aca="1" ref="L178" ca="1">MMS_PastureBeef_Methane_Equations.VEERG_4_2_1_1__2_MethaneProductionFromManure(K132,$I$155,$E$165,$E$171,$I$158)</f>
        <v>1.6825505854844633E-3</v>
      </c>
      <c r="M178" s="25" cm="1">
        <f t="array" aca="1" ref="M178" ca="1">MMS_PastureBeef_Methane_Equations.VEERG_4_2_1_1__2_MethaneProductionFromManure(L132,$I$155,$E$165,$E$171,$I$158)</f>
        <v>1.8754949354493101E-3</v>
      </c>
      <c r="N178" s="25" cm="1">
        <f t="array" aca="1" ref="N178" ca="1">MMS_PastureBeef_Methane_Equations.VEERG_4_2_1_1__2_MethaneProductionFromManure(M132,$I$155,$E$165,$E$171,$I$158)</f>
        <v>1.8754949354493101E-3</v>
      </c>
      <c r="O178" s="25" cm="1">
        <f t="array" aca="1" ref="O178" ca="1">MMS_PastureBeef_Methane_Equations.VEERG_4_2_1_1__2_MethaneProductionFromManure(N132,$I$155,$E$165,$E$171,$I$158)</f>
        <v>1.8754949354493101E-3</v>
      </c>
      <c r="P178" s="26" t="str">
        <f t="shared" si="6"/>
        <v>kg CH4/head/day</v>
      </c>
      <c r="Q178" s="26"/>
      <c r="R178" s="26"/>
      <c r="S178" s="26"/>
      <c r="W178" s="25" t="str">
        <f>'Input - Pasture Beef'!$D$180</f>
        <v>Pasture range and paddock</v>
      </c>
      <c r="X178" s="25" t="str">
        <f t="shared" si="7"/>
        <v>February 2025</v>
      </c>
      <c r="Y178" s="25" cm="1">
        <f t="array" aca="1" ref="Y178" ca="1">MMS_PastureBeef_Methane_Equations.VEERG_4_2_1_1__2_MethaneProductionFromManure(X132,$I$155,$E$165,$X$171,$I$158)</f>
        <v>1.8253792307944732E-3</v>
      </c>
      <c r="Z178" s="25" cm="1">
        <f t="array" aca="1" ref="Z178" ca="1">MMS_PastureBeef_Methane_Equations.VEERG_4_2_1_1__2_MethaneProductionFromManure(Y132,$I$155,$E$165,$X$171,$I$158)</f>
        <v>2.4151571880932964E-3</v>
      </c>
      <c r="AA178" s="25" cm="1">
        <f t="array" aca="1" ref="AA178" ca="1">MMS_PastureBeef_Methane_Equations.VEERG_4_2_1_1__2_MethaneProductionFromManure(Z132,$I$155,$E$165,$X$171,$I$158)</f>
        <v>1.5351027116938406E-3</v>
      </c>
      <c r="AB178" s="25" cm="1">
        <f t="array" aca="1" ref="AB178" ca="1">MMS_PastureBeef_Methane_Equations.VEERG_4_2_1_1__2_MethaneProductionFromManure(AA132,$I$155,$E$165,$X$171,$I$158)</f>
        <v>2.0102185641193977E-3</v>
      </c>
      <c r="AC178" s="25" cm="1">
        <f t="array" aca="1" ref="AC178" ca="1">MMS_PastureBeef_Methane_Equations.VEERG_4_2_1_1__2_MethaneProductionFromManure(AB132,$I$155,$E$165,$X$171,$I$158)</f>
        <v>1.9903623456708156E-3</v>
      </c>
      <c r="AD178" s="25" cm="1">
        <f t="array" aca="1" ref="AD178" ca="1">MMS_PastureBeef_Methane_Equations.VEERG_4_2_1_1__2_MethaneProductionFromManure(AC132,$I$155,$E$165,$X$171,$I$158)</f>
        <v>1.9903623456708156E-3</v>
      </c>
      <c r="AE178" s="25" cm="1">
        <f t="array" aca="1" ref="AE178" ca="1">MMS_PastureBeef_Methane_Equations.VEERG_4_2_1_1__2_MethaneProductionFromManure(AD132,$I$155,$E$165,$X$171,$I$158)</f>
        <v>1.6825505854844633E-3</v>
      </c>
      <c r="AF178" s="25" cm="1">
        <f t="array" aca="1" ref="AF178" ca="1">MMS_PastureBeef_Methane_Equations.VEERG_4_2_1_1__2_MethaneProductionFromManure(AE132,$I$155,$E$165,$X$171,$I$158)</f>
        <v>1.8754949354493101E-3</v>
      </c>
      <c r="AG178" s="25" cm="1">
        <f t="array" aca="1" ref="AG178" ca="1">MMS_PastureBeef_Methane_Equations.VEERG_4_2_1_1__2_MethaneProductionFromManure(AF132,$I$155,$E$165,$X$171,$I$158)</f>
        <v>1.8754949354493101E-3</v>
      </c>
      <c r="AH178" s="25" cm="1">
        <f t="array" aca="1" ref="AH178" ca="1">MMS_PastureBeef_Methane_Equations.VEERG_4_2_1_1__2_MethaneProductionFromManure(AG132,$I$155,$E$165,$X$171,$I$158)</f>
        <v>1.8754949354493101E-3</v>
      </c>
      <c r="AI178" s="26" t="str">
        <f t="shared" si="8"/>
        <v>kg CH4/head/day</v>
      </c>
      <c r="AJ178" s="26"/>
    </row>
    <row r="179" spans="4:36" ht="20.100000000000001" customHeight="1" x14ac:dyDescent="0.25">
      <c r="D179" s="25" t="str">
        <f>'Input - Pasture Beef'!$D$180</f>
        <v>Pasture range and paddock</v>
      </c>
      <c r="E179" s="25" t="s">
        <v>205</v>
      </c>
      <c r="F179" s="25" cm="1">
        <f t="array" aca="1" ref="F179" ca="1">MMS_PastureBeef_Methane_Equations.VEERG_4_2_1_1__2_MethaneProductionFromManure(E133,$I$155,$E$165,$E$171,$I$158)</f>
        <v>9.7360706101441404E-4</v>
      </c>
      <c r="G179" s="25" cm="1">
        <f t="array" aca="1" ref="G179" ca="1">MMS_PastureBeef_Methane_Equations.VEERG_4_2_1_1__2_MethaneProductionFromManure(F133,$I$155,$E$165,$E$171,$I$158)</f>
        <v>2.8257879926910463E-3</v>
      </c>
      <c r="H179" s="25" cm="1">
        <f t="array" aca="1" ref="H179" ca="1">MMS_PastureBeef_Methane_Equations.VEERG_4_2_1_1__2_MethaneProductionFromManure(G133,$I$155,$E$165,$E$171,$I$158)</f>
        <v>8.8759283102341434E-4</v>
      </c>
      <c r="I179" s="25" cm="1">
        <f t="array" aca="1" ref="I179" ca="1">MMS_PastureBeef_Methane_Equations.VEERG_4_2_1_1__2_MethaneProductionFromManure(H133,$I$155,$E$165,$E$171,$I$158)</f>
        <v>1.804185782653431E-3</v>
      </c>
      <c r="J179" s="25" cm="1">
        <f t="array" aca="1" ref="J179" ca="1">MMS_PastureBeef_Methane_Equations.VEERG_4_2_1_1__2_MethaneProductionFromManure(I133,$I$155,$E$165,$E$171,$I$158)</f>
        <v>2.0142528006700457E-3</v>
      </c>
      <c r="K179" s="25" cm="1">
        <f t="array" aca="1" ref="K179" ca="1">MMS_PastureBeef_Methane_Equations.VEERG_4_2_1_1__2_MethaneProductionFromManure(J133,$I$155,$E$165,$E$171,$I$158)</f>
        <v>2.0142528006700457E-3</v>
      </c>
      <c r="L179" s="25" cm="1">
        <f t="array" aca="1" ref="L179" ca="1">MMS_PastureBeef_Methane_Equations.VEERG_4_2_1_1__2_MethaneProductionFromManure(K133,$I$155,$E$165,$E$171,$I$158)</f>
        <v>9.7360706101441404E-4</v>
      </c>
      <c r="M179" s="25" cm="1">
        <f t="array" aca="1" ref="M179" ca="1">MMS_PastureBeef_Methane_Equations.VEERG_4_2_1_1__2_MethaneProductionFromManure(L133,$I$155,$E$165,$E$171,$I$158)</f>
        <v>1.7676074196054518E-3</v>
      </c>
      <c r="N179" s="25" cm="1">
        <f t="array" aca="1" ref="N179" ca="1">MMS_PastureBeef_Methane_Equations.VEERG_4_2_1_1__2_MethaneProductionFromManure(M133,$I$155,$E$165,$E$171,$I$158)</f>
        <v>1.7676074196054518E-3</v>
      </c>
      <c r="O179" s="25" cm="1">
        <f t="array" aca="1" ref="O179" ca="1">MMS_PastureBeef_Methane_Equations.VEERG_4_2_1_1__2_MethaneProductionFromManure(N133,$I$155,$E$165,$E$171,$I$158)</f>
        <v>1.7676074196054518E-3</v>
      </c>
      <c r="P179" s="26" t="str">
        <f t="shared" si="6"/>
        <v>kg CH4/head/day</v>
      </c>
      <c r="Q179" s="26"/>
      <c r="R179" s="26"/>
      <c r="S179" s="26"/>
      <c r="W179" s="25" t="str">
        <f>'Input - Pasture Beef'!$D$180</f>
        <v>Pasture range and paddock</v>
      </c>
      <c r="X179" s="25" t="str">
        <f t="shared" si="7"/>
        <v>March 2025</v>
      </c>
      <c r="Y179" s="25" cm="1">
        <f t="array" aca="1" ref="Y179" ca="1">MMS_PastureBeef_Methane_Equations.VEERG_4_2_1_1__2_MethaneProductionFromManure(X133,$I$155,$E$165,$X$171,$I$158)</f>
        <v>9.7360706101441404E-4</v>
      </c>
      <c r="Z179" s="25" cm="1">
        <f t="array" aca="1" ref="Z179" ca="1">MMS_PastureBeef_Methane_Equations.VEERG_4_2_1_1__2_MethaneProductionFromManure(Y133,$I$155,$E$165,$X$171,$I$158)</f>
        <v>2.8257879926910463E-3</v>
      </c>
      <c r="AA179" s="25" cm="1">
        <f t="array" aca="1" ref="AA179" ca="1">MMS_PastureBeef_Methane_Equations.VEERG_4_2_1_1__2_MethaneProductionFromManure(Z133,$I$155,$E$165,$X$171,$I$158)</f>
        <v>8.8759283102341434E-4</v>
      </c>
      <c r="AB179" s="25" cm="1">
        <f t="array" aca="1" ref="AB179" ca="1">MMS_PastureBeef_Methane_Equations.VEERG_4_2_1_1__2_MethaneProductionFromManure(AA133,$I$155,$E$165,$X$171,$I$158)</f>
        <v>1.7863225570826046E-3</v>
      </c>
      <c r="AC179" s="25" cm="1">
        <f t="array" aca="1" ref="AC179" ca="1">MMS_PastureBeef_Methane_Equations.VEERG_4_2_1_1__2_MethaneProductionFromManure(AB133,$I$155,$E$165,$X$171,$I$158)</f>
        <v>2.0142528006700457E-3</v>
      </c>
      <c r="AD179" s="25" cm="1">
        <f t="array" aca="1" ref="AD179" ca="1">MMS_PastureBeef_Methane_Equations.VEERG_4_2_1_1__2_MethaneProductionFromManure(AC133,$I$155,$E$165,$X$171,$I$158)</f>
        <v>2.0142528006700457E-3</v>
      </c>
      <c r="AE179" s="25" cm="1">
        <f t="array" aca="1" ref="AE179" ca="1">MMS_PastureBeef_Methane_Equations.VEERG_4_2_1_1__2_MethaneProductionFromManure(AD133,$I$155,$E$165,$X$171,$I$158)</f>
        <v>9.7360706101441404E-4</v>
      </c>
      <c r="AF179" s="25" cm="1">
        <f t="array" aca="1" ref="AF179" ca="1">MMS_PastureBeef_Methane_Equations.VEERG_4_2_1_1__2_MethaneProductionFromManure(AE133,$I$155,$E$165,$X$171,$I$158)</f>
        <v>1.7676074196054518E-3</v>
      </c>
      <c r="AG179" s="25" cm="1">
        <f t="array" aca="1" ref="AG179" ca="1">MMS_PastureBeef_Methane_Equations.VEERG_4_2_1_1__2_MethaneProductionFromManure(AF133,$I$155,$E$165,$X$171,$I$158)</f>
        <v>1.7676074196054518E-3</v>
      </c>
      <c r="AH179" s="25" cm="1">
        <f t="array" aca="1" ref="AH179" ca="1">MMS_PastureBeef_Methane_Equations.VEERG_4_2_1_1__2_MethaneProductionFromManure(AG133,$I$155,$E$165,$X$171,$I$158)</f>
        <v>1.7676074196054518E-3</v>
      </c>
      <c r="AI179" s="26" t="str">
        <f t="shared" si="8"/>
        <v>kg CH4/head/day</v>
      </c>
      <c r="AJ179" s="26"/>
    </row>
    <row r="180" spans="4:36" ht="20.100000000000001" customHeight="1" x14ac:dyDescent="0.25">
      <c r="D180" s="25" t="str">
        <f>'Input - Pasture Beef'!$D$180</f>
        <v>Pasture range and paddock</v>
      </c>
      <c r="E180" s="25" t="s">
        <v>206</v>
      </c>
      <c r="F180" s="25" cm="1">
        <f t="array" aca="1" ref="F180" ca="1">MMS_PastureBeef_Methane_Equations.VEERG_4_2_1_1__2_MethaneProductionFromManure(E134,$I$155,$E$165,$E$171,$I$158)</f>
        <v>8.2649649833119491E-4</v>
      </c>
      <c r="G180" s="25" cm="1">
        <f t="array" aca="1" ref="G180" ca="1">MMS_PastureBeef_Methane_Equations.VEERG_4_2_1_1__2_MethaneProductionFromManure(F134,$I$155,$E$165,$E$171,$I$158)</f>
        <v>1.6061464433302867E-3</v>
      </c>
      <c r="H180" s="25" cm="1">
        <f t="array" aca="1" ref="H180" ca="1">MMS_PastureBeef_Methane_Equations.VEERG_4_2_1_1__2_MethaneProductionFromManure(G134,$I$155,$E$165,$E$171,$I$158)</f>
        <v>6.7671731165028866E-4</v>
      </c>
      <c r="I180" s="25" cm="1">
        <f t="array" aca="1" ref="I180" ca="1">MMS_PastureBeef_Methane_Equations.VEERG_4_2_1_1__2_MethaneProductionFromManure(H134,$I$155,$E$165,$E$171,$I$158)</f>
        <v>1.1549368251856172E-3</v>
      </c>
      <c r="J180" s="25" cm="1">
        <f t="array" aca="1" ref="J180" ca="1">MMS_PastureBeef_Methane_Equations.VEERG_4_2_1_1__2_MethaneProductionFromManure(I134,$I$155,$E$165,$E$171,$I$158)</f>
        <v>1.4725544300764671E-3</v>
      </c>
      <c r="K180" s="25" cm="1">
        <f t="array" aca="1" ref="K180" ca="1">MMS_PastureBeef_Methane_Equations.VEERG_4_2_1_1__2_MethaneProductionFromManure(J134,$I$155,$E$165,$E$171,$I$158)</f>
        <v>1.4725544300764671E-3</v>
      </c>
      <c r="L180" s="25" cm="1">
        <f t="array" aca="1" ref="L180" ca="1">MMS_PastureBeef_Methane_Equations.VEERG_4_2_1_1__2_MethaneProductionFromManure(K134,$I$155,$E$165,$E$171,$I$158)</f>
        <v>7.2656299991787044E-4</v>
      </c>
      <c r="M180" s="25" cm="1">
        <f t="array" aca="1" ref="M180" ca="1">MMS_PastureBeef_Methane_Equations.VEERG_4_2_1_1__2_MethaneProductionFromManure(L134,$I$155,$E$165,$E$171,$I$158)</f>
        <v>1.1061796823535802E-3</v>
      </c>
      <c r="N180" s="25" cm="1">
        <f t="array" aca="1" ref="N180" ca="1">MMS_PastureBeef_Methane_Equations.VEERG_4_2_1_1__2_MethaneProductionFromManure(M134,$I$155,$E$165,$E$171,$I$158)</f>
        <v>1.1061796823535802E-3</v>
      </c>
      <c r="O180" s="25" cm="1">
        <f t="array" aca="1" ref="O180" ca="1">MMS_PastureBeef_Methane_Equations.VEERG_4_2_1_1__2_MethaneProductionFromManure(N134,$I$155,$E$165,$E$171,$I$158)</f>
        <v>1.1061796823535802E-3</v>
      </c>
      <c r="P180" s="26" t="str">
        <f t="shared" si="6"/>
        <v>kg CH4/head/day</v>
      </c>
      <c r="Q180" s="26"/>
      <c r="R180" s="26"/>
      <c r="S180" s="26"/>
      <c r="W180" s="25" t="str">
        <f>'Input - Pasture Beef'!$D$180</f>
        <v>Pasture range and paddock</v>
      </c>
      <c r="X180" s="25" t="str">
        <f t="shared" si="7"/>
        <v>April 2025</v>
      </c>
      <c r="Y180" s="25" cm="1">
        <f t="array" aca="1" ref="Y180" ca="1">MMS_PastureBeef_Methane_Equations.VEERG_4_2_1_1__2_MethaneProductionFromManure(X134,$I$155,$E$165,$X$171,$I$158)</f>
        <v>9.7360706101441404E-4</v>
      </c>
      <c r="Z180" s="25" cm="1">
        <f t="array" aca="1" ref="Z180" ca="1">MMS_PastureBeef_Methane_Equations.VEERG_4_2_1_1__2_MethaneProductionFromManure(Y134,$I$155,$E$165,$X$171,$I$158)</f>
        <v>2.8257879926910463E-3</v>
      </c>
      <c r="AA180" s="25" cm="1">
        <f t="array" aca="1" ref="AA180" ca="1">MMS_PastureBeef_Methane_Equations.VEERG_4_2_1_1__2_MethaneProductionFromManure(Z134,$I$155,$E$165,$X$171,$I$158)</f>
        <v>8.8759283102341434E-4</v>
      </c>
      <c r="AB180" s="25" cm="1">
        <f t="array" aca="1" ref="AB180" ca="1">MMS_PastureBeef_Methane_Equations.VEERG_4_2_1_1__2_MethaneProductionFromManure(AA134,$I$155,$E$165,$X$171,$I$158)</f>
        <v>1.7863225570826046E-3</v>
      </c>
      <c r="AC180" s="25" cm="1">
        <f t="array" aca="1" ref="AC180" ca="1">MMS_PastureBeef_Methane_Equations.VEERG_4_2_1_1__2_MethaneProductionFromManure(AB134,$I$155,$E$165,$X$171,$I$158)</f>
        <v>2.0142528006700457E-3</v>
      </c>
      <c r="AD180" s="25" cm="1">
        <f t="array" aca="1" ref="AD180" ca="1">MMS_PastureBeef_Methane_Equations.VEERG_4_2_1_1__2_MethaneProductionFromManure(AC134,$I$155,$E$165,$X$171,$I$158)</f>
        <v>2.0142528006700457E-3</v>
      </c>
      <c r="AE180" s="25" cm="1">
        <f t="array" aca="1" ref="AE180" ca="1">MMS_PastureBeef_Methane_Equations.VEERG_4_2_1_1__2_MethaneProductionFromManure(AD134,$I$155,$E$165,$X$171,$I$158)</f>
        <v>9.7360706101441404E-4</v>
      </c>
      <c r="AF180" s="25" cm="1">
        <f t="array" aca="1" ref="AF180" ca="1">MMS_PastureBeef_Methane_Equations.VEERG_4_2_1_1__2_MethaneProductionFromManure(AE134,$I$155,$E$165,$X$171,$I$158)</f>
        <v>1.7676074196054518E-3</v>
      </c>
      <c r="AG180" s="25" cm="1">
        <f t="array" aca="1" ref="AG180" ca="1">MMS_PastureBeef_Methane_Equations.VEERG_4_2_1_1__2_MethaneProductionFromManure(AF134,$I$155,$E$165,$X$171,$I$158)</f>
        <v>1.7676074196054518E-3</v>
      </c>
      <c r="AH180" s="25" cm="1">
        <f t="array" aca="1" ref="AH180" ca="1">MMS_PastureBeef_Methane_Equations.VEERG_4_2_1_1__2_MethaneProductionFromManure(AG134,$I$155,$E$165,$X$171,$I$158)</f>
        <v>1.7676074196054518E-3</v>
      </c>
      <c r="AI180" s="26" t="str">
        <f t="shared" si="8"/>
        <v>kg CH4/head/day</v>
      </c>
      <c r="AJ180" s="26"/>
    </row>
    <row r="181" spans="4:36" ht="20.100000000000001" customHeight="1" x14ac:dyDescent="0.25">
      <c r="D181" s="25" t="str">
        <f>'Input - Pasture Beef'!$D$181</f>
        <v>Anaerobic lagoon</v>
      </c>
      <c r="E181" s="25" t="s">
        <v>203</v>
      </c>
      <c r="F181" s="25" cm="1">
        <f t="array" aca="1" ref="F181" ca="1">MMS_PastureBeef_Methane_Equations.VEERG_4_2_1_1__2_MethaneProductionFromManure(E131,$I$155,$E$166,$E$172,$I$158)</f>
        <v>7.0893809818551147E-4</v>
      </c>
      <c r="G181" s="25" cm="1">
        <f t="array" aca="1" ref="G181" ca="1">MMS_PastureBeef_Methane_Equations.VEERG_4_2_1_1__2_MethaneProductionFromManure(F131,$I$155,$E$166,$E$172,$I$158)</f>
        <v>1.0012808198694057E-3</v>
      </c>
      <c r="H181" s="25" cm="1">
        <f t="array" aca="1" ref="H181" ca="1">MMS_PastureBeef_Methane_Equations.VEERG_4_2_1_1__2_MethaneProductionFromManure(G131,$I$155,$E$166,$E$172,$I$158)</f>
        <v>5.4035242541655584E-4</v>
      </c>
      <c r="I181" s="25" cm="1">
        <f t="array" aca="1" ref="I181" ca="1">MMS_PastureBeef_Methane_Equations.VEERG_4_2_1_1__2_MethaneProductionFromManure(H131,$I$155,$E$166,$E$172,$I$158)</f>
        <v>7.800278952443656E-4</v>
      </c>
      <c r="J181" s="25" cm="1">
        <f t="array" aca="1" ref="J181" ca="1">MMS_PastureBeef_Methane_Equations.VEERG_4_2_1_1__2_MethaneProductionFromManure(I131,$I$155,$E$166,$E$172,$I$158)</f>
        <v>9.2130891733888706E-4</v>
      </c>
      <c r="K181" s="25" cm="1">
        <f t="array" aca="1" ref="K181" ca="1">MMS_PastureBeef_Methane_Equations.VEERG_4_2_1_1__2_MethaneProductionFromManure(J131,$I$155,$E$166,$E$172,$I$158)</f>
        <v>9.2130891733888706E-4</v>
      </c>
      <c r="L181" s="25" cm="1">
        <f t="array" aca="1" ref="L181" ca="1">MMS_PastureBeef_Methane_Equations.VEERG_4_2_1_1__2_MethaneProductionFromManure(K131,$I$155,$E$166,$E$172,$I$158)</f>
        <v>6.2295470778193614E-4</v>
      </c>
      <c r="M181" s="25" cm="1">
        <f t="array" aca="1" ref="M181" ca="1">MMS_PastureBeef_Methane_Equations.VEERG_4_2_1_1__2_MethaneProductionFromManure(L131,$I$155,$E$166,$E$172,$I$158)</f>
        <v>7.9164081197071932E-4</v>
      </c>
      <c r="N181" s="25" cm="1">
        <f t="array" aca="1" ref="N181" ca="1">MMS_PastureBeef_Methane_Equations.VEERG_4_2_1_1__2_MethaneProductionFromManure(M131,$I$155,$E$166,$E$172,$I$158)</f>
        <v>7.9164081197071932E-4</v>
      </c>
      <c r="O181" s="25" cm="1">
        <f t="array" aca="1" ref="O181" ca="1">MMS_PastureBeef_Methane_Equations.VEERG_4_2_1_1__2_MethaneProductionFromManure(N131,$I$155,$E$166,$E$172,$I$158)</f>
        <v>7.9164081197071932E-4</v>
      </c>
      <c r="P181" s="26" t="str">
        <f t="shared" si="6"/>
        <v>kg CH4/head/day</v>
      </c>
      <c r="Q181" s="26"/>
      <c r="R181" s="26"/>
      <c r="S181" s="26"/>
      <c r="W181" s="25" t="str">
        <f>'Input - Pasture Beef'!$D$180</f>
        <v>Pasture range and paddock</v>
      </c>
      <c r="X181" s="25" t="str">
        <f t="shared" si="7"/>
        <v>May 2025</v>
      </c>
      <c r="Y181" s="25" cm="1">
        <f t="array" aca="1" ref="Y181" ca="1">MMS_PastureBeef_Methane_Equations.VEERG_4_2_1_1__2_MethaneProductionFromManure(X135,$I$155,$E$165,$X$171,$I$158)</f>
        <v>9.7360706101441404E-4</v>
      </c>
      <c r="Z181" s="25" cm="1">
        <f t="array" aca="1" ref="Z181" ca="1">MMS_PastureBeef_Methane_Equations.VEERG_4_2_1_1__2_MethaneProductionFromManure(Y135,$I$155,$E$165,$X$171,$I$158)</f>
        <v>2.8257879926910463E-3</v>
      </c>
      <c r="AA181" s="25" cm="1">
        <f t="array" aca="1" ref="AA181" ca="1">MMS_PastureBeef_Methane_Equations.VEERG_4_2_1_1__2_MethaneProductionFromManure(Z135,$I$155,$E$165,$X$171,$I$158)</f>
        <v>8.8759283102341434E-4</v>
      </c>
      <c r="AB181" s="25" cm="1">
        <f t="array" aca="1" ref="AB181" ca="1">MMS_PastureBeef_Methane_Equations.VEERG_4_2_1_1__2_MethaneProductionFromManure(AA135,$I$155,$E$165,$X$171,$I$158)</f>
        <v>1.7863225570826046E-3</v>
      </c>
      <c r="AC181" s="25" cm="1">
        <f t="array" aca="1" ref="AC181" ca="1">MMS_PastureBeef_Methane_Equations.VEERG_4_2_1_1__2_MethaneProductionFromManure(AB135,$I$155,$E$165,$X$171,$I$158)</f>
        <v>2.0142528006700457E-3</v>
      </c>
      <c r="AD181" s="25" cm="1">
        <f t="array" aca="1" ref="AD181" ca="1">MMS_PastureBeef_Methane_Equations.VEERG_4_2_1_1__2_MethaneProductionFromManure(AC135,$I$155,$E$165,$X$171,$I$158)</f>
        <v>2.0142528006700457E-3</v>
      </c>
      <c r="AE181" s="25" cm="1">
        <f t="array" aca="1" ref="AE181" ca="1">MMS_PastureBeef_Methane_Equations.VEERG_4_2_1_1__2_MethaneProductionFromManure(AD135,$I$155,$E$165,$X$171,$I$158)</f>
        <v>9.7360706101441404E-4</v>
      </c>
      <c r="AF181" s="25" cm="1">
        <f t="array" aca="1" ref="AF181" ca="1">MMS_PastureBeef_Methane_Equations.VEERG_4_2_1_1__2_MethaneProductionFromManure(AE135,$I$155,$E$165,$X$171,$I$158)</f>
        <v>1.7676074196054518E-3</v>
      </c>
      <c r="AG181" s="25" cm="1">
        <f t="array" aca="1" ref="AG181" ca="1">MMS_PastureBeef_Methane_Equations.VEERG_4_2_1_1__2_MethaneProductionFromManure(AF135,$I$155,$E$165,$X$171,$I$158)</f>
        <v>1.7676074196054518E-3</v>
      </c>
      <c r="AH181" s="25" cm="1">
        <f t="array" aca="1" ref="AH181" ca="1">MMS_PastureBeef_Methane_Equations.VEERG_4_2_1_1__2_MethaneProductionFromManure(AG135,$I$155,$E$165,$X$171,$I$158)</f>
        <v>1.7676074196054518E-3</v>
      </c>
      <c r="AI181" s="26" t="str">
        <f t="shared" si="8"/>
        <v>kg CH4/head/day</v>
      </c>
      <c r="AJ181" s="26"/>
    </row>
    <row r="182" spans="4:36" ht="20.100000000000001" customHeight="1" x14ac:dyDescent="0.25">
      <c r="D182" s="25" t="str">
        <f>'Input - Pasture Beef'!$D$181</f>
        <v>Anaerobic lagoon</v>
      </c>
      <c r="E182" s="25" t="s">
        <v>204</v>
      </c>
      <c r="F182" s="25" cm="1">
        <f t="array" aca="1" ref="F182" ca="1">MMS_PastureBeef_Methane_Equations.VEERG_4_2_1_1__2_MethaneProductionFromManure(E132,$I$155,$E$166,$E$172,$I$158)</f>
        <v>1.1199674032152948E-3</v>
      </c>
      <c r="G182" s="25" cm="1">
        <f t="array" aca="1" ref="G182" ca="1">MMS_PastureBeef_Methane_Equations.VEERG_4_2_1_1__2_MethaneProductionFromManure(F132,$I$155,$E$166,$E$172,$I$158)</f>
        <v>1.4818275998069344E-3</v>
      </c>
      <c r="H182" s="25" cm="1">
        <f t="array" aca="1" ref="H182" ca="1">MMS_PastureBeef_Methane_Equations.VEERG_4_2_1_1__2_MethaneProductionFromManure(G132,$I$155,$E$166,$E$172,$I$158)</f>
        <v>9.4186729457649166E-4</v>
      </c>
      <c r="I182" s="25" cm="1">
        <f t="array" aca="1" ref="I182" ca="1">MMS_PastureBeef_Methane_Equations.VEERG_4_2_1_1__2_MethaneProductionFromManure(H132,$I$155,$E$166,$E$172,$I$158)</f>
        <v>1.282711228580693E-3</v>
      </c>
      <c r="J182" s="25" cm="1">
        <f t="array" aca="1" ref="J182" ca="1">MMS_PastureBeef_Methane_Equations.VEERG_4_2_1_1__2_MethaneProductionFromManure(I132,$I$155,$E$166,$E$172,$I$158)</f>
        <v>1.2700410668302446E-3</v>
      </c>
      <c r="K182" s="25" cm="1">
        <f t="array" aca="1" ref="K182" ca="1">MMS_PastureBeef_Methane_Equations.VEERG_4_2_1_1__2_MethaneProductionFromManure(J132,$I$155,$E$166,$E$172,$I$158)</f>
        <v>1.2700410668302446E-3</v>
      </c>
      <c r="L182" s="25" cm="1">
        <f t="array" aca="1" ref="L182" ca="1">MMS_PastureBeef_Methane_Equations.VEERG_4_2_1_1__2_MethaneProductionFromManure(K132,$I$155,$E$166,$E$172,$I$158)</f>
        <v>1.0323344202745454E-3</v>
      </c>
      <c r="M182" s="25" cm="1">
        <f t="array" aca="1" ref="M182" ca="1">MMS_PastureBeef_Methane_Equations.VEERG_4_2_1_1__2_MethaneProductionFromManure(L132,$I$155,$E$166,$E$172,$I$158)</f>
        <v>1.1507160578815108E-3</v>
      </c>
      <c r="N182" s="25" cm="1">
        <f t="array" aca="1" ref="N182" ca="1">MMS_PastureBeef_Methane_Equations.VEERG_4_2_1_1__2_MethaneProductionFromManure(M132,$I$155,$E$166,$E$172,$I$158)</f>
        <v>1.1507160578815108E-3</v>
      </c>
      <c r="O182" s="25" cm="1">
        <f t="array" aca="1" ref="O182" ca="1">MMS_PastureBeef_Methane_Equations.VEERG_4_2_1_1__2_MethaneProductionFromManure(N132,$I$155,$E$166,$E$172,$I$158)</f>
        <v>1.1507160578815108E-3</v>
      </c>
      <c r="P182" s="26" t="str">
        <f t="shared" si="6"/>
        <v>kg CH4/head/day</v>
      </c>
      <c r="Q182" s="26"/>
      <c r="R182" s="26"/>
      <c r="S182" s="26"/>
      <c r="W182" s="25" t="str">
        <f>'Input - Pasture Beef'!$D$180</f>
        <v>Pasture range and paddock</v>
      </c>
      <c r="X182" s="25" t="str">
        <f t="shared" si="7"/>
        <v>June 2025</v>
      </c>
      <c r="Y182" s="25" cm="1">
        <f t="array" aca="1" ref="Y182" ca="1">MMS_PastureBeef_Methane_Equations.VEERG_4_2_1_1__2_MethaneProductionFromManure(X136,$I$155,$E$165,$X$171,$I$158)</f>
        <v>8.2649649833119491E-4</v>
      </c>
      <c r="Z182" s="25" cm="1">
        <f t="array" aca="1" ref="Z182" ca="1">MMS_PastureBeef_Methane_Equations.VEERG_4_2_1_1__2_MethaneProductionFromManure(Y136,$I$155,$E$165,$X$171,$I$158)</f>
        <v>1.6061464433302867E-3</v>
      </c>
      <c r="AA182" s="25" cm="1">
        <f t="array" aca="1" ref="AA182" ca="1">MMS_PastureBeef_Methane_Equations.VEERG_4_2_1_1__2_MethaneProductionFromManure(Z136,$I$155,$E$165,$X$171,$I$158)</f>
        <v>6.7671731165028866E-4</v>
      </c>
      <c r="AB182" s="25" cm="1">
        <f t="array" aca="1" ref="AB182" ca="1">MMS_PastureBeef_Methane_Equations.VEERG_4_2_1_1__2_MethaneProductionFromManure(AA136,$I$155,$E$165,$X$171,$I$158)</f>
        <v>9.5449324395505564E-4</v>
      </c>
      <c r="AC182" s="25" cm="1">
        <f t="array" aca="1" ref="AC182" ca="1">MMS_PastureBeef_Methane_Equations.VEERG_4_2_1_1__2_MethaneProductionFromManure(AB136,$I$155,$E$165,$X$171,$I$158)</f>
        <v>1.2804821131099714E-3</v>
      </c>
      <c r="AD182" s="25" cm="1">
        <f t="array" aca="1" ref="AD182" ca="1">MMS_PastureBeef_Methane_Equations.VEERG_4_2_1_1__2_MethaneProductionFromManure(AC136,$I$155,$E$165,$X$171,$I$158)</f>
        <v>1.2804821131099714E-3</v>
      </c>
      <c r="AE182" s="25" cm="1">
        <f t="array" aca="1" ref="AE182" ca="1">MMS_PastureBeef_Methane_Equations.VEERG_4_2_1_1__2_MethaneProductionFromManure(AD136,$I$155,$E$165,$X$171,$I$158)</f>
        <v>7.2656299991787044E-4</v>
      </c>
      <c r="AF182" s="25" cm="1">
        <f t="array" aca="1" ref="AF182" ca="1">MMS_PastureBeef_Methane_Equations.VEERG_4_2_1_1__2_MethaneProductionFromManure(AE136,$I$155,$E$165,$X$171,$I$158)</f>
        <v>1.1061796823535802E-3</v>
      </c>
      <c r="AG182" s="25" cm="1">
        <f t="array" aca="1" ref="AG182" ca="1">MMS_PastureBeef_Methane_Equations.VEERG_4_2_1_1__2_MethaneProductionFromManure(AF136,$I$155,$E$165,$X$171,$I$158)</f>
        <v>1.1061796823535802E-3</v>
      </c>
      <c r="AH182" s="25" cm="1">
        <f t="array" aca="1" ref="AH182" ca="1">MMS_PastureBeef_Methane_Equations.VEERG_4_2_1_1__2_MethaneProductionFromManure(AG136,$I$155,$E$165,$X$171,$I$158)</f>
        <v>1.1061796823535802E-3</v>
      </c>
      <c r="AI182" s="26" t="str">
        <f t="shared" si="8"/>
        <v>kg CH4/head/day</v>
      </c>
      <c r="AJ182" s="26"/>
    </row>
    <row r="183" spans="4:36" ht="20.100000000000001" customHeight="1" x14ac:dyDescent="0.25">
      <c r="D183" s="25" t="str">
        <f>'Input - Pasture Beef'!$D$181</f>
        <v>Anaerobic lagoon</v>
      </c>
      <c r="E183" s="25" t="s">
        <v>205</v>
      </c>
      <c r="F183" s="25" cm="1">
        <f t="array" aca="1" ref="F183" ca="1">MMS_PastureBeef_Methane_Equations.VEERG_4_2_1_1__2_MethaneProductionFromManure(E133,$I$155,$E$166,$E$172,$I$158)</f>
        <v>5.9735979980543661E-4</v>
      </c>
      <c r="G183" s="25" cm="1">
        <f t="array" aca="1" ref="G183" ca="1">MMS_PastureBeef_Methane_Equations.VEERG_4_2_1_1__2_MethaneProductionFromManure(F133,$I$155,$E$166,$E$172,$I$158)</f>
        <v>1.7337714743438364E-3</v>
      </c>
      <c r="H183" s="25" cm="1">
        <f t="array" aca="1" ref="H183" ca="1">MMS_PastureBeef_Methane_Equations.VEERG_4_2_1_1__2_MethaneProductionFromManure(G133,$I$155,$E$166,$E$172,$I$158)</f>
        <v>5.4458548739000758E-4</v>
      </c>
      <c r="I183" s="25" cm="1">
        <f t="array" aca="1" ref="I183" ca="1">MMS_PastureBeef_Methane_Equations.VEERG_4_2_1_1__2_MethaneProductionFromManure(H133,$I$155,$E$166,$E$172,$I$158)</f>
        <v>1.1069640937225215E-3</v>
      </c>
      <c r="J183" s="25" cm="1">
        <f t="array" aca="1" ref="J183" ca="1">MMS_PastureBeef_Methane_Equations.VEERG_4_2_1_1__2_MethaneProductionFromManure(I133,$I$155,$E$166,$E$172,$I$158)</f>
        <v>1.2358514003710424E-3</v>
      </c>
      <c r="K183" s="25" cm="1">
        <f t="array" aca="1" ref="K183" ca="1">MMS_PastureBeef_Methane_Equations.VEERG_4_2_1_1__2_MethaneProductionFromManure(J133,$I$155,$E$166,$E$172,$I$158)</f>
        <v>1.2358514003710424E-3</v>
      </c>
      <c r="L183" s="25" cm="1">
        <f t="array" aca="1" ref="L183" ca="1">MMS_PastureBeef_Methane_Equations.VEERG_4_2_1_1__2_MethaneProductionFromManure(K133,$I$155,$E$166,$E$172,$I$158)</f>
        <v>5.9735979980543661E-4</v>
      </c>
      <c r="M183" s="25" cm="1">
        <f t="array" aca="1" ref="M183" ca="1">MMS_PastureBeef_Methane_Equations.VEERG_4_2_1_1__2_MethaneProductionFromManure(L133,$I$155,$E$166,$E$172,$I$158)</f>
        <v>1.0845213193194834E-3</v>
      </c>
      <c r="N183" s="25" cm="1">
        <f t="array" aca="1" ref="N183" ca="1">MMS_PastureBeef_Methane_Equations.VEERG_4_2_1_1__2_MethaneProductionFromManure(M133,$I$155,$E$166,$E$172,$I$158)</f>
        <v>1.0845213193194834E-3</v>
      </c>
      <c r="O183" s="25" cm="1">
        <f t="array" aca="1" ref="O183" ca="1">MMS_PastureBeef_Methane_Equations.VEERG_4_2_1_1__2_MethaneProductionFromManure(N133,$I$155,$E$166,$E$172,$I$158)</f>
        <v>1.0845213193194834E-3</v>
      </c>
      <c r="P183" s="26" t="str">
        <f t="shared" si="6"/>
        <v>kg CH4/head/day</v>
      </c>
      <c r="Q183" s="26"/>
      <c r="R183" s="26"/>
      <c r="S183" s="26"/>
      <c r="W183" s="25" t="str">
        <f>'Input - Pasture Beef'!$D$180</f>
        <v>Pasture range and paddock</v>
      </c>
      <c r="X183" s="25" t="str">
        <f t="shared" si="7"/>
        <v>July 2025</v>
      </c>
      <c r="Y183" s="25" cm="1">
        <f t="array" aca="1" ref="Y183" ca="1">MMS_PastureBeef_Methane_Equations.VEERG_4_2_1_1__2_MethaneProductionFromManure(X137,$I$155,$E$165,$X$171,$I$158)</f>
        <v>8.2649649833119491E-4</v>
      </c>
      <c r="Z183" s="25" cm="1">
        <f t="array" aca="1" ref="Z183" ca="1">MMS_PastureBeef_Methane_Equations.VEERG_4_2_1_1__2_MethaneProductionFromManure(Y137,$I$155,$E$165,$X$171,$I$158)</f>
        <v>1.6061464433302867E-3</v>
      </c>
      <c r="AA183" s="25" cm="1">
        <f t="array" aca="1" ref="AA183" ca="1">MMS_PastureBeef_Methane_Equations.VEERG_4_2_1_1__2_MethaneProductionFromManure(Z137,$I$155,$E$165,$X$171,$I$158)</f>
        <v>6.7671731165028866E-4</v>
      </c>
      <c r="AB183" s="25" cm="1">
        <f t="array" aca="1" ref="AB183" ca="1">MMS_PastureBeef_Methane_Equations.VEERG_4_2_1_1__2_MethaneProductionFromManure(AA137,$I$155,$E$165,$X$171,$I$158)</f>
        <v>9.5449324395505564E-4</v>
      </c>
      <c r="AC183" s="25" cm="1">
        <f t="array" aca="1" ref="AC183" ca="1">MMS_PastureBeef_Methane_Equations.VEERG_4_2_1_1__2_MethaneProductionFromManure(AB137,$I$155,$E$165,$X$171,$I$158)</f>
        <v>1.2804821131099714E-3</v>
      </c>
      <c r="AD183" s="25" cm="1">
        <f t="array" aca="1" ref="AD183" ca="1">MMS_PastureBeef_Methane_Equations.VEERG_4_2_1_1__2_MethaneProductionFromManure(AC137,$I$155,$E$165,$X$171,$I$158)</f>
        <v>1.2804821131099714E-3</v>
      </c>
      <c r="AE183" s="25" cm="1">
        <f t="array" aca="1" ref="AE183" ca="1">MMS_PastureBeef_Methane_Equations.VEERG_4_2_1_1__2_MethaneProductionFromManure(AD137,$I$155,$E$165,$X$171,$I$158)</f>
        <v>7.2656299991787044E-4</v>
      </c>
      <c r="AF183" s="25" cm="1">
        <f t="array" aca="1" ref="AF183" ca="1">MMS_PastureBeef_Methane_Equations.VEERG_4_2_1_1__2_MethaneProductionFromManure(AE137,$I$155,$E$165,$X$171,$I$158)</f>
        <v>1.1061796823535802E-3</v>
      </c>
      <c r="AG183" s="25" cm="1">
        <f t="array" aca="1" ref="AG183" ca="1">MMS_PastureBeef_Methane_Equations.VEERG_4_2_1_1__2_MethaneProductionFromManure(AF137,$I$155,$E$165,$X$171,$I$158)</f>
        <v>1.1061796823535802E-3</v>
      </c>
      <c r="AH183" s="25" cm="1">
        <f t="array" aca="1" ref="AH183" ca="1">MMS_PastureBeef_Methane_Equations.VEERG_4_2_1_1__2_MethaneProductionFromManure(AG137,$I$155,$E$165,$X$171,$I$158)</f>
        <v>1.1061796823535802E-3</v>
      </c>
      <c r="AI183" s="26" t="str">
        <f t="shared" si="8"/>
        <v>kg CH4/head/day</v>
      </c>
      <c r="AJ183" s="26"/>
    </row>
    <row r="184" spans="4:36" ht="20.100000000000001" customHeight="1" x14ac:dyDescent="0.25">
      <c r="D184" s="25" t="str">
        <f>'Input - Pasture Beef'!$D$181</f>
        <v>Anaerobic lagoon</v>
      </c>
      <c r="E184" s="25" t="s">
        <v>206</v>
      </c>
      <c r="F184" s="25" cm="1">
        <f t="array" aca="1" ref="F184" ca="1">MMS_PastureBeef_Methane_Equations.VEERG_4_2_1_1__2_MethaneProductionFromManure(E134,$I$155,$E$166,$E$172,$I$158)</f>
        <v>5.0709963244166274E-4</v>
      </c>
      <c r="G184" s="25" cm="1">
        <f t="array" aca="1" ref="G184" ca="1">MMS_PastureBeef_Methane_Equations.VEERG_4_2_1_1__2_MethaneProductionFromManure(F134,$I$155,$E$166,$E$172,$I$158)</f>
        <v>9.854564087141411E-4</v>
      </c>
      <c r="H184" s="25" cm="1">
        <f t="array" aca="1" ref="H184" ca="1">MMS_PastureBeef_Methane_Equations.VEERG_4_2_1_1__2_MethaneProductionFromManure(G134,$I$155,$E$166,$E$172,$I$158)</f>
        <v>4.1520212208722356E-4</v>
      </c>
      <c r="I184" s="25" cm="1">
        <f t="array" aca="1" ref="I184" ca="1">MMS_PastureBeef_Methane_Equations.VEERG_4_2_1_1__2_MethaneProductionFromManure(H134,$I$155,$E$166,$E$172,$I$158)</f>
        <v>7.0861527027338679E-4</v>
      </c>
      <c r="J184" s="25" cm="1">
        <f t="array" aca="1" ref="J184" ca="1">MMS_PastureBeef_Methane_Equations.VEERG_4_2_1_1__2_MethaneProductionFromManure(I134,$I$155,$E$166,$E$172,$I$158)</f>
        <v>9.0349059161154151E-4</v>
      </c>
      <c r="K184" s="25" cm="1">
        <f t="array" aca="1" ref="K184" ca="1">MMS_PastureBeef_Methane_Equations.VEERG_4_2_1_1__2_MethaneProductionFromManure(J134,$I$155,$E$166,$E$172,$I$158)</f>
        <v>9.0349059161154151E-4</v>
      </c>
      <c r="L184" s="25" cm="1">
        <f t="array" aca="1" ref="L184" ca="1">MMS_PastureBeef_Methane_Equations.VEERG_4_2_1_1__2_MethaneProductionFromManure(K134,$I$155,$E$166,$E$172,$I$158)</f>
        <v>4.457851073150249E-4</v>
      </c>
      <c r="M184" s="25" cm="1">
        <f t="array" aca="1" ref="M184" ca="1">MMS_PastureBeef_Methane_Equations.VEERG_4_2_1_1__2_MethaneProductionFromManure(L134,$I$155,$E$166,$E$172,$I$158)</f>
        <v>6.787001656613841E-4</v>
      </c>
      <c r="N184" s="25" cm="1">
        <f t="array" aca="1" ref="N184" ca="1">MMS_PastureBeef_Methane_Equations.VEERG_4_2_1_1__2_MethaneProductionFromManure(M134,$I$155,$E$166,$E$172,$I$158)</f>
        <v>6.787001656613841E-4</v>
      </c>
      <c r="O184" s="25" cm="1">
        <f t="array" aca="1" ref="O184" ca="1">MMS_PastureBeef_Methane_Equations.VEERG_4_2_1_1__2_MethaneProductionFromManure(N134,$I$155,$E$166,$E$172,$I$158)</f>
        <v>6.787001656613841E-4</v>
      </c>
      <c r="P184" s="26" t="str">
        <f t="shared" si="6"/>
        <v>kg CH4/head/day</v>
      </c>
      <c r="Q184" s="26"/>
      <c r="R184" s="26"/>
      <c r="S184" s="26"/>
      <c r="W184" s="25" t="str">
        <f>'Input - Pasture Beef'!$D$180</f>
        <v>Pasture range and paddock</v>
      </c>
      <c r="X184" s="25" t="str">
        <f t="shared" si="7"/>
        <v>August 2025</v>
      </c>
      <c r="Y184" s="25" cm="1">
        <f t="array" aca="1" ref="Y184" ca="1">MMS_PastureBeef_Methane_Equations.VEERG_4_2_1_1__2_MethaneProductionFromManure(X138,$I$155,$E$165,$X$171,$I$158)</f>
        <v>8.2649649833119491E-4</v>
      </c>
      <c r="Z184" s="25" cm="1">
        <f t="array" aca="1" ref="Z184" ca="1">MMS_PastureBeef_Methane_Equations.VEERG_4_2_1_1__2_MethaneProductionFromManure(Y138,$I$155,$E$165,$X$171,$I$158)</f>
        <v>1.6061464433302867E-3</v>
      </c>
      <c r="AA184" s="25" cm="1">
        <f t="array" aca="1" ref="AA184" ca="1">MMS_PastureBeef_Methane_Equations.VEERG_4_2_1_1__2_MethaneProductionFromManure(Z138,$I$155,$E$165,$X$171,$I$158)</f>
        <v>6.7671731165028866E-4</v>
      </c>
      <c r="AB184" s="25" cm="1">
        <f t="array" aca="1" ref="AB184" ca="1">MMS_PastureBeef_Methane_Equations.VEERG_4_2_1_1__2_MethaneProductionFromManure(AA138,$I$155,$E$165,$X$171,$I$158)</f>
        <v>9.5449324395505564E-4</v>
      </c>
      <c r="AC184" s="25" cm="1">
        <f t="array" aca="1" ref="AC184" ca="1">MMS_PastureBeef_Methane_Equations.VEERG_4_2_1_1__2_MethaneProductionFromManure(AB138,$I$155,$E$165,$X$171,$I$158)</f>
        <v>1.2804821131099714E-3</v>
      </c>
      <c r="AD184" s="25" cm="1">
        <f t="array" aca="1" ref="AD184" ca="1">MMS_PastureBeef_Methane_Equations.VEERG_4_2_1_1__2_MethaneProductionFromManure(AC138,$I$155,$E$165,$X$171,$I$158)</f>
        <v>1.2804821131099714E-3</v>
      </c>
      <c r="AE184" s="25" cm="1">
        <f t="array" aca="1" ref="AE184" ca="1">MMS_PastureBeef_Methane_Equations.VEERG_4_2_1_1__2_MethaneProductionFromManure(AD138,$I$155,$E$165,$X$171,$I$158)</f>
        <v>7.2656299991787044E-4</v>
      </c>
      <c r="AF184" s="25" cm="1">
        <f t="array" aca="1" ref="AF184" ca="1">MMS_PastureBeef_Methane_Equations.VEERG_4_2_1_1__2_MethaneProductionFromManure(AE138,$I$155,$E$165,$X$171,$I$158)</f>
        <v>1.1061796823535802E-3</v>
      </c>
      <c r="AG184" s="25" cm="1">
        <f t="array" aca="1" ref="AG184" ca="1">MMS_PastureBeef_Methane_Equations.VEERG_4_2_1_1__2_MethaneProductionFromManure(AF138,$I$155,$E$165,$X$171,$I$158)</f>
        <v>1.1061796823535802E-3</v>
      </c>
      <c r="AH184" s="25" cm="1">
        <f t="array" aca="1" ref="AH184" ca="1">MMS_PastureBeef_Methane_Equations.VEERG_4_2_1_1__2_MethaneProductionFromManure(AG138,$I$155,$E$165,$X$171,$I$158)</f>
        <v>1.1061796823535802E-3</v>
      </c>
      <c r="AI184" s="26" t="str">
        <f t="shared" si="8"/>
        <v>kg CH4/head/day</v>
      </c>
      <c r="AJ184" s="26"/>
    </row>
    <row r="185" spans="4:36" ht="20.100000000000001" customHeight="1" x14ac:dyDescent="0.25">
      <c r="W185" s="25" t="str">
        <f>'Input - Pasture Beef'!$D$180</f>
        <v>Pasture range and paddock</v>
      </c>
      <c r="X185" s="25" t="str">
        <f t="shared" si="7"/>
        <v>September 2025</v>
      </c>
      <c r="Y185" s="25" cm="1">
        <f t="array" aca="1" ref="Y185" ca="1">MMS_PastureBeef_Methane_Equations.VEERG_4_2_1_1__2_MethaneProductionFromManure(X139,$I$155,$E$165,$X$171,$I$158)</f>
        <v>1.1554629863615776E-3</v>
      </c>
      <c r="Z185" s="25" cm="1">
        <f t="array" aca="1" ref="Z185" ca="1">MMS_PastureBeef_Methane_Equations.VEERG_4_2_1_1__2_MethaneProductionFromManure(Y139,$I$155,$E$165,$X$171,$I$158)</f>
        <v>1.6319378649193843E-3</v>
      </c>
      <c r="AA185" s="25" cm="1">
        <f t="array" aca="1" ref="AA185" ca="1">MMS_PastureBeef_Methane_Equations.VEERG_4_2_1_1__2_MethaneProductionFromManure(Z139,$I$155,$E$165,$X$171,$I$158)</f>
        <v>8.8069357361036688E-4</v>
      </c>
      <c r="AB185" s="25" cm="1">
        <f t="array" aca="1" ref="AB185" ca="1">MMS_PastureBeef_Methane_Equations.VEERG_4_2_1_1__2_MethaneProductionFromManure(AA139,$I$155,$E$165,$X$171,$I$158)</f>
        <v>1.1557533771491882E-3</v>
      </c>
      <c r="AC185" s="25" cm="1">
        <f t="array" aca="1" ref="AC185" ca="1">MMS_PastureBeef_Methane_Equations.VEERG_4_2_1_1__2_MethaneProductionFromManure(AB139,$I$155,$E$165,$X$171,$I$158)</f>
        <v>1.2834150717687283E-3</v>
      </c>
      <c r="AD185" s="25" cm="1">
        <f t="array" aca="1" ref="AD185" ca="1">MMS_PastureBeef_Methane_Equations.VEERG_4_2_1_1__2_MethaneProductionFromManure(AC139,$I$155,$E$165,$X$171,$I$158)</f>
        <v>1.2834150717687283E-3</v>
      </c>
      <c r="AE185" s="25" cm="1">
        <f t="array" aca="1" ref="AE185" ca="1">MMS_PastureBeef_Methane_Equations.VEERG_4_2_1_1__2_MethaneProductionFromManure(AD139,$I$155,$E$165,$X$171,$I$158)</f>
        <v>1.0153229299765547E-3</v>
      </c>
      <c r="AF185" s="25" cm="1">
        <f t="array" aca="1" ref="AF185" ca="1">MMS_PastureBeef_Methane_Equations.VEERG_4_2_1_1__2_MethaneProductionFromManure(AE139,$I$155,$E$165,$X$171,$I$158)</f>
        <v>1.2902560309095339E-3</v>
      </c>
      <c r="AG185" s="25" cm="1">
        <f t="array" aca="1" ref="AG185" ca="1">MMS_PastureBeef_Methane_Equations.VEERG_4_2_1_1__2_MethaneProductionFromManure(AF139,$I$155,$E$165,$X$171,$I$158)</f>
        <v>1.2902560309095339E-3</v>
      </c>
      <c r="AH185" s="25" cm="1">
        <f t="array" aca="1" ref="AH185" ca="1">MMS_PastureBeef_Methane_Equations.VEERG_4_2_1_1__2_MethaneProductionFromManure(AG139,$I$155,$E$165,$X$171,$I$158)</f>
        <v>1.2902560309095339E-3</v>
      </c>
      <c r="AI185" s="26" t="str">
        <f t="shared" si="8"/>
        <v>kg CH4/head/day</v>
      </c>
      <c r="AJ185" s="26"/>
    </row>
    <row r="186" spans="4:36" ht="20.100000000000001" customHeight="1" x14ac:dyDescent="0.25">
      <c r="W186" s="25" t="str">
        <f>'Input - Pasture Beef'!$D$180</f>
        <v>Pasture range and paddock</v>
      </c>
      <c r="X186" s="25" t="str">
        <f t="shared" si="7"/>
        <v>October 2025</v>
      </c>
      <c r="Y186" s="25" cm="1">
        <f t="array" aca="1" ref="Y186" ca="1">MMS_PastureBeef_Methane_Equations.VEERG_4_2_1_1__2_MethaneProductionFromManure(X140,$I$155,$E$165,$X$171,$I$158)</f>
        <v>1.1554629863615776E-3</v>
      </c>
      <c r="Z186" s="25" cm="1">
        <f t="array" aca="1" ref="Z186" ca="1">MMS_PastureBeef_Methane_Equations.VEERG_4_2_1_1__2_MethaneProductionFromManure(Y140,$I$155,$E$165,$X$171,$I$158)</f>
        <v>1.6319378649193843E-3</v>
      </c>
      <c r="AA186" s="25" cm="1">
        <f t="array" aca="1" ref="AA186" ca="1">MMS_PastureBeef_Methane_Equations.VEERG_4_2_1_1__2_MethaneProductionFromManure(Z140,$I$155,$E$165,$X$171,$I$158)</f>
        <v>8.8069357361036688E-4</v>
      </c>
      <c r="AB186" s="25" cm="1">
        <f t="array" aca="1" ref="AB186" ca="1">MMS_PastureBeef_Methane_Equations.VEERG_4_2_1_1__2_MethaneProductionFromManure(AA140,$I$155,$E$165,$X$171,$I$158)</f>
        <v>1.1557533771491882E-3</v>
      </c>
      <c r="AC186" s="25" cm="1">
        <f t="array" aca="1" ref="AC186" ca="1">MMS_PastureBeef_Methane_Equations.VEERG_4_2_1_1__2_MethaneProductionFromManure(AB140,$I$155,$E$165,$X$171,$I$158)</f>
        <v>1.2834150717687283E-3</v>
      </c>
      <c r="AD186" s="25" cm="1">
        <f t="array" aca="1" ref="AD186" ca="1">MMS_PastureBeef_Methane_Equations.VEERG_4_2_1_1__2_MethaneProductionFromManure(AC140,$I$155,$E$165,$X$171,$I$158)</f>
        <v>1.2834150717687283E-3</v>
      </c>
      <c r="AE186" s="25" cm="1">
        <f t="array" aca="1" ref="AE186" ca="1">MMS_PastureBeef_Methane_Equations.VEERG_4_2_1_1__2_MethaneProductionFromManure(AD140,$I$155,$E$165,$X$171,$I$158)</f>
        <v>1.0153229299765547E-3</v>
      </c>
      <c r="AF186" s="25" cm="1">
        <f t="array" aca="1" ref="AF186" ca="1">MMS_PastureBeef_Methane_Equations.VEERG_4_2_1_1__2_MethaneProductionFromManure(AE140,$I$155,$E$165,$X$171,$I$158)</f>
        <v>1.2902560309095339E-3</v>
      </c>
      <c r="AG186" s="25" cm="1">
        <f t="array" aca="1" ref="AG186" ca="1">MMS_PastureBeef_Methane_Equations.VEERG_4_2_1_1__2_MethaneProductionFromManure(AF140,$I$155,$E$165,$X$171,$I$158)</f>
        <v>1.2902560309095339E-3</v>
      </c>
      <c r="AH186" s="25" cm="1">
        <f t="array" aca="1" ref="AH186" ca="1">MMS_PastureBeef_Methane_Equations.VEERG_4_2_1_1__2_MethaneProductionFromManure(AG140,$I$155,$E$165,$X$171,$I$158)</f>
        <v>1.2902560309095339E-3</v>
      </c>
      <c r="AI186" s="26" t="str">
        <f t="shared" si="8"/>
        <v>kg CH4/head/day</v>
      </c>
      <c r="AJ186" s="26"/>
    </row>
    <row r="187" spans="4:36" ht="20.100000000000001" customHeight="1" x14ac:dyDescent="0.25">
      <c r="W187" s="25" t="str">
        <f>'Input - Pasture Beef'!$D$180</f>
        <v>Pasture range and paddock</v>
      </c>
      <c r="X187" s="25" t="str">
        <f t="shared" si="7"/>
        <v>November 2025</v>
      </c>
      <c r="Y187" s="25" cm="1">
        <f t="array" aca="1" ref="Y187" ca="1">MMS_PastureBeef_Methane_Equations.VEERG_4_2_1_1__2_MethaneProductionFromManure(X141,$I$155,$E$165,$X$171,$I$158)</f>
        <v>1.1554629863615776E-3</v>
      </c>
      <c r="Z187" s="25" cm="1">
        <f t="array" aca="1" ref="Z187" ca="1">MMS_PastureBeef_Methane_Equations.VEERG_4_2_1_1__2_MethaneProductionFromManure(Y141,$I$155,$E$165,$X$171,$I$158)</f>
        <v>1.6319378649193843E-3</v>
      </c>
      <c r="AA187" s="25" cm="1">
        <f t="array" aca="1" ref="AA187" ca="1">MMS_PastureBeef_Methane_Equations.VEERG_4_2_1_1__2_MethaneProductionFromManure(Z141,$I$155,$E$165,$X$171,$I$158)</f>
        <v>8.8069357361036688E-4</v>
      </c>
      <c r="AB187" s="25" cm="1">
        <f t="array" aca="1" ref="AB187" ca="1">MMS_PastureBeef_Methane_Equations.VEERG_4_2_1_1__2_MethaneProductionFromManure(AA141,$I$155,$E$165,$X$171,$I$158)</f>
        <v>1.1557533771491882E-3</v>
      </c>
      <c r="AC187" s="25" cm="1">
        <f t="array" aca="1" ref="AC187" ca="1">MMS_PastureBeef_Methane_Equations.VEERG_4_2_1_1__2_MethaneProductionFromManure(AB141,$I$155,$E$165,$X$171,$I$158)</f>
        <v>1.2834150717687283E-3</v>
      </c>
      <c r="AD187" s="25" cm="1">
        <f t="array" aca="1" ref="AD187" ca="1">MMS_PastureBeef_Methane_Equations.VEERG_4_2_1_1__2_MethaneProductionFromManure(AC141,$I$155,$E$165,$X$171,$I$158)</f>
        <v>1.2834150717687283E-3</v>
      </c>
      <c r="AE187" s="25" cm="1">
        <f t="array" aca="1" ref="AE187" ca="1">MMS_PastureBeef_Methane_Equations.VEERG_4_2_1_1__2_MethaneProductionFromManure(AD141,$I$155,$E$165,$X$171,$I$158)</f>
        <v>1.0153229299765547E-3</v>
      </c>
      <c r="AF187" s="25" cm="1">
        <f t="array" aca="1" ref="AF187" ca="1">MMS_PastureBeef_Methane_Equations.VEERG_4_2_1_1__2_MethaneProductionFromManure(AE141,$I$155,$E$165,$X$171,$I$158)</f>
        <v>1.2902560309095339E-3</v>
      </c>
      <c r="AG187" s="25" cm="1">
        <f t="array" aca="1" ref="AG187" ca="1">MMS_PastureBeef_Methane_Equations.VEERG_4_2_1_1__2_MethaneProductionFromManure(AF141,$I$155,$E$165,$X$171,$I$158)</f>
        <v>1.2902560309095339E-3</v>
      </c>
      <c r="AH187" s="25" cm="1">
        <f t="array" aca="1" ref="AH187" ca="1">MMS_PastureBeef_Methane_Equations.VEERG_4_2_1_1__2_MethaneProductionFromManure(AG141,$I$155,$E$165,$X$171,$I$158)</f>
        <v>1.2902560309095339E-3</v>
      </c>
      <c r="AI187" s="26" t="str">
        <f t="shared" si="8"/>
        <v>kg CH4/head/day</v>
      </c>
      <c r="AJ187" s="26"/>
    </row>
    <row r="188" spans="4:36" ht="20.100000000000001" customHeight="1" x14ac:dyDescent="0.25">
      <c r="W188" s="25" t="str">
        <f>'Input - Pasture Beef'!$D$180</f>
        <v>Pasture range and paddock</v>
      </c>
      <c r="X188" s="25" t="str">
        <f t="shared" si="7"/>
        <v>December 2025</v>
      </c>
      <c r="Y188" s="25" cm="1">
        <f t="array" aca="1" ref="Y188" ca="1">MMS_PastureBeef_Methane_Equations.VEERG_4_2_1_1__2_MethaneProductionFromManure(X142,$I$155,$E$165,$X$171,$I$158)</f>
        <v>1.8253792307944732E-3</v>
      </c>
      <c r="Z188" s="25" cm="1">
        <f t="array" aca="1" ref="Z188" ca="1">MMS_PastureBeef_Methane_Equations.VEERG_4_2_1_1__2_MethaneProductionFromManure(Y142,$I$155,$E$165,$X$171,$I$158)</f>
        <v>2.4151571880932964E-3</v>
      </c>
      <c r="AA188" s="25" cm="1">
        <f t="array" aca="1" ref="AA188" ca="1">MMS_PastureBeef_Methane_Equations.VEERG_4_2_1_1__2_MethaneProductionFromManure(Z142,$I$155,$E$165,$X$171,$I$158)</f>
        <v>1.5351027116938406E-3</v>
      </c>
      <c r="AB188" s="25" cm="1">
        <f t="array" aca="1" ref="AB188" ca="1">MMS_PastureBeef_Methane_Equations.VEERG_4_2_1_1__2_MethaneProductionFromManure(AA142,$I$155,$E$165,$X$171,$I$158)</f>
        <v>2.0102185641193977E-3</v>
      </c>
      <c r="AC188" s="25" cm="1">
        <f t="array" aca="1" ref="AC188" ca="1">MMS_PastureBeef_Methane_Equations.VEERG_4_2_1_1__2_MethaneProductionFromManure(AB142,$I$155,$E$165,$X$171,$I$158)</f>
        <v>1.9903623456708156E-3</v>
      </c>
      <c r="AD188" s="25" cm="1">
        <f t="array" aca="1" ref="AD188" ca="1">MMS_PastureBeef_Methane_Equations.VEERG_4_2_1_1__2_MethaneProductionFromManure(AC142,$I$155,$E$165,$X$171,$I$158)</f>
        <v>1.9903623456708156E-3</v>
      </c>
      <c r="AE188" s="25" cm="1">
        <f t="array" aca="1" ref="AE188" ca="1">MMS_PastureBeef_Methane_Equations.VEERG_4_2_1_1__2_MethaneProductionFromManure(AD142,$I$155,$E$165,$X$171,$I$158)</f>
        <v>1.6825505854844633E-3</v>
      </c>
      <c r="AF188" s="25" cm="1">
        <f t="array" aca="1" ref="AF188" ca="1">MMS_PastureBeef_Methane_Equations.VEERG_4_2_1_1__2_MethaneProductionFromManure(AE142,$I$155,$E$165,$X$171,$I$158)</f>
        <v>1.8754949354493101E-3</v>
      </c>
      <c r="AG188" s="25" cm="1">
        <f t="array" aca="1" ref="AG188" ca="1">MMS_PastureBeef_Methane_Equations.VEERG_4_2_1_1__2_MethaneProductionFromManure(AF142,$I$155,$E$165,$X$171,$I$158)</f>
        <v>1.8754949354493101E-3</v>
      </c>
      <c r="AH188" s="25" cm="1">
        <f t="array" aca="1" ref="AH188" ca="1">MMS_PastureBeef_Methane_Equations.VEERG_4_2_1_1__2_MethaneProductionFromManure(AG142,$I$155,$E$165,$X$171,$I$158)</f>
        <v>1.8754949354493101E-3</v>
      </c>
      <c r="AI188" s="26" t="str">
        <f t="shared" si="8"/>
        <v>kg CH4/head/day</v>
      </c>
      <c r="AJ188" s="26"/>
    </row>
    <row r="189" spans="4:36" ht="20.100000000000001" customHeight="1" x14ac:dyDescent="0.25">
      <c r="W189" s="25" t="str">
        <f>'Input - Pasture Beef'!$D$181</f>
        <v>Anaerobic lagoon</v>
      </c>
      <c r="X189" s="25" t="str">
        <f>W131</f>
        <v>January 2025</v>
      </c>
      <c r="Y189" s="25" cm="1">
        <f t="array" aca="1" ref="Y189" ca="1">MMS_PastureBeef_Methane_Equations.VEERG_4_2_1_1__2_MethaneProductionFromManure(X131,$I$155,$E$166,$X$172,$I$158)</f>
        <v>1.1347038164154961E-3</v>
      </c>
      <c r="Z189" s="25" cm="1">
        <f t="array" aca="1" ref="Z189" ca="1">MMS_PastureBeef_Methane_Equations.VEERG_4_2_1_1__2_MethaneProductionFromManure(Y131,$I$155,$E$166,$X$172,$I$158)</f>
        <v>1.5013253313833415E-3</v>
      </c>
      <c r="AA189" s="25" cm="1">
        <f t="array" aca="1" ref="AA189" ca="1">MMS_PastureBeef_Methane_Equations.VEERG_4_2_1_1__2_MethaneProductionFromManure(Z131,$I$155,$E$166,$X$172,$I$158)</f>
        <v>9.5426028529460333E-4</v>
      </c>
      <c r="AB189" s="25" cm="1">
        <f t="array" aca="1" ref="AB189" ca="1">MMS_PastureBeef_Methane_Equations.VEERG_4_2_1_1__2_MethaneProductionFromManure(AA131,$I$155,$E$166,$X$172,$I$158)</f>
        <v>1.2496048152924261E-3</v>
      </c>
      <c r="AC189" s="25" cm="1">
        <f t="array" aca="1" ref="AC189" ca="1">MMS_PastureBeef_Methane_Equations.VEERG_4_2_1_1__2_MethaneProductionFromManure(AB131,$I$155,$E$166,$X$172,$I$158)</f>
        <v>1.2372616668260229E-3</v>
      </c>
      <c r="AD189" s="25" cm="1">
        <f t="array" aca="1" ref="AD189" ca="1">MMS_PastureBeef_Methane_Equations.VEERG_4_2_1_1__2_MethaneProductionFromManure(AC131,$I$155,$E$166,$X$172,$I$158)</f>
        <v>1.2372616668260229E-3</v>
      </c>
      <c r="AE189" s="25" cm="1">
        <f t="array" aca="1" ref="AE189" ca="1">MMS_PastureBeef_Methane_Equations.VEERG_4_2_1_1__2_MethaneProductionFromManure(AD131,$I$155,$E$166,$X$172,$I$158)</f>
        <v>1.0459177679097368E-3</v>
      </c>
      <c r="AF189" s="25" cm="1">
        <f t="array" aca="1" ref="AF189" ca="1">MMS_PastureBeef_Methane_Equations.VEERG_4_2_1_1__2_MethaneProductionFromManure(AE131,$I$155,$E$166,$X$172,$I$158)</f>
        <v>1.1658570586431096E-3</v>
      </c>
      <c r="AG189" s="25" cm="1">
        <f t="array" aca="1" ref="AG189" ca="1">MMS_PastureBeef_Methane_Equations.VEERG_4_2_1_1__2_MethaneProductionFromManure(AF131,$I$155,$E$166,$X$172,$I$158)</f>
        <v>1.1658570586431096E-3</v>
      </c>
      <c r="AH189" s="25" cm="1">
        <f t="array" aca="1" ref="AH189" ca="1">MMS_PastureBeef_Methane_Equations.VEERG_4_2_1_1__2_MethaneProductionFromManure(AG131,$I$155,$E$166,$X$172,$I$158)</f>
        <v>1.1658570586431096E-3</v>
      </c>
      <c r="AI189" s="26" t="str">
        <f t="shared" si="8"/>
        <v>kg CH4/head/day</v>
      </c>
      <c r="AJ189" s="26"/>
    </row>
    <row r="190" spans="4:36" ht="20.100000000000001" customHeight="1" x14ac:dyDescent="0.25">
      <c r="W190" s="25" t="str">
        <f>'Input - Pasture Beef'!$D$181</f>
        <v>Anaerobic lagoon</v>
      </c>
      <c r="X190" s="25" t="str">
        <f t="shared" ref="X190:X200" si="9">W132</f>
        <v>February 2025</v>
      </c>
      <c r="Y190" s="25" cm="1">
        <f t="array" aca="1" ref="Y190" ca="1">MMS_PastureBeef_Methane_Equations.VEERG_4_2_1_1__2_MethaneProductionFromManure(X132,$I$155,$E$166,$X$172,$I$158)</f>
        <v>1.1347038164154961E-3</v>
      </c>
      <c r="Z190" s="25" cm="1">
        <f t="array" aca="1" ref="Z190" ca="1">MMS_PastureBeef_Methane_Equations.VEERG_4_2_1_1__2_MethaneProductionFromManure(Y132,$I$155,$E$166,$X$172,$I$158)</f>
        <v>1.5013253313833415E-3</v>
      </c>
      <c r="AA190" s="25" cm="1">
        <f t="array" aca="1" ref="AA190" ca="1">MMS_PastureBeef_Methane_Equations.VEERG_4_2_1_1__2_MethaneProductionFromManure(Z132,$I$155,$E$166,$X$172,$I$158)</f>
        <v>9.5426028529460333E-4</v>
      </c>
      <c r="AB190" s="25" cm="1">
        <f t="array" aca="1" ref="AB190" ca="1">MMS_PastureBeef_Methane_Equations.VEERG_4_2_1_1__2_MethaneProductionFromManure(AA132,$I$155,$E$166,$X$172,$I$158)</f>
        <v>1.2496048152924261E-3</v>
      </c>
      <c r="AC190" s="25" cm="1">
        <f t="array" aca="1" ref="AC190" ca="1">MMS_PastureBeef_Methane_Equations.VEERG_4_2_1_1__2_MethaneProductionFromManure(AB132,$I$155,$E$166,$X$172,$I$158)</f>
        <v>1.2372616668260229E-3</v>
      </c>
      <c r="AD190" s="25" cm="1">
        <f t="array" aca="1" ref="AD190" ca="1">MMS_PastureBeef_Methane_Equations.VEERG_4_2_1_1__2_MethaneProductionFromManure(AC132,$I$155,$E$166,$X$172,$I$158)</f>
        <v>1.2372616668260229E-3</v>
      </c>
      <c r="AE190" s="25" cm="1">
        <f t="array" aca="1" ref="AE190" ca="1">MMS_PastureBeef_Methane_Equations.VEERG_4_2_1_1__2_MethaneProductionFromManure(AD132,$I$155,$E$166,$X$172,$I$158)</f>
        <v>1.0459177679097368E-3</v>
      </c>
      <c r="AF190" s="25" cm="1">
        <f t="array" aca="1" ref="AF190" ca="1">MMS_PastureBeef_Methane_Equations.VEERG_4_2_1_1__2_MethaneProductionFromManure(AE132,$I$155,$E$166,$X$172,$I$158)</f>
        <v>1.1658570586431096E-3</v>
      </c>
      <c r="AG190" s="25" cm="1">
        <f t="array" aca="1" ref="AG190" ca="1">MMS_PastureBeef_Methane_Equations.VEERG_4_2_1_1__2_MethaneProductionFromManure(AF132,$I$155,$E$166,$X$172,$I$158)</f>
        <v>1.1658570586431096E-3</v>
      </c>
      <c r="AH190" s="25" cm="1">
        <f t="array" aca="1" ref="AH190" ca="1">MMS_PastureBeef_Methane_Equations.VEERG_4_2_1_1__2_MethaneProductionFromManure(AG132,$I$155,$E$166,$X$172,$I$158)</f>
        <v>1.1658570586431096E-3</v>
      </c>
      <c r="AI190" s="26" t="str">
        <f t="shared" si="8"/>
        <v>kg CH4/head/day</v>
      </c>
      <c r="AJ190" s="26"/>
    </row>
    <row r="191" spans="4:36" ht="20.100000000000001" customHeight="1" x14ac:dyDescent="0.25">
      <c r="W191" s="25" t="str">
        <f>'Input - Pasture Beef'!$D$181</f>
        <v>Anaerobic lagoon</v>
      </c>
      <c r="X191" s="25" t="str">
        <f t="shared" si="9"/>
        <v>March 2025</v>
      </c>
      <c r="Y191" s="25" cm="1">
        <f t="array" aca="1" ref="Y191" ca="1">MMS_PastureBeef_Methane_Equations.VEERG_4_2_1_1__2_MethaneProductionFromManure(X133,$I$155,$E$166,$X$172,$I$158)</f>
        <v>6.0521979717129766E-4</v>
      </c>
      <c r="Z191" s="25" cm="1">
        <f t="array" aca="1" ref="Z191" ca="1">MMS_PastureBeef_Methane_Equations.VEERG_4_2_1_1__2_MethaneProductionFromManure(Y133,$I$155,$E$166,$X$172,$I$158)</f>
        <v>1.7565842569009921E-3</v>
      </c>
      <c r="AA191" s="25" cm="1">
        <f t="array" aca="1" ref="AA191" ca="1">MMS_PastureBeef_Methane_Equations.VEERG_4_2_1_1__2_MethaneProductionFromManure(Z133,$I$155,$E$166,$X$172,$I$158)</f>
        <v>5.5175108590829725E-4</v>
      </c>
      <c r="AB191" s="25" cm="1">
        <f t="array" aca="1" ref="AB191" ca="1">MMS_PastureBeef_Methane_Equations.VEERG_4_2_1_1__2_MethaneProductionFromManure(AA133,$I$155,$E$166,$X$172,$I$158)</f>
        <v>1.1104251591536494E-3</v>
      </c>
      <c r="AC191" s="25" cm="1">
        <f t="array" aca="1" ref="AC191" ca="1">MMS_PastureBeef_Methane_Equations.VEERG_4_2_1_1__2_MethaneProductionFromManure(AB133,$I$155,$E$166,$X$172,$I$158)</f>
        <v>1.2521126030075034E-3</v>
      </c>
      <c r="AD191" s="25" cm="1">
        <f t="array" aca="1" ref="AD191" ca="1">MMS_PastureBeef_Methane_Equations.VEERG_4_2_1_1__2_MethaneProductionFromManure(AC133,$I$155,$E$166,$X$172,$I$158)</f>
        <v>1.2521126030075034E-3</v>
      </c>
      <c r="AE191" s="25" cm="1">
        <f t="array" aca="1" ref="AE191" ca="1">MMS_PastureBeef_Methane_Equations.VEERG_4_2_1_1__2_MethaneProductionFromManure(AD133,$I$155,$E$166,$X$172,$I$158)</f>
        <v>6.0521979717129766E-4</v>
      </c>
      <c r="AF191" s="25" cm="1">
        <f t="array" aca="1" ref="AF191" ca="1">MMS_PastureBeef_Methane_Equations.VEERG_4_2_1_1__2_MethaneProductionFromManure(AE133,$I$155,$E$166,$X$172,$I$158)</f>
        <v>1.0987913366789503E-3</v>
      </c>
      <c r="AG191" s="25" cm="1">
        <f t="array" aca="1" ref="AG191" ca="1">MMS_PastureBeef_Methane_Equations.VEERG_4_2_1_1__2_MethaneProductionFromManure(AF133,$I$155,$E$166,$X$172,$I$158)</f>
        <v>1.0987913366789503E-3</v>
      </c>
      <c r="AH191" s="25" cm="1">
        <f t="array" aca="1" ref="AH191" ca="1">MMS_PastureBeef_Methane_Equations.VEERG_4_2_1_1__2_MethaneProductionFromManure(AG133,$I$155,$E$166,$X$172,$I$158)</f>
        <v>1.0987913366789503E-3</v>
      </c>
      <c r="AI191" s="26" t="str">
        <f t="shared" si="8"/>
        <v>kg CH4/head/day</v>
      </c>
      <c r="AJ191" s="26"/>
    </row>
    <row r="192" spans="4:36" ht="20.100000000000001" customHeight="1" x14ac:dyDescent="0.25">
      <c r="W192" s="25" t="str">
        <f>'Input - Pasture Beef'!$D$181</f>
        <v>Anaerobic lagoon</v>
      </c>
      <c r="X192" s="25" t="str">
        <f t="shared" si="9"/>
        <v>April 2025</v>
      </c>
      <c r="Y192" s="25" cm="1">
        <f t="array" aca="1" ref="Y192" ca="1">MMS_PastureBeef_Methane_Equations.VEERG_4_2_1_1__2_MethaneProductionFromManure(X134,$I$155,$E$166,$X$172,$I$158)</f>
        <v>6.0521979717129766E-4</v>
      </c>
      <c r="Z192" s="25" cm="1">
        <f t="array" aca="1" ref="Z192" ca="1">MMS_PastureBeef_Methane_Equations.VEERG_4_2_1_1__2_MethaneProductionFromManure(Y134,$I$155,$E$166,$X$172,$I$158)</f>
        <v>1.7565842569009921E-3</v>
      </c>
      <c r="AA192" s="25" cm="1">
        <f t="array" aca="1" ref="AA192" ca="1">MMS_PastureBeef_Methane_Equations.VEERG_4_2_1_1__2_MethaneProductionFromManure(Z134,$I$155,$E$166,$X$172,$I$158)</f>
        <v>5.5175108590829725E-4</v>
      </c>
      <c r="AB192" s="25" cm="1">
        <f t="array" aca="1" ref="AB192" ca="1">MMS_PastureBeef_Methane_Equations.VEERG_4_2_1_1__2_MethaneProductionFromManure(AA134,$I$155,$E$166,$X$172,$I$158)</f>
        <v>1.1104251591536494E-3</v>
      </c>
      <c r="AC192" s="25" cm="1">
        <f t="array" aca="1" ref="AC192" ca="1">MMS_PastureBeef_Methane_Equations.VEERG_4_2_1_1__2_MethaneProductionFromManure(AB134,$I$155,$E$166,$X$172,$I$158)</f>
        <v>1.2521126030075034E-3</v>
      </c>
      <c r="AD192" s="25" cm="1">
        <f t="array" aca="1" ref="AD192" ca="1">MMS_PastureBeef_Methane_Equations.VEERG_4_2_1_1__2_MethaneProductionFromManure(AC134,$I$155,$E$166,$X$172,$I$158)</f>
        <v>1.2521126030075034E-3</v>
      </c>
      <c r="AE192" s="25" cm="1">
        <f t="array" aca="1" ref="AE192" ca="1">MMS_PastureBeef_Methane_Equations.VEERG_4_2_1_1__2_MethaneProductionFromManure(AD134,$I$155,$E$166,$X$172,$I$158)</f>
        <v>6.0521979717129766E-4</v>
      </c>
      <c r="AF192" s="25" cm="1">
        <f t="array" aca="1" ref="AF192" ca="1">MMS_PastureBeef_Methane_Equations.VEERG_4_2_1_1__2_MethaneProductionFromManure(AE134,$I$155,$E$166,$X$172,$I$158)</f>
        <v>1.0987913366789503E-3</v>
      </c>
      <c r="AG192" s="25" cm="1">
        <f t="array" aca="1" ref="AG192" ca="1">MMS_PastureBeef_Methane_Equations.VEERG_4_2_1_1__2_MethaneProductionFromManure(AF134,$I$155,$E$166,$X$172,$I$158)</f>
        <v>1.0987913366789503E-3</v>
      </c>
      <c r="AH192" s="25" cm="1">
        <f t="array" aca="1" ref="AH192" ca="1">MMS_PastureBeef_Methane_Equations.VEERG_4_2_1_1__2_MethaneProductionFromManure(AG134,$I$155,$E$166,$X$172,$I$158)</f>
        <v>1.0987913366789503E-3</v>
      </c>
      <c r="AI192" s="26" t="str">
        <f t="shared" si="8"/>
        <v>kg CH4/head/day</v>
      </c>
      <c r="AJ192" s="26"/>
    </row>
    <row r="193" spans="3:37" ht="20.100000000000001" customHeight="1" x14ac:dyDescent="0.25">
      <c r="W193" s="25" t="str">
        <f>'Input - Pasture Beef'!$D$181</f>
        <v>Anaerobic lagoon</v>
      </c>
      <c r="X193" s="25" t="str">
        <f t="shared" si="9"/>
        <v>May 2025</v>
      </c>
      <c r="Y193" s="25" cm="1">
        <f t="array" aca="1" ref="Y193" ca="1">MMS_PastureBeef_Methane_Equations.VEERG_4_2_1_1__2_MethaneProductionFromManure(X135,$I$155,$E$166,$X$172,$I$158)</f>
        <v>6.0521979717129766E-4</v>
      </c>
      <c r="Z193" s="25" cm="1">
        <f t="array" aca="1" ref="Z193" ca="1">MMS_PastureBeef_Methane_Equations.VEERG_4_2_1_1__2_MethaneProductionFromManure(Y135,$I$155,$E$166,$X$172,$I$158)</f>
        <v>1.7565842569009921E-3</v>
      </c>
      <c r="AA193" s="25" cm="1">
        <f t="array" aca="1" ref="AA193" ca="1">MMS_PastureBeef_Methane_Equations.VEERG_4_2_1_1__2_MethaneProductionFromManure(Z135,$I$155,$E$166,$X$172,$I$158)</f>
        <v>5.5175108590829725E-4</v>
      </c>
      <c r="AB193" s="25" cm="1">
        <f t="array" aca="1" ref="AB193" ca="1">MMS_PastureBeef_Methane_Equations.VEERG_4_2_1_1__2_MethaneProductionFromManure(AA135,$I$155,$E$166,$X$172,$I$158)</f>
        <v>1.1104251591536494E-3</v>
      </c>
      <c r="AC193" s="25" cm="1">
        <f t="array" aca="1" ref="AC193" ca="1">MMS_PastureBeef_Methane_Equations.VEERG_4_2_1_1__2_MethaneProductionFromManure(AB135,$I$155,$E$166,$X$172,$I$158)</f>
        <v>1.2521126030075034E-3</v>
      </c>
      <c r="AD193" s="25" cm="1">
        <f t="array" aca="1" ref="AD193" ca="1">MMS_PastureBeef_Methane_Equations.VEERG_4_2_1_1__2_MethaneProductionFromManure(AC135,$I$155,$E$166,$X$172,$I$158)</f>
        <v>1.2521126030075034E-3</v>
      </c>
      <c r="AE193" s="25" cm="1">
        <f t="array" aca="1" ref="AE193" ca="1">MMS_PastureBeef_Methane_Equations.VEERG_4_2_1_1__2_MethaneProductionFromManure(AD135,$I$155,$E$166,$X$172,$I$158)</f>
        <v>6.0521979717129766E-4</v>
      </c>
      <c r="AF193" s="25" cm="1">
        <f t="array" aca="1" ref="AF193" ca="1">MMS_PastureBeef_Methane_Equations.VEERG_4_2_1_1__2_MethaneProductionFromManure(AE135,$I$155,$E$166,$X$172,$I$158)</f>
        <v>1.0987913366789503E-3</v>
      </c>
      <c r="AG193" s="25" cm="1">
        <f t="array" aca="1" ref="AG193" ca="1">MMS_PastureBeef_Methane_Equations.VEERG_4_2_1_1__2_MethaneProductionFromManure(AF135,$I$155,$E$166,$X$172,$I$158)</f>
        <v>1.0987913366789503E-3</v>
      </c>
      <c r="AH193" s="25" cm="1">
        <f t="array" aca="1" ref="AH193" ca="1">MMS_PastureBeef_Methane_Equations.VEERG_4_2_1_1__2_MethaneProductionFromManure(AG135,$I$155,$E$166,$X$172,$I$158)</f>
        <v>1.0987913366789503E-3</v>
      </c>
      <c r="AI193" s="26" t="str">
        <f t="shared" si="8"/>
        <v>kg CH4/head/day</v>
      </c>
      <c r="AJ193" s="26"/>
    </row>
    <row r="194" spans="3:37" ht="20.100000000000001" customHeight="1" x14ac:dyDescent="0.25">
      <c r="W194" s="25" t="str">
        <f>'Input - Pasture Beef'!$D$181</f>
        <v>Anaerobic lagoon</v>
      </c>
      <c r="X194" s="25" t="str">
        <f t="shared" si="9"/>
        <v>June 2025</v>
      </c>
      <c r="Y194" s="25" cm="1">
        <f t="array" aca="1" ref="Y194" ca="1">MMS_PastureBeef_Methane_Equations.VEERG_4_2_1_1__2_MethaneProductionFromManure(X136,$I$155,$E$166,$X$172,$I$158)</f>
        <v>5.1377199602642149E-4</v>
      </c>
      <c r="Z194" s="25" cm="1">
        <f t="array" aca="1" ref="Z194" ca="1">MMS_PastureBeef_Methane_Equations.VEERG_4_2_1_1__2_MethaneProductionFromManure(Y136,$I$155,$E$166,$X$172,$I$158)</f>
        <v>9.984229404077481E-4</v>
      </c>
      <c r="AA194" s="25" cm="1">
        <f t="array" aca="1" ref="AA194" ca="1">MMS_PastureBeef_Methane_Equations.VEERG_4_2_1_1__2_MethaneProductionFromManure(Z136,$I$155,$E$166,$X$172,$I$158)</f>
        <v>4.2066530790416074E-4</v>
      </c>
      <c r="AB194" s="25" cm="1">
        <f t="array" aca="1" ref="AB194" ca="1">MMS_PastureBeef_Methane_Equations.VEERG_4_2_1_1__2_MethaneProductionFromManure(AA136,$I$155,$E$166,$X$172,$I$158)</f>
        <v>5.9333814496575457E-4</v>
      </c>
      <c r="AC194" s="25" cm="1">
        <f t="array" aca="1" ref="AC194" ca="1">MMS_PastureBeef_Methane_Equations.VEERG_4_2_1_1__2_MethaneProductionFromManure(AB136,$I$155,$E$166,$X$172,$I$158)</f>
        <v>7.9598141366234209E-4</v>
      </c>
      <c r="AD194" s="25" cm="1">
        <f t="array" aca="1" ref="AD194" ca="1">MMS_PastureBeef_Methane_Equations.VEERG_4_2_1_1__2_MethaneProductionFromManure(AC136,$I$155,$E$166,$X$172,$I$158)</f>
        <v>7.9598141366234209E-4</v>
      </c>
      <c r="AE194" s="25" cm="1">
        <f t="array" aca="1" ref="AE194" ca="1">MMS_PastureBeef_Methane_Equations.VEERG_4_2_1_1__2_MethaneProductionFromManure(AD136,$I$155,$E$166,$X$172,$I$158)</f>
        <v>4.5165070083232783E-4</v>
      </c>
      <c r="AF194" s="25" cm="1">
        <f t="array" aca="1" ref="AF194" ca="1">MMS_PastureBeef_Methane_Equations.VEERG_4_2_1_1__2_MethaneProductionFromManure(AE136,$I$155,$E$166,$X$172,$I$158)</f>
        <v>6.8763043099903404E-4</v>
      </c>
      <c r="AG194" s="25" cm="1">
        <f t="array" aca="1" ref="AG194" ca="1">MMS_PastureBeef_Methane_Equations.VEERG_4_2_1_1__2_MethaneProductionFromManure(AF136,$I$155,$E$166,$X$172,$I$158)</f>
        <v>6.8763043099903404E-4</v>
      </c>
      <c r="AH194" s="25" cm="1">
        <f t="array" aca="1" ref="AH194" ca="1">MMS_PastureBeef_Methane_Equations.VEERG_4_2_1_1__2_MethaneProductionFromManure(AG136,$I$155,$E$166,$X$172,$I$158)</f>
        <v>6.8763043099903404E-4</v>
      </c>
      <c r="AI194" s="26" t="str">
        <f t="shared" si="8"/>
        <v>kg CH4/head/day</v>
      </c>
      <c r="AJ194" s="26"/>
    </row>
    <row r="195" spans="3:37" ht="20.100000000000001" customHeight="1" x14ac:dyDescent="0.25">
      <c r="W195" s="25" t="str">
        <f>'Input - Pasture Beef'!$D$181</f>
        <v>Anaerobic lagoon</v>
      </c>
      <c r="X195" s="25" t="str">
        <f t="shared" si="9"/>
        <v>July 2025</v>
      </c>
      <c r="Y195" s="25" cm="1">
        <f t="array" aca="1" ref="Y195" ca="1">MMS_PastureBeef_Methane_Equations.VEERG_4_2_1_1__2_MethaneProductionFromManure(X137,$I$155,$E$166,$X$172,$I$158)</f>
        <v>5.1377199602642149E-4</v>
      </c>
      <c r="Z195" s="25" cm="1">
        <f t="array" aca="1" ref="Z195" ca="1">MMS_PastureBeef_Methane_Equations.VEERG_4_2_1_1__2_MethaneProductionFromManure(Y137,$I$155,$E$166,$X$172,$I$158)</f>
        <v>9.984229404077481E-4</v>
      </c>
      <c r="AA195" s="25" cm="1">
        <f t="array" aca="1" ref="AA195" ca="1">MMS_PastureBeef_Methane_Equations.VEERG_4_2_1_1__2_MethaneProductionFromManure(Z137,$I$155,$E$166,$X$172,$I$158)</f>
        <v>4.2066530790416074E-4</v>
      </c>
      <c r="AB195" s="25" cm="1">
        <f t="array" aca="1" ref="AB195" ca="1">MMS_PastureBeef_Methane_Equations.VEERG_4_2_1_1__2_MethaneProductionFromManure(AA137,$I$155,$E$166,$X$172,$I$158)</f>
        <v>5.9333814496575457E-4</v>
      </c>
      <c r="AC195" s="25" cm="1">
        <f t="array" aca="1" ref="AC195" ca="1">MMS_PastureBeef_Methane_Equations.VEERG_4_2_1_1__2_MethaneProductionFromManure(AB137,$I$155,$E$166,$X$172,$I$158)</f>
        <v>7.9598141366234209E-4</v>
      </c>
      <c r="AD195" s="25" cm="1">
        <f t="array" aca="1" ref="AD195" ca="1">MMS_PastureBeef_Methane_Equations.VEERG_4_2_1_1__2_MethaneProductionFromManure(AC137,$I$155,$E$166,$X$172,$I$158)</f>
        <v>7.9598141366234209E-4</v>
      </c>
      <c r="AE195" s="25" cm="1">
        <f t="array" aca="1" ref="AE195" ca="1">MMS_PastureBeef_Methane_Equations.VEERG_4_2_1_1__2_MethaneProductionFromManure(AD137,$I$155,$E$166,$X$172,$I$158)</f>
        <v>4.5165070083232783E-4</v>
      </c>
      <c r="AF195" s="25" cm="1">
        <f t="array" aca="1" ref="AF195" ca="1">MMS_PastureBeef_Methane_Equations.VEERG_4_2_1_1__2_MethaneProductionFromManure(AE137,$I$155,$E$166,$X$172,$I$158)</f>
        <v>6.8763043099903404E-4</v>
      </c>
      <c r="AG195" s="25" cm="1">
        <f t="array" aca="1" ref="AG195" ca="1">MMS_PastureBeef_Methane_Equations.VEERG_4_2_1_1__2_MethaneProductionFromManure(AF137,$I$155,$E$166,$X$172,$I$158)</f>
        <v>6.8763043099903404E-4</v>
      </c>
      <c r="AH195" s="25" cm="1">
        <f t="array" aca="1" ref="AH195" ca="1">MMS_PastureBeef_Methane_Equations.VEERG_4_2_1_1__2_MethaneProductionFromManure(AG137,$I$155,$E$166,$X$172,$I$158)</f>
        <v>6.8763043099903404E-4</v>
      </c>
      <c r="AI195" s="26" t="str">
        <f t="shared" si="8"/>
        <v>kg CH4/head/day</v>
      </c>
      <c r="AJ195" s="26"/>
    </row>
    <row r="196" spans="3:37" ht="20.100000000000001" customHeight="1" x14ac:dyDescent="0.25">
      <c r="W196" s="25" t="str">
        <f>'Input - Pasture Beef'!$D$181</f>
        <v>Anaerobic lagoon</v>
      </c>
      <c r="X196" s="25" t="str">
        <f t="shared" si="9"/>
        <v>August 2025</v>
      </c>
      <c r="Y196" s="25" cm="1">
        <f t="array" aca="1" ref="Y196" ca="1">MMS_PastureBeef_Methane_Equations.VEERG_4_2_1_1__2_MethaneProductionFromManure(X138,$I$155,$E$166,$X$172,$I$158)</f>
        <v>5.1377199602642149E-4</v>
      </c>
      <c r="Z196" s="25" cm="1">
        <f t="array" aca="1" ref="Z196" ca="1">MMS_PastureBeef_Methane_Equations.VEERG_4_2_1_1__2_MethaneProductionFromManure(Y138,$I$155,$E$166,$X$172,$I$158)</f>
        <v>9.984229404077481E-4</v>
      </c>
      <c r="AA196" s="25" cm="1">
        <f t="array" aca="1" ref="AA196" ca="1">MMS_PastureBeef_Methane_Equations.VEERG_4_2_1_1__2_MethaneProductionFromManure(Z138,$I$155,$E$166,$X$172,$I$158)</f>
        <v>4.2066530790416074E-4</v>
      </c>
      <c r="AB196" s="25" cm="1">
        <f t="array" aca="1" ref="AB196" ca="1">MMS_PastureBeef_Methane_Equations.VEERG_4_2_1_1__2_MethaneProductionFromManure(AA138,$I$155,$E$166,$X$172,$I$158)</f>
        <v>5.9333814496575457E-4</v>
      </c>
      <c r="AC196" s="25" cm="1">
        <f t="array" aca="1" ref="AC196" ca="1">MMS_PastureBeef_Methane_Equations.VEERG_4_2_1_1__2_MethaneProductionFromManure(AB138,$I$155,$E$166,$X$172,$I$158)</f>
        <v>7.9598141366234209E-4</v>
      </c>
      <c r="AD196" s="25" cm="1">
        <f t="array" aca="1" ref="AD196" ca="1">MMS_PastureBeef_Methane_Equations.VEERG_4_2_1_1__2_MethaneProductionFromManure(AC138,$I$155,$E$166,$X$172,$I$158)</f>
        <v>7.9598141366234209E-4</v>
      </c>
      <c r="AE196" s="25" cm="1">
        <f t="array" aca="1" ref="AE196" ca="1">MMS_PastureBeef_Methane_Equations.VEERG_4_2_1_1__2_MethaneProductionFromManure(AD138,$I$155,$E$166,$X$172,$I$158)</f>
        <v>4.5165070083232783E-4</v>
      </c>
      <c r="AF196" s="25" cm="1">
        <f t="array" aca="1" ref="AF196" ca="1">MMS_PastureBeef_Methane_Equations.VEERG_4_2_1_1__2_MethaneProductionFromManure(AE138,$I$155,$E$166,$X$172,$I$158)</f>
        <v>6.8763043099903404E-4</v>
      </c>
      <c r="AG196" s="25" cm="1">
        <f t="array" aca="1" ref="AG196" ca="1">MMS_PastureBeef_Methane_Equations.VEERG_4_2_1_1__2_MethaneProductionFromManure(AF138,$I$155,$E$166,$X$172,$I$158)</f>
        <v>6.8763043099903404E-4</v>
      </c>
      <c r="AH196" s="25" cm="1">
        <f t="array" aca="1" ref="AH196" ca="1">MMS_PastureBeef_Methane_Equations.VEERG_4_2_1_1__2_MethaneProductionFromManure(AG138,$I$155,$E$166,$X$172,$I$158)</f>
        <v>6.8763043099903404E-4</v>
      </c>
      <c r="AI196" s="26" t="str">
        <f t="shared" si="8"/>
        <v>kg CH4/head/day</v>
      </c>
      <c r="AJ196" s="26"/>
    </row>
    <row r="197" spans="3:37" ht="20.100000000000001" customHeight="1" x14ac:dyDescent="0.25">
      <c r="W197" s="25" t="str">
        <f>'Input - Pasture Beef'!$D$181</f>
        <v>Anaerobic lagoon</v>
      </c>
      <c r="X197" s="25" t="str">
        <f t="shared" si="9"/>
        <v>September 2025</v>
      </c>
      <c r="Y197" s="25" cm="1">
        <f t="array" aca="1" ref="Y197" ca="1">MMS_PastureBeef_Methane_Equations.VEERG_4_2_1_1__2_MethaneProductionFromManure(X139,$I$155,$E$166,$X$172,$I$158)</f>
        <v>7.1826623105637353E-4</v>
      </c>
      <c r="Z197" s="25" cm="1">
        <f t="array" aca="1" ref="Z197" ca="1">MMS_PastureBeef_Methane_Equations.VEERG_4_2_1_1__2_MethaneProductionFromManure(Y139,$I$155,$E$166,$X$172,$I$158)</f>
        <v>1.0144555674992664E-3</v>
      </c>
      <c r="AA197" s="25" cm="1">
        <f t="array" aca="1" ref="AA197" ca="1">MMS_PastureBeef_Methane_Equations.VEERG_4_2_1_1__2_MethaneProductionFromManure(Z139,$I$155,$E$166,$X$172,$I$158)</f>
        <v>5.4746232575098421E-4</v>
      </c>
      <c r="AB197" s="25" cm="1">
        <f t="array" aca="1" ref="AB197" ca="1">MMS_PastureBeef_Methane_Equations.VEERG_4_2_1_1__2_MethaneProductionFromManure(AA139,$I$155,$E$166,$X$172,$I$158)</f>
        <v>7.1844674561981033E-4</v>
      </c>
      <c r="AC197" s="25" cm="1">
        <f t="array" aca="1" ref="AC197" ca="1">MMS_PastureBeef_Methane_Equations.VEERG_4_2_1_1__2_MethaneProductionFromManure(AB139,$I$155,$E$166,$X$172,$I$158)</f>
        <v>7.9780461802850104E-4</v>
      </c>
      <c r="AD197" s="25" cm="1">
        <f t="array" aca="1" ref="AD197" ca="1">MMS_PastureBeef_Methane_Equations.VEERG_4_2_1_1__2_MethaneProductionFromManure(AC139,$I$155,$E$166,$X$172,$I$158)</f>
        <v>7.9780461802850104E-4</v>
      </c>
      <c r="AE197" s="25" cm="1">
        <f t="array" aca="1" ref="AE197" ca="1">MMS_PastureBeef_Methane_Equations.VEERG_4_2_1_1__2_MethaneProductionFromManure(AD139,$I$155,$E$166,$X$172,$I$158)</f>
        <v>6.3115148025275102E-4</v>
      </c>
      <c r="AF197" s="25" cm="1">
        <f t="array" aca="1" ref="AF197" ca="1">MMS_PastureBeef_Methane_Equations.VEERG_4_2_1_1__2_MethaneProductionFromManure(AE139,$I$155,$E$166,$X$172,$I$158)</f>
        <v>8.020571384440183E-4</v>
      </c>
      <c r="AG197" s="25" cm="1">
        <f t="array" aca="1" ref="AG197" ca="1">MMS_PastureBeef_Methane_Equations.VEERG_4_2_1_1__2_MethaneProductionFromManure(AF139,$I$155,$E$166,$X$172,$I$158)</f>
        <v>8.020571384440183E-4</v>
      </c>
      <c r="AH197" s="25" cm="1">
        <f t="array" aca="1" ref="AH197" ca="1">MMS_PastureBeef_Methane_Equations.VEERG_4_2_1_1__2_MethaneProductionFromManure(AG139,$I$155,$E$166,$X$172,$I$158)</f>
        <v>8.020571384440183E-4</v>
      </c>
      <c r="AI197" s="26" t="str">
        <f t="shared" si="8"/>
        <v>kg CH4/head/day</v>
      </c>
      <c r="AJ197" s="26"/>
    </row>
    <row r="198" spans="3:37" ht="20.100000000000001" customHeight="1" x14ac:dyDescent="0.25">
      <c r="W198" s="25" t="str">
        <f>'Input - Pasture Beef'!$D$181</f>
        <v>Anaerobic lagoon</v>
      </c>
      <c r="X198" s="25" t="str">
        <f t="shared" si="9"/>
        <v>October 2025</v>
      </c>
      <c r="Y198" s="25" cm="1">
        <f t="array" aca="1" ref="Y198" ca="1">MMS_PastureBeef_Methane_Equations.VEERG_4_2_1_1__2_MethaneProductionFromManure(X140,$I$155,$E$166,$X$172,$I$158)</f>
        <v>7.1826623105637353E-4</v>
      </c>
      <c r="Z198" s="25" cm="1">
        <f t="array" aca="1" ref="Z198" ca="1">MMS_PastureBeef_Methane_Equations.VEERG_4_2_1_1__2_MethaneProductionFromManure(Y140,$I$155,$E$166,$X$172,$I$158)</f>
        <v>1.0144555674992664E-3</v>
      </c>
      <c r="AA198" s="25" cm="1">
        <f t="array" aca="1" ref="AA198" ca="1">MMS_PastureBeef_Methane_Equations.VEERG_4_2_1_1__2_MethaneProductionFromManure(Z140,$I$155,$E$166,$X$172,$I$158)</f>
        <v>5.4746232575098421E-4</v>
      </c>
      <c r="AB198" s="25" cm="1">
        <f t="array" aca="1" ref="AB198" ca="1">MMS_PastureBeef_Methane_Equations.VEERG_4_2_1_1__2_MethaneProductionFromManure(AA140,$I$155,$E$166,$X$172,$I$158)</f>
        <v>7.1844674561981033E-4</v>
      </c>
      <c r="AC198" s="25" cm="1">
        <f t="array" aca="1" ref="AC198" ca="1">MMS_PastureBeef_Methane_Equations.VEERG_4_2_1_1__2_MethaneProductionFromManure(AB140,$I$155,$E$166,$X$172,$I$158)</f>
        <v>7.9780461802850104E-4</v>
      </c>
      <c r="AD198" s="25" cm="1">
        <f t="array" aca="1" ref="AD198" ca="1">MMS_PastureBeef_Methane_Equations.VEERG_4_2_1_1__2_MethaneProductionFromManure(AC140,$I$155,$E$166,$X$172,$I$158)</f>
        <v>7.9780461802850104E-4</v>
      </c>
      <c r="AE198" s="25" cm="1">
        <f t="array" aca="1" ref="AE198" ca="1">MMS_PastureBeef_Methane_Equations.VEERG_4_2_1_1__2_MethaneProductionFromManure(AD140,$I$155,$E$166,$X$172,$I$158)</f>
        <v>6.3115148025275102E-4</v>
      </c>
      <c r="AF198" s="25" cm="1">
        <f t="array" aca="1" ref="AF198" ca="1">MMS_PastureBeef_Methane_Equations.VEERG_4_2_1_1__2_MethaneProductionFromManure(AE140,$I$155,$E$166,$X$172,$I$158)</f>
        <v>8.020571384440183E-4</v>
      </c>
      <c r="AG198" s="25" cm="1">
        <f t="array" aca="1" ref="AG198" ca="1">MMS_PastureBeef_Methane_Equations.VEERG_4_2_1_1__2_MethaneProductionFromManure(AF140,$I$155,$E$166,$X$172,$I$158)</f>
        <v>8.020571384440183E-4</v>
      </c>
      <c r="AH198" s="25" cm="1">
        <f t="array" aca="1" ref="AH198" ca="1">MMS_PastureBeef_Methane_Equations.VEERG_4_2_1_1__2_MethaneProductionFromManure(AG140,$I$155,$E$166,$X$172,$I$158)</f>
        <v>8.020571384440183E-4</v>
      </c>
      <c r="AI198" s="26" t="str">
        <f t="shared" si="8"/>
        <v>kg CH4/head/day</v>
      </c>
      <c r="AJ198" s="26"/>
    </row>
    <row r="199" spans="3:37" ht="20.100000000000001" customHeight="1" x14ac:dyDescent="0.25">
      <c r="W199" s="25" t="str">
        <f>'Input - Pasture Beef'!$D$181</f>
        <v>Anaerobic lagoon</v>
      </c>
      <c r="X199" s="25" t="str">
        <f t="shared" si="9"/>
        <v>November 2025</v>
      </c>
      <c r="Y199" s="25" cm="1">
        <f t="array" aca="1" ref="Y199" ca="1">MMS_PastureBeef_Methane_Equations.VEERG_4_2_1_1__2_MethaneProductionFromManure(X141,$I$155,$E$166,$X$172,$I$158)</f>
        <v>7.1826623105637353E-4</v>
      </c>
      <c r="Z199" s="25" cm="1">
        <f t="array" aca="1" ref="Z199" ca="1">MMS_PastureBeef_Methane_Equations.VEERG_4_2_1_1__2_MethaneProductionFromManure(Y141,$I$155,$E$166,$X$172,$I$158)</f>
        <v>1.0144555674992664E-3</v>
      </c>
      <c r="AA199" s="25" cm="1">
        <f t="array" aca="1" ref="AA199" ca="1">MMS_PastureBeef_Methane_Equations.VEERG_4_2_1_1__2_MethaneProductionFromManure(Z141,$I$155,$E$166,$X$172,$I$158)</f>
        <v>5.4746232575098421E-4</v>
      </c>
      <c r="AB199" s="25" cm="1">
        <f t="array" aca="1" ref="AB199" ca="1">MMS_PastureBeef_Methane_Equations.VEERG_4_2_1_1__2_MethaneProductionFromManure(AA141,$I$155,$E$166,$X$172,$I$158)</f>
        <v>7.1844674561981033E-4</v>
      </c>
      <c r="AC199" s="25" cm="1">
        <f t="array" aca="1" ref="AC199" ca="1">MMS_PastureBeef_Methane_Equations.VEERG_4_2_1_1__2_MethaneProductionFromManure(AB141,$I$155,$E$166,$X$172,$I$158)</f>
        <v>7.9780461802850104E-4</v>
      </c>
      <c r="AD199" s="25" cm="1">
        <f t="array" aca="1" ref="AD199" ca="1">MMS_PastureBeef_Methane_Equations.VEERG_4_2_1_1__2_MethaneProductionFromManure(AC141,$I$155,$E$166,$X$172,$I$158)</f>
        <v>7.9780461802850104E-4</v>
      </c>
      <c r="AE199" s="25" cm="1">
        <f t="array" aca="1" ref="AE199" ca="1">MMS_PastureBeef_Methane_Equations.VEERG_4_2_1_1__2_MethaneProductionFromManure(AD141,$I$155,$E$166,$X$172,$I$158)</f>
        <v>6.3115148025275102E-4</v>
      </c>
      <c r="AF199" s="25" cm="1">
        <f t="array" aca="1" ref="AF199" ca="1">MMS_PastureBeef_Methane_Equations.VEERG_4_2_1_1__2_MethaneProductionFromManure(AE141,$I$155,$E$166,$X$172,$I$158)</f>
        <v>8.020571384440183E-4</v>
      </c>
      <c r="AG199" s="25" cm="1">
        <f t="array" aca="1" ref="AG199" ca="1">MMS_PastureBeef_Methane_Equations.VEERG_4_2_1_1__2_MethaneProductionFromManure(AF141,$I$155,$E$166,$X$172,$I$158)</f>
        <v>8.020571384440183E-4</v>
      </c>
      <c r="AH199" s="25" cm="1">
        <f t="array" aca="1" ref="AH199" ca="1">MMS_PastureBeef_Methane_Equations.VEERG_4_2_1_1__2_MethaneProductionFromManure(AG141,$I$155,$E$166,$X$172,$I$158)</f>
        <v>8.020571384440183E-4</v>
      </c>
      <c r="AI199" s="26" t="str">
        <f t="shared" si="8"/>
        <v>kg CH4/head/day</v>
      </c>
      <c r="AJ199" s="26"/>
    </row>
    <row r="200" spans="3:37" ht="20.100000000000001" customHeight="1" x14ac:dyDescent="0.25">
      <c r="W200" s="25" t="str">
        <f>'Input - Pasture Beef'!$D$181</f>
        <v>Anaerobic lagoon</v>
      </c>
      <c r="X200" s="25" t="str">
        <f t="shared" si="9"/>
        <v>December 2025</v>
      </c>
      <c r="Y200" s="25" cm="1">
        <f t="array" aca="1" ref="Y200" ca="1">MMS_PastureBeef_Methane_Equations.VEERG_4_2_1_1__2_MethaneProductionFromManure(X142,$I$155,$E$166,$X$172,$I$158)</f>
        <v>1.1347038164154961E-3</v>
      </c>
      <c r="Z200" s="25" cm="1">
        <f t="array" aca="1" ref="Z200" ca="1">MMS_PastureBeef_Methane_Equations.VEERG_4_2_1_1__2_MethaneProductionFromManure(Y142,$I$155,$E$166,$X$172,$I$158)</f>
        <v>1.5013253313833415E-3</v>
      </c>
      <c r="AA200" s="25" cm="1">
        <f t="array" aca="1" ref="AA200" ca="1">MMS_PastureBeef_Methane_Equations.VEERG_4_2_1_1__2_MethaneProductionFromManure(Z142,$I$155,$E$166,$X$172,$I$158)</f>
        <v>9.5426028529460333E-4</v>
      </c>
      <c r="AB200" s="25" cm="1">
        <f t="array" aca="1" ref="AB200" ca="1">MMS_PastureBeef_Methane_Equations.VEERG_4_2_1_1__2_MethaneProductionFromManure(AA142,$I$155,$E$166,$X$172,$I$158)</f>
        <v>1.2496048152924261E-3</v>
      </c>
      <c r="AC200" s="25" cm="1">
        <f t="array" aca="1" ref="AC200" ca="1">MMS_PastureBeef_Methane_Equations.VEERG_4_2_1_1__2_MethaneProductionFromManure(AB142,$I$155,$E$166,$X$172,$I$158)</f>
        <v>1.2372616668260229E-3</v>
      </c>
      <c r="AD200" s="25" cm="1">
        <f t="array" aca="1" ref="AD200" ca="1">MMS_PastureBeef_Methane_Equations.VEERG_4_2_1_1__2_MethaneProductionFromManure(AC142,$I$155,$E$166,$X$172,$I$158)</f>
        <v>1.2372616668260229E-3</v>
      </c>
      <c r="AE200" s="25" cm="1">
        <f t="array" aca="1" ref="AE200" ca="1">MMS_PastureBeef_Methane_Equations.VEERG_4_2_1_1__2_MethaneProductionFromManure(AD142,$I$155,$E$166,$X$172,$I$158)</f>
        <v>1.0459177679097368E-3</v>
      </c>
      <c r="AF200" s="25" cm="1">
        <f t="array" aca="1" ref="AF200" ca="1">MMS_PastureBeef_Methane_Equations.VEERG_4_2_1_1__2_MethaneProductionFromManure(AE142,$I$155,$E$166,$X$172,$I$158)</f>
        <v>1.1658570586431096E-3</v>
      </c>
      <c r="AG200" s="25" cm="1">
        <f t="array" aca="1" ref="AG200" ca="1">MMS_PastureBeef_Methane_Equations.VEERG_4_2_1_1__2_MethaneProductionFromManure(AF142,$I$155,$E$166,$X$172,$I$158)</f>
        <v>1.1658570586431096E-3</v>
      </c>
      <c r="AH200" s="25" cm="1">
        <f t="array" aca="1" ref="AH200" ca="1">MMS_PastureBeef_Methane_Equations.VEERG_4_2_1_1__2_MethaneProductionFromManure(AG142,$I$155,$E$166,$X$172,$I$158)</f>
        <v>1.1658570586431096E-3</v>
      </c>
      <c r="AI200" s="26" t="str">
        <f t="shared" si="8"/>
        <v>kg CH4/head/day</v>
      </c>
      <c r="AJ200" s="26"/>
    </row>
    <row r="201" spans="3:37" ht="20.100000000000001" customHeight="1" x14ac:dyDescent="0.25"/>
    <row r="202" spans="3:37" ht="20.100000000000001" customHeight="1" x14ac:dyDescent="0.25"/>
    <row r="203" spans="3:37" ht="20.100000000000001" customHeight="1" x14ac:dyDescent="0.25">
      <c r="C203" s="118"/>
      <c r="D203" s="118"/>
      <c r="E203" s="118"/>
      <c r="F203" s="118"/>
      <c r="G203" s="118"/>
      <c r="H203" s="118"/>
      <c r="I203" s="118"/>
      <c r="J203" s="118"/>
      <c r="K203" s="118"/>
      <c r="L203" s="118"/>
      <c r="M203" s="118"/>
      <c r="N203" s="118"/>
      <c r="O203" s="118"/>
      <c r="P203" s="118"/>
      <c r="Q203" s="118"/>
      <c r="R203" s="118"/>
      <c r="S203" s="118"/>
      <c r="T203" s="118"/>
      <c r="V203" s="118"/>
      <c r="W203" s="118"/>
      <c r="X203" s="118"/>
      <c r="Y203" s="118"/>
      <c r="Z203" s="118"/>
      <c r="AA203" s="118"/>
      <c r="AB203" s="118"/>
      <c r="AC203" s="118"/>
      <c r="AD203" s="118"/>
      <c r="AE203" s="118"/>
      <c r="AF203" s="118"/>
      <c r="AG203" s="118"/>
      <c r="AH203" s="118"/>
      <c r="AI203" s="118"/>
      <c r="AJ203" s="118"/>
      <c r="AK203" s="118"/>
    </row>
    <row r="204" spans="3:37" ht="20.100000000000001" customHeight="1" x14ac:dyDescent="0.25">
      <c r="D204" s="2" t="str" cm="1">
        <f t="array" ref="D204">MMS_PastureBeef_Methane_Equations.VEERG_4_2_1_1__1_TotalAnnualMethaneProductionFromManureManagement_Title()</f>
        <v>Total annual methane production from manure management for grazing beef cattle</v>
      </c>
    </row>
    <row r="205" spans="3:37" ht="20.100000000000001" customHeight="1" x14ac:dyDescent="0.25">
      <c r="D205" s="27" t="str" cm="1">
        <f t="array" ref="D205">MMS_PastureBeef_Methane_Equations.VEERG_4_2_1_1__1_TotalAnnualMethaneProductionFromManureManagement_Source()</f>
        <v>VEERG 2026: 4.2.1.1, Equation (1)</v>
      </c>
    </row>
    <row r="206" spans="3:37" ht="20.100000000000001" customHeight="1" x14ac:dyDescent="0.25">
      <c r="D206" s="105" t="s">
        <v>261</v>
      </c>
      <c r="E206" s="105" t="str" cm="1">
        <f t="array" aca="1" ref="E206" ca="1">Common_InputFunctions.Utility_DisplayFunctionName($F$235)</f>
        <v>=MMS_PastureBeef_Methane_Equations.VEERG_4_2_1_1__1_TotalAnnualMethaneProductionFromManureManagement</v>
      </c>
    </row>
    <row r="207" spans="3:37" ht="20.100000000000001" customHeight="1" x14ac:dyDescent="0.25"/>
    <row r="208" spans="3:37" ht="20.100000000000001" customHeight="1" x14ac:dyDescent="0.25"/>
    <row r="209" spans="4:34" ht="20.100000000000001" customHeight="1" x14ac:dyDescent="0.25">
      <c r="D209" s="88" t="s">
        <v>263</v>
      </c>
      <c r="E209" s="1" t="str" cm="1">
        <f t="array" ref="E209">MMS_PastureBeef_Methane_Equations.VEERG_4_2_1_1__1_TotalAnnualMethaneProductionFromManureManagement_Variable()</f>
        <v>E_CH4</v>
      </c>
    </row>
    <row r="210" spans="4:34" ht="20.100000000000001" customHeight="1" x14ac:dyDescent="0.25">
      <c r="D210" s="88" t="s">
        <v>130</v>
      </c>
      <c r="E210" s="15" t="str" cm="1">
        <f t="array" ref="E210">MMS_PastureBeef_Methane_Equations.VEERG_4_2_1_1__1_TotalAnnualMethaneProductionFromManureManagement_Unit()</f>
        <v>t CH4</v>
      </c>
    </row>
    <row r="211" spans="4:34" ht="20.100000000000001" customHeight="1" x14ac:dyDescent="0.25"/>
    <row r="212" spans="4:34" ht="20.100000000000001" customHeight="1" x14ac:dyDescent="0.25">
      <c r="D212" s="107" t="str" cm="1">
        <f t="array" ref="D212:E214">_xlfn.CHOOSECOLS(MMS_PastureBeef_Methane_Equations.VEERG_4_2_1_1__1_TotalAnnualMethaneProductionFromManureManagement_Arguments(), 1, 2)</f>
        <v>N_jkl</v>
      </c>
      <c r="E212" s="108" t="str">
        <v>number of beef cattle in each time-period, class and subclass</v>
      </c>
      <c r="F212" s="110"/>
      <c r="G212" s="107" t="str" cm="1">
        <f t="array" ref="G212:H214">_xlfn.CHOOSECOLS(MMS_PastureBeef_Methane_Equations.VEERG_4_2_1_1__1_TotalAnnualMethaneProductionFromManureManagement_Arguments(), 3,4)</f>
        <v>head</v>
      </c>
      <c r="H212" s="111" t="str">
        <v>Input</v>
      </c>
      <c r="I212" s="113" t="str" cm="1">
        <f t="array" aca="1" ref="I212" ca="1">HYPERLINK(Common_InputFunctions.Utility_SourceHyperlink($D$216), $D$216)</f>
        <v>M1_Table_N_j_k_l</v>
      </c>
    </row>
    <row r="213" spans="4:34" ht="20.100000000000001" customHeight="1" x14ac:dyDescent="0.25">
      <c r="D213" s="107" t="str">
        <v>M_jklm</v>
      </c>
      <c r="E213" s="108" t="str">
        <v>methane production from manure in each time-period, class, subclass and MMS</v>
      </c>
      <c r="F213" s="110"/>
      <c r="G213" s="107" t="str">
        <v>kg/head/day</v>
      </c>
      <c r="H213" s="112" t="str">
        <v>Calculated from 4.2.1.1 (2)</v>
      </c>
      <c r="I213" s="113" t="str" cm="1">
        <f t="array" aca="1" ref="I213" ca="1">HYPERLINK(Common_InputFunctions.Utility_SourceHyperlink($D$174), $D$174)</f>
        <v>M1_Table_M_j_k_l_m</v>
      </c>
    </row>
    <row r="214" spans="4:34" ht="20.100000000000001" customHeight="1" x14ac:dyDescent="0.25">
      <c r="D214" s="107" t="str">
        <v>D_j</v>
      </c>
      <c r="E214" s="108" t="str">
        <v>number of days in each time-period for each input class</v>
      </c>
      <c r="F214" s="110"/>
      <c r="G214" s="107" t="str">
        <v>days</v>
      </c>
      <c r="H214" s="111" t="str">
        <v>Input</v>
      </c>
      <c r="I214" s="113" t="str" cm="1">
        <f t="array" aca="1" ref="I214" ca="1">HYPERLINK(Common_InputFunctions.Utility_SourceHyperlink($D$224), $D$224)</f>
        <v>M1_Table_D_j</v>
      </c>
    </row>
    <row r="215" spans="4:34" ht="20.100000000000001" customHeight="1" x14ac:dyDescent="0.25"/>
    <row r="216" spans="4:34" ht="20.100000000000001" customHeight="1" x14ac:dyDescent="0.25">
      <c r="D216" s="114" t="s">
        <v>290</v>
      </c>
      <c r="W216" s="114" t="s">
        <v>294</v>
      </c>
    </row>
    <row r="217" spans="4:34" ht="20.100000000000001" customHeight="1" x14ac:dyDescent="0.25">
      <c r="D217" s="115" t="s">
        <v>291</v>
      </c>
      <c r="W217" s="115" t="s">
        <v>295</v>
      </c>
    </row>
    <row r="218" spans="4:34" ht="20.100000000000001" customHeight="1" x14ac:dyDescent="0.25">
      <c r="D218" s="116" t="s">
        <v>78</v>
      </c>
      <c r="E218" s="117" t="s">
        <v>193</v>
      </c>
      <c r="F218" s="117" t="s">
        <v>194</v>
      </c>
      <c r="G218" s="117" t="s">
        <v>195</v>
      </c>
      <c r="H218" s="117" t="s">
        <v>196</v>
      </c>
      <c r="I218" s="117" t="s">
        <v>197</v>
      </c>
      <c r="J218" s="117" t="s">
        <v>198</v>
      </c>
      <c r="K218" s="117" t="s">
        <v>199</v>
      </c>
      <c r="L218" s="117" t="s">
        <v>200</v>
      </c>
      <c r="M218" s="117" t="s">
        <v>201</v>
      </c>
      <c r="N218" s="117" t="s">
        <v>202</v>
      </c>
      <c r="W218" s="116" t="s">
        <v>77</v>
      </c>
      <c r="X218" s="117" t="s">
        <v>193</v>
      </c>
      <c r="Y218" s="117" t="s">
        <v>194</v>
      </c>
      <c r="Z218" s="117" t="s">
        <v>195</v>
      </c>
      <c r="AA218" s="117" t="s">
        <v>196</v>
      </c>
      <c r="AB218" s="117" t="s">
        <v>197</v>
      </c>
      <c r="AC218" s="117" t="s">
        <v>198</v>
      </c>
      <c r="AD218" s="117" t="s">
        <v>199</v>
      </c>
      <c r="AE218" s="117" t="s">
        <v>200</v>
      </c>
      <c r="AF218" s="117" t="s">
        <v>201</v>
      </c>
      <c r="AG218" s="117" t="s">
        <v>202</v>
      </c>
      <c r="AH218" s="26"/>
    </row>
    <row r="219" spans="4:34" ht="20.100000000000001" customHeight="1" x14ac:dyDescent="0.25">
      <c r="D219" s="25" t="s">
        <v>203</v>
      </c>
      <c r="E219" s="25" cm="1">
        <f t="array" aca="1" ref="E219:N222" ca="1">OFFSET(X_Table_PastureBeef_Head_Method1, 1,1, 4,10)</f>
        <v>100</v>
      </c>
      <c r="F219" s="25">
        <f ca="1"/>
        <v>100</v>
      </c>
      <c r="G219" s="25">
        <f ca="1"/>
        <v>100</v>
      </c>
      <c r="H219" s="25">
        <f ca="1"/>
        <v>100</v>
      </c>
      <c r="I219" s="25">
        <f ca="1"/>
        <v>100</v>
      </c>
      <c r="J219" s="25">
        <f ca="1"/>
        <v>100</v>
      </c>
      <c r="K219" s="25">
        <f ca="1"/>
        <v>100</v>
      </c>
      <c r="L219" s="25">
        <f ca="1"/>
        <v>100</v>
      </c>
      <c r="M219" s="25">
        <f ca="1"/>
        <v>100</v>
      </c>
      <c r="N219" s="25">
        <f ca="1"/>
        <v>100</v>
      </c>
      <c r="O219" s="26" t="s">
        <v>417</v>
      </c>
      <c r="W219" s="25" t="str">
        <f>TEXT('Input - Site'!$E$12, "mmmm yyyy")</f>
        <v>NO - Not in leaching zone</v>
      </c>
      <c r="X219" s="25" cm="1">
        <f t="array" aca="1" ref="X219:AG230" ca="1">OFFSET(X_Table_PastureBeef_Head_Method2, 1,1, 12,10)</f>
        <v>100</v>
      </c>
      <c r="Y219" s="25">
        <f ca="1"/>
        <v>100</v>
      </c>
      <c r="Z219" s="25">
        <f ca="1"/>
        <v>100</v>
      </c>
      <c r="AA219" s="25">
        <f ca="1"/>
        <v>100</v>
      </c>
      <c r="AB219" s="25">
        <f ca="1"/>
        <v>100</v>
      </c>
      <c r="AC219" s="25">
        <f ca="1"/>
        <v>100</v>
      </c>
      <c r="AD219" s="25">
        <f ca="1"/>
        <v>100</v>
      </c>
      <c r="AE219" s="25">
        <f ca="1"/>
        <v>100</v>
      </c>
      <c r="AF219" s="25">
        <f ca="1"/>
        <v>100</v>
      </c>
      <c r="AG219" s="25">
        <f ca="1"/>
        <v>100</v>
      </c>
      <c r="AH219" s="26" t="s">
        <v>208</v>
      </c>
    </row>
    <row r="220" spans="4:34" ht="20.100000000000001" customHeight="1" x14ac:dyDescent="0.25">
      <c r="D220" s="25" t="s">
        <v>204</v>
      </c>
      <c r="E220" s="25">
        <f ca="1"/>
        <v>100</v>
      </c>
      <c r="F220" s="25">
        <f ca="1"/>
        <v>100</v>
      </c>
      <c r="G220" s="25">
        <f ca="1"/>
        <v>100</v>
      </c>
      <c r="H220" s="25">
        <f ca="1"/>
        <v>100</v>
      </c>
      <c r="I220" s="25">
        <f ca="1"/>
        <v>100</v>
      </c>
      <c r="J220" s="25">
        <f ca="1"/>
        <v>100</v>
      </c>
      <c r="K220" s="25">
        <f ca="1"/>
        <v>100</v>
      </c>
      <c r="L220" s="25">
        <f ca="1"/>
        <v>100</v>
      </c>
      <c r="M220" s="25">
        <f ca="1"/>
        <v>100</v>
      </c>
      <c r="N220" s="25">
        <f ca="1"/>
        <v>100</v>
      </c>
      <c r="O220" s="26" t="s">
        <v>417</v>
      </c>
      <c r="W220" s="25" t="e">
        <f>TEXT(EDATE('Input - Site'!$E$12,1), "mmmm yyyy")</f>
        <v>#VALUE!</v>
      </c>
      <c r="X220" s="25">
        <f ca="1"/>
        <v>100</v>
      </c>
      <c r="Y220" s="25">
        <f ca="1"/>
        <v>100</v>
      </c>
      <c r="Z220" s="25">
        <f ca="1"/>
        <v>100</v>
      </c>
      <c r="AA220" s="25">
        <f ca="1"/>
        <v>100</v>
      </c>
      <c r="AB220" s="25">
        <f ca="1"/>
        <v>100</v>
      </c>
      <c r="AC220" s="25">
        <f ca="1"/>
        <v>100</v>
      </c>
      <c r="AD220" s="25">
        <f ca="1"/>
        <v>100</v>
      </c>
      <c r="AE220" s="25">
        <f ca="1"/>
        <v>100</v>
      </c>
      <c r="AF220" s="25">
        <f ca="1"/>
        <v>100</v>
      </c>
      <c r="AG220" s="25">
        <f ca="1"/>
        <v>100</v>
      </c>
      <c r="AH220" s="26" t="s">
        <v>208</v>
      </c>
    </row>
    <row r="221" spans="4:34" ht="20.100000000000001" customHeight="1" x14ac:dyDescent="0.25">
      <c r="D221" s="25" t="s">
        <v>205</v>
      </c>
      <c r="E221" s="25">
        <f ca="1"/>
        <v>100</v>
      </c>
      <c r="F221" s="25">
        <f ca="1"/>
        <v>100</v>
      </c>
      <c r="G221" s="25">
        <f ca="1"/>
        <v>100</v>
      </c>
      <c r="H221" s="25">
        <f ca="1"/>
        <v>100</v>
      </c>
      <c r="I221" s="25">
        <f ca="1"/>
        <v>100</v>
      </c>
      <c r="J221" s="25">
        <f ca="1"/>
        <v>100</v>
      </c>
      <c r="K221" s="25">
        <f ca="1"/>
        <v>100</v>
      </c>
      <c r="L221" s="25">
        <f ca="1"/>
        <v>100</v>
      </c>
      <c r="M221" s="25">
        <f ca="1"/>
        <v>100</v>
      </c>
      <c r="N221" s="25">
        <f ca="1"/>
        <v>100</v>
      </c>
      <c r="O221" s="26" t="s">
        <v>417</v>
      </c>
      <c r="W221" s="25" t="e">
        <f>TEXT(EDATE('Input - Site'!$E$12,2), "mmmm yyyy")</f>
        <v>#VALUE!</v>
      </c>
      <c r="X221" s="25">
        <f ca="1"/>
        <v>100</v>
      </c>
      <c r="Y221" s="25">
        <f ca="1"/>
        <v>100</v>
      </c>
      <c r="Z221" s="25">
        <f ca="1"/>
        <v>100</v>
      </c>
      <c r="AA221" s="25">
        <f ca="1"/>
        <v>100</v>
      </c>
      <c r="AB221" s="25">
        <f ca="1"/>
        <v>100</v>
      </c>
      <c r="AC221" s="25">
        <f ca="1"/>
        <v>100</v>
      </c>
      <c r="AD221" s="25">
        <f ca="1"/>
        <v>100</v>
      </c>
      <c r="AE221" s="25">
        <f ca="1"/>
        <v>100</v>
      </c>
      <c r="AF221" s="25">
        <f ca="1"/>
        <v>100</v>
      </c>
      <c r="AG221" s="25">
        <f ca="1"/>
        <v>100</v>
      </c>
      <c r="AH221" s="26" t="s">
        <v>208</v>
      </c>
    </row>
    <row r="222" spans="4:34" ht="20.100000000000001" customHeight="1" x14ac:dyDescent="0.25">
      <c r="D222" s="25" t="s">
        <v>206</v>
      </c>
      <c r="E222" s="25">
        <f ca="1"/>
        <v>100</v>
      </c>
      <c r="F222" s="25">
        <f ca="1"/>
        <v>100</v>
      </c>
      <c r="G222" s="25">
        <f ca="1"/>
        <v>100</v>
      </c>
      <c r="H222" s="25">
        <f ca="1"/>
        <v>100</v>
      </c>
      <c r="I222" s="25">
        <f ca="1"/>
        <v>100</v>
      </c>
      <c r="J222" s="25">
        <f ca="1"/>
        <v>100</v>
      </c>
      <c r="K222" s="25">
        <f ca="1"/>
        <v>100</v>
      </c>
      <c r="L222" s="25">
        <f ca="1"/>
        <v>100</v>
      </c>
      <c r="M222" s="25">
        <f ca="1"/>
        <v>100</v>
      </c>
      <c r="N222" s="25">
        <f ca="1"/>
        <v>100</v>
      </c>
      <c r="O222" s="26" t="s">
        <v>417</v>
      </c>
      <c r="W222" s="25" t="e">
        <f>TEXT(EDATE('Input - Site'!$E$12,3), "mmmm yyyy")</f>
        <v>#VALUE!</v>
      </c>
      <c r="X222" s="25">
        <f ca="1"/>
        <v>100</v>
      </c>
      <c r="Y222" s="25">
        <f ca="1"/>
        <v>100</v>
      </c>
      <c r="Z222" s="25">
        <f ca="1"/>
        <v>100</v>
      </c>
      <c r="AA222" s="25">
        <f ca="1"/>
        <v>100</v>
      </c>
      <c r="AB222" s="25">
        <f ca="1"/>
        <v>100</v>
      </c>
      <c r="AC222" s="25">
        <f ca="1"/>
        <v>100</v>
      </c>
      <c r="AD222" s="25">
        <f ca="1"/>
        <v>100</v>
      </c>
      <c r="AE222" s="25">
        <f ca="1"/>
        <v>100</v>
      </c>
      <c r="AF222" s="25">
        <f ca="1"/>
        <v>100</v>
      </c>
      <c r="AG222" s="25">
        <f ca="1"/>
        <v>100</v>
      </c>
      <c r="AH222" s="26" t="s">
        <v>208</v>
      </c>
    </row>
    <row r="223" spans="4:34" ht="20.100000000000001" customHeight="1" x14ac:dyDescent="0.25">
      <c r="W223" s="25" t="e">
        <f>TEXT(EDATE('Input - Site'!$E$12,4), "mmmm yyyy")</f>
        <v>#VALUE!</v>
      </c>
      <c r="X223" s="25">
        <f ca="1"/>
        <v>100</v>
      </c>
      <c r="Y223" s="25">
        <f ca="1"/>
        <v>100</v>
      </c>
      <c r="Z223" s="25">
        <f ca="1"/>
        <v>100</v>
      </c>
      <c r="AA223" s="25">
        <f ca="1"/>
        <v>100</v>
      </c>
      <c r="AB223" s="25">
        <f ca="1"/>
        <v>100</v>
      </c>
      <c r="AC223" s="25">
        <f ca="1"/>
        <v>100</v>
      </c>
      <c r="AD223" s="25">
        <f ca="1"/>
        <v>100</v>
      </c>
      <c r="AE223" s="25">
        <f ca="1"/>
        <v>100</v>
      </c>
      <c r="AF223" s="25">
        <f ca="1"/>
        <v>100</v>
      </c>
      <c r="AG223" s="25">
        <f ca="1"/>
        <v>100</v>
      </c>
      <c r="AH223" s="26" t="s">
        <v>208</v>
      </c>
    </row>
    <row r="224" spans="4:34" ht="20.100000000000001" customHeight="1" x14ac:dyDescent="0.25">
      <c r="D224" s="114" t="s">
        <v>292</v>
      </c>
      <c r="W224" s="25" t="e">
        <f>TEXT(EDATE('Input - Site'!$E$12,5), "mmmm yyyy")</f>
        <v>#VALUE!</v>
      </c>
      <c r="X224" s="25">
        <f ca="1"/>
        <v>100</v>
      </c>
      <c r="Y224" s="25">
        <f ca="1"/>
        <v>100</v>
      </c>
      <c r="Z224" s="25">
        <f ca="1"/>
        <v>100</v>
      </c>
      <c r="AA224" s="25">
        <f ca="1"/>
        <v>100</v>
      </c>
      <c r="AB224" s="25">
        <f ca="1"/>
        <v>100</v>
      </c>
      <c r="AC224" s="25">
        <f ca="1"/>
        <v>100</v>
      </c>
      <c r="AD224" s="25">
        <f ca="1"/>
        <v>100</v>
      </c>
      <c r="AE224" s="25">
        <f ca="1"/>
        <v>100</v>
      </c>
      <c r="AF224" s="25">
        <f ca="1"/>
        <v>100</v>
      </c>
      <c r="AG224" s="25">
        <f ca="1"/>
        <v>100</v>
      </c>
      <c r="AH224" s="26" t="s">
        <v>208</v>
      </c>
    </row>
    <row r="225" spans="4:34" ht="20.100000000000001" customHeight="1" x14ac:dyDescent="0.25">
      <c r="D225" s="115" t="s">
        <v>293</v>
      </c>
      <c r="W225" s="25" t="e">
        <f>TEXT(EDATE('Input - Site'!$E$12,6), "mmmm yyyy")</f>
        <v>#VALUE!</v>
      </c>
      <c r="X225" s="25">
        <f ca="1"/>
        <v>100</v>
      </c>
      <c r="Y225" s="25">
        <f ca="1"/>
        <v>100</v>
      </c>
      <c r="Z225" s="25">
        <f ca="1"/>
        <v>100</v>
      </c>
      <c r="AA225" s="25">
        <f ca="1"/>
        <v>100</v>
      </c>
      <c r="AB225" s="25">
        <f ca="1"/>
        <v>100</v>
      </c>
      <c r="AC225" s="25">
        <f ca="1"/>
        <v>100</v>
      </c>
      <c r="AD225" s="25">
        <f ca="1"/>
        <v>100</v>
      </c>
      <c r="AE225" s="25">
        <f ca="1"/>
        <v>100</v>
      </c>
      <c r="AF225" s="25">
        <f ca="1"/>
        <v>100</v>
      </c>
      <c r="AG225" s="25">
        <f ca="1"/>
        <v>100</v>
      </c>
      <c r="AH225" s="26" t="s">
        <v>208</v>
      </c>
    </row>
    <row r="226" spans="4:34" ht="20.100000000000001" customHeight="1" x14ac:dyDescent="0.25">
      <c r="D226" s="116" t="s">
        <v>78</v>
      </c>
      <c r="E226" s="117" t="s">
        <v>193</v>
      </c>
      <c r="F226" s="117" t="s">
        <v>194</v>
      </c>
      <c r="G226" s="117" t="s">
        <v>195</v>
      </c>
      <c r="H226" s="117" t="s">
        <v>196</v>
      </c>
      <c r="I226" s="117" t="s">
        <v>197</v>
      </c>
      <c r="J226" s="117" t="s">
        <v>198</v>
      </c>
      <c r="K226" s="117" t="s">
        <v>199</v>
      </c>
      <c r="L226" s="117" t="s">
        <v>200</v>
      </c>
      <c r="M226" s="117" t="s">
        <v>201</v>
      </c>
      <c r="N226" s="117" t="s">
        <v>202</v>
      </c>
      <c r="W226" s="25" t="e">
        <f>TEXT(EDATE('Input - Site'!$E$12,7), "mmmm yyyy")</f>
        <v>#VALUE!</v>
      </c>
      <c r="X226" s="25">
        <f ca="1"/>
        <v>100</v>
      </c>
      <c r="Y226" s="25">
        <f ca="1"/>
        <v>100</v>
      </c>
      <c r="Z226" s="25">
        <f ca="1"/>
        <v>100</v>
      </c>
      <c r="AA226" s="25">
        <f ca="1"/>
        <v>100</v>
      </c>
      <c r="AB226" s="25">
        <f ca="1"/>
        <v>100</v>
      </c>
      <c r="AC226" s="25">
        <f ca="1"/>
        <v>100</v>
      </c>
      <c r="AD226" s="25">
        <f ca="1"/>
        <v>100</v>
      </c>
      <c r="AE226" s="25">
        <f ca="1"/>
        <v>100</v>
      </c>
      <c r="AF226" s="25">
        <f ca="1"/>
        <v>100</v>
      </c>
      <c r="AG226" s="25">
        <f ca="1"/>
        <v>100</v>
      </c>
      <c r="AH226" s="26" t="s">
        <v>208</v>
      </c>
    </row>
    <row r="227" spans="4:34" ht="20.100000000000001" customHeight="1" x14ac:dyDescent="0.25">
      <c r="D227" s="25" t="s">
        <v>203</v>
      </c>
      <c r="E227" s="25" cm="1">
        <f t="array" aca="1" ref="E227:N230" ca="1">OFFSET(X_Table_PastureBeef_Duration_Method1, 1,1, 4,10)</f>
        <v>91.25</v>
      </c>
      <c r="F227" s="25">
        <f ca="1"/>
        <v>91.25</v>
      </c>
      <c r="G227" s="25">
        <f ca="1"/>
        <v>91.25</v>
      </c>
      <c r="H227" s="25">
        <f ca="1"/>
        <v>91.25</v>
      </c>
      <c r="I227" s="25">
        <f ca="1"/>
        <v>91.25</v>
      </c>
      <c r="J227" s="25">
        <f ca="1"/>
        <v>91.25</v>
      </c>
      <c r="K227" s="25">
        <f ca="1"/>
        <v>91.25</v>
      </c>
      <c r="L227" s="25">
        <f ca="1"/>
        <v>91.25</v>
      </c>
      <c r="M227" s="25">
        <f ca="1"/>
        <v>91.25</v>
      </c>
      <c r="N227" s="25">
        <f ca="1"/>
        <v>91.25</v>
      </c>
      <c r="O227" s="26" t="s">
        <v>418</v>
      </c>
      <c r="W227" s="25" t="e">
        <f>TEXT(EDATE('Input - Site'!$E$12,8), "mmmm yyyy")</f>
        <v>#VALUE!</v>
      </c>
      <c r="X227" s="25">
        <f ca="1"/>
        <v>100</v>
      </c>
      <c r="Y227" s="25">
        <f ca="1"/>
        <v>100</v>
      </c>
      <c r="Z227" s="25">
        <f ca="1"/>
        <v>100</v>
      </c>
      <c r="AA227" s="25">
        <f ca="1"/>
        <v>100</v>
      </c>
      <c r="AB227" s="25">
        <f ca="1"/>
        <v>100</v>
      </c>
      <c r="AC227" s="25">
        <f ca="1"/>
        <v>100</v>
      </c>
      <c r="AD227" s="25">
        <f ca="1"/>
        <v>100</v>
      </c>
      <c r="AE227" s="25">
        <f ca="1"/>
        <v>100</v>
      </c>
      <c r="AF227" s="25">
        <f ca="1"/>
        <v>100</v>
      </c>
      <c r="AG227" s="25">
        <f ca="1"/>
        <v>100</v>
      </c>
      <c r="AH227" s="26" t="s">
        <v>208</v>
      </c>
    </row>
    <row r="228" spans="4:34" ht="20.100000000000001" customHeight="1" x14ac:dyDescent="0.25">
      <c r="D228" s="25" t="s">
        <v>204</v>
      </c>
      <c r="E228" s="25">
        <f ca="1"/>
        <v>91.25</v>
      </c>
      <c r="F228" s="25">
        <f ca="1"/>
        <v>91.25</v>
      </c>
      <c r="G228" s="25">
        <f ca="1"/>
        <v>91.25</v>
      </c>
      <c r="H228" s="25">
        <f ca="1"/>
        <v>91.25</v>
      </c>
      <c r="I228" s="25">
        <f ca="1"/>
        <v>91.25</v>
      </c>
      <c r="J228" s="25">
        <f ca="1"/>
        <v>91.25</v>
      </c>
      <c r="K228" s="25">
        <f ca="1"/>
        <v>91.25</v>
      </c>
      <c r="L228" s="25">
        <f ca="1"/>
        <v>91.25</v>
      </c>
      <c r="M228" s="25">
        <f ca="1"/>
        <v>91.25</v>
      </c>
      <c r="N228" s="25">
        <f ca="1"/>
        <v>91.25</v>
      </c>
      <c r="O228" s="26" t="s">
        <v>418</v>
      </c>
      <c r="W228" s="25" t="e">
        <f>TEXT(EDATE('Input - Site'!$E$12,9), "mmmm yyyy")</f>
        <v>#VALUE!</v>
      </c>
      <c r="X228" s="25">
        <f ca="1"/>
        <v>100</v>
      </c>
      <c r="Y228" s="25">
        <f ca="1"/>
        <v>100</v>
      </c>
      <c r="Z228" s="25">
        <f ca="1"/>
        <v>100</v>
      </c>
      <c r="AA228" s="25">
        <f ca="1"/>
        <v>100</v>
      </c>
      <c r="AB228" s="25">
        <f ca="1"/>
        <v>100</v>
      </c>
      <c r="AC228" s="25">
        <f ca="1"/>
        <v>100</v>
      </c>
      <c r="AD228" s="25">
        <f ca="1"/>
        <v>100</v>
      </c>
      <c r="AE228" s="25">
        <f ca="1"/>
        <v>100</v>
      </c>
      <c r="AF228" s="25">
        <f ca="1"/>
        <v>100</v>
      </c>
      <c r="AG228" s="25">
        <f ca="1"/>
        <v>100</v>
      </c>
      <c r="AH228" s="26" t="s">
        <v>208</v>
      </c>
    </row>
    <row r="229" spans="4:34" ht="20.100000000000001" customHeight="1" x14ac:dyDescent="0.25">
      <c r="D229" s="25" t="s">
        <v>205</v>
      </c>
      <c r="E229" s="25">
        <f ca="1"/>
        <v>91.25</v>
      </c>
      <c r="F229" s="25">
        <f ca="1"/>
        <v>91.25</v>
      </c>
      <c r="G229" s="25">
        <f ca="1"/>
        <v>91.25</v>
      </c>
      <c r="H229" s="25">
        <f ca="1"/>
        <v>91.25</v>
      </c>
      <c r="I229" s="25">
        <f ca="1"/>
        <v>91.25</v>
      </c>
      <c r="J229" s="25">
        <f ca="1"/>
        <v>91.25</v>
      </c>
      <c r="K229" s="25">
        <f ca="1"/>
        <v>91.25</v>
      </c>
      <c r="L229" s="25">
        <f ca="1"/>
        <v>91.25</v>
      </c>
      <c r="M229" s="25">
        <f ca="1"/>
        <v>91.25</v>
      </c>
      <c r="N229" s="25">
        <f ca="1"/>
        <v>91.25</v>
      </c>
      <c r="O229" s="26" t="s">
        <v>418</v>
      </c>
      <c r="W229" s="25" t="e">
        <f>TEXT(EDATE('Input - Site'!$E$12,10), "mmmm yyyy")</f>
        <v>#VALUE!</v>
      </c>
      <c r="X229" s="25">
        <f ca="1"/>
        <v>100</v>
      </c>
      <c r="Y229" s="25">
        <f ca="1"/>
        <v>100</v>
      </c>
      <c r="Z229" s="25">
        <f ca="1"/>
        <v>100</v>
      </c>
      <c r="AA229" s="25">
        <f ca="1"/>
        <v>100</v>
      </c>
      <c r="AB229" s="25">
        <f ca="1"/>
        <v>100</v>
      </c>
      <c r="AC229" s="25">
        <f ca="1"/>
        <v>100</v>
      </c>
      <c r="AD229" s="25">
        <f ca="1"/>
        <v>100</v>
      </c>
      <c r="AE229" s="25">
        <f ca="1"/>
        <v>100</v>
      </c>
      <c r="AF229" s="25">
        <f ca="1"/>
        <v>100</v>
      </c>
      <c r="AG229" s="25">
        <f ca="1"/>
        <v>100</v>
      </c>
      <c r="AH229" s="26" t="s">
        <v>208</v>
      </c>
    </row>
    <row r="230" spans="4:34" ht="20.100000000000001" customHeight="1" x14ac:dyDescent="0.25">
      <c r="D230" s="25" t="s">
        <v>206</v>
      </c>
      <c r="E230" s="25">
        <f ca="1"/>
        <v>91.25</v>
      </c>
      <c r="F230" s="25">
        <f ca="1"/>
        <v>91.25</v>
      </c>
      <c r="G230" s="25">
        <f ca="1"/>
        <v>91.25</v>
      </c>
      <c r="H230" s="25">
        <f ca="1"/>
        <v>91.25</v>
      </c>
      <c r="I230" s="25">
        <f ca="1"/>
        <v>91.25</v>
      </c>
      <c r="J230" s="25">
        <f ca="1"/>
        <v>91.25</v>
      </c>
      <c r="K230" s="25">
        <f ca="1"/>
        <v>91.25</v>
      </c>
      <c r="L230" s="25">
        <f ca="1"/>
        <v>91.25</v>
      </c>
      <c r="M230" s="25">
        <f ca="1"/>
        <v>91.25</v>
      </c>
      <c r="N230" s="25">
        <f ca="1"/>
        <v>91.25</v>
      </c>
      <c r="O230" s="26" t="s">
        <v>418</v>
      </c>
      <c r="W230" s="25" t="e">
        <f>TEXT(EDATE('Input - Site'!$E$12,11), "mmmm yyyy")</f>
        <v>#VALUE!</v>
      </c>
      <c r="X230" s="25">
        <f ca="1"/>
        <v>100</v>
      </c>
      <c r="Y230" s="25">
        <f ca="1"/>
        <v>100</v>
      </c>
      <c r="Z230" s="25">
        <f ca="1"/>
        <v>100</v>
      </c>
      <c r="AA230" s="25">
        <f ca="1"/>
        <v>100</v>
      </c>
      <c r="AB230" s="25">
        <f ca="1"/>
        <v>100</v>
      </c>
      <c r="AC230" s="25">
        <f ca="1"/>
        <v>100</v>
      </c>
      <c r="AD230" s="25">
        <f ca="1"/>
        <v>100</v>
      </c>
      <c r="AE230" s="25">
        <f ca="1"/>
        <v>100</v>
      </c>
      <c r="AF230" s="25">
        <f ca="1"/>
        <v>100</v>
      </c>
      <c r="AG230" s="25">
        <f ca="1"/>
        <v>100</v>
      </c>
      <c r="AH230" s="26" t="s">
        <v>208</v>
      </c>
    </row>
    <row r="231" spans="4:34" ht="20.100000000000001" customHeight="1" x14ac:dyDescent="0.25"/>
    <row r="232" spans="4:34" ht="20.100000000000001" customHeight="1" x14ac:dyDescent="0.25">
      <c r="D232" s="114" t="s">
        <v>419</v>
      </c>
      <c r="W232" s="114" t="s">
        <v>299</v>
      </c>
    </row>
    <row r="233" spans="4:34" ht="20.100000000000001" customHeight="1" x14ac:dyDescent="0.25">
      <c r="D233" s="115" t="s">
        <v>420</v>
      </c>
      <c r="W233" s="115" t="s">
        <v>300</v>
      </c>
    </row>
    <row r="234" spans="4:34" ht="20.100000000000001" customHeight="1" x14ac:dyDescent="0.25">
      <c r="D234" s="116" t="s">
        <v>406</v>
      </c>
      <c r="E234" s="116" t="s">
        <v>78</v>
      </c>
      <c r="F234" s="116" t="s">
        <v>193</v>
      </c>
      <c r="G234" s="116" t="s">
        <v>194</v>
      </c>
      <c r="H234" s="116" t="s">
        <v>195</v>
      </c>
      <c r="I234" s="116" t="s">
        <v>196</v>
      </c>
      <c r="J234" s="116" t="s">
        <v>197</v>
      </c>
      <c r="K234" s="116" t="s">
        <v>198</v>
      </c>
      <c r="L234" s="116" t="s">
        <v>199</v>
      </c>
      <c r="M234" s="116" t="s">
        <v>200</v>
      </c>
      <c r="N234" s="116" t="s">
        <v>201</v>
      </c>
      <c r="O234" s="116" t="s">
        <v>202</v>
      </c>
      <c r="W234" s="116" t="s">
        <v>77</v>
      </c>
      <c r="X234" s="117" t="s">
        <v>193</v>
      </c>
      <c r="Y234" s="117" t="s">
        <v>194</v>
      </c>
      <c r="Z234" s="117" t="s">
        <v>195</v>
      </c>
      <c r="AA234" s="117" t="s">
        <v>196</v>
      </c>
      <c r="AB234" s="117" t="s">
        <v>197</v>
      </c>
      <c r="AC234" s="117" t="s">
        <v>198</v>
      </c>
      <c r="AD234" s="117" t="s">
        <v>199</v>
      </c>
      <c r="AE234" s="117" t="s">
        <v>200</v>
      </c>
      <c r="AF234" s="117" t="s">
        <v>201</v>
      </c>
      <c r="AG234" s="117" t="s">
        <v>202</v>
      </c>
      <c r="AH234" s="26"/>
    </row>
    <row r="235" spans="4:34" ht="20.100000000000001" customHeight="1" x14ac:dyDescent="0.25">
      <c r="D235" s="25" t="str">
        <f>'Input - Pasture Beef'!$D$180</f>
        <v>Pasture range and paddock</v>
      </c>
      <c r="E235" s="25" t="s">
        <v>203</v>
      </c>
      <c r="F235" s="25" cm="1">
        <f t="array" aca="1" ref="F235" ca="1">MMS_PastureBeef_Methane_Equations.VEERG_4_2_1_1__1_TotalAnnualMethaneProductionFromManureManagement(E219,F177,E227)</f>
        <v>1.0543599750549396E-2</v>
      </c>
      <c r="G235" s="25" cm="1">
        <f t="array" aca="1" ref="G235" ca="1">MMS_PastureBeef_Methane_Equations.VEERG_4_2_1_1__1_TotalAnnualMethaneProductionFromManureManagement(F219,G177,F227)</f>
        <v>1.4891433017389384E-2</v>
      </c>
      <c r="H235" s="25" cm="1">
        <f t="array" aca="1" ref="H235" ca="1">MMS_PastureBeef_Methane_Equations.VEERG_4_2_1_1__1_TotalAnnualMethaneProductionFromManureManagement(G219,H177,G227)</f>
        <v>8.036328859194598E-3</v>
      </c>
      <c r="I235" s="25" cm="1">
        <f t="array" aca="1" ref="I235" ca="1">MMS_PastureBeef_Methane_Equations.VEERG_4_2_1_1__1_TotalAnnualMethaneProductionFromManureManagement(H219,I177,H227)</f>
        <v>1.1600874523134977E-2</v>
      </c>
      <c r="J235" s="25" cm="1">
        <f t="array" aca="1" ref="J235" ca="1">MMS_PastureBeef_Methane_Equations.VEERG_4_2_1_1__1_TotalAnnualMethaneProductionFromManureManagement(I219,J177,I227)</f>
        <v>1.3702060159970882E-2</v>
      </c>
      <c r="K235" s="25" cm="1">
        <f t="array" aca="1" ref="K235" ca="1">MMS_PastureBeef_Methane_Equations.VEERG_4_2_1_1__1_TotalAnnualMethaneProductionFromManureManagement(J219,K177,J227)</f>
        <v>1.3702060159970882E-2</v>
      </c>
      <c r="L235" s="25" cm="1">
        <f t="array" aca="1" ref="L235" ca="1">MMS_PastureBeef_Methane_Equations.VEERG_4_2_1_1__1_TotalAnnualMethaneProductionFromManureManagement(K219,L177,K227)</f>
        <v>9.2648217360360614E-3</v>
      </c>
      <c r="M235" s="25" cm="1">
        <f t="array" aca="1" ref="M235" ca="1">MMS_PastureBeef_Methane_Equations.VEERG_4_2_1_1__1_TotalAnnualMethaneProductionFromManureManagement(L219,M177,L227)</f>
        <v>1.1773586282049499E-2</v>
      </c>
      <c r="N235" s="25" cm="1">
        <f t="array" aca="1" ref="N235" ca="1">MMS_PastureBeef_Methane_Equations.VEERG_4_2_1_1__1_TotalAnnualMethaneProductionFromManureManagement(M219,N177,M227)</f>
        <v>1.1773586282049499E-2</v>
      </c>
      <c r="O235" s="25" cm="1">
        <f t="array" aca="1" ref="O235" ca="1">MMS_PastureBeef_Methane_Equations.VEERG_4_2_1_1__1_TotalAnnualMethaneProductionFromManureManagement(N219,O177,N227)</f>
        <v>1.1773586282049499E-2</v>
      </c>
      <c r="P235" s="26" t="str">
        <f>$E$210</f>
        <v>t CH4</v>
      </c>
      <c r="Q235" s="26"/>
      <c r="R235" s="26"/>
      <c r="S235" s="26"/>
      <c r="W235" s="25" t="str">
        <f>TEXT('Input - Site'!$E$12, "mmmm yyyy")</f>
        <v>NO - Not in leaching zone</v>
      </c>
      <c r="X235" s="25" cm="1">
        <f t="array" aca="1" ref="X235:AG246" ca="1">OFFSET(X_Table_PastureBeef_Duration_Method2, 1,1, 12,10)</f>
        <v>31</v>
      </c>
      <c r="Y235" s="25">
        <f ca="1"/>
        <v>31</v>
      </c>
      <c r="Z235" s="25">
        <f ca="1"/>
        <v>31</v>
      </c>
      <c r="AA235" s="25">
        <f ca="1"/>
        <v>31</v>
      </c>
      <c r="AB235" s="25">
        <f ca="1"/>
        <v>31</v>
      </c>
      <c r="AC235" s="25">
        <f ca="1"/>
        <v>31</v>
      </c>
      <c r="AD235" s="25">
        <f ca="1"/>
        <v>31</v>
      </c>
      <c r="AE235" s="25">
        <f ca="1"/>
        <v>31</v>
      </c>
      <c r="AF235" s="25">
        <f ca="1"/>
        <v>31</v>
      </c>
      <c r="AG235" s="25">
        <f ca="1"/>
        <v>31</v>
      </c>
      <c r="AH235" s="26" t="s">
        <v>418</v>
      </c>
    </row>
    <row r="236" spans="4:34" ht="20.100000000000001" customHeight="1" x14ac:dyDescent="0.25">
      <c r="D236" s="25" t="str">
        <f>'Input - Pasture Beef'!$D$180</f>
        <v>Pasture range and paddock</v>
      </c>
      <c r="E236" s="25" t="s">
        <v>204</v>
      </c>
      <c r="F236" s="25" cm="1">
        <f t="array" aca="1" ref="F236" ca="1">MMS_PastureBeef_Methane_Equations.VEERG_4_2_1_1__1_TotalAnnualMethaneProductionFromManureManagement(E220,F178,E228)</f>
        <v>1.6656585480999568E-2</v>
      </c>
      <c r="G236" s="25" cm="1">
        <f t="array" aca="1" ref="G236" ca="1">MMS_PastureBeef_Methane_Equations.VEERG_4_2_1_1__1_TotalAnnualMethaneProductionFromManureManagement(F220,G178,F228)</f>
        <v>2.2038309341351328E-2</v>
      </c>
      <c r="H236" s="25" cm="1">
        <f t="array" aca="1" ref="H236" ca="1">MMS_PastureBeef_Methane_Equations.VEERG_4_2_1_1__1_TotalAnnualMethaneProductionFromManureManagement(G220,H178,G228)</f>
        <v>1.4007812244206296E-2</v>
      </c>
      <c r="I236" s="25" cm="1">
        <f t="array" aca="1" ref="I236" ca="1">MMS_PastureBeef_Methane_Equations.VEERG_4_2_1_1__1_TotalAnnualMethaneProductionFromManureManagement(H220,I178,H228)</f>
        <v>1.9076974173493084E-2</v>
      </c>
      <c r="J236" s="25" cm="1">
        <f t="array" aca="1" ref="J236" ca="1">MMS_PastureBeef_Methane_Equations.VEERG_4_2_1_1__1_TotalAnnualMethaneProductionFromManureManagement(I220,J178,I228)</f>
        <v>1.8888538660416041E-2</v>
      </c>
      <c r="K236" s="25" cm="1">
        <f t="array" aca="1" ref="K236" ca="1">MMS_PastureBeef_Methane_Equations.VEERG_4_2_1_1__1_TotalAnnualMethaneProductionFromManureManagement(J220,K178,J228)</f>
        <v>1.8888538660416041E-2</v>
      </c>
      <c r="L236" s="25" cm="1">
        <f t="array" aca="1" ref="L236" ca="1">MMS_PastureBeef_Methane_Equations.VEERG_4_2_1_1__1_TotalAnnualMethaneProductionFromManureManagement(K220,L178,K228)</f>
        <v>1.5353274092545728E-2</v>
      </c>
      <c r="M236" s="25" cm="1">
        <f t="array" aca="1" ref="M236" ca="1">MMS_PastureBeef_Methane_Equations.VEERG_4_2_1_1__1_TotalAnnualMethaneProductionFromManureManagement(L220,M178,L228)</f>
        <v>1.7113891285974955E-2</v>
      </c>
      <c r="N236" s="25" cm="1">
        <f t="array" aca="1" ref="N236" ca="1">MMS_PastureBeef_Methane_Equations.VEERG_4_2_1_1__1_TotalAnnualMethaneProductionFromManureManagement(M220,N178,M228)</f>
        <v>1.7113891285974955E-2</v>
      </c>
      <c r="O236" s="25" cm="1">
        <f t="array" aca="1" ref="O236" ca="1">MMS_PastureBeef_Methane_Equations.VEERG_4_2_1_1__1_TotalAnnualMethaneProductionFromManureManagement(N220,O178,N228)</f>
        <v>1.7113891285974955E-2</v>
      </c>
      <c r="P236" s="26" t="str">
        <f t="shared" ref="P236:P242" si="10">$E$210</f>
        <v>t CH4</v>
      </c>
      <c r="Q236" s="26"/>
      <c r="R236" s="26"/>
      <c r="S236" s="26"/>
      <c r="W236" s="25" t="e">
        <f>TEXT(EDATE('Input - Site'!$E$12,1), "mmmm yyyy")</f>
        <v>#VALUE!</v>
      </c>
      <c r="X236" s="25">
        <f ca="1"/>
        <v>29</v>
      </c>
      <c r="Y236" s="25">
        <f ca="1"/>
        <v>29</v>
      </c>
      <c r="Z236" s="25">
        <f ca="1"/>
        <v>29</v>
      </c>
      <c r="AA236" s="25">
        <f ca="1"/>
        <v>29</v>
      </c>
      <c r="AB236" s="25">
        <f ca="1"/>
        <v>29</v>
      </c>
      <c r="AC236" s="25">
        <f ca="1"/>
        <v>29</v>
      </c>
      <c r="AD236" s="25">
        <f ca="1"/>
        <v>29</v>
      </c>
      <c r="AE236" s="25">
        <f ca="1"/>
        <v>29</v>
      </c>
      <c r="AF236" s="25">
        <f ca="1"/>
        <v>29</v>
      </c>
      <c r="AG236" s="25">
        <f ca="1"/>
        <v>29</v>
      </c>
      <c r="AH236" s="26" t="s">
        <v>418</v>
      </c>
    </row>
    <row r="237" spans="4:34" ht="20.100000000000001" customHeight="1" x14ac:dyDescent="0.25">
      <c r="D237" s="25" t="str">
        <f>'Input - Pasture Beef'!$D$180</f>
        <v>Pasture range and paddock</v>
      </c>
      <c r="E237" s="25" t="s">
        <v>205</v>
      </c>
      <c r="F237" s="25" cm="1">
        <f t="array" aca="1" ref="F237" ca="1">MMS_PastureBeef_Methane_Equations.VEERG_4_2_1_1__1_TotalAnnualMethaneProductionFromManureManagement(E221,F179,E229)</f>
        <v>8.884164431756528E-3</v>
      </c>
      <c r="G237" s="25" cm="1">
        <f t="array" aca="1" ref="G237" ca="1">MMS_PastureBeef_Methane_Equations.VEERG_4_2_1_1__1_TotalAnnualMethaneProductionFromManureManagement(F221,G179,F229)</f>
        <v>2.5785315433305797E-2</v>
      </c>
      <c r="H237" s="25" cm="1">
        <f t="array" aca="1" ref="H237" ca="1">MMS_PastureBeef_Methane_Equations.VEERG_4_2_1_1__1_TotalAnnualMethaneProductionFromManureManagement(G221,H179,G229)</f>
        <v>8.0992845830886555E-3</v>
      </c>
      <c r="I237" s="25" cm="1">
        <f t="array" aca="1" ref="I237" ca="1">MMS_PastureBeef_Methane_Equations.VEERG_4_2_1_1__1_TotalAnnualMethaneProductionFromManureManagement(H221,I179,H229)</f>
        <v>1.6463195266712558E-2</v>
      </c>
      <c r="J237" s="25" cm="1">
        <f t="array" aca="1" ref="J237" ca="1">MMS_PastureBeef_Methane_Equations.VEERG_4_2_1_1__1_TotalAnnualMethaneProductionFromManureManagement(I221,J179,I229)</f>
        <v>1.8380056806114171E-2</v>
      </c>
      <c r="K237" s="25" cm="1">
        <f t="array" aca="1" ref="K237" ca="1">MMS_PastureBeef_Methane_Equations.VEERG_4_2_1_1__1_TotalAnnualMethaneProductionFromManureManagement(J221,K179,J229)</f>
        <v>1.8380056806114171E-2</v>
      </c>
      <c r="L237" s="25" cm="1">
        <f t="array" aca="1" ref="L237" ca="1">MMS_PastureBeef_Methane_Equations.VEERG_4_2_1_1__1_TotalAnnualMethaneProductionFromManureManagement(K221,L179,K229)</f>
        <v>8.884164431756528E-3</v>
      </c>
      <c r="M237" s="25" cm="1">
        <f t="array" aca="1" ref="M237" ca="1">MMS_PastureBeef_Methane_Equations.VEERG_4_2_1_1__1_TotalAnnualMethaneProductionFromManureManagement(L221,M179,L229)</f>
        <v>1.6129417703899748E-2</v>
      </c>
      <c r="N237" s="25" cm="1">
        <f t="array" aca="1" ref="N237" ca="1">MMS_PastureBeef_Methane_Equations.VEERG_4_2_1_1__1_TotalAnnualMethaneProductionFromManureManagement(M221,N179,M229)</f>
        <v>1.6129417703899748E-2</v>
      </c>
      <c r="O237" s="25" cm="1">
        <f t="array" aca="1" ref="O237" ca="1">MMS_PastureBeef_Methane_Equations.VEERG_4_2_1_1__1_TotalAnnualMethaneProductionFromManureManagement(N221,O179,N229)</f>
        <v>1.6129417703899748E-2</v>
      </c>
      <c r="P237" s="26" t="str">
        <f t="shared" si="10"/>
        <v>t CH4</v>
      </c>
      <c r="Q237" s="26"/>
      <c r="R237" s="26"/>
      <c r="S237" s="26"/>
      <c r="W237" s="25" t="e">
        <f>TEXT(EDATE('Input - Site'!$E$12,2), "mmmm yyyy")</f>
        <v>#VALUE!</v>
      </c>
      <c r="X237" s="25">
        <f ca="1"/>
        <v>31</v>
      </c>
      <c r="Y237" s="25">
        <f ca="1"/>
        <v>31</v>
      </c>
      <c r="Z237" s="25">
        <f ca="1"/>
        <v>31</v>
      </c>
      <c r="AA237" s="25">
        <f ca="1"/>
        <v>31</v>
      </c>
      <c r="AB237" s="25">
        <f ca="1"/>
        <v>31</v>
      </c>
      <c r="AC237" s="25">
        <f ca="1"/>
        <v>31</v>
      </c>
      <c r="AD237" s="25">
        <f ca="1"/>
        <v>31</v>
      </c>
      <c r="AE237" s="25">
        <f ca="1"/>
        <v>31</v>
      </c>
      <c r="AF237" s="25">
        <f ca="1"/>
        <v>31</v>
      </c>
      <c r="AG237" s="25">
        <f ca="1"/>
        <v>31</v>
      </c>
      <c r="AH237" s="26" t="s">
        <v>418</v>
      </c>
    </row>
    <row r="238" spans="4:34" ht="20.100000000000001" customHeight="1" x14ac:dyDescent="0.25">
      <c r="D238" s="25" t="str">
        <f>'Input - Pasture Beef'!$D$180</f>
        <v>Pasture range and paddock</v>
      </c>
      <c r="E238" s="25" t="s">
        <v>206</v>
      </c>
      <c r="F238" s="25" cm="1">
        <f t="array" aca="1" ref="F238" ca="1">MMS_PastureBeef_Methane_Equations.VEERG_4_2_1_1__1_TotalAnnualMethaneProductionFromManureManagement(E222,F180,E230)</f>
        <v>7.5417805472721543E-3</v>
      </c>
      <c r="G238" s="25" cm="1">
        <f t="array" aca="1" ref="G238" ca="1">MMS_PastureBeef_Methane_Equations.VEERG_4_2_1_1__1_TotalAnnualMethaneProductionFromManureManagement(F222,G180,F230)</f>
        <v>1.4656086295388867E-2</v>
      </c>
      <c r="H238" s="25" cm="1">
        <f t="array" aca="1" ref="H238" ca="1">MMS_PastureBeef_Methane_Equations.VEERG_4_2_1_1__1_TotalAnnualMethaneProductionFromManureManagement(G222,H180,G230)</f>
        <v>6.1750454688088846E-3</v>
      </c>
      <c r="I238" s="25" cm="1">
        <f t="array" aca="1" ref="I238" ca="1">MMS_PastureBeef_Methane_Equations.VEERG_4_2_1_1__1_TotalAnnualMethaneProductionFromManureManagement(H222,I180,H230)</f>
        <v>1.0538798529818759E-2</v>
      </c>
      <c r="J238" s="25" cm="1">
        <f t="array" aca="1" ref="J238" ca="1">MMS_PastureBeef_Methane_Equations.VEERG_4_2_1_1__1_TotalAnnualMethaneProductionFromManureManagement(I222,J180,I230)</f>
        <v>1.3437059174447761E-2</v>
      </c>
      <c r="K238" s="25" cm="1">
        <f t="array" aca="1" ref="K238" ca="1">MMS_PastureBeef_Methane_Equations.VEERG_4_2_1_1__1_TotalAnnualMethaneProductionFromManureManagement(J222,K180,J230)</f>
        <v>1.3437059174447761E-2</v>
      </c>
      <c r="L238" s="25" cm="1">
        <f t="array" aca="1" ref="L238" ca="1">MMS_PastureBeef_Methane_Equations.VEERG_4_2_1_1__1_TotalAnnualMethaneProductionFromManureManagement(K222,L180,K230)</f>
        <v>6.6298873742505681E-3</v>
      </c>
      <c r="M238" s="25" cm="1">
        <f t="array" aca="1" ref="M238" ca="1">MMS_PastureBeef_Methane_Equations.VEERG_4_2_1_1__1_TotalAnnualMethaneProductionFromManureManagement(L222,M180,L230)</f>
        <v>1.0093889601476421E-2</v>
      </c>
      <c r="N238" s="25" cm="1">
        <f t="array" aca="1" ref="N238" ca="1">MMS_PastureBeef_Methane_Equations.VEERG_4_2_1_1__1_TotalAnnualMethaneProductionFromManureManagement(M222,N180,M230)</f>
        <v>1.0093889601476421E-2</v>
      </c>
      <c r="O238" s="25" cm="1">
        <f t="array" aca="1" ref="O238" ca="1">MMS_PastureBeef_Methane_Equations.VEERG_4_2_1_1__1_TotalAnnualMethaneProductionFromManureManagement(N222,O180,N230)</f>
        <v>1.0093889601476421E-2</v>
      </c>
      <c r="P238" s="26" t="str">
        <f t="shared" si="10"/>
        <v>t CH4</v>
      </c>
      <c r="Q238" s="26"/>
      <c r="R238" s="26"/>
      <c r="S238" s="26"/>
      <c r="W238" s="25" t="e">
        <f>TEXT(EDATE('Input - Site'!$E$12,3), "mmmm yyyy")</f>
        <v>#VALUE!</v>
      </c>
      <c r="X238" s="25">
        <f ca="1"/>
        <v>30</v>
      </c>
      <c r="Y238" s="25">
        <f ca="1"/>
        <v>30</v>
      </c>
      <c r="Z238" s="25">
        <f ca="1"/>
        <v>30</v>
      </c>
      <c r="AA238" s="25">
        <f ca="1"/>
        <v>30</v>
      </c>
      <c r="AB238" s="25">
        <f ca="1"/>
        <v>30</v>
      </c>
      <c r="AC238" s="25">
        <f ca="1"/>
        <v>30</v>
      </c>
      <c r="AD238" s="25">
        <f ca="1"/>
        <v>30</v>
      </c>
      <c r="AE238" s="25">
        <f ca="1"/>
        <v>30</v>
      </c>
      <c r="AF238" s="25">
        <f ca="1"/>
        <v>30</v>
      </c>
      <c r="AG238" s="25">
        <f ca="1"/>
        <v>30</v>
      </c>
      <c r="AH238" s="26" t="s">
        <v>418</v>
      </c>
    </row>
    <row r="239" spans="4:34" ht="20.100000000000001" customHeight="1" x14ac:dyDescent="0.25">
      <c r="D239" s="25" t="str">
        <f>'Input - Pasture Beef'!$D$181</f>
        <v>Anaerobic lagoon</v>
      </c>
      <c r="E239" s="25" t="s">
        <v>203</v>
      </c>
      <c r="F239" s="25" cm="1">
        <f t="array" aca="1" ref="F239" ca="1">MMS_PastureBeef_Methane_Equations.VEERG_4_2_1_1__1_TotalAnnualMethaneProductionFromManureManagement(E219,F181,E227)</f>
        <v>6.4690601459427921E-3</v>
      </c>
      <c r="G239" s="25" cm="1">
        <f t="array" aca="1" ref="G239" ca="1">MMS_PastureBeef_Methane_Equations.VEERG_4_2_1_1__1_TotalAnnualMethaneProductionFromManureManagement(F219,G181,F227)</f>
        <v>9.1366874813083275E-3</v>
      </c>
      <c r="H239" s="25" cm="1">
        <f t="array" aca="1" ref="H239" ca="1">MMS_PastureBeef_Methane_Equations.VEERG_4_2_1_1__1_TotalAnnualMethaneProductionFromManureManagement(G219,H181,G227)</f>
        <v>4.9307158819260717E-3</v>
      </c>
      <c r="I239" s="25" cm="1">
        <f t="array" aca="1" ref="I239" ca="1">MMS_PastureBeef_Methane_Equations.VEERG_4_2_1_1__1_TotalAnnualMethaneProductionFromManureManagement(H219,I181,H227)</f>
        <v>7.1177545441048363E-3</v>
      </c>
      <c r="J239" s="25" cm="1">
        <f t="array" aca="1" ref="J239" ca="1">MMS_PastureBeef_Methane_Equations.VEERG_4_2_1_1__1_TotalAnnualMethaneProductionFromManureManagement(I219,J181,I227)</f>
        <v>8.4069438707173438E-3</v>
      </c>
      <c r="K239" s="25" cm="1">
        <f t="array" aca="1" ref="K239" ca="1">MMS_PastureBeef_Methane_Equations.VEERG_4_2_1_1__1_TotalAnnualMethaneProductionFromManureManagement(J219,K181,J227)</f>
        <v>8.4069438707173438E-3</v>
      </c>
      <c r="L239" s="25" cm="1">
        <f t="array" aca="1" ref="L239" ca="1">MMS_PastureBeef_Methane_Equations.VEERG_4_2_1_1__1_TotalAnnualMethaneProductionFromManureManagement(K219,L181,K227)</f>
        <v>5.6844617085101672E-3</v>
      </c>
      <c r="M239" s="25" cm="1">
        <f t="array" aca="1" ref="M239" ca="1">MMS_PastureBeef_Methane_Equations.VEERG_4_2_1_1__1_TotalAnnualMethaneProductionFromManureManagement(L219,M181,L227)</f>
        <v>7.2237224092328136E-3</v>
      </c>
      <c r="N239" s="25" cm="1">
        <f t="array" aca="1" ref="N239" ca="1">MMS_PastureBeef_Methane_Equations.VEERG_4_2_1_1__1_TotalAnnualMethaneProductionFromManureManagement(M219,N181,M227)</f>
        <v>7.2237224092328136E-3</v>
      </c>
      <c r="O239" s="25" cm="1">
        <f t="array" aca="1" ref="O239" ca="1">MMS_PastureBeef_Methane_Equations.VEERG_4_2_1_1__1_TotalAnnualMethaneProductionFromManureManagement(N219,O181,N227)</f>
        <v>7.2237224092328136E-3</v>
      </c>
      <c r="P239" s="26" t="str">
        <f t="shared" si="10"/>
        <v>t CH4</v>
      </c>
      <c r="Q239" s="26"/>
      <c r="R239" s="26"/>
      <c r="S239" s="26"/>
      <c r="W239" s="25" t="e">
        <f>TEXT(EDATE('Input - Site'!$E$12,4), "mmmm yyyy")</f>
        <v>#VALUE!</v>
      </c>
      <c r="X239" s="25">
        <f ca="1"/>
        <v>31</v>
      </c>
      <c r="Y239" s="25">
        <f ca="1"/>
        <v>31</v>
      </c>
      <c r="Z239" s="25">
        <f ca="1"/>
        <v>31</v>
      </c>
      <c r="AA239" s="25">
        <f ca="1"/>
        <v>31</v>
      </c>
      <c r="AB239" s="25">
        <f ca="1"/>
        <v>31</v>
      </c>
      <c r="AC239" s="25">
        <f ca="1"/>
        <v>31</v>
      </c>
      <c r="AD239" s="25">
        <f ca="1"/>
        <v>31</v>
      </c>
      <c r="AE239" s="25">
        <f ca="1"/>
        <v>31</v>
      </c>
      <c r="AF239" s="25">
        <f ca="1"/>
        <v>31</v>
      </c>
      <c r="AG239" s="25">
        <f ca="1"/>
        <v>31</v>
      </c>
      <c r="AH239" s="26" t="s">
        <v>418</v>
      </c>
    </row>
    <row r="240" spans="4:34" ht="20.100000000000001" customHeight="1" x14ac:dyDescent="0.25">
      <c r="D240" s="25" t="str">
        <f>'Input - Pasture Beef'!$D$181</f>
        <v>Anaerobic lagoon</v>
      </c>
      <c r="E240" s="25" t="s">
        <v>204</v>
      </c>
      <c r="F240" s="25" cm="1">
        <f t="array" aca="1" ref="F240" ca="1">MMS_PastureBeef_Methane_Equations.VEERG_4_2_1_1__1_TotalAnnualMethaneProductionFromManureManagement(E220,F182,E228)</f>
        <v>1.0219702554339564E-2</v>
      </c>
      <c r="G240" s="25" cm="1">
        <f t="array" aca="1" ref="G240" ca="1">MMS_PastureBeef_Methane_Equations.VEERG_4_2_1_1__1_TotalAnnualMethaneProductionFromManureManagement(F220,G182,F228)</f>
        <v>1.3521676848238278E-2</v>
      </c>
      <c r="H240" s="25" cm="1">
        <f t="array" aca="1" ref="H240" ca="1">MMS_PastureBeef_Methane_Equations.VEERG_4_2_1_1__1_TotalAnnualMethaneProductionFromManureManagement(G220,H182,G228)</f>
        <v>8.5945390630104875E-3</v>
      </c>
      <c r="I240" s="25" cm="1">
        <f t="array" aca="1" ref="I240" ca="1">MMS_PastureBeef_Methane_Equations.VEERG_4_2_1_1__1_TotalAnnualMethaneProductionFromManureManagement(H220,I182,H228)</f>
        <v>1.1704739960798825E-2</v>
      </c>
      <c r="J240" s="25" cm="1">
        <f t="array" aca="1" ref="J240" ca="1">MMS_PastureBeef_Methane_Equations.VEERG_4_2_1_1__1_TotalAnnualMethaneProductionFromManureManagement(I220,J182,I228)</f>
        <v>1.1589124734825984E-2</v>
      </c>
      <c r="K240" s="25" cm="1">
        <f t="array" aca="1" ref="K240" ca="1">MMS_PastureBeef_Methane_Equations.VEERG_4_2_1_1__1_TotalAnnualMethaneProductionFromManureManagement(J220,K182,J228)</f>
        <v>1.1589124734825984E-2</v>
      </c>
      <c r="L240" s="25" cm="1">
        <f t="array" aca="1" ref="L240" ca="1">MMS_PastureBeef_Methane_Equations.VEERG_4_2_1_1__1_TotalAnnualMethaneProductionFromManureManagement(K220,L182,K228)</f>
        <v>9.420051585005227E-3</v>
      </c>
      <c r="M240" s="25" cm="1">
        <f t="array" aca="1" ref="M240" ca="1">MMS_PastureBeef_Methane_Equations.VEERG_4_2_1_1__1_TotalAnnualMethaneProductionFromManureManagement(L220,M182,L228)</f>
        <v>1.0500284028168785E-2</v>
      </c>
      <c r="N240" s="25" cm="1">
        <f t="array" aca="1" ref="N240" ca="1">MMS_PastureBeef_Methane_Equations.VEERG_4_2_1_1__1_TotalAnnualMethaneProductionFromManureManagement(M220,N182,M228)</f>
        <v>1.0500284028168785E-2</v>
      </c>
      <c r="O240" s="25" cm="1">
        <f t="array" aca="1" ref="O240" ca="1">MMS_PastureBeef_Methane_Equations.VEERG_4_2_1_1__1_TotalAnnualMethaneProductionFromManureManagement(N220,O182,N228)</f>
        <v>1.0500284028168785E-2</v>
      </c>
      <c r="P240" s="26" t="str">
        <f t="shared" si="10"/>
        <v>t CH4</v>
      </c>
      <c r="Q240" s="26"/>
      <c r="R240" s="26"/>
      <c r="S240" s="26"/>
      <c r="W240" s="25" t="e">
        <f>TEXT(EDATE('Input - Site'!$E$12,5), "mmmm yyyy")</f>
        <v>#VALUE!</v>
      </c>
      <c r="X240" s="25">
        <f ca="1"/>
        <v>30</v>
      </c>
      <c r="Y240" s="25">
        <f ca="1"/>
        <v>30</v>
      </c>
      <c r="Z240" s="25">
        <f ca="1"/>
        <v>30</v>
      </c>
      <c r="AA240" s="25">
        <f ca="1"/>
        <v>30</v>
      </c>
      <c r="AB240" s="25">
        <f ca="1"/>
        <v>30</v>
      </c>
      <c r="AC240" s="25">
        <f ca="1"/>
        <v>30</v>
      </c>
      <c r="AD240" s="25">
        <f ca="1"/>
        <v>30</v>
      </c>
      <c r="AE240" s="25">
        <f ca="1"/>
        <v>30</v>
      </c>
      <c r="AF240" s="25">
        <f ca="1"/>
        <v>30</v>
      </c>
      <c r="AG240" s="25">
        <f ca="1"/>
        <v>30</v>
      </c>
      <c r="AH240" s="26" t="s">
        <v>418</v>
      </c>
    </row>
    <row r="241" spans="4:36" ht="20.100000000000001" customHeight="1" x14ac:dyDescent="0.25">
      <c r="D241" s="25" t="str">
        <f>'Input - Pasture Beef'!$D$181</f>
        <v>Anaerobic lagoon</v>
      </c>
      <c r="E241" s="25" t="s">
        <v>205</v>
      </c>
      <c r="F241" s="25" cm="1">
        <f t="array" aca="1" ref="F241" ca="1">MMS_PastureBeef_Methane_Equations.VEERG_4_2_1_1__1_TotalAnnualMethaneProductionFromManureManagement(E221,F183,E229)</f>
        <v>5.4509081732246091E-3</v>
      </c>
      <c r="G241" s="25" cm="1">
        <f t="array" aca="1" ref="G241" ca="1">MMS_PastureBeef_Methane_Equations.VEERG_4_2_1_1__1_TotalAnnualMethaneProductionFromManureManagement(F221,G183,F229)</f>
        <v>1.5820664703387506E-2</v>
      </c>
      <c r="H241" s="25" cm="1">
        <f t="array" aca="1" ref="H241" ca="1">MMS_PastureBeef_Methane_Equations.VEERG_4_2_1_1__1_TotalAnnualMethaneProductionFromManureManagement(G221,H183,G229)</f>
        <v>4.9693425724338198E-3</v>
      </c>
      <c r="I241" s="25" cm="1">
        <f t="array" aca="1" ref="I241" ca="1">MMS_PastureBeef_Methane_Equations.VEERG_4_2_1_1__1_TotalAnnualMethaneProductionFromManureManagement(H221,I183,H229)</f>
        <v>1.010104735521801E-2</v>
      </c>
      <c r="J241" s="25" cm="1">
        <f t="array" aca="1" ref="J241" ca="1">MMS_PastureBeef_Methane_Equations.VEERG_4_2_1_1__1_TotalAnnualMethaneProductionFromManureManagement(I221,J183,I229)</f>
        <v>1.1277144028385762E-2</v>
      </c>
      <c r="K241" s="25" cm="1">
        <f t="array" aca="1" ref="K241" ca="1">MMS_PastureBeef_Methane_Equations.VEERG_4_2_1_1__1_TotalAnnualMethaneProductionFromManureManagement(J221,K183,J229)</f>
        <v>1.1277144028385762E-2</v>
      </c>
      <c r="L241" s="25" cm="1">
        <f t="array" aca="1" ref="L241" ca="1">MMS_PastureBeef_Methane_Equations.VEERG_4_2_1_1__1_TotalAnnualMethaneProductionFromManureManagement(K221,L183,K229)</f>
        <v>5.4509081732246091E-3</v>
      </c>
      <c r="M241" s="25" cm="1">
        <f t="array" aca="1" ref="M241" ca="1">MMS_PastureBeef_Methane_Equations.VEERG_4_2_1_1__1_TotalAnnualMethaneProductionFromManureManagement(L221,M183,L229)</f>
        <v>9.8962570387902855E-3</v>
      </c>
      <c r="N241" s="25" cm="1">
        <f t="array" aca="1" ref="N241" ca="1">MMS_PastureBeef_Methane_Equations.VEERG_4_2_1_1__1_TotalAnnualMethaneProductionFromManureManagement(M221,N183,M229)</f>
        <v>9.8962570387902855E-3</v>
      </c>
      <c r="O241" s="25" cm="1">
        <f t="array" aca="1" ref="O241" ca="1">MMS_PastureBeef_Methane_Equations.VEERG_4_2_1_1__1_TotalAnnualMethaneProductionFromManureManagement(N221,O183,N229)</f>
        <v>9.8962570387902855E-3</v>
      </c>
      <c r="P241" s="26" t="str">
        <f t="shared" si="10"/>
        <v>t CH4</v>
      </c>
      <c r="Q241" s="26"/>
      <c r="R241" s="26"/>
      <c r="S241" s="26"/>
      <c r="W241" s="25" t="e">
        <f>TEXT(EDATE('Input - Site'!$E$12,6), "mmmm yyyy")</f>
        <v>#VALUE!</v>
      </c>
      <c r="X241" s="25">
        <f ca="1"/>
        <v>31</v>
      </c>
      <c r="Y241" s="25">
        <f ca="1"/>
        <v>31</v>
      </c>
      <c r="Z241" s="25">
        <f ca="1"/>
        <v>31</v>
      </c>
      <c r="AA241" s="25">
        <f ca="1"/>
        <v>31</v>
      </c>
      <c r="AB241" s="25">
        <f ca="1"/>
        <v>31</v>
      </c>
      <c r="AC241" s="25">
        <f ca="1"/>
        <v>31</v>
      </c>
      <c r="AD241" s="25">
        <f ca="1"/>
        <v>31</v>
      </c>
      <c r="AE241" s="25">
        <f ca="1"/>
        <v>31</v>
      </c>
      <c r="AF241" s="25">
        <f ca="1"/>
        <v>31</v>
      </c>
      <c r="AG241" s="25">
        <f ca="1"/>
        <v>31</v>
      </c>
      <c r="AH241" s="26" t="s">
        <v>418</v>
      </c>
    </row>
    <row r="242" spans="4:36" ht="20.100000000000001" customHeight="1" x14ac:dyDescent="0.25">
      <c r="D242" s="25" t="str">
        <f>'Input - Pasture Beef'!$D$181</f>
        <v>Anaerobic lagoon</v>
      </c>
      <c r="E242" s="25" t="s">
        <v>206</v>
      </c>
      <c r="F242" s="25" cm="1">
        <f t="array" aca="1" ref="F242" ca="1">MMS_PastureBeef_Methane_Equations.VEERG_4_2_1_1__1_TotalAnnualMethaneProductionFromManureManagement(E222,F184,E230)</f>
        <v>4.6272841460301721E-3</v>
      </c>
      <c r="G242" s="25" cm="1">
        <f t="array" aca="1" ref="G242" ca="1">MMS_PastureBeef_Methane_Equations.VEERG_4_2_1_1__1_TotalAnnualMethaneProductionFromManureManagement(F222,G184,F230)</f>
        <v>8.992289729516538E-3</v>
      </c>
      <c r="H242" s="25" cm="1">
        <f t="array" aca="1" ref="H242" ca="1">MMS_PastureBeef_Methane_Equations.VEERG_4_2_1_1__1_TotalAnnualMethaneProductionFromManureManagement(G222,H184,G230)</f>
        <v>3.7887193640459152E-3</v>
      </c>
      <c r="I242" s="25" cm="1">
        <f t="array" aca="1" ref="I242" ca="1">MMS_PastureBeef_Methane_Equations.VEERG_4_2_1_1__1_TotalAnnualMethaneProductionFromManureManagement(H222,I184,H230)</f>
        <v>6.4661143412446552E-3</v>
      </c>
      <c r="J242" s="25" cm="1">
        <f t="array" aca="1" ref="J242" ca="1">MMS_PastureBeef_Methane_Equations.VEERG_4_2_1_1__1_TotalAnnualMethaneProductionFromManureManagement(I222,J184,I230)</f>
        <v>8.2443516484553159E-3</v>
      </c>
      <c r="K242" s="25" cm="1">
        <f t="array" aca="1" ref="K242" ca="1">MMS_PastureBeef_Methane_Equations.VEERG_4_2_1_1__1_TotalAnnualMethaneProductionFromManureManagement(J222,K184,J230)</f>
        <v>8.2443516484553159E-3</v>
      </c>
      <c r="L242" s="25" cm="1">
        <f t="array" aca="1" ref="L242" ca="1">MMS_PastureBeef_Methane_Equations.VEERG_4_2_1_1__1_TotalAnnualMethaneProductionFromManureManagement(K222,L184,K230)</f>
        <v>4.0677891042496025E-3</v>
      </c>
      <c r="M242" s="25" cm="1">
        <f t="array" aca="1" ref="M242" ca="1">MMS_PastureBeef_Methane_Equations.VEERG_4_2_1_1__1_TotalAnnualMethaneProductionFromManureManagement(L222,M184,L230)</f>
        <v>6.1931390116601297E-3</v>
      </c>
      <c r="N242" s="25" cm="1">
        <f t="array" aca="1" ref="N242" ca="1">MMS_PastureBeef_Methane_Equations.VEERG_4_2_1_1__1_TotalAnnualMethaneProductionFromManureManagement(M222,N184,M230)</f>
        <v>6.1931390116601297E-3</v>
      </c>
      <c r="O242" s="25" cm="1">
        <f t="array" aca="1" ref="O242" ca="1">MMS_PastureBeef_Methane_Equations.VEERG_4_2_1_1__1_TotalAnnualMethaneProductionFromManureManagement(N222,O184,N230)</f>
        <v>6.1931390116601297E-3</v>
      </c>
      <c r="P242" s="26" t="str">
        <f t="shared" si="10"/>
        <v>t CH4</v>
      </c>
      <c r="Q242" s="26"/>
      <c r="R242" s="26"/>
      <c r="S242" s="26"/>
      <c r="W242" s="25" t="e">
        <f>TEXT(EDATE('Input - Site'!$E$12,7), "mmmm yyyy")</f>
        <v>#VALUE!</v>
      </c>
      <c r="X242" s="25">
        <f ca="1"/>
        <v>31</v>
      </c>
      <c r="Y242" s="25">
        <f ca="1"/>
        <v>31</v>
      </c>
      <c r="Z242" s="25">
        <f ca="1"/>
        <v>31</v>
      </c>
      <c r="AA242" s="25">
        <f ca="1"/>
        <v>31</v>
      </c>
      <c r="AB242" s="25">
        <f ca="1"/>
        <v>31</v>
      </c>
      <c r="AC242" s="25">
        <f ca="1"/>
        <v>31</v>
      </c>
      <c r="AD242" s="25">
        <f ca="1"/>
        <v>31</v>
      </c>
      <c r="AE242" s="25">
        <f ca="1"/>
        <v>31</v>
      </c>
      <c r="AF242" s="25">
        <f ca="1"/>
        <v>31</v>
      </c>
      <c r="AG242" s="25">
        <f ca="1"/>
        <v>31</v>
      </c>
      <c r="AH242" s="26" t="s">
        <v>418</v>
      </c>
    </row>
    <row r="243" spans="4:36" ht="20.100000000000001" customHeight="1" x14ac:dyDescent="0.25">
      <c r="W243" s="25" t="e">
        <f>TEXT(EDATE('Input - Site'!$E$12,8), "mmmm yyyy")</f>
        <v>#VALUE!</v>
      </c>
      <c r="X243" s="25">
        <f ca="1"/>
        <v>30</v>
      </c>
      <c r="Y243" s="25">
        <f ca="1"/>
        <v>30</v>
      </c>
      <c r="Z243" s="25">
        <f ca="1"/>
        <v>30</v>
      </c>
      <c r="AA243" s="25">
        <f ca="1"/>
        <v>30</v>
      </c>
      <c r="AB243" s="25">
        <f ca="1"/>
        <v>30</v>
      </c>
      <c r="AC243" s="25">
        <f ca="1"/>
        <v>30</v>
      </c>
      <c r="AD243" s="25">
        <f ca="1"/>
        <v>30</v>
      </c>
      <c r="AE243" s="25">
        <f ca="1"/>
        <v>30</v>
      </c>
      <c r="AF243" s="25">
        <f ca="1"/>
        <v>30</v>
      </c>
      <c r="AG243" s="25">
        <f ca="1"/>
        <v>30</v>
      </c>
      <c r="AH243" s="26" t="s">
        <v>418</v>
      </c>
    </row>
    <row r="244" spans="4:36" ht="20.100000000000001" customHeight="1" x14ac:dyDescent="0.25">
      <c r="D244" s="119" t="s">
        <v>298</v>
      </c>
      <c r="E244" s="120">
        <f ca="1">SUM(F235:O242)</f>
        <v>0.88628531326724402</v>
      </c>
      <c r="F244" s="121" t="str">
        <f>E210</f>
        <v>t CH4</v>
      </c>
      <c r="W244" s="25" t="e">
        <f>TEXT(EDATE('Input - Site'!$E$12,9), "mmmm yyyy")</f>
        <v>#VALUE!</v>
      </c>
      <c r="X244" s="25">
        <f ca="1"/>
        <v>31</v>
      </c>
      <c r="Y244" s="25">
        <f ca="1"/>
        <v>31</v>
      </c>
      <c r="Z244" s="25">
        <f ca="1"/>
        <v>31</v>
      </c>
      <c r="AA244" s="25">
        <f ca="1"/>
        <v>31</v>
      </c>
      <c r="AB244" s="25">
        <f ca="1"/>
        <v>31</v>
      </c>
      <c r="AC244" s="25">
        <f ca="1"/>
        <v>31</v>
      </c>
      <c r="AD244" s="25">
        <f ca="1"/>
        <v>31</v>
      </c>
      <c r="AE244" s="25">
        <f ca="1"/>
        <v>31</v>
      </c>
      <c r="AF244" s="25">
        <f ca="1"/>
        <v>31</v>
      </c>
      <c r="AG244" s="25">
        <f ca="1"/>
        <v>31</v>
      </c>
      <c r="AH244" s="26" t="s">
        <v>418</v>
      </c>
    </row>
    <row r="245" spans="4:36" ht="20.100000000000001" customHeight="1" x14ac:dyDescent="0.25">
      <c r="W245" s="25" t="e">
        <f>TEXT(EDATE('Input - Site'!$E$12,10), "mmmm yyyy")</f>
        <v>#VALUE!</v>
      </c>
      <c r="X245" s="25">
        <f ca="1"/>
        <v>30</v>
      </c>
      <c r="Y245" s="25">
        <f ca="1"/>
        <v>30</v>
      </c>
      <c r="Z245" s="25">
        <f ca="1"/>
        <v>30</v>
      </c>
      <c r="AA245" s="25">
        <f ca="1"/>
        <v>30</v>
      </c>
      <c r="AB245" s="25">
        <f ca="1"/>
        <v>30</v>
      </c>
      <c r="AC245" s="25">
        <f ca="1"/>
        <v>30</v>
      </c>
      <c r="AD245" s="25">
        <f ca="1"/>
        <v>30</v>
      </c>
      <c r="AE245" s="25">
        <f ca="1"/>
        <v>30</v>
      </c>
      <c r="AF245" s="25">
        <f ca="1"/>
        <v>30</v>
      </c>
      <c r="AG245" s="25">
        <f ca="1"/>
        <v>30</v>
      </c>
      <c r="AH245" s="26" t="s">
        <v>418</v>
      </c>
    </row>
    <row r="246" spans="4:36" ht="20.100000000000001" customHeight="1" x14ac:dyDescent="0.25">
      <c r="D246" s="122" t="str" cm="1">
        <f t="array" ref="D246:E247">Common_Equations.Common_ConvertCH4ToCO2e_Arguments()</f>
        <v>ECH4</v>
      </c>
      <c r="E246" s="123" t="str">
        <v>Methane emissions (t CH4)</v>
      </c>
      <c r="F246" s="124"/>
      <c r="G246" s="25">
        <f ca="1">E244</f>
        <v>0.88628531326724402</v>
      </c>
      <c r="W246" s="25" t="e">
        <f>TEXT(EDATE('Input - Site'!$E$12,11), "mmmm yyyy")</f>
        <v>#VALUE!</v>
      </c>
      <c r="X246" s="25">
        <f ca="1"/>
        <v>31</v>
      </c>
      <c r="Y246" s="25">
        <f ca="1"/>
        <v>31</v>
      </c>
      <c r="Z246" s="25">
        <f ca="1"/>
        <v>31</v>
      </c>
      <c r="AA246" s="25">
        <f ca="1"/>
        <v>31</v>
      </c>
      <c r="AB246" s="25">
        <f ca="1"/>
        <v>31</v>
      </c>
      <c r="AC246" s="25">
        <f ca="1"/>
        <v>31</v>
      </c>
      <c r="AD246" s="25">
        <f ca="1"/>
        <v>31</v>
      </c>
      <c r="AE246" s="25">
        <f ca="1"/>
        <v>31</v>
      </c>
      <c r="AF246" s="25">
        <f ca="1"/>
        <v>31</v>
      </c>
      <c r="AG246" s="25">
        <f ca="1"/>
        <v>31</v>
      </c>
      <c r="AH246" s="26" t="s">
        <v>418</v>
      </c>
    </row>
    <row r="247" spans="4:36" ht="20.100000000000001" customHeight="1" x14ac:dyDescent="0.25">
      <c r="D247" s="122" t="str">
        <v>GWPCH4</v>
      </c>
      <c r="E247" s="123" t="str">
        <v>Global warming potential for methane (t CO2-e / t CH4)</v>
      </c>
      <c r="F247" s="124"/>
      <c r="G247" s="25">
        <f>Common_InputFunctions.Utility_LookupValueInTableNumber("CH4",Table_GWPData[Gas],Table_GWPData[CO2-e factor])</f>
        <v>28</v>
      </c>
    </row>
    <row r="248" spans="4:36" ht="20.100000000000001" customHeight="1" x14ac:dyDescent="0.25">
      <c r="W248" s="114" t="s">
        <v>421</v>
      </c>
    </row>
    <row r="249" spans="4:36" ht="20.100000000000001" customHeight="1" x14ac:dyDescent="0.25">
      <c r="D249" s="118" t="s">
        <v>301</v>
      </c>
      <c r="E249" s="118" cm="1">
        <f t="array" aca="1" ref="E249" ca="1">Common_Equations.Common_ConvertN2OToCO2e(G246,G247)</f>
        <v>24.815988771482832</v>
      </c>
      <c r="F249" s="125" t="str" cm="1">
        <f t="array" ref="F249">Common_Equations.Common_ConvertN2OToCO2e_Unit()</f>
        <v>t CO2e</v>
      </c>
      <c r="W249" s="115" t="s">
        <v>422</v>
      </c>
    </row>
    <row r="250" spans="4:36" ht="20.100000000000001" customHeight="1" x14ac:dyDescent="0.25">
      <c r="W250" s="116" t="s">
        <v>406</v>
      </c>
      <c r="X250" s="116" t="s">
        <v>77</v>
      </c>
      <c r="Y250" s="116" t="s">
        <v>193</v>
      </c>
      <c r="Z250" s="116" t="s">
        <v>194</v>
      </c>
      <c r="AA250" s="116" t="s">
        <v>195</v>
      </c>
      <c r="AB250" s="116" t="s">
        <v>196</v>
      </c>
      <c r="AC250" s="116" t="s">
        <v>197</v>
      </c>
      <c r="AD250" s="116" t="s">
        <v>198</v>
      </c>
      <c r="AE250" s="116" t="s">
        <v>199</v>
      </c>
      <c r="AF250" s="116" t="s">
        <v>200</v>
      </c>
      <c r="AG250" s="116" t="s">
        <v>201</v>
      </c>
      <c r="AH250" s="116" t="s">
        <v>202</v>
      </c>
    </row>
    <row r="251" spans="4:36" ht="20.100000000000001" customHeight="1" x14ac:dyDescent="0.25">
      <c r="W251" s="25" t="str">
        <f>'Input - Pasture Beef'!$D$180</f>
        <v>Pasture range and paddock</v>
      </c>
      <c r="X251" s="25" t="str">
        <f>W235</f>
        <v>NO - Not in leaching zone</v>
      </c>
      <c r="Y251" s="25" cm="1">
        <f t="array" aca="1" ref="Y251" ca="1">MMS_PastureBeef_Methane_Equations.VEERG_4_2_1_1__1_TotalAnnualMethaneProductionFromManureManagement(X219,Y177,X235)</f>
        <v>5.6586756154628675E-3</v>
      </c>
      <c r="Z251" s="25" cm="1">
        <f t="array" aca="1" ref="Z251" ca="1">MMS_PastureBeef_Methane_Equations.VEERG_4_2_1_1__1_TotalAnnualMethaneProductionFromManureManagement(Y219,Z177,Y235)</f>
        <v>7.4869872830892192E-3</v>
      </c>
      <c r="AA251" s="25" cm="1">
        <f t="array" aca="1" ref="AA251" ca="1">MMS_PastureBeef_Methane_Equations.VEERG_4_2_1_1__1_TotalAnnualMethaneProductionFromManureManagement(Z219,AA177,Z235)</f>
        <v>4.7588184062509068E-3</v>
      </c>
      <c r="AB251" s="25" cm="1">
        <f t="array" aca="1" ref="AB251" ca="1">MMS_PastureBeef_Methane_Equations.VEERG_4_2_1_1__1_TotalAnnualMethaneProductionFromManureManagement(AA219,AB177,AA235)</f>
        <v>6.2316775487701332E-3</v>
      </c>
      <c r="AC251" s="25" cm="1">
        <f t="array" aca="1" ref="AC251" ca="1">MMS_PastureBeef_Methane_Equations.VEERG_4_2_1_1__1_TotalAnnualMethaneProductionFromManureManagement(AB219,AC177,AB235)</f>
        <v>6.1701232715795284E-3</v>
      </c>
      <c r="AD251" s="25" cm="1">
        <f t="array" aca="1" ref="AD251" ca="1">MMS_PastureBeef_Methane_Equations.VEERG_4_2_1_1__1_TotalAnnualMethaneProductionFromManureManagement(AC219,AD177,AC235)</f>
        <v>6.1701232715795284E-3</v>
      </c>
      <c r="AE251" s="25" cm="1">
        <f t="array" aca="1" ref="AE251" ca="1">MMS_PastureBeef_Methane_Equations.VEERG_4_2_1_1__1_TotalAnnualMethaneProductionFromManureManagement(AD219,AE177,AD235)</f>
        <v>5.2159068150018362E-3</v>
      </c>
      <c r="AF251" s="25" cm="1">
        <f t="array" aca="1" ref="AF251" ca="1">MMS_PastureBeef_Methane_Equations.VEERG_4_2_1_1__1_TotalAnnualMethaneProductionFromManureManagement(AE219,AF177,AE235)</f>
        <v>5.8140342998928615E-3</v>
      </c>
      <c r="AG251" s="25" cm="1">
        <f t="array" aca="1" ref="AG251" ca="1">MMS_PastureBeef_Methane_Equations.VEERG_4_2_1_1__1_TotalAnnualMethaneProductionFromManureManagement(AF219,AG177,AF235)</f>
        <v>5.8140342998928615E-3</v>
      </c>
      <c r="AH251" s="25" cm="1">
        <f t="array" aca="1" ref="AH251" ca="1">MMS_PastureBeef_Methane_Equations.VEERG_4_2_1_1__1_TotalAnnualMethaneProductionFromManureManagement(AG219,AH177,AG235)</f>
        <v>5.8140342998928615E-3</v>
      </c>
      <c r="AI251" s="26" t="str">
        <f t="shared" ref="AI251:AI274" si="11">$E$210</f>
        <v>t CH4</v>
      </c>
      <c r="AJ251" s="26"/>
    </row>
    <row r="252" spans="4:36" ht="20.100000000000001" customHeight="1" x14ac:dyDescent="0.25">
      <c r="W252" s="25" t="str">
        <f>'Input - Pasture Beef'!$D$180</f>
        <v>Pasture range and paddock</v>
      </c>
      <c r="X252" s="25" t="e">
        <f t="shared" ref="X252:X262" si="12">W236</f>
        <v>#VALUE!</v>
      </c>
      <c r="Y252" s="25" cm="1">
        <f t="array" aca="1" ref="Y252" ca="1">MMS_PastureBeef_Methane_Equations.VEERG_4_2_1_1__1_TotalAnnualMethaneProductionFromManureManagement(X220,Y178,X236)</f>
        <v>5.2935997693039733E-3</v>
      </c>
      <c r="Z252" s="25" cm="1">
        <f t="array" aca="1" ref="Z252" ca="1">MMS_PastureBeef_Methane_Equations.VEERG_4_2_1_1__1_TotalAnnualMethaneProductionFromManureManagement(Y220,Z178,Y236)</f>
        <v>7.00395584547056E-3</v>
      </c>
      <c r="AA252" s="25" cm="1">
        <f t="array" aca="1" ref="AA252" ca="1">MMS_PastureBeef_Methane_Equations.VEERG_4_2_1_1__1_TotalAnnualMethaneProductionFromManureManagement(Z220,AA178,Z236)</f>
        <v>4.4517978639121384E-3</v>
      </c>
      <c r="AB252" s="25" cm="1">
        <f t="array" aca="1" ref="AB252" ca="1">MMS_PastureBeef_Methane_Equations.VEERG_4_2_1_1__1_TotalAnnualMethaneProductionFromManureManagement(AA220,AB178,AA236)</f>
        <v>5.8296338359462531E-3</v>
      </c>
      <c r="AC252" s="25" cm="1">
        <f t="array" aca="1" ref="AC252" ca="1">MMS_PastureBeef_Methane_Equations.VEERG_4_2_1_1__1_TotalAnnualMethaneProductionFromManureManagement(AB220,AC178,AB236)</f>
        <v>5.7720508024453653E-3</v>
      </c>
      <c r="AD252" s="25" cm="1">
        <f t="array" aca="1" ref="AD252" ca="1">MMS_PastureBeef_Methane_Equations.VEERG_4_2_1_1__1_TotalAnnualMethaneProductionFromManureManagement(AC220,AD178,AC236)</f>
        <v>5.7720508024453653E-3</v>
      </c>
      <c r="AE252" s="25" cm="1">
        <f t="array" aca="1" ref="AE252" ca="1">MMS_PastureBeef_Methane_Equations.VEERG_4_2_1_1__1_TotalAnnualMethaneProductionFromManureManagement(AD220,AE178,AD236)</f>
        <v>4.8793966979049433E-3</v>
      </c>
      <c r="AF252" s="25" cm="1">
        <f t="array" aca="1" ref="AF252" ca="1">MMS_PastureBeef_Methane_Equations.VEERG_4_2_1_1__1_TotalAnnualMethaneProductionFromManureManagement(AE220,AF178,AE236)</f>
        <v>5.4389353128029994E-3</v>
      </c>
      <c r="AG252" s="25" cm="1">
        <f t="array" aca="1" ref="AG252" ca="1">MMS_PastureBeef_Methane_Equations.VEERG_4_2_1_1__1_TotalAnnualMethaneProductionFromManureManagement(AF220,AG178,AF236)</f>
        <v>5.4389353128029994E-3</v>
      </c>
      <c r="AH252" s="25" cm="1">
        <f t="array" aca="1" ref="AH252" ca="1">MMS_PastureBeef_Methane_Equations.VEERG_4_2_1_1__1_TotalAnnualMethaneProductionFromManureManagement(AG220,AH178,AG236)</f>
        <v>5.4389353128029994E-3</v>
      </c>
      <c r="AI252" s="26" t="str">
        <f t="shared" si="11"/>
        <v>t CH4</v>
      </c>
      <c r="AJ252" s="26"/>
    </row>
    <row r="253" spans="4:36" ht="20.100000000000001" customHeight="1" x14ac:dyDescent="0.25">
      <c r="W253" s="25" t="str">
        <f>'Input - Pasture Beef'!$D$180</f>
        <v>Pasture range and paddock</v>
      </c>
      <c r="X253" s="25" t="e">
        <f t="shared" si="12"/>
        <v>#VALUE!</v>
      </c>
      <c r="Y253" s="25" cm="1">
        <f t="array" aca="1" ref="Y253" ca="1">MMS_PastureBeef_Methane_Equations.VEERG_4_2_1_1__1_TotalAnnualMethaneProductionFromManureManagement(X221,Y179,X237)</f>
        <v>3.0181818891446837E-3</v>
      </c>
      <c r="Z253" s="25" cm="1">
        <f t="array" aca="1" ref="Z253" ca="1">MMS_PastureBeef_Methane_Equations.VEERG_4_2_1_1__1_TotalAnnualMethaneProductionFromManureManagement(Y221,Z179,Y237)</f>
        <v>8.7599427773422424E-3</v>
      </c>
      <c r="AA253" s="25" cm="1">
        <f t="array" aca="1" ref="AA253" ca="1">MMS_PastureBeef_Methane_Equations.VEERG_4_2_1_1__1_TotalAnnualMethaneProductionFromManureManagement(Z221,AA179,Z237)</f>
        <v>2.7515377761725842E-3</v>
      </c>
      <c r="AB253" s="25" cm="1">
        <f t="array" aca="1" ref="AB253" ca="1">MMS_PastureBeef_Methane_Equations.VEERG_4_2_1_1__1_TotalAnnualMethaneProductionFromManureManagement(AA221,AB179,AA237)</f>
        <v>5.5375999269560751E-3</v>
      </c>
      <c r="AC253" s="25" cm="1">
        <f t="array" aca="1" ref="AC253" ca="1">MMS_PastureBeef_Methane_Equations.VEERG_4_2_1_1__1_TotalAnnualMethaneProductionFromManureManagement(AB221,AC179,AB237)</f>
        <v>6.2441836820771417E-3</v>
      </c>
      <c r="AD253" s="25" cm="1">
        <f t="array" aca="1" ref="AD253" ca="1">MMS_PastureBeef_Methane_Equations.VEERG_4_2_1_1__1_TotalAnnualMethaneProductionFromManureManagement(AC221,AD179,AC237)</f>
        <v>6.2441836820771417E-3</v>
      </c>
      <c r="AE253" s="25" cm="1">
        <f t="array" aca="1" ref="AE253" ca="1">MMS_PastureBeef_Methane_Equations.VEERG_4_2_1_1__1_TotalAnnualMethaneProductionFromManureManagement(AD221,AE179,AD237)</f>
        <v>3.0181818891446837E-3</v>
      </c>
      <c r="AF253" s="25" cm="1">
        <f t="array" aca="1" ref="AF253" ca="1">MMS_PastureBeef_Methane_Equations.VEERG_4_2_1_1__1_TotalAnnualMethaneProductionFromManureManagement(AE221,AF179,AE237)</f>
        <v>5.4795830007768999E-3</v>
      </c>
      <c r="AG253" s="25" cm="1">
        <f t="array" aca="1" ref="AG253" ca="1">MMS_PastureBeef_Methane_Equations.VEERG_4_2_1_1__1_TotalAnnualMethaneProductionFromManureManagement(AF221,AG179,AF237)</f>
        <v>5.4795830007768999E-3</v>
      </c>
      <c r="AH253" s="25" cm="1">
        <f t="array" aca="1" ref="AH253" ca="1">MMS_PastureBeef_Methane_Equations.VEERG_4_2_1_1__1_TotalAnnualMethaneProductionFromManureManagement(AG221,AH179,AG237)</f>
        <v>5.4795830007768999E-3</v>
      </c>
      <c r="AI253" s="26" t="str">
        <f t="shared" si="11"/>
        <v>t CH4</v>
      </c>
      <c r="AJ253" s="26"/>
    </row>
    <row r="254" spans="4:36" ht="20.100000000000001" customHeight="1" x14ac:dyDescent="0.25">
      <c r="W254" s="25" t="str">
        <f>'Input - Pasture Beef'!$D$180</f>
        <v>Pasture range and paddock</v>
      </c>
      <c r="X254" s="25" t="e">
        <f t="shared" si="12"/>
        <v>#VALUE!</v>
      </c>
      <c r="Y254" s="25" cm="1">
        <f t="array" aca="1" ref="Y254" ca="1">MMS_PastureBeef_Methane_Equations.VEERG_4_2_1_1__1_TotalAnnualMethaneProductionFromManureManagement(X222,Y180,X238)</f>
        <v>2.9208211830432421E-3</v>
      </c>
      <c r="Z254" s="25" cm="1">
        <f t="array" aca="1" ref="Z254" ca="1">MMS_PastureBeef_Methane_Equations.VEERG_4_2_1_1__1_TotalAnnualMethaneProductionFromManureManagement(Y222,Z180,Y238)</f>
        <v>8.4773639780731398E-3</v>
      </c>
      <c r="AA254" s="25" cm="1">
        <f t="array" aca="1" ref="AA254" ca="1">MMS_PastureBeef_Methane_Equations.VEERG_4_2_1_1__1_TotalAnnualMethaneProductionFromManureManagement(Z222,AA180,Z238)</f>
        <v>2.6627784930702432E-3</v>
      </c>
      <c r="AB254" s="25" cm="1">
        <f t="array" aca="1" ref="AB254" ca="1">MMS_PastureBeef_Methane_Equations.VEERG_4_2_1_1__1_TotalAnnualMethaneProductionFromManureManagement(AA222,AB180,AA238)</f>
        <v>5.3589676712478143E-3</v>
      </c>
      <c r="AC254" s="25" cm="1">
        <f t="array" aca="1" ref="AC254" ca="1">MMS_PastureBeef_Methane_Equations.VEERG_4_2_1_1__1_TotalAnnualMethaneProductionFromManureManagement(AB222,AC180,AB238)</f>
        <v>6.0427584020101375E-3</v>
      </c>
      <c r="AD254" s="25" cm="1">
        <f t="array" aca="1" ref="AD254" ca="1">MMS_PastureBeef_Methane_Equations.VEERG_4_2_1_1__1_TotalAnnualMethaneProductionFromManureManagement(AC222,AD180,AC238)</f>
        <v>6.0427584020101375E-3</v>
      </c>
      <c r="AE254" s="25" cm="1">
        <f t="array" aca="1" ref="AE254" ca="1">MMS_PastureBeef_Methane_Equations.VEERG_4_2_1_1__1_TotalAnnualMethaneProductionFromManureManagement(AD222,AE180,AD238)</f>
        <v>2.9208211830432421E-3</v>
      </c>
      <c r="AF254" s="25" cm="1">
        <f t="array" aca="1" ref="AF254" ca="1">MMS_PastureBeef_Methane_Equations.VEERG_4_2_1_1__1_TotalAnnualMethaneProductionFromManureManagement(AE222,AF180,AE238)</f>
        <v>5.3028222588163551E-3</v>
      </c>
      <c r="AG254" s="25" cm="1">
        <f t="array" aca="1" ref="AG254" ca="1">MMS_PastureBeef_Methane_Equations.VEERG_4_2_1_1__1_TotalAnnualMethaneProductionFromManureManagement(AF222,AG180,AF238)</f>
        <v>5.3028222588163551E-3</v>
      </c>
      <c r="AH254" s="25" cm="1">
        <f t="array" aca="1" ref="AH254" ca="1">MMS_PastureBeef_Methane_Equations.VEERG_4_2_1_1__1_TotalAnnualMethaneProductionFromManureManagement(AG222,AH180,AG238)</f>
        <v>5.3028222588163551E-3</v>
      </c>
      <c r="AI254" s="26" t="str">
        <f t="shared" si="11"/>
        <v>t CH4</v>
      </c>
      <c r="AJ254" s="26"/>
    </row>
    <row r="255" spans="4:36" ht="20.100000000000001" customHeight="1" x14ac:dyDescent="0.25">
      <c r="W255" s="25" t="str">
        <f>'Input - Pasture Beef'!$D$180</f>
        <v>Pasture range and paddock</v>
      </c>
      <c r="X255" s="25" t="e">
        <f t="shared" si="12"/>
        <v>#VALUE!</v>
      </c>
      <c r="Y255" s="25" cm="1">
        <f t="array" aca="1" ref="Y255" ca="1">MMS_PastureBeef_Methane_Equations.VEERG_4_2_1_1__1_TotalAnnualMethaneProductionFromManureManagement(X223,Y181,X239)</f>
        <v>3.0181818891446837E-3</v>
      </c>
      <c r="Z255" s="25" cm="1">
        <f t="array" aca="1" ref="Z255" ca="1">MMS_PastureBeef_Methane_Equations.VEERG_4_2_1_1__1_TotalAnnualMethaneProductionFromManureManagement(Y223,Z181,Y239)</f>
        <v>8.7599427773422424E-3</v>
      </c>
      <c r="AA255" s="25" cm="1">
        <f t="array" aca="1" ref="AA255" ca="1">MMS_PastureBeef_Methane_Equations.VEERG_4_2_1_1__1_TotalAnnualMethaneProductionFromManureManagement(Z223,AA181,Z239)</f>
        <v>2.7515377761725842E-3</v>
      </c>
      <c r="AB255" s="25" cm="1">
        <f t="array" aca="1" ref="AB255" ca="1">MMS_PastureBeef_Methane_Equations.VEERG_4_2_1_1__1_TotalAnnualMethaneProductionFromManureManagement(AA223,AB181,AA239)</f>
        <v>5.5375999269560751E-3</v>
      </c>
      <c r="AC255" s="25" cm="1">
        <f t="array" aca="1" ref="AC255" ca="1">MMS_PastureBeef_Methane_Equations.VEERG_4_2_1_1__1_TotalAnnualMethaneProductionFromManureManagement(AB223,AC181,AB239)</f>
        <v>6.2441836820771417E-3</v>
      </c>
      <c r="AD255" s="25" cm="1">
        <f t="array" aca="1" ref="AD255" ca="1">MMS_PastureBeef_Methane_Equations.VEERG_4_2_1_1__1_TotalAnnualMethaneProductionFromManureManagement(AC223,AD181,AC239)</f>
        <v>6.2441836820771417E-3</v>
      </c>
      <c r="AE255" s="25" cm="1">
        <f t="array" aca="1" ref="AE255" ca="1">MMS_PastureBeef_Methane_Equations.VEERG_4_2_1_1__1_TotalAnnualMethaneProductionFromManureManagement(AD223,AE181,AD239)</f>
        <v>3.0181818891446837E-3</v>
      </c>
      <c r="AF255" s="25" cm="1">
        <f t="array" aca="1" ref="AF255" ca="1">MMS_PastureBeef_Methane_Equations.VEERG_4_2_1_1__1_TotalAnnualMethaneProductionFromManureManagement(AE223,AF181,AE239)</f>
        <v>5.4795830007768999E-3</v>
      </c>
      <c r="AG255" s="25" cm="1">
        <f t="array" aca="1" ref="AG255" ca="1">MMS_PastureBeef_Methane_Equations.VEERG_4_2_1_1__1_TotalAnnualMethaneProductionFromManureManagement(AF223,AG181,AF239)</f>
        <v>5.4795830007768999E-3</v>
      </c>
      <c r="AH255" s="25" cm="1">
        <f t="array" aca="1" ref="AH255" ca="1">MMS_PastureBeef_Methane_Equations.VEERG_4_2_1_1__1_TotalAnnualMethaneProductionFromManureManagement(AG223,AH181,AG239)</f>
        <v>5.4795830007768999E-3</v>
      </c>
      <c r="AI255" s="26" t="str">
        <f t="shared" si="11"/>
        <v>t CH4</v>
      </c>
      <c r="AJ255" s="26"/>
    </row>
    <row r="256" spans="4:36" ht="20.100000000000001" customHeight="1" x14ac:dyDescent="0.25">
      <c r="W256" s="25" t="str">
        <f>'Input - Pasture Beef'!$D$180</f>
        <v>Pasture range and paddock</v>
      </c>
      <c r="X256" s="25" t="e">
        <f t="shared" si="12"/>
        <v>#VALUE!</v>
      </c>
      <c r="Y256" s="25" cm="1">
        <f t="array" aca="1" ref="Y256" ca="1">MMS_PastureBeef_Methane_Equations.VEERG_4_2_1_1__1_TotalAnnualMethaneProductionFromManureManagement(X224,Y182,X240)</f>
        <v>2.4794894949935848E-3</v>
      </c>
      <c r="Z256" s="25" cm="1">
        <f t="array" aca="1" ref="Z256" ca="1">MMS_PastureBeef_Methane_Equations.VEERG_4_2_1_1__1_TotalAnnualMethaneProductionFromManureManagement(Y224,Z182,Y240)</f>
        <v>4.81843932999086E-3</v>
      </c>
      <c r="AA256" s="25" cm="1">
        <f t="array" aca="1" ref="AA256" ca="1">MMS_PastureBeef_Methane_Equations.VEERG_4_2_1_1__1_TotalAnnualMethaneProductionFromManureManagement(Z224,AA182,Z240)</f>
        <v>2.0301519349508663E-3</v>
      </c>
      <c r="AB256" s="25" cm="1">
        <f t="array" aca="1" ref="AB256" ca="1">MMS_PastureBeef_Methane_Equations.VEERG_4_2_1_1__1_TotalAnnualMethaneProductionFromManureManagement(AA224,AB182,AA240)</f>
        <v>2.8634797318651669E-3</v>
      </c>
      <c r="AC256" s="25" cm="1">
        <f t="array" aca="1" ref="AC256" ca="1">MMS_PastureBeef_Methane_Equations.VEERG_4_2_1_1__1_TotalAnnualMethaneProductionFromManureManagement(AB224,AC182,AB240)</f>
        <v>3.8414463393299145E-3</v>
      </c>
      <c r="AD256" s="25" cm="1">
        <f t="array" aca="1" ref="AD256" ca="1">MMS_PastureBeef_Methane_Equations.VEERG_4_2_1_1__1_TotalAnnualMethaneProductionFromManureManagement(AC224,AD182,AC240)</f>
        <v>3.8414463393299145E-3</v>
      </c>
      <c r="AE256" s="25" cm="1">
        <f t="array" aca="1" ref="AE256" ca="1">MMS_PastureBeef_Methane_Equations.VEERG_4_2_1_1__1_TotalAnnualMethaneProductionFromManureManagement(AD224,AE182,AD240)</f>
        <v>2.1796889997536114E-3</v>
      </c>
      <c r="AF256" s="25" cm="1">
        <f t="array" aca="1" ref="AF256" ca="1">MMS_PastureBeef_Methane_Equations.VEERG_4_2_1_1__1_TotalAnnualMethaneProductionFromManureManagement(AE224,AF182,AE240)</f>
        <v>3.3185390470607404E-3</v>
      </c>
      <c r="AG256" s="25" cm="1">
        <f t="array" aca="1" ref="AG256" ca="1">MMS_PastureBeef_Methane_Equations.VEERG_4_2_1_1__1_TotalAnnualMethaneProductionFromManureManagement(AF224,AG182,AF240)</f>
        <v>3.3185390470607404E-3</v>
      </c>
      <c r="AH256" s="25" cm="1">
        <f t="array" aca="1" ref="AH256" ca="1">MMS_PastureBeef_Methane_Equations.VEERG_4_2_1_1__1_TotalAnnualMethaneProductionFromManureManagement(AG224,AH182,AG240)</f>
        <v>3.3185390470607404E-3</v>
      </c>
      <c r="AI256" s="26" t="str">
        <f t="shared" si="11"/>
        <v>t CH4</v>
      </c>
      <c r="AJ256" s="26"/>
    </row>
    <row r="257" spans="23:36" ht="20.100000000000001" customHeight="1" x14ac:dyDescent="0.25">
      <c r="W257" s="25" t="str">
        <f>'Input - Pasture Beef'!$D$180</f>
        <v>Pasture range and paddock</v>
      </c>
      <c r="X257" s="25" t="e">
        <f t="shared" si="12"/>
        <v>#VALUE!</v>
      </c>
      <c r="Y257" s="25" cm="1">
        <f t="array" aca="1" ref="Y257" ca="1">MMS_PastureBeef_Methane_Equations.VEERG_4_2_1_1__1_TotalAnnualMethaneProductionFromManureManagement(X225,Y183,X241)</f>
        <v>2.5621391448267046E-3</v>
      </c>
      <c r="Z257" s="25" cm="1">
        <f t="array" aca="1" ref="Z257" ca="1">MMS_PastureBeef_Methane_Equations.VEERG_4_2_1_1__1_TotalAnnualMethaneProductionFromManureManagement(Y225,Z183,Y241)</f>
        <v>4.9790539743238887E-3</v>
      </c>
      <c r="AA257" s="25" cm="1">
        <f t="array" aca="1" ref="AA257" ca="1">MMS_PastureBeef_Methane_Equations.VEERG_4_2_1_1__1_TotalAnnualMethaneProductionFromManureManagement(Z225,AA183,Z241)</f>
        <v>2.097823666115895E-3</v>
      </c>
      <c r="AB257" s="25" cm="1">
        <f t="array" aca="1" ref="AB257" ca="1">MMS_PastureBeef_Methane_Equations.VEERG_4_2_1_1__1_TotalAnnualMethaneProductionFromManureManagement(AA225,AB183,AA241)</f>
        <v>2.9589290562606727E-3</v>
      </c>
      <c r="AC257" s="25" cm="1">
        <f t="array" aca="1" ref="AC257" ca="1">MMS_PastureBeef_Methane_Equations.VEERG_4_2_1_1__1_TotalAnnualMethaneProductionFromManureManagement(AB225,AC183,AB241)</f>
        <v>3.969494550640911E-3</v>
      </c>
      <c r="AD257" s="25" cm="1">
        <f t="array" aca="1" ref="AD257" ca="1">MMS_PastureBeef_Methane_Equations.VEERG_4_2_1_1__1_TotalAnnualMethaneProductionFromManureManagement(AC225,AD183,AC241)</f>
        <v>3.969494550640911E-3</v>
      </c>
      <c r="AE257" s="25" cm="1">
        <f t="array" aca="1" ref="AE257" ca="1">MMS_PastureBeef_Methane_Equations.VEERG_4_2_1_1__1_TotalAnnualMethaneProductionFromManureManagement(AD225,AE183,AD241)</f>
        <v>2.2523452997453984E-3</v>
      </c>
      <c r="AF257" s="25" cm="1">
        <f t="array" aca="1" ref="AF257" ca="1">MMS_PastureBeef_Methane_Equations.VEERG_4_2_1_1__1_TotalAnnualMethaneProductionFromManureManagement(AE225,AF183,AE241)</f>
        <v>3.4291570152960985E-3</v>
      </c>
      <c r="AG257" s="25" cm="1">
        <f t="array" aca="1" ref="AG257" ca="1">MMS_PastureBeef_Methane_Equations.VEERG_4_2_1_1__1_TotalAnnualMethaneProductionFromManureManagement(AF225,AG183,AF241)</f>
        <v>3.4291570152960985E-3</v>
      </c>
      <c r="AH257" s="25" cm="1">
        <f t="array" aca="1" ref="AH257" ca="1">MMS_PastureBeef_Methane_Equations.VEERG_4_2_1_1__1_TotalAnnualMethaneProductionFromManureManagement(AG225,AH183,AG241)</f>
        <v>3.4291570152960985E-3</v>
      </c>
      <c r="AI257" s="26" t="str">
        <f t="shared" si="11"/>
        <v>t CH4</v>
      </c>
      <c r="AJ257" s="26"/>
    </row>
    <row r="258" spans="23:36" ht="20.100000000000001" customHeight="1" x14ac:dyDescent="0.25">
      <c r="W258" s="25" t="str">
        <f>'Input - Pasture Beef'!$D$180</f>
        <v>Pasture range and paddock</v>
      </c>
      <c r="X258" s="25" t="e">
        <f t="shared" si="12"/>
        <v>#VALUE!</v>
      </c>
      <c r="Y258" s="25" cm="1">
        <f t="array" aca="1" ref="Y258" ca="1">MMS_PastureBeef_Methane_Equations.VEERG_4_2_1_1__1_TotalAnnualMethaneProductionFromManureManagement(X226,Y184,X242)</f>
        <v>2.5621391448267046E-3</v>
      </c>
      <c r="Z258" s="25" cm="1">
        <f t="array" aca="1" ref="Z258" ca="1">MMS_PastureBeef_Methane_Equations.VEERG_4_2_1_1__1_TotalAnnualMethaneProductionFromManureManagement(Y226,Z184,Y242)</f>
        <v>4.9790539743238887E-3</v>
      </c>
      <c r="AA258" s="25" cm="1">
        <f t="array" aca="1" ref="AA258" ca="1">MMS_PastureBeef_Methane_Equations.VEERG_4_2_1_1__1_TotalAnnualMethaneProductionFromManureManagement(Z226,AA184,Z242)</f>
        <v>2.097823666115895E-3</v>
      </c>
      <c r="AB258" s="25" cm="1">
        <f t="array" aca="1" ref="AB258" ca="1">MMS_PastureBeef_Methane_Equations.VEERG_4_2_1_1__1_TotalAnnualMethaneProductionFromManureManagement(AA226,AB184,AA242)</f>
        <v>2.9589290562606727E-3</v>
      </c>
      <c r="AC258" s="25" cm="1">
        <f t="array" aca="1" ref="AC258" ca="1">MMS_PastureBeef_Methane_Equations.VEERG_4_2_1_1__1_TotalAnnualMethaneProductionFromManureManagement(AB226,AC184,AB242)</f>
        <v>3.969494550640911E-3</v>
      </c>
      <c r="AD258" s="25" cm="1">
        <f t="array" aca="1" ref="AD258" ca="1">MMS_PastureBeef_Methane_Equations.VEERG_4_2_1_1__1_TotalAnnualMethaneProductionFromManureManagement(AC226,AD184,AC242)</f>
        <v>3.969494550640911E-3</v>
      </c>
      <c r="AE258" s="25" cm="1">
        <f t="array" aca="1" ref="AE258" ca="1">MMS_PastureBeef_Methane_Equations.VEERG_4_2_1_1__1_TotalAnnualMethaneProductionFromManureManagement(AD226,AE184,AD242)</f>
        <v>2.2523452997453984E-3</v>
      </c>
      <c r="AF258" s="25" cm="1">
        <f t="array" aca="1" ref="AF258" ca="1">MMS_PastureBeef_Methane_Equations.VEERG_4_2_1_1__1_TotalAnnualMethaneProductionFromManureManagement(AE226,AF184,AE242)</f>
        <v>3.4291570152960985E-3</v>
      </c>
      <c r="AG258" s="25" cm="1">
        <f t="array" aca="1" ref="AG258" ca="1">MMS_PastureBeef_Methane_Equations.VEERG_4_2_1_1__1_TotalAnnualMethaneProductionFromManureManagement(AF226,AG184,AF242)</f>
        <v>3.4291570152960985E-3</v>
      </c>
      <c r="AH258" s="25" cm="1">
        <f t="array" aca="1" ref="AH258" ca="1">MMS_PastureBeef_Methane_Equations.VEERG_4_2_1_1__1_TotalAnnualMethaneProductionFromManureManagement(AG226,AH184,AG242)</f>
        <v>3.4291570152960985E-3</v>
      </c>
      <c r="AI258" s="26" t="str">
        <f t="shared" si="11"/>
        <v>t CH4</v>
      </c>
      <c r="AJ258" s="26"/>
    </row>
    <row r="259" spans="23:36" ht="20.100000000000001" customHeight="1" x14ac:dyDescent="0.25">
      <c r="W259" s="25" t="str">
        <f>'Input - Pasture Beef'!$D$180</f>
        <v>Pasture range and paddock</v>
      </c>
      <c r="X259" s="25" t="e">
        <f t="shared" si="12"/>
        <v>#VALUE!</v>
      </c>
      <c r="Y259" s="25" cm="1">
        <f t="array" aca="1" ref="Y259" ca="1">MMS_PastureBeef_Methane_Equations.VEERG_4_2_1_1__1_TotalAnnualMethaneProductionFromManureManagement(X227,Y185,X243)</f>
        <v>3.466388959084733E-3</v>
      </c>
      <c r="Z259" s="25" cm="1">
        <f t="array" aca="1" ref="Z259" ca="1">MMS_PastureBeef_Methane_Equations.VEERG_4_2_1_1__1_TotalAnnualMethaneProductionFromManureManagement(Y227,Z185,Y243)</f>
        <v>4.895813594758153E-3</v>
      </c>
      <c r="AA259" s="25" cm="1">
        <f t="array" aca="1" ref="AA259" ca="1">MMS_PastureBeef_Methane_Equations.VEERG_4_2_1_1__1_TotalAnnualMethaneProductionFromManureManagement(Z227,AA185,Z243)</f>
        <v>2.6420807208311007E-3</v>
      </c>
      <c r="AB259" s="25" cm="1">
        <f t="array" aca="1" ref="AB259" ca="1">MMS_PastureBeef_Methane_Equations.VEERG_4_2_1_1__1_TotalAnnualMethaneProductionFromManureManagement(AA227,AB185,AA243)</f>
        <v>3.4672601314475644E-3</v>
      </c>
      <c r="AC259" s="25" cm="1">
        <f t="array" aca="1" ref="AC259" ca="1">MMS_PastureBeef_Methane_Equations.VEERG_4_2_1_1__1_TotalAnnualMethaneProductionFromManureManagement(AB227,AC185,AB243)</f>
        <v>3.8502452153061856E-3</v>
      </c>
      <c r="AD259" s="25" cm="1">
        <f t="array" aca="1" ref="AD259" ca="1">MMS_PastureBeef_Methane_Equations.VEERG_4_2_1_1__1_TotalAnnualMethaneProductionFromManureManagement(AC227,AD185,AC243)</f>
        <v>3.8502452153061856E-3</v>
      </c>
      <c r="AE259" s="25" cm="1">
        <f t="array" aca="1" ref="AE259" ca="1">MMS_PastureBeef_Methane_Equations.VEERG_4_2_1_1__1_TotalAnnualMethaneProductionFromManureManagement(AD227,AE185,AD243)</f>
        <v>3.0459687899296642E-3</v>
      </c>
      <c r="AF259" s="25" cm="1">
        <f t="array" aca="1" ref="AF259" ca="1">MMS_PastureBeef_Methane_Equations.VEERG_4_2_1_1__1_TotalAnnualMethaneProductionFromManureManagement(AE227,AF185,AE243)</f>
        <v>3.8707680927286023E-3</v>
      </c>
      <c r="AG259" s="25" cm="1">
        <f t="array" aca="1" ref="AG259" ca="1">MMS_PastureBeef_Methane_Equations.VEERG_4_2_1_1__1_TotalAnnualMethaneProductionFromManureManagement(AF227,AG185,AF243)</f>
        <v>3.8707680927286023E-3</v>
      </c>
      <c r="AH259" s="25" cm="1">
        <f t="array" aca="1" ref="AH259" ca="1">MMS_PastureBeef_Methane_Equations.VEERG_4_2_1_1__1_TotalAnnualMethaneProductionFromManureManagement(AG227,AH185,AG243)</f>
        <v>3.8707680927286023E-3</v>
      </c>
      <c r="AI259" s="26" t="str">
        <f t="shared" si="11"/>
        <v>t CH4</v>
      </c>
      <c r="AJ259" s="26"/>
    </row>
    <row r="260" spans="23:36" ht="20.100000000000001" customHeight="1" x14ac:dyDescent="0.25">
      <c r="W260" s="25" t="str">
        <f>'Input - Pasture Beef'!$D$180</f>
        <v>Pasture range and paddock</v>
      </c>
      <c r="X260" s="25" t="e">
        <f t="shared" si="12"/>
        <v>#VALUE!</v>
      </c>
      <c r="Y260" s="25" cm="1">
        <f t="array" aca="1" ref="Y260" ca="1">MMS_PastureBeef_Methane_Equations.VEERG_4_2_1_1__1_TotalAnnualMethaneProductionFromManureManagement(X228,Y186,X244)</f>
        <v>3.5819352577208907E-3</v>
      </c>
      <c r="Z260" s="25" cm="1">
        <f t="array" aca="1" ref="Z260" ca="1">MMS_PastureBeef_Methane_Equations.VEERG_4_2_1_1__1_TotalAnnualMethaneProductionFromManureManagement(Y228,Z186,Y244)</f>
        <v>5.0590073812500913E-3</v>
      </c>
      <c r="AA260" s="25" cm="1">
        <f t="array" aca="1" ref="AA260" ca="1">MMS_PastureBeef_Methane_Equations.VEERG_4_2_1_1__1_TotalAnnualMethaneProductionFromManureManagement(Z228,AA186,Z244)</f>
        <v>2.7301500781921374E-3</v>
      </c>
      <c r="AB260" s="25" cm="1">
        <f t="array" aca="1" ref="AB260" ca="1">MMS_PastureBeef_Methane_Equations.VEERG_4_2_1_1__1_TotalAnnualMethaneProductionFromManureManagement(AA228,AB186,AA244)</f>
        <v>3.5828354691624835E-3</v>
      </c>
      <c r="AC260" s="25" cm="1">
        <f t="array" aca="1" ref="AC260" ca="1">MMS_PastureBeef_Methane_Equations.VEERG_4_2_1_1__1_TotalAnnualMethaneProductionFromManureManagement(AB228,AC186,AB244)</f>
        <v>3.9785867224830587E-3</v>
      </c>
      <c r="AD260" s="25" cm="1">
        <f t="array" aca="1" ref="AD260" ca="1">MMS_PastureBeef_Methane_Equations.VEERG_4_2_1_1__1_TotalAnnualMethaneProductionFromManureManagement(AC228,AD186,AC244)</f>
        <v>3.9785867224830587E-3</v>
      </c>
      <c r="AE260" s="25" cm="1">
        <f t="array" aca="1" ref="AE260" ca="1">MMS_PastureBeef_Methane_Equations.VEERG_4_2_1_1__1_TotalAnnualMethaneProductionFromManureManagement(AD228,AE186,AD244)</f>
        <v>3.1475010829273196E-3</v>
      </c>
      <c r="AF260" s="25" cm="1">
        <f t="array" aca="1" ref="AF260" ca="1">MMS_PastureBeef_Methane_Equations.VEERG_4_2_1_1__1_TotalAnnualMethaneProductionFromManureManagement(AE228,AF186,AE244)</f>
        <v>3.9997936958195554E-3</v>
      </c>
      <c r="AG260" s="25" cm="1">
        <f t="array" aca="1" ref="AG260" ca="1">MMS_PastureBeef_Methane_Equations.VEERG_4_2_1_1__1_TotalAnnualMethaneProductionFromManureManagement(AF228,AG186,AF244)</f>
        <v>3.9997936958195554E-3</v>
      </c>
      <c r="AH260" s="25" cm="1">
        <f t="array" aca="1" ref="AH260" ca="1">MMS_PastureBeef_Methane_Equations.VEERG_4_2_1_1__1_TotalAnnualMethaneProductionFromManureManagement(AG228,AH186,AG244)</f>
        <v>3.9997936958195554E-3</v>
      </c>
      <c r="AI260" s="26" t="str">
        <f t="shared" si="11"/>
        <v>t CH4</v>
      </c>
      <c r="AJ260" s="26"/>
    </row>
    <row r="261" spans="23:36" ht="20.100000000000001" customHeight="1" x14ac:dyDescent="0.25">
      <c r="W261" s="25" t="str">
        <f>'Input - Pasture Beef'!$D$180</f>
        <v>Pasture range and paddock</v>
      </c>
      <c r="X261" s="25" t="e">
        <f t="shared" si="12"/>
        <v>#VALUE!</v>
      </c>
      <c r="Y261" s="25" cm="1">
        <f t="array" aca="1" ref="Y261" ca="1">MMS_PastureBeef_Methane_Equations.VEERG_4_2_1_1__1_TotalAnnualMethaneProductionFromManureManagement(X229,Y187,X245)</f>
        <v>3.466388959084733E-3</v>
      </c>
      <c r="Z261" s="25" cm="1">
        <f t="array" aca="1" ref="Z261" ca="1">MMS_PastureBeef_Methane_Equations.VEERG_4_2_1_1__1_TotalAnnualMethaneProductionFromManureManagement(Y229,Z187,Y245)</f>
        <v>4.895813594758153E-3</v>
      </c>
      <c r="AA261" s="25" cm="1">
        <f t="array" aca="1" ref="AA261" ca="1">MMS_PastureBeef_Methane_Equations.VEERG_4_2_1_1__1_TotalAnnualMethaneProductionFromManureManagement(Z229,AA187,Z245)</f>
        <v>2.6420807208311007E-3</v>
      </c>
      <c r="AB261" s="25" cm="1">
        <f t="array" aca="1" ref="AB261" ca="1">MMS_PastureBeef_Methane_Equations.VEERG_4_2_1_1__1_TotalAnnualMethaneProductionFromManureManagement(AA229,AB187,AA245)</f>
        <v>3.4672601314475644E-3</v>
      </c>
      <c r="AC261" s="25" cm="1">
        <f t="array" aca="1" ref="AC261" ca="1">MMS_PastureBeef_Methane_Equations.VEERG_4_2_1_1__1_TotalAnnualMethaneProductionFromManureManagement(AB229,AC187,AB245)</f>
        <v>3.8502452153061856E-3</v>
      </c>
      <c r="AD261" s="25" cm="1">
        <f t="array" aca="1" ref="AD261" ca="1">MMS_PastureBeef_Methane_Equations.VEERG_4_2_1_1__1_TotalAnnualMethaneProductionFromManureManagement(AC229,AD187,AC245)</f>
        <v>3.8502452153061856E-3</v>
      </c>
      <c r="AE261" s="25" cm="1">
        <f t="array" aca="1" ref="AE261" ca="1">MMS_PastureBeef_Methane_Equations.VEERG_4_2_1_1__1_TotalAnnualMethaneProductionFromManureManagement(AD229,AE187,AD245)</f>
        <v>3.0459687899296642E-3</v>
      </c>
      <c r="AF261" s="25" cm="1">
        <f t="array" aca="1" ref="AF261" ca="1">MMS_PastureBeef_Methane_Equations.VEERG_4_2_1_1__1_TotalAnnualMethaneProductionFromManureManagement(AE229,AF187,AE245)</f>
        <v>3.8707680927286023E-3</v>
      </c>
      <c r="AG261" s="25" cm="1">
        <f t="array" aca="1" ref="AG261" ca="1">MMS_PastureBeef_Methane_Equations.VEERG_4_2_1_1__1_TotalAnnualMethaneProductionFromManureManagement(AF229,AG187,AF245)</f>
        <v>3.8707680927286023E-3</v>
      </c>
      <c r="AH261" s="25" cm="1">
        <f t="array" aca="1" ref="AH261" ca="1">MMS_PastureBeef_Methane_Equations.VEERG_4_2_1_1__1_TotalAnnualMethaneProductionFromManureManagement(AG229,AH187,AG245)</f>
        <v>3.8707680927286023E-3</v>
      </c>
      <c r="AI261" s="26" t="str">
        <f t="shared" si="11"/>
        <v>t CH4</v>
      </c>
      <c r="AJ261" s="26"/>
    </row>
    <row r="262" spans="23:36" ht="20.100000000000001" customHeight="1" x14ac:dyDescent="0.25">
      <c r="W262" s="25" t="str">
        <f>'Input - Pasture Beef'!$D$180</f>
        <v>Pasture range and paddock</v>
      </c>
      <c r="X262" s="25" t="e">
        <f t="shared" si="12"/>
        <v>#VALUE!</v>
      </c>
      <c r="Y262" s="25" cm="1">
        <f t="array" aca="1" ref="Y262" ca="1">MMS_PastureBeef_Methane_Equations.VEERG_4_2_1_1__1_TotalAnnualMethaneProductionFromManureManagement(X230,Y188,X246)</f>
        <v>5.6586756154628675E-3</v>
      </c>
      <c r="Z262" s="25" cm="1">
        <f t="array" aca="1" ref="Z262" ca="1">MMS_PastureBeef_Methane_Equations.VEERG_4_2_1_1__1_TotalAnnualMethaneProductionFromManureManagement(Y230,Z188,Y246)</f>
        <v>7.4869872830892192E-3</v>
      </c>
      <c r="AA262" s="25" cm="1">
        <f t="array" aca="1" ref="AA262" ca="1">MMS_PastureBeef_Methane_Equations.VEERG_4_2_1_1__1_TotalAnnualMethaneProductionFromManureManagement(Z230,AA188,Z246)</f>
        <v>4.7588184062509068E-3</v>
      </c>
      <c r="AB262" s="25" cm="1">
        <f t="array" aca="1" ref="AB262" ca="1">MMS_PastureBeef_Methane_Equations.VEERG_4_2_1_1__1_TotalAnnualMethaneProductionFromManureManagement(AA230,AB188,AA246)</f>
        <v>6.2316775487701332E-3</v>
      </c>
      <c r="AC262" s="25" cm="1">
        <f t="array" aca="1" ref="AC262" ca="1">MMS_PastureBeef_Methane_Equations.VEERG_4_2_1_1__1_TotalAnnualMethaneProductionFromManureManagement(AB230,AC188,AB246)</f>
        <v>6.1701232715795284E-3</v>
      </c>
      <c r="AD262" s="25" cm="1">
        <f t="array" aca="1" ref="AD262" ca="1">MMS_PastureBeef_Methane_Equations.VEERG_4_2_1_1__1_TotalAnnualMethaneProductionFromManureManagement(AC230,AD188,AC246)</f>
        <v>6.1701232715795284E-3</v>
      </c>
      <c r="AE262" s="25" cm="1">
        <f t="array" aca="1" ref="AE262" ca="1">MMS_PastureBeef_Methane_Equations.VEERG_4_2_1_1__1_TotalAnnualMethaneProductionFromManureManagement(AD230,AE188,AD246)</f>
        <v>5.2159068150018362E-3</v>
      </c>
      <c r="AF262" s="25" cm="1">
        <f t="array" aca="1" ref="AF262" ca="1">MMS_PastureBeef_Methane_Equations.VEERG_4_2_1_1__1_TotalAnnualMethaneProductionFromManureManagement(AE230,AF188,AE246)</f>
        <v>5.8140342998928615E-3</v>
      </c>
      <c r="AG262" s="25" cm="1">
        <f t="array" aca="1" ref="AG262" ca="1">MMS_PastureBeef_Methane_Equations.VEERG_4_2_1_1__1_TotalAnnualMethaneProductionFromManureManagement(AF230,AG188,AF246)</f>
        <v>5.8140342998928615E-3</v>
      </c>
      <c r="AH262" s="25" cm="1">
        <f t="array" aca="1" ref="AH262" ca="1">MMS_PastureBeef_Methane_Equations.VEERG_4_2_1_1__1_TotalAnnualMethaneProductionFromManureManagement(AG230,AH188,AG246)</f>
        <v>5.8140342998928615E-3</v>
      </c>
      <c r="AI262" s="26" t="str">
        <f t="shared" si="11"/>
        <v>t CH4</v>
      </c>
      <c r="AJ262" s="26"/>
    </row>
    <row r="263" spans="23:36" ht="20.100000000000001" customHeight="1" x14ac:dyDescent="0.25">
      <c r="W263" s="25" t="str">
        <f>'Input - Pasture Beef'!$D$181</f>
        <v>Anaerobic lagoon</v>
      </c>
      <c r="X263" s="25" t="str">
        <f>W235</f>
        <v>NO - Not in leaching zone</v>
      </c>
      <c r="Y263" s="25" cm="1">
        <f t="array" aca="1" ref="Y263" ca="1">MMS_PastureBeef_Methane_Equations.VEERG_4_2_1_1__1_TotalAnnualMethaneProductionFromManureManagement(X219,Y189,X235)</f>
        <v>3.5175818308880382E-3</v>
      </c>
      <c r="Z263" s="25" cm="1">
        <f t="array" aca="1" ref="Z263" ca="1">MMS_PastureBeef_Methane_Equations.VEERG_4_2_1_1__1_TotalAnnualMethaneProductionFromManureManagement(Y219,Z189,Y235)</f>
        <v>4.6541085272883585E-3</v>
      </c>
      <c r="AA263" s="25" cm="1">
        <f t="array" aca="1" ref="AA263" ca="1">MMS_PastureBeef_Methane_Equations.VEERG_4_2_1_1__1_TotalAnnualMethaneProductionFromManureManagement(Z219,AA189,Z235)</f>
        <v>2.9582068844132702E-3</v>
      </c>
      <c r="AB263" s="25" cm="1">
        <f t="array" aca="1" ref="AB263" ca="1">MMS_PastureBeef_Methane_Equations.VEERG_4_2_1_1__1_TotalAnnualMethaneProductionFromManureManagement(AA219,AB189,AA235)</f>
        <v>3.8737749274065209E-3</v>
      </c>
      <c r="AC263" s="25" cm="1">
        <f t="array" aca="1" ref="AC263" ca="1">MMS_PastureBeef_Methane_Equations.VEERG_4_2_1_1__1_TotalAnnualMethaneProductionFromManureManagement(AB219,AC189,AB235)</f>
        <v>3.8355111671606709E-3</v>
      </c>
      <c r="AD263" s="25" cm="1">
        <f t="array" aca="1" ref="AD263" ca="1">MMS_PastureBeef_Methane_Equations.VEERG_4_2_1_1__1_TotalAnnualMethaneProductionFromManureManagement(AC219,AD189,AC235)</f>
        <v>3.8355111671606709E-3</v>
      </c>
      <c r="AE263" s="25" cm="1">
        <f t="array" aca="1" ref="AE263" ca="1">MMS_PastureBeef_Methane_Equations.VEERG_4_2_1_1__1_TotalAnnualMethaneProductionFromManureManagement(AD219,AE189,AD235)</f>
        <v>3.242345080520184E-3</v>
      </c>
      <c r="AF263" s="25" cm="1">
        <f t="array" aca="1" ref="AF263" ca="1">MMS_PastureBeef_Methane_Equations.VEERG_4_2_1_1__1_TotalAnnualMethaneProductionFromManureManagement(AE219,AF189,AE235)</f>
        <v>3.6141568817936397E-3</v>
      </c>
      <c r="AG263" s="25" cm="1">
        <f t="array" aca="1" ref="AG263" ca="1">MMS_PastureBeef_Methane_Equations.VEERG_4_2_1_1__1_TotalAnnualMethaneProductionFromManureManagement(AF219,AG189,AF235)</f>
        <v>3.6141568817936397E-3</v>
      </c>
      <c r="AH263" s="25" cm="1">
        <f t="array" aca="1" ref="AH263" ca="1">MMS_PastureBeef_Methane_Equations.VEERG_4_2_1_1__1_TotalAnnualMethaneProductionFromManureManagement(AG219,AH189,AG235)</f>
        <v>3.6141568817936397E-3</v>
      </c>
      <c r="AI263" s="26" t="str">
        <f t="shared" si="11"/>
        <v>t CH4</v>
      </c>
      <c r="AJ263" s="26"/>
    </row>
    <row r="264" spans="23:36" ht="20.100000000000001" customHeight="1" x14ac:dyDescent="0.25">
      <c r="W264" s="25" t="str">
        <f>'Input - Pasture Beef'!$D$181</f>
        <v>Anaerobic lagoon</v>
      </c>
      <c r="X264" s="25" t="e">
        <f t="shared" ref="X264:X274" si="13">W236</f>
        <v>#VALUE!</v>
      </c>
      <c r="Y264" s="25" cm="1">
        <f t="array" aca="1" ref="Y264" ca="1">MMS_PastureBeef_Methane_Equations.VEERG_4_2_1_1__1_TotalAnnualMethaneProductionFromManureManagement(X220,Y190,X236)</f>
        <v>3.290641067604939E-3</v>
      </c>
      <c r="Z264" s="25" cm="1">
        <f t="array" aca="1" ref="Z264" ca="1">MMS_PastureBeef_Methane_Equations.VEERG_4_2_1_1__1_TotalAnnualMethaneProductionFromManureManagement(Y220,Z190,Y236)</f>
        <v>4.3538434610116902E-3</v>
      </c>
      <c r="AA264" s="25" cm="1">
        <f t="array" aca="1" ref="AA264" ca="1">MMS_PastureBeef_Methane_Equations.VEERG_4_2_1_1__1_TotalAnnualMethaneProductionFromManureManagement(Z220,AA190,Z236)</f>
        <v>2.7673548273543496E-3</v>
      </c>
      <c r="AB264" s="25" cm="1">
        <f t="array" aca="1" ref="AB264" ca="1">MMS_PastureBeef_Methane_Equations.VEERG_4_2_1_1__1_TotalAnnualMethaneProductionFromManureManagement(AA220,AB190,AA236)</f>
        <v>3.6238539643480357E-3</v>
      </c>
      <c r="AC264" s="25" cm="1">
        <f t="array" aca="1" ref="AC264" ca="1">MMS_PastureBeef_Methane_Equations.VEERG_4_2_1_1__1_TotalAnnualMethaneProductionFromManureManagement(AB220,AC190,AB236)</f>
        <v>3.5880588337954666E-3</v>
      </c>
      <c r="AD264" s="25" cm="1">
        <f t="array" aca="1" ref="AD264" ca="1">MMS_PastureBeef_Methane_Equations.VEERG_4_2_1_1__1_TotalAnnualMethaneProductionFromManureManagement(AC220,AD190,AC236)</f>
        <v>3.5880588337954666E-3</v>
      </c>
      <c r="AE264" s="25" cm="1">
        <f t="array" aca="1" ref="AE264" ca="1">MMS_PastureBeef_Methane_Equations.VEERG_4_2_1_1__1_TotalAnnualMethaneProductionFromManureManagement(AD220,AE190,AD236)</f>
        <v>3.0331615269382369E-3</v>
      </c>
      <c r="AF264" s="25" cm="1">
        <f t="array" aca="1" ref="AF264" ca="1">MMS_PastureBeef_Methane_Equations.VEERG_4_2_1_1__1_TotalAnnualMethaneProductionFromManureManagement(AE220,AF190,AE236)</f>
        <v>3.3809854700650181E-3</v>
      </c>
      <c r="AG264" s="25" cm="1">
        <f t="array" aca="1" ref="AG264" ca="1">MMS_PastureBeef_Methane_Equations.VEERG_4_2_1_1__1_TotalAnnualMethaneProductionFromManureManagement(AF220,AG190,AF236)</f>
        <v>3.3809854700650181E-3</v>
      </c>
      <c r="AH264" s="25" cm="1">
        <f t="array" aca="1" ref="AH264" ca="1">MMS_PastureBeef_Methane_Equations.VEERG_4_2_1_1__1_TotalAnnualMethaneProductionFromManureManagement(AG220,AH190,AG236)</f>
        <v>3.3809854700650181E-3</v>
      </c>
      <c r="AI264" s="26" t="str">
        <f t="shared" si="11"/>
        <v>t CH4</v>
      </c>
      <c r="AJ264" s="26"/>
    </row>
    <row r="265" spans="23:36" ht="20.100000000000001" customHeight="1" x14ac:dyDescent="0.25">
      <c r="W265" s="25" t="str">
        <f>'Input - Pasture Beef'!$D$181</f>
        <v>Anaerobic lagoon</v>
      </c>
      <c r="X265" s="25" t="e">
        <f t="shared" si="13"/>
        <v>#VALUE!</v>
      </c>
      <c r="Y265" s="25" cm="1">
        <f t="array" aca="1" ref="Y265" ca="1">MMS_PastureBeef_Methane_Equations.VEERG_4_2_1_1__1_TotalAnnualMethaneProductionFromManureManagement(X221,Y191,X237)</f>
        <v>1.8761813712310229E-3</v>
      </c>
      <c r="Z265" s="25" cm="1">
        <f t="array" aca="1" ref="Z265" ca="1">MMS_PastureBeef_Methane_Equations.VEERG_4_2_1_1__1_TotalAnnualMethaneProductionFromManureManagement(Y221,Z191,Y237)</f>
        <v>5.4454111963930752E-3</v>
      </c>
      <c r="AA265" s="25" cm="1">
        <f t="array" aca="1" ref="AA265" ca="1">MMS_PastureBeef_Methane_Equations.VEERG_4_2_1_1__1_TotalAnnualMethaneProductionFromManureManagement(Z221,AA191,Z237)</f>
        <v>1.7104283663157216E-3</v>
      </c>
      <c r="AB265" s="25" cm="1">
        <f t="array" aca="1" ref="AB265" ca="1">MMS_PastureBeef_Methane_Equations.VEERG_4_2_1_1__1_TotalAnnualMethaneProductionFromManureManagement(AA221,AB191,AA237)</f>
        <v>3.4423179933763134E-3</v>
      </c>
      <c r="AC265" s="25" cm="1">
        <f t="array" aca="1" ref="AC265" ca="1">MMS_PastureBeef_Methane_Equations.VEERG_4_2_1_1__1_TotalAnnualMethaneProductionFromManureManagement(AB221,AC191,AB237)</f>
        <v>3.8815490693232604E-3</v>
      </c>
      <c r="AD265" s="25" cm="1">
        <f t="array" aca="1" ref="AD265" ca="1">MMS_PastureBeef_Methane_Equations.VEERG_4_2_1_1__1_TotalAnnualMethaneProductionFromManureManagement(AC221,AD191,AC237)</f>
        <v>3.8815490693232604E-3</v>
      </c>
      <c r="AE265" s="25" cm="1">
        <f t="array" aca="1" ref="AE265" ca="1">MMS_PastureBeef_Methane_Equations.VEERG_4_2_1_1__1_TotalAnnualMethaneProductionFromManureManagement(AD221,AE191,AD237)</f>
        <v>1.8761813712310229E-3</v>
      </c>
      <c r="AF265" s="25" cm="1">
        <f t="array" aca="1" ref="AF265" ca="1">MMS_PastureBeef_Methane_Equations.VEERG_4_2_1_1__1_TotalAnnualMethaneProductionFromManureManagement(AE221,AF191,AE237)</f>
        <v>3.4062531437047462E-3</v>
      </c>
      <c r="AG265" s="25" cm="1">
        <f t="array" aca="1" ref="AG265" ca="1">MMS_PastureBeef_Methane_Equations.VEERG_4_2_1_1__1_TotalAnnualMethaneProductionFromManureManagement(AF221,AG191,AF237)</f>
        <v>3.4062531437047462E-3</v>
      </c>
      <c r="AH265" s="25" cm="1">
        <f t="array" aca="1" ref="AH265" ca="1">MMS_PastureBeef_Methane_Equations.VEERG_4_2_1_1__1_TotalAnnualMethaneProductionFromManureManagement(AG221,AH191,AG237)</f>
        <v>3.4062531437047462E-3</v>
      </c>
      <c r="AI265" s="26" t="str">
        <f t="shared" si="11"/>
        <v>t CH4</v>
      </c>
      <c r="AJ265" s="26"/>
    </row>
    <row r="266" spans="23:36" ht="20.100000000000001" customHeight="1" x14ac:dyDescent="0.25">
      <c r="W266" s="25" t="str">
        <f>'Input - Pasture Beef'!$D$181</f>
        <v>Anaerobic lagoon</v>
      </c>
      <c r="X266" s="25" t="e">
        <f t="shared" si="13"/>
        <v>#VALUE!</v>
      </c>
      <c r="Y266" s="25" cm="1">
        <f t="array" aca="1" ref="Y266" ca="1">MMS_PastureBeef_Methane_Equations.VEERG_4_2_1_1__1_TotalAnnualMethaneProductionFromManureManagement(X222,Y192,X238)</f>
        <v>1.815659391513893E-3</v>
      </c>
      <c r="Z266" s="25" cm="1">
        <f t="array" aca="1" ref="Z266" ca="1">MMS_PastureBeef_Methane_Equations.VEERG_4_2_1_1__1_TotalAnnualMethaneProductionFromManureManagement(Y222,Z192,Y238)</f>
        <v>5.2697527707029771E-3</v>
      </c>
      <c r="AA266" s="25" cm="1">
        <f t="array" aca="1" ref="AA266" ca="1">MMS_PastureBeef_Methane_Equations.VEERG_4_2_1_1__1_TotalAnnualMethaneProductionFromManureManagement(Z222,AA192,Z238)</f>
        <v>1.6552532577248918E-3</v>
      </c>
      <c r="AB266" s="25" cm="1">
        <f t="array" aca="1" ref="AB266" ca="1">MMS_PastureBeef_Methane_Equations.VEERG_4_2_1_1__1_TotalAnnualMethaneProductionFromManureManagement(AA222,AB192,AA238)</f>
        <v>3.3312754774609482E-3</v>
      </c>
      <c r="AC266" s="25" cm="1">
        <f t="array" aca="1" ref="AC266" ca="1">MMS_PastureBeef_Methane_Equations.VEERG_4_2_1_1__1_TotalAnnualMethaneProductionFromManureManagement(AB222,AC192,AB238)</f>
        <v>3.7563378090225102E-3</v>
      </c>
      <c r="AD266" s="25" cm="1">
        <f t="array" aca="1" ref="AD266" ca="1">MMS_PastureBeef_Methane_Equations.VEERG_4_2_1_1__1_TotalAnnualMethaneProductionFromManureManagement(AC222,AD192,AC238)</f>
        <v>3.7563378090225102E-3</v>
      </c>
      <c r="AE266" s="25" cm="1">
        <f t="array" aca="1" ref="AE266" ca="1">MMS_PastureBeef_Methane_Equations.VEERG_4_2_1_1__1_TotalAnnualMethaneProductionFromManureManagement(AD222,AE192,AD238)</f>
        <v>1.815659391513893E-3</v>
      </c>
      <c r="AF266" s="25" cm="1">
        <f t="array" aca="1" ref="AF266" ca="1">MMS_PastureBeef_Methane_Equations.VEERG_4_2_1_1__1_TotalAnnualMethaneProductionFromManureManagement(AE222,AF192,AE238)</f>
        <v>3.296374010036851E-3</v>
      </c>
      <c r="AG266" s="25" cm="1">
        <f t="array" aca="1" ref="AG266" ca="1">MMS_PastureBeef_Methane_Equations.VEERG_4_2_1_1__1_TotalAnnualMethaneProductionFromManureManagement(AF222,AG192,AF238)</f>
        <v>3.296374010036851E-3</v>
      </c>
      <c r="AH266" s="25" cm="1">
        <f t="array" aca="1" ref="AH266" ca="1">MMS_PastureBeef_Methane_Equations.VEERG_4_2_1_1__1_TotalAnnualMethaneProductionFromManureManagement(AG222,AH192,AG238)</f>
        <v>3.296374010036851E-3</v>
      </c>
      <c r="AI266" s="26" t="str">
        <f t="shared" si="11"/>
        <v>t CH4</v>
      </c>
      <c r="AJ266" s="26"/>
    </row>
    <row r="267" spans="23:36" ht="20.100000000000001" customHeight="1" x14ac:dyDescent="0.25">
      <c r="W267" s="25" t="str">
        <f>'Input - Pasture Beef'!$D$181</f>
        <v>Anaerobic lagoon</v>
      </c>
      <c r="X267" s="25" t="e">
        <f t="shared" si="13"/>
        <v>#VALUE!</v>
      </c>
      <c r="Y267" s="25" cm="1">
        <f t="array" aca="1" ref="Y267" ca="1">MMS_PastureBeef_Methane_Equations.VEERG_4_2_1_1__1_TotalAnnualMethaneProductionFromManureManagement(X223,Y193,X239)</f>
        <v>1.8761813712310229E-3</v>
      </c>
      <c r="Z267" s="25" cm="1">
        <f t="array" aca="1" ref="Z267" ca="1">MMS_PastureBeef_Methane_Equations.VEERG_4_2_1_1__1_TotalAnnualMethaneProductionFromManureManagement(Y223,Z193,Y239)</f>
        <v>5.4454111963930752E-3</v>
      </c>
      <c r="AA267" s="25" cm="1">
        <f t="array" aca="1" ref="AA267" ca="1">MMS_PastureBeef_Methane_Equations.VEERG_4_2_1_1__1_TotalAnnualMethaneProductionFromManureManagement(Z223,AA193,Z239)</f>
        <v>1.7104283663157216E-3</v>
      </c>
      <c r="AB267" s="25" cm="1">
        <f t="array" aca="1" ref="AB267" ca="1">MMS_PastureBeef_Methane_Equations.VEERG_4_2_1_1__1_TotalAnnualMethaneProductionFromManureManagement(AA223,AB193,AA239)</f>
        <v>3.4423179933763134E-3</v>
      </c>
      <c r="AC267" s="25" cm="1">
        <f t="array" aca="1" ref="AC267" ca="1">MMS_PastureBeef_Methane_Equations.VEERG_4_2_1_1__1_TotalAnnualMethaneProductionFromManureManagement(AB223,AC193,AB239)</f>
        <v>3.8815490693232604E-3</v>
      </c>
      <c r="AD267" s="25" cm="1">
        <f t="array" aca="1" ref="AD267" ca="1">MMS_PastureBeef_Methane_Equations.VEERG_4_2_1_1__1_TotalAnnualMethaneProductionFromManureManagement(AC223,AD193,AC239)</f>
        <v>3.8815490693232604E-3</v>
      </c>
      <c r="AE267" s="25" cm="1">
        <f t="array" aca="1" ref="AE267" ca="1">MMS_PastureBeef_Methane_Equations.VEERG_4_2_1_1__1_TotalAnnualMethaneProductionFromManureManagement(AD223,AE193,AD239)</f>
        <v>1.8761813712310229E-3</v>
      </c>
      <c r="AF267" s="25" cm="1">
        <f t="array" aca="1" ref="AF267" ca="1">MMS_PastureBeef_Methane_Equations.VEERG_4_2_1_1__1_TotalAnnualMethaneProductionFromManureManagement(AE223,AF193,AE239)</f>
        <v>3.4062531437047462E-3</v>
      </c>
      <c r="AG267" s="25" cm="1">
        <f t="array" aca="1" ref="AG267" ca="1">MMS_PastureBeef_Methane_Equations.VEERG_4_2_1_1__1_TotalAnnualMethaneProductionFromManureManagement(AF223,AG193,AF239)</f>
        <v>3.4062531437047462E-3</v>
      </c>
      <c r="AH267" s="25" cm="1">
        <f t="array" aca="1" ref="AH267" ca="1">MMS_PastureBeef_Methane_Equations.VEERG_4_2_1_1__1_TotalAnnualMethaneProductionFromManureManagement(AG223,AH193,AG239)</f>
        <v>3.4062531437047462E-3</v>
      </c>
      <c r="AI267" s="26" t="str">
        <f t="shared" si="11"/>
        <v>t CH4</v>
      </c>
      <c r="AJ267" s="26"/>
    </row>
    <row r="268" spans="23:36" ht="20.100000000000001" customHeight="1" x14ac:dyDescent="0.25">
      <c r="W268" s="25" t="str">
        <f>'Input - Pasture Beef'!$D$181</f>
        <v>Anaerobic lagoon</v>
      </c>
      <c r="X268" s="25" t="e">
        <f t="shared" si="13"/>
        <v>#VALUE!</v>
      </c>
      <c r="Y268" s="25" cm="1">
        <f t="array" aca="1" ref="Y268" ca="1">MMS_PastureBeef_Methane_Equations.VEERG_4_2_1_1__1_TotalAnnualMethaneProductionFromManureManagement(X224,Y194,X240)</f>
        <v>1.5413159880792644E-3</v>
      </c>
      <c r="Z268" s="25" cm="1">
        <f t="array" aca="1" ref="Z268" ca="1">MMS_PastureBeef_Methane_Equations.VEERG_4_2_1_1__1_TotalAnnualMethaneProductionFromManureManagement(Y224,Z194,Y240)</f>
        <v>2.9952688212232445E-3</v>
      </c>
      <c r="AA268" s="25" cm="1">
        <f t="array" aca="1" ref="AA268" ca="1">MMS_PastureBeef_Methane_Equations.VEERG_4_2_1_1__1_TotalAnnualMethaneProductionFromManureManagement(Z224,AA194,Z240)</f>
        <v>1.2619959237124823E-3</v>
      </c>
      <c r="AB268" s="25" cm="1">
        <f t="array" aca="1" ref="AB268" ca="1">MMS_PastureBeef_Methane_Equations.VEERG_4_2_1_1__1_TotalAnnualMethaneProductionFromManureManagement(AA224,AB194,AA240)</f>
        <v>1.7800144348972637E-3</v>
      </c>
      <c r="AC268" s="25" cm="1">
        <f t="array" aca="1" ref="AC268" ca="1">MMS_PastureBeef_Methane_Equations.VEERG_4_2_1_1__1_TotalAnnualMethaneProductionFromManureManagement(AB224,AC194,AB240)</f>
        <v>2.3879442409870263E-3</v>
      </c>
      <c r="AD268" s="25" cm="1">
        <f t="array" aca="1" ref="AD268" ca="1">MMS_PastureBeef_Methane_Equations.VEERG_4_2_1_1__1_TotalAnnualMethaneProductionFromManureManagement(AC224,AD194,AC240)</f>
        <v>2.3879442409870263E-3</v>
      </c>
      <c r="AE268" s="25" cm="1">
        <f t="array" aca="1" ref="AE268" ca="1">MMS_PastureBeef_Methane_Equations.VEERG_4_2_1_1__1_TotalAnnualMethaneProductionFromManureManagement(AD224,AE194,AD240)</f>
        <v>1.3549521024969835E-3</v>
      </c>
      <c r="AF268" s="25" cm="1">
        <f t="array" aca="1" ref="AF268" ca="1">MMS_PastureBeef_Methane_Equations.VEERG_4_2_1_1__1_TotalAnnualMethaneProductionFromManureManagement(AE224,AF194,AE240)</f>
        <v>2.0628912929971021E-3</v>
      </c>
      <c r="AG268" s="25" cm="1">
        <f t="array" aca="1" ref="AG268" ca="1">MMS_PastureBeef_Methane_Equations.VEERG_4_2_1_1__1_TotalAnnualMethaneProductionFromManureManagement(AF224,AG194,AF240)</f>
        <v>2.0628912929971021E-3</v>
      </c>
      <c r="AH268" s="25" cm="1">
        <f t="array" aca="1" ref="AH268" ca="1">MMS_PastureBeef_Methane_Equations.VEERG_4_2_1_1__1_TotalAnnualMethaneProductionFromManureManagement(AG224,AH194,AG240)</f>
        <v>2.0628912929971021E-3</v>
      </c>
      <c r="AI268" s="26" t="str">
        <f t="shared" si="11"/>
        <v>t CH4</v>
      </c>
      <c r="AJ268" s="26"/>
    </row>
    <row r="269" spans="23:36" ht="20.100000000000001" customHeight="1" x14ac:dyDescent="0.25">
      <c r="W269" s="25" t="str">
        <f>'Input - Pasture Beef'!$D$181</f>
        <v>Anaerobic lagoon</v>
      </c>
      <c r="X269" s="25" t="e">
        <f t="shared" si="13"/>
        <v>#VALUE!</v>
      </c>
      <c r="Y269" s="25" cm="1">
        <f t="array" aca="1" ref="Y269" ca="1">MMS_PastureBeef_Methane_Equations.VEERG_4_2_1_1__1_TotalAnnualMethaneProductionFromManureManagement(X225,Y195,X241)</f>
        <v>1.5926931876819065E-3</v>
      </c>
      <c r="Z269" s="25" cm="1">
        <f t="array" aca="1" ref="Z269" ca="1">MMS_PastureBeef_Methane_Equations.VEERG_4_2_1_1__1_TotalAnnualMethaneProductionFromManureManagement(Y225,Z195,Y241)</f>
        <v>3.0951111152640195E-3</v>
      </c>
      <c r="AA269" s="25" cm="1">
        <f t="array" aca="1" ref="AA269" ca="1">MMS_PastureBeef_Methane_Equations.VEERG_4_2_1_1__1_TotalAnnualMethaneProductionFromManureManagement(Z225,AA195,Z241)</f>
        <v>1.3040624545028986E-3</v>
      </c>
      <c r="AB269" s="25" cm="1">
        <f t="array" aca="1" ref="AB269" ca="1">MMS_PastureBeef_Methane_Equations.VEERG_4_2_1_1__1_TotalAnnualMethaneProductionFromManureManagement(AA225,AB195,AA241)</f>
        <v>1.8393482493938393E-3</v>
      </c>
      <c r="AC269" s="25" cm="1">
        <f t="array" aca="1" ref="AC269" ca="1">MMS_PastureBeef_Methane_Equations.VEERG_4_2_1_1__1_TotalAnnualMethaneProductionFromManureManagement(AB225,AC195,AB241)</f>
        <v>2.4675423823532607E-3</v>
      </c>
      <c r="AD269" s="25" cm="1">
        <f t="array" aca="1" ref="AD269" ca="1">MMS_PastureBeef_Methane_Equations.VEERG_4_2_1_1__1_TotalAnnualMethaneProductionFromManureManagement(AC225,AD195,AC241)</f>
        <v>2.4675423823532607E-3</v>
      </c>
      <c r="AE269" s="25" cm="1">
        <f t="array" aca="1" ref="AE269" ca="1">MMS_PastureBeef_Methane_Equations.VEERG_4_2_1_1__1_TotalAnnualMethaneProductionFromManureManagement(AD225,AE195,AD241)</f>
        <v>1.4001171725802162E-3</v>
      </c>
      <c r="AF269" s="25" cm="1">
        <f t="array" aca="1" ref="AF269" ca="1">MMS_PastureBeef_Methane_Equations.VEERG_4_2_1_1__1_TotalAnnualMethaneProductionFromManureManagement(AE225,AF195,AE241)</f>
        <v>2.1316543360970054E-3</v>
      </c>
      <c r="AG269" s="25" cm="1">
        <f t="array" aca="1" ref="AG269" ca="1">MMS_PastureBeef_Methane_Equations.VEERG_4_2_1_1__1_TotalAnnualMethaneProductionFromManureManagement(AF225,AG195,AF241)</f>
        <v>2.1316543360970054E-3</v>
      </c>
      <c r="AH269" s="25" cm="1">
        <f t="array" aca="1" ref="AH269" ca="1">MMS_PastureBeef_Methane_Equations.VEERG_4_2_1_1__1_TotalAnnualMethaneProductionFromManureManagement(AG225,AH195,AG241)</f>
        <v>2.1316543360970054E-3</v>
      </c>
      <c r="AI269" s="26" t="str">
        <f t="shared" si="11"/>
        <v>t CH4</v>
      </c>
      <c r="AJ269" s="26"/>
    </row>
    <row r="270" spans="23:36" ht="20.100000000000001" customHeight="1" x14ac:dyDescent="0.25">
      <c r="W270" s="25" t="str">
        <f>'Input - Pasture Beef'!$D$181</f>
        <v>Anaerobic lagoon</v>
      </c>
      <c r="X270" s="25" t="e">
        <f t="shared" si="13"/>
        <v>#VALUE!</v>
      </c>
      <c r="Y270" s="25" cm="1">
        <f t="array" aca="1" ref="Y270" ca="1">MMS_PastureBeef_Methane_Equations.VEERG_4_2_1_1__1_TotalAnnualMethaneProductionFromManureManagement(X226,Y196,X242)</f>
        <v>1.5926931876819065E-3</v>
      </c>
      <c r="Z270" s="25" cm="1">
        <f t="array" aca="1" ref="Z270" ca="1">MMS_PastureBeef_Methane_Equations.VEERG_4_2_1_1__1_TotalAnnualMethaneProductionFromManureManagement(Y226,Z196,Y242)</f>
        <v>3.0951111152640195E-3</v>
      </c>
      <c r="AA270" s="25" cm="1">
        <f t="array" aca="1" ref="AA270" ca="1">MMS_PastureBeef_Methane_Equations.VEERG_4_2_1_1__1_TotalAnnualMethaneProductionFromManureManagement(Z226,AA196,Z242)</f>
        <v>1.3040624545028986E-3</v>
      </c>
      <c r="AB270" s="25" cm="1">
        <f t="array" aca="1" ref="AB270" ca="1">MMS_PastureBeef_Methane_Equations.VEERG_4_2_1_1__1_TotalAnnualMethaneProductionFromManureManagement(AA226,AB196,AA242)</f>
        <v>1.8393482493938393E-3</v>
      </c>
      <c r="AC270" s="25" cm="1">
        <f t="array" aca="1" ref="AC270" ca="1">MMS_PastureBeef_Methane_Equations.VEERG_4_2_1_1__1_TotalAnnualMethaneProductionFromManureManagement(AB226,AC196,AB242)</f>
        <v>2.4675423823532607E-3</v>
      </c>
      <c r="AD270" s="25" cm="1">
        <f t="array" aca="1" ref="AD270" ca="1">MMS_PastureBeef_Methane_Equations.VEERG_4_2_1_1__1_TotalAnnualMethaneProductionFromManureManagement(AC226,AD196,AC242)</f>
        <v>2.4675423823532607E-3</v>
      </c>
      <c r="AE270" s="25" cm="1">
        <f t="array" aca="1" ref="AE270" ca="1">MMS_PastureBeef_Methane_Equations.VEERG_4_2_1_1__1_TotalAnnualMethaneProductionFromManureManagement(AD226,AE196,AD242)</f>
        <v>1.4001171725802162E-3</v>
      </c>
      <c r="AF270" s="25" cm="1">
        <f t="array" aca="1" ref="AF270" ca="1">MMS_PastureBeef_Methane_Equations.VEERG_4_2_1_1__1_TotalAnnualMethaneProductionFromManureManagement(AE226,AF196,AE242)</f>
        <v>2.1316543360970054E-3</v>
      </c>
      <c r="AG270" s="25" cm="1">
        <f t="array" aca="1" ref="AG270" ca="1">MMS_PastureBeef_Methane_Equations.VEERG_4_2_1_1__1_TotalAnnualMethaneProductionFromManureManagement(AF226,AG196,AF242)</f>
        <v>2.1316543360970054E-3</v>
      </c>
      <c r="AH270" s="25" cm="1">
        <f t="array" aca="1" ref="AH270" ca="1">MMS_PastureBeef_Methane_Equations.VEERG_4_2_1_1__1_TotalAnnualMethaneProductionFromManureManagement(AG226,AH196,AG242)</f>
        <v>2.1316543360970054E-3</v>
      </c>
      <c r="AI270" s="26" t="str">
        <f t="shared" si="11"/>
        <v>t CH4</v>
      </c>
      <c r="AJ270" s="26"/>
    </row>
    <row r="271" spans="23:36" ht="20.100000000000001" customHeight="1" x14ac:dyDescent="0.25">
      <c r="W271" s="25" t="str">
        <f>'Input - Pasture Beef'!$D$181</f>
        <v>Anaerobic lagoon</v>
      </c>
      <c r="X271" s="25" t="e">
        <f t="shared" si="13"/>
        <v>#VALUE!</v>
      </c>
      <c r="Y271" s="25" cm="1">
        <f t="array" aca="1" ref="Y271" ca="1">MMS_PastureBeef_Methane_Equations.VEERG_4_2_1_1__1_TotalAnnualMethaneProductionFromManureManagement(X227,Y197,X243)</f>
        <v>2.1547986931691209E-3</v>
      </c>
      <c r="Z271" s="25" cm="1">
        <f t="array" aca="1" ref="Z271" ca="1">MMS_PastureBeef_Methane_Equations.VEERG_4_2_1_1__1_TotalAnnualMethaneProductionFromManureManagement(Y227,Z197,Y243)</f>
        <v>3.0433667024977996E-3</v>
      </c>
      <c r="AA271" s="25" cm="1">
        <f t="array" aca="1" ref="AA271" ca="1">MMS_PastureBeef_Methane_Equations.VEERG_4_2_1_1__1_TotalAnnualMethaneProductionFromManureManagement(Z227,AA197,Z243)</f>
        <v>1.6423869772529524E-3</v>
      </c>
      <c r="AB271" s="25" cm="1">
        <f t="array" aca="1" ref="AB271" ca="1">MMS_PastureBeef_Methane_Equations.VEERG_4_2_1_1__1_TotalAnnualMethaneProductionFromManureManagement(AA227,AB197,AA243)</f>
        <v>2.1553402368594309E-3</v>
      </c>
      <c r="AC271" s="25" cm="1">
        <f t="array" aca="1" ref="AC271" ca="1">MMS_PastureBeef_Methane_Equations.VEERG_4_2_1_1__1_TotalAnnualMethaneProductionFromManureManagement(AB227,AC197,AB243)</f>
        <v>2.3934138540855029E-3</v>
      </c>
      <c r="AD271" s="25" cm="1">
        <f t="array" aca="1" ref="AD271" ca="1">MMS_PastureBeef_Methane_Equations.VEERG_4_2_1_1__1_TotalAnnualMethaneProductionFromManureManagement(AC227,AD197,AC243)</f>
        <v>2.3934138540855029E-3</v>
      </c>
      <c r="AE271" s="25" cm="1">
        <f t="array" aca="1" ref="AE271" ca="1">MMS_PastureBeef_Methane_Equations.VEERG_4_2_1_1__1_TotalAnnualMethaneProductionFromManureManagement(AD227,AE197,AD243)</f>
        <v>1.893454440758253E-3</v>
      </c>
      <c r="AF271" s="25" cm="1">
        <f t="array" aca="1" ref="AF271" ca="1">MMS_PastureBeef_Methane_Equations.VEERG_4_2_1_1__1_TotalAnnualMethaneProductionFromManureManagement(AE227,AF197,AE243)</f>
        <v>2.4061714153320547E-3</v>
      </c>
      <c r="AG271" s="25" cm="1">
        <f t="array" aca="1" ref="AG271" ca="1">MMS_PastureBeef_Methane_Equations.VEERG_4_2_1_1__1_TotalAnnualMethaneProductionFromManureManagement(AF227,AG197,AF243)</f>
        <v>2.4061714153320547E-3</v>
      </c>
      <c r="AH271" s="25" cm="1">
        <f t="array" aca="1" ref="AH271" ca="1">MMS_PastureBeef_Methane_Equations.VEERG_4_2_1_1__1_TotalAnnualMethaneProductionFromManureManagement(AG227,AH197,AG243)</f>
        <v>2.4061714153320547E-3</v>
      </c>
      <c r="AI271" s="26" t="str">
        <f t="shared" si="11"/>
        <v>t CH4</v>
      </c>
      <c r="AJ271" s="26"/>
    </row>
    <row r="272" spans="23:36" x14ac:dyDescent="0.25">
      <c r="W272" s="25" t="str">
        <f>'Input - Pasture Beef'!$D$181</f>
        <v>Anaerobic lagoon</v>
      </c>
      <c r="X272" s="25" t="e">
        <f t="shared" si="13"/>
        <v>#VALUE!</v>
      </c>
      <c r="Y272" s="25" cm="1">
        <f t="array" aca="1" ref="Y272" ca="1">MMS_PastureBeef_Methane_Equations.VEERG_4_2_1_1__1_TotalAnnualMethaneProductionFromManureManagement(X228,Y198,X244)</f>
        <v>2.226625316274758E-3</v>
      </c>
      <c r="Z272" s="25" cm="1">
        <f t="array" aca="1" ref="Z272" ca="1">MMS_PastureBeef_Methane_Equations.VEERG_4_2_1_1__1_TotalAnnualMethaneProductionFromManureManagement(Y228,Z198,Y244)</f>
        <v>3.144812259247726E-3</v>
      </c>
      <c r="AA272" s="25" cm="1">
        <f t="array" aca="1" ref="AA272" ca="1">MMS_PastureBeef_Methane_Equations.VEERG_4_2_1_1__1_TotalAnnualMethaneProductionFromManureManagement(Z228,AA198,Z244)</f>
        <v>1.697133209828051E-3</v>
      </c>
      <c r="AB272" s="25" cm="1">
        <f t="array" aca="1" ref="AB272" ca="1">MMS_PastureBeef_Methane_Equations.VEERG_4_2_1_1__1_TotalAnnualMethaneProductionFromManureManagement(AA228,AB198,AA244)</f>
        <v>2.227184911421412E-3</v>
      </c>
      <c r="AC272" s="25" cm="1">
        <f t="array" aca="1" ref="AC272" ca="1">MMS_PastureBeef_Methane_Equations.VEERG_4_2_1_1__1_TotalAnnualMethaneProductionFromManureManagement(AB228,AC198,AB244)</f>
        <v>2.4731943158883534E-3</v>
      </c>
      <c r="AD272" s="25" cm="1">
        <f t="array" aca="1" ref="AD272" ca="1">MMS_PastureBeef_Methane_Equations.VEERG_4_2_1_1__1_TotalAnnualMethaneProductionFromManureManagement(AC228,AD198,AC244)</f>
        <v>2.4731943158883534E-3</v>
      </c>
      <c r="AE272" s="25" cm="1">
        <f t="array" aca="1" ref="AE272" ca="1">MMS_PastureBeef_Methane_Equations.VEERG_4_2_1_1__1_TotalAnnualMethaneProductionFromManureManagement(AD228,AE198,AD244)</f>
        <v>1.956569588783528E-3</v>
      </c>
      <c r="AF272" s="25" cm="1">
        <f t="array" aca="1" ref="AF272" ca="1">MMS_PastureBeef_Methane_Equations.VEERG_4_2_1_1__1_TotalAnnualMethaneProductionFromManureManagement(AE228,AF198,AE244)</f>
        <v>2.4863771291764565E-3</v>
      </c>
      <c r="AG272" s="25" cm="1">
        <f t="array" aca="1" ref="AG272" ca="1">MMS_PastureBeef_Methane_Equations.VEERG_4_2_1_1__1_TotalAnnualMethaneProductionFromManureManagement(AF228,AG198,AF244)</f>
        <v>2.4863771291764565E-3</v>
      </c>
      <c r="AH272" s="25" cm="1">
        <f t="array" aca="1" ref="AH272" ca="1">MMS_PastureBeef_Methane_Equations.VEERG_4_2_1_1__1_TotalAnnualMethaneProductionFromManureManagement(AG228,AH198,AG244)</f>
        <v>2.4863771291764565E-3</v>
      </c>
      <c r="AI272" s="26" t="str">
        <f t="shared" si="11"/>
        <v>t CH4</v>
      </c>
      <c r="AJ272" s="26"/>
    </row>
    <row r="273" spans="23:36" x14ac:dyDescent="0.25">
      <c r="W273" s="25" t="str">
        <f>'Input - Pasture Beef'!$D$181</f>
        <v>Anaerobic lagoon</v>
      </c>
      <c r="X273" s="25" t="e">
        <f t="shared" si="13"/>
        <v>#VALUE!</v>
      </c>
      <c r="Y273" s="25" cm="1">
        <f t="array" aca="1" ref="Y273" ca="1">MMS_PastureBeef_Methane_Equations.VEERG_4_2_1_1__1_TotalAnnualMethaneProductionFromManureManagement(X229,Y199,X245)</f>
        <v>2.1547986931691209E-3</v>
      </c>
      <c r="Z273" s="25" cm="1">
        <f t="array" aca="1" ref="Z273" ca="1">MMS_PastureBeef_Methane_Equations.VEERG_4_2_1_1__1_TotalAnnualMethaneProductionFromManureManagement(Y229,Z199,Y245)</f>
        <v>3.0433667024977996E-3</v>
      </c>
      <c r="AA273" s="25" cm="1">
        <f t="array" aca="1" ref="AA273" ca="1">MMS_PastureBeef_Methane_Equations.VEERG_4_2_1_1__1_TotalAnnualMethaneProductionFromManureManagement(Z229,AA199,Z245)</f>
        <v>1.6423869772529524E-3</v>
      </c>
      <c r="AB273" s="25" cm="1">
        <f t="array" aca="1" ref="AB273" ca="1">MMS_PastureBeef_Methane_Equations.VEERG_4_2_1_1__1_TotalAnnualMethaneProductionFromManureManagement(AA229,AB199,AA245)</f>
        <v>2.1553402368594309E-3</v>
      </c>
      <c r="AC273" s="25" cm="1">
        <f t="array" aca="1" ref="AC273" ca="1">MMS_PastureBeef_Methane_Equations.VEERG_4_2_1_1__1_TotalAnnualMethaneProductionFromManureManagement(AB229,AC199,AB245)</f>
        <v>2.3934138540855029E-3</v>
      </c>
      <c r="AD273" s="25" cm="1">
        <f t="array" aca="1" ref="AD273" ca="1">MMS_PastureBeef_Methane_Equations.VEERG_4_2_1_1__1_TotalAnnualMethaneProductionFromManureManagement(AC229,AD199,AC245)</f>
        <v>2.3934138540855029E-3</v>
      </c>
      <c r="AE273" s="25" cm="1">
        <f t="array" aca="1" ref="AE273" ca="1">MMS_PastureBeef_Methane_Equations.VEERG_4_2_1_1__1_TotalAnnualMethaneProductionFromManureManagement(AD229,AE199,AD245)</f>
        <v>1.893454440758253E-3</v>
      </c>
      <c r="AF273" s="25" cm="1">
        <f t="array" aca="1" ref="AF273" ca="1">MMS_PastureBeef_Methane_Equations.VEERG_4_2_1_1__1_TotalAnnualMethaneProductionFromManureManagement(AE229,AF199,AE245)</f>
        <v>2.4061714153320547E-3</v>
      </c>
      <c r="AG273" s="25" cm="1">
        <f t="array" aca="1" ref="AG273" ca="1">MMS_PastureBeef_Methane_Equations.VEERG_4_2_1_1__1_TotalAnnualMethaneProductionFromManureManagement(AF229,AG199,AF245)</f>
        <v>2.4061714153320547E-3</v>
      </c>
      <c r="AH273" s="25" cm="1">
        <f t="array" aca="1" ref="AH273" ca="1">MMS_PastureBeef_Methane_Equations.VEERG_4_2_1_1__1_TotalAnnualMethaneProductionFromManureManagement(AG229,AH199,AG245)</f>
        <v>2.4061714153320547E-3</v>
      </c>
      <c r="AI273" s="26" t="str">
        <f t="shared" si="11"/>
        <v>t CH4</v>
      </c>
      <c r="AJ273" s="26"/>
    </row>
    <row r="274" spans="23:36" x14ac:dyDescent="0.25">
      <c r="W274" s="25" t="str">
        <f>'Input - Pasture Beef'!$D$181</f>
        <v>Anaerobic lagoon</v>
      </c>
      <c r="X274" s="25" t="e">
        <f t="shared" si="13"/>
        <v>#VALUE!</v>
      </c>
      <c r="Y274" s="25" cm="1">
        <f t="array" aca="1" ref="Y274" ca="1">MMS_PastureBeef_Methane_Equations.VEERG_4_2_1_1__1_TotalAnnualMethaneProductionFromManureManagement(X230,Y200,X246)</f>
        <v>3.5175818308880382E-3</v>
      </c>
      <c r="Z274" s="25" cm="1">
        <f t="array" aca="1" ref="Z274" ca="1">MMS_PastureBeef_Methane_Equations.VEERG_4_2_1_1__1_TotalAnnualMethaneProductionFromManureManagement(Y230,Z200,Y246)</f>
        <v>4.6541085272883585E-3</v>
      </c>
      <c r="AA274" s="25" cm="1">
        <f t="array" aca="1" ref="AA274" ca="1">MMS_PastureBeef_Methane_Equations.VEERG_4_2_1_1__1_TotalAnnualMethaneProductionFromManureManagement(Z230,AA200,Z246)</f>
        <v>2.9582068844132702E-3</v>
      </c>
      <c r="AB274" s="25" cm="1">
        <f t="array" aca="1" ref="AB274" ca="1">MMS_PastureBeef_Methane_Equations.VEERG_4_2_1_1__1_TotalAnnualMethaneProductionFromManureManagement(AA230,AB200,AA246)</f>
        <v>3.8737749274065209E-3</v>
      </c>
      <c r="AC274" s="25" cm="1">
        <f t="array" aca="1" ref="AC274" ca="1">MMS_PastureBeef_Methane_Equations.VEERG_4_2_1_1__1_TotalAnnualMethaneProductionFromManureManagement(AB230,AC200,AB246)</f>
        <v>3.8355111671606709E-3</v>
      </c>
      <c r="AD274" s="25" cm="1">
        <f t="array" aca="1" ref="AD274" ca="1">MMS_PastureBeef_Methane_Equations.VEERG_4_2_1_1__1_TotalAnnualMethaneProductionFromManureManagement(AC230,AD200,AC246)</f>
        <v>3.8355111671606709E-3</v>
      </c>
      <c r="AE274" s="25" cm="1">
        <f t="array" aca="1" ref="AE274" ca="1">MMS_PastureBeef_Methane_Equations.VEERG_4_2_1_1__1_TotalAnnualMethaneProductionFromManureManagement(AD230,AE200,AD246)</f>
        <v>3.242345080520184E-3</v>
      </c>
      <c r="AF274" s="25" cm="1">
        <f t="array" aca="1" ref="AF274" ca="1">MMS_PastureBeef_Methane_Equations.VEERG_4_2_1_1__1_TotalAnnualMethaneProductionFromManureManagement(AE230,AF200,AE246)</f>
        <v>3.6141568817936397E-3</v>
      </c>
      <c r="AG274" s="25" cm="1">
        <f t="array" aca="1" ref="AG274" ca="1">MMS_PastureBeef_Methane_Equations.VEERG_4_2_1_1__1_TotalAnnualMethaneProductionFromManureManagement(AF230,AG200,AF246)</f>
        <v>3.6141568817936397E-3</v>
      </c>
      <c r="AH274" s="25" cm="1">
        <f t="array" aca="1" ref="AH274" ca="1">MMS_PastureBeef_Methane_Equations.VEERG_4_2_1_1__1_TotalAnnualMethaneProductionFromManureManagement(AG230,AH200,AG246)</f>
        <v>3.6141568817936397E-3</v>
      </c>
      <c r="AI274" s="26" t="str">
        <f t="shared" si="11"/>
        <v>t CH4</v>
      </c>
      <c r="AJ274" s="26"/>
    </row>
    <row r="276" spans="23:36" ht="23.25" x14ac:dyDescent="0.25">
      <c r="W276" s="119" t="s">
        <v>298</v>
      </c>
      <c r="X276" s="120">
        <f ca="1">SUM(Y251:AH274)</f>
        <v>0.87215903452741383</v>
      </c>
      <c r="Y276" s="121">
        <f ca="1">X242</f>
        <v>31</v>
      </c>
    </row>
    <row r="278" spans="23:36" x14ac:dyDescent="0.25">
      <c r="W278" s="122" t="str" cm="1">
        <f t="array" ref="W278:X279">Common_Equations.Common_ConvertCH4ToCO2e_Arguments()</f>
        <v>ECH4</v>
      </c>
      <c r="X278" s="123" t="str">
        <v>Methane emissions (t CH4)</v>
      </c>
      <c r="Y278" s="124"/>
      <c r="Z278" s="25">
        <f ca="1">X276</f>
        <v>0.87215903452741383</v>
      </c>
    </row>
    <row r="279" spans="23:36" x14ac:dyDescent="0.25">
      <c r="W279" s="122" t="str">
        <v>GWPCH4</v>
      </c>
      <c r="X279" s="123" t="str">
        <v>Global warming potential for methane (t CO2-e / t CH4)</v>
      </c>
      <c r="Y279" s="124"/>
      <c r="Z279" s="25">
        <f>Common_InputFunctions.Utility_LookupValueInTableNumber("CH4",Table_GWPData[Gas],Table_GWPData[CO2-e factor])</f>
        <v>28</v>
      </c>
    </row>
    <row r="281" spans="23:36" ht="18.75" x14ac:dyDescent="0.25">
      <c r="W281" s="118" t="s">
        <v>301</v>
      </c>
      <c r="X281" s="118" cm="1">
        <f t="array" aca="1" ref="X281" ca="1">Common_Equations.Common_ConvertN2OToCO2e(Z278,Z279)</f>
        <v>24.420452966767588</v>
      </c>
      <c r="Y281" s="125" t="str" cm="1">
        <f t="array" ref="Y281">Common_Equations.Common_ConvertN2OToCO2e_Unit()</f>
        <v>t CO2e</v>
      </c>
    </row>
  </sheetData>
  <dataValidations count="1">
    <dataValidation operator="equal" allowBlank="1" showInputMessage="1" showErrorMessage="1" sqref="Y167:AC167 E255 D154:G154 G166:J166 E121:J121 F122:J126 X206 E203 E258 X203 E141:J141 Y143:AC144 E206 F135:F136 F142:J144 F167:J167 F172:J173 X166:AC166 Y172:AC173 W154:Z154" xr:uid="{5ED05643-D643-4609-92B0-AA0911E76AEE}"/>
  </dataValidations>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F6A79-D0CC-4994-8572-A231ADA29D0E}">
  <dimension ref="A1:AI291"/>
  <sheetViews>
    <sheetView showGridLines="0" topLeftCell="P1" zoomScaleNormal="100" workbookViewId="0">
      <selection activeCell="A46" sqref="A46"/>
    </sheetView>
  </sheetViews>
  <sheetFormatPr defaultRowHeight="15.75" x14ac:dyDescent="0.25"/>
  <cols>
    <col min="1" max="1" width="30.7109375" customWidth="1"/>
    <col min="2" max="2" width="4.7109375" customWidth="1"/>
    <col min="3" max="3" width="4.7109375" style="1" customWidth="1"/>
    <col min="4" max="17" width="30.7109375" style="1" customWidth="1"/>
    <col min="18" max="18" width="4.7109375" style="1" customWidth="1"/>
    <col min="19" max="19" width="4.7109375" customWidth="1"/>
    <col min="20" max="20" width="4.7109375" style="1" customWidth="1"/>
    <col min="21" max="34" width="30.7109375" style="1" customWidth="1"/>
    <col min="35" max="35" width="4.7109375" style="1" customWidth="1"/>
  </cols>
  <sheetData>
    <row r="1" spans="1:35" s="31" customFormat="1" ht="30" customHeight="1" x14ac:dyDescent="0.35">
      <c r="A1" s="16" t="e" vm="1">
        <v>#VALUE!</v>
      </c>
      <c r="C1" s="31" t="s">
        <v>423</v>
      </c>
    </row>
    <row r="2" spans="1:35" s="3" customFormat="1" ht="20.100000000000001" customHeight="1" x14ac:dyDescent="0.25">
      <c r="A2"/>
    </row>
    <row r="3" spans="1:35" ht="20.100000000000001" customHeight="1" x14ac:dyDescent="0.25">
      <c r="A3" s="5" t="str">
        <f>HYPERLINK("#'Home'!A1", "Home")</f>
        <v>Home</v>
      </c>
      <c r="C3" s="33"/>
      <c r="D3" s="33" t="s">
        <v>149</v>
      </c>
      <c r="E3" s="33"/>
      <c r="F3" s="33"/>
      <c r="G3" s="33"/>
      <c r="H3" s="33"/>
      <c r="I3" s="33"/>
      <c r="J3" s="33"/>
      <c r="K3" s="33"/>
      <c r="L3" s="33"/>
      <c r="M3" s="33"/>
      <c r="N3" s="33"/>
      <c r="O3" s="33"/>
      <c r="P3" s="33"/>
      <c r="Q3" s="33"/>
      <c r="R3" s="33"/>
      <c r="T3" s="33"/>
      <c r="U3" s="33" t="s">
        <v>150</v>
      </c>
      <c r="V3" s="33"/>
      <c r="W3" s="33"/>
      <c r="X3" s="33"/>
      <c r="Y3" s="33"/>
      <c r="Z3" s="33"/>
      <c r="AA3" s="33"/>
      <c r="AB3" s="33"/>
      <c r="AC3" s="33"/>
      <c r="AD3" s="33"/>
      <c r="AE3" s="33"/>
      <c r="AF3" s="33"/>
      <c r="AG3" s="33"/>
      <c r="AH3" s="33"/>
      <c r="AI3" s="33"/>
    </row>
    <row r="4" spans="1:35" ht="20.100000000000001" customHeight="1" x14ac:dyDescent="0.25">
      <c r="A4" s="5" t="str">
        <f>HYPERLINK("#'Results'!A1", "Results")</f>
        <v>Results</v>
      </c>
    </row>
    <row r="5" spans="1:35" ht="20.100000000000001" customHeight="1" x14ac:dyDescent="0.25">
      <c r="D5" s="2" t="str" cm="1">
        <f t="array" ref="D5">MMS_PastureBeef_Soil_N2ODirect_Equations.VEERG_4_2_1_3__7_RelativeSize_Title()</f>
        <v>Relative size of the cattle</v>
      </c>
    </row>
    <row r="6" spans="1:35" ht="20.100000000000001" customHeight="1" x14ac:dyDescent="0.25">
      <c r="D6" s="27" t="str" cm="1">
        <f t="array" ref="D6">MMS_PastureBeef_Soil_N2ODirect_Equations.VEERG_4_2_1_3__7_RelativeSize_Source()</f>
        <v>VEERG 2026: 4.2.1.3, Equation (7)</v>
      </c>
    </row>
    <row r="7" spans="1:35" ht="20.100000000000001" customHeight="1" x14ac:dyDescent="0.25">
      <c r="A7" s="7" t="s">
        <v>0</v>
      </c>
      <c r="D7" s="105" t="s">
        <v>261</v>
      </c>
      <c r="E7" s="105" t="str" cm="1">
        <f t="array" aca="1" ref="E7" ca="1">Common_InputFunctions.Utility_DisplayFunctionName(E33)</f>
        <v>=MMS_PastureBeef_Soil_N2ODirect_Equations.VEERG_4_2_1_3__7_RelativeSize</v>
      </c>
    </row>
    <row r="8" spans="1:35" ht="20.100000000000001" customHeight="1" x14ac:dyDescent="0.25">
      <c r="A8" s="5" t="str">
        <f>HYPERLINK("#'Input - Enterprise'!A1", "Enterprise")</f>
        <v>Enterprise</v>
      </c>
    </row>
    <row r="9" spans="1:35" ht="20.100000000000001" customHeight="1" x14ac:dyDescent="0.25">
      <c r="A9" s="5" t="str">
        <f>HYPERLINK("#'Input - Site'!A1", "Site")</f>
        <v>Site</v>
      </c>
    </row>
    <row r="10" spans="1:35" ht="20.100000000000001" customHeight="1" x14ac:dyDescent="0.25">
      <c r="A10" s="5" t="str">
        <f>HYPERLINK("#'Input - Pasture Beef'!A1", "Pasture Beef")</f>
        <v>Pasture Beef</v>
      </c>
      <c r="D10" s="88" t="s">
        <v>263</v>
      </c>
      <c r="E10" s="1" t="str" cm="1">
        <f t="array" ref="E10">MMS_PastureBeef_Soil_N2ODirect_Equations.VEERG_4_2_1_3__7_RelativeSize_Variable()</f>
        <v>Z_jkl</v>
      </c>
    </row>
    <row r="11" spans="1:35" ht="20.100000000000001" customHeight="1" x14ac:dyDescent="0.25">
      <c r="A11" s="5" t="str">
        <f>HYPERLINK("#'Input - Pasture Beef (Enteric)'!A1", "Pasture Beef (Enteric)")</f>
        <v>Pasture Beef (Enteric)</v>
      </c>
      <c r="D11" s="88" t="s">
        <v>130</v>
      </c>
      <c r="E11" s="15" t="str" cm="1">
        <f t="array" ref="E11">MMS_PastureBeef_Soil_N2ODirect_Equations.VEERG_4_2_1_3__7_RelativeSize_Unit()</f>
        <v>ratio</v>
      </c>
    </row>
    <row r="12" spans="1:35" ht="20.100000000000001" customHeight="1" x14ac:dyDescent="0.25">
      <c r="A12" s="5" t="str">
        <f>HYPERLINK("#'Input - Pasture'!A1", "Pasture")</f>
        <v>Pasture</v>
      </c>
    </row>
    <row r="13" spans="1:35" ht="20.100000000000001" customHeight="1" x14ac:dyDescent="0.25">
      <c r="A13" s="5" t="str">
        <f>HYPERLINK("#'Input - Fertiliser'!A1", "Fertiliser")</f>
        <v>Fertiliser</v>
      </c>
      <c r="D13" s="107" t="str" cm="1">
        <f t="array" ref="D13:E15">_xlfn.CHOOSECOLS(MMS_PastureBeef_Soil_N2ODirect_Equations.VEERG_4_2_1_3__7_RelativeSize_Arguments(),1,2)</f>
        <v>W_jkl</v>
      </c>
      <c r="E13" s="107" t="str">
        <v>liveweight (kg)</v>
      </c>
      <c r="F13" s="107" t="str" cm="1">
        <f t="array" ref="F13:G15">_xlfn.CHOOSECOLS(MMS_PastureBeef_Soil_N2ODirect_Equations.VEERG_4_2_1_3__7_RelativeSize_Arguments(),3,4)</f>
        <v>kg</v>
      </c>
      <c r="G13" s="111" t="str">
        <v>Input</v>
      </c>
      <c r="H13" s="113" t="str" cm="1">
        <f t="array" aca="1" ref="H13" ca="1">HYPERLINK(Common_InputFunctions.Utility_SourceHyperlink(D17), D17)</f>
        <v>M1_Table_W_j_k_l</v>
      </c>
    </row>
    <row r="14" spans="1:35" ht="20.100000000000001" customHeight="1" x14ac:dyDescent="0.25">
      <c r="A14" s="5" t="str">
        <f>HYPERLINK("#'Input - Fuel'!A1", "Fuel")</f>
        <v>Fuel</v>
      </c>
      <c r="D14" s="107" t="str">
        <v>SRW_k</v>
      </c>
      <c r="E14" s="107" t="str">
        <v>standard reference weight (kg)</v>
      </c>
      <c r="F14" s="107" t="str">
        <v>kg</v>
      </c>
      <c r="G14" s="112" t="str">
        <v>Constant</v>
      </c>
      <c r="H14" s="113" t="str" cm="1">
        <f t="array" aca="1" ref="H14" ca="1">HYPERLINK(Common_InputFunctions.Utility_SourceHyperlink(D25), D25)</f>
        <v>Table_SRW_k</v>
      </c>
    </row>
    <row r="15" spans="1:35" ht="20.100000000000001" customHeight="1" x14ac:dyDescent="0.25">
      <c r="A15" s="5" t="str">
        <f>HYPERLINK("#'Input - Electricity'!A1", "Electricity")</f>
        <v>Electricity</v>
      </c>
      <c r="D15" s="107" t="str">
        <v>i</v>
      </c>
      <c r="E15" s="107" t="str">
        <v>state</v>
      </c>
      <c r="F15" s="107" t="str">
        <v/>
      </c>
      <c r="G15" s="111" t="str">
        <v>Input</v>
      </c>
      <c r="H15" s="107" t="str">
        <f>'Input - Pasture Beef'!$E$7</f>
        <v>Western Australia</v>
      </c>
    </row>
    <row r="16" spans="1:35" ht="20.100000000000001" customHeight="1" x14ac:dyDescent="0.25"/>
    <row r="17" spans="1:34" ht="20.100000000000001" customHeight="1" x14ac:dyDescent="0.25">
      <c r="D17" s="114" t="s">
        <v>276</v>
      </c>
      <c r="U17" s="114" t="s">
        <v>424</v>
      </c>
    </row>
    <row r="18" spans="1:34" ht="20.100000000000001" customHeight="1" x14ac:dyDescent="0.25">
      <c r="A18" s="6" t="s">
        <v>2</v>
      </c>
      <c r="D18" s="115" t="s">
        <v>277</v>
      </c>
      <c r="U18" s="115" t="s">
        <v>275</v>
      </c>
    </row>
    <row r="19" spans="1:34" ht="20.100000000000001" customHeight="1" x14ac:dyDescent="0.25">
      <c r="A19" s="5" t="str">
        <f>HYPERLINK("#'3.2.1.1-2 Enteric Methane'!A1", "3.2.1.1-2 Enteric methane")</f>
        <v>3.2.1.1-2 Enteric methane</v>
      </c>
      <c r="D19" s="116" t="s">
        <v>78</v>
      </c>
      <c r="E19" s="117" t="s">
        <v>193</v>
      </c>
      <c r="F19" s="117" t="s">
        <v>194</v>
      </c>
      <c r="G19" s="117" t="s">
        <v>195</v>
      </c>
      <c r="H19" s="117" t="s">
        <v>196</v>
      </c>
      <c r="I19" s="117" t="s">
        <v>197</v>
      </c>
      <c r="J19" s="117" t="s">
        <v>198</v>
      </c>
      <c r="K19" s="117" t="s">
        <v>199</v>
      </c>
      <c r="L19" s="117" t="s">
        <v>200</v>
      </c>
      <c r="M19" s="117" t="s">
        <v>201</v>
      </c>
      <c r="N19" s="117" t="s">
        <v>202</v>
      </c>
      <c r="U19" s="116" t="s">
        <v>77</v>
      </c>
      <c r="V19" s="117" t="s">
        <v>193</v>
      </c>
      <c r="W19" s="117" t="s">
        <v>194</v>
      </c>
      <c r="X19" s="117" t="s">
        <v>195</v>
      </c>
      <c r="Y19" s="117" t="s">
        <v>196</v>
      </c>
      <c r="Z19" s="117" t="s">
        <v>197</v>
      </c>
      <c r="AA19" s="117" t="s">
        <v>198</v>
      </c>
      <c r="AB19" s="117" t="s">
        <v>199</v>
      </c>
      <c r="AC19" s="117" t="s">
        <v>200</v>
      </c>
      <c r="AD19" s="117" t="s">
        <v>201</v>
      </c>
      <c r="AE19" s="117" t="s">
        <v>202</v>
      </c>
      <c r="AF19" s="26"/>
      <c r="AG19" s="26"/>
      <c r="AH19" s="26"/>
    </row>
    <row r="20" spans="1:34" ht="20.100000000000001" customHeight="1" x14ac:dyDescent="0.25">
      <c r="A20" s="5" t="str">
        <f>HYPERLINK("#'4.2.1.1-2 Methane'!A1", "4.2.1.1-2 Manure methane")</f>
        <v>4.2.1.1-2 Manure methane</v>
      </c>
      <c r="D20" s="25" t="str">
        <f>INDEX(X_Table_PastureBeef_Liveweight_Method1,2,1)</f>
        <v>Spring</v>
      </c>
      <c r="E20" s="25" cm="1">
        <f t="array" aca="1" ref="E20:N23" ca="1">OFFSET(X_Table_PastureBeef_Liveweight_Method1, 1,1, 4,10)</f>
        <v>340</v>
      </c>
      <c r="F20" s="25">
        <f ca="1"/>
        <v>800</v>
      </c>
      <c r="G20" s="25">
        <f ca="1"/>
        <v>260</v>
      </c>
      <c r="H20" s="25">
        <f ca="1"/>
        <v>420</v>
      </c>
      <c r="I20" s="25">
        <f ca="1"/>
        <v>550</v>
      </c>
      <c r="J20" s="25">
        <f ca="1"/>
        <v>550</v>
      </c>
      <c r="K20" s="25">
        <f ca="1"/>
        <v>300</v>
      </c>
      <c r="L20" s="25">
        <f ca="1"/>
        <v>480</v>
      </c>
      <c r="M20" s="25">
        <f ca="1"/>
        <v>480</v>
      </c>
      <c r="N20" s="25">
        <f ca="1"/>
        <v>480</v>
      </c>
      <c r="O20" s="26" t="s">
        <v>212</v>
      </c>
      <c r="U20" s="25" t="str">
        <f>TEXT('Input - Site'!$E$12, "mmmm yyyy")</f>
        <v>NO - Not in leaching zone</v>
      </c>
      <c r="V20" s="25" cm="1">
        <f t="array" aca="1" ref="V20:AE31" ca="1">OFFSET(X_Table_PastureBeef_Liveweight_Method2, 1,1, 12,10)</f>
        <v>380</v>
      </c>
      <c r="W20" s="25">
        <f ca="1"/>
        <v>780</v>
      </c>
      <c r="X20" s="25">
        <f ca="1"/>
        <v>300</v>
      </c>
      <c r="Y20" s="25">
        <f ca="1"/>
        <v>450</v>
      </c>
      <c r="Z20" s="25">
        <f ca="1"/>
        <v>530</v>
      </c>
      <c r="AA20" s="25">
        <f ca="1"/>
        <v>530</v>
      </c>
      <c r="AB20" s="25">
        <f ca="1"/>
        <v>340</v>
      </c>
      <c r="AC20" s="25">
        <f ca="1"/>
        <v>470</v>
      </c>
      <c r="AD20" s="25">
        <f ca="1"/>
        <v>470</v>
      </c>
      <c r="AE20" s="25">
        <f ca="1"/>
        <v>470</v>
      </c>
      <c r="AF20" s="26" t="s">
        <v>212</v>
      </c>
      <c r="AG20" s="26"/>
      <c r="AH20" s="26"/>
    </row>
    <row r="21" spans="1:34" ht="20.100000000000001" customHeight="1" x14ac:dyDescent="0.25">
      <c r="A21" s="106" t="str">
        <f>HYPERLINK("#'4.2.1.3-4 Soil direct N20'!A1", "4.2.1.3-4 Soil direct N2O")</f>
        <v>4.2.1.3-4 Soil direct N2O</v>
      </c>
      <c r="D21" s="25" t="str">
        <f>INDEX(X_Table_PastureBeef_Liveweight_Method1,3,1)</f>
        <v>Summer</v>
      </c>
      <c r="E21" s="25">
        <f ca="1"/>
        <v>380</v>
      </c>
      <c r="F21" s="25">
        <f ca="1"/>
        <v>780</v>
      </c>
      <c r="G21" s="25">
        <f ca="1"/>
        <v>300</v>
      </c>
      <c r="H21" s="25">
        <f ca="1"/>
        <v>450</v>
      </c>
      <c r="I21" s="25">
        <f ca="1"/>
        <v>530</v>
      </c>
      <c r="J21" s="25">
        <f ca="1"/>
        <v>530</v>
      </c>
      <c r="K21" s="25">
        <f ca="1"/>
        <v>340</v>
      </c>
      <c r="L21" s="25">
        <f ca="1"/>
        <v>470</v>
      </c>
      <c r="M21" s="25">
        <f ca="1"/>
        <v>470</v>
      </c>
      <c r="N21" s="25">
        <f ca="1"/>
        <v>470</v>
      </c>
      <c r="O21" s="26" t="s">
        <v>212</v>
      </c>
      <c r="U21" s="25" t="e">
        <f>TEXT(EDATE('Input - Site'!$E$12,1), "mmmm yyyy")</f>
        <v>#VALUE!</v>
      </c>
      <c r="V21" s="25">
        <f ca="1"/>
        <v>380</v>
      </c>
      <c r="W21" s="25">
        <f ca="1"/>
        <v>780</v>
      </c>
      <c r="X21" s="25">
        <f ca="1"/>
        <v>300</v>
      </c>
      <c r="Y21" s="25">
        <f ca="1"/>
        <v>450</v>
      </c>
      <c r="Z21" s="25">
        <f ca="1"/>
        <v>530</v>
      </c>
      <c r="AA21" s="25">
        <f ca="1"/>
        <v>530</v>
      </c>
      <c r="AB21" s="25">
        <f ca="1"/>
        <v>340</v>
      </c>
      <c r="AC21" s="25">
        <f ca="1"/>
        <v>470</v>
      </c>
      <c r="AD21" s="25">
        <f ca="1"/>
        <v>470</v>
      </c>
      <c r="AE21" s="25">
        <f ca="1"/>
        <v>470</v>
      </c>
      <c r="AF21" s="26" t="s">
        <v>212</v>
      </c>
      <c r="AG21" s="26"/>
      <c r="AH21" s="26"/>
    </row>
    <row r="22" spans="1:34" ht="20.100000000000001" customHeight="1" x14ac:dyDescent="0.25">
      <c r="A22" s="5" t="str">
        <f>HYPERLINK("#'4.2.1.5-6 Soil Atmos Dep'!A1", "4.2.1.5-6 Soil atm. deposition")</f>
        <v>4.2.1.5-6 Soil atm. deposition</v>
      </c>
      <c r="D22" s="25" t="str">
        <f>INDEX(X_Table_PastureBeef_Liveweight_Method1,4,1)</f>
        <v>Autumn</v>
      </c>
      <c r="E22" s="25">
        <f ca="1"/>
        <v>100</v>
      </c>
      <c r="F22" s="25">
        <f ca="1"/>
        <v>680</v>
      </c>
      <c r="G22" s="25">
        <f ca="1"/>
        <v>80</v>
      </c>
      <c r="H22" s="25">
        <f ca="1"/>
        <v>320</v>
      </c>
      <c r="I22" s="25">
        <f ca="1"/>
        <v>480</v>
      </c>
      <c r="J22" s="25">
        <f ca="1"/>
        <v>480</v>
      </c>
      <c r="K22" s="25">
        <f ca="1"/>
        <v>100</v>
      </c>
      <c r="L22" s="25">
        <f ca="1"/>
        <v>340</v>
      </c>
      <c r="M22" s="25">
        <f ca="1"/>
        <v>340</v>
      </c>
      <c r="N22" s="25">
        <f ca="1"/>
        <v>340</v>
      </c>
      <c r="O22" s="26" t="s">
        <v>212</v>
      </c>
      <c r="U22" s="25" t="e">
        <f>TEXT(EDATE('Input - Site'!$E$12,2), "mmmm yyyy")</f>
        <v>#VALUE!</v>
      </c>
      <c r="V22" s="25">
        <f ca="1"/>
        <v>100</v>
      </c>
      <c r="W22" s="25">
        <f ca="1"/>
        <v>680</v>
      </c>
      <c r="X22" s="25">
        <f ca="1"/>
        <v>80</v>
      </c>
      <c r="Y22" s="25">
        <f ca="1"/>
        <v>320</v>
      </c>
      <c r="Z22" s="25">
        <f ca="1"/>
        <v>480</v>
      </c>
      <c r="AA22" s="25">
        <f ca="1"/>
        <v>480</v>
      </c>
      <c r="AB22" s="25">
        <f ca="1"/>
        <v>100</v>
      </c>
      <c r="AC22" s="25">
        <f ca="1"/>
        <v>340</v>
      </c>
      <c r="AD22" s="25">
        <f ca="1"/>
        <v>340</v>
      </c>
      <c r="AE22" s="25">
        <f ca="1"/>
        <v>340</v>
      </c>
      <c r="AF22" s="26" t="s">
        <v>212</v>
      </c>
      <c r="AG22" s="26"/>
      <c r="AH22" s="26"/>
    </row>
    <row r="23" spans="1:34" ht="20.100000000000001" customHeight="1" x14ac:dyDescent="0.25">
      <c r="A23" s="5" t="str">
        <f>HYPERLINK("#'4.2.1.7-8 Soil leach runoff'!A1", "4.2.1.7-8 Soil leach &amp; runoff")</f>
        <v>4.2.1.7-8 Soil leach &amp; runoff</v>
      </c>
      <c r="D23" s="25" t="str">
        <f>INDEX(X_Table_PastureBeef_Liveweight_Method1,5,1)</f>
        <v>Winter</v>
      </c>
      <c r="E23" s="25">
        <f ca="1"/>
        <v>190</v>
      </c>
      <c r="F23" s="25">
        <f ca="1"/>
        <v>700</v>
      </c>
      <c r="G23" s="25">
        <f ca="1"/>
        <v>150</v>
      </c>
      <c r="H23" s="25">
        <f ca="1"/>
        <v>330</v>
      </c>
      <c r="I23" s="25">
        <f ca="1"/>
        <v>490</v>
      </c>
      <c r="J23" s="25">
        <f ca="1"/>
        <v>490</v>
      </c>
      <c r="K23" s="25">
        <f ca="1"/>
        <v>170</v>
      </c>
      <c r="L23" s="25">
        <f ca="1"/>
        <v>360</v>
      </c>
      <c r="M23" s="25">
        <f ca="1"/>
        <v>360</v>
      </c>
      <c r="N23" s="25">
        <f ca="1"/>
        <v>360</v>
      </c>
      <c r="O23" s="26" t="s">
        <v>212</v>
      </c>
      <c r="U23" s="25" t="e">
        <f>TEXT(EDATE('Input - Site'!$E$12,3), "mmmm yyyy")</f>
        <v>#VALUE!</v>
      </c>
      <c r="V23" s="25">
        <f ca="1"/>
        <v>100</v>
      </c>
      <c r="W23" s="25">
        <f ca="1"/>
        <v>680</v>
      </c>
      <c r="X23" s="25">
        <f ca="1"/>
        <v>80</v>
      </c>
      <c r="Y23" s="25">
        <f ca="1"/>
        <v>320</v>
      </c>
      <c r="Z23" s="25">
        <f ca="1"/>
        <v>480</v>
      </c>
      <c r="AA23" s="25">
        <f ca="1"/>
        <v>480</v>
      </c>
      <c r="AB23" s="25">
        <f ca="1"/>
        <v>100</v>
      </c>
      <c r="AC23" s="25">
        <f ca="1"/>
        <v>340</v>
      </c>
      <c r="AD23" s="25">
        <f ca="1"/>
        <v>340</v>
      </c>
      <c r="AE23" s="25">
        <f ca="1"/>
        <v>340</v>
      </c>
      <c r="AF23" s="26" t="s">
        <v>212</v>
      </c>
      <c r="AG23" s="26"/>
      <c r="AH23" s="26"/>
    </row>
    <row r="24" spans="1:34" ht="20.100000000000001" customHeight="1" x14ac:dyDescent="0.25">
      <c r="A24" s="5" t="str">
        <f>HYPERLINK("#'5.1.1.1-2 Inorganic fert N2O'!A1", "5.1.1.1-2 Inorganic fert N2O")</f>
        <v>5.1.1.1-2 Inorganic fert N2O</v>
      </c>
      <c r="U24" s="25" t="e">
        <f>TEXT(EDATE('Input - Site'!$E$12,4), "mmmm yyyy")</f>
        <v>#VALUE!</v>
      </c>
      <c r="V24" s="25">
        <f ca="1"/>
        <v>100</v>
      </c>
      <c r="W24" s="25">
        <f ca="1"/>
        <v>680</v>
      </c>
      <c r="X24" s="25">
        <f ca="1"/>
        <v>80</v>
      </c>
      <c r="Y24" s="25">
        <f ca="1"/>
        <v>320</v>
      </c>
      <c r="Z24" s="25">
        <f ca="1"/>
        <v>480</v>
      </c>
      <c r="AA24" s="25">
        <f ca="1"/>
        <v>480</v>
      </c>
      <c r="AB24" s="25">
        <f ca="1"/>
        <v>100</v>
      </c>
      <c r="AC24" s="25">
        <f ca="1"/>
        <v>340</v>
      </c>
      <c r="AD24" s="25">
        <f ca="1"/>
        <v>340</v>
      </c>
      <c r="AE24" s="25">
        <f ca="1"/>
        <v>340</v>
      </c>
      <c r="AF24" s="26" t="s">
        <v>212</v>
      </c>
      <c r="AG24" s="26"/>
      <c r="AH24" s="26"/>
    </row>
    <row r="25" spans="1:34" ht="20.100000000000001" customHeight="1" x14ac:dyDescent="0.25">
      <c r="A25" s="5" t="str">
        <f>HYPERLINK("#'5.1.1.3-4 Inorganic fert CO2'!A1", "5.1.1.3-4 Inorganic fert CO2")</f>
        <v>5.1.1.3-4 Inorganic fert CO2</v>
      </c>
      <c r="D25" s="114" t="s">
        <v>425</v>
      </c>
      <c r="U25" s="25" t="e">
        <f>TEXT(EDATE('Input - Site'!$E$12,5), "mmmm yyyy")</f>
        <v>#VALUE!</v>
      </c>
      <c r="V25" s="25">
        <f ca="1"/>
        <v>190</v>
      </c>
      <c r="W25" s="25">
        <f ca="1"/>
        <v>700</v>
      </c>
      <c r="X25" s="25">
        <f ca="1"/>
        <v>150</v>
      </c>
      <c r="Y25" s="25">
        <f ca="1"/>
        <v>330</v>
      </c>
      <c r="Z25" s="25">
        <f ca="1"/>
        <v>490</v>
      </c>
      <c r="AA25" s="25">
        <f ca="1"/>
        <v>490</v>
      </c>
      <c r="AB25" s="25">
        <f ca="1"/>
        <v>170</v>
      </c>
      <c r="AC25" s="25">
        <f ca="1"/>
        <v>360</v>
      </c>
      <c r="AD25" s="25">
        <f ca="1"/>
        <v>360</v>
      </c>
      <c r="AE25" s="25">
        <f ca="1"/>
        <v>360</v>
      </c>
      <c r="AF25" s="26" t="s">
        <v>212</v>
      </c>
      <c r="AG25" s="26"/>
      <c r="AH25" s="26"/>
    </row>
    <row r="26" spans="1:34" ht="20.100000000000001" customHeight="1" x14ac:dyDescent="0.25">
      <c r="A26" s="5" t="str">
        <f>HYPERLINK("#'5.2.1.1-2 Organic Fert N2O'!A1", "5.2.1.1-2 Organic fert N2O")</f>
        <v>5.2.1.1-2 Organic fert N2O</v>
      </c>
      <c r="D26" s="115" t="s">
        <v>426</v>
      </c>
      <c r="U26" s="25" t="e">
        <f>TEXT(EDATE('Input - Site'!$E$12,6), "mmmm yyyy")</f>
        <v>#VALUE!</v>
      </c>
      <c r="V26" s="25">
        <f ca="1"/>
        <v>190</v>
      </c>
      <c r="W26" s="25">
        <f ca="1"/>
        <v>700</v>
      </c>
      <c r="X26" s="25">
        <f ca="1"/>
        <v>150</v>
      </c>
      <c r="Y26" s="25">
        <f ca="1"/>
        <v>330</v>
      </c>
      <c r="Z26" s="25">
        <f ca="1"/>
        <v>490</v>
      </c>
      <c r="AA26" s="25">
        <f ca="1"/>
        <v>490</v>
      </c>
      <c r="AB26" s="25">
        <f ca="1"/>
        <v>170</v>
      </c>
      <c r="AC26" s="25">
        <f ca="1"/>
        <v>360</v>
      </c>
      <c r="AD26" s="25">
        <f ca="1"/>
        <v>360</v>
      </c>
      <c r="AE26" s="25">
        <f ca="1"/>
        <v>360</v>
      </c>
      <c r="AF26" s="26" t="s">
        <v>212</v>
      </c>
      <c r="AG26" s="26"/>
      <c r="AH26" s="26"/>
    </row>
    <row r="27" spans="1:34" ht="20.100000000000001" customHeight="1" x14ac:dyDescent="0.25">
      <c r="A27" s="5" t="str">
        <f>HYPERLINK("#'5.3.1.1-2 Lime CO2'!A1", "5.3.1.1-2 Lime CO2")</f>
        <v>5.3.1.1-2 Lime CO2</v>
      </c>
      <c r="D27" s="116" t="s">
        <v>193</v>
      </c>
      <c r="E27" s="116" t="s">
        <v>194</v>
      </c>
      <c r="F27" s="116" t="s">
        <v>195</v>
      </c>
      <c r="G27" s="116" t="s">
        <v>196</v>
      </c>
      <c r="H27" s="116" t="s">
        <v>197</v>
      </c>
      <c r="I27" s="116" t="s">
        <v>198</v>
      </c>
      <c r="J27" s="116" t="s">
        <v>199</v>
      </c>
      <c r="K27" s="116" t="s">
        <v>200</v>
      </c>
      <c r="L27" s="116" t="s">
        <v>201</v>
      </c>
      <c r="M27" s="116" t="s">
        <v>202</v>
      </c>
      <c r="U27" s="25" t="e">
        <f>TEXT(EDATE('Input - Site'!$E$12,7), "mmmm yyyy")</f>
        <v>#VALUE!</v>
      </c>
      <c r="V27" s="25">
        <f ca="1"/>
        <v>190</v>
      </c>
      <c r="W27" s="25">
        <f ca="1"/>
        <v>700</v>
      </c>
      <c r="X27" s="25">
        <f ca="1"/>
        <v>150</v>
      </c>
      <c r="Y27" s="25">
        <f ca="1"/>
        <v>330</v>
      </c>
      <c r="Z27" s="25">
        <f ca="1"/>
        <v>490</v>
      </c>
      <c r="AA27" s="25">
        <f ca="1"/>
        <v>490</v>
      </c>
      <c r="AB27" s="25">
        <f ca="1"/>
        <v>170</v>
      </c>
      <c r="AC27" s="25">
        <f ca="1"/>
        <v>360</v>
      </c>
      <c r="AD27" s="25">
        <f ca="1"/>
        <v>360</v>
      </c>
      <c r="AE27" s="25">
        <f ca="1"/>
        <v>360</v>
      </c>
      <c r="AF27" s="26" t="s">
        <v>212</v>
      </c>
      <c r="AG27" s="26"/>
      <c r="AH27" s="26"/>
    </row>
    <row r="28" spans="1:34" ht="20.100000000000001" customHeight="1" x14ac:dyDescent="0.25">
      <c r="A28" s="5" t="str">
        <f>HYPERLINK("#'5.4.1.1-4 Atmos deposition'!A1", "5.4.1.1-4 Atmos. deposition")</f>
        <v>5.4.1.1-4 Atmos. deposition</v>
      </c>
      <c r="D28" s="25">
        <f>Common_InputFunctions.Utility_LookupValueInTableOneColumnAndHeader(Common_InputFunctions.Utility_ConvertStateCommonNameToAbbreviation($H$15,Table_AustralianStates[Common Name],Table_AustralianStates[Abbreviation]),D27,Table_SourceData_PastureBeef_StandardReferenceWeightsExpanded[State abbreviation],Table_SourceData_PastureBeef_StandardReferenceWeightsExpanded[#Headers],Table_SourceData_PastureBeef_StandardReferenceWeightsExpanded[#Data])</f>
        <v>770</v>
      </c>
      <c r="E28" s="25">
        <f>Common_InputFunctions.Utility_LookupValueInTableOneColumnAndHeader(Common_InputFunctions.Utility_ConvertStateCommonNameToAbbreviation($H$15,Table_AustralianStates[Common Name],Table_AustralianStates[Abbreviation]),E27,Table_SourceData_PastureBeef_StandardReferenceWeightsExpanded[State abbreviation],Table_SourceData_PastureBeef_StandardReferenceWeightsExpanded[#Headers],Table_SourceData_PastureBeef_StandardReferenceWeightsExpanded[#Data])</f>
        <v>770</v>
      </c>
      <c r="F28" s="25">
        <f>Common_InputFunctions.Utility_LookupValueInTableOneColumnAndHeader(Common_InputFunctions.Utility_ConvertStateCommonNameToAbbreviation($H$15,Table_AustralianStates[Common Name],Table_AustralianStates[Abbreviation]),F27,Table_SourceData_PastureBeef_StandardReferenceWeightsExpanded[State abbreviation],Table_SourceData_PastureBeef_StandardReferenceWeightsExpanded[#Headers],Table_SourceData_PastureBeef_StandardReferenceWeightsExpanded[#Data])</f>
        <v>550</v>
      </c>
      <c r="G28" s="25">
        <f>Common_InputFunctions.Utility_LookupValueInTableOneColumnAndHeader(Common_InputFunctions.Utility_ConvertStateCommonNameToAbbreviation($H$15,Table_AustralianStates[Common Name],Table_AustralianStates[Abbreviation]),G27,Table_SourceData_PastureBeef_StandardReferenceWeightsExpanded[State abbreviation],Table_SourceData_PastureBeef_StandardReferenceWeightsExpanded[#Headers],Table_SourceData_PastureBeef_StandardReferenceWeightsExpanded[#Data])</f>
        <v>550</v>
      </c>
      <c r="H28" s="25">
        <f>Common_InputFunctions.Utility_LookupValueInTableOneColumnAndHeader(Common_InputFunctions.Utility_ConvertStateCommonNameToAbbreviation($H$15,Table_AustralianStates[Common Name],Table_AustralianStates[Abbreviation]),H27,Table_SourceData_PastureBeef_StandardReferenceWeightsExpanded[State abbreviation],Table_SourceData_PastureBeef_StandardReferenceWeightsExpanded[#Headers],Table_SourceData_PastureBeef_StandardReferenceWeightsExpanded[#Data])</f>
        <v>550</v>
      </c>
      <c r="I28" s="25">
        <f>Common_InputFunctions.Utility_LookupValueInTableOneColumnAndHeader(Common_InputFunctions.Utility_ConvertStateCommonNameToAbbreviation($H$15,Table_AustralianStates[Common Name],Table_AustralianStates[Abbreviation]),I27,Table_SourceData_PastureBeef_StandardReferenceWeightsExpanded[State abbreviation],Table_SourceData_PastureBeef_StandardReferenceWeightsExpanded[#Headers],Table_SourceData_PastureBeef_StandardReferenceWeightsExpanded[#Data])</f>
        <v>550</v>
      </c>
      <c r="J28" s="25">
        <f>Common_InputFunctions.Utility_LookupValueInTableOneColumnAndHeader(Common_InputFunctions.Utility_ConvertStateCommonNameToAbbreviation($H$15,Table_AustralianStates[Common Name],Table_AustralianStates[Abbreviation]),J27,Table_SourceData_PastureBeef_StandardReferenceWeightsExpanded[State abbreviation],Table_SourceData_PastureBeef_StandardReferenceWeightsExpanded[#Headers],Table_SourceData_PastureBeef_StandardReferenceWeightsExpanded[#Data])</f>
        <v>660</v>
      </c>
      <c r="K28" s="25">
        <f>Common_InputFunctions.Utility_LookupValueInTableOneColumnAndHeader(Common_InputFunctions.Utility_ConvertStateCommonNameToAbbreviation($H$15,Table_AustralianStates[Common Name],Table_AustralianStates[Abbreviation]),K27,Table_SourceData_PastureBeef_StandardReferenceWeightsExpanded[State abbreviation],Table_SourceData_PastureBeef_StandardReferenceWeightsExpanded[#Headers],Table_SourceData_PastureBeef_StandardReferenceWeightsExpanded[#Data])</f>
        <v>660</v>
      </c>
      <c r="L28" s="25">
        <f>Common_InputFunctions.Utility_LookupValueInTableOneColumnAndHeader(Common_InputFunctions.Utility_ConvertStateCommonNameToAbbreviation($H$15,Table_AustralianStates[Common Name],Table_AustralianStates[Abbreviation]),L27,Table_SourceData_PastureBeef_StandardReferenceWeightsExpanded[State abbreviation],Table_SourceData_PastureBeef_StandardReferenceWeightsExpanded[#Headers],Table_SourceData_PastureBeef_StandardReferenceWeightsExpanded[#Data])</f>
        <v>660</v>
      </c>
      <c r="M28" s="25">
        <f>Common_InputFunctions.Utility_LookupValueInTableOneColumnAndHeader(Common_InputFunctions.Utility_ConvertStateCommonNameToAbbreviation($H$15,Table_AustralianStates[Common Name],Table_AustralianStates[Abbreviation]),M27,Table_SourceData_PastureBeef_StandardReferenceWeightsExpanded[State abbreviation],Table_SourceData_PastureBeef_StandardReferenceWeightsExpanded[#Headers],Table_SourceData_PastureBeef_StandardReferenceWeightsExpanded[#Data])</f>
        <v>660</v>
      </c>
      <c r="N28" s="26" t="s">
        <v>212</v>
      </c>
      <c r="U28" s="25" t="e">
        <f>TEXT(EDATE('Input - Site'!$E$12,8), "mmmm yyyy")</f>
        <v>#VALUE!</v>
      </c>
      <c r="V28" s="25">
        <f ca="1"/>
        <v>340</v>
      </c>
      <c r="W28" s="25">
        <f ca="1"/>
        <v>800</v>
      </c>
      <c r="X28" s="25">
        <f ca="1"/>
        <v>260</v>
      </c>
      <c r="Y28" s="25">
        <f ca="1"/>
        <v>420</v>
      </c>
      <c r="Z28" s="25">
        <f ca="1"/>
        <v>550</v>
      </c>
      <c r="AA28" s="25">
        <f ca="1"/>
        <v>550</v>
      </c>
      <c r="AB28" s="25">
        <f ca="1"/>
        <v>300</v>
      </c>
      <c r="AC28" s="25">
        <f ca="1"/>
        <v>480</v>
      </c>
      <c r="AD28" s="25">
        <f ca="1"/>
        <v>480</v>
      </c>
      <c r="AE28" s="25">
        <f ca="1"/>
        <v>480</v>
      </c>
      <c r="AF28" s="26" t="s">
        <v>212</v>
      </c>
      <c r="AG28" s="26"/>
      <c r="AH28" s="26"/>
    </row>
    <row r="29" spans="1:34" ht="20.100000000000001" customHeight="1" x14ac:dyDescent="0.25">
      <c r="A29" s="5" t="str">
        <f>HYPERLINK("#'5.5.1.1-2 Leaching and runoff'!A1", "5.5.1.1-2 Leaching &amp; runoff")</f>
        <v>5.5.1.1-2 Leaching &amp; runoff</v>
      </c>
      <c r="U29" s="25" t="e">
        <f>TEXT(EDATE('Input - Site'!$E$12,9), "mmmm yyyy")</f>
        <v>#VALUE!</v>
      </c>
      <c r="V29" s="25">
        <f ca="1"/>
        <v>340</v>
      </c>
      <c r="W29" s="25">
        <f ca="1"/>
        <v>800</v>
      </c>
      <c r="X29" s="25">
        <f ca="1"/>
        <v>260</v>
      </c>
      <c r="Y29" s="25">
        <f ca="1"/>
        <v>420</v>
      </c>
      <c r="Z29" s="25">
        <f ca="1"/>
        <v>550</v>
      </c>
      <c r="AA29" s="25">
        <f ca="1"/>
        <v>550</v>
      </c>
      <c r="AB29" s="25">
        <f ca="1"/>
        <v>300</v>
      </c>
      <c r="AC29" s="25">
        <f ca="1"/>
        <v>480</v>
      </c>
      <c r="AD29" s="25">
        <f ca="1"/>
        <v>480</v>
      </c>
      <c r="AE29" s="25">
        <f ca="1"/>
        <v>480</v>
      </c>
      <c r="AF29" s="26" t="s">
        <v>212</v>
      </c>
      <c r="AG29" s="26"/>
      <c r="AH29" s="26"/>
    </row>
    <row r="30" spans="1:34" ht="20.100000000000001" customHeight="1" x14ac:dyDescent="0.25">
      <c r="A30" s="5" t="str">
        <f>HYPERLINK("#'6.2.1.1-2 Pasture residue N2O'!A1", "6.2.1.1-2 Pasture residue N2O")</f>
        <v>6.2.1.1-2 Pasture residue N2O</v>
      </c>
      <c r="D30" s="114" t="s">
        <v>427</v>
      </c>
      <c r="U30" s="25" t="e">
        <f>TEXT(EDATE('Input - Site'!$E$12,10), "mmmm yyyy")</f>
        <v>#VALUE!</v>
      </c>
      <c r="V30" s="25">
        <f ca="1"/>
        <v>340</v>
      </c>
      <c r="W30" s="25">
        <f ca="1"/>
        <v>800</v>
      </c>
      <c r="X30" s="25">
        <f ca="1"/>
        <v>260</v>
      </c>
      <c r="Y30" s="25">
        <f ca="1"/>
        <v>420</v>
      </c>
      <c r="Z30" s="25">
        <f ca="1"/>
        <v>550</v>
      </c>
      <c r="AA30" s="25">
        <f ca="1"/>
        <v>550</v>
      </c>
      <c r="AB30" s="25">
        <f ca="1"/>
        <v>300</v>
      </c>
      <c r="AC30" s="25">
        <f ca="1"/>
        <v>480</v>
      </c>
      <c r="AD30" s="25">
        <f ca="1"/>
        <v>480</v>
      </c>
      <c r="AE30" s="25">
        <f ca="1"/>
        <v>480</v>
      </c>
      <c r="AF30" s="26" t="s">
        <v>212</v>
      </c>
      <c r="AG30" s="26"/>
      <c r="AH30" s="26"/>
    </row>
    <row r="31" spans="1:34" ht="20.100000000000001" customHeight="1" x14ac:dyDescent="0.25">
      <c r="A31" s="5" t="str">
        <f>HYPERLINK("#'6.3.1.1-2 Leach runoff pasture'!A1", "6.3.1.1-2 Leach &amp; runoff (pasture)")</f>
        <v>6.3.1.1-2 Leach &amp; runoff (pasture)</v>
      </c>
      <c r="D31" s="115" t="s">
        <v>428</v>
      </c>
      <c r="U31" s="25" t="e">
        <f>TEXT(EDATE('Input - Site'!$E$12,11), "mmmm yyyy")</f>
        <v>#VALUE!</v>
      </c>
      <c r="V31" s="25">
        <f ca="1"/>
        <v>380</v>
      </c>
      <c r="W31" s="25">
        <f ca="1"/>
        <v>780</v>
      </c>
      <c r="X31" s="25">
        <f ca="1"/>
        <v>300</v>
      </c>
      <c r="Y31" s="25">
        <f ca="1"/>
        <v>450</v>
      </c>
      <c r="Z31" s="25">
        <f ca="1"/>
        <v>530</v>
      </c>
      <c r="AA31" s="25">
        <f ca="1"/>
        <v>530</v>
      </c>
      <c r="AB31" s="25">
        <f ca="1"/>
        <v>340</v>
      </c>
      <c r="AC31" s="25">
        <f ca="1"/>
        <v>470</v>
      </c>
      <c r="AD31" s="25">
        <f ca="1"/>
        <v>470</v>
      </c>
      <c r="AE31" s="25">
        <f ca="1"/>
        <v>470</v>
      </c>
      <c r="AF31" s="26" t="s">
        <v>212</v>
      </c>
      <c r="AG31" s="26"/>
      <c r="AH31" s="26"/>
    </row>
    <row r="32" spans="1:34" ht="20.100000000000001" customHeight="1" x14ac:dyDescent="0.25">
      <c r="A32" s="5" t="str">
        <f>HYPERLINK("#'8.1.1.1-2 Transport fuel'!A1", "8.1.1.1-2 Transport fuel")</f>
        <v>8.1.1.1-2 Transport fuel</v>
      </c>
      <c r="D32" s="116" t="s">
        <v>78</v>
      </c>
      <c r="E32" s="116" t="s">
        <v>193</v>
      </c>
      <c r="F32" s="116" t="s">
        <v>194</v>
      </c>
      <c r="G32" s="116" t="s">
        <v>195</v>
      </c>
      <c r="H32" s="116" t="s">
        <v>196</v>
      </c>
      <c r="I32" s="116" t="s">
        <v>197</v>
      </c>
      <c r="J32" s="116" t="s">
        <v>198</v>
      </c>
      <c r="K32" s="116" t="s">
        <v>199</v>
      </c>
      <c r="L32" s="116" t="s">
        <v>200</v>
      </c>
      <c r="M32" s="116" t="s">
        <v>201</v>
      </c>
      <c r="N32" s="116" t="s">
        <v>202</v>
      </c>
    </row>
    <row r="33" spans="1:34" ht="20.100000000000001" customHeight="1" x14ac:dyDescent="0.25">
      <c r="A33" s="5" t="str">
        <f>HYPERLINK("#'8.2.1.1-2 Stationary fuel'!A1", "8.2.1.1-2 Stationary fuel")</f>
        <v>8.2.1.1-2 Stationary fuel</v>
      </c>
      <c r="D33" s="25" t="str">
        <f>INDEX(X_Table_PastureBeef_Liveweight_Method1,2,1)</f>
        <v>Spring</v>
      </c>
      <c r="E33" s="25" cm="1">
        <f t="array" aca="1" ref="E33" ca="1">MMS_PastureBeef_Soil_N2ODirect_Equations.VEERG_4_2_1_3__7_RelativeSize(E20,D$28)</f>
        <v>0.44155844155844154</v>
      </c>
      <c r="F33" s="25" cm="1">
        <f t="array" aca="1" ref="F33" ca="1">MMS_PastureBeef_Soil_N2ODirect_Equations.VEERG_4_2_1_3__7_RelativeSize(F20,E$28)</f>
        <v>1.0389610389610389</v>
      </c>
      <c r="G33" s="25" cm="1">
        <f t="array" aca="1" ref="G33" ca="1">MMS_PastureBeef_Soil_N2ODirect_Equations.VEERG_4_2_1_3__7_RelativeSize(G20,F$28)</f>
        <v>0.47272727272727272</v>
      </c>
      <c r="H33" s="25" cm="1">
        <f t="array" aca="1" ref="H33" ca="1">MMS_PastureBeef_Soil_N2ODirect_Equations.VEERG_4_2_1_3__7_RelativeSize(H20,G$28)</f>
        <v>0.76363636363636367</v>
      </c>
      <c r="I33" s="25" cm="1">
        <f t="array" aca="1" ref="I33" ca="1">MMS_PastureBeef_Soil_N2ODirect_Equations.VEERG_4_2_1_3__7_RelativeSize(I20,H$28)</f>
        <v>1</v>
      </c>
      <c r="J33" s="25" cm="1">
        <f t="array" aca="1" ref="J33" ca="1">MMS_PastureBeef_Soil_N2ODirect_Equations.VEERG_4_2_1_3__7_RelativeSize(J20,I$28)</f>
        <v>1</v>
      </c>
      <c r="K33" s="25" cm="1">
        <f t="array" aca="1" ref="K33" ca="1">MMS_PastureBeef_Soil_N2ODirect_Equations.VEERG_4_2_1_3__7_RelativeSize(K20,J$28)</f>
        <v>0.45454545454545453</v>
      </c>
      <c r="L33" s="25" cm="1">
        <f t="array" aca="1" ref="L33" ca="1">MMS_PastureBeef_Soil_N2ODirect_Equations.VEERG_4_2_1_3__7_RelativeSize(L20,K$28)</f>
        <v>0.72727272727272729</v>
      </c>
      <c r="M33" s="25" cm="1">
        <f t="array" aca="1" ref="M33" ca="1">MMS_PastureBeef_Soil_N2ODirect_Equations.VEERG_4_2_1_3__7_RelativeSize(M20,L$28)</f>
        <v>0.72727272727272729</v>
      </c>
      <c r="N33" s="25" cm="1">
        <f t="array" aca="1" ref="N33" ca="1">MMS_PastureBeef_Soil_N2ODirect_Equations.VEERG_4_2_1_3__7_RelativeSize(N20,M$28)</f>
        <v>0.72727272727272729</v>
      </c>
      <c r="O33" s="26" t="str">
        <f>$E$11</f>
        <v>ratio</v>
      </c>
      <c r="U33" s="114" t="s">
        <v>429</v>
      </c>
    </row>
    <row r="34" spans="1:34" ht="20.100000000000001" customHeight="1" x14ac:dyDescent="0.25">
      <c r="A34" s="5" t="str">
        <f>HYPERLINK("#'14.1.1-2 Purchased electricity'!A1", "14.1.1-2 Purchased electricity")</f>
        <v>14.1.1-2 Purchased electricity</v>
      </c>
      <c r="D34" s="25" t="str">
        <f>INDEX(X_Table_PastureBeef_Liveweight_Method1,3,1)</f>
        <v>Summer</v>
      </c>
      <c r="E34" s="25" cm="1">
        <f t="array" aca="1" ref="E34" ca="1">MMS_PastureBeef_Soil_N2ODirect_Equations.VEERG_4_2_1_3__7_RelativeSize(E21,D$28)</f>
        <v>0.4935064935064935</v>
      </c>
      <c r="F34" s="25" cm="1">
        <f t="array" aca="1" ref="F34" ca="1">MMS_PastureBeef_Soil_N2ODirect_Equations.VEERG_4_2_1_3__7_RelativeSize(F21,E$28)</f>
        <v>1.0129870129870129</v>
      </c>
      <c r="G34" s="25" cm="1">
        <f t="array" aca="1" ref="G34" ca="1">MMS_PastureBeef_Soil_N2ODirect_Equations.VEERG_4_2_1_3__7_RelativeSize(G21,F$28)</f>
        <v>0.54545454545454541</v>
      </c>
      <c r="H34" s="25" cm="1">
        <f t="array" aca="1" ref="H34" ca="1">MMS_PastureBeef_Soil_N2ODirect_Equations.VEERG_4_2_1_3__7_RelativeSize(H21,G$28)</f>
        <v>0.81818181818181823</v>
      </c>
      <c r="I34" s="25" cm="1">
        <f t="array" aca="1" ref="I34" ca="1">MMS_PastureBeef_Soil_N2ODirect_Equations.VEERG_4_2_1_3__7_RelativeSize(I21,H$28)</f>
        <v>0.96363636363636362</v>
      </c>
      <c r="J34" s="25" cm="1">
        <f t="array" aca="1" ref="J34" ca="1">MMS_PastureBeef_Soil_N2ODirect_Equations.VEERG_4_2_1_3__7_RelativeSize(J21,I$28)</f>
        <v>0.96363636363636362</v>
      </c>
      <c r="K34" s="25" cm="1">
        <f t="array" aca="1" ref="K34" ca="1">MMS_PastureBeef_Soil_N2ODirect_Equations.VEERG_4_2_1_3__7_RelativeSize(K21,J$28)</f>
        <v>0.51515151515151514</v>
      </c>
      <c r="L34" s="25" cm="1">
        <f t="array" aca="1" ref="L34" ca="1">MMS_PastureBeef_Soil_N2ODirect_Equations.VEERG_4_2_1_3__7_RelativeSize(L21,K$28)</f>
        <v>0.71212121212121215</v>
      </c>
      <c r="M34" s="25" cm="1">
        <f t="array" aca="1" ref="M34" ca="1">MMS_PastureBeef_Soil_N2ODirect_Equations.VEERG_4_2_1_3__7_RelativeSize(M21,L$28)</f>
        <v>0.71212121212121215</v>
      </c>
      <c r="N34" s="25" cm="1">
        <f t="array" aca="1" ref="N34" ca="1">MMS_PastureBeef_Soil_N2ODirect_Equations.VEERG_4_2_1_3__7_RelativeSize(N21,M$28)</f>
        <v>0.71212121212121215</v>
      </c>
      <c r="O34" s="26" t="str">
        <f t="shared" ref="O34:O36" si="0">$E$11</f>
        <v>ratio</v>
      </c>
      <c r="U34" s="115" t="s">
        <v>430</v>
      </c>
    </row>
    <row r="35" spans="1:34" ht="20.100000000000001" customHeight="1" x14ac:dyDescent="0.25">
      <c r="D35" s="25" t="str">
        <f>INDEX(X_Table_PastureBeef_Liveweight_Method1,4,1)</f>
        <v>Autumn</v>
      </c>
      <c r="E35" s="25" cm="1">
        <f t="array" aca="1" ref="E35" ca="1">MMS_PastureBeef_Soil_N2ODirect_Equations.VEERG_4_2_1_3__7_RelativeSize(E22,D$28)</f>
        <v>0.12987012987012986</v>
      </c>
      <c r="F35" s="25" cm="1">
        <f t="array" aca="1" ref="F35" ca="1">MMS_PastureBeef_Soil_N2ODirect_Equations.VEERG_4_2_1_3__7_RelativeSize(F22,E$28)</f>
        <v>0.88311688311688308</v>
      </c>
      <c r="G35" s="25" cm="1">
        <f t="array" aca="1" ref="G35" ca="1">MMS_PastureBeef_Soil_N2ODirect_Equations.VEERG_4_2_1_3__7_RelativeSize(G22,F$28)</f>
        <v>0.14545454545454545</v>
      </c>
      <c r="H35" s="25" cm="1">
        <f t="array" aca="1" ref="H35" ca="1">MMS_PastureBeef_Soil_N2ODirect_Equations.VEERG_4_2_1_3__7_RelativeSize(H22,G$28)</f>
        <v>0.58181818181818179</v>
      </c>
      <c r="I35" s="25" cm="1">
        <f t="array" aca="1" ref="I35" ca="1">MMS_PastureBeef_Soil_N2ODirect_Equations.VEERG_4_2_1_3__7_RelativeSize(I22,H$28)</f>
        <v>0.87272727272727268</v>
      </c>
      <c r="J35" s="25" cm="1">
        <f t="array" aca="1" ref="J35" ca="1">MMS_PastureBeef_Soil_N2ODirect_Equations.VEERG_4_2_1_3__7_RelativeSize(J22,I$28)</f>
        <v>0.87272727272727268</v>
      </c>
      <c r="K35" s="25" cm="1">
        <f t="array" aca="1" ref="K35" ca="1">MMS_PastureBeef_Soil_N2ODirect_Equations.VEERG_4_2_1_3__7_RelativeSize(K22,J$28)</f>
        <v>0.15151515151515152</v>
      </c>
      <c r="L35" s="25" cm="1">
        <f t="array" aca="1" ref="L35" ca="1">MMS_PastureBeef_Soil_N2ODirect_Equations.VEERG_4_2_1_3__7_RelativeSize(L22,K$28)</f>
        <v>0.51515151515151514</v>
      </c>
      <c r="M35" s="25" cm="1">
        <f t="array" aca="1" ref="M35" ca="1">MMS_PastureBeef_Soil_N2ODirect_Equations.VEERG_4_2_1_3__7_RelativeSize(M22,L$28)</f>
        <v>0.51515151515151514</v>
      </c>
      <c r="N35" s="25" cm="1">
        <f t="array" aca="1" ref="N35" ca="1">MMS_PastureBeef_Soil_N2ODirect_Equations.VEERG_4_2_1_3__7_RelativeSize(N22,M$28)</f>
        <v>0.51515151515151514</v>
      </c>
      <c r="O35" s="26" t="str">
        <f t="shared" si="0"/>
        <v>ratio</v>
      </c>
      <c r="U35" s="116" t="s">
        <v>77</v>
      </c>
      <c r="V35" s="116" t="s">
        <v>193</v>
      </c>
      <c r="W35" s="116" t="s">
        <v>194</v>
      </c>
      <c r="X35" s="116" t="s">
        <v>195</v>
      </c>
      <c r="Y35" s="116" t="s">
        <v>196</v>
      </c>
      <c r="Z35" s="116" t="s">
        <v>197</v>
      </c>
      <c r="AA35" s="116" t="s">
        <v>198</v>
      </c>
      <c r="AB35" s="116" t="s">
        <v>199</v>
      </c>
      <c r="AC35" s="116" t="s">
        <v>200</v>
      </c>
      <c r="AD35" s="116" t="s">
        <v>201</v>
      </c>
      <c r="AE35" s="116" t="s">
        <v>202</v>
      </c>
      <c r="AF35" s="26"/>
      <c r="AG35" s="26"/>
      <c r="AH35" s="26"/>
    </row>
    <row r="36" spans="1:34" ht="20.100000000000001" customHeight="1" x14ac:dyDescent="0.25">
      <c r="D36" s="25" t="str">
        <f>INDEX(X_Table_PastureBeef_Liveweight_Method1,5,1)</f>
        <v>Winter</v>
      </c>
      <c r="E36" s="25" cm="1">
        <f t="array" aca="1" ref="E36" ca="1">MMS_PastureBeef_Soil_N2ODirect_Equations.VEERG_4_2_1_3__7_RelativeSize(E23,D$28)</f>
        <v>0.24675324675324675</v>
      </c>
      <c r="F36" s="25" cm="1">
        <f t="array" aca="1" ref="F36" ca="1">MMS_PastureBeef_Soil_N2ODirect_Equations.VEERG_4_2_1_3__7_RelativeSize(F23,E$28)</f>
        <v>0.90909090909090906</v>
      </c>
      <c r="G36" s="25" cm="1">
        <f t="array" aca="1" ref="G36" ca="1">MMS_PastureBeef_Soil_N2ODirect_Equations.VEERG_4_2_1_3__7_RelativeSize(G23,F$28)</f>
        <v>0.27272727272727271</v>
      </c>
      <c r="H36" s="25" cm="1">
        <f t="array" aca="1" ref="H36" ca="1">MMS_PastureBeef_Soil_N2ODirect_Equations.VEERG_4_2_1_3__7_RelativeSize(H23,G$28)</f>
        <v>0.6</v>
      </c>
      <c r="I36" s="25" cm="1">
        <f t="array" aca="1" ref="I36" ca="1">MMS_PastureBeef_Soil_N2ODirect_Equations.VEERG_4_2_1_3__7_RelativeSize(I23,H$28)</f>
        <v>0.89090909090909087</v>
      </c>
      <c r="J36" s="25" cm="1">
        <f t="array" aca="1" ref="J36" ca="1">MMS_PastureBeef_Soil_N2ODirect_Equations.VEERG_4_2_1_3__7_RelativeSize(J23,I$28)</f>
        <v>0.89090909090909087</v>
      </c>
      <c r="K36" s="25" cm="1">
        <f t="array" aca="1" ref="K36" ca="1">MMS_PastureBeef_Soil_N2ODirect_Equations.VEERG_4_2_1_3__7_RelativeSize(K23,J$28)</f>
        <v>0.25757575757575757</v>
      </c>
      <c r="L36" s="25" cm="1">
        <f t="array" aca="1" ref="L36" ca="1">MMS_PastureBeef_Soil_N2ODirect_Equations.VEERG_4_2_1_3__7_RelativeSize(L23,K$28)</f>
        <v>0.54545454545454541</v>
      </c>
      <c r="M36" s="25" cm="1">
        <f t="array" aca="1" ref="M36" ca="1">MMS_PastureBeef_Soil_N2ODirect_Equations.VEERG_4_2_1_3__7_RelativeSize(M23,L$28)</f>
        <v>0.54545454545454541</v>
      </c>
      <c r="N36" s="25" cm="1">
        <f t="array" aca="1" ref="N36" ca="1">MMS_PastureBeef_Soil_N2ODirect_Equations.VEERG_4_2_1_3__7_RelativeSize(N23,M$28)</f>
        <v>0.54545454545454541</v>
      </c>
      <c r="O36" s="26" t="str">
        <f t="shared" si="0"/>
        <v>ratio</v>
      </c>
      <c r="U36" s="25" t="str">
        <f>TEXT('Input - Site'!$E$12, "mmmm yyyy")</f>
        <v>NO - Not in leaching zone</v>
      </c>
      <c r="V36" s="25" cm="1">
        <f t="array" aca="1" ref="V36" ca="1">MMS_PastureBeef_Soil_N2ODirect_Equations.VEERG_4_2_1_3__7_RelativeSize(V20,D$28)</f>
        <v>0.4935064935064935</v>
      </c>
      <c r="W36" s="25" cm="1">
        <f t="array" aca="1" ref="W36" ca="1">MMS_PastureBeef_Soil_N2ODirect_Equations.VEERG_4_2_1_3__7_RelativeSize(W20,E$28)</f>
        <v>1.0129870129870129</v>
      </c>
      <c r="X36" s="25" cm="1">
        <f t="array" aca="1" ref="X36" ca="1">MMS_PastureBeef_Soil_N2ODirect_Equations.VEERG_4_2_1_3__7_RelativeSize(X20,F$28)</f>
        <v>0.54545454545454541</v>
      </c>
      <c r="Y36" s="25" cm="1">
        <f t="array" aca="1" ref="Y36" ca="1">MMS_PastureBeef_Soil_N2ODirect_Equations.VEERG_4_2_1_3__7_RelativeSize(Y20,G$28)</f>
        <v>0.81818181818181823</v>
      </c>
      <c r="Z36" s="25" cm="1">
        <f t="array" aca="1" ref="Z36" ca="1">MMS_PastureBeef_Soil_N2ODirect_Equations.VEERG_4_2_1_3__7_RelativeSize(Z20,H$28)</f>
        <v>0.96363636363636362</v>
      </c>
      <c r="AA36" s="25" cm="1">
        <f t="array" aca="1" ref="AA36" ca="1">MMS_PastureBeef_Soil_N2ODirect_Equations.VEERG_4_2_1_3__7_RelativeSize(AA20,I$28)</f>
        <v>0.96363636363636362</v>
      </c>
      <c r="AB36" s="25" cm="1">
        <f t="array" aca="1" ref="AB36" ca="1">MMS_PastureBeef_Soil_N2ODirect_Equations.VEERG_4_2_1_3__7_RelativeSize(AB20,J$28)</f>
        <v>0.51515151515151514</v>
      </c>
      <c r="AC36" s="25" cm="1">
        <f t="array" aca="1" ref="AC36" ca="1">MMS_PastureBeef_Soil_N2ODirect_Equations.VEERG_4_2_1_3__7_RelativeSize(AC20,K$28)</f>
        <v>0.71212121212121215</v>
      </c>
      <c r="AD36" s="25" cm="1">
        <f t="array" aca="1" ref="AD36" ca="1">MMS_PastureBeef_Soil_N2ODirect_Equations.VEERG_4_2_1_3__7_RelativeSize(AD20,L$28)</f>
        <v>0.71212121212121215</v>
      </c>
      <c r="AE36" s="25" cm="1">
        <f t="array" aca="1" ref="AE36" ca="1">MMS_PastureBeef_Soil_N2ODirect_Equations.VEERG_4_2_1_3__7_RelativeSize(AE20,M$28)</f>
        <v>0.71212121212121215</v>
      </c>
      <c r="AF36" s="26" t="str">
        <f t="shared" ref="AF36:AF47" si="1">$E$11</f>
        <v>ratio</v>
      </c>
      <c r="AG36" s="26"/>
      <c r="AH36" s="26"/>
    </row>
    <row r="37" spans="1:34" ht="20.100000000000001" customHeight="1" x14ac:dyDescent="0.25">
      <c r="A37" s="251" t="s">
        <v>1</v>
      </c>
      <c r="U37" s="25" t="e">
        <f>TEXT(EDATE('Input - Site'!$E$12,1), "mmmm yyyy")</f>
        <v>#VALUE!</v>
      </c>
      <c r="V37" s="25" cm="1">
        <f t="array" aca="1" ref="V37" ca="1">MMS_PastureBeef_Soil_N2ODirect_Equations.VEERG_4_2_1_3__7_RelativeSize(V21,D$28)</f>
        <v>0.4935064935064935</v>
      </c>
      <c r="W37" s="25" cm="1">
        <f t="array" aca="1" ref="W37" ca="1">MMS_PastureBeef_Soil_N2ODirect_Equations.VEERG_4_2_1_3__7_RelativeSize(W21,E$28)</f>
        <v>1.0129870129870129</v>
      </c>
      <c r="X37" s="25" cm="1">
        <f t="array" aca="1" ref="X37" ca="1">MMS_PastureBeef_Soil_N2ODirect_Equations.VEERG_4_2_1_3__7_RelativeSize(X21,F$28)</f>
        <v>0.54545454545454541</v>
      </c>
      <c r="Y37" s="25" cm="1">
        <f t="array" aca="1" ref="Y37" ca="1">MMS_PastureBeef_Soil_N2ODirect_Equations.VEERG_4_2_1_3__7_RelativeSize(Y21,G$28)</f>
        <v>0.81818181818181823</v>
      </c>
      <c r="Z37" s="25" cm="1">
        <f t="array" aca="1" ref="Z37" ca="1">MMS_PastureBeef_Soil_N2ODirect_Equations.VEERG_4_2_1_3__7_RelativeSize(Z21,H$28)</f>
        <v>0.96363636363636362</v>
      </c>
      <c r="AA37" s="25" cm="1">
        <f t="array" aca="1" ref="AA37" ca="1">MMS_PastureBeef_Soil_N2ODirect_Equations.VEERG_4_2_1_3__7_RelativeSize(AA21,I$28)</f>
        <v>0.96363636363636362</v>
      </c>
      <c r="AB37" s="25" cm="1">
        <f t="array" aca="1" ref="AB37" ca="1">MMS_PastureBeef_Soil_N2ODirect_Equations.VEERG_4_2_1_3__7_RelativeSize(AB21,J$28)</f>
        <v>0.51515151515151514</v>
      </c>
      <c r="AC37" s="25" cm="1">
        <f t="array" aca="1" ref="AC37" ca="1">MMS_PastureBeef_Soil_N2ODirect_Equations.VEERG_4_2_1_3__7_RelativeSize(AC21,K$28)</f>
        <v>0.71212121212121215</v>
      </c>
      <c r="AD37" s="25" cm="1">
        <f t="array" aca="1" ref="AD37" ca="1">MMS_PastureBeef_Soil_N2ODirect_Equations.VEERG_4_2_1_3__7_RelativeSize(AD21,L$28)</f>
        <v>0.71212121212121215</v>
      </c>
      <c r="AE37" s="25" cm="1">
        <f t="array" aca="1" ref="AE37" ca="1">MMS_PastureBeef_Soil_N2ODirect_Equations.VEERG_4_2_1_3__7_RelativeSize(AE21,M$28)</f>
        <v>0.71212121212121215</v>
      </c>
      <c r="AF37" s="26" t="str">
        <f t="shared" si="1"/>
        <v>ratio</v>
      </c>
      <c r="AG37" s="26"/>
      <c r="AH37" s="26"/>
    </row>
    <row r="38" spans="1:34" ht="20.100000000000001" customHeight="1" x14ac:dyDescent="0.25">
      <c r="A38" s="5" t="str">
        <f>HYPERLINK("#'Constants - Pasture Beef'!A1", "Constants - Pasture Beef")</f>
        <v>Constants - Pasture Beef</v>
      </c>
      <c r="U38" s="25" t="e">
        <f>TEXT(EDATE('Input - Site'!$E$12,2), "mmmm yyyy")</f>
        <v>#VALUE!</v>
      </c>
      <c r="V38" s="25" cm="1">
        <f t="array" aca="1" ref="V38" ca="1">MMS_PastureBeef_Soil_N2ODirect_Equations.VEERG_4_2_1_3__7_RelativeSize(V22,D$28)</f>
        <v>0.12987012987012986</v>
      </c>
      <c r="W38" s="25" cm="1">
        <f t="array" aca="1" ref="W38" ca="1">MMS_PastureBeef_Soil_N2ODirect_Equations.VEERG_4_2_1_3__7_RelativeSize(W22,E$28)</f>
        <v>0.88311688311688308</v>
      </c>
      <c r="X38" s="25" cm="1">
        <f t="array" aca="1" ref="X38" ca="1">MMS_PastureBeef_Soil_N2ODirect_Equations.VEERG_4_2_1_3__7_RelativeSize(X22,F$28)</f>
        <v>0.14545454545454545</v>
      </c>
      <c r="Y38" s="25" cm="1">
        <f t="array" aca="1" ref="Y38" ca="1">MMS_PastureBeef_Soil_N2ODirect_Equations.VEERG_4_2_1_3__7_RelativeSize(Y22,G$28)</f>
        <v>0.58181818181818179</v>
      </c>
      <c r="Z38" s="25" cm="1">
        <f t="array" aca="1" ref="Z38" ca="1">MMS_PastureBeef_Soil_N2ODirect_Equations.VEERG_4_2_1_3__7_RelativeSize(Z22,H$28)</f>
        <v>0.87272727272727268</v>
      </c>
      <c r="AA38" s="25" cm="1">
        <f t="array" aca="1" ref="AA38" ca="1">MMS_PastureBeef_Soil_N2ODirect_Equations.VEERG_4_2_1_3__7_RelativeSize(AA22,I$28)</f>
        <v>0.87272727272727268</v>
      </c>
      <c r="AB38" s="25" cm="1">
        <f t="array" aca="1" ref="AB38" ca="1">MMS_PastureBeef_Soil_N2ODirect_Equations.VEERG_4_2_1_3__7_RelativeSize(AB22,J$28)</f>
        <v>0.15151515151515152</v>
      </c>
      <c r="AC38" s="25" cm="1">
        <f t="array" aca="1" ref="AC38" ca="1">MMS_PastureBeef_Soil_N2ODirect_Equations.VEERG_4_2_1_3__7_RelativeSize(AC22,K$28)</f>
        <v>0.51515151515151514</v>
      </c>
      <c r="AD38" s="25" cm="1">
        <f t="array" aca="1" ref="AD38" ca="1">MMS_PastureBeef_Soil_N2ODirect_Equations.VEERG_4_2_1_3__7_RelativeSize(AD22,L$28)</f>
        <v>0.51515151515151514</v>
      </c>
      <c r="AE38" s="25" cm="1">
        <f t="array" aca="1" ref="AE38" ca="1">MMS_PastureBeef_Soil_N2ODirect_Equations.VEERG_4_2_1_3__7_RelativeSize(AE22,M$28)</f>
        <v>0.51515151515151514</v>
      </c>
      <c r="AF38" s="26" t="str">
        <f t="shared" si="1"/>
        <v>ratio</v>
      </c>
      <c r="AG38" s="26"/>
      <c r="AH38" s="26"/>
    </row>
    <row r="39" spans="1:34" ht="20.100000000000001" customHeight="1" x14ac:dyDescent="0.25">
      <c r="A39" s="5" t="str">
        <f>HYPERLINK("#'Constants - Ag Residue'!A1", "Constants - Ag residue")</f>
        <v>Constants - Ag residue</v>
      </c>
      <c r="C39" s="118"/>
      <c r="D39" s="118"/>
      <c r="E39" s="118"/>
      <c r="F39" s="118"/>
      <c r="G39" s="118"/>
      <c r="H39" s="118"/>
      <c r="I39" s="118"/>
      <c r="J39" s="118"/>
      <c r="K39" s="118"/>
      <c r="L39" s="118"/>
      <c r="M39" s="118"/>
      <c r="N39" s="118"/>
      <c r="O39" s="118"/>
      <c r="P39" s="118"/>
      <c r="Q39" s="118"/>
      <c r="R39" s="118"/>
      <c r="U39" s="25" t="e">
        <f>TEXT(EDATE('Input - Site'!$E$12,3), "mmmm yyyy")</f>
        <v>#VALUE!</v>
      </c>
      <c r="V39" s="25" cm="1">
        <f t="array" aca="1" ref="V39" ca="1">MMS_PastureBeef_Soil_N2ODirect_Equations.VEERG_4_2_1_3__7_RelativeSize(V23,D$28)</f>
        <v>0.12987012987012986</v>
      </c>
      <c r="W39" s="25" cm="1">
        <f t="array" aca="1" ref="W39" ca="1">MMS_PastureBeef_Soil_N2ODirect_Equations.VEERG_4_2_1_3__7_RelativeSize(W23,E$28)</f>
        <v>0.88311688311688308</v>
      </c>
      <c r="X39" s="25" cm="1">
        <f t="array" aca="1" ref="X39" ca="1">MMS_PastureBeef_Soil_N2ODirect_Equations.VEERG_4_2_1_3__7_RelativeSize(X23,F$28)</f>
        <v>0.14545454545454545</v>
      </c>
      <c r="Y39" s="25" cm="1">
        <f t="array" aca="1" ref="Y39" ca="1">MMS_PastureBeef_Soil_N2ODirect_Equations.VEERG_4_2_1_3__7_RelativeSize(Y23,G$28)</f>
        <v>0.58181818181818179</v>
      </c>
      <c r="Z39" s="25" cm="1">
        <f t="array" aca="1" ref="Z39" ca="1">MMS_PastureBeef_Soil_N2ODirect_Equations.VEERG_4_2_1_3__7_RelativeSize(Z23,H$28)</f>
        <v>0.87272727272727268</v>
      </c>
      <c r="AA39" s="25" cm="1">
        <f t="array" aca="1" ref="AA39" ca="1">MMS_PastureBeef_Soil_N2ODirect_Equations.VEERG_4_2_1_3__7_RelativeSize(AA23,I$28)</f>
        <v>0.87272727272727268</v>
      </c>
      <c r="AB39" s="25" cm="1">
        <f t="array" aca="1" ref="AB39" ca="1">MMS_PastureBeef_Soil_N2ODirect_Equations.VEERG_4_2_1_3__7_RelativeSize(AB23,J$28)</f>
        <v>0.15151515151515152</v>
      </c>
      <c r="AC39" s="25" cm="1">
        <f t="array" aca="1" ref="AC39" ca="1">MMS_PastureBeef_Soil_N2ODirect_Equations.VEERG_4_2_1_3__7_RelativeSize(AC23,K$28)</f>
        <v>0.51515151515151514</v>
      </c>
      <c r="AD39" s="25" cm="1">
        <f t="array" aca="1" ref="AD39" ca="1">MMS_PastureBeef_Soil_N2ODirect_Equations.VEERG_4_2_1_3__7_RelativeSize(AD23,L$28)</f>
        <v>0.51515151515151514</v>
      </c>
      <c r="AE39" s="25" cm="1">
        <f t="array" aca="1" ref="AE39" ca="1">MMS_PastureBeef_Soil_N2ODirect_Equations.VEERG_4_2_1_3__7_RelativeSize(AE23,M$28)</f>
        <v>0.51515151515151514</v>
      </c>
      <c r="AF39" s="26" t="str">
        <f t="shared" si="1"/>
        <v>ratio</v>
      </c>
      <c r="AG39" s="26"/>
      <c r="AH39" s="26"/>
    </row>
    <row r="40" spans="1:34" ht="20.100000000000001" customHeight="1" x14ac:dyDescent="0.25">
      <c r="A40" s="5" t="str">
        <f>HYPERLINK("#'Constants - Common Livestock'!A1", "Constants - Common Livestock")</f>
        <v>Constants - Common Livestock</v>
      </c>
      <c r="D40" s="2" t="str" cm="1">
        <f t="array" ref="D40">MMS_PastureBeef_Soil_N2ODirect_Equations.VEERG_4_2_1_3__6_IntakeRelativeToMaintenance_Title()</f>
        <v>Intake relative to that needed for maintenance</v>
      </c>
      <c r="U40" s="25" t="e">
        <f>TEXT(EDATE('Input - Site'!$E$12,4), "mmmm yyyy")</f>
        <v>#VALUE!</v>
      </c>
      <c r="V40" s="25" cm="1">
        <f t="array" aca="1" ref="V40" ca="1">MMS_PastureBeef_Soil_N2ODirect_Equations.VEERG_4_2_1_3__7_RelativeSize(V24,D$28)</f>
        <v>0.12987012987012986</v>
      </c>
      <c r="W40" s="25" cm="1">
        <f t="array" aca="1" ref="W40" ca="1">MMS_PastureBeef_Soil_N2ODirect_Equations.VEERG_4_2_1_3__7_RelativeSize(W24,E$28)</f>
        <v>0.88311688311688308</v>
      </c>
      <c r="X40" s="25" cm="1">
        <f t="array" aca="1" ref="X40" ca="1">MMS_PastureBeef_Soil_N2ODirect_Equations.VEERG_4_2_1_3__7_RelativeSize(X24,F$28)</f>
        <v>0.14545454545454545</v>
      </c>
      <c r="Y40" s="25" cm="1">
        <f t="array" aca="1" ref="Y40" ca="1">MMS_PastureBeef_Soil_N2ODirect_Equations.VEERG_4_2_1_3__7_RelativeSize(Y24,G$28)</f>
        <v>0.58181818181818179</v>
      </c>
      <c r="Z40" s="25" cm="1">
        <f t="array" aca="1" ref="Z40" ca="1">MMS_PastureBeef_Soil_N2ODirect_Equations.VEERG_4_2_1_3__7_RelativeSize(Z24,H$28)</f>
        <v>0.87272727272727268</v>
      </c>
      <c r="AA40" s="25" cm="1">
        <f t="array" aca="1" ref="AA40" ca="1">MMS_PastureBeef_Soil_N2ODirect_Equations.VEERG_4_2_1_3__7_RelativeSize(AA24,I$28)</f>
        <v>0.87272727272727268</v>
      </c>
      <c r="AB40" s="25" cm="1">
        <f t="array" aca="1" ref="AB40" ca="1">MMS_PastureBeef_Soil_N2ODirect_Equations.VEERG_4_2_1_3__7_RelativeSize(AB24,J$28)</f>
        <v>0.15151515151515152</v>
      </c>
      <c r="AC40" s="25" cm="1">
        <f t="array" aca="1" ref="AC40" ca="1">MMS_PastureBeef_Soil_N2ODirect_Equations.VEERG_4_2_1_3__7_RelativeSize(AC24,K$28)</f>
        <v>0.51515151515151514</v>
      </c>
      <c r="AD40" s="25" cm="1">
        <f t="array" aca="1" ref="AD40" ca="1">MMS_PastureBeef_Soil_N2ODirect_Equations.VEERG_4_2_1_3__7_RelativeSize(AD24,L$28)</f>
        <v>0.51515151515151514</v>
      </c>
      <c r="AE40" s="25" cm="1">
        <f t="array" aca="1" ref="AE40" ca="1">MMS_PastureBeef_Soil_N2ODirect_Equations.VEERG_4_2_1_3__7_RelativeSize(AE24,M$28)</f>
        <v>0.51515151515151514</v>
      </c>
      <c r="AF40" s="26" t="str">
        <f t="shared" si="1"/>
        <v>ratio</v>
      </c>
      <c r="AG40" s="26"/>
      <c r="AH40" s="26"/>
    </row>
    <row r="41" spans="1:34" ht="20.100000000000001" customHeight="1" x14ac:dyDescent="0.25">
      <c r="A41" s="5" t="str">
        <f>HYPERLINK("#'Constants - Electricity'!A1", "Constants - Electricity")</f>
        <v>Constants - Electricity</v>
      </c>
      <c r="D41" s="27" t="str" cm="1">
        <f t="array" ref="D41">MMS_PastureBeef_Soil_N2ODirect_Equations.VEERG_4_2_1_3__6_IntakeRelativeToMaintenance_Source()</f>
        <v>VEERG 2026: 4.2.1.3, Equation (6)</v>
      </c>
      <c r="U41" s="25" t="e">
        <f>TEXT(EDATE('Input - Site'!$E$12,5), "mmmm yyyy")</f>
        <v>#VALUE!</v>
      </c>
      <c r="V41" s="25" cm="1">
        <f t="array" aca="1" ref="V41" ca="1">MMS_PastureBeef_Soil_N2ODirect_Equations.VEERG_4_2_1_3__7_RelativeSize(V25,D$28)</f>
        <v>0.24675324675324675</v>
      </c>
      <c r="W41" s="25" cm="1">
        <f t="array" aca="1" ref="W41" ca="1">MMS_PastureBeef_Soil_N2ODirect_Equations.VEERG_4_2_1_3__7_RelativeSize(W25,E$28)</f>
        <v>0.90909090909090906</v>
      </c>
      <c r="X41" s="25" cm="1">
        <f t="array" aca="1" ref="X41" ca="1">MMS_PastureBeef_Soil_N2ODirect_Equations.VEERG_4_2_1_3__7_RelativeSize(X25,F$28)</f>
        <v>0.27272727272727271</v>
      </c>
      <c r="Y41" s="25" cm="1">
        <f t="array" aca="1" ref="Y41" ca="1">MMS_PastureBeef_Soil_N2ODirect_Equations.VEERG_4_2_1_3__7_RelativeSize(Y25,G$28)</f>
        <v>0.6</v>
      </c>
      <c r="Z41" s="25" cm="1">
        <f t="array" aca="1" ref="Z41" ca="1">MMS_PastureBeef_Soil_N2ODirect_Equations.VEERG_4_2_1_3__7_RelativeSize(Z25,H$28)</f>
        <v>0.89090909090909087</v>
      </c>
      <c r="AA41" s="25" cm="1">
        <f t="array" aca="1" ref="AA41" ca="1">MMS_PastureBeef_Soil_N2ODirect_Equations.VEERG_4_2_1_3__7_RelativeSize(AA25,I$28)</f>
        <v>0.89090909090909087</v>
      </c>
      <c r="AB41" s="25" cm="1">
        <f t="array" aca="1" ref="AB41" ca="1">MMS_PastureBeef_Soil_N2ODirect_Equations.VEERG_4_2_1_3__7_RelativeSize(AB25,J$28)</f>
        <v>0.25757575757575757</v>
      </c>
      <c r="AC41" s="25" cm="1">
        <f t="array" aca="1" ref="AC41" ca="1">MMS_PastureBeef_Soil_N2ODirect_Equations.VEERG_4_2_1_3__7_RelativeSize(AC25,K$28)</f>
        <v>0.54545454545454541</v>
      </c>
      <c r="AD41" s="25" cm="1">
        <f t="array" aca="1" ref="AD41" ca="1">MMS_PastureBeef_Soil_N2ODirect_Equations.VEERG_4_2_1_3__7_RelativeSize(AD25,L$28)</f>
        <v>0.54545454545454541</v>
      </c>
      <c r="AE41" s="25" cm="1">
        <f t="array" aca="1" ref="AE41" ca="1">MMS_PastureBeef_Soil_N2ODirect_Equations.VEERG_4_2_1_3__7_RelativeSize(AE25,M$28)</f>
        <v>0.54545454545454541</v>
      </c>
      <c r="AF41" s="26" t="str">
        <f t="shared" si="1"/>
        <v>ratio</v>
      </c>
      <c r="AG41" s="26"/>
      <c r="AH41" s="26"/>
    </row>
    <row r="42" spans="1:34" ht="20.100000000000001" customHeight="1" x14ac:dyDescent="0.25">
      <c r="A42" s="5" t="str">
        <f>HYPERLINK("#'Constants - Fertiliser'!A1", "Constants - Fertiliser")</f>
        <v>Constants - Fertiliser</v>
      </c>
      <c r="D42" s="105" t="s">
        <v>261</v>
      </c>
      <c r="E42" s="105" t="str" cm="1">
        <f t="array" aca="1" ref="E42" ca="1">Common_InputFunctions.Utility_DisplayFunctionName(E62)</f>
        <v>=MMS_PastureBeef_Soil_N2ODirect_Equations.VEERG_4_2_1_3__6_IntakeRelativeToMaintenance</v>
      </c>
      <c r="U42" s="25" t="e">
        <f>TEXT(EDATE('Input - Site'!$E$12,6), "mmmm yyyy")</f>
        <v>#VALUE!</v>
      </c>
      <c r="V42" s="25" cm="1">
        <f t="array" aca="1" ref="V42" ca="1">MMS_PastureBeef_Soil_N2ODirect_Equations.VEERG_4_2_1_3__7_RelativeSize(V26,D$28)</f>
        <v>0.24675324675324675</v>
      </c>
      <c r="W42" s="25" cm="1">
        <f t="array" aca="1" ref="W42" ca="1">MMS_PastureBeef_Soil_N2ODirect_Equations.VEERG_4_2_1_3__7_RelativeSize(W26,E$28)</f>
        <v>0.90909090909090906</v>
      </c>
      <c r="X42" s="25" cm="1">
        <f t="array" aca="1" ref="X42" ca="1">MMS_PastureBeef_Soil_N2ODirect_Equations.VEERG_4_2_1_3__7_RelativeSize(X26,F$28)</f>
        <v>0.27272727272727271</v>
      </c>
      <c r="Y42" s="25" cm="1">
        <f t="array" aca="1" ref="Y42" ca="1">MMS_PastureBeef_Soil_N2ODirect_Equations.VEERG_4_2_1_3__7_RelativeSize(Y26,G$28)</f>
        <v>0.6</v>
      </c>
      <c r="Z42" s="25" cm="1">
        <f t="array" aca="1" ref="Z42" ca="1">MMS_PastureBeef_Soil_N2ODirect_Equations.VEERG_4_2_1_3__7_RelativeSize(Z26,H$28)</f>
        <v>0.89090909090909087</v>
      </c>
      <c r="AA42" s="25" cm="1">
        <f t="array" aca="1" ref="AA42" ca="1">MMS_PastureBeef_Soil_N2ODirect_Equations.VEERG_4_2_1_3__7_RelativeSize(AA26,I$28)</f>
        <v>0.89090909090909087</v>
      </c>
      <c r="AB42" s="25" cm="1">
        <f t="array" aca="1" ref="AB42" ca="1">MMS_PastureBeef_Soil_N2ODirect_Equations.VEERG_4_2_1_3__7_RelativeSize(AB26,J$28)</f>
        <v>0.25757575757575757</v>
      </c>
      <c r="AC42" s="25" cm="1">
        <f t="array" aca="1" ref="AC42" ca="1">MMS_PastureBeef_Soil_N2ODirect_Equations.VEERG_4_2_1_3__7_RelativeSize(AC26,K$28)</f>
        <v>0.54545454545454541</v>
      </c>
      <c r="AD42" s="25" cm="1">
        <f t="array" aca="1" ref="AD42" ca="1">MMS_PastureBeef_Soil_N2ODirect_Equations.VEERG_4_2_1_3__7_RelativeSize(AD26,L$28)</f>
        <v>0.54545454545454541</v>
      </c>
      <c r="AE42" s="25" cm="1">
        <f t="array" aca="1" ref="AE42" ca="1">MMS_PastureBeef_Soil_N2ODirect_Equations.VEERG_4_2_1_3__7_RelativeSize(AE26,M$28)</f>
        <v>0.54545454545454541</v>
      </c>
      <c r="AF42" s="26" t="str">
        <f t="shared" si="1"/>
        <v>ratio</v>
      </c>
      <c r="AG42" s="26"/>
      <c r="AH42" s="26"/>
    </row>
    <row r="43" spans="1:34" ht="20.100000000000001" customHeight="1" x14ac:dyDescent="0.25">
      <c r="A43" s="5" t="str">
        <f>HYPERLINK("#'Constants - Fuel'!A1", "Constants - Fuel")</f>
        <v>Constants - Fuel</v>
      </c>
      <c r="U43" s="25" t="e">
        <f>TEXT(EDATE('Input - Site'!$E$12,7), "mmmm yyyy")</f>
        <v>#VALUE!</v>
      </c>
      <c r="V43" s="25" cm="1">
        <f t="array" aca="1" ref="V43" ca="1">MMS_PastureBeef_Soil_N2ODirect_Equations.VEERG_4_2_1_3__7_RelativeSize(V27,D$28)</f>
        <v>0.24675324675324675</v>
      </c>
      <c r="W43" s="25" cm="1">
        <f t="array" aca="1" ref="W43" ca="1">MMS_PastureBeef_Soil_N2ODirect_Equations.VEERG_4_2_1_3__7_RelativeSize(W27,E$28)</f>
        <v>0.90909090909090906</v>
      </c>
      <c r="X43" s="25" cm="1">
        <f t="array" aca="1" ref="X43" ca="1">MMS_PastureBeef_Soil_N2ODirect_Equations.VEERG_4_2_1_3__7_RelativeSize(X27,F$28)</f>
        <v>0.27272727272727271</v>
      </c>
      <c r="Y43" s="25" cm="1">
        <f t="array" aca="1" ref="Y43" ca="1">MMS_PastureBeef_Soil_N2ODirect_Equations.VEERG_4_2_1_3__7_RelativeSize(Y27,G$28)</f>
        <v>0.6</v>
      </c>
      <c r="Z43" s="25" cm="1">
        <f t="array" aca="1" ref="Z43" ca="1">MMS_PastureBeef_Soil_N2ODirect_Equations.VEERG_4_2_1_3__7_RelativeSize(Z27,H$28)</f>
        <v>0.89090909090909087</v>
      </c>
      <c r="AA43" s="25" cm="1">
        <f t="array" aca="1" ref="AA43" ca="1">MMS_PastureBeef_Soil_N2ODirect_Equations.VEERG_4_2_1_3__7_RelativeSize(AA27,I$28)</f>
        <v>0.89090909090909087</v>
      </c>
      <c r="AB43" s="25" cm="1">
        <f t="array" aca="1" ref="AB43" ca="1">MMS_PastureBeef_Soil_N2ODirect_Equations.VEERG_4_2_1_3__7_RelativeSize(AB27,J$28)</f>
        <v>0.25757575757575757</v>
      </c>
      <c r="AC43" s="25" cm="1">
        <f t="array" aca="1" ref="AC43" ca="1">MMS_PastureBeef_Soil_N2ODirect_Equations.VEERG_4_2_1_3__7_RelativeSize(AC27,K$28)</f>
        <v>0.54545454545454541</v>
      </c>
      <c r="AD43" s="25" cm="1">
        <f t="array" aca="1" ref="AD43" ca="1">MMS_PastureBeef_Soil_N2ODirect_Equations.VEERG_4_2_1_3__7_RelativeSize(AD27,L$28)</f>
        <v>0.54545454545454541</v>
      </c>
      <c r="AE43" s="25" cm="1">
        <f t="array" aca="1" ref="AE43" ca="1">MMS_PastureBeef_Soil_N2ODirect_Equations.VEERG_4_2_1_3__7_RelativeSize(AE27,M$28)</f>
        <v>0.54545454545454541</v>
      </c>
      <c r="AF43" s="26" t="str">
        <f t="shared" si="1"/>
        <v>ratio</v>
      </c>
      <c r="AG43" s="26"/>
      <c r="AH43" s="26"/>
    </row>
    <row r="44" spans="1:34" ht="20.100000000000001" customHeight="1" x14ac:dyDescent="0.25">
      <c r="A44" s="5" t="str">
        <f>HYPERLINK("#'Constants - Common'!A1", "Constants - Common")</f>
        <v>Constants - Common</v>
      </c>
      <c r="U44" s="25" t="e">
        <f>TEXT(EDATE('Input - Site'!$E$12,8), "mmmm yyyy")</f>
        <v>#VALUE!</v>
      </c>
      <c r="V44" s="25" cm="1">
        <f t="array" aca="1" ref="V44" ca="1">MMS_PastureBeef_Soil_N2ODirect_Equations.VEERG_4_2_1_3__7_RelativeSize(V28,D$28)</f>
        <v>0.44155844155844154</v>
      </c>
      <c r="W44" s="25" cm="1">
        <f t="array" aca="1" ref="W44" ca="1">MMS_PastureBeef_Soil_N2ODirect_Equations.VEERG_4_2_1_3__7_RelativeSize(W28,E$28)</f>
        <v>1.0389610389610389</v>
      </c>
      <c r="X44" s="25" cm="1">
        <f t="array" aca="1" ref="X44" ca="1">MMS_PastureBeef_Soil_N2ODirect_Equations.VEERG_4_2_1_3__7_RelativeSize(X28,F$28)</f>
        <v>0.47272727272727272</v>
      </c>
      <c r="Y44" s="25" cm="1">
        <f t="array" aca="1" ref="Y44" ca="1">MMS_PastureBeef_Soil_N2ODirect_Equations.VEERG_4_2_1_3__7_RelativeSize(Y28,G$28)</f>
        <v>0.76363636363636367</v>
      </c>
      <c r="Z44" s="25" cm="1">
        <f t="array" aca="1" ref="Z44" ca="1">MMS_PastureBeef_Soil_N2ODirect_Equations.VEERG_4_2_1_3__7_RelativeSize(Z28,H$28)</f>
        <v>1</v>
      </c>
      <c r="AA44" s="25" cm="1">
        <f t="array" aca="1" ref="AA44" ca="1">MMS_PastureBeef_Soil_N2ODirect_Equations.VEERG_4_2_1_3__7_RelativeSize(AA28,I$28)</f>
        <v>1</v>
      </c>
      <c r="AB44" s="25" cm="1">
        <f t="array" aca="1" ref="AB44" ca="1">MMS_PastureBeef_Soil_N2ODirect_Equations.VEERG_4_2_1_3__7_RelativeSize(AB28,J$28)</f>
        <v>0.45454545454545453</v>
      </c>
      <c r="AC44" s="25" cm="1">
        <f t="array" aca="1" ref="AC44" ca="1">MMS_PastureBeef_Soil_N2ODirect_Equations.VEERG_4_2_1_3__7_RelativeSize(AC28,K$28)</f>
        <v>0.72727272727272729</v>
      </c>
      <c r="AD44" s="25" cm="1">
        <f t="array" aca="1" ref="AD44" ca="1">MMS_PastureBeef_Soil_N2ODirect_Equations.VEERG_4_2_1_3__7_RelativeSize(AD28,L$28)</f>
        <v>0.72727272727272729</v>
      </c>
      <c r="AE44" s="25" cm="1">
        <f t="array" aca="1" ref="AE44" ca="1">MMS_PastureBeef_Soil_N2ODirect_Equations.VEERG_4_2_1_3__7_RelativeSize(AE28,M$28)</f>
        <v>0.72727272727272729</v>
      </c>
      <c r="AF44" s="26" t="str">
        <f t="shared" si="1"/>
        <v>ratio</v>
      </c>
      <c r="AG44" s="26"/>
      <c r="AH44" s="26"/>
    </row>
    <row r="45" spans="1:34" ht="20.100000000000001" customHeight="1" x14ac:dyDescent="0.25">
      <c r="A45" s="5" t="str">
        <f>HYPERLINK("#'Acknowledgements'!A1", "Acknowledgements")</f>
        <v>Acknowledgements</v>
      </c>
      <c r="D45" s="88" t="s">
        <v>263</v>
      </c>
      <c r="E45" s="1" t="str" cm="1">
        <f t="array" ref="E45">MMS_PastureBeef_Soil_N2ODirect_Equations.VEERG_4_2_1_3__6_IntakeRelativeToMaintenance_Variable()</f>
        <v>L_jkl</v>
      </c>
      <c r="U45" s="25" t="e">
        <f>TEXT(EDATE('Input - Site'!$E$12,9), "mmmm yyyy")</f>
        <v>#VALUE!</v>
      </c>
      <c r="V45" s="25" cm="1">
        <f t="array" aca="1" ref="V45" ca="1">MMS_PastureBeef_Soil_N2ODirect_Equations.VEERG_4_2_1_3__7_RelativeSize(V29,D$28)</f>
        <v>0.44155844155844154</v>
      </c>
      <c r="W45" s="25" cm="1">
        <f t="array" aca="1" ref="W45" ca="1">MMS_PastureBeef_Soil_N2ODirect_Equations.VEERG_4_2_1_3__7_RelativeSize(W29,E$28)</f>
        <v>1.0389610389610389</v>
      </c>
      <c r="X45" s="25" cm="1">
        <f t="array" aca="1" ref="X45" ca="1">MMS_PastureBeef_Soil_N2ODirect_Equations.VEERG_4_2_1_3__7_RelativeSize(X29,F$28)</f>
        <v>0.47272727272727272</v>
      </c>
      <c r="Y45" s="25" cm="1">
        <f t="array" aca="1" ref="Y45" ca="1">MMS_PastureBeef_Soil_N2ODirect_Equations.VEERG_4_2_1_3__7_RelativeSize(Y29,G$28)</f>
        <v>0.76363636363636367</v>
      </c>
      <c r="Z45" s="25" cm="1">
        <f t="array" aca="1" ref="Z45" ca="1">MMS_PastureBeef_Soil_N2ODirect_Equations.VEERG_4_2_1_3__7_RelativeSize(Z29,H$28)</f>
        <v>1</v>
      </c>
      <c r="AA45" s="25" cm="1">
        <f t="array" aca="1" ref="AA45" ca="1">MMS_PastureBeef_Soil_N2ODirect_Equations.VEERG_4_2_1_3__7_RelativeSize(AA29,I$28)</f>
        <v>1</v>
      </c>
      <c r="AB45" s="25" cm="1">
        <f t="array" aca="1" ref="AB45" ca="1">MMS_PastureBeef_Soil_N2ODirect_Equations.VEERG_4_2_1_3__7_RelativeSize(AB29,J$28)</f>
        <v>0.45454545454545453</v>
      </c>
      <c r="AC45" s="25" cm="1">
        <f t="array" aca="1" ref="AC45" ca="1">MMS_PastureBeef_Soil_N2ODirect_Equations.VEERG_4_2_1_3__7_RelativeSize(AC29,K$28)</f>
        <v>0.72727272727272729</v>
      </c>
      <c r="AD45" s="25" cm="1">
        <f t="array" aca="1" ref="AD45" ca="1">MMS_PastureBeef_Soil_N2ODirect_Equations.VEERG_4_2_1_3__7_RelativeSize(AD29,L$28)</f>
        <v>0.72727272727272729</v>
      </c>
      <c r="AE45" s="25" cm="1">
        <f t="array" aca="1" ref="AE45" ca="1">MMS_PastureBeef_Soil_N2ODirect_Equations.VEERG_4_2_1_3__7_RelativeSize(AE29,M$28)</f>
        <v>0.72727272727272729</v>
      </c>
      <c r="AF45" s="26" t="str">
        <f t="shared" si="1"/>
        <v>ratio</v>
      </c>
      <c r="AG45" s="26"/>
      <c r="AH45" s="26"/>
    </row>
    <row r="46" spans="1:34" ht="20.100000000000001" customHeight="1" x14ac:dyDescent="0.25">
      <c r="A46" s="5" t="str">
        <f>HYPERLINK("#'Overview'!A1", "Overview")</f>
        <v>Overview</v>
      </c>
      <c r="D46" s="88" t="s">
        <v>130</v>
      </c>
      <c r="E46" s="15" t="str" cm="1">
        <f t="array" ref="E46">MMS_PastureBeef_Soil_N2ODirect_Equations.VEERG_4_2_1_3__6_IntakeRelativeToMaintenance_Unit()</f>
        <v>ratio</v>
      </c>
      <c r="U46" s="25" t="e">
        <f>TEXT(EDATE('Input - Site'!$E$12,10), "mmmm yyyy")</f>
        <v>#VALUE!</v>
      </c>
      <c r="V46" s="25" cm="1">
        <f t="array" aca="1" ref="V46" ca="1">MMS_PastureBeef_Soil_N2ODirect_Equations.VEERG_4_2_1_3__7_RelativeSize(V30,D$28)</f>
        <v>0.44155844155844154</v>
      </c>
      <c r="W46" s="25" cm="1">
        <f t="array" aca="1" ref="W46" ca="1">MMS_PastureBeef_Soil_N2ODirect_Equations.VEERG_4_2_1_3__7_RelativeSize(W30,E$28)</f>
        <v>1.0389610389610389</v>
      </c>
      <c r="X46" s="25" cm="1">
        <f t="array" aca="1" ref="X46" ca="1">MMS_PastureBeef_Soil_N2ODirect_Equations.VEERG_4_2_1_3__7_RelativeSize(X30,F$28)</f>
        <v>0.47272727272727272</v>
      </c>
      <c r="Y46" s="25" cm="1">
        <f t="array" aca="1" ref="Y46" ca="1">MMS_PastureBeef_Soil_N2ODirect_Equations.VEERG_4_2_1_3__7_RelativeSize(Y30,G$28)</f>
        <v>0.76363636363636367</v>
      </c>
      <c r="Z46" s="25" cm="1">
        <f t="array" aca="1" ref="Z46" ca="1">MMS_PastureBeef_Soil_N2ODirect_Equations.VEERG_4_2_1_3__7_RelativeSize(Z30,H$28)</f>
        <v>1</v>
      </c>
      <c r="AA46" s="25" cm="1">
        <f t="array" aca="1" ref="AA46" ca="1">MMS_PastureBeef_Soil_N2ODirect_Equations.VEERG_4_2_1_3__7_RelativeSize(AA30,I$28)</f>
        <v>1</v>
      </c>
      <c r="AB46" s="25" cm="1">
        <f t="array" aca="1" ref="AB46" ca="1">MMS_PastureBeef_Soil_N2ODirect_Equations.VEERG_4_2_1_3__7_RelativeSize(AB30,J$28)</f>
        <v>0.45454545454545453</v>
      </c>
      <c r="AC46" s="25" cm="1">
        <f t="array" aca="1" ref="AC46" ca="1">MMS_PastureBeef_Soil_N2ODirect_Equations.VEERG_4_2_1_3__7_RelativeSize(AC30,K$28)</f>
        <v>0.72727272727272729</v>
      </c>
      <c r="AD46" s="25" cm="1">
        <f t="array" aca="1" ref="AD46" ca="1">MMS_PastureBeef_Soil_N2ODirect_Equations.VEERG_4_2_1_3__7_RelativeSize(AD30,L$28)</f>
        <v>0.72727272727272729</v>
      </c>
      <c r="AE46" s="25" cm="1">
        <f t="array" aca="1" ref="AE46" ca="1">MMS_PastureBeef_Soil_N2ODirect_Equations.VEERG_4_2_1_3__7_RelativeSize(AE30,M$28)</f>
        <v>0.72727272727272729</v>
      </c>
      <c r="AF46" s="26" t="str">
        <f t="shared" si="1"/>
        <v>ratio</v>
      </c>
      <c r="AG46" s="26"/>
      <c r="AH46" s="26"/>
    </row>
    <row r="47" spans="1:34" ht="20.100000000000001" customHeight="1" x14ac:dyDescent="0.25">
      <c r="U47" s="25" t="e">
        <f>TEXT(EDATE('Input - Site'!$E$12,11), "mmmm yyyy")</f>
        <v>#VALUE!</v>
      </c>
      <c r="V47" s="25" cm="1">
        <f t="array" aca="1" ref="V47" ca="1">MMS_PastureBeef_Soil_N2ODirect_Equations.VEERG_4_2_1_3__7_RelativeSize(V31,D$28)</f>
        <v>0.4935064935064935</v>
      </c>
      <c r="W47" s="25" cm="1">
        <f t="array" aca="1" ref="W47" ca="1">MMS_PastureBeef_Soil_N2ODirect_Equations.VEERG_4_2_1_3__7_RelativeSize(W31,E$28)</f>
        <v>1.0129870129870129</v>
      </c>
      <c r="X47" s="25" cm="1">
        <f t="array" aca="1" ref="X47" ca="1">MMS_PastureBeef_Soil_N2ODirect_Equations.VEERG_4_2_1_3__7_RelativeSize(X31,F$28)</f>
        <v>0.54545454545454541</v>
      </c>
      <c r="Y47" s="25" cm="1">
        <f t="array" aca="1" ref="Y47" ca="1">MMS_PastureBeef_Soil_N2ODirect_Equations.VEERG_4_2_1_3__7_RelativeSize(Y31,G$28)</f>
        <v>0.81818181818181823</v>
      </c>
      <c r="Z47" s="25" cm="1">
        <f t="array" aca="1" ref="Z47" ca="1">MMS_PastureBeef_Soil_N2ODirect_Equations.VEERG_4_2_1_3__7_RelativeSize(Z31,H$28)</f>
        <v>0.96363636363636362</v>
      </c>
      <c r="AA47" s="25" cm="1">
        <f t="array" aca="1" ref="AA47" ca="1">MMS_PastureBeef_Soil_N2ODirect_Equations.VEERG_4_2_1_3__7_RelativeSize(AA31,I$28)</f>
        <v>0.96363636363636362</v>
      </c>
      <c r="AB47" s="25" cm="1">
        <f t="array" aca="1" ref="AB47" ca="1">MMS_PastureBeef_Soil_N2ODirect_Equations.VEERG_4_2_1_3__7_RelativeSize(AB31,J$28)</f>
        <v>0.51515151515151514</v>
      </c>
      <c r="AC47" s="25" cm="1">
        <f t="array" aca="1" ref="AC47" ca="1">MMS_PastureBeef_Soil_N2ODirect_Equations.VEERG_4_2_1_3__7_RelativeSize(AC31,K$28)</f>
        <v>0.71212121212121215</v>
      </c>
      <c r="AD47" s="25" cm="1">
        <f t="array" aca="1" ref="AD47" ca="1">MMS_PastureBeef_Soil_N2ODirect_Equations.VEERG_4_2_1_3__7_RelativeSize(AD31,L$28)</f>
        <v>0.71212121212121215</v>
      </c>
      <c r="AE47" s="25" cm="1">
        <f t="array" aca="1" ref="AE47" ca="1">MMS_PastureBeef_Soil_N2ODirect_Equations.VEERG_4_2_1_3__7_RelativeSize(AE31,M$28)</f>
        <v>0.71212121212121215</v>
      </c>
      <c r="AF47" s="26" t="str">
        <f t="shared" si="1"/>
        <v>ratio</v>
      </c>
      <c r="AG47" s="26"/>
      <c r="AH47" s="26"/>
    </row>
    <row r="48" spans="1:34" ht="20.100000000000001" customHeight="1" x14ac:dyDescent="0.25">
      <c r="D48" s="107" t="str" cm="1">
        <f t="array" ref="D48:E49">_xlfn.CHOOSECOLS(MMS_PastureBeef_Soil_N2ODirect_Equations.VEERG_4_2_1_3__6_IntakeRelativeToMaintenance_Arguments(),1,2)</f>
        <v>I_jkl</v>
      </c>
      <c r="E48" s="108" t="str">
        <v>dry matter intake as calculated in Chapter 3 Section 3.2.1 (kg DM/head/day)</v>
      </c>
      <c r="F48" s="110"/>
      <c r="G48" s="107" t="str" cm="1">
        <f t="array" ref="G48:H49">_xlfn.CHOOSECOLS(MMS_PastureBeef_Soil_N2ODirect_Equations.VEERG_4_2_1_3__6_IntakeRelativeToMaintenance_Arguments(),3,4)</f>
        <v>kg DM/head/day</v>
      </c>
      <c r="H48" s="112" t="str">
        <v>Calculated from 3.2.1.1 (3)</v>
      </c>
      <c r="I48" s="113" t="str" cm="1">
        <f t="array" aca="1" ref="I48" ca="1">HYPERLINK(Common_InputFunctions.Utility_SourceHyperlink($D$51), $D$51)</f>
        <v>M1_Table_I_j_k_l</v>
      </c>
    </row>
    <row r="49" spans="4:35" ht="20.100000000000001" customHeight="1" x14ac:dyDescent="0.25">
      <c r="D49" s="107" t="str">
        <v>W_jkl</v>
      </c>
      <c r="E49" s="108" t="str">
        <v>liveweight (kg/head)</v>
      </c>
      <c r="F49" s="110"/>
      <c r="G49" s="107" t="str">
        <v>kg/head</v>
      </c>
      <c r="H49" s="111" t="str">
        <v>Input</v>
      </c>
      <c r="I49" s="113" t="str" cm="1">
        <f t="array" aca="1" ref="I49" ca="1">HYPERLINK(Common_InputFunctions.Utility_SourceHyperlink($D$17), $D$17)</f>
        <v>M1_Table_W_j_k_l</v>
      </c>
    </row>
    <row r="50" spans="4:35" ht="20.100000000000001" customHeight="1" x14ac:dyDescent="0.25">
      <c r="T50" s="118"/>
      <c r="U50" s="118"/>
      <c r="V50" s="118"/>
      <c r="W50" s="118"/>
      <c r="X50" s="118"/>
      <c r="Y50" s="118"/>
      <c r="Z50" s="118"/>
      <c r="AA50" s="118"/>
      <c r="AB50" s="118"/>
      <c r="AC50" s="118"/>
      <c r="AD50" s="118"/>
      <c r="AE50" s="118"/>
      <c r="AF50" s="118"/>
      <c r="AG50" s="118"/>
      <c r="AH50" s="118"/>
      <c r="AI50" s="118"/>
    </row>
    <row r="51" spans="4:35" ht="20.100000000000001" customHeight="1" x14ac:dyDescent="0.25">
      <c r="D51" s="114" t="s">
        <v>282</v>
      </c>
      <c r="U51" s="2" t="str" cm="1">
        <f t="array" ref="U51">MMS_PastureBeef_Soil_N2ODirect_Equations.VEERG_4_2_1_3__6_IntakeRelativeToMaintenance_Title()</f>
        <v>Intake relative to that needed for maintenance</v>
      </c>
    </row>
    <row r="52" spans="4:35" ht="20.100000000000001" customHeight="1" x14ac:dyDescent="0.25">
      <c r="D52" s="115" t="s">
        <v>283</v>
      </c>
    </row>
    <row r="53" spans="4:35" ht="20.100000000000001" customHeight="1" x14ac:dyDescent="0.25">
      <c r="D53" s="116" t="s">
        <v>78</v>
      </c>
      <c r="E53" s="116" t="s">
        <v>193</v>
      </c>
      <c r="F53" s="116" t="s">
        <v>194</v>
      </c>
      <c r="G53" s="116" t="s">
        <v>195</v>
      </c>
      <c r="H53" s="116" t="s">
        <v>196</v>
      </c>
      <c r="I53" s="116" t="s">
        <v>197</v>
      </c>
      <c r="J53" s="116" t="s">
        <v>198</v>
      </c>
      <c r="K53" s="116" t="s">
        <v>199</v>
      </c>
      <c r="L53" s="116" t="s">
        <v>200</v>
      </c>
      <c r="M53" s="116" t="s">
        <v>201</v>
      </c>
      <c r="N53" s="116" t="s">
        <v>202</v>
      </c>
      <c r="U53" s="114" t="s">
        <v>284</v>
      </c>
    </row>
    <row r="54" spans="4:35" ht="20.100000000000001" customHeight="1" x14ac:dyDescent="0.25">
      <c r="D54" s="25" t="s">
        <v>203</v>
      </c>
      <c r="E54" s="25">
        <f ca="1">INDEX(M1_Table_I_j_k_l,2,2)</f>
        <v>8.6709047296000001</v>
      </c>
      <c r="F54" s="25">
        <f ca="1">INDEX(M1_Table_I_j_k_l,2,3)</f>
        <v>12.246500250000002</v>
      </c>
      <c r="G54" s="25">
        <f ca="1">INDEX(M1_Table_I_j_k_l,2,4)</f>
        <v>6.6089612241000006</v>
      </c>
      <c r="H54" s="25">
        <f ca="1">INDEX(M1_Table_I_j_k_l,2,5)</f>
        <v>9.5403922901100024</v>
      </c>
      <c r="I54" s="25">
        <f ca="1">INDEX(M1_Table_I_j_k_l,2,6)</f>
        <v>11.268377125200001</v>
      </c>
      <c r="J54" s="25">
        <f ca="1">INDEX(M1_Table_I_j_k_l,2,7)</f>
        <v>11.268377125200001</v>
      </c>
      <c r="K54" s="25">
        <f ca="1">INDEX(M1_Table_I_j_k_l,2,8)</f>
        <v>7.6192560899999977</v>
      </c>
      <c r="L54" s="25">
        <f ca="1">INDEX(M1_Table_I_j_k_l,2,9)</f>
        <v>9.6824279555999979</v>
      </c>
      <c r="M54" s="25">
        <f ca="1">INDEX(M1_Table_I_j_k_l,2,10)</f>
        <v>9.6824279555999979</v>
      </c>
      <c r="N54" s="25">
        <f ca="1">INDEX(M1_Table_I_j_k_l,2,11)</f>
        <v>9.6824279555999979</v>
      </c>
      <c r="O54" s="26" t="str">
        <f>'4.2.1.1-2 Methane'!O84</f>
        <v>kg DM/head/day</v>
      </c>
      <c r="U54" s="115" t="s">
        <v>285</v>
      </c>
    </row>
    <row r="55" spans="4:35" ht="20.100000000000001" customHeight="1" x14ac:dyDescent="0.25">
      <c r="D55" s="25" t="s">
        <v>204</v>
      </c>
      <c r="E55" s="25">
        <f ca="1">INDEX(M1_Table_I_j_k_l,3,2)</f>
        <v>7.1468536895999959</v>
      </c>
      <c r="F55" s="25">
        <f ca="1">INDEX(M1_Table_I_j_k_l,3,3)</f>
        <v>9.4559940036000008</v>
      </c>
      <c r="G55" s="25">
        <f ca="1">INDEX(M1_Table_I_j_k_l,3,4)</f>
        <v>6.010342559999998</v>
      </c>
      <c r="H55" s="25">
        <f ca="1">INDEX(M1_Table_I_j_k_l,3,5)</f>
        <v>8.1853716906000002</v>
      </c>
      <c r="I55" s="25">
        <f ca="1">INDEX(M1_Table_I_j_k_l,3,6)</f>
        <v>8.1045195229439972</v>
      </c>
      <c r="J55" s="25">
        <f ca="1">INDEX(M1_Table_I_j_k_l,3,7)</f>
        <v>8.1045195229439972</v>
      </c>
      <c r="K55" s="25">
        <f ca="1">INDEX(M1_Table_I_j_k_l,3,8)</f>
        <v>6.5876408896000003</v>
      </c>
      <c r="L55" s="25">
        <f ca="1">INDEX(M1_Table_I_j_k_l,3,9)</f>
        <v>7.3430702361</v>
      </c>
      <c r="M55" s="25">
        <f ca="1">INDEX(M1_Table_I_j_k_l,3,10)</f>
        <v>7.3430702361</v>
      </c>
      <c r="N55" s="25">
        <f ca="1">INDEX(M1_Table_I_j_k_l,3,11)</f>
        <v>7.3430702361</v>
      </c>
      <c r="O55" s="26" t="str">
        <f>'4.2.1.1-2 Methane'!O85</f>
        <v>kg DM/head/day</v>
      </c>
      <c r="U55" s="116" t="s">
        <v>77</v>
      </c>
      <c r="V55" s="116" t="s">
        <v>193</v>
      </c>
      <c r="W55" s="116" t="s">
        <v>194</v>
      </c>
      <c r="X55" s="116" t="s">
        <v>195</v>
      </c>
      <c r="Y55" s="116" t="s">
        <v>196</v>
      </c>
      <c r="Z55" s="116" t="s">
        <v>197</v>
      </c>
      <c r="AA55" s="116" t="s">
        <v>198</v>
      </c>
      <c r="AB55" s="116" t="s">
        <v>199</v>
      </c>
      <c r="AC55" s="116" t="s">
        <v>200</v>
      </c>
      <c r="AD55" s="116" t="s">
        <v>201</v>
      </c>
      <c r="AE55" s="116" t="s">
        <v>202</v>
      </c>
    </row>
    <row r="56" spans="4:35" ht="20.100000000000001" customHeight="1" x14ac:dyDescent="0.25">
      <c r="D56" s="25" t="s">
        <v>205</v>
      </c>
      <c r="E56" s="25">
        <f ca="1">INDEX(M1_Table_I_j_k_l,4,2)</f>
        <v>3.247204</v>
      </c>
      <c r="F56" s="25">
        <f ca="1">INDEX(M1_Table_I_j_k_l,4,3)</f>
        <v>9.4246544015999998</v>
      </c>
      <c r="G56" s="25">
        <f ca="1">INDEX(M1_Table_I_j_k_l,4,4)</f>
        <v>2.9603267136000002</v>
      </c>
      <c r="H56" s="25">
        <f ca="1">INDEX(M1_Table_I_j_k_l,4,5)</f>
        <v>6.0173755149959991</v>
      </c>
      <c r="I56" s="25">
        <f ca="1">INDEX(M1_Table_I_j_k_l,4,6)</f>
        <v>6.7179974480999993</v>
      </c>
      <c r="J56" s="25">
        <f ca="1">INDEX(M1_Table_I_j_k_l,4,7)</f>
        <v>6.7179974480999993</v>
      </c>
      <c r="K56" s="25">
        <f ca="1">INDEX(M1_Table_I_j_k_l,4,8)</f>
        <v>3.247204</v>
      </c>
      <c r="L56" s="25">
        <f ca="1">INDEX(M1_Table_I_j_k_l,4,9)</f>
        <v>5.8953782416000013</v>
      </c>
      <c r="M56" s="25">
        <f ca="1">INDEX(M1_Table_I_j_k_l,4,10)</f>
        <v>5.8953782416000013</v>
      </c>
      <c r="N56" s="25">
        <f ca="1">INDEX(M1_Table_I_j_k_l,4,11)</f>
        <v>5.8953782416000013</v>
      </c>
      <c r="O56" s="26" t="str">
        <f>'4.2.1.1-2 Methane'!O86</f>
        <v>kg DM/head/day</v>
      </c>
      <c r="U56" s="25" t="str">
        <f>TEXT('Input - Site'!$E$12, "mmmm yyyy")</f>
        <v>NO - Not in leaching zone</v>
      </c>
      <c r="V56" s="25">
        <f ca="1">INDEX(M2_Table_I_j_k_l,2,2)</f>
        <v>7.1468536895999959</v>
      </c>
      <c r="W56" s="25">
        <f ca="1">INDEX(M2_Table_I_j_k_l,2,3)</f>
        <v>9.4559940036000008</v>
      </c>
      <c r="X56" s="25">
        <f ca="1">INDEX(M2_Table_I_j_k_l,2,4)</f>
        <v>6.010342559999998</v>
      </c>
      <c r="Y56" s="25">
        <f ca="1">INDEX(M2_Table_I_j_k_l,2,5)</f>
        <v>7.8705497025</v>
      </c>
      <c r="Z56" s="25">
        <f ca="1">INDEX(M2_Table_I_j_k_l,2,6)</f>
        <v>7.7928072335999978</v>
      </c>
      <c r="AA56" s="25">
        <f ca="1">INDEX(M2_Table_I_j_k_l,2,7)</f>
        <v>7.7928072335999978</v>
      </c>
      <c r="AB56" s="25">
        <f ca="1">INDEX(M2_Table_I_j_k_l,2,8)</f>
        <v>6.5876408896000003</v>
      </c>
      <c r="AC56" s="25">
        <f ca="1">INDEX(M2_Table_I_j_k_l,2,9)</f>
        <v>7.3430702361</v>
      </c>
      <c r="AD56" s="25">
        <f ca="1">INDEX(M2_Table_I_j_k_l,2,10)</f>
        <v>7.3430702361</v>
      </c>
      <c r="AE56" s="25">
        <f ca="1">INDEX(M2_Table_I_j_k_l,2,11)</f>
        <v>7.3430702361</v>
      </c>
      <c r="AF56" s="26" t="str">
        <f>'4.2.1.1-2 Methane'!AH76</f>
        <v>kg DM/head/day</v>
      </c>
      <c r="AG56" s="26"/>
      <c r="AH56" s="26"/>
    </row>
    <row r="57" spans="4:35" ht="20.100000000000001" customHeight="1" x14ac:dyDescent="0.25">
      <c r="D57" s="25" t="s">
        <v>206</v>
      </c>
      <c r="E57" s="25">
        <f ca="1">INDEX(M1_Table_I_j_k_l,5,2)</f>
        <v>5.1328980481000004</v>
      </c>
      <c r="F57" s="25">
        <f ca="1">INDEX(M1_Table_I_j_k_l,5,3)</f>
        <v>9.9748588899999984</v>
      </c>
      <c r="G57" s="25">
        <f ca="1">INDEX(M1_Table_I_j_k_l,5,4)</f>
        <v>4.202705002500001</v>
      </c>
      <c r="H57" s="25">
        <f ca="1">INDEX(M1_Table_I_j_k_l,5,5)</f>
        <v>7.172653468761002</v>
      </c>
      <c r="I57" s="25">
        <f ca="1">INDEX(M1_Table_I_j_k_l,5,6)</f>
        <v>9.145195140114998</v>
      </c>
      <c r="J57" s="25">
        <f ca="1">INDEX(M1_Table_I_j_k_l,5,7)</f>
        <v>9.145195140114998</v>
      </c>
      <c r="K57" s="25">
        <f ca="1">INDEX(M1_Table_I_j_k_l,5,8)</f>
        <v>4.5122681240999984</v>
      </c>
      <c r="L57" s="25">
        <f ca="1">INDEX(M1_Table_I_j_k_l,5,9)</f>
        <v>6.8698506815999991</v>
      </c>
      <c r="M57" s="25">
        <f ca="1">INDEX(M1_Table_I_j_k_l,5,10)</f>
        <v>6.8698506815999991</v>
      </c>
      <c r="N57" s="25">
        <f ca="1">INDEX(M1_Table_I_j_k_l,5,11)</f>
        <v>6.8698506815999991</v>
      </c>
      <c r="O57" s="26" t="str">
        <f>'4.2.1.1-2 Methane'!O87</f>
        <v>kg DM/head/day</v>
      </c>
      <c r="U57" s="25" t="e">
        <f>TEXT(EDATE('Input - Site'!$E$12,1), "mmmm yyyy")</f>
        <v>#VALUE!</v>
      </c>
      <c r="V57" s="25">
        <f ca="1">INDEX(M2_Table_I_j_k_l,3,2)</f>
        <v>7.1468536895999959</v>
      </c>
      <c r="W57" s="25">
        <f ca="1">INDEX(M2_Table_I_j_k_l,3,3)</f>
        <v>9.4559940036000008</v>
      </c>
      <c r="X57" s="25">
        <f ca="1">INDEX(M2_Table_I_j_k_l,3,4)</f>
        <v>6.010342559999998</v>
      </c>
      <c r="Y57" s="25">
        <f ca="1">INDEX(M2_Table_I_j_k_l,3,5)</f>
        <v>7.8705497025</v>
      </c>
      <c r="Z57" s="25">
        <f ca="1">INDEX(M2_Table_I_j_k_l,3,6)</f>
        <v>7.7928072335999978</v>
      </c>
      <c r="AA57" s="25">
        <f ca="1">INDEX(M2_Table_I_j_k_l,3,7)</f>
        <v>7.7928072335999978</v>
      </c>
      <c r="AB57" s="25">
        <f ca="1">INDEX(M2_Table_I_j_k_l,3,8)</f>
        <v>6.5876408896000003</v>
      </c>
      <c r="AC57" s="25">
        <f ca="1">INDEX(M2_Table_I_j_k_l,3,9)</f>
        <v>7.3430702361</v>
      </c>
      <c r="AD57" s="25">
        <f ca="1">INDEX(M2_Table_I_j_k_l,3,10)</f>
        <v>7.3430702361</v>
      </c>
      <c r="AE57" s="25">
        <f ca="1">INDEX(M2_Table_I_j_k_l,3,11)</f>
        <v>7.3430702361</v>
      </c>
      <c r="AF57" s="26" t="str">
        <f>'4.2.1.1-2 Methane'!AH77</f>
        <v>kg DM/head/day</v>
      </c>
      <c r="AG57" s="26"/>
      <c r="AH57" s="26"/>
    </row>
    <row r="58" spans="4:35" ht="20.100000000000001" customHeight="1" x14ac:dyDescent="0.25">
      <c r="U58" s="25" t="e">
        <f>TEXT(EDATE('Input - Site'!$E$12,2), "mmmm yyyy")</f>
        <v>#VALUE!</v>
      </c>
      <c r="V58" s="25">
        <f ca="1">INDEX(M2_Table_I_j_k_l,4,2)</f>
        <v>3.247204</v>
      </c>
      <c r="W58" s="25">
        <f ca="1">INDEX(M2_Table_I_j_k_l,4,3)</f>
        <v>9.4246544015999998</v>
      </c>
      <c r="X58" s="25">
        <f ca="1">INDEX(M2_Table_I_j_k_l,4,4)</f>
        <v>2.9603267136000002</v>
      </c>
      <c r="Y58" s="25">
        <f ca="1">INDEX(M2_Table_I_j_k_l,4,5)</f>
        <v>5.9577975395999987</v>
      </c>
      <c r="Z58" s="25">
        <f ca="1">INDEX(M2_Table_I_j_k_l,4,6)</f>
        <v>6.7179974480999993</v>
      </c>
      <c r="AA58" s="25">
        <f ca="1">INDEX(M2_Table_I_j_k_l,4,7)</f>
        <v>6.7179974480999993</v>
      </c>
      <c r="AB58" s="25">
        <f ca="1">INDEX(M2_Table_I_j_k_l,4,8)</f>
        <v>3.247204</v>
      </c>
      <c r="AC58" s="25">
        <f ca="1">INDEX(M2_Table_I_j_k_l,4,9)</f>
        <v>5.8953782416000013</v>
      </c>
      <c r="AD58" s="25">
        <f ca="1">INDEX(M2_Table_I_j_k_l,4,10)</f>
        <v>5.8953782416000013</v>
      </c>
      <c r="AE58" s="25">
        <f ca="1">INDEX(M2_Table_I_j_k_l,4,11)</f>
        <v>5.8953782416000013</v>
      </c>
      <c r="AF58" s="26" t="str">
        <f>'4.2.1.1-2 Methane'!AH78</f>
        <v>kg DM/head/day</v>
      </c>
      <c r="AG58" s="26"/>
      <c r="AH58" s="26"/>
    </row>
    <row r="59" spans="4:35" ht="20.100000000000001" customHeight="1" x14ac:dyDescent="0.25">
      <c r="D59" s="114" t="s">
        <v>431</v>
      </c>
      <c r="U59" s="25" t="e">
        <f>TEXT(EDATE('Input - Site'!$E$12,3), "mmmm yyyy")</f>
        <v>#VALUE!</v>
      </c>
      <c r="V59" s="25">
        <f ca="1">INDEX(M2_Table_I_j_k_l,5,2)</f>
        <v>3.247204</v>
      </c>
      <c r="W59" s="25">
        <f ca="1">INDEX(M2_Table_I_j_k_l,5,3)</f>
        <v>9.4246544015999998</v>
      </c>
      <c r="X59" s="25">
        <f ca="1">INDEX(M2_Table_I_j_k_l,5,4)</f>
        <v>2.9603267136000002</v>
      </c>
      <c r="Y59" s="25">
        <f ca="1">INDEX(M2_Table_I_j_k_l,5,5)</f>
        <v>5.9577975395999987</v>
      </c>
      <c r="Z59" s="25">
        <f ca="1">INDEX(M2_Table_I_j_k_l,5,6)</f>
        <v>6.7179974480999993</v>
      </c>
      <c r="AA59" s="25">
        <f ca="1">INDEX(M2_Table_I_j_k_l,5,7)</f>
        <v>6.7179974480999993</v>
      </c>
      <c r="AB59" s="25">
        <f ca="1">INDEX(M2_Table_I_j_k_l,5,8)</f>
        <v>3.247204</v>
      </c>
      <c r="AC59" s="25">
        <f ca="1">INDEX(M2_Table_I_j_k_l,5,9)</f>
        <v>5.8953782416000013</v>
      </c>
      <c r="AD59" s="25">
        <f ca="1">INDEX(M2_Table_I_j_k_l,5,10)</f>
        <v>5.8953782416000013</v>
      </c>
      <c r="AE59" s="25">
        <f ca="1">INDEX(M2_Table_I_j_k_l,5,11)</f>
        <v>5.8953782416000013</v>
      </c>
      <c r="AF59" s="26" t="str">
        <f>'4.2.1.1-2 Methane'!AH79</f>
        <v>kg DM/head/day</v>
      </c>
      <c r="AG59" s="26"/>
      <c r="AH59" s="26"/>
    </row>
    <row r="60" spans="4:35" ht="20.100000000000001" customHeight="1" x14ac:dyDescent="0.25">
      <c r="D60" s="115" t="s">
        <v>432</v>
      </c>
      <c r="U60" s="25" t="e">
        <f>TEXT(EDATE('Input - Site'!$E$12,4), "mmmm yyyy")</f>
        <v>#VALUE!</v>
      </c>
      <c r="V60" s="25">
        <f ca="1">INDEX(M2_Table_I_j_k_l,6,2)</f>
        <v>3.247204</v>
      </c>
      <c r="W60" s="25">
        <f ca="1">INDEX(M2_Table_I_j_k_l,6,3)</f>
        <v>9.4246544015999998</v>
      </c>
      <c r="X60" s="25">
        <f ca="1">INDEX(M2_Table_I_j_k_l,6,4)</f>
        <v>2.9603267136000002</v>
      </c>
      <c r="Y60" s="25">
        <f ca="1">INDEX(M2_Table_I_j_k_l,6,5)</f>
        <v>5.9577975395999987</v>
      </c>
      <c r="Z60" s="25">
        <f ca="1">INDEX(M2_Table_I_j_k_l,6,6)</f>
        <v>6.7179974480999993</v>
      </c>
      <c r="AA60" s="25">
        <f ca="1">INDEX(M2_Table_I_j_k_l,6,7)</f>
        <v>6.7179974480999993</v>
      </c>
      <c r="AB60" s="25">
        <f ca="1">INDEX(M2_Table_I_j_k_l,6,8)</f>
        <v>3.247204</v>
      </c>
      <c r="AC60" s="25">
        <f ca="1">INDEX(M2_Table_I_j_k_l,6,9)</f>
        <v>5.8953782416000013</v>
      </c>
      <c r="AD60" s="25">
        <f ca="1">INDEX(M2_Table_I_j_k_l,6,10)</f>
        <v>5.8953782416000013</v>
      </c>
      <c r="AE60" s="25">
        <f ca="1">INDEX(M2_Table_I_j_k_l,6,11)</f>
        <v>5.8953782416000013</v>
      </c>
      <c r="AF60" s="26" t="str">
        <f>'4.2.1.1-2 Methane'!AH80</f>
        <v>kg DM/head/day</v>
      </c>
      <c r="AG60" s="26"/>
      <c r="AH60" s="26"/>
    </row>
    <row r="61" spans="4:35" ht="20.100000000000001" customHeight="1" x14ac:dyDescent="0.25">
      <c r="D61" s="116" t="s">
        <v>78</v>
      </c>
      <c r="E61" s="116" t="s">
        <v>193</v>
      </c>
      <c r="F61" s="116" t="s">
        <v>194</v>
      </c>
      <c r="G61" s="116" t="s">
        <v>195</v>
      </c>
      <c r="H61" s="116" t="s">
        <v>196</v>
      </c>
      <c r="I61" s="116" t="s">
        <v>197</v>
      </c>
      <c r="J61" s="116" t="s">
        <v>198</v>
      </c>
      <c r="K61" s="116" t="s">
        <v>199</v>
      </c>
      <c r="L61" s="116" t="s">
        <v>200</v>
      </c>
      <c r="M61" s="116" t="s">
        <v>201</v>
      </c>
      <c r="N61" s="116" t="s">
        <v>202</v>
      </c>
      <c r="U61" s="25" t="e">
        <f>TEXT(EDATE('Input - Site'!$E$12,5), "mmmm yyyy")</f>
        <v>#VALUE!</v>
      </c>
      <c r="V61" s="25">
        <f ca="1">INDEX(M2_Table_I_j_k_l,7,2)</f>
        <v>5.1328980481000004</v>
      </c>
      <c r="W61" s="25">
        <f ca="1">INDEX(M2_Table_I_j_k_l,7,3)</f>
        <v>9.9748588899999984</v>
      </c>
      <c r="X61" s="25">
        <f ca="1">INDEX(M2_Table_I_j_k_l,7,4)</f>
        <v>4.202705002500001</v>
      </c>
      <c r="Y61" s="25">
        <f ca="1">INDEX(M2_Table_I_j_k_l,7,5)</f>
        <v>5.9278127841000021</v>
      </c>
      <c r="Z61" s="25">
        <f ca="1">INDEX(M2_Table_I_j_k_l,7,6)</f>
        <v>7.952343600099999</v>
      </c>
      <c r="AA61" s="25">
        <f ca="1">INDEX(M2_Table_I_j_k_l,7,7)</f>
        <v>7.952343600099999</v>
      </c>
      <c r="AB61" s="25">
        <f ca="1">INDEX(M2_Table_I_j_k_l,7,8)</f>
        <v>4.5122681240999984</v>
      </c>
      <c r="AC61" s="25">
        <f ca="1">INDEX(M2_Table_I_j_k_l,7,9)</f>
        <v>6.8698506815999991</v>
      </c>
      <c r="AD61" s="25">
        <f ca="1">INDEX(M2_Table_I_j_k_l,7,10)</f>
        <v>6.8698506815999991</v>
      </c>
      <c r="AE61" s="25">
        <f ca="1">INDEX(M2_Table_I_j_k_l,7,11)</f>
        <v>6.8698506815999991</v>
      </c>
      <c r="AF61" s="26" t="str">
        <f>'4.2.1.1-2 Methane'!AH81</f>
        <v>kg DM/head/day</v>
      </c>
      <c r="AG61" s="26"/>
      <c r="AH61" s="26"/>
    </row>
    <row r="62" spans="4:35" ht="20.100000000000001" customHeight="1" x14ac:dyDescent="0.25">
      <c r="D62" s="25" t="s">
        <v>203</v>
      </c>
      <c r="E62" s="25" cm="1">
        <f t="array" aca="1" ref="E62" ca="1">MMS_PastureBeef_Soil_N2ODirect_Equations.VEERG_4_2_1_3__6_IntakeRelativeToMaintenance(E54,E20)</f>
        <v>1.4707970166214006</v>
      </c>
      <c r="F62" s="25" cm="1">
        <f t="array" aca="1" ref="F62" ca="1">MMS_PastureBeef_Soil_N2ODirect_Equations.VEERG_4_2_1_3__6_IntakeRelativeToMaintenance(F54,F20)</f>
        <v>1.2318676608114607</v>
      </c>
      <c r="G62" s="25" cm="1">
        <f t="array" aca="1" ref="G62" ca="1">MMS_PastureBeef_Soil_N2ODirect_Equations.VEERG_4_2_1_3__6_IntakeRelativeToMaintenance(G54,G20)</f>
        <v>1.3784396841492426</v>
      </c>
      <c r="H62" s="25" cm="1">
        <f t="array" aca="1" ref="H62" ca="1">MMS_PastureBeef_Soil_N2ODirect_Equations.VEERG_4_2_1_3__6_IntakeRelativeToMaintenance(H54,H20)</f>
        <v>1.3759787739229594</v>
      </c>
      <c r="I62" s="25" cm="1">
        <f t="array" aca="1" ref="I62" ca="1">MMS_PastureBeef_Soil_N2ODirect_Equations.VEERG_4_2_1_3__6_IntakeRelativeToMaintenance(I54,I20)</f>
        <v>1.3440463159462901</v>
      </c>
      <c r="J62" s="25" cm="1">
        <f t="array" aca="1" ref="J62" ca="1">MMS_PastureBeef_Soil_N2ODirect_Equations.VEERG_4_2_1_3__6_IntakeRelativeToMaintenance(J54,J20)</f>
        <v>1.3440463159462901</v>
      </c>
      <c r="K62" s="25" cm="1">
        <f t="array" aca="1" ref="K62" ca="1">MMS_PastureBeef_Soil_N2ODirect_Equations.VEERG_4_2_1_3__6_IntakeRelativeToMaintenance(K54,K20)</f>
        <v>1.4241682690123998</v>
      </c>
      <c r="L62" s="25" cm="1">
        <f t="array" aca="1" ref="L62" ca="1">MMS_PastureBeef_Soil_N2ODirect_Equations.VEERG_4_2_1_3__6_IntakeRelativeToMaintenance(L54,L20)</f>
        <v>1.2663208058014268</v>
      </c>
      <c r="M62" s="25" cm="1">
        <f t="array" aca="1" ref="M62" ca="1">MMS_PastureBeef_Soil_N2ODirect_Equations.VEERG_4_2_1_3__6_IntakeRelativeToMaintenance(M54,M20)</f>
        <v>1.2663208058014268</v>
      </c>
      <c r="N62" s="25" cm="1">
        <f t="array" aca="1" ref="N62" ca="1">MMS_PastureBeef_Soil_N2ODirect_Equations.VEERG_4_2_1_3__6_IntakeRelativeToMaintenance(N54,N20)</f>
        <v>1.2663208058014268</v>
      </c>
      <c r="O62" s="26" t="str">
        <f>$E$46</f>
        <v>ratio</v>
      </c>
      <c r="U62" s="25" t="e">
        <f>TEXT(EDATE('Input - Site'!$E$12,6), "mmmm yyyy")</f>
        <v>#VALUE!</v>
      </c>
      <c r="V62" s="25">
        <f ca="1">INDEX(M2_Table_I_j_k_l,8,2)</f>
        <v>5.1328980481000004</v>
      </c>
      <c r="W62" s="25">
        <f ca="1">INDEX(M2_Table_I_j_k_l,8,3)</f>
        <v>9.9748588899999984</v>
      </c>
      <c r="X62" s="25">
        <f ca="1">INDEX(M2_Table_I_j_k_l,8,4)</f>
        <v>4.202705002500001</v>
      </c>
      <c r="Y62" s="25">
        <f ca="1">INDEX(M2_Table_I_j_k_l,8,5)</f>
        <v>5.9278127841000021</v>
      </c>
      <c r="Z62" s="25">
        <f ca="1">INDEX(M2_Table_I_j_k_l,8,6)</f>
        <v>7.952343600099999</v>
      </c>
      <c r="AA62" s="25">
        <f ca="1">INDEX(M2_Table_I_j_k_l,8,7)</f>
        <v>7.952343600099999</v>
      </c>
      <c r="AB62" s="25">
        <f ca="1">INDEX(M2_Table_I_j_k_l,8,8)</f>
        <v>4.5122681240999984</v>
      </c>
      <c r="AC62" s="25">
        <f ca="1">INDEX(M2_Table_I_j_k_l,8,9)</f>
        <v>6.8698506815999991</v>
      </c>
      <c r="AD62" s="25">
        <f ca="1">INDEX(M2_Table_I_j_k_l,8,10)</f>
        <v>6.8698506815999991</v>
      </c>
      <c r="AE62" s="25">
        <f ca="1">INDEX(M2_Table_I_j_k_l,8,11)</f>
        <v>6.8698506815999991</v>
      </c>
      <c r="AF62" s="26" t="str">
        <f>'4.2.1.1-2 Methane'!AH82</f>
        <v>kg DM/head/day</v>
      </c>
      <c r="AG62" s="26"/>
      <c r="AH62" s="26"/>
    </row>
    <row r="63" spans="4:35" ht="20.100000000000001" customHeight="1" x14ac:dyDescent="0.25">
      <c r="D63" s="25" t="s">
        <v>204</v>
      </c>
      <c r="E63" s="25" cm="1">
        <f t="array" aca="1" ref="E63" ca="1">MMS_PastureBeef_Soil_N2ODirect_Equations.VEERG_4_2_1_3__6_IntakeRelativeToMaintenance(E55,E21)</f>
        <v>1.1123493391850732</v>
      </c>
      <c r="F63" s="25" cm="1">
        <f t="array" aca="1" ref="F63" ca="1">MMS_PastureBeef_Soil_N2ODirect_Equations.VEERG_4_2_1_3__6_IntakeRelativeToMaintenance(F55,F21)</f>
        <v>0.95640681558610863</v>
      </c>
      <c r="G63" s="25" cm="1">
        <f t="array" aca="1" ref="G63" ca="1">MMS_PastureBeef_Soil_N2ODirect_Equations.VEERG_4_2_1_3__6_IntakeRelativeToMaintenance(G55,G21)</f>
        <v>1.1234350255113625</v>
      </c>
      <c r="H63" s="25" cm="1">
        <f t="array" aca="1" ref="H63" ca="1">MMS_PastureBeef_Soil_N2ODirect_Equations.VEERG_4_2_1_3__6_IntakeRelativeToMaintenance(H55,H21)</f>
        <v>1.1215753644175104</v>
      </c>
      <c r="I63" s="25" cm="1">
        <f t="array" aca="1" ref="I63" ca="1">MMS_PastureBeef_Soil_N2ODirect_Equations.VEERG_4_2_1_3__6_IntakeRelativeToMaintenance(I55,I21)</f>
        <v>0.99022539901590001</v>
      </c>
      <c r="J63" s="25" cm="1">
        <f t="array" aca="1" ref="J63" ca="1">MMS_PastureBeef_Soil_N2ODirect_Equations.VEERG_4_2_1_3__6_IntakeRelativeToMaintenance(J55,J21)</f>
        <v>0.99022539901590001</v>
      </c>
      <c r="K63" s="25" cm="1">
        <f t="array" aca="1" ref="K63" ca="1">MMS_PastureBeef_Soil_N2ODirect_Equations.VEERG_4_2_1_3__6_IntakeRelativeToMaintenance(K55,K21)</f>
        <v>1.1174246366611618</v>
      </c>
      <c r="L63" s="25" cm="1">
        <f t="array" aca="1" ref="L63" ca="1">MMS_PastureBeef_Soil_N2ODirect_Equations.VEERG_4_2_1_3__6_IntakeRelativeToMaintenance(L55,L21)</f>
        <v>0.97490853257319487</v>
      </c>
      <c r="M63" s="25" cm="1">
        <f t="array" aca="1" ref="M63" ca="1">MMS_PastureBeef_Soil_N2ODirect_Equations.VEERG_4_2_1_3__6_IntakeRelativeToMaintenance(M55,M21)</f>
        <v>0.97490853257319487</v>
      </c>
      <c r="N63" s="25" cm="1">
        <f t="array" aca="1" ref="N63" ca="1">MMS_PastureBeef_Soil_N2ODirect_Equations.VEERG_4_2_1_3__6_IntakeRelativeToMaintenance(N55,N21)</f>
        <v>0.97490853257319487</v>
      </c>
      <c r="O63" s="26" t="str">
        <f t="shared" ref="O63:O65" si="2">$E$46</f>
        <v>ratio</v>
      </c>
      <c r="U63" s="25" t="e">
        <f>TEXT(EDATE('Input - Site'!$E$12,7), "mmmm yyyy")</f>
        <v>#VALUE!</v>
      </c>
      <c r="V63" s="25">
        <f ca="1">INDEX(M2_Table_I_j_k_l,9,2)</f>
        <v>5.1328980481000004</v>
      </c>
      <c r="W63" s="25">
        <f ca="1">INDEX(M2_Table_I_j_k_l,9,3)</f>
        <v>9.9748588899999984</v>
      </c>
      <c r="X63" s="25">
        <f ca="1">INDEX(M2_Table_I_j_k_l,9,4)</f>
        <v>4.202705002500001</v>
      </c>
      <c r="Y63" s="25">
        <f ca="1">INDEX(M2_Table_I_j_k_l,9,5)</f>
        <v>5.9278127841000021</v>
      </c>
      <c r="Z63" s="25">
        <f ca="1">INDEX(M2_Table_I_j_k_l,9,6)</f>
        <v>7.952343600099999</v>
      </c>
      <c r="AA63" s="25">
        <f ca="1">INDEX(M2_Table_I_j_k_l,9,7)</f>
        <v>7.952343600099999</v>
      </c>
      <c r="AB63" s="25">
        <f ca="1">INDEX(M2_Table_I_j_k_l,9,8)</f>
        <v>4.5122681240999984</v>
      </c>
      <c r="AC63" s="25">
        <f ca="1">INDEX(M2_Table_I_j_k_l,9,9)</f>
        <v>6.8698506815999991</v>
      </c>
      <c r="AD63" s="25">
        <f ca="1">INDEX(M2_Table_I_j_k_l,9,10)</f>
        <v>6.8698506815999991</v>
      </c>
      <c r="AE63" s="25">
        <f ca="1">INDEX(M2_Table_I_j_k_l,9,11)</f>
        <v>6.8698506815999991</v>
      </c>
      <c r="AF63" s="26" t="str">
        <f>'4.2.1.1-2 Methane'!AH83</f>
        <v>kg DM/head/day</v>
      </c>
      <c r="AG63" s="26"/>
      <c r="AH63" s="26"/>
    </row>
    <row r="64" spans="4:35" ht="20.100000000000001" customHeight="1" x14ac:dyDescent="0.25">
      <c r="D64" s="25" t="s">
        <v>205</v>
      </c>
      <c r="E64" s="25" cm="1">
        <f t="array" aca="1" ref="E64" ca="1">MMS_PastureBeef_Soil_N2ODirect_Equations.VEERG_4_2_1_3__6_IntakeRelativeToMaintenance(E56,E22)</f>
        <v>1.2480754440536419</v>
      </c>
      <c r="F64" s="25" cm="1">
        <f t="array" aca="1" ref="F64" ca="1">MMS_PastureBeef_Soil_N2ODirect_Equations.VEERG_4_2_1_3__6_IntakeRelativeToMaintenance(F56,F22)</f>
        <v>1</v>
      </c>
      <c r="G64" s="25" cm="1">
        <f t="array" aca="1" ref="G64" ca="1">MMS_PastureBeef_Soil_N2ODirect_Equations.VEERG_4_2_1_3__6_IntakeRelativeToMaintenance(G56,G22)</f>
        <v>1.2620356226501883</v>
      </c>
      <c r="H64" s="25" cm="1">
        <f t="array" aca="1" ref="H64" ca="1">MMS_PastureBeef_Soil_N2ODirect_Equations.VEERG_4_2_1_3__6_IntakeRelativeToMaintenance(H56,H22)</f>
        <v>1.0698893911586809</v>
      </c>
      <c r="I64" s="25" cm="1">
        <f t="array" aca="1" ref="I64" ca="1">MMS_PastureBeef_Soil_N2ODirect_Equations.VEERG_4_2_1_3__6_IntakeRelativeToMaintenance(I56,I22)</f>
        <v>0.87861639465436669</v>
      </c>
      <c r="J64" s="25" cm="1">
        <f t="array" aca="1" ref="J64" ca="1">MMS_PastureBeef_Soil_N2ODirect_Equations.VEERG_4_2_1_3__6_IntakeRelativeToMaintenance(J56,J22)</f>
        <v>0.87861639465436669</v>
      </c>
      <c r="K64" s="25" cm="1">
        <f t="array" aca="1" ref="K64" ca="1">MMS_PastureBeef_Soil_N2ODirect_Equations.VEERG_4_2_1_3__6_IntakeRelativeToMaintenance(K56,K22)</f>
        <v>1.2480754440536419</v>
      </c>
      <c r="L64" s="25" cm="1">
        <f t="array" aca="1" ref="L64" ca="1">MMS_PastureBeef_Soil_N2ODirect_Equations.VEERG_4_2_1_3__6_IntakeRelativeToMaintenance(L56,L22)</f>
        <v>1</v>
      </c>
      <c r="M64" s="25" cm="1">
        <f t="array" aca="1" ref="M64" ca="1">MMS_PastureBeef_Soil_N2ODirect_Equations.VEERG_4_2_1_3__6_IntakeRelativeToMaintenance(M56,M22)</f>
        <v>1</v>
      </c>
      <c r="N64" s="25" cm="1">
        <f t="array" aca="1" ref="N64" ca="1">MMS_PastureBeef_Soil_N2ODirect_Equations.VEERG_4_2_1_3__6_IntakeRelativeToMaintenance(N56,N22)</f>
        <v>1</v>
      </c>
      <c r="O64" s="26" t="str">
        <f t="shared" si="2"/>
        <v>ratio</v>
      </c>
      <c r="U64" s="25" t="e">
        <f>TEXT(EDATE('Input - Site'!$E$12,8), "mmmm yyyy")</f>
        <v>#VALUE!</v>
      </c>
      <c r="V64" s="25">
        <f ca="1">INDEX(M2_Table_I_j_k_l,10,2)</f>
        <v>8.6709047296000001</v>
      </c>
      <c r="W64" s="25">
        <f ca="1">INDEX(M2_Table_I_j_k_l,10,3)</f>
        <v>12.246500250000002</v>
      </c>
      <c r="X64" s="25">
        <f ca="1">INDEX(M2_Table_I_j_k_l,10,4)</f>
        <v>6.6089612241000006</v>
      </c>
      <c r="Y64" s="25">
        <f ca="1">INDEX(M2_Table_I_j_k_l,10,5)</f>
        <v>8.6730839001000017</v>
      </c>
      <c r="Z64" s="25">
        <f ca="1">INDEX(M2_Table_I_j_k_l,10,6)</f>
        <v>9.6310915600000016</v>
      </c>
      <c r="AA64" s="25">
        <f ca="1">INDEX(M2_Table_I_j_k_l,10,7)</f>
        <v>9.6310915600000016</v>
      </c>
      <c r="AB64" s="25">
        <f ca="1">INDEX(M2_Table_I_j_k_l,10,8)</f>
        <v>7.6192560899999977</v>
      </c>
      <c r="AC64" s="25">
        <f ca="1">INDEX(M2_Table_I_j_k_l,10,9)</f>
        <v>9.6824279555999979</v>
      </c>
      <c r="AD64" s="25">
        <f ca="1">INDEX(M2_Table_I_j_k_l,10,10)</f>
        <v>9.6824279555999979</v>
      </c>
      <c r="AE64" s="25">
        <f ca="1">INDEX(M2_Table_I_j_k_l,10,11)</f>
        <v>9.6824279555999979</v>
      </c>
      <c r="AF64" s="26" t="str">
        <f>'4.2.1.1-2 Methane'!AH84</f>
        <v>kg DM/head/day</v>
      </c>
      <c r="AG64" s="26"/>
      <c r="AH64" s="26"/>
    </row>
    <row r="65" spans="3:34" ht="20.100000000000001" customHeight="1" x14ac:dyDescent="0.25">
      <c r="D65" s="25" t="s">
        <v>206</v>
      </c>
      <c r="E65" s="25" cm="1">
        <f t="array" aca="1" ref="E65" ca="1">MMS_PastureBeef_Soil_N2ODirect_Equations.VEERG_4_2_1_3__6_IntakeRelativeToMaintenance(E57,E23)</f>
        <v>1.3447114471128401</v>
      </c>
      <c r="F65" s="25" cm="1">
        <f t="array" aca="1" ref="F65" ca="1">MMS_PastureBeef_Soil_N2ODirect_Equations.VEERG_4_2_1_3__6_IntakeRelativeToMaintenance(F57,F23)</f>
        <v>1.0453721939219578</v>
      </c>
      <c r="G65" s="25" cm="1">
        <f t="array" aca="1" ref="G65" ca="1">MMS_PastureBeef_Soil_N2ODirect_Equations.VEERG_4_2_1_3__6_IntakeRelativeToMaintenance(G57,G23)</f>
        <v>1.2863889326974398</v>
      </c>
      <c r="H65" s="25" cm="1">
        <f t="array" aca="1" ref="H65" ca="1">MMS_PastureBeef_Soil_N2ODirect_Equations.VEERG_4_2_1_3__6_IntakeRelativeToMaintenance(H57,H23)</f>
        <v>1.2451900780444165</v>
      </c>
      <c r="I65" s="25" cm="1">
        <f t="array" aca="1" ref="I65" ca="1">MMS_PastureBeef_Soil_N2ODirect_Equations.VEERG_4_2_1_3__6_IntakeRelativeToMaintenance(I57,I23)</f>
        <v>1.1787902763034313</v>
      </c>
      <c r="J65" s="25" cm="1">
        <f t="array" aca="1" ref="J65" ca="1">MMS_PastureBeef_Soil_N2ODirect_Equations.VEERG_4_2_1_3__6_IntakeRelativeToMaintenance(J57,J23)</f>
        <v>1.1787902763034313</v>
      </c>
      <c r="K65" s="25" cm="1">
        <f t="array" aca="1" ref="K65" ca="1">MMS_PastureBeef_Soil_N2ODirect_Equations.VEERG_4_2_1_3__6_IntakeRelativeToMaintenance(K57,K23)</f>
        <v>1.2744200407937745</v>
      </c>
      <c r="L65" s="25" cm="1">
        <f t="array" aca="1" ref="L65" ca="1">MMS_PastureBeef_Soil_N2ODirect_Equations.VEERG_4_2_1_3__6_IntakeRelativeToMaintenance(L57,L23)</f>
        <v>1.1147815609185805</v>
      </c>
      <c r="M65" s="25" cm="1">
        <f t="array" aca="1" ref="M65" ca="1">MMS_PastureBeef_Soil_N2ODirect_Equations.VEERG_4_2_1_3__6_IntakeRelativeToMaintenance(M57,M23)</f>
        <v>1.1147815609185805</v>
      </c>
      <c r="N65" s="25" cm="1">
        <f t="array" aca="1" ref="N65" ca="1">MMS_PastureBeef_Soil_N2ODirect_Equations.VEERG_4_2_1_3__6_IntakeRelativeToMaintenance(N57,N23)</f>
        <v>1.1147815609185805</v>
      </c>
      <c r="O65" s="26" t="str">
        <f t="shared" si="2"/>
        <v>ratio</v>
      </c>
      <c r="U65" s="25" t="e">
        <f>TEXT(EDATE('Input - Site'!$E$12,9), "mmmm yyyy")</f>
        <v>#VALUE!</v>
      </c>
      <c r="V65" s="25">
        <f ca="1">INDEX(M2_Table_I_j_k_l,11,2)</f>
        <v>8.6709047296000001</v>
      </c>
      <c r="W65" s="25">
        <f ca="1">INDEX(M2_Table_I_j_k_l,11,3)</f>
        <v>12.246500250000002</v>
      </c>
      <c r="X65" s="25">
        <f ca="1">INDEX(M2_Table_I_j_k_l,11,4)</f>
        <v>6.6089612241000006</v>
      </c>
      <c r="Y65" s="25">
        <f ca="1">INDEX(M2_Table_I_j_k_l,11,5)</f>
        <v>8.6730839001000017</v>
      </c>
      <c r="Z65" s="25">
        <f ca="1">INDEX(M2_Table_I_j_k_l,11,6)</f>
        <v>9.6310915600000016</v>
      </c>
      <c r="AA65" s="25">
        <f ca="1">INDEX(M2_Table_I_j_k_l,11,7)</f>
        <v>9.6310915600000016</v>
      </c>
      <c r="AB65" s="25">
        <f ca="1">INDEX(M2_Table_I_j_k_l,11,8)</f>
        <v>7.6192560899999977</v>
      </c>
      <c r="AC65" s="25">
        <f ca="1">INDEX(M2_Table_I_j_k_l,11,9)</f>
        <v>9.6824279555999979</v>
      </c>
      <c r="AD65" s="25">
        <f ca="1">INDEX(M2_Table_I_j_k_l,11,10)</f>
        <v>9.6824279555999979</v>
      </c>
      <c r="AE65" s="25">
        <f ca="1">INDEX(M2_Table_I_j_k_l,11,11)</f>
        <v>9.6824279555999979</v>
      </c>
      <c r="AF65" s="26" t="str">
        <f>'4.2.1.1-2 Methane'!AH85</f>
        <v>kg DM/head/day</v>
      </c>
      <c r="AG65" s="26"/>
      <c r="AH65" s="26"/>
    </row>
    <row r="66" spans="3:34" ht="20.100000000000001" customHeight="1" x14ac:dyDescent="0.25">
      <c r="U66" s="25" t="e">
        <f>TEXT(EDATE('Input - Site'!$E$12,10), "mmmm yyyy")</f>
        <v>#VALUE!</v>
      </c>
      <c r="V66" s="25">
        <f ca="1">INDEX(M2_Table_I_j_k_l,12,2)</f>
        <v>8.6709047296000001</v>
      </c>
      <c r="W66" s="25">
        <f ca="1">INDEX(M2_Table_I_j_k_l,12,3)</f>
        <v>12.246500250000002</v>
      </c>
      <c r="X66" s="25">
        <f ca="1">INDEX(M2_Table_I_j_k_l,12,4)</f>
        <v>6.6089612241000006</v>
      </c>
      <c r="Y66" s="25">
        <f ca="1">INDEX(M2_Table_I_j_k_l,12,5)</f>
        <v>8.6730839001000017</v>
      </c>
      <c r="Z66" s="25">
        <f ca="1">INDEX(M2_Table_I_j_k_l,12,6)</f>
        <v>9.6310915600000016</v>
      </c>
      <c r="AA66" s="25">
        <f ca="1">INDEX(M2_Table_I_j_k_l,12,7)</f>
        <v>9.6310915600000016</v>
      </c>
      <c r="AB66" s="25">
        <f ca="1">INDEX(M2_Table_I_j_k_l,12,8)</f>
        <v>7.6192560899999977</v>
      </c>
      <c r="AC66" s="25">
        <f ca="1">INDEX(M2_Table_I_j_k_l,12,9)</f>
        <v>9.6824279555999979</v>
      </c>
      <c r="AD66" s="25">
        <f ca="1">INDEX(M2_Table_I_j_k_l,12,10)</f>
        <v>9.6824279555999979</v>
      </c>
      <c r="AE66" s="25">
        <f ca="1">INDEX(M2_Table_I_j_k_l,12,11)</f>
        <v>9.6824279555999979</v>
      </c>
      <c r="AF66" s="26" t="str">
        <f>'4.2.1.1-2 Methane'!AH86</f>
        <v>kg DM/head/day</v>
      </c>
      <c r="AG66" s="26"/>
      <c r="AH66" s="26"/>
    </row>
    <row r="67" spans="3:34" ht="20.100000000000001" customHeight="1" x14ac:dyDescent="0.25">
      <c r="U67" s="25" t="e">
        <f>TEXT(EDATE('Input - Site'!$E$12,11), "mmmm yyyy")</f>
        <v>#VALUE!</v>
      </c>
      <c r="V67" s="25">
        <f ca="1">INDEX(M2_Table_I_j_k_l,13,2)</f>
        <v>7.1468536895999959</v>
      </c>
      <c r="W67" s="25">
        <f ca="1">INDEX(M2_Table_I_j_k_l,13,3)</f>
        <v>9.4559940036000008</v>
      </c>
      <c r="X67" s="25">
        <f ca="1">INDEX(M2_Table_I_j_k_l,13,4)</f>
        <v>6.010342559999998</v>
      </c>
      <c r="Y67" s="25">
        <f ca="1">INDEX(M2_Table_I_j_k_l,13,5)</f>
        <v>7.8705497025</v>
      </c>
      <c r="Z67" s="25">
        <f ca="1">INDEX(M2_Table_I_j_k_l,13,6)</f>
        <v>7.7928072335999978</v>
      </c>
      <c r="AA67" s="25">
        <f ca="1">INDEX(M2_Table_I_j_k_l,13,7)</f>
        <v>7.7928072335999978</v>
      </c>
      <c r="AB67" s="25">
        <f ca="1">INDEX(M2_Table_I_j_k_l,13,8)</f>
        <v>6.5876408896000003</v>
      </c>
      <c r="AC67" s="25">
        <f ca="1">INDEX(M2_Table_I_j_k_l,13,9)</f>
        <v>7.3430702361</v>
      </c>
      <c r="AD67" s="25">
        <f ca="1">INDEX(M2_Table_I_j_k_l,13,10)</f>
        <v>7.3430702361</v>
      </c>
      <c r="AE67" s="25">
        <f ca="1">INDEX(M2_Table_I_j_k_l,13,11)</f>
        <v>7.3430702361</v>
      </c>
      <c r="AF67" s="26" t="str">
        <f>'4.2.1.1-2 Methane'!AH87</f>
        <v>kg DM/head/day</v>
      </c>
      <c r="AG67" s="26"/>
      <c r="AH67" s="26"/>
    </row>
    <row r="68" spans="3:34" ht="20.100000000000001" customHeight="1" x14ac:dyDescent="0.25">
      <c r="C68" s="118"/>
      <c r="D68" s="118"/>
      <c r="E68" s="118"/>
      <c r="F68" s="118"/>
      <c r="G68" s="118"/>
      <c r="H68" s="118"/>
      <c r="I68" s="118"/>
      <c r="J68" s="118"/>
      <c r="K68" s="118"/>
      <c r="L68" s="118"/>
      <c r="M68" s="118"/>
      <c r="N68" s="118"/>
      <c r="O68" s="118"/>
      <c r="P68" s="118"/>
      <c r="Q68" s="118"/>
      <c r="R68" s="118"/>
    </row>
    <row r="69" spans="3:34" ht="20.100000000000001" customHeight="1" x14ac:dyDescent="0.25">
      <c r="D69" s="2" t="str" cm="1">
        <f t="array" ref="D69">MMS_PastureBeef_Soil_N2ODirect_Equations.VEERG_4_2_1_3__5_MilkProductionForCalvingSeason_Title()</f>
        <v>Milk production for the season of calving and season after calving</v>
      </c>
      <c r="U69" s="114" t="s">
        <v>433</v>
      </c>
    </row>
    <row r="70" spans="3:34" ht="20.100000000000001" customHeight="1" x14ac:dyDescent="0.25">
      <c r="D70" s="27" t="str" cm="1">
        <f t="array" ref="D70">MMS_PastureBeef_Soil_N2ODirect_Equations.VEERG_4_2_1_3__5_MilkProductionForCalvingSeason_Source()</f>
        <v>VEERG 2026: 4.2.1.3, Equation (5)</v>
      </c>
      <c r="U70" s="115" t="s">
        <v>434</v>
      </c>
    </row>
    <row r="71" spans="3:34" ht="20.100000000000001" customHeight="1" x14ac:dyDescent="0.25">
      <c r="D71" s="36"/>
      <c r="U71" s="116" t="s">
        <v>77</v>
      </c>
      <c r="V71" s="116" t="s">
        <v>193</v>
      </c>
      <c r="W71" s="116" t="s">
        <v>194</v>
      </c>
      <c r="X71" s="116" t="s">
        <v>195</v>
      </c>
      <c r="Y71" s="116" t="s">
        <v>196</v>
      </c>
      <c r="Z71" s="116" t="s">
        <v>197</v>
      </c>
      <c r="AA71" s="116" t="s">
        <v>198</v>
      </c>
      <c r="AB71" s="116" t="s">
        <v>199</v>
      </c>
      <c r="AC71" s="116" t="s">
        <v>200</v>
      </c>
      <c r="AD71" s="116" t="s">
        <v>201</v>
      </c>
      <c r="AE71" s="116" t="s">
        <v>202</v>
      </c>
    </row>
    <row r="72" spans="3:34" ht="20.100000000000001" customHeight="1" x14ac:dyDescent="0.25">
      <c r="D72" s="105" t="s">
        <v>261</v>
      </c>
      <c r="E72" s="105" t="s">
        <v>435</v>
      </c>
      <c r="U72" s="25" t="str">
        <f>TEXT('Input - Site'!$E$12, "mmmm yyyy")</f>
        <v>NO - Not in leaching zone</v>
      </c>
      <c r="V72" s="25" cm="1">
        <f t="array" aca="1" ref="V72" ca="1">MMS_PastureBeef_Soil_N2ODirect_Equations.VEERG_4_2_1_3__6_IntakeRelativeToMaintenance(V56,V20)</f>
        <v>1.1123493391850732</v>
      </c>
      <c r="W72" s="25" cm="1">
        <f t="array" aca="1" ref="W72" ca="1">MMS_PastureBeef_Soil_N2ODirect_Equations.VEERG_4_2_1_3__6_IntakeRelativeToMaintenance(W56,W20)</f>
        <v>0.95640681558610863</v>
      </c>
      <c r="X72" s="25" cm="1">
        <f t="array" aca="1" ref="X72" ca="1">MMS_PastureBeef_Soil_N2ODirect_Equations.VEERG_4_2_1_3__6_IntakeRelativeToMaintenance(X56,X20)</f>
        <v>1.1234350255113625</v>
      </c>
      <c r="Y72" s="25" cm="1">
        <f t="array" aca="1" ref="Y72" ca="1">MMS_PastureBeef_Soil_N2ODirect_Equations.VEERG_4_2_1_3__6_IntakeRelativeToMaintenance(Y56,Y20)</f>
        <v>1.0784378504014522</v>
      </c>
      <c r="Z72" s="25" cm="1">
        <f t="array" aca="1" ref="Z72" ca="1">MMS_PastureBeef_Soil_N2ODirect_Equations.VEERG_4_2_1_3__6_IntakeRelativeToMaintenance(Z56,Z20)</f>
        <v>0.95213980674605769</v>
      </c>
      <c r="AA72" s="25" cm="1">
        <f t="array" aca="1" ref="AA72" ca="1">MMS_PastureBeef_Soil_N2ODirect_Equations.VEERG_4_2_1_3__6_IntakeRelativeToMaintenance(AA56,AA20)</f>
        <v>0.95213980674605769</v>
      </c>
      <c r="AB72" s="25" cm="1">
        <f t="array" aca="1" ref="AB72" ca="1">MMS_PastureBeef_Soil_N2ODirect_Equations.VEERG_4_2_1_3__6_IntakeRelativeToMaintenance(AB56,AB20)</f>
        <v>1.1174246366611618</v>
      </c>
      <c r="AC72" s="25" cm="1">
        <f t="array" aca="1" ref="AC72" ca="1">MMS_PastureBeef_Soil_N2ODirect_Equations.VEERG_4_2_1_3__6_IntakeRelativeToMaintenance(AC56,AC20)</f>
        <v>0.97490853257319487</v>
      </c>
      <c r="AD72" s="25" cm="1">
        <f t="array" aca="1" ref="AD72" ca="1">MMS_PastureBeef_Soil_N2ODirect_Equations.VEERG_4_2_1_3__6_IntakeRelativeToMaintenance(AD56,AD20)</f>
        <v>0.97490853257319487</v>
      </c>
      <c r="AE72" s="25" cm="1">
        <f t="array" aca="1" ref="AE72" ca="1">MMS_PastureBeef_Soil_N2ODirect_Equations.VEERG_4_2_1_3__6_IntakeRelativeToMaintenance(AE56,AE20)</f>
        <v>0.97490853257319487</v>
      </c>
      <c r="AF72" s="26" t="str">
        <f t="shared" ref="AF72:AF83" si="3">$E$46</f>
        <v>ratio</v>
      </c>
      <c r="AG72" s="26"/>
      <c r="AH72" s="26"/>
    </row>
    <row r="73" spans="3:34" ht="20.100000000000001" customHeight="1" x14ac:dyDescent="0.25">
      <c r="U73" s="25" t="e">
        <f>TEXT(EDATE('Input - Site'!$E$12,1), "mmmm yyyy")</f>
        <v>#VALUE!</v>
      </c>
      <c r="V73" s="25" cm="1">
        <f t="array" aca="1" ref="V73" ca="1">MMS_PastureBeef_Soil_N2ODirect_Equations.VEERG_4_2_1_3__6_IntakeRelativeToMaintenance(V57,V21)</f>
        <v>1.1123493391850732</v>
      </c>
      <c r="W73" s="25" cm="1">
        <f t="array" aca="1" ref="W73" ca="1">MMS_PastureBeef_Soil_N2ODirect_Equations.VEERG_4_2_1_3__6_IntakeRelativeToMaintenance(W57,W21)</f>
        <v>0.95640681558610863</v>
      </c>
      <c r="X73" s="25" cm="1">
        <f t="array" aca="1" ref="X73" ca="1">MMS_PastureBeef_Soil_N2ODirect_Equations.VEERG_4_2_1_3__6_IntakeRelativeToMaintenance(X57,X21)</f>
        <v>1.1234350255113625</v>
      </c>
      <c r="Y73" s="25" cm="1">
        <f t="array" aca="1" ref="Y73" ca="1">MMS_PastureBeef_Soil_N2ODirect_Equations.VEERG_4_2_1_3__6_IntakeRelativeToMaintenance(Y57,Y21)</f>
        <v>1.0784378504014522</v>
      </c>
      <c r="Z73" s="25" cm="1">
        <f t="array" aca="1" ref="Z73" ca="1">MMS_PastureBeef_Soil_N2ODirect_Equations.VEERG_4_2_1_3__6_IntakeRelativeToMaintenance(Z57,Z21)</f>
        <v>0.95213980674605769</v>
      </c>
      <c r="AA73" s="25" cm="1">
        <f t="array" aca="1" ref="AA73" ca="1">MMS_PastureBeef_Soil_N2ODirect_Equations.VEERG_4_2_1_3__6_IntakeRelativeToMaintenance(AA57,AA21)</f>
        <v>0.95213980674605769</v>
      </c>
      <c r="AB73" s="25" cm="1">
        <f t="array" aca="1" ref="AB73" ca="1">MMS_PastureBeef_Soil_N2ODirect_Equations.VEERG_4_2_1_3__6_IntakeRelativeToMaintenance(AB57,AB21)</f>
        <v>1.1174246366611618</v>
      </c>
      <c r="AC73" s="25" cm="1">
        <f t="array" aca="1" ref="AC73" ca="1">MMS_PastureBeef_Soil_N2ODirect_Equations.VEERG_4_2_1_3__6_IntakeRelativeToMaintenance(AC57,AC21)</f>
        <v>0.97490853257319487</v>
      </c>
      <c r="AD73" s="25" cm="1">
        <f t="array" aca="1" ref="AD73" ca="1">MMS_PastureBeef_Soil_N2ODirect_Equations.VEERG_4_2_1_3__6_IntakeRelativeToMaintenance(AD57,AD21)</f>
        <v>0.97490853257319487</v>
      </c>
      <c r="AE73" s="25" cm="1">
        <f t="array" aca="1" ref="AE73" ca="1">MMS_PastureBeef_Soil_N2ODirect_Equations.VEERG_4_2_1_3__6_IntakeRelativeToMaintenance(AE57,AE21)</f>
        <v>0.97490853257319487</v>
      </c>
      <c r="AF73" s="26" t="str">
        <f t="shared" si="3"/>
        <v>ratio</v>
      </c>
      <c r="AG73" s="26"/>
      <c r="AH73" s="26"/>
    </row>
    <row r="74" spans="3:34" ht="20.100000000000001" customHeight="1" x14ac:dyDescent="0.25">
      <c r="U74" s="25" t="e">
        <f>TEXT(EDATE('Input - Site'!$E$12,2), "mmmm yyyy")</f>
        <v>#VALUE!</v>
      </c>
      <c r="V74" s="25" cm="1">
        <f t="array" aca="1" ref="V74" ca="1">MMS_PastureBeef_Soil_N2ODirect_Equations.VEERG_4_2_1_3__6_IntakeRelativeToMaintenance(V58,V22)</f>
        <v>1.2480754440536419</v>
      </c>
      <c r="W74" s="25" cm="1">
        <f t="array" aca="1" ref="W74" ca="1">MMS_PastureBeef_Soil_N2ODirect_Equations.VEERG_4_2_1_3__6_IntakeRelativeToMaintenance(W58,W22)</f>
        <v>1</v>
      </c>
      <c r="X74" s="25" cm="1">
        <f t="array" aca="1" ref="X74" ca="1">MMS_PastureBeef_Soil_N2ODirect_Equations.VEERG_4_2_1_3__6_IntakeRelativeToMaintenance(X58,X22)</f>
        <v>1.2620356226501883</v>
      </c>
      <c r="Y74" s="25" cm="1">
        <f t="array" aca="1" ref="Y74" ca="1">MMS_PastureBeef_Soil_N2ODirect_Equations.VEERG_4_2_1_3__6_IntakeRelativeToMaintenance(Y58,Y22)</f>
        <v>1.0592964268897831</v>
      </c>
      <c r="Z74" s="25" cm="1">
        <f t="array" aca="1" ref="Z74" ca="1">MMS_PastureBeef_Soil_N2ODirect_Equations.VEERG_4_2_1_3__6_IntakeRelativeToMaintenance(Z58,Z22)</f>
        <v>0.87861639465436669</v>
      </c>
      <c r="AA74" s="25" cm="1">
        <f t="array" aca="1" ref="AA74" ca="1">MMS_PastureBeef_Soil_N2ODirect_Equations.VEERG_4_2_1_3__6_IntakeRelativeToMaintenance(AA58,AA22)</f>
        <v>0.87861639465436669</v>
      </c>
      <c r="AB74" s="25" cm="1">
        <f t="array" aca="1" ref="AB74" ca="1">MMS_PastureBeef_Soil_N2ODirect_Equations.VEERG_4_2_1_3__6_IntakeRelativeToMaintenance(AB58,AB22)</f>
        <v>1.2480754440536419</v>
      </c>
      <c r="AC74" s="25" cm="1">
        <f t="array" aca="1" ref="AC74" ca="1">MMS_PastureBeef_Soil_N2ODirect_Equations.VEERG_4_2_1_3__6_IntakeRelativeToMaintenance(AC58,AC22)</f>
        <v>1</v>
      </c>
      <c r="AD74" s="25" cm="1">
        <f t="array" aca="1" ref="AD74" ca="1">MMS_PastureBeef_Soil_N2ODirect_Equations.VEERG_4_2_1_3__6_IntakeRelativeToMaintenance(AD58,AD22)</f>
        <v>1</v>
      </c>
      <c r="AE74" s="25" cm="1">
        <f t="array" aca="1" ref="AE74" ca="1">MMS_PastureBeef_Soil_N2ODirect_Equations.VEERG_4_2_1_3__6_IntakeRelativeToMaintenance(AE58,AE22)</f>
        <v>1</v>
      </c>
      <c r="AF74" s="26" t="str">
        <f t="shared" si="3"/>
        <v>ratio</v>
      </c>
      <c r="AG74" s="26"/>
      <c r="AH74" s="26"/>
    </row>
    <row r="75" spans="3:34" ht="20.100000000000001" customHeight="1" x14ac:dyDescent="0.25">
      <c r="D75" s="88" t="s">
        <v>263</v>
      </c>
      <c r="E75" s="1" t="str" cm="1">
        <f t="array" ref="E75">MMS_PastureBeef_Soil_N2ODirect_Equations.VEERG_4_2_1_3__5_MilkProductionForCalvingSeason_Variable()</f>
        <v>MP_jk5</v>
      </c>
      <c r="U75" s="25" t="e">
        <f>TEXT(EDATE('Input - Site'!$E$12,3), "mmmm yyyy")</f>
        <v>#VALUE!</v>
      </c>
      <c r="V75" s="25" cm="1">
        <f t="array" aca="1" ref="V75" ca="1">MMS_PastureBeef_Soil_N2ODirect_Equations.VEERG_4_2_1_3__6_IntakeRelativeToMaintenance(V59,V23)</f>
        <v>1.2480754440536419</v>
      </c>
      <c r="W75" s="25" cm="1">
        <f t="array" aca="1" ref="W75" ca="1">MMS_PastureBeef_Soil_N2ODirect_Equations.VEERG_4_2_1_3__6_IntakeRelativeToMaintenance(W59,W23)</f>
        <v>1</v>
      </c>
      <c r="X75" s="25" cm="1">
        <f t="array" aca="1" ref="X75" ca="1">MMS_PastureBeef_Soil_N2ODirect_Equations.VEERG_4_2_1_3__6_IntakeRelativeToMaintenance(X59,X23)</f>
        <v>1.2620356226501883</v>
      </c>
      <c r="Y75" s="25" cm="1">
        <f t="array" aca="1" ref="Y75" ca="1">MMS_PastureBeef_Soil_N2ODirect_Equations.VEERG_4_2_1_3__6_IntakeRelativeToMaintenance(Y59,Y23)</f>
        <v>1.0592964268897831</v>
      </c>
      <c r="Z75" s="25" cm="1">
        <f t="array" aca="1" ref="Z75" ca="1">MMS_PastureBeef_Soil_N2ODirect_Equations.VEERG_4_2_1_3__6_IntakeRelativeToMaintenance(Z59,Z23)</f>
        <v>0.87861639465436669</v>
      </c>
      <c r="AA75" s="25" cm="1">
        <f t="array" aca="1" ref="AA75" ca="1">MMS_PastureBeef_Soil_N2ODirect_Equations.VEERG_4_2_1_3__6_IntakeRelativeToMaintenance(AA59,AA23)</f>
        <v>0.87861639465436669</v>
      </c>
      <c r="AB75" s="25" cm="1">
        <f t="array" aca="1" ref="AB75" ca="1">MMS_PastureBeef_Soil_N2ODirect_Equations.VEERG_4_2_1_3__6_IntakeRelativeToMaintenance(AB59,AB23)</f>
        <v>1.2480754440536419</v>
      </c>
      <c r="AC75" s="25" cm="1">
        <f t="array" aca="1" ref="AC75" ca="1">MMS_PastureBeef_Soil_N2ODirect_Equations.VEERG_4_2_1_3__6_IntakeRelativeToMaintenance(AC59,AC23)</f>
        <v>1</v>
      </c>
      <c r="AD75" s="25" cm="1">
        <f t="array" aca="1" ref="AD75" ca="1">MMS_PastureBeef_Soil_N2ODirect_Equations.VEERG_4_2_1_3__6_IntakeRelativeToMaintenance(AD59,AD23)</f>
        <v>1</v>
      </c>
      <c r="AE75" s="25" cm="1">
        <f t="array" aca="1" ref="AE75" ca="1">MMS_PastureBeef_Soil_N2ODirect_Equations.VEERG_4_2_1_3__6_IntakeRelativeToMaintenance(AE59,AE23)</f>
        <v>1</v>
      </c>
      <c r="AF75" s="26" t="str">
        <f t="shared" si="3"/>
        <v>ratio</v>
      </c>
      <c r="AG75" s="26"/>
      <c r="AH75" s="26"/>
    </row>
    <row r="76" spans="3:34" ht="20.100000000000001" customHeight="1" x14ac:dyDescent="0.25">
      <c r="D76" s="88" t="s">
        <v>130</v>
      </c>
      <c r="E76" s="15" t="str" cm="1">
        <f t="array" ref="E76">MMS_PastureBeef_Soil_N2ODirect_Equations.VEERG_4_2_1_3__5_MilkProductionForCalvingSeason_Unit()</f>
        <v>kg/head/day</v>
      </c>
      <c r="U76" s="25" t="e">
        <f>TEXT(EDATE('Input - Site'!$E$12,4), "mmmm yyyy")</f>
        <v>#VALUE!</v>
      </c>
      <c r="V76" s="25" cm="1">
        <f t="array" aca="1" ref="V76" ca="1">MMS_PastureBeef_Soil_N2ODirect_Equations.VEERG_4_2_1_3__6_IntakeRelativeToMaintenance(V60,V24)</f>
        <v>1.2480754440536419</v>
      </c>
      <c r="W76" s="25" cm="1">
        <f t="array" aca="1" ref="W76" ca="1">MMS_PastureBeef_Soil_N2ODirect_Equations.VEERG_4_2_1_3__6_IntakeRelativeToMaintenance(W60,W24)</f>
        <v>1</v>
      </c>
      <c r="X76" s="25" cm="1">
        <f t="array" aca="1" ref="X76" ca="1">MMS_PastureBeef_Soil_N2ODirect_Equations.VEERG_4_2_1_3__6_IntakeRelativeToMaintenance(X60,X24)</f>
        <v>1.2620356226501883</v>
      </c>
      <c r="Y76" s="25" cm="1">
        <f t="array" aca="1" ref="Y76" ca="1">MMS_PastureBeef_Soil_N2ODirect_Equations.VEERG_4_2_1_3__6_IntakeRelativeToMaintenance(Y60,Y24)</f>
        <v>1.0592964268897831</v>
      </c>
      <c r="Z76" s="25" cm="1">
        <f t="array" aca="1" ref="Z76" ca="1">MMS_PastureBeef_Soil_N2ODirect_Equations.VEERG_4_2_1_3__6_IntakeRelativeToMaintenance(Z60,Z24)</f>
        <v>0.87861639465436669</v>
      </c>
      <c r="AA76" s="25" cm="1">
        <f t="array" aca="1" ref="AA76" ca="1">MMS_PastureBeef_Soil_N2ODirect_Equations.VEERG_4_2_1_3__6_IntakeRelativeToMaintenance(AA60,AA24)</f>
        <v>0.87861639465436669</v>
      </c>
      <c r="AB76" s="25" cm="1">
        <f t="array" aca="1" ref="AB76" ca="1">MMS_PastureBeef_Soil_N2ODirect_Equations.VEERG_4_2_1_3__6_IntakeRelativeToMaintenance(AB60,AB24)</f>
        <v>1.2480754440536419</v>
      </c>
      <c r="AC76" s="25" cm="1">
        <f t="array" aca="1" ref="AC76" ca="1">MMS_PastureBeef_Soil_N2ODirect_Equations.VEERG_4_2_1_3__6_IntakeRelativeToMaintenance(AC60,AC24)</f>
        <v>1</v>
      </c>
      <c r="AD76" s="25" cm="1">
        <f t="array" aca="1" ref="AD76" ca="1">MMS_PastureBeef_Soil_N2ODirect_Equations.VEERG_4_2_1_3__6_IntakeRelativeToMaintenance(AD60,AD24)</f>
        <v>1</v>
      </c>
      <c r="AE76" s="25" cm="1">
        <f t="array" aca="1" ref="AE76" ca="1">MMS_PastureBeef_Soil_N2ODirect_Equations.VEERG_4_2_1_3__6_IntakeRelativeToMaintenance(AE60,AE24)</f>
        <v>1</v>
      </c>
      <c r="AF76" s="26" t="str">
        <f t="shared" si="3"/>
        <v>ratio</v>
      </c>
      <c r="AG76" s="26"/>
      <c r="AH76" s="26"/>
    </row>
    <row r="77" spans="3:34" ht="20.100000000000001" customHeight="1" x14ac:dyDescent="0.25">
      <c r="U77" s="25" t="e">
        <f>TEXT(EDATE('Input - Site'!$E$12,5), "mmmm yyyy")</f>
        <v>#VALUE!</v>
      </c>
      <c r="V77" s="25" cm="1">
        <f t="array" aca="1" ref="V77" ca="1">MMS_PastureBeef_Soil_N2ODirect_Equations.VEERG_4_2_1_3__6_IntakeRelativeToMaintenance(V61,V25)</f>
        <v>1.3447114471128401</v>
      </c>
      <c r="W77" s="25" cm="1">
        <f t="array" aca="1" ref="W77" ca="1">MMS_PastureBeef_Soil_N2ODirect_Equations.VEERG_4_2_1_3__6_IntakeRelativeToMaintenance(W61,W25)</f>
        <v>1.0453721939219578</v>
      </c>
      <c r="X77" s="25" cm="1">
        <f t="array" aca="1" ref="X77" ca="1">MMS_PastureBeef_Soil_N2ODirect_Equations.VEERG_4_2_1_3__6_IntakeRelativeToMaintenance(X61,X25)</f>
        <v>1.2863889326974398</v>
      </c>
      <c r="Y77" s="25" cm="1">
        <f t="array" aca="1" ref="Y77" ca="1">MMS_PastureBeef_Soil_N2ODirect_Equations.VEERG_4_2_1_3__6_IntakeRelativeToMaintenance(Y61,Y25)</f>
        <v>1.0290827091276171</v>
      </c>
      <c r="Z77" s="25" cm="1">
        <f t="array" aca="1" ref="Z77" ca="1">MMS_PastureBeef_Soil_N2ODirect_Equations.VEERG_4_2_1_3__6_IntakeRelativeToMaintenance(Z61,Z25)</f>
        <v>1.0250350228725489</v>
      </c>
      <c r="AA77" s="25" cm="1">
        <f t="array" aca="1" ref="AA77" ca="1">MMS_PastureBeef_Soil_N2ODirect_Equations.VEERG_4_2_1_3__6_IntakeRelativeToMaintenance(AA61,AA25)</f>
        <v>1.0250350228725489</v>
      </c>
      <c r="AB77" s="25" cm="1">
        <f t="array" aca="1" ref="AB77" ca="1">MMS_PastureBeef_Soil_N2ODirect_Equations.VEERG_4_2_1_3__6_IntakeRelativeToMaintenance(AB61,AB25)</f>
        <v>1.2744200407937745</v>
      </c>
      <c r="AC77" s="25" cm="1">
        <f t="array" aca="1" ref="AC77" ca="1">MMS_PastureBeef_Soil_N2ODirect_Equations.VEERG_4_2_1_3__6_IntakeRelativeToMaintenance(AC61,AC25)</f>
        <v>1.1147815609185805</v>
      </c>
      <c r="AD77" s="25" cm="1">
        <f t="array" aca="1" ref="AD77" ca="1">MMS_PastureBeef_Soil_N2ODirect_Equations.VEERG_4_2_1_3__6_IntakeRelativeToMaintenance(AD61,AD25)</f>
        <v>1.1147815609185805</v>
      </c>
      <c r="AE77" s="25" cm="1">
        <f t="array" aca="1" ref="AE77" ca="1">MMS_PastureBeef_Soil_N2ODirect_Equations.VEERG_4_2_1_3__6_IntakeRelativeToMaintenance(AE61,AE25)</f>
        <v>1.1147815609185805</v>
      </c>
      <c r="AF77" s="26" t="str">
        <f t="shared" si="3"/>
        <v>ratio</v>
      </c>
      <c r="AG77" s="26"/>
      <c r="AH77" s="26"/>
    </row>
    <row r="78" spans="3:34" ht="20.100000000000001" customHeight="1" x14ac:dyDescent="0.25">
      <c r="D78" s="107" t="str" cm="1">
        <f t="array" ref="D78:E82">_xlfn.CHOOSECOLS(MMS_PastureBeef_Soil_N2ODirect_Equations.VEERG_4_2_1_3__5_MilkProductionForCalvingSeason_ArgumentsVariation(),1,2)</f>
        <v>LC_jk5curr</v>
      </c>
      <c r="E78" s="108" t="str">
        <v>proportion of cows greater than 2 years lactating for the season of calving</v>
      </c>
      <c r="F78" s="110"/>
      <c r="G78" s="107" t="str" cm="1">
        <f t="array" ref="G78:H82">_xlfn.CHOOSECOLS(MMS_PastureBeef_Soil_N2ODirect_Equations.VEERG_4_2_1_3__5_MilkProductionForCalvingSeason_ArgumentsVariation(),3,4)</f>
        <v>fraction</v>
      </c>
      <c r="H78" s="111" t="str">
        <v>Input</v>
      </c>
      <c r="I78" s="113" t="str" cm="1">
        <f t="array" aca="1" ref="I78" ca="1">HYPERLINK(Common_InputFunctions.Utility_SourceHyperlink($D$84), $D$84)</f>
        <v>M1_Table_LC_j_k-4-5</v>
      </c>
      <c r="U78" s="25" t="e">
        <f>TEXT(EDATE('Input - Site'!$E$12,6), "mmmm yyyy")</f>
        <v>#VALUE!</v>
      </c>
      <c r="V78" s="25" cm="1">
        <f t="array" aca="1" ref="V78" ca="1">MMS_PastureBeef_Soil_N2ODirect_Equations.VEERG_4_2_1_3__6_IntakeRelativeToMaintenance(V62,V26)</f>
        <v>1.3447114471128401</v>
      </c>
      <c r="W78" s="25" cm="1">
        <f t="array" aca="1" ref="W78" ca="1">MMS_PastureBeef_Soil_N2ODirect_Equations.VEERG_4_2_1_3__6_IntakeRelativeToMaintenance(W62,W26)</f>
        <v>1.0453721939219578</v>
      </c>
      <c r="X78" s="25" cm="1">
        <f t="array" aca="1" ref="X78" ca="1">MMS_PastureBeef_Soil_N2ODirect_Equations.VEERG_4_2_1_3__6_IntakeRelativeToMaintenance(X62,X26)</f>
        <v>1.2863889326974398</v>
      </c>
      <c r="Y78" s="25" cm="1">
        <f t="array" aca="1" ref="Y78" ca="1">MMS_PastureBeef_Soil_N2ODirect_Equations.VEERG_4_2_1_3__6_IntakeRelativeToMaintenance(Y62,Y26)</f>
        <v>1.0290827091276171</v>
      </c>
      <c r="Z78" s="25" cm="1">
        <f t="array" aca="1" ref="Z78" ca="1">MMS_PastureBeef_Soil_N2ODirect_Equations.VEERG_4_2_1_3__6_IntakeRelativeToMaintenance(Z62,Z26)</f>
        <v>1.0250350228725489</v>
      </c>
      <c r="AA78" s="25" cm="1">
        <f t="array" aca="1" ref="AA78" ca="1">MMS_PastureBeef_Soil_N2ODirect_Equations.VEERG_4_2_1_3__6_IntakeRelativeToMaintenance(AA62,AA26)</f>
        <v>1.0250350228725489</v>
      </c>
      <c r="AB78" s="25" cm="1">
        <f t="array" aca="1" ref="AB78" ca="1">MMS_PastureBeef_Soil_N2ODirect_Equations.VEERG_4_2_1_3__6_IntakeRelativeToMaintenance(AB62,AB26)</f>
        <v>1.2744200407937745</v>
      </c>
      <c r="AC78" s="25" cm="1">
        <f t="array" aca="1" ref="AC78" ca="1">MMS_PastureBeef_Soil_N2ODirect_Equations.VEERG_4_2_1_3__6_IntakeRelativeToMaintenance(AC62,AC26)</f>
        <v>1.1147815609185805</v>
      </c>
      <c r="AD78" s="25" cm="1">
        <f t="array" aca="1" ref="AD78" ca="1">MMS_PastureBeef_Soil_N2ODirect_Equations.VEERG_4_2_1_3__6_IntakeRelativeToMaintenance(AD62,AD26)</f>
        <v>1.1147815609185805</v>
      </c>
      <c r="AE78" s="25" cm="1">
        <f t="array" aca="1" ref="AE78" ca="1">MMS_PastureBeef_Soil_N2ODirect_Equations.VEERG_4_2_1_3__6_IntakeRelativeToMaintenance(AE62,AE26)</f>
        <v>1.1147815609185805</v>
      </c>
      <c r="AF78" s="26" t="str">
        <f t="shared" si="3"/>
        <v>ratio</v>
      </c>
      <c r="AG78" s="26"/>
      <c r="AH78" s="26"/>
    </row>
    <row r="79" spans="3:34" ht="20.100000000000001" customHeight="1" x14ac:dyDescent="0.25">
      <c r="D79" s="107" t="str">
        <v>LC_jk5prev</v>
      </c>
      <c r="E79" s="108" t="str">
        <v>proportion of cows greater than 2 years lactating for the season after calving</v>
      </c>
      <c r="F79" s="110"/>
      <c r="G79" s="107" t="str">
        <v>fraction</v>
      </c>
      <c r="H79" s="111" t="str">
        <v>Input</v>
      </c>
      <c r="I79" s="113" t="str" cm="1">
        <f t="array" aca="1" ref="I79" ca="1">HYPERLINK(Common_InputFunctions.Utility_SourceHyperlink($D$84), $D$84)</f>
        <v>M1_Table_LC_j_k-4-5</v>
      </c>
      <c r="U79" s="25" t="e">
        <f>TEXT(EDATE('Input - Site'!$E$12,7), "mmmm yyyy")</f>
        <v>#VALUE!</v>
      </c>
      <c r="V79" s="25" cm="1">
        <f t="array" aca="1" ref="V79" ca="1">MMS_PastureBeef_Soil_N2ODirect_Equations.VEERG_4_2_1_3__6_IntakeRelativeToMaintenance(V63,V27)</f>
        <v>1.3447114471128401</v>
      </c>
      <c r="W79" s="25" cm="1">
        <f t="array" aca="1" ref="W79" ca="1">MMS_PastureBeef_Soil_N2ODirect_Equations.VEERG_4_2_1_3__6_IntakeRelativeToMaintenance(W63,W27)</f>
        <v>1.0453721939219578</v>
      </c>
      <c r="X79" s="25" cm="1">
        <f t="array" aca="1" ref="X79" ca="1">MMS_PastureBeef_Soil_N2ODirect_Equations.VEERG_4_2_1_3__6_IntakeRelativeToMaintenance(X63,X27)</f>
        <v>1.2863889326974398</v>
      </c>
      <c r="Y79" s="25" cm="1">
        <f t="array" aca="1" ref="Y79" ca="1">MMS_PastureBeef_Soil_N2ODirect_Equations.VEERG_4_2_1_3__6_IntakeRelativeToMaintenance(Y63,Y27)</f>
        <v>1.0290827091276171</v>
      </c>
      <c r="Z79" s="25" cm="1">
        <f t="array" aca="1" ref="Z79" ca="1">MMS_PastureBeef_Soil_N2ODirect_Equations.VEERG_4_2_1_3__6_IntakeRelativeToMaintenance(Z63,Z27)</f>
        <v>1.0250350228725489</v>
      </c>
      <c r="AA79" s="25" cm="1">
        <f t="array" aca="1" ref="AA79" ca="1">MMS_PastureBeef_Soil_N2ODirect_Equations.VEERG_4_2_1_3__6_IntakeRelativeToMaintenance(AA63,AA27)</f>
        <v>1.0250350228725489</v>
      </c>
      <c r="AB79" s="25" cm="1">
        <f t="array" aca="1" ref="AB79" ca="1">MMS_PastureBeef_Soil_N2ODirect_Equations.VEERG_4_2_1_3__6_IntakeRelativeToMaintenance(AB63,AB27)</f>
        <v>1.2744200407937745</v>
      </c>
      <c r="AC79" s="25" cm="1">
        <f t="array" aca="1" ref="AC79" ca="1">MMS_PastureBeef_Soil_N2ODirect_Equations.VEERG_4_2_1_3__6_IntakeRelativeToMaintenance(AC63,AC27)</f>
        <v>1.1147815609185805</v>
      </c>
      <c r="AD79" s="25" cm="1">
        <f t="array" aca="1" ref="AD79" ca="1">MMS_PastureBeef_Soil_N2ODirect_Equations.VEERG_4_2_1_3__6_IntakeRelativeToMaintenance(AD63,AD27)</f>
        <v>1.1147815609185805</v>
      </c>
      <c r="AE79" s="25" cm="1">
        <f t="array" aca="1" ref="AE79" ca="1">MMS_PastureBeef_Soil_N2ODirect_Equations.VEERG_4_2_1_3__6_IntakeRelativeToMaintenance(AE63,AE27)</f>
        <v>1.1147815609185805</v>
      </c>
      <c r="AF79" s="26" t="str">
        <f t="shared" si="3"/>
        <v>ratio</v>
      </c>
      <c r="AG79" s="26"/>
      <c r="AH79" s="26"/>
    </row>
    <row r="80" spans="3:34" ht="20.100000000000001" customHeight="1" x14ac:dyDescent="0.25">
      <c r="D80" s="107" t="str">
        <v>DMP_jk5calv</v>
      </c>
      <c r="E80" s="108" t="str">
        <v>daily milk production for the season of calving (kg/head/day)</v>
      </c>
      <c r="F80" s="110"/>
      <c r="G80" s="107" t="str">
        <v>kg/head/day</v>
      </c>
      <c r="H80" s="112" t="str">
        <v>Constant</v>
      </c>
      <c r="I80" s="122" cm="1">
        <f t="array" ref="I80">_xlfn.XLOOKUP(1, (Table_SourceData_PastureBeef_FeedIntakeAdjustment_Variation[Breed]=$I$82)*(Table_SourceData_PastureBeef_FeedIntakeAdjustment_Variation[Season]=+"Calving season"),Table_SourceData_PastureBeef_FeedIntakeAdjustment_Variation[Milk intake/production])</f>
        <v>6</v>
      </c>
      <c r="U80" s="25" t="e">
        <f>TEXT(EDATE('Input - Site'!$E$12,8), "mmmm yyyy")</f>
        <v>#VALUE!</v>
      </c>
      <c r="V80" s="25" cm="1">
        <f t="array" aca="1" ref="V80" ca="1">MMS_PastureBeef_Soil_N2ODirect_Equations.VEERG_4_2_1_3__6_IntakeRelativeToMaintenance(V64,V28)</f>
        <v>1.4707970166214006</v>
      </c>
      <c r="W80" s="25" cm="1">
        <f t="array" aca="1" ref="W80" ca="1">MMS_PastureBeef_Soil_N2ODirect_Equations.VEERG_4_2_1_3__6_IntakeRelativeToMaintenance(W64,W28)</f>
        <v>1.2318676608114607</v>
      </c>
      <c r="X80" s="25" cm="1">
        <f t="array" aca="1" ref="X80" ca="1">MMS_PastureBeef_Soil_N2ODirect_Equations.VEERG_4_2_1_3__6_IntakeRelativeToMaintenance(X64,X28)</f>
        <v>1.3784396841492426</v>
      </c>
      <c r="Y80" s="25" cm="1">
        <f t="array" aca="1" ref="Y80" ca="1">MMS_PastureBeef_Soil_N2ODirect_Equations.VEERG_4_2_1_3__6_IntakeRelativeToMaintenance(Y64,Y28)</f>
        <v>1.2508897944754176</v>
      </c>
      <c r="Z80" s="25" cm="1">
        <f t="array" aca="1" ref="Z80" ca="1">MMS_PastureBeef_Soil_N2ODirect_Equations.VEERG_4_2_1_3__6_IntakeRelativeToMaintenance(Z64,Z28)</f>
        <v>1.1487575349968293</v>
      </c>
      <c r="AA80" s="25" cm="1">
        <f t="array" aca="1" ref="AA80" ca="1">MMS_PastureBeef_Soil_N2ODirect_Equations.VEERG_4_2_1_3__6_IntakeRelativeToMaintenance(AA64,AA28)</f>
        <v>1.1487575349968293</v>
      </c>
      <c r="AB80" s="25" cm="1">
        <f t="array" aca="1" ref="AB80" ca="1">MMS_PastureBeef_Soil_N2ODirect_Equations.VEERG_4_2_1_3__6_IntakeRelativeToMaintenance(AB64,AB28)</f>
        <v>1.4241682690123998</v>
      </c>
      <c r="AC80" s="25" cm="1">
        <f t="array" aca="1" ref="AC80" ca="1">MMS_PastureBeef_Soil_N2ODirect_Equations.VEERG_4_2_1_3__6_IntakeRelativeToMaintenance(AC64,AC28)</f>
        <v>1.2663208058014268</v>
      </c>
      <c r="AD80" s="25" cm="1">
        <f t="array" aca="1" ref="AD80" ca="1">MMS_PastureBeef_Soil_N2ODirect_Equations.VEERG_4_2_1_3__6_IntakeRelativeToMaintenance(AD64,AD28)</f>
        <v>1.2663208058014268</v>
      </c>
      <c r="AE80" s="25" cm="1">
        <f t="array" aca="1" ref="AE80" ca="1">MMS_PastureBeef_Soil_N2ODirect_Equations.VEERG_4_2_1_3__6_IntakeRelativeToMaintenance(AE64,AE28)</f>
        <v>1.2663208058014268</v>
      </c>
      <c r="AF80" s="26" t="str">
        <f t="shared" si="3"/>
        <v>ratio</v>
      </c>
      <c r="AG80" s="26"/>
      <c r="AH80" s="26"/>
    </row>
    <row r="81" spans="4:35" ht="20.100000000000001" customHeight="1" x14ac:dyDescent="0.25">
      <c r="D81" s="107" t="str">
        <v>DMP_jk5after</v>
      </c>
      <c r="E81" s="108" t="str">
        <v>daily milk production for the season after calving (kg/head/day)</v>
      </c>
      <c r="F81" s="110"/>
      <c r="G81" s="107" t="str">
        <v>kg/head/day</v>
      </c>
      <c r="H81" s="112" t="str">
        <v>Constant</v>
      </c>
      <c r="I81" s="122" cm="1">
        <f t="array" ref="I81">_xlfn.XLOOKUP(1, (Table_SourceData_PastureBeef_FeedIntakeAdjustment_Variation[Breed]=$I$82)*(Table_SourceData_PastureBeef_FeedIntakeAdjustment_Variation[Season]=+"Season after calving"),Table_SourceData_PastureBeef_FeedIntakeAdjustment_Variation[Milk intake/production])</f>
        <v>4</v>
      </c>
      <c r="U81" s="25" t="e">
        <f>TEXT(EDATE('Input - Site'!$E$12,9), "mmmm yyyy")</f>
        <v>#VALUE!</v>
      </c>
      <c r="V81" s="25" cm="1">
        <f t="array" aca="1" ref="V81" ca="1">MMS_PastureBeef_Soil_N2ODirect_Equations.VEERG_4_2_1_3__6_IntakeRelativeToMaintenance(V65,V29)</f>
        <v>1.4707970166214006</v>
      </c>
      <c r="W81" s="25" cm="1">
        <f t="array" aca="1" ref="W81" ca="1">MMS_PastureBeef_Soil_N2ODirect_Equations.VEERG_4_2_1_3__6_IntakeRelativeToMaintenance(W65,W29)</f>
        <v>1.2318676608114607</v>
      </c>
      <c r="X81" s="25" cm="1">
        <f t="array" aca="1" ref="X81" ca="1">MMS_PastureBeef_Soil_N2ODirect_Equations.VEERG_4_2_1_3__6_IntakeRelativeToMaintenance(X65,X29)</f>
        <v>1.3784396841492426</v>
      </c>
      <c r="Y81" s="25" cm="1">
        <f t="array" aca="1" ref="Y81" ca="1">MMS_PastureBeef_Soil_N2ODirect_Equations.VEERG_4_2_1_3__6_IntakeRelativeToMaintenance(Y65,Y29)</f>
        <v>1.2508897944754176</v>
      </c>
      <c r="Z81" s="25" cm="1">
        <f t="array" aca="1" ref="Z81" ca="1">MMS_PastureBeef_Soil_N2ODirect_Equations.VEERG_4_2_1_3__6_IntakeRelativeToMaintenance(Z65,Z29)</f>
        <v>1.1487575349968293</v>
      </c>
      <c r="AA81" s="25" cm="1">
        <f t="array" aca="1" ref="AA81" ca="1">MMS_PastureBeef_Soil_N2ODirect_Equations.VEERG_4_2_1_3__6_IntakeRelativeToMaintenance(AA65,AA29)</f>
        <v>1.1487575349968293</v>
      </c>
      <c r="AB81" s="25" cm="1">
        <f t="array" aca="1" ref="AB81" ca="1">MMS_PastureBeef_Soil_N2ODirect_Equations.VEERG_4_2_1_3__6_IntakeRelativeToMaintenance(AB65,AB29)</f>
        <v>1.4241682690123998</v>
      </c>
      <c r="AC81" s="25" cm="1">
        <f t="array" aca="1" ref="AC81" ca="1">MMS_PastureBeef_Soil_N2ODirect_Equations.VEERG_4_2_1_3__6_IntakeRelativeToMaintenance(AC65,AC29)</f>
        <v>1.2663208058014268</v>
      </c>
      <c r="AD81" s="25" cm="1">
        <f t="array" aca="1" ref="AD81" ca="1">MMS_PastureBeef_Soil_N2ODirect_Equations.VEERG_4_2_1_3__6_IntakeRelativeToMaintenance(AD65,AD29)</f>
        <v>1.2663208058014268</v>
      </c>
      <c r="AE81" s="25" cm="1">
        <f t="array" aca="1" ref="AE81" ca="1">MMS_PastureBeef_Soil_N2ODirect_Equations.VEERG_4_2_1_3__6_IntakeRelativeToMaintenance(AE65,AE29)</f>
        <v>1.2663208058014268</v>
      </c>
      <c r="AF81" s="26" t="str">
        <f t="shared" si="3"/>
        <v>ratio</v>
      </c>
      <c r="AG81" s="26"/>
      <c r="AH81" s="26"/>
    </row>
    <row r="82" spans="4:35" ht="20.100000000000001" customHeight="1" x14ac:dyDescent="0.25">
      <c r="D82" s="107" t="str">
        <v>b</v>
      </c>
      <c r="E82" s="108" t="str">
        <v>breed of cattle</v>
      </c>
      <c r="F82" s="110"/>
      <c r="G82" s="107" t="str">
        <v/>
      </c>
      <c r="H82" s="111" t="str">
        <v>Input</v>
      </c>
      <c r="I82" s="122" t="str">
        <f>X_Cell_PastureBeef_Breed</f>
        <v>Hereford or Shorthorn breeds</v>
      </c>
      <c r="U82" s="25" t="e">
        <f>TEXT(EDATE('Input - Site'!$E$12,10), "mmmm yyyy")</f>
        <v>#VALUE!</v>
      </c>
      <c r="V82" s="25" cm="1">
        <f t="array" aca="1" ref="V82" ca="1">MMS_PastureBeef_Soil_N2ODirect_Equations.VEERG_4_2_1_3__6_IntakeRelativeToMaintenance(V66,V30)</f>
        <v>1.4707970166214006</v>
      </c>
      <c r="W82" s="25" cm="1">
        <f t="array" aca="1" ref="W82" ca="1">MMS_PastureBeef_Soil_N2ODirect_Equations.VEERG_4_2_1_3__6_IntakeRelativeToMaintenance(W66,W30)</f>
        <v>1.2318676608114607</v>
      </c>
      <c r="X82" s="25" cm="1">
        <f t="array" aca="1" ref="X82" ca="1">MMS_PastureBeef_Soil_N2ODirect_Equations.VEERG_4_2_1_3__6_IntakeRelativeToMaintenance(X66,X30)</f>
        <v>1.3784396841492426</v>
      </c>
      <c r="Y82" s="25" cm="1">
        <f t="array" aca="1" ref="Y82" ca="1">MMS_PastureBeef_Soil_N2ODirect_Equations.VEERG_4_2_1_3__6_IntakeRelativeToMaintenance(Y66,Y30)</f>
        <v>1.2508897944754176</v>
      </c>
      <c r="Z82" s="25" cm="1">
        <f t="array" aca="1" ref="Z82" ca="1">MMS_PastureBeef_Soil_N2ODirect_Equations.VEERG_4_2_1_3__6_IntakeRelativeToMaintenance(Z66,Z30)</f>
        <v>1.1487575349968293</v>
      </c>
      <c r="AA82" s="25" cm="1">
        <f t="array" aca="1" ref="AA82" ca="1">MMS_PastureBeef_Soil_N2ODirect_Equations.VEERG_4_2_1_3__6_IntakeRelativeToMaintenance(AA66,AA30)</f>
        <v>1.1487575349968293</v>
      </c>
      <c r="AB82" s="25" cm="1">
        <f t="array" aca="1" ref="AB82" ca="1">MMS_PastureBeef_Soil_N2ODirect_Equations.VEERG_4_2_1_3__6_IntakeRelativeToMaintenance(AB66,AB30)</f>
        <v>1.4241682690123998</v>
      </c>
      <c r="AC82" s="25" cm="1">
        <f t="array" aca="1" ref="AC82" ca="1">MMS_PastureBeef_Soil_N2ODirect_Equations.VEERG_4_2_1_3__6_IntakeRelativeToMaintenance(AC66,AC30)</f>
        <v>1.2663208058014268</v>
      </c>
      <c r="AD82" s="25" cm="1">
        <f t="array" aca="1" ref="AD82" ca="1">MMS_PastureBeef_Soil_N2ODirect_Equations.VEERG_4_2_1_3__6_IntakeRelativeToMaintenance(AD66,AD30)</f>
        <v>1.2663208058014268</v>
      </c>
      <c r="AE82" s="25" cm="1">
        <f t="array" aca="1" ref="AE82" ca="1">MMS_PastureBeef_Soil_N2ODirect_Equations.VEERG_4_2_1_3__6_IntakeRelativeToMaintenance(AE66,AE30)</f>
        <v>1.2663208058014268</v>
      </c>
      <c r="AF82" s="26" t="str">
        <f t="shared" si="3"/>
        <v>ratio</v>
      </c>
      <c r="AG82" s="26"/>
      <c r="AH82" s="26"/>
    </row>
    <row r="83" spans="4:35" ht="20.100000000000001" customHeight="1" x14ac:dyDescent="0.25">
      <c r="U83" s="25" t="e">
        <f>TEXT(EDATE('Input - Site'!$E$12,11), "mmmm yyyy")</f>
        <v>#VALUE!</v>
      </c>
      <c r="V83" s="25" cm="1">
        <f t="array" aca="1" ref="V83" ca="1">MMS_PastureBeef_Soil_N2ODirect_Equations.VEERG_4_2_1_3__6_IntakeRelativeToMaintenance(V67,V31)</f>
        <v>1.1123493391850732</v>
      </c>
      <c r="W83" s="25" cm="1">
        <f t="array" aca="1" ref="W83" ca="1">MMS_PastureBeef_Soil_N2ODirect_Equations.VEERG_4_2_1_3__6_IntakeRelativeToMaintenance(W67,W31)</f>
        <v>0.95640681558610863</v>
      </c>
      <c r="X83" s="25" cm="1">
        <f t="array" aca="1" ref="X83" ca="1">MMS_PastureBeef_Soil_N2ODirect_Equations.VEERG_4_2_1_3__6_IntakeRelativeToMaintenance(X67,X31)</f>
        <v>1.1234350255113625</v>
      </c>
      <c r="Y83" s="25" cm="1">
        <f t="array" aca="1" ref="Y83" ca="1">MMS_PastureBeef_Soil_N2ODirect_Equations.VEERG_4_2_1_3__6_IntakeRelativeToMaintenance(Y67,Y31)</f>
        <v>1.0784378504014522</v>
      </c>
      <c r="Z83" s="25" cm="1">
        <f t="array" aca="1" ref="Z83" ca="1">MMS_PastureBeef_Soil_N2ODirect_Equations.VEERG_4_2_1_3__6_IntakeRelativeToMaintenance(Z67,Z31)</f>
        <v>0.95213980674605769</v>
      </c>
      <c r="AA83" s="25" cm="1">
        <f t="array" aca="1" ref="AA83" ca="1">MMS_PastureBeef_Soil_N2ODirect_Equations.VEERG_4_2_1_3__6_IntakeRelativeToMaintenance(AA67,AA31)</f>
        <v>0.95213980674605769</v>
      </c>
      <c r="AB83" s="25" cm="1">
        <f t="array" aca="1" ref="AB83" ca="1">MMS_PastureBeef_Soil_N2ODirect_Equations.VEERG_4_2_1_3__6_IntakeRelativeToMaintenance(AB67,AB31)</f>
        <v>1.1174246366611618</v>
      </c>
      <c r="AC83" s="25" cm="1">
        <f t="array" aca="1" ref="AC83" ca="1">MMS_PastureBeef_Soil_N2ODirect_Equations.VEERG_4_2_1_3__6_IntakeRelativeToMaintenance(AC67,AC31)</f>
        <v>0.97490853257319487</v>
      </c>
      <c r="AD83" s="25" cm="1">
        <f t="array" aca="1" ref="AD83" ca="1">MMS_PastureBeef_Soil_N2ODirect_Equations.VEERG_4_2_1_3__6_IntakeRelativeToMaintenance(AD67,AD31)</f>
        <v>0.97490853257319487</v>
      </c>
      <c r="AE83" s="25" cm="1">
        <f t="array" aca="1" ref="AE83" ca="1">MMS_PastureBeef_Soil_N2ODirect_Equations.VEERG_4_2_1_3__6_IntakeRelativeToMaintenance(AE67,AE31)</f>
        <v>0.97490853257319487</v>
      </c>
      <c r="AF83" s="26" t="str">
        <f t="shared" si="3"/>
        <v>ratio</v>
      </c>
      <c r="AG83" s="26"/>
      <c r="AH83" s="26"/>
    </row>
    <row r="84" spans="4:35" ht="20.100000000000001" customHeight="1" x14ac:dyDescent="0.25">
      <c r="D84" s="114" t="s">
        <v>264</v>
      </c>
    </row>
    <row r="85" spans="4:35" ht="20.100000000000001" customHeight="1" x14ac:dyDescent="0.25">
      <c r="D85" s="115" t="s">
        <v>265</v>
      </c>
    </row>
    <row r="86" spans="4:35" ht="20.100000000000001" customHeight="1" x14ac:dyDescent="0.25">
      <c r="D86" s="116" t="s">
        <v>78</v>
      </c>
      <c r="E86" s="117" t="s">
        <v>196</v>
      </c>
      <c r="F86" s="117" t="s">
        <v>197</v>
      </c>
      <c r="G86" s="117" t="s">
        <v>198</v>
      </c>
      <c r="T86" s="118"/>
      <c r="U86" s="118"/>
      <c r="V86" s="118"/>
      <c r="W86" s="118"/>
      <c r="X86" s="118"/>
      <c r="Y86" s="118"/>
      <c r="Z86" s="118"/>
      <c r="AA86" s="118"/>
      <c r="AB86" s="118"/>
      <c r="AC86" s="118"/>
      <c r="AD86" s="118"/>
      <c r="AE86" s="118"/>
      <c r="AF86" s="118"/>
      <c r="AG86" s="118"/>
      <c r="AH86" s="118"/>
      <c r="AI86" s="118"/>
    </row>
    <row r="87" spans="4:35" ht="20.100000000000001" customHeight="1" x14ac:dyDescent="0.25">
      <c r="D87" s="25" t="str">
        <f>'Input - Pasture Beef'!$E$105</f>
        <v>Winter</v>
      </c>
      <c r="E87" s="176">
        <f>'Input - Pasture Beef'!$F$111</f>
        <v>0.7</v>
      </c>
      <c r="F87" s="176">
        <f>'Input - Pasture Beef'!$G$111</f>
        <v>0.5</v>
      </c>
      <c r="G87" s="176">
        <f>'Input - Pasture Beef'!$H$111</f>
        <v>0.5</v>
      </c>
      <c r="H87" s="26" t="s">
        <v>268</v>
      </c>
      <c r="U87" s="2" t="str" cm="1">
        <f t="array" ref="U87">MMS_PastureBeef_Soil_N2ODirect_Equations.VEERG_4_2_1_3__5_MilkProductionForCalvingSeason_Title()</f>
        <v>Milk production for the season of calving and season after calving</v>
      </c>
    </row>
    <row r="88" spans="4:35" ht="20.100000000000001" customHeight="1" x14ac:dyDescent="0.25"/>
    <row r="89" spans="4:35" ht="20.100000000000001" customHeight="1" x14ac:dyDescent="0.25">
      <c r="U89" s="114" t="s">
        <v>266</v>
      </c>
    </row>
    <row r="90" spans="4:35" ht="20.100000000000001" customHeight="1" x14ac:dyDescent="0.25">
      <c r="U90" s="115" t="s">
        <v>267</v>
      </c>
    </row>
    <row r="91" spans="4:35" ht="20.100000000000001" customHeight="1" x14ac:dyDescent="0.25">
      <c r="U91" s="116" t="s">
        <v>77</v>
      </c>
      <c r="V91" s="117" t="s">
        <v>196</v>
      </c>
      <c r="W91" s="117" t="s">
        <v>197</v>
      </c>
      <c r="X91" s="117" t="s">
        <v>198</v>
      </c>
    </row>
    <row r="92" spans="4:35" ht="20.100000000000001" customHeight="1" x14ac:dyDescent="0.25">
      <c r="D92" s="114" t="s">
        <v>436</v>
      </c>
      <c r="U92" s="25" t="str">
        <f>TEXT(EDATE('Input - Pasture Beef'!$D$125,0), "mmmm") &amp; ", " &amp; TEXT(EDATE('Input - Pasture Beef'!$D$126,0), "mmmm") &amp; ", " &amp; TEXT(EDATE('Input - Pasture Beef'!$D$127,0), "mmmm")</f>
        <v>August, September, October</v>
      </c>
      <c r="V92" s="176">
        <f>'Input - Pasture Beef'!$E$128</f>
        <v>0.75</v>
      </c>
      <c r="W92" s="176">
        <f>'Input - Pasture Beef'!$F$128</f>
        <v>0.75</v>
      </c>
      <c r="X92" s="176">
        <f>'Input - Pasture Beef'!$G$128</f>
        <v>0.75</v>
      </c>
      <c r="Y92" s="26" t="s">
        <v>268</v>
      </c>
    </row>
    <row r="93" spans="4:35" ht="20.100000000000001" customHeight="1" x14ac:dyDescent="0.25">
      <c r="D93" s="115" t="s">
        <v>437</v>
      </c>
      <c r="U93" s="25" t="str">
        <f>TEXT(EDATE('Input - Pasture Beef'!$D$127,1), "mmmm") &amp; ", " &amp; TEXT(EDATE('Input - Pasture Beef'!$D$127,2), "mmmm") &amp; ", " &amp; TEXT(EDATE('Input - Pasture Beef'!$D$127,3), "mmmm")</f>
        <v>November, December, January</v>
      </c>
      <c r="Y93" s="26"/>
    </row>
    <row r="94" spans="4:35" ht="20.100000000000001" customHeight="1" x14ac:dyDescent="0.25">
      <c r="D94" s="116" t="s">
        <v>78</v>
      </c>
      <c r="E94" s="116" t="s">
        <v>216</v>
      </c>
      <c r="F94" s="116" t="s">
        <v>438</v>
      </c>
      <c r="G94" s="116" t="s">
        <v>193</v>
      </c>
      <c r="H94" s="116" t="s">
        <v>194</v>
      </c>
      <c r="I94" s="116" t="s">
        <v>195</v>
      </c>
      <c r="J94" s="116" t="s">
        <v>196</v>
      </c>
      <c r="K94" s="116" t="s">
        <v>197</v>
      </c>
      <c r="L94" s="116" t="s">
        <v>198</v>
      </c>
      <c r="M94" s="116" t="s">
        <v>199</v>
      </c>
      <c r="N94" s="116" t="s">
        <v>200</v>
      </c>
      <c r="O94" s="116" t="s">
        <v>201</v>
      </c>
      <c r="P94" s="116" t="s">
        <v>202</v>
      </c>
    </row>
    <row r="95" spans="4:35" ht="20.100000000000001" customHeight="1" x14ac:dyDescent="0.25">
      <c r="D95" s="25" t="str">
        <f>INDEX(M1_Table_MA_j_k45,2,1)</f>
        <v>Spring</v>
      </c>
      <c r="E95" s="25" t="str" cm="1">
        <f t="array" ref="E95">_xlfn.IFS(D87=D95, "Calving season", D87=D98, "Season after calving", D87=D96, "", D87=D97, "")</f>
        <v>Season after calving</v>
      </c>
      <c r="F95" s="25" cm="1">
        <f t="array" ref="F95">_xlfn.IFS(E95="Calving season", $I$80, E95="Season after calving", $I$81, E95="", "")</f>
        <v>4</v>
      </c>
      <c r="G95" s="25">
        <v>0</v>
      </c>
      <c r="H95" s="25">
        <v>0</v>
      </c>
      <c r="I95" s="25">
        <v>0</v>
      </c>
      <c r="J95" s="25" cm="1">
        <f t="array" ref="J95">IFERROR(MMS_PastureBeef_Soil_N2ODirect_Equations.VEERG_4_2_1_3__5_MilkProductionForCalvingSeason(E$87,$F95), 0)</f>
        <v>2.8</v>
      </c>
      <c r="K95" s="25" cm="1">
        <f t="array" ref="K95">IFERROR(MMS_PastureBeef_Soil_N2ODirect_Equations.VEERG_4_2_1_3__5_MilkProductionForCalvingSeason(F$87,$F95), 0)</f>
        <v>2</v>
      </c>
      <c r="L95" s="25" cm="1">
        <f t="array" ref="L95">IFERROR(MMS_PastureBeef_Soil_N2ODirect_Equations.VEERG_4_2_1_3__5_MilkProductionForCalvingSeason(G$87,$F95), 0)</f>
        <v>2</v>
      </c>
      <c r="M95" s="25">
        <v>0</v>
      </c>
      <c r="N95" s="25">
        <v>0</v>
      </c>
      <c r="O95" s="25">
        <v>0</v>
      </c>
      <c r="P95" s="25">
        <v>0</v>
      </c>
      <c r="Q95" s="26" t="str">
        <f>$E$76</f>
        <v>kg/head/day</v>
      </c>
    </row>
    <row r="96" spans="4:35" ht="20.100000000000001" customHeight="1" x14ac:dyDescent="0.25">
      <c r="D96" s="25" t="str">
        <f>INDEX(M1_Table_MA_j_k45,3,1)</f>
        <v>Summer</v>
      </c>
      <c r="E96" s="25" t="str" cm="1">
        <f t="array" ref="E96">_xlfn.IFS(D87=D96, "Calving season", D87=D95, "Season after calving", D87=D97, "", D87=D98, "")</f>
        <v/>
      </c>
      <c r="F96" s="25" t="str" cm="1">
        <f t="array" ref="F96">_xlfn.IFS(E96="Calving season", $I$80, E96="Season after calving", $I$81, E96="", "")</f>
        <v/>
      </c>
      <c r="G96" s="25">
        <v>0</v>
      </c>
      <c r="H96" s="25">
        <v>0</v>
      </c>
      <c r="I96" s="25">
        <v>0</v>
      </c>
      <c r="J96" s="25" cm="1">
        <f t="array" ref="J96">IFERROR(MMS_PastureBeef_Soil_N2ODirect_Equations.VEERG_4_2_1_3__5_MilkProductionForCalvingSeason(E$87,$F96), 0)</f>
        <v>0</v>
      </c>
      <c r="K96" s="25" cm="1">
        <f t="array" ref="K96">IFERROR(MMS_PastureBeef_Soil_N2ODirect_Equations.VEERG_4_2_1_3__5_MilkProductionForCalvingSeason(F$87,$F96), 0)</f>
        <v>0</v>
      </c>
      <c r="L96" s="25" cm="1">
        <f t="array" ref="L96">IFERROR(MMS_PastureBeef_Soil_N2ODirect_Equations.VEERG_4_2_1_3__5_MilkProductionForCalvingSeason(G$87,$F96), 0)</f>
        <v>0</v>
      </c>
      <c r="M96" s="25">
        <v>0</v>
      </c>
      <c r="N96" s="25">
        <v>0</v>
      </c>
      <c r="O96" s="25">
        <v>0</v>
      </c>
      <c r="P96" s="25">
        <v>0</v>
      </c>
      <c r="Q96" s="26" t="str">
        <f t="shared" ref="Q96:Q98" si="4">$E$76</f>
        <v>kg/head/day</v>
      </c>
    </row>
    <row r="97" spans="3:34" ht="20.100000000000001" customHeight="1" x14ac:dyDescent="0.25">
      <c r="D97" s="25" t="str">
        <f>INDEX(M1_Table_MA_j_k45,4,1)</f>
        <v>Autumn</v>
      </c>
      <c r="E97" s="25" t="str" cm="1">
        <f t="array" ref="E97">_xlfn.IFS(D87=D97, "Calving season", D87=D96, "Season after calving", D87=D98, "", D87=D95, "")</f>
        <v/>
      </c>
      <c r="F97" s="25" t="str" cm="1">
        <f t="array" ref="F97">_xlfn.IFS(E97="Calving season", $I$80, E97="Season after calving", $I$81, E97="", "")</f>
        <v/>
      </c>
      <c r="G97" s="25">
        <v>0</v>
      </c>
      <c r="H97" s="25">
        <v>0</v>
      </c>
      <c r="I97" s="25">
        <v>0</v>
      </c>
      <c r="J97" s="25" cm="1">
        <f t="array" ref="J97">IFERROR(MMS_PastureBeef_Soil_N2ODirect_Equations.VEERG_4_2_1_3__5_MilkProductionForCalvingSeason(E$87,$F97), 0)</f>
        <v>0</v>
      </c>
      <c r="K97" s="25" cm="1">
        <f t="array" ref="K97">IFERROR(MMS_PastureBeef_Soil_N2ODirect_Equations.VEERG_4_2_1_3__5_MilkProductionForCalvingSeason(F$87,$F97), 0)</f>
        <v>0</v>
      </c>
      <c r="L97" s="25" cm="1">
        <f t="array" ref="L97">IFERROR(MMS_PastureBeef_Soil_N2ODirect_Equations.VEERG_4_2_1_3__5_MilkProductionForCalvingSeason(G$87,$F97), 0)</f>
        <v>0</v>
      </c>
      <c r="M97" s="25">
        <v>0</v>
      </c>
      <c r="N97" s="25">
        <v>0</v>
      </c>
      <c r="O97" s="25">
        <v>0</v>
      </c>
      <c r="P97" s="25">
        <v>0</v>
      </c>
      <c r="Q97" s="26" t="str">
        <f t="shared" si="4"/>
        <v>kg/head/day</v>
      </c>
      <c r="U97" s="114" t="s">
        <v>439</v>
      </c>
    </row>
    <row r="98" spans="3:34" ht="20.100000000000001" customHeight="1" x14ac:dyDescent="0.25">
      <c r="D98" s="25" t="str">
        <f>INDEX(M1_Table_MA_j_k45,5,1)</f>
        <v>Winter</v>
      </c>
      <c r="E98" s="25" t="str" cm="1">
        <f t="array" ref="E98">_xlfn.IFS(D87=D98, "Calving season", D87=D97, "Season after calving", D87=D95, "", D87=D96, "")</f>
        <v>Calving season</v>
      </c>
      <c r="F98" s="25" cm="1">
        <f t="array" ref="F98">_xlfn.IFS(E98="Calving season", $I$80, E98="Season after calving", $I$81, E98="", "")</f>
        <v>6</v>
      </c>
      <c r="G98" s="25">
        <v>0</v>
      </c>
      <c r="H98" s="25">
        <v>0</v>
      </c>
      <c r="I98" s="25">
        <v>0</v>
      </c>
      <c r="J98" s="25" cm="1">
        <f t="array" ref="J98">IFERROR(MMS_PastureBeef_Soil_N2ODirect_Equations.VEERG_4_2_1_3__5_MilkProductionForCalvingSeason(E$87,$F98), 0)</f>
        <v>4.1999999999999993</v>
      </c>
      <c r="K98" s="25" cm="1">
        <f t="array" ref="K98">IFERROR(MMS_PastureBeef_Soil_N2ODirect_Equations.VEERG_4_2_1_3__5_MilkProductionForCalvingSeason(F$87,$F98), 0)</f>
        <v>3</v>
      </c>
      <c r="L98" s="25" cm="1">
        <f t="array" ref="L98">IFERROR(MMS_PastureBeef_Soil_N2ODirect_Equations.VEERG_4_2_1_3__5_MilkProductionForCalvingSeason(G$87,$F98), 0)</f>
        <v>3</v>
      </c>
      <c r="M98" s="25">
        <v>0</v>
      </c>
      <c r="N98" s="25">
        <v>0</v>
      </c>
      <c r="O98" s="25">
        <v>0</v>
      </c>
      <c r="P98" s="25">
        <v>0</v>
      </c>
      <c r="Q98" s="26" t="str">
        <f t="shared" si="4"/>
        <v>kg/head/day</v>
      </c>
      <c r="U98" s="115" t="s">
        <v>437</v>
      </c>
    </row>
    <row r="99" spans="3:34" ht="20.100000000000001" customHeight="1" x14ac:dyDescent="0.25">
      <c r="U99" s="116" t="s">
        <v>77</v>
      </c>
      <c r="V99" s="116" t="s">
        <v>216</v>
      </c>
      <c r="W99" s="116" t="s">
        <v>438</v>
      </c>
      <c r="X99" s="116" t="s">
        <v>193</v>
      </c>
      <c r="Y99" s="116" t="s">
        <v>194</v>
      </c>
      <c r="Z99" s="116" t="s">
        <v>195</v>
      </c>
      <c r="AA99" s="116" t="s">
        <v>196</v>
      </c>
      <c r="AB99" s="116" t="s">
        <v>197</v>
      </c>
      <c r="AC99" s="116" t="s">
        <v>198</v>
      </c>
      <c r="AD99" s="116" t="s">
        <v>199</v>
      </c>
      <c r="AE99" s="116" t="s">
        <v>200</v>
      </c>
      <c r="AF99" s="116" t="s">
        <v>201</v>
      </c>
      <c r="AG99" s="116" t="s">
        <v>202</v>
      </c>
    </row>
    <row r="100" spans="3:34" ht="20.100000000000001" customHeight="1" x14ac:dyDescent="0.25">
      <c r="U100" s="25" t="str">
        <f>TEXT('Input - Site'!$E$12,"mmmm")</f>
        <v>NO - Not in leaching zone</v>
      </c>
      <c r="V100" s="25" t="str" cm="1">
        <f t="array" ref="V100">IFERROR(_xlfn.IFS(SUMPRODUCT(ISNUMBER(SEARCH(TRIM(_xlfn.TEXTSPLIT($U$92,",")),U100))*1)&gt;0,"Calving season",SUMPRODUCT(ISNUMBER(SEARCH(TRIM(_xlfn.TEXTSPLIT($U$93,",")),U100))*1)&gt;0,"Season after calving"), "")</f>
        <v/>
      </c>
      <c r="W100" s="25" t="str" cm="1">
        <f t="array" ref="W100">_xlfn.IFS(V100="Calving season", $I$80, V100="Season after calving", $I$81, V100="", "")</f>
        <v/>
      </c>
      <c r="X100" s="25">
        <v>0</v>
      </c>
      <c r="Y100" s="25">
        <v>0</v>
      </c>
      <c r="Z100" s="25">
        <v>0</v>
      </c>
      <c r="AA100" s="25" cm="1">
        <f t="array" ref="AA100">IFERROR(MMS_PastureBeef_Soil_N2ODirect_Equations.VEERG_4_2_1_3__5_MilkProductionForCalvingSeason(V$92, $W100), 0)</f>
        <v>0</v>
      </c>
      <c r="AB100" s="25" cm="1">
        <f t="array" ref="AB100">IFERROR(MMS_PastureBeef_Soil_N2ODirect_Equations.VEERG_4_2_1_3__5_MilkProductionForCalvingSeason(W$92, $W100), 0)</f>
        <v>0</v>
      </c>
      <c r="AC100" s="25" cm="1">
        <f t="array" ref="AC100">IFERROR(MMS_PastureBeef_Soil_N2ODirect_Equations.VEERG_4_2_1_3__5_MilkProductionForCalvingSeason(X$92, $W100), 0)</f>
        <v>0</v>
      </c>
      <c r="AD100" s="25">
        <v>0</v>
      </c>
      <c r="AE100" s="25">
        <v>0</v>
      </c>
      <c r="AF100" s="25">
        <v>0</v>
      </c>
      <c r="AG100" s="25">
        <v>0</v>
      </c>
      <c r="AH100" s="26" t="str">
        <f t="shared" ref="AH100:AH111" si="5">$E$76</f>
        <v>kg/head/day</v>
      </c>
    </row>
    <row r="101" spans="3:34" ht="20.100000000000001" customHeight="1" x14ac:dyDescent="0.25">
      <c r="C101" s="118"/>
      <c r="D101" s="118"/>
      <c r="E101" s="118"/>
      <c r="F101" s="118"/>
      <c r="G101" s="118"/>
      <c r="H101" s="118"/>
      <c r="I101" s="118"/>
      <c r="J101" s="118"/>
      <c r="K101" s="118"/>
      <c r="L101" s="118"/>
      <c r="M101" s="118"/>
      <c r="N101" s="118"/>
      <c r="O101" s="118"/>
      <c r="P101" s="118"/>
      <c r="Q101" s="118"/>
      <c r="R101" s="118"/>
      <c r="U101" s="25" t="e">
        <f>TEXT(EDATE('Input - Site'!$E$12,1), "mmmm")</f>
        <v>#VALUE!</v>
      </c>
      <c r="V101" s="25" t="str" cm="1">
        <f t="array" ref="V101">IFERROR(_xlfn.IFS(SUMPRODUCT(ISNUMBER(SEARCH(TRIM(_xlfn.TEXTSPLIT($U$92,",")),U101))*1)&gt;0,"Calving season",SUMPRODUCT(ISNUMBER(SEARCH(TRIM(_xlfn.TEXTSPLIT($U$93,",")),U101))*1)&gt;0,"Season after calving"), "")</f>
        <v/>
      </c>
      <c r="W101" s="25" t="str" cm="1">
        <f t="array" ref="W101">_xlfn.IFS(V101="Calving season", $I$80, V101="Season after calving", $I$81, V101="", "")</f>
        <v/>
      </c>
      <c r="X101" s="25">
        <v>0</v>
      </c>
      <c r="Y101" s="25">
        <v>0</v>
      </c>
      <c r="Z101" s="25">
        <v>0</v>
      </c>
      <c r="AA101" s="25" cm="1">
        <f t="array" ref="AA101">IFERROR(MMS_PastureBeef_Soil_N2ODirect_Equations.VEERG_4_2_1_3__5_MilkProductionForCalvingSeason(V$92, $W101), 0)</f>
        <v>0</v>
      </c>
      <c r="AB101" s="25" cm="1">
        <f t="array" ref="AB101">IFERROR(MMS_PastureBeef_Soil_N2ODirect_Equations.VEERG_4_2_1_3__5_MilkProductionForCalvingSeason(W$92, $W101), 0)</f>
        <v>0</v>
      </c>
      <c r="AC101" s="25" cm="1">
        <f t="array" ref="AC101">IFERROR(MMS_PastureBeef_Soil_N2ODirect_Equations.VEERG_4_2_1_3__5_MilkProductionForCalvingSeason(X$92, $W101), 0)</f>
        <v>0</v>
      </c>
      <c r="AD101" s="25">
        <v>0</v>
      </c>
      <c r="AE101" s="25">
        <v>0</v>
      </c>
      <c r="AF101" s="25">
        <v>0</v>
      </c>
      <c r="AG101" s="25">
        <v>0</v>
      </c>
      <c r="AH101" s="26" t="str">
        <f t="shared" si="5"/>
        <v>kg/head/day</v>
      </c>
    </row>
    <row r="102" spans="3:34" ht="20.100000000000001" customHeight="1" x14ac:dyDescent="0.25">
      <c r="D102" s="2" t="str" cm="1">
        <f t="array" ref="D102">MMS_PastureBeef_Soil_N2ODirect_Equations.VEERG_4_2_1_3__4_NitrogenRetainedByBody_Title()</f>
        <v>Amount of nitrogen retained by the body</v>
      </c>
      <c r="U102" s="25" t="e">
        <f>TEXT(EDATE('Input - Site'!$E$12,2), "mmmm")</f>
        <v>#VALUE!</v>
      </c>
      <c r="V102" s="25" t="str" cm="1">
        <f t="array" ref="V102">IFERROR(_xlfn.IFS(SUMPRODUCT(ISNUMBER(SEARCH(TRIM(_xlfn.TEXTSPLIT($U$92,",")),U102))*1)&gt;0,"Calving season",SUMPRODUCT(ISNUMBER(SEARCH(TRIM(_xlfn.TEXTSPLIT($U$93,",")),U102))*1)&gt;0,"Season after calving"), "")</f>
        <v/>
      </c>
      <c r="W102" s="25" t="str" cm="1">
        <f t="array" ref="W102">_xlfn.IFS(V102="Calving season", $I$80, V102="Season after calving", $I$81, V102="", "")</f>
        <v/>
      </c>
      <c r="X102" s="25">
        <v>0</v>
      </c>
      <c r="Y102" s="25">
        <v>0</v>
      </c>
      <c r="Z102" s="25">
        <v>0</v>
      </c>
      <c r="AA102" s="25" cm="1">
        <f t="array" ref="AA102">IFERROR(MMS_PastureBeef_Soil_N2ODirect_Equations.VEERG_4_2_1_3__5_MilkProductionForCalvingSeason(V$92, $W102), 0)</f>
        <v>0</v>
      </c>
      <c r="AB102" s="25" cm="1">
        <f t="array" ref="AB102">IFERROR(MMS_PastureBeef_Soil_N2ODirect_Equations.VEERG_4_2_1_3__5_MilkProductionForCalvingSeason(W$92, $W102), 0)</f>
        <v>0</v>
      </c>
      <c r="AC102" s="25" cm="1">
        <f t="array" ref="AC102">IFERROR(MMS_PastureBeef_Soil_N2ODirect_Equations.VEERG_4_2_1_3__5_MilkProductionForCalvingSeason(X$92, $W102), 0)</f>
        <v>0</v>
      </c>
      <c r="AD102" s="25">
        <v>0</v>
      </c>
      <c r="AE102" s="25">
        <v>0</v>
      </c>
      <c r="AF102" s="25">
        <v>0</v>
      </c>
      <c r="AG102" s="25">
        <v>0</v>
      </c>
      <c r="AH102" s="26" t="str">
        <f t="shared" si="5"/>
        <v>kg/head/day</v>
      </c>
    </row>
    <row r="103" spans="3:34" ht="20.100000000000001" customHeight="1" x14ac:dyDescent="0.25">
      <c r="D103" s="27" t="str" cm="1">
        <f t="array" ref="D103">MMS_PastureBeef_Soil_N2ODirect_Equations.VEERG_4_2_1_3__4_NitrogenRetainedByBody_Source()</f>
        <v>VEERG 2026: 4.2.1.3, Equation (4)</v>
      </c>
      <c r="U103" s="25" t="e">
        <f>TEXT(EDATE('Input - Site'!$E$12,3), "mmmm")</f>
        <v>#VALUE!</v>
      </c>
      <c r="V103" s="25" t="str" cm="1">
        <f t="array" ref="V103">IFERROR(_xlfn.IFS(SUMPRODUCT(ISNUMBER(SEARCH(TRIM(_xlfn.TEXTSPLIT($U$92,",")),U103))*1)&gt;0,"Calving season",SUMPRODUCT(ISNUMBER(SEARCH(TRIM(_xlfn.TEXTSPLIT($U$93,",")),U103))*1)&gt;0,"Season after calving"), "")</f>
        <v/>
      </c>
      <c r="W103" s="25" t="str" cm="1">
        <f t="array" ref="W103">_xlfn.IFS(V103="Calving season", $I$80, V103="Season after calving", $I$81, V103="", "")</f>
        <v/>
      </c>
      <c r="X103" s="25">
        <v>0</v>
      </c>
      <c r="Y103" s="25">
        <v>0</v>
      </c>
      <c r="Z103" s="25">
        <v>0</v>
      </c>
      <c r="AA103" s="25" cm="1">
        <f t="array" ref="AA103">IFERROR(MMS_PastureBeef_Soil_N2ODirect_Equations.VEERG_4_2_1_3__5_MilkProductionForCalvingSeason(V$92, $W103), 0)</f>
        <v>0</v>
      </c>
      <c r="AB103" s="25" cm="1">
        <f t="array" ref="AB103">IFERROR(MMS_PastureBeef_Soil_N2ODirect_Equations.VEERG_4_2_1_3__5_MilkProductionForCalvingSeason(W$92, $W103), 0)</f>
        <v>0</v>
      </c>
      <c r="AC103" s="25" cm="1">
        <f t="array" ref="AC103">IFERROR(MMS_PastureBeef_Soil_N2ODirect_Equations.VEERG_4_2_1_3__5_MilkProductionForCalvingSeason(X$92, $W103), 0)</f>
        <v>0</v>
      </c>
      <c r="AD103" s="25">
        <v>0</v>
      </c>
      <c r="AE103" s="25">
        <v>0</v>
      </c>
      <c r="AF103" s="25">
        <v>0</v>
      </c>
      <c r="AG103" s="25">
        <v>0</v>
      </c>
      <c r="AH103" s="26" t="str">
        <f t="shared" si="5"/>
        <v>kg/head/day</v>
      </c>
    </row>
    <row r="104" spans="3:34" ht="20.100000000000001" customHeight="1" x14ac:dyDescent="0.25">
      <c r="D104" s="105" t="s">
        <v>261</v>
      </c>
      <c r="E104" s="105" t="str" cm="1">
        <f t="array" aca="1" ref="E104" ca="1">Common_InputFunctions.Utility_DisplayFunctionName(E127)</f>
        <v>=MMS_PastureBeef_Soil_N2ODirect_Equations.VEERG_4_2_1_3__4_NitrogenRetainedByBody</v>
      </c>
      <c r="U104" s="25" t="e">
        <f>TEXT(EDATE('Input - Site'!$E$12,4), "mmmm")</f>
        <v>#VALUE!</v>
      </c>
      <c r="V104" s="25" t="str" cm="1">
        <f t="array" ref="V104">IFERROR(_xlfn.IFS(SUMPRODUCT(ISNUMBER(SEARCH(TRIM(_xlfn.TEXTSPLIT($U$92,",")),U104))*1)&gt;0,"Calving season",SUMPRODUCT(ISNUMBER(SEARCH(TRIM(_xlfn.TEXTSPLIT($U$93,",")),U104))*1)&gt;0,"Season after calving"), "")</f>
        <v/>
      </c>
      <c r="W104" s="25" t="str" cm="1">
        <f t="array" ref="W104">_xlfn.IFS(V104="Calving season", $I$80, V104="Season after calving", $I$81, V104="", "")</f>
        <v/>
      </c>
      <c r="X104" s="25">
        <v>0</v>
      </c>
      <c r="Y104" s="25">
        <v>0</v>
      </c>
      <c r="Z104" s="25">
        <v>0</v>
      </c>
      <c r="AA104" s="25" cm="1">
        <f t="array" ref="AA104">IFERROR(MMS_PastureBeef_Soil_N2ODirect_Equations.VEERG_4_2_1_3__5_MilkProductionForCalvingSeason(V$92, $W104), 0)</f>
        <v>0</v>
      </c>
      <c r="AB104" s="25" cm="1">
        <f t="array" ref="AB104">IFERROR(MMS_PastureBeef_Soil_N2ODirect_Equations.VEERG_4_2_1_3__5_MilkProductionForCalvingSeason(W$92, $W104), 0)</f>
        <v>0</v>
      </c>
      <c r="AC104" s="25" cm="1">
        <f t="array" ref="AC104">IFERROR(MMS_PastureBeef_Soil_N2ODirect_Equations.VEERG_4_2_1_3__5_MilkProductionForCalvingSeason(X$92, $W104), 0)</f>
        <v>0</v>
      </c>
      <c r="AD104" s="25">
        <v>0</v>
      </c>
      <c r="AE104" s="25">
        <v>0</v>
      </c>
      <c r="AF104" s="25">
        <v>0</v>
      </c>
      <c r="AG104" s="25">
        <v>0</v>
      </c>
      <c r="AH104" s="26" t="str">
        <f t="shared" si="5"/>
        <v>kg/head/day</v>
      </c>
    </row>
    <row r="105" spans="3:34" ht="20.100000000000001" customHeight="1" x14ac:dyDescent="0.25">
      <c r="U105" s="25" t="e">
        <f>TEXT(EDATE('Input - Site'!$E$12,5), "mmmm")</f>
        <v>#VALUE!</v>
      </c>
      <c r="V105" s="25" t="str" cm="1">
        <f t="array" ref="V105">IFERROR(_xlfn.IFS(SUMPRODUCT(ISNUMBER(SEARCH(TRIM(_xlfn.TEXTSPLIT($U$92,",")),U105))*1)&gt;0,"Calving season",SUMPRODUCT(ISNUMBER(SEARCH(TRIM(_xlfn.TEXTSPLIT($U$93,",")),U105))*1)&gt;0,"Season after calving"), "")</f>
        <v/>
      </c>
      <c r="W105" s="25" t="str" cm="1">
        <f t="array" ref="W105">_xlfn.IFS(V105="Calving season", $I$80, V105="Season after calving", $I$81, V105="", "")</f>
        <v/>
      </c>
      <c r="X105" s="25">
        <v>0</v>
      </c>
      <c r="Y105" s="25">
        <v>0</v>
      </c>
      <c r="Z105" s="25">
        <v>0</v>
      </c>
      <c r="AA105" s="25" cm="1">
        <f t="array" ref="AA105">IFERROR(MMS_PastureBeef_Soil_N2ODirect_Equations.VEERG_4_2_1_3__5_MilkProductionForCalvingSeason(V$92, $W105), 0)</f>
        <v>0</v>
      </c>
      <c r="AB105" s="25" cm="1">
        <f t="array" ref="AB105">IFERROR(MMS_PastureBeef_Soil_N2ODirect_Equations.VEERG_4_2_1_3__5_MilkProductionForCalvingSeason(W$92, $W105), 0)</f>
        <v>0</v>
      </c>
      <c r="AC105" s="25" cm="1">
        <f t="array" ref="AC105">IFERROR(MMS_PastureBeef_Soil_N2ODirect_Equations.VEERG_4_2_1_3__5_MilkProductionForCalvingSeason(X$92, $W105), 0)</f>
        <v>0</v>
      </c>
      <c r="AD105" s="25">
        <v>0</v>
      </c>
      <c r="AE105" s="25">
        <v>0</v>
      </c>
      <c r="AF105" s="25">
        <v>0</v>
      </c>
      <c r="AG105" s="25">
        <v>0</v>
      </c>
      <c r="AH105" s="26" t="str">
        <f t="shared" si="5"/>
        <v>kg/head/day</v>
      </c>
    </row>
    <row r="106" spans="3:34" ht="20.100000000000001" customHeight="1" x14ac:dyDescent="0.25">
      <c r="U106" s="25" t="e">
        <f>TEXT(EDATE('Input - Site'!$E$12,6), "mmmm")</f>
        <v>#VALUE!</v>
      </c>
      <c r="V106" s="25" t="str" cm="1">
        <f t="array" ref="V106">IFERROR(_xlfn.IFS(SUMPRODUCT(ISNUMBER(SEARCH(TRIM(_xlfn.TEXTSPLIT($U$92,",")),U106))*1)&gt;0,"Calving season",SUMPRODUCT(ISNUMBER(SEARCH(TRIM(_xlfn.TEXTSPLIT($U$93,",")),U106))*1)&gt;0,"Season after calving"), "")</f>
        <v/>
      </c>
      <c r="W106" s="25" t="str" cm="1">
        <f t="array" ref="W106">_xlfn.IFS(V106="Calving season", $I$80, V106="Season after calving", $I$81, V106="", "")</f>
        <v/>
      </c>
      <c r="X106" s="25">
        <v>0</v>
      </c>
      <c r="Y106" s="25">
        <v>0</v>
      </c>
      <c r="Z106" s="25">
        <v>0</v>
      </c>
      <c r="AA106" s="25" cm="1">
        <f t="array" ref="AA106">IFERROR(MMS_PastureBeef_Soil_N2ODirect_Equations.VEERG_4_2_1_3__5_MilkProductionForCalvingSeason(V$92, $W106), 0)</f>
        <v>0</v>
      </c>
      <c r="AB106" s="25" cm="1">
        <f t="array" ref="AB106">IFERROR(MMS_PastureBeef_Soil_N2ODirect_Equations.VEERG_4_2_1_3__5_MilkProductionForCalvingSeason(W$92, $W106), 0)</f>
        <v>0</v>
      </c>
      <c r="AC106" s="25" cm="1">
        <f t="array" ref="AC106">IFERROR(MMS_PastureBeef_Soil_N2ODirect_Equations.VEERG_4_2_1_3__5_MilkProductionForCalvingSeason(X$92, $W106), 0)</f>
        <v>0</v>
      </c>
      <c r="AD106" s="25">
        <v>0</v>
      </c>
      <c r="AE106" s="25">
        <v>0</v>
      </c>
      <c r="AF106" s="25">
        <v>0</v>
      </c>
      <c r="AG106" s="25">
        <v>0</v>
      </c>
      <c r="AH106" s="26" t="str">
        <f t="shared" si="5"/>
        <v>kg/head/day</v>
      </c>
    </row>
    <row r="107" spans="3:34" ht="20.100000000000001" customHeight="1" x14ac:dyDescent="0.25">
      <c r="U107" s="25" t="e">
        <f>TEXT(EDATE('Input - Site'!$E$12,7), "mmmm")</f>
        <v>#VALUE!</v>
      </c>
      <c r="V107" s="25" t="str" cm="1">
        <f t="array" ref="V107">IFERROR(_xlfn.IFS(SUMPRODUCT(ISNUMBER(SEARCH(TRIM(_xlfn.TEXTSPLIT($U$92,",")),U107))*1)&gt;0,"Calving season",SUMPRODUCT(ISNUMBER(SEARCH(TRIM(_xlfn.TEXTSPLIT($U$93,",")),U107))*1)&gt;0,"Season after calving"), "")</f>
        <v/>
      </c>
      <c r="W107" s="25" t="str" cm="1">
        <f t="array" ref="W107">_xlfn.IFS(V107="Calving season", $I$80, V107="Season after calving", $I$81, V107="", "")</f>
        <v/>
      </c>
      <c r="X107" s="25">
        <v>0</v>
      </c>
      <c r="Y107" s="25">
        <v>0</v>
      </c>
      <c r="Z107" s="25">
        <v>0</v>
      </c>
      <c r="AA107" s="25" cm="1">
        <f t="array" ref="AA107">IFERROR(MMS_PastureBeef_Soil_N2ODirect_Equations.VEERG_4_2_1_3__5_MilkProductionForCalvingSeason(V$92, $W107), 0)</f>
        <v>0</v>
      </c>
      <c r="AB107" s="25" cm="1">
        <f t="array" ref="AB107">IFERROR(MMS_PastureBeef_Soil_N2ODirect_Equations.VEERG_4_2_1_3__5_MilkProductionForCalvingSeason(W$92, $W107), 0)</f>
        <v>0</v>
      </c>
      <c r="AC107" s="25" cm="1">
        <f t="array" ref="AC107">IFERROR(MMS_PastureBeef_Soil_N2ODirect_Equations.VEERG_4_2_1_3__5_MilkProductionForCalvingSeason(X$92, $W107), 0)</f>
        <v>0</v>
      </c>
      <c r="AD107" s="25">
        <v>0</v>
      </c>
      <c r="AE107" s="25">
        <v>0</v>
      </c>
      <c r="AF107" s="25">
        <v>0</v>
      </c>
      <c r="AG107" s="25">
        <v>0</v>
      </c>
      <c r="AH107" s="26" t="str">
        <f t="shared" si="5"/>
        <v>kg/head/day</v>
      </c>
    </row>
    <row r="108" spans="3:34" ht="20.100000000000001" customHeight="1" x14ac:dyDescent="0.25">
      <c r="D108" s="88" t="s">
        <v>263</v>
      </c>
      <c r="E108" s="1" t="str" cm="1">
        <f t="array" ref="E108">MMS_PastureBeef_Soil_N2ODirect_Equations.VEERG_4_2_1_3__4_NitrogenRetainedByBody_Variable()</f>
        <v>NR_jkl</v>
      </c>
      <c r="U108" s="25" t="e">
        <f>TEXT(EDATE('Input - Site'!$E$12,8), "mmmm")</f>
        <v>#VALUE!</v>
      </c>
      <c r="V108" s="25" t="str" cm="1">
        <f t="array" ref="V108">IFERROR(_xlfn.IFS(SUMPRODUCT(ISNUMBER(SEARCH(TRIM(_xlfn.TEXTSPLIT($U$92,",")),U108))*1)&gt;0,"Calving season",SUMPRODUCT(ISNUMBER(SEARCH(TRIM(_xlfn.TEXTSPLIT($U$93,",")),U108))*1)&gt;0,"Season after calving"), "")</f>
        <v/>
      </c>
      <c r="W108" s="25" t="str" cm="1">
        <f t="array" ref="W108">_xlfn.IFS(V108="Calving season", $I$80, V108="Season after calving", $I$81, V108="", "")</f>
        <v/>
      </c>
      <c r="X108" s="25">
        <v>0</v>
      </c>
      <c r="Y108" s="25">
        <v>0</v>
      </c>
      <c r="Z108" s="25">
        <v>0</v>
      </c>
      <c r="AA108" s="25" cm="1">
        <f t="array" ref="AA108">IFERROR(MMS_PastureBeef_Soil_N2ODirect_Equations.VEERG_4_2_1_3__5_MilkProductionForCalvingSeason(V$92, $W108), 0)</f>
        <v>0</v>
      </c>
      <c r="AB108" s="25" cm="1">
        <f t="array" ref="AB108">IFERROR(MMS_PastureBeef_Soil_N2ODirect_Equations.VEERG_4_2_1_3__5_MilkProductionForCalvingSeason(W$92, $W108), 0)</f>
        <v>0</v>
      </c>
      <c r="AC108" s="25" cm="1">
        <f t="array" ref="AC108">IFERROR(MMS_PastureBeef_Soil_N2ODirect_Equations.VEERG_4_2_1_3__5_MilkProductionForCalvingSeason(X$92, $W108), 0)</f>
        <v>0</v>
      </c>
      <c r="AD108" s="25">
        <v>0</v>
      </c>
      <c r="AE108" s="25">
        <v>0</v>
      </c>
      <c r="AF108" s="25">
        <v>0</v>
      </c>
      <c r="AG108" s="25">
        <v>0</v>
      </c>
      <c r="AH108" s="26" t="str">
        <f t="shared" si="5"/>
        <v>kg/head/day</v>
      </c>
    </row>
    <row r="109" spans="3:34" ht="20.100000000000001" customHeight="1" x14ac:dyDescent="0.25">
      <c r="D109" s="88" t="s">
        <v>130</v>
      </c>
      <c r="E109" s="15" t="str" cm="1">
        <f t="array" ref="E109">MMS_PastureBeef_Soil_N2ODirect_Equations.VEERG_4_2_1_3__4_NitrogenRetainedByBody_Unit()</f>
        <v>kg N/head/day</v>
      </c>
      <c r="U109" s="25" t="e">
        <f>TEXT(EDATE('Input - Site'!$E$12,9), "mmmm")</f>
        <v>#VALUE!</v>
      </c>
      <c r="V109" s="25" t="str" cm="1">
        <f t="array" ref="V109">IFERROR(_xlfn.IFS(SUMPRODUCT(ISNUMBER(SEARCH(TRIM(_xlfn.TEXTSPLIT($U$92,",")),U109))*1)&gt;0,"Calving season",SUMPRODUCT(ISNUMBER(SEARCH(TRIM(_xlfn.TEXTSPLIT($U$93,",")),U109))*1)&gt;0,"Season after calving"), "")</f>
        <v/>
      </c>
      <c r="W109" s="25" t="str" cm="1">
        <f t="array" ref="W109">_xlfn.IFS(V109="Calving season", $I$80, V109="Season after calving", $I$81, V109="", "")</f>
        <v/>
      </c>
      <c r="X109" s="25">
        <v>0</v>
      </c>
      <c r="Y109" s="25">
        <v>0</v>
      </c>
      <c r="Z109" s="25">
        <v>0</v>
      </c>
      <c r="AA109" s="25" cm="1">
        <f t="array" ref="AA109">IFERROR(MMS_PastureBeef_Soil_N2ODirect_Equations.VEERG_4_2_1_3__5_MilkProductionForCalvingSeason(V$92, $W109), 0)</f>
        <v>0</v>
      </c>
      <c r="AB109" s="25" cm="1">
        <f t="array" ref="AB109">IFERROR(MMS_PastureBeef_Soil_N2ODirect_Equations.VEERG_4_2_1_3__5_MilkProductionForCalvingSeason(W$92, $W109), 0)</f>
        <v>0</v>
      </c>
      <c r="AC109" s="25" cm="1">
        <f t="array" ref="AC109">IFERROR(MMS_PastureBeef_Soil_N2ODirect_Equations.VEERG_4_2_1_3__5_MilkProductionForCalvingSeason(X$92, $W109), 0)</f>
        <v>0</v>
      </c>
      <c r="AD109" s="25">
        <v>0</v>
      </c>
      <c r="AE109" s="25">
        <v>0</v>
      </c>
      <c r="AF109" s="25">
        <v>0</v>
      </c>
      <c r="AG109" s="25">
        <v>0</v>
      </c>
      <c r="AH109" s="26" t="str">
        <f t="shared" si="5"/>
        <v>kg/head/day</v>
      </c>
    </row>
    <row r="110" spans="3:34" ht="20.100000000000001" customHeight="1" x14ac:dyDescent="0.25">
      <c r="U110" s="25" t="e">
        <f>TEXT(EDATE('Input - Site'!$E$12,10), "mmmm")</f>
        <v>#VALUE!</v>
      </c>
      <c r="V110" s="25" t="str" cm="1">
        <f t="array" ref="V110">IFERROR(_xlfn.IFS(SUMPRODUCT(ISNUMBER(SEARCH(TRIM(_xlfn.TEXTSPLIT($U$92,",")),U110))*1)&gt;0,"Calving season",SUMPRODUCT(ISNUMBER(SEARCH(TRIM(_xlfn.TEXTSPLIT($U$93,",")),U110))*1)&gt;0,"Season after calving"), "")</f>
        <v/>
      </c>
      <c r="W110" s="25" t="str" cm="1">
        <f t="array" ref="W110">_xlfn.IFS(V110="Calving season", $I$80, V110="Season after calving", $I$81, V110="", "")</f>
        <v/>
      </c>
      <c r="X110" s="25">
        <v>0</v>
      </c>
      <c r="Y110" s="25">
        <v>0</v>
      </c>
      <c r="Z110" s="25">
        <v>0</v>
      </c>
      <c r="AA110" s="25" cm="1">
        <f t="array" ref="AA110">IFERROR(MMS_PastureBeef_Soil_N2ODirect_Equations.VEERG_4_2_1_3__5_MilkProductionForCalvingSeason(V$92, $W110), 0)</f>
        <v>0</v>
      </c>
      <c r="AB110" s="25" cm="1">
        <f t="array" ref="AB110">IFERROR(MMS_PastureBeef_Soil_N2ODirect_Equations.VEERG_4_2_1_3__5_MilkProductionForCalvingSeason(W$92, $W110), 0)</f>
        <v>0</v>
      </c>
      <c r="AC110" s="25" cm="1">
        <f t="array" ref="AC110">IFERROR(MMS_PastureBeef_Soil_N2ODirect_Equations.VEERG_4_2_1_3__5_MilkProductionForCalvingSeason(X$92, $W110), 0)</f>
        <v>0</v>
      </c>
      <c r="AD110" s="25">
        <v>0</v>
      </c>
      <c r="AE110" s="25">
        <v>0</v>
      </c>
      <c r="AF110" s="25">
        <v>0</v>
      </c>
      <c r="AG110" s="25">
        <v>0</v>
      </c>
      <c r="AH110" s="26" t="str">
        <f t="shared" si="5"/>
        <v>kg/head/day</v>
      </c>
    </row>
    <row r="111" spans="3:34" ht="20.100000000000001" customHeight="1" x14ac:dyDescent="0.25">
      <c r="D111" s="107" t="str" cm="1">
        <f t="array" ref="D111:E114">_xlfn.CHOOSECOLS(MMS_PastureBeef_Soil_N2ODirect_Equations.VEERG_4_2_1_3__4_NitrogenRetainedByBody_Arguments(),1,2)</f>
        <v>MP_jk5</v>
      </c>
      <c r="E111" s="108" t="str">
        <v>milk production (kg/head/day)</v>
      </c>
      <c r="F111" s="110"/>
      <c r="G111" s="107" t="str" cm="1">
        <f t="array" ref="G111:H114">_xlfn.CHOOSECOLS(MMS_PastureBeef_Soil_N2ODirect_Equations.VEERG_4_2_1_3__4_NitrogenRetainedByBody_Arguments(),3,4)</f>
        <v>kg/head/day</v>
      </c>
      <c r="H111" s="112" t="str">
        <v>Calculated from 4.2.1.3 (5)</v>
      </c>
      <c r="I111" s="113" t="str" cm="1">
        <f t="array" aca="1" ref="I111" ca="1">HYPERLINK(Common_InputFunctions.Utility_SourceHyperlinkDifferentSheet($D$92), $D$92)</f>
        <v>M1_Table_MP_j_k-4-5</v>
      </c>
      <c r="U111" s="25" t="e">
        <f>TEXT(EDATE('Input - Site'!$E$12,11), "mmmm")</f>
        <v>#VALUE!</v>
      </c>
      <c r="V111" s="25" t="str" cm="1">
        <f t="array" ref="V111">IFERROR(_xlfn.IFS(SUMPRODUCT(ISNUMBER(SEARCH(TRIM(_xlfn.TEXTSPLIT($U$92,",")),U111))*1)&gt;0,"Calving season",SUMPRODUCT(ISNUMBER(SEARCH(TRIM(_xlfn.TEXTSPLIT($U$93,",")),U111))*1)&gt;0,"Season after calving"), "")</f>
        <v/>
      </c>
      <c r="W111" s="25" t="str" cm="1">
        <f t="array" ref="W111">_xlfn.IFS(V111="Calving season", $I$80, V111="Season after calving", $I$81, V111="", "")</f>
        <v/>
      </c>
      <c r="X111" s="25">
        <v>0</v>
      </c>
      <c r="Y111" s="25">
        <v>0</v>
      </c>
      <c r="Z111" s="25">
        <v>0</v>
      </c>
      <c r="AA111" s="25" cm="1">
        <f t="array" ref="AA111">IFERROR(MMS_PastureBeef_Soil_N2ODirect_Equations.VEERG_4_2_1_3__5_MilkProductionForCalvingSeason(V$92, $W111), 0)</f>
        <v>0</v>
      </c>
      <c r="AB111" s="25" cm="1">
        <f t="array" ref="AB111">IFERROR(MMS_PastureBeef_Soil_N2ODirect_Equations.VEERG_4_2_1_3__5_MilkProductionForCalvingSeason(W$92, $W111), 0)</f>
        <v>0</v>
      </c>
      <c r="AC111" s="25" cm="1">
        <f t="array" ref="AC111">IFERROR(MMS_PastureBeef_Soil_N2ODirect_Equations.VEERG_4_2_1_3__5_MilkProductionForCalvingSeason(X$92, $W111), 0)</f>
        <v>0</v>
      </c>
      <c r="AD111" s="25">
        <v>0</v>
      </c>
      <c r="AE111" s="25">
        <v>0</v>
      </c>
      <c r="AF111" s="25">
        <v>0</v>
      </c>
      <c r="AG111" s="25">
        <v>0</v>
      </c>
      <c r="AH111" s="26" t="str">
        <f t="shared" si="5"/>
        <v>kg/head/day</v>
      </c>
    </row>
    <row r="112" spans="3:34" ht="20.100000000000001" customHeight="1" x14ac:dyDescent="0.25">
      <c r="D112" s="107" t="str">
        <v>L_jkl</v>
      </c>
      <c r="E112" s="108" t="str">
        <v>intake relative to that needed for maintenance</v>
      </c>
      <c r="F112" s="110"/>
      <c r="G112" s="107" t="str">
        <v/>
      </c>
      <c r="H112" s="112" t="str">
        <v>Calculated from 4.2.1.3 (6)</v>
      </c>
      <c r="I112" s="113" t="str" cm="1">
        <f t="array" aca="1" ref="I112" ca="1">HYPERLINK(Common_InputFunctions.Utility_SourceHyperlink($D$59), $D$59)</f>
        <v>M1_Table_L_j_k_l</v>
      </c>
    </row>
    <row r="113" spans="4:35" ht="20.100000000000001" customHeight="1" x14ac:dyDescent="0.25">
      <c r="D113" s="107" t="str">
        <v>Z_jkl</v>
      </c>
      <c r="E113" s="108" t="str">
        <v>relative size</v>
      </c>
      <c r="F113" s="110"/>
      <c r="G113" s="107" t="str">
        <v/>
      </c>
      <c r="H113" s="112" t="str">
        <v>Calculated from 4.2.1.3 (7)</v>
      </c>
      <c r="I113" s="113" t="str" cm="1">
        <f t="array" aca="1" ref="I113" ca="1">HYPERLINK(Common_InputFunctions.Utility_SourceHyperlink($D$30), $D$30)</f>
        <v>M1_Table_Z_j_k_l</v>
      </c>
    </row>
    <row r="114" spans="4:35" ht="20.100000000000001" customHeight="1" x14ac:dyDescent="0.25">
      <c r="D114" s="107" t="str">
        <v>LWG_jkl</v>
      </c>
      <c r="E114" s="108" t="str">
        <v>liveweight gain (kg/head/day)</v>
      </c>
      <c r="F114" s="110"/>
      <c r="G114" s="107" t="str">
        <v>kg/head/day</v>
      </c>
      <c r="H114" s="111" t="str">
        <v>Input</v>
      </c>
      <c r="I114" s="113" t="str" cm="1">
        <f t="array" aca="1" ref="I114" ca="1">HYPERLINK(Common_InputFunctions.Utility_SourceHyperlink($D$116), $D$116)</f>
        <v>M1_Table_LWG_j_k_l</v>
      </c>
      <c r="T114" s="118"/>
      <c r="U114" s="118"/>
      <c r="V114" s="118"/>
      <c r="W114" s="118"/>
      <c r="X114" s="118"/>
      <c r="Y114" s="118"/>
      <c r="Z114" s="118"/>
      <c r="AA114" s="118"/>
      <c r="AB114" s="118"/>
      <c r="AC114" s="118"/>
      <c r="AD114" s="118"/>
      <c r="AE114" s="118"/>
      <c r="AF114" s="118"/>
      <c r="AG114" s="118"/>
      <c r="AH114" s="118"/>
      <c r="AI114" s="118"/>
    </row>
    <row r="115" spans="4:35" ht="20.100000000000001" customHeight="1" x14ac:dyDescent="0.25">
      <c r="U115" s="2" t="str" cm="1">
        <f t="array" ref="U115">MMS_PastureBeef_Soil_N2ODirect_Equations.VEERG_4_2_1_3__4_NitrogenRetainedByBody_Title()</f>
        <v>Amount of nitrogen retained by the body</v>
      </c>
    </row>
    <row r="116" spans="4:35" ht="20.100000000000001" customHeight="1" x14ac:dyDescent="0.25">
      <c r="D116" s="114" t="s">
        <v>278</v>
      </c>
    </row>
    <row r="117" spans="4:35" ht="20.100000000000001" customHeight="1" x14ac:dyDescent="0.25">
      <c r="D117" s="115" t="s">
        <v>279</v>
      </c>
      <c r="U117" s="114" t="s">
        <v>280</v>
      </c>
    </row>
    <row r="118" spans="4:35" ht="20.100000000000001" customHeight="1" x14ac:dyDescent="0.25">
      <c r="D118" s="116" t="s">
        <v>78</v>
      </c>
      <c r="E118" s="117" t="s">
        <v>193</v>
      </c>
      <c r="F118" s="117" t="s">
        <v>194</v>
      </c>
      <c r="G118" s="117" t="s">
        <v>195</v>
      </c>
      <c r="H118" s="117" t="s">
        <v>196</v>
      </c>
      <c r="I118" s="117" t="s">
        <v>197</v>
      </c>
      <c r="J118" s="117" t="s">
        <v>198</v>
      </c>
      <c r="K118" s="117" t="s">
        <v>199</v>
      </c>
      <c r="L118" s="117" t="s">
        <v>200</v>
      </c>
      <c r="M118" s="117" t="s">
        <v>201</v>
      </c>
      <c r="N118" s="117" t="s">
        <v>202</v>
      </c>
      <c r="U118" s="115" t="s">
        <v>281</v>
      </c>
    </row>
    <row r="119" spans="4:35" ht="20.100000000000001" customHeight="1" x14ac:dyDescent="0.25">
      <c r="D119" s="25" t="str">
        <f>INDEX(X_Table_PastureBeef_LiveweightGain_Method1,2,1)</f>
        <v>Spring</v>
      </c>
      <c r="E119" s="25" cm="1">
        <f t="array" aca="1" ref="E119:N122" ca="1">OFFSET(X_Table_PastureBeef_LiveweightGain_Method1, 1,1, 4,10)</f>
        <v>1.64</v>
      </c>
      <c r="F119" s="25">
        <f ca="1"/>
        <v>1.1000000000000001</v>
      </c>
      <c r="G119" s="25">
        <f ca="1"/>
        <v>1.21</v>
      </c>
      <c r="H119" s="25">
        <f ca="1"/>
        <v>0.99</v>
      </c>
      <c r="I119" s="25">
        <f ca="1"/>
        <v>0.66</v>
      </c>
      <c r="J119" s="25">
        <f ca="1"/>
        <v>0.66</v>
      </c>
      <c r="K119" s="25">
        <f ca="1"/>
        <v>1.42</v>
      </c>
      <c r="L119" s="25">
        <f ca="1"/>
        <v>1.1000000000000001</v>
      </c>
      <c r="M119" s="25">
        <f ca="1"/>
        <v>1.1000000000000001</v>
      </c>
      <c r="N119" s="25">
        <f ca="1"/>
        <v>1.1000000000000001</v>
      </c>
      <c r="O119" s="26" t="s">
        <v>212</v>
      </c>
      <c r="U119" s="116" t="s">
        <v>77</v>
      </c>
      <c r="V119" s="117" t="s">
        <v>193</v>
      </c>
      <c r="W119" s="117" t="s">
        <v>194</v>
      </c>
      <c r="X119" s="117" t="s">
        <v>195</v>
      </c>
      <c r="Y119" s="117" t="s">
        <v>196</v>
      </c>
      <c r="Z119" s="117" t="s">
        <v>197</v>
      </c>
      <c r="AA119" s="117" t="s">
        <v>198</v>
      </c>
      <c r="AB119" s="117" t="s">
        <v>199</v>
      </c>
      <c r="AC119" s="117" t="s">
        <v>200</v>
      </c>
      <c r="AD119" s="117" t="s">
        <v>201</v>
      </c>
      <c r="AE119" s="117" t="s">
        <v>202</v>
      </c>
    </row>
    <row r="120" spans="4:35" ht="20.100000000000001" customHeight="1" x14ac:dyDescent="0.25">
      <c r="D120" s="25" t="str">
        <f>INDEX(X_Table_PastureBeef_LiveweightGain_Method1,3,1)</f>
        <v>Summer</v>
      </c>
      <c r="E120" s="25">
        <f ca="1"/>
        <v>0.44</v>
      </c>
      <c r="F120" s="25">
        <f ca="1"/>
        <v>-0.22</v>
      </c>
      <c r="G120" s="25">
        <f ca="1"/>
        <v>0.44</v>
      </c>
      <c r="H120" s="25">
        <f ca="1"/>
        <v>0.33</v>
      </c>
      <c r="I120" s="25">
        <f ca="1"/>
        <v>-0.22</v>
      </c>
      <c r="J120" s="25">
        <f ca="1"/>
        <v>-0.22</v>
      </c>
      <c r="K120" s="25">
        <f ca="1"/>
        <v>0.44</v>
      </c>
      <c r="L120" s="25">
        <f ca="1"/>
        <v>-0.11</v>
      </c>
      <c r="M120" s="25">
        <f ca="1"/>
        <v>-0.11</v>
      </c>
      <c r="N120" s="25">
        <f ca="1"/>
        <v>-0.11</v>
      </c>
      <c r="O120" s="26" t="s">
        <v>212</v>
      </c>
      <c r="U120" s="25" t="str">
        <f>TEXT('Input - Site'!$E$12, "mmmm yyyy")</f>
        <v>NO - Not in leaching zone</v>
      </c>
      <c r="V120" s="25" cm="1">
        <f t="array" aca="1" ref="V120:AE131" ca="1">OFFSET(X_Table_PastureBeef_LiveweightGain_Method2, 1,1, 12,10)</f>
        <v>0.44</v>
      </c>
      <c r="W120" s="25">
        <f ca="1"/>
        <v>-0.22</v>
      </c>
      <c r="X120" s="25">
        <f ca="1"/>
        <v>0.44</v>
      </c>
      <c r="Y120" s="25">
        <f ca="1"/>
        <v>0.33</v>
      </c>
      <c r="Z120" s="25">
        <f ca="1"/>
        <v>-0.22</v>
      </c>
      <c r="AA120" s="25">
        <f ca="1"/>
        <v>-0.22</v>
      </c>
      <c r="AB120" s="25">
        <f ca="1"/>
        <v>0.44</v>
      </c>
      <c r="AC120" s="25">
        <f ca="1"/>
        <v>-0.11</v>
      </c>
      <c r="AD120" s="25">
        <f ca="1"/>
        <v>-0.11</v>
      </c>
      <c r="AE120" s="25">
        <f ca="1"/>
        <v>-0.11</v>
      </c>
      <c r="AF120" s="26" t="s">
        <v>214</v>
      </c>
      <c r="AG120" s="26"/>
      <c r="AH120" s="26"/>
    </row>
    <row r="121" spans="4:35" ht="20.100000000000001" customHeight="1" x14ac:dyDescent="0.25">
      <c r="D121" s="25" t="str">
        <f>INDEX(X_Table_PastureBeef_LiveweightGain_Method1,4,1)</f>
        <v>Autumn</v>
      </c>
      <c r="E121" s="25">
        <f ca="1"/>
        <v>0.6</v>
      </c>
      <c r="F121" s="25">
        <f ca="1"/>
        <v>0</v>
      </c>
      <c r="G121" s="25">
        <f ca="1"/>
        <v>0.6</v>
      </c>
      <c r="H121" s="25">
        <f ca="1"/>
        <v>0.22</v>
      </c>
      <c r="I121" s="25">
        <f ca="1"/>
        <v>-0.55000000000000004</v>
      </c>
      <c r="J121" s="25">
        <f ca="1"/>
        <v>-0.55000000000000004</v>
      </c>
      <c r="K121" s="25">
        <f ca="1"/>
        <v>0.6</v>
      </c>
      <c r="L121" s="25">
        <f ca="1"/>
        <v>0</v>
      </c>
      <c r="M121" s="25">
        <f ca="1"/>
        <v>0</v>
      </c>
      <c r="N121" s="25">
        <f ca="1"/>
        <v>0</v>
      </c>
      <c r="O121" s="26" t="s">
        <v>212</v>
      </c>
      <c r="U121" s="25" t="e">
        <f>TEXT(EDATE('Input - Site'!$E$12,1), "mmmm yyyy")</f>
        <v>#VALUE!</v>
      </c>
      <c r="V121" s="25">
        <f ca="1"/>
        <v>0.44</v>
      </c>
      <c r="W121" s="25">
        <f ca="1"/>
        <v>-0.22</v>
      </c>
      <c r="X121" s="25">
        <f ca="1"/>
        <v>0.44</v>
      </c>
      <c r="Y121" s="25">
        <f ca="1"/>
        <v>0.33</v>
      </c>
      <c r="Z121" s="25">
        <f ca="1"/>
        <v>-0.22</v>
      </c>
      <c r="AA121" s="25">
        <f ca="1"/>
        <v>-0.22</v>
      </c>
      <c r="AB121" s="25">
        <f ca="1"/>
        <v>0.44</v>
      </c>
      <c r="AC121" s="25">
        <f ca="1"/>
        <v>-0.11</v>
      </c>
      <c r="AD121" s="25">
        <f ca="1"/>
        <v>-0.11</v>
      </c>
      <c r="AE121" s="25">
        <f ca="1"/>
        <v>-0.11</v>
      </c>
      <c r="AF121" s="26" t="s">
        <v>214</v>
      </c>
      <c r="AG121" s="26"/>
      <c r="AH121" s="26"/>
    </row>
    <row r="122" spans="4:35" ht="20.100000000000001" customHeight="1" x14ac:dyDescent="0.25">
      <c r="D122" s="25" t="str">
        <f>INDEX(X_Table_PastureBeef_LiveweightGain_Method1,5,1)</f>
        <v>Winter</v>
      </c>
      <c r="E122" s="25">
        <f ca="1"/>
        <v>0.99</v>
      </c>
      <c r="F122" s="25">
        <f ca="1"/>
        <v>0.22</v>
      </c>
      <c r="G122" s="25">
        <f ca="1"/>
        <v>0.77</v>
      </c>
      <c r="H122" s="25">
        <f ca="1"/>
        <v>0.11</v>
      </c>
      <c r="I122" s="25">
        <f ca="1"/>
        <v>0.11</v>
      </c>
      <c r="J122" s="25">
        <f ca="1"/>
        <v>0.11</v>
      </c>
      <c r="K122" s="25">
        <f ca="1"/>
        <v>0.77</v>
      </c>
      <c r="L122" s="25">
        <f ca="1"/>
        <v>0.44</v>
      </c>
      <c r="M122" s="25">
        <f ca="1"/>
        <v>0.44</v>
      </c>
      <c r="N122" s="25">
        <f ca="1"/>
        <v>0.44</v>
      </c>
      <c r="O122" s="26" t="s">
        <v>212</v>
      </c>
      <c r="U122" s="25" t="e">
        <f>TEXT(EDATE('Input - Site'!$E$12,2), "mmmm yyyy")</f>
        <v>#VALUE!</v>
      </c>
      <c r="V122" s="25">
        <f ca="1"/>
        <v>0.6</v>
      </c>
      <c r="W122" s="25">
        <f ca="1"/>
        <v>0</v>
      </c>
      <c r="X122" s="25">
        <f ca="1"/>
        <v>0.6</v>
      </c>
      <c r="Y122" s="25">
        <f ca="1"/>
        <v>0.22</v>
      </c>
      <c r="Z122" s="25">
        <f ca="1"/>
        <v>-0.55000000000000004</v>
      </c>
      <c r="AA122" s="25">
        <f ca="1"/>
        <v>-0.55000000000000004</v>
      </c>
      <c r="AB122" s="25">
        <f ca="1"/>
        <v>0.6</v>
      </c>
      <c r="AC122" s="25">
        <f ca="1"/>
        <v>0</v>
      </c>
      <c r="AD122" s="25">
        <f ca="1"/>
        <v>0</v>
      </c>
      <c r="AE122" s="25">
        <f ca="1"/>
        <v>0</v>
      </c>
      <c r="AF122" s="26" t="s">
        <v>214</v>
      </c>
      <c r="AG122" s="26"/>
      <c r="AH122" s="26"/>
    </row>
    <row r="123" spans="4:35" ht="20.100000000000001" customHeight="1" x14ac:dyDescent="0.25">
      <c r="U123" s="25" t="e">
        <f>TEXT(EDATE('Input - Site'!$E$12,3), "mmmm yyyy")</f>
        <v>#VALUE!</v>
      </c>
      <c r="V123" s="25">
        <f ca="1"/>
        <v>0.6</v>
      </c>
      <c r="W123" s="25">
        <f ca="1"/>
        <v>0</v>
      </c>
      <c r="X123" s="25">
        <f ca="1"/>
        <v>0.6</v>
      </c>
      <c r="Y123" s="25">
        <f ca="1"/>
        <v>0.22</v>
      </c>
      <c r="Z123" s="25">
        <f ca="1"/>
        <v>-0.55000000000000004</v>
      </c>
      <c r="AA123" s="25">
        <f ca="1"/>
        <v>-0.55000000000000004</v>
      </c>
      <c r="AB123" s="25">
        <f ca="1"/>
        <v>0.6</v>
      </c>
      <c r="AC123" s="25">
        <f ca="1"/>
        <v>0</v>
      </c>
      <c r="AD123" s="25">
        <f ca="1"/>
        <v>0</v>
      </c>
      <c r="AE123" s="25">
        <f ca="1"/>
        <v>0</v>
      </c>
      <c r="AF123" s="26" t="s">
        <v>214</v>
      </c>
      <c r="AG123" s="26"/>
      <c r="AH123" s="26"/>
    </row>
    <row r="124" spans="4:35" ht="20.100000000000001" customHeight="1" x14ac:dyDescent="0.25">
      <c r="D124" s="114" t="s">
        <v>440</v>
      </c>
      <c r="U124" s="25" t="e">
        <f>TEXT(EDATE('Input - Site'!$E$12,4), "mmmm yyyy")</f>
        <v>#VALUE!</v>
      </c>
      <c r="V124" s="25">
        <f ca="1"/>
        <v>0.6</v>
      </c>
      <c r="W124" s="25">
        <f ca="1"/>
        <v>0</v>
      </c>
      <c r="X124" s="25">
        <f ca="1"/>
        <v>0.6</v>
      </c>
      <c r="Y124" s="25">
        <f ca="1"/>
        <v>0.22</v>
      </c>
      <c r="Z124" s="25">
        <f ca="1"/>
        <v>-0.55000000000000004</v>
      </c>
      <c r="AA124" s="25">
        <f ca="1"/>
        <v>-0.55000000000000004</v>
      </c>
      <c r="AB124" s="25">
        <f ca="1"/>
        <v>0.6</v>
      </c>
      <c r="AC124" s="25">
        <f ca="1"/>
        <v>0</v>
      </c>
      <c r="AD124" s="25">
        <f ca="1"/>
        <v>0</v>
      </c>
      <c r="AE124" s="25">
        <f ca="1"/>
        <v>0</v>
      </c>
      <c r="AF124" s="26" t="s">
        <v>214</v>
      </c>
      <c r="AG124" s="26"/>
      <c r="AH124" s="26"/>
    </row>
    <row r="125" spans="4:35" ht="20.100000000000001" customHeight="1" x14ac:dyDescent="0.25">
      <c r="D125" s="115" t="s">
        <v>441</v>
      </c>
      <c r="U125" s="25" t="e">
        <f>TEXT(EDATE('Input - Site'!$E$12,5), "mmmm yyyy")</f>
        <v>#VALUE!</v>
      </c>
      <c r="V125" s="25">
        <f ca="1"/>
        <v>0.99</v>
      </c>
      <c r="W125" s="25">
        <f ca="1"/>
        <v>0.22</v>
      </c>
      <c r="X125" s="25">
        <f ca="1"/>
        <v>0.77</v>
      </c>
      <c r="Y125" s="25">
        <f ca="1"/>
        <v>0.11</v>
      </c>
      <c r="Z125" s="25">
        <f ca="1"/>
        <v>0.11</v>
      </c>
      <c r="AA125" s="25">
        <f ca="1"/>
        <v>0.11</v>
      </c>
      <c r="AB125" s="25">
        <f ca="1"/>
        <v>0.77</v>
      </c>
      <c r="AC125" s="25">
        <f ca="1"/>
        <v>0.44</v>
      </c>
      <c r="AD125" s="25">
        <f ca="1"/>
        <v>0.44</v>
      </c>
      <c r="AE125" s="25">
        <f ca="1"/>
        <v>0.44</v>
      </c>
      <c r="AF125" s="26" t="s">
        <v>214</v>
      </c>
      <c r="AG125" s="26"/>
      <c r="AH125" s="26"/>
    </row>
    <row r="126" spans="4:35" ht="20.100000000000001" customHeight="1" x14ac:dyDescent="0.25">
      <c r="D126" s="116" t="s">
        <v>78</v>
      </c>
      <c r="E126" s="116" t="s">
        <v>193</v>
      </c>
      <c r="F126" s="116" t="s">
        <v>194</v>
      </c>
      <c r="G126" s="116" t="s">
        <v>195</v>
      </c>
      <c r="H126" s="116" t="s">
        <v>196</v>
      </c>
      <c r="I126" s="116" t="s">
        <v>197</v>
      </c>
      <c r="J126" s="116" t="s">
        <v>198</v>
      </c>
      <c r="K126" s="116" t="s">
        <v>199</v>
      </c>
      <c r="L126" s="116" t="s">
        <v>200</v>
      </c>
      <c r="M126" s="116" t="s">
        <v>201</v>
      </c>
      <c r="N126" s="116" t="s">
        <v>202</v>
      </c>
      <c r="U126" s="25" t="e">
        <f>TEXT(EDATE('Input - Site'!$E$12,6), "mmmm yyyy")</f>
        <v>#VALUE!</v>
      </c>
      <c r="V126" s="25">
        <f ca="1"/>
        <v>0.99</v>
      </c>
      <c r="W126" s="25">
        <f ca="1"/>
        <v>0.22</v>
      </c>
      <c r="X126" s="25">
        <f ca="1"/>
        <v>0.77</v>
      </c>
      <c r="Y126" s="25">
        <f ca="1"/>
        <v>0.11</v>
      </c>
      <c r="Z126" s="25">
        <f ca="1"/>
        <v>0.11</v>
      </c>
      <c r="AA126" s="25">
        <f ca="1"/>
        <v>0.11</v>
      </c>
      <c r="AB126" s="25">
        <f ca="1"/>
        <v>0.77</v>
      </c>
      <c r="AC126" s="25">
        <f ca="1"/>
        <v>0.44</v>
      </c>
      <c r="AD126" s="25">
        <f ca="1"/>
        <v>0.44</v>
      </c>
      <c r="AE126" s="25">
        <f ca="1"/>
        <v>0.44</v>
      </c>
      <c r="AF126" s="26" t="s">
        <v>214</v>
      </c>
      <c r="AG126" s="26"/>
      <c r="AH126" s="26"/>
    </row>
    <row r="127" spans="4:35" ht="20.100000000000001" customHeight="1" x14ac:dyDescent="0.25">
      <c r="D127" s="25" t="s">
        <v>203</v>
      </c>
      <c r="E127" s="25" cm="1">
        <f t="array" aca="1" ref="E127" ca="1">MMS_PastureBeef_Soil_N2ODirect_Equations.VEERG_4_2_1_3__4_NitrogenRetainedByBody(G95,E62,E33,E119)</f>
        <v>3.2631583658999173E-2</v>
      </c>
      <c r="F127" s="25" cm="1">
        <f t="array" aca="1" ref="F127" ca="1">MMS_PastureBeef_Soil_N2ODirect_Equations.VEERG_4_2_1_3__4_NitrogenRetainedByBody(H95,F62,F33,F119)</f>
        <v>1.2159206080141413E-2</v>
      </c>
      <c r="G127" s="25" cm="1">
        <f t="array" aca="1" ref="G127" ca="1">MMS_PastureBeef_Soil_N2ODirect_Equations.VEERG_4_2_1_3__4_NitrogenRetainedByBody(I95,G62,G33,G119)</f>
        <v>2.2961722562736007E-2</v>
      </c>
      <c r="H127" s="25" cm="1">
        <f t="array" aca="1" ref="H127" ca="1">MMS_PastureBeef_Soil_N2ODirect_Equations.VEERG_4_2_1_3__4_NitrogenRetainedByBody(J95,H62,H33,H119)</f>
        <v>2.6678723656787657E-2</v>
      </c>
      <c r="I127" s="25" cm="1">
        <f t="array" aca="1" ref="I127" ca="1">MMS_PastureBeef_Soil_N2ODirect_Equations.VEERG_4_2_1_3__4_NitrogenRetainedByBody(K95,I62,I33,I119)</f>
        <v>1.7401604737232124E-2</v>
      </c>
      <c r="J127" s="25" cm="1">
        <f t="array" aca="1" ref="J127" ca="1">MMS_PastureBeef_Soil_N2ODirect_Equations.VEERG_4_2_1_3__4_NitrogenRetainedByBody(L95,J62,J33,J119)</f>
        <v>1.7401604737232124E-2</v>
      </c>
      <c r="K127" s="25" cm="1">
        <f t="array" aca="1" ref="K127" ca="1">MMS_PastureBeef_Soil_N2ODirect_Equations.VEERG_4_2_1_3__4_NitrogenRetainedByBody(M95,K62,K33,K119)</f>
        <v>2.7711640554981157E-2</v>
      </c>
      <c r="L127" s="25" cm="1">
        <f t="array" aca="1" ref="L127" ca="1">MMS_PastureBeef_Soil_N2ODirect_Equations.VEERG_4_2_1_3__4_NitrogenRetainedByBody(N95,L62,L33,L119)</f>
        <v>1.4565147934229335E-2</v>
      </c>
      <c r="M127" s="25" cm="1">
        <f t="array" aca="1" ref="M127" ca="1">MMS_PastureBeef_Soil_N2ODirect_Equations.VEERG_4_2_1_3__4_NitrogenRetainedByBody(O95,M62,M33,M119)</f>
        <v>1.4565147934229335E-2</v>
      </c>
      <c r="N127" s="25" cm="1">
        <f t="array" aca="1" ref="N127" ca="1">MMS_PastureBeef_Soil_N2ODirect_Equations.VEERG_4_2_1_3__4_NitrogenRetainedByBody(P95,N62,N33,N119)</f>
        <v>1.4565147934229335E-2</v>
      </c>
      <c r="O127" s="26" t="str">
        <f>$E$109</f>
        <v>kg N/head/day</v>
      </c>
      <c r="U127" s="25" t="e">
        <f>TEXT(EDATE('Input - Site'!$E$12,7), "mmmm yyyy")</f>
        <v>#VALUE!</v>
      </c>
      <c r="V127" s="25">
        <f ca="1"/>
        <v>0.99</v>
      </c>
      <c r="W127" s="25">
        <f ca="1"/>
        <v>0.22</v>
      </c>
      <c r="X127" s="25">
        <f ca="1"/>
        <v>0.77</v>
      </c>
      <c r="Y127" s="25">
        <f ca="1"/>
        <v>0.11</v>
      </c>
      <c r="Z127" s="25">
        <f ca="1"/>
        <v>0.11</v>
      </c>
      <c r="AA127" s="25">
        <f ca="1"/>
        <v>0.11</v>
      </c>
      <c r="AB127" s="25">
        <f ca="1"/>
        <v>0.77</v>
      </c>
      <c r="AC127" s="25">
        <f ca="1"/>
        <v>0.44</v>
      </c>
      <c r="AD127" s="25">
        <f ca="1"/>
        <v>0.44</v>
      </c>
      <c r="AE127" s="25">
        <f ca="1"/>
        <v>0.44</v>
      </c>
      <c r="AF127" s="26" t="s">
        <v>214</v>
      </c>
      <c r="AG127" s="26"/>
      <c r="AH127" s="26"/>
    </row>
    <row r="128" spans="4:35" ht="20.100000000000001" customHeight="1" x14ac:dyDescent="0.25">
      <c r="D128" s="25" t="s">
        <v>204</v>
      </c>
      <c r="E128" s="25" cm="1">
        <f t="array" aca="1" ref="E128" ca="1">MMS_PastureBeef_Soil_N2ODirect_Equations.VEERG_4_2_1_3__4_NitrogenRetainedByBody(G96,E63,E34,E120)</f>
        <v>8.1246865273940476E-3</v>
      </c>
      <c r="F128" s="25" cm="1">
        <f t="array" aca="1" ref="F128" ca="1">MMS_PastureBeef_Soil_N2ODirect_Equations.VEERG_4_2_1_3__4_NitrogenRetainedByBody(H96,F63,F34,F120)</f>
        <v>-2.4500809510830074E-3</v>
      </c>
      <c r="G128" s="25" cm="1">
        <f t="array" aca="1" ref="G128" ca="1">MMS_PastureBeef_Soil_N2ODirect_Equations.VEERG_4_2_1_3__4_NitrogenRetainedByBody(I96,G63,G34,G120)</f>
        <v>7.4692204769955996E-3</v>
      </c>
      <c r="H128" s="25" cm="1">
        <f t="array" aca="1" ref="H128" ca="1">MMS_PastureBeef_Soil_N2ODirect_Equations.VEERG_4_2_1_3__4_NitrogenRetainedByBody(J96,H63,H34,H120)</f>
        <v>4.0347172063606223E-3</v>
      </c>
      <c r="I128" s="25" cm="1">
        <f t="array" aca="1" ref="I128" ca="1">MMS_PastureBeef_Soil_N2ODirect_Equations.VEERG_4_2_1_3__4_NitrogenRetainedByBody(K96,I63,I34,I120)</f>
        <v>-2.4892646670301153E-3</v>
      </c>
      <c r="J128" s="25" cm="1">
        <f t="array" aca="1" ref="J128" ca="1">MMS_PastureBeef_Soil_N2ODirect_Equations.VEERG_4_2_1_3__4_NitrogenRetainedByBody(L96,J63,J34,J120)</f>
        <v>-2.4892646670301153E-3</v>
      </c>
      <c r="K128" s="25" cm="1">
        <f t="array" aca="1" ref="K128" ca="1">MMS_PastureBeef_Soil_N2ODirect_Equations.VEERG_4_2_1_3__4_NitrogenRetainedByBody(M96,K63,K34,K120)</f>
        <v>7.842975342880058E-3</v>
      </c>
      <c r="L128" s="25" cm="1">
        <f t="array" aca="1" ref="L128" ca="1">MMS_PastureBeef_Soil_N2ODirect_Equations.VEERG_4_2_1_3__4_NitrogenRetainedByBody(N96,L63,L34,L120)</f>
        <v>-1.4855230625479237E-3</v>
      </c>
      <c r="M128" s="25" cm="1">
        <f t="array" aca="1" ref="M128" ca="1">MMS_PastureBeef_Soil_N2ODirect_Equations.VEERG_4_2_1_3__4_NitrogenRetainedByBody(O96,M63,M34,M120)</f>
        <v>-1.4855230625479237E-3</v>
      </c>
      <c r="N128" s="25" cm="1">
        <f t="array" aca="1" ref="N128" ca="1">MMS_PastureBeef_Soil_N2ODirect_Equations.VEERG_4_2_1_3__4_NitrogenRetainedByBody(P96,N63,N34,N120)</f>
        <v>-1.4855230625479237E-3</v>
      </c>
      <c r="O128" s="26" t="str">
        <f t="shared" ref="O128:O130" si="6">$E$109</f>
        <v>kg N/head/day</v>
      </c>
      <c r="U128" s="25" t="e">
        <f>TEXT(EDATE('Input - Site'!$E$12,8), "mmmm yyyy")</f>
        <v>#VALUE!</v>
      </c>
      <c r="V128" s="25">
        <f ca="1"/>
        <v>1.64</v>
      </c>
      <c r="W128" s="25">
        <f ca="1"/>
        <v>1.1000000000000001</v>
      </c>
      <c r="X128" s="25">
        <f ca="1"/>
        <v>1.21</v>
      </c>
      <c r="Y128" s="25">
        <f ca="1"/>
        <v>0.99</v>
      </c>
      <c r="Z128" s="25">
        <f ca="1"/>
        <v>0.66</v>
      </c>
      <c r="AA128" s="25">
        <f ca="1"/>
        <v>0.66</v>
      </c>
      <c r="AB128" s="25">
        <f ca="1"/>
        <v>1.42</v>
      </c>
      <c r="AC128" s="25">
        <f ca="1"/>
        <v>1.1000000000000001</v>
      </c>
      <c r="AD128" s="25">
        <f ca="1"/>
        <v>1.1000000000000001</v>
      </c>
      <c r="AE128" s="25">
        <f ca="1"/>
        <v>1.1000000000000001</v>
      </c>
      <c r="AF128" s="26" t="s">
        <v>214</v>
      </c>
      <c r="AG128" s="26"/>
      <c r="AH128" s="26"/>
    </row>
    <row r="129" spans="3:34" ht="20.100000000000001" customHeight="1" x14ac:dyDescent="0.25">
      <c r="D129" s="25" t="s">
        <v>205</v>
      </c>
      <c r="E129" s="25" cm="1">
        <f t="array" aca="1" ref="E129" ca="1">MMS_PastureBeef_Soil_N2ODirect_Equations.VEERG_4_2_1_3__4_NitrogenRetainedByBody(G97,E64,E35,E121)</f>
        <v>1.7126010126251881E-2</v>
      </c>
      <c r="F129" s="25" cm="1">
        <f t="array" aca="1" ref="F129" ca="1">MMS_PastureBeef_Soil_N2ODirect_Equations.VEERG_4_2_1_3__4_NitrogenRetainedByBody(H97,F64,F35,F121)</f>
        <v>0</v>
      </c>
      <c r="G129" s="25" cm="1">
        <f t="array" aca="1" ref="G129" ca="1">MMS_PastureBeef_Soil_N2ODirect_Equations.VEERG_4_2_1_3__4_NitrogenRetainedByBody(I97,G64,G35,G121)</f>
        <v>1.6946444473002843E-2</v>
      </c>
      <c r="H129" s="25" cm="1">
        <f t="array" aca="1" ref="H129" ca="1">MMS_PastureBeef_Soil_N2ODirect_Equations.VEERG_4_2_1_3__4_NitrogenRetainedByBody(J97,H64,H35,H121)</f>
        <v>3.53223904927357E-3</v>
      </c>
      <c r="I129" s="25" cm="1">
        <f t="array" aca="1" ref="I129" ca="1">MMS_PastureBeef_Soil_N2ODirect_Equations.VEERG_4_2_1_3__4_NitrogenRetainedByBody(K97,I64,I35,I121)</f>
        <v>-6.4971680016475087E-3</v>
      </c>
      <c r="J129" s="25" cm="1">
        <f t="array" aca="1" ref="J129" ca="1">MMS_PastureBeef_Soil_N2ODirect_Equations.VEERG_4_2_1_3__4_NitrogenRetainedByBody(L97,J64,J35,J121)</f>
        <v>-6.4971680016475087E-3</v>
      </c>
      <c r="K129" s="25" cm="1">
        <f t="array" aca="1" ref="K129" ca="1">MMS_PastureBeef_Soil_N2ODirect_Equations.VEERG_4_2_1_3__4_NitrogenRetainedByBody(M97,K64,K35,K121)</f>
        <v>1.6885009696797144E-2</v>
      </c>
      <c r="L129" s="25" cm="1">
        <f t="array" aca="1" ref="L129" ca="1">MMS_PastureBeef_Soil_N2ODirect_Equations.VEERG_4_2_1_3__4_NitrogenRetainedByBody(N97,L64,L35,L121)</f>
        <v>0</v>
      </c>
      <c r="M129" s="25" cm="1">
        <f t="array" aca="1" ref="M129" ca="1">MMS_PastureBeef_Soil_N2ODirect_Equations.VEERG_4_2_1_3__4_NitrogenRetainedByBody(O97,M64,M35,M121)</f>
        <v>0</v>
      </c>
      <c r="N129" s="25" cm="1">
        <f t="array" aca="1" ref="N129" ca="1">MMS_PastureBeef_Soil_N2ODirect_Equations.VEERG_4_2_1_3__4_NitrogenRetainedByBody(P97,N64,N35,N121)</f>
        <v>0</v>
      </c>
      <c r="O129" s="26" t="str">
        <f t="shared" si="6"/>
        <v>kg N/head/day</v>
      </c>
      <c r="U129" s="25" t="e">
        <f>TEXT(EDATE('Input - Site'!$E$12,9), "mmmm yyyy")</f>
        <v>#VALUE!</v>
      </c>
      <c r="V129" s="25">
        <f ca="1"/>
        <v>1.64</v>
      </c>
      <c r="W129" s="25">
        <f ca="1"/>
        <v>1.1000000000000001</v>
      </c>
      <c r="X129" s="25">
        <f ca="1"/>
        <v>1.21</v>
      </c>
      <c r="Y129" s="25">
        <f ca="1"/>
        <v>0.99</v>
      </c>
      <c r="Z129" s="25">
        <f ca="1"/>
        <v>0.66</v>
      </c>
      <c r="AA129" s="25">
        <f ca="1"/>
        <v>0.66</v>
      </c>
      <c r="AB129" s="25">
        <f ca="1"/>
        <v>1.42</v>
      </c>
      <c r="AC129" s="25">
        <f ca="1"/>
        <v>1.1000000000000001</v>
      </c>
      <c r="AD129" s="25">
        <f ca="1"/>
        <v>1.1000000000000001</v>
      </c>
      <c r="AE129" s="25">
        <f ca="1"/>
        <v>1.1000000000000001</v>
      </c>
      <c r="AF129" s="26" t="s">
        <v>214</v>
      </c>
      <c r="AG129" s="26"/>
      <c r="AH129" s="26"/>
    </row>
    <row r="130" spans="3:34" ht="20.100000000000001" customHeight="1" x14ac:dyDescent="0.25">
      <c r="D130" s="25" t="s">
        <v>206</v>
      </c>
      <c r="E130" s="25" cm="1">
        <f t="array" aca="1" ref="E130" ca="1">MMS_PastureBeef_Soil_N2ODirect_Equations.VEERG_4_2_1_3__4_NitrogenRetainedByBody(G98,E65,E36,E122)</f>
        <v>2.5624664446187655E-2</v>
      </c>
      <c r="F130" s="25" cm="1">
        <f t="array" aca="1" ref="F130" ca="1">MMS_PastureBeef_Soil_N2ODirect_Equations.VEERG_4_2_1_3__4_NitrogenRetainedByBody(H98,F65,F36,F122)</f>
        <v>2.5468999349659745E-3</v>
      </c>
      <c r="G130" s="25" cm="1">
        <f t="array" aca="1" ref="G130" ca="1">MMS_PastureBeef_Soil_N2ODirect_Equations.VEERG_4_2_1_3__4_NitrogenRetainedByBody(I98,G65,G36,G122)</f>
        <v>1.942651050577586E-2</v>
      </c>
      <c r="H130" s="25" cm="1">
        <f t="array" aca="1" ref="H130" ca="1">MMS_PastureBeef_Soil_N2ODirect_Equations.VEERG_4_2_1_3__4_NitrogenRetainedByBody(J98,H65,H36,H122)</f>
        <v>2.2779013762515499E-2</v>
      </c>
      <c r="I130" s="25" cm="1">
        <f t="array" aca="1" ref="I130" ca="1">MMS_PastureBeef_Soil_N2ODirect_Equations.VEERG_4_2_1_3__4_NitrogenRetainedByBody(K98,I65,I36,I122)</f>
        <v>1.6331394322564873E-2</v>
      </c>
      <c r="J130" s="25" cm="1">
        <f t="array" aca="1" ref="J130" ca="1">MMS_PastureBeef_Soil_N2ODirect_Equations.VEERG_4_2_1_3__4_NitrogenRetainedByBody(L98,J65,J36,J122)</f>
        <v>1.6331394322564873E-2</v>
      </c>
      <c r="K130" s="25" cm="1">
        <f t="array" aca="1" ref="K130" ca="1">MMS_PastureBeef_Soil_N2ODirect_Equations.VEERG_4_2_1_3__4_NitrogenRetainedByBody(M98,K65,K36,K122)</f>
        <v>1.9754140848253471E-2</v>
      </c>
      <c r="L130" s="25" cm="1">
        <f t="array" aca="1" ref="L130" ca="1">MMS_PastureBeef_Soil_N2ODirect_Equations.VEERG_4_2_1_3__4_NitrogenRetainedByBody(N98,L65,L36,L122)</f>
        <v>7.4705417776927329E-3</v>
      </c>
      <c r="M130" s="25" cm="1">
        <f t="array" aca="1" ref="M130" ca="1">MMS_PastureBeef_Soil_N2ODirect_Equations.VEERG_4_2_1_3__4_NitrogenRetainedByBody(O98,M65,M36,M122)</f>
        <v>7.4705417776927329E-3</v>
      </c>
      <c r="N130" s="25" cm="1">
        <f t="array" aca="1" ref="N130" ca="1">MMS_PastureBeef_Soil_N2ODirect_Equations.VEERG_4_2_1_3__4_NitrogenRetainedByBody(P98,N65,N36,N122)</f>
        <v>7.4705417776927329E-3</v>
      </c>
      <c r="O130" s="26" t="str">
        <f t="shared" si="6"/>
        <v>kg N/head/day</v>
      </c>
      <c r="U130" s="25" t="e">
        <f>TEXT(EDATE('Input - Site'!$E$12,10), "mmmm yyyy")</f>
        <v>#VALUE!</v>
      </c>
      <c r="V130" s="25">
        <f ca="1"/>
        <v>1.64</v>
      </c>
      <c r="W130" s="25">
        <f ca="1"/>
        <v>1.1000000000000001</v>
      </c>
      <c r="X130" s="25">
        <f ca="1"/>
        <v>1.21</v>
      </c>
      <c r="Y130" s="25">
        <f ca="1"/>
        <v>0.99</v>
      </c>
      <c r="Z130" s="25">
        <f ca="1"/>
        <v>0.66</v>
      </c>
      <c r="AA130" s="25">
        <f ca="1"/>
        <v>0.66</v>
      </c>
      <c r="AB130" s="25">
        <f ca="1"/>
        <v>1.42</v>
      </c>
      <c r="AC130" s="25">
        <f ca="1"/>
        <v>1.1000000000000001</v>
      </c>
      <c r="AD130" s="25">
        <f ca="1"/>
        <v>1.1000000000000001</v>
      </c>
      <c r="AE130" s="25">
        <f ca="1"/>
        <v>1.1000000000000001</v>
      </c>
      <c r="AF130" s="26" t="s">
        <v>214</v>
      </c>
      <c r="AG130" s="26"/>
      <c r="AH130" s="26"/>
    </row>
    <row r="131" spans="3:34" ht="20.100000000000001" customHeight="1" x14ac:dyDescent="0.25">
      <c r="U131" s="25" t="e">
        <f>TEXT(EDATE('Input - Site'!$E$12,11), "mmmm yyyy")</f>
        <v>#VALUE!</v>
      </c>
      <c r="V131" s="25">
        <f ca="1"/>
        <v>0.44</v>
      </c>
      <c r="W131" s="25">
        <f ca="1"/>
        <v>-0.22</v>
      </c>
      <c r="X131" s="25">
        <f ca="1"/>
        <v>0.44</v>
      </c>
      <c r="Y131" s="25">
        <f ca="1"/>
        <v>0.33</v>
      </c>
      <c r="Z131" s="25">
        <f ca="1"/>
        <v>-0.22</v>
      </c>
      <c r="AA131" s="25">
        <f ca="1"/>
        <v>-0.22</v>
      </c>
      <c r="AB131" s="25">
        <f ca="1"/>
        <v>0.44</v>
      </c>
      <c r="AC131" s="25">
        <f ca="1"/>
        <v>-0.11</v>
      </c>
      <c r="AD131" s="25">
        <f ca="1"/>
        <v>-0.11</v>
      </c>
      <c r="AE131" s="25">
        <f ca="1"/>
        <v>-0.11</v>
      </c>
      <c r="AF131" s="26" t="s">
        <v>214</v>
      </c>
      <c r="AG131" s="26"/>
      <c r="AH131" s="26"/>
    </row>
    <row r="132" spans="3:34" ht="20.100000000000001" customHeight="1" x14ac:dyDescent="0.25"/>
    <row r="133" spans="3:34" ht="20.100000000000001" customHeight="1" x14ac:dyDescent="0.25">
      <c r="C133" s="118"/>
      <c r="D133" s="118"/>
      <c r="E133" s="118"/>
      <c r="F133" s="118"/>
      <c r="G133" s="118"/>
      <c r="H133" s="118"/>
      <c r="I133" s="118"/>
      <c r="J133" s="118"/>
      <c r="K133" s="118"/>
      <c r="L133" s="118"/>
      <c r="M133" s="118"/>
      <c r="N133" s="118"/>
      <c r="O133" s="118"/>
      <c r="P133" s="118"/>
      <c r="Q133" s="118"/>
      <c r="R133" s="118"/>
      <c r="U133" s="114" t="s">
        <v>442</v>
      </c>
    </row>
    <row r="134" spans="3:34" ht="20.100000000000001" customHeight="1" x14ac:dyDescent="0.25">
      <c r="D134" s="2" t="str" cm="1">
        <f t="array" ref="D134">MMS_PastureBeef_Soil_N2ODirect_Equations.VEERG_4_2_1_3__3_NitrogenExcreted_Title()</f>
        <v>Nitrogen excreted</v>
      </c>
      <c r="U134" s="115" t="s">
        <v>443</v>
      </c>
    </row>
    <row r="135" spans="3:34" ht="20.100000000000001" customHeight="1" x14ac:dyDescent="0.25">
      <c r="D135" s="27" t="str" cm="1">
        <f t="array" ref="D135">MMS_PastureBeef_Soil_N2ODirect_Equations.VEERG_4_2_1_3__3_NitrogenExcreted_Source()</f>
        <v>VEERG 2026: 4.2.1.3, Equation (3)</v>
      </c>
      <c r="U135" s="116" t="s">
        <v>77</v>
      </c>
      <c r="V135" s="116" t="s">
        <v>193</v>
      </c>
      <c r="W135" s="116" t="s">
        <v>194</v>
      </c>
      <c r="X135" s="116" t="s">
        <v>195</v>
      </c>
      <c r="Y135" s="116" t="s">
        <v>196</v>
      </c>
      <c r="Z135" s="116" t="s">
        <v>197</v>
      </c>
      <c r="AA135" s="116" t="s">
        <v>198</v>
      </c>
      <c r="AB135" s="116" t="s">
        <v>199</v>
      </c>
      <c r="AC135" s="116" t="s">
        <v>200</v>
      </c>
      <c r="AD135" s="116" t="s">
        <v>201</v>
      </c>
      <c r="AE135" s="116" t="s">
        <v>202</v>
      </c>
    </row>
    <row r="136" spans="3:34" ht="20.100000000000001" customHeight="1" x14ac:dyDescent="0.25">
      <c r="D136" s="105" t="s">
        <v>261</v>
      </c>
      <c r="E136" s="105" t="str" cm="1">
        <f t="array" aca="1" ref="E136" ca="1">Common_InputFunctions.Utility_DisplayFunctionName($E$169)</f>
        <v>=MMS_PastureBeef_Soil_N2ODirect_Equations.VEERG_4_2_1_3__3_NitrogenExcreted</v>
      </c>
      <c r="U136" s="25" t="str">
        <f>TEXT('Input - Site'!$E$12, "mmmm yyyy")</f>
        <v>NO - Not in leaching zone</v>
      </c>
      <c r="V136" s="25" cm="1">
        <f t="array" aca="1" ref="V136" ca="1">MMS_PastureBeef_Soil_N2ODirect_Equations.VEERG_4_2_1_3__4_NitrogenRetainedByBody(X100,V72,V36,V120)</f>
        <v>8.1246865273940476E-3</v>
      </c>
      <c r="W136" s="25" cm="1">
        <f t="array" aca="1" ref="W136" ca="1">MMS_PastureBeef_Soil_N2ODirect_Equations.VEERG_4_2_1_3__4_NitrogenRetainedByBody(Y100,W72,W36,W120)</f>
        <v>-2.4500809510830074E-3</v>
      </c>
      <c r="X136" s="25" cm="1">
        <f t="array" aca="1" ref="X136" ca="1">MMS_PastureBeef_Soil_N2ODirect_Equations.VEERG_4_2_1_3__4_NitrogenRetainedByBody(Z100,X72,X36,X120)</f>
        <v>7.4692204769955996E-3</v>
      </c>
      <c r="Y136" s="25" cm="1">
        <f t="array" aca="1" ref="Y136" ca="1">MMS_PastureBeef_Soil_N2ODirect_Equations.VEERG_4_2_1_3__4_NitrogenRetainedByBody(AA100,Y72,Y36,Y120)</f>
        <v>4.0359782188292637E-3</v>
      </c>
      <c r="Z136" s="25" cm="1">
        <f t="array" aca="1" ref="Z136" ca="1">MMS_PastureBeef_Soil_N2ODirect_Equations.VEERG_4_2_1_3__4_NitrogenRetainedByBody(AB100,Z72,Z36,Z120)</f>
        <v>-2.4895889780627905E-3</v>
      </c>
      <c r="AA136" s="25" cm="1">
        <f t="array" aca="1" ref="AA136" ca="1">MMS_PastureBeef_Soil_N2ODirect_Equations.VEERG_4_2_1_3__4_NitrogenRetainedByBody(AC100,AA72,AA36,AA120)</f>
        <v>-2.4895889780627905E-3</v>
      </c>
      <c r="AB136" s="25" cm="1">
        <f t="array" aca="1" ref="AB136" ca="1">MMS_PastureBeef_Soil_N2ODirect_Equations.VEERG_4_2_1_3__4_NitrogenRetainedByBody(AD100,AB72,AB36,AB120)</f>
        <v>7.842975342880058E-3</v>
      </c>
      <c r="AC136" s="25" cm="1">
        <f t="array" aca="1" ref="AC136" ca="1">MMS_PastureBeef_Soil_N2ODirect_Equations.VEERG_4_2_1_3__4_NitrogenRetainedByBody(AE100,AC72,AC36,AC120)</f>
        <v>-1.4855230625479237E-3</v>
      </c>
      <c r="AD136" s="25" cm="1">
        <f t="array" aca="1" ref="AD136" ca="1">MMS_PastureBeef_Soil_N2ODirect_Equations.VEERG_4_2_1_3__4_NitrogenRetainedByBody(AF100,AD72,AD36,AD120)</f>
        <v>-1.4855230625479237E-3</v>
      </c>
      <c r="AE136" s="25" cm="1">
        <f t="array" aca="1" ref="AE136" ca="1">MMS_PastureBeef_Soil_N2ODirect_Equations.VEERG_4_2_1_3__4_NitrogenRetainedByBody(AG100,AE72,AE36,AE120)</f>
        <v>-1.4855230625479237E-3</v>
      </c>
      <c r="AF136" s="26" t="str">
        <f t="shared" ref="AF136:AF147" si="7">$E$109</f>
        <v>kg N/head/day</v>
      </c>
      <c r="AG136" s="26"/>
      <c r="AH136" s="26"/>
    </row>
    <row r="137" spans="3:34" ht="20.100000000000001" customHeight="1" x14ac:dyDescent="0.25">
      <c r="U137" s="25" t="e">
        <f>TEXT(EDATE('Input - Site'!$E$12,1), "mmmm yyyy")</f>
        <v>#VALUE!</v>
      </c>
      <c r="V137" s="25" cm="1">
        <f t="array" aca="1" ref="V137" ca="1">MMS_PastureBeef_Soil_N2ODirect_Equations.VEERG_4_2_1_3__4_NitrogenRetainedByBody(X101,V73,V37,V121)</f>
        <v>8.1246865273940476E-3</v>
      </c>
      <c r="W137" s="25" cm="1">
        <f t="array" aca="1" ref="W137" ca="1">MMS_PastureBeef_Soil_N2ODirect_Equations.VEERG_4_2_1_3__4_NitrogenRetainedByBody(Y101,W73,W37,W121)</f>
        <v>-2.4500809510830074E-3</v>
      </c>
      <c r="X137" s="25" cm="1">
        <f t="array" aca="1" ref="X137" ca="1">MMS_PastureBeef_Soil_N2ODirect_Equations.VEERG_4_2_1_3__4_NitrogenRetainedByBody(Z101,X73,X37,X121)</f>
        <v>7.4692204769955996E-3</v>
      </c>
      <c r="Y137" s="25" cm="1">
        <f t="array" aca="1" ref="Y137" ca="1">MMS_PastureBeef_Soil_N2ODirect_Equations.VEERG_4_2_1_3__4_NitrogenRetainedByBody(AA101,Y73,Y37,Y121)</f>
        <v>4.0359782188292637E-3</v>
      </c>
      <c r="Z137" s="25" cm="1">
        <f t="array" aca="1" ref="Z137" ca="1">MMS_PastureBeef_Soil_N2ODirect_Equations.VEERG_4_2_1_3__4_NitrogenRetainedByBody(AB101,Z73,Z37,Z121)</f>
        <v>-2.4895889780627905E-3</v>
      </c>
      <c r="AA137" s="25" cm="1">
        <f t="array" aca="1" ref="AA137" ca="1">MMS_PastureBeef_Soil_N2ODirect_Equations.VEERG_4_2_1_3__4_NitrogenRetainedByBody(AC101,AA73,AA37,AA121)</f>
        <v>-2.4895889780627905E-3</v>
      </c>
      <c r="AB137" s="25" cm="1">
        <f t="array" aca="1" ref="AB137" ca="1">MMS_PastureBeef_Soil_N2ODirect_Equations.VEERG_4_2_1_3__4_NitrogenRetainedByBody(AD101,AB73,AB37,AB121)</f>
        <v>7.842975342880058E-3</v>
      </c>
      <c r="AC137" s="25" cm="1">
        <f t="array" aca="1" ref="AC137" ca="1">MMS_PastureBeef_Soil_N2ODirect_Equations.VEERG_4_2_1_3__4_NitrogenRetainedByBody(AE101,AC73,AC37,AC121)</f>
        <v>-1.4855230625479237E-3</v>
      </c>
      <c r="AD137" s="25" cm="1">
        <f t="array" aca="1" ref="AD137" ca="1">MMS_PastureBeef_Soil_N2ODirect_Equations.VEERG_4_2_1_3__4_NitrogenRetainedByBody(AF101,AD73,AD37,AD121)</f>
        <v>-1.4855230625479237E-3</v>
      </c>
      <c r="AE137" s="25" cm="1">
        <f t="array" aca="1" ref="AE137" ca="1">MMS_PastureBeef_Soil_N2ODirect_Equations.VEERG_4_2_1_3__4_NitrogenRetainedByBody(AG101,AE73,AE37,AE121)</f>
        <v>-1.4855230625479237E-3</v>
      </c>
      <c r="AF137" s="26" t="str">
        <f t="shared" si="7"/>
        <v>kg N/head/day</v>
      </c>
      <c r="AG137" s="26"/>
      <c r="AH137" s="26"/>
    </row>
    <row r="138" spans="3:34" ht="20.100000000000001" customHeight="1" x14ac:dyDescent="0.25">
      <c r="U138" s="25" t="e">
        <f>TEXT(EDATE('Input - Site'!$E$12,2), "mmmm yyyy")</f>
        <v>#VALUE!</v>
      </c>
      <c r="V138" s="25" cm="1">
        <f t="array" aca="1" ref="V138" ca="1">MMS_PastureBeef_Soil_N2ODirect_Equations.VEERG_4_2_1_3__4_NitrogenRetainedByBody(X102,V74,V38,V122)</f>
        <v>1.7126010126251881E-2</v>
      </c>
      <c r="W138" s="25" cm="1">
        <f t="array" aca="1" ref="W138" ca="1">MMS_PastureBeef_Soil_N2ODirect_Equations.VEERG_4_2_1_3__4_NitrogenRetainedByBody(Y102,W74,W38,W122)</f>
        <v>0</v>
      </c>
      <c r="X138" s="25" cm="1">
        <f t="array" aca="1" ref="X138" ca="1">MMS_PastureBeef_Soil_N2ODirect_Equations.VEERG_4_2_1_3__4_NitrogenRetainedByBody(Z102,X74,X38,X122)</f>
        <v>1.6946444473002843E-2</v>
      </c>
      <c r="Y138" s="25" cm="1">
        <f t="array" aca="1" ref="Y138" ca="1">MMS_PastureBeef_Soil_N2ODirect_Equations.VEERG_4_2_1_3__4_NitrogenRetainedByBody(AA102,Y74,Y38,Y122)</f>
        <v>3.5329291057988096E-3</v>
      </c>
      <c r="Z138" s="25" cm="1">
        <f t="array" aca="1" ref="Z138" ca="1">MMS_PastureBeef_Soil_N2ODirect_Equations.VEERG_4_2_1_3__4_NitrogenRetainedByBody(AB102,Z74,Z38,Z122)</f>
        <v>-6.4971680016475087E-3</v>
      </c>
      <c r="AA138" s="25" cm="1">
        <f t="array" aca="1" ref="AA138" ca="1">MMS_PastureBeef_Soil_N2ODirect_Equations.VEERG_4_2_1_3__4_NitrogenRetainedByBody(AC102,AA74,AA38,AA122)</f>
        <v>-6.4971680016475087E-3</v>
      </c>
      <c r="AB138" s="25" cm="1">
        <f t="array" aca="1" ref="AB138" ca="1">MMS_PastureBeef_Soil_N2ODirect_Equations.VEERG_4_2_1_3__4_NitrogenRetainedByBody(AD102,AB74,AB38,AB122)</f>
        <v>1.6885009696797144E-2</v>
      </c>
      <c r="AC138" s="25" cm="1">
        <f t="array" aca="1" ref="AC138" ca="1">MMS_PastureBeef_Soil_N2ODirect_Equations.VEERG_4_2_1_3__4_NitrogenRetainedByBody(AE102,AC74,AC38,AC122)</f>
        <v>0</v>
      </c>
      <c r="AD138" s="25" cm="1">
        <f t="array" aca="1" ref="AD138" ca="1">MMS_PastureBeef_Soil_N2ODirect_Equations.VEERG_4_2_1_3__4_NitrogenRetainedByBody(AF102,AD74,AD38,AD122)</f>
        <v>0</v>
      </c>
      <c r="AE138" s="25" cm="1">
        <f t="array" aca="1" ref="AE138" ca="1">MMS_PastureBeef_Soil_N2ODirect_Equations.VEERG_4_2_1_3__4_NitrogenRetainedByBody(AG102,AE74,AE38,AE122)</f>
        <v>0</v>
      </c>
      <c r="AF138" s="26" t="str">
        <f t="shared" si="7"/>
        <v>kg N/head/day</v>
      </c>
      <c r="AG138" s="26"/>
      <c r="AH138" s="26"/>
    </row>
    <row r="139" spans="3:34" ht="20.100000000000001" customHeight="1" x14ac:dyDescent="0.25">
      <c r="D139" s="88" t="s">
        <v>263</v>
      </c>
      <c r="E139" s="1" t="str" cm="1">
        <f t="array" ref="E139">MMS_PastureBeef_Soil_N2ODirect_Equations.VEERG_4_2_1_3__3_NitrogenExcreted_Variable()</f>
        <v>NE_jkl</v>
      </c>
      <c r="U139" s="25" t="e">
        <f>TEXT(EDATE('Input - Site'!$E$12,3), "mmmm yyyy")</f>
        <v>#VALUE!</v>
      </c>
      <c r="V139" s="25" cm="1">
        <f t="array" aca="1" ref="V139" ca="1">MMS_PastureBeef_Soil_N2ODirect_Equations.VEERG_4_2_1_3__4_NitrogenRetainedByBody(X103,V75,V39,V123)</f>
        <v>1.7126010126251881E-2</v>
      </c>
      <c r="W139" s="25" cm="1">
        <f t="array" aca="1" ref="W139" ca="1">MMS_PastureBeef_Soil_N2ODirect_Equations.VEERG_4_2_1_3__4_NitrogenRetainedByBody(Y103,W75,W39,W123)</f>
        <v>0</v>
      </c>
      <c r="X139" s="25" cm="1">
        <f t="array" aca="1" ref="X139" ca="1">MMS_PastureBeef_Soil_N2ODirect_Equations.VEERG_4_2_1_3__4_NitrogenRetainedByBody(Z103,X75,X39,X123)</f>
        <v>1.6946444473002843E-2</v>
      </c>
      <c r="Y139" s="25" cm="1">
        <f t="array" aca="1" ref="Y139" ca="1">MMS_PastureBeef_Soil_N2ODirect_Equations.VEERG_4_2_1_3__4_NitrogenRetainedByBody(AA103,Y75,Y39,Y123)</f>
        <v>3.5329291057988096E-3</v>
      </c>
      <c r="Z139" s="25" cm="1">
        <f t="array" aca="1" ref="Z139" ca="1">MMS_PastureBeef_Soil_N2ODirect_Equations.VEERG_4_2_1_3__4_NitrogenRetainedByBody(AB103,Z75,Z39,Z123)</f>
        <v>-6.4971680016475087E-3</v>
      </c>
      <c r="AA139" s="25" cm="1">
        <f t="array" aca="1" ref="AA139" ca="1">MMS_PastureBeef_Soil_N2ODirect_Equations.VEERG_4_2_1_3__4_NitrogenRetainedByBody(AC103,AA75,AA39,AA123)</f>
        <v>-6.4971680016475087E-3</v>
      </c>
      <c r="AB139" s="25" cm="1">
        <f t="array" aca="1" ref="AB139" ca="1">MMS_PastureBeef_Soil_N2ODirect_Equations.VEERG_4_2_1_3__4_NitrogenRetainedByBody(AD103,AB75,AB39,AB123)</f>
        <v>1.6885009696797144E-2</v>
      </c>
      <c r="AC139" s="25" cm="1">
        <f t="array" aca="1" ref="AC139" ca="1">MMS_PastureBeef_Soil_N2ODirect_Equations.VEERG_4_2_1_3__4_NitrogenRetainedByBody(AE103,AC75,AC39,AC123)</f>
        <v>0</v>
      </c>
      <c r="AD139" s="25" cm="1">
        <f t="array" aca="1" ref="AD139" ca="1">MMS_PastureBeef_Soil_N2ODirect_Equations.VEERG_4_2_1_3__4_NitrogenRetainedByBody(AF103,AD75,AD39,AD123)</f>
        <v>0</v>
      </c>
      <c r="AE139" s="25" cm="1">
        <f t="array" aca="1" ref="AE139" ca="1">MMS_PastureBeef_Soil_N2ODirect_Equations.VEERG_4_2_1_3__4_NitrogenRetainedByBody(AG103,AE75,AE39,AE123)</f>
        <v>0</v>
      </c>
      <c r="AF139" s="26" t="str">
        <f t="shared" si="7"/>
        <v>kg N/head/day</v>
      </c>
      <c r="AG139" s="26"/>
      <c r="AH139" s="26"/>
    </row>
    <row r="140" spans="3:34" ht="20.100000000000001" customHeight="1" x14ac:dyDescent="0.25">
      <c r="D140" s="88" t="s">
        <v>130</v>
      </c>
      <c r="E140" s="15" t="str" cm="1">
        <f t="array" ref="E140">MMS_PastureBeef_Soil_N2ODirect_Equations.VEERG_4_2_1_3__3_NitrogenExcreted_Unit()</f>
        <v>kg N/head/day</v>
      </c>
      <c r="U140" s="25" t="e">
        <f>TEXT(EDATE('Input - Site'!$E$12,4), "mmmm yyyy")</f>
        <v>#VALUE!</v>
      </c>
      <c r="V140" s="25" cm="1">
        <f t="array" aca="1" ref="V140" ca="1">MMS_PastureBeef_Soil_N2ODirect_Equations.VEERG_4_2_1_3__4_NitrogenRetainedByBody(X104,V76,V40,V124)</f>
        <v>1.7126010126251881E-2</v>
      </c>
      <c r="W140" s="25" cm="1">
        <f t="array" aca="1" ref="W140" ca="1">MMS_PastureBeef_Soil_N2ODirect_Equations.VEERG_4_2_1_3__4_NitrogenRetainedByBody(Y104,W76,W40,W124)</f>
        <v>0</v>
      </c>
      <c r="X140" s="25" cm="1">
        <f t="array" aca="1" ref="X140" ca="1">MMS_PastureBeef_Soil_N2ODirect_Equations.VEERG_4_2_1_3__4_NitrogenRetainedByBody(Z104,X76,X40,X124)</f>
        <v>1.6946444473002843E-2</v>
      </c>
      <c r="Y140" s="25" cm="1">
        <f t="array" aca="1" ref="Y140" ca="1">MMS_PastureBeef_Soil_N2ODirect_Equations.VEERG_4_2_1_3__4_NitrogenRetainedByBody(AA104,Y76,Y40,Y124)</f>
        <v>3.5329291057988096E-3</v>
      </c>
      <c r="Z140" s="25" cm="1">
        <f t="array" aca="1" ref="Z140" ca="1">MMS_PastureBeef_Soil_N2ODirect_Equations.VEERG_4_2_1_3__4_NitrogenRetainedByBody(AB104,Z76,Z40,Z124)</f>
        <v>-6.4971680016475087E-3</v>
      </c>
      <c r="AA140" s="25" cm="1">
        <f t="array" aca="1" ref="AA140" ca="1">MMS_PastureBeef_Soil_N2ODirect_Equations.VEERG_4_2_1_3__4_NitrogenRetainedByBody(AC104,AA76,AA40,AA124)</f>
        <v>-6.4971680016475087E-3</v>
      </c>
      <c r="AB140" s="25" cm="1">
        <f t="array" aca="1" ref="AB140" ca="1">MMS_PastureBeef_Soil_N2ODirect_Equations.VEERG_4_2_1_3__4_NitrogenRetainedByBody(AD104,AB76,AB40,AB124)</f>
        <v>1.6885009696797144E-2</v>
      </c>
      <c r="AC140" s="25" cm="1">
        <f t="array" aca="1" ref="AC140" ca="1">MMS_PastureBeef_Soil_N2ODirect_Equations.VEERG_4_2_1_3__4_NitrogenRetainedByBody(AE104,AC76,AC40,AC124)</f>
        <v>0</v>
      </c>
      <c r="AD140" s="25" cm="1">
        <f t="array" aca="1" ref="AD140" ca="1">MMS_PastureBeef_Soil_N2ODirect_Equations.VEERG_4_2_1_3__4_NitrogenRetainedByBody(AF104,AD76,AD40,AD124)</f>
        <v>0</v>
      </c>
      <c r="AE140" s="25" cm="1">
        <f t="array" aca="1" ref="AE140" ca="1">MMS_PastureBeef_Soil_N2ODirect_Equations.VEERG_4_2_1_3__4_NitrogenRetainedByBody(AG104,AE76,AE40,AE124)</f>
        <v>0</v>
      </c>
      <c r="AF140" s="26" t="str">
        <f t="shared" si="7"/>
        <v>kg N/head/day</v>
      </c>
      <c r="AG140" s="26"/>
      <c r="AH140" s="26"/>
    </row>
    <row r="141" spans="3:34" ht="20.100000000000001" customHeight="1" x14ac:dyDescent="0.25">
      <c r="U141" s="25" t="e">
        <f>TEXT(EDATE('Input - Site'!$E$12,5), "mmmm yyyy")</f>
        <v>#VALUE!</v>
      </c>
      <c r="V141" s="25" cm="1">
        <f t="array" aca="1" ref="V141" ca="1">MMS_PastureBeef_Soil_N2ODirect_Equations.VEERG_4_2_1_3__4_NitrogenRetainedByBody(X105,V77,V41,V125)</f>
        <v>2.5624664446187655E-2</v>
      </c>
      <c r="W141" s="25" cm="1">
        <f t="array" aca="1" ref="W141" ca="1">MMS_PastureBeef_Soil_N2ODirect_Equations.VEERG_4_2_1_3__4_NitrogenRetainedByBody(Y105,W77,W41,W125)</f>
        <v>2.5468999349659745E-3</v>
      </c>
      <c r="X141" s="25" cm="1">
        <f t="array" aca="1" ref="X141" ca="1">MMS_PastureBeef_Soil_N2ODirect_Equations.VEERG_4_2_1_3__4_NitrogenRetainedByBody(Z105,X77,X41,X125)</f>
        <v>1.942651050577586E-2</v>
      </c>
      <c r="Y141" s="25" cm="1">
        <f t="array" aca="1" ref="Y141" ca="1">MMS_PastureBeef_Soil_N2ODirect_Equations.VEERG_4_2_1_3__4_NitrogenRetainedByBody(AA105,Y77,Y41,Y125)</f>
        <v>1.7196628856093364E-3</v>
      </c>
      <c r="Z141" s="25" cm="1">
        <f t="array" aca="1" ref="Z141" ca="1">MMS_PastureBeef_Soil_N2ODirect_Equations.VEERG_4_2_1_3__4_NitrogenRetainedByBody(AB105,Z77,Z41,Z125)</f>
        <v>1.2853672606791778E-3</v>
      </c>
      <c r="AA141" s="25" cm="1">
        <f t="array" aca="1" ref="AA141" ca="1">MMS_PastureBeef_Soil_N2ODirect_Equations.VEERG_4_2_1_3__4_NitrogenRetainedByBody(AC105,AA77,AA41,AA125)</f>
        <v>1.2853672606791778E-3</v>
      </c>
      <c r="AB141" s="25" cm="1">
        <f t="array" aca="1" ref="AB141" ca="1">MMS_PastureBeef_Soil_N2ODirect_Equations.VEERG_4_2_1_3__4_NitrogenRetainedByBody(AD105,AB77,AB41,AB125)</f>
        <v>1.9754140848253471E-2</v>
      </c>
      <c r="AC141" s="25" cm="1">
        <f t="array" aca="1" ref="AC141" ca="1">MMS_PastureBeef_Soil_N2ODirect_Equations.VEERG_4_2_1_3__4_NitrogenRetainedByBody(AE105,AC77,AC41,AC125)</f>
        <v>7.4705417776927329E-3</v>
      </c>
      <c r="AD141" s="25" cm="1">
        <f t="array" aca="1" ref="AD141" ca="1">MMS_PastureBeef_Soil_N2ODirect_Equations.VEERG_4_2_1_3__4_NitrogenRetainedByBody(AF105,AD77,AD41,AD125)</f>
        <v>7.4705417776927329E-3</v>
      </c>
      <c r="AE141" s="25" cm="1">
        <f t="array" aca="1" ref="AE141" ca="1">MMS_PastureBeef_Soil_N2ODirect_Equations.VEERG_4_2_1_3__4_NitrogenRetainedByBody(AG105,AE77,AE41,AE125)</f>
        <v>7.4705417776927329E-3</v>
      </c>
      <c r="AF141" s="26" t="str">
        <f t="shared" si="7"/>
        <v>kg N/head/day</v>
      </c>
      <c r="AG141" s="26"/>
      <c r="AH141" s="26"/>
    </row>
    <row r="142" spans="3:34" ht="20.100000000000001" customHeight="1" x14ac:dyDescent="0.25">
      <c r="D142" s="107" t="str" cm="1">
        <f t="array" ref="D142:E148">_xlfn.CHOOSECOLS(MMS_PastureBeef_Soil_N2ODirect_Equations.VEERG_4_2_1_3__3_NitrogenExcreted_Arguments(),1,2)</f>
        <v>I_jkl</v>
      </c>
      <c r="E142" s="108" t="str">
        <v>dry matter intake as calculated in Chapter 3 Section 3.2.1 (kg DM/head/day)</v>
      </c>
      <c r="F142" s="110"/>
      <c r="G142" s="107" t="str" cm="1">
        <f t="array" ref="G142:H148">_xlfn.CHOOSECOLS(MMS_PastureBeef_Soil_N2ODirect_Equations.VEERG_4_2_1_3__3_NitrogenExcreted_Arguments(),3,4)</f>
        <v>kg DM/head/day</v>
      </c>
      <c r="H142" s="112" t="str">
        <v>Calculated from 3.2.1.1 (3)</v>
      </c>
      <c r="I142" s="113" t="str" cm="1">
        <f t="array" aca="1" ref="I142" ca="1">HYPERLINK(Common_InputFunctions.Utility_SourceHyperlink($D$51),$D$51)</f>
        <v>M1_Table_I_j_k_l</v>
      </c>
      <c r="U142" s="25" t="e">
        <f>TEXT(EDATE('Input - Site'!$E$12,6), "mmmm yyyy")</f>
        <v>#VALUE!</v>
      </c>
      <c r="V142" s="25" cm="1">
        <f t="array" aca="1" ref="V142" ca="1">MMS_PastureBeef_Soil_N2ODirect_Equations.VEERG_4_2_1_3__4_NitrogenRetainedByBody(X106,V78,V42,V126)</f>
        <v>2.5624664446187655E-2</v>
      </c>
      <c r="W142" s="25" cm="1">
        <f t="array" aca="1" ref="W142" ca="1">MMS_PastureBeef_Soil_N2ODirect_Equations.VEERG_4_2_1_3__4_NitrogenRetainedByBody(Y106,W78,W42,W126)</f>
        <v>2.5468999349659745E-3</v>
      </c>
      <c r="X142" s="25" cm="1">
        <f t="array" aca="1" ref="X142" ca="1">MMS_PastureBeef_Soil_N2ODirect_Equations.VEERG_4_2_1_3__4_NitrogenRetainedByBody(Z106,X78,X42,X126)</f>
        <v>1.942651050577586E-2</v>
      </c>
      <c r="Y142" s="25" cm="1">
        <f t="array" aca="1" ref="Y142" ca="1">MMS_PastureBeef_Soil_N2ODirect_Equations.VEERG_4_2_1_3__4_NitrogenRetainedByBody(AA106,Y78,Y42,Y126)</f>
        <v>1.7196628856093364E-3</v>
      </c>
      <c r="Z142" s="25" cm="1">
        <f t="array" aca="1" ref="Z142" ca="1">MMS_PastureBeef_Soil_N2ODirect_Equations.VEERG_4_2_1_3__4_NitrogenRetainedByBody(AB106,Z78,Z42,Z126)</f>
        <v>1.2853672606791778E-3</v>
      </c>
      <c r="AA142" s="25" cm="1">
        <f t="array" aca="1" ref="AA142" ca="1">MMS_PastureBeef_Soil_N2ODirect_Equations.VEERG_4_2_1_3__4_NitrogenRetainedByBody(AC106,AA78,AA42,AA126)</f>
        <v>1.2853672606791778E-3</v>
      </c>
      <c r="AB142" s="25" cm="1">
        <f t="array" aca="1" ref="AB142" ca="1">MMS_PastureBeef_Soil_N2ODirect_Equations.VEERG_4_2_1_3__4_NitrogenRetainedByBody(AD106,AB78,AB42,AB126)</f>
        <v>1.9754140848253471E-2</v>
      </c>
      <c r="AC142" s="25" cm="1">
        <f t="array" aca="1" ref="AC142" ca="1">MMS_PastureBeef_Soil_N2ODirect_Equations.VEERG_4_2_1_3__4_NitrogenRetainedByBody(AE106,AC78,AC42,AC126)</f>
        <v>7.4705417776927329E-3</v>
      </c>
      <c r="AD142" s="25" cm="1">
        <f t="array" aca="1" ref="AD142" ca="1">MMS_PastureBeef_Soil_N2ODirect_Equations.VEERG_4_2_1_3__4_NitrogenRetainedByBody(AF106,AD78,AD42,AD126)</f>
        <v>7.4705417776927329E-3</v>
      </c>
      <c r="AE142" s="25" cm="1">
        <f t="array" aca="1" ref="AE142" ca="1">MMS_PastureBeef_Soil_N2ODirect_Equations.VEERG_4_2_1_3__4_NitrogenRetainedByBody(AG106,AE78,AE42,AE126)</f>
        <v>7.4705417776927329E-3</v>
      </c>
      <c r="AF142" s="26" t="str">
        <f t="shared" si="7"/>
        <v>kg N/head/day</v>
      </c>
      <c r="AG142" s="26"/>
      <c r="AH142" s="26"/>
    </row>
    <row r="143" spans="3:34" ht="20.100000000000001" customHeight="1" x14ac:dyDescent="0.25">
      <c r="D143" s="107" t="str">
        <v>CP_j</v>
      </c>
      <c r="E143" s="108" t="str">
        <v>crude protein content of dry matter intake</v>
      </c>
      <c r="F143" s="110"/>
      <c r="G143" s="107" t="str">
        <v>fraction</v>
      </c>
      <c r="H143" s="111" t="str">
        <v>Input</v>
      </c>
      <c r="I143" s="113" t="str" cm="1">
        <f t="array" aca="1" ref="I143" ca="1">HYPERLINK(Common_InputFunctions.Utility_SourceHyperlink($D$150), $D$150)</f>
        <v>M1_Table_CP_j</v>
      </c>
      <c r="U143" s="25" t="e">
        <f>TEXT(EDATE('Input - Site'!$E$12,7), "mmmm yyyy")</f>
        <v>#VALUE!</v>
      </c>
      <c r="V143" s="25" cm="1">
        <f t="array" aca="1" ref="V143" ca="1">MMS_PastureBeef_Soil_N2ODirect_Equations.VEERG_4_2_1_3__4_NitrogenRetainedByBody(X107,V79,V43,V127)</f>
        <v>2.5624664446187655E-2</v>
      </c>
      <c r="W143" s="25" cm="1">
        <f t="array" aca="1" ref="W143" ca="1">MMS_PastureBeef_Soil_N2ODirect_Equations.VEERG_4_2_1_3__4_NitrogenRetainedByBody(Y107,W79,W43,W127)</f>
        <v>2.5468999349659745E-3</v>
      </c>
      <c r="X143" s="25" cm="1">
        <f t="array" aca="1" ref="X143" ca="1">MMS_PastureBeef_Soil_N2ODirect_Equations.VEERG_4_2_1_3__4_NitrogenRetainedByBody(Z107,X79,X43,X127)</f>
        <v>1.942651050577586E-2</v>
      </c>
      <c r="Y143" s="25" cm="1">
        <f t="array" aca="1" ref="Y143" ca="1">MMS_PastureBeef_Soil_N2ODirect_Equations.VEERG_4_2_1_3__4_NitrogenRetainedByBody(AA107,Y79,Y43,Y127)</f>
        <v>1.7196628856093364E-3</v>
      </c>
      <c r="Z143" s="25" cm="1">
        <f t="array" aca="1" ref="Z143" ca="1">MMS_PastureBeef_Soil_N2ODirect_Equations.VEERG_4_2_1_3__4_NitrogenRetainedByBody(AB107,Z79,Z43,Z127)</f>
        <v>1.2853672606791778E-3</v>
      </c>
      <c r="AA143" s="25" cm="1">
        <f t="array" aca="1" ref="AA143" ca="1">MMS_PastureBeef_Soil_N2ODirect_Equations.VEERG_4_2_1_3__4_NitrogenRetainedByBody(AC107,AA79,AA43,AA127)</f>
        <v>1.2853672606791778E-3</v>
      </c>
      <c r="AB143" s="25" cm="1">
        <f t="array" aca="1" ref="AB143" ca="1">MMS_PastureBeef_Soil_N2ODirect_Equations.VEERG_4_2_1_3__4_NitrogenRetainedByBody(AD107,AB79,AB43,AB127)</f>
        <v>1.9754140848253471E-2</v>
      </c>
      <c r="AC143" s="25" cm="1">
        <f t="array" aca="1" ref="AC143" ca="1">MMS_PastureBeef_Soil_N2ODirect_Equations.VEERG_4_2_1_3__4_NitrogenRetainedByBody(AE107,AC79,AC43,AC127)</f>
        <v>7.4705417776927329E-3</v>
      </c>
      <c r="AD143" s="25" cm="1">
        <f t="array" aca="1" ref="AD143" ca="1">MMS_PastureBeef_Soil_N2ODirect_Equations.VEERG_4_2_1_3__4_NitrogenRetainedByBody(AF107,AD79,AD43,AD127)</f>
        <v>7.4705417776927329E-3</v>
      </c>
      <c r="AE143" s="25" cm="1">
        <f t="array" aca="1" ref="AE143" ca="1">MMS_PastureBeef_Soil_N2ODirect_Equations.VEERG_4_2_1_3__4_NitrogenRetainedByBody(AG107,AE79,AE43,AE127)</f>
        <v>7.4705417776927329E-3</v>
      </c>
      <c r="AF143" s="26" t="str">
        <f t="shared" si="7"/>
        <v>kg N/head/day</v>
      </c>
      <c r="AG143" s="26"/>
      <c r="AH143" s="26"/>
    </row>
    <row r="144" spans="3:34" ht="20.100000000000001" customHeight="1" x14ac:dyDescent="0.25">
      <c r="D144" s="107" t="str">
        <v>MC_jk136</v>
      </c>
      <c r="E144" s="108" t="str">
        <v>milk intake (kg/head/day)</v>
      </c>
      <c r="F144" s="110"/>
      <c r="G144" s="107" t="str">
        <v>kg/head/day</v>
      </c>
      <c r="H144" s="112" t="str">
        <v>Constant</v>
      </c>
      <c r="I144" s="113" t="str" cm="1">
        <f t="array" aca="1" ref="I144" ca="1">HYPERLINK(Common_InputFunctions.Utility_SourceHyperlink($D$158), $D$158)</f>
        <v>M1_Table_MC_j_k_1-3-6</v>
      </c>
      <c r="U144" s="25" t="e">
        <f>TEXT(EDATE('Input - Site'!$E$12,8), "mmmm yyyy")</f>
        <v>#VALUE!</v>
      </c>
      <c r="V144" s="25" cm="1">
        <f t="array" aca="1" ref="V144" ca="1">MMS_PastureBeef_Soil_N2ODirect_Equations.VEERG_4_2_1_3__4_NitrogenRetainedByBody(X108,V80,V44,V128)</f>
        <v>3.2631583658999173E-2</v>
      </c>
      <c r="W144" s="25" cm="1">
        <f t="array" aca="1" ref="W144" ca="1">MMS_PastureBeef_Soil_N2ODirect_Equations.VEERG_4_2_1_3__4_NitrogenRetainedByBody(Y108,W80,W44,W128)</f>
        <v>1.2159206080141413E-2</v>
      </c>
      <c r="X144" s="25" cm="1">
        <f t="array" aca="1" ref="X144" ca="1">MMS_PastureBeef_Soil_N2ODirect_Equations.VEERG_4_2_1_3__4_NitrogenRetainedByBody(Z108,X80,X44,X128)</f>
        <v>2.2961722562736007E-2</v>
      </c>
      <c r="Y144" s="25" cm="1">
        <f t="array" aca="1" ref="Y144" ca="1">MMS_PastureBeef_Soil_N2ODirect_Equations.VEERG_4_2_1_3__4_NitrogenRetainedByBody(AA108,Y80,Y44,Y128)</f>
        <v>1.264962313940218E-2</v>
      </c>
      <c r="Z144" s="25" cm="1">
        <f t="array" aca="1" ref="Z144" ca="1">MMS_PastureBeef_Soil_N2ODirect_Equations.VEERG_4_2_1_3__4_NitrogenRetainedByBody(AB108,Z80,Z44,Z128)</f>
        <v>7.3742937081637087E-3</v>
      </c>
      <c r="AA144" s="25" cm="1">
        <f t="array" aca="1" ref="AA144" ca="1">MMS_PastureBeef_Soil_N2ODirect_Equations.VEERG_4_2_1_3__4_NitrogenRetainedByBody(AC108,AA80,AA44,AA128)</f>
        <v>7.3742937081637087E-3</v>
      </c>
      <c r="AB144" s="25" cm="1">
        <f t="array" aca="1" ref="AB144" ca="1">MMS_PastureBeef_Soil_N2ODirect_Equations.VEERG_4_2_1_3__4_NitrogenRetainedByBody(AD108,AB80,AB44,AB128)</f>
        <v>2.7711640554981157E-2</v>
      </c>
      <c r="AC144" s="25" cm="1">
        <f t="array" aca="1" ref="AC144" ca="1">MMS_PastureBeef_Soil_N2ODirect_Equations.VEERG_4_2_1_3__4_NitrogenRetainedByBody(AE108,AC80,AC44,AC128)</f>
        <v>1.4565147934229335E-2</v>
      </c>
      <c r="AD144" s="25" cm="1">
        <f t="array" aca="1" ref="AD144" ca="1">MMS_PastureBeef_Soil_N2ODirect_Equations.VEERG_4_2_1_3__4_NitrogenRetainedByBody(AF108,AD80,AD44,AD128)</f>
        <v>1.4565147934229335E-2</v>
      </c>
      <c r="AE144" s="25" cm="1">
        <f t="array" aca="1" ref="AE144" ca="1">MMS_PastureBeef_Soil_N2ODirect_Equations.VEERG_4_2_1_3__4_NitrogenRetainedByBody(AG108,AE80,AE44,AE128)</f>
        <v>1.4565147934229335E-2</v>
      </c>
      <c r="AF144" s="26" t="str">
        <f t="shared" si="7"/>
        <v>kg N/head/day</v>
      </c>
      <c r="AG144" s="26"/>
      <c r="AH144" s="26"/>
    </row>
    <row r="145" spans="4:35" ht="20.100000000000001" customHeight="1" x14ac:dyDescent="0.25">
      <c r="D145" s="107" t="str">
        <v>NR_jkl</v>
      </c>
      <c r="E145" s="108" t="str">
        <v>the amount of nitrogen retained by the body (kg N/head/day)</v>
      </c>
      <c r="F145" s="110"/>
      <c r="G145" s="107" t="str">
        <v>kg N/head/day</v>
      </c>
      <c r="H145" s="112" t="str">
        <v>Calculated from 4.2.1.3 (4)</v>
      </c>
      <c r="I145" s="113" t="str" cm="1">
        <f t="array" aca="1" ref="I145" ca="1">HYPERLINK(Common_InputFunctions.Utility_SourceHyperlink($D$124), $D$124)</f>
        <v>M1_Table_NR_j_k_l</v>
      </c>
      <c r="U145" s="25" t="e">
        <f>TEXT(EDATE('Input - Site'!$E$12,9), "mmmm yyyy")</f>
        <v>#VALUE!</v>
      </c>
      <c r="V145" s="25" cm="1">
        <f t="array" aca="1" ref="V145" ca="1">MMS_PastureBeef_Soil_N2ODirect_Equations.VEERG_4_2_1_3__4_NitrogenRetainedByBody(X109,V81,V45,V129)</f>
        <v>3.2631583658999173E-2</v>
      </c>
      <c r="W145" s="25" cm="1">
        <f t="array" aca="1" ref="W145" ca="1">MMS_PastureBeef_Soil_N2ODirect_Equations.VEERG_4_2_1_3__4_NitrogenRetainedByBody(Y109,W81,W45,W129)</f>
        <v>1.2159206080141413E-2</v>
      </c>
      <c r="X145" s="25" cm="1">
        <f t="array" aca="1" ref="X145" ca="1">MMS_PastureBeef_Soil_N2ODirect_Equations.VEERG_4_2_1_3__4_NitrogenRetainedByBody(Z109,X81,X45,X129)</f>
        <v>2.2961722562736007E-2</v>
      </c>
      <c r="Y145" s="25" cm="1">
        <f t="array" aca="1" ref="Y145" ca="1">MMS_PastureBeef_Soil_N2ODirect_Equations.VEERG_4_2_1_3__4_NitrogenRetainedByBody(AA109,Y81,Y45,Y129)</f>
        <v>1.264962313940218E-2</v>
      </c>
      <c r="Z145" s="25" cm="1">
        <f t="array" aca="1" ref="Z145" ca="1">MMS_PastureBeef_Soil_N2ODirect_Equations.VEERG_4_2_1_3__4_NitrogenRetainedByBody(AB109,Z81,Z45,Z129)</f>
        <v>7.3742937081637087E-3</v>
      </c>
      <c r="AA145" s="25" cm="1">
        <f t="array" aca="1" ref="AA145" ca="1">MMS_PastureBeef_Soil_N2ODirect_Equations.VEERG_4_2_1_3__4_NitrogenRetainedByBody(AC109,AA81,AA45,AA129)</f>
        <v>7.3742937081637087E-3</v>
      </c>
      <c r="AB145" s="25" cm="1">
        <f t="array" aca="1" ref="AB145" ca="1">MMS_PastureBeef_Soil_N2ODirect_Equations.VEERG_4_2_1_3__4_NitrogenRetainedByBody(AD109,AB81,AB45,AB129)</f>
        <v>2.7711640554981157E-2</v>
      </c>
      <c r="AC145" s="25" cm="1">
        <f t="array" aca="1" ref="AC145" ca="1">MMS_PastureBeef_Soil_N2ODirect_Equations.VEERG_4_2_1_3__4_NitrogenRetainedByBody(AE109,AC81,AC45,AC129)</f>
        <v>1.4565147934229335E-2</v>
      </c>
      <c r="AD145" s="25" cm="1">
        <f t="array" aca="1" ref="AD145" ca="1">MMS_PastureBeef_Soil_N2ODirect_Equations.VEERG_4_2_1_3__4_NitrogenRetainedByBody(AF109,AD81,AD45,AD129)</f>
        <v>1.4565147934229335E-2</v>
      </c>
      <c r="AE145" s="25" cm="1">
        <f t="array" aca="1" ref="AE145" ca="1">MMS_PastureBeef_Soil_N2ODirect_Equations.VEERG_4_2_1_3__4_NitrogenRetainedByBody(AG109,AE81,AE45,AE129)</f>
        <v>1.4565147934229335E-2</v>
      </c>
      <c r="AF145" s="26" t="str">
        <f t="shared" si="7"/>
        <v>kg N/head/day</v>
      </c>
      <c r="AG145" s="26"/>
      <c r="AH145" s="26"/>
    </row>
    <row r="146" spans="4:35" ht="20.100000000000001" customHeight="1" x14ac:dyDescent="0.25">
      <c r="D146" s="107" t="str">
        <v>W_jkl</v>
      </c>
      <c r="E146" s="108" t="str">
        <v>liveweight (kg/head)</v>
      </c>
      <c r="F146" s="110"/>
      <c r="G146" s="107" t="str">
        <v>kg/head</v>
      </c>
      <c r="H146" s="111" t="str">
        <v>Input</v>
      </c>
      <c r="I146" s="113" t="str" cm="1">
        <f t="array" aca="1" ref="I146" ca="1">HYPERLINK(Common_InputFunctions.Utility_SourceHyperlink($D$17), $D$17)</f>
        <v>M1_Table_W_j_k_l</v>
      </c>
      <c r="U146" s="25" t="e">
        <f>TEXT(EDATE('Input - Site'!$E$12,10), "mmmm yyyy")</f>
        <v>#VALUE!</v>
      </c>
      <c r="V146" s="25" cm="1">
        <f t="array" aca="1" ref="V146" ca="1">MMS_PastureBeef_Soil_N2ODirect_Equations.VEERG_4_2_1_3__4_NitrogenRetainedByBody(X110,V82,V46,V130)</f>
        <v>3.2631583658999173E-2</v>
      </c>
      <c r="W146" s="25" cm="1">
        <f t="array" aca="1" ref="W146" ca="1">MMS_PastureBeef_Soil_N2ODirect_Equations.VEERG_4_2_1_3__4_NitrogenRetainedByBody(Y110,W82,W46,W130)</f>
        <v>1.2159206080141413E-2</v>
      </c>
      <c r="X146" s="25" cm="1">
        <f t="array" aca="1" ref="X146" ca="1">MMS_PastureBeef_Soil_N2ODirect_Equations.VEERG_4_2_1_3__4_NitrogenRetainedByBody(Z110,X82,X46,X130)</f>
        <v>2.2961722562736007E-2</v>
      </c>
      <c r="Y146" s="25" cm="1">
        <f t="array" aca="1" ref="Y146" ca="1">MMS_PastureBeef_Soil_N2ODirect_Equations.VEERG_4_2_1_3__4_NitrogenRetainedByBody(AA110,Y82,Y46,Y130)</f>
        <v>1.264962313940218E-2</v>
      </c>
      <c r="Z146" s="25" cm="1">
        <f t="array" aca="1" ref="Z146" ca="1">MMS_PastureBeef_Soil_N2ODirect_Equations.VEERG_4_2_1_3__4_NitrogenRetainedByBody(AB110,Z82,Z46,Z130)</f>
        <v>7.3742937081637087E-3</v>
      </c>
      <c r="AA146" s="25" cm="1">
        <f t="array" aca="1" ref="AA146" ca="1">MMS_PastureBeef_Soil_N2ODirect_Equations.VEERG_4_2_1_3__4_NitrogenRetainedByBody(AC110,AA82,AA46,AA130)</f>
        <v>7.3742937081637087E-3</v>
      </c>
      <c r="AB146" s="25" cm="1">
        <f t="array" aca="1" ref="AB146" ca="1">MMS_PastureBeef_Soil_N2ODirect_Equations.VEERG_4_2_1_3__4_NitrogenRetainedByBody(AD110,AB82,AB46,AB130)</f>
        <v>2.7711640554981157E-2</v>
      </c>
      <c r="AC146" s="25" cm="1">
        <f t="array" aca="1" ref="AC146" ca="1">MMS_PastureBeef_Soil_N2ODirect_Equations.VEERG_4_2_1_3__4_NitrogenRetainedByBody(AE110,AC82,AC46,AC130)</f>
        <v>1.4565147934229335E-2</v>
      </c>
      <c r="AD146" s="25" cm="1">
        <f t="array" aca="1" ref="AD146" ca="1">MMS_PastureBeef_Soil_N2ODirect_Equations.VEERG_4_2_1_3__4_NitrogenRetainedByBody(AF110,AD82,AD46,AD130)</f>
        <v>1.4565147934229335E-2</v>
      </c>
      <c r="AE146" s="25" cm="1">
        <f t="array" aca="1" ref="AE146" ca="1">MMS_PastureBeef_Soil_N2ODirect_Equations.VEERG_4_2_1_3__4_NitrogenRetainedByBody(AG110,AE82,AE46,AE130)</f>
        <v>1.4565147934229335E-2</v>
      </c>
      <c r="AF146" s="26" t="str">
        <f t="shared" si="7"/>
        <v>kg N/head/day</v>
      </c>
      <c r="AG146" s="26"/>
      <c r="AH146" s="26"/>
    </row>
    <row r="147" spans="4:35" ht="20.100000000000001" customHeight="1" x14ac:dyDescent="0.25">
      <c r="D147" s="107" t="str">
        <v>b</v>
      </c>
      <c r="E147" s="108" t="str">
        <v>breed of cattle</v>
      </c>
      <c r="F147" s="110"/>
      <c r="G147" s="107" t="str">
        <v/>
      </c>
      <c r="H147" s="111" t="str">
        <v>Input</v>
      </c>
      <c r="I147" s="122" t="str">
        <f>X_Cell_PastureBeef_Breed</f>
        <v>Hereford or Shorthorn breeds</v>
      </c>
      <c r="U147" s="25" t="e">
        <f>TEXT(EDATE('Input - Site'!$E$12,11), "mmmm yyyy")</f>
        <v>#VALUE!</v>
      </c>
      <c r="V147" s="25" cm="1">
        <f t="array" aca="1" ref="V147" ca="1">MMS_PastureBeef_Soil_N2ODirect_Equations.VEERG_4_2_1_3__4_NitrogenRetainedByBody(X111,V83,V47,V131)</f>
        <v>8.1246865273940476E-3</v>
      </c>
      <c r="W147" s="25" cm="1">
        <f t="array" aca="1" ref="W147" ca="1">MMS_PastureBeef_Soil_N2ODirect_Equations.VEERG_4_2_1_3__4_NitrogenRetainedByBody(Y111,W83,W47,W131)</f>
        <v>-2.4500809510830074E-3</v>
      </c>
      <c r="X147" s="25" cm="1">
        <f t="array" aca="1" ref="X147" ca="1">MMS_PastureBeef_Soil_N2ODirect_Equations.VEERG_4_2_1_3__4_NitrogenRetainedByBody(Z111,X83,X47,X131)</f>
        <v>7.4692204769955996E-3</v>
      </c>
      <c r="Y147" s="25" cm="1">
        <f t="array" aca="1" ref="Y147" ca="1">MMS_PastureBeef_Soil_N2ODirect_Equations.VEERG_4_2_1_3__4_NitrogenRetainedByBody(AA111,Y83,Y47,Y131)</f>
        <v>4.0359782188292637E-3</v>
      </c>
      <c r="Z147" s="25" cm="1">
        <f t="array" aca="1" ref="Z147" ca="1">MMS_PastureBeef_Soil_N2ODirect_Equations.VEERG_4_2_1_3__4_NitrogenRetainedByBody(AB111,Z83,Z47,Z131)</f>
        <v>-2.4895889780627905E-3</v>
      </c>
      <c r="AA147" s="25" cm="1">
        <f t="array" aca="1" ref="AA147" ca="1">MMS_PastureBeef_Soil_N2ODirect_Equations.VEERG_4_2_1_3__4_NitrogenRetainedByBody(AC111,AA83,AA47,AA131)</f>
        <v>-2.4895889780627905E-3</v>
      </c>
      <c r="AB147" s="25" cm="1">
        <f t="array" aca="1" ref="AB147" ca="1">MMS_PastureBeef_Soil_N2ODirect_Equations.VEERG_4_2_1_3__4_NitrogenRetainedByBody(AD111,AB83,AB47,AB131)</f>
        <v>7.842975342880058E-3</v>
      </c>
      <c r="AC147" s="25" cm="1">
        <f t="array" aca="1" ref="AC147" ca="1">MMS_PastureBeef_Soil_N2ODirect_Equations.VEERG_4_2_1_3__4_NitrogenRetainedByBody(AE111,AC83,AC47,AC131)</f>
        <v>-1.4855230625479237E-3</v>
      </c>
      <c r="AD147" s="25" cm="1">
        <f t="array" aca="1" ref="AD147" ca="1">MMS_PastureBeef_Soil_N2ODirect_Equations.VEERG_4_2_1_3__4_NitrogenRetainedByBody(AF111,AD83,AD47,AD131)</f>
        <v>-1.4855230625479237E-3</v>
      </c>
      <c r="AE147" s="25" cm="1">
        <f t="array" aca="1" ref="AE147" ca="1">MMS_PastureBeef_Soil_N2ODirect_Equations.VEERG_4_2_1_3__4_NitrogenRetainedByBody(AG111,AE83,AE47,AE131)</f>
        <v>-1.4855230625479237E-3</v>
      </c>
      <c r="AF147" s="26" t="str">
        <f t="shared" si="7"/>
        <v>kg N/head/day</v>
      </c>
      <c r="AG147" s="26"/>
      <c r="AH147" s="26"/>
    </row>
    <row r="148" spans="4:35" ht="20.100000000000001" customHeight="1" x14ac:dyDescent="0.25">
      <c r="D148" s="107" t="str">
        <v>s</v>
      </c>
      <c r="E148" s="108" t="str">
        <v>Calving season</v>
      </c>
      <c r="F148" s="110"/>
      <c r="G148" s="107" t="str">
        <v/>
      </c>
      <c r="H148" s="111" t="str">
        <v>Input</v>
      </c>
      <c r="I148" s="122" t="str">
        <f>'Input - Pasture Beef'!$E$105</f>
        <v>Winter</v>
      </c>
    </row>
    <row r="149" spans="4:35" ht="20.100000000000001" customHeight="1" x14ac:dyDescent="0.25"/>
    <row r="150" spans="4:35" ht="20.100000000000001" customHeight="1" x14ac:dyDescent="0.25">
      <c r="D150" s="114" t="s">
        <v>444</v>
      </c>
      <c r="T150" s="118"/>
      <c r="U150" s="118"/>
      <c r="V150" s="118"/>
      <c r="W150" s="118"/>
      <c r="X150" s="118"/>
      <c r="Y150" s="118"/>
      <c r="Z150" s="118"/>
      <c r="AA150" s="118"/>
      <c r="AB150" s="118"/>
      <c r="AC150" s="118"/>
      <c r="AD150" s="118"/>
      <c r="AE150" s="118"/>
      <c r="AF150" s="118"/>
      <c r="AG150" s="118"/>
      <c r="AH150" s="118"/>
      <c r="AI150" s="118"/>
    </row>
    <row r="151" spans="4:35" ht="20.100000000000001" customHeight="1" x14ac:dyDescent="0.25">
      <c r="D151" s="115" t="s">
        <v>445</v>
      </c>
      <c r="U151" s="2" t="str" cm="1">
        <f t="array" ref="U151">MMS_PastureBeef_Soil_N2ODirect_Equations.VEERG_4_2_1_3__3_NitrogenExcreted_Title()</f>
        <v>Nitrogen excreted</v>
      </c>
    </row>
    <row r="152" spans="4:35" ht="20.100000000000001" customHeight="1" x14ac:dyDescent="0.25">
      <c r="D152" s="116" t="s">
        <v>78</v>
      </c>
      <c r="E152" s="117" t="s">
        <v>193</v>
      </c>
      <c r="F152" s="117" t="s">
        <v>194</v>
      </c>
      <c r="G152" s="117" t="s">
        <v>195</v>
      </c>
      <c r="H152" s="117" t="s">
        <v>196</v>
      </c>
      <c r="I152" s="117" t="s">
        <v>197</v>
      </c>
      <c r="J152" s="117" t="s">
        <v>198</v>
      </c>
      <c r="K152" s="117" t="s">
        <v>199</v>
      </c>
      <c r="L152" s="117" t="s">
        <v>200</v>
      </c>
      <c r="M152" s="117" t="s">
        <v>201</v>
      </c>
      <c r="N152" s="117" t="s">
        <v>202</v>
      </c>
    </row>
    <row r="153" spans="4:35" ht="20.100000000000001" customHeight="1" x14ac:dyDescent="0.25">
      <c r="D153" s="25" t="s">
        <v>203</v>
      </c>
      <c r="E153" s="25" cm="1">
        <f t="array" aca="1" ref="E153:N156" ca="1">OFFSET(X_Table_PastureBeef_CrudeProtein_Method1, 1,1, 4,10)</f>
        <v>0.2</v>
      </c>
      <c r="F153" s="25">
        <f ca="1"/>
        <v>0.2</v>
      </c>
      <c r="G153" s="25">
        <f ca="1"/>
        <v>0.2</v>
      </c>
      <c r="H153" s="25">
        <f ca="1"/>
        <v>0.2</v>
      </c>
      <c r="I153" s="25">
        <f ca="1"/>
        <v>0.2</v>
      </c>
      <c r="J153" s="25">
        <f ca="1"/>
        <v>0.2</v>
      </c>
      <c r="K153" s="25">
        <f ca="1"/>
        <v>0.2</v>
      </c>
      <c r="L153" s="25">
        <f ca="1"/>
        <v>0.2</v>
      </c>
      <c r="M153" s="25">
        <f ca="1"/>
        <v>0.2</v>
      </c>
      <c r="N153" s="25">
        <f ca="1"/>
        <v>0.2</v>
      </c>
      <c r="O153" s="26" t="s">
        <v>233</v>
      </c>
    </row>
    <row r="154" spans="4:35" ht="20.100000000000001" customHeight="1" x14ac:dyDescent="0.25">
      <c r="D154" s="25" t="s">
        <v>204</v>
      </c>
      <c r="E154" s="25">
        <f ca="1"/>
        <v>0.09</v>
      </c>
      <c r="F154" s="25">
        <f ca="1"/>
        <v>0.09</v>
      </c>
      <c r="G154" s="25">
        <f ca="1"/>
        <v>0.09</v>
      </c>
      <c r="H154" s="25">
        <f ca="1"/>
        <v>0.09</v>
      </c>
      <c r="I154" s="25">
        <f ca="1"/>
        <v>0.09</v>
      </c>
      <c r="J154" s="25">
        <f ca="1"/>
        <v>0.09</v>
      </c>
      <c r="K154" s="25">
        <f ca="1"/>
        <v>0.09</v>
      </c>
      <c r="L154" s="25">
        <f ca="1"/>
        <v>0.09</v>
      </c>
      <c r="M154" s="25">
        <f ca="1"/>
        <v>0.09</v>
      </c>
      <c r="N154" s="25">
        <f ca="1"/>
        <v>0.09</v>
      </c>
      <c r="O154" s="26" t="s">
        <v>233</v>
      </c>
    </row>
    <row r="155" spans="4:35" ht="20.100000000000001" customHeight="1" x14ac:dyDescent="0.25">
      <c r="D155" s="25" t="s">
        <v>205</v>
      </c>
      <c r="E155" s="25">
        <f ca="1"/>
        <v>0.06</v>
      </c>
      <c r="F155" s="25">
        <f ca="1"/>
        <v>0.06</v>
      </c>
      <c r="G155" s="25">
        <f ca="1"/>
        <v>0.06</v>
      </c>
      <c r="H155" s="25">
        <f ca="1"/>
        <v>0.06</v>
      </c>
      <c r="I155" s="25">
        <f ca="1"/>
        <v>0.06</v>
      </c>
      <c r="J155" s="25">
        <f ca="1"/>
        <v>0.06</v>
      </c>
      <c r="K155" s="25">
        <f ca="1"/>
        <v>0.06</v>
      </c>
      <c r="L155" s="25">
        <f ca="1"/>
        <v>0.06</v>
      </c>
      <c r="M155" s="25">
        <f ca="1"/>
        <v>0.06</v>
      </c>
      <c r="N155" s="25">
        <f ca="1"/>
        <v>0.06</v>
      </c>
      <c r="O155" s="26" t="s">
        <v>233</v>
      </c>
    </row>
    <row r="156" spans="4:35" ht="20.100000000000001" customHeight="1" x14ac:dyDescent="0.25">
      <c r="D156" s="25" t="s">
        <v>206</v>
      </c>
      <c r="E156" s="25">
        <f ca="1"/>
        <v>0.2</v>
      </c>
      <c r="F156" s="25">
        <f ca="1"/>
        <v>0.2</v>
      </c>
      <c r="G156" s="25">
        <f ca="1"/>
        <v>0.2</v>
      </c>
      <c r="H156" s="25">
        <f ca="1"/>
        <v>0.2</v>
      </c>
      <c r="I156" s="25">
        <f ca="1"/>
        <v>0.2</v>
      </c>
      <c r="J156" s="25">
        <f ca="1"/>
        <v>0.2</v>
      </c>
      <c r="K156" s="25">
        <f ca="1"/>
        <v>0.2</v>
      </c>
      <c r="L156" s="25">
        <f ca="1"/>
        <v>0.2</v>
      </c>
      <c r="M156" s="25">
        <f ca="1"/>
        <v>0.2</v>
      </c>
      <c r="N156" s="25">
        <f ca="1"/>
        <v>0.2</v>
      </c>
      <c r="O156" s="26" t="s">
        <v>233</v>
      </c>
    </row>
    <row r="157" spans="4:35" ht="20.100000000000001" customHeight="1" x14ac:dyDescent="0.25"/>
    <row r="158" spans="4:35" ht="20.100000000000001" customHeight="1" x14ac:dyDescent="0.25">
      <c r="D158" s="114" t="s">
        <v>446</v>
      </c>
    </row>
    <row r="159" spans="4:35" ht="20.100000000000001" customHeight="1" x14ac:dyDescent="0.25">
      <c r="D159" s="115" t="s">
        <v>447</v>
      </c>
    </row>
    <row r="160" spans="4:35" ht="20.100000000000001" customHeight="1" x14ac:dyDescent="0.25">
      <c r="D160" s="116" t="s">
        <v>78</v>
      </c>
      <c r="E160" s="116" t="s">
        <v>216</v>
      </c>
      <c r="F160" s="116" t="s">
        <v>193</v>
      </c>
      <c r="G160" s="116" t="s">
        <v>194</v>
      </c>
      <c r="H160" s="116" t="s">
        <v>195</v>
      </c>
      <c r="I160" s="116" t="s">
        <v>196</v>
      </c>
      <c r="J160" s="116" t="s">
        <v>197</v>
      </c>
      <c r="K160" s="116" t="s">
        <v>198</v>
      </c>
      <c r="L160" s="116" t="s">
        <v>199</v>
      </c>
      <c r="M160" s="116" t="s">
        <v>200</v>
      </c>
      <c r="N160" s="116" t="s">
        <v>201</v>
      </c>
      <c r="O160" s="116" t="s">
        <v>202</v>
      </c>
    </row>
    <row r="161" spans="3:34" ht="20.100000000000001" customHeight="1" x14ac:dyDescent="0.25">
      <c r="D161" s="25" t="s">
        <v>203</v>
      </c>
      <c r="E161" s="25" t="str" cm="1">
        <f t="array" ref="E161">_xlfn.IFS($D$161=$I$148,"Calving season",$D$164=$I$148,"Season after calving",TRUE, "")</f>
        <v>Season after calving</v>
      </c>
      <c r="F161" s="25" cm="1">
        <f t="array" ref="F161">_xlfn.XLOOKUP(1, (Table_SourceData_PastureBeef_FeedIntakeAdjustment_Variation[Breed]=$I$147)*(Table_SourceData_PastureBeef_FeedIntakeAdjustment_Variation[Season]=$E161), Table_SourceData_PastureBeef_FeedIntakeAdjustment_Variation[Milk intake/production], 0)</f>
        <v>4</v>
      </c>
      <c r="G161" s="25">
        <v>0</v>
      </c>
      <c r="H161" s="25" cm="1">
        <f t="array" ref="H161">_xlfn.XLOOKUP(1, (Table_SourceData_PastureBeef_FeedIntakeAdjustment_Variation[Breed]=$I$147)*(Table_SourceData_PastureBeef_FeedIntakeAdjustment_Variation[Season]=$E161), Table_SourceData_PastureBeef_FeedIntakeAdjustment_Variation[Milk intake/production], 0)</f>
        <v>4</v>
      </c>
      <c r="I161" s="25">
        <v>0</v>
      </c>
      <c r="J161" s="25">
        <v>0</v>
      </c>
      <c r="K161" s="25">
        <v>0</v>
      </c>
      <c r="L161" s="25" cm="1">
        <f t="array" ref="L161">_xlfn.XLOOKUP(1, (Table_SourceData_PastureBeef_FeedIntakeAdjustment_Variation[Breed]=$I$147)*(Table_SourceData_PastureBeef_FeedIntakeAdjustment_Variation[Season]=$E161), Table_SourceData_PastureBeef_FeedIntakeAdjustment_Variation[Milk intake/production], 0)</f>
        <v>4</v>
      </c>
      <c r="M161" s="25">
        <v>0</v>
      </c>
      <c r="N161" s="25">
        <v>0</v>
      </c>
      <c r="O161" s="25">
        <v>0</v>
      </c>
      <c r="P161" s="26" t="s">
        <v>214</v>
      </c>
      <c r="Q161" s="26"/>
      <c r="U161" s="114" t="s">
        <v>448</v>
      </c>
    </row>
    <row r="162" spans="3:34" ht="20.100000000000001" customHeight="1" x14ac:dyDescent="0.25">
      <c r="D162" s="25" t="s">
        <v>204</v>
      </c>
      <c r="E162" s="25" t="str" cm="1">
        <f t="array" ref="E162">_xlfn.IFS($D$162=$I$148,"Calving season",$D$161=$I$148,"Season after calving",TRUE, "")</f>
        <v/>
      </c>
      <c r="F162" s="25" cm="1">
        <f t="array" ref="F162">_xlfn.XLOOKUP(1, (Table_SourceData_PastureBeef_FeedIntakeAdjustment_Variation[Breed]=$I$147)*(Table_SourceData_PastureBeef_FeedIntakeAdjustment_Variation[Season]=$E162), Table_SourceData_PastureBeef_FeedIntakeAdjustment_Variation[Milk intake/production], 0)</f>
        <v>0</v>
      </c>
      <c r="G162" s="25">
        <v>0</v>
      </c>
      <c r="H162" s="25" cm="1">
        <f t="array" ref="H162">_xlfn.XLOOKUP(1, (Table_SourceData_PastureBeef_FeedIntakeAdjustment_Variation[Breed]=$I$147)*(Table_SourceData_PastureBeef_FeedIntakeAdjustment_Variation[Season]=$E162), Table_SourceData_PastureBeef_FeedIntakeAdjustment_Variation[Milk intake/production], 0)</f>
        <v>0</v>
      </c>
      <c r="I162" s="25">
        <v>0</v>
      </c>
      <c r="J162" s="25">
        <v>0</v>
      </c>
      <c r="K162" s="25">
        <v>0</v>
      </c>
      <c r="L162" s="25" cm="1">
        <f t="array" ref="L162">_xlfn.XLOOKUP(1, (Table_SourceData_PastureBeef_FeedIntakeAdjustment_Variation[Breed]=$I$147)*(Table_SourceData_PastureBeef_FeedIntakeAdjustment_Variation[Season]=$E162), Table_SourceData_PastureBeef_FeedIntakeAdjustment_Variation[Milk intake/production], 0)</f>
        <v>0</v>
      </c>
      <c r="M162" s="25">
        <v>0</v>
      </c>
      <c r="N162" s="25">
        <v>0</v>
      </c>
      <c r="O162" s="25">
        <v>0</v>
      </c>
      <c r="P162" s="26" t="s">
        <v>214</v>
      </c>
      <c r="Q162" s="26"/>
      <c r="U162" s="115" t="s">
        <v>449</v>
      </c>
    </row>
    <row r="163" spans="3:34" ht="20.100000000000001" customHeight="1" x14ac:dyDescent="0.25">
      <c r="D163" s="25" t="s">
        <v>205</v>
      </c>
      <c r="E163" s="25" t="str" cm="1">
        <f t="array" ref="E163">_xlfn.IFS($D$163=$I$148,"Calving season",$D$162=$I$148,"Season after calving",TRUE, "")</f>
        <v/>
      </c>
      <c r="F163" s="25" cm="1">
        <f t="array" ref="F163">_xlfn.XLOOKUP(1, (Table_SourceData_PastureBeef_FeedIntakeAdjustment_Variation[Breed]=$I$147)*(Table_SourceData_PastureBeef_FeedIntakeAdjustment_Variation[Season]=$E163), Table_SourceData_PastureBeef_FeedIntakeAdjustment_Variation[Milk intake/production], 0)</f>
        <v>0</v>
      </c>
      <c r="G163" s="25">
        <v>0</v>
      </c>
      <c r="H163" s="25" cm="1">
        <f t="array" ref="H163">_xlfn.XLOOKUP(1, (Table_SourceData_PastureBeef_FeedIntakeAdjustment_Variation[Breed]=$I$147)*(Table_SourceData_PastureBeef_FeedIntakeAdjustment_Variation[Season]=$E163), Table_SourceData_PastureBeef_FeedIntakeAdjustment_Variation[Milk intake/production], 0)</f>
        <v>0</v>
      </c>
      <c r="I163" s="25">
        <v>0</v>
      </c>
      <c r="J163" s="25">
        <v>0</v>
      </c>
      <c r="K163" s="25">
        <v>0</v>
      </c>
      <c r="L163" s="25" cm="1">
        <f t="array" ref="L163">_xlfn.XLOOKUP(1, (Table_SourceData_PastureBeef_FeedIntakeAdjustment_Variation[Breed]=$I$147)*(Table_SourceData_PastureBeef_FeedIntakeAdjustment_Variation[Season]=$E163), Table_SourceData_PastureBeef_FeedIntakeAdjustment_Variation[Milk intake/production], 0)</f>
        <v>0</v>
      </c>
      <c r="M163" s="25">
        <v>0</v>
      </c>
      <c r="N163" s="25">
        <v>0</v>
      </c>
      <c r="O163" s="25">
        <v>0</v>
      </c>
      <c r="P163" s="26" t="s">
        <v>214</v>
      </c>
      <c r="Q163" s="26"/>
      <c r="U163" s="116" t="s">
        <v>77</v>
      </c>
      <c r="V163" s="117" t="s">
        <v>193</v>
      </c>
      <c r="W163" s="117" t="s">
        <v>194</v>
      </c>
      <c r="X163" s="117" t="s">
        <v>195</v>
      </c>
      <c r="Y163" s="117" t="s">
        <v>196</v>
      </c>
      <c r="Z163" s="117" t="s">
        <v>197</v>
      </c>
      <c r="AA163" s="117" t="s">
        <v>198</v>
      </c>
      <c r="AB163" s="117" t="s">
        <v>199</v>
      </c>
      <c r="AC163" s="117" t="s">
        <v>200</v>
      </c>
      <c r="AD163" s="117" t="s">
        <v>201</v>
      </c>
      <c r="AE163" s="117" t="s">
        <v>202</v>
      </c>
    </row>
    <row r="164" spans="3:34" ht="20.100000000000001" customHeight="1" x14ac:dyDescent="0.25">
      <c r="D164" s="25" t="s">
        <v>206</v>
      </c>
      <c r="E164" s="25" t="str" cm="1">
        <f t="array" ref="E164">_xlfn.IFS($D$164=$I$148,"Calving season",$D$163=$I$148,"Season after calving",TRUE, "")</f>
        <v>Calving season</v>
      </c>
      <c r="F164" s="25" cm="1">
        <f t="array" ref="F164">_xlfn.XLOOKUP(1, (Table_SourceData_PastureBeef_FeedIntakeAdjustment_Variation[Breed]=$I$147)*(Table_SourceData_PastureBeef_FeedIntakeAdjustment_Variation[Season]=$E164), Table_SourceData_PastureBeef_FeedIntakeAdjustment_Variation[Milk intake/production], 0)</f>
        <v>6</v>
      </c>
      <c r="G164" s="25">
        <v>0</v>
      </c>
      <c r="H164" s="25" cm="1">
        <f t="array" ref="H164">_xlfn.XLOOKUP(1, (Table_SourceData_PastureBeef_FeedIntakeAdjustment_Variation[Breed]=$I$147)*(Table_SourceData_PastureBeef_FeedIntakeAdjustment_Variation[Season]=$E164), Table_SourceData_PastureBeef_FeedIntakeAdjustment_Variation[Milk intake/production], 0)</f>
        <v>6</v>
      </c>
      <c r="I164" s="25">
        <v>0</v>
      </c>
      <c r="J164" s="25">
        <v>0</v>
      </c>
      <c r="K164" s="25">
        <v>0</v>
      </c>
      <c r="L164" s="25" cm="1">
        <f t="array" ref="L164">_xlfn.XLOOKUP(1, (Table_SourceData_PastureBeef_FeedIntakeAdjustment_Variation[Breed]=$I$147)*(Table_SourceData_PastureBeef_FeedIntakeAdjustment_Variation[Season]=$E164), Table_SourceData_PastureBeef_FeedIntakeAdjustment_Variation[Milk intake/production], 0)</f>
        <v>6</v>
      </c>
      <c r="M164" s="25">
        <v>0</v>
      </c>
      <c r="N164" s="25">
        <v>0</v>
      </c>
      <c r="O164" s="25">
        <v>0</v>
      </c>
      <c r="P164" s="26" t="s">
        <v>214</v>
      </c>
      <c r="Q164" s="26"/>
      <c r="U164" s="25" t="str">
        <f>TEXT('Input - Site'!$E$12, "mmmm yyyy")</f>
        <v>NO - Not in leaching zone</v>
      </c>
      <c r="V164" s="25" cm="1">
        <f t="array" aca="1" ref="V164:AE175" ca="1">OFFSET(X_Table_PastureBeef_CrudeProtein_Method2, 1,1, 12,10)</f>
        <v>0.09</v>
      </c>
      <c r="W164" s="25">
        <f ca="1"/>
        <v>0.09</v>
      </c>
      <c r="X164" s="25">
        <f ca="1"/>
        <v>0.09</v>
      </c>
      <c r="Y164" s="25">
        <f ca="1"/>
        <v>0.09</v>
      </c>
      <c r="Z164" s="25">
        <f ca="1"/>
        <v>0.09</v>
      </c>
      <c r="AA164" s="25">
        <f ca="1"/>
        <v>0.09</v>
      </c>
      <c r="AB164" s="25">
        <f ca="1"/>
        <v>0.09</v>
      </c>
      <c r="AC164" s="25">
        <f ca="1"/>
        <v>0.09</v>
      </c>
      <c r="AD164" s="25">
        <f ca="1"/>
        <v>0.09</v>
      </c>
      <c r="AE164" s="25">
        <f ca="1"/>
        <v>0.09</v>
      </c>
      <c r="AF164" s="26" t="s">
        <v>233</v>
      </c>
    </row>
    <row r="165" spans="3:34" ht="20.100000000000001" customHeight="1" x14ac:dyDescent="0.25">
      <c r="U165" s="25" t="e">
        <f>TEXT(EDATE('Input - Site'!$E$12,1), "mmmm yyyy")</f>
        <v>#VALUE!</v>
      </c>
      <c r="V165" s="25">
        <f ca="1"/>
        <v>0.09</v>
      </c>
      <c r="W165" s="25">
        <f ca="1"/>
        <v>0.09</v>
      </c>
      <c r="X165" s="25">
        <f ca="1"/>
        <v>0.09</v>
      </c>
      <c r="Y165" s="25">
        <f ca="1"/>
        <v>0.09</v>
      </c>
      <c r="Z165" s="25">
        <f ca="1"/>
        <v>0.09</v>
      </c>
      <c r="AA165" s="25">
        <f ca="1"/>
        <v>0.09</v>
      </c>
      <c r="AB165" s="25">
        <f ca="1"/>
        <v>0.09</v>
      </c>
      <c r="AC165" s="25">
        <f ca="1"/>
        <v>0.09</v>
      </c>
      <c r="AD165" s="25">
        <f ca="1"/>
        <v>0.09</v>
      </c>
      <c r="AE165" s="25">
        <f ca="1"/>
        <v>0.09</v>
      </c>
      <c r="AF165" s="26" t="s">
        <v>233</v>
      </c>
    </row>
    <row r="166" spans="3:34" ht="20.100000000000001" customHeight="1" x14ac:dyDescent="0.25">
      <c r="D166" s="114" t="s">
        <v>450</v>
      </c>
      <c r="U166" s="25" t="e">
        <f>TEXT(EDATE('Input - Site'!$E$12,2), "mmmm yyyy")</f>
        <v>#VALUE!</v>
      </c>
      <c r="V166" s="25">
        <f ca="1"/>
        <v>0.06</v>
      </c>
      <c r="W166" s="25">
        <f ca="1"/>
        <v>0.06</v>
      </c>
      <c r="X166" s="25">
        <f ca="1"/>
        <v>0.06</v>
      </c>
      <c r="Y166" s="25">
        <f ca="1"/>
        <v>0.06</v>
      </c>
      <c r="Z166" s="25">
        <f ca="1"/>
        <v>0.06</v>
      </c>
      <c r="AA166" s="25">
        <f ca="1"/>
        <v>0.06</v>
      </c>
      <c r="AB166" s="25">
        <f ca="1"/>
        <v>0.06</v>
      </c>
      <c r="AC166" s="25">
        <f ca="1"/>
        <v>0.06</v>
      </c>
      <c r="AD166" s="25">
        <f ca="1"/>
        <v>0.06</v>
      </c>
      <c r="AE166" s="25">
        <f ca="1"/>
        <v>0.06</v>
      </c>
      <c r="AF166" s="26" t="s">
        <v>233</v>
      </c>
    </row>
    <row r="167" spans="3:34" ht="20.100000000000001" customHeight="1" x14ac:dyDescent="0.25">
      <c r="D167" s="115" t="s">
        <v>451</v>
      </c>
      <c r="U167" s="25" t="e">
        <f>TEXT(EDATE('Input - Site'!$E$12,3), "mmmm yyyy")</f>
        <v>#VALUE!</v>
      </c>
      <c r="V167" s="25">
        <f ca="1"/>
        <v>0.06</v>
      </c>
      <c r="W167" s="25">
        <f ca="1"/>
        <v>0.06</v>
      </c>
      <c r="X167" s="25">
        <f ca="1"/>
        <v>0.06</v>
      </c>
      <c r="Y167" s="25">
        <f ca="1"/>
        <v>0.06</v>
      </c>
      <c r="Z167" s="25">
        <f ca="1"/>
        <v>0.06</v>
      </c>
      <c r="AA167" s="25">
        <f ca="1"/>
        <v>0.06</v>
      </c>
      <c r="AB167" s="25">
        <f ca="1"/>
        <v>0.06</v>
      </c>
      <c r="AC167" s="25">
        <f ca="1"/>
        <v>0.06</v>
      </c>
      <c r="AD167" s="25">
        <f ca="1"/>
        <v>0.06</v>
      </c>
      <c r="AE167" s="25">
        <f ca="1"/>
        <v>0.06</v>
      </c>
      <c r="AF167" s="26" t="s">
        <v>233</v>
      </c>
    </row>
    <row r="168" spans="3:34" ht="20.100000000000001" customHeight="1" x14ac:dyDescent="0.25">
      <c r="D168" s="116" t="s">
        <v>78</v>
      </c>
      <c r="E168" s="116" t="s">
        <v>193</v>
      </c>
      <c r="F168" s="116" t="s">
        <v>194</v>
      </c>
      <c r="G168" s="116" t="s">
        <v>195</v>
      </c>
      <c r="H168" s="116" t="s">
        <v>196</v>
      </c>
      <c r="I168" s="116" t="s">
        <v>197</v>
      </c>
      <c r="J168" s="116" t="s">
        <v>198</v>
      </c>
      <c r="K168" s="116" t="s">
        <v>199</v>
      </c>
      <c r="L168" s="116" t="s">
        <v>200</v>
      </c>
      <c r="M168" s="116" t="s">
        <v>201</v>
      </c>
      <c r="N168" s="116" t="s">
        <v>202</v>
      </c>
      <c r="U168" s="25" t="e">
        <f>TEXT(EDATE('Input - Site'!$E$12,4), "mmmm yyyy")</f>
        <v>#VALUE!</v>
      </c>
      <c r="V168" s="25">
        <f ca="1"/>
        <v>0.06</v>
      </c>
      <c r="W168" s="25">
        <f ca="1"/>
        <v>0.06</v>
      </c>
      <c r="X168" s="25">
        <f ca="1"/>
        <v>0.06</v>
      </c>
      <c r="Y168" s="25">
        <f ca="1"/>
        <v>0.06</v>
      </c>
      <c r="Z168" s="25">
        <f ca="1"/>
        <v>0.06</v>
      </c>
      <c r="AA168" s="25">
        <f ca="1"/>
        <v>0.06</v>
      </c>
      <c r="AB168" s="25">
        <f ca="1"/>
        <v>0.06</v>
      </c>
      <c r="AC168" s="25">
        <f ca="1"/>
        <v>0.06</v>
      </c>
      <c r="AD168" s="25">
        <f ca="1"/>
        <v>0.06</v>
      </c>
      <c r="AE168" s="25">
        <f ca="1"/>
        <v>0.06</v>
      </c>
      <c r="AF168" s="26" t="s">
        <v>233</v>
      </c>
      <c r="AG168" s="26"/>
      <c r="AH168" s="26"/>
    </row>
    <row r="169" spans="3:34" ht="20.100000000000001" customHeight="1" x14ac:dyDescent="0.25">
      <c r="D169" s="25" t="s">
        <v>203</v>
      </c>
      <c r="E169" s="25" cm="1">
        <f t="array" aca="1" ref="E169" ca="1">MMS_PastureBeef_Soil_N2ODirect_Equations.VEERG_4_2_1_3__3_NitrogenExcreted(E54,E153,F161,E127,E20)</f>
        <v>0.26350651585923002</v>
      </c>
      <c r="F169" s="25" cm="1">
        <f t="array" aca="1" ref="F169" ca="1">MMS_PastureBeef_Soil_N2ODirect_Equations.VEERG_4_2_1_3__3_NitrogenExcreted(F54,F153,G161,F127,F20)</f>
        <v>0.37708133734232585</v>
      </c>
      <c r="G169" s="25" cm="1">
        <f t="array" aca="1" ref="G169" ca="1">MMS_PastureBeef_Soil_N2ODirect_Equations.VEERG_4_2_1_3__3_NitrogenExcreted(G54,G153,H161,G127,G20)</f>
        <v>0.20744815814809262</v>
      </c>
      <c r="H169" s="25" cm="1">
        <f t="array" aca="1" ref="H169" ca="1">MMS_PastureBeef_Soil_N2ODirect_Equations.VEERG_4_2_1_3__3_NitrogenExcreted(H54,H153,I161,H127,H20)</f>
        <v>0.27698096705009545</v>
      </c>
      <c r="I169" s="25" cm="1">
        <f t="array" aca="1" ref="I169" ca="1">MMS_PastureBeef_Soil_N2ODirect_Equations.VEERG_4_2_1_3__3_NitrogenExcreted(I54,I153,J161,I127,I20)</f>
        <v>0.34118759264783</v>
      </c>
      <c r="J169" s="25" cm="1">
        <f t="array" aca="1" ref="J169" ca="1">MMS_PastureBeef_Soil_N2ODirect_Equations.VEERG_4_2_1_3__3_NitrogenExcreted(J54,J153,K161,J127,J20)</f>
        <v>0.34118759264783</v>
      </c>
      <c r="K169" s="25" cm="1">
        <f t="array" aca="1" ref="K169" ca="1">MMS_PastureBeef_Soil_N2ODirect_Equations.VEERG_4_2_1_3__3_NitrogenExcreted(K54,K153,L161,K127,K20)</f>
        <v>0.23489856582312055</v>
      </c>
      <c r="L169" s="25" cm="1">
        <f t="array" aca="1" ref="L169" ca="1">MMS_PastureBeef_Soil_N2ODirect_Equations.VEERG_4_2_1_3__3_NitrogenExcreted(L54,L153,M161,L127,L20)</f>
        <v>0.2934676863299529</v>
      </c>
      <c r="M169" s="25" cm="1">
        <f t="array" aca="1" ref="M169" ca="1">MMS_PastureBeef_Soil_N2ODirect_Equations.VEERG_4_2_1_3__3_NitrogenExcreted(M54,M153,N161,M127,M20)</f>
        <v>0.2934676863299529</v>
      </c>
      <c r="N169" s="25" cm="1">
        <f t="array" aca="1" ref="N169" ca="1">MMS_PastureBeef_Soil_N2ODirect_Equations.VEERG_4_2_1_3__3_NitrogenExcreted(N54,N153,O161,N127,N20)</f>
        <v>0.2934676863299529</v>
      </c>
      <c r="O169" s="26" t="str">
        <f>$E$140</f>
        <v>kg N/head/day</v>
      </c>
      <c r="U169" s="25" t="e">
        <f>TEXT(EDATE('Input - Site'!$E$12,5), "mmmm yyyy")</f>
        <v>#VALUE!</v>
      </c>
      <c r="V169" s="25">
        <f ca="1"/>
        <v>0.2</v>
      </c>
      <c r="W169" s="25">
        <f ca="1"/>
        <v>0.2</v>
      </c>
      <c r="X169" s="25">
        <f ca="1"/>
        <v>0.2</v>
      </c>
      <c r="Y169" s="25">
        <f ca="1"/>
        <v>0.2</v>
      </c>
      <c r="Z169" s="25">
        <f ca="1"/>
        <v>0.2</v>
      </c>
      <c r="AA169" s="25">
        <f ca="1"/>
        <v>0.2</v>
      </c>
      <c r="AB169" s="25">
        <f ca="1"/>
        <v>0.2</v>
      </c>
      <c r="AC169" s="25">
        <f ca="1"/>
        <v>0.2</v>
      </c>
      <c r="AD169" s="25">
        <f ca="1"/>
        <v>0.2</v>
      </c>
      <c r="AE169" s="25">
        <f ca="1"/>
        <v>0.2</v>
      </c>
      <c r="AF169" s="26" t="s">
        <v>233</v>
      </c>
      <c r="AG169" s="26"/>
      <c r="AH169" s="26"/>
    </row>
    <row r="170" spans="3:34" ht="20.100000000000001" customHeight="1" x14ac:dyDescent="0.25">
      <c r="D170" s="25" t="s">
        <v>204</v>
      </c>
      <c r="E170" s="25" cm="1">
        <f t="array" aca="1" ref="E170" ca="1">MMS_PastureBeef_Soil_N2ODirect_Equations.VEERG_4_2_1_3__3_NitrogenExcreted(E55,E154,F162,E128,E21)</f>
        <v>9.3275223802458812E-2</v>
      </c>
      <c r="F170" s="25" cm="1">
        <f t="array" aca="1" ref="F170" ca="1">MMS_PastureBeef_Soil_N2ODirect_Equations.VEERG_4_2_1_3__3_NitrogenExcreted(F55,F154,G162,F128,F21)</f>
        <v>0.13601872675007995</v>
      </c>
      <c r="G170" s="25" cm="1">
        <f t="array" aca="1" ref="G170" ca="1">MMS_PastureBeef_Soil_N2ODirect_Equations.VEERG_4_2_1_3__3_NitrogenExcreted(G55,G154,H162,G128,G21)</f>
        <v>7.7811027960341214E-2</v>
      </c>
      <c r="H170" s="25" cm="1">
        <f t="array" aca="1" ref="H170" ca="1">MMS_PastureBeef_Soil_N2ODirect_Equations.VEERG_4_2_1_3__3_NitrogenExcreted(H55,H154,I162,H128,H21)</f>
        <v>0.11211505645345723</v>
      </c>
      <c r="I170" s="25" cm="1">
        <f t="array" aca="1" ref="I170" ca="1">MMS_PastureBeef_Soil_N2ODirect_Equations.VEERG_4_2_1_3__3_NitrogenExcreted(I55,I154,J162,I128,I21)</f>
        <v>0.11725024145638518</v>
      </c>
      <c r="J170" s="25" cm="1">
        <f t="array" aca="1" ref="J170" ca="1">MMS_PastureBeef_Soil_N2ODirect_Equations.VEERG_4_2_1_3__3_NitrogenExcreted(J55,J154,K162,J128,J21)</f>
        <v>0.11725024145638518</v>
      </c>
      <c r="K170" s="25" cm="1">
        <f t="array" aca="1" ref="K170" ca="1">MMS_PastureBeef_Soil_N2ODirect_Equations.VEERG_4_2_1_3__3_NitrogenExcreted(K55,K154,L162,K128,K21)</f>
        <v>8.562550571362422E-2</v>
      </c>
      <c r="L170" s="25" cm="1">
        <f t="array" aca="1" ref="L170" ca="1">MMS_PastureBeef_Soil_N2ODirect_Equations.VEERG_4_2_1_3__3_NitrogenExcreted(L55,L154,M162,L128,L21)</f>
        <v>0.1054491491748196</v>
      </c>
      <c r="M170" s="25" cm="1">
        <f t="array" aca="1" ref="M170" ca="1">MMS_PastureBeef_Soil_N2ODirect_Equations.VEERG_4_2_1_3__3_NitrogenExcreted(M55,M154,N162,M128,M21)</f>
        <v>0.1054491491748196</v>
      </c>
      <c r="N170" s="25" cm="1">
        <f t="array" aca="1" ref="N170" ca="1">MMS_PastureBeef_Soil_N2ODirect_Equations.VEERG_4_2_1_3__3_NitrogenExcreted(N55,N154,O162,N128,N21)</f>
        <v>0.1054491491748196</v>
      </c>
      <c r="O170" s="26" t="str">
        <f t="shared" ref="O170:O172" si="8">$E$140</f>
        <v>kg N/head/day</v>
      </c>
      <c r="U170" s="25" t="e">
        <f>TEXT(EDATE('Input - Site'!$E$12,6), "mmmm yyyy")</f>
        <v>#VALUE!</v>
      </c>
      <c r="V170" s="25">
        <f ca="1"/>
        <v>0.2</v>
      </c>
      <c r="W170" s="25">
        <f ca="1"/>
        <v>0.2</v>
      </c>
      <c r="X170" s="25">
        <f ca="1"/>
        <v>0.2</v>
      </c>
      <c r="Y170" s="25">
        <f ca="1"/>
        <v>0.2</v>
      </c>
      <c r="Z170" s="25">
        <f ca="1"/>
        <v>0.2</v>
      </c>
      <c r="AA170" s="25">
        <f ca="1"/>
        <v>0.2</v>
      </c>
      <c r="AB170" s="25">
        <f ca="1"/>
        <v>0.2</v>
      </c>
      <c r="AC170" s="25">
        <f ca="1"/>
        <v>0.2</v>
      </c>
      <c r="AD170" s="25">
        <f ca="1"/>
        <v>0.2</v>
      </c>
      <c r="AE170" s="25">
        <f ca="1"/>
        <v>0.2</v>
      </c>
      <c r="AF170" s="26" t="s">
        <v>233</v>
      </c>
      <c r="AG170" s="26"/>
      <c r="AH170" s="26"/>
    </row>
    <row r="171" spans="3:34" ht="20.100000000000001" customHeight="1" x14ac:dyDescent="0.25">
      <c r="D171" s="25" t="s">
        <v>205</v>
      </c>
      <c r="E171" s="25" cm="1">
        <f t="array" aca="1" ref="E171" ca="1">MMS_PastureBeef_Soil_N2ODirect_Equations.VEERG_4_2_1_3__3_NitrogenExcreted(E56,E155,F163,E129,E22)</f>
        <v>1.3490587405558481E-2</v>
      </c>
      <c r="F171" s="25" cm="1">
        <f t="array" aca="1" ref="F171" ca="1">MMS_PastureBeef_Soil_N2ODirect_Equations.VEERG_4_2_1_3__3_NitrogenExcreted(F56,F155,G163,F129,F22)</f>
        <v>8.8133023634157495E-2</v>
      </c>
      <c r="G171" s="25" cm="1">
        <f t="array" aca="1" ref="G171" ca="1">MMS_PastureBeef_Soil_N2ODirect_Equations.VEERG_4_2_1_3__3_NitrogenExcreted(G56,G155,H163,G129,G22)</f>
        <v>1.1001898802853755E-2</v>
      </c>
      <c r="H171" s="25" cm="1">
        <f t="array" aca="1" ref="H171" ca="1">MMS_PastureBeef_Soil_N2ODirect_Equations.VEERG_4_2_1_3__3_NitrogenExcreted(H56,H155,I163,H129,H22)</f>
        <v>5.2902961709211542E-2</v>
      </c>
      <c r="I171" s="25" cm="1">
        <f t="array" aca="1" ref="I171" ca="1">MMS_PastureBeef_Soil_N2ODirect_Equations.VEERG_4_2_1_3__3_NitrogenExcreted(I56,I155,J163,I129,I22)</f>
        <v>6.9185083188389812E-2</v>
      </c>
      <c r="J171" s="25" cm="1">
        <f t="array" aca="1" ref="J171" ca="1">MMS_PastureBeef_Soil_N2ODirect_Equations.VEERG_4_2_1_3__3_NitrogenExcreted(J56,J155,K163,J129,J22)</f>
        <v>6.9185083188389812E-2</v>
      </c>
      <c r="K171" s="25" cm="1">
        <f t="array" aca="1" ref="K171" ca="1">MMS_PastureBeef_Soil_N2ODirect_Equations.VEERG_4_2_1_3__3_NitrogenExcreted(K56,K155,L163,K129,K22)</f>
        <v>1.3731587835013218E-2</v>
      </c>
      <c r="L171" s="25" cm="1">
        <f t="array" aca="1" ref="L171" ca="1">MMS_PastureBeef_Soil_N2ODirect_Equations.VEERG_4_2_1_3__3_NitrogenExcreted(L56,L155,M163,L129,L22)</f>
        <v>5.520208336562428E-2</v>
      </c>
      <c r="M171" s="25" cm="1">
        <f t="array" aca="1" ref="M171" ca="1">MMS_PastureBeef_Soil_N2ODirect_Equations.VEERG_4_2_1_3__3_NitrogenExcreted(M56,M155,N163,M129,M22)</f>
        <v>5.520208336562428E-2</v>
      </c>
      <c r="N171" s="25" cm="1">
        <f t="array" aca="1" ref="N171" ca="1">MMS_PastureBeef_Soil_N2ODirect_Equations.VEERG_4_2_1_3__3_NitrogenExcreted(N56,N155,O163,N129,N22)</f>
        <v>5.520208336562428E-2</v>
      </c>
      <c r="O171" s="26" t="str">
        <f t="shared" si="8"/>
        <v>kg N/head/day</v>
      </c>
      <c r="U171" s="25" t="e">
        <f>TEXT(EDATE('Input - Site'!$E$12,7), "mmmm yyyy")</f>
        <v>#VALUE!</v>
      </c>
      <c r="V171" s="25">
        <f ca="1"/>
        <v>0.2</v>
      </c>
      <c r="W171" s="25">
        <f ca="1"/>
        <v>0.2</v>
      </c>
      <c r="X171" s="25">
        <f ca="1"/>
        <v>0.2</v>
      </c>
      <c r="Y171" s="25">
        <f ca="1"/>
        <v>0.2</v>
      </c>
      <c r="Z171" s="25">
        <f ca="1"/>
        <v>0.2</v>
      </c>
      <c r="AA171" s="25">
        <f ca="1"/>
        <v>0.2</v>
      </c>
      <c r="AB171" s="25">
        <f ca="1"/>
        <v>0.2</v>
      </c>
      <c r="AC171" s="25">
        <f ca="1"/>
        <v>0.2</v>
      </c>
      <c r="AD171" s="25">
        <f ca="1"/>
        <v>0.2</v>
      </c>
      <c r="AE171" s="25">
        <f ca="1"/>
        <v>0.2</v>
      </c>
      <c r="AF171" s="26" t="s">
        <v>233</v>
      </c>
      <c r="AG171" s="26"/>
      <c r="AH171" s="26"/>
    </row>
    <row r="172" spans="3:34" ht="20.100000000000001" customHeight="1" x14ac:dyDescent="0.25">
      <c r="D172" s="25" t="s">
        <v>206</v>
      </c>
      <c r="E172" s="25" cm="1">
        <f t="array" aca="1" ref="E172" ca="1">MMS_PastureBeef_Soil_N2ODirect_Equations.VEERG_4_2_1_3__3_NitrogenExcreted(E57,E156,F164,E130,E23)</f>
        <v>0.16782142173820769</v>
      </c>
      <c r="F172" s="25" cm="1">
        <f t="array" aca="1" ref="F172" ca="1">MMS_PastureBeef_Soil_N2ODirect_Equations.VEERG_4_2_1_3__3_NitrogenExcreted(F57,F156,G164,F130,F23)</f>
        <v>0.31425341534791917</v>
      </c>
      <c r="G172" s="25" cm="1">
        <f t="array" aca="1" ref="G172" ca="1">MMS_PastureBeef_Soil_N2ODirect_Equations.VEERG_4_2_1_3__3_NitrogenExcreted(G57,G156,H164,G130,G23)</f>
        <v>0.14439972918793106</v>
      </c>
      <c r="H172" s="25" cm="1">
        <f t="array" aca="1" ref="H172" ca="1">MMS_PastureBeef_Soil_N2ODirect_Equations.VEERG_4_2_1_3__3_NitrogenExcreted(H57,H156,I164,H130,H23)</f>
        <v>0.20538320393122031</v>
      </c>
      <c r="I172" s="25" cm="1">
        <f t="array" aca="1" ref="I172" ca="1">MMS_PastureBeef_Soil_N2ODirect_Equations.VEERG_4_2_1_3__3_NitrogenExcreted(I57,I156,J164,I130,I23)</f>
        <v>0.27448186171350092</v>
      </c>
      <c r="J172" s="25" cm="1">
        <f t="array" aca="1" ref="J172" ca="1">MMS_PastureBeef_Soil_N2ODirect_Equations.VEERG_4_2_1_3__3_NitrogenExcreted(J57,J156,K164,J130,J23)</f>
        <v>0.27448186171350092</v>
      </c>
      <c r="K172" s="25" cm="1">
        <f t="array" aca="1" ref="K172" ca="1">MMS_PastureBeef_Soil_N2ODirect_Equations.VEERG_4_2_1_3__3_NitrogenExcreted(K57,K156,L164,K130,K23)</f>
        <v>0.15390387455817453</v>
      </c>
      <c r="L172" s="25" cm="1">
        <f t="array" aca="1" ref="L172" ca="1">MMS_PastureBeef_Soil_N2ODirect_Equations.VEERG_4_2_1_3__3_NitrogenExcreted(L57,L156,M164,L130,L23)</f>
        <v>0.21091009356426255</v>
      </c>
      <c r="M172" s="25" cm="1">
        <f t="array" aca="1" ref="M172" ca="1">MMS_PastureBeef_Soil_N2ODirect_Equations.VEERG_4_2_1_3__3_NitrogenExcreted(M57,M156,N164,M130,M23)</f>
        <v>0.21091009356426255</v>
      </c>
      <c r="N172" s="25" cm="1">
        <f t="array" aca="1" ref="N172" ca="1">MMS_PastureBeef_Soil_N2ODirect_Equations.VEERG_4_2_1_3__3_NitrogenExcreted(N57,N156,O164,N130,N23)</f>
        <v>0.21091009356426255</v>
      </c>
      <c r="O172" s="26" t="str">
        <f t="shared" si="8"/>
        <v>kg N/head/day</v>
      </c>
      <c r="U172" s="25" t="e">
        <f>TEXT(EDATE('Input - Site'!$E$12,8), "mmmm yyyy")</f>
        <v>#VALUE!</v>
      </c>
      <c r="V172" s="25">
        <f ca="1"/>
        <v>0.2</v>
      </c>
      <c r="W172" s="25">
        <f ca="1"/>
        <v>0.2</v>
      </c>
      <c r="X172" s="25">
        <f ca="1"/>
        <v>0.2</v>
      </c>
      <c r="Y172" s="25">
        <f ca="1"/>
        <v>0.2</v>
      </c>
      <c r="Z172" s="25">
        <f ca="1"/>
        <v>0.2</v>
      </c>
      <c r="AA172" s="25">
        <f ca="1"/>
        <v>0.2</v>
      </c>
      <c r="AB172" s="25">
        <f ca="1"/>
        <v>0.2</v>
      </c>
      <c r="AC172" s="25">
        <f ca="1"/>
        <v>0.2</v>
      </c>
      <c r="AD172" s="25">
        <f ca="1"/>
        <v>0.2</v>
      </c>
      <c r="AE172" s="25">
        <f ca="1"/>
        <v>0.2</v>
      </c>
      <c r="AF172" s="26" t="s">
        <v>233</v>
      </c>
      <c r="AG172" s="26"/>
      <c r="AH172" s="26"/>
    </row>
    <row r="173" spans="3:34" ht="20.100000000000001" customHeight="1" x14ac:dyDescent="0.25">
      <c r="U173" s="25" t="e">
        <f>TEXT(EDATE('Input - Site'!$E$12,9), "mmmm yyyy")</f>
        <v>#VALUE!</v>
      </c>
      <c r="V173" s="25">
        <f ca="1"/>
        <v>0.2</v>
      </c>
      <c r="W173" s="25">
        <f ca="1"/>
        <v>0.2</v>
      </c>
      <c r="X173" s="25">
        <f ca="1"/>
        <v>0.2</v>
      </c>
      <c r="Y173" s="25">
        <f ca="1"/>
        <v>0.2</v>
      </c>
      <c r="Z173" s="25">
        <f ca="1"/>
        <v>0.2</v>
      </c>
      <c r="AA173" s="25">
        <f ca="1"/>
        <v>0.2</v>
      </c>
      <c r="AB173" s="25">
        <f ca="1"/>
        <v>0.2</v>
      </c>
      <c r="AC173" s="25">
        <f ca="1"/>
        <v>0.2</v>
      </c>
      <c r="AD173" s="25">
        <f ca="1"/>
        <v>0.2</v>
      </c>
      <c r="AE173" s="25">
        <f ca="1"/>
        <v>0.2</v>
      </c>
      <c r="AF173" s="26" t="s">
        <v>233</v>
      </c>
      <c r="AG173" s="26"/>
      <c r="AH173" s="26"/>
    </row>
    <row r="174" spans="3:34" ht="20.100000000000001" customHeight="1" x14ac:dyDescent="0.25">
      <c r="U174" s="25" t="e">
        <f>TEXT(EDATE('Input - Site'!$E$12,10), "mmmm yyyy")</f>
        <v>#VALUE!</v>
      </c>
      <c r="V174" s="25">
        <f ca="1"/>
        <v>0.2</v>
      </c>
      <c r="W174" s="25">
        <f ca="1"/>
        <v>0.2</v>
      </c>
      <c r="X174" s="25">
        <f ca="1"/>
        <v>0.2</v>
      </c>
      <c r="Y174" s="25">
        <f ca="1"/>
        <v>0.2</v>
      </c>
      <c r="Z174" s="25">
        <f ca="1"/>
        <v>0.2</v>
      </c>
      <c r="AA174" s="25">
        <f ca="1"/>
        <v>0.2</v>
      </c>
      <c r="AB174" s="25">
        <f ca="1"/>
        <v>0.2</v>
      </c>
      <c r="AC174" s="25">
        <f ca="1"/>
        <v>0.2</v>
      </c>
      <c r="AD174" s="25">
        <f ca="1"/>
        <v>0.2</v>
      </c>
      <c r="AE174" s="25">
        <f ca="1"/>
        <v>0.2</v>
      </c>
      <c r="AF174" s="26" t="s">
        <v>233</v>
      </c>
      <c r="AG174" s="26"/>
      <c r="AH174" s="26"/>
    </row>
    <row r="175" spans="3:34" ht="20.100000000000001" customHeight="1" x14ac:dyDescent="0.25">
      <c r="C175" s="118"/>
      <c r="D175" s="118"/>
      <c r="E175" s="118"/>
      <c r="F175" s="118"/>
      <c r="G175" s="118"/>
      <c r="H175" s="118"/>
      <c r="I175" s="118"/>
      <c r="J175" s="118"/>
      <c r="K175" s="118"/>
      <c r="L175" s="118"/>
      <c r="M175" s="118"/>
      <c r="N175" s="118"/>
      <c r="O175" s="118"/>
      <c r="P175" s="118"/>
      <c r="Q175" s="118"/>
      <c r="R175" s="118"/>
      <c r="U175" s="25" t="e">
        <f>TEXT(EDATE('Input - Site'!$E$12,11), "mmmm yyyy")</f>
        <v>#VALUE!</v>
      </c>
      <c r="V175" s="25">
        <f ca="1"/>
        <v>0.09</v>
      </c>
      <c r="W175" s="25">
        <f ca="1"/>
        <v>0.09</v>
      </c>
      <c r="X175" s="25">
        <f ca="1"/>
        <v>0.09</v>
      </c>
      <c r="Y175" s="25">
        <f ca="1"/>
        <v>0.09</v>
      </c>
      <c r="Z175" s="25">
        <f ca="1"/>
        <v>0.09</v>
      </c>
      <c r="AA175" s="25">
        <f ca="1"/>
        <v>0.09</v>
      </c>
      <c r="AB175" s="25">
        <f ca="1"/>
        <v>0.09</v>
      </c>
      <c r="AC175" s="25">
        <f ca="1"/>
        <v>0.09</v>
      </c>
      <c r="AD175" s="25">
        <f ca="1"/>
        <v>0.09</v>
      </c>
      <c r="AE175" s="25">
        <f ca="1"/>
        <v>0.09</v>
      </c>
      <c r="AF175" s="26" t="s">
        <v>233</v>
      </c>
      <c r="AG175" s="26"/>
      <c r="AH175" s="26"/>
    </row>
    <row r="176" spans="3:34" ht="20.100000000000001" customHeight="1" x14ac:dyDescent="0.25">
      <c r="D176" s="2" t="str" cm="1">
        <f t="array" ref="D176">MMS_PastureBeef_Soil_N2ODirect_Equations.VEERG_4_2_1_3__2_TotalNitrogenExcretedToPastureRangeAndPaddock_Title()</f>
        <v>Total nitrogen excreted to pasture, range and paddock</v>
      </c>
      <c r="AG176" s="26"/>
      <c r="AH176" s="26"/>
    </row>
    <row r="177" spans="4:34" ht="20.100000000000001" customHeight="1" x14ac:dyDescent="0.25">
      <c r="D177" s="27" t="str" cm="1">
        <f t="array" ref="D177">MMS_PastureBeef_Soil_N2ODirect_Equations.VEERG_4_2_1_3__2_TotalNitrogenExcretedToPastureRangeAndPaddock_Source()</f>
        <v>VEERG 2026: 4.2.1.3, Equation (2)</v>
      </c>
      <c r="U177" s="114" t="s">
        <v>452</v>
      </c>
      <c r="AH177" s="26"/>
    </row>
    <row r="178" spans="4:34" ht="20.100000000000001" customHeight="1" x14ac:dyDescent="0.25">
      <c r="D178" s="105" t="s">
        <v>261</v>
      </c>
      <c r="E178" s="105" t="str" cm="1">
        <f t="array" aca="1" ref="E178" ca="1">Common_InputFunctions.Utility_DisplayFunctionName($E$207)</f>
        <v>=MMS_PastureBeef_Soil_N2ODirect_Equations.VEERG_4_2_1_3__2_TotalNitrogenExcretedToPastureRangeAndPaddock</v>
      </c>
      <c r="U178" s="115" t="s">
        <v>453</v>
      </c>
      <c r="AH178" s="26"/>
    </row>
    <row r="179" spans="4:34" ht="20.100000000000001" customHeight="1" x14ac:dyDescent="0.25">
      <c r="U179" s="116" t="s">
        <v>77</v>
      </c>
      <c r="V179" s="116" t="s">
        <v>216</v>
      </c>
      <c r="W179" s="116" t="s">
        <v>193</v>
      </c>
      <c r="X179" s="116" t="s">
        <v>194</v>
      </c>
      <c r="Y179" s="116" t="s">
        <v>195</v>
      </c>
      <c r="Z179" s="116" t="s">
        <v>196</v>
      </c>
      <c r="AA179" s="116" t="s">
        <v>197</v>
      </c>
      <c r="AB179" s="116" t="s">
        <v>198</v>
      </c>
      <c r="AC179" s="116" t="s">
        <v>199</v>
      </c>
      <c r="AD179" s="116" t="s">
        <v>200</v>
      </c>
      <c r="AE179" s="116" t="s">
        <v>201</v>
      </c>
      <c r="AF179" s="116" t="s">
        <v>202</v>
      </c>
      <c r="AH179" s="26"/>
    </row>
    <row r="180" spans="4:34" ht="20.100000000000001" customHeight="1" x14ac:dyDescent="0.25">
      <c r="U180" s="25" t="str">
        <f>TEXT('Input - Site'!$E$12,"mmmm")</f>
        <v>NO - Not in leaching zone</v>
      </c>
      <c r="V180" s="25" t="str" cm="1">
        <f t="array" ref="V180">IFERROR(_xlfn.IFS(SUMPRODUCT(ISNUMBER(SEARCH(TRIM(_xlfn.TEXTSPLIT($U$92,",")),U180))*1)&gt;0,"Calving season",SUMPRODUCT(ISNUMBER(SEARCH(TRIM(_xlfn.TEXTSPLIT($U$93,",")),U180))*1)&gt;0,"Season after calving"), "")</f>
        <v/>
      </c>
      <c r="W180" s="25" cm="1">
        <f t="array" ref="W180">_xlfn.XLOOKUP(1, (Table_SourceData_PastureBeef_FeedIntakeAdjustment_Variation[Breed]=$Z$158)*(Table_SourceData_PastureBeef_FeedIntakeAdjustment_Variation[Season]=$V180), Table_SourceData_PastureBeef_FeedIntakeAdjustment_Variation[Milk intake/production], 0)</f>
        <v>0</v>
      </c>
      <c r="X180" s="25">
        <v>0</v>
      </c>
      <c r="Y180" s="25" cm="1">
        <f t="array" ref="Y180">_xlfn.XLOOKUP(1, (Table_SourceData_PastureBeef_FeedIntakeAdjustment_Variation[Breed]=$Z$158)*(Table_SourceData_PastureBeef_FeedIntakeAdjustment_Variation[Season]=$V180), Table_SourceData_PastureBeef_FeedIntakeAdjustment_Variation[Milk intake/production], 0)</f>
        <v>0</v>
      </c>
      <c r="Z180" s="25">
        <v>0</v>
      </c>
      <c r="AA180" s="25">
        <v>0</v>
      </c>
      <c r="AB180" s="25">
        <v>0</v>
      </c>
      <c r="AC180" s="25" cm="1">
        <f t="array" ref="AC180">_xlfn.XLOOKUP(1, (Table_SourceData_PastureBeef_FeedIntakeAdjustment_Variation[Breed]=$Z$158)*(Table_SourceData_PastureBeef_FeedIntakeAdjustment_Variation[Season]=$V180), Table_SourceData_PastureBeef_FeedIntakeAdjustment_Variation[Milk intake/production], 0)</f>
        <v>0</v>
      </c>
      <c r="AD180" s="25">
        <v>0</v>
      </c>
      <c r="AE180" s="25">
        <v>0</v>
      </c>
      <c r="AF180" s="25">
        <v>0</v>
      </c>
      <c r="AG180" s="26" t="s">
        <v>214</v>
      </c>
    </row>
    <row r="181" spans="4:34" ht="20.100000000000001" customHeight="1" x14ac:dyDescent="0.25">
      <c r="D181" s="88" t="s">
        <v>263</v>
      </c>
      <c r="E181" s="1" t="str" cm="1">
        <f t="array" ref="E181">MMS_PastureBeef_Soil_N2ODirect_Equations.VEERG_4_2_1_3__2_TotalNitrogenExcretedToPastureRangeAndPaddock_Variable()</f>
        <v>AE</v>
      </c>
      <c r="U181" s="25" t="e">
        <f>TEXT(EDATE('Input - Site'!$E$12,1), "mmmm")</f>
        <v>#VALUE!</v>
      </c>
      <c r="V181" s="25" t="str" cm="1">
        <f t="array" ref="V181">IFERROR(_xlfn.IFS(SUMPRODUCT(ISNUMBER(SEARCH(TRIM(_xlfn.TEXTSPLIT($U$92,",")),U181))*1)&gt;0,"Calving season",SUMPRODUCT(ISNUMBER(SEARCH(TRIM(_xlfn.TEXTSPLIT($U$93,",")),U181))*1)&gt;0,"Season after calving"), "")</f>
        <v/>
      </c>
      <c r="W181" s="25" cm="1">
        <f t="array" ref="W181">_xlfn.XLOOKUP(1, (Table_SourceData_PastureBeef_FeedIntakeAdjustment_Variation[Breed]=$Z$158)*(Table_SourceData_PastureBeef_FeedIntakeAdjustment_Variation[Season]=$V181), Table_SourceData_PastureBeef_FeedIntakeAdjustment_Variation[Milk intake/production], 0)</f>
        <v>0</v>
      </c>
      <c r="X181" s="25">
        <v>0</v>
      </c>
      <c r="Y181" s="25" cm="1">
        <f t="array" ref="Y181">_xlfn.XLOOKUP(1, (Table_SourceData_PastureBeef_FeedIntakeAdjustment_Variation[Breed]=$Z$158)*(Table_SourceData_PastureBeef_FeedIntakeAdjustment_Variation[Season]=$V181), Table_SourceData_PastureBeef_FeedIntakeAdjustment_Variation[Milk intake/production], 0)</f>
        <v>0</v>
      </c>
      <c r="Z181" s="25">
        <v>0</v>
      </c>
      <c r="AA181" s="25">
        <v>0</v>
      </c>
      <c r="AB181" s="25">
        <v>0</v>
      </c>
      <c r="AC181" s="25" cm="1">
        <f t="array" ref="AC181">_xlfn.XLOOKUP(1, (Table_SourceData_PastureBeef_FeedIntakeAdjustment_Variation[Breed]=$Z$158)*(Table_SourceData_PastureBeef_FeedIntakeAdjustment_Variation[Season]=$V181), Table_SourceData_PastureBeef_FeedIntakeAdjustment_Variation[Milk intake/production], 0)</f>
        <v>0</v>
      </c>
      <c r="AD181" s="25">
        <v>0</v>
      </c>
      <c r="AE181" s="25">
        <v>0</v>
      </c>
      <c r="AF181" s="25">
        <v>0</v>
      </c>
      <c r="AG181" s="26" t="s">
        <v>214</v>
      </c>
    </row>
    <row r="182" spans="4:34" ht="20.100000000000001" customHeight="1" x14ac:dyDescent="0.25">
      <c r="D182" s="88" t="s">
        <v>130</v>
      </c>
      <c r="E182" s="15" t="str" cm="1">
        <f t="array" ref="E182">MMS_PastureBeef_Soil_N2ODirect_Equations.VEERG_4_2_1_3__2_TotalNitrogenExcretedToPastureRangeAndPaddock_Unit()</f>
        <v>kg N</v>
      </c>
      <c r="U182" s="25" t="e">
        <f>TEXT(EDATE('Input - Site'!$E$12,2), "mmmm")</f>
        <v>#VALUE!</v>
      </c>
      <c r="V182" s="25" t="str" cm="1">
        <f t="array" ref="V182">IFERROR(_xlfn.IFS(SUMPRODUCT(ISNUMBER(SEARCH(TRIM(_xlfn.TEXTSPLIT($U$92,",")),U182))*1)&gt;0,"Calving season",SUMPRODUCT(ISNUMBER(SEARCH(TRIM(_xlfn.TEXTSPLIT($U$93,",")),U182))*1)&gt;0,"Season after calving"), "")</f>
        <v/>
      </c>
      <c r="W182" s="25" cm="1">
        <f t="array" ref="W182">_xlfn.XLOOKUP(1, (Table_SourceData_PastureBeef_FeedIntakeAdjustment_Variation[Breed]=$Z$158)*(Table_SourceData_PastureBeef_FeedIntakeAdjustment_Variation[Season]=$V182), Table_SourceData_PastureBeef_FeedIntakeAdjustment_Variation[Milk intake/production], 0)</f>
        <v>0</v>
      </c>
      <c r="X182" s="25">
        <v>0</v>
      </c>
      <c r="Y182" s="25" cm="1">
        <f t="array" ref="Y182">_xlfn.XLOOKUP(1, (Table_SourceData_PastureBeef_FeedIntakeAdjustment_Variation[Breed]=$Z$158)*(Table_SourceData_PastureBeef_FeedIntakeAdjustment_Variation[Season]=$V182), Table_SourceData_PastureBeef_FeedIntakeAdjustment_Variation[Milk intake/production], 0)</f>
        <v>0</v>
      </c>
      <c r="Z182" s="25">
        <v>0</v>
      </c>
      <c r="AA182" s="25">
        <v>0</v>
      </c>
      <c r="AB182" s="25">
        <v>0</v>
      </c>
      <c r="AC182" s="25" cm="1">
        <f t="array" ref="AC182">_xlfn.XLOOKUP(1, (Table_SourceData_PastureBeef_FeedIntakeAdjustment_Variation[Breed]=$Z$158)*(Table_SourceData_PastureBeef_FeedIntakeAdjustment_Variation[Season]=$V182), Table_SourceData_PastureBeef_FeedIntakeAdjustment_Variation[Milk intake/production], 0)</f>
        <v>0</v>
      </c>
      <c r="AD182" s="25">
        <v>0</v>
      </c>
      <c r="AE182" s="25">
        <v>0</v>
      </c>
      <c r="AF182" s="25">
        <v>0</v>
      </c>
      <c r="AG182" s="26" t="s">
        <v>214</v>
      </c>
    </row>
    <row r="183" spans="4:34" ht="20.100000000000001" customHeight="1" x14ac:dyDescent="0.25">
      <c r="U183" s="25" t="e">
        <f>TEXT(EDATE('Input - Site'!$E$12,3), "mmmm")</f>
        <v>#VALUE!</v>
      </c>
      <c r="V183" s="25" t="str" cm="1">
        <f t="array" ref="V183">IFERROR(_xlfn.IFS(SUMPRODUCT(ISNUMBER(SEARCH(TRIM(_xlfn.TEXTSPLIT($U$92,",")),U183))*1)&gt;0,"Calving season",SUMPRODUCT(ISNUMBER(SEARCH(TRIM(_xlfn.TEXTSPLIT($U$93,",")),U183))*1)&gt;0,"Season after calving"), "")</f>
        <v/>
      </c>
      <c r="W183" s="25" cm="1">
        <f t="array" ref="W183">_xlfn.XLOOKUP(1, (Table_SourceData_PastureBeef_FeedIntakeAdjustment_Variation[Breed]=$Z$158)*(Table_SourceData_PastureBeef_FeedIntakeAdjustment_Variation[Season]=$V183), Table_SourceData_PastureBeef_FeedIntakeAdjustment_Variation[Milk intake/production], 0)</f>
        <v>0</v>
      </c>
      <c r="X183" s="25">
        <v>0</v>
      </c>
      <c r="Y183" s="25" cm="1">
        <f t="array" ref="Y183">_xlfn.XLOOKUP(1, (Table_SourceData_PastureBeef_FeedIntakeAdjustment_Variation[Breed]=$Z$158)*(Table_SourceData_PastureBeef_FeedIntakeAdjustment_Variation[Season]=$V183), Table_SourceData_PastureBeef_FeedIntakeAdjustment_Variation[Milk intake/production], 0)</f>
        <v>0</v>
      </c>
      <c r="Z183" s="25">
        <v>0</v>
      </c>
      <c r="AA183" s="25">
        <v>0</v>
      </c>
      <c r="AB183" s="25">
        <v>0</v>
      </c>
      <c r="AC183" s="25" cm="1">
        <f t="array" ref="AC183">_xlfn.XLOOKUP(1, (Table_SourceData_PastureBeef_FeedIntakeAdjustment_Variation[Breed]=$Z$158)*(Table_SourceData_PastureBeef_FeedIntakeAdjustment_Variation[Season]=$V183), Table_SourceData_PastureBeef_FeedIntakeAdjustment_Variation[Milk intake/production], 0)</f>
        <v>0</v>
      </c>
      <c r="AD183" s="25">
        <v>0</v>
      </c>
      <c r="AE183" s="25">
        <v>0</v>
      </c>
      <c r="AF183" s="25">
        <v>0</v>
      </c>
      <c r="AG183" s="26" t="s">
        <v>214</v>
      </c>
    </row>
    <row r="184" spans="4:34" ht="20.100000000000001" customHeight="1" x14ac:dyDescent="0.25">
      <c r="D184" s="107" t="str" cm="1">
        <f t="array" ref="D184:E186">_xlfn.CHOOSECOLS(MMS_PastureBeef_Soil_N2ODirect_Equations.VEERG_4_2_1_3__2_TotalNitrogenExcretedToPastureRangeAndPaddock_Arguments(),1,2)</f>
        <v>N_jkl</v>
      </c>
      <c r="E184" s="108" t="str">
        <v>number of beef cattle by time-period, class and subclass</v>
      </c>
      <c r="F184" s="110"/>
      <c r="G184" s="107" t="str" cm="1">
        <f t="array" ref="G184:H186">_xlfn.CHOOSECOLS(MMS_PastureBeef_Soil_N2ODirect_Equations.VEERG_4_2_1_3__2_TotalNitrogenExcretedToPastureRangeAndPaddock_Arguments(),3,4)</f>
        <v>head</v>
      </c>
      <c r="H184" s="111" t="str">
        <v>Input</v>
      </c>
      <c r="I184" s="113" t="str" cm="1">
        <f t="array" aca="1" ref="I184" ca="1">HYPERLINK(Common_InputFunctions.Utility_SourceHyperlink($D$188), $D$188)</f>
        <v>M1_Table_N_j_k_l</v>
      </c>
      <c r="U184" s="25" t="e">
        <f>TEXT(EDATE('Input - Site'!$E$12,4), "mmmm")</f>
        <v>#VALUE!</v>
      </c>
      <c r="V184" s="25" t="str" cm="1">
        <f t="array" ref="V184">IFERROR(_xlfn.IFS(SUMPRODUCT(ISNUMBER(SEARCH(TRIM(_xlfn.TEXTSPLIT($U$92,",")),U184))*1)&gt;0,"Calving season",SUMPRODUCT(ISNUMBER(SEARCH(TRIM(_xlfn.TEXTSPLIT($U$93,",")),U184))*1)&gt;0,"Season after calving"), "")</f>
        <v/>
      </c>
      <c r="W184" s="25" cm="1">
        <f t="array" ref="W184">_xlfn.XLOOKUP(1, (Table_SourceData_PastureBeef_FeedIntakeAdjustment_Variation[Breed]=$Z$158)*(Table_SourceData_PastureBeef_FeedIntakeAdjustment_Variation[Season]=$V184), Table_SourceData_PastureBeef_FeedIntakeAdjustment_Variation[Milk intake/production], 0)</f>
        <v>0</v>
      </c>
      <c r="X184" s="25">
        <v>0</v>
      </c>
      <c r="Y184" s="25" cm="1">
        <f t="array" ref="Y184">_xlfn.XLOOKUP(1, (Table_SourceData_PastureBeef_FeedIntakeAdjustment_Variation[Breed]=$Z$158)*(Table_SourceData_PastureBeef_FeedIntakeAdjustment_Variation[Season]=$V184), Table_SourceData_PastureBeef_FeedIntakeAdjustment_Variation[Milk intake/production], 0)</f>
        <v>0</v>
      </c>
      <c r="Z184" s="25">
        <v>0</v>
      </c>
      <c r="AA184" s="25">
        <v>0</v>
      </c>
      <c r="AB184" s="25">
        <v>0</v>
      </c>
      <c r="AC184" s="25" cm="1">
        <f t="array" ref="AC184">_xlfn.XLOOKUP(1, (Table_SourceData_PastureBeef_FeedIntakeAdjustment_Variation[Breed]=$Z$158)*(Table_SourceData_PastureBeef_FeedIntakeAdjustment_Variation[Season]=$V184), Table_SourceData_PastureBeef_FeedIntakeAdjustment_Variation[Milk intake/production], 0)</f>
        <v>0</v>
      </c>
      <c r="AD184" s="25">
        <v>0</v>
      </c>
      <c r="AE184" s="25">
        <v>0</v>
      </c>
      <c r="AF184" s="25">
        <v>0</v>
      </c>
      <c r="AG184" s="26" t="s">
        <v>214</v>
      </c>
      <c r="AH184" s="26"/>
    </row>
    <row r="185" spans="4:34" ht="20.100000000000001" customHeight="1" x14ac:dyDescent="0.25">
      <c r="D185" s="107" t="str">
        <v>NE_jkl</v>
      </c>
      <c r="E185" s="108" t="str">
        <v>nitrogen excreted in each time-period, by each class and subclass</v>
      </c>
      <c r="F185" s="110"/>
      <c r="G185" s="107" t="str">
        <v>kg N/head/day</v>
      </c>
      <c r="H185" s="112" t="str">
        <v>Calculated from 4.2.1.3 (3)</v>
      </c>
      <c r="I185" s="113" t="str" cm="1">
        <f t="array" aca="1" ref="I185" ca="1">HYPERLINK(Common_InputFunctions.Utility_SourceHyperlink($D$166), $D$166)</f>
        <v>M1_Table_NE_j_k_l</v>
      </c>
      <c r="U185" s="25" t="e">
        <f>TEXT(EDATE('Input - Site'!$E$12,5), "mmmm")</f>
        <v>#VALUE!</v>
      </c>
      <c r="V185" s="25" t="str" cm="1">
        <f t="array" ref="V185">IFERROR(_xlfn.IFS(SUMPRODUCT(ISNUMBER(SEARCH(TRIM(_xlfn.TEXTSPLIT($U$92,",")),U185))*1)&gt;0,"Calving season",SUMPRODUCT(ISNUMBER(SEARCH(TRIM(_xlfn.TEXTSPLIT($U$93,",")),U185))*1)&gt;0,"Season after calving"), "")</f>
        <v/>
      </c>
      <c r="W185" s="25" cm="1">
        <f t="array" ref="W185">_xlfn.XLOOKUP(1, (Table_SourceData_PastureBeef_FeedIntakeAdjustment_Variation[Breed]=$Z$158)*(Table_SourceData_PastureBeef_FeedIntakeAdjustment_Variation[Season]=$V185), Table_SourceData_PastureBeef_FeedIntakeAdjustment_Variation[Milk intake/production], 0)</f>
        <v>0</v>
      </c>
      <c r="X185" s="25">
        <v>0</v>
      </c>
      <c r="Y185" s="25" cm="1">
        <f t="array" ref="Y185">_xlfn.XLOOKUP(1, (Table_SourceData_PastureBeef_FeedIntakeAdjustment_Variation[Breed]=$Z$158)*(Table_SourceData_PastureBeef_FeedIntakeAdjustment_Variation[Season]=$V185), Table_SourceData_PastureBeef_FeedIntakeAdjustment_Variation[Milk intake/production], 0)</f>
        <v>0</v>
      </c>
      <c r="Z185" s="25">
        <v>0</v>
      </c>
      <c r="AA185" s="25">
        <v>0</v>
      </c>
      <c r="AB185" s="25">
        <v>0</v>
      </c>
      <c r="AC185" s="25" cm="1">
        <f t="array" ref="AC185">_xlfn.XLOOKUP(1, (Table_SourceData_PastureBeef_FeedIntakeAdjustment_Variation[Breed]=$Z$158)*(Table_SourceData_PastureBeef_FeedIntakeAdjustment_Variation[Season]=$V185), Table_SourceData_PastureBeef_FeedIntakeAdjustment_Variation[Milk intake/production], 0)</f>
        <v>0</v>
      </c>
      <c r="AD185" s="25">
        <v>0</v>
      </c>
      <c r="AE185" s="25">
        <v>0</v>
      </c>
      <c r="AF185" s="25">
        <v>0</v>
      </c>
      <c r="AG185" s="26" t="s">
        <v>214</v>
      </c>
      <c r="AH185" s="26"/>
    </row>
    <row r="186" spans="4:34" ht="20.100000000000001" customHeight="1" x14ac:dyDescent="0.25">
      <c r="D186" s="107" t="str">
        <v>D_j</v>
      </c>
      <c r="E186" s="108" t="str">
        <v>number of days in each time-period (days)</v>
      </c>
      <c r="F186" s="110"/>
      <c r="G186" s="107" t="str">
        <v>days</v>
      </c>
      <c r="H186" s="111" t="str">
        <v>Input</v>
      </c>
      <c r="I186" s="113" t="str" cm="1">
        <f t="array" aca="1" ref="I186" ca="1">HYPERLINK(Common_InputFunctions.Utility_SourceHyperlink($D$196), $D$196)</f>
        <v>M1_Table_D_j</v>
      </c>
      <c r="U186" s="25" t="e">
        <f>TEXT(EDATE('Input - Site'!$E$12,6), "mmmm")</f>
        <v>#VALUE!</v>
      </c>
      <c r="V186" s="25" t="str" cm="1">
        <f t="array" ref="V186">IFERROR(_xlfn.IFS(SUMPRODUCT(ISNUMBER(SEARCH(TRIM(_xlfn.TEXTSPLIT($U$92,",")),U186))*1)&gt;0,"Calving season",SUMPRODUCT(ISNUMBER(SEARCH(TRIM(_xlfn.TEXTSPLIT($U$93,",")),U186))*1)&gt;0,"Season after calving"), "")</f>
        <v/>
      </c>
      <c r="W186" s="25" cm="1">
        <f t="array" ref="W186">_xlfn.XLOOKUP(1, (Table_SourceData_PastureBeef_FeedIntakeAdjustment_Variation[Breed]=$Z$158)*(Table_SourceData_PastureBeef_FeedIntakeAdjustment_Variation[Season]=$V186), Table_SourceData_PastureBeef_FeedIntakeAdjustment_Variation[Milk intake/production], 0)</f>
        <v>0</v>
      </c>
      <c r="X186" s="25">
        <v>0</v>
      </c>
      <c r="Y186" s="25" cm="1">
        <f t="array" ref="Y186">_xlfn.XLOOKUP(1, (Table_SourceData_PastureBeef_FeedIntakeAdjustment_Variation[Breed]=$Z$158)*(Table_SourceData_PastureBeef_FeedIntakeAdjustment_Variation[Season]=$V186), Table_SourceData_PastureBeef_FeedIntakeAdjustment_Variation[Milk intake/production], 0)</f>
        <v>0</v>
      </c>
      <c r="Z186" s="25">
        <v>0</v>
      </c>
      <c r="AA186" s="25">
        <v>0</v>
      </c>
      <c r="AB186" s="25">
        <v>0</v>
      </c>
      <c r="AC186" s="25" cm="1">
        <f t="array" ref="AC186">_xlfn.XLOOKUP(1, (Table_SourceData_PastureBeef_FeedIntakeAdjustment_Variation[Breed]=$Z$158)*(Table_SourceData_PastureBeef_FeedIntakeAdjustment_Variation[Season]=$V186), Table_SourceData_PastureBeef_FeedIntakeAdjustment_Variation[Milk intake/production], 0)</f>
        <v>0</v>
      </c>
      <c r="AD186" s="25">
        <v>0</v>
      </c>
      <c r="AE186" s="25">
        <v>0</v>
      </c>
      <c r="AF186" s="25">
        <v>0</v>
      </c>
      <c r="AG186" s="26" t="s">
        <v>214</v>
      </c>
      <c r="AH186" s="26"/>
    </row>
    <row r="187" spans="4:34" ht="20.100000000000001" customHeight="1" x14ac:dyDescent="0.25">
      <c r="U187" s="25" t="e">
        <f>TEXT(EDATE('Input - Site'!$E$12,7), "mmmm")</f>
        <v>#VALUE!</v>
      </c>
      <c r="V187" s="25" t="str" cm="1">
        <f t="array" ref="V187">IFERROR(_xlfn.IFS(SUMPRODUCT(ISNUMBER(SEARCH(TRIM(_xlfn.TEXTSPLIT($U$92,",")),U187))*1)&gt;0,"Calving season",SUMPRODUCT(ISNUMBER(SEARCH(TRIM(_xlfn.TEXTSPLIT($U$93,",")),U187))*1)&gt;0,"Season after calving"), "")</f>
        <v/>
      </c>
      <c r="W187" s="25" cm="1">
        <f t="array" ref="W187">_xlfn.XLOOKUP(1, (Table_SourceData_PastureBeef_FeedIntakeAdjustment_Variation[Breed]=$Z$158)*(Table_SourceData_PastureBeef_FeedIntakeAdjustment_Variation[Season]=$V187), Table_SourceData_PastureBeef_FeedIntakeAdjustment_Variation[Milk intake/production], 0)</f>
        <v>0</v>
      </c>
      <c r="X187" s="25">
        <v>0</v>
      </c>
      <c r="Y187" s="25" cm="1">
        <f t="array" ref="Y187">_xlfn.XLOOKUP(1, (Table_SourceData_PastureBeef_FeedIntakeAdjustment_Variation[Breed]=$Z$158)*(Table_SourceData_PastureBeef_FeedIntakeAdjustment_Variation[Season]=$V187), Table_SourceData_PastureBeef_FeedIntakeAdjustment_Variation[Milk intake/production], 0)</f>
        <v>0</v>
      </c>
      <c r="Z187" s="25">
        <v>0</v>
      </c>
      <c r="AA187" s="25">
        <v>0</v>
      </c>
      <c r="AB187" s="25">
        <v>0</v>
      </c>
      <c r="AC187" s="25" cm="1">
        <f t="array" ref="AC187">_xlfn.XLOOKUP(1, (Table_SourceData_PastureBeef_FeedIntakeAdjustment_Variation[Breed]=$Z$158)*(Table_SourceData_PastureBeef_FeedIntakeAdjustment_Variation[Season]=$V187), Table_SourceData_PastureBeef_FeedIntakeAdjustment_Variation[Milk intake/production], 0)</f>
        <v>0</v>
      </c>
      <c r="AD187" s="25">
        <v>0</v>
      </c>
      <c r="AE187" s="25">
        <v>0</v>
      </c>
      <c r="AF187" s="25">
        <v>0</v>
      </c>
      <c r="AG187" s="26" t="s">
        <v>214</v>
      </c>
      <c r="AH187" s="26"/>
    </row>
    <row r="188" spans="4:34" ht="20.100000000000001" customHeight="1" x14ac:dyDescent="0.25">
      <c r="D188" s="114" t="s">
        <v>290</v>
      </c>
      <c r="U188" s="25" t="e">
        <f>TEXT(EDATE('Input - Site'!$E$12,8), "mmmm")</f>
        <v>#VALUE!</v>
      </c>
      <c r="V188" s="25" t="str" cm="1">
        <f t="array" ref="V188">IFERROR(_xlfn.IFS(SUMPRODUCT(ISNUMBER(SEARCH(TRIM(_xlfn.TEXTSPLIT($U$92,",")),U188))*1)&gt;0,"Calving season",SUMPRODUCT(ISNUMBER(SEARCH(TRIM(_xlfn.TEXTSPLIT($U$93,",")),U188))*1)&gt;0,"Season after calving"), "")</f>
        <v/>
      </c>
      <c r="W188" s="25" cm="1">
        <f t="array" ref="W188">_xlfn.XLOOKUP(1, (Table_SourceData_PastureBeef_FeedIntakeAdjustment_Variation[Breed]=$Z$158)*(Table_SourceData_PastureBeef_FeedIntakeAdjustment_Variation[Season]=$V188), Table_SourceData_PastureBeef_FeedIntakeAdjustment_Variation[Milk intake/production], 0)</f>
        <v>0</v>
      </c>
      <c r="X188" s="25">
        <v>0</v>
      </c>
      <c r="Y188" s="25" cm="1">
        <f t="array" ref="Y188">_xlfn.XLOOKUP(1, (Table_SourceData_PastureBeef_FeedIntakeAdjustment_Variation[Breed]=$Z$158)*(Table_SourceData_PastureBeef_FeedIntakeAdjustment_Variation[Season]=$V188), Table_SourceData_PastureBeef_FeedIntakeAdjustment_Variation[Milk intake/production], 0)</f>
        <v>0</v>
      </c>
      <c r="Z188" s="25">
        <v>0</v>
      </c>
      <c r="AA188" s="25">
        <v>0</v>
      </c>
      <c r="AB188" s="25">
        <v>0</v>
      </c>
      <c r="AC188" s="25" cm="1">
        <f t="array" ref="AC188">_xlfn.XLOOKUP(1, (Table_SourceData_PastureBeef_FeedIntakeAdjustment_Variation[Breed]=$Z$158)*(Table_SourceData_PastureBeef_FeedIntakeAdjustment_Variation[Season]=$V188), Table_SourceData_PastureBeef_FeedIntakeAdjustment_Variation[Milk intake/production], 0)</f>
        <v>0</v>
      </c>
      <c r="AD188" s="25">
        <v>0</v>
      </c>
      <c r="AE188" s="25">
        <v>0</v>
      </c>
      <c r="AF188" s="25">
        <v>0</v>
      </c>
      <c r="AG188" s="26" t="s">
        <v>214</v>
      </c>
    </row>
    <row r="189" spans="4:34" ht="20.100000000000001" customHeight="1" x14ac:dyDescent="0.25">
      <c r="D189" s="115" t="s">
        <v>291</v>
      </c>
      <c r="U189" s="25" t="e">
        <f>TEXT(EDATE('Input - Site'!$E$12,9), "mmmm")</f>
        <v>#VALUE!</v>
      </c>
      <c r="V189" s="25" t="str" cm="1">
        <f t="array" ref="V189">IFERROR(_xlfn.IFS(SUMPRODUCT(ISNUMBER(SEARCH(TRIM(_xlfn.TEXTSPLIT($U$92,",")),U189))*1)&gt;0,"Calving season",SUMPRODUCT(ISNUMBER(SEARCH(TRIM(_xlfn.TEXTSPLIT($U$93,",")),U189))*1)&gt;0,"Season after calving"), "")</f>
        <v/>
      </c>
      <c r="W189" s="25" cm="1">
        <f t="array" ref="W189">_xlfn.XLOOKUP(1, (Table_SourceData_PastureBeef_FeedIntakeAdjustment_Variation[Breed]=$Z$158)*(Table_SourceData_PastureBeef_FeedIntakeAdjustment_Variation[Season]=$V189), Table_SourceData_PastureBeef_FeedIntakeAdjustment_Variation[Milk intake/production], 0)</f>
        <v>0</v>
      </c>
      <c r="X189" s="25">
        <v>0</v>
      </c>
      <c r="Y189" s="25" cm="1">
        <f t="array" ref="Y189">_xlfn.XLOOKUP(1, (Table_SourceData_PastureBeef_FeedIntakeAdjustment_Variation[Breed]=$Z$158)*(Table_SourceData_PastureBeef_FeedIntakeAdjustment_Variation[Season]=$V189), Table_SourceData_PastureBeef_FeedIntakeAdjustment_Variation[Milk intake/production], 0)</f>
        <v>0</v>
      </c>
      <c r="Z189" s="25">
        <v>0</v>
      </c>
      <c r="AA189" s="25">
        <v>0</v>
      </c>
      <c r="AB189" s="25">
        <v>0</v>
      </c>
      <c r="AC189" s="25" cm="1">
        <f t="array" ref="AC189">_xlfn.XLOOKUP(1, (Table_SourceData_PastureBeef_FeedIntakeAdjustment_Variation[Breed]=$Z$158)*(Table_SourceData_PastureBeef_FeedIntakeAdjustment_Variation[Season]=$V189), Table_SourceData_PastureBeef_FeedIntakeAdjustment_Variation[Milk intake/production], 0)</f>
        <v>0</v>
      </c>
      <c r="AD189" s="25">
        <v>0</v>
      </c>
      <c r="AE189" s="25">
        <v>0</v>
      </c>
      <c r="AF189" s="25">
        <v>0</v>
      </c>
      <c r="AG189" s="26" t="s">
        <v>214</v>
      </c>
    </row>
    <row r="190" spans="4:34" ht="20.100000000000001" customHeight="1" x14ac:dyDescent="0.25">
      <c r="D190" s="116" t="s">
        <v>78</v>
      </c>
      <c r="E190" s="117" t="s">
        <v>193</v>
      </c>
      <c r="F190" s="117" t="s">
        <v>194</v>
      </c>
      <c r="G190" s="117" t="s">
        <v>195</v>
      </c>
      <c r="H190" s="117" t="s">
        <v>196</v>
      </c>
      <c r="I190" s="117" t="s">
        <v>197</v>
      </c>
      <c r="J190" s="117" t="s">
        <v>198</v>
      </c>
      <c r="K190" s="117" t="s">
        <v>199</v>
      </c>
      <c r="L190" s="117" t="s">
        <v>200</v>
      </c>
      <c r="M190" s="117" t="s">
        <v>201</v>
      </c>
      <c r="N190" s="117" t="s">
        <v>202</v>
      </c>
      <c r="U190" s="25" t="e">
        <f>TEXT(EDATE('Input - Site'!$E$12,10), "mmmm")</f>
        <v>#VALUE!</v>
      </c>
      <c r="V190" s="25" t="str" cm="1">
        <f t="array" ref="V190">IFERROR(_xlfn.IFS(SUMPRODUCT(ISNUMBER(SEARCH(TRIM(_xlfn.TEXTSPLIT($U$92,",")),U190))*1)&gt;0,"Calving season",SUMPRODUCT(ISNUMBER(SEARCH(TRIM(_xlfn.TEXTSPLIT($U$93,",")),U190))*1)&gt;0,"Season after calving"), "")</f>
        <v/>
      </c>
      <c r="W190" s="25" cm="1">
        <f t="array" ref="W190">_xlfn.XLOOKUP(1, (Table_SourceData_PastureBeef_FeedIntakeAdjustment_Variation[Breed]=$Z$158)*(Table_SourceData_PastureBeef_FeedIntakeAdjustment_Variation[Season]=$V190), Table_SourceData_PastureBeef_FeedIntakeAdjustment_Variation[Milk intake/production], 0)</f>
        <v>0</v>
      </c>
      <c r="X190" s="25">
        <v>0</v>
      </c>
      <c r="Y190" s="25" cm="1">
        <f t="array" ref="Y190">_xlfn.XLOOKUP(1, (Table_SourceData_PastureBeef_FeedIntakeAdjustment_Variation[Breed]=$Z$158)*(Table_SourceData_PastureBeef_FeedIntakeAdjustment_Variation[Season]=$V190), Table_SourceData_PastureBeef_FeedIntakeAdjustment_Variation[Milk intake/production], 0)</f>
        <v>0</v>
      </c>
      <c r="Z190" s="25">
        <v>0</v>
      </c>
      <c r="AA190" s="25">
        <v>0</v>
      </c>
      <c r="AB190" s="25">
        <v>0</v>
      </c>
      <c r="AC190" s="25" cm="1">
        <f t="array" ref="AC190">_xlfn.XLOOKUP(1, (Table_SourceData_PastureBeef_FeedIntakeAdjustment_Variation[Breed]=$Z$158)*(Table_SourceData_PastureBeef_FeedIntakeAdjustment_Variation[Season]=$V190), Table_SourceData_PastureBeef_FeedIntakeAdjustment_Variation[Milk intake/production], 0)</f>
        <v>0</v>
      </c>
      <c r="AD190" s="25">
        <v>0</v>
      </c>
      <c r="AE190" s="25">
        <v>0</v>
      </c>
      <c r="AF190" s="25">
        <v>0</v>
      </c>
      <c r="AG190" s="26" t="s">
        <v>214</v>
      </c>
    </row>
    <row r="191" spans="4:34" ht="20.100000000000001" customHeight="1" x14ac:dyDescent="0.25">
      <c r="D191" s="25" t="s">
        <v>203</v>
      </c>
      <c r="E191" s="25" cm="1">
        <f t="array" aca="1" ref="E191:N194" ca="1">OFFSET(X_Table_PastureBeef_Head_Method1, 1,1, 4,10)</f>
        <v>100</v>
      </c>
      <c r="F191" s="25">
        <f ca="1"/>
        <v>100</v>
      </c>
      <c r="G191" s="25">
        <f ca="1"/>
        <v>100</v>
      </c>
      <c r="H191" s="25">
        <f ca="1"/>
        <v>100</v>
      </c>
      <c r="I191" s="25">
        <f ca="1"/>
        <v>100</v>
      </c>
      <c r="J191" s="25">
        <f ca="1"/>
        <v>100</v>
      </c>
      <c r="K191" s="25">
        <f ca="1"/>
        <v>100</v>
      </c>
      <c r="L191" s="25">
        <f ca="1"/>
        <v>100</v>
      </c>
      <c r="M191" s="25">
        <f ca="1"/>
        <v>100</v>
      </c>
      <c r="N191" s="25">
        <f ca="1"/>
        <v>100</v>
      </c>
      <c r="O191" s="26" t="s">
        <v>417</v>
      </c>
      <c r="U191" s="25" t="e">
        <f>TEXT(EDATE('Input - Site'!$E$12,11), "mmmm")</f>
        <v>#VALUE!</v>
      </c>
      <c r="V191" s="25" t="str" cm="1">
        <f t="array" ref="V191">IFERROR(_xlfn.IFS(SUMPRODUCT(ISNUMBER(SEARCH(TRIM(_xlfn.TEXTSPLIT($U$92,",")),U191))*1)&gt;0,"Calving season",SUMPRODUCT(ISNUMBER(SEARCH(TRIM(_xlfn.TEXTSPLIT($U$93,",")),U191))*1)&gt;0,"Season after calving"), "")</f>
        <v/>
      </c>
      <c r="W191" s="25" cm="1">
        <f t="array" ref="W191">_xlfn.XLOOKUP(1, (Table_SourceData_PastureBeef_FeedIntakeAdjustment_Variation[Breed]=$Z$158)*(Table_SourceData_PastureBeef_FeedIntakeAdjustment_Variation[Season]=$V191), Table_SourceData_PastureBeef_FeedIntakeAdjustment_Variation[Milk intake/production], 0)</f>
        <v>0</v>
      </c>
      <c r="X191" s="25">
        <v>0</v>
      </c>
      <c r="Y191" s="25" cm="1">
        <f t="array" ref="Y191">_xlfn.XLOOKUP(1, (Table_SourceData_PastureBeef_FeedIntakeAdjustment_Variation[Breed]=$Z$158)*(Table_SourceData_PastureBeef_FeedIntakeAdjustment_Variation[Season]=$V191), Table_SourceData_PastureBeef_FeedIntakeAdjustment_Variation[Milk intake/production], 0)</f>
        <v>0</v>
      </c>
      <c r="Z191" s="25">
        <v>0</v>
      </c>
      <c r="AA191" s="25">
        <v>0</v>
      </c>
      <c r="AB191" s="25">
        <v>0</v>
      </c>
      <c r="AC191" s="25" cm="1">
        <f t="array" ref="AC191">_xlfn.XLOOKUP(1, (Table_SourceData_PastureBeef_FeedIntakeAdjustment_Variation[Breed]=$Z$158)*(Table_SourceData_PastureBeef_FeedIntakeAdjustment_Variation[Season]=$V191), Table_SourceData_PastureBeef_FeedIntakeAdjustment_Variation[Milk intake/production], 0)</f>
        <v>0</v>
      </c>
      <c r="AD191" s="25">
        <v>0</v>
      </c>
      <c r="AE191" s="25">
        <v>0</v>
      </c>
      <c r="AF191" s="25">
        <v>0</v>
      </c>
      <c r="AG191" s="26" t="s">
        <v>214</v>
      </c>
    </row>
    <row r="192" spans="4:34" ht="20.100000000000001" customHeight="1" x14ac:dyDescent="0.25">
      <c r="D192" s="25" t="s">
        <v>204</v>
      </c>
      <c r="E192" s="25">
        <f ca="1"/>
        <v>100</v>
      </c>
      <c r="F192" s="25">
        <f ca="1"/>
        <v>100</v>
      </c>
      <c r="G192" s="25">
        <f ca="1"/>
        <v>100</v>
      </c>
      <c r="H192" s="25">
        <f ca="1"/>
        <v>100</v>
      </c>
      <c r="I192" s="25">
        <f ca="1"/>
        <v>100</v>
      </c>
      <c r="J192" s="25">
        <f ca="1"/>
        <v>100</v>
      </c>
      <c r="K192" s="25">
        <f ca="1"/>
        <v>100</v>
      </c>
      <c r="L192" s="25">
        <f ca="1"/>
        <v>100</v>
      </c>
      <c r="M192" s="25">
        <f ca="1"/>
        <v>100</v>
      </c>
      <c r="N192" s="25">
        <f ca="1"/>
        <v>100</v>
      </c>
      <c r="O192" s="26" t="s">
        <v>417</v>
      </c>
    </row>
    <row r="193" spans="4:34" ht="20.100000000000001" customHeight="1" x14ac:dyDescent="0.25">
      <c r="D193" s="25" t="s">
        <v>205</v>
      </c>
      <c r="E193" s="25">
        <f ca="1"/>
        <v>100</v>
      </c>
      <c r="F193" s="25">
        <f ca="1"/>
        <v>100</v>
      </c>
      <c r="G193" s="25">
        <f ca="1"/>
        <v>100</v>
      </c>
      <c r="H193" s="25">
        <f ca="1"/>
        <v>100</v>
      </c>
      <c r="I193" s="25">
        <f ca="1"/>
        <v>100</v>
      </c>
      <c r="J193" s="25">
        <f ca="1"/>
        <v>100</v>
      </c>
      <c r="K193" s="25">
        <f ca="1"/>
        <v>100</v>
      </c>
      <c r="L193" s="25">
        <f ca="1"/>
        <v>100</v>
      </c>
      <c r="M193" s="25">
        <f ca="1"/>
        <v>100</v>
      </c>
      <c r="N193" s="25">
        <f ca="1"/>
        <v>100</v>
      </c>
      <c r="O193" s="26" t="s">
        <v>417</v>
      </c>
      <c r="U193" s="114" t="s">
        <v>454</v>
      </c>
    </row>
    <row r="194" spans="4:34" ht="20.100000000000001" customHeight="1" x14ac:dyDescent="0.25">
      <c r="D194" s="25" t="s">
        <v>206</v>
      </c>
      <c r="E194" s="25">
        <f ca="1"/>
        <v>100</v>
      </c>
      <c r="F194" s="25">
        <f ca="1"/>
        <v>100</v>
      </c>
      <c r="G194" s="25">
        <f ca="1"/>
        <v>100</v>
      </c>
      <c r="H194" s="25">
        <f ca="1"/>
        <v>100</v>
      </c>
      <c r="I194" s="25">
        <f ca="1"/>
        <v>100</v>
      </c>
      <c r="J194" s="25">
        <f ca="1"/>
        <v>100</v>
      </c>
      <c r="K194" s="25">
        <f ca="1"/>
        <v>100</v>
      </c>
      <c r="L194" s="25">
        <f ca="1"/>
        <v>100</v>
      </c>
      <c r="M194" s="25">
        <f ca="1"/>
        <v>100</v>
      </c>
      <c r="N194" s="25">
        <f ca="1"/>
        <v>100</v>
      </c>
      <c r="O194" s="26" t="s">
        <v>417</v>
      </c>
      <c r="U194" s="115" t="s">
        <v>455</v>
      </c>
    </row>
    <row r="195" spans="4:34" ht="20.100000000000001" customHeight="1" x14ac:dyDescent="0.25">
      <c r="U195" s="116" t="s">
        <v>77</v>
      </c>
      <c r="V195" s="116" t="s">
        <v>193</v>
      </c>
      <c r="W195" s="116" t="s">
        <v>194</v>
      </c>
      <c r="X195" s="116" t="s">
        <v>195</v>
      </c>
      <c r="Y195" s="116" t="s">
        <v>196</v>
      </c>
      <c r="Z195" s="116" t="s">
        <v>197</v>
      </c>
      <c r="AA195" s="116" t="s">
        <v>198</v>
      </c>
      <c r="AB195" s="116" t="s">
        <v>199</v>
      </c>
      <c r="AC195" s="116" t="s">
        <v>200</v>
      </c>
      <c r="AD195" s="116" t="s">
        <v>201</v>
      </c>
      <c r="AE195" s="116" t="s">
        <v>202</v>
      </c>
    </row>
    <row r="196" spans="4:34" ht="20.100000000000001" customHeight="1" x14ac:dyDescent="0.25">
      <c r="D196" s="114" t="s">
        <v>292</v>
      </c>
      <c r="U196" s="25" t="str">
        <f>TEXT('Input - Site'!$E$12, "mmmm yyyy")</f>
        <v>NO - Not in leaching zone</v>
      </c>
      <c r="V196" s="25" cm="1">
        <f t="array" aca="1" ref="V196" ca="1">MMS_PastureBeef_Soil_N2ODirect_Equations.VEERG_4_2_1_3__3_NitrogenExcreted(V56,V164,W180,V136,V20)</f>
        <v>9.3275223802458812E-2</v>
      </c>
      <c r="W196" s="25" cm="1">
        <f t="array" aca="1" ref="W196" ca="1">MMS_PastureBeef_Soil_N2ODirect_Equations.VEERG_4_2_1_3__3_NitrogenExcreted(W56,W164,X180,W136,W20)</f>
        <v>0.13601872675007995</v>
      </c>
      <c r="X196" s="25" cm="1">
        <f t="array" aca="1" ref="X196" ca="1">MMS_PastureBeef_Soil_N2ODirect_Equations.VEERG_4_2_1_3__3_NitrogenExcreted(X56,X164,Y180,X136,X20)</f>
        <v>7.7811027960341214E-2</v>
      </c>
      <c r="Y196" s="25" cm="1">
        <f t="array" aca="1" ref="Y196" ca="1">MMS_PastureBeef_Soil_N2ODirect_Equations.VEERG_4_2_1_3__3_NitrogenExcreted(Y56,Y164,Z180,Y136,Y20)</f>
        <v>0.10758035881234858</v>
      </c>
      <c r="Z196" s="25" cm="1">
        <f t="array" aca="1" ref="Z196" ca="1">MMS_PastureBeef_Soil_N2ODirect_Equations.VEERG_4_2_1_3__3_NitrogenExcreted(Z56,Z164,AA180,Z136,Z20)</f>
        <v>0.11276190880086426</v>
      </c>
      <c r="AA196" s="25" cm="1">
        <f t="array" aca="1" ref="AA196" ca="1">MMS_PastureBeef_Soil_N2ODirect_Equations.VEERG_4_2_1_3__3_NitrogenExcreted(AA56,AA164,AB180,AA136,AA20)</f>
        <v>0.11276190880086426</v>
      </c>
      <c r="AB196" s="25" cm="1">
        <f t="array" aca="1" ref="AB196" ca="1">MMS_PastureBeef_Soil_N2ODirect_Equations.VEERG_4_2_1_3__3_NitrogenExcreted(AB56,AB164,AC180,AB136,AB20)</f>
        <v>8.562550571362422E-2</v>
      </c>
      <c r="AC196" s="25" cm="1">
        <f t="array" aca="1" ref="AC196" ca="1">MMS_PastureBeef_Soil_N2ODirect_Equations.VEERG_4_2_1_3__3_NitrogenExcreted(AC56,AC164,AD180,AC136,AC20)</f>
        <v>0.1054491491748196</v>
      </c>
      <c r="AD196" s="25" cm="1">
        <f t="array" aca="1" ref="AD196" ca="1">MMS_PastureBeef_Soil_N2ODirect_Equations.VEERG_4_2_1_3__3_NitrogenExcreted(AD56,AD164,AE180,AD136,AD20)</f>
        <v>0.1054491491748196</v>
      </c>
      <c r="AE196" s="25" cm="1">
        <f t="array" aca="1" ref="AE196" ca="1">MMS_PastureBeef_Soil_N2ODirect_Equations.VEERG_4_2_1_3__3_NitrogenExcreted(AE56,AE164,AF180,AE136,AE20)</f>
        <v>0.1054491491748196</v>
      </c>
      <c r="AF196" s="26" t="str">
        <f t="shared" ref="AF196:AF207" si="9">$E$140</f>
        <v>kg N/head/day</v>
      </c>
      <c r="AG196" s="26"/>
      <c r="AH196" s="26"/>
    </row>
    <row r="197" spans="4:34" ht="20.100000000000001" customHeight="1" x14ac:dyDescent="0.25">
      <c r="D197" s="115" t="s">
        <v>293</v>
      </c>
      <c r="U197" s="25" t="e">
        <f>TEXT(EDATE('Input - Site'!$E$12,1), "mmmm yyyy")</f>
        <v>#VALUE!</v>
      </c>
      <c r="V197" s="25" cm="1">
        <f t="array" aca="1" ref="V197" ca="1">MMS_PastureBeef_Soil_N2ODirect_Equations.VEERG_4_2_1_3__3_NitrogenExcreted(V57,V165,W181,V137,V21)</f>
        <v>9.3275223802458812E-2</v>
      </c>
      <c r="W197" s="25" cm="1">
        <f t="array" aca="1" ref="W197" ca="1">MMS_PastureBeef_Soil_N2ODirect_Equations.VEERG_4_2_1_3__3_NitrogenExcreted(W57,W165,X181,W137,W21)</f>
        <v>0.13601872675007995</v>
      </c>
      <c r="X197" s="25" cm="1">
        <f t="array" aca="1" ref="X197" ca="1">MMS_PastureBeef_Soil_N2ODirect_Equations.VEERG_4_2_1_3__3_NitrogenExcreted(X57,X165,Y181,X137,X21)</f>
        <v>7.7811027960341214E-2</v>
      </c>
      <c r="Y197" s="25" cm="1">
        <f t="array" aca="1" ref="Y197" ca="1">MMS_PastureBeef_Soil_N2ODirect_Equations.VEERG_4_2_1_3__3_NitrogenExcreted(Y57,Y165,Z181,Y137,Y21)</f>
        <v>0.10758035881234858</v>
      </c>
      <c r="Z197" s="25" cm="1">
        <f t="array" aca="1" ref="Z197" ca="1">MMS_PastureBeef_Soil_N2ODirect_Equations.VEERG_4_2_1_3__3_NitrogenExcreted(Z57,Z165,AA181,Z137,Z21)</f>
        <v>0.11276190880086426</v>
      </c>
      <c r="AA197" s="25" cm="1">
        <f t="array" aca="1" ref="AA197" ca="1">MMS_PastureBeef_Soil_N2ODirect_Equations.VEERG_4_2_1_3__3_NitrogenExcreted(AA57,AA165,AB181,AA137,AA21)</f>
        <v>0.11276190880086426</v>
      </c>
      <c r="AB197" s="25" cm="1">
        <f t="array" aca="1" ref="AB197" ca="1">MMS_PastureBeef_Soil_N2ODirect_Equations.VEERG_4_2_1_3__3_NitrogenExcreted(AB57,AB165,AC181,AB137,AB21)</f>
        <v>8.562550571362422E-2</v>
      </c>
      <c r="AC197" s="25" cm="1">
        <f t="array" aca="1" ref="AC197" ca="1">MMS_PastureBeef_Soil_N2ODirect_Equations.VEERG_4_2_1_3__3_NitrogenExcreted(AC57,AC165,AD181,AC137,AC21)</f>
        <v>0.1054491491748196</v>
      </c>
      <c r="AD197" s="25" cm="1">
        <f t="array" aca="1" ref="AD197" ca="1">MMS_PastureBeef_Soil_N2ODirect_Equations.VEERG_4_2_1_3__3_NitrogenExcreted(AD57,AD165,AE181,AD137,AD21)</f>
        <v>0.1054491491748196</v>
      </c>
      <c r="AE197" s="25" cm="1">
        <f t="array" aca="1" ref="AE197" ca="1">MMS_PastureBeef_Soil_N2ODirect_Equations.VEERG_4_2_1_3__3_NitrogenExcreted(AE57,AE165,AF181,AE137,AE21)</f>
        <v>0.1054491491748196</v>
      </c>
      <c r="AF197" s="26" t="str">
        <f t="shared" si="9"/>
        <v>kg N/head/day</v>
      </c>
      <c r="AG197" s="26"/>
      <c r="AH197" s="26"/>
    </row>
    <row r="198" spans="4:34" ht="20.100000000000001" customHeight="1" x14ac:dyDescent="0.25">
      <c r="D198" s="116" t="s">
        <v>78</v>
      </c>
      <c r="E198" s="117" t="s">
        <v>193</v>
      </c>
      <c r="F198" s="117" t="s">
        <v>194</v>
      </c>
      <c r="G198" s="117" t="s">
        <v>195</v>
      </c>
      <c r="H198" s="117" t="s">
        <v>196</v>
      </c>
      <c r="I198" s="117" t="s">
        <v>197</v>
      </c>
      <c r="J198" s="117" t="s">
        <v>198</v>
      </c>
      <c r="K198" s="117" t="s">
        <v>199</v>
      </c>
      <c r="L198" s="117" t="s">
        <v>200</v>
      </c>
      <c r="M198" s="117" t="s">
        <v>201</v>
      </c>
      <c r="N198" s="117" t="s">
        <v>202</v>
      </c>
      <c r="U198" s="25" t="e">
        <f>TEXT(EDATE('Input - Site'!$E$12,2), "mmmm yyyy")</f>
        <v>#VALUE!</v>
      </c>
      <c r="V198" s="25" cm="1">
        <f t="array" aca="1" ref="V198" ca="1">MMS_PastureBeef_Soil_N2ODirect_Equations.VEERG_4_2_1_3__3_NitrogenExcreted(V58,V166,W182,V138,V22)</f>
        <v>1.3490587405558481E-2</v>
      </c>
      <c r="W198" s="25" cm="1">
        <f t="array" aca="1" ref="W198" ca="1">MMS_PastureBeef_Soil_N2ODirect_Equations.VEERG_4_2_1_3__3_NitrogenExcreted(W58,W166,X182,W138,W22)</f>
        <v>8.8133023634157495E-2</v>
      </c>
      <c r="X198" s="25" cm="1">
        <f t="array" aca="1" ref="X198" ca="1">MMS_PastureBeef_Soil_N2ODirect_Equations.VEERG_4_2_1_3__3_NitrogenExcreted(X58,X166,Y182,X138,X22)</f>
        <v>1.1001898802853755E-2</v>
      </c>
      <c r="Y198" s="25" cm="1">
        <f t="array" aca="1" ref="Y198" ca="1">MMS_PastureBeef_Soil_N2ODirect_Equations.VEERG_4_2_1_3__3_NitrogenExcreted(Y58,Y166,Z182,Y138,Y22)</f>
        <v>5.2330323088884703E-2</v>
      </c>
      <c r="Z198" s="25" cm="1">
        <f t="array" aca="1" ref="Z198" ca="1">MMS_PastureBeef_Soil_N2ODirect_Equations.VEERG_4_2_1_3__3_NitrogenExcreted(Z58,Z166,AA182,Z138,Z22)</f>
        <v>6.9185083188389812E-2</v>
      </c>
      <c r="AA198" s="25" cm="1">
        <f t="array" aca="1" ref="AA198" ca="1">MMS_PastureBeef_Soil_N2ODirect_Equations.VEERG_4_2_1_3__3_NitrogenExcreted(AA58,AA166,AB182,AA138,AA22)</f>
        <v>6.9185083188389812E-2</v>
      </c>
      <c r="AB198" s="25" cm="1">
        <f t="array" aca="1" ref="AB198" ca="1">MMS_PastureBeef_Soil_N2ODirect_Equations.VEERG_4_2_1_3__3_NitrogenExcreted(AB58,AB166,AC182,AB138,AB22)</f>
        <v>1.3731587835013218E-2</v>
      </c>
      <c r="AC198" s="25" cm="1">
        <f t="array" aca="1" ref="AC198" ca="1">MMS_PastureBeef_Soil_N2ODirect_Equations.VEERG_4_2_1_3__3_NitrogenExcreted(AC58,AC166,AD182,AC138,AC22)</f>
        <v>5.520208336562428E-2</v>
      </c>
      <c r="AD198" s="25" cm="1">
        <f t="array" aca="1" ref="AD198" ca="1">MMS_PastureBeef_Soil_N2ODirect_Equations.VEERG_4_2_1_3__3_NitrogenExcreted(AD58,AD166,AE182,AD138,AD22)</f>
        <v>5.520208336562428E-2</v>
      </c>
      <c r="AE198" s="25" cm="1">
        <f t="array" aca="1" ref="AE198" ca="1">MMS_PastureBeef_Soil_N2ODirect_Equations.VEERG_4_2_1_3__3_NitrogenExcreted(AE58,AE166,AF182,AE138,AE22)</f>
        <v>5.520208336562428E-2</v>
      </c>
      <c r="AF198" s="26" t="str">
        <f t="shared" si="9"/>
        <v>kg N/head/day</v>
      </c>
      <c r="AG198" s="26"/>
      <c r="AH198" s="26"/>
    </row>
    <row r="199" spans="4:34" ht="20.100000000000001" customHeight="1" x14ac:dyDescent="0.25">
      <c r="D199" s="25" t="s">
        <v>203</v>
      </c>
      <c r="E199" s="25" cm="1">
        <f t="array" aca="1" ref="E199:N202" ca="1">OFFSET(X_Table_PastureBeef_Duration_Method1, 1,1, 4,10)</f>
        <v>91.25</v>
      </c>
      <c r="F199" s="25">
        <f ca="1"/>
        <v>91.25</v>
      </c>
      <c r="G199" s="25">
        <f ca="1"/>
        <v>91.25</v>
      </c>
      <c r="H199" s="25">
        <f ca="1"/>
        <v>91.25</v>
      </c>
      <c r="I199" s="25">
        <f ca="1"/>
        <v>91.25</v>
      </c>
      <c r="J199" s="25">
        <f ca="1"/>
        <v>91.25</v>
      </c>
      <c r="K199" s="25">
        <f ca="1"/>
        <v>91.25</v>
      </c>
      <c r="L199" s="25">
        <f ca="1"/>
        <v>91.25</v>
      </c>
      <c r="M199" s="25">
        <f ca="1"/>
        <v>91.25</v>
      </c>
      <c r="N199" s="25">
        <f ca="1"/>
        <v>91.25</v>
      </c>
      <c r="O199" s="26" t="s">
        <v>418</v>
      </c>
      <c r="U199" s="25" t="e">
        <f>TEXT(EDATE('Input - Site'!$E$12,3), "mmmm yyyy")</f>
        <v>#VALUE!</v>
      </c>
      <c r="V199" s="25" cm="1">
        <f t="array" aca="1" ref="V199" ca="1">MMS_PastureBeef_Soil_N2ODirect_Equations.VEERG_4_2_1_3__3_NitrogenExcreted(V59,V167,W183,V139,V23)</f>
        <v>1.3490587405558481E-2</v>
      </c>
      <c r="W199" s="25" cm="1">
        <f t="array" aca="1" ref="W199" ca="1">MMS_PastureBeef_Soil_N2ODirect_Equations.VEERG_4_2_1_3__3_NitrogenExcreted(W59,W167,X183,W139,W23)</f>
        <v>8.8133023634157495E-2</v>
      </c>
      <c r="X199" s="25" cm="1">
        <f t="array" aca="1" ref="X199" ca="1">MMS_PastureBeef_Soil_N2ODirect_Equations.VEERG_4_2_1_3__3_NitrogenExcreted(X59,X167,Y183,X139,X23)</f>
        <v>1.1001898802853755E-2</v>
      </c>
      <c r="Y199" s="25" cm="1">
        <f t="array" aca="1" ref="Y199" ca="1">MMS_PastureBeef_Soil_N2ODirect_Equations.VEERG_4_2_1_3__3_NitrogenExcreted(Y59,Y167,Z183,Y139,Y23)</f>
        <v>5.2330323088884703E-2</v>
      </c>
      <c r="Z199" s="25" cm="1">
        <f t="array" aca="1" ref="Z199" ca="1">MMS_PastureBeef_Soil_N2ODirect_Equations.VEERG_4_2_1_3__3_NitrogenExcreted(Z59,Z167,AA183,Z139,Z23)</f>
        <v>6.9185083188389812E-2</v>
      </c>
      <c r="AA199" s="25" cm="1">
        <f t="array" aca="1" ref="AA199" ca="1">MMS_PastureBeef_Soil_N2ODirect_Equations.VEERG_4_2_1_3__3_NitrogenExcreted(AA59,AA167,AB183,AA139,AA23)</f>
        <v>6.9185083188389812E-2</v>
      </c>
      <c r="AB199" s="25" cm="1">
        <f t="array" aca="1" ref="AB199" ca="1">MMS_PastureBeef_Soil_N2ODirect_Equations.VEERG_4_2_1_3__3_NitrogenExcreted(AB59,AB167,AC183,AB139,AB23)</f>
        <v>1.3731587835013218E-2</v>
      </c>
      <c r="AC199" s="25" cm="1">
        <f t="array" aca="1" ref="AC199" ca="1">MMS_PastureBeef_Soil_N2ODirect_Equations.VEERG_4_2_1_3__3_NitrogenExcreted(AC59,AC167,AD183,AC139,AC23)</f>
        <v>5.520208336562428E-2</v>
      </c>
      <c r="AD199" s="25" cm="1">
        <f t="array" aca="1" ref="AD199" ca="1">MMS_PastureBeef_Soil_N2ODirect_Equations.VEERG_4_2_1_3__3_NitrogenExcreted(AD59,AD167,AE183,AD139,AD23)</f>
        <v>5.520208336562428E-2</v>
      </c>
      <c r="AE199" s="25" cm="1">
        <f t="array" aca="1" ref="AE199" ca="1">MMS_PastureBeef_Soil_N2ODirect_Equations.VEERG_4_2_1_3__3_NitrogenExcreted(AE59,AE167,AF183,AE139,AE23)</f>
        <v>5.520208336562428E-2</v>
      </c>
      <c r="AF199" s="26" t="str">
        <f t="shared" si="9"/>
        <v>kg N/head/day</v>
      </c>
      <c r="AG199" s="26"/>
      <c r="AH199" s="26"/>
    </row>
    <row r="200" spans="4:34" ht="20.100000000000001" customHeight="1" x14ac:dyDescent="0.25">
      <c r="D200" s="25" t="s">
        <v>204</v>
      </c>
      <c r="E200" s="25">
        <f ca="1"/>
        <v>91.25</v>
      </c>
      <c r="F200" s="25">
        <f ca="1"/>
        <v>91.25</v>
      </c>
      <c r="G200" s="25">
        <f ca="1"/>
        <v>91.25</v>
      </c>
      <c r="H200" s="25">
        <f ca="1"/>
        <v>91.25</v>
      </c>
      <c r="I200" s="25">
        <f ca="1"/>
        <v>91.25</v>
      </c>
      <c r="J200" s="25">
        <f ca="1"/>
        <v>91.25</v>
      </c>
      <c r="K200" s="25">
        <f ca="1"/>
        <v>91.25</v>
      </c>
      <c r="L200" s="25">
        <f ca="1"/>
        <v>91.25</v>
      </c>
      <c r="M200" s="25">
        <f ca="1"/>
        <v>91.25</v>
      </c>
      <c r="N200" s="25">
        <f ca="1"/>
        <v>91.25</v>
      </c>
      <c r="O200" s="26" t="s">
        <v>418</v>
      </c>
      <c r="U200" s="25" t="e">
        <f>TEXT(EDATE('Input - Site'!$E$12,4), "mmmm yyyy")</f>
        <v>#VALUE!</v>
      </c>
      <c r="V200" s="25" cm="1">
        <f t="array" aca="1" ref="V200" ca="1">MMS_PastureBeef_Soil_N2ODirect_Equations.VEERG_4_2_1_3__3_NitrogenExcreted(V60,V168,W184,V140,V24)</f>
        <v>1.3490587405558481E-2</v>
      </c>
      <c r="W200" s="25" cm="1">
        <f t="array" aca="1" ref="W200" ca="1">MMS_PastureBeef_Soil_N2ODirect_Equations.VEERG_4_2_1_3__3_NitrogenExcreted(W60,W168,X184,W140,W24)</f>
        <v>8.8133023634157495E-2</v>
      </c>
      <c r="X200" s="25" cm="1">
        <f t="array" aca="1" ref="X200" ca="1">MMS_PastureBeef_Soil_N2ODirect_Equations.VEERG_4_2_1_3__3_NitrogenExcreted(X60,X168,Y184,X140,X24)</f>
        <v>1.1001898802853755E-2</v>
      </c>
      <c r="Y200" s="25" cm="1">
        <f t="array" aca="1" ref="Y200" ca="1">MMS_PastureBeef_Soil_N2ODirect_Equations.VEERG_4_2_1_3__3_NitrogenExcreted(Y60,Y168,Z184,Y140,Y24)</f>
        <v>5.2330323088884703E-2</v>
      </c>
      <c r="Z200" s="25" cm="1">
        <f t="array" aca="1" ref="Z200" ca="1">MMS_PastureBeef_Soil_N2ODirect_Equations.VEERG_4_2_1_3__3_NitrogenExcreted(Z60,Z168,AA184,Z140,Z24)</f>
        <v>6.9185083188389812E-2</v>
      </c>
      <c r="AA200" s="25" cm="1">
        <f t="array" aca="1" ref="AA200" ca="1">MMS_PastureBeef_Soil_N2ODirect_Equations.VEERG_4_2_1_3__3_NitrogenExcreted(AA60,AA168,AB184,AA140,AA24)</f>
        <v>6.9185083188389812E-2</v>
      </c>
      <c r="AB200" s="25" cm="1">
        <f t="array" aca="1" ref="AB200" ca="1">MMS_PastureBeef_Soil_N2ODirect_Equations.VEERG_4_2_1_3__3_NitrogenExcreted(AB60,AB168,AC184,AB140,AB24)</f>
        <v>1.3731587835013218E-2</v>
      </c>
      <c r="AC200" s="25" cm="1">
        <f t="array" aca="1" ref="AC200" ca="1">MMS_PastureBeef_Soil_N2ODirect_Equations.VEERG_4_2_1_3__3_NitrogenExcreted(AC60,AC168,AD184,AC140,AC24)</f>
        <v>5.520208336562428E-2</v>
      </c>
      <c r="AD200" s="25" cm="1">
        <f t="array" aca="1" ref="AD200" ca="1">MMS_PastureBeef_Soil_N2ODirect_Equations.VEERG_4_2_1_3__3_NitrogenExcreted(AD60,AD168,AE184,AD140,AD24)</f>
        <v>5.520208336562428E-2</v>
      </c>
      <c r="AE200" s="25" cm="1">
        <f t="array" aca="1" ref="AE200" ca="1">MMS_PastureBeef_Soil_N2ODirect_Equations.VEERG_4_2_1_3__3_NitrogenExcreted(AE60,AE168,AF184,AE140,AE24)</f>
        <v>5.520208336562428E-2</v>
      </c>
      <c r="AF200" s="26" t="str">
        <f t="shared" si="9"/>
        <v>kg N/head/day</v>
      </c>
      <c r="AG200" s="26"/>
      <c r="AH200" s="26"/>
    </row>
    <row r="201" spans="4:34" ht="20.100000000000001" customHeight="1" x14ac:dyDescent="0.25">
      <c r="D201" s="25" t="s">
        <v>205</v>
      </c>
      <c r="E201" s="25">
        <f ca="1"/>
        <v>91.25</v>
      </c>
      <c r="F201" s="25">
        <f ca="1"/>
        <v>91.25</v>
      </c>
      <c r="G201" s="25">
        <f ca="1"/>
        <v>91.25</v>
      </c>
      <c r="H201" s="25">
        <f ca="1"/>
        <v>91.25</v>
      </c>
      <c r="I201" s="25">
        <f ca="1"/>
        <v>91.25</v>
      </c>
      <c r="J201" s="25">
        <f ca="1"/>
        <v>91.25</v>
      </c>
      <c r="K201" s="25">
        <f ca="1"/>
        <v>91.25</v>
      </c>
      <c r="L201" s="25">
        <f ca="1"/>
        <v>91.25</v>
      </c>
      <c r="M201" s="25">
        <f ca="1"/>
        <v>91.25</v>
      </c>
      <c r="N201" s="25">
        <f ca="1"/>
        <v>91.25</v>
      </c>
      <c r="O201" s="26" t="s">
        <v>418</v>
      </c>
      <c r="U201" s="25" t="e">
        <f>TEXT(EDATE('Input - Site'!$E$12,5), "mmmm yyyy")</f>
        <v>#VALUE!</v>
      </c>
      <c r="V201" s="25" cm="1">
        <f t="array" aca="1" ref="V201" ca="1">MMS_PastureBeef_Soil_N2ODirect_Equations.VEERG_4_2_1_3__3_NitrogenExcreted(V61,V169,W185,V141,V25)</f>
        <v>0.13772737785106035</v>
      </c>
      <c r="W201" s="25" cm="1">
        <f t="array" aca="1" ref="W201" ca="1">MMS_PastureBeef_Soil_N2ODirect_Equations.VEERG_4_2_1_3__3_NitrogenExcreted(W61,W169,X185,W141,W25)</f>
        <v>0.31425341534791917</v>
      </c>
      <c r="X201" s="25" cm="1">
        <f t="array" aca="1" ref="X201" ca="1">MMS_PastureBeef_Soil_N2ODirect_Equations.VEERG_4_2_1_3__3_NitrogenExcreted(X61,X169,Y185,X141,X25)</f>
        <v>0.11430568530078369</v>
      </c>
      <c r="Y201" s="25" cm="1">
        <f t="array" aca="1" ref="Y201" ca="1">MMS_PastureBeef_Soil_N2ODirect_Equations.VEERG_4_2_1_3__3_NitrogenExcreted(Y61,Y169,Z185,Y141,Y25)</f>
        <v>0.18660765289897449</v>
      </c>
      <c r="Z201" s="25" cm="1">
        <f t="array" aca="1" ref="Z201" ca="1">MMS_PastureBeef_Soil_N2ODirect_Equations.VEERG_4_2_1_3__3_NitrogenExcreted(Z61,Z169,AA185,Z141,Z25)</f>
        <v>0.25135663949490661</v>
      </c>
      <c r="AA201" s="25" cm="1">
        <f t="array" aca="1" ref="AA201" ca="1">MMS_PastureBeef_Soil_N2ODirect_Equations.VEERG_4_2_1_3__3_NitrogenExcreted(AA61,AA169,AB185,AA141,AA25)</f>
        <v>0.25135663949490661</v>
      </c>
      <c r="AB201" s="25" cm="1">
        <f t="array" aca="1" ref="AB201" ca="1">MMS_PastureBeef_Soil_N2ODirect_Equations.VEERG_4_2_1_3__3_NitrogenExcreted(AB61,AB169,AC185,AB141,AB25)</f>
        <v>0.12380983067102717</v>
      </c>
      <c r="AC201" s="25" cm="1">
        <f t="array" aca="1" ref="AC201" ca="1">MMS_PastureBeef_Soil_N2ODirect_Equations.VEERG_4_2_1_3__3_NitrogenExcreted(AC61,AC169,AD185,AC141,AC25)</f>
        <v>0.21091009356426255</v>
      </c>
      <c r="AD201" s="25" cm="1">
        <f t="array" aca="1" ref="AD201" ca="1">MMS_PastureBeef_Soil_N2ODirect_Equations.VEERG_4_2_1_3__3_NitrogenExcreted(AD61,AD169,AE185,AD141,AD25)</f>
        <v>0.21091009356426255</v>
      </c>
      <c r="AE201" s="25" cm="1">
        <f t="array" aca="1" ref="AE201" ca="1">MMS_PastureBeef_Soil_N2ODirect_Equations.VEERG_4_2_1_3__3_NitrogenExcreted(AE61,AE169,AF185,AE141,AE25)</f>
        <v>0.21091009356426255</v>
      </c>
      <c r="AF201" s="26" t="str">
        <f t="shared" si="9"/>
        <v>kg N/head/day</v>
      </c>
      <c r="AG201" s="26"/>
      <c r="AH201" s="26"/>
    </row>
    <row r="202" spans="4:34" ht="20.100000000000001" customHeight="1" x14ac:dyDescent="0.25">
      <c r="D202" s="25" t="s">
        <v>206</v>
      </c>
      <c r="E202" s="25">
        <f ca="1"/>
        <v>91.25</v>
      </c>
      <c r="F202" s="25">
        <f ca="1"/>
        <v>91.25</v>
      </c>
      <c r="G202" s="25">
        <f ca="1"/>
        <v>91.25</v>
      </c>
      <c r="H202" s="25">
        <f ca="1"/>
        <v>91.25</v>
      </c>
      <c r="I202" s="25">
        <f ca="1"/>
        <v>91.25</v>
      </c>
      <c r="J202" s="25">
        <f ca="1"/>
        <v>91.25</v>
      </c>
      <c r="K202" s="25">
        <f ca="1"/>
        <v>91.25</v>
      </c>
      <c r="L202" s="25">
        <f ca="1"/>
        <v>91.25</v>
      </c>
      <c r="M202" s="25">
        <f ca="1"/>
        <v>91.25</v>
      </c>
      <c r="N202" s="25">
        <f ca="1"/>
        <v>91.25</v>
      </c>
      <c r="O202" s="26" t="s">
        <v>418</v>
      </c>
      <c r="U202" s="25" t="e">
        <f>TEXT(EDATE('Input - Site'!$E$12,6), "mmmm yyyy")</f>
        <v>#VALUE!</v>
      </c>
      <c r="V202" s="25" cm="1">
        <f t="array" aca="1" ref="V202" ca="1">MMS_PastureBeef_Soil_N2ODirect_Equations.VEERG_4_2_1_3__3_NitrogenExcreted(V62,V170,W186,V142,V26)</f>
        <v>0.13772737785106035</v>
      </c>
      <c r="W202" s="25" cm="1">
        <f t="array" aca="1" ref="W202" ca="1">MMS_PastureBeef_Soil_N2ODirect_Equations.VEERG_4_2_1_3__3_NitrogenExcreted(W62,W170,X186,W142,W26)</f>
        <v>0.31425341534791917</v>
      </c>
      <c r="X202" s="25" cm="1">
        <f t="array" aca="1" ref="X202" ca="1">MMS_PastureBeef_Soil_N2ODirect_Equations.VEERG_4_2_1_3__3_NitrogenExcreted(X62,X170,Y186,X142,X26)</f>
        <v>0.11430568530078369</v>
      </c>
      <c r="Y202" s="25" cm="1">
        <f t="array" aca="1" ref="Y202" ca="1">MMS_PastureBeef_Soil_N2ODirect_Equations.VEERG_4_2_1_3__3_NitrogenExcreted(Y62,Y170,Z186,Y142,Y26)</f>
        <v>0.18660765289897449</v>
      </c>
      <c r="Z202" s="25" cm="1">
        <f t="array" aca="1" ref="Z202" ca="1">MMS_PastureBeef_Soil_N2ODirect_Equations.VEERG_4_2_1_3__3_NitrogenExcreted(Z62,Z170,AA186,Z142,Z26)</f>
        <v>0.25135663949490661</v>
      </c>
      <c r="AA202" s="25" cm="1">
        <f t="array" aca="1" ref="AA202" ca="1">MMS_PastureBeef_Soil_N2ODirect_Equations.VEERG_4_2_1_3__3_NitrogenExcreted(AA62,AA170,AB186,AA142,AA26)</f>
        <v>0.25135663949490661</v>
      </c>
      <c r="AB202" s="25" cm="1">
        <f t="array" aca="1" ref="AB202" ca="1">MMS_PastureBeef_Soil_N2ODirect_Equations.VEERG_4_2_1_3__3_NitrogenExcreted(AB62,AB170,AC186,AB142,AB26)</f>
        <v>0.12380983067102717</v>
      </c>
      <c r="AC202" s="25" cm="1">
        <f t="array" aca="1" ref="AC202" ca="1">MMS_PastureBeef_Soil_N2ODirect_Equations.VEERG_4_2_1_3__3_NitrogenExcreted(AC62,AC170,AD186,AC142,AC26)</f>
        <v>0.21091009356426255</v>
      </c>
      <c r="AD202" s="25" cm="1">
        <f t="array" aca="1" ref="AD202" ca="1">MMS_PastureBeef_Soil_N2ODirect_Equations.VEERG_4_2_1_3__3_NitrogenExcreted(AD62,AD170,AE186,AD142,AD26)</f>
        <v>0.21091009356426255</v>
      </c>
      <c r="AE202" s="25" cm="1">
        <f t="array" aca="1" ref="AE202" ca="1">MMS_PastureBeef_Soil_N2ODirect_Equations.VEERG_4_2_1_3__3_NitrogenExcreted(AE62,AE170,AF186,AE142,AE26)</f>
        <v>0.21091009356426255</v>
      </c>
      <c r="AF202" s="26" t="str">
        <f t="shared" si="9"/>
        <v>kg N/head/day</v>
      </c>
      <c r="AG202" s="26"/>
      <c r="AH202" s="26"/>
    </row>
    <row r="203" spans="4:34" ht="20.100000000000001" customHeight="1" x14ac:dyDescent="0.25">
      <c r="U203" s="25" t="e">
        <f>TEXT(EDATE('Input - Site'!$E$12,7), "mmmm yyyy")</f>
        <v>#VALUE!</v>
      </c>
      <c r="V203" s="25" cm="1">
        <f t="array" aca="1" ref="V203" ca="1">MMS_PastureBeef_Soil_N2ODirect_Equations.VEERG_4_2_1_3__3_NitrogenExcreted(V63,V171,W187,V143,V27)</f>
        <v>0.13772737785106035</v>
      </c>
      <c r="W203" s="25" cm="1">
        <f t="array" aca="1" ref="W203" ca="1">MMS_PastureBeef_Soil_N2ODirect_Equations.VEERG_4_2_1_3__3_NitrogenExcreted(W63,W171,X187,W143,W27)</f>
        <v>0.31425341534791917</v>
      </c>
      <c r="X203" s="25" cm="1">
        <f t="array" aca="1" ref="X203" ca="1">MMS_PastureBeef_Soil_N2ODirect_Equations.VEERG_4_2_1_3__3_NitrogenExcreted(X63,X171,Y187,X143,X27)</f>
        <v>0.11430568530078369</v>
      </c>
      <c r="Y203" s="25" cm="1">
        <f t="array" aca="1" ref="Y203" ca="1">MMS_PastureBeef_Soil_N2ODirect_Equations.VEERG_4_2_1_3__3_NitrogenExcreted(Y63,Y171,Z187,Y143,Y27)</f>
        <v>0.18660765289897449</v>
      </c>
      <c r="Z203" s="25" cm="1">
        <f t="array" aca="1" ref="Z203" ca="1">MMS_PastureBeef_Soil_N2ODirect_Equations.VEERG_4_2_1_3__3_NitrogenExcreted(Z63,Z171,AA187,Z143,Z27)</f>
        <v>0.25135663949490661</v>
      </c>
      <c r="AA203" s="25" cm="1">
        <f t="array" aca="1" ref="AA203" ca="1">MMS_PastureBeef_Soil_N2ODirect_Equations.VEERG_4_2_1_3__3_NitrogenExcreted(AA63,AA171,AB187,AA143,AA27)</f>
        <v>0.25135663949490661</v>
      </c>
      <c r="AB203" s="25" cm="1">
        <f t="array" aca="1" ref="AB203" ca="1">MMS_PastureBeef_Soil_N2ODirect_Equations.VEERG_4_2_1_3__3_NitrogenExcreted(AB63,AB171,AC187,AB143,AB27)</f>
        <v>0.12380983067102717</v>
      </c>
      <c r="AC203" s="25" cm="1">
        <f t="array" aca="1" ref="AC203" ca="1">MMS_PastureBeef_Soil_N2ODirect_Equations.VEERG_4_2_1_3__3_NitrogenExcreted(AC63,AC171,AD187,AC143,AC27)</f>
        <v>0.21091009356426255</v>
      </c>
      <c r="AD203" s="25" cm="1">
        <f t="array" aca="1" ref="AD203" ca="1">MMS_PastureBeef_Soil_N2ODirect_Equations.VEERG_4_2_1_3__3_NitrogenExcreted(AD63,AD171,AE187,AD143,AD27)</f>
        <v>0.21091009356426255</v>
      </c>
      <c r="AE203" s="25" cm="1">
        <f t="array" aca="1" ref="AE203" ca="1">MMS_PastureBeef_Soil_N2ODirect_Equations.VEERG_4_2_1_3__3_NitrogenExcreted(AE63,AE171,AF187,AE143,AE27)</f>
        <v>0.21091009356426255</v>
      </c>
      <c r="AF203" s="26" t="str">
        <f t="shared" si="9"/>
        <v>kg N/head/day</v>
      </c>
      <c r="AG203" s="26"/>
      <c r="AH203" s="26"/>
    </row>
    <row r="204" spans="4:34" ht="20.100000000000001" customHeight="1" x14ac:dyDescent="0.25">
      <c r="D204" s="114" t="s">
        <v>456</v>
      </c>
      <c r="U204" s="25" t="e">
        <f>TEXT(EDATE('Input - Site'!$E$12,8), "mmmm yyyy")</f>
        <v>#VALUE!</v>
      </c>
      <c r="V204" s="25" cm="1">
        <f t="array" aca="1" ref="V204" ca="1">MMS_PastureBeef_Soil_N2ODirect_Equations.VEERG_4_2_1_3__3_NitrogenExcreted(V64,V172,W188,V144,V28)</f>
        <v>0.24344381993446509</v>
      </c>
      <c r="W204" s="25" cm="1">
        <f t="array" aca="1" ref="W204" ca="1">MMS_PastureBeef_Soil_N2ODirect_Equations.VEERG_4_2_1_3__3_NitrogenExcreted(W64,W172,X188,W144,W28)</f>
        <v>0.37708133734232585</v>
      </c>
      <c r="X204" s="25" cm="1">
        <f t="array" aca="1" ref="X204" ca="1">MMS_PastureBeef_Soil_N2ODirect_Equations.VEERG_4_2_1_3__3_NitrogenExcreted(X64,X172,Y188,X144,X28)</f>
        <v>0.18738546222332772</v>
      </c>
      <c r="Y204" s="25" cm="1">
        <f t="array" aca="1" ref="Y204" ca="1">MMS_PastureBeef_Soil_N2ODirect_Equations.VEERG_4_2_1_3__3_NitrogenExcreted(Y64,Y172,Z188,Y144,Y28)</f>
        <v>0.26325619908716097</v>
      </c>
      <c r="Z204" s="25" cm="1">
        <f t="array" aca="1" ref="Z204" ca="1">MMS_PastureBeef_Soil_N2ODirect_Equations.VEERG_4_2_1_3__3_NitrogenExcreted(Z64,Z172,AA188,Z144,Z28)</f>
        <v>0.29882176559049839</v>
      </c>
      <c r="AA204" s="25" cm="1">
        <f t="array" aca="1" ref="AA204" ca="1">MMS_PastureBeef_Soil_N2ODirect_Equations.VEERG_4_2_1_3__3_NitrogenExcreted(AA64,AA172,AB188,AA144,AA28)</f>
        <v>0.29882176559049839</v>
      </c>
      <c r="AB204" s="25" cm="1">
        <f t="array" aca="1" ref="AB204" ca="1">MMS_PastureBeef_Soil_N2ODirect_Equations.VEERG_4_2_1_3__3_NitrogenExcreted(AB64,AB172,AC188,AB144,AB28)</f>
        <v>0.21483586989835565</v>
      </c>
      <c r="AC204" s="25" cm="1">
        <f t="array" aca="1" ref="AC204" ca="1">MMS_PastureBeef_Soil_N2ODirect_Equations.VEERG_4_2_1_3__3_NitrogenExcreted(AC64,AC172,AD188,AC144,AC28)</f>
        <v>0.2934676863299529</v>
      </c>
      <c r="AD204" s="25" cm="1">
        <f t="array" aca="1" ref="AD204" ca="1">MMS_PastureBeef_Soil_N2ODirect_Equations.VEERG_4_2_1_3__3_NitrogenExcreted(AD64,AD172,AE188,AD144,AD28)</f>
        <v>0.2934676863299529</v>
      </c>
      <c r="AE204" s="25" cm="1">
        <f t="array" aca="1" ref="AE204" ca="1">MMS_PastureBeef_Soil_N2ODirect_Equations.VEERG_4_2_1_3__3_NitrogenExcreted(AE64,AE172,AF188,AE144,AE28)</f>
        <v>0.2934676863299529</v>
      </c>
      <c r="AF204" s="26" t="str">
        <f t="shared" si="9"/>
        <v>kg N/head/day</v>
      </c>
      <c r="AG204" s="26"/>
      <c r="AH204" s="26"/>
    </row>
    <row r="205" spans="4:34" ht="20.100000000000001" customHeight="1" x14ac:dyDescent="0.25">
      <c r="D205" s="115" t="s">
        <v>457</v>
      </c>
      <c r="U205" s="25" t="e">
        <f>TEXT(EDATE('Input - Site'!$E$12,9), "mmmm yyyy")</f>
        <v>#VALUE!</v>
      </c>
      <c r="V205" s="25" cm="1">
        <f t="array" aca="1" ref="V205" ca="1">MMS_PastureBeef_Soil_N2ODirect_Equations.VEERG_4_2_1_3__3_NitrogenExcreted(V65,V173,W189,V145,V29)</f>
        <v>0.24344381993446509</v>
      </c>
      <c r="W205" s="25" cm="1">
        <f t="array" aca="1" ref="W205" ca="1">MMS_PastureBeef_Soil_N2ODirect_Equations.VEERG_4_2_1_3__3_NitrogenExcreted(W65,W173,X189,W145,W29)</f>
        <v>0.37708133734232585</v>
      </c>
      <c r="X205" s="25" cm="1">
        <f t="array" aca="1" ref="X205" ca="1">MMS_PastureBeef_Soil_N2ODirect_Equations.VEERG_4_2_1_3__3_NitrogenExcreted(X65,X173,Y189,X145,X29)</f>
        <v>0.18738546222332772</v>
      </c>
      <c r="Y205" s="25" cm="1">
        <f t="array" aca="1" ref="Y205" ca="1">MMS_PastureBeef_Soil_N2ODirect_Equations.VEERG_4_2_1_3__3_NitrogenExcreted(Y65,Y173,Z189,Y145,Y29)</f>
        <v>0.26325619908716097</v>
      </c>
      <c r="Z205" s="25" cm="1">
        <f t="array" aca="1" ref="Z205" ca="1">MMS_PastureBeef_Soil_N2ODirect_Equations.VEERG_4_2_1_3__3_NitrogenExcreted(Z65,Z173,AA189,Z145,Z29)</f>
        <v>0.29882176559049839</v>
      </c>
      <c r="AA205" s="25" cm="1">
        <f t="array" aca="1" ref="AA205" ca="1">MMS_PastureBeef_Soil_N2ODirect_Equations.VEERG_4_2_1_3__3_NitrogenExcreted(AA65,AA173,AB189,AA145,AA29)</f>
        <v>0.29882176559049839</v>
      </c>
      <c r="AB205" s="25" cm="1">
        <f t="array" aca="1" ref="AB205" ca="1">MMS_PastureBeef_Soil_N2ODirect_Equations.VEERG_4_2_1_3__3_NitrogenExcreted(AB65,AB173,AC189,AB145,AB29)</f>
        <v>0.21483586989835565</v>
      </c>
      <c r="AC205" s="25" cm="1">
        <f t="array" aca="1" ref="AC205" ca="1">MMS_PastureBeef_Soil_N2ODirect_Equations.VEERG_4_2_1_3__3_NitrogenExcreted(AC65,AC173,AD189,AC145,AC29)</f>
        <v>0.2934676863299529</v>
      </c>
      <c r="AD205" s="25" cm="1">
        <f t="array" aca="1" ref="AD205" ca="1">MMS_PastureBeef_Soil_N2ODirect_Equations.VEERG_4_2_1_3__3_NitrogenExcreted(AD65,AD173,AE189,AD145,AD29)</f>
        <v>0.2934676863299529</v>
      </c>
      <c r="AE205" s="25" cm="1">
        <f t="array" aca="1" ref="AE205" ca="1">MMS_PastureBeef_Soil_N2ODirect_Equations.VEERG_4_2_1_3__3_NitrogenExcreted(AE65,AE173,AF189,AE145,AE29)</f>
        <v>0.2934676863299529</v>
      </c>
      <c r="AF205" s="26" t="str">
        <f t="shared" si="9"/>
        <v>kg N/head/day</v>
      </c>
      <c r="AG205" s="26"/>
      <c r="AH205" s="26"/>
    </row>
    <row r="206" spans="4:34" ht="20.100000000000001" customHeight="1" x14ac:dyDescent="0.25">
      <c r="D206" s="116" t="s">
        <v>78</v>
      </c>
      <c r="E206" s="116" t="s">
        <v>193</v>
      </c>
      <c r="F206" s="116" t="s">
        <v>194</v>
      </c>
      <c r="G206" s="116" t="s">
        <v>195</v>
      </c>
      <c r="H206" s="116" t="s">
        <v>196</v>
      </c>
      <c r="I206" s="116" t="s">
        <v>197</v>
      </c>
      <c r="J206" s="116" t="s">
        <v>198</v>
      </c>
      <c r="K206" s="116" t="s">
        <v>199</v>
      </c>
      <c r="L206" s="116" t="s">
        <v>200</v>
      </c>
      <c r="M206" s="116" t="s">
        <v>201</v>
      </c>
      <c r="N206" s="116" t="s">
        <v>202</v>
      </c>
      <c r="U206" s="25" t="e">
        <f>TEXT(EDATE('Input - Site'!$E$12,10), "mmmm yyyy")</f>
        <v>#VALUE!</v>
      </c>
      <c r="V206" s="25" cm="1">
        <f t="array" aca="1" ref="V206" ca="1">MMS_PastureBeef_Soil_N2ODirect_Equations.VEERG_4_2_1_3__3_NitrogenExcreted(V66,V174,W190,V146,V30)</f>
        <v>0.24344381993446509</v>
      </c>
      <c r="W206" s="25" cm="1">
        <f t="array" aca="1" ref="W206" ca="1">MMS_PastureBeef_Soil_N2ODirect_Equations.VEERG_4_2_1_3__3_NitrogenExcreted(W66,W174,X190,W146,W30)</f>
        <v>0.37708133734232585</v>
      </c>
      <c r="X206" s="25" cm="1">
        <f t="array" aca="1" ref="X206" ca="1">MMS_PastureBeef_Soil_N2ODirect_Equations.VEERG_4_2_1_3__3_NitrogenExcreted(X66,X174,Y190,X146,X30)</f>
        <v>0.18738546222332772</v>
      </c>
      <c r="Y206" s="25" cm="1">
        <f t="array" aca="1" ref="Y206" ca="1">MMS_PastureBeef_Soil_N2ODirect_Equations.VEERG_4_2_1_3__3_NitrogenExcreted(Y66,Y174,Z190,Y146,Y30)</f>
        <v>0.26325619908716097</v>
      </c>
      <c r="Z206" s="25" cm="1">
        <f t="array" aca="1" ref="Z206" ca="1">MMS_PastureBeef_Soil_N2ODirect_Equations.VEERG_4_2_1_3__3_NitrogenExcreted(Z66,Z174,AA190,Z146,Z30)</f>
        <v>0.29882176559049839</v>
      </c>
      <c r="AA206" s="25" cm="1">
        <f t="array" aca="1" ref="AA206" ca="1">MMS_PastureBeef_Soil_N2ODirect_Equations.VEERG_4_2_1_3__3_NitrogenExcreted(AA66,AA174,AB190,AA146,AA30)</f>
        <v>0.29882176559049839</v>
      </c>
      <c r="AB206" s="25" cm="1">
        <f t="array" aca="1" ref="AB206" ca="1">MMS_PastureBeef_Soil_N2ODirect_Equations.VEERG_4_2_1_3__3_NitrogenExcreted(AB66,AB174,AC190,AB146,AB30)</f>
        <v>0.21483586989835565</v>
      </c>
      <c r="AC206" s="25" cm="1">
        <f t="array" aca="1" ref="AC206" ca="1">MMS_PastureBeef_Soil_N2ODirect_Equations.VEERG_4_2_1_3__3_NitrogenExcreted(AC66,AC174,AD190,AC146,AC30)</f>
        <v>0.2934676863299529</v>
      </c>
      <c r="AD206" s="25" cm="1">
        <f t="array" aca="1" ref="AD206" ca="1">MMS_PastureBeef_Soil_N2ODirect_Equations.VEERG_4_2_1_3__3_NitrogenExcreted(AD66,AD174,AE190,AD146,AD30)</f>
        <v>0.2934676863299529</v>
      </c>
      <c r="AE206" s="25" cm="1">
        <f t="array" aca="1" ref="AE206" ca="1">MMS_PastureBeef_Soil_N2ODirect_Equations.VEERG_4_2_1_3__3_NitrogenExcreted(AE66,AE174,AF190,AE146,AE30)</f>
        <v>0.2934676863299529</v>
      </c>
      <c r="AF206" s="26" t="str">
        <f t="shared" si="9"/>
        <v>kg N/head/day</v>
      </c>
      <c r="AG206" s="26"/>
      <c r="AH206" s="26"/>
    </row>
    <row r="207" spans="4:34" ht="20.100000000000001" customHeight="1" x14ac:dyDescent="0.25">
      <c r="D207" s="25" t="s">
        <v>203</v>
      </c>
      <c r="E207" s="25" cm="1">
        <f t="array" aca="1" ref="E207" ca="1">MMS_PastureBeef_Soil_N2ODirect_Equations.VEERG_4_2_1_3__2_TotalNitrogenExcretedToPastureRangeAndPaddock(E191,E169,E199)</f>
        <v>2404.4969572154741</v>
      </c>
      <c r="F207" s="25" cm="1">
        <f t="array" aca="1" ref="F207" ca="1">MMS_PastureBeef_Soil_N2ODirect_Equations.VEERG_4_2_1_3__2_TotalNitrogenExcretedToPastureRangeAndPaddock(F191,F169,F199)</f>
        <v>3440.8672032487229</v>
      </c>
      <c r="G207" s="25" cm="1">
        <f t="array" aca="1" ref="G207" ca="1">MMS_PastureBeef_Soil_N2ODirect_Equations.VEERG_4_2_1_3__2_TotalNitrogenExcretedToPastureRangeAndPaddock(G191,G169,G199)</f>
        <v>1892.9644431013451</v>
      </c>
      <c r="H207" s="25" cm="1">
        <f t="array" aca="1" ref="H207" ca="1">MMS_PastureBeef_Soil_N2ODirect_Equations.VEERG_4_2_1_3__2_TotalNitrogenExcretedToPastureRangeAndPaddock(H191,H169,H199)</f>
        <v>2527.4513243321207</v>
      </c>
      <c r="I207" s="25" cm="1">
        <f t="array" aca="1" ref="I207" ca="1">MMS_PastureBeef_Soil_N2ODirect_Equations.VEERG_4_2_1_3__2_TotalNitrogenExcretedToPastureRangeAndPaddock(I191,I169,I199)</f>
        <v>3113.3367829114491</v>
      </c>
      <c r="J207" s="25" cm="1">
        <f t="array" aca="1" ref="J207" ca="1">MMS_PastureBeef_Soil_N2ODirect_Equations.VEERG_4_2_1_3__2_TotalNitrogenExcretedToPastureRangeAndPaddock(J191,J169,J199)</f>
        <v>3113.3367829114491</v>
      </c>
      <c r="K207" s="25" cm="1">
        <f t="array" aca="1" ref="K207" ca="1">MMS_PastureBeef_Soil_N2ODirect_Equations.VEERG_4_2_1_3__2_TotalNitrogenExcretedToPastureRangeAndPaddock(K191,K169,K199)</f>
        <v>2143.4494131359747</v>
      </c>
      <c r="L207" s="25" cm="1">
        <f t="array" aca="1" ref="L207" ca="1">MMS_PastureBeef_Soil_N2ODirect_Equations.VEERG_4_2_1_3__2_TotalNitrogenExcretedToPastureRangeAndPaddock(L191,L169,L199)</f>
        <v>2677.89263776082</v>
      </c>
      <c r="M207" s="25" cm="1">
        <f t="array" aca="1" ref="M207" ca="1">MMS_PastureBeef_Soil_N2ODirect_Equations.VEERG_4_2_1_3__2_TotalNitrogenExcretedToPastureRangeAndPaddock(M191,M169,M199)</f>
        <v>2677.89263776082</v>
      </c>
      <c r="N207" s="25" cm="1">
        <f t="array" aca="1" ref="N207" ca="1">MMS_PastureBeef_Soil_N2ODirect_Equations.VEERG_4_2_1_3__2_TotalNitrogenExcretedToPastureRangeAndPaddock(N191,N169,N199)</f>
        <v>2677.89263776082</v>
      </c>
      <c r="O207" s="26" t="str">
        <f>$E$182</f>
        <v>kg N</v>
      </c>
      <c r="U207" s="25" t="e">
        <f>TEXT(EDATE('Input - Site'!$E$12,11), "mmmm yyyy")</f>
        <v>#VALUE!</v>
      </c>
      <c r="V207" s="25" cm="1">
        <f t="array" aca="1" ref="V207" ca="1">MMS_PastureBeef_Soil_N2ODirect_Equations.VEERG_4_2_1_3__3_NitrogenExcreted(V67,V175,W191,V147,V31)</f>
        <v>9.3275223802458812E-2</v>
      </c>
      <c r="W207" s="25" cm="1">
        <f t="array" aca="1" ref="W207" ca="1">MMS_PastureBeef_Soil_N2ODirect_Equations.VEERG_4_2_1_3__3_NitrogenExcreted(W67,W175,X191,W147,W31)</f>
        <v>0.13601872675007995</v>
      </c>
      <c r="X207" s="25" cm="1">
        <f t="array" aca="1" ref="X207" ca="1">MMS_PastureBeef_Soil_N2ODirect_Equations.VEERG_4_2_1_3__3_NitrogenExcreted(X67,X175,Y191,X147,X31)</f>
        <v>7.7811027960341214E-2</v>
      </c>
      <c r="Y207" s="25" cm="1">
        <f t="array" aca="1" ref="Y207" ca="1">MMS_PastureBeef_Soil_N2ODirect_Equations.VEERG_4_2_1_3__3_NitrogenExcreted(Y67,Y175,Z191,Y147,Y31)</f>
        <v>0.10758035881234858</v>
      </c>
      <c r="Z207" s="25" cm="1">
        <f t="array" aca="1" ref="Z207" ca="1">MMS_PastureBeef_Soil_N2ODirect_Equations.VEERG_4_2_1_3__3_NitrogenExcreted(Z67,Z175,AA191,Z147,Z31)</f>
        <v>0.11276190880086426</v>
      </c>
      <c r="AA207" s="25" cm="1">
        <f t="array" aca="1" ref="AA207" ca="1">MMS_PastureBeef_Soil_N2ODirect_Equations.VEERG_4_2_1_3__3_NitrogenExcreted(AA67,AA175,AB191,AA147,AA31)</f>
        <v>0.11276190880086426</v>
      </c>
      <c r="AB207" s="25" cm="1">
        <f t="array" aca="1" ref="AB207" ca="1">MMS_PastureBeef_Soil_N2ODirect_Equations.VEERG_4_2_1_3__3_NitrogenExcreted(AB67,AB175,AC191,AB147,AB31)</f>
        <v>8.562550571362422E-2</v>
      </c>
      <c r="AC207" s="25" cm="1">
        <f t="array" aca="1" ref="AC207" ca="1">MMS_PastureBeef_Soil_N2ODirect_Equations.VEERG_4_2_1_3__3_NitrogenExcreted(AC67,AC175,AD191,AC147,AC31)</f>
        <v>0.1054491491748196</v>
      </c>
      <c r="AD207" s="25" cm="1">
        <f t="array" aca="1" ref="AD207" ca="1">MMS_PastureBeef_Soil_N2ODirect_Equations.VEERG_4_2_1_3__3_NitrogenExcreted(AD67,AD175,AE191,AD147,AD31)</f>
        <v>0.1054491491748196</v>
      </c>
      <c r="AE207" s="25" cm="1">
        <f t="array" aca="1" ref="AE207" ca="1">MMS_PastureBeef_Soil_N2ODirect_Equations.VEERG_4_2_1_3__3_NitrogenExcreted(AE67,AE175,AF191,AE147,AE31)</f>
        <v>0.1054491491748196</v>
      </c>
      <c r="AF207" s="26" t="str">
        <f t="shared" si="9"/>
        <v>kg N/head/day</v>
      </c>
      <c r="AG207" s="26"/>
      <c r="AH207" s="26"/>
    </row>
    <row r="208" spans="4:34" ht="20.100000000000001" customHeight="1" x14ac:dyDescent="0.25">
      <c r="D208" s="25" t="s">
        <v>204</v>
      </c>
      <c r="E208" s="25" cm="1">
        <f t="array" aca="1" ref="E208" ca="1">MMS_PastureBeef_Soil_N2ODirect_Equations.VEERG_4_2_1_3__2_TotalNitrogenExcretedToPastureRangeAndPaddock(E192,E170,E200)</f>
        <v>851.13641719743669</v>
      </c>
      <c r="F208" s="25" cm="1">
        <f t="array" aca="1" ref="F208" ca="1">MMS_PastureBeef_Soil_N2ODirect_Equations.VEERG_4_2_1_3__2_TotalNitrogenExcretedToPastureRangeAndPaddock(F192,F170,F200)</f>
        <v>1241.1708815944794</v>
      </c>
      <c r="G208" s="25" cm="1">
        <f t="array" aca="1" ref="G208" ca="1">MMS_PastureBeef_Soil_N2ODirect_Equations.VEERG_4_2_1_3__2_TotalNitrogenExcretedToPastureRangeAndPaddock(G192,G170,G200)</f>
        <v>710.02563013811357</v>
      </c>
      <c r="H208" s="25" cm="1">
        <f t="array" aca="1" ref="H208" ca="1">MMS_PastureBeef_Soil_N2ODirect_Equations.VEERG_4_2_1_3__2_TotalNitrogenExcretedToPastureRangeAndPaddock(H192,H170,H200)</f>
        <v>1023.0498901377973</v>
      </c>
      <c r="I208" s="25" cm="1">
        <f t="array" aca="1" ref="I208" ca="1">MMS_PastureBeef_Soil_N2ODirect_Equations.VEERG_4_2_1_3__2_TotalNitrogenExcretedToPastureRangeAndPaddock(I192,I170,I200)</f>
        <v>1069.9084532895147</v>
      </c>
      <c r="J208" s="25" cm="1">
        <f t="array" aca="1" ref="J208" ca="1">MMS_PastureBeef_Soil_N2ODirect_Equations.VEERG_4_2_1_3__2_TotalNitrogenExcretedToPastureRangeAndPaddock(J192,J170,J200)</f>
        <v>1069.9084532895147</v>
      </c>
      <c r="K208" s="25" cm="1">
        <f t="array" aca="1" ref="K208" ca="1">MMS_PastureBeef_Soil_N2ODirect_Equations.VEERG_4_2_1_3__2_TotalNitrogenExcretedToPastureRangeAndPaddock(K192,K170,K200)</f>
        <v>781.33273963682097</v>
      </c>
      <c r="L208" s="25" cm="1">
        <f t="array" aca="1" ref="L208" ca="1">MMS_PastureBeef_Soil_N2ODirect_Equations.VEERG_4_2_1_3__2_TotalNitrogenExcretedToPastureRangeAndPaddock(L192,L170,L200)</f>
        <v>962.22348622022878</v>
      </c>
      <c r="M208" s="25" cm="1">
        <f t="array" aca="1" ref="M208" ca="1">MMS_PastureBeef_Soil_N2ODirect_Equations.VEERG_4_2_1_3__2_TotalNitrogenExcretedToPastureRangeAndPaddock(M192,M170,M200)</f>
        <v>962.22348622022878</v>
      </c>
      <c r="N208" s="25" cm="1">
        <f t="array" aca="1" ref="N208" ca="1">MMS_PastureBeef_Soil_N2ODirect_Equations.VEERG_4_2_1_3__2_TotalNitrogenExcretedToPastureRangeAndPaddock(N192,N170,N200)</f>
        <v>962.22348622022878</v>
      </c>
      <c r="O208" s="26" t="str">
        <f>$E$182</f>
        <v>kg N</v>
      </c>
    </row>
    <row r="209" spans="3:35" ht="20.100000000000001" customHeight="1" x14ac:dyDescent="0.25">
      <c r="D209" s="25" t="s">
        <v>205</v>
      </c>
      <c r="E209" s="25" cm="1">
        <f t="array" aca="1" ref="E209" ca="1">MMS_PastureBeef_Soil_N2ODirect_Equations.VEERG_4_2_1_3__2_TotalNitrogenExcretedToPastureRangeAndPaddock(E193,E171,E201)</f>
        <v>123.10161007572114</v>
      </c>
      <c r="F209" s="25" cm="1">
        <f t="array" aca="1" ref="F209" ca="1">MMS_PastureBeef_Soil_N2ODirect_Equations.VEERG_4_2_1_3__2_TotalNitrogenExcretedToPastureRangeAndPaddock(F193,F171,F201)</f>
        <v>804.21384066168707</v>
      </c>
      <c r="G209" s="25" cm="1">
        <f t="array" aca="1" ref="G209" ca="1">MMS_PastureBeef_Soil_N2ODirect_Equations.VEERG_4_2_1_3__2_TotalNitrogenExcretedToPastureRangeAndPaddock(G193,G171,G201)</f>
        <v>100.39232657604052</v>
      </c>
      <c r="H209" s="25" cm="1">
        <f t="array" aca="1" ref="H209" ca="1">MMS_PastureBeef_Soil_N2ODirect_Equations.VEERG_4_2_1_3__2_TotalNitrogenExcretedToPastureRangeAndPaddock(H193,H171,H201)</f>
        <v>482.73952559655532</v>
      </c>
      <c r="I209" s="25" cm="1">
        <f t="array" aca="1" ref="I209" ca="1">MMS_PastureBeef_Soil_N2ODirect_Equations.VEERG_4_2_1_3__2_TotalNitrogenExcretedToPastureRangeAndPaddock(I193,I171,I201)</f>
        <v>631.31388409405702</v>
      </c>
      <c r="J209" s="25" cm="1">
        <f t="array" aca="1" ref="J209" ca="1">MMS_PastureBeef_Soil_N2ODirect_Equations.VEERG_4_2_1_3__2_TotalNitrogenExcretedToPastureRangeAndPaddock(J193,J171,J201)</f>
        <v>631.31388409405702</v>
      </c>
      <c r="K209" s="25" cm="1">
        <f t="array" aca="1" ref="K209" ca="1">MMS_PastureBeef_Soil_N2ODirect_Equations.VEERG_4_2_1_3__2_TotalNitrogenExcretedToPastureRangeAndPaddock(K193,K171,K201)</f>
        <v>125.30073899449563</v>
      </c>
      <c r="L209" s="25" cm="1">
        <f t="array" aca="1" ref="L209" ca="1">MMS_PastureBeef_Soil_N2ODirect_Equations.VEERG_4_2_1_3__2_TotalNitrogenExcretedToPastureRangeAndPaddock(L193,L171,L201)</f>
        <v>503.71901071132157</v>
      </c>
      <c r="M209" s="25" cm="1">
        <f t="array" aca="1" ref="M209" ca="1">MMS_PastureBeef_Soil_N2ODirect_Equations.VEERG_4_2_1_3__2_TotalNitrogenExcretedToPastureRangeAndPaddock(M193,M171,M201)</f>
        <v>503.71901071132157</v>
      </c>
      <c r="N209" s="25" cm="1">
        <f t="array" aca="1" ref="N209" ca="1">MMS_PastureBeef_Soil_N2ODirect_Equations.VEERG_4_2_1_3__2_TotalNitrogenExcretedToPastureRangeAndPaddock(N193,N171,N201)</f>
        <v>503.71901071132157</v>
      </c>
      <c r="O209" s="26" t="str">
        <f>$E$182</f>
        <v>kg N</v>
      </c>
    </row>
    <row r="210" spans="3:35" ht="20.100000000000001" customHeight="1" x14ac:dyDescent="0.25">
      <c r="D210" s="25" t="s">
        <v>206</v>
      </c>
      <c r="E210" s="25" cm="1">
        <f t="array" aca="1" ref="E210" ca="1">MMS_PastureBeef_Soil_N2ODirect_Equations.VEERG_4_2_1_3__2_TotalNitrogenExcretedToPastureRangeAndPaddock(E194,E172,E202)</f>
        <v>1531.3704733611453</v>
      </c>
      <c r="F210" s="25" cm="1">
        <f t="array" aca="1" ref="F210" ca="1">MMS_PastureBeef_Soil_N2ODirect_Equations.VEERG_4_2_1_3__2_TotalNitrogenExcretedToPastureRangeAndPaddock(F194,F172,F202)</f>
        <v>2867.5624150497624</v>
      </c>
      <c r="G210" s="25" cm="1">
        <f t="array" aca="1" ref="G210" ca="1">MMS_PastureBeef_Soil_N2ODirect_Equations.VEERG_4_2_1_3__2_TotalNitrogenExcretedToPastureRangeAndPaddock(G194,G172,G202)</f>
        <v>1317.647528839871</v>
      </c>
      <c r="H210" s="25" cm="1">
        <f t="array" aca="1" ref="H210" ca="1">MMS_PastureBeef_Soil_N2ODirect_Equations.VEERG_4_2_1_3__2_TotalNitrogenExcretedToPastureRangeAndPaddock(H194,H172,H202)</f>
        <v>1874.1217358723854</v>
      </c>
      <c r="I210" s="25" cm="1">
        <f t="array" aca="1" ref="I210" ca="1">MMS_PastureBeef_Soil_N2ODirect_Equations.VEERG_4_2_1_3__2_TotalNitrogenExcretedToPastureRangeAndPaddock(I194,I172,I202)</f>
        <v>2504.6469881356957</v>
      </c>
      <c r="J210" s="25" cm="1">
        <f t="array" aca="1" ref="J210" ca="1">MMS_PastureBeef_Soil_N2ODirect_Equations.VEERG_4_2_1_3__2_TotalNitrogenExcretedToPastureRangeAndPaddock(J194,J172,J202)</f>
        <v>2504.6469881356957</v>
      </c>
      <c r="K210" s="25" cm="1">
        <f t="array" aca="1" ref="K210" ca="1">MMS_PastureBeef_Soil_N2ODirect_Equations.VEERG_4_2_1_3__2_TotalNitrogenExcretedToPastureRangeAndPaddock(K194,K172,K202)</f>
        <v>1404.3728553433427</v>
      </c>
      <c r="L210" s="25" cm="1">
        <f t="array" aca="1" ref="L210" ca="1">MMS_PastureBeef_Soil_N2ODirect_Equations.VEERG_4_2_1_3__2_TotalNitrogenExcretedToPastureRangeAndPaddock(L194,L172,L202)</f>
        <v>1924.5546037738959</v>
      </c>
      <c r="M210" s="25" cm="1">
        <f t="array" aca="1" ref="M210" ca="1">MMS_PastureBeef_Soil_N2ODirect_Equations.VEERG_4_2_1_3__2_TotalNitrogenExcretedToPastureRangeAndPaddock(M194,M172,M202)</f>
        <v>1924.5546037738959</v>
      </c>
      <c r="N210" s="25" cm="1">
        <f t="array" aca="1" ref="N210" ca="1">MMS_PastureBeef_Soil_N2ODirect_Equations.VEERG_4_2_1_3__2_TotalNitrogenExcretedToPastureRangeAndPaddock(N194,N172,N202)</f>
        <v>1924.5546037738959</v>
      </c>
      <c r="O210" s="26" t="str">
        <f>$E$182</f>
        <v>kg N</v>
      </c>
      <c r="T210" s="118"/>
      <c r="U210" s="118"/>
      <c r="V210" s="118"/>
      <c r="W210" s="118"/>
      <c r="X210" s="118"/>
      <c r="Y210" s="118"/>
      <c r="Z210" s="118"/>
      <c r="AA210" s="118"/>
      <c r="AB210" s="118"/>
      <c r="AC210" s="118"/>
      <c r="AD210" s="118"/>
      <c r="AE210" s="118"/>
      <c r="AF210" s="118"/>
      <c r="AG210" s="118"/>
      <c r="AH210" s="118"/>
      <c r="AI210" s="118"/>
    </row>
    <row r="211" spans="3:35" ht="20.100000000000001" customHeight="1" x14ac:dyDescent="0.25">
      <c r="U211" s="2" t="str" cm="1">
        <f t="array" ref="U211">MMS_PastureBeef_Soil_N2ODirect_Equations.VEERG_4_2_1_3__2_TotalNitrogenExcretedToPastureRangeAndPaddock_Title()</f>
        <v>Total nitrogen excreted to pasture, range and paddock</v>
      </c>
    </row>
    <row r="212" spans="3:35" ht="20.100000000000001" customHeight="1" x14ac:dyDescent="0.25">
      <c r="D212" s="130" t="s">
        <v>458</v>
      </c>
      <c r="E212" s="118">
        <f ca="1">SUM(E207:N210)</f>
        <v>60490.349382369524</v>
      </c>
      <c r="F212" s="125" t="str">
        <f>E182</f>
        <v>kg N</v>
      </c>
    </row>
    <row r="213" spans="3:35" ht="20.100000000000001" customHeight="1" x14ac:dyDescent="0.25">
      <c r="U213" s="114" t="s">
        <v>294</v>
      </c>
    </row>
    <row r="214" spans="3:35" ht="20.100000000000001" customHeight="1" x14ac:dyDescent="0.25">
      <c r="U214" s="115" t="s">
        <v>295</v>
      </c>
    </row>
    <row r="215" spans="3:35" ht="20.100000000000001" customHeight="1" x14ac:dyDescent="0.25">
      <c r="C215" s="118"/>
      <c r="D215" s="118"/>
      <c r="E215" s="118"/>
      <c r="F215" s="118"/>
      <c r="G215" s="118"/>
      <c r="H215" s="118"/>
      <c r="I215" s="118"/>
      <c r="J215" s="118"/>
      <c r="K215" s="118"/>
      <c r="L215" s="118"/>
      <c r="M215" s="118"/>
      <c r="N215" s="118"/>
      <c r="O215" s="118"/>
      <c r="P215" s="118"/>
      <c r="Q215" s="118"/>
      <c r="R215" s="118"/>
      <c r="U215" s="116" t="s">
        <v>77</v>
      </c>
      <c r="V215" s="117" t="s">
        <v>193</v>
      </c>
      <c r="W215" s="117" t="s">
        <v>194</v>
      </c>
      <c r="X215" s="117" t="s">
        <v>195</v>
      </c>
      <c r="Y215" s="117" t="s">
        <v>196</v>
      </c>
      <c r="Z215" s="117" t="s">
        <v>197</v>
      </c>
      <c r="AA215" s="117" t="s">
        <v>198</v>
      </c>
      <c r="AB215" s="117" t="s">
        <v>199</v>
      </c>
      <c r="AC215" s="117" t="s">
        <v>200</v>
      </c>
      <c r="AD215" s="117" t="s">
        <v>201</v>
      </c>
      <c r="AE215" s="117" t="s">
        <v>202</v>
      </c>
    </row>
    <row r="216" spans="3:35" ht="20.100000000000001" customHeight="1" x14ac:dyDescent="0.25">
      <c r="D216" s="2" t="str" cm="1">
        <f t="array" ref="D216">MMS_PastureBeef_Soil_N2ODirect_Equations.VEERG_4_2_1_3__1_DirectNitrousOxideEmissionsOnPasture_Title()</f>
        <v>Total annual direct nitrous oxide emissions from agricultural soils from deposition of urine and dung</v>
      </c>
      <c r="U216" s="25" t="str">
        <f>TEXT('Input - Site'!$E$12, "mmmm yyyy")</f>
        <v>NO - Not in leaching zone</v>
      </c>
      <c r="V216" s="25" cm="1">
        <f t="array" aca="1" ref="V216:AE227" ca="1">OFFSET(X_Table_PastureBeef_Head_Method2, 1,1, 12,10)</f>
        <v>100</v>
      </c>
      <c r="W216" s="25">
        <f ca="1"/>
        <v>100</v>
      </c>
      <c r="X216" s="25">
        <f ca="1"/>
        <v>100</v>
      </c>
      <c r="Y216" s="25">
        <f ca="1"/>
        <v>100</v>
      </c>
      <c r="Z216" s="25">
        <f ca="1"/>
        <v>100</v>
      </c>
      <c r="AA216" s="25">
        <f ca="1"/>
        <v>100</v>
      </c>
      <c r="AB216" s="25">
        <f ca="1"/>
        <v>100</v>
      </c>
      <c r="AC216" s="25">
        <f ca="1"/>
        <v>100</v>
      </c>
      <c r="AD216" s="25">
        <f ca="1"/>
        <v>100</v>
      </c>
      <c r="AE216" s="25">
        <f ca="1"/>
        <v>100</v>
      </c>
      <c r="AF216" s="26" t="s">
        <v>417</v>
      </c>
      <c r="AG216" s="26"/>
      <c r="AH216" s="26"/>
    </row>
    <row r="217" spans="3:35" ht="20.100000000000001" customHeight="1" x14ac:dyDescent="0.25">
      <c r="D217" s="27" t="str" cm="1">
        <f t="array" ref="D217">MMS_PastureBeef_Soil_N2ODirect_Equations.VEERG_4_2_1_3__1_DirectNitrousOxideEmissionsOnPasture_Source()</f>
        <v>VEERG 2026: 4.2.1.3, Equation (1)</v>
      </c>
      <c r="U217" s="25" t="e">
        <f>TEXT(EDATE('Input - Site'!$E$12,1), "mmmm yyyy")</f>
        <v>#VALUE!</v>
      </c>
      <c r="V217" s="25">
        <f ca="1"/>
        <v>100</v>
      </c>
      <c r="W217" s="25">
        <f ca="1"/>
        <v>100</v>
      </c>
      <c r="X217" s="25">
        <f ca="1"/>
        <v>100</v>
      </c>
      <c r="Y217" s="25">
        <f ca="1"/>
        <v>100</v>
      </c>
      <c r="Z217" s="25">
        <f ca="1"/>
        <v>100</v>
      </c>
      <c r="AA217" s="25">
        <f ca="1"/>
        <v>100</v>
      </c>
      <c r="AB217" s="25">
        <f ca="1"/>
        <v>100</v>
      </c>
      <c r="AC217" s="25">
        <f ca="1"/>
        <v>100</v>
      </c>
      <c r="AD217" s="25">
        <f ca="1"/>
        <v>100</v>
      </c>
      <c r="AE217" s="25">
        <f ca="1"/>
        <v>100</v>
      </c>
      <c r="AF217" s="26" t="s">
        <v>417</v>
      </c>
      <c r="AG217" s="26"/>
      <c r="AH217" s="26"/>
    </row>
    <row r="218" spans="3:35" ht="20.100000000000001" customHeight="1" x14ac:dyDescent="0.25">
      <c r="D218" s="105" t="s">
        <v>261</v>
      </c>
      <c r="E218" s="105" t="str" cm="1">
        <f t="array" aca="1" ref="E218" ca="1">Common_InputFunctions.Utility_DisplayFunctionName(E229)</f>
        <v>=MMS_PastureBeef_Soil_N2ODirect_Equations.VEERG_4_2_1_3__1_DirectNitrousOxideEmissionsOnPasture</v>
      </c>
      <c r="U218" s="25" t="e">
        <f>TEXT(EDATE('Input - Site'!$E$12,2), "mmmm yyyy")</f>
        <v>#VALUE!</v>
      </c>
      <c r="V218" s="25">
        <f ca="1"/>
        <v>100</v>
      </c>
      <c r="W218" s="25">
        <f ca="1"/>
        <v>100</v>
      </c>
      <c r="X218" s="25">
        <f ca="1"/>
        <v>100</v>
      </c>
      <c r="Y218" s="25">
        <f ca="1"/>
        <v>100</v>
      </c>
      <c r="Z218" s="25">
        <f ca="1"/>
        <v>100</v>
      </c>
      <c r="AA218" s="25">
        <f ca="1"/>
        <v>100</v>
      </c>
      <c r="AB218" s="25">
        <f ca="1"/>
        <v>100</v>
      </c>
      <c r="AC218" s="25">
        <f ca="1"/>
        <v>100</v>
      </c>
      <c r="AD218" s="25">
        <f ca="1"/>
        <v>100</v>
      </c>
      <c r="AE218" s="25">
        <f ca="1"/>
        <v>100</v>
      </c>
      <c r="AF218" s="26" t="s">
        <v>417</v>
      </c>
      <c r="AG218" s="26"/>
      <c r="AH218" s="26"/>
    </row>
    <row r="219" spans="3:35" ht="20.100000000000001" customHeight="1" x14ac:dyDescent="0.25">
      <c r="U219" s="25" t="e">
        <f>TEXT(EDATE('Input - Site'!$E$12,3), "mmmm yyyy")</f>
        <v>#VALUE!</v>
      </c>
      <c r="V219" s="25">
        <f ca="1"/>
        <v>100</v>
      </c>
      <c r="W219" s="25">
        <f ca="1"/>
        <v>100</v>
      </c>
      <c r="X219" s="25">
        <f ca="1"/>
        <v>100</v>
      </c>
      <c r="Y219" s="25">
        <f ca="1"/>
        <v>100</v>
      </c>
      <c r="Z219" s="25">
        <f ca="1"/>
        <v>100</v>
      </c>
      <c r="AA219" s="25">
        <f ca="1"/>
        <v>100</v>
      </c>
      <c r="AB219" s="25">
        <f ca="1"/>
        <v>100</v>
      </c>
      <c r="AC219" s="25">
        <f ca="1"/>
        <v>100</v>
      </c>
      <c r="AD219" s="25">
        <f ca="1"/>
        <v>100</v>
      </c>
      <c r="AE219" s="25">
        <f ca="1"/>
        <v>100</v>
      </c>
      <c r="AF219" s="26" t="s">
        <v>417</v>
      </c>
      <c r="AG219" s="26"/>
      <c r="AH219" s="26"/>
    </row>
    <row r="220" spans="3:35" ht="20.100000000000001" customHeight="1" x14ac:dyDescent="0.25">
      <c r="U220" s="25" t="e">
        <f>TEXT(EDATE('Input - Site'!$E$12,4), "mmmm yyyy")</f>
        <v>#VALUE!</v>
      </c>
      <c r="V220" s="25">
        <f ca="1"/>
        <v>100</v>
      </c>
      <c r="W220" s="25">
        <f ca="1"/>
        <v>100</v>
      </c>
      <c r="X220" s="25">
        <f ca="1"/>
        <v>100</v>
      </c>
      <c r="Y220" s="25">
        <f ca="1"/>
        <v>100</v>
      </c>
      <c r="Z220" s="25">
        <f ca="1"/>
        <v>100</v>
      </c>
      <c r="AA220" s="25">
        <f ca="1"/>
        <v>100</v>
      </c>
      <c r="AB220" s="25">
        <f ca="1"/>
        <v>100</v>
      </c>
      <c r="AC220" s="25">
        <f ca="1"/>
        <v>100</v>
      </c>
      <c r="AD220" s="25">
        <f ca="1"/>
        <v>100</v>
      </c>
      <c r="AE220" s="25">
        <f ca="1"/>
        <v>100</v>
      </c>
      <c r="AF220" s="26" t="s">
        <v>417</v>
      </c>
      <c r="AG220" s="26"/>
      <c r="AH220" s="26"/>
    </row>
    <row r="221" spans="3:35" ht="20.100000000000001" customHeight="1" x14ac:dyDescent="0.25">
      <c r="D221" s="88" t="s">
        <v>263</v>
      </c>
      <c r="E221" s="1" t="str" cm="1">
        <f t="array" ref="E221">MMS_PastureBeef_Soil_N2ODirect_Equations.VEERG_4_2_1_3__1_DirectNitrousOxideEmissionsOnPasture_Variable()</f>
        <v>E_N2Odir</v>
      </c>
      <c r="U221" s="25" t="e">
        <f>TEXT(EDATE('Input - Site'!$E$12,5), "mmmm yyyy")</f>
        <v>#VALUE!</v>
      </c>
      <c r="V221" s="25">
        <f ca="1"/>
        <v>100</v>
      </c>
      <c r="W221" s="25">
        <f ca="1"/>
        <v>100</v>
      </c>
      <c r="X221" s="25">
        <f ca="1"/>
        <v>100</v>
      </c>
      <c r="Y221" s="25">
        <f ca="1"/>
        <v>100</v>
      </c>
      <c r="Z221" s="25">
        <f ca="1"/>
        <v>100</v>
      </c>
      <c r="AA221" s="25">
        <f ca="1"/>
        <v>100</v>
      </c>
      <c r="AB221" s="25">
        <f ca="1"/>
        <v>100</v>
      </c>
      <c r="AC221" s="25">
        <f ca="1"/>
        <v>100</v>
      </c>
      <c r="AD221" s="25">
        <f ca="1"/>
        <v>100</v>
      </c>
      <c r="AE221" s="25">
        <f ca="1"/>
        <v>100</v>
      </c>
      <c r="AF221" s="26" t="s">
        <v>417</v>
      </c>
      <c r="AG221" s="26"/>
      <c r="AH221" s="26"/>
    </row>
    <row r="222" spans="3:35" ht="20.100000000000001" customHeight="1" x14ac:dyDescent="0.25">
      <c r="D222" s="88" t="s">
        <v>130</v>
      </c>
      <c r="E222" s="15" t="str" cm="1">
        <f t="array" ref="E222">MMS_PastureBeef_Soil_N2ODirect_Equations.VEERG_4_2_1_3__1_DirectNitrousOxideEmissionsOnPasture_Unit()</f>
        <v>t N2O</v>
      </c>
      <c r="U222" s="25" t="e">
        <f>TEXT(EDATE('Input - Site'!$E$12,6), "mmmm yyyy")</f>
        <v>#VALUE!</v>
      </c>
      <c r="V222" s="25">
        <f ca="1"/>
        <v>100</v>
      </c>
      <c r="W222" s="25">
        <f ca="1"/>
        <v>100</v>
      </c>
      <c r="X222" s="25">
        <f ca="1"/>
        <v>100</v>
      </c>
      <c r="Y222" s="25">
        <f ca="1"/>
        <v>100</v>
      </c>
      <c r="Z222" s="25">
        <f ca="1"/>
        <v>100</v>
      </c>
      <c r="AA222" s="25">
        <f ca="1"/>
        <v>100</v>
      </c>
      <c r="AB222" s="25">
        <f ca="1"/>
        <v>100</v>
      </c>
      <c r="AC222" s="25">
        <f ca="1"/>
        <v>100</v>
      </c>
      <c r="AD222" s="25">
        <f ca="1"/>
        <v>100</v>
      </c>
      <c r="AE222" s="25">
        <f ca="1"/>
        <v>100</v>
      </c>
      <c r="AF222" s="26" t="s">
        <v>417</v>
      </c>
      <c r="AG222" s="26"/>
      <c r="AH222" s="26"/>
    </row>
    <row r="223" spans="3:35" ht="20.100000000000001" customHeight="1" x14ac:dyDescent="0.25">
      <c r="U223" s="25" t="e">
        <f>TEXT(EDATE('Input - Site'!$E$12,7), "mmmm yyyy")</f>
        <v>#VALUE!</v>
      </c>
      <c r="V223" s="25">
        <f ca="1"/>
        <v>100</v>
      </c>
      <c r="W223" s="25">
        <f ca="1"/>
        <v>100</v>
      </c>
      <c r="X223" s="25">
        <f ca="1"/>
        <v>100</v>
      </c>
      <c r="Y223" s="25">
        <f ca="1"/>
        <v>100</v>
      </c>
      <c r="Z223" s="25">
        <f ca="1"/>
        <v>100</v>
      </c>
      <c r="AA223" s="25">
        <f ca="1"/>
        <v>100</v>
      </c>
      <c r="AB223" s="25">
        <f ca="1"/>
        <v>100</v>
      </c>
      <c r="AC223" s="25">
        <f ca="1"/>
        <v>100</v>
      </c>
      <c r="AD223" s="25">
        <f ca="1"/>
        <v>100</v>
      </c>
      <c r="AE223" s="25">
        <f ca="1"/>
        <v>100</v>
      </c>
      <c r="AF223" s="26" t="s">
        <v>417</v>
      </c>
      <c r="AG223" s="26"/>
      <c r="AH223" s="26"/>
    </row>
    <row r="224" spans="3:35" ht="20.100000000000001" customHeight="1" x14ac:dyDescent="0.25">
      <c r="D224" s="131" t="str" cm="1">
        <f t="array" ref="D224:G227">MMS_PastureBeef_Soil_N2ODirect_Equations.VEERG_4_2_1_3__1_DirectNitrousOxideEmissionsOnPasture_Arguments()</f>
        <v>AE</v>
      </c>
      <c r="E224" s="132" t="str">
        <v>total mass of nitrogen excreted on PRP for beef cattle</v>
      </c>
      <c r="F224" s="133" t="str">
        <v>kg N</v>
      </c>
      <c r="G224" s="134" t="str">
        <v>Calculated from 4.2.1.3 (2)</v>
      </c>
      <c r="H224" s="131" t="str">
        <f>"See " &amp; D204</f>
        <v>See M1_Table_AE</v>
      </c>
      <c r="U224" s="25" t="e">
        <f>TEXT(EDATE('Input - Site'!$E$12,8), "mmmm yyyy")</f>
        <v>#VALUE!</v>
      </c>
      <c r="V224" s="25">
        <f ca="1"/>
        <v>100</v>
      </c>
      <c r="W224" s="25">
        <f ca="1"/>
        <v>100</v>
      </c>
      <c r="X224" s="25">
        <f ca="1"/>
        <v>100</v>
      </c>
      <c r="Y224" s="25">
        <f ca="1"/>
        <v>100</v>
      </c>
      <c r="Z224" s="25">
        <f ca="1"/>
        <v>100</v>
      </c>
      <c r="AA224" s="25">
        <f ca="1"/>
        <v>100</v>
      </c>
      <c r="AB224" s="25">
        <f ca="1"/>
        <v>100</v>
      </c>
      <c r="AC224" s="25">
        <f ca="1"/>
        <v>100</v>
      </c>
      <c r="AD224" s="25">
        <f ca="1"/>
        <v>100</v>
      </c>
      <c r="AE224" s="25">
        <f ca="1"/>
        <v>100</v>
      </c>
      <c r="AF224" s="26" t="s">
        <v>417</v>
      </c>
      <c r="AG224" s="26"/>
      <c r="AH224" s="26"/>
    </row>
    <row r="225" spans="4:34" ht="20.100000000000001" customHeight="1" x14ac:dyDescent="0.25">
      <c r="D225" s="131" t="str">
        <v>EF_PRP</v>
      </c>
      <c r="E225" s="132" t="str">
        <v>emission factor for nitrous oxide from urine and dung deposited to soil</v>
      </c>
      <c r="F225" s="133" t="str">
        <v>kg N2O-N/kg N deposited</v>
      </c>
      <c r="G225" s="134" t="str">
        <v>Constant</v>
      </c>
      <c r="H225" s="122">
        <f>_xlfn.XLOOKUP(H227,Table_SourceData_EFPastureRangeAndPaddock[Climate zone],Table_SourceData_EFPastureRangeAndPaddock[EFPRP])</f>
        <v>2E-3</v>
      </c>
      <c r="U225" s="25" t="e">
        <f>TEXT(EDATE('Input - Site'!$E$12,9), "mmmm yyyy")</f>
        <v>#VALUE!</v>
      </c>
      <c r="V225" s="25">
        <f ca="1"/>
        <v>100</v>
      </c>
      <c r="W225" s="25">
        <f ca="1"/>
        <v>100</v>
      </c>
      <c r="X225" s="25">
        <f ca="1"/>
        <v>100</v>
      </c>
      <c r="Y225" s="25">
        <f ca="1"/>
        <v>100</v>
      </c>
      <c r="Z225" s="25">
        <f ca="1"/>
        <v>100</v>
      </c>
      <c r="AA225" s="25">
        <f ca="1"/>
        <v>100</v>
      </c>
      <c r="AB225" s="25">
        <f ca="1"/>
        <v>100</v>
      </c>
      <c r="AC225" s="25">
        <f ca="1"/>
        <v>100</v>
      </c>
      <c r="AD225" s="25">
        <f ca="1"/>
        <v>100</v>
      </c>
      <c r="AE225" s="25">
        <f ca="1"/>
        <v>100</v>
      </c>
      <c r="AF225" s="26" t="s">
        <v>417</v>
      </c>
      <c r="AG225" s="26"/>
      <c r="AH225" s="26"/>
    </row>
    <row r="226" spans="4:34" ht="20.100000000000001" customHeight="1" x14ac:dyDescent="0.25">
      <c r="D226" s="131" t="str">
        <v>C_N2O</v>
      </c>
      <c r="E226" s="132" t="str">
        <v>factor to convert elemental mass of nitrous oxide to molecular mass</v>
      </c>
      <c r="F226" s="133" t="str">
        <v/>
      </c>
      <c r="G226" s="134" t="str">
        <v>Constant</v>
      </c>
      <c r="H226" s="122">
        <f>Common_InputFunctions.Utility_LookupValueInTableNumber("N2O",Table_GasToMolecularConversionFactor[Gas],Table_GasToMolecularConversionFactor[Conversion factor combined])</f>
        <v>1.5714285714285714</v>
      </c>
      <c r="U226" s="25" t="e">
        <f>TEXT(EDATE('Input - Site'!$E$12,10), "mmmm yyyy")</f>
        <v>#VALUE!</v>
      </c>
      <c r="V226" s="25">
        <f ca="1"/>
        <v>100</v>
      </c>
      <c r="W226" s="25">
        <f ca="1"/>
        <v>100</v>
      </c>
      <c r="X226" s="25">
        <f ca="1"/>
        <v>100</v>
      </c>
      <c r="Y226" s="25">
        <f ca="1"/>
        <v>100</v>
      </c>
      <c r="Z226" s="25">
        <f ca="1"/>
        <v>100</v>
      </c>
      <c r="AA226" s="25">
        <f ca="1"/>
        <v>100</v>
      </c>
      <c r="AB226" s="25">
        <f ca="1"/>
        <v>100</v>
      </c>
      <c r="AC226" s="25">
        <f ca="1"/>
        <v>100</v>
      </c>
      <c r="AD226" s="25">
        <f ca="1"/>
        <v>100</v>
      </c>
      <c r="AE226" s="25">
        <f ca="1"/>
        <v>100</v>
      </c>
      <c r="AF226" s="26" t="s">
        <v>417</v>
      </c>
      <c r="AG226" s="26"/>
      <c r="AH226" s="26"/>
    </row>
    <row r="227" spans="4:34" ht="20.100000000000001" customHeight="1" x14ac:dyDescent="0.25">
      <c r="D227" s="131" t="str">
        <v>z</v>
      </c>
      <c r="E227" s="132" t="str">
        <v>wet or dry climate zone</v>
      </c>
      <c r="F227" s="133" t="str">
        <v/>
      </c>
      <c r="G227" s="134" t="str">
        <v>Input</v>
      </c>
      <c r="H227" s="131" t="str">
        <f>X_Cell_Site_WetOrDryClimateZone</f>
        <v>Dry climate zone</v>
      </c>
      <c r="U227" s="25" t="e">
        <f>TEXT(EDATE('Input - Site'!$E$12,11), "mmmm yyyy")</f>
        <v>#VALUE!</v>
      </c>
      <c r="V227" s="25">
        <f ca="1"/>
        <v>100</v>
      </c>
      <c r="W227" s="25">
        <f ca="1"/>
        <v>100</v>
      </c>
      <c r="X227" s="25">
        <f ca="1"/>
        <v>100</v>
      </c>
      <c r="Y227" s="25">
        <f ca="1"/>
        <v>100</v>
      </c>
      <c r="Z227" s="25">
        <f ca="1"/>
        <v>100</v>
      </c>
      <c r="AA227" s="25">
        <f ca="1"/>
        <v>100</v>
      </c>
      <c r="AB227" s="25">
        <f ca="1"/>
        <v>100</v>
      </c>
      <c r="AC227" s="25">
        <f ca="1"/>
        <v>100</v>
      </c>
      <c r="AD227" s="25">
        <f ca="1"/>
        <v>100</v>
      </c>
      <c r="AE227" s="25">
        <f ca="1"/>
        <v>100</v>
      </c>
      <c r="AF227" s="26" t="s">
        <v>417</v>
      </c>
      <c r="AG227" s="26"/>
      <c r="AH227" s="26"/>
    </row>
    <row r="228" spans="4:34" ht="20.100000000000001" customHeight="1" x14ac:dyDescent="0.25"/>
    <row r="229" spans="4:34" ht="20.100000000000001" customHeight="1" x14ac:dyDescent="0.25">
      <c r="D229" s="119" t="s">
        <v>459</v>
      </c>
      <c r="E229" s="120" cm="1">
        <f t="array" aca="1" ref="E229" ca="1">MMS_PastureBeef_Soil_N2ODirect_Equations.VEERG_4_2_1_3__1_DirectNitrousOxideEmissionsOnPasture($E$212,$H$225,$H$226)</f>
        <v>0.19011252663030423</v>
      </c>
      <c r="F229" s="121" t="str">
        <f>$E$222</f>
        <v>t N2O</v>
      </c>
      <c r="U229" s="114" t="s">
        <v>299</v>
      </c>
    </row>
    <row r="230" spans="4:34" ht="20.100000000000001" customHeight="1" x14ac:dyDescent="0.25">
      <c r="U230" s="115" t="s">
        <v>300</v>
      </c>
    </row>
    <row r="231" spans="4:34" ht="20.100000000000001" customHeight="1" x14ac:dyDescent="0.25">
      <c r="D231" s="122" t="str" cm="1">
        <f t="array" ref="D231:E232">Common_Equations.Common_ConvertN2OToCO2e_Arguments()</f>
        <v>EN2O</v>
      </c>
      <c r="E231" s="123" t="str">
        <v>Nitrous oxide emissions (t N2O)</v>
      </c>
      <c r="F231" s="124"/>
      <c r="G231" s="25">
        <f ca="1">E229</f>
        <v>0.19011252663030423</v>
      </c>
      <c r="U231" s="116" t="s">
        <v>77</v>
      </c>
      <c r="V231" s="117" t="s">
        <v>193</v>
      </c>
      <c r="W231" s="117" t="s">
        <v>194</v>
      </c>
      <c r="X231" s="117" t="s">
        <v>195</v>
      </c>
      <c r="Y231" s="117" t="s">
        <v>196</v>
      </c>
      <c r="Z231" s="117" t="s">
        <v>197</v>
      </c>
      <c r="AA231" s="117" t="s">
        <v>198</v>
      </c>
      <c r="AB231" s="117" t="s">
        <v>199</v>
      </c>
      <c r="AC231" s="117" t="s">
        <v>200</v>
      </c>
      <c r="AD231" s="117" t="s">
        <v>201</v>
      </c>
      <c r="AE231" s="117" t="s">
        <v>202</v>
      </c>
    </row>
    <row r="232" spans="4:34" ht="20.100000000000001" customHeight="1" x14ac:dyDescent="0.25">
      <c r="D232" s="122" t="str">
        <v>GWPN2O</v>
      </c>
      <c r="E232" s="123" t="str">
        <v>Global warming potential for nitrous oxide (t CO2-e / t N2O)</v>
      </c>
      <c r="F232" s="124"/>
      <c r="G232" s="25">
        <f>Common_InputFunctions.Utility_LookupValueInTableNumber("N2O",Table_GWPData[Gas],Table_GWPData[CO2-e factor])</f>
        <v>265</v>
      </c>
      <c r="U232" s="25" t="str">
        <f>TEXT('Input - Site'!$E$12, "mmmm yyyy")</f>
        <v>NO - Not in leaching zone</v>
      </c>
      <c r="V232" s="25" cm="1">
        <f t="array" aca="1" ref="V232:AE243" ca="1">OFFSET(X_Table_PastureBeef_Duration_Method2, 1,1, 12,10)</f>
        <v>31</v>
      </c>
      <c r="W232" s="25">
        <f ca="1"/>
        <v>31</v>
      </c>
      <c r="X232" s="25">
        <f ca="1"/>
        <v>31</v>
      </c>
      <c r="Y232" s="25">
        <f ca="1"/>
        <v>31</v>
      </c>
      <c r="Z232" s="25">
        <f ca="1"/>
        <v>31</v>
      </c>
      <c r="AA232" s="25">
        <f ca="1"/>
        <v>31</v>
      </c>
      <c r="AB232" s="25">
        <f ca="1"/>
        <v>31</v>
      </c>
      <c r="AC232" s="25">
        <f ca="1"/>
        <v>31</v>
      </c>
      <c r="AD232" s="25">
        <f ca="1"/>
        <v>31</v>
      </c>
      <c r="AE232" s="25">
        <f ca="1"/>
        <v>31</v>
      </c>
      <c r="AF232" s="26" t="s">
        <v>418</v>
      </c>
      <c r="AG232" s="26"/>
      <c r="AH232" s="26"/>
    </row>
    <row r="233" spans="4:34" ht="20.100000000000001" customHeight="1" x14ac:dyDescent="0.25">
      <c r="U233" s="25" t="e">
        <f>TEXT(EDATE('Input - Site'!$E$12,1), "mmmm yyyy")</f>
        <v>#VALUE!</v>
      </c>
      <c r="V233" s="25">
        <f ca="1"/>
        <v>29</v>
      </c>
      <c r="W233" s="25">
        <f ca="1"/>
        <v>29</v>
      </c>
      <c r="X233" s="25">
        <f ca="1"/>
        <v>29</v>
      </c>
      <c r="Y233" s="25">
        <f ca="1"/>
        <v>29</v>
      </c>
      <c r="Z233" s="25">
        <f ca="1"/>
        <v>29</v>
      </c>
      <c r="AA233" s="25">
        <f ca="1"/>
        <v>29</v>
      </c>
      <c r="AB233" s="25">
        <f ca="1"/>
        <v>29</v>
      </c>
      <c r="AC233" s="25">
        <f ca="1"/>
        <v>29</v>
      </c>
      <c r="AD233" s="25">
        <f ca="1"/>
        <v>29</v>
      </c>
      <c r="AE233" s="25">
        <f ca="1"/>
        <v>29</v>
      </c>
      <c r="AF233" s="26" t="s">
        <v>418</v>
      </c>
      <c r="AG233" s="26"/>
      <c r="AH233" s="26"/>
    </row>
    <row r="234" spans="4:34" ht="20.100000000000001" customHeight="1" x14ac:dyDescent="0.25">
      <c r="D234" s="118" t="s">
        <v>301</v>
      </c>
      <c r="E234" s="118" cm="1">
        <f t="array" aca="1" ref="E234" ca="1">Common_Equations.Common_ConvertN2OToCO2e(G231,G232)</f>
        <v>50.379819557030622</v>
      </c>
      <c r="F234" s="125" t="str" cm="1">
        <f t="array" ref="F234">Common_Equations.Common_ConvertN2OToCO2e_Unit()</f>
        <v>t CO2e</v>
      </c>
      <c r="U234" s="25" t="e">
        <f>TEXT(EDATE('Input - Site'!$E$12,2), "mmmm yyyy")</f>
        <v>#VALUE!</v>
      </c>
      <c r="V234" s="25">
        <f ca="1"/>
        <v>31</v>
      </c>
      <c r="W234" s="25">
        <f ca="1"/>
        <v>31</v>
      </c>
      <c r="X234" s="25">
        <f ca="1"/>
        <v>31</v>
      </c>
      <c r="Y234" s="25">
        <f ca="1"/>
        <v>31</v>
      </c>
      <c r="Z234" s="25">
        <f ca="1"/>
        <v>31</v>
      </c>
      <c r="AA234" s="25">
        <f ca="1"/>
        <v>31</v>
      </c>
      <c r="AB234" s="25">
        <f ca="1"/>
        <v>31</v>
      </c>
      <c r="AC234" s="25">
        <f ca="1"/>
        <v>31</v>
      </c>
      <c r="AD234" s="25">
        <f ca="1"/>
        <v>31</v>
      </c>
      <c r="AE234" s="25">
        <f ca="1"/>
        <v>31</v>
      </c>
      <c r="AF234" s="26" t="s">
        <v>418</v>
      </c>
      <c r="AG234" s="26"/>
      <c r="AH234" s="26"/>
    </row>
    <row r="235" spans="4:34" ht="20.100000000000001" customHeight="1" x14ac:dyDescent="0.25">
      <c r="U235" s="25" t="e">
        <f>TEXT(EDATE('Input - Site'!$E$12,3), "mmmm yyyy")</f>
        <v>#VALUE!</v>
      </c>
      <c r="V235" s="25">
        <f ca="1"/>
        <v>30</v>
      </c>
      <c r="W235" s="25">
        <f ca="1"/>
        <v>30</v>
      </c>
      <c r="X235" s="25">
        <f ca="1"/>
        <v>30</v>
      </c>
      <c r="Y235" s="25">
        <f ca="1"/>
        <v>30</v>
      </c>
      <c r="Z235" s="25">
        <f ca="1"/>
        <v>30</v>
      </c>
      <c r="AA235" s="25">
        <f ca="1"/>
        <v>30</v>
      </c>
      <c r="AB235" s="25">
        <f ca="1"/>
        <v>30</v>
      </c>
      <c r="AC235" s="25">
        <f ca="1"/>
        <v>30</v>
      </c>
      <c r="AD235" s="25">
        <f ca="1"/>
        <v>30</v>
      </c>
      <c r="AE235" s="25">
        <f ca="1"/>
        <v>30</v>
      </c>
      <c r="AF235" s="26" t="s">
        <v>418</v>
      </c>
      <c r="AG235" s="26"/>
      <c r="AH235" s="26"/>
    </row>
    <row r="236" spans="4:34" ht="20.100000000000001" customHeight="1" x14ac:dyDescent="0.25">
      <c r="U236" s="25" t="e">
        <f>TEXT(EDATE('Input - Site'!$E$12,4), "mmmm yyyy")</f>
        <v>#VALUE!</v>
      </c>
      <c r="V236" s="25">
        <f ca="1"/>
        <v>31</v>
      </c>
      <c r="W236" s="25">
        <f ca="1"/>
        <v>31</v>
      </c>
      <c r="X236" s="25">
        <f ca="1"/>
        <v>31</v>
      </c>
      <c r="Y236" s="25">
        <f ca="1"/>
        <v>31</v>
      </c>
      <c r="Z236" s="25">
        <f ca="1"/>
        <v>31</v>
      </c>
      <c r="AA236" s="25">
        <f ca="1"/>
        <v>31</v>
      </c>
      <c r="AB236" s="25">
        <f ca="1"/>
        <v>31</v>
      </c>
      <c r="AC236" s="25">
        <f ca="1"/>
        <v>31</v>
      </c>
      <c r="AD236" s="25">
        <f ca="1"/>
        <v>31</v>
      </c>
      <c r="AE236" s="25">
        <f ca="1"/>
        <v>31</v>
      </c>
      <c r="AF236" s="26" t="s">
        <v>418</v>
      </c>
      <c r="AG236" s="26"/>
      <c r="AH236" s="26"/>
    </row>
    <row r="237" spans="4:34" ht="20.100000000000001" customHeight="1" x14ac:dyDescent="0.25">
      <c r="U237" s="25" t="e">
        <f>TEXT(EDATE('Input - Site'!$E$12,5), "mmmm yyyy")</f>
        <v>#VALUE!</v>
      </c>
      <c r="V237" s="25">
        <f ca="1"/>
        <v>30</v>
      </c>
      <c r="W237" s="25">
        <f ca="1"/>
        <v>30</v>
      </c>
      <c r="X237" s="25">
        <f ca="1"/>
        <v>30</v>
      </c>
      <c r="Y237" s="25">
        <f ca="1"/>
        <v>30</v>
      </c>
      <c r="Z237" s="25">
        <f ca="1"/>
        <v>30</v>
      </c>
      <c r="AA237" s="25">
        <f ca="1"/>
        <v>30</v>
      </c>
      <c r="AB237" s="25">
        <f ca="1"/>
        <v>30</v>
      </c>
      <c r="AC237" s="25">
        <f ca="1"/>
        <v>30</v>
      </c>
      <c r="AD237" s="25">
        <f ca="1"/>
        <v>30</v>
      </c>
      <c r="AE237" s="25">
        <f ca="1"/>
        <v>30</v>
      </c>
      <c r="AF237" s="26" t="s">
        <v>418</v>
      </c>
      <c r="AG237" s="26"/>
      <c r="AH237" s="26"/>
    </row>
    <row r="238" spans="4:34" ht="20.100000000000001" customHeight="1" x14ac:dyDescent="0.25">
      <c r="U238" s="25" t="e">
        <f>TEXT(EDATE('Input - Site'!$E$12,6), "mmmm yyyy")</f>
        <v>#VALUE!</v>
      </c>
      <c r="V238" s="25">
        <f ca="1"/>
        <v>31</v>
      </c>
      <c r="W238" s="25">
        <f ca="1"/>
        <v>31</v>
      </c>
      <c r="X238" s="25">
        <f ca="1"/>
        <v>31</v>
      </c>
      <c r="Y238" s="25">
        <f ca="1"/>
        <v>31</v>
      </c>
      <c r="Z238" s="25">
        <f ca="1"/>
        <v>31</v>
      </c>
      <c r="AA238" s="25">
        <f ca="1"/>
        <v>31</v>
      </c>
      <c r="AB238" s="25">
        <f ca="1"/>
        <v>31</v>
      </c>
      <c r="AC238" s="25">
        <f ca="1"/>
        <v>31</v>
      </c>
      <c r="AD238" s="25">
        <f ca="1"/>
        <v>31</v>
      </c>
      <c r="AE238" s="25">
        <f ca="1"/>
        <v>31</v>
      </c>
      <c r="AF238" s="26" t="s">
        <v>418</v>
      </c>
      <c r="AG238" s="26"/>
      <c r="AH238" s="26"/>
    </row>
    <row r="239" spans="4:34" ht="20.100000000000001" customHeight="1" x14ac:dyDescent="0.25">
      <c r="U239" s="25" t="e">
        <f>TEXT(EDATE('Input - Site'!$E$12,7), "mmmm yyyy")</f>
        <v>#VALUE!</v>
      </c>
      <c r="V239" s="25">
        <f ca="1"/>
        <v>31</v>
      </c>
      <c r="W239" s="25">
        <f ca="1"/>
        <v>31</v>
      </c>
      <c r="X239" s="25">
        <f ca="1"/>
        <v>31</v>
      </c>
      <c r="Y239" s="25">
        <f ca="1"/>
        <v>31</v>
      </c>
      <c r="Z239" s="25">
        <f ca="1"/>
        <v>31</v>
      </c>
      <c r="AA239" s="25">
        <f ca="1"/>
        <v>31</v>
      </c>
      <c r="AB239" s="25">
        <f ca="1"/>
        <v>31</v>
      </c>
      <c r="AC239" s="25">
        <f ca="1"/>
        <v>31</v>
      </c>
      <c r="AD239" s="25">
        <f ca="1"/>
        <v>31</v>
      </c>
      <c r="AE239" s="25">
        <f ca="1"/>
        <v>31</v>
      </c>
      <c r="AF239" s="26" t="s">
        <v>418</v>
      </c>
      <c r="AG239" s="26"/>
      <c r="AH239" s="26"/>
    </row>
    <row r="240" spans="4:34" ht="20.100000000000001" customHeight="1" x14ac:dyDescent="0.25">
      <c r="U240" s="25" t="e">
        <f>TEXT(EDATE('Input - Site'!$E$12,8), "mmmm yyyy")</f>
        <v>#VALUE!</v>
      </c>
      <c r="V240" s="25">
        <f ca="1"/>
        <v>30</v>
      </c>
      <c r="W240" s="25">
        <f ca="1"/>
        <v>30</v>
      </c>
      <c r="X240" s="25">
        <f ca="1"/>
        <v>30</v>
      </c>
      <c r="Y240" s="25">
        <f ca="1"/>
        <v>30</v>
      </c>
      <c r="Z240" s="25">
        <f ca="1"/>
        <v>30</v>
      </c>
      <c r="AA240" s="25">
        <f ca="1"/>
        <v>30</v>
      </c>
      <c r="AB240" s="25">
        <f ca="1"/>
        <v>30</v>
      </c>
      <c r="AC240" s="25">
        <f ca="1"/>
        <v>30</v>
      </c>
      <c r="AD240" s="25">
        <f ca="1"/>
        <v>30</v>
      </c>
      <c r="AE240" s="25">
        <f ca="1"/>
        <v>30</v>
      </c>
      <c r="AF240" s="26" t="s">
        <v>418</v>
      </c>
      <c r="AG240" s="26"/>
      <c r="AH240" s="26"/>
    </row>
    <row r="241" spans="21:34" ht="20.100000000000001" customHeight="1" x14ac:dyDescent="0.25">
      <c r="U241" s="25" t="e">
        <f>TEXT(EDATE('Input - Site'!$E$12,9), "mmmm yyyy")</f>
        <v>#VALUE!</v>
      </c>
      <c r="V241" s="25">
        <f ca="1"/>
        <v>31</v>
      </c>
      <c r="W241" s="25">
        <f ca="1"/>
        <v>31</v>
      </c>
      <c r="X241" s="25">
        <f ca="1"/>
        <v>31</v>
      </c>
      <c r="Y241" s="25">
        <f ca="1"/>
        <v>31</v>
      </c>
      <c r="Z241" s="25">
        <f ca="1"/>
        <v>31</v>
      </c>
      <c r="AA241" s="25">
        <f ca="1"/>
        <v>31</v>
      </c>
      <c r="AB241" s="25">
        <f ca="1"/>
        <v>31</v>
      </c>
      <c r="AC241" s="25">
        <f ca="1"/>
        <v>31</v>
      </c>
      <c r="AD241" s="25">
        <f ca="1"/>
        <v>31</v>
      </c>
      <c r="AE241" s="25">
        <f ca="1"/>
        <v>31</v>
      </c>
      <c r="AF241" s="26" t="s">
        <v>418</v>
      </c>
      <c r="AG241" s="26"/>
      <c r="AH241" s="26"/>
    </row>
    <row r="242" spans="21:34" ht="20.100000000000001" customHeight="1" x14ac:dyDescent="0.25">
      <c r="U242" s="25" t="e">
        <f>TEXT(EDATE('Input - Site'!$E$12,10), "mmmm yyyy")</f>
        <v>#VALUE!</v>
      </c>
      <c r="V242" s="25">
        <f ca="1"/>
        <v>30</v>
      </c>
      <c r="W242" s="25">
        <f ca="1"/>
        <v>30</v>
      </c>
      <c r="X242" s="25">
        <f ca="1"/>
        <v>30</v>
      </c>
      <c r="Y242" s="25">
        <f ca="1"/>
        <v>30</v>
      </c>
      <c r="Z242" s="25">
        <f ca="1"/>
        <v>30</v>
      </c>
      <c r="AA242" s="25">
        <f ca="1"/>
        <v>30</v>
      </c>
      <c r="AB242" s="25">
        <f ca="1"/>
        <v>30</v>
      </c>
      <c r="AC242" s="25">
        <f ca="1"/>
        <v>30</v>
      </c>
      <c r="AD242" s="25">
        <f ca="1"/>
        <v>30</v>
      </c>
      <c r="AE242" s="25">
        <f ca="1"/>
        <v>30</v>
      </c>
      <c r="AF242" s="26" t="s">
        <v>418</v>
      </c>
      <c r="AG242" s="26"/>
      <c r="AH242" s="26"/>
    </row>
    <row r="243" spans="21:34" ht="20.100000000000001" customHeight="1" x14ac:dyDescent="0.25">
      <c r="U243" s="25" t="e">
        <f>TEXT(EDATE('Input - Site'!$E$12,11), "mmmm yyyy")</f>
        <v>#VALUE!</v>
      </c>
      <c r="V243" s="25">
        <f ca="1"/>
        <v>31</v>
      </c>
      <c r="W243" s="25">
        <f ca="1"/>
        <v>31</v>
      </c>
      <c r="X243" s="25">
        <f ca="1"/>
        <v>31</v>
      </c>
      <c r="Y243" s="25">
        <f ca="1"/>
        <v>31</v>
      </c>
      <c r="Z243" s="25">
        <f ca="1"/>
        <v>31</v>
      </c>
      <c r="AA243" s="25">
        <f ca="1"/>
        <v>31</v>
      </c>
      <c r="AB243" s="25">
        <f ca="1"/>
        <v>31</v>
      </c>
      <c r="AC243" s="25">
        <f ca="1"/>
        <v>31</v>
      </c>
      <c r="AD243" s="25">
        <f ca="1"/>
        <v>31</v>
      </c>
      <c r="AE243" s="25">
        <f ca="1"/>
        <v>31</v>
      </c>
      <c r="AF243" s="26" t="s">
        <v>418</v>
      </c>
      <c r="AG243" s="26"/>
      <c r="AH243" s="26"/>
    </row>
    <row r="244" spans="21:34" ht="20.100000000000001" customHeight="1" x14ac:dyDescent="0.25"/>
    <row r="245" spans="21:34" ht="20.100000000000001" customHeight="1" x14ac:dyDescent="0.25">
      <c r="U245" s="114" t="s">
        <v>460</v>
      </c>
    </row>
    <row r="246" spans="21:34" ht="20.100000000000001" customHeight="1" x14ac:dyDescent="0.25">
      <c r="U246" s="115" t="s">
        <v>461</v>
      </c>
    </row>
    <row r="247" spans="21:34" ht="20.100000000000001" customHeight="1" x14ac:dyDescent="0.25">
      <c r="U247" s="116" t="s">
        <v>77</v>
      </c>
      <c r="V247" s="116" t="s">
        <v>193</v>
      </c>
      <c r="W247" s="116" t="s">
        <v>194</v>
      </c>
      <c r="X247" s="116" t="s">
        <v>195</v>
      </c>
      <c r="Y247" s="116" t="s">
        <v>196</v>
      </c>
      <c r="Z247" s="116" t="s">
        <v>197</v>
      </c>
      <c r="AA247" s="116" t="s">
        <v>198</v>
      </c>
      <c r="AB247" s="116" t="s">
        <v>199</v>
      </c>
      <c r="AC247" s="116" t="s">
        <v>200</v>
      </c>
      <c r="AD247" s="116" t="s">
        <v>201</v>
      </c>
      <c r="AE247" s="116" t="s">
        <v>202</v>
      </c>
    </row>
    <row r="248" spans="21:34" ht="20.100000000000001" customHeight="1" x14ac:dyDescent="0.25">
      <c r="U248" s="25" t="str">
        <f>TEXT('Input - Site'!$E$12, "mmmm yyyy")</f>
        <v>NO - Not in leaching zone</v>
      </c>
      <c r="V248" s="25" cm="1">
        <f t="array" aca="1" ref="V248" ca="1">MMS_PastureBeef_Soil_N2ODirect_Equations.VEERG_4_2_1_3__2_TotalNitrogenExcretedToPastureRangeAndPaddock(V216,V196,V232)</f>
        <v>289.15319378762229</v>
      </c>
      <c r="W248" s="25" cm="1">
        <f t="array" aca="1" ref="W248" ca="1">MMS_PastureBeef_Soil_N2ODirect_Equations.VEERG_4_2_1_3__2_TotalNitrogenExcretedToPastureRangeAndPaddock(W216,W196,W232)</f>
        <v>421.65805292524783</v>
      </c>
      <c r="X248" s="25" cm="1">
        <f t="array" aca="1" ref="X248" ca="1">MMS_PastureBeef_Soil_N2ODirect_Equations.VEERG_4_2_1_3__2_TotalNitrogenExcretedToPastureRangeAndPaddock(X216,X196,X232)</f>
        <v>241.21418667705774</v>
      </c>
      <c r="Y248" s="25" cm="1">
        <f t="array" aca="1" ref="Y248" ca="1">MMS_PastureBeef_Soil_N2ODirect_Equations.VEERG_4_2_1_3__2_TotalNitrogenExcretedToPastureRangeAndPaddock(Y216,Y196,Y232)</f>
        <v>333.49911231828059</v>
      </c>
      <c r="Z248" s="25" cm="1">
        <f t="array" aca="1" ref="Z248" ca="1">MMS_PastureBeef_Soil_N2ODirect_Equations.VEERG_4_2_1_3__2_TotalNitrogenExcretedToPastureRangeAndPaddock(Z216,Z196,Z232)</f>
        <v>349.56191728267925</v>
      </c>
      <c r="AA248" s="25" cm="1">
        <f t="array" aca="1" ref="AA248" ca="1">MMS_PastureBeef_Soil_N2ODirect_Equations.VEERG_4_2_1_3__2_TotalNitrogenExcretedToPastureRangeAndPaddock(AA216,AA196,AA232)</f>
        <v>349.56191728267925</v>
      </c>
      <c r="AB248" s="25" cm="1">
        <f t="array" aca="1" ref="AB248" ca="1">MMS_PastureBeef_Soil_N2ODirect_Equations.VEERG_4_2_1_3__2_TotalNitrogenExcretedToPastureRangeAndPaddock(AB216,AB196,AB232)</f>
        <v>265.4390677122351</v>
      </c>
      <c r="AC248" s="25" cm="1">
        <f t="array" aca="1" ref="AC248" ca="1">MMS_PastureBeef_Soil_N2ODirect_Equations.VEERG_4_2_1_3__2_TotalNitrogenExcretedToPastureRangeAndPaddock(AC216,AC196,AC232)</f>
        <v>326.89236244194075</v>
      </c>
      <c r="AD248" s="25" cm="1">
        <f t="array" aca="1" ref="AD248" ca="1">MMS_PastureBeef_Soil_N2ODirect_Equations.VEERG_4_2_1_3__2_TotalNitrogenExcretedToPastureRangeAndPaddock(AD216,AD196,AD232)</f>
        <v>326.89236244194075</v>
      </c>
      <c r="AE248" s="25" cm="1">
        <f t="array" aca="1" ref="AE248" ca="1">MMS_PastureBeef_Soil_N2ODirect_Equations.VEERG_4_2_1_3__2_TotalNitrogenExcretedToPastureRangeAndPaddock(AE216,AE196,AE232)</f>
        <v>326.89236244194075</v>
      </c>
      <c r="AF248" s="26" t="str">
        <f t="shared" ref="AF248:AF259" si="10">$E$182</f>
        <v>kg N</v>
      </c>
      <c r="AG248" s="26"/>
      <c r="AH248" s="26"/>
    </row>
    <row r="249" spans="21:34" ht="20.100000000000001" customHeight="1" x14ac:dyDescent="0.25">
      <c r="U249" s="25" t="e">
        <f>TEXT(EDATE('Input - Site'!$E$12,1), "mmmm yyyy")</f>
        <v>#VALUE!</v>
      </c>
      <c r="V249" s="25" cm="1">
        <f t="array" aca="1" ref="V249" ca="1">MMS_PastureBeef_Soil_N2ODirect_Equations.VEERG_4_2_1_3__2_TotalNitrogenExcretedToPastureRangeAndPaddock(V217,V197,V233)</f>
        <v>270.49814902713058</v>
      </c>
      <c r="W249" s="25" cm="1">
        <f t="array" aca="1" ref="W249" ca="1">MMS_PastureBeef_Soil_N2ODirect_Equations.VEERG_4_2_1_3__2_TotalNitrogenExcretedToPastureRangeAndPaddock(W217,W197,W233)</f>
        <v>394.45430757523184</v>
      </c>
      <c r="X249" s="25" cm="1">
        <f t="array" aca="1" ref="X249" ca="1">MMS_PastureBeef_Soil_N2ODirect_Equations.VEERG_4_2_1_3__2_TotalNitrogenExcretedToPastureRangeAndPaddock(X217,X197,X233)</f>
        <v>225.6519810849895</v>
      </c>
      <c r="Y249" s="25" cm="1">
        <f t="array" aca="1" ref="Y249" ca="1">MMS_PastureBeef_Soil_N2ODirect_Equations.VEERG_4_2_1_3__2_TotalNitrogenExcretedToPastureRangeAndPaddock(Y217,Y197,Y233)</f>
        <v>311.98304055581087</v>
      </c>
      <c r="Z249" s="25" cm="1">
        <f t="array" aca="1" ref="Z249" ca="1">MMS_PastureBeef_Soil_N2ODirect_Equations.VEERG_4_2_1_3__2_TotalNitrogenExcretedToPastureRangeAndPaddock(Z217,Z197,Z233)</f>
        <v>327.00953552250638</v>
      </c>
      <c r="AA249" s="25" cm="1">
        <f t="array" aca="1" ref="AA249" ca="1">MMS_PastureBeef_Soil_N2ODirect_Equations.VEERG_4_2_1_3__2_TotalNitrogenExcretedToPastureRangeAndPaddock(AA217,AA197,AA233)</f>
        <v>327.00953552250638</v>
      </c>
      <c r="AB249" s="25" cm="1">
        <f t="array" aca="1" ref="AB249" ca="1">MMS_PastureBeef_Soil_N2ODirect_Equations.VEERG_4_2_1_3__2_TotalNitrogenExcretedToPastureRangeAndPaddock(AB217,AB197,AB233)</f>
        <v>248.31396656951023</v>
      </c>
      <c r="AC249" s="25" cm="1">
        <f t="array" aca="1" ref="AC249" ca="1">MMS_PastureBeef_Soil_N2ODirect_Equations.VEERG_4_2_1_3__2_TotalNitrogenExcretedToPastureRangeAndPaddock(AC217,AC197,AC233)</f>
        <v>305.8025326069768</v>
      </c>
      <c r="AD249" s="25" cm="1">
        <f t="array" aca="1" ref="AD249" ca="1">MMS_PastureBeef_Soil_N2ODirect_Equations.VEERG_4_2_1_3__2_TotalNitrogenExcretedToPastureRangeAndPaddock(AD217,AD197,AD233)</f>
        <v>305.8025326069768</v>
      </c>
      <c r="AE249" s="25" cm="1">
        <f t="array" aca="1" ref="AE249" ca="1">MMS_PastureBeef_Soil_N2ODirect_Equations.VEERG_4_2_1_3__2_TotalNitrogenExcretedToPastureRangeAndPaddock(AE217,AE197,AE233)</f>
        <v>305.8025326069768</v>
      </c>
      <c r="AF249" s="26" t="str">
        <f t="shared" si="10"/>
        <v>kg N</v>
      </c>
      <c r="AG249" s="26"/>
      <c r="AH249" s="26"/>
    </row>
    <row r="250" spans="21:34" ht="20.100000000000001" customHeight="1" x14ac:dyDescent="0.25">
      <c r="U250" s="25" t="e">
        <f>TEXT(EDATE('Input - Site'!$E$12,2), "mmmm yyyy")</f>
        <v>#VALUE!</v>
      </c>
      <c r="V250" s="25" cm="1">
        <f t="array" aca="1" ref="V250" ca="1">MMS_PastureBeef_Soil_N2ODirect_Equations.VEERG_4_2_1_3__2_TotalNitrogenExcretedToPastureRangeAndPaddock(V218,V198,V234)</f>
        <v>41.820820957231291</v>
      </c>
      <c r="W250" s="25" cm="1">
        <f t="array" aca="1" ref="W250" ca="1">MMS_PastureBeef_Soil_N2ODirect_Equations.VEERG_4_2_1_3__2_TotalNitrogenExcretedToPastureRangeAndPaddock(W218,W198,W234)</f>
        <v>273.21237326588823</v>
      </c>
      <c r="X250" s="25" cm="1">
        <f t="array" aca="1" ref="X250" ca="1">MMS_PastureBeef_Soil_N2ODirect_Equations.VEERG_4_2_1_3__2_TotalNitrogenExcretedToPastureRangeAndPaddock(X218,X198,X234)</f>
        <v>34.105886288846641</v>
      </c>
      <c r="Y250" s="25" cm="1">
        <f t="array" aca="1" ref="Y250" ca="1">MMS_PastureBeef_Soil_N2ODirect_Equations.VEERG_4_2_1_3__2_TotalNitrogenExcretedToPastureRangeAndPaddock(Y218,Y198,Y234)</f>
        <v>162.22400157554256</v>
      </c>
      <c r="Z250" s="25" cm="1">
        <f t="array" aca="1" ref="Z250" ca="1">MMS_PastureBeef_Soil_N2ODirect_Equations.VEERG_4_2_1_3__2_TotalNitrogenExcretedToPastureRangeAndPaddock(Z218,Z198,Z234)</f>
        <v>214.47375788400842</v>
      </c>
      <c r="AA250" s="25" cm="1">
        <f t="array" aca="1" ref="AA250" ca="1">MMS_PastureBeef_Soil_N2ODirect_Equations.VEERG_4_2_1_3__2_TotalNitrogenExcretedToPastureRangeAndPaddock(AA218,AA198,AA234)</f>
        <v>214.47375788400842</v>
      </c>
      <c r="AB250" s="25" cm="1">
        <f t="array" aca="1" ref="AB250" ca="1">MMS_PastureBeef_Soil_N2ODirect_Equations.VEERG_4_2_1_3__2_TotalNitrogenExcretedToPastureRangeAndPaddock(AB218,AB198,AB234)</f>
        <v>42.567922288540977</v>
      </c>
      <c r="AC250" s="25" cm="1">
        <f t="array" aca="1" ref="AC250" ca="1">MMS_PastureBeef_Soil_N2ODirect_Equations.VEERG_4_2_1_3__2_TotalNitrogenExcretedToPastureRangeAndPaddock(AC218,AC198,AC234)</f>
        <v>171.12645843343526</v>
      </c>
      <c r="AD250" s="25" cm="1">
        <f t="array" aca="1" ref="AD250" ca="1">MMS_PastureBeef_Soil_N2ODirect_Equations.VEERG_4_2_1_3__2_TotalNitrogenExcretedToPastureRangeAndPaddock(AD218,AD198,AD234)</f>
        <v>171.12645843343526</v>
      </c>
      <c r="AE250" s="25" cm="1">
        <f t="array" aca="1" ref="AE250" ca="1">MMS_PastureBeef_Soil_N2ODirect_Equations.VEERG_4_2_1_3__2_TotalNitrogenExcretedToPastureRangeAndPaddock(AE218,AE198,AE234)</f>
        <v>171.12645843343526</v>
      </c>
      <c r="AF250" s="26" t="str">
        <f t="shared" si="10"/>
        <v>kg N</v>
      </c>
      <c r="AG250" s="26"/>
      <c r="AH250" s="26"/>
    </row>
    <row r="251" spans="21:34" ht="20.100000000000001" customHeight="1" x14ac:dyDescent="0.25">
      <c r="U251" s="25" t="e">
        <f>TEXT(EDATE('Input - Site'!$E$12,3), "mmmm yyyy")</f>
        <v>#VALUE!</v>
      </c>
      <c r="V251" s="25" cm="1">
        <f t="array" aca="1" ref="V251" ca="1">MMS_PastureBeef_Soil_N2ODirect_Equations.VEERG_4_2_1_3__2_TotalNitrogenExcretedToPastureRangeAndPaddock(V219,V199,V235)</f>
        <v>40.471762216675444</v>
      </c>
      <c r="W251" s="25" cm="1">
        <f t="array" aca="1" ref="W251" ca="1">MMS_PastureBeef_Soil_N2ODirect_Equations.VEERG_4_2_1_3__2_TotalNitrogenExcretedToPastureRangeAndPaddock(W219,W199,W235)</f>
        <v>264.39907090247249</v>
      </c>
      <c r="X251" s="25" cm="1">
        <f t="array" aca="1" ref="X251" ca="1">MMS_PastureBeef_Soil_N2ODirect_Equations.VEERG_4_2_1_3__2_TotalNitrogenExcretedToPastureRangeAndPaddock(X219,X199,X235)</f>
        <v>33.005696408561263</v>
      </c>
      <c r="Y251" s="25" cm="1">
        <f t="array" aca="1" ref="Y251" ca="1">MMS_PastureBeef_Soil_N2ODirect_Equations.VEERG_4_2_1_3__2_TotalNitrogenExcretedToPastureRangeAndPaddock(Y219,Y199,Y235)</f>
        <v>156.9909692666541</v>
      </c>
      <c r="Z251" s="25" cm="1">
        <f t="array" aca="1" ref="Z251" ca="1">MMS_PastureBeef_Soil_N2ODirect_Equations.VEERG_4_2_1_3__2_TotalNitrogenExcretedToPastureRangeAndPaddock(Z219,Z199,Z235)</f>
        <v>207.55524956516945</v>
      </c>
      <c r="AA251" s="25" cm="1">
        <f t="array" aca="1" ref="AA251" ca="1">MMS_PastureBeef_Soil_N2ODirect_Equations.VEERG_4_2_1_3__2_TotalNitrogenExcretedToPastureRangeAndPaddock(AA219,AA199,AA235)</f>
        <v>207.55524956516945</v>
      </c>
      <c r="AB251" s="25" cm="1">
        <f t="array" aca="1" ref="AB251" ca="1">MMS_PastureBeef_Soil_N2ODirect_Equations.VEERG_4_2_1_3__2_TotalNitrogenExcretedToPastureRangeAndPaddock(AB219,AB199,AB235)</f>
        <v>41.19476350503966</v>
      </c>
      <c r="AC251" s="25" cm="1">
        <f t="array" aca="1" ref="AC251" ca="1">MMS_PastureBeef_Soil_N2ODirect_Equations.VEERG_4_2_1_3__2_TotalNitrogenExcretedToPastureRangeAndPaddock(AC219,AC199,AC235)</f>
        <v>165.60625009687283</v>
      </c>
      <c r="AD251" s="25" cm="1">
        <f t="array" aca="1" ref="AD251" ca="1">MMS_PastureBeef_Soil_N2ODirect_Equations.VEERG_4_2_1_3__2_TotalNitrogenExcretedToPastureRangeAndPaddock(AD219,AD199,AD235)</f>
        <v>165.60625009687283</v>
      </c>
      <c r="AE251" s="25" cm="1">
        <f t="array" aca="1" ref="AE251" ca="1">MMS_PastureBeef_Soil_N2ODirect_Equations.VEERG_4_2_1_3__2_TotalNitrogenExcretedToPastureRangeAndPaddock(AE219,AE199,AE235)</f>
        <v>165.60625009687283</v>
      </c>
      <c r="AF251" s="26" t="str">
        <f t="shared" si="10"/>
        <v>kg N</v>
      </c>
      <c r="AG251" s="26"/>
      <c r="AH251" s="26"/>
    </row>
    <row r="252" spans="21:34" ht="20.100000000000001" customHeight="1" x14ac:dyDescent="0.25">
      <c r="U252" s="25" t="e">
        <f>TEXT(EDATE('Input - Site'!$E$12,4), "mmmm yyyy")</f>
        <v>#VALUE!</v>
      </c>
      <c r="V252" s="25" cm="1">
        <f t="array" aca="1" ref="V252" ca="1">MMS_PastureBeef_Soil_N2ODirect_Equations.VEERG_4_2_1_3__2_TotalNitrogenExcretedToPastureRangeAndPaddock(V220,V200,V236)</f>
        <v>41.820820957231291</v>
      </c>
      <c r="W252" s="25" cm="1">
        <f t="array" aca="1" ref="W252" ca="1">MMS_PastureBeef_Soil_N2ODirect_Equations.VEERG_4_2_1_3__2_TotalNitrogenExcretedToPastureRangeAndPaddock(W220,W200,W236)</f>
        <v>273.21237326588823</v>
      </c>
      <c r="X252" s="25" cm="1">
        <f t="array" aca="1" ref="X252" ca="1">MMS_PastureBeef_Soil_N2ODirect_Equations.VEERG_4_2_1_3__2_TotalNitrogenExcretedToPastureRangeAndPaddock(X220,X200,X236)</f>
        <v>34.105886288846641</v>
      </c>
      <c r="Y252" s="25" cm="1">
        <f t="array" aca="1" ref="Y252" ca="1">MMS_PastureBeef_Soil_N2ODirect_Equations.VEERG_4_2_1_3__2_TotalNitrogenExcretedToPastureRangeAndPaddock(Y220,Y200,Y236)</f>
        <v>162.22400157554256</v>
      </c>
      <c r="Z252" s="25" cm="1">
        <f t="array" aca="1" ref="Z252" ca="1">MMS_PastureBeef_Soil_N2ODirect_Equations.VEERG_4_2_1_3__2_TotalNitrogenExcretedToPastureRangeAndPaddock(Z220,Z200,Z236)</f>
        <v>214.47375788400842</v>
      </c>
      <c r="AA252" s="25" cm="1">
        <f t="array" aca="1" ref="AA252" ca="1">MMS_PastureBeef_Soil_N2ODirect_Equations.VEERG_4_2_1_3__2_TotalNitrogenExcretedToPastureRangeAndPaddock(AA220,AA200,AA236)</f>
        <v>214.47375788400842</v>
      </c>
      <c r="AB252" s="25" cm="1">
        <f t="array" aca="1" ref="AB252" ca="1">MMS_PastureBeef_Soil_N2ODirect_Equations.VEERG_4_2_1_3__2_TotalNitrogenExcretedToPastureRangeAndPaddock(AB220,AB200,AB236)</f>
        <v>42.567922288540977</v>
      </c>
      <c r="AC252" s="25" cm="1">
        <f t="array" aca="1" ref="AC252" ca="1">MMS_PastureBeef_Soil_N2ODirect_Equations.VEERG_4_2_1_3__2_TotalNitrogenExcretedToPastureRangeAndPaddock(AC220,AC200,AC236)</f>
        <v>171.12645843343526</v>
      </c>
      <c r="AD252" s="25" cm="1">
        <f t="array" aca="1" ref="AD252" ca="1">MMS_PastureBeef_Soil_N2ODirect_Equations.VEERG_4_2_1_3__2_TotalNitrogenExcretedToPastureRangeAndPaddock(AD220,AD200,AD236)</f>
        <v>171.12645843343526</v>
      </c>
      <c r="AE252" s="25" cm="1">
        <f t="array" aca="1" ref="AE252" ca="1">MMS_PastureBeef_Soil_N2ODirect_Equations.VEERG_4_2_1_3__2_TotalNitrogenExcretedToPastureRangeAndPaddock(AE220,AE200,AE236)</f>
        <v>171.12645843343526</v>
      </c>
      <c r="AF252" s="26" t="str">
        <f t="shared" si="10"/>
        <v>kg N</v>
      </c>
      <c r="AG252" s="26"/>
      <c r="AH252" s="26"/>
    </row>
    <row r="253" spans="21:34" ht="20.100000000000001" customHeight="1" x14ac:dyDescent="0.25">
      <c r="U253" s="25" t="e">
        <f>TEXT(EDATE('Input - Site'!$E$12,5), "mmmm yyyy")</f>
        <v>#VALUE!</v>
      </c>
      <c r="V253" s="25" cm="1">
        <f t="array" aca="1" ref="V253" ca="1">MMS_PastureBeef_Soil_N2ODirect_Equations.VEERG_4_2_1_3__2_TotalNitrogenExcretedToPastureRangeAndPaddock(V221,V201,V237)</f>
        <v>413.18213355318102</v>
      </c>
      <c r="W253" s="25" cm="1">
        <f t="array" aca="1" ref="W253" ca="1">MMS_PastureBeef_Soil_N2ODirect_Equations.VEERG_4_2_1_3__2_TotalNitrogenExcretedToPastureRangeAndPaddock(W221,W201,W237)</f>
        <v>942.76024604375755</v>
      </c>
      <c r="X253" s="25" cm="1">
        <f t="array" aca="1" ref="X253" ca="1">MMS_PastureBeef_Soil_N2ODirect_Equations.VEERG_4_2_1_3__2_TotalNitrogenExcretedToPastureRangeAndPaddock(X221,X201,X237)</f>
        <v>342.91705590235108</v>
      </c>
      <c r="Y253" s="25" cm="1">
        <f t="array" aca="1" ref="Y253" ca="1">MMS_PastureBeef_Soil_N2ODirect_Equations.VEERG_4_2_1_3__2_TotalNitrogenExcretedToPastureRangeAndPaddock(Y221,Y201,Y237)</f>
        <v>559.82295869692348</v>
      </c>
      <c r="Z253" s="25" cm="1">
        <f t="array" aca="1" ref="Z253" ca="1">MMS_PastureBeef_Soil_N2ODirect_Equations.VEERG_4_2_1_3__2_TotalNitrogenExcretedToPastureRangeAndPaddock(Z221,Z201,Z237)</f>
        <v>754.06991848471978</v>
      </c>
      <c r="AA253" s="25" cm="1">
        <f t="array" aca="1" ref="AA253" ca="1">MMS_PastureBeef_Soil_N2ODirect_Equations.VEERG_4_2_1_3__2_TotalNitrogenExcretedToPastureRangeAndPaddock(AA221,AA201,AA237)</f>
        <v>754.06991848471978</v>
      </c>
      <c r="AB253" s="25" cm="1">
        <f t="array" aca="1" ref="AB253" ca="1">MMS_PastureBeef_Soil_N2ODirect_Equations.VEERG_4_2_1_3__2_TotalNitrogenExcretedToPastureRangeAndPaddock(AB221,AB201,AB237)</f>
        <v>371.42949201308153</v>
      </c>
      <c r="AC253" s="25" cm="1">
        <f t="array" aca="1" ref="AC253" ca="1">MMS_PastureBeef_Soil_N2ODirect_Equations.VEERG_4_2_1_3__2_TotalNitrogenExcretedToPastureRangeAndPaddock(AC221,AC201,AC237)</f>
        <v>632.73028069278769</v>
      </c>
      <c r="AD253" s="25" cm="1">
        <f t="array" aca="1" ref="AD253" ca="1">MMS_PastureBeef_Soil_N2ODirect_Equations.VEERG_4_2_1_3__2_TotalNitrogenExcretedToPastureRangeAndPaddock(AD221,AD201,AD237)</f>
        <v>632.73028069278769</v>
      </c>
      <c r="AE253" s="25" cm="1">
        <f t="array" aca="1" ref="AE253" ca="1">MMS_PastureBeef_Soil_N2ODirect_Equations.VEERG_4_2_1_3__2_TotalNitrogenExcretedToPastureRangeAndPaddock(AE221,AE201,AE237)</f>
        <v>632.73028069278769</v>
      </c>
      <c r="AF253" s="26" t="str">
        <f t="shared" si="10"/>
        <v>kg N</v>
      </c>
      <c r="AG253" s="26"/>
      <c r="AH253" s="26"/>
    </row>
    <row r="254" spans="21:34" ht="20.100000000000001" customHeight="1" x14ac:dyDescent="0.25">
      <c r="U254" s="25" t="e">
        <f>TEXT(EDATE('Input - Site'!$E$12,6), "mmmm yyyy")</f>
        <v>#VALUE!</v>
      </c>
      <c r="V254" s="25" cm="1">
        <f t="array" aca="1" ref="V254" ca="1">MMS_PastureBeef_Soil_N2ODirect_Equations.VEERG_4_2_1_3__2_TotalNitrogenExcretedToPastureRangeAndPaddock(V222,V202,V238)</f>
        <v>426.95487133828709</v>
      </c>
      <c r="W254" s="25" cm="1">
        <f t="array" aca="1" ref="W254" ca="1">MMS_PastureBeef_Soil_N2ODirect_Equations.VEERG_4_2_1_3__2_TotalNitrogenExcretedToPastureRangeAndPaddock(W222,W202,W238)</f>
        <v>974.18558757854953</v>
      </c>
      <c r="X254" s="25" cm="1">
        <f t="array" aca="1" ref="X254" ca="1">MMS_PastureBeef_Soil_N2ODirect_Equations.VEERG_4_2_1_3__2_TotalNitrogenExcretedToPastureRangeAndPaddock(X222,X202,X238)</f>
        <v>354.34762443242948</v>
      </c>
      <c r="Y254" s="25" cm="1">
        <f t="array" aca="1" ref="Y254" ca="1">MMS_PastureBeef_Soil_N2ODirect_Equations.VEERG_4_2_1_3__2_TotalNitrogenExcretedToPastureRangeAndPaddock(Y222,Y202,Y238)</f>
        <v>578.48372398682091</v>
      </c>
      <c r="Z254" s="25" cm="1">
        <f t="array" aca="1" ref="Z254" ca="1">MMS_PastureBeef_Soil_N2ODirect_Equations.VEERG_4_2_1_3__2_TotalNitrogenExcretedToPastureRangeAndPaddock(Z222,Z202,Z238)</f>
        <v>779.20558243421044</v>
      </c>
      <c r="AA254" s="25" cm="1">
        <f t="array" aca="1" ref="AA254" ca="1">MMS_PastureBeef_Soil_N2ODirect_Equations.VEERG_4_2_1_3__2_TotalNitrogenExcretedToPastureRangeAndPaddock(AA222,AA202,AA238)</f>
        <v>779.20558243421044</v>
      </c>
      <c r="AB254" s="25" cm="1">
        <f t="array" aca="1" ref="AB254" ca="1">MMS_PastureBeef_Soil_N2ODirect_Equations.VEERG_4_2_1_3__2_TotalNitrogenExcretedToPastureRangeAndPaddock(AB222,AB202,AB238)</f>
        <v>383.81047508018423</v>
      </c>
      <c r="AC254" s="25" cm="1">
        <f t="array" aca="1" ref="AC254" ca="1">MMS_PastureBeef_Soil_N2ODirect_Equations.VEERG_4_2_1_3__2_TotalNitrogenExcretedToPastureRangeAndPaddock(AC222,AC202,AC238)</f>
        <v>653.82129004921387</v>
      </c>
      <c r="AD254" s="25" cm="1">
        <f t="array" aca="1" ref="AD254" ca="1">MMS_PastureBeef_Soil_N2ODirect_Equations.VEERG_4_2_1_3__2_TotalNitrogenExcretedToPastureRangeAndPaddock(AD222,AD202,AD238)</f>
        <v>653.82129004921387</v>
      </c>
      <c r="AE254" s="25" cm="1">
        <f t="array" aca="1" ref="AE254" ca="1">MMS_PastureBeef_Soil_N2ODirect_Equations.VEERG_4_2_1_3__2_TotalNitrogenExcretedToPastureRangeAndPaddock(AE222,AE202,AE238)</f>
        <v>653.82129004921387</v>
      </c>
      <c r="AF254" s="26" t="str">
        <f t="shared" si="10"/>
        <v>kg N</v>
      </c>
      <c r="AG254" s="26"/>
      <c r="AH254" s="26"/>
    </row>
    <row r="255" spans="21:34" ht="20.100000000000001" customHeight="1" x14ac:dyDescent="0.25">
      <c r="U255" s="25" t="e">
        <f>TEXT(EDATE('Input - Site'!$E$12,7), "mmmm yyyy")</f>
        <v>#VALUE!</v>
      </c>
      <c r="V255" s="25" cm="1">
        <f t="array" aca="1" ref="V255" ca="1">MMS_PastureBeef_Soil_N2ODirect_Equations.VEERG_4_2_1_3__2_TotalNitrogenExcretedToPastureRangeAndPaddock(V223,V203,V239)</f>
        <v>426.95487133828709</v>
      </c>
      <c r="W255" s="25" cm="1">
        <f t="array" aca="1" ref="W255" ca="1">MMS_PastureBeef_Soil_N2ODirect_Equations.VEERG_4_2_1_3__2_TotalNitrogenExcretedToPastureRangeAndPaddock(W223,W203,W239)</f>
        <v>974.18558757854953</v>
      </c>
      <c r="X255" s="25" cm="1">
        <f t="array" aca="1" ref="X255" ca="1">MMS_PastureBeef_Soil_N2ODirect_Equations.VEERG_4_2_1_3__2_TotalNitrogenExcretedToPastureRangeAndPaddock(X223,X203,X239)</f>
        <v>354.34762443242948</v>
      </c>
      <c r="Y255" s="25" cm="1">
        <f t="array" aca="1" ref="Y255" ca="1">MMS_PastureBeef_Soil_N2ODirect_Equations.VEERG_4_2_1_3__2_TotalNitrogenExcretedToPastureRangeAndPaddock(Y223,Y203,Y239)</f>
        <v>578.48372398682091</v>
      </c>
      <c r="Z255" s="25" cm="1">
        <f t="array" aca="1" ref="Z255" ca="1">MMS_PastureBeef_Soil_N2ODirect_Equations.VEERG_4_2_1_3__2_TotalNitrogenExcretedToPastureRangeAndPaddock(Z223,Z203,Z239)</f>
        <v>779.20558243421044</v>
      </c>
      <c r="AA255" s="25" cm="1">
        <f t="array" aca="1" ref="AA255" ca="1">MMS_PastureBeef_Soil_N2ODirect_Equations.VEERG_4_2_1_3__2_TotalNitrogenExcretedToPastureRangeAndPaddock(AA223,AA203,AA239)</f>
        <v>779.20558243421044</v>
      </c>
      <c r="AB255" s="25" cm="1">
        <f t="array" aca="1" ref="AB255" ca="1">MMS_PastureBeef_Soil_N2ODirect_Equations.VEERG_4_2_1_3__2_TotalNitrogenExcretedToPastureRangeAndPaddock(AB223,AB203,AB239)</f>
        <v>383.81047508018423</v>
      </c>
      <c r="AC255" s="25" cm="1">
        <f t="array" aca="1" ref="AC255" ca="1">MMS_PastureBeef_Soil_N2ODirect_Equations.VEERG_4_2_1_3__2_TotalNitrogenExcretedToPastureRangeAndPaddock(AC223,AC203,AC239)</f>
        <v>653.82129004921387</v>
      </c>
      <c r="AD255" s="25" cm="1">
        <f t="array" aca="1" ref="AD255" ca="1">MMS_PastureBeef_Soil_N2ODirect_Equations.VEERG_4_2_1_3__2_TotalNitrogenExcretedToPastureRangeAndPaddock(AD223,AD203,AD239)</f>
        <v>653.82129004921387</v>
      </c>
      <c r="AE255" s="25" cm="1">
        <f t="array" aca="1" ref="AE255" ca="1">MMS_PastureBeef_Soil_N2ODirect_Equations.VEERG_4_2_1_3__2_TotalNitrogenExcretedToPastureRangeAndPaddock(AE223,AE203,AE239)</f>
        <v>653.82129004921387</v>
      </c>
      <c r="AF255" s="26" t="str">
        <f t="shared" si="10"/>
        <v>kg N</v>
      </c>
      <c r="AG255" s="26"/>
      <c r="AH255" s="26"/>
    </row>
    <row r="256" spans="21:34" ht="20.100000000000001" customHeight="1" x14ac:dyDescent="0.25">
      <c r="U256" s="25" t="e">
        <f>TEXT(EDATE('Input - Site'!$E$12,8), "mmmm yyyy")</f>
        <v>#VALUE!</v>
      </c>
      <c r="V256" s="25" cm="1">
        <f t="array" aca="1" ref="V256" ca="1">MMS_PastureBeef_Soil_N2ODirect_Equations.VEERG_4_2_1_3__2_TotalNitrogenExcretedToPastureRangeAndPaddock(V224,V204,V240)</f>
        <v>730.33145980339532</v>
      </c>
      <c r="W256" s="25" cm="1">
        <f t="array" aca="1" ref="W256" ca="1">MMS_PastureBeef_Soil_N2ODirect_Equations.VEERG_4_2_1_3__2_TotalNitrogenExcretedToPastureRangeAndPaddock(W224,W204,W240)</f>
        <v>1131.2440120269775</v>
      </c>
      <c r="X256" s="25" cm="1">
        <f t="array" aca="1" ref="X256" ca="1">MMS_PastureBeef_Soil_N2ODirect_Equations.VEERG_4_2_1_3__2_TotalNitrogenExcretedToPastureRangeAndPaddock(X224,X204,X240)</f>
        <v>562.15638666998314</v>
      </c>
      <c r="Y256" s="25" cm="1">
        <f t="array" aca="1" ref="Y256" ca="1">MMS_PastureBeef_Soil_N2ODirect_Equations.VEERG_4_2_1_3__2_TotalNitrogenExcretedToPastureRangeAndPaddock(Y224,Y204,Y240)</f>
        <v>789.76859726148291</v>
      </c>
      <c r="Z256" s="25" cm="1">
        <f t="array" aca="1" ref="Z256" ca="1">MMS_PastureBeef_Soil_N2ODirect_Equations.VEERG_4_2_1_3__2_TotalNitrogenExcretedToPastureRangeAndPaddock(Z224,Z204,Z240)</f>
        <v>896.4652967714951</v>
      </c>
      <c r="AA256" s="25" cm="1">
        <f t="array" aca="1" ref="AA256" ca="1">MMS_PastureBeef_Soil_N2ODirect_Equations.VEERG_4_2_1_3__2_TotalNitrogenExcretedToPastureRangeAndPaddock(AA224,AA204,AA240)</f>
        <v>896.4652967714951</v>
      </c>
      <c r="AB256" s="25" cm="1">
        <f t="array" aca="1" ref="AB256" ca="1">MMS_PastureBeef_Soil_N2ODirect_Equations.VEERG_4_2_1_3__2_TotalNitrogenExcretedToPastureRangeAndPaddock(AB224,AB204,AB240)</f>
        <v>644.507609695067</v>
      </c>
      <c r="AC256" s="25" cm="1">
        <f t="array" aca="1" ref="AC256" ca="1">MMS_PastureBeef_Soil_N2ODirect_Equations.VEERG_4_2_1_3__2_TotalNitrogenExcretedToPastureRangeAndPaddock(AC224,AC204,AC240)</f>
        <v>880.40305898985866</v>
      </c>
      <c r="AD256" s="25" cm="1">
        <f t="array" aca="1" ref="AD256" ca="1">MMS_PastureBeef_Soil_N2ODirect_Equations.VEERG_4_2_1_3__2_TotalNitrogenExcretedToPastureRangeAndPaddock(AD224,AD204,AD240)</f>
        <v>880.40305898985866</v>
      </c>
      <c r="AE256" s="25" cm="1">
        <f t="array" aca="1" ref="AE256" ca="1">MMS_PastureBeef_Soil_N2ODirect_Equations.VEERG_4_2_1_3__2_TotalNitrogenExcretedToPastureRangeAndPaddock(AE224,AE204,AE240)</f>
        <v>880.40305898985866</v>
      </c>
      <c r="AF256" s="26" t="str">
        <f t="shared" si="10"/>
        <v>kg N</v>
      </c>
      <c r="AG256" s="26"/>
      <c r="AH256" s="26"/>
    </row>
    <row r="257" spans="20:35" ht="20.100000000000001" customHeight="1" x14ac:dyDescent="0.25">
      <c r="U257" s="25" t="e">
        <f>TEXT(EDATE('Input - Site'!$E$12,9), "mmmm yyyy")</f>
        <v>#VALUE!</v>
      </c>
      <c r="V257" s="25" cm="1">
        <f t="array" aca="1" ref="V257" ca="1">MMS_PastureBeef_Soil_N2ODirect_Equations.VEERG_4_2_1_3__2_TotalNitrogenExcretedToPastureRangeAndPaddock(V225,V205,V241)</f>
        <v>754.67584179684184</v>
      </c>
      <c r="W257" s="25" cm="1">
        <f t="array" aca="1" ref="W257" ca="1">MMS_PastureBeef_Soil_N2ODirect_Equations.VEERG_4_2_1_3__2_TotalNitrogenExcretedToPastureRangeAndPaddock(W225,W205,W241)</f>
        <v>1168.95214576121</v>
      </c>
      <c r="X257" s="25" cm="1">
        <f t="array" aca="1" ref="X257" ca="1">MMS_PastureBeef_Soil_N2ODirect_Equations.VEERG_4_2_1_3__2_TotalNitrogenExcretedToPastureRangeAndPaddock(X225,X205,X241)</f>
        <v>580.89493289231598</v>
      </c>
      <c r="Y257" s="25" cm="1">
        <f t="array" aca="1" ref="Y257" ca="1">MMS_PastureBeef_Soil_N2ODirect_Equations.VEERG_4_2_1_3__2_TotalNitrogenExcretedToPastureRangeAndPaddock(Y225,Y205,Y241)</f>
        <v>816.09421717019893</v>
      </c>
      <c r="Z257" s="25" cm="1">
        <f t="array" aca="1" ref="Z257" ca="1">MMS_PastureBeef_Soil_N2ODirect_Equations.VEERG_4_2_1_3__2_TotalNitrogenExcretedToPastureRangeAndPaddock(Z225,Z205,Z241)</f>
        <v>926.34747333054497</v>
      </c>
      <c r="AA257" s="25" cm="1">
        <f t="array" aca="1" ref="AA257" ca="1">MMS_PastureBeef_Soil_N2ODirect_Equations.VEERG_4_2_1_3__2_TotalNitrogenExcretedToPastureRangeAndPaddock(AA225,AA205,AA241)</f>
        <v>926.34747333054497</v>
      </c>
      <c r="AB257" s="25" cm="1">
        <f t="array" aca="1" ref="AB257" ca="1">MMS_PastureBeef_Soil_N2ODirect_Equations.VEERG_4_2_1_3__2_TotalNitrogenExcretedToPastureRangeAndPaddock(AB225,AB205,AB241)</f>
        <v>665.99119668490255</v>
      </c>
      <c r="AC257" s="25" cm="1">
        <f t="array" aca="1" ref="AC257" ca="1">MMS_PastureBeef_Soil_N2ODirect_Equations.VEERG_4_2_1_3__2_TotalNitrogenExcretedToPastureRangeAndPaddock(AC225,AC205,AC241)</f>
        <v>909.74982762285401</v>
      </c>
      <c r="AD257" s="25" cm="1">
        <f t="array" aca="1" ref="AD257" ca="1">MMS_PastureBeef_Soil_N2ODirect_Equations.VEERG_4_2_1_3__2_TotalNitrogenExcretedToPastureRangeAndPaddock(AD225,AD205,AD241)</f>
        <v>909.74982762285401</v>
      </c>
      <c r="AE257" s="25" cm="1">
        <f t="array" aca="1" ref="AE257" ca="1">MMS_PastureBeef_Soil_N2ODirect_Equations.VEERG_4_2_1_3__2_TotalNitrogenExcretedToPastureRangeAndPaddock(AE225,AE205,AE241)</f>
        <v>909.74982762285401</v>
      </c>
      <c r="AF257" s="26" t="str">
        <f t="shared" si="10"/>
        <v>kg N</v>
      </c>
      <c r="AG257" s="26"/>
      <c r="AH257" s="26"/>
    </row>
    <row r="258" spans="20:35" ht="20.100000000000001" customHeight="1" x14ac:dyDescent="0.25">
      <c r="U258" s="25" t="e">
        <f>TEXT(EDATE('Input - Site'!$E$12,10), "mmmm yyyy")</f>
        <v>#VALUE!</v>
      </c>
      <c r="V258" s="25" cm="1">
        <f t="array" aca="1" ref="V258" ca="1">MMS_PastureBeef_Soil_N2ODirect_Equations.VEERG_4_2_1_3__2_TotalNitrogenExcretedToPastureRangeAndPaddock(V226,V206,V242)</f>
        <v>730.33145980339532</v>
      </c>
      <c r="W258" s="25" cm="1">
        <f t="array" aca="1" ref="W258" ca="1">MMS_PastureBeef_Soil_N2ODirect_Equations.VEERG_4_2_1_3__2_TotalNitrogenExcretedToPastureRangeAndPaddock(W226,W206,W242)</f>
        <v>1131.2440120269775</v>
      </c>
      <c r="X258" s="25" cm="1">
        <f t="array" aca="1" ref="X258" ca="1">MMS_PastureBeef_Soil_N2ODirect_Equations.VEERG_4_2_1_3__2_TotalNitrogenExcretedToPastureRangeAndPaddock(X226,X206,X242)</f>
        <v>562.15638666998314</v>
      </c>
      <c r="Y258" s="25" cm="1">
        <f t="array" aca="1" ref="Y258" ca="1">MMS_PastureBeef_Soil_N2ODirect_Equations.VEERG_4_2_1_3__2_TotalNitrogenExcretedToPastureRangeAndPaddock(Y226,Y206,Y242)</f>
        <v>789.76859726148291</v>
      </c>
      <c r="Z258" s="25" cm="1">
        <f t="array" aca="1" ref="Z258" ca="1">MMS_PastureBeef_Soil_N2ODirect_Equations.VEERG_4_2_1_3__2_TotalNitrogenExcretedToPastureRangeAndPaddock(Z226,Z206,Z242)</f>
        <v>896.4652967714951</v>
      </c>
      <c r="AA258" s="25" cm="1">
        <f t="array" aca="1" ref="AA258" ca="1">MMS_PastureBeef_Soil_N2ODirect_Equations.VEERG_4_2_1_3__2_TotalNitrogenExcretedToPastureRangeAndPaddock(AA226,AA206,AA242)</f>
        <v>896.4652967714951</v>
      </c>
      <c r="AB258" s="25" cm="1">
        <f t="array" aca="1" ref="AB258" ca="1">MMS_PastureBeef_Soil_N2ODirect_Equations.VEERG_4_2_1_3__2_TotalNitrogenExcretedToPastureRangeAndPaddock(AB226,AB206,AB242)</f>
        <v>644.507609695067</v>
      </c>
      <c r="AC258" s="25" cm="1">
        <f t="array" aca="1" ref="AC258" ca="1">MMS_PastureBeef_Soil_N2ODirect_Equations.VEERG_4_2_1_3__2_TotalNitrogenExcretedToPastureRangeAndPaddock(AC226,AC206,AC242)</f>
        <v>880.40305898985866</v>
      </c>
      <c r="AD258" s="25" cm="1">
        <f t="array" aca="1" ref="AD258" ca="1">MMS_PastureBeef_Soil_N2ODirect_Equations.VEERG_4_2_1_3__2_TotalNitrogenExcretedToPastureRangeAndPaddock(AD226,AD206,AD242)</f>
        <v>880.40305898985866</v>
      </c>
      <c r="AE258" s="25" cm="1">
        <f t="array" aca="1" ref="AE258" ca="1">MMS_PastureBeef_Soil_N2ODirect_Equations.VEERG_4_2_1_3__2_TotalNitrogenExcretedToPastureRangeAndPaddock(AE226,AE206,AE242)</f>
        <v>880.40305898985866</v>
      </c>
      <c r="AF258" s="26" t="str">
        <f t="shared" si="10"/>
        <v>kg N</v>
      </c>
      <c r="AG258" s="26"/>
      <c r="AH258" s="26"/>
    </row>
    <row r="259" spans="20:35" ht="20.100000000000001" customHeight="1" x14ac:dyDescent="0.25">
      <c r="U259" s="25" t="e">
        <f>TEXT(EDATE('Input - Site'!$E$12,11), "mmmm yyyy")</f>
        <v>#VALUE!</v>
      </c>
      <c r="V259" s="25" cm="1">
        <f t="array" aca="1" ref="V259" ca="1">MMS_PastureBeef_Soil_N2ODirect_Equations.VEERG_4_2_1_3__2_TotalNitrogenExcretedToPastureRangeAndPaddock(V227,V207,V243)</f>
        <v>289.15319378762229</v>
      </c>
      <c r="W259" s="25" cm="1">
        <f t="array" aca="1" ref="W259" ca="1">MMS_PastureBeef_Soil_N2ODirect_Equations.VEERG_4_2_1_3__2_TotalNitrogenExcretedToPastureRangeAndPaddock(W227,W207,W243)</f>
        <v>421.65805292524783</v>
      </c>
      <c r="X259" s="25" cm="1">
        <f t="array" aca="1" ref="X259" ca="1">MMS_PastureBeef_Soil_N2ODirect_Equations.VEERG_4_2_1_3__2_TotalNitrogenExcretedToPastureRangeAndPaddock(X227,X207,X243)</f>
        <v>241.21418667705774</v>
      </c>
      <c r="Y259" s="25" cm="1">
        <f t="array" aca="1" ref="Y259" ca="1">MMS_PastureBeef_Soil_N2ODirect_Equations.VEERG_4_2_1_3__2_TotalNitrogenExcretedToPastureRangeAndPaddock(Y227,Y207,Y243)</f>
        <v>333.49911231828059</v>
      </c>
      <c r="Z259" s="25" cm="1">
        <f t="array" aca="1" ref="Z259" ca="1">MMS_PastureBeef_Soil_N2ODirect_Equations.VEERG_4_2_1_3__2_TotalNitrogenExcretedToPastureRangeAndPaddock(Z227,Z207,Z243)</f>
        <v>349.56191728267925</v>
      </c>
      <c r="AA259" s="25" cm="1">
        <f t="array" aca="1" ref="AA259" ca="1">MMS_PastureBeef_Soil_N2ODirect_Equations.VEERG_4_2_1_3__2_TotalNitrogenExcretedToPastureRangeAndPaddock(AA227,AA207,AA243)</f>
        <v>349.56191728267925</v>
      </c>
      <c r="AB259" s="25" cm="1">
        <f t="array" aca="1" ref="AB259" ca="1">MMS_PastureBeef_Soil_N2ODirect_Equations.VEERG_4_2_1_3__2_TotalNitrogenExcretedToPastureRangeAndPaddock(AB227,AB207,AB243)</f>
        <v>265.4390677122351</v>
      </c>
      <c r="AC259" s="25" cm="1">
        <f t="array" aca="1" ref="AC259" ca="1">MMS_PastureBeef_Soil_N2ODirect_Equations.VEERG_4_2_1_3__2_TotalNitrogenExcretedToPastureRangeAndPaddock(AC227,AC207,AC243)</f>
        <v>326.89236244194075</v>
      </c>
      <c r="AD259" s="25" cm="1">
        <f t="array" aca="1" ref="AD259" ca="1">MMS_PastureBeef_Soil_N2ODirect_Equations.VEERG_4_2_1_3__2_TotalNitrogenExcretedToPastureRangeAndPaddock(AD227,AD207,AD243)</f>
        <v>326.89236244194075</v>
      </c>
      <c r="AE259" s="25" cm="1">
        <f t="array" aca="1" ref="AE259" ca="1">MMS_PastureBeef_Soil_N2ODirect_Equations.VEERG_4_2_1_3__2_TotalNitrogenExcretedToPastureRangeAndPaddock(AE227,AE207,AE243)</f>
        <v>326.89236244194075</v>
      </c>
      <c r="AF259" s="26" t="str">
        <f t="shared" si="10"/>
        <v>kg N</v>
      </c>
      <c r="AG259" s="26"/>
      <c r="AH259" s="26"/>
    </row>
    <row r="260" spans="20:35" ht="20.100000000000001" customHeight="1" x14ac:dyDescent="0.25"/>
    <row r="261" spans="20:35" ht="20.100000000000001" customHeight="1" x14ac:dyDescent="0.25">
      <c r="U261" s="130" t="s">
        <v>458</v>
      </c>
      <c r="V261" s="118">
        <f ca="1">SUM(V248:AE259)</f>
        <v>57588.970122806786</v>
      </c>
      <c r="W261" s="15" t="str">
        <f>$E$182</f>
        <v>kg N</v>
      </c>
    </row>
    <row r="262" spans="20:35" ht="20.100000000000001" customHeight="1" x14ac:dyDescent="0.25"/>
    <row r="263" spans="20:35" ht="20.100000000000001" customHeight="1" x14ac:dyDescent="0.25"/>
    <row r="264" spans="20:35" ht="20.100000000000001" customHeight="1" x14ac:dyDescent="0.25">
      <c r="T264" s="118"/>
      <c r="U264" s="118"/>
      <c r="V264" s="118"/>
      <c r="W264" s="118"/>
      <c r="X264" s="118"/>
      <c r="Y264" s="118"/>
      <c r="Z264" s="118"/>
      <c r="AA264" s="118"/>
      <c r="AB264" s="118"/>
      <c r="AC264" s="118"/>
      <c r="AD264" s="118"/>
      <c r="AE264" s="118"/>
      <c r="AF264" s="118"/>
      <c r="AG264" s="118"/>
      <c r="AH264" s="118"/>
      <c r="AI264" s="118"/>
    </row>
    <row r="265" spans="20:35" ht="20.100000000000001" customHeight="1" x14ac:dyDescent="0.25">
      <c r="U265" s="2" t="str" cm="1">
        <f t="array" ref="U265">MMS_PastureBeef_Soil_N2ODirect_Equations.VEERG_4_2_1_3__1_DirectNitrousOxideEmissionsOnPasture_Title()</f>
        <v>Total annual direct nitrous oxide emissions from agricultural soils from deposition of urine and dung</v>
      </c>
    </row>
    <row r="266" spans="20:35" ht="20.100000000000001" customHeight="1" x14ac:dyDescent="0.25"/>
    <row r="267" spans="20:35" ht="20.100000000000001" customHeight="1" x14ac:dyDescent="0.25">
      <c r="U267" s="119" t="s">
        <v>459</v>
      </c>
      <c r="V267" s="120" cm="1">
        <f t="array" aca="1" ref="V267" ca="1">MMS_PastureBeef_Soil_N2ODirect_Equations.VEERG_4_2_1_3__1_DirectNitrousOxideEmissionsOnPasture($V$261,$H$225,$H$226)</f>
        <v>0.1809939061002499</v>
      </c>
      <c r="W267" s="121" t="str">
        <f>$E$222</f>
        <v>t N2O</v>
      </c>
    </row>
    <row r="268" spans="20:35" ht="20.100000000000001" customHeight="1" x14ac:dyDescent="0.25"/>
    <row r="269" spans="20:35" ht="20.100000000000001" customHeight="1" x14ac:dyDescent="0.25">
      <c r="U269" s="122" t="str" cm="1">
        <f t="array" ref="U269:V270">Common_Equations.Common_ConvertN2OToCO2e_Arguments()</f>
        <v>EN2O</v>
      </c>
      <c r="V269" s="123" t="str">
        <v>Nitrous oxide emissions (t N2O)</v>
      </c>
      <c r="W269" s="124"/>
      <c r="X269" s="25">
        <f ca="1">V267</f>
        <v>0.1809939061002499</v>
      </c>
    </row>
    <row r="270" spans="20:35" ht="20.100000000000001" customHeight="1" x14ac:dyDescent="0.25">
      <c r="U270" s="122" t="str">
        <v>GWPN2O</v>
      </c>
      <c r="V270" s="123" t="str">
        <v>Global warming potential for nitrous oxide (t CO2-e / t N2O)</v>
      </c>
      <c r="W270" s="124"/>
      <c r="X270" s="25">
        <f>Common_InputFunctions.Utility_LookupValueInTableNumber("N2O",Table_GWPData[Gas],Table_GWPData[CO2-e factor])</f>
        <v>265</v>
      </c>
    </row>
    <row r="271" spans="20:35" ht="20.100000000000001" customHeight="1" x14ac:dyDescent="0.25"/>
    <row r="272" spans="20:35" ht="20.100000000000001" customHeight="1" x14ac:dyDescent="0.25">
      <c r="U272" s="118" t="s">
        <v>301</v>
      </c>
      <c r="V272" s="118" cm="1">
        <f t="array" aca="1" ref="V272" ca="1">Common_Equations.Common_ConvertN2OToCO2e(X269,X270)</f>
        <v>47.963385116566222</v>
      </c>
      <c r="W272" s="125" t="str" cm="1">
        <f t="array" ref="W272">Common_Equations.Common_ConvertN2OToCO2e_Unit()</f>
        <v>t CO2e</v>
      </c>
    </row>
    <row r="273" ht="20.100000000000001" customHeight="1" x14ac:dyDescent="0.25"/>
    <row r="274" ht="20.100000000000001" customHeight="1" x14ac:dyDescent="0.25"/>
    <row r="275" ht="20.100000000000001" customHeight="1" x14ac:dyDescent="0.25"/>
    <row r="276" ht="20.100000000000001" customHeight="1" x14ac:dyDescent="0.25"/>
    <row r="277" ht="20.100000000000001" customHeight="1" x14ac:dyDescent="0.25"/>
    <row r="278" ht="20.100000000000001" customHeight="1" x14ac:dyDescent="0.25"/>
    <row r="279" ht="20.100000000000001" customHeight="1" x14ac:dyDescent="0.25"/>
    <row r="280" ht="20.100000000000001" customHeight="1" x14ac:dyDescent="0.25"/>
    <row r="281" ht="20.100000000000001" customHeight="1" x14ac:dyDescent="0.25"/>
    <row r="282" ht="20.100000000000001" customHeight="1" x14ac:dyDescent="0.25"/>
    <row r="283" ht="20.100000000000001" customHeight="1" x14ac:dyDescent="0.25"/>
    <row r="284" ht="20.100000000000001" customHeight="1" x14ac:dyDescent="0.25"/>
    <row r="285" ht="20.100000000000001" customHeight="1" x14ac:dyDescent="0.25"/>
    <row r="286" ht="20.100000000000001" customHeight="1" x14ac:dyDescent="0.25"/>
    <row r="287" ht="20.100000000000001" customHeight="1" x14ac:dyDescent="0.25"/>
    <row r="288" ht="20.100000000000001" customHeight="1" x14ac:dyDescent="0.25"/>
    <row r="289" ht="20.100000000000001" customHeight="1" x14ac:dyDescent="0.25"/>
    <row r="290" ht="20.100000000000001" customHeight="1" x14ac:dyDescent="0.25"/>
    <row r="291" ht="20.100000000000001" customHeight="1" x14ac:dyDescent="0.25"/>
  </sheetData>
  <dataValidations count="1">
    <dataValidation operator="equal" allowBlank="1" showInputMessage="1" showErrorMessage="1" sqref="E271 F79 D80:E80 E101:Q101 E74:F74 F106:Q106 E226 E274 V114:AI114 E241 E238 E262 V244 E265" xr:uid="{6A37D776-52C3-4B74-9263-630488D68BB3}"/>
  </dataValidation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C2FE5-7B07-43EC-AE29-8513AED80E54}">
  <dimension ref="A1:V165"/>
  <sheetViews>
    <sheetView showGridLines="0" topLeftCell="A17" workbookViewId="0">
      <selection activeCell="A46" sqref="A46"/>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1" width="30.7109375" style="1" customWidth="1"/>
    <col min="22" max="22" width="4.7109375" style="1" customWidth="1"/>
  </cols>
  <sheetData>
    <row r="1" spans="1:22" s="31" customFormat="1" ht="30" customHeight="1" x14ac:dyDescent="0.35">
      <c r="A1" s="16" t="e" vm="1">
        <v>#VALUE!</v>
      </c>
      <c r="C1" s="31" t="s">
        <v>462</v>
      </c>
    </row>
    <row r="2" spans="1:22" s="3" customFormat="1" ht="20.100000000000001" customHeight="1" x14ac:dyDescent="0.25">
      <c r="A2"/>
    </row>
    <row r="3" spans="1:22" ht="20.100000000000001" customHeight="1" x14ac:dyDescent="0.25">
      <c r="A3" s="5" t="str">
        <f>HYPERLINK("#'Home'!A1", "Home")</f>
        <v>Home</v>
      </c>
      <c r="C3" s="33"/>
      <c r="D3" s="33" t="s">
        <v>149</v>
      </c>
      <c r="E3" s="33"/>
      <c r="F3" s="33"/>
      <c r="G3" s="33"/>
      <c r="H3" s="33"/>
      <c r="I3" s="33"/>
      <c r="J3" s="33"/>
      <c r="K3" s="33"/>
      <c r="M3" s="33"/>
      <c r="N3" s="33" t="s">
        <v>150</v>
      </c>
      <c r="O3" s="33"/>
      <c r="P3" s="33"/>
      <c r="Q3" s="33"/>
      <c r="R3" s="33"/>
      <c r="S3" s="33"/>
      <c r="T3" s="33"/>
      <c r="U3" s="33"/>
      <c r="V3" s="33"/>
    </row>
    <row r="4" spans="1:22" ht="20.100000000000001" customHeight="1" x14ac:dyDescent="0.25">
      <c r="A4" s="5" t="str">
        <f>HYPERLINK("#'Results'!A1", "Results")</f>
        <v>Results</v>
      </c>
    </row>
    <row r="5" spans="1:22" ht="20.100000000000001" customHeight="1" x14ac:dyDescent="0.25">
      <c r="D5" s="2" t="str" cm="1">
        <f t="array" ref="D5">MMS_PastureBeef_Soil_AtmosphericDeposition_Equations.VEERG_4_2_1_5__2_MassOfNitrogenVolatilisedOnPasture_Title()</f>
        <v>Mass of nitrogen volatilised</v>
      </c>
    </row>
    <row r="6" spans="1:22" ht="20.100000000000001" customHeight="1" x14ac:dyDescent="0.25">
      <c r="D6" s="27" t="str" cm="1">
        <f t="array" ref="D6">MMS_PastureBeef_Soil_AtmosphericDeposition_Equations.VEERG_4_2_1_5__2_MassOfNitrogenVolatilisedOnPasture_Source()</f>
        <v>VEERG 2026: 4.2.1.5, Equation (2)</v>
      </c>
    </row>
    <row r="7" spans="1:22" ht="20.100000000000001" customHeight="1" x14ac:dyDescent="0.25">
      <c r="A7" s="7" t="s">
        <v>0</v>
      </c>
      <c r="D7" s="105" t="s">
        <v>261</v>
      </c>
      <c r="E7" s="105" t="str" cm="1">
        <f t="array" aca="1" ref="E7" ca="1">Common_InputFunctions.Utility_DisplayFunctionName(E16)</f>
        <v>=MMS_PastureBeef_Soil_AtmosphericDeposition_Equations.VEERG_4_2_1_5__2_MassOfNitrogenVolatilisedOnPasture</v>
      </c>
    </row>
    <row r="8" spans="1:22" ht="20.100000000000001" customHeight="1" x14ac:dyDescent="0.25">
      <c r="A8" s="5" t="str">
        <f>HYPERLINK("#'Input - Enterprise'!A1", "Enterprise")</f>
        <v>Enterprise</v>
      </c>
    </row>
    <row r="9" spans="1:22" ht="20.100000000000001" customHeight="1" x14ac:dyDescent="0.25">
      <c r="A9" s="5" t="str">
        <f>HYPERLINK("#'Input - Site'!A1", "Site")</f>
        <v>Site</v>
      </c>
    </row>
    <row r="10" spans="1:22" ht="20.100000000000001" customHeight="1" x14ac:dyDescent="0.25">
      <c r="A10" s="5" t="str">
        <f>HYPERLINK("#'Input - Pasture Beef'!A1", "Pasture Beef")</f>
        <v>Pasture Beef</v>
      </c>
      <c r="D10" s="88" t="s">
        <v>263</v>
      </c>
      <c r="E10" s="1" t="str" cm="1">
        <f t="array" ref="E10">MMS_PastureBeef_Soil_AtmosphericDeposition_Equations.VEERG_4_2_1_5__2_MassOfNitrogenVolatilisedOnPasture_Variable()</f>
        <v>M_vol</v>
      </c>
    </row>
    <row r="11" spans="1:22" ht="20.100000000000001" customHeight="1" x14ac:dyDescent="0.25">
      <c r="A11" s="5" t="str">
        <f>HYPERLINK("#'Input - Pasture Beef (Enteric)'!A1", "Pasture Beef (Enteric)")</f>
        <v>Pasture Beef (Enteric)</v>
      </c>
      <c r="D11" s="88" t="s">
        <v>130</v>
      </c>
      <c r="E11" s="15" t="str" cm="1">
        <f t="array" ref="E11">MMS_PastureBeef_Soil_AtmosphericDeposition_Equations.VEERG_4_2_1_5__2_MassOfNitrogenVolatilisedOnPasture_Unit()</f>
        <v>kg N</v>
      </c>
    </row>
    <row r="12" spans="1:22" ht="20.100000000000001" customHeight="1" x14ac:dyDescent="0.25">
      <c r="A12" s="5" t="str">
        <f>HYPERLINK("#'Input - Pasture'!A1", "Pasture")</f>
        <v>Pasture</v>
      </c>
    </row>
    <row r="13" spans="1:22" ht="20.100000000000001" customHeight="1" x14ac:dyDescent="0.25">
      <c r="A13" s="5" t="str">
        <f>HYPERLINK("#'Input - Fertiliser'!A1", "Fertiliser")</f>
        <v>Fertiliser</v>
      </c>
      <c r="D13" s="107" t="str" cm="1">
        <f t="array" ref="D13:E14">_xlfn.CHOOSECOLS(MMS_PastureBeef_Soil_AtmosphericDeposition_Equations.VEERG_4_2_1_5__2_MassOfNitrogenVolatilisedOnPasture_Arguments(),1,2)</f>
        <v>AE</v>
      </c>
      <c r="E13" s="108" t="str">
        <v>total mass of nitrogen excreted on PRP for beef cattle</v>
      </c>
      <c r="F13" s="109"/>
      <c r="G13" s="110"/>
      <c r="H13" s="107" t="str" cm="1">
        <f t="array" ref="H13:I14">_xlfn.CHOOSECOLS(MMS_PastureBeef_Soil_AtmosphericDeposition_Equations.VEERG_4_2_1_5__2_MassOfNitrogenVolatilisedOnPasture_Arguments(),3,4)</f>
        <v>kg N</v>
      </c>
      <c r="I13" s="112" t="str">
        <v>Calculated from 4.2.1.3 (2)</v>
      </c>
      <c r="J13" s="107">
        <f ca="1">'4.2.1.3-4 Soil direct N20'!$E$212</f>
        <v>60490.349382369524</v>
      </c>
      <c r="N13" s="107" t="str" cm="1">
        <f t="array" ref="N13:O14">_xlfn.CHOOSECOLS(MMS_PastureBeef_Soil_AtmosphericDeposition_Equations.VEERG_4_2_1_5__2_MassOfNitrogenVolatilisedOnPasture_Arguments(),1,2)</f>
        <v>AE</v>
      </c>
      <c r="O13" s="108" t="str">
        <v>total mass of nitrogen excreted on PRP for beef cattle</v>
      </c>
      <c r="P13" s="109"/>
      <c r="Q13" s="110"/>
      <c r="R13" s="107" t="str" cm="1">
        <f t="array" ref="R13:S14">_xlfn.CHOOSECOLS(MMS_PastureBeef_Soil_AtmosphericDeposition_Equations.VEERG_4_2_1_5__2_MassOfNitrogenVolatilisedOnPasture_Arguments(),3,4)</f>
        <v>kg N</v>
      </c>
      <c r="S13" s="112" t="str">
        <v>Calculated from 4.2.1.3 (2)</v>
      </c>
      <c r="T13" s="122">
        <f ca="1">'4.2.1.3-4 Soil direct N20'!$V$261</f>
        <v>57588.970122806786</v>
      </c>
    </row>
    <row r="14" spans="1:22" ht="20.100000000000001" customHeight="1" x14ac:dyDescent="0.25">
      <c r="A14" s="5" t="str">
        <f>HYPERLINK("#'Input - Fuel'!A1", "Fuel")</f>
        <v>Fuel</v>
      </c>
      <c r="D14" s="107" t="str">
        <v>FracGASMsoil</v>
      </c>
      <c r="E14" s="108" t="str">
        <v>fraction of nitrogen volatilised from urine and faeces deposited on pasture ((kg NH3-N + NOx-N)/kg N)</v>
      </c>
      <c r="F14" s="109"/>
      <c r="G14" s="110"/>
      <c r="H14" s="107" t="str">
        <v>fraction</v>
      </c>
      <c r="I14" s="112" t="str">
        <v>Constant</v>
      </c>
      <c r="J14" s="107">
        <f>'Constants - Pasture Beef'!$D$434</f>
        <v>0.21</v>
      </c>
      <c r="N14" s="107" t="str">
        <v>FracGASMsoil</v>
      </c>
      <c r="O14" s="108" t="str">
        <v>fraction of nitrogen volatilised from urine and faeces deposited on pasture ((kg NH3-N + NOx-N)/kg N)</v>
      </c>
      <c r="P14" s="109"/>
      <c r="Q14" s="110"/>
      <c r="R14" s="107" t="str">
        <v>fraction</v>
      </c>
      <c r="S14" s="112" t="str">
        <v>Constant</v>
      </c>
      <c r="T14" s="122"/>
    </row>
    <row r="15" spans="1:22" ht="20.100000000000001" customHeight="1" x14ac:dyDescent="0.25">
      <c r="A15" s="5" t="str">
        <f>HYPERLINK("#'Input - Electricity'!A1", "Electricity")</f>
        <v>Electricity</v>
      </c>
    </row>
    <row r="16" spans="1:22" ht="20.100000000000001" customHeight="1" x14ac:dyDescent="0.25">
      <c r="D16" s="130" t="s">
        <v>463</v>
      </c>
      <c r="E16" s="118" cm="1">
        <f t="array" aca="1" ref="E16" ca="1">MMS_PastureBeef_Soil_AtmosphericDeposition_Equations.VEERG_4_2_1_5__2_MassOfNitrogenVolatilisedOnPasture(J13,J14)</f>
        <v>12702.973370297599</v>
      </c>
      <c r="F16" s="125" t="str">
        <f>E11</f>
        <v>kg N</v>
      </c>
      <c r="L16" s="91"/>
      <c r="N16" s="130" t="s">
        <v>463</v>
      </c>
      <c r="O16" s="118" cm="1">
        <f t="array" aca="1" ref="O16" ca="1">MMS_PastureBeef_Soil_AtmosphericDeposition_Equations.VEERG_4_2_1_5__2_MassOfNitrogenVolatilisedOnPasture(T13,$J$14)</f>
        <v>12093.683725789424</v>
      </c>
      <c r="P16" s="125">
        <f>O11</f>
        <v>0</v>
      </c>
    </row>
    <row r="17" spans="1:22" ht="20.100000000000001" customHeight="1" x14ac:dyDescent="0.25">
      <c r="L17" s="91"/>
    </row>
    <row r="18" spans="1:22" ht="20.100000000000001" customHeight="1" x14ac:dyDescent="0.25">
      <c r="A18" s="6" t="s">
        <v>2</v>
      </c>
      <c r="L18" s="91"/>
    </row>
    <row r="19" spans="1:22" ht="20.100000000000001" customHeight="1" x14ac:dyDescent="0.25">
      <c r="A19" s="5" t="str">
        <f>HYPERLINK("#'3.2.1.1-2 Enteric Methane'!A1", "3.2.1.1-2 Enteric methane")</f>
        <v>3.2.1.1-2 Enteric methane</v>
      </c>
      <c r="C19" s="118"/>
      <c r="D19" s="118"/>
      <c r="E19" s="118"/>
      <c r="F19" s="118"/>
      <c r="G19" s="118"/>
      <c r="H19" s="118"/>
      <c r="I19" s="118"/>
      <c r="J19" s="118"/>
      <c r="K19" s="118"/>
      <c r="L19" s="91"/>
      <c r="M19" s="118"/>
      <c r="N19" s="118"/>
      <c r="O19" s="118"/>
      <c r="P19" s="118"/>
      <c r="Q19" s="118"/>
      <c r="R19" s="118"/>
      <c r="S19" s="118"/>
      <c r="T19" s="118"/>
      <c r="U19" s="118"/>
      <c r="V19" s="118"/>
    </row>
    <row r="20" spans="1:22" ht="20.100000000000001" customHeight="1" x14ac:dyDescent="0.25">
      <c r="A20" s="5" t="str">
        <f>HYPERLINK("#'4.2.1.1-2 Methane'!A1", "4.2.1.1-2 Manure methane")</f>
        <v>4.2.1.1-2 Manure methane</v>
      </c>
      <c r="D20" s="2" t="str" cm="1">
        <f t="array" ref="D20">MMS_PastureBeef_Soil_AtmosphericDeposition_Equations.VEERG_4_2_1_5__1_AtmosphericDepositionEmissionsFromUrineAndDungOnPasture_Title()</f>
        <v>Atmospheric deposition emissions from urine and dung deposited on pasture</v>
      </c>
    </row>
    <row r="21" spans="1:22" ht="20.100000000000001" customHeight="1" x14ac:dyDescent="0.25">
      <c r="A21" s="5" t="str">
        <f>HYPERLINK("#'4.2.1.3-4 Soil direct N20'!A1", "4.2.1.3-4 Soil direct N2O")</f>
        <v>4.2.1.3-4 Soil direct N2O</v>
      </c>
      <c r="D21" s="27" t="str" cm="1">
        <f t="array" ref="D21">MMS_PastureBeef_Soil_AtmosphericDeposition_Equations.VEERG_4_2_1_5__1_AtmosphericDepositionEmissionsFromUrineAndDungOnPasture_Source()</f>
        <v>VEERG 2026: 4.2.1.5, Equation (1)</v>
      </c>
    </row>
    <row r="22" spans="1:22" ht="20.100000000000001" customHeight="1" x14ac:dyDescent="0.25">
      <c r="A22" s="106" t="str">
        <f>HYPERLINK("#'4.2.1.5-6 Soil Atmos Dep'!A1", "4.2.1.5-6 Soil atm. deposition")</f>
        <v>4.2.1.5-6 Soil atm. deposition</v>
      </c>
      <c r="D22" s="105" t="s">
        <v>261</v>
      </c>
      <c r="E22" s="105" t="str" cm="1">
        <f t="array" aca="1" ref="E22" ca="1">Common_InputFunctions.Utility_DisplayFunctionName($E$35)</f>
        <v>=MMS_PastureBeef_Soil_AtmosphericDeposition_Equations.VEERG_4_2_1_5__1_AtmosphericDepositionEmissionsFromUrineAndDungOnPasture</v>
      </c>
    </row>
    <row r="23" spans="1:22" ht="20.100000000000001" customHeight="1" x14ac:dyDescent="0.25">
      <c r="A23" s="5" t="str">
        <f>HYPERLINK("#'4.2.1.7-8 Soil leach runoff'!A1", "4.2.1.7-8 Soil leach &amp; runoff")</f>
        <v>4.2.1.7-8 Soil leach &amp; runoff</v>
      </c>
    </row>
    <row r="24" spans="1:22" ht="20.100000000000001" customHeight="1" x14ac:dyDescent="0.25">
      <c r="A24" s="5" t="str">
        <f>HYPERLINK("#'5.1.1.1-2 Inorganic fert N2O'!A1", "5.1.1.1-2 Inorganic fert N2O")</f>
        <v>5.1.1.1-2 Inorganic fert N2O</v>
      </c>
    </row>
    <row r="25" spans="1:22" ht="20.100000000000001" customHeight="1" x14ac:dyDescent="0.25">
      <c r="A25" s="5" t="str">
        <f>HYPERLINK("#'5.1.1.3-4 Inorganic fert CO2'!A1", "5.1.1.3-4 Inorganic fert CO2")</f>
        <v>5.1.1.3-4 Inorganic fert CO2</v>
      </c>
      <c r="D25" s="88" t="s">
        <v>263</v>
      </c>
      <c r="E25" s="1" t="str" cm="1">
        <f t="array" ref="E25">MMS_PastureBeef_Soil_AtmosphericDeposition_Equations.VEERG_4_2_1_5__1_AtmosphericDepositionEmissionsFromUrineAndDungOnPasture_Variable()</f>
        <v>E_N2Oad</v>
      </c>
    </row>
    <row r="26" spans="1:22" ht="20.100000000000001" customHeight="1" x14ac:dyDescent="0.25">
      <c r="A26" s="5" t="str">
        <f>HYPERLINK("#'5.2.1.1-2 Organic Fert N2O'!A1", "5.2.1.1-2 Organic fert N2O")</f>
        <v>5.2.1.1-2 Organic fert N2O</v>
      </c>
      <c r="D26" s="88" t="s">
        <v>130</v>
      </c>
      <c r="E26" s="15" t="str" cm="1">
        <f t="array" ref="E26">MMS_PastureBeef_Soil_AtmosphericDeposition_Equations.VEERG_4_2_1_5__1_AtmosphericDepositionEmissionsFromUrineAndDungOnPasture_Unit()</f>
        <v>t N2O</v>
      </c>
    </row>
    <row r="27" spans="1:22" ht="20.100000000000001" customHeight="1" x14ac:dyDescent="0.25">
      <c r="A27" s="5" t="str">
        <f>HYPERLINK("#'5.3.1.1-2 Lime CO2'!A1", "5.3.1.1-2 Lime CO2")</f>
        <v>5.3.1.1-2 Lime CO2</v>
      </c>
    </row>
    <row r="28" spans="1:22" ht="20.100000000000001" customHeight="1" x14ac:dyDescent="0.25">
      <c r="A28" s="5" t="str">
        <f>HYPERLINK("#'5.4.1.1-4 Atmos deposition'!A1", "5.4.1.1-4 Atmos. deposition")</f>
        <v>5.4.1.1-4 Atmos. deposition</v>
      </c>
      <c r="D28" s="107" t="str" cm="1">
        <f t="array" ref="D28:E33">_xlfn.CHOOSECOLS(MMS_PastureBeef_Soil_AtmosphericDeposition_Equations.VEERG_4_2_1_5__1_AtmosphericDepositionEmissionsFromUrineAndDungOnPasture_Arguments(),1,2)</f>
        <v>M_vol</v>
      </c>
      <c r="E28" s="108" t="str">
        <v>mass of nitrogen volatilised from urine and faeces deposited on pasture</v>
      </c>
      <c r="F28" s="110"/>
      <c r="G28" s="107" t="str" cm="1">
        <f t="array" ref="G28:H33">_xlfn.CHOOSECOLS(MMS_PastureBeef_Soil_AtmosphericDeposition_Equations.VEERG_4_2_1_5__1_AtmosphericDepositionEmissionsFromUrineAndDungOnPasture_Arguments(),3,4)</f>
        <v>kg N</v>
      </c>
      <c r="H28" s="112" t="str">
        <v>Calculated from 4.2.1.5 (2)</v>
      </c>
      <c r="I28" s="107">
        <f ca="1">E16</f>
        <v>12702.973370297599</v>
      </c>
      <c r="N28" s="107" t="str" cm="1">
        <f t="array" ref="N28:O33">_xlfn.CHOOSECOLS(MMS_PastureBeef_Soil_AtmosphericDeposition_Equations.VEERG_4_2_1_5__1_AtmosphericDepositionEmissionsFromUrineAndDungOnPasture_Arguments(),1,2)</f>
        <v>M_vol</v>
      </c>
      <c r="O28" s="108" t="str">
        <v>mass of nitrogen volatilised from urine and faeces deposited on pasture</v>
      </c>
      <c r="P28" s="110"/>
      <c r="Q28" s="107" t="str" cm="1">
        <f t="array" ref="Q28:R33">_xlfn.CHOOSECOLS(MMS_PastureBeef_Soil_AtmosphericDeposition_Equations.VEERG_4_2_1_5__1_AtmosphericDepositionEmissionsFromUrineAndDungOnPasture_Arguments(),3,4)</f>
        <v>kg N</v>
      </c>
      <c r="R28" s="112" t="str">
        <v>Calculated from 4.2.1.5 (2)</v>
      </c>
      <c r="S28" s="122">
        <f ca="1">O16</f>
        <v>12093.683725789424</v>
      </c>
    </row>
    <row r="29" spans="1:22" ht="20.100000000000001" customHeight="1" x14ac:dyDescent="0.25">
      <c r="A29" s="5" t="str">
        <f>HYPERLINK("#'5.5.1.1-2 Leaching and runoff'!A1", "5.5.1.1-2 Leaching &amp; runoff")</f>
        <v>5.5.1.1-2 Leaching &amp; runoff</v>
      </c>
      <c r="D29" s="107" t="str">
        <v>EF_N2O</v>
      </c>
      <c r="E29" s="108" t="str">
        <v>nitrous oxide emission factor for atmospheric deposition</v>
      </c>
      <c r="F29" s="110"/>
      <c r="G29" s="107" t="str">
        <v>kg N2O-N/kg N</v>
      </c>
      <c r="H29" s="112" t="str">
        <v>Constant</v>
      </c>
      <c r="I29" s="107">
        <f>Common_InputFunctions.Utility_LookupN2OEFFromProdIrrigationRainfall($I$31,$I$32,$I$33,Table_SourceData_Common_EFN2O[Production system only],Table_SourceData_Common_EFN2O[Irrigation method],Table_SourceData_Common_EFN2O[Rainfall zone],Table_SourceData_Common_EFN2O[EFN2O])</f>
        <v>5.8999999999999999E-3</v>
      </c>
      <c r="N29" s="107" t="str">
        <v>EF_N2O</v>
      </c>
      <c r="O29" s="108" t="str">
        <v>nitrous oxide emission factor for atmospheric deposition</v>
      </c>
      <c r="P29" s="110"/>
      <c r="Q29" s="107" t="str">
        <v>kg N2O-N/kg N</v>
      </c>
      <c r="R29" s="112" t="str">
        <v>Constant</v>
      </c>
      <c r="S29" s="122"/>
    </row>
    <row r="30" spans="1:22" ht="20.100000000000001" customHeight="1" x14ac:dyDescent="0.25">
      <c r="A30" s="5" t="str">
        <f>HYPERLINK("#'6.2.1.1-2 Pasture residue N2O'!A1", "6.2.1.1-2 Pasture residue N2O")</f>
        <v>6.2.1.1-2 Pasture residue N2O</v>
      </c>
      <c r="D30" s="107" t="str">
        <v>C_N2O</v>
      </c>
      <c r="E30" s="108" t="str">
        <v>factor to convert elemental mass of N2O to molecular mass</v>
      </c>
      <c r="F30" s="110"/>
      <c r="G30" s="107" t="str">
        <v/>
      </c>
      <c r="H30" s="112" t="str">
        <v>Constant</v>
      </c>
      <c r="I30" s="107">
        <f>Common_InputFunctions.Utility_LookupValueInTableNumber("N2O",Table_GasToMolecularConversionFactor[Gas],Table_GasToMolecularConversionFactor[Conversion factor combined])</f>
        <v>1.5714285714285714</v>
      </c>
      <c r="N30" s="107" t="str">
        <v>C_N2O</v>
      </c>
      <c r="O30" s="108" t="str">
        <v>factor to convert elemental mass of N2O to molecular mass</v>
      </c>
      <c r="P30" s="110"/>
      <c r="Q30" s="107" t="str">
        <v/>
      </c>
      <c r="R30" s="112" t="str">
        <v>Constant</v>
      </c>
      <c r="S30" s="122"/>
    </row>
    <row r="31" spans="1:22" ht="20.100000000000001" customHeight="1" x14ac:dyDescent="0.25">
      <c r="A31" s="5" t="str">
        <f>HYPERLINK("#'6.3.1.1-2 Leach runoff pasture'!A1", "6.3.1.1-2 Leach &amp; runoff (pasture)")</f>
        <v>6.3.1.1-2 Leach &amp; runoff (pasture)</v>
      </c>
      <c r="D31" s="107" t="str">
        <v>j</v>
      </c>
      <c r="E31" s="108" t="str">
        <v>production system</v>
      </c>
      <c r="F31" s="110"/>
      <c r="G31" s="107" t="str">
        <v/>
      </c>
      <c r="H31" s="111" t="str">
        <v>Input</v>
      </c>
      <c r="I31" s="107" t="str">
        <f>X_Cell_PastureBeef_GrazingProductionSystem</f>
        <v>Pasture</v>
      </c>
      <c r="N31" s="107" t="str">
        <v>j</v>
      </c>
      <c r="O31" s="108" t="str">
        <v>production system</v>
      </c>
      <c r="P31" s="110"/>
      <c r="Q31" s="107" t="str">
        <v/>
      </c>
      <c r="R31" s="111" t="str">
        <v>Input</v>
      </c>
      <c r="S31" s="122"/>
    </row>
    <row r="32" spans="1:22" ht="20.100000000000001" customHeight="1" x14ac:dyDescent="0.25">
      <c r="A32" s="5" t="str">
        <f>HYPERLINK("#'8.1.1.1-2 Transport fuel'!A1", "8.1.1.1-2 Transport fuel")</f>
        <v>8.1.1.1-2 Transport fuel</v>
      </c>
      <c r="D32" s="107" t="str">
        <v>i</v>
      </c>
      <c r="E32" s="108" t="str">
        <v>irrigation method</v>
      </c>
      <c r="F32" s="110"/>
      <c r="G32" s="107" t="str">
        <v/>
      </c>
      <c r="H32" s="111" t="str">
        <v>Input</v>
      </c>
      <c r="I32" s="107" t="str">
        <f>X_Cell_PastureBeef_GrazingIrrigationMethod</f>
        <v>Sprinkler irrigation</v>
      </c>
      <c r="N32" s="107" t="str">
        <v>i</v>
      </c>
      <c r="O32" s="108" t="str">
        <v>irrigation method</v>
      </c>
      <c r="P32" s="110"/>
      <c r="Q32" s="107" t="str">
        <v/>
      </c>
      <c r="R32" s="111" t="str">
        <v>Input</v>
      </c>
      <c r="S32" s="122"/>
    </row>
    <row r="33" spans="1:19" ht="20.100000000000001" customHeight="1" x14ac:dyDescent="0.25">
      <c r="A33" s="5" t="str">
        <f>HYPERLINK("#'8.2.1.1-2 Stationary fuel'!A1", "8.2.1.1-2 Stationary fuel")</f>
        <v>8.2.1.1-2 Stationary fuel</v>
      </c>
      <c r="D33" s="107" t="str">
        <v>r</v>
      </c>
      <c r="E33" s="108" t="str">
        <v>rainfall zone</v>
      </c>
      <c r="F33" s="110"/>
      <c r="G33" s="107" t="str">
        <v/>
      </c>
      <c r="H33" s="111" t="str">
        <v>Input</v>
      </c>
      <c r="I33" s="107" t="str">
        <f>X_Cell_Site_RainfallZone</f>
        <v>High rainfall</v>
      </c>
      <c r="N33" s="107" t="str">
        <v>r</v>
      </c>
      <c r="O33" s="108" t="str">
        <v>rainfall zone</v>
      </c>
      <c r="P33" s="110"/>
      <c r="Q33" s="107" t="str">
        <v/>
      </c>
      <c r="R33" s="111" t="str">
        <v>Input</v>
      </c>
      <c r="S33" s="122"/>
    </row>
    <row r="34" spans="1:19" ht="20.100000000000001" customHeight="1" x14ac:dyDescent="0.25">
      <c r="A34" s="5" t="str">
        <f>HYPERLINK("#'14.1.1-2 Purchased electricity'!A1", "14.1.1-2 Purchased electricity")</f>
        <v>14.1.1-2 Purchased electricity</v>
      </c>
    </row>
    <row r="35" spans="1:19" ht="20.100000000000001" customHeight="1" x14ac:dyDescent="0.25">
      <c r="D35" s="130" t="s">
        <v>464</v>
      </c>
      <c r="E35" s="118" cm="1">
        <f t="array" aca="1" ref="E35" ca="1">MMS_PastureBeef_Soil_AtmosphericDeposition_Equations.VEERG_4_2_1_5__1_AtmosphericDepositionEmissionsFromUrineAndDungOnPasture(I28,I29,I30)</f>
        <v>0.11777471024747345</v>
      </c>
      <c r="F35" s="125" t="str">
        <f>$E$26</f>
        <v>t N2O</v>
      </c>
      <c r="N35" s="130" t="s">
        <v>464</v>
      </c>
      <c r="O35" s="118" cm="1">
        <f t="array" aca="1" ref="O35" ca="1">MMS_PastureBeef_Soil_AtmosphericDeposition_Equations.VEERG_4_2_1_5__1_AtmosphericDepositionEmissionsFromUrineAndDungOnPasture(S28,I29,I30)</f>
        <v>0.11212572482910479</v>
      </c>
      <c r="P35" s="125" t="str">
        <f>$E$26</f>
        <v>t N2O</v>
      </c>
    </row>
    <row r="36" spans="1:19" ht="20.100000000000001" customHeight="1" x14ac:dyDescent="0.25"/>
    <row r="37" spans="1:19" ht="20.100000000000001" customHeight="1" x14ac:dyDescent="0.25">
      <c r="A37" s="251" t="s">
        <v>1</v>
      </c>
      <c r="D37" s="122" t="str" cm="1">
        <f t="array" ref="D37:E38">Common_Equations.Common_ConvertN2OToCO2e_Arguments()</f>
        <v>EN2O</v>
      </c>
      <c r="E37" s="123" t="str">
        <v>Nitrous oxide emissions (t N2O)</v>
      </c>
      <c r="F37" s="124"/>
      <c r="G37" s="25">
        <f ca="1">E35</f>
        <v>0.11777471024747345</v>
      </c>
      <c r="N37" s="122" t="str" cm="1">
        <f t="array" ref="N37:O38">Common_Equations.Common_ConvertN2OToCO2e_Arguments()</f>
        <v>EN2O</v>
      </c>
      <c r="O37" s="123" t="str">
        <v>Nitrous oxide emissions (t N2O)</v>
      </c>
      <c r="P37" s="124"/>
      <c r="Q37" s="25">
        <f ca="1">O35</f>
        <v>0.11212572482910479</v>
      </c>
    </row>
    <row r="38" spans="1:19" ht="20.100000000000001" customHeight="1" x14ac:dyDescent="0.25">
      <c r="A38" s="5" t="str">
        <f>HYPERLINK("#'Constants - Pasture Beef'!A1", "Constants - Pasture Beef")</f>
        <v>Constants - Pasture Beef</v>
      </c>
      <c r="D38" s="122" t="str">
        <v>GWPN2O</v>
      </c>
      <c r="E38" s="123" t="str">
        <v>Global warming potential for nitrous oxide (t CO2-e / t N2O)</v>
      </c>
      <c r="F38" s="124"/>
      <c r="G38" s="25">
        <f>Common_InputFunctions.Utility_LookupValueInTableNumber("N2O",Table_GWPData[Gas],Table_GWPData[CO2-e factor])</f>
        <v>265</v>
      </c>
      <c r="N38" s="122" t="str">
        <v>GWPN2O</v>
      </c>
      <c r="O38" s="123" t="str">
        <v>Global warming potential for nitrous oxide (t CO2-e / t N2O)</v>
      </c>
      <c r="P38" s="124"/>
      <c r="Q38" s="25">
        <f>Common_InputFunctions.Utility_LookupValueInTableNumber("N2O",Table_GWPData[Gas],Table_GWPData[CO2-e factor])</f>
        <v>265</v>
      </c>
    </row>
    <row r="39" spans="1:19" ht="20.100000000000001" customHeight="1" x14ac:dyDescent="0.25">
      <c r="A39" s="5" t="str">
        <f>HYPERLINK("#'Constants - Ag Residue'!A1", "Constants - Ag residue")</f>
        <v>Constants - Ag residue</v>
      </c>
    </row>
    <row r="40" spans="1:19" ht="20.100000000000001" customHeight="1" x14ac:dyDescent="0.25">
      <c r="A40" s="5" t="str">
        <f>HYPERLINK("#'Constants - Common Livestock'!A1", "Constants - Common Livestock")</f>
        <v>Constants - Common Livestock</v>
      </c>
      <c r="D40" s="118" t="s">
        <v>301</v>
      </c>
      <c r="E40" s="118" cm="1">
        <f t="array" aca="1" ref="E40" ca="1">Common_Equations.Common_ConvertN2OToCO2e(G37,G38)</f>
        <v>31.210298215580465</v>
      </c>
      <c r="F40" s="125" t="str" cm="1">
        <f t="array" ref="F40">Common_Equations.Common_ConvertN2OToCO2e_Unit()</f>
        <v>t CO2e</v>
      </c>
      <c r="N40" s="118" t="s">
        <v>301</v>
      </c>
      <c r="O40" s="118" cm="1">
        <f t="array" aca="1" ref="O40" ca="1">Common_Equations.Common_ConvertN2OToCO2e(Q37,Q38)</f>
        <v>29.71331707971277</v>
      </c>
      <c r="P40" s="125" t="str" cm="1">
        <f t="array" ref="P40">Common_Equations.Common_ConvertN2OToCO2e_Unit()</f>
        <v>t CO2e</v>
      </c>
    </row>
    <row r="41" spans="1:19" ht="20.100000000000001" customHeight="1" x14ac:dyDescent="0.25">
      <c r="A41" s="5" t="str">
        <f>HYPERLINK("#'Constants - Electricity'!A1", "Constants - Electricity")</f>
        <v>Constants - Electricity</v>
      </c>
    </row>
    <row r="42" spans="1:19" ht="20.100000000000001" customHeight="1" x14ac:dyDescent="0.25">
      <c r="A42" s="5" t="str">
        <f>HYPERLINK("#'Constants - Fertiliser'!A1", "Constants - Fertiliser")</f>
        <v>Constants - Fertiliser</v>
      </c>
    </row>
    <row r="43" spans="1:19" ht="20.100000000000001" customHeight="1" x14ac:dyDescent="0.25">
      <c r="A43" s="5" t="str">
        <f>HYPERLINK("#'Constants - Fuel'!A1", "Constants - Fuel")</f>
        <v>Constants - Fuel</v>
      </c>
    </row>
    <row r="44" spans="1:19" ht="20.100000000000001" customHeight="1" x14ac:dyDescent="0.25">
      <c r="A44" s="5" t="str">
        <f>HYPERLINK("#'Constants - Common'!A1", "Constants - Common")</f>
        <v>Constants - Common</v>
      </c>
    </row>
    <row r="45" spans="1:19" ht="20.100000000000001" customHeight="1" x14ac:dyDescent="0.25">
      <c r="A45" s="5" t="str">
        <f>HYPERLINK("#'Acknowledgements'!A1", "Acknowledgements")</f>
        <v>Acknowledgements</v>
      </c>
    </row>
    <row r="46" spans="1:19" ht="20.100000000000001" customHeight="1" x14ac:dyDescent="0.25">
      <c r="A46" s="5" t="str">
        <f>HYPERLINK("#'Overview'!A1", "Overview")</f>
        <v>Overview</v>
      </c>
    </row>
    <row r="47" spans="1:19" ht="20.100000000000001" customHeight="1" x14ac:dyDescent="0.25"/>
    <row r="48" spans="1:19"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count="1">
    <dataValidation operator="equal" allowBlank="1" showInputMessage="1" showErrorMessage="1" sqref="E19 O19 E24 O24" xr:uid="{E9EDD7EE-CBF7-4F70-A431-F585A5168AD1}"/>
  </dataValidations>
  <pageMargins left="0.7" right="0.7" top="0.75" bottom="0.75" header="0.3" footer="0.3"/>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42D9F0-5068-40D4-AE5E-6A17C2CE21D3}">
  <dimension ref="A1:S165"/>
  <sheetViews>
    <sheetView showGridLines="0" topLeftCell="A15" workbookViewId="0">
      <selection activeCell="A46" sqref="A46"/>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31" customFormat="1" ht="30" customHeight="1" x14ac:dyDescent="0.35">
      <c r="A1" s="16" t="e" vm="1">
        <v>#VALUE!</v>
      </c>
      <c r="C1" s="31" t="s">
        <v>465</v>
      </c>
    </row>
    <row r="2" spans="1:19" s="3" customFormat="1" ht="20.100000000000001" customHeight="1" x14ac:dyDescent="0.25">
      <c r="A2"/>
    </row>
    <row r="3" spans="1:19" ht="20.100000000000001" customHeight="1" x14ac:dyDescent="0.25">
      <c r="A3" s="5" t="str">
        <f>HYPERLINK("#'Home'!A1", "Home")</f>
        <v>Home</v>
      </c>
      <c r="C3" s="33"/>
      <c r="D3" s="33" t="s">
        <v>149</v>
      </c>
      <c r="E3" s="33"/>
      <c r="F3" s="33"/>
      <c r="G3" s="33"/>
      <c r="H3" s="33"/>
      <c r="I3" s="33"/>
      <c r="J3" s="33"/>
      <c r="L3" s="33"/>
      <c r="M3" s="33" t="s">
        <v>150</v>
      </c>
      <c r="N3" s="33"/>
      <c r="O3" s="33"/>
      <c r="P3" s="33"/>
      <c r="Q3" s="33"/>
      <c r="R3" s="33"/>
      <c r="S3" s="33"/>
    </row>
    <row r="4" spans="1:19" ht="20.100000000000001" customHeight="1" x14ac:dyDescent="0.25">
      <c r="A4" s="5" t="str">
        <f>HYPERLINK("#'Results'!A1", "Results")</f>
        <v>Results</v>
      </c>
    </row>
    <row r="5" spans="1:19" ht="20.100000000000001" customHeight="1" x14ac:dyDescent="0.25">
      <c r="D5" s="2" t="str" cm="1">
        <f t="array" ref="D5">MMS_PastureBeef_Soil_LeachingAndRunoff.VEERG_4_2_1_7__2_MassOfNitrogenLostToLeachingAndRunoffOnPasture_Title()</f>
        <v>Mass of nitrogen lost to leaching and runoff</v>
      </c>
    </row>
    <row r="6" spans="1:19" ht="20.100000000000001" customHeight="1" x14ac:dyDescent="0.25">
      <c r="D6" s="27" t="str" cm="1">
        <f t="array" ref="D6">MMS_PastureBeef_Soil_LeachingAndRunoff.VEERG_4_2_1_7__2_MassOfNitrogenLostToLeachingAndRunoffOnPasture_Source()</f>
        <v>VEERG 2026: 4.2.1.7, Equation (2)</v>
      </c>
    </row>
    <row r="7" spans="1:19" ht="20.100000000000001" customHeight="1" x14ac:dyDescent="0.25">
      <c r="A7" s="7" t="s">
        <v>0</v>
      </c>
      <c r="D7" s="105" t="s">
        <v>261</v>
      </c>
      <c r="E7" s="105" t="str" cm="1">
        <f t="array" aca="1" ref="E7" ca="1">Common_InputFunctions.Utility_DisplayFunctionName(E20)</f>
        <v>=MMS_PastureBeef_Soil_LeachingAndRunoff.VEERG_4_2_1_7__2_MassOfNitrogenLostToLeachingAndRunoffOnPasture</v>
      </c>
    </row>
    <row r="8" spans="1:19" ht="20.100000000000001" customHeight="1" x14ac:dyDescent="0.25">
      <c r="A8" s="5" t="str">
        <f>HYPERLINK("#'Input - Enterprise'!A1", "Enterprise")</f>
        <v>Enterprise</v>
      </c>
    </row>
    <row r="9" spans="1:19" ht="20.100000000000001" customHeight="1" x14ac:dyDescent="0.25">
      <c r="A9" s="5" t="str">
        <f>HYPERLINK("#'Input - Site'!A1", "Site")</f>
        <v>Site</v>
      </c>
    </row>
    <row r="10" spans="1:19" ht="20.100000000000001" customHeight="1" x14ac:dyDescent="0.25">
      <c r="A10" s="5" t="str">
        <f>HYPERLINK("#'Input - Pasture Beef'!A1", "Pasture Beef")</f>
        <v>Pasture Beef</v>
      </c>
      <c r="D10" s="88" t="s">
        <v>263</v>
      </c>
      <c r="E10" s="1" t="str" cm="1">
        <f t="array" ref="E10">MMS_PastureBeef_Soil_LeachingAndRunoff.VEERG_4_2_1_7__2_MassOfNitrogenLostToLeachingAndRunoffOnPasture_Variable()</f>
        <v>M_leach</v>
      </c>
    </row>
    <row r="11" spans="1:19" ht="20.100000000000001" customHeight="1" x14ac:dyDescent="0.25">
      <c r="A11" s="5" t="str">
        <f>HYPERLINK("#'Input - Pasture Beef (Enteric)'!A1", "Pasture Beef (Enteric)")</f>
        <v>Pasture Beef (Enteric)</v>
      </c>
      <c r="D11" s="88" t="s">
        <v>130</v>
      </c>
      <c r="E11" s="15" t="str" cm="1">
        <f t="array" ref="E11">MMS_PastureBeef_Soil_LeachingAndRunoff.VEERG_4_2_1_7__2_MassOfNitrogenLostToLeachingAndRunoffOnPasture_Unit()</f>
        <v>kg N</v>
      </c>
    </row>
    <row r="12" spans="1:19" ht="20.100000000000001" customHeight="1" x14ac:dyDescent="0.25">
      <c r="A12" s="5" t="str">
        <f>HYPERLINK("#'Input - Pasture'!A1", "Pasture")</f>
        <v>Pasture</v>
      </c>
    </row>
    <row r="13" spans="1:19" ht="20.100000000000001" customHeight="1" x14ac:dyDescent="0.25">
      <c r="A13" s="5" t="str">
        <f>HYPERLINK("#'Input - Fertiliser'!A1", "Fertiliser")</f>
        <v>Fertiliser</v>
      </c>
      <c r="D13" s="107" t="str" cm="1">
        <f t="array" ref="D13:E18">_xlfn.CHOOSECOLS(MMS_PastureBeef_Soil_LeachingAndRunoff.VEERG_4_2_1_7__2_MassOfNitrogenLostToLeachingAndRunoffOnPasture_Arguments(),1,2)</f>
        <v>AE</v>
      </c>
      <c r="E13" s="108" t="str">
        <v>total mass of nitrogen excreted on PRP for beef cattle</v>
      </c>
      <c r="F13" s="110"/>
      <c r="G13" s="107" t="str" cm="1">
        <f t="array" ref="G13:H18">_xlfn.CHOOSECOLS(MMS_PastureBeef_Soil_LeachingAndRunoff.VEERG_4_2_1_7__2_MassOfNitrogenLostToLeachingAndRunoffOnPasture_Arguments(),3,4)</f>
        <v>kg N</v>
      </c>
      <c r="H13" s="112" t="str">
        <v>Calculated from 4.2.1.3 (2)</v>
      </c>
      <c r="I13" s="107">
        <f ca="1">'4.2.1.3-4 Soil direct N20'!$E$212</f>
        <v>60490.349382369524</v>
      </c>
      <c r="M13" s="107" t="str" cm="1">
        <f t="array" ref="M13:N18">_xlfn.CHOOSECOLS(MMS_PastureBeef_Soil_LeachingAndRunoff.VEERG_4_2_1_7__2_MassOfNitrogenLostToLeachingAndRunoffOnPasture_Arguments(),1,2)</f>
        <v>AE</v>
      </c>
      <c r="N13" s="108" t="str">
        <v>total mass of nitrogen excreted on PRP for beef cattle</v>
      </c>
      <c r="O13" s="110"/>
      <c r="P13" s="107" t="str" cm="1">
        <f t="array" ref="P13:Q18">_xlfn.CHOOSECOLS(MMS_PastureBeef_Soil_LeachingAndRunoff.VEERG_4_2_1_7__2_MassOfNitrogenLostToLeachingAndRunoffOnPasture_Arguments(),3,4)</f>
        <v>kg N</v>
      </c>
      <c r="Q13" s="112" t="str">
        <v>Calculated from 4.2.1.3 (2)</v>
      </c>
      <c r="R13" s="107">
        <f ca="1">'4.2.1.3-4 Soil direct N20'!$V$261</f>
        <v>57588.970122806786</v>
      </c>
    </row>
    <row r="14" spans="1:19" ht="20.100000000000001" customHeight="1" x14ac:dyDescent="0.25">
      <c r="A14" s="5" t="str">
        <f>HYPERLINK("#'Input - Fuel'!A1", "Fuel")</f>
        <v>Fuel</v>
      </c>
      <c r="D14" s="107" t="str">
        <v>FracWet</v>
      </c>
      <c r="E14" s="108" t="str">
        <v>fraction of N available for leaching and runoff</v>
      </c>
      <c r="F14" s="110"/>
      <c r="G14" s="107" t="str">
        <v>fraction</v>
      </c>
      <c r="H14" s="112" t="str">
        <v>Constant</v>
      </c>
      <c r="I14" s="107">
        <f>Common_InputFunctions.CommonCropping_GetFracWET(I16,I18,#REF!,#REF!,Table_SourceData_FracWETIrrigation[Irrigation type i],Table_SourceData_FracWETIrrigation[FracWET])</f>
        <v>1</v>
      </c>
      <c r="M14" s="107" t="str">
        <v>FracWet</v>
      </c>
      <c r="N14" s="108" t="str">
        <v>fraction of N available for leaching and runoff</v>
      </c>
      <c r="O14" s="110"/>
      <c r="P14" s="107" t="str">
        <v>fraction</v>
      </c>
      <c r="Q14" s="112" t="str">
        <v>Constant</v>
      </c>
      <c r="R14" s="107"/>
    </row>
    <row r="15" spans="1:19" ht="20.100000000000001" customHeight="1" x14ac:dyDescent="0.25">
      <c r="A15" s="5" t="str">
        <f>HYPERLINK("#'Input - Electricity'!A1", "Electricity")</f>
        <v>Electricity</v>
      </c>
      <c r="D15" s="107" t="str">
        <v>FracLEACH</v>
      </c>
      <c r="E15" s="108" t="str">
        <v>fraction of all N that is lost through leaching and runoff</v>
      </c>
      <c r="F15" s="110"/>
      <c r="G15" s="107" t="str">
        <v>fraction</v>
      </c>
      <c r="H15" s="112" t="str">
        <v>Constant</v>
      </c>
      <c r="I15" s="107">
        <f>'Constants - Pasture Beef'!$D$440</f>
        <v>0.24</v>
      </c>
      <c r="M15" s="107" t="str">
        <v>FracLEACH</v>
      </c>
      <c r="N15" s="108" t="str">
        <v>fraction of all N that is lost through leaching and runoff</v>
      </c>
      <c r="O15" s="110"/>
      <c r="P15" s="107" t="str">
        <v>fraction</v>
      </c>
      <c r="Q15" s="112" t="str">
        <v>Constant</v>
      </c>
      <c r="R15" s="107"/>
    </row>
    <row r="16" spans="1:19" ht="20.100000000000001" customHeight="1" x14ac:dyDescent="0.25">
      <c r="D16" s="107" t="str">
        <v>z</v>
      </c>
      <c r="E16" s="108" t="str">
        <v>location in leaching zone</v>
      </c>
      <c r="F16" s="110"/>
      <c r="G16" s="107" t="str">
        <v/>
      </c>
      <c r="H16" s="111" t="str">
        <v>Input</v>
      </c>
      <c r="I16" s="107" t="str">
        <f>X_Cell_Site_LeachingZone</f>
        <v>NO - Not in leaching zone</v>
      </c>
      <c r="M16" s="107" t="str">
        <v>z</v>
      </c>
      <c r="N16" s="108" t="str">
        <v>location in leaching zone</v>
      </c>
      <c r="O16" s="110"/>
      <c r="P16" s="107" t="str">
        <v/>
      </c>
      <c r="Q16" s="111" t="str">
        <v>Input</v>
      </c>
      <c r="R16" s="107"/>
    </row>
    <row r="17" spans="1:19" ht="20.100000000000001" customHeight="1" x14ac:dyDescent="0.25">
      <c r="D17" s="107" t="str">
        <v>j</v>
      </c>
      <c r="E17" s="108" t="str">
        <v>production system</v>
      </c>
      <c r="F17" s="110"/>
      <c r="G17" s="107" t="str">
        <v/>
      </c>
      <c r="H17" s="111" t="str">
        <v>Input</v>
      </c>
      <c r="I17" s="107" t="str">
        <f>X_Cell_PastureBeef_GrazingProductionSystem</f>
        <v>Pasture</v>
      </c>
      <c r="M17" s="107" t="str">
        <v>j</v>
      </c>
      <c r="N17" s="108" t="str">
        <v>production system</v>
      </c>
      <c r="O17" s="110"/>
      <c r="P17" s="107" t="str">
        <v/>
      </c>
      <c r="Q17" s="111" t="str">
        <v>Input</v>
      </c>
      <c r="R17" s="107"/>
    </row>
    <row r="18" spans="1:19" ht="20.100000000000001" customHeight="1" x14ac:dyDescent="0.25">
      <c r="A18" s="6" t="s">
        <v>2</v>
      </c>
      <c r="D18" s="107" t="str">
        <v>ir</v>
      </c>
      <c r="E18" s="108" t="str">
        <v>irrigation method</v>
      </c>
      <c r="F18" s="110"/>
      <c r="G18" s="107" t="str">
        <v/>
      </c>
      <c r="H18" s="111" t="str">
        <v>Input</v>
      </c>
      <c r="I18" s="107" t="str">
        <f>X_Cell_PastureBeef_GrazingIrrigationMethod</f>
        <v>Sprinkler irrigation</v>
      </c>
      <c r="M18" s="107" t="str">
        <v>ir</v>
      </c>
      <c r="N18" s="108" t="str">
        <v>irrigation method</v>
      </c>
      <c r="O18" s="110"/>
      <c r="P18" s="107" t="str">
        <v/>
      </c>
      <c r="Q18" s="111" t="str">
        <v>Input</v>
      </c>
      <c r="R18" s="107"/>
    </row>
    <row r="19" spans="1:19" ht="20.100000000000001" customHeight="1" x14ac:dyDescent="0.25">
      <c r="A19" s="5" t="str">
        <f>HYPERLINK("#'3.2.1.1-2 Enteric Methane'!A1", "3.2.1.1-2 Enteric methane")</f>
        <v>3.2.1.1-2 Enteric methane</v>
      </c>
    </row>
    <row r="20" spans="1:19" ht="20.100000000000001" customHeight="1" x14ac:dyDescent="0.25">
      <c r="A20" s="5" t="str">
        <f>HYPERLINK("#'4.2.1.1-2 Methane'!A1", "4.2.1.1-2 Manure methane")</f>
        <v>4.2.1.1-2 Manure methane</v>
      </c>
      <c r="D20" s="130" t="s">
        <v>466</v>
      </c>
      <c r="E20" s="118" cm="1">
        <f t="array" aca="1" ref="E20" ca="1">MMS_PastureBeef_Soil_LeachingAndRunoff.VEERG_4_2_1_7__2_MassOfNitrogenLostToLeachingAndRunoffOnPasture($I$13,$I$14,$I$15)</f>
        <v>14517.683851768685</v>
      </c>
      <c r="F20" s="125" t="str">
        <f>$E$11</f>
        <v>kg N</v>
      </c>
      <c r="K20" s="91"/>
      <c r="M20" s="130" t="s">
        <v>466</v>
      </c>
      <c r="N20" s="118" cm="1">
        <f t="array" aca="1" ref="N20" ca="1">MMS_PastureBeef_Soil_LeachingAndRunoff.VEERG_4_2_1_7__2_MassOfNitrogenLostToLeachingAndRunoffOnPasture($R$13,$I$14,$I$15)</f>
        <v>13821.352829473628</v>
      </c>
      <c r="O20" s="125" t="str">
        <f>$E$11</f>
        <v>kg N</v>
      </c>
    </row>
    <row r="21" spans="1:19" ht="20.100000000000001" customHeight="1" x14ac:dyDescent="0.25">
      <c r="A21" s="5" t="str">
        <f>HYPERLINK("#'4.2.1.3-4 Soil direct N20'!A1", "4.2.1.3-4 Soil direct N2O")</f>
        <v>4.2.1.3-4 Soil direct N2O</v>
      </c>
      <c r="K21" s="91"/>
    </row>
    <row r="22" spans="1:19" ht="20.100000000000001" customHeight="1" x14ac:dyDescent="0.25">
      <c r="A22" s="5" t="str">
        <f>HYPERLINK("#'4.2.1.5-6 Soil Atmos Dep'!A1", "4.2.1.5-6 Soil atm. deposition")</f>
        <v>4.2.1.5-6 Soil atm. deposition</v>
      </c>
      <c r="K22" s="91"/>
    </row>
    <row r="23" spans="1:19" ht="20.100000000000001" customHeight="1" x14ac:dyDescent="0.25">
      <c r="A23" s="106" t="str">
        <f>HYPERLINK("#'4.2.1.7-8 Soil leach runoff'!A1", "4.2.1.7-8 Soil leach &amp; runoff")</f>
        <v>4.2.1.7-8 Soil leach &amp; runoff</v>
      </c>
      <c r="C23" s="118"/>
      <c r="D23" s="118"/>
      <c r="E23" s="118"/>
      <c r="F23" s="118"/>
      <c r="G23" s="118"/>
      <c r="H23" s="118"/>
      <c r="I23" s="118"/>
      <c r="J23" s="118"/>
      <c r="K23" s="91"/>
      <c r="L23" s="118"/>
      <c r="M23" s="118"/>
      <c r="N23" s="118"/>
      <c r="O23" s="118"/>
      <c r="P23" s="118"/>
      <c r="Q23" s="118"/>
      <c r="R23" s="118"/>
      <c r="S23" s="118"/>
    </row>
    <row r="24" spans="1:19" ht="20.100000000000001" customHeight="1" x14ac:dyDescent="0.25">
      <c r="A24" s="5" t="str">
        <f>HYPERLINK("#'5.1.1.1-2 Inorganic fert N2O'!A1", "5.1.1.1-2 Inorganic fert N2O")</f>
        <v>5.1.1.1-2 Inorganic fert N2O</v>
      </c>
      <c r="D24" s="2" t="str" cm="1">
        <f t="array" ref="D24">MMS_PastureBeef_Soil_LeachingAndRunoff.VEERG_4_2_1_7__1_LeachingAndRunoffEmissionsFromUrineAndDungOnPasture_Title()</f>
        <v>Leaching and runoff emissions from urine and dung deposited on pasture</v>
      </c>
    </row>
    <row r="25" spans="1:19" ht="20.100000000000001" customHeight="1" x14ac:dyDescent="0.25">
      <c r="A25" s="5" t="str">
        <f>HYPERLINK("#'5.1.1.3-4 Inorganic fert CO2'!A1", "5.1.1.3-4 Inorganic fert CO2")</f>
        <v>5.1.1.3-4 Inorganic fert CO2</v>
      </c>
      <c r="D25" s="27" t="str" cm="1">
        <f t="array" ref="D25">MMS_PastureBeef_Soil_LeachingAndRunoff.VEERG_4_2_1_7__1_LeachingAndRunoffEmissionsFromUrineAndDungOnPasture_Source()</f>
        <v>VEERG 2026: 4.2.1.7, Equation (1)</v>
      </c>
    </row>
    <row r="26" spans="1:19" ht="20.100000000000001" customHeight="1" x14ac:dyDescent="0.25">
      <c r="A26" s="5" t="str">
        <f>HYPERLINK("#'5.2.1.1-2 Organic Fert N2O'!A1", "5.2.1.1-2 Organic fert N2O")</f>
        <v>5.2.1.1-2 Organic fert N2O</v>
      </c>
      <c r="D26" s="105" t="s">
        <v>261</v>
      </c>
      <c r="E26" s="105" t="str" cm="1">
        <f t="array" aca="1" ref="E26" ca="1">Common_InputFunctions.Utility_DisplayFunctionName(E36)</f>
        <v>=MMS_PastureBeef_Soil_LeachingAndRunoff.VEERG_4_2_1_7__1_LeachingAndRunoffEmissionsFromUrineAndDungOnPasture</v>
      </c>
    </row>
    <row r="27" spans="1:19" ht="20.100000000000001" customHeight="1" x14ac:dyDescent="0.25">
      <c r="A27" s="5" t="str">
        <f>HYPERLINK("#'5.3.1.1-2 Lime CO2'!A1", "5.3.1.1-2 Lime CO2")</f>
        <v>5.3.1.1-2 Lime CO2</v>
      </c>
    </row>
    <row r="28" spans="1:19" ht="20.100000000000001" customHeight="1" x14ac:dyDescent="0.25">
      <c r="A28" s="5" t="str">
        <f>HYPERLINK("#'5.4.1.1-4 Atmos deposition'!A1", "5.4.1.1-4 Atmos. deposition")</f>
        <v>5.4.1.1-4 Atmos. deposition</v>
      </c>
    </row>
    <row r="29" spans="1:19" ht="20.100000000000001" customHeight="1" x14ac:dyDescent="0.25">
      <c r="A29" s="5" t="str">
        <f>HYPERLINK("#'5.5.1.1-2 Leaching and runoff'!A1", "5.5.1.1-2 Leaching &amp; runoff")</f>
        <v>5.5.1.1-2 Leaching &amp; runoff</v>
      </c>
      <c r="D29" s="88" t="s">
        <v>263</v>
      </c>
      <c r="E29" s="1" t="str" cm="1">
        <f t="array" ref="E29">MMS_PastureBeef_Soil_LeachingAndRunoff.VEERG_4_2_1_7__1_LeachingAndRunoffEmissionsFromUrineAndDungOnPasture_Variable()</f>
        <v>E_N2Oleach</v>
      </c>
    </row>
    <row r="30" spans="1:19" ht="20.100000000000001" customHeight="1" x14ac:dyDescent="0.25">
      <c r="A30" s="5" t="str">
        <f>HYPERLINK("#'6.2.1.1-2 Pasture residue N2O'!A1", "6.2.1.1-2 Pasture residue N2O")</f>
        <v>6.2.1.1-2 Pasture residue N2O</v>
      </c>
      <c r="D30" s="88" t="s">
        <v>130</v>
      </c>
      <c r="E30" s="15" t="str" cm="1">
        <f t="array" ref="E30">MMS_PastureBeef_Soil_LeachingAndRunoff.VEERG_4_2_1_7__1_LeachingAndRunoffEmissionsFromUrineAndDungOnPasture_Unit()</f>
        <v>t N2O</v>
      </c>
    </row>
    <row r="31" spans="1:19" ht="20.100000000000001" customHeight="1" x14ac:dyDescent="0.25">
      <c r="A31" s="5" t="str">
        <f>HYPERLINK("#'6.3.1.1-2 Leach runoff pasture'!A1", "6.3.1.1-2 Leach &amp; runoff (pasture)")</f>
        <v>6.3.1.1-2 Leach &amp; runoff (pasture)</v>
      </c>
    </row>
    <row r="32" spans="1:19" ht="20.100000000000001" customHeight="1" x14ac:dyDescent="0.25">
      <c r="A32" s="5" t="str">
        <f>HYPERLINK("#'8.1.1.1-2 Transport fuel'!A1", "8.1.1.1-2 Transport fuel")</f>
        <v>8.1.1.1-2 Transport fuel</v>
      </c>
      <c r="D32" s="107" t="str" cm="1">
        <f t="array" ref="D32:E34">_xlfn.CHOOSECOLS(MMS_PastureBeef_Soil_LeachingAndRunoff.VEERG_4_2_1_7__1_LeachingAndRunoffEmissionsFromUrineAndDungOnPasture_Arguments(),1,2)</f>
        <v>M_leach</v>
      </c>
      <c r="E32" s="108" t="str">
        <v>mass of nitrogen lost to leaching and runoff</v>
      </c>
      <c r="F32" s="110"/>
      <c r="G32" s="107" t="str" cm="1">
        <f t="array" ref="G32:H34">_xlfn.CHOOSECOLS(MMS_PastureBeef_Soil_LeachingAndRunoff.VEERG_4_2_1_7__1_LeachingAndRunoffEmissionsFromUrineAndDungOnPasture_Arguments(),3,4)</f>
        <v>kg N</v>
      </c>
      <c r="H32" s="112" t="str">
        <v>Calculated from 4.2.1.7 (2)</v>
      </c>
      <c r="I32" s="107">
        <f ca="1">$E$20</f>
        <v>14517.683851768685</v>
      </c>
      <c r="M32" s="107" t="str" cm="1">
        <f t="array" ref="M32:N34">_xlfn.CHOOSECOLS(MMS_PastureBeef_Soil_LeachingAndRunoff.VEERG_4_2_1_7__1_LeachingAndRunoffEmissionsFromUrineAndDungOnPasture_Arguments(),1,2)</f>
        <v>M_leach</v>
      </c>
      <c r="N32" s="108" t="str">
        <v>mass of nitrogen lost to leaching and runoff</v>
      </c>
      <c r="O32" s="110"/>
      <c r="P32" s="107" t="str" cm="1">
        <f t="array" ref="P32:Q34">_xlfn.CHOOSECOLS(MMS_PastureBeef_Soil_LeachingAndRunoff.VEERG_4_2_1_7__1_LeachingAndRunoffEmissionsFromUrineAndDungOnPasture_Arguments(),3,4)</f>
        <v>kg N</v>
      </c>
      <c r="Q32" s="112" t="str">
        <v>Calculated from 4.2.1.7 (2)</v>
      </c>
      <c r="R32" s="107">
        <f ca="1">$N$20</f>
        <v>13821.352829473628</v>
      </c>
    </row>
    <row r="33" spans="1:18" ht="20.100000000000001" customHeight="1" x14ac:dyDescent="0.25">
      <c r="A33" s="5" t="str">
        <f>HYPERLINK("#'8.2.1.1-2 Stationary fuel'!A1", "8.2.1.1-2 Stationary fuel")</f>
        <v>8.2.1.1-2 Stationary fuel</v>
      </c>
      <c r="D33" s="107" t="str">
        <v>EF_leach</v>
      </c>
      <c r="E33" s="108" t="str">
        <v>emission factor for leaching and runoff</v>
      </c>
      <c r="F33" s="110"/>
      <c r="G33" s="107" t="str">
        <v>kg N2O-N/kg N</v>
      </c>
      <c r="H33" s="112" t="str">
        <v>Constant</v>
      </c>
      <c r="I33" s="107">
        <f>'Constants - Common'!$E$170</f>
        <v>1.0999999999999999E-2</v>
      </c>
      <c r="M33" s="107" t="str">
        <v>EF_leach</v>
      </c>
      <c r="N33" s="108" t="str">
        <v>emission factor for leaching and runoff</v>
      </c>
      <c r="O33" s="110"/>
      <c r="P33" s="107" t="str">
        <v>kg N2O-N/kg N</v>
      </c>
      <c r="Q33" s="112" t="str">
        <v>Constant</v>
      </c>
      <c r="R33" s="107"/>
    </row>
    <row r="34" spans="1:18" ht="20.100000000000001" customHeight="1" x14ac:dyDescent="0.25">
      <c r="A34" s="5" t="str">
        <f>HYPERLINK("#'14.1.1-2 Purchased electricity'!A1", "14.1.1-2 Purchased electricity")</f>
        <v>14.1.1-2 Purchased electricity</v>
      </c>
      <c r="D34" s="107" t="str">
        <v>C_N2O</v>
      </c>
      <c r="E34" s="108" t="str">
        <v>factor to convert elemental mass of N2O to molecular mass</v>
      </c>
      <c r="F34" s="110"/>
      <c r="G34" s="107" t="str">
        <v/>
      </c>
      <c r="H34" s="112" t="str">
        <v>Constant</v>
      </c>
      <c r="I34" s="107">
        <f>Common_InputFunctions.Utility_LookupValueInTableNumber("N2O",Table_GasToMolecularConversionFactor[Gas],Table_GasToMolecularConversionFactor[Conversion factor combined])</f>
        <v>1.5714285714285714</v>
      </c>
      <c r="M34" s="107" t="str">
        <v>C_N2O</v>
      </c>
      <c r="N34" s="108" t="str">
        <v>factor to convert elemental mass of N2O to molecular mass</v>
      </c>
      <c r="O34" s="110"/>
      <c r="P34" s="107" t="str">
        <v/>
      </c>
      <c r="Q34" s="112" t="str">
        <v>Constant</v>
      </c>
      <c r="R34" s="107"/>
    </row>
    <row r="35" spans="1:18" ht="20.100000000000001" customHeight="1" x14ac:dyDescent="0.25"/>
    <row r="36" spans="1:18" ht="20.100000000000001" customHeight="1" x14ac:dyDescent="0.25">
      <c r="D36" s="130" t="s">
        <v>467</v>
      </c>
      <c r="E36" s="118" cm="1">
        <f t="array" aca="1" ref="E36" ca="1">MMS_PastureBeef_Soil_LeachingAndRunoff.VEERG_4_2_1_7__1_LeachingAndRunoffEmissionsFromUrineAndDungOnPasture(I32,I33,I34)</f>
        <v>0.2509485351520015</v>
      </c>
      <c r="F36" s="125" t="str">
        <f>$E$30</f>
        <v>t N2O</v>
      </c>
      <c r="M36" s="130" t="s">
        <v>467</v>
      </c>
      <c r="N36" s="118" cm="1">
        <f t="array" aca="1" ref="N36" ca="1">MMS_PastureBeef_Soil_LeachingAndRunoff.VEERG_4_2_1_7__1_LeachingAndRunoffEmissionsFromUrineAndDungOnPasture(R32,I33,I34)</f>
        <v>0.23891195605232987</v>
      </c>
      <c r="O36" s="125" t="str">
        <f>$E$30</f>
        <v>t N2O</v>
      </c>
    </row>
    <row r="37" spans="1:18" ht="20.100000000000001" customHeight="1" x14ac:dyDescent="0.25">
      <c r="A37" s="251" t="s">
        <v>1</v>
      </c>
    </row>
    <row r="38" spans="1:18" ht="20.100000000000001" customHeight="1" x14ac:dyDescent="0.25">
      <c r="A38" s="5" t="str">
        <f>HYPERLINK("#'Constants - Pasture Beef'!A1", "Constants - Pasture Beef")</f>
        <v>Constants - Pasture Beef</v>
      </c>
      <c r="D38" s="122" t="str" cm="1">
        <f t="array" ref="D38:E39">Common_Equations.Common_ConvertN2OToCO2e_Arguments()</f>
        <v>EN2O</v>
      </c>
      <c r="E38" s="123" t="str">
        <v>Nitrous oxide emissions (t N2O)</v>
      </c>
      <c r="F38" s="124"/>
      <c r="G38" s="25">
        <f ca="1">E36</f>
        <v>0.2509485351520015</v>
      </c>
      <c r="M38" s="122" t="str" cm="1">
        <f t="array" ref="M38:N39">Common_Equations.Common_ConvertN2OToCO2e_Arguments()</f>
        <v>EN2O</v>
      </c>
      <c r="N38" s="123" t="str">
        <v>Nitrous oxide emissions (t N2O)</v>
      </c>
      <c r="O38" s="124"/>
      <c r="P38" s="25">
        <f ca="1">N36</f>
        <v>0.23891195605232987</v>
      </c>
    </row>
    <row r="39" spans="1:18" ht="20.100000000000001" customHeight="1" x14ac:dyDescent="0.25">
      <c r="A39" s="5" t="str">
        <f>HYPERLINK("#'Constants - Ag Residue'!A1", "Constants - Ag residue")</f>
        <v>Constants - Ag residue</v>
      </c>
      <c r="D39" s="122" t="str">
        <v>GWPN2O</v>
      </c>
      <c r="E39" s="123" t="str">
        <v>Global warming potential for nitrous oxide (t CO2-e / t N2O)</v>
      </c>
      <c r="F39" s="124"/>
      <c r="G39" s="25">
        <f>Common_InputFunctions.Utility_LookupValueInTableNumber("N2O",Table_GWPData[Gas],Table_GWPData[CO2-e factor])</f>
        <v>265</v>
      </c>
      <c r="M39" s="122" t="str">
        <v>GWPN2O</v>
      </c>
      <c r="N39" s="123" t="str">
        <v>Global warming potential for nitrous oxide (t CO2-e / t N2O)</v>
      </c>
      <c r="O39" s="124"/>
      <c r="P39" s="25">
        <f>Common_InputFunctions.Utility_LookupValueInTableNumber("N2O",Table_GWPData[Gas],Table_GWPData[CO2-e factor])</f>
        <v>265</v>
      </c>
    </row>
    <row r="40" spans="1:18" ht="20.100000000000001" customHeight="1" x14ac:dyDescent="0.25">
      <c r="A40" s="5" t="str">
        <f>HYPERLINK("#'Constants - Common Livestock'!A1", "Constants - Common Livestock")</f>
        <v>Constants - Common Livestock</v>
      </c>
    </row>
    <row r="41" spans="1:18" ht="20.100000000000001" customHeight="1" x14ac:dyDescent="0.25">
      <c r="A41" s="5" t="str">
        <f>HYPERLINK("#'Constants - Electricity'!A1", "Constants - Electricity")</f>
        <v>Constants - Electricity</v>
      </c>
      <c r="D41" s="118" t="s">
        <v>301</v>
      </c>
      <c r="E41" s="118" cm="1">
        <f t="array" aca="1" ref="E41" ca="1">Common_Equations.Common_ConvertN2OToCO2e(G38,G39)</f>
        <v>66.50136181528039</v>
      </c>
      <c r="F41" s="125" t="str" cm="1">
        <f t="array" ref="F41">Common_Equations.Common_ConvertN2OToCO2e_Unit()</f>
        <v>t CO2e</v>
      </c>
      <c r="M41" s="118" t="s">
        <v>301</v>
      </c>
      <c r="N41" s="118" cm="1">
        <f t="array" aca="1" ref="N41" ca="1">Common_Equations.Common_ConvertN2OToCO2e(P38,P39)</f>
        <v>63.311668353867418</v>
      </c>
      <c r="O41" s="125" t="str" cm="1">
        <f t="array" ref="O41">Common_Equations.Common_ConvertN2OToCO2e_Unit()</f>
        <v>t CO2e</v>
      </c>
    </row>
    <row r="42" spans="1:18" ht="20.100000000000001" customHeight="1" x14ac:dyDescent="0.25">
      <c r="A42" s="5" t="str">
        <f>HYPERLINK("#'Constants - Fertiliser'!A1", "Constants - Fertiliser")</f>
        <v>Constants - Fertiliser</v>
      </c>
    </row>
    <row r="43" spans="1:18" ht="20.100000000000001" customHeight="1" x14ac:dyDescent="0.25">
      <c r="A43" s="5" t="str">
        <f>HYPERLINK("#'Constants - Fuel'!A1", "Constants - Fuel")</f>
        <v>Constants - Fuel</v>
      </c>
    </row>
    <row r="44" spans="1:18" ht="20.100000000000001" customHeight="1" x14ac:dyDescent="0.25">
      <c r="A44" s="5" t="str">
        <f>HYPERLINK("#'Constants - Common'!A1", "Constants - Common")</f>
        <v>Constants - Common</v>
      </c>
    </row>
    <row r="45" spans="1:18" ht="20.100000000000001" customHeight="1" x14ac:dyDescent="0.25">
      <c r="A45" s="5" t="str">
        <f>HYPERLINK("#'Acknowledgements'!A1", "Acknowledgements")</f>
        <v>Acknowledgements</v>
      </c>
    </row>
    <row r="46" spans="1:18" ht="20.100000000000001" customHeight="1" x14ac:dyDescent="0.25">
      <c r="A46" s="5" t="str">
        <f>HYPERLINK("#'Overview'!A1", "Overview")</f>
        <v>Overview</v>
      </c>
    </row>
    <row r="47" spans="1:18" ht="20.100000000000001" customHeight="1" x14ac:dyDescent="0.25"/>
    <row r="48" spans="1:1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count="1">
    <dataValidation operator="equal" allowBlank="1" showInputMessage="1" showErrorMessage="1" sqref="E23 N23 E28 N28" xr:uid="{179D2B25-8447-4700-8A52-CB9DA8AB6375}"/>
  </dataValidations>
  <pageMargins left="0.7" right="0.7" top="0.75" bottom="0.75" header="0.3" footer="0.3"/>
  <pageSetup paperSize="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BC78F-EEDF-4C82-95C2-1D26D74ED578}">
  <dimension ref="A1:X342"/>
  <sheetViews>
    <sheetView showGridLines="0" topLeftCell="B46" zoomScaleNormal="100" workbookViewId="0">
      <selection activeCell="A46" sqref="A46"/>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23" width="30.7109375" style="1" customWidth="1"/>
    <col min="24" max="24" width="4.7109375" style="1" customWidth="1"/>
  </cols>
  <sheetData>
    <row r="1" spans="1:24" s="31" customFormat="1" ht="30" customHeight="1" x14ac:dyDescent="0.35">
      <c r="A1" s="16" t="e" vm="1">
        <v>#VALUE!</v>
      </c>
      <c r="C1" s="31" t="s">
        <v>539</v>
      </c>
      <c r="K1"/>
    </row>
    <row r="2" spans="1:24" s="3" customFormat="1" ht="20.100000000000001" customHeight="1" x14ac:dyDescent="0.25">
      <c r="A2"/>
      <c r="K2"/>
    </row>
    <row r="3" spans="1:24" ht="20.100000000000001" customHeight="1" x14ac:dyDescent="0.25">
      <c r="A3" s="5" t="str">
        <f>HYPERLINK("#'Home'!A1", "Home")</f>
        <v>Home</v>
      </c>
      <c r="C3" s="33"/>
      <c r="D3" s="33" t="s">
        <v>149</v>
      </c>
      <c r="E3" s="33"/>
      <c r="F3" s="33"/>
      <c r="G3" s="33"/>
      <c r="H3" s="33"/>
      <c r="I3" s="33"/>
      <c r="J3" s="33"/>
      <c r="L3" s="33"/>
      <c r="M3" s="33" t="s">
        <v>150</v>
      </c>
      <c r="N3" s="33"/>
      <c r="O3" s="33"/>
      <c r="P3" s="33"/>
      <c r="Q3" s="33"/>
      <c r="R3" s="33"/>
      <c r="S3" s="33"/>
      <c r="T3" s="33"/>
      <c r="U3" s="33"/>
      <c r="V3" s="33"/>
      <c r="W3" s="33"/>
      <c r="X3" s="33"/>
    </row>
    <row r="4" spans="1:24" ht="20.100000000000001" customHeight="1" x14ac:dyDescent="0.25">
      <c r="A4" s="5" t="str">
        <f>HYPERLINK("#'Results'!A1", "Results")</f>
        <v>Results</v>
      </c>
    </row>
    <row r="5" spans="1:24" ht="20.100000000000001" customHeight="1" x14ac:dyDescent="0.25">
      <c r="D5" s="2" t="str" cm="1">
        <f t="array" ref="D5">Fertiliser_Equations_InorganicN2O.VEERG_5_1_1_1__2_MassOfNitrogenInInorganicFertiliser_Title()</f>
        <v>Mass of nitrogen in inorganic fertiliser applied to production system</v>
      </c>
      <c r="M5" s="2" t="str" cm="1">
        <f t="array" ref="M5">Fertiliser_Equations_InorganicN2O.VEERG_5_1_1_2__1_EmissionFactorIrrigatedMaize_Title()</f>
        <v>Emission factor for nitrous oxide for irrigated maize</v>
      </c>
    </row>
    <row r="6" spans="1:24" ht="20.100000000000001" customHeight="1" x14ac:dyDescent="0.25">
      <c r="D6" s="27" t="str" cm="1">
        <f t="array" ref="D6">Fertiliser_Equations_InorganicN2O.VEERG_5_1_1_1__2_MassOfNitrogenInInorganicFertiliser_Source()</f>
        <v>VEERG 2026: 5.1.1.1, Equation (2)</v>
      </c>
      <c r="M6" s="27" t="str" cm="1">
        <f t="array" ref="M6">Fertiliser_Equations_InorganicN2O.VEERG_5_1_1_2__1_EmissionFactorIrrigatedMaize_Source()</f>
        <v>VEERG 2026: 5.1.1.2, Equation (1)</v>
      </c>
    </row>
    <row r="7" spans="1:24" ht="20.100000000000001" customHeight="1" x14ac:dyDescent="0.25">
      <c r="A7" s="7" t="s">
        <v>0</v>
      </c>
      <c r="D7" s="105" t="s">
        <v>261</v>
      </c>
      <c r="E7" s="105" t="str" cm="1">
        <f t="array" aca="1" ref="E7" ca="1">Common_InputFunctions.Utility_DisplayFunctionName(G19)</f>
        <v>=Fertiliser_Equations_InorganicN2O.VEERG_5_1_1_1__2_MassOfNitrogenInInorganicFertiliser</v>
      </c>
    </row>
    <row r="8" spans="1:24" ht="20.100000000000001" customHeight="1" x14ac:dyDescent="0.25">
      <c r="A8" s="5" t="str">
        <f>HYPERLINK("#'Input - Enterprise'!A1", "Enterprise")</f>
        <v>Enterprise</v>
      </c>
    </row>
    <row r="9" spans="1:24" ht="20.100000000000001" customHeight="1" x14ac:dyDescent="0.25">
      <c r="A9" s="5" t="str">
        <f>HYPERLINK("#'Input - Site'!A1", "Site")</f>
        <v>Site</v>
      </c>
      <c r="M9" s="88" t="s">
        <v>263</v>
      </c>
      <c r="N9" s="1" t="str" cm="1">
        <f t="array" ref="N9">Fertiliser_Equations_InorganicN2O.VEERG_5_1_1_2__1_EmissionFactorIrrigatedMaize_Variable()</f>
        <v>EF_fjIrrigatedMaizeN2O</v>
      </c>
    </row>
    <row r="10" spans="1:24" ht="20.100000000000001" customHeight="1" x14ac:dyDescent="0.25">
      <c r="A10" s="5" t="str">
        <f>HYPERLINK("#'Input - Pasture Beef'!A1", "Pasture Beef")</f>
        <v>Pasture Beef</v>
      </c>
      <c r="D10" s="88" t="s">
        <v>263</v>
      </c>
      <c r="E10" s="1" t="str" cm="1">
        <f t="array" ref="E10">Fertiliser_Equations_InorganicN2O.VEERG_5_1_1_1__2_MassOfNitrogenInInorganicFertiliser_Variable()</f>
        <v>MN_jf</v>
      </c>
      <c r="M10" s="88" t="s">
        <v>130</v>
      </c>
      <c r="N10" s="15" t="str" cm="1">
        <f t="array" ref="N10">Fertiliser_Equations_InorganicN2O.VEERG_5_1_1_2__1_EmissionFactorIrrigatedMaize_Unit()</f>
        <v>kg N2O-N/kg N applied</v>
      </c>
    </row>
    <row r="11" spans="1:24" ht="20.100000000000001" customHeight="1" x14ac:dyDescent="0.25">
      <c r="A11" s="5" t="str">
        <f>HYPERLINK("#'Input - Pasture Beef (Enteric)'!A1", "Pasture Beef (Enteric)")</f>
        <v>Pasture Beef (Enteric)</v>
      </c>
      <c r="D11" s="88" t="s">
        <v>130</v>
      </c>
      <c r="E11" s="15" t="str" cm="1">
        <f t="array" ref="E11">Fertiliser_Equations_InorganicN2O.VEERG_5_1_1_1__2_MassOfNitrogenInInorganicFertiliser_Unit()</f>
        <v>kg N</v>
      </c>
    </row>
    <row r="12" spans="1:24" ht="20.100000000000001" customHeight="1" x14ac:dyDescent="0.25">
      <c r="A12" s="5" t="str">
        <f>HYPERLINK("#'Input - Pasture'!A1", "Pasture")</f>
        <v>Pasture</v>
      </c>
      <c r="M12" s="122" t="str" cm="1">
        <f t="array" ref="M12:N13">_xlfn.CHOOSECOLS(Fertiliser_Equations_InorganicN2O.VEERG_5_1_1_2__1_EmissionFactorIrrigatedMaize_Arguments(), 1, 2)</f>
        <v>N_fjIrrigatedMaize</v>
      </c>
      <c r="N12" s="123" t="str">
        <v>application rate of inorganic fertiliser type f in the irrigated maize crop</v>
      </c>
      <c r="O12" s="169"/>
      <c r="P12" s="122" t="str" cm="1">
        <f t="array" ref="P12:Q13">_xlfn.CHOOSECOLS(Fertiliser_Equations_InorganicN2O.VEERG_5_1_1_2__1_EmissionFactorIrrigatedMaize_Arguments(), 3,4)</f>
        <v>kg N/ha</v>
      </c>
      <c r="Q12" s="111" t="str">
        <v>Input</v>
      </c>
      <c r="R12" s="170" t="str" cm="1">
        <f t="array" aca="1" ref="R12" ca="1">HYPERLINK(Common_InputFunctions.Utility_SourceHyperlink($M$41), $M$41)</f>
        <v>M2_Table_FertApplications</v>
      </c>
      <c r="S12" s="171"/>
    </row>
    <row r="13" spans="1:24" ht="20.100000000000001" customHeight="1" x14ac:dyDescent="0.25">
      <c r="A13" s="5" t="str">
        <f>HYPERLINK("#'Input - Fertiliser'!A1", "Fertiliser")</f>
        <v>Fertiliser</v>
      </c>
      <c r="D13" s="122" t="str" cm="1">
        <f t="array" ref="D13:E14">_xlfn.CHOOSECOLS(Fertiliser_Equations_InorganicN2O.VEERG_5_1_1_1__2_MassOfNitrogenInInorganicFertiliser_Arguments(), 1,2)</f>
        <v>TM_jf</v>
      </c>
      <c r="E13" s="122" t="str">
        <v>total mass of inorganic fertiliser type f applied to production system j</v>
      </c>
      <c r="F13" s="122"/>
      <c r="G13" s="122" t="str" cm="1">
        <f t="array" ref="G13:H14">_xlfn.CHOOSECOLS(Fertiliser_Equations_InorganicN2O.VEERG_5_1_1_1__2_MassOfNitrogenInInorganicFertiliser_Arguments(), 3,4)</f>
        <v>kg</v>
      </c>
      <c r="H13" s="111" t="str">
        <v>Input</v>
      </c>
      <c r="I13" s="113" t="str" cm="1">
        <f t="array" aca="1" ref="I13" ca="1">HYPERLINK(Common_InputFunctions.Utility_SourceHyperlink($D$16), $D$16)</f>
        <v>Table_MN_j_f</v>
      </c>
      <c r="M13" s="122" t="str">
        <v>f</v>
      </c>
      <c r="N13" s="123" t="str">
        <v>Inorganic fertiliser type</v>
      </c>
      <c r="O13" s="169"/>
      <c r="P13" s="122" t="str">
        <v/>
      </c>
      <c r="Q13" s="112" t="str">
        <v>Constant</v>
      </c>
      <c r="R13" s="123" t="s">
        <v>540</v>
      </c>
      <c r="S13" s="171"/>
    </row>
    <row r="14" spans="1:24" ht="20.100000000000001" customHeight="1" x14ac:dyDescent="0.25">
      <c r="A14" s="5" t="str">
        <f>HYPERLINK("#'Input - Fuel'!A1", "Fuel")</f>
        <v>Fuel</v>
      </c>
      <c r="D14" s="122" t="str">
        <v>FN_inorganicf</v>
      </c>
      <c r="E14" s="123" t="str">
        <v xml:space="preserve">fraction of nitrogen in inorganic fertiliser type f </v>
      </c>
      <c r="F14" s="172"/>
      <c r="G14" s="122" t="str">
        <v>kg N/kg</v>
      </c>
      <c r="H14" s="112" t="str">
        <v>Constant</v>
      </c>
      <c r="I14" s="113" t="str" cm="1">
        <f t="array" aca="1" ref="I14" ca="1">HYPERLINK(Common_InputFunctions.Utility_SourceHyperlink($D$16), $D$16)</f>
        <v>Table_MN_j_f</v>
      </c>
    </row>
    <row r="15" spans="1:24" ht="20.100000000000001" customHeight="1" x14ac:dyDescent="0.25">
      <c r="A15" s="5" t="str">
        <f>HYPERLINK("#'Input - Electricity'!A1", "Electricity")</f>
        <v>Electricity</v>
      </c>
    </row>
    <row r="16" spans="1:24" ht="20.100000000000001" customHeight="1" x14ac:dyDescent="0.25">
      <c r="D16" s="114" t="s">
        <v>541</v>
      </c>
      <c r="M16" s="2" t="str" cm="1">
        <f t="array" ref="M16">Fertiliser_Equations_InorganicN2O.VEERG_5_1_1_2__2_EmissionFactorNonIrrigatedGrainsHighRainfall_Title()</f>
        <v>Emission factor for nitrous oxide for non-irrigated grains in high rainfall zone</v>
      </c>
    </row>
    <row r="17" spans="1:19" ht="20.100000000000001" customHeight="1" x14ac:dyDescent="0.25">
      <c r="D17" s="115" t="s">
        <v>542</v>
      </c>
      <c r="M17" s="27" t="str" cm="1">
        <f t="array" ref="M17">Fertiliser_Equations_InorganicN2O.VEERG_5_1_1_2__2_EmissionFactorNonIrrigatedGrainsHighRainfall_Source()</f>
        <v>VEERG 2026: 5.1.1.2, Equation (2)</v>
      </c>
    </row>
    <row r="18" spans="1:19" ht="20.100000000000001" customHeight="1" x14ac:dyDescent="0.25">
      <c r="A18" s="6" t="s">
        <v>2</v>
      </c>
      <c r="D18" s="116" t="s">
        <v>543</v>
      </c>
      <c r="E18" s="117" t="s">
        <v>544</v>
      </c>
      <c r="F18" s="116" t="s">
        <v>545</v>
      </c>
      <c r="G18" s="116" t="s">
        <v>546</v>
      </c>
    </row>
    <row r="19" spans="1:19" ht="20.100000000000001" customHeight="1" x14ac:dyDescent="0.25">
      <c r="A19" s="5" t="str">
        <f>HYPERLINK("#'3.2.1.1-2 Enteric Methane'!A1", "3.2.1.1-2 Enteric methane")</f>
        <v>3.2.1.1-2 Enteric methane</v>
      </c>
      <c r="D19" s="25" t="str" cm="1">
        <f t="array" ref="D19:D37">Table_Fertiliser_ChemicalCompounds[Fertiliser type f]</f>
        <v>Monoammonium phosphate (MAP)</v>
      </c>
      <c r="E19" s="25" cm="1">
        <f t="array" ref="E19">Fertiliser_InputFunctions.Fertiliser_TotalChemicalCompoundAppliedAllIngredients($D19,Table_Input_InorganicFertiliser_Brands[Total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19" s="25" cm="1">
        <f t="array" ref="F19">Common_InputFunctions.Utility_LookupValueInTableNumber(D19,Table_Fertiliser_ChemicalCompounds[Fertiliser type f],Table_Fertiliser_ChemicalCompounds[FNinorganic f])</f>
        <v>0.1</v>
      </c>
      <c r="G19" s="25" cm="1">
        <f t="array" ref="G19">Fertiliser_Equations_InorganicN2O.VEERG_5_1_1_1__2_MassOfNitrogenInInorganicFertiliser(E19,F19)</f>
        <v>0</v>
      </c>
    </row>
    <row r="20" spans="1:19" ht="20.100000000000001" customHeight="1" x14ac:dyDescent="0.25">
      <c r="A20" s="5" t="str">
        <f>HYPERLINK("#'4.2.1.1-2 Methane'!A1", "4.2.1.1-2 Manure methane")</f>
        <v>4.2.1.1-2 Manure methane</v>
      </c>
      <c r="D20" s="25" t="str">
        <v>Diammonium phosphate (DAP)</v>
      </c>
      <c r="E20" s="25" cm="1">
        <f t="array" ref="E20">Fertiliser_InputFunctions.Fertiliser_TotalChemicalCompoundAppliedAllIngredients($D20,Table_Input_InorganicFertiliser_Brands[Total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0" s="25" cm="1">
        <f t="array" ref="F20">Common_InputFunctions.Utility_LookupValueInTableNumber(D20,Table_Fertiliser_ChemicalCompounds[Fertiliser type f],Table_Fertiliser_ChemicalCompounds[FNinorganic f])</f>
        <v>0.18</v>
      </c>
      <c r="G20" s="25" cm="1">
        <f t="array" ref="G20">Fertiliser_Equations_InorganicN2O.VEERG_5_1_1_1__2_MassOfNitrogenInInorganicFertiliser(E20,F20)</f>
        <v>0</v>
      </c>
      <c r="M20" s="88" t="s">
        <v>263</v>
      </c>
      <c r="N20" s="1" t="str" cm="1">
        <f t="array" ref="N20">Fertiliser_Equations_InorganicN2O.VEERG_5_1_1_2__2_EmissionFactorNonIrrigatedGrainsHighRainfall_Variable()</f>
        <v>EF_fjNonIrrigatedGrainsN2O</v>
      </c>
    </row>
    <row r="21" spans="1:19" ht="20.100000000000001" customHeight="1" x14ac:dyDescent="0.25">
      <c r="A21" s="5" t="str">
        <f>HYPERLINK("#'4.2.1.3-4 Soil direct N20'!A1", "4.2.1.3-4 Soil direct N2O")</f>
        <v>4.2.1.3-4 Soil direct N2O</v>
      </c>
      <c r="D21" s="25" t="str">
        <v>Urea</v>
      </c>
      <c r="E21" s="25" cm="1">
        <f t="array" ref="E21">Fertiliser_InputFunctions.Fertiliser_TotalChemicalCompoundAppliedAllIngredients($D21,Table_Input_InorganicFertiliser_Brands[Total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10000</v>
      </c>
      <c r="F21" s="25" cm="1">
        <f t="array" ref="F21">Common_InputFunctions.Utility_LookupValueInTableNumber(D21,Table_Fertiliser_ChemicalCompounds[Fertiliser type f],Table_Fertiliser_ChemicalCompounds[FNinorganic f])</f>
        <v>0.46</v>
      </c>
      <c r="G21" s="25" cm="1">
        <f t="array" ref="G21">Fertiliser_Equations_InorganicN2O.VEERG_5_1_1_1__2_MassOfNitrogenInInorganicFertiliser(E21,F21)</f>
        <v>4600</v>
      </c>
      <c r="M21" s="88" t="s">
        <v>130</v>
      </c>
      <c r="N21" s="15" t="str" cm="1">
        <f t="array" ref="N21">Fertiliser_Equations_InorganicN2O.VEERG_5_1_1_2__2_EmissionFactorNonIrrigatedGrainsHighRainfall_Unit()</f>
        <v>kg N2O-N/kg N applied</v>
      </c>
    </row>
    <row r="22" spans="1:19" ht="20.100000000000001" customHeight="1" x14ac:dyDescent="0.25">
      <c r="A22" s="5" t="str">
        <f>HYPERLINK("#'4.2.1.5-6 Soil Atmos Dep'!A1", "4.2.1.5-6 Soil atm. deposition")</f>
        <v>4.2.1.5-6 Soil atm. deposition</v>
      </c>
      <c r="D22" s="25" t="str">
        <v>Sulphate of ammonia (SOA)</v>
      </c>
      <c r="E22" s="25" cm="1">
        <f t="array" ref="E22">Fertiliser_InputFunctions.Fertiliser_TotalChemicalCompoundAppliedAllIngredients($D22,Table_Input_InorganicFertiliser_Brands[Total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2" s="25" cm="1">
        <f t="array" ref="F22">Common_InputFunctions.Utility_LookupValueInTableNumber(D22,Table_Fertiliser_ChemicalCompounds[Fertiliser type f],Table_Fertiliser_ChemicalCompounds[FNinorganic f])</f>
        <v>0.21</v>
      </c>
      <c r="G22" s="25" cm="1">
        <f t="array" ref="G22">Fertiliser_Equations_InorganicN2O.VEERG_5_1_1_1__2_MassOfNitrogenInInorganicFertiliser(E22,F22)</f>
        <v>0</v>
      </c>
    </row>
    <row r="23" spans="1:19" ht="20.100000000000001" customHeight="1" x14ac:dyDescent="0.25">
      <c r="A23" s="5" t="str">
        <f>HYPERLINK("#'4.2.1.7-8 Soil leach runoff'!A1", "4.2.1.7-8 Soil leach &amp; runoff")</f>
        <v>4.2.1.7-8 Soil leach &amp; runoff</v>
      </c>
      <c r="D23" s="25" t="str">
        <v>Urea-ammonium nitrate (UAN)</v>
      </c>
      <c r="E23" s="25" cm="1">
        <f t="array" ref="E23">Fertiliser_InputFunctions.Fertiliser_TotalChemicalCompoundAppliedAllIngredients($D23,Table_Input_InorganicFertiliser_Brands[Total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3" s="25" cm="1">
        <f t="array" ref="F23">Common_InputFunctions.Utility_LookupValueInTableNumber(D23,Table_Fertiliser_ChemicalCompounds[Fertiliser type f],Table_Fertiliser_ChemicalCompounds[FNinorganic f])</f>
        <v>0.32</v>
      </c>
      <c r="G23" s="25" cm="1">
        <f t="array" ref="G23">Fertiliser_Equations_InorganicN2O.VEERG_5_1_1_1__2_MassOfNitrogenInInorganicFertiliser(E23,F23)</f>
        <v>0</v>
      </c>
      <c r="M23" s="122" t="str" cm="1">
        <f t="array" ref="M23:N24">_xlfn.CHOOSECOLS(Fertiliser_Equations_InorganicN2O.VEERG_5_1_1_2__2_EmissionFactorNonIrrigatedGrainsHighRainfall_Arguments(), 1, 2)</f>
        <v>N_fjNonIrrigatedGrains</v>
      </c>
      <c r="N23" s="123" t="str">
        <v>application rate of inorganic fertiliser type f in the grains crop</v>
      </c>
      <c r="O23" s="169"/>
      <c r="P23" s="122" t="str" cm="1">
        <f t="array" ref="P23:Q24">_xlfn.CHOOSECOLS(Fertiliser_Equations_InorganicN2O.VEERG_5_1_1_2__2_EmissionFactorNonIrrigatedGrainsHighRainfall_Arguments(), 3,4)</f>
        <v>kg N/ha</v>
      </c>
      <c r="Q23" s="111" t="str">
        <v>Input</v>
      </c>
      <c r="R23" s="170" t="str" cm="1">
        <f t="array" aca="1" ref="R23" ca="1">HYPERLINK(Common_InputFunctions.Utility_SourceHyperlink($M$41), $M$41)</f>
        <v>M2_Table_FertApplications</v>
      </c>
      <c r="S23" s="172"/>
    </row>
    <row r="24" spans="1:19" ht="20.100000000000001" customHeight="1" x14ac:dyDescent="0.25">
      <c r="A24" s="106" t="str">
        <f>HYPERLINK("#'5.1.1.1-2 Inorganic fert N2O'!A1", "5.1.1.1-2 Inorganic fert N2O")</f>
        <v>5.1.1.1-2 Inorganic fert N2O</v>
      </c>
      <c r="D24" s="25" t="str">
        <v>Ammonium nitrate (AN)</v>
      </c>
      <c r="E24" s="25" cm="1">
        <f t="array" ref="E24">Fertiliser_InputFunctions.Fertiliser_TotalChemicalCompoundAppliedAllIngredients($D24,Table_Input_InorganicFertiliser_Brands[Total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4" s="25" cm="1">
        <f t="array" ref="F24">Common_InputFunctions.Utility_LookupValueInTableNumber(D24,Table_Fertiliser_ChemicalCompounds[Fertiliser type f],Table_Fertiliser_ChemicalCompounds[FNinorganic f])</f>
        <v>0.33700000000000002</v>
      </c>
      <c r="G24" s="25" cm="1">
        <f t="array" ref="G24">Fertiliser_Equations_InorganicN2O.VEERG_5_1_1_1__2_MassOfNitrogenInInorganicFertiliser(E24,F24)</f>
        <v>0</v>
      </c>
      <c r="I24" s="26"/>
      <c r="M24" s="122" t="str">
        <v>f</v>
      </c>
      <c r="N24" s="123" t="str">
        <v>Inorganic fertiliser type</v>
      </c>
      <c r="O24" s="169"/>
      <c r="P24" s="122" t="str">
        <v/>
      </c>
      <c r="Q24" s="112" t="str">
        <v>Constant</v>
      </c>
      <c r="R24" s="123" t="s">
        <v>540</v>
      </c>
      <c r="S24" s="172"/>
    </row>
    <row r="25" spans="1:19" ht="20.100000000000001" customHeight="1" x14ac:dyDescent="0.25">
      <c r="A25" s="5" t="str">
        <f>HYPERLINK("#'5.1.1.3-4 Inorganic fert CO2'!A1", "5.1.1.3-4 Inorganic fert CO2")</f>
        <v>5.1.1.3-4 Inorganic fert CO2</v>
      </c>
      <c r="D25" s="25" t="str">
        <v>Calcium ammonium nitrate (CAN)</v>
      </c>
      <c r="E25" s="25" cm="1">
        <f t="array" ref="E25">Fertiliser_InputFunctions.Fertiliser_TotalChemicalCompoundAppliedAllIngredients($D25,Table_Input_InorganicFertiliser_Brands[Total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5" s="25" cm="1">
        <f t="array" ref="F25">Common_InputFunctions.Utility_LookupValueInTableNumber(D25,Table_Fertiliser_ChemicalCompounds[Fertiliser type f],Table_Fertiliser_ChemicalCompounds[FNinorganic f])</f>
        <v>0.27</v>
      </c>
      <c r="G25" s="25" cm="1">
        <f t="array" ref="G25">Fertiliser_Equations_InorganicN2O.VEERG_5_1_1_1__2_MassOfNitrogenInInorganicFertiliser(E25,F25)</f>
        <v>0</v>
      </c>
      <c r="I25" s="26"/>
    </row>
    <row r="26" spans="1:19" ht="20.100000000000001" customHeight="1" x14ac:dyDescent="0.25">
      <c r="A26" s="5" t="str">
        <f>HYPERLINK("#'5.2.1.1-2 Organic Fert N2O'!A1", "5.2.1.1-2 Organic fert N2O")</f>
        <v>5.2.1.1-2 Organic fert N2O</v>
      </c>
      <c r="D26" s="25" t="str">
        <v>Nitrogen - Ammoniacal</v>
      </c>
      <c r="E26" s="25" cm="1">
        <f t="array" ref="E26">Fertiliser_InputFunctions.Fertiliser_TotalChemicalCompoundAppliedAllIngredients($D26,Table_Input_InorganicFertiliser_Brands[Total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6" s="25" cm="1">
        <f t="array" ref="F26">Common_InputFunctions.Utility_LookupValueInTableNumber(D26,Table_Fertiliser_ChemicalCompounds[Fertiliser type f],Table_Fertiliser_ChemicalCompounds[FNinorganic f])</f>
        <v>1</v>
      </c>
      <c r="G26" s="25" cm="1">
        <f t="array" ref="G26">Fertiliser_Equations_InorganicN2O.VEERG_5_1_1_1__2_MassOfNitrogenInInorganicFertiliser(E26,F26)</f>
        <v>0</v>
      </c>
      <c r="I26" s="26"/>
    </row>
    <row r="27" spans="1:19" ht="20.100000000000001" customHeight="1" x14ac:dyDescent="0.25">
      <c r="A27" s="5" t="str">
        <f>HYPERLINK("#'5.3.1.1-2 Lime CO2'!A1", "5.3.1.1-2 Lime CO2")</f>
        <v>5.3.1.1-2 Lime CO2</v>
      </c>
      <c r="D27" s="25" t="str">
        <v>Nitrogen - Nitrate</v>
      </c>
      <c r="E27" s="25" cm="1">
        <f t="array" ref="E27">Fertiliser_InputFunctions.Fertiliser_TotalChemicalCompoundAppliedAllIngredients($D27,Table_Input_InorganicFertiliser_Brands[Total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1980</v>
      </c>
      <c r="F27" s="25" cm="1">
        <f t="array" ref="F27">Common_InputFunctions.Utility_LookupValueInTableNumber(D27,Table_Fertiliser_ChemicalCompounds[Fertiliser type f],Table_Fertiliser_ChemicalCompounds[FNinorganic f])</f>
        <v>1</v>
      </c>
      <c r="G27" s="25" cm="1">
        <f t="array" ref="G27">Fertiliser_Equations_InorganicN2O.VEERG_5_1_1_1__2_MassOfNitrogenInInorganicFertiliser(E27,F27)</f>
        <v>1980</v>
      </c>
      <c r="I27" s="26"/>
      <c r="M27" s="2" t="str" cm="1">
        <f t="array" ref="M27">Fertiliser_Equations_InorganicN2O.VEERG_5_1_1_2__3_EmissionFactorCotton_Title()</f>
        <v>Emission factor for nitrous oxide for cotton</v>
      </c>
    </row>
    <row r="28" spans="1:19" ht="20.100000000000001" customHeight="1" x14ac:dyDescent="0.25">
      <c r="A28" s="5" t="str">
        <f>HYPERLINK("#'5.4.1.1-4 Atmos deposition'!A1", "5.4.1.1-4 Atmos. deposition")</f>
        <v>5.4.1.1-4 Atmos. deposition</v>
      </c>
      <c r="D28" s="25" t="str">
        <v>Nitrogen - Generic</v>
      </c>
      <c r="E28" s="25" cm="1">
        <f t="array" ref="E28">Fertiliser_InputFunctions.Fertiliser_TotalChemicalCompoundAppliedAllIngredients($D28,Table_Input_InorganicFertiliser_Brands[Total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1537.2</v>
      </c>
      <c r="F28" s="25" cm="1">
        <f t="array" ref="F28">Common_InputFunctions.Utility_LookupValueInTableNumber(D28,Table_Fertiliser_ChemicalCompounds[Fertiliser type f],Table_Fertiliser_ChemicalCompounds[FNinorganic f])</f>
        <v>1</v>
      </c>
      <c r="G28" s="25" cm="1">
        <f t="array" ref="G28">Fertiliser_Equations_InorganicN2O.VEERG_5_1_1_1__2_MassOfNitrogenInInorganicFertiliser(E28,F28)</f>
        <v>1537.2</v>
      </c>
      <c r="I28" s="26"/>
      <c r="M28" s="27" t="str" cm="1">
        <f t="array" ref="M28">Fertiliser_Equations_InorganicN2O.VEERG_5_1_1_2__3_EmissionFactorCotton_Source()</f>
        <v>VEERG 2026: 5.1.1.2, Equation (3)</v>
      </c>
    </row>
    <row r="29" spans="1:19" ht="20.100000000000001" customHeight="1" x14ac:dyDescent="0.25">
      <c r="A29" s="5" t="str">
        <f>HYPERLINK("#'5.5.1.1-2 Leaching and runoff'!A1", "5.5.1.1-2 Leaching &amp; runoff")</f>
        <v>5.5.1.1-2 Leaching &amp; runoff</v>
      </c>
      <c r="D29" s="25" t="str">
        <v>Phosphorus - Generic</v>
      </c>
      <c r="E29" s="25" cm="1">
        <f t="array" ref="E29">Fertiliser_InputFunctions.Fertiliser_TotalChemicalCompoundAppliedAllIngredients($D29,Table_Input_InorganicFertiliser_Brands[Total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4603.5</v>
      </c>
      <c r="F29" s="25" cm="1">
        <f t="array" ref="F29">Common_InputFunctions.Utility_LookupValueInTableNumber(D29,Table_Fertiliser_ChemicalCompounds[Fertiliser type f],Table_Fertiliser_ChemicalCompounds[FNinorganic f])</f>
        <v>0</v>
      </c>
      <c r="G29" s="25" cm="1">
        <f t="array" ref="G29">Fertiliser_Equations_InorganicN2O.VEERG_5_1_1_1__2_MassOfNitrogenInInorganicFertiliser(E29,F29)</f>
        <v>0</v>
      </c>
      <c r="I29" s="26"/>
    </row>
    <row r="30" spans="1:19" ht="20.100000000000001" customHeight="1" x14ac:dyDescent="0.25">
      <c r="A30" s="5" t="str">
        <f>HYPERLINK("#'6.2.1.1-2 Pasture residue N2O'!A1", "6.2.1.1-2 Pasture residue N2O")</f>
        <v>6.2.1.1-2 Pasture residue N2O</v>
      </c>
      <c r="D30" s="25" t="str">
        <v>Potassium - Generic</v>
      </c>
      <c r="E30" s="25" cm="1">
        <f t="array" ref="E30">Fertiliser_InputFunctions.Fertiliser_TotalChemicalCompoundAppliedAllIngredients($D30,Table_Input_InorganicFertiliser_Brands[Total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6158</v>
      </c>
      <c r="F30" s="25" cm="1">
        <f t="array" ref="F30">Common_InputFunctions.Utility_LookupValueInTableNumber(D30,Table_Fertiliser_ChemicalCompounds[Fertiliser type f],Table_Fertiliser_ChemicalCompounds[FNinorganic f])</f>
        <v>0</v>
      </c>
      <c r="G30" s="25" cm="1">
        <f t="array" ref="G30">Fertiliser_Equations_InorganicN2O.VEERG_5_1_1_1__2_MassOfNitrogenInInorganicFertiliser(E30,F30)</f>
        <v>0</v>
      </c>
      <c r="I30" s="26"/>
    </row>
    <row r="31" spans="1:19" ht="20.100000000000001" customHeight="1" x14ac:dyDescent="0.25">
      <c r="A31" s="5" t="str">
        <f>HYPERLINK("#'6.3.1.1-2 Leach runoff pasture'!A1", "6.3.1.1-2 Leach &amp; runoff (pasture)")</f>
        <v>6.3.1.1-2 Leach &amp; runoff (pasture)</v>
      </c>
      <c r="D31" s="25" t="str">
        <v>Sulfur - Generic</v>
      </c>
      <c r="E31" s="25" cm="1">
        <f t="array" ref="E31">Fertiliser_InputFunctions.Fertiliser_TotalChemicalCompoundAppliedAllIngredients($D31,Table_Input_InorganicFertiliser_Brands[Total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v>
      </c>
      <c r="F31" s="25" cm="1">
        <f t="array" ref="F31">Common_InputFunctions.Utility_LookupValueInTableNumber(D31,Table_Fertiliser_ChemicalCompounds[Fertiliser type f],Table_Fertiliser_ChemicalCompounds[FNinorganic f])</f>
        <v>0</v>
      </c>
      <c r="G31" s="25" cm="1">
        <f t="array" ref="G31">Fertiliser_Equations_InorganicN2O.VEERG_5_1_1_1__2_MassOfNitrogenInInorganicFertiliser(E31,F31)</f>
        <v>0</v>
      </c>
      <c r="I31" s="26"/>
    </row>
    <row r="32" spans="1:19" ht="20.100000000000001" customHeight="1" x14ac:dyDescent="0.25">
      <c r="A32" s="5" t="str">
        <f>HYPERLINK("#'8.1.1.1-2 Transport fuel'!A1", "8.1.1.1-2 Transport fuel")</f>
        <v>8.1.1.1-2 Transport fuel</v>
      </c>
      <c r="D32" s="25" t="str">
        <v>Zinc - Generic</v>
      </c>
      <c r="E32" s="25" cm="1">
        <f t="array" ref="E32">Fertiliser_InputFunctions.Fertiliser_TotalChemicalCompoundAppliedAllIngredients($D32,Table_Input_InorganicFertiliser_Brands[Total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2000</v>
      </c>
      <c r="F32" s="25" cm="1">
        <f t="array" ref="F32">Common_InputFunctions.Utility_LookupValueInTableNumber(D32,Table_Fertiliser_ChemicalCompounds[Fertiliser type f],Table_Fertiliser_ChemicalCompounds[FNinorganic f])</f>
        <v>0</v>
      </c>
      <c r="G32" s="25" cm="1">
        <f t="array" ref="G32">Fertiliser_Equations_InorganicN2O.VEERG_5_1_1_1__2_MassOfNitrogenInInorganicFertiliser(E32,F32)</f>
        <v>0</v>
      </c>
      <c r="I32" s="26"/>
      <c r="M32" s="88" t="s">
        <v>263</v>
      </c>
      <c r="N32" s="1" t="str" cm="1">
        <f t="array" ref="N32">Fertiliser_Equations_InorganicN2O.VEERG_5_1_1_2__3_EmissionFactorCotton_Variable()</f>
        <v>EF_fjCottonN2O</v>
      </c>
    </row>
    <row r="33" spans="1:23" ht="20.100000000000001" customHeight="1" x14ac:dyDescent="0.25">
      <c r="A33" s="5" t="str">
        <f>HYPERLINK("#'8.2.1.1-2 Stationary fuel'!A1", "8.2.1.1-2 Stationary fuel")</f>
        <v>8.2.1.1-2 Stationary fuel</v>
      </c>
      <c r="D33" s="25" t="str">
        <v>Muriate of potash (MOP)</v>
      </c>
      <c r="E33" s="25" cm="1">
        <f t="array" ref="E33">Fertiliser_InputFunctions.Fertiliser_TotalChemicalCompoundAppliedAllIngredients($D33,Table_Input_InorganicFertiliser_Brands[Total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3" s="25" cm="1">
        <f t="array" ref="F33">Common_InputFunctions.Utility_LookupValueInTableNumber(D33,Table_Fertiliser_ChemicalCompounds[Fertiliser type f],Table_Fertiliser_ChemicalCompounds[FNinorganic f])</f>
        <v>0</v>
      </c>
      <c r="G33" s="25" cm="1">
        <f t="array" ref="G33">Fertiliser_Equations_InorganicN2O.VEERG_5_1_1_1__2_MassOfNitrogenInInorganicFertiliser(E33,F33)</f>
        <v>0</v>
      </c>
      <c r="I33" s="26"/>
      <c r="M33" s="88" t="s">
        <v>130</v>
      </c>
      <c r="N33" s="15" t="str" cm="1">
        <f t="array" ref="N33">Fertiliser_Equations_InorganicN2O.VEERG_5_1_1_2__3_EmissionFactorCotton_Unit()</f>
        <v>kg N2O-N/kg N applied</v>
      </c>
    </row>
    <row r="34" spans="1:23" ht="20.100000000000001" customHeight="1" x14ac:dyDescent="0.25">
      <c r="A34" s="5" t="str">
        <f>HYPERLINK("#'14.1.1-2 Purchased electricity'!A1", "14.1.1-2 Purchased electricity")</f>
        <v>14.1.1-2 Purchased electricity</v>
      </c>
      <c r="D34" s="25" t="str">
        <v>Double superphosphate</v>
      </c>
      <c r="E34" s="25" cm="1">
        <f t="array" ref="E34">Fertiliser_InputFunctions.Fertiliser_TotalChemicalCompoundAppliedAllIngredients($D34,Table_Input_InorganicFertiliser_Brands[Total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4" s="25" cm="1">
        <f t="array" ref="F34">Common_InputFunctions.Utility_LookupValueInTableNumber(D34,Table_Fertiliser_ChemicalCompounds[Fertiliser type f],Table_Fertiliser_ChemicalCompounds[FNinorganic f])</f>
        <v>0</v>
      </c>
      <c r="G34" s="25" cm="1">
        <f t="array" ref="G34">Fertiliser_Equations_InorganicN2O.VEERG_5_1_1_1__2_MassOfNitrogenInInorganicFertiliser(E34,F34)</f>
        <v>0</v>
      </c>
      <c r="I34" s="26"/>
    </row>
    <row r="35" spans="1:23" ht="20.100000000000001" customHeight="1" x14ac:dyDescent="0.25">
      <c r="D35" s="25" t="str">
        <v>Single superphosphate (SSP)</v>
      </c>
      <c r="E35" s="25" cm="1">
        <f t="array" ref="E35">Fertiliser_InputFunctions.Fertiliser_TotalChemicalCompoundAppliedAllIngredients($D35,Table_Input_InorganicFertiliser_Brands[Total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5" s="25" cm="1">
        <f t="array" ref="F35">Common_InputFunctions.Utility_LookupValueInTableNumber(D35,Table_Fertiliser_ChemicalCompounds[Fertiliser type f],Table_Fertiliser_ChemicalCompounds[FNinorganic f])</f>
        <v>0</v>
      </c>
      <c r="G35" s="25" cm="1">
        <f t="array" ref="G35">Fertiliser_Equations_InorganicN2O.VEERG_5_1_1_1__2_MassOfNitrogenInInorganicFertiliser(E35,F35)</f>
        <v>0</v>
      </c>
      <c r="I35" s="26"/>
      <c r="M35" s="122" t="str" cm="1">
        <f t="array" ref="M35:N36">_xlfn.CHOOSECOLS(Fertiliser_Equations_InorganicN2O.VEERG_5_1_1_2__3_EmissionFactorCotton_Arguments(), 1, 2)</f>
        <v>N_fjCotton</v>
      </c>
      <c r="N35" s="123" t="str">
        <v>application rate of inorganic fertiliser type f in the cotton crop</v>
      </c>
      <c r="O35" s="169"/>
      <c r="P35" s="123" t="str" cm="1">
        <f t="array" ref="P35:Q36">_xlfn.CHOOSECOLS(Fertiliser_Equations_InorganicN2O.VEERG_5_1_1_2__3_EmissionFactorCotton_Arguments(), 3,4)</f>
        <v>kg N/ha</v>
      </c>
      <c r="Q35" s="111" t="str">
        <v>Input</v>
      </c>
      <c r="R35" s="170" t="str" cm="1">
        <f t="array" aca="1" ref="R35" ca="1">HYPERLINK(Common_InputFunctions.Utility_SourceHyperlink($M$41), $M$41)</f>
        <v>M2_Table_FertApplications</v>
      </c>
      <c r="S35" s="172"/>
    </row>
    <row r="36" spans="1:23" ht="20.100000000000001" customHeight="1" x14ac:dyDescent="0.25">
      <c r="D36" s="25" t="str">
        <v>Ammonia</v>
      </c>
      <c r="E36" s="25" cm="1">
        <f t="array" ref="E36">Fertiliser_InputFunctions.Fertiliser_TotalChemicalCompoundAppliedAllIngredients($D36,Table_Input_InorganicFertiliser_Brands[Total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6" s="25" cm="1">
        <f t="array" ref="F36">Common_InputFunctions.Utility_LookupValueInTableNumber(D36,Table_Fertiliser_ChemicalCompounds[Fertiliser type f],Table_Fertiliser_ChemicalCompounds[FNinorganic f])</f>
        <v>0.82350000000000001</v>
      </c>
      <c r="G36" s="25" cm="1">
        <f t="array" ref="G36">Fertiliser_Equations_InorganicN2O.VEERG_5_1_1_1__2_MassOfNitrogenInInorganicFertiliser(E36,F36)</f>
        <v>4117.5</v>
      </c>
      <c r="I36" s="26"/>
      <c r="M36" s="122" t="str">
        <v>f</v>
      </c>
      <c r="N36" s="123" t="str">
        <v>Inorganic fertiliser type</v>
      </c>
      <c r="O36" s="169"/>
      <c r="P36" s="123" t="str">
        <v/>
      </c>
      <c r="Q36" s="112" t="str">
        <v>Constant</v>
      </c>
      <c r="R36" s="123" t="s">
        <v>540</v>
      </c>
      <c r="S36" s="172"/>
    </row>
    <row r="37" spans="1:23" ht="20.100000000000001" customHeight="1" x14ac:dyDescent="0.25">
      <c r="A37" s="251" t="s">
        <v>1</v>
      </c>
      <c r="D37" s="25" t="str">
        <v>Calcium nitrate</v>
      </c>
      <c r="E37" s="25" cm="1">
        <f t="array" ref="E37">Fertiliser_InputFunctions.Fertiliser_TotalChemicalCompoundAppliedAllIngredients($D37,Table_Input_InorganicFertiliser_Brands[Total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7" s="25" cm="1">
        <f t="array" ref="F37">Common_InputFunctions.Utility_LookupValueInTableNumber(D37,Table_Fertiliser_ChemicalCompounds[Fertiliser type f],Table_Fertiliser_ChemicalCompounds[FNinorganic f])</f>
        <v>0.155</v>
      </c>
      <c r="G37" s="25" cm="1">
        <f t="array" ref="G37">Fertiliser_Equations_InorganicN2O.VEERG_5_1_1_1__2_MassOfNitrogenInInorganicFertiliser(E37,F37)</f>
        <v>775</v>
      </c>
      <c r="H37" s="88"/>
      <c r="I37" s="26"/>
    </row>
    <row r="38" spans="1:23" ht="20.100000000000001" customHeight="1" x14ac:dyDescent="0.25">
      <c r="A38" s="5" t="str">
        <f>HYPERLINK("#'Constants - Pasture Beef'!A1", "Constants - Pasture Beef")</f>
        <v>Constants - Pasture Beef</v>
      </c>
      <c r="N38" s="96"/>
      <c r="O38" s="96"/>
      <c r="P38" s="96"/>
    </row>
    <row r="39" spans="1:23" ht="20.100000000000001" customHeight="1" x14ac:dyDescent="0.25">
      <c r="A39" s="5" t="str">
        <f>HYPERLINK("#'Constants - Ag Residue'!A1", "Constants - Ag residue")</f>
        <v>Constants - Ag residue</v>
      </c>
      <c r="C39" s="118"/>
      <c r="D39" s="118"/>
      <c r="E39" s="118"/>
      <c r="F39" s="118"/>
      <c r="G39" s="118"/>
      <c r="H39" s="118"/>
      <c r="I39" s="118"/>
      <c r="J39" s="118"/>
      <c r="M39" s="96" t="s">
        <v>547</v>
      </c>
    </row>
    <row r="40" spans="1:23" ht="20.100000000000001" customHeight="1" x14ac:dyDescent="0.25">
      <c r="A40" s="5" t="str">
        <f>HYPERLINK("#'Constants - Common Livestock'!A1", "Constants - Common Livestock")</f>
        <v>Constants - Common Livestock</v>
      </c>
      <c r="D40" s="2" t="str" cm="1">
        <f t="array" ref="D40">Fertiliser_Equations_InorganicN2O.VEERG_5_1_1_1__1_InorganicFertiliserApplicationN2OEmissions_Title()</f>
        <v>Nitrous oxide emissions from the application of all inorganic fertiliser types f to all production systems j</v>
      </c>
    </row>
    <row r="41" spans="1:23" ht="20.100000000000001" customHeight="1" x14ac:dyDescent="0.25">
      <c r="A41" s="5" t="str">
        <f>HYPERLINK("#'Constants - Electricity'!A1", "Constants - Electricity")</f>
        <v>Constants - Electricity</v>
      </c>
      <c r="D41" s="27" t="str" cm="1">
        <f t="array" ref="D41">Fertiliser_Equations_InorganicN2O.VEERG_5_1_1_1__1_InorganicFertiliserApplicationN2OEmissions_Source()</f>
        <v>VEERG 2026: 5.1.1.1, Equation (1)</v>
      </c>
      <c r="M41" s="114" t="s">
        <v>548</v>
      </c>
      <c r="T41" s="128" t="s">
        <v>549</v>
      </c>
    </row>
    <row r="42" spans="1:23" ht="20.100000000000001" customHeight="1" x14ac:dyDescent="0.25">
      <c r="A42" s="5" t="str">
        <f>HYPERLINK("#'Constants - Fertiliser'!A1", "Constants - Fertiliser")</f>
        <v>Constants - Fertiliser</v>
      </c>
      <c r="D42" s="105" t="s">
        <v>261</v>
      </c>
      <c r="E42" s="105" t="str" cm="1">
        <f t="array" aca="1" ref="E42" ca="1">Common_InputFunctions.Utility_DisplayFunctionName($E$60)</f>
        <v>=Fertiliser_Equations_InorganicN2O.VEERG_5_1_1_1__1_InorganicFertiliserApplicationN2OEmissions</v>
      </c>
      <c r="F42" s="26"/>
      <c r="M42" s="115" t="s">
        <v>550</v>
      </c>
    </row>
    <row r="43" spans="1:23" ht="20.100000000000001" customHeight="1" x14ac:dyDescent="0.25">
      <c r="A43" s="5" t="str">
        <f>HYPERLINK("#'Constants - Fuel'!A1", "Constants - Fuel")</f>
        <v>Constants - Fuel</v>
      </c>
      <c r="F43" s="26"/>
      <c r="O43" s="173" t="s">
        <v>551</v>
      </c>
      <c r="P43" s="173" t="s">
        <v>473</v>
      </c>
      <c r="Q43" s="173" t="s">
        <v>552</v>
      </c>
      <c r="R43" s="173" t="str">
        <f>$N$10</f>
        <v>kg N2O-N/kg N applied</v>
      </c>
      <c r="S43" s="173" t="str">
        <f>$N$21</f>
        <v>kg N2O-N/kg N applied</v>
      </c>
      <c r="T43" s="173" t="s">
        <v>551</v>
      </c>
      <c r="U43" s="173" t="s">
        <v>552</v>
      </c>
      <c r="V43" s="173" t="str">
        <f>$N$33</f>
        <v>kg N2O-N/kg N applied</v>
      </c>
      <c r="W43" s="173" t="s">
        <v>553</v>
      </c>
    </row>
    <row r="44" spans="1:23" ht="20.100000000000001" customHeight="1" x14ac:dyDescent="0.25">
      <c r="A44" s="5" t="str">
        <f>HYPERLINK("#'Constants - Common'!A1", "Constants - Common")</f>
        <v>Constants - Common</v>
      </c>
      <c r="F44" s="26"/>
      <c r="M44" s="116" t="s">
        <v>554</v>
      </c>
      <c r="N44" s="117" t="s">
        <v>554</v>
      </c>
      <c r="O44" s="117" t="s">
        <v>555</v>
      </c>
      <c r="P44" s="117" t="s">
        <v>556</v>
      </c>
      <c r="Q44" s="116" t="s">
        <v>557</v>
      </c>
      <c r="R44" s="116" t="str">
        <f>N9</f>
        <v>EF_fjIrrigatedMaizeN2O</v>
      </c>
      <c r="S44" s="116" t="str">
        <f>N20</f>
        <v>EF_fjNonIrrigatedGrainsN2O</v>
      </c>
      <c r="T44" s="116" t="s">
        <v>558</v>
      </c>
      <c r="U44" s="116" t="s">
        <v>559</v>
      </c>
      <c r="V44" s="116" t="str">
        <f>N32</f>
        <v>EF_fjCottonN2O</v>
      </c>
      <c r="W44" s="116" t="s">
        <v>560</v>
      </c>
    </row>
    <row r="45" spans="1:23" ht="20.100000000000001" customHeight="1" x14ac:dyDescent="0.25">
      <c r="A45" s="5" t="str">
        <f>HYPERLINK("#'Acknowledgements'!A1", "Acknowledgements")</f>
        <v>Acknowledgements</v>
      </c>
      <c r="F45" s="26"/>
      <c r="M45" s="25" t="s">
        <v>561</v>
      </c>
      <c r="N45" s="25" t="str" cm="1">
        <f t="array" ref="N45:N49">Table_Input_InorganicFertiliser_Brands[Product (select)]</f>
        <v>Aqua Finish</v>
      </c>
      <c r="O45" s="25" cm="1">
        <f t="array" ref="O45:O49">Table_Input_InorganicFertiliser_Brands[N application rate (kg/ha)]</f>
        <v>3.2759999999999998</v>
      </c>
      <c r="P45" s="25" cm="1">
        <f t="array" ref="P45:P49">Table_Input_InorganicFertiliser_Brands[Application area (ha)]</f>
        <v>100</v>
      </c>
      <c r="Q45" s="25">
        <f>O45*P45</f>
        <v>327.59999999999997</v>
      </c>
      <c r="R45" s="25" cm="1">
        <f t="array" ref="R45">IF(O45&gt;0, Fertiliser_Equations_InorganicN2O.VEERG_5_1_1_2__1_EmissionFactorIrrigatedMaize(O45), 0)</f>
        <v>-1.2741640000000002E-3</v>
      </c>
      <c r="S45" s="25" cm="1">
        <f t="array" ref="S45">IF(O45&gt;0, Fertiliser_Equations_InorganicN2O.VEERG_5_1_1_2__2_EmissionFactorNonIrrigatedGrainsHighRainfall(O45), 0)</f>
        <v>1.0267E-3</v>
      </c>
      <c r="T45" s="25">
        <f>IF(O45&gt;0, MIN(300, O45), 0)</f>
        <v>3.2759999999999998</v>
      </c>
      <c r="U45" s="25">
        <f>P45*T45</f>
        <v>327.59999999999997</v>
      </c>
      <c r="V45" s="25" cm="1">
        <f t="array" ref="V45">IF(O45&gt;0, Fertiliser_Equations_InorganicN2O.VEERG_5_1_1_2__3_EmissionFactorCotton(T45), 0)</f>
        <v>2.902753508679765E-5</v>
      </c>
      <c r="W45" s="25">
        <f>IF(O45&gt;0,Common_InputFunctions.Utility_LookupN2OEFFromProdIrrigationRainfall($S$70,$S$73,$S$74,Table_SourceData_Common_EFN2O[Production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46" spans="1:23" ht="20.100000000000001" customHeight="1" x14ac:dyDescent="0.25">
      <c r="A46" s="5" t="str">
        <f>HYPERLINK("#'Overview'!A1", "Overview")</f>
        <v>Overview</v>
      </c>
      <c r="D46" s="88" t="s">
        <v>263</v>
      </c>
      <c r="E46" s="1" t="str" cm="1">
        <f t="array" ref="E46">Fertiliser_Equations_InorganicN2O.VEERG_5_1_1_1__1_InorganicFertiliserApplicationN2OEmissions_Variable()</f>
        <v>E_N2O</v>
      </c>
      <c r="F46" s="26"/>
      <c r="M46" s="25" t="s">
        <v>561</v>
      </c>
      <c r="N46" s="25" t="str">
        <v>CalPhos</v>
      </c>
      <c r="O46" s="25">
        <v>0</v>
      </c>
      <c r="P46" s="25">
        <v>100</v>
      </c>
      <c r="Q46" s="25">
        <f>O46*P46</f>
        <v>0</v>
      </c>
      <c r="R46" s="25" cm="1">
        <f t="array" ref="R46">IF(O46&gt;0, Fertiliser_Equations_InorganicN2O.VEERG_5_1_1_2__1_EmissionFactorIrrigatedMaize(O46), 0)</f>
        <v>0</v>
      </c>
      <c r="S46" s="25" cm="1">
        <f t="array" ref="S46">IF(O46&gt;0, Fertiliser_Equations_InorganicN2O.VEERG_5_1_1_2__2_EmissionFactorNonIrrigatedGrainsHighRainfall(O46), 0)</f>
        <v>0</v>
      </c>
      <c r="T46" s="25">
        <f t="shared" ref="T46:T54" si="0">IF(O46&gt;0, MIN(300, O46), 0)</f>
        <v>0</v>
      </c>
      <c r="U46" s="25">
        <f t="shared" ref="U46:U54" si="1">P46*T46</f>
        <v>0</v>
      </c>
      <c r="V46" s="25" cm="1">
        <f t="array" ref="V46">IF(O46&gt;0, Fertiliser_Equations_InorganicN2O.VEERG_5_1_1_2__3_EmissionFactorCotton(T46), 0)</f>
        <v>0</v>
      </c>
      <c r="W46" s="25">
        <f>IF(O46&gt;0,Common_InputFunctions.Utility_LookupN2OEFFromProdIrrigationRainfall($S$70,$S$73,$S$74,Table_SourceData_Common_EFN2O[Production system only],Table_SourceData_Common_EFN2O[Irrigation method],Table_SourceData_Common_EFN2O[Rainfall zone],Table_SourceData_Common_EFN2O[EFN2O]), 0)</f>
        <v>0</v>
      </c>
    </row>
    <row r="47" spans="1:23" ht="20.100000000000001" customHeight="1" x14ac:dyDescent="0.25">
      <c r="D47" s="88" t="s">
        <v>130</v>
      </c>
      <c r="E47" s="15" t="str" cm="1">
        <f t="array" ref="E47">Fertiliser_Equations_InorganicN2O.VEERG_5_1_1_1__1_InorganicFertiliserApplicationN2OEmissions_Unit()</f>
        <v>t N2O</v>
      </c>
      <c r="F47" s="26"/>
      <c r="M47" s="25" t="s">
        <v>561</v>
      </c>
      <c r="N47" s="25" t="str">
        <v>CalPhos</v>
      </c>
      <c r="O47" s="25">
        <v>0</v>
      </c>
      <c r="P47" s="25">
        <v>100</v>
      </c>
      <c r="Q47" s="25">
        <f t="shared" ref="Q47:Q54" si="2">O47*P47</f>
        <v>0</v>
      </c>
      <c r="R47" s="25" cm="1">
        <f t="array" ref="R47">IF(O47&gt;0, Fertiliser_Equations_InorganicN2O.VEERG_5_1_1_2__1_EmissionFactorIrrigatedMaize(O47), 0)</f>
        <v>0</v>
      </c>
      <c r="S47" s="25" cm="1">
        <f t="array" ref="S47">IF(O47&gt;0, Fertiliser_Equations_InorganicN2O.VEERG_5_1_1_2__2_EmissionFactorNonIrrigatedGrainsHighRainfall(O47), 0)</f>
        <v>0</v>
      </c>
      <c r="T47" s="25">
        <f t="shared" si="0"/>
        <v>0</v>
      </c>
      <c r="U47" s="25">
        <f t="shared" si="1"/>
        <v>0</v>
      </c>
      <c r="V47" s="25" cm="1">
        <f t="array" ref="V47">IF(O47&gt;0, Fertiliser_Equations_InorganicN2O.VEERG_5_1_1_2__3_EmissionFactorCotton(T47), 0)</f>
        <v>0</v>
      </c>
      <c r="W47" s="25">
        <f>IF(O47&gt;0,Common_InputFunctions.Utility_LookupN2OEFFromProdIrrigationRainfall($S$70,$S$73,$S$74,Table_SourceData_Common_EFN2O[Production system only],Table_SourceData_Common_EFN2O[Irrigation method],Table_SourceData_Common_EFN2O[Rainfall zone],Table_SourceData_Common_EFN2O[EFN2O]), 0)</f>
        <v>0</v>
      </c>
    </row>
    <row r="48" spans="1:23" ht="20.100000000000001" customHeight="1" x14ac:dyDescent="0.25">
      <c r="F48" s="26"/>
      <c r="M48" s="25" t="s">
        <v>561</v>
      </c>
      <c r="N48" s="25" t="str">
        <v>Aqua Grow</v>
      </c>
      <c r="O48" s="25">
        <v>12.096</v>
      </c>
      <c r="P48" s="25">
        <v>100</v>
      </c>
      <c r="Q48" s="25">
        <f t="shared" si="2"/>
        <v>1209.5999999999999</v>
      </c>
      <c r="R48" s="25" cm="1">
        <f t="array" ref="R48">IF(O48&gt;0, Fertiliser_Equations_InorganicN2O.VEERG_5_1_1_2__1_EmissionFactorIrrigatedMaize(O48), 0)</f>
        <v>-7.3614399999999999E-4</v>
      </c>
      <c r="S48" s="25" cm="1">
        <f t="array" ref="S48">IF(O48&gt;0, Fertiliser_Equations_InorganicN2O.VEERG_5_1_1_2__2_EmissionFactorNonIrrigatedGrainsHighRainfall(O48), 0)</f>
        <v>1.6881999999999999E-3</v>
      </c>
      <c r="T48" s="25">
        <f t="shared" si="0"/>
        <v>12.096</v>
      </c>
      <c r="U48" s="25">
        <f t="shared" si="1"/>
        <v>1209.5999999999999</v>
      </c>
      <c r="V48" s="25" cm="1">
        <f t="array" ref="V48">IF(O48&gt;0, Fertiliser_Equations_InorganicN2O.VEERG_5_1_1_2__3_EmissionFactorCotton(T48), 0)</f>
        <v>2.903266653082426E-5</v>
      </c>
      <c r="W48" s="25">
        <f>IF(O48&gt;0,Common_InputFunctions.Utility_LookupN2OEFFromProdIrrigationRainfall($S$70,$S$73,$S$74,Table_SourceData_Common_EFN2O[Production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49" spans="4:24" ht="20.100000000000001" customHeight="1" x14ac:dyDescent="0.25">
      <c r="D49" s="122" t="str" cm="1">
        <f t="array" ref="D49:E55">_xlfn.CHOOSECOLS(Fertiliser_Equations_InorganicN2O.VEERG_5_1_1_1__1_InorganicFertiliserApplicationN2OEmissions_Arguments(), 1, 2)</f>
        <v>MN_jf</v>
      </c>
      <c r="E49" s="123" t="str">
        <v>mass of nitrogen in inorganic fertiliser type f applied to production system j</v>
      </c>
      <c r="F49" s="169"/>
      <c r="G49" s="122" t="str" cm="1">
        <f t="array" ref="G49:H55">_xlfn.CHOOSECOLS(Fertiliser_Equations_InorganicN2O.VEERG_5_1_1_1__1_InorganicFertiliserApplicationN2OEmissions_Arguments(), 3,4)</f>
        <v>kg N</v>
      </c>
      <c r="H49" s="112" t="str">
        <v>Calculated from 5.1.1.1 (2)</v>
      </c>
      <c r="I49" s="113" t="str" cm="1">
        <f t="array" aca="1" ref="I49" ca="1">HYPERLINK(Common_InputFunctions.Utility_SourceHyperlink(D16), D16)</f>
        <v>Table_MN_j_f</v>
      </c>
      <c r="M49" s="25" t="s">
        <v>561</v>
      </c>
      <c r="N49" s="25" t="str">
        <v>Aqua NitroCal</v>
      </c>
      <c r="O49" s="25">
        <v>19.8</v>
      </c>
      <c r="P49" s="25">
        <v>100</v>
      </c>
      <c r="Q49" s="25">
        <f t="shared" si="2"/>
        <v>1980</v>
      </c>
      <c r="R49" s="25" cm="1">
        <f t="array" ref="R49">IF(O49&gt;0, Fertiliser_Equations_InorganicN2O.VEERG_5_1_1_2__1_EmissionFactorIrrigatedMaize(O49), 0)</f>
        <v>-2.6619999999999991E-4</v>
      </c>
      <c r="S49" s="25" cm="1">
        <f t="array" ref="S49">IF(O49&gt;0, Fertiliser_Equations_InorganicN2O.VEERG_5_1_1_2__2_EmissionFactorNonIrrigatedGrainsHighRainfall(O49), 0)</f>
        <v>2.2660000000000002E-3</v>
      </c>
      <c r="T49" s="25">
        <f t="shared" si="0"/>
        <v>19.8</v>
      </c>
      <c r="U49" s="25">
        <f t="shared" si="1"/>
        <v>1980</v>
      </c>
      <c r="V49" s="25" cm="1">
        <f t="array" ref="V49">IF(O49&gt;0, Fertiliser_Equations_InorganicN2O.VEERG_5_1_1_2__3_EmissionFactorCotton(T49), 0)</f>
        <v>2.9038198888180622E-5</v>
      </c>
      <c r="W49" s="25">
        <f>IF(O49&gt;0,Common_InputFunctions.Utility_LookupN2OEFFromProdIrrigationRainfall($S$70,$S$73,$S$74,Table_SourceData_Common_EFN2O[Production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50" spans="4:24" ht="20.100000000000001" customHeight="1" x14ac:dyDescent="0.25">
      <c r="D50" s="122" t="str">
        <v>EF_jN2O</v>
      </c>
      <c r="E50" s="123" t="str">
        <v>emission factor for nitrous oxide for inorganic fertilisers</v>
      </c>
      <c r="F50" s="169"/>
      <c r="G50" s="122" t="str">
        <v>kg N2O-N/kg N applied</v>
      </c>
      <c r="H50" s="112" t="str">
        <v>Constant</v>
      </c>
      <c r="I50" s="122">
        <f>Common_InputFunctions.Utility_LookupN2OEFFromProdIrrigationRainfall(I52,I54,I55,Table_SourceData_Common_EFN2O[Production system only],Table_SourceData_Common_EFN2O[Irrigation method],Table_SourceData_Common_EFN2O[Rainfall zone],Table_SourceData_Common_EFN2O[EFN2O])</f>
        <v>7.0000000000000001E-3</v>
      </c>
      <c r="M50" s="25" t="s">
        <v>562</v>
      </c>
      <c r="N50" s="25" t="str" cm="1">
        <f t="array" ref="N50:N52">Table_Input_InorganicFertiliser_Custom[Custom blend name]</f>
        <v>My first custom blend</v>
      </c>
      <c r="O50" s="25" cm="1">
        <f t="array" ref="O50:O52">Table_Input_InorganicFertiliser_Custom[N application rate (kg/ha)]</f>
        <v>7.75</v>
      </c>
      <c r="P50" s="25" cm="1">
        <f t="array" ref="P50:P52">Table_Input_InorganicFertiliser_Custom[Application area (ha)]</f>
        <v>100</v>
      </c>
      <c r="Q50" s="25">
        <f t="shared" si="2"/>
        <v>775</v>
      </c>
      <c r="R50" s="25" cm="1">
        <f t="array" ref="R50">IF(O50&gt;0, Fertiliser_Equations_InorganicN2O.VEERG_5_1_1_2__1_EmissionFactorIrrigatedMaize(O50), 0)</f>
        <v>-1.00125E-3</v>
      </c>
      <c r="S50" s="25" cm="1">
        <f t="array" ref="S50">IF(O50&gt;0, Fertiliser_Equations_InorganicN2O.VEERG_5_1_1_2__2_EmissionFactorNonIrrigatedGrainsHighRainfall(O50), 0)</f>
        <v>1.36225E-3</v>
      </c>
      <c r="T50" s="25">
        <f t="shared" si="0"/>
        <v>7.75</v>
      </c>
      <c r="U50" s="25">
        <f t="shared" si="1"/>
        <v>775</v>
      </c>
      <c r="V50" s="25" cm="1">
        <f t="array" ref="V50">IF(O50&gt;0, Fertiliser_Equations_InorganicN2O.VEERG_5_1_1_2__3_EmissionFactorCotton(T50), 0)</f>
        <v>2.9029995329592254E-5</v>
      </c>
      <c r="W50" s="25">
        <f>IF(O50&gt;0,Common_InputFunctions.Utility_LookupN2OEFFromProdIrrigationRainfall($S$70,$S$73,$S$74,Table_SourceData_Common_EFN2O[Production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51" spans="4:24" ht="20.100000000000001" customHeight="1" x14ac:dyDescent="0.25">
      <c r="D51" s="122" t="str">
        <v>C_N2O</v>
      </c>
      <c r="E51" s="123" t="str">
        <v>factor to convert elemental mass of nitrous oxide to molecular mass</v>
      </c>
      <c r="F51" s="169"/>
      <c r="G51" s="122" t="str">
        <v/>
      </c>
      <c r="H51" s="112" t="str">
        <v>Constant</v>
      </c>
      <c r="I51" s="122">
        <f>Common_InputFunctions.Utility_LookupValueInTableNumber("N2O",Table_GasToMolecularConversionFactor[Gas],Table_GasToMolecularConversionFactor[Conversion factor combined])</f>
        <v>1.5714285714285714</v>
      </c>
      <c r="M51" s="25" t="s">
        <v>562</v>
      </c>
      <c r="N51" s="25" t="str">
        <v>My second custom blend</v>
      </c>
      <c r="O51" s="25">
        <v>46</v>
      </c>
      <c r="P51" s="25">
        <v>100</v>
      </c>
      <c r="Q51" s="25">
        <f t="shared" si="2"/>
        <v>4600</v>
      </c>
      <c r="R51" s="25" cm="1">
        <f t="array" ref="R51">IF(O51&gt;0, Fertiliser_Equations_InorganicN2O.VEERG_5_1_1_2__1_EmissionFactorIrrigatedMaize(O51), 0)</f>
        <v>1.3320000000000001E-3</v>
      </c>
      <c r="S51" s="25" cm="1">
        <f t="array" ref="S51">IF(O51&gt;0, Fertiliser_Equations_InorganicN2O.VEERG_5_1_1_2__2_EmissionFactorNonIrrigatedGrainsHighRainfall(O51), 0)</f>
        <v>4.2309999999999995E-3</v>
      </c>
      <c r="T51" s="25">
        <f t="shared" si="0"/>
        <v>46</v>
      </c>
      <c r="U51" s="25">
        <f t="shared" si="1"/>
        <v>4600</v>
      </c>
      <c r="V51" s="25" cm="1">
        <f t="array" ref="V51">IF(O51&gt;0, Fertiliser_Equations_InorganicN2O.VEERG_5_1_1_2__3_EmissionFactorCotton(T51), 0)</f>
        <v>2.9068248573243379E-5</v>
      </c>
      <c r="W51" s="25">
        <f>IF(O51&gt;0,Common_InputFunctions.Utility_LookupN2OEFFromProdIrrigationRainfall($S$70,$S$73,$S$74,Table_SourceData_Common_EFN2O[Production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52" spans="4:24" ht="20.100000000000001" customHeight="1" x14ac:dyDescent="0.25">
      <c r="D52" s="122" t="str">
        <v>j</v>
      </c>
      <c r="E52" s="123" t="str">
        <v>Production system</v>
      </c>
      <c r="F52" s="169"/>
      <c r="G52" s="122" t="str">
        <v/>
      </c>
      <c r="H52" s="111" t="str">
        <v>Input</v>
      </c>
      <c r="I52" s="122" t="str">
        <f>X_Cell_Fertiliser_ProductionSystem</f>
        <v>Crop</v>
      </c>
      <c r="M52" s="25" t="s">
        <v>562</v>
      </c>
      <c r="N52" s="25" t="str">
        <v>My third custom blend</v>
      </c>
      <c r="O52" s="25">
        <v>41.174999999999997</v>
      </c>
      <c r="P52" s="25">
        <v>100</v>
      </c>
      <c r="Q52" s="25">
        <f t="shared" si="2"/>
        <v>4117.5</v>
      </c>
      <c r="R52" s="25" cm="1">
        <f t="array" ref="R52">IF(O52&gt;0, Fertiliser_Equations_InorganicN2O.VEERG_5_1_1_2__1_EmissionFactorIrrigatedMaize(O52), 0)</f>
        <v>1.0376749999999998E-3</v>
      </c>
      <c r="S52" s="25" cm="1">
        <f t="array" ref="S52">IF(O52&gt;0, Fertiliser_Equations_InorganicN2O.VEERG_5_1_1_2__2_EmissionFactorNonIrrigatedGrainsHighRainfall(O52), 0)</f>
        <v>3.8691250000000002E-3</v>
      </c>
      <c r="T52" s="25">
        <f t="shared" si="0"/>
        <v>41.174999999999997</v>
      </c>
      <c r="U52" s="25">
        <f t="shared" si="1"/>
        <v>4117.5</v>
      </c>
      <c r="V52" s="25" cm="1">
        <f t="array" ref="V52">IF(O52&gt;0, Fertiliser_Equations_InorganicN2O.VEERG_5_1_1_2__3_EmissionFactorCotton(T52), 0)</f>
        <v>2.9061000580963132E-5</v>
      </c>
      <c r="W52" s="25">
        <f>IF(O52&gt;0,Common_InputFunctions.Utility_LookupN2OEFFromProdIrrigationRainfall($S$70,$S$73,$S$74,Table_SourceData_Common_EFN2O[Production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53" spans="4:24" ht="20.100000000000001" customHeight="1" x14ac:dyDescent="0.25">
      <c r="D53" s="122" t="str">
        <v>f</v>
      </c>
      <c r="E53" s="123" t="str">
        <v>Inorganic fertiliser type</v>
      </c>
      <c r="F53" s="169"/>
      <c r="G53" s="122" t="str">
        <v/>
      </c>
      <c r="H53" s="112" t="str">
        <v>Constant</v>
      </c>
      <c r="I53" s="122" t="str">
        <f>"See " &amp; D57</f>
        <v>See M1_Table_E_N2O</v>
      </c>
      <c r="M53" s="25" t="s">
        <v>562</v>
      </c>
      <c r="N53" s="25"/>
      <c r="O53" s="25"/>
      <c r="P53" s="25"/>
      <c r="Q53" s="25">
        <f t="shared" si="2"/>
        <v>0</v>
      </c>
      <c r="R53" s="25" cm="1">
        <f t="array" ref="R53">IF(O53&gt;0, Fertiliser_Equations_InorganicN2O.VEERG_5_1_1_2__1_EmissionFactorIrrigatedMaize(O53), 0)</f>
        <v>0</v>
      </c>
      <c r="S53" s="25" cm="1">
        <f t="array" ref="S53">IF(O53&gt;0, Fertiliser_Equations_InorganicN2O.VEERG_5_1_1_2__2_EmissionFactorNonIrrigatedGrainsHighRainfall(O53), 0)</f>
        <v>0</v>
      </c>
      <c r="T53" s="25">
        <f t="shared" si="0"/>
        <v>0</v>
      </c>
      <c r="U53" s="25">
        <f t="shared" si="1"/>
        <v>0</v>
      </c>
      <c r="V53" s="25" cm="1">
        <f t="array" ref="V53">IF(O53&gt;0, Fertiliser_Equations_InorganicN2O.VEERG_5_1_1_2__3_EmissionFactorCotton(T53), 0)</f>
        <v>0</v>
      </c>
      <c r="W53" s="25">
        <f>IF(O53&gt;0,Common_InputFunctions.Utility_LookupN2OEFFromProdIrrigationRainfall($S$70,$S$73,$S$74,Table_SourceData_Common_EFN2O[Production system only],Table_SourceData_Common_EFN2O[Irrigation method],Table_SourceData_Common_EFN2O[Rainfall zone],Table_SourceData_Common_EFN2O[EFN2O]), 0)</f>
        <v>0</v>
      </c>
    </row>
    <row r="54" spans="4:24" ht="20.100000000000001" customHeight="1" x14ac:dyDescent="0.25">
      <c r="D54" s="122" t="str">
        <v>ir</v>
      </c>
      <c r="E54" s="123" t="str">
        <v>irrigation method</v>
      </c>
      <c r="F54" s="169"/>
      <c r="G54" s="122" t="str">
        <v/>
      </c>
      <c r="H54" s="111" t="str">
        <v>Input</v>
      </c>
      <c r="I54" s="122" t="str">
        <f>X_Cell_Fertiliser_IrrigationMethod</f>
        <v>Sprinkler Irrigation</v>
      </c>
      <c r="M54" s="25" t="s">
        <v>562</v>
      </c>
      <c r="N54" s="25"/>
      <c r="O54" s="25"/>
      <c r="P54" s="25"/>
      <c r="Q54" s="25">
        <f t="shared" si="2"/>
        <v>0</v>
      </c>
      <c r="R54" s="25" cm="1">
        <f t="array" ref="R54">IF(O54&gt;0, Fertiliser_Equations_InorganicN2O.VEERG_5_1_1_2__1_EmissionFactorIrrigatedMaize(O54), 0)</f>
        <v>0</v>
      </c>
      <c r="S54" s="25" cm="1">
        <f t="array" ref="S54">IF(O54&gt;0, Fertiliser_Equations_InorganicN2O.VEERG_5_1_1_2__2_EmissionFactorNonIrrigatedGrainsHighRainfall(O54), 0)</f>
        <v>0</v>
      </c>
      <c r="T54" s="25">
        <f t="shared" si="0"/>
        <v>0</v>
      </c>
      <c r="U54" s="25">
        <f t="shared" si="1"/>
        <v>0</v>
      </c>
      <c r="V54" s="25" cm="1">
        <f t="array" ref="V54">IF(O54&gt;0, Fertiliser_Equations_InorganicN2O.VEERG_5_1_1_2__3_EmissionFactorCotton(T54), 0)</f>
        <v>0</v>
      </c>
      <c r="W54" s="25">
        <f>IF(O54&gt;0,Common_InputFunctions.Utility_LookupN2OEFFromProdIrrigationRainfall($S$70,$S$73,$S$74,Table_SourceData_Common_EFN2O[Production system only],Table_SourceData_Common_EFN2O[Irrigation method],Table_SourceData_Common_EFN2O[Rainfall zone],Table_SourceData_Common_EFN2O[EFN2O]), 0)</f>
        <v>0</v>
      </c>
    </row>
    <row r="55" spans="4:24" ht="20.100000000000001" customHeight="1" x14ac:dyDescent="0.25">
      <c r="D55" s="122" t="str">
        <v>z</v>
      </c>
      <c r="E55" s="123" t="str">
        <v>rainfall zone</v>
      </c>
      <c r="F55" s="169"/>
      <c r="G55" s="122" t="str">
        <v/>
      </c>
      <c r="H55" s="111" t="str">
        <v>Input</v>
      </c>
      <c r="I55" s="122" t="str">
        <f>X_Cell_Site_RainfallZone</f>
        <v>High rainfall</v>
      </c>
    </row>
    <row r="56" spans="4:24" ht="20.100000000000001" customHeight="1" x14ac:dyDescent="0.25">
      <c r="F56" s="26"/>
    </row>
    <row r="57" spans="4:24" ht="20.100000000000001" customHeight="1" x14ac:dyDescent="0.25">
      <c r="D57" s="114" t="s">
        <v>563</v>
      </c>
      <c r="F57" s="26"/>
      <c r="L57" s="118"/>
      <c r="M57" s="118"/>
      <c r="N57" s="118"/>
      <c r="O57" s="118"/>
      <c r="P57" s="118"/>
      <c r="Q57" s="118"/>
      <c r="R57" s="118"/>
      <c r="S57" s="118"/>
      <c r="T57" s="118"/>
      <c r="U57" s="118"/>
      <c r="V57" s="118"/>
      <c r="W57" s="118"/>
      <c r="X57" s="118"/>
    </row>
    <row r="58" spans="4:24" ht="20.100000000000001" customHeight="1" x14ac:dyDescent="0.25">
      <c r="D58" s="115" t="s">
        <v>564</v>
      </c>
      <c r="F58" s="26"/>
      <c r="M58" s="2" t="str" cm="1">
        <f t="array" ref="M58">Fertiliser_Equations_InorganicN2O.VEERG_5_1_1_1__1_InorganicFertiliserApplicationN2OEmissions_Title()</f>
        <v>Nitrous oxide emissions from the application of all inorganic fertiliser types f to all production systems j</v>
      </c>
    </row>
    <row r="59" spans="4:24" ht="20.100000000000001" customHeight="1" x14ac:dyDescent="0.25">
      <c r="D59" s="116" t="s">
        <v>543</v>
      </c>
      <c r="E59" s="116" t="s">
        <v>565</v>
      </c>
      <c r="M59" s="27" t="str" cm="1">
        <f t="array" ref="M59">Fertiliser_Equations_InorganicN2O.VEERG_5_1_1_1__1_InorganicFertiliserApplicationN2OEmissions_Source()</f>
        <v>VEERG 2026: 5.1.1.1, Equation (1)</v>
      </c>
    </row>
    <row r="60" spans="4:24" ht="20.100000000000001" customHeight="1" x14ac:dyDescent="0.25">
      <c r="D60" s="25" t="str" cm="1">
        <f t="array" ref="D60:D78">Table_Fertiliser_ChemicalCompounds[Fertiliser type f]</f>
        <v>Monoammonium phosphate (MAP)</v>
      </c>
      <c r="E60" s="25" cm="1">
        <f t="array" ref="E60">Fertiliser_Equations_InorganicN2O.VEERG_5_1_1_1__1_InorganicFertiliserApplicationN2OEmissions(G19,$I$50,$I$51)</f>
        <v>0</v>
      </c>
      <c r="F60" s="26" t="str">
        <f>E47</f>
        <v>t N2O</v>
      </c>
      <c r="M60" s="105" t="s">
        <v>261</v>
      </c>
      <c r="N60" s="105" t="str" cm="1">
        <f t="array" aca="1" ref="N60" ca="1">Common_InputFunctions.Utility_DisplayFunctionName($E$60)</f>
        <v>=Fertiliser_Equations_InorganicN2O.VEERG_5_1_1_1__1_InorganicFertiliserApplicationN2OEmissions</v>
      </c>
    </row>
    <row r="61" spans="4:24" ht="20.100000000000001" customHeight="1" x14ac:dyDescent="0.25">
      <c r="D61" s="25" t="str">
        <v>Diammonium phosphate (DAP)</v>
      </c>
      <c r="E61" s="25" cm="1">
        <f t="array" ref="E61">Fertiliser_Equations_InorganicN2O.VEERG_5_1_1_1__1_InorganicFertiliserApplicationN2OEmissions(G20,$I$50,$I$51)</f>
        <v>0</v>
      </c>
    </row>
    <row r="62" spans="4:24" ht="20.100000000000001" customHeight="1" x14ac:dyDescent="0.25">
      <c r="D62" s="25" t="str">
        <v>Urea</v>
      </c>
      <c r="E62" s="25" cm="1">
        <f t="array" ref="E62">Fertiliser_Equations_InorganicN2O.VEERG_5_1_1_1__1_InorganicFertiliserApplicationN2OEmissions(G21,$I$50,$I$51)</f>
        <v>5.0599999999999999E-2</v>
      </c>
    </row>
    <row r="63" spans="4:24" ht="20.100000000000001" customHeight="1" x14ac:dyDescent="0.25">
      <c r="D63" s="25" t="str">
        <v>Sulphate of ammonia (SOA)</v>
      </c>
      <c r="E63" s="25" cm="1">
        <f t="array" ref="E63">Fertiliser_Equations_InorganicN2O.VEERG_5_1_1_1__1_InorganicFertiliserApplicationN2OEmissions(G22,$I$50,$I$51)</f>
        <v>0</v>
      </c>
    </row>
    <row r="64" spans="4:24" ht="20.100000000000001" customHeight="1" x14ac:dyDescent="0.25">
      <c r="D64" s="25" t="str">
        <v>Urea-ammonium nitrate (UAN)</v>
      </c>
      <c r="E64" s="25" cm="1">
        <f t="array" ref="E64">Fertiliser_Equations_InorganicN2O.VEERG_5_1_1_1__1_InorganicFertiliserApplicationN2OEmissions(G23,$I$50,$I$51)</f>
        <v>0</v>
      </c>
      <c r="M64" s="88" t="s">
        <v>263</v>
      </c>
      <c r="N64" s="1" t="str" cm="1">
        <f t="array" ref="N64">Fertiliser_Equations_InorganicN2O.VEERG_5_1_1_1__1_InorganicFertiliserApplicationN2OEmissions_Variable()</f>
        <v>E_N2O</v>
      </c>
    </row>
    <row r="65" spans="4:19" ht="20.100000000000001" customHeight="1" x14ac:dyDescent="0.25">
      <c r="D65" s="25" t="str">
        <v>Ammonium nitrate (AN)</v>
      </c>
      <c r="E65" s="25" cm="1">
        <f t="array" ref="E65">Fertiliser_Equations_InorganicN2O.VEERG_5_1_1_1__1_InorganicFertiliserApplicationN2OEmissions(G24,$I$50,$I$51)</f>
        <v>0</v>
      </c>
      <c r="M65" s="88" t="s">
        <v>130</v>
      </c>
      <c r="N65" s="15" t="str" cm="1">
        <f t="array" ref="N65">Fertiliser_Equations_InorganicN2O.VEERG_5_1_1_1__1_InorganicFertiliserApplicationN2OEmissions_Unit()</f>
        <v>t N2O</v>
      </c>
    </row>
    <row r="66" spans="4:19" ht="20.100000000000001" customHeight="1" x14ac:dyDescent="0.25">
      <c r="D66" s="25" t="str">
        <v>Calcium ammonium nitrate (CAN)</v>
      </c>
      <c r="E66" s="25" cm="1">
        <f t="array" ref="E66">Fertiliser_Equations_InorganicN2O.VEERG_5_1_1_1__1_InorganicFertiliserApplicationN2OEmissions(G25,$I$50,$I$51)</f>
        <v>0</v>
      </c>
    </row>
    <row r="67" spans="4:19" ht="20.100000000000001" customHeight="1" x14ac:dyDescent="0.25">
      <c r="D67" s="25" t="str">
        <v>Nitrogen - Ammoniacal</v>
      </c>
      <c r="E67" s="25" cm="1">
        <f t="array" ref="E67">Fertiliser_Equations_InorganicN2O.VEERG_5_1_1_1__1_InorganicFertiliserApplicationN2OEmissions(G26,$I$50,$I$51)</f>
        <v>0</v>
      </c>
      <c r="M67" s="122" t="str" cm="1">
        <f t="array" ref="M67:N74">_xlfn.CHOOSECOLS(Fertiliser_Equations_InorganicN2O.VEERG_5_1_1_1__1_InorganicFertiliserApplicationN2OEmissions_Arguments_Method2(), 1, 2)</f>
        <v>MN_jf</v>
      </c>
      <c r="N67" s="123" t="str">
        <v>mass of nitrogen in inorganic fertiliser type f applied to production system j</v>
      </c>
      <c r="O67" s="169"/>
      <c r="P67" s="172"/>
      <c r="Q67" s="122" t="str" cm="1">
        <f t="array" ref="Q67:R74">_xlfn.CHOOSECOLS(Fertiliser_Equations_InorganicN2O.VEERG_5_1_1_1__1_InorganicFertiliserApplicationN2OEmissions_Arguments_Method2(), 3,4)</f>
        <v>kg N</v>
      </c>
      <c r="R67" s="112" t="str">
        <v>Calculated from 5.1.1.1 (2)</v>
      </c>
      <c r="S67" s="113" t="str" cm="1">
        <f t="array" aca="1" ref="S67" ca="1">HYPERLINK(Common_InputFunctions.Utility_SourceHyperlink(M41), M41)</f>
        <v>M2_Table_FertApplications</v>
      </c>
    </row>
    <row r="68" spans="4:19" ht="20.100000000000001" customHeight="1" x14ac:dyDescent="0.25">
      <c r="D68" s="25" t="str">
        <v>Nitrogen - Nitrate</v>
      </c>
      <c r="E68" s="25" cm="1">
        <f t="array" ref="E68">Fertiliser_Equations_InorganicN2O.VEERG_5_1_1_1__1_InorganicFertiliserApplicationN2OEmissions(G27,$I$50,$I$51)</f>
        <v>2.1779999999999997E-2</v>
      </c>
      <c r="M68" s="122" t="str">
        <v>EF_jN2O</v>
      </c>
      <c r="N68" s="123" t="str">
        <v>emission factor for nitrous oxide for inorganic fertilisers</v>
      </c>
      <c r="O68" s="169"/>
      <c r="P68" s="172"/>
      <c r="Q68" s="122" t="str">
        <v>kg N2O-N/kg N applied</v>
      </c>
      <c r="R68" s="112" t="str">
        <v>Calculated from 5.1.1.2 (1)(2)(3)</v>
      </c>
      <c r="S68" s="122" t="str" cm="1">
        <f t="array" ref="S68">_xlfn.IFS(
  AND(S70="crop", S71="grains", S73="not irrigated", S74="high rainfall"), $S$44,
  AND(S70="Crop", S71="maize", S73&lt;&gt;"not irrigated"), $R$44,
  AND(S70="Crop", S71="cotton"), $V$44,
  TRUE, $W$44
)</f>
        <v>EF_jN2O</v>
      </c>
    </row>
    <row r="69" spans="4:19" ht="20.100000000000001" customHeight="1" x14ac:dyDescent="0.25">
      <c r="D69" s="25" t="str">
        <v>Nitrogen - Generic</v>
      </c>
      <c r="E69" s="25" cm="1">
        <f t="array" ref="E69">Fertiliser_Equations_InorganicN2O.VEERG_5_1_1_1__1_InorganicFertiliserApplicationN2OEmissions(G28,$I$50,$I$51)</f>
        <v>1.6909200000000003E-2</v>
      </c>
      <c r="M69" s="122" t="str">
        <v>C_N2O</v>
      </c>
      <c r="N69" s="123" t="str">
        <v>factor to convert elemental mass of nitrous oxide to molecular mass</v>
      </c>
      <c r="O69" s="169"/>
      <c r="P69" s="172"/>
      <c r="Q69" s="122" t="str">
        <v/>
      </c>
      <c r="R69" s="112" t="str">
        <v>Constant</v>
      </c>
      <c r="S69" s="122">
        <f>Common_InputFunctions.Utility_LookupValueInTableNumber("N2O",Table_GasToMolecularConversionFactor[Gas],Table_GasToMolecularConversionFactor[Conversion factor combined])</f>
        <v>1.5714285714285714</v>
      </c>
    </row>
    <row r="70" spans="4:19" ht="20.100000000000001" customHeight="1" x14ac:dyDescent="0.25">
      <c r="D70" s="25" t="str">
        <v>Phosphorus - Generic</v>
      </c>
      <c r="E70" s="25" cm="1">
        <f t="array" ref="E70">Fertiliser_Equations_InorganicN2O.VEERG_5_1_1_1__1_InorganicFertiliserApplicationN2OEmissions(G29,$I$50,$I$51)</f>
        <v>0</v>
      </c>
      <c r="M70" s="122" t="str">
        <v>j</v>
      </c>
      <c r="N70" s="123" t="str">
        <v>Production system</v>
      </c>
      <c r="O70" s="169"/>
      <c r="P70" s="172"/>
      <c r="Q70" s="122" t="str">
        <v/>
      </c>
      <c r="R70" s="111" t="str">
        <v>Input</v>
      </c>
      <c r="S70" s="122" t="str">
        <f>X_Cell_Fertiliser_ProductionSystem</f>
        <v>Crop</v>
      </c>
    </row>
    <row r="71" spans="4:19" ht="20.100000000000001" customHeight="1" x14ac:dyDescent="0.25">
      <c r="D71" s="25" t="str">
        <v>Potassium - Generic</v>
      </c>
      <c r="E71" s="25" cm="1">
        <f t="array" ref="E71">Fertiliser_Equations_InorganicN2O.VEERG_5_1_1_1__1_InorganicFertiliserApplicationN2OEmissions(G30,$I$50,$I$51)</f>
        <v>0</v>
      </c>
      <c r="M71" s="122" t="str">
        <v>c</v>
      </c>
      <c r="N71" s="123" t="str">
        <v>Crop type</v>
      </c>
      <c r="O71" s="169"/>
      <c r="P71" s="172"/>
      <c r="Q71" s="122" t="str">
        <v/>
      </c>
      <c r="R71" s="111" t="str">
        <v>Input</v>
      </c>
      <c r="S71" s="122" t="str">
        <f>X_Cell_Fertiliser_CropType</f>
        <v>Grains</v>
      </c>
    </row>
    <row r="72" spans="4:19" ht="20.100000000000001" customHeight="1" x14ac:dyDescent="0.25">
      <c r="D72" s="25" t="str">
        <v>Sulfur - Generic</v>
      </c>
      <c r="E72" s="25" cm="1">
        <f t="array" ref="E72">Fertiliser_Equations_InorganicN2O.VEERG_5_1_1_1__1_InorganicFertiliserApplicationN2OEmissions(G31,$I$50,$I$51)</f>
        <v>0</v>
      </c>
      <c r="M72" s="122" t="str">
        <v>f</v>
      </c>
      <c r="N72" s="123" t="str">
        <v>Inorganic fertiliser type</v>
      </c>
      <c r="O72" s="169"/>
      <c r="P72" s="172"/>
      <c r="Q72" s="122" t="str">
        <v/>
      </c>
      <c r="R72" s="112" t="str">
        <v>Constant</v>
      </c>
      <c r="S72" s="122" t="s">
        <v>566</v>
      </c>
    </row>
    <row r="73" spans="4:19" ht="20.100000000000001" customHeight="1" x14ac:dyDescent="0.25">
      <c r="D73" s="25" t="str">
        <v>Zinc - Generic</v>
      </c>
      <c r="E73" s="25" cm="1">
        <f t="array" ref="E73">Fertiliser_Equations_InorganicN2O.VEERG_5_1_1_1__1_InorganicFertiliserApplicationN2OEmissions(G32,$I$50,$I$51)</f>
        <v>0</v>
      </c>
      <c r="M73" s="122" t="str">
        <v>ir</v>
      </c>
      <c r="N73" s="123" t="str">
        <v>irrigation method</v>
      </c>
      <c r="O73" s="169"/>
      <c r="P73" s="172"/>
      <c r="Q73" s="122" t="str">
        <v/>
      </c>
      <c r="R73" s="111" t="str">
        <v>Input</v>
      </c>
      <c r="S73" s="122" t="str">
        <f>X_Cell_Fertiliser_IrrigationMethod</f>
        <v>Sprinkler Irrigation</v>
      </c>
    </row>
    <row r="74" spans="4:19" ht="20.100000000000001" customHeight="1" x14ac:dyDescent="0.25">
      <c r="D74" s="25" t="str">
        <v>Muriate of potash (MOP)</v>
      </c>
      <c r="E74" s="25" cm="1">
        <f t="array" ref="E74">Fertiliser_Equations_InorganicN2O.VEERG_5_1_1_1__1_InorganicFertiliserApplicationN2OEmissions(G33,$I$50,$I$51)</f>
        <v>0</v>
      </c>
      <c r="M74" s="123" t="str">
        <v>z</v>
      </c>
      <c r="N74" s="123" t="str">
        <v>rainfall zone</v>
      </c>
      <c r="O74" s="169"/>
      <c r="P74" s="169"/>
      <c r="Q74" s="122" t="str">
        <v/>
      </c>
      <c r="R74" s="111" t="str">
        <v>Input</v>
      </c>
      <c r="S74" s="122" t="str">
        <f>X_Cell_Site_RainfallZone</f>
        <v>High rainfall</v>
      </c>
    </row>
    <row r="75" spans="4:19" ht="20.100000000000001" customHeight="1" x14ac:dyDescent="0.25">
      <c r="D75" s="25" t="str">
        <v>Double superphosphate</v>
      </c>
      <c r="E75" s="25" cm="1">
        <f t="array" ref="E75">Fertiliser_Equations_InorganicN2O.VEERG_5_1_1_1__1_InorganicFertiliserApplicationN2OEmissions(G34,$I$50,$I$51)</f>
        <v>0</v>
      </c>
    </row>
    <row r="76" spans="4:19" ht="20.100000000000001" customHeight="1" x14ac:dyDescent="0.25">
      <c r="D76" s="25" t="str">
        <v>Single superphosphate (SSP)</v>
      </c>
      <c r="E76" s="25" cm="1">
        <f t="array" ref="E76">Fertiliser_Equations_InorganicN2O.VEERG_5_1_1_1__1_InorganicFertiliserApplicationN2OEmissions(G35,$I$50,$I$51)</f>
        <v>0</v>
      </c>
      <c r="M76" s="116" t="s">
        <v>554</v>
      </c>
      <c r="N76" s="116" t="s">
        <v>554</v>
      </c>
      <c r="O76" s="116" t="s">
        <v>567</v>
      </c>
      <c r="P76" s="116" t="s">
        <v>565</v>
      </c>
    </row>
    <row r="77" spans="4:19" ht="20.100000000000001" customHeight="1" x14ac:dyDescent="0.25">
      <c r="D77" s="25" t="str">
        <v>Ammonia</v>
      </c>
      <c r="E77" s="25" cm="1">
        <f t="array" ref="E77">Fertiliser_Equations_InorganicN2O.VEERG_5_1_1_1__1_InorganicFertiliserApplicationN2OEmissions(G36,$I$50,$I$51)</f>
        <v>4.5292500000000006E-2</v>
      </c>
      <c r="M77" s="25" t="s">
        <v>561</v>
      </c>
      <c r="N77" s="25" t="str" cm="1">
        <f t="array" ref="N77:N81">Table_Input_InorganicFertiliser_Brands[Product (select)]</f>
        <v>Aqua Finish</v>
      </c>
      <c r="O77" s="25" cm="1">
        <f t="array" ref="O77">_xlfn.XLOOKUP(N77,$N$45:$N$54,_xlfn.XLOOKUP($S$68,$R$44:$W$44,$R$45:$W$54), "")</f>
        <v>7.0000000000000001E-3</v>
      </c>
      <c r="P77" s="25" cm="1">
        <f t="array" ref="P77">Fertiliser_Equations_InorganicN2O.VEERG_5_1_1_1__1_InorganicFertiliserApplicationN2OEmissions(Q45,O77,$S$69)</f>
        <v>3.6035999999999993E-3</v>
      </c>
    </row>
    <row r="78" spans="4:19" ht="20.100000000000001" customHeight="1" x14ac:dyDescent="0.25">
      <c r="D78" s="25" t="str">
        <v>Calcium nitrate</v>
      </c>
      <c r="E78" s="25" cm="1">
        <f t="array" ref="E78">Fertiliser_Equations_InorganicN2O.VEERG_5_1_1_1__1_InorganicFertiliserApplicationN2OEmissions(G37,$I$50,$I$51)</f>
        <v>8.5250000000000013E-3</v>
      </c>
      <c r="M78" s="25" t="s">
        <v>561</v>
      </c>
      <c r="N78" s="25" t="str">
        <v>CalPhos</v>
      </c>
      <c r="O78" s="25" cm="1">
        <f t="array" ref="O78">_xlfn.XLOOKUP(N78,$N$45:$N$54,_xlfn.XLOOKUP($S$68,$R$44:$W$44,$R$45:$W$54), FALSE)</f>
        <v>0</v>
      </c>
      <c r="P78" s="25" cm="1">
        <f t="array" ref="P78">Fertiliser_Equations_InorganicN2O.VEERG_5_1_1_1__1_InorganicFertiliserApplicationN2OEmissions(Q46,O78,$S$69)</f>
        <v>0</v>
      </c>
    </row>
    <row r="79" spans="4:19" ht="20.100000000000001" customHeight="1" x14ac:dyDescent="0.25">
      <c r="M79" s="25" t="s">
        <v>561</v>
      </c>
      <c r="N79" s="25" t="str">
        <v>CalPhos</v>
      </c>
      <c r="O79" s="25" cm="1">
        <f t="array" ref="O79">_xlfn.XLOOKUP(N79,$N$45:$N$54,_xlfn.XLOOKUP($S$68,$R$44:$W$44,$R$45:$W$54))</f>
        <v>0</v>
      </c>
      <c r="P79" s="25" cm="1">
        <f t="array" ref="P79">Fertiliser_Equations_InorganicN2O.VEERG_5_1_1_1__1_InorganicFertiliserApplicationN2OEmissions(Q47,O79,$S$69)</f>
        <v>0</v>
      </c>
    </row>
    <row r="80" spans="4:19" ht="20.100000000000001" customHeight="1" x14ac:dyDescent="0.25">
      <c r="D80" s="119" t="s">
        <v>568</v>
      </c>
      <c r="E80" s="120">
        <f>SUM(E60:E78)</f>
        <v>0.1431067</v>
      </c>
      <c r="F80" s="121" t="str">
        <f>$E$47</f>
        <v>t N2O</v>
      </c>
      <c r="M80" s="25" t="s">
        <v>561</v>
      </c>
      <c r="N80" s="25" t="str">
        <v>Aqua Grow</v>
      </c>
      <c r="O80" s="25" cm="1">
        <f t="array" ref="O80">_xlfn.XLOOKUP(N80,$N$45:$N$54,_xlfn.XLOOKUP($S$68,$R$44:$W$44,$R$45:$W$54))</f>
        <v>7.0000000000000001E-3</v>
      </c>
      <c r="P80" s="25" cm="1">
        <f t="array" ref="P80">Fertiliser_Equations_InorganicN2O.VEERG_5_1_1_1__1_InorganicFertiliserApplicationN2OEmissions(Q48,O80,$S$69)</f>
        <v>1.3305600000000001E-2</v>
      </c>
    </row>
    <row r="81" spans="4:16" ht="20.100000000000001" customHeight="1" x14ac:dyDescent="0.25">
      <c r="M81" s="25" t="s">
        <v>561</v>
      </c>
      <c r="N81" s="25" t="str">
        <v>Aqua NitroCal</v>
      </c>
      <c r="O81" s="25" cm="1">
        <f t="array" ref="O81">_xlfn.XLOOKUP(N81,$N$45:$N$54,_xlfn.XLOOKUP($S$68,$R$44:$W$44,$R$45:$W$54))</f>
        <v>7.0000000000000001E-3</v>
      </c>
      <c r="P81" s="25" cm="1">
        <f t="array" ref="P81">Fertiliser_Equations_InorganicN2O.VEERG_5_1_1_1__1_InorganicFertiliserApplicationN2OEmissions(Q49,O81,$S$69)</f>
        <v>2.1779999999999997E-2</v>
      </c>
    </row>
    <row r="82" spans="4:16" ht="20.100000000000001" customHeight="1" x14ac:dyDescent="0.25">
      <c r="D82" s="122" t="str" cm="1">
        <f t="array" ref="D82:E83">Common_Equations.Common_ConvertN2OToCO2e_Arguments()</f>
        <v>EN2O</v>
      </c>
      <c r="E82" s="123" t="str">
        <v>Nitrous oxide emissions (t N2O)</v>
      </c>
      <c r="F82" s="124"/>
      <c r="G82" s="25">
        <f>E80</f>
        <v>0.1431067</v>
      </c>
      <c r="M82" s="25" t="s">
        <v>562</v>
      </c>
      <c r="N82" s="25" t="str" cm="1">
        <f t="array" ref="N82:N84">Table_Input_InorganicFertiliser_Custom[Custom blend name]</f>
        <v>My first custom blend</v>
      </c>
      <c r="O82" s="25" cm="1">
        <f t="array" ref="O82">_xlfn.XLOOKUP(N82,$N$45:$N$54,_xlfn.XLOOKUP($S$68,$R$44:$W$44,$R$45:$W$54))</f>
        <v>7.0000000000000001E-3</v>
      </c>
      <c r="P82" s="25" cm="1">
        <f t="array" ref="P82">Fertiliser_Equations_InorganicN2O.VEERG_5_1_1_1__1_InorganicFertiliserApplicationN2OEmissions(Q50,O82,$S$69)</f>
        <v>8.5250000000000013E-3</v>
      </c>
    </row>
    <row r="83" spans="4:16" ht="20.100000000000001" customHeight="1" x14ac:dyDescent="0.25">
      <c r="D83" s="122" t="str">
        <v>GWPN2O</v>
      </c>
      <c r="E83" s="123" t="str">
        <v>Global warming potential for nitrous oxide (t CO2-e / t N2O)</v>
      </c>
      <c r="F83" s="124"/>
      <c r="G83" s="25">
        <f>Common_InputFunctions.Utility_LookupValueInTableNumber("N2O",Table_GWPData[Gas],Table_GWPData[CO2-e factor])</f>
        <v>265</v>
      </c>
      <c r="M83" s="25" t="s">
        <v>562</v>
      </c>
      <c r="N83" s="25" t="str">
        <v>My second custom blend</v>
      </c>
      <c r="O83" s="25" cm="1">
        <f t="array" ref="O83">_xlfn.XLOOKUP(N83,$N$45:$N$54,_xlfn.XLOOKUP($S$68,$R$44:$W$44,$R$45:$W$54))</f>
        <v>7.0000000000000001E-3</v>
      </c>
      <c r="P83" s="25" cm="1">
        <f t="array" ref="P83">Fertiliser_Equations_InorganicN2O.VEERG_5_1_1_1__1_InorganicFertiliserApplicationN2OEmissions(Q51,O83,$S$69)</f>
        <v>5.0599999999999999E-2</v>
      </c>
    </row>
    <row r="84" spans="4:16" ht="20.100000000000001" customHeight="1" x14ac:dyDescent="0.25">
      <c r="M84" s="25" t="s">
        <v>562</v>
      </c>
      <c r="N84" s="25" t="str">
        <v>My third custom blend</v>
      </c>
      <c r="O84" s="25" cm="1">
        <f t="array" ref="O84">_xlfn.XLOOKUP(N84,$N$45:$N$54,_xlfn.XLOOKUP($S$68,$R$44:$W$44,$R$45:$W$54))</f>
        <v>7.0000000000000001E-3</v>
      </c>
      <c r="P84" s="25" cm="1">
        <f t="array" ref="P84">Fertiliser_Equations_InorganicN2O.VEERG_5_1_1_1__1_InorganicFertiliserApplicationN2OEmissions(Q52,O84,$S$69)</f>
        <v>4.5292500000000006E-2</v>
      </c>
    </row>
    <row r="85" spans="4:16" ht="20.100000000000001" customHeight="1" x14ac:dyDescent="0.25">
      <c r="D85" s="118" t="s">
        <v>301</v>
      </c>
      <c r="E85" s="118" cm="1">
        <f t="array" ref="E85">Common_Equations.Common_ConvertN2OToCO2e(G82,G83)</f>
        <v>37.923275500000003</v>
      </c>
      <c r="F85" s="125" t="str" cm="1">
        <f t="array" ref="F85">Common_Equations.Common_ConvertN2OToCO2e_Unit()</f>
        <v>t CO2e</v>
      </c>
      <c r="M85" s="25" t="s">
        <v>562</v>
      </c>
      <c r="N85" s="25"/>
      <c r="O85" s="25" cm="1">
        <f t="array" ref="O85">_xlfn.XLOOKUP(N85,$N$45:$N$54,_xlfn.XLOOKUP($S$68,$R$44:$W$44,$R$45:$W$54))</f>
        <v>0</v>
      </c>
      <c r="P85" s="25" cm="1">
        <f t="array" ref="P85">Fertiliser_Equations_InorganicN2O.VEERG_5_1_1_1__1_InorganicFertiliserApplicationN2OEmissions(Q53,O85,$S$69)</f>
        <v>0</v>
      </c>
    </row>
    <row r="86" spans="4:16" ht="20.100000000000001" customHeight="1" x14ac:dyDescent="0.25">
      <c r="M86" s="25" t="s">
        <v>562</v>
      </c>
      <c r="N86" s="25"/>
      <c r="O86" s="25" cm="1">
        <f t="array" ref="O86">_xlfn.XLOOKUP(N86,$N$45:$N$54,_xlfn.XLOOKUP($S$68,$R$44:$W$44,$R$45:$W$54))</f>
        <v>0</v>
      </c>
      <c r="P86" s="25" cm="1">
        <f t="array" ref="P86">Fertiliser_Equations_InorganicN2O.VEERG_5_1_1_1__1_InorganicFertiliserApplicationN2OEmissions(Q54,O86,$S$69)</f>
        <v>0</v>
      </c>
    </row>
    <row r="87" spans="4:16" ht="20.100000000000001" customHeight="1" x14ac:dyDescent="0.25"/>
    <row r="88" spans="4:16" ht="20.100000000000001" customHeight="1" x14ac:dyDescent="0.25">
      <c r="M88" s="119" t="s">
        <v>568</v>
      </c>
      <c r="N88" s="120">
        <f>SUM(P77:P86)</f>
        <v>0.1431067</v>
      </c>
      <c r="O88" s="121" t="str">
        <f>$E$47</f>
        <v>t N2O</v>
      </c>
    </row>
    <row r="89" spans="4:16" ht="20.100000000000001" customHeight="1" x14ac:dyDescent="0.25"/>
    <row r="90" spans="4:16" ht="20.100000000000001" customHeight="1" x14ac:dyDescent="0.25">
      <c r="M90" s="122" t="str" cm="1">
        <f t="array" ref="M90:N91">Common_Equations.Common_ConvertN2OToCO2e_Arguments()</f>
        <v>EN2O</v>
      </c>
      <c r="N90" s="123" t="str">
        <v>Nitrous oxide emissions (t N2O)</v>
      </c>
      <c r="O90" s="124"/>
      <c r="P90" s="25">
        <f>N88</f>
        <v>0.1431067</v>
      </c>
    </row>
    <row r="91" spans="4:16" ht="20.100000000000001" customHeight="1" x14ac:dyDescent="0.25">
      <c r="M91" s="122" t="str">
        <v>GWPN2O</v>
      </c>
      <c r="N91" s="123" t="str">
        <v>Global warming potential for nitrous oxide (t CO2-e / t N2O)</v>
      </c>
      <c r="O91" s="124"/>
      <c r="P91" s="25">
        <f>Common_InputFunctions.Utility_LookupValueInTableNumber("N2O",Table_GWPData[Gas],Table_GWPData[CO2-e factor])</f>
        <v>265</v>
      </c>
    </row>
    <row r="92" spans="4:16" ht="20.100000000000001" customHeight="1" x14ac:dyDescent="0.25"/>
    <row r="93" spans="4:16" ht="20.100000000000001" customHeight="1" x14ac:dyDescent="0.25">
      <c r="M93" s="118" t="s">
        <v>301</v>
      </c>
      <c r="N93" s="118" cm="1">
        <f t="array" ref="N93">Common_Equations.Common_ConvertN2OToCO2e(P90,P91)</f>
        <v>37.923275500000003</v>
      </c>
      <c r="O93" s="125" t="str" cm="1">
        <f t="array" ref="O93">Common_Equations.Common_ConvertN2OToCO2e_Unit()</f>
        <v>t CO2e</v>
      </c>
    </row>
    <row r="94" spans="4:16" ht="20.100000000000001" customHeight="1" x14ac:dyDescent="0.25"/>
    <row r="95" spans="4:16" ht="20.100000000000001" customHeight="1" x14ac:dyDescent="0.25"/>
    <row r="96" spans="4:1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8"/>
    </row>
    <row r="342" spans="8:8" x14ac:dyDescent="0.25">
      <c r="H342" s="8"/>
    </row>
  </sheetData>
  <dataValidations count="1">
    <dataValidation operator="equal" allowBlank="1" showInputMessage="1" showErrorMessage="1" sqref="N172:W172 O150:R150 E269 N166:W166 O143:W144 E228 O167:W167 G132 I129:I133 F134:I134 F129:F132 H128:H132 G129 F148:I148 I149 F150:I150 R149:W149" xr:uid="{7477F7E3-6F8B-4FCC-907B-3ED9BDF603E8}"/>
  </dataValidations>
  <pageMargins left="0.7" right="0.7" top="0.75" bottom="0.75" header="0.3" footer="0.3"/>
  <pageSetup paperSize="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F6C90-B00B-4AFB-BCD2-DC3AEE8C4AEC}">
  <dimension ref="A1:U165"/>
  <sheetViews>
    <sheetView showGridLines="0" topLeftCell="A51" workbookViewId="0">
      <selection activeCell="A46" sqref="A46"/>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31" customFormat="1" ht="30" customHeight="1" x14ac:dyDescent="0.35">
      <c r="A1" s="16" t="e" vm="1">
        <v>#VALUE!</v>
      </c>
      <c r="C1" s="31" t="s">
        <v>569</v>
      </c>
    </row>
    <row r="2" spans="1:21" s="3" customFormat="1" ht="20.100000000000001" customHeight="1" x14ac:dyDescent="0.25">
      <c r="A2"/>
    </row>
    <row r="3" spans="1:21" ht="20.100000000000001" customHeight="1" x14ac:dyDescent="0.25">
      <c r="A3" s="5" t="str">
        <f>HYPERLINK("#'Home'!A1", "Home")</f>
        <v>Home</v>
      </c>
      <c r="C3" s="33"/>
      <c r="D3" s="33" t="s">
        <v>149</v>
      </c>
      <c r="E3" s="33"/>
      <c r="F3" s="33"/>
      <c r="G3" s="33"/>
      <c r="H3" s="33"/>
      <c r="I3" s="33"/>
      <c r="J3" s="33"/>
      <c r="K3" s="33"/>
      <c r="L3" s="33"/>
      <c r="N3" s="33"/>
      <c r="O3" s="33" t="s">
        <v>150</v>
      </c>
      <c r="P3" s="33"/>
      <c r="Q3" s="33"/>
      <c r="R3" s="33"/>
      <c r="S3" s="33"/>
      <c r="T3" s="33"/>
      <c r="U3" s="33"/>
    </row>
    <row r="4" spans="1:21" ht="20.100000000000001" customHeight="1" x14ac:dyDescent="0.25">
      <c r="A4" s="5" t="str">
        <f>HYPERLINK("#'Results'!A1", "Results")</f>
        <v>Results</v>
      </c>
    </row>
    <row r="5" spans="1:21" ht="20.100000000000001" customHeight="1" x14ac:dyDescent="0.25">
      <c r="D5" s="2" t="str" cm="1">
        <f t="array" ref="D5">Fertiliser_Equations_InorganicCO2.VEERG_5_1_1_3__2_MassOfUreaInInorganicFertiliser_Title()</f>
        <v>Mass of urea applied to production system</v>
      </c>
    </row>
    <row r="6" spans="1:21" ht="20.100000000000001" customHeight="1" x14ac:dyDescent="0.25">
      <c r="D6" s="27" t="str" cm="1">
        <f t="array" ref="D6">Fertiliser_Equations_InorganicCO2.VEERG_5_1_1_3__2_MassOfUreaInInorganicFertiliser_Source()</f>
        <v>VEERG 2026: 5.1.1.3, Equation (2)</v>
      </c>
    </row>
    <row r="7" spans="1:21" ht="20.100000000000001" customHeight="1" x14ac:dyDescent="0.25">
      <c r="A7" s="7" t="s">
        <v>0</v>
      </c>
      <c r="D7" s="105" t="s">
        <v>261</v>
      </c>
      <c r="E7" s="105" t="str" cm="1">
        <f t="array" aca="1" ref="E7" ca="1">Common_InputFunctions.Utility_DisplayFunctionName(G19)</f>
        <v>=Fertiliser_Equations_InorganicCO2.VEERG_5_1_1_3__2_MassOfUreaInInorganicFertiliser</v>
      </c>
    </row>
    <row r="8" spans="1:21" ht="20.100000000000001" customHeight="1" x14ac:dyDescent="0.25">
      <c r="A8" s="5" t="str">
        <f>HYPERLINK("#'Input - Enterprise'!A1", "Enterprise")</f>
        <v>Enterprise</v>
      </c>
    </row>
    <row r="9" spans="1:21" ht="20.100000000000001" customHeight="1" x14ac:dyDescent="0.25">
      <c r="A9" s="5" t="str">
        <f>HYPERLINK("#'Input - Site'!A1", "Site")</f>
        <v>Site</v>
      </c>
    </row>
    <row r="10" spans="1:21" ht="20.100000000000001" customHeight="1" x14ac:dyDescent="0.25">
      <c r="A10" s="5" t="str">
        <f>HYPERLINK("#'Input - Pasture Beef'!A1", "Pasture Beef")</f>
        <v>Pasture Beef</v>
      </c>
      <c r="D10" s="88" t="s">
        <v>263</v>
      </c>
      <c r="E10" s="1" t="str" cm="1">
        <f t="array" ref="E10">Fertiliser_Equations_InorganicCO2.VEERG_5_1_1_3__2_MassOfUreaInInorganicFertiliser_Variable()</f>
        <v>MU_jf</v>
      </c>
    </row>
    <row r="11" spans="1:21" ht="20.100000000000001" customHeight="1" x14ac:dyDescent="0.25">
      <c r="A11" s="5" t="str">
        <f>HYPERLINK("#'Input - Pasture Beef (Enteric)'!A1", "Pasture Beef (Enteric)")</f>
        <v>Pasture Beef (Enteric)</v>
      </c>
      <c r="D11" s="88" t="s">
        <v>130</v>
      </c>
      <c r="E11" s="15" t="str" cm="1">
        <f t="array" ref="E11">Fertiliser_Equations_InorganicCO2.VEERG_5_1_1_3__2_MassOfUreaInInorganicFertiliser_Unit()</f>
        <v>kg urea</v>
      </c>
    </row>
    <row r="12" spans="1:21" ht="20.100000000000001" customHeight="1" x14ac:dyDescent="0.25">
      <c r="A12" s="5" t="str">
        <f>HYPERLINK("#'Input - Pasture'!A1", "Pasture")</f>
        <v>Pasture</v>
      </c>
    </row>
    <row r="13" spans="1:21" ht="20.100000000000001" customHeight="1" x14ac:dyDescent="0.25">
      <c r="A13" s="5" t="str">
        <f>HYPERLINK("#'Input - Fertiliser'!A1", "Fertiliser")</f>
        <v>Fertiliser</v>
      </c>
      <c r="D13" s="122" t="str" cm="1">
        <f t="array" ref="D13:E14">_xlfn.CHOOSECOLS(Fertiliser_Equations_InorganicCO2.VEERG_5_1_1_3__2_MassOfUreaInInorganicFertiliser_Arguments(), 1, 2)</f>
        <v>TM_jf</v>
      </c>
      <c r="E13" s="123" t="str">
        <v>total mass of inorganic fertiliser type f applied to production system j</v>
      </c>
      <c r="F13" s="172"/>
      <c r="G13" s="122" t="str" cm="1">
        <f t="array" ref="G13:H14">_xlfn.CHOOSECOLS(Fertiliser_Equations_InorganicCO2.VEERG_5_1_1_3__2_MassOfUreaInInorganicFertiliser_Arguments(), 3, 4)</f>
        <v>kg</v>
      </c>
      <c r="H13" s="111" t="str">
        <v>Input</v>
      </c>
      <c r="I13" s="113" t="str" cm="1">
        <f t="array" aca="1" ref="I13" ca="1">HYPERLINK(Common_InputFunctions.Utility_SourceHyperlink($D$16), $D$16)</f>
        <v>Table_MU_j_f</v>
      </c>
    </row>
    <row r="14" spans="1:21" ht="20.100000000000001" customHeight="1" x14ac:dyDescent="0.25">
      <c r="A14" s="5" t="str">
        <f>HYPERLINK("#'Input - Fuel'!A1", "Fuel")</f>
        <v>Fuel</v>
      </c>
      <c r="D14" s="122" t="str">
        <v>FU_f</v>
      </c>
      <c r="E14" s="123" t="str">
        <v>fraction of urea in fertiliser type f</v>
      </c>
      <c r="F14" s="172"/>
      <c r="G14" s="122" t="str">
        <v>kg urea/kg</v>
      </c>
      <c r="H14" s="112" t="str">
        <v>Lookup</v>
      </c>
      <c r="I14" s="113" t="str" cm="1">
        <f t="array" aca="1" ref="I14" ca="1">HYPERLINK(Common_InputFunctions.Utility_SourceHyperlink($D$16), $D$16)</f>
        <v>Table_MU_j_f</v>
      </c>
    </row>
    <row r="15" spans="1:21" ht="20.100000000000001" customHeight="1" x14ac:dyDescent="0.25">
      <c r="A15" s="5" t="str">
        <f>HYPERLINK("#'Input - Electricity'!A1", "Electricity")</f>
        <v>Electricity</v>
      </c>
    </row>
    <row r="16" spans="1:21" ht="20.100000000000001" customHeight="1" x14ac:dyDescent="0.25">
      <c r="D16" s="114" t="s">
        <v>570</v>
      </c>
    </row>
    <row r="17" spans="1:7" ht="20.100000000000001" customHeight="1" x14ac:dyDescent="0.25">
      <c r="D17" s="115" t="s">
        <v>571</v>
      </c>
    </row>
    <row r="18" spans="1:7" ht="20.100000000000001" customHeight="1" x14ac:dyDescent="0.25">
      <c r="A18" s="6" t="s">
        <v>2</v>
      </c>
      <c r="D18" s="116" t="s">
        <v>543</v>
      </c>
      <c r="E18" s="117" t="s">
        <v>544</v>
      </c>
      <c r="F18" s="116" t="s">
        <v>572</v>
      </c>
      <c r="G18" s="116" t="s">
        <v>573</v>
      </c>
    </row>
    <row r="19" spans="1:7" ht="20.100000000000001" customHeight="1" x14ac:dyDescent="0.25">
      <c r="A19" s="5" t="str">
        <f>HYPERLINK("#'3.2.1.1-2 Enteric Methane'!A1", "3.2.1.1-2 Enteric methane")</f>
        <v>3.2.1.1-2 Enteric methane</v>
      </c>
      <c r="D19" s="25" t="str" cm="1">
        <f t="array" ref="D19:D37">Table_Fertiliser_ChemicalCompounds[Fertiliser type f]</f>
        <v>Monoammonium phosphate (MAP)</v>
      </c>
      <c r="E19" s="25" cm="1">
        <f t="array" ref="E19">Fertiliser_InputFunctions.Fertiliser_TotalChemicalCompoundAppliedAllIngredients($D19,(Table_Input_InorganicFertiliser_Brands[Total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19" s="25" cm="1">
        <f t="array" ref="F19">Common_InputFunctions.Utility_LookupValueInTableNumber(D19,Table_Fertiliser_ChemicalCompounds[Fertiliser type f],Table_Fertiliser_ChemicalCompounds[FU f])</f>
        <v>0</v>
      </c>
      <c r="G19" s="25" cm="1">
        <f t="array" ref="G19">Fertiliser_Equations_InorganicCO2.VEERG_5_1_1_3__2_MassOfUreaInInorganicFertiliser(E19,F19)</f>
        <v>0</v>
      </c>
    </row>
    <row r="20" spans="1:7" ht="20.100000000000001" customHeight="1" x14ac:dyDescent="0.25">
      <c r="A20" s="5" t="str">
        <f>HYPERLINK("#'4.2.1.1-2 Methane'!A1", "4.2.1.1-2 Manure methane")</f>
        <v>4.2.1.1-2 Manure methane</v>
      </c>
      <c r="D20" s="25" t="str">
        <v>Diammonium phosphate (DAP)</v>
      </c>
      <c r="E20" s="25" cm="1">
        <f t="array" ref="E20">Fertiliser_InputFunctions.Fertiliser_TotalChemicalCompoundAppliedAllIngredients($D20,(Table_Input_InorganicFertiliser_Brands[Total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0" s="25" cm="1">
        <f t="array" ref="F20">Common_InputFunctions.Utility_LookupValueInTableNumber(D20,Table_Fertiliser_ChemicalCompounds[Fertiliser type f],Table_Fertiliser_ChemicalCompounds[FU f])</f>
        <v>0</v>
      </c>
      <c r="G20" s="25" cm="1">
        <f t="array" ref="G20">Fertiliser_Equations_InorganicCO2.VEERG_5_1_1_3__2_MassOfUreaInInorganicFertiliser(E20,F20)</f>
        <v>0</v>
      </c>
    </row>
    <row r="21" spans="1:7" ht="20.100000000000001" customHeight="1" x14ac:dyDescent="0.25">
      <c r="A21" s="5" t="str">
        <f>HYPERLINK("#'4.2.1.3-4 Soil direct N20'!A1", "4.2.1.3-4 Soil direct N2O")</f>
        <v>4.2.1.3-4 Soil direct N2O</v>
      </c>
      <c r="D21" s="25" t="str">
        <v>Urea</v>
      </c>
      <c r="E21" s="25" cm="1">
        <f t="array" ref="E21">Fertiliser_InputFunctions.Fertiliser_TotalChemicalCompoundAppliedAllIngredients($D21,(Table_Input_InorganicFertiliser_Brands[Total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10000</v>
      </c>
      <c r="F21" s="25" cm="1">
        <f t="array" ref="F21">Common_InputFunctions.Utility_LookupValueInTableNumber(D21,Table_Fertiliser_ChemicalCompounds[Fertiliser type f],Table_Fertiliser_ChemicalCompounds[FU f])</f>
        <v>1</v>
      </c>
      <c r="G21" s="25" cm="1">
        <f t="array" ref="G21">Fertiliser_Equations_InorganicCO2.VEERG_5_1_1_3__2_MassOfUreaInInorganicFertiliser(E21,F21)</f>
        <v>10000</v>
      </c>
    </row>
    <row r="22" spans="1:7" ht="20.100000000000001" customHeight="1" x14ac:dyDescent="0.25">
      <c r="A22" s="5" t="str">
        <f>HYPERLINK("#'4.2.1.5-6 Soil Atmos Dep'!A1", "4.2.1.5-6 Soil atm. deposition")</f>
        <v>4.2.1.5-6 Soil atm. deposition</v>
      </c>
      <c r="D22" s="25" t="str">
        <v>Sulphate of ammonia (SOA)</v>
      </c>
      <c r="E22" s="25" cm="1">
        <f t="array" ref="E22">Fertiliser_InputFunctions.Fertiliser_TotalChemicalCompoundAppliedAllIngredients($D22,(Table_Input_InorganicFertiliser_Brands[Total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2" s="25" cm="1">
        <f t="array" ref="F22">Common_InputFunctions.Utility_LookupValueInTableNumber(D22,Table_Fertiliser_ChemicalCompounds[Fertiliser type f],Table_Fertiliser_ChemicalCompounds[FU f])</f>
        <v>0</v>
      </c>
      <c r="G22" s="25" cm="1">
        <f t="array" ref="G22">Fertiliser_Equations_InorganicCO2.VEERG_5_1_1_3__2_MassOfUreaInInorganicFertiliser(E22,F22)</f>
        <v>0</v>
      </c>
    </row>
    <row r="23" spans="1:7" ht="20.100000000000001" customHeight="1" x14ac:dyDescent="0.25">
      <c r="A23" s="5" t="str">
        <f>HYPERLINK("#'4.2.1.7-8 Soil leach runoff'!A1", "4.2.1.7-8 Soil leach &amp; runoff")</f>
        <v>4.2.1.7-8 Soil leach &amp; runoff</v>
      </c>
      <c r="D23" s="25" t="str">
        <v>Urea-ammonium nitrate (UAN)</v>
      </c>
      <c r="E23" s="25" cm="1">
        <f t="array" ref="E23">Fertiliser_InputFunctions.Fertiliser_TotalChemicalCompoundAppliedAllIngredients($D23,(Table_Input_InorganicFertiliser_Brands[Total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3" s="25" cm="1">
        <f t="array" ref="F23">Common_InputFunctions.Utility_LookupValueInTableNumber(D23,Table_Fertiliser_ChemicalCompounds[Fertiliser type f],Table_Fertiliser_ChemicalCompounds[FU f])</f>
        <v>0.35</v>
      </c>
      <c r="G23" s="25" cm="1">
        <f t="array" ref="G23">Fertiliser_Equations_InorganicCO2.VEERG_5_1_1_3__2_MassOfUreaInInorganicFertiliser(E23,F23)</f>
        <v>0</v>
      </c>
    </row>
    <row r="24" spans="1:7" ht="20.100000000000001" customHeight="1" x14ac:dyDescent="0.25">
      <c r="A24" s="5" t="str">
        <f>HYPERLINK("#'5.1.1.1-2 Inorganic fert N2O'!A1", "5.1.1.1-2 Inorganic fert N2O")</f>
        <v>5.1.1.1-2 Inorganic fert N2O</v>
      </c>
      <c r="D24" s="25" t="str">
        <v>Ammonium nitrate (AN)</v>
      </c>
      <c r="E24" s="25" cm="1">
        <f t="array" ref="E24">Fertiliser_InputFunctions.Fertiliser_TotalChemicalCompoundAppliedAllIngredients($D24,(Table_Input_InorganicFertiliser_Brands[Total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4" s="25" cm="1">
        <f t="array" ref="F24">Common_InputFunctions.Utility_LookupValueInTableNumber(D24,Table_Fertiliser_ChemicalCompounds[Fertiliser type f],Table_Fertiliser_ChemicalCompounds[FU f])</f>
        <v>0</v>
      </c>
      <c r="G24" s="25" cm="1">
        <f t="array" ref="G24">Fertiliser_Equations_InorganicCO2.VEERG_5_1_1_3__2_MassOfUreaInInorganicFertiliser(E24,F24)</f>
        <v>0</v>
      </c>
    </row>
    <row r="25" spans="1:7" ht="20.100000000000001" customHeight="1" x14ac:dyDescent="0.25">
      <c r="A25" s="106" t="str">
        <f>HYPERLINK("#'5.1.1.3-4 Inorganic fert CO2'!A1", "5.1.1.3-4 Inorganic fert CO2")</f>
        <v>5.1.1.3-4 Inorganic fert CO2</v>
      </c>
      <c r="D25" s="25" t="str">
        <v>Calcium ammonium nitrate (CAN)</v>
      </c>
      <c r="E25" s="25" cm="1">
        <f t="array" ref="E25">Fertiliser_InputFunctions.Fertiliser_TotalChemicalCompoundAppliedAllIngredients($D25,(Table_Input_InorganicFertiliser_Brands[Total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5" s="25" cm="1">
        <f t="array" ref="F25">Common_InputFunctions.Utility_LookupValueInTableNumber(D25,Table_Fertiliser_ChemicalCompounds[Fertiliser type f],Table_Fertiliser_ChemicalCompounds[FU f])</f>
        <v>0</v>
      </c>
      <c r="G25" s="25" cm="1">
        <f t="array" ref="G25">Fertiliser_Equations_InorganicCO2.VEERG_5_1_1_3__2_MassOfUreaInInorganicFertiliser(E25,F25)</f>
        <v>0</v>
      </c>
    </row>
    <row r="26" spans="1:7" ht="20.100000000000001" customHeight="1" x14ac:dyDescent="0.25">
      <c r="A26" s="5" t="str">
        <f>HYPERLINK("#'5.2.1.1-2 Organic Fert N2O'!A1", "5.2.1.1-2 Organic fert N2O")</f>
        <v>5.2.1.1-2 Organic fert N2O</v>
      </c>
      <c r="D26" s="25" t="str">
        <v>Nitrogen - Ammoniacal</v>
      </c>
      <c r="E26" s="25" cm="1">
        <f t="array" ref="E26">Fertiliser_InputFunctions.Fertiliser_TotalChemicalCompoundAppliedAllIngredients($D26,(Table_Input_InorganicFertiliser_Brands[Total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6" s="25" cm="1">
        <f t="array" ref="F26">Common_InputFunctions.Utility_LookupValueInTableNumber(D26,Table_Fertiliser_ChemicalCompounds[Fertiliser type f],Table_Fertiliser_ChemicalCompounds[FU f])</f>
        <v>0</v>
      </c>
      <c r="G26" s="25" cm="1">
        <f t="array" ref="G26">Fertiliser_Equations_InorganicCO2.VEERG_5_1_1_3__2_MassOfUreaInInorganicFertiliser(E26,F26)</f>
        <v>0</v>
      </c>
    </row>
    <row r="27" spans="1:7" ht="20.100000000000001" customHeight="1" x14ac:dyDescent="0.25">
      <c r="A27" s="5" t="str">
        <f>HYPERLINK("#'5.3.1.1-2 Lime CO2'!A1", "5.3.1.1-2 Lime CO2")</f>
        <v>5.3.1.1-2 Lime CO2</v>
      </c>
      <c r="D27" s="25" t="str">
        <v>Nitrogen - Nitrate</v>
      </c>
      <c r="E27" s="25" cm="1">
        <f t="array" ref="E27">Fertiliser_InputFunctions.Fertiliser_TotalChemicalCompoundAppliedAllIngredients($D27,(Table_Input_InorganicFertiliser_Brands[Total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2970</v>
      </c>
      <c r="F27" s="25" cm="1">
        <f t="array" ref="F27">Common_InputFunctions.Utility_LookupValueInTableNumber(D27,Table_Fertiliser_ChemicalCompounds[Fertiliser type f],Table_Fertiliser_ChemicalCompounds[FU f])</f>
        <v>0</v>
      </c>
      <c r="G27" s="25" cm="1">
        <f t="array" ref="G27">Fertiliser_Equations_InorganicCO2.VEERG_5_1_1_3__2_MassOfUreaInInorganicFertiliser(E27,F27)</f>
        <v>0</v>
      </c>
    </row>
    <row r="28" spans="1:7" ht="20.100000000000001" customHeight="1" x14ac:dyDescent="0.25">
      <c r="A28" s="5" t="str">
        <f>HYPERLINK("#'5.4.1.1-4 Atmos deposition'!A1", "5.4.1.1-4 Atmos. deposition")</f>
        <v>5.4.1.1-4 Atmos. deposition</v>
      </c>
      <c r="D28" s="25" t="str">
        <v>Nitrogen - Generic</v>
      </c>
      <c r="E28" s="25" cm="1">
        <f t="array" ref="E28">Fertiliser_InputFunctions.Fertiliser_TotalChemicalCompoundAppliedAllIngredients($D28,(Table_Input_InorganicFertiliser_Brands[Total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1936.8719999999998</v>
      </c>
      <c r="F28" s="25" cm="1">
        <f t="array" ref="F28">Common_InputFunctions.Utility_LookupValueInTableNumber(D28,Table_Fertiliser_ChemicalCompounds[Fertiliser type f],Table_Fertiliser_ChemicalCompounds[FU f])</f>
        <v>0</v>
      </c>
      <c r="G28" s="25" cm="1">
        <f t="array" ref="G28">Fertiliser_Equations_InorganicCO2.VEERG_5_1_1_3__2_MassOfUreaInInorganicFertiliser(E28,F28)</f>
        <v>0</v>
      </c>
    </row>
    <row r="29" spans="1:7" ht="20.100000000000001" customHeight="1" x14ac:dyDescent="0.25">
      <c r="A29" s="5" t="str">
        <f>HYPERLINK("#'5.5.1.1-2 Leaching and runoff'!A1", "5.5.1.1-2 Leaching &amp; runoff")</f>
        <v>5.5.1.1-2 Leaching &amp; runoff</v>
      </c>
      <c r="D29" s="25" t="str">
        <v>Phosphorus - Generic</v>
      </c>
      <c r="E29" s="25" cm="1">
        <f t="array" ref="E29">Fertiliser_InputFunctions.Fertiliser_TotalChemicalCompoundAppliedAllIngredients($D29,(Table_Input_InorganicFertiliser_Brands[Total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5887.1475</v>
      </c>
      <c r="F29" s="25" cm="1">
        <f t="array" ref="F29">Common_InputFunctions.Utility_LookupValueInTableNumber(D29,Table_Fertiliser_ChemicalCompounds[Fertiliser type f],Table_Fertiliser_ChemicalCompounds[FU f])</f>
        <v>0</v>
      </c>
      <c r="G29" s="25" cm="1">
        <f t="array" ref="G29">Fertiliser_Equations_InorganicCO2.VEERG_5_1_1_3__2_MassOfUreaInInorganicFertiliser(E29,F29)</f>
        <v>0</v>
      </c>
    </row>
    <row r="30" spans="1:7" ht="20.100000000000001" customHeight="1" x14ac:dyDescent="0.25">
      <c r="A30" s="5" t="str">
        <f>HYPERLINK("#'6.2.1.1-2 Pasture residue N2O'!A1", "6.2.1.1-2 Pasture residue N2O")</f>
        <v>6.2.1.1-2 Pasture residue N2O</v>
      </c>
      <c r="D30" s="25" t="str">
        <v>Potassium - Generic</v>
      </c>
      <c r="E30" s="25" cm="1">
        <f t="array" ref="E30">Fertiliser_InputFunctions.Fertiliser_TotalChemicalCompoundAppliedAllIngredients($D30,(Table_Input_InorganicFertiliser_Brands[Total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7239.08</v>
      </c>
      <c r="F30" s="25" cm="1">
        <f t="array" ref="F30">Common_InputFunctions.Utility_LookupValueInTableNumber(D30,Table_Fertiliser_ChemicalCompounds[Fertiliser type f],Table_Fertiliser_ChemicalCompounds[FU f])</f>
        <v>0</v>
      </c>
      <c r="G30" s="25" cm="1">
        <f t="array" ref="G30">Fertiliser_Equations_InorganicCO2.VEERG_5_1_1_3__2_MassOfUreaInInorganicFertiliser(E30,F30)</f>
        <v>0</v>
      </c>
    </row>
    <row r="31" spans="1:7" ht="20.100000000000001" customHeight="1" x14ac:dyDescent="0.25">
      <c r="A31" s="5" t="str">
        <f>HYPERLINK("#'6.3.1.1-2 Leach runoff pasture'!A1", "6.3.1.1-2 Leach &amp; runoff (pasture)")</f>
        <v>6.3.1.1-2 Leach &amp; runoff (pasture)</v>
      </c>
      <c r="D31" s="25" t="str">
        <v>Sulfur - Generic</v>
      </c>
      <c r="E31" s="25" cm="1">
        <f t="array" ref="E31">Fertiliser_InputFunctions.Fertiliser_TotalChemicalCompoundAppliedAllIngredients($D31,(Table_Input_InorganicFertiliser_Brands[Total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v>
      </c>
      <c r="F31" s="25" cm="1">
        <f t="array" ref="F31">Common_InputFunctions.Utility_LookupValueInTableNumber(D31,Table_Fertiliser_ChemicalCompounds[Fertiliser type f],Table_Fertiliser_ChemicalCompounds[FU f])</f>
        <v>0</v>
      </c>
      <c r="G31" s="25" cm="1">
        <f t="array" ref="G31">Fertiliser_Equations_InorganicCO2.VEERG_5_1_1_3__2_MassOfUreaInInorganicFertiliser(E31,F31)</f>
        <v>0</v>
      </c>
    </row>
    <row r="32" spans="1:7" ht="20.100000000000001" customHeight="1" x14ac:dyDescent="0.25">
      <c r="A32" s="5" t="str">
        <f>HYPERLINK("#'8.1.1.1-2 Transport fuel'!A1", "8.1.1.1-2 Transport fuel")</f>
        <v>8.1.1.1-2 Transport fuel</v>
      </c>
      <c r="D32" s="25" t="str">
        <v>Zinc - Generic</v>
      </c>
      <c r="E32" s="25" cm="1">
        <f t="array" ref="E32">Fertiliser_InputFunctions.Fertiliser_TotalChemicalCompoundAppliedAllIngredients($D32,(Table_Input_InorganicFertiliser_Brands[Total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2000</v>
      </c>
      <c r="F32" s="25" cm="1">
        <f t="array" ref="F32">Common_InputFunctions.Utility_LookupValueInTableNumber(D32,Table_Fertiliser_ChemicalCompounds[Fertiliser type f],Table_Fertiliser_ChemicalCompounds[FU f])</f>
        <v>0</v>
      </c>
      <c r="G32" s="25" cm="1">
        <f t="array" ref="G32">Fertiliser_Equations_InorganicCO2.VEERG_5_1_1_3__2_MassOfUreaInInorganicFertiliser(E32,F32)</f>
        <v>0</v>
      </c>
    </row>
    <row r="33" spans="1:12" ht="20.100000000000001" customHeight="1" x14ac:dyDescent="0.25">
      <c r="A33" s="5" t="str">
        <f>HYPERLINK("#'8.2.1.1-2 Stationary fuel'!A1", "8.2.1.1-2 Stationary fuel")</f>
        <v>8.2.1.1-2 Stationary fuel</v>
      </c>
      <c r="D33" s="25" t="str">
        <v>Muriate of potash (MOP)</v>
      </c>
      <c r="E33" s="25" cm="1">
        <f t="array" ref="E33">Fertiliser_InputFunctions.Fertiliser_TotalChemicalCompoundAppliedAllIngredients($D33,(Table_Input_InorganicFertiliser_Brands[Total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3" s="25" cm="1">
        <f t="array" ref="F33">Common_InputFunctions.Utility_LookupValueInTableNumber(D33,Table_Fertiliser_ChemicalCompounds[Fertiliser type f],Table_Fertiliser_ChemicalCompounds[FU f])</f>
        <v>0</v>
      </c>
      <c r="G33" s="25" cm="1">
        <f t="array" ref="G33">Fertiliser_Equations_InorganicCO2.VEERG_5_1_1_3__2_MassOfUreaInInorganicFertiliser(E33,F33)</f>
        <v>0</v>
      </c>
    </row>
    <row r="34" spans="1:12" ht="20.100000000000001" customHeight="1" x14ac:dyDescent="0.25">
      <c r="A34" s="5" t="str">
        <f>HYPERLINK("#'14.1.1-2 Purchased electricity'!A1", "14.1.1-2 Purchased electricity")</f>
        <v>14.1.1-2 Purchased electricity</v>
      </c>
      <c r="D34" s="25" t="str">
        <v>Double superphosphate</v>
      </c>
      <c r="E34" s="25" cm="1">
        <f t="array" ref="E34">Fertiliser_InputFunctions.Fertiliser_TotalChemicalCompoundAppliedAllIngredients($D34,(Table_Input_InorganicFertiliser_Brands[Total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4" s="25" cm="1">
        <f t="array" ref="F34">Common_InputFunctions.Utility_LookupValueInTableNumber(D34,Table_Fertiliser_ChemicalCompounds[Fertiliser type f],Table_Fertiliser_ChemicalCompounds[FU f])</f>
        <v>0</v>
      </c>
      <c r="G34" s="25" cm="1">
        <f t="array" ref="G34">Fertiliser_Equations_InorganicCO2.VEERG_5_1_1_3__2_MassOfUreaInInorganicFertiliser(E34,F34)</f>
        <v>0</v>
      </c>
    </row>
    <row r="35" spans="1:12" ht="20.100000000000001" customHeight="1" x14ac:dyDescent="0.25">
      <c r="D35" s="25" t="str">
        <v>Single superphosphate (SSP)</v>
      </c>
      <c r="E35" s="25" cm="1">
        <f t="array" ref="E35">Fertiliser_InputFunctions.Fertiliser_TotalChemicalCompoundAppliedAllIngredients($D35,(Table_Input_InorganicFertiliser_Brands[Total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5" s="25" cm="1">
        <f t="array" ref="F35">Common_InputFunctions.Utility_LookupValueInTableNumber(D35,Table_Fertiliser_ChemicalCompounds[Fertiliser type f],Table_Fertiliser_ChemicalCompounds[FU f])</f>
        <v>0</v>
      </c>
      <c r="G35" s="25" cm="1">
        <f t="array" ref="G35">Fertiliser_Equations_InorganicCO2.VEERG_5_1_1_3__2_MassOfUreaInInorganicFertiliser(E35,F35)</f>
        <v>0</v>
      </c>
    </row>
    <row r="36" spans="1:12" ht="20.100000000000001" customHeight="1" x14ac:dyDescent="0.25">
      <c r="D36" s="25" t="str">
        <v>Ammonia</v>
      </c>
      <c r="E36" s="25" cm="1">
        <f t="array" ref="E36">Fertiliser_InputFunctions.Fertiliser_TotalChemicalCompoundAppliedAllIngredients($D36,(Table_Input_InorganicFertiliser_Brands[Total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6" s="25" cm="1">
        <f t="array" ref="F36">Common_InputFunctions.Utility_LookupValueInTableNumber(D36,Table_Fertiliser_ChemicalCompounds[Fertiliser type f],Table_Fertiliser_ChemicalCompounds[FU f])</f>
        <v>0</v>
      </c>
      <c r="G36" s="25" cm="1">
        <f t="array" ref="G36">Fertiliser_Equations_InorganicCO2.VEERG_5_1_1_3__2_MassOfUreaInInorganicFertiliser(E36,F36)</f>
        <v>0</v>
      </c>
    </row>
    <row r="37" spans="1:12" ht="20.100000000000001" customHeight="1" x14ac:dyDescent="0.25">
      <c r="A37" s="251" t="s">
        <v>1</v>
      </c>
      <c r="D37" s="25" t="str">
        <v>Calcium nitrate</v>
      </c>
      <c r="E37" s="25" cm="1">
        <f t="array" ref="E37">Fertiliser_InputFunctions.Fertiliser_TotalChemicalCompoundAppliedAllIngredients($D37,(Table_Input_InorganicFertiliser_Brands[Total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7" s="25" cm="1">
        <f t="array" ref="F37">Common_InputFunctions.Utility_LookupValueInTableNumber(D37,Table_Fertiliser_ChemicalCompounds[Fertiliser type f],Table_Fertiliser_ChemicalCompounds[FU f])</f>
        <v>0</v>
      </c>
      <c r="G37" s="25" cm="1">
        <f t="array" ref="G37">Fertiliser_Equations_InorganicCO2.VEERG_5_1_1_3__2_MassOfUreaInInorganicFertiliser(E37,F37)</f>
        <v>0</v>
      </c>
    </row>
    <row r="38" spans="1:12" ht="20.100000000000001" customHeight="1" x14ac:dyDescent="0.25">
      <c r="A38" s="5" t="str">
        <f>HYPERLINK("#'Constants - Pasture Beef'!A1", "Constants - Pasture Beef")</f>
        <v>Constants - Pasture Beef</v>
      </c>
    </row>
    <row r="39" spans="1:12" ht="20.100000000000001" customHeight="1" x14ac:dyDescent="0.25">
      <c r="A39" s="5" t="str">
        <f>HYPERLINK("#'Constants - Ag Residue'!A1", "Constants - Ag residue")</f>
        <v>Constants - Ag residue</v>
      </c>
    </row>
    <row r="40" spans="1:12" ht="20.100000000000001" customHeight="1" x14ac:dyDescent="0.25">
      <c r="A40" s="5" t="str">
        <f>HYPERLINK("#'Constants - Common Livestock'!A1", "Constants - Common Livestock")</f>
        <v>Constants - Common Livestock</v>
      </c>
      <c r="C40" s="118"/>
      <c r="D40" s="118"/>
      <c r="E40" s="118"/>
      <c r="F40" s="118"/>
      <c r="G40" s="118"/>
      <c r="H40" s="118"/>
      <c r="I40" s="118"/>
      <c r="J40" s="118"/>
      <c r="K40" s="118"/>
      <c r="L40" s="118"/>
    </row>
    <row r="41" spans="1:12" ht="20.100000000000001" customHeight="1" x14ac:dyDescent="0.25">
      <c r="A41" s="5" t="str">
        <f>HYPERLINK("#'Constants - Electricity'!A1", "Constants - Electricity")</f>
        <v>Constants - Electricity</v>
      </c>
      <c r="D41" s="2" t="str" cm="1">
        <f t="array" ref="D41">Fertiliser_Equations_InorganicCO2.VEERG_5_1_1_3__1_InorganicFertiliserApplicationCO2Emissions_Title()</f>
        <v>Carbon dioxide emissions resulting from the use of all inorganic, urea-based fertilisers</v>
      </c>
    </row>
    <row r="42" spans="1:12" ht="20.100000000000001" customHeight="1" x14ac:dyDescent="0.25">
      <c r="A42" s="5" t="str">
        <f>HYPERLINK("#'Constants - Fertiliser'!A1", "Constants - Fertiliser")</f>
        <v>Constants - Fertiliser</v>
      </c>
      <c r="D42" s="27" t="str" cm="1">
        <f t="array" ref="D42">Fertiliser_Equations_InorganicCO2.VEERG_5_1_1_3__1_InorganicFertiliserApplicationCO2Emissions_Source()</f>
        <v>VEERG 2026: 5.1.1.3, Equation (1)</v>
      </c>
    </row>
    <row r="43" spans="1:12" ht="20.100000000000001" customHeight="1" x14ac:dyDescent="0.25">
      <c r="A43" s="5" t="str">
        <f>HYPERLINK("#'Constants - Fuel'!A1", "Constants - Fuel")</f>
        <v>Constants - Fuel</v>
      </c>
      <c r="D43" s="105" t="s">
        <v>261</v>
      </c>
      <c r="E43" s="105" t="str" cm="1">
        <f t="array" aca="1" ref="E43" ca="1">Common_InputFunctions.Utility_DisplayFunctionName(E58)</f>
        <v>=Fertiliser_Equations_InorganicCO2.VEERG_5_1_1_3__1_InorganicFertiliserApplicationCO2Emissions</v>
      </c>
    </row>
    <row r="44" spans="1:12" ht="20.100000000000001" customHeight="1" x14ac:dyDescent="0.25">
      <c r="A44" s="5" t="str">
        <f>HYPERLINK("#'Constants - Common'!A1", "Constants - Common")</f>
        <v>Constants - Common</v>
      </c>
    </row>
    <row r="45" spans="1:12" ht="20.100000000000001" customHeight="1" x14ac:dyDescent="0.25">
      <c r="A45" s="5" t="str">
        <f>HYPERLINK("#'Acknowledgements'!A1", "Acknowledgements")</f>
        <v>Acknowledgements</v>
      </c>
    </row>
    <row r="46" spans="1:12" ht="20.100000000000001" customHeight="1" x14ac:dyDescent="0.25">
      <c r="A46" s="5" t="str">
        <f>HYPERLINK("#'Overview'!A1", "Overview")</f>
        <v>Overview</v>
      </c>
      <c r="D46" s="88" t="s">
        <v>263</v>
      </c>
      <c r="E46" s="1" t="str" cm="1">
        <f t="array" ref="E46">Fertiliser_Equations_InorganicCO2.VEERG_5_1_1_3__1_InorganicFertiliserApplicationCO2Emissions_Variable()</f>
        <v>E_CO2</v>
      </c>
    </row>
    <row r="47" spans="1:12" ht="20.100000000000001" customHeight="1" x14ac:dyDescent="0.25">
      <c r="D47" s="88" t="s">
        <v>130</v>
      </c>
      <c r="E47" s="15" t="str" cm="1">
        <f t="array" ref="E47">Fertiliser_Equations_InorganicCO2.VEERG_5_1_1_3__1_InorganicFertiliserApplicationCO2Emissions_Unit()</f>
        <v>t CO2</v>
      </c>
    </row>
    <row r="48" spans="1:12" ht="20.100000000000001" customHeight="1" x14ac:dyDescent="0.25"/>
    <row r="49" spans="4:9" ht="20.100000000000001" customHeight="1" x14ac:dyDescent="0.25">
      <c r="D49" s="122" t="str" cm="1">
        <f t="array" ref="D49:E53">_xlfn.CHOOSECOLS(Fertiliser_Equations_InorganicCO2.VEERG_5_1_1_3__1_InorganicFertiliserApplicationCO2Emissions_Arguments(), 1, 2)</f>
        <v>MU_jf</v>
      </c>
      <c r="E49" s="123" t="str">
        <v>mass of urea of inorganic fertiliser type f applied to production system j</v>
      </c>
      <c r="F49" s="172"/>
      <c r="G49" s="122" t="str" cm="1">
        <f t="array" ref="G49:H53">_xlfn.CHOOSECOLS(Fertiliser_Equations_InorganicCO2.VEERG_5_1_1_3__1_InorganicFertiliserApplicationCO2Emissions_Arguments(), 3,4)</f>
        <v>kg urea</v>
      </c>
      <c r="H49" s="112" t="str">
        <v>Calculated</v>
      </c>
      <c r="I49" s="113" t="str" cm="1">
        <f t="array" aca="1" ref="I49" ca="1">HYPERLINK(Common_InputFunctions.Utility_SourceHyperlink($D$16), $D$16)</f>
        <v>Table_MU_j_f</v>
      </c>
    </row>
    <row r="50" spans="4:9" ht="20.100000000000001" customHeight="1" x14ac:dyDescent="0.25">
      <c r="D50" s="122" t="str">
        <v>EF_ureaCO2</v>
      </c>
      <c r="E50" s="123" t="str">
        <v>emission factor for carbon emissions from urea-based fertilisers</v>
      </c>
      <c r="F50" s="172"/>
      <c r="G50" s="122" t="str">
        <v>kg C/kg urea</v>
      </c>
      <c r="H50" s="112" t="str">
        <v>Constant</v>
      </c>
      <c r="I50" s="122">
        <f>'Constants - Fertiliser'!$E$60</f>
        <v>0.2</v>
      </c>
    </row>
    <row r="51" spans="4:9" ht="20.100000000000001" customHeight="1" x14ac:dyDescent="0.25">
      <c r="D51" s="122" t="str">
        <v>C_CO2</v>
      </c>
      <c r="E51" s="123" t="str">
        <v>factor to convert elemental mass of carbon to molecular mass of carbon dioxide</v>
      </c>
      <c r="F51" s="172"/>
      <c r="G51" s="122" t="str">
        <v/>
      </c>
      <c r="H51" s="112" t="str">
        <v>Constant</v>
      </c>
      <c r="I51" s="122">
        <f>Common_InputFunctions.Utility_LookupValueInTableNumber("CO2",Table_GasToMolecularConversionFactor[Gas], Table_GasToMolecularConversionFactor[Conversion factor combined])</f>
        <v>3.6666666666666665</v>
      </c>
    </row>
    <row r="52" spans="4:9" ht="20.100000000000001" customHeight="1" x14ac:dyDescent="0.25">
      <c r="D52" s="122" t="str">
        <v>j</v>
      </c>
      <c r="E52" s="123" t="str">
        <v>Production system</v>
      </c>
      <c r="F52" s="172"/>
      <c r="G52" s="122" t="str">
        <v/>
      </c>
      <c r="H52" s="111" t="str">
        <v>Input</v>
      </c>
      <c r="I52" s="122" t="str">
        <f>X_Cell_Fertiliser_ProductionSystem</f>
        <v>Crop</v>
      </c>
    </row>
    <row r="53" spans="4:9" ht="20.100000000000001" customHeight="1" x14ac:dyDescent="0.25">
      <c r="D53" s="122" t="str">
        <v>f</v>
      </c>
      <c r="E53" s="123" t="str">
        <v>Inorganic fertiliser type</v>
      </c>
      <c r="F53" s="172"/>
      <c r="G53" s="122" t="str">
        <v/>
      </c>
      <c r="H53" s="112" t="str">
        <v>Lookup</v>
      </c>
      <c r="I53" s="113" t="str" cm="1">
        <f t="array" aca="1" ref="I53" ca="1">HYPERLINK(Common_InputFunctions.Utility_SourceHyperlink($D$16), $D$16)</f>
        <v>Table_MU_j_f</v>
      </c>
    </row>
    <row r="54" spans="4:9" ht="20.100000000000001" customHeight="1" x14ac:dyDescent="0.25"/>
    <row r="55" spans="4:9" ht="20.100000000000001" customHeight="1" x14ac:dyDescent="0.25">
      <c r="D55" s="114" t="s">
        <v>574</v>
      </c>
    </row>
    <row r="56" spans="4:9" ht="20.100000000000001" customHeight="1" x14ac:dyDescent="0.25">
      <c r="D56" s="115" t="s">
        <v>575</v>
      </c>
    </row>
    <row r="57" spans="4:9" ht="20.100000000000001" customHeight="1" x14ac:dyDescent="0.25">
      <c r="D57" s="116" t="s">
        <v>543</v>
      </c>
      <c r="E57" s="116" t="s">
        <v>565</v>
      </c>
    </row>
    <row r="58" spans="4:9" ht="20.100000000000001" customHeight="1" x14ac:dyDescent="0.25">
      <c r="D58" s="25" t="str" cm="1">
        <f t="array" ref="D58:D76">Table_Fertiliser_ChemicalCompounds[Fertiliser type f]</f>
        <v>Monoammonium phosphate (MAP)</v>
      </c>
      <c r="E58" s="25" cm="1">
        <f t="array" ref="E58">Fertiliser_Equations_InorganicCO2.VEERG_5_1_1_3__1_InorganicFertiliserApplicationCO2Emissions(G19,$I$50,$I$51)</f>
        <v>0</v>
      </c>
      <c r="F58" s="26" t="str">
        <f>$E$47</f>
        <v>t CO2</v>
      </c>
    </row>
    <row r="59" spans="4:9" ht="20.100000000000001" customHeight="1" x14ac:dyDescent="0.25">
      <c r="D59" s="25" t="str">
        <v>Diammonium phosphate (DAP)</v>
      </c>
      <c r="E59" s="25" cm="1">
        <f t="array" ref="E59">Fertiliser_Equations_InorganicCO2.VEERG_5_1_1_3__1_InorganicFertiliserApplicationCO2Emissions(G20,$I$50,$I$51)</f>
        <v>0</v>
      </c>
    </row>
    <row r="60" spans="4:9" ht="20.100000000000001" customHeight="1" x14ac:dyDescent="0.25">
      <c r="D60" s="25" t="str">
        <v>Urea</v>
      </c>
      <c r="E60" s="25" cm="1">
        <f t="array" ref="E60">Fertiliser_Equations_InorganicCO2.VEERG_5_1_1_3__1_InorganicFertiliserApplicationCO2Emissions(G21,$I$50,$I$51)</f>
        <v>7.333333333333333</v>
      </c>
    </row>
    <row r="61" spans="4:9" ht="20.100000000000001" customHeight="1" x14ac:dyDescent="0.25">
      <c r="D61" s="25" t="str">
        <v>Sulphate of ammonia (SOA)</v>
      </c>
      <c r="E61" s="25" cm="1">
        <f t="array" ref="E61">Fertiliser_Equations_InorganicCO2.VEERG_5_1_1_3__1_InorganicFertiliserApplicationCO2Emissions(G22,$I$50,$I$51)</f>
        <v>0</v>
      </c>
    </row>
    <row r="62" spans="4:9" ht="20.100000000000001" customHeight="1" x14ac:dyDescent="0.25">
      <c r="D62" s="25" t="str">
        <v>Urea-ammonium nitrate (UAN)</v>
      </c>
      <c r="E62" s="25" cm="1">
        <f t="array" ref="E62">Fertiliser_Equations_InorganicCO2.VEERG_5_1_1_3__1_InorganicFertiliserApplicationCO2Emissions(G23,$I$50,$I$51)</f>
        <v>0</v>
      </c>
    </row>
    <row r="63" spans="4:9" ht="20.100000000000001" customHeight="1" x14ac:dyDescent="0.25">
      <c r="D63" s="25" t="str">
        <v>Ammonium nitrate (AN)</v>
      </c>
      <c r="E63" s="25" cm="1">
        <f t="array" ref="E63">Fertiliser_Equations_InorganicCO2.VEERG_5_1_1_3__1_InorganicFertiliserApplicationCO2Emissions(G24,$I$50,$I$51)</f>
        <v>0</v>
      </c>
    </row>
    <row r="64" spans="4:9" ht="20.100000000000001" customHeight="1" x14ac:dyDescent="0.25">
      <c r="D64" s="25" t="str">
        <v>Calcium ammonium nitrate (CAN)</v>
      </c>
      <c r="E64" s="25" cm="1">
        <f t="array" ref="E64">Fertiliser_Equations_InorganicCO2.VEERG_5_1_1_3__1_InorganicFertiliserApplicationCO2Emissions(G25,$I$50,$I$51)</f>
        <v>0</v>
      </c>
    </row>
    <row r="65" spans="4:6" ht="20.100000000000001" customHeight="1" x14ac:dyDescent="0.25">
      <c r="D65" s="25" t="str">
        <v>Nitrogen - Ammoniacal</v>
      </c>
      <c r="E65" s="25" cm="1">
        <f t="array" ref="E65">Fertiliser_Equations_InorganicCO2.VEERG_5_1_1_3__1_InorganicFertiliserApplicationCO2Emissions(G26,$I$50,$I$51)</f>
        <v>0</v>
      </c>
    </row>
    <row r="66" spans="4:6" ht="20.100000000000001" customHeight="1" x14ac:dyDescent="0.25">
      <c r="D66" s="25" t="str">
        <v>Nitrogen - Nitrate</v>
      </c>
      <c r="E66" s="25" cm="1">
        <f t="array" ref="E66">Fertiliser_Equations_InorganicCO2.VEERG_5_1_1_3__1_InorganicFertiliserApplicationCO2Emissions(G27,$I$50,$I$51)</f>
        <v>0</v>
      </c>
    </row>
    <row r="67" spans="4:6" ht="20.100000000000001" customHeight="1" x14ac:dyDescent="0.25">
      <c r="D67" s="25" t="str">
        <v>Nitrogen - Generic</v>
      </c>
      <c r="E67" s="25" cm="1">
        <f t="array" ref="E67">Fertiliser_Equations_InorganicCO2.VEERG_5_1_1_3__1_InorganicFertiliserApplicationCO2Emissions(G28,$I$50,$I$51)</f>
        <v>0</v>
      </c>
    </row>
    <row r="68" spans="4:6" ht="20.100000000000001" customHeight="1" x14ac:dyDescent="0.25">
      <c r="D68" s="25" t="str">
        <v>Phosphorus - Generic</v>
      </c>
      <c r="E68" s="25" cm="1">
        <f t="array" ref="E68">Fertiliser_Equations_InorganicCO2.VEERG_5_1_1_3__1_InorganicFertiliserApplicationCO2Emissions(G29,$I$50,$I$51)</f>
        <v>0</v>
      </c>
    </row>
    <row r="69" spans="4:6" ht="20.100000000000001" customHeight="1" x14ac:dyDescent="0.25">
      <c r="D69" s="25" t="str">
        <v>Potassium - Generic</v>
      </c>
      <c r="E69" s="25" cm="1">
        <f t="array" ref="E69">Fertiliser_Equations_InorganicCO2.VEERG_5_1_1_3__1_InorganicFertiliserApplicationCO2Emissions(G30,$I$50,$I$51)</f>
        <v>0</v>
      </c>
    </row>
    <row r="70" spans="4:6" ht="20.100000000000001" customHeight="1" x14ac:dyDescent="0.25">
      <c r="D70" s="25" t="str">
        <v>Sulfur - Generic</v>
      </c>
      <c r="E70" s="25" cm="1">
        <f t="array" ref="E70">Fertiliser_Equations_InorganicCO2.VEERG_5_1_1_3__1_InorganicFertiliserApplicationCO2Emissions(G31,$I$50,$I$51)</f>
        <v>0</v>
      </c>
    </row>
    <row r="71" spans="4:6" ht="20.100000000000001" customHeight="1" x14ac:dyDescent="0.25">
      <c r="D71" s="25" t="str">
        <v>Zinc - Generic</v>
      </c>
      <c r="E71" s="25" cm="1">
        <f t="array" ref="E71">Fertiliser_Equations_InorganicCO2.VEERG_5_1_1_3__1_InorganicFertiliserApplicationCO2Emissions(G32,$I$50,$I$51)</f>
        <v>0</v>
      </c>
    </row>
    <row r="72" spans="4:6" ht="20.100000000000001" customHeight="1" x14ac:dyDescent="0.25">
      <c r="D72" s="25" t="str">
        <v>Muriate of potash (MOP)</v>
      </c>
      <c r="E72" s="25" cm="1">
        <f t="array" ref="E72">Fertiliser_Equations_InorganicCO2.VEERG_5_1_1_3__1_InorganicFertiliserApplicationCO2Emissions(G33,$I$50,$I$51)</f>
        <v>0</v>
      </c>
    </row>
    <row r="73" spans="4:6" ht="20.100000000000001" customHeight="1" x14ac:dyDescent="0.25">
      <c r="D73" s="25" t="str">
        <v>Double superphosphate</v>
      </c>
      <c r="E73" s="25" cm="1">
        <f t="array" ref="E73">Fertiliser_Equations_InorganicCO2.VEERG_5_1_1_3__1_InorganicFertiliserApplicationCO2Emissions(G34,$I$50,$I$51)</f>
        <v>0</v>
      </c>
    </row>
    <row r="74" spans="4:6" ht="20.100000000000001" customHeight="1" x14ac:dyDescent="0.25">
      <c r="D74" s="25" t="str">
        <v>Single superphosphate (SSP)</v>
      </c>
      <c r="E74" s="25" cm="1">
        <f t="array" ref="E74">Fertiliser_Equations_InorganicCO2.VEERG_5_1_1_3__1_InorganicFertiliserApplicationCO2Emissions(G35,$I$50,$I$51)</f>
        <v>0</v>
      </c>
    </row>
    <row r="75" spans="4:6" ht="20.100000000000001" customHeight="1" x14ac:dyDescent="0.25">
      <c r="D75" s="25" t="str">
        <v>Ammonia</v>
      </c>
      <c r="E75" s="25" cm="1">
        <f t="array" ref="E75">Fertiliser_Equations_InorganicCO2.VEERG_5_1_1_3__1_InorganicFertiliserApplicationCO2Emissions(G36,$I$50,$I$51)</f>
        <v>0</v>
      </c>
    </row>
    <row r="76" spans="4:6" ht="20.100000000000001" customHeight="1" x14ac:dyDescent="0.25">
      <c r="D76" s="25" t="str">
        <v>Calcium nitrate</v>
      </c>
      <c r="E76" s="25" cm="1">
        <f t="array" ref="E76">Fertiliser_Equations_InorganicCO2.VEERG_5_1_1_3__1_InorganicFertiliserApplicationCO2Emissions(G37,$I$50,$I$51)</f>
        <v>0</v>
      </c>
    </row>
    <row r="77" spans="4:6" ht="20.100000000000001" customHeight="1" x14ac:dyDescent="0.25"/>
    <row r="78" spans="4:6" ht="20.100000000000001" customHeight="1" x14ac:dyDescent="0.25">
      <c r="D78" s="119" t="s">
        <v>576</v>
      </c>
      <c r="E78" s="120">
        <f>SUM(E58:E76)</f>
        <v>7.333333333333333</v>
      </c>
      <c r="F78" s="121" t="str">
        <f>$E$47</f>
        <v>t CO2</v>
      </c>
    </row>
    <row r="79" spans="4:6" ht="20.100000000000001" customHeight="1" x14ac:dyDescent="0.25"/>
    <row r="80" spans="4:6"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62A99-4E8B-48B4-ACB9-6318291FE0DB}">
  <dimension ref="A1:U165"/>
  <sheetViews>
    <sheetView showGridLines="0" topLeftCell="A39" workbookViewId="0">
      <selection activeCell="A46" sqref="A46"/>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31" customFormat="1" ht="30" customHeight="1" x14ac:dyDescent="0.35">
      <c r="A1" s="16" t="e" vm="1">
        <v>#VALUE!</v>
      </c>
      <c r="C1" s="31" t="s">
        <v>577</v>
      </c>
    </row>
    <row r="2" spans="1:21" s="3" customFormat="1" ht="20.100000000000001" customHeight="1" x14ac:dyDescent="0.25">
      <c r="A2"/>
    </row>
    <row r="3" spans="1:21" ht="20.100000000000001" customHeight="1" x14ac:dyDescent="0.25">
      <c r="A3" s="5" t="str">
        <f>HYPERLINK("#'Home'!A1", "Home")</f>
        <v>Home</v>
      </c>
      <c r="C3" s="33"/>
      <c r="D3" s="33" t="s">
        <v>149</v>
      </c>
      <c r="E3" s="33"/>
      <c r="F3" s="33"/>
      <c r="G3" s="33"/>
      <c r="H3" s="33"/>
      <c r="I3" s="33"/>
      <c r="J3" s="33"/>
      <c r="K3" s="33"/>
      <c r="L3" s="33"/>
      <c r="N3" s="33"/>
      <c r="O3" s="33" t="s">
        <v>150</v>
      </c>
      <c r="P3" s="33"/>
      <c r="Q3" s="33"/>
      <c r="R3" s="33"/>
      <c r="S3" s="33"/>
      <c r="T3" s="33"/>
      <c r="U3" s="33"/>
    </row>
    <row r="4" spans="1:21" ht="20.100000000000001" customHeight="1" x14ac:dyDescent="0.25">
      <c r="A4" s="5" t="str">
        <f>HYPERLINK("#'Results'!A1", "Results")</f>
        <v>Results</v>
      </c>
    </row>
    <row r="5" spans="1:21" ht="20.100000000000001" customHeight="1" x14ac:dyDescent="0.25">
      <c r="D5" s="2" t="str" cm="1">
        <f t="array" ref="D5">Fertiliser_Equations_OrganicN2O.VEERG_5_2_1_1__2_MassOfNitrogenInOrganicFertiliser_Title()</f>
        <v>Mass of nitrogen in purchased organic fertilisers applied to production system</v>
      </c>
    </row>
    <row r="6" spans="1:21" ht="20.100000000000001" customHeight="1" x14ac:dyDescent="0.25">
      <c r="D6" s="27" t="str" cm="1">
        <f t="array" ref="D6">Fertiliser_Equations_OrganicN2O.VEERG_5_2_1_1__2_MassOfNitrogenInOrganicFertiliser_Source()</f>
        <v>VEERG 2026: 5.2.1.1, Equation (2)</v>
      </c>
    </row>
    <row r="7" spans="1:21" ht="20.100000000000001" customHeight="1" x14ac:dyDescent="0.25">
      <c r="A7" s="7" t="s">
        <v>0</v>
      </c>
      <c r="D7" s="105" t="s">
        <v>261</v>
      </c>
      <c r="E7" s="105" t="str" cm="1">
        <f t="array" aca="1" ref="E7" ca="1">Common_InputFunctions.Utility_DisplayFunctionName($I$20)</f>
        <v>=Fertiliser_Equations_OrganicN2O.VEERG_5_2_1_1__2_MassOfNitrogenInOrganicFertiliser</v>
      </c>
    </row>
    <row r="8" spans="1:21" ht="20.100000000000001" customHeight="1" x14ac:dyDescent="0.25">
      <c r="A8" s="5" t="str">
        <f>HYPERLINK("#'Input - Enterprise'!A1", "Enterprise")</f>
        <v>Enterprise</v>
      </c>
    </row>
    <row r="9" spans="1:21" ht="20.100000000000001" customHeight="1" x14ac:dyDescent="0.25">
      <c r="A9" s="5" t="str">
        <f>HYPERLINK("#'Input - Site'!A1", "Site")</f>
        <v>Site</v>
      </c>
    </row>
    <row r="10" spans="1:21" ht="20.100000000000001" customHeight="1" x14ac:dyDescent="0.25">
      <c r="A10" s="5" t="str">
        <f>HYPERLINK("#'Input - Pasture Beef'!A1", "Pasture Beef")</f>
        <v>Pasture Beef</v>
      </c>
      <c r="D10" s="88" t="s">
        <v>263</v>
      </c>
      <c r="E10" s="1" t="str" cm="1">
        <f t="array" ref="E10">Fertiliser_Equations_OrganicN2O.VEERG_5_2_1_1__2_MassOfNitrogenInOrganicFertiliser_Variable()</f>
        <v>MNSoil_jf</v>
      </c>
    </row>
    <row r="11" spans="1:21" ht="20.100000000000001" customHeight="1" x14ac:dyDescent="0.25">
      <c r="A11" s="5" t="str">
        <f>HYPERLINK("#'Input - Pasture Beef (Enteric)'!A1", "Pasture Beef (Enteric)")</f>
        <v>Pasture Beef (Enteric)</v>
      </c>
      <c r="D11" s="88" t="s">
        <v>130</v>
      </c>
      <c r="E11" s="15" t="str" cm="1">
        <f t="array" ref="E11">Fertiliser_Equations_OrganicN2O.VEERG_5_2_1_1__2_MassOfNitrogenInOrganicFertiliser_Unit()</f>
        <v>kg N</v>
      </c>
    </row>
    <row r="12" spans="1:21" ht="20.100000000000001" customHeight="1" x14ac:dyDescent="0.25">
      <c r="A12" s="5" t="str">
        <f>HYPERLINK("#'Input - Pasture'!A1", "Pasture")</f>
        <v>Pasture</v>
      </c>
    </row>
    <row r="13" spans="1:21" ht="20.100000000000001" customHeight="1" x14ac:dyDescent="0.25">
      <c r="A13" s="5" t="str">
        <f>HYPERLINK("#'Input - Fertiliser'!A1", "Fertiliser")</f>
        <v>Fertiliser</v>
      </c>
      <c r="D13" s="122" t="str" cm="1">
        <f t="array" ref="D13:E15">_xlfn.CHOOSECOLS(Fertiliser_Equations_OrganicN2O.VEERG_5_2_1_1__2_MassOfNitrogenInOrganicFertiliser_Arguments(), 1, 2)</f>
        <v>M_organicjf</v>
      </c>
      <c r="E13" s="123" t="str">
        <v>mass of organic fertiliser type f applied to production system j</v>
      </c>
      <c r="F13" s="172"/>
      <c r="G13" s="107" t="str" cm="1">
        <f t="array" ref="G13:H15">_xlfn.CHOOSECOLS(Fertiliser_Equations_OrganicN2O.VEERG_5_2_1_1__2_MassOfNitrogenInOrganicFertiliser_Arguments(), 3,4)</f>
        <v>kg</v>
      </c>
      <c r="H13" s="111" t="str">
        <v>Input</v>
      </c>
      <c r="I13" s="113" t="str" cm="1">
        <f t="array" aca="1" ref="I13" ca="1">HYPERLINK(Common_InputFunctions.Utility_SourceHyperlink($D$17), $D$17)</f>
        <v>Table_MNSoil_j_f</v>
      </c>
    </row>
    <row r="14" spans="1:21" ht="20.100000000000001" customHeight="1" x14ac:dyDescent="0.25">
      <c r="A14" s="5" t="str">
        <f>HYPERLINK("#'Input - Fuel'!A1", "Fuel")</f>
        <v>Fuel</v>
      </c>
      <c r="D14" s="122" t="str">
        <v>FN_organicf</v>
      </c>
      <c r="E14" s="123" t="str">
        <v>nitrogen fraction of organic fertiliser type f</v>
      </c>
      <c r="F14" s="172"/>
      <c r="G14" s="107" t="str">
        <v>kg N/kg</v>
      </c>
      <c r="H14" s="111" t="str">
        <v>Input</v>
      </c>
      <c r="I14" s="113" t="str" cm="1">
        <f t="array" aca="1" ref="I14" ca="1">HYPERLINK(Common_InputFunctions.Utility_SourceHyperlink($D$17), $D$17)</f>
        <v>Table_MNSoil_j_f</v>
      </c>
    </row>
    <row r="15" spans="1:21" ht="20.100000000000001" customHeight="1" x14ac:dyDescent="0.25">
      <c r="A15" s="5" t="str">
        <f>HYPERLINK("#'Input - Electricity'!A1", "Electricity")</f>
        <v>Electricity</v>
      </c>
      <c r="D15" s="122" t="str">
        <v>f</v>
      </c>
      <c r="E15" s="123" t="str">
        <v>Organic fertiliser type</v>
      </c>
      <c r="F15" s="172"/>
      <c r="G15" s="107" t="str">
        <v/>
      </c>
      <c r="H15" s="111" t="str">
        <v>Input</v>
      </c>
      <c r="I15" s="113" t="str" cm="1">
        <f t="array" aca="1" ref="I15" ca="1">HYPERLINK(Common_InputFunctions.Utility_SourceHyperlink($D$17), $D$17)</f>
        <v>Table_MNSoil_j_f</v>
      </c>
    </row>
    <row r="16" spans="1:21" ht="20.100000000000001" customHeight="1" x14ac:dyDescent="0.25"/>
    <row r="17" spans="1:10" ht="20.100000000000001" customHeight="1" x14ac:dyDescent="0.25">
      <c r="D17" s="114" t="s">
        <v>578</v>
      </c>
    </row>
    <row r="18" spans="1:10" ht="20.100000000000001" customHeight="1" x14ac:dyDescent="0.25">
      <c r="A18" s="6" t="s">
        <v>2</v>
      </c>
      <c r="D18" s="115" t="s">
        <v>579</v>
      </c>
    </row>
    <row r="19" spans="1:10" ht="20.100000000000001" customHeight="1" x14ac:dyDescent="0.25">
      <c r="A19" s="5" t="str">
        <f>HYPERLINK("#'3.2.1.1-2 Enteric Methane'!A1", "3.2.1.1-2 Enteric methane")</f>
        <v>3.2.1.1-2 Enteric methane</v>
      </c>
      <c r="D19" s="117" t="s">
        <v>580</v>
      </c>
      <c r="E19" s="117" t="s">
        <v>581</v>
      </c>
      <c r="F19" s="117" t="s">
        <v>482</v>
      </c>
      <c r="G19" s="174" t="s">
        <v>582</v>
      </c>
      <c r="H19" s="174" t="s">
        <v>583</v>
      </c>
      <c r="I19" s="174" t="s">
        <v>584</v>
      </c>
    </row>
    <row r="20" spans="1:10" ht="20.100000000000001" customHeight="1" x14ac:dyDescent="0.25">
      <c r="A20" s="5" t="str">
        <f>HYPERLINK("#'4.2.1.1-2 Methane'!A1", "4.2.1.1-2 Manure methane")</f>
        <v>4.2.1.1-2 Manure methane</v>
      </c>
      <c r="D20" s="25" t="str" cm="1">
        <f t="array" ref="D20:D22">Table_Input_OrganicFertiliser[Organic fertiliser type (select)]</f>
        <v>Manure - Other</v>
      </c>
      <c r="E20" s="175" cm="1">
        <f t="array" ref="E20:E22">Table_Input_OrganicFertiliser[Amount applied (kg/hectare)]</f>
        <v>10</v>
      </c>
      <c r="F20" s="175" cm="1">
        <f t="array" ref="F20:F22">Table_Input_OrganicFertiliser[Application area (ha)]</f>
        <v>100</v>
      </c>
      <c r="G20" s="25" cm="1">
        <f t="array" ref="G20:G22">Table_Input_OrganicFertiliser[Amount applied (kg/hectare)]*Table_Input_OrganicFertiliser[Application area (ha)]</f>
        <v>1000</v>
      </c>
      <c r="H20" s="176" cm="1">
        <f t="array" ref="H20:H22">Table_Input_OrganicFertiliser[Percentage of N in fertiliser]</f>
        <v>0.3</v>
      </c>
      <c r="I20" s="25" cm="1">
        <f t="array" ref="I20">Fertiliser_Equations_OrganicN2O.VEERG_5_2_1_1__2_MassOfNitrogenInOrganicFertiliser(G20,H20)</f>
        <v>300</v>
      </c>
    </row>
    <row r="21" spans="1:10" ht="20.100000000000001" customHeight="1" x14ac:dyDescent="0.25">
      <c r="A21" s="5" t="str">
        <f>HYPERLINK("#'4.2.1.3-4 Soil direct N20'!A1", "4.2.1.3-4 Soil direct N2O")</f>
        <v>4.2.1.3-4 Soil direct N2O</v>
      </c>
      <c r="D21" s="25" t="str">
        <v>Manure - Poultry</v>
      </c>
      <c r="E21" s="25">
        <v>10</v>
      </c>
      <c r="F21" s="25">
        <v>100</v>
      </c>
      <c r="G21" s="25">
        <v>1000</v>
      </c>
      <c r="H21" s="25">
        <v>0.25</v>
      </c>
      <c r="I21" s="25" cm="1">
        <f t="array" ref="I21">Fertiliser_Equations_Organic.VEERG_5_2_1_1__2_MassOfNitrogenInOrganicFertiliser(G21,H21)</f>
        <v>250</v>
      </c>
    </row>
    <row r="22" spans="1:10" ht="20.100000000000001" customHeight="1" x14ac:dyDescent="0.25">
      <c r="A22" s="5" t="str">
        <f>HYPERLINK("#'4.2.1.5-6 Soil Atmos Dep'!A1", "4.2.1.5-6 Soil atm. deposition")</f>
        <v>4.2.1.5-6 Soil atm. deposition</v>
      </c>
      <c r="D22" s="25" t="str">
        <v>Other organic fertiliser</v>
      </c>
      <c r="E22" s="25">
        <v>10</v>
      </c>
      <c r="F22" s="25">
        <v>100</v>
      </c>
      <c r="G22" s="25">
        <v>1000</v>
      </c>
      <c r="H22" s="25">
        <v>0.16</v>
      </c>
      <c r="I22" s="25" cm="1">
        <f t="array" ref="I22">Fertiliser_Equations_Organic.VEERG_5_2_1_1__2_MassOfNitrogenInOrganicFertiliser(G22,H22)</f>
        <v>160</v>
      </c>
    </row>
    <row r="23" spans="1:10" ht="20.100000000000001" customHeight="1" x14ac:dyDescent="0.25">
      <c r="A23" s="5" t="str">
        <f>HYPERLINK("#'4.2.1.7-8 Soil leach runoff'!A1", "4.2.1.7-8 Soil leach &amp; runoff")</f>
        <v>4.2.1.7-8 Soil leach &amp; runoff</v>
      </c>
      <c r="D23" s="25"/>
      <c r="E23" s="25"/>
      <c r="F23" s="25"/>
      <c r="G23" s="25"/>
      <c r="H23" s="25"/>
      <c r="I23" s="25" cm="1">
        <f t="array" ref="I23">Fertiliser_Equations_Organic.VEERG_5_2_1_1__2_MassOfNitrogenInOrganicFertiliser(G23,H23)</f>
        <v>0</v>
      </c>
    </row>
    <row r="24" spans="1:10" ht="20.100000000000001" customHeight="1" x14ac:dyDescent="0.25">
      <c r="A24" s="5" t="str">
        <f>HYPERLINK("#'5.1.1.1-2 Inorganic fert N2O'!A1", "5.1.1.1-2 Inorganic fert N2O")</f>
        <v>5.1.1.1-2 Inorganic fert N2O</v>
      </c>
      <c r="D24" s="25"/>
      <c r="E24" s="25"/>
      <c r="F24" s="25"/>
      <c r="G24" s="25"/>
      <c r="H24" s="25"/>
      <c r="I24" s="25" cm="1">
        <f t="array" ref="I24">Fertiliser_Equations_Organic.VEERG_5_2_1_1__2_MassOfNitrogenInOrganicFertiliser(G24,H24)</f>
        <v>0</v>
      </c>
    </row>
    <row r="25" spans="1:10" ht="20.100000000000001" customHeight="1" x14ac:dyDescent="0.25">
      <c r="A25" s="5" t="str">
        <f>HYPERLINK("#'5.1.1.3-4 Inorganic fert CO2'!A1", "5.1.1.3-4 Inorganic fert CO2")</f>
        <v>5.1.1.3-4 Inorganic fert CO2</v>
      </c>
      <c r="D25" s="25"/>
      <c r="E25" s="25"/>
      <c r="F25" s="25"/>
      <c r="G25" s="25"/>
      <c r="H25" s="25"/>
      <c r="I25" s="25" cm="1">
        <f t="array" ref="I25">Fertiliser_Equations_Organic.VEERG_5_2_1_1__2_MassOfNitrogenInOrganicFertiliser(G25,H25)</f>
        <v>0</v>
      </c>
    </row>
    <row r="26" spans="1:10" ht="20.100000000000001" customHeight="1" x14ac:dyDescent="0.25">
      <c r="A26" s="106" t="str">
        <f>HYPERLINK("#'5.2.1.1-2 Organic Fert N2O'!A1", "5.2.1.1-2 Organic fert N2O")</f>
        <v>5.2.1.1-2 Organic fert N2O</v>
      </c>
      <c r="D26" s="25"/>
      <c r="E26" s="25"/>
      <c r="F26" s="25"/>
      <c r="G26" s="25"/>
      <c r="H26" s="25"/>
      <c r="I26" s="25" cm="1">
        <f t="array" ref="I26">Fertiliser_Equations_Organic.VEERG_5_2_1_1__2_MassOfNitrogenInOrganicFertiliser(G26,H26)</f>
        <v>0</v>
      </c>
    </row>
    <row r="27" spans="1:10" ht="20.100000000000001" customHeight="1" x14ac:dyDescent="0.25">
      <c r="A27" s="5" t="str">
        <f>HYPERLINK("#'5.3.1.1-2 Lime CO2'!A1", "5.3.1.1-2 Lime CO2")</f>
        <v>5.3.1.1-2 Lime CO2</v>
      </c>
      <c r="D27" s="25"/>
      <c r="E27" s="25"/>
      <c r="F27" s="25"/>
      <c r="G27" s="25"/>
      <c r="H27" s="25"/>
      <c r="I27" s="25" cm="1">
        <f t="array" ref="I27">Fertiliser_Equations_Organic.VEERG_5_2_1_1__2_MassOfNitrogenInOrganicFertiliser(G27,H27)</f>
        <v>0</v>
      </c>
    </row>
    <row r="28" spans="1:10" ht="20.100000000000001" customHeight="1" x14ac:dyDescent="0.25">
      <c r="A28" s="5" t="str">
        <f>HYPERLINK("#'5.4.1.1-4 Atmos deposition'!A1", "5.4.1.1-4 Atmos. deposition")</f>
        <v>5.4.1.1-4 Atmos. deposition</v>
      </c>
      <c r="D28" s="25"/>
      <c r="E28" s="25"/>
      <c r="F28" s="25"/>
      <c r="G28" s="25"/>
      <c r="H28" s="25"/>
      <c r="I28" s="25" cm="1">
        <f t="array" ref="I28">Fertiliser_Equations_Organic.VEERG_5_2_1_1__2_MassOfNitrogenInOrganicFertiliser(G28,H28)</f>
        <v>0</v>
      </c>
    </row>
    <row r="29" spans="1:10" ht="20.100000000000001" customHeight="1" x14ac:dyDescent="0.25">
      <c r="A29" s="5" t="str">
        <f>HYPERLINK("#'5.5.1.1-2 Leaching and runoff'!A1", "5.5.1.1-2 Leaching &amp; runoff")</f>
        <v>5.5.1.1-2 Leaching &amp; runoff</v>
      </c>
      <c r="D29" s="25"/>
      <c r="E29" s="25"/>
      <c r="F29" s="25"/>
      <c r="G29" s="25"/>
      <c r="H29" s="25"/>
      <c r="I29" s="25" cm="1">
        <f t="array" ref="I29">Fertiliser_Equations_Organic.VEERG_5_2_1_1__2_MassOfNitrogenInOrganicFertiliser(G29,H29)</f>
        <v>0</v>
      </c>
    </row>
    <row r="30" spans="1:10" ht="20.100000000000001" customHeight="1" x14ac:dyDescent="0.25">
      <c r="A30" s="5" t="str">
        <f>HYPERLINK("#'6.2.1.1-2 Pasture residue N2O'!A1", "6.2.1.1-2 Pasture residue N2O")</f>
        <v>6.2.1.1-2 Pasture residue N2O</v>
      </c>
      <c r="D30" s="25"/>
      <c r="E30" s="25"/>
      <c r="F30" s="25"/>
      <c r="G30" s="25"/>
      <c r="H30" s="25"/>
      <c r="I30" s="25" cm="1">
        <f t="array" ref="I30">Fertiliser_Equations_Organic.VEERG_5_2_1_1__2_MassOfNitrogenInOrganicFertiliser(G30,H30)</f>
        <v>0</v>
      </c>
    </row>
    <row r="31" spans="1:10" ht="20.100000000000001" customHeight="1" x14ac:dyDescent="0.25">
      <c r="A31" s="5" t="str">
        <f>HYPERLINK("#'6.3.1.1-2 Leach runoff pasture'!A1", "6.3.1.1-2 Leach &amp; runoff (pasture)")</f>
        <v>6.3.1.1-2 Leach &amp; runoff (pasture)</v>
      </c>
      <c r="D31" s="177"/>
      <c r="E31" s="177"/>
      <c r="F31" s="177"/>
      <c r="G31" s="177"/>
      <c r="H31" s="177"/>
      <c r="I31" s="177"/>
      <c r="J31" s="177"/>
    </row>
    <row r="32" spans="1:10" ht="20.100000000000001" customHeight="1" x14ac:dyDescent="0.25">
      <c r="A32" s="5" t="str">
        <f>HYPERLINK("#'8.1.1.1-2 Transport fuel'!A1", "8.1.1.1-2 Transport fuel")</f>
        <v>8.1.1.1-2 Transport fuel</v>
      </c>
      <c r="D32" s="130" t="s">
        <v>585</v>
      </c>
      <c r="E32" s="130">
        <f>SUM(I20:I30)</f>
        <v>710</v>
      </c>
      <c r="F32" s="178" t="str">
        <f>$E$11</f>
        <v>kg N</v>
      </c>
      <c r="G32" s="177"/>
      <c r="H32" s="177"/>
      <c r="I32" s="177"/>
      <c r="J32" s="177"/>
    </row>
    <row r="33" spans="1:12" ht="20.100000000000001" customHeight="1" x14ac:dyDescent="0.25">
      <c r="A33" s="5" t="str">
        <f>HYPERLINK("#'8.2.1.1-2 Stationary fuel'!A1", "8.2.1.1-2 Stationary fuel")</f>
        <v>8.2.1.1-2 Stationary fuel</v>
      </c>
    </row>
    <row r="34" spans="1:12" ht="20.100000000000001" customHeight="1" x14ac:dyDescent="0.25">
      <c r="A34" s="5" t="str">
        <f>HYPERLINK("#'14.1.1-2 Purchased electricity'!A1", "14.1.1-2 Purchased electricity")</f>
        <v>14.1.1-2 Purchased electricity</v>
      </c>
    </row>
    <row r="35" spans="1:12" ht="20.100000000000001" customHeight="1" x14ac:dyDescent="0.25">
      <c r="C35" s="179"/>
      <c r="D35" s="179"/>
      <c r="E35" s="179"/>
      <c r="F35" s="179"/>
      <c r="G35" s="179"/>
      <c r="H35" s="179"/>
      <c r="I35" s="179"/>
      <c r="J35" s="179"/>
      <c r="K35" s="179"/>
      <c r="L35" s="179"/>
    </row>
    <row r="36" spans="1:12" ht="20.100000000000001" customHeight="1" x14ac:dyDescent="0.25">
      <c r="D36" s="2" t="str" cm="1">
        <f t="array" ref="D36">Fertiliser_Equations_OrganicN2O.VEERG_5_2_1_1__1_OrganicFertiliserApplicationN2OEmissions_Title()</f>
        <v>Nitrous oxide emissions from the application of all organic fertiliser types f to all production systems j</v>
      </c>
    </row>
    <row r="37" spans="1:12" ht="20.100000000000001" customHeight="1" x14ac:dyDescent="0.25">
      <c r="A37" s="251" t="s">
        <v>1</v>
      </c>
      <c r="D37" s="27" t="str" cm="1">
        <f t="array" ref="D37">Fertiliser_Equations_OrganicN2O.VEERG_5_2_1_1__1_OrganicFertiliserApplicationN2OEmissions_Source()</f>
        <v>VEERG 2026: 5.2.1.1, Equation (1)</v>
      </c>
    </row>
    <row r="38" spans="1:12" ht="20.100000000000001" customHeight="1" x14ac:dyDescent="0.25">
      <c r="A38" s="5" t="str">
        <f>HYPERLINK("#'Constants - Pasture Beef'!A1", "Constants - Pasture Beef")</f>
        <v>Constants - Pasture Beef</v>
      </c>
      <c r="D38" s="105" t="s">
        <v>261</v>
      </c>
      <c r="E38" s="105" t="str" cm="1">
        <f t="array" aca="1" ref="E38" ca="1">Common_InputFunctions.Utility_DisplayFunctionName($I$20)</f>
        <v>=Fertiliser_Equations_OrganicN2O.VEERG_5_2_1_1__2_MassOfNitrogenInOrganicFertiliser</v>
      </c>
    </row>
    <row r="39" spans="1:12" ht="20.100000000000001" customHeight="1" x14ac:dyDescent="0.25">
      <c r="A39" s="5" t="str">
        <f>HYPERLINK("#'Constants - Ag Residue'!A1", "Constants - Ag residue")</f>
        <v>Constants - Ag residue</v>
      </c>
    </row>
    <row r="40" spans="1:12" ht="20.100000000000001" customHeight="1" x14ac:dyDescent="0.25">
      <c r="A40" s="5" t="str">
        <f>HYPERLINK("#'Constants - Common Livestock'!A1", "Constants - Common Livestock")</f>
        <v>Constants - Common Livestock</v>
      </c>
    </row>
    <row r="41" spans="1:12" ht="20.100000000000001" customHeight="1" x14ac:dyDescent="0.25">
      <c r="A41" s="5" t="str">
        <f>HYPERLINK("#'Constants - Electricity'!A1", "Constants - Electricity")</f>
        <v>Constants - Electricity</v>
      </c>
      <c r="D41" s="88" t="s">
        <v>263</v>
      </c>
      <c r="E41" s="1" t="str" cm="1">
        <f t="array" ref="E41">Fertiliser_Equations_OrganicN2O.VEERG_5_2_1_1__1_OrganicFertiliserApplicationN2OEmissions_Variable()</f>
        <v>E_N2O</v>
      </c>
    </row>
    <row r="42" spans="1:12" ht="20.100000000000001" customHeight="1" x14ac:dyDescent="0.25">
      <c r="A42" s="5" t="str">
        <f>HYPERLINK("#'Constants - Fertiliser'!A1", "Constants - Fertiliser")</f>
        <v>Constants - Fertiliser</v>
      </c>
      <c r="D42" s="88" t="s">
        <v>130</v>
      </c>
      <c r="E42" s="15" t="str" cm="1">
        <f t="array" ref="E42">Fertiliser_Equations_OrganicN2O.VEERG_5_2_1_1__1_OrganicFertiliserApplicationN2OEmissions_Unit()</f>
        <v>t N2O</v>
      </c>
    </row>
    <row r="43" spans="1:12" ht="20.100000000000001" customHeight="1" x14ac:dyDescent="0.25">
      <c r="A43" s="5" t="str">
        <f>HYPERLINK("#'Constants - Fuel'!A1", "Constants - Fuel")</f>
        <v>Constants - Fuel</v>
      </c>
    </row>
    <row r="44" spans="1:12" ht="20.100000000000001" customHeight="1" x14ac:dyDescent="0.25">
      <c r="A44" s="5" t="str">
        <f>HYPERLINK("#'Constants - Common'!A1", "Constants - Common")</f>
        <v>Constants - Common</v>
      </c>
      <c r="D44" s="107" t="str" cm="1">
        <f t="array" ref="D44:E48">_xlfn.CHOOSECOLS(Fertiliser_Equations_OrganicN2O.VEERG_5_2_1_1__1_OrganicFertiliserApplicationN2OEmissions_Arguments(), 1, 2)</f>
        <v>MNSoil_jf</v>
      </c>
      <c r="E44" s="108" t="str">
        <v>mass of nitrogen in organic fertiliser type f applied to production system j</v>
      </c>
      <c r="F44" s="109"/>
      <c r="G44" s="109"/>
      <c r="H44" s="110"/>
      <c r="I44" s="107" t="str" cm="1">
        <f t="array" ref="I44:J48">_xlfn.CHOOSECOLS(Fertiliser_Equations_OrganicN2O.VEERG_5_2_1_1__1_OrganicFertiliserApplicationN2OEmissions_Arguments(), 3,4)</f>
        <v>kg N</v>
      </c>
      <c r="J44" s="112" t="str">
        <v>Calculated from 5.2.1.1 (2)</v>
      </c>
      <c r="K44" s="107">
        <f>$E$32</f>
        <v>710</v>
      </c>
    </row>
    <row r="45" spans="1:12" ht="20.100000000000001" customHeight="1" x14ac:dyDescent="0.25">
      <c r="A45" s="5" t="str">
        <f>HYPERLINK("#'Acknowledgements'!A1", "Acknowledgements")</f>
        <v>Acknowledgements</v>
      </c>
      <c r="D45" s="107" t="str">
        <v>EF_N2Oi</v>
      </c>
      <c r="E45" s="108" t="str">
        <v>emission factor for direct nitrous oxide emissions from organic fertiliser applied to soils and aquatic systems in climate zone i</v>
      </c>
      <c r="F45" s="109"/>
      <c r="G45" s="109"/>
      <c r="H45" s="110"/>
      <c r="I45" s="107" t="str">
        <v>kg N2O-N/kg N</v>
      </c>
      <c r="J45" s="112" t="str">
        <v>Lookup</v>
      </c>
      <c r="K45" s="107">
        <f>Common_InputFunctions.Utility_LookupValueInTableNumber(K48, Table_SourceData_Common_EFOrganicFertCropResidues[Climate Zone],Table_SourceData_Common_EFOrganicFertCropResidues[EFNi &amp; EFN2Oi])</f>
        <v>5.0000000000000001E-3</v>
      </c>
    </row>
    <row r="46" spans="1:12" ht="20.100000000000001" customHeight="1" x14ac:dyDescent="0.25">
      <c r="A46" s="5" t="str">
        <f>HYPERLINK("#'Overview'!A1", "Overview")</f>
        <v>Overview</v>
      </c>
      <c r="D46" s="107" t="str">
        <v>C_N2O</v>
      </c>
      <c r="E46" s="108" t="str">
        <v>factor to convert elemental mass of nitrous oxide to molecular mass</v>
      </c>
      <c r="F46" s="109"/>
      <c r="G46" s="109"/>
      <c r="H46" s="110"/>
      <c r="I46" s="107" t="str">
        <v/>
      </c>
      <c r="J46" s="112" t="str">
        <v>Constant</v>
      </c>
      <c r="K46" s="122">
        <f>Common_InputFunctions.Utility_LookupValueInTableNumber("N2O",Table_GasToMolecularConversionFactor[Gas],Table_GasToMolecularConversionFactor[Conversion factor combined])</f>
        <v>1.5714285714285714</v>
      </c>
    </row>
    <row r="47" spans="1:12" ht="20.100000000000001" customHeight="1" x14ac:dyDescent="0.25">
      <c r="D47" s="107" t="str">
        <v>j</v>
      </c>
      <c r="E47" s="108" t="str">
        <v>Production system</v>
      </c>
      <c r="F47" s="109"/>
      <c r="G47" s="109"/>
      <c r="H47" s="110"/>
      <c r="I47" s="107" t="str">
        <v/>
      </c>
      <c r="J47" s="111" t="str">
        <v>Input</v>
      </c>
      <c r="K47" s="107" t="str">
        <f>X_Cell_Fertiliser_ProductionSystem</f>
        <v>Crop</v>
      </c>
    </row>
    <row r="48" spans="1:12" ht="20.100000000000001" customHeight="1" x14ac:dyDescent="0.25">
      <c r="D48" s="107" t="str">
        <v>i</v>
      </c>
      <c r="E48" s="108" t="str">
        <v>Wet or dry climate zone</v>
      </c>
      <c r="F48" s="109"/>
      <c r="G48" s="109"/>
      <c r="H48" s="110"/>
      <c r="I48" s="107" t="str">
        <v/>
      </c>
      <c r="J48" s="111" t="str">
        <v>Input</v>
      </c>
      <c r="K48" s="107" t="str">
        <f>X_Cell_Site_WetOrDryClimateZone</f>
        <v>Dry climate zone</v>
      </c>
    </row>
    <row r="49" spans="4:7" ht="20.100000000000001" customHeight="1" x14ac:dyDescent="0.25"/>
    <row r="50" spans="4:7" ht="20.100000000000001" customHeight="1" x14ac:dyDescent="0.25">
      <c r="D50" s="119" t="s">
        <v>568</v>
      </c>
      <c r="E50" s="120" cm="1">
        <f t="array" ref="E50">Fertiliser_Equations_OrganicN2O.VEERG_5_2_1_1__1_OrganicFertiliserApplicationN2OEmissions(K44,K45,K46)</f>
        <v>5.5785714285714293E-3</v>
      </c>
      <c r="F50" s="121" t="str">
        <f>$E$42</f>
        <v>t N2O</v>
      </c>
    </row>
    <row r="51" spans="4:7" ht="20.100000000000001" customHeight="1" x14ac:dyDescent="0.25"/>
    <row r="52" spans="4:7" ht="20.100000000000001" customHeight="1" x14ac:dyDescent="0.25">
      <c r="D52" s="122" t="str" cm="1">
        <f t="array" ref="D52:E53">Common_Equations.Common_ConvertN2OToCO2e_Arguments()</f>
        <v>EN2O</v>
      </c>
      <c r="E52" s="123" t="str">
        <v>Nitrous oxide emissions (t N2O)</v>
      </c>
      <c r="F52" s="124"/>
      <c r="G52" s="25">
        <f>E50</f>
        <v>5.5785714285714293E-3</v>
      </c>
    </row>
    <row r="53" spans="4:7" ht="20.100000000000001" customHeight="1" x14ac:dyDescent="0.25">
      <c r="D53" s="122" t="str">
        <v>GWPN2O</v>
      </c>
      <c r="E53" s="123" t="str">
        <v>Global warming potential for nitrous oxide (t CO2-e / t N2O)</v>
      </c>
      <c r="F53" s="124"/>
      <c r="G53" s="25">
        <f>Common_InputFunctions.Utility_LookupValueInTableNumber("N2O",Table_GWPData[Gas],Table_GWPData[CO2-e factor])</f>
        <v>265</v>
      </c>
    </row>
    <row r="54" spans="4:7" ht="20.100000000000001" customHeight="1" x14ac:dyDescent="0.25"/>
    <row r="55" spans="4:7" ht="20.100000000000001" customHeight="1" x14ac:dyDescent="0.25">
      <c r="D55" s="118" t="s">
        <v>301</v>
      </c>
      <c r="E55" s="118" cm="1">
        <f t="array" ref="E55">Common_Equations.Common_ConvertN2OToCO2e(G52,G53)</f>
        <v>1.4783214285714288</v>
      </c>
      <c r="F55" s="125" t="str" cm="1">
        <f t="array" ref="F55">Common_Equations.Common_ConvertN2OToCO2e_Unit()</f>
        <v>t CO2e</v>
      </c>
    </row>
    <row r="56" spans="4:7" ht="20.100000000000001" customHeight="1" x14ac:dyDescent="0.25"/>
    <row r="57" spans="4:7" ht="20.100000000000001" customHeight="1" x14ac:dyDescent="0.25"/>
    <row r="58" spans="4:7" ht="20.100000000000001" customHeight="1" x14ac:dyDescent="0.25"/>
    <row r="59" spans="4:7" ht="20.100000000000001" customHeight="1" x14ac:dyDescent="0.25"/>
    <row r="60" spans="4:7" ht="20.100000000000001" customHeight="1" x14ac:dyDescent="0.25"/>
    <row r="61" spans="4:7" ht="20.100000000000001" customHeight="1" x14ac:dyDescent="0.25"/>
    <row r="62" spans="4:7" ht="20.100000000000001" customHeight="1" x14ac:dyDescent="0.25"/>
    <row r="63" spans="4:7" ht="20.100000000000001" customHeight="1" x14ac:dyDescent="0.25"/>
    <row r="64" spans="4: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99C19-C8FE-41A9-81C9-B6ADDF171B63}">
  <dimension ref="A1:U165"/>
  <sheetViews>
    <sheetView showGridLines="0" topLeftCell="A9" workbookViewId="0">
      <selection activeCell="A46" sqref="A46"/>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31" customFormat="1" ht="30" customHeight="1" x14ac:dyDescent="0.35">
      <c r="A1" s="16" t="e" vm="1">
        <v>#VALUE!</v>
      </c>
      <c r="C1" s="31" t="s">
        <v>586</v>
      </c>
    </row>
    <row r="2" spans="1:21" s="3" customFormat="1" ht="20.100000000000001" customHeight="1" x14ac:dyDescent="0.25">
      <c r="A2"/>
    </row>
    <row r="3" spans="1:21" ht="20.100000000000001" customHeight="1" x14ac:dyDescent="0.25">
      <c r="A3" s="5" t="str">
        <f>HYPERLINK("#'Home'!A1", "Home")</f>
        <v>Home</v>
      </c>
      <c r="C3" s="33"/>
      <c r="D3" s="33" t="s">
        <v>149</v>
      </c>
      <c r="E3" s="33"/>
      <c r="F3" s="33"/>
      <c r="G3" s="33"/>
      <c r="H3" s="33"/>
      <c r="I3" s="33"/>
      <c r="J3" s="33"/>
      <c r="K3" s="33"/>
      <c r="L3" s="33"/>
      <c r="N3" s="33"/>
      <c r="O3" s="33" t="s">
        <v>150</v>
      </c>
      <c r="P3" s="33"/>
      <c r="Q3" s="33"/>
      <c r="R3" s="33"/>
      <c r="S3" s="33"/>
      <c r="T3" s="33"/>
      <c r="U3" s="33"/>
    </row>
    <row r="4" spans="1:21" ht="20.100000000000001" customHeight="1" x14ac:dyDescent="0.25">
      <c r="A4" s="5" t="str">
        <f>HYPERLINK("#'Results'!A1", "Results")</f>
        <v>Results</v>
      </c>
    </row>
    <row r="5" spans="1:21" ht="20.100000000000001" customHeight="1" x14ac:dyDescent="0.25">
      <c r="D5" s="2" t="str" cm="1">
        <f t="array" ref="D5">Fertiliser_Equations_Lime.VEERG_5_3_1_1__1_LimeApplicationCO2Emissions_Title()</f>
        <v>Emissions from the application of lime and dolomite to production systems</v>
      </c>
    </row>
    <row r="6" spans="1:21" ht="20.100000000000001" customHeight="1" x14ac:dyDescent="0.25">
      <c r="D6" s="27" t="str" cm="1">
        <f t="array" ref="D6">Fertiliser_Equations_Lime.VEERG_5_3_1_1__1_LimeApplicationCO2Emissions_Source()</f>
        <v>VEERG 2026: 5.3.1.1, Equation (1)</v>
      </c>
    </row>
    <row r="7" spans="1:21" ht="20.100000000000001" customHeight="1" x14ac:dyDescent="0.25">
      <c r="A7" s="7" t="s">
        <v>0</v>
      </c>
      <c r="D7" s="105" t="s">
        <v>261</v>
      </c>
      <c r="E7" s="105" t="str" cm="1">
        <f t="array" aca="1" ref="E7" ca="1">Common_InputFunctions.Utility_DisplayFunctionName(H25)</f>
        <v>=Fertiliser_Equations_Lime.VEERG_5_3_1_1__1_LimeApplicationCO2Emissions</v>
      </c>
    </row>
    <row r="8" spans="1:21" ht="20.100000000000001" customHeight="1" x14ac:dyDescent="0.25">
      <c r="A8" s="5" t="str">
        <f>HYPERLINK("#'Input - Enterprise'!A1", "Enterprise")</f>
        <v>Enterprise</v>
      </c>
    </row>
    <row r="9" spans="1:21" ht="20.100000000000001" customHeight="1" x14ac:dyDescent="0.25">
      <c r="A9" s="5" t="str">
        <f>HYPERLINK("#'Input - Site'!A1", "Site")</f>
        <v>Site</v>
      </c>
    </row>
    <row r="10" spans="1:21" ht="20.100000000000001" customHeight="1" x14ac:dyDescent="0.25">
      <c r="A10" s="5" t="str">
        <f>HYPERLINK("#'Input - Pasture Beef'!A1", "Pasture Beef")</f>
        <v>Pasture Beef</v>
      </c>
      <c r="D10" s="88" t="s">
        <v>263</v>
      </c>
      <c r="E10" s="1" t="str" cm="1">
        <f t="array" ref="E10">Fertiliser_Equations_Lime.VEERG_5_3_1_1__1_LimeApplicationCO2Emissions_Variable()</f>
        <v>E_lime</v>
      </c>
    </row>
    <row r="11" spans="1:21" ht="20.100000000000001" customHeight="1" x14ac:dyDescent="0.25">
      <c r="A11" s="5" t="str">
        <f>HYPERLINK("#'Input - Pasture Beef (Enteric)'!A1", "Pasture Beef (Enteric)")</f>
        <v>Pasture Beef (Enteric)</v>
      </c>
      <c r="D11" s="88" t="s">
        <v>130</v>
      </c>
      <c r="E11" s="15" t="str" cm="1">
        <f t="array" ref="E11">Fertiliser_Equations_Lime.VEERG_5_3_1_1__1_LimeApplicationCO2Emissions_Unit()</f>
        <v>t CO2</v>
      </c>
    </row>
    <row r="12" spans="1:21" ht="20.100000000000001" customHeight="1" x14ac:dyDescent="0.25">
      <c r="A12" s="5" t="str">
        <f>HYPERLINK("#'Input - Pasture'!A1", "Pasture")</f>
        <v>Pasture</v>
      </c>
    </row>
    <row r="13" spans="1:21" ht="20.100000000000001" customHeight="1" x14ac:dyDescent="0.25">
      <c r="A13" s="5" t="str">
        <f>HYPERLINK("#'Input - Fertiliser'!A1", "Fertiliser")</f>
        <v>Fertiliser</v>
      </c>
      <c r="D13" s="107" t="str" cm="1">
        <f t="array" ref="D13:E20">_xlfn.CHOOSECOLS(Fertiliser_Equations_Lime.VEERG_5_3_1_1__1_LimeApplicationCO2Emissions_Arguments(), 1, 2)</f>
        <v>M_lime</v>
      </c>
      <c r="E13" s="108" t="str">
        <v>total mass of lime applied to production system</v>
      </c>
      <c r="F13" s="110"/>
      <c r="G13" s="107" t="str" cm="1">
        <f t="array" ref="G13:H20">_xlfn.CHOOSECOLS(Fertiliser_Equations_Lime.VEERG_5_3_1_1__1_LimeApplicationCO2Emissions_Arguments(), 3,4)</f>
        <v>kg</v>
      </c>
      <c r="H13" s="111" t="str">
        <v>Input</v>
      </c>
      <c r="I13" s="113" t="str" cm="1">
        <f t="array" aca="1" ref="I13" ca="1">HYPERLINK(Common_InputFunctions.Utility_SourceHyperlink($D$22), $D$22)</f>
        <v>Table_E_lime</v>
      </c>
    </row>
    <row r="14" spans="1:21" ht="20.100000000000001" customHeight="1" x14ac:dyDescent="0.25">
      <c r="A14" s="5" t="str">
        <f>HYPERLINK("#'Input - Fuel'!A1", "Fuel")</f>
        <v>Fuel</v>
      </c>
      <c r="D14" s="107" t="str">
        <v>FracLime</v>
      </c>
      <c r="E14" s="108" t="str">
        <v>fraction of lime as limestone (CaCO3)</v>
      </c>
      <c r="F14" s="110"/>
      <c r="G14" s="107" t="str">
        <v>fraction</v>
      </c>
      <c r="H14" s="111" t="str">
        <v>Input</v>
      </c>
      <c r="I14" s="113" t="str" cm="1">
        <f t="array" aca="1" ref="I14" ca="1">HYPERLINK(Common_InputFunctions.Utility_SourceHyperlink($D$22), $D$22)</f>
        <v>Table_E_lime</v>
      </c>
    </row>
    <row r="15" spans="1:21" ht="20.100000000000001" customHeight="1" x14ac:dyDescent="0.25">
      <c r="A15" s="5" t="str">
        <f>HYPERLINK("#'Input - Electricity'!A1", "Electricity")</f>
        <v>Electricity</v>
      </c>
      <c r="D15" s="107" t="str">
        <v>P_lime</v>
      </c>
      <c r="E15" s="108" t="str">
        <v>fractional purity of limestone</v>
      </c>
      <c r="F15" s="110"/>
      <c r="G15" s="107" t="str">
        <v>fraction</v>
      </c>
      <c r="H15" s="112" t="str">
        <v>Constant</v>
      </c>
      <c r="I15" s="107">
        <f>'Constants - Fertiliser'!$E$66</f>
        <v>0.9</v>
      </c>
    </row>
    <row r="16" spans="1:21" ht="20.100000000000001" customHeight="1" x14ac:dyDescent="0.25">
      <c r="D16" s="107" t="str">
        <v>EF_lime</v>
      </c>
      <c r="E16" s="108" t="str">
        <v>emission factor for limestone fraction of lime</v>
      </c>
      <c r="F16" s="110"/>
      <c r="G16" s="107" t="str">
        <v>kg C/kg</v>
      </c>
      <c r="H16" s="112" t="str">
        <v>Constant</v>
      </c>
      <c r="I16" s="107">
        <f>'Constants - Fertiliser'!$F$66</f>
        <v>0.12</v>
      </c>
    </row>
    <row r="17" spans="1:9" ht="20.100000000000001" customHeight="1" x14ac:dyDescent="0.25">
      <c r="D17" s="107" t="str">
        <v>FracDol</v>
      </c>
      <c r="E17" s="108" t="str">
        <v>fraction of lime as dolomite</v>
      </c>
      <c r="F17" s="110"/>
      <c r="G17" s="107" t="str">
        <v>fraction</v>
      </c>
      <c r="H17" s="111" t="str">
        <v>Input</v>
      </c>
      <c r="I17" s="113" t="str" cm="1">
        <f t="array" aca="1" ref="I17" ca="1">HYPERLINK(Common_InputFunctions.Utility_SourceHyperlink($D$22), $D$22)</f>
        <v>Table_E_lime</v>
      </c>
    </row>
    <row r="18" spans="1:9" ht="20.100000000000001" customHeight="1" x14ac:dyDescent="0.25">
      <c r="A18" s="6" t="s">
        <v>2</v>
      </c>
      <c r="D18" s="107" t="str">
        <v>P_dol</v>
      </c>
      <c r="E18" s="108" t="str">
        <v>fractional purity of dolomite</v>
      </c>
      <c r="F18" s="110"/>
      <c r="G18" s="107" t="str">
        <v>fraction</v>
      </c>
      <c r="H18" s="112" t="str">
        <v>Constant</v>
      </c>
      <c r="I18" s="107">
        <f>'Constants - Fertiliser'!$E$67</f>
        <v>0.95</v>
      </c>
    </row>
    <row r="19" spans="1:9" ht="20.100000000000001" customHeight="1" x14ac:dyDescent="0.25">
      <c r="A19" s="5" t="str">
        <f>HYPERLINK("#'3.2.1.1-2 Enteric Methane'!A1", "3.2.1.1-2 Enteric methane")</f>
        <v>3.2.1.1-2 Enteric methane</v>
      </c>
      <c r="D19" s="107" t="str">
        <v>EF_dol</v>
      </c>
      <c r="E19" s="108" t="str">
        <v>emission factor for dolomite fraction of lime</v>
      </c>
      <c r="F19" s="110"/>
      <c r="G19" s="107" t="str">
        <v>kg C/kg</v>
      </c>
      <c r="H19" s="112" t="str">
        <v>Constant</v>
      </c>
      <c r="I19" s="107">
        <f>'Constants - Fertiliser'!$F$67</f>
        <v>0.13</v>
      </c>
    </row>
    <row r="20" spans="1:9" ht="20.100000000000001" customHeight="1" x14ac:dyDescent="0.25">
      <c r="A20" s="5" t="str">
        <f>HYPERLINK("#'4.2.1.1-2 Methane'!A1", "4.2.1.1-2 Manure methane")</f>
        <v>4.2.1.1-2 Manure methane</v>
      </c>
      <c r="D20" s="107" t="str">
        <v>C_CO2</v>
      </c>
      <c r="E20" s="108" t="str">
        <v>factor to convert elemental mass of carbon dioxide to molecular mass</v>
      </c>
      <c r="F20" s="110"/>
      <c r="G20" s="107" t="str">
        <v/>
      </c>
      <c r="H20" s="112" t="str">
        <v>Constant</v>
      </c>
      <c r="I20" s="122">
        <f>Common_InputFunctions.Utility_LookupValueInTableNumber("CO2",Table_GasToMolecularConversionFactor[Gas], Table_GasToMolecularConversionFactor[Conversion factor combined])</f>
        <v>3.6666666666666665</v>
      </c>
    </row>
    <row r="21" spans="1:9" ht="20.100000000000001" customHeight="1" x14ac:dyDescent="0.25">
      <c r="A21" s="5" t="str">
        <f>HYPERLINK("#'4.2.1.3-4 Soil direct N20'!A1", "4.2.1.3-4 Soil direct N2O")</f>
        <v>4.2.1.3-4 Soil direct N2O</v>
      </c>
    </row>
    <row r="22" spans="1:9" ht="20.100000000000001" customHeight="1" x14ac:dyDescent="0.25">
      <c r="A22" s="5" t="str">
        <f>HYPERLINK("#'4.2.1.5-6 Soil Atmos Dep'!A1", "4.2.1.5-6 Soil atm. deposition")</f>
        <v>4.2.1.5-6 Soil atm. deposition</v>
      </c>
      <c r="D22" s="114" t="s">
        <v>587</v>
      </c>
    </row>
    <row r="23" spans="1:9" ht="20.100000000000001" customHeight="1" x14ac:dyDescent="0.25">
      <c r="A23" s="5" t="str">
        <f>HYPERLINK("#'4.2.1.7-8 Soil leach runoff'!A1", "4.2.1.7-8 Soil leach &amp; runoff")</f>
        <v>4.2.1.7-8 Soil leach &amp; runoff</v>
      </c>
      <c r="D23" s="115" t="s">
        <v>588</v>
      </c>
    </row>
    <row r="24" spans="1:9" ht="20.100000000000001" customHeight="1" x14ac:dyDescent="0.25">
      <c r="A24" s="5" t="str">
        <f>HYPERLINK("#'5.1.1.1-2 Inorganic fert N2O'!A1", "5.1.1.1-2 Inorganic fert N2O")</f>
        <v>5.1.1.1-2 Inorganic fert N2O</v>
      </c>
      <c r="D24" s="117" t="s">
        <v>589</v>
      </c>
      <c r="E24" s="117" t="s">
        <v>590</v>
      </c>
      <c r="F24" s="117" t="s">
        <v>591</v>
      </c>
      <c r="G24" s="117" t="s">
        <v>592</v>
      </c>
      <c r="H24" s="116" t="s">
        <v>593</v>
      </c>
    </row>
    <row r="25" spans="1:9" ht="20.100000000000001" customHeight="1" x14ac:dyDescent="0.25">
      <c r="A25" s="5" t="str">
        <f>HYPERLINK("#'5.1.1.3-4 Inorganic fert CO2'!A1", "5.1.1.3-4 Inorganic fert CO2")</f>
        <v>5.1.1.3-4 Inorganic fert CO2</v>
      </c>
      <c r="D25" s="25" t="str" cm="1">
        <f t="array" ref="D25:D27">Table_Input_Lime[Product]</f>
        <v>Lime product 1</v>
      </c>
      <c r="E25" s="180" cm="1">
        <f t="array" ref="E25:E27">Table_Input_Lime[Total amount applied (t)]*10^3</f>
        <v>100000</v>
      </c>
      <c r="F25" s="181" cm="1">
        <f t="array" ref="F25:F27">Table_Input_Lime[Percent Lime CaCO3]</f>
        <v>0.8</v>
      </c>
      <c r="G25" s="181" cm="1">
        <f t="array" ref="G25:G27">Table_Input_Lime[Percent Dolomite CaMg(CO3)2]</f>
        <v>0.1</v>
      </c>
      <c r="H25" s="25" cm="1">
        <f t="array" ref="H25">Fertiliser_Equations_Lime.VEERG_5_3_1_1__1_LimeApplicationCO2Emissions(E25,F25,$I$15,$I$16,G25,$I$18,$I$19,$I$20)</f>
        <v>36.208333333333329</v>
      </c>
    </row>
    <row r="26" spans="1:9" ht="20.100000000000001" customHeight="1" x14ac:dyDescent="0.25">
      <c r="A26" s="5" t="str">
        <f>HYPERLINK("#'5.2.1.1-2 Organic Fert N2O'!A1", "5.2.1.1-2 Organic fert N2O")</f>
        <v>5.2.1.1-2 Organic fert N2O</v>
      </c>
      <c r="D26" s="25" t="str">
        <v>Lime product 2</v>
      </c>
      <c r="E26" s="25">
        <v>100000</v>
      </c>
      <c r="F26" s="25">
        <v>1</v>
      </c>
      <c r="G26" s="25">
        <v>0</v>
      </c>
      <c r="H26" s="25" cm="1">
        <f t="array" ref="H26">Fertiliser_Equations_Lime.VEERG_5_3_1_1__1_LimeApplicationCO2Emissions(E26,F26,$I$15,$I$16,G26,$I$18,$I$19,$I$20)</f>
        <v>39.6</v>
      </c>
    </row>
    <row r="27" spans="1:9" ht="20.100000000000001" customHeight="1" x14ac:dyDescent="0.25">
      <c r="A27" s="106" t="str">
        <f>HYPERLINK("#'5.3.1.1-2 Lime CO2'!A1", "5.3.1.1-2 Lime CO2")</f>
        <v>5.3.1.1-2 Lime CO2</v>
      </c>
      <c r="D27" s="25" t="str">
        <v>Lime product 3</v>
      </c>
      <c r="E27" s="25">
        <v>100000</v>
      </c>
      <c r="F27" s="25">
        <v>0</v>
      </c>
      <c r="G27" s="25">
        <v>0</v>
      </c>
      <c r="H27" s="25" cm="1">
        <f t="array" ref="H27">Fertiliser_Equations_Lime.VEERG_5_3_1_1__1_LimeApplicationCO2Emissions(E27,F27,$I$15,$I$16,G27,$I$18,$I$19,$I$20)</f>
        <v>0</v>
      </c>
    </row>
    <row r="28" spans="1:9" ht="20.100000000000001" customHeight="1" x14ac:dyDescent="0.25">
      <c r="A28" s="5" t="str">
        <f>HYPERLINK("#'5.4.1.1-4 Atmos deposition'!A1", "5.4.1.1-4 Atmos. deposition")</f>
        <v>5.4.1.1-4 Atmos. deposition</v>
      </c>
      <c r="D28" s="25"/>
      <c r="E28" s="25"/>
      <c r="F28" s="25"/>
      <c r="G28" s="25"/>
      <c r="H28" s="25" cm="1">
        <f t="array" ref="H28">Fertiliser_Equations_Lime.VEERG_5_3_1_1__1_LimeApplicationCO2Emissions(E28,F28,$I$15,$I$16,G28,$I$18,$I$19,$I$20)</f>
        <v>0</v>
      </c>
    </row>
    <row r="29" spans="1:9" ht="20.100000000000001" customHeight="1" x14ac:dyDescent="0.25">
      <c r="A29" s="5" t="str">
        <f>HYPERLINK("#'5.5.1.1-2 Leaching and runoff'!A1", "5.5.1.1-2 Leaching &amp; runoff")</f>
        <v>5.5.1.1-2 Leaching &amp; runoff</v>
      </c>
      <c r="D29" s="25"/>
      <c r="E29" s="25"/>
      <c r="F29" s="25"/>
      <c r="G29" s="25"/>
      <c r="H29" s="25" cm="1">
        <f t="array" ref="H29">Fertiliser_Equations_Lime.VEERG_5_3_1_1__1_LimeApplicationCO2Emissions(E29,F29,$I$15,$I$16,G29,$I$18,$I$19,$I$20)</f>
        <v>0</v>
      </c>
    </row>
    <row r="30" spans="1:9" ht="20.100000000000001" customHeight="1" x14ac:dyDescent="0.25">
      <c r="A30" s="5" t="str">
        <f>HYPERLINK("#'6.2.1.1-2 Pasture residue N2O'!A1", "6.2.1.1-2 Pasture residue N2O")</f>
        <v>6.2.1.1-2 Pasture residue N2O</v>
      </c>
    </row>
    <row r="31" spans="1:9" ht="20.100000000000001" customHeight="1" x14ac:dyDescent="0.25">
      <c r="A31" s="5" t="str">
        <f>HYPERLINK("#'6.3.1.1-2 Leach runoff pasture'!A1", "6.3.1.1-2 Leach &amp; runoff (pasture)")</f>
        <v>6.3.1.1-2 Leach &amp; runoff (pasture)</v>
      </c>
      <c r="D31" s="119" t="s">
        <v>594</v>
      </c>
      <c r="E31" s="120">
        <f>SUM(H25:H29)</f>
        <v>75.808333333333337</v>
      </c>
      <c r="F31" s="182" t="s">
        <v>145</v>
      </c>
    </row>
    <row r="32" spans="1:9" ht="20.100000000000001" customHeight="1" x14ac:dyDescent="0.25">
      <c r="A32" s="5" t="str">
        <f>HYPERLINK("#'8.1.1.1-2 Transport fuel'!A1", "8.1.1.1-2 Transport fuel")</f>
        <v>8.1.1.1-2 Transport fuel</v>
      </c>
    </row>
    <row r="33" spans="1:1" ht="20.100000000000001" customHeight="1" x14ac:dyDescent="0.25">
      <c r="A33" s="5" t="str">
        <f>HYPERLINK("#'8.2.1.1-2 Stationary fuel'!A1", "8.2.1.1-2 Stationary fuel")</f>
        <v>8.2.1.1-2 Stationary fuel</v>
      </c>
    </row>
    <row r="34" spans="1:1" ht="20.100000000000001" customHeight="1" x14ac:dyDescent="0.25">
      <c r="A34" s="5" t="str">
        <f>HYPERLINK("#'14.1.1-2 Purchased electricity'!A1", "14.1.1-2 Purchased electricity")</f>
        <v>14.1.1-2 Purchased electricity</v>
      </c>
    </row>
    <row r="35" spans="1:1" ht="20.100000000000001" customHeight="1" x14ac:dyDescent="0.25"/>
    <row r="36" spans="1:1" ht="20.100000000000001" customHeight="1" x14ac:dyDescent="0.25"/>
    <row r="37" spans="1:1" ht="20.100000000000001" customHeight="1" x14ac:dyDescent="0.25">
      <c r="A37" s="251" t="s">
        <v>1</v>
      </c>
    </row>
    <row r="38" spans="1:1" ht="20.100000000000001" customHeight="1" x14ac:dyDescent="0.25">
      <c r="A38" s="5" t="str">
        <f>HYPERLINK("#'Constants - Pasture Beef'!A1", "Constants - Pasture Beef")</f>
        <v>Constants - Pasture Beef</v>
      </c>
    </row>
    <row r="39" spans="1:1" ht="20.100000000000001" customHeight="1" x14ac:dyDescent="0.25">
      <c r="A39" s="5" t="str">
        <f>HYPERLINK("#'Constants - Ag Residue'!A1", "Constants - Ag residue")</f>
        <v>Constants - Ag residue</v>
      </c>
    </row>
    <row r="40" spans="1:1" ht="20.100000000000001" customHeight="1" x14ac:dyDescent="0.25">
      <c r="A40" s="5" t="str">
        <f>HYPERLINK("#'Constants - Common Livestock'!A1", "Constants - Common Livestock")</f>
        <v>Constants - Common Livestock</v>
      </c>
    </row>
    <row r="41" spans="1:1" ht="20.100000000000001" customHeight="1" x14ac:dyDescent="0.25">
      <c r="A41" s="5" t="str">
        <f>HYPERLINK("#'Constants - Electricity'!A1", "Constants - Electricity")</f>
        <v>Constants - Electricity</v>
      </c>
    </row>
    <row r="42" spans="1:1" ht="20.100000000000001" customHeight="1" x14ac:dyDescent="0.25">
      <c r="A42" s="5" t="str">
        <f>HYPERLINK("#'Constants - Fertiliser'!A1", "Constants - Fertiliser")</f>
        <v>Constants - Fertiliser</v>
      </c>
    </row>
    <row r="43" spans="1:1" ht="20.100000000000001" customHeight="1" x14ac:dyDescent="0.25">
      <c r="A43" s="5" t="str">
        <f>HYPERLINK("#'Constants - Fuel'!A1", "Constants - Fuel")</f>
        <v>Constants - Fuel</v>
      </c>
    </row>
    <row r="44" spans="1:1" ht="20.100000000000001" customHeight="1" x14ac:dyDescent="0.25">
      <c r="A44" s="5" t="str">
        <f>HYPERLINK("#'Constants - Common'!A1", "Constants - Common")</f>
        <v>Constants - Common</v>
      </c>
    </row>
    <row r="45" spans="1:1" ht="20.100000000000001" customHeight="1" x14ac:dyDescent="0.25">
      <c r="A45" s="5" t="str">
        <f>HYPERLINK("#'Acknowledgements'!A1", "Acknowledgements")</f>
        <v>Acknowledgements</v>
      </c>
    </row>
    <row r="46" spans="1:1" ht="20.100000000000001" customHeight="1" x14ac:dyDescent="0.25">
      <c r="A46" s="5" t="str">
        <f>HYPERLINK("#'Overview'!A1", "Overview")</f>
        <v>Overview</v>
      </c>
    </row>
    <row r="47" spans="1:1" ht="20.100000000000001" customHeight="1" x14ac:dyDescent="0.25"/>
    <row r="48" spans="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C0A30-F43B-4FEB-A42D-FD1BFC546704}">
  <dimension ref="A1:U165"/>
  <sheetViews>
    <sheetView showGridLines="0" topLeftCell="A137" zoomScale="85" zoomScaleNormal="85" workbookViewId="0">
      <selection activeCell="A46" sqref="A46"/>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31" customFormat="1" ht="30" customHeight="1" x14ac:dyDescent="0.35">
      <c r="A1" s="16" t="e" vm="1">
        <v>#VALUE!</v>
      </c>
      <c r="C1" s="31" t="s">
        <v>595</v>
      </c>
    </row>
    <row r="2" spans="1:21" s="3" customFormat="1" ht="20.100000000000001" customHeight="1" x14ac:dyDescent="0.25">
      <c r="A2"/>
    </row>
    <row r="3" spans="1:21" ht="20.100000000000001" customHeight="1" x14ac:dyDescent="0.25">
      <c r="A3" s="5" t="str">
        <f>HYPERLINK("#'Home'!A1", "Home")</f>
        <v>Home</v>
      </c>
      <c r="C3" s="33"/>
      <c r="D3" s="33" t="s">
        <v>149</v>
      </c>
      <c r="E3" s="33"/>
      <c r="F3" s="33"/>
      <c r="G3" s="33"/>
      <c r="H3" s="33"/>
      <c r="I3" s="33"/>
      <c r="J3" s="33"/>
      <c r="K3" s="33"/>
      <c r="L3" s="33"/>
      <c r="N3" s="33"/>
      <c r="O3" s="33" t="s">
        <v>150</v>
      </c>
      <c r="P3" s="33"/>
      <c r="Q3" s="33"/>
      <c r="R3" s="33"/>
      <c r="S3" s="33"/>
      <c r="T3" s="33"/>
      <c r="U3" s="33"/>
    </row>
    <row r="4" spans="1:21" ht="20.100000000000001" customHeight="1" x14ac:dyDescent="0.25">
      <c r="A4" s="5" t="str">
        <f>HYPERLINK("#'Results'!A1", "Results")</f>
        <v>Results</v>
      </c>
    </row>
    <row r="5" spans="1:21" ht="20.100000000000001" customHeight="1" x14ac:dyDescent="0.25">
      <c r="D5" s="2" t="str" cm="1">
        <f t="array" ref="D5">Fertiliser_Equations_AtmosphericDeposition.VEERG_5_4_1_1__2_MassOfNitrogenVolatilisedFromInorganicFertiliser_Title()</f>
        <v>Mass of nitrogen volatilised from inorganic fertiliser applied to production system</v>
      </c>
    </row>
    <row r="6" spans="1:21" ht="20.100000000000001" customHeight="1" x14ac:dyDescent="0.25">
      <c r="D6" s="27" t="str" cm="1">
        <f t="array" ref="D6">Fertiliser_Equations_AtmosphericDeposition.VEERG_5_4_1_1__2_MassOfNitrogenVolatilisedFromInorganicFertiliser_Source()</f>
        <v>VEERG 2026: 5.4.1.1, Equation (2)</v>
      </c>
    </row>
    <row r="7" spans="1:21" ht="20.100000000000001" customHeight="1" x14ac:dyDescent="0.25">
      <c r="A7" s="7" t="s">
        <v>0</v>
      </c>
      <c r="D7" s="105" t="s">
        <v>261</v>
      </c>
      <c r="E7" s="105" t="str" cm="1">
        <f t="array" aca="1" ref="E7" ca="1">Common_InputFunctions.Utility_DisplayFunctionName(H19)</f>
        <v>=Fertiliser_Equations_AtmosphericDeposition.VEERG_5_4_1_1__2_MassOfNitrogenVolatilisedFromInorganicFertiliser</v>
      </c>
    </row>
    <row r="8" spans="1:21" ht="20.100000000000001" customHeight="1" x14ac:dyDescent="0.25">
      <c r="A8" s="5" t="str">
        <f>HYPERLINK("#'Input - Enterprise'!A1", "Enterprise")</f>
        <v>Enterprise</v>
      </c>
    </row>
    <row r="9" spans="1:21" ht="20.100000000000001" customHeight="1" x14ac:dyDescent="0.25">
      <c r="A9" s="5" t="str">
        <f>HYPERLINK("#'Input - Site'!A1", "Site")</f>
        <v>Site</v>
      </c>
    </row>
    <row r="10" spans="1:21" ht="20.100000000000001" customHeight="1" x14ac:dyDescent="0.25">
      <c r="A10" s="5" t="str">
        <f>HYPERLINK("#'Input - Pasture Beef'!A1", "Pasture Beef")</f>
        <v>Pasture Beef</v>
      </c>
      <c r="D10" s="88" t="s">
        <v>263</v>
      </c>
      <c r="E10" s="1" t="str" cm="1">
        <f t="array" ref="E10">Fertiliser_Equations_AtmosphericDeposition.VEERG_5_4_1_1__2_MassOfNitrogenVolatilisedFromInorganicFertiliser_Variable()</f>
        <v>M_volinorganicjf</v>
      </c>
    </row>
    <row r="11" spans="1:21" ht="20.100000000000001" customHeight="1" x14ac:dyDescent="0.25">
      <c r="A11" s="5" t="str">
        <f>HYPERLINK("#'Input - Pasture Beef (Enteric)'!A1", "Pasture Beef (Enteric)")</f>
        <v>Pasture Beef (Enteric)</v>
      </c>
      <c r="D11" s="88" t="s">
        <v>130</v>
      </c>
      <c r="E11" s="15" t="str" cm="1">
        <f t="array" ref="E11">Fertiliser_Equations_AtmosphericDeposition.VEERG_5_4_1_1__2_MassOfNitrogenVolatilisedFromInorganicFertiliser_Unit()</f>
        <v>kg N</v>
      </c>
    </row>
    <row r="12" spans="1:21" ht="20.100000000000001" customHeight="1" x14ac:dyDescent="0.25">
      <c r="A12" s="5" t="str">
        <f>HYPERLINK("#'Input - Pasture'!A1", "Pasture")</f>
        <v>Pasture</v>
      </c>
    </row>
    <row r="13" spans="1:21" ht="20.100000000000001" customHeight="1" x14ac:dyDescent="0.25">
      <c r="A13" s="5" t="str">
        <f>HYPERLINK("#'Input - Fertiliser'!A1", "Fertiliser")</f>
        <v>Fertiliser</v>
      </c>
      <c r="D13" s="107" t="str" cm="1">
        <f t="array" ref="D13:E14">_xlfn.CHOOSECOLS(Fertiliser_Equations_AtmosphericDeposition.VEERG_5_4_1_1__2_MassOfNitrogenVolatilisedFromInorganicFertiliser_Arguments(), 1, 2)</f>
        <v>MN_jf</v>
      </c>
      <c r="E13" s="108" t="str">
        <v>mass of nitrogen in inorganic fertiliser applied</v>
      </c>
      <c r="F13" s="110"/>
      <c r="G13" s="107" t="str" cm="1">
        <f t="array" ref="G13:H14">_xlfn.CHOOSECOLS(Fertiliser_Equations_AtmosphericDeposition.VEERG_5_4_1_1__2_MassOfNitrogenVolatilisedFromInorganicFertiliser_Arguments(), 3,4)</f>
        <v>kg N</v>
      </c>
      <c r="H13" s="112" t="str">
        <v>Calculated from 5.1.1.1 (2)</v>
      </c>
      <c r="I13" s="113" t="str" cm="1">
        <f t="array" aca="1" ref="I13" ca="1">HYPERLINK(Common_InputFunctions.Utility_SourceHyperlink($D$16),$D$16)</f>
        <v>Table_M_vol_inorganic_j_f</v>
      </c>
    </row>
    <row r="14" spans="1:21" ht="20.100000000000001" customHeight="1" x14ac:dyDescent="0.25">
      <c r="A14" s="5" t="str">
        <f>HYPERLINK("#'Input - Fuel'!A1", "Fuel")</f>
        <v>Fuel</v>
      </c>
      <c r="D14" s="107" t="str">
        <v>FracGASF_f</v>
      </c>
      <c r="E14" s="108" t="str">
        <v>fraction of inorganic fertiliser that volatilises</v>
      </c>
      <c r="F14" s="110"/>
      <c r="G14" s="107" t="str">
        <v>(kg NH3-N + NOx-N)/kg N</v>
      </c>
      <c r="H14" s="112" t="str">
        <v>Constant</v>
      </c>
      <c r="I14" s="113" t="str" cm="1">
        <f t="array" aca="1" ref="I14" ca="1">HYPERLINK(Common_InputFunctions.Utility_SourceHyperlink($D$16),$D$16)</f>
        <v>Table_M_vol_inorganic_j_f</v>
      </c>
    </row>
    <row r="15" spans="1:21" ht="20.100000000000001" customHeight="1" x14ac:dyDescent="0.25">
      <c r="A15" s="5" t="str">
        <f>HYPERLINK("#'Input - Electricity'!A1", "Electricity")</f>
        <v>Electricity</v>
      </c>
    </row>
    <row r="16" spans="1:21" ht="20.100000000000001" customHeight="1" x14ac:dyDescent="0.25">
      <c r="D16" s="114" t="s">
        <v>596</v>
      </c>
    </row>
    <row r="17" spans="1:8" ht="20.100000000000001" customHeight="1" x14ac:dyDescent="0.25">
      <c r="D17" s="115" t="s">
        <v>597</v>
      </c>
    </row>
    <row r="18" spans="1:8" ht="20.100000000000001" customHeight="1" x14ac:dyDescent="0.25">
      <c r="A18" s="6" t="s">
        <v>2</v>
      </c>
      <c r="D18" s="116" t="s">
        <v>598</v>
      </c>
      <c r="E18" s="116" t="s">
        <v>599</v>
      </c>
      <c r="F18" s="116" t="s">
        <v>600</v>
      </c>
      <c r="G18" s="183" t="s">
        <v>601</v>
      </c>
      <c r="H18" s="183" t="s">
        <v>602</v>
      </c>
    </row>
    <row r="19" spans="1:8" ht="20.100000000000001" customHeight="1" x14ac:dyDescent="0.25">
      <c r="A19" s="5" t="str">
        <f>HYPERLINK("#'3.2.1.1-2 Enteric Methane'!A1", "3.2.1.1-2 Enteric methane")</f>
        <v>3.2.1.1-2 Enteric methane</v>
      </c>
      <c r="D19" s="25" t="str" cm="1">
        <f t="array" ref="D19:D37">Table_Fertiliser_ChemicalCompounds[Fertiliser type f]</f>
        <v>Monoammonium phosphate (MAP)</v>
      </c>
      <c r="E19" s="25">
        <f>INDEX(Table_MN_j_f,2,4)</f>
        <v>0</v>
      </c>
      <c r="F19" s="25" t="str" cm="1">
        <f t="array" ref="F19">Common_InputFunctions.Utility_LookupValueInTable(D19, Table_Fertiliser_ChemicalCompounds[Fertiliser type f],Table_Fertiliser_ChemicalCompounds[Basis])</f>
        <v>Ammonium-based fertilisers</v>
      </c>
      <c r="G19" s="25" cm="1">
        <f t="array" ref="G19">Common_InputFunctions.Utility_LookupValueInTableNumber(F19, Table_SourceData_Fertiliser_FracGASF[Fertiliser type f],Table_SourceData_Fertiliser_FracGASF[FracGASF f])</f>
        <v>0.08</v>
      </c>
      <c r="H19" s="25" cm="1">
        <f t="array" ref="H19">Fertiliser_Equations_AtmosphericDeposition.VEERG_5_4_1_1__2_MassOfNitrogenVolatilisedFromInorganicFertiliser(E19,G19)</f>
        <v>0</v>
      </c>
    </row>
    <row r="20" spans="1:8" ht="20.100000000000001" customHeight="1" x14ac:dyDescent="0.25">
      <c r="A20" s="5" t="str">
        <f>HYPERLINK("#'4.2.1.1-2 Methane'!A1", "4.2.1.1-2 Manure methane")</f>
        <v>4.2.1.1-2 Manure methane</v>
      </c>
      <c r="D20" s="25" t="str">
        <v>Diammonium phosphate (DAP)</v>
      </c>
      <c r="E20" s="25">
        <f>INDEX(Table_MN_j_f,3,4)</f>
        <v>0</v>
      </c>
      <c r="F20" s="25" t="str" cm="1">
        <f t="array" ref="F20">Common_InputFunctions.Utility_LookupValueInTable(D20, Table_Fertiliser_ChemicalCompounds[Fertiliser type f],Table_Fertiliser_ChemicalCompounds[Basis])</f>
        <v>Ammonium-based fertilisers</v>
      </c>
      <c r="G20" s="25" cm="1">
        <f t="array" ref="G20">Common_InputFunctions.Utility_LookupValueInTableNumber(F20, Table_SourceData_Fertiliser_FracGASF[Fertiliser type f],Table_SourceData_Fertiliser_FracGASF[FracGASF f])</f>
        <v>0.08</v>
      </c>
      <c r="H20" s="25" cm="1">
        <f t="array" ref="H20">Fertiliser_Equations_AtmosphericDeposition.VEERG_5_4_1_1__2_MassOfNitrogenVolatilisedFromInorganicFertiliser(E20,G20)</f>
        <v>0</v>
      </c>
    </row>
    <row r="21" spans="1:8" ht="20.100000000000001" customHeight="1" x14ac:dyDescent="0.25">
      <c r="A21" s="5" t="str">
        <f>HYPERLINK("#'4.2.1.3-4 Soil direct N20'!A1", "4.2.1.3-4 Soil direct N2O")</f>
        <v>4.2.1.3-4 Soil direct N2O</v>
      </c>
      <c r="D21" s="25" t="str">
        <v>Urea</v>
      </c>
      <c r="E21" s="25">
        <f>INDEX(Table_MN_j_f,4,4)</f>
        <v>4600</v>
      </c>
      <c r="F21" s="25" t="str" cm="1">
        <f t="array" ref="F21">Common_InputFunctions.Utility_LookupValueInTable(D21, Table_Fertiliser_ChemicalCompounds[Fertiliser type f],Table_Fertiliser_ChemicalCompounds[Basis])</f>
        <v>Urea-based fertilisers</v>
      </c>
      <c r="G21" s="25" cm="1">
        <f t="array" ref="G21">Common_InputFunctions.Utility_LookupValueInTableNumber(F21, Table_SourceData_Fertiliser_FracGASF[Fertiliser type f],Table_SourceData_Fertiliser_FracGASF[FracGASF f])</f>
        <v>0.15</v>
      </c>
      <c r="H21" s="25" cm="1">
        <f t="array" ref="H21">Fertiliser_Equations_AtmosphericDeposition.VEERG_5_4_1_1__2_MassOfNitrogenVolatilisedFromInorganicFertiliser(E21,G21)</f>
        <v>690</v>
      </c>
    </row>
    <row r="22" spans="1:8" ht="20.100000000000001" customHeight="1" x14ac:dyDescent="0.25">
      <c r="A22" s="5" t="str">
        <f>HYPERLINK("#'4.2.1.5-6 Soil Atmos Dep'!A1", "4.2.1.5-6 Soil atm. deposition")</f>
        <v>4.2.1.5-6 Soil atm. deposition</v>
      </c>
      <c r="D22" s="25" t="str">
        <v>Sulphate of ammonia (SOA)</v>
      </c>
      <c r="E22" s="25">
        <f>INDEX(Table_MN_j_f,5,4)</f>
        <v>0</v>
      </c>
      <c r="F22" s="25" t="str" cm="1">
        <f t="array" ref="F22">Common_InputFunctions.Utility_LookupValueInTable(D22, Table_Fertiliser_ChemicalCompounds[Fertiliser type f],Table_Fertiliser_ChemicalCompounds[Basis])</f>
        <v>Ammonium-based fertilisers</v>
      </c>
      <c r="G22" s="25" cm="1">
        <f t="array" ref="G22">Common_InputFunctions.Utility_LookupValueInTableNumber(F22, Table_SourceData_Fertiliser_FracGASF[Fertiliser type f],Table_SourceData_Fertiliser_FracGASF[FracGASF f])</f>
        <v>0.08</v>
      </c>
      <c r="H22" s="25" cm="1">
        <f t="array" ref="H22">Fertiliser_Equations_AtmosphericDeposition.VEERG_5_4_1_1__2_MassOfNitrogenVolatilisedFromInorganicFertiliser(E22,G22)</f>
        <v>0</v>
      </c>
    </row>
    <row r="23" spans="1:8" ht="20.100000000000001" customHeight="1" x14ac:dyDescent="0.25">
      <c r="A23" s="5" t="str">
        <f>HYPERLINK("#'4.2.1.7-8 Soil leach runoff'!A1", "4.2.1.7-8 Soil leach &amp; runoff")</f>
        <v>4.2.1.7-8 Soil leach &amp; runoff</v>
      </c>
      <c r="D23" s="25" t="str">
        <v>Urea-ammonium nitrate (UAN)</v>
      </c>
      <c r="E23" s="25">
        <f>INDEX(Table_MN_j_f,6,4)</f>
        <v>0</v>
      </c>
      <c r="F23" s="25" t="str" cm="1">
        <f t="array" ref="F23">Common_InputFunctions.Utility_LookupValueInTable(D23, Table_Fertiliser_ChemicalCompounds[Fertiliser type f],Table_Fertiliser_ChemicalCompounds[Basis])</f>
        <v>Urea-based fertilisers</v>
      </c>
      <c r="G23" s="25" cm="1">
        <f t="array" ref="G23">Common_InputFunctions.Utility_LookupValueInTableNumber(F23, Table_SourceData_Fertiliser_FracGASF[Fertiliser type f],Table_SourceData_Fertiliser_FracGASF[FracGASF f])</f>
        <v>0.15</v>
      </c>
      <c r="H23" s="25" cm="1">
        <f t="array" ref="H23">Fertiliser_Equations_AtmosphericDeposition.VEERG_5_4_1_1__2_MassOfNitrogenVolatilisedFromInorganicFertiliser(E23,G23)</f>
        <v>0</v>
      </c>
    </row>
    <row r="24" spans="1:8" ht="20.100000000000001" customHeight="1" x14ac:dyDescent="0.25">
      <c r="A24" s="5" t="str">
        <f>HYPERLINK("#'5.1.1.1-2 Inorganic fert N2O'!A1", "5.1.1.1-2 Inorganic fert N2O")</f>
        <v>5.1.1.1-2 Inorganic fert N2O</v>
      </c>
      <c r="D24" s="25" t="str">
        <v>Ammonium nitrate (AN)</v>
      </c>
      <c r="E24" s="25">
        <f>INDEX(Table_MN_j_f,7,4)</f>
        <v>0</v>
      </c>
      <c r="F24" s="25" t="str" cm="1">
        <f t="array" ref="F24">Common_InputFunctions.Utility_LookupValueInTable(D24, Table_Fertiliser_ChemicalCompounds[Fertiliser type f],Table_Fertiliser_ChemicalCompounds[Basis])</f>
        <v>Ammonium-nitrate based fertilisers</v>
      </c>
      <c r="G24" s="25" cm="1">
        <f t="array" ref="G24">Common_InputFunctions.Utility_LookupValueInTableNumber(F24, Table_SourceData_Fertiliser_FracGASF[Fertiliser type f],Table_SourceData_Fertiliser_FracGASF[FracGASF f])</f>
        <v>0.05</v>
      </c>
      <c r="H24" s="25" cm="1">
        <f t="array" ref="H24">Fertiliser_Equations_AtmosphericDeposition.VEERG_5_4_1_1__2_MassOfNitrogenVolatilisedFromInorganicFertiliser(E24,G24)</f>
        <v>0</v>
      </c>
    </row>
    <row r="25" spans="1:8" ht="20.100000000000001" customHeight="1" x14ac:dyDescent="0.25">
      <c r="A25" s="5" t="str">
        <f>HYPERLINK("#'5.1.1.3-4 Inorganic fert CO2'!A1", "5.1.1.3-4 Inorganic fert CO2")</f>
        <v>5.1.1.3-4 Inorganic fert CO2</v>
      </c>
      <c r="D25" s="25" t="str">
        <v>Calcium ammonium nitrate (CAN)</v>
      </c>
      <c r="E25" s="25">
        <f>INDEX(Table_MN_j_f,8,4)</f>
        <v>0</v>
      </c>
      <c r="F25" s="25" t="str" cm="1">
        <f t="array" ref="F25">Common_InputFunctions.Utility_LookupValueInTable(D25, Table_Fertiliser_ChemicalCompounds[Fertiliser type f],Table_Fertiliser_ChemicalCompounds[Basis])</f>
        <v>Ammonium-nitrate based fertilisers</v>
      </c>
      <c r="G25" s="25" cm="1">
        <f t="array" ref="G25">Common_InputFunctions.Utility_LookupValueInTableNumber(F25, Table_SourceData_Fertiliser_FracGASF[Fertiliser type f],Table_SourceData_Fertiliser_FracGASF[FracGASF f])</f>
        <v>0.05</v>
      </c>
      <c r="H25" s="25" cm="1">
        <f t="array" ref="H25">Fertiliser_Equations_AtmosphericDeposition.VEERG_5_4_1_1__2_MassOfNitrogenVolatilisedFromInorganicFertiliser(E25,G25)</f>
        <v>0</v>
      </c>
    </row>
    <row r="26" spans="1:8" ht="20.100000000000001" customHeight="1" x14ac:dyDescent="0.25">
      <c r="A26" s="5" t="str">
        <f>HYPERLINK("#'5.2.1.1-2 Organic Fert N2O'!A1", "5.2.1.1-2 Organic fert N2O")</f>
        <v>5.2.1.1-2 Organic fert N2O</v>
      </c>
      <c r="D26" s="25" t="str">
        <v>Nitrogen - Ammoniacal</v>
      </c>
      <c r="E26" s="25">
        <f>INDEX(Table_MN_j_f,9,4)</f>
        <v>0</v>
      </c>
      <c r="F26" s="25" t="str" cm="1">
        <f t="array" ref="F26">Common_InputFunctions.Utility_LookupValueInTable(D26, Table_Fertiliser_ChemicalCompounds[Fertiliser type f],Table_Fertiliser_ChemicalCompounds[Basis])</f>
        <v>Ammonium-based fertilisers</v>
      </c>
      <c r="G26" s="25" cm="1">
        <f t="array" ref="G26">Common_InputFunctions.Utility_LookupValueInTableNumber(F26, Table_SourceData_Fertiliser_FracGASF[Fertiliser type f],Table_SourceData_Fertiliser_FracGASF[FracGASF f])</f>
        <v>0.08</v>
      </c>
      <c r="H26" s="25" cm="1">
        <f t="array" ref="H26">Fertiliser_Equations_AtmosphericDeposition.VEERG_5_4_1_1__2_MassOfNitrogenVolatilisedFromInorganicFertiliser(E26,G26)</f>
        <v>0</v>
      </c>
    </row>
    <row r="27" spans="1:8" ht="20.100000000000001" customHeight="1" x14ac:dyDescent="0.25">
      <c r="A27" s="5" t="str">
        <f>HYPERLINK("#'5.3.1.1-2 Lime CO2'!A1", "5.3.1.1-2 Lime CO2")</f>
        <v>5.3.1.1-2 Lime CO2</v>
      </c>
      <c r="D27" s="25" t="str">
        <v>Nitrogen - Nitrate</v>
      </c>
      <c r="E27" s="25">
        <f>INDEX(Table_MN_j_f,10,4)</f>
        <v>1980</v>
      </c>
      <c r="F27" s="25" t="str" cm="1">
        <f t="array" ref="F27">Common_InputFunctions.Utility_LookupValueInTable(D27, Table_Fertiliser_ChemicalCompounds[Fertiliser type f],Table_Fertiliser_ChemicalCompounds[Basis])</f>
        <v>Nitrate-based fertilisers</v>
      </c>
      <c r="G27" s="25" cm="1">
        <f t="array" ref="G27">Common_InputFunctions.Utility_LookupValueInTableNumber(F27, Table_SourceData_Fertiliser_FracGASF[Fertiliser type f],Table_SourceData_Fertiliser_FracGASF[FracGASF f])</f>
        <v>0.01</v>
      </c>
      <c r="H27" s="25" cm="1">
        <f t="array" ref="H27">Fertiliser_Equations_AtmosphericDeposition.VEERG_5_4_1_1__2_MassOfNitrogenVolatilisedFromInorganicFertiliser(E27,G27)</f>
        <v>19.8</v>
      </c>
    </row>
    <row r="28" spans="1:8" ht="20.100000000000001" customHeight="1" x14ac:dyDescent="0.25">
      <c r="A28" s="106" t="str">
        <f>HYPERLINK("#'5.4.1.1-4 Atmos deposition'!A1", "5.4.1.1-4 Atmos. deposition")</f>
        <v>5.4.1.1-4 Atmos. deposition</v>
      </c>
      <c r="D28" s="25" t="str">
        <v>Nitrogen - Generic</v>
      </c>
      <c r="E28" s="25">
        <f>INDEX(Table_MN_j_f,11,4)</f>
        <v>1537.2</v>
      </c>
      <c r="F28" s="25" t="str" cm="1">
        <f t="array" ref="F28">Common_InputFunctions.Utility_LookupValueInTable(D28, Table_Fertiliser_ChemicalCompounds[Fertiliser type f],Table_Fertiliser_ChemicalCompounds[Basis])</f>
        <v>Urea-based fertilisers</v>
      </c>
      <c r="G28" s="25" cm="1">
        <f t="array" ref="G28">Common_InputFunctions.Utility_LookupValueInTableNumber(F28, Table_SourceData_Fertiliser_FracGASF[Fertiliser type f],Table_SourceData_Fertiliser_FracGASF[FracGASF f])</f>
        <v>0.15</v>
      </c>
      <c r="H28" s="25" cm="1">
        <f t="array" ref="H28">Fertiliser_Equations_AtmosphericDeposition.VEERG_5_4_1_1__2_MassOfNitrogenVolatilisedFromInorganicFertiliser(E28,G28)</f>
        <v>230.57999999999998</v>
      </c>
    </row>
    <row r="29" spans="1:8" ht="20.100000000000001" customHeight="1" x14ac:dyDescent="0.25">
      <c r="A29" s="5" t="str">
        <f>HYPERLINK("#'5.5.1.1-2 Leaching and runoff'!A1", "5.5.1.1-2 Leaching &amp; runoff")</f>
        <v>5.5.1.1-2 Leaching &amp; runoff</v>
      </c>
      <c r="D29" s="25" t="str">
        <v>Phosphorus - Generic</v>
      </c>
      <c r="E29" s="25">
        <f>INDEX(Table_MN_j_f,12,4)</f>
        <v>0</v>
      </c>
      <c r="F29" s="25" t="str" cm="1">
        <f t="array" ref="F29">Common_InputFunctions.Utility_LookupValueInTable(D29, Table_Fertiliser_ChemicalCompounds[Fertiliser type f],Table_Fertiliser_ChemicalCompounds[Basis])</f>
        <v>Other fertilisers</v>
      </c>
      <c r="G29" s="25" cm="1">
        <f t="array" ref="G29">Common_InputFunctions.Utility_LookupValueInTableNumber(F29, Table_SourceData_Fertiliser_FracGASF[Fertiliser type f],Table_SourceData_Fertiliser_FracGASF[FracGASF f])</f>
        <v>0.11</v>
      </c>
      <c r="H29" s="25" cm="1">
        <f t="array" ref="H29">Fertiliser_Equations_AtmosphericDeposition.VEERG_5_4_1_1__2_MassOfNitrogenVolatilisedFromInorganicFertiliser(E29,G29)</f>
        <v>0</v>
      </c>
    </row>
    <row r="30" spans="1:8" ht="20.100000000000001" customHeight="1" x14ac:dyDescent="0.25">
      <c r="A30" s="5" t="str">
        <f>HYPERLINK("#'6.2.1.1-2 Pasture residue N2O'!A1", "6.2.1.1-2 Pasture residue N2O")</f>
        <v>6.2.1.1-2 Pasture residue N2O</v>
      </c>
      <c r="D30" s="25" t="str">
        <v>Potassium - Generic</v>
      </c>
      <c r="E30" s="25">
        <f>INDEX(Table_MN_j_f,13,4)</f>
        <v>0</v>
      </c>
      <c r="F30" s="25" t="str" cm="1">
        <f t="array" ref="F30">Common_InputFunctions.Utility_LookupValueInTable(D30, Table_Fertiliser_ChemicalCompounds[Fertiliser type f],Table_Fertiliser_ChemicalCompounds[Basis])</f>
        <v>Other fertilisers</v>
      </c>
      <c r="G30" s="25" cm="1">
        <f t="array" ref="G30">Common_InputFunctions.Utility_LookupValueInTableNumber(F30, Table_SourceData_Fertiliser_FracGASF[Fertiliser type f],Table_SourceData_Fertiliser_FracGASF[FracGASF f])</f>
        <v>0.11</v>
      </c>
      <c r="H30" s="25" cm="1">
        <f t="array" ref="H30">Fertiliser_Equations_AtmosphericDeposition.VEERG_5_4_1_1__2_MassOfNitrogenVolatilisedFromInorganicFertiliser(E30,G30)</f>
        <v>0</v>
      </c>
    </row>
    <row r="31" spans="1:8" ht="20.100000000000001" customHeight="1" x14ac:dyDescent="0.25">
      <c r="A31" s="5" t="str">
        <f>HYPERLINK("#'6.3.1.1-2 Leach runoff pasture'!A1", "6.3.1.1-2 Leach &amp; runoff (pasture)")</f>
        <v>6.3.1.1-2 Leach &amp; runoff (pasture)</v>
      </c>
      <c r="D31" s="25" t="str">
        <v>Sulfur - Generic</v>
      </c>
      <c r="E31" s="25">
        <f>INDEX(Table_MN_j_f,14,4)</f>
        <v>0</v>
      </c>
      <c r="F31" s="25" t="str" cm="1">
        <f t="array" ref="F31">Common_InputFunctions.Utility_LookupValueInTable(D31, Table_Fertiliser_ChemicalCompounds[Fertiliser type f],Table_Fertiliser_ChemicalCompounds[Basis])</f>
        <v>Other fertilisers</v>
      </c>
      <c r="G31" s="25" cm="1">
        <f t="array" ref="G31">Common_InputFunctions.Utility_LookupValueInTableNumber(F31, Table_SourceData_Fertiliser_FracGASF[Fertiliser type f],Table_SourceData_Fertiliser_FracGASF[FracGASF f])</f>
        <v>0.11</v>
      </c>
      <c r="H31" s="25" cm="1">
        <f t="array" ref="H31">Fertiliser_Equations_AtmosphericDeposition.VEERG_5_4_1_1__2_MassOfNitrogenVolatilisedFromInorganicFertiliser(E31,G31)</f>
        <v>0</v>
      </c>
    </row>
    <row r="32" spans="1:8" ht="20.100000000000001" customHeight="1" x14ac:dyDescent="0.25">
      <c r="A32" s="5" t="str">
        <f>HYPERLINK("#'8.1.1.1-2 Transport fuel'!A1", "8.1.1.1-2 Transport fuel")</f>
        <v>8.1.1.1-2 Transport fuel</v>
      </c>
      <c r="D32" s="25" t="str">
        <v>Zinc - Generic</v>
      </c>
      <c r="E32" s="25">
        <f>INDEX(Table_MN_j_f,15,4)</f>
        <v>0</v>
      </c>
      <c r="F32" s="25" t="str" cm="1">
        <f t="array" ref="F32">Common_InputFunctions.Utility_LookupValueInTable(D32, Table_Fertiliser_ChemicalCompounds[Fertiliser type f],Table_Fertiliser_ChemicalCompounds[Basis])</f>
        <v>Other fertilisers</v>
      </c>
      <c r="G32" s="25" cm="1">
        <f t="array" ref="G32">Common_InputFunctions.Utility_LookupValueInTableNumber(F32, Table_SourceData_Fertiliser_FracGASF[Fertiliser type f],Table_SourceData_Fertiliser_FracGASF[FracGASF f])</f>
        <v>0.11</v>
      </c>
      <c r="H32" s="25" cm="1">
        <f t="array" ref="H32">Fertiliser_Equations_AtmosphericDeposition.VEERG_5_4_1_1__2_MassOfNitrogenVolatilisedFromInorganicFertiliser(E32,G32)</f>
        <v>0</v>
      </c>
    </row>
    <row r="33" spans="1:12" ht="20.100000000000001" customHeight="1" x14ac:dyDescent="0.25">
      <c r="A33" s="5" t="str">
        <f>HYPERLINK("#'8.2.1.1-2 Stationary fuel'!A1", "8.2.1.1-2 Stationary fuel")</f>
        <v>8.2.1.1-2 Stationary fuel</v>
      </c>
      <c r="D33" s="25" t="str">
        <v>Muriate of potash (MOP)</v>
      </c>
      <c r="E33" s="25">
        <f>INDEX(Table_MN_j_f,16,4)</f>
        <v>0</v>
      </c>
      <c r="F33" s="25" t="str" cm="1">
        <f t="array" ref="F33">Common_InputFunctions.Utility_LookupValueInTable(D33, Table_Fertiliser_ChemicalCompounds[Fertiliser type f],Table_Fertiliser_ChemicalCompounds[Basis])</f>
        <v>Other fertilisers</v>
      </c>
      <c r="G33" s="25" cm="1">
        <f t="array" ref="G33">Common_InputFunctions.Utility_LookupValueInTableNumber(F33, Table_SourceData_Fertiliser_FracGASF[Fertiliser type f],Table_SourceData_Fertiliser_FracGASF[FracGASF f])</f>
        <v>0.11</v>
      </c>
      <c r="H33" s="25" cm="1">
        <f t="array" ref="H33">Fertiliser_Equations_AtmosphericDeposition.VEERG_5_4_1_1__2_MassOfNitrogenVolatilisedFromInorganicFertiliser(E33,G33)</f>
        <v>0</v>
      </c>
    </row>
    <row r="34" spans="1:12" ht="20.100000000000001" customHeight="1" x14ac:dyDescent="0.25">
      <c r="A34" s="5" t="str">
        <f>HYPERLINK("#'14.1.1-2 Purchased electricity'!A1", "14.1.1-2 Purchased electricity")</f>
        <v>14.1.1-2 Purchased electricity</v>
      </c>
      <c r="D34" s="25" t="str">
        <v>Double superphosphate</v>
      </c>
      <c r="E34" s="25">
        <f>INDEX(Table_MN_j_f,17,4)</f>
        <v>0</v>
      </c>
      <c r="F34" s="25" t="str" cm="1">
        <f t="array" ref="F34">Common_InputFunctions.Utility_LookupValueInTable(D34, Table_Fertiliser_ChemicalCompounds[Fertiliser type f],Table_Fertiliser_ChemicalCompounds[Basis])</f>
        <v>Other fertilisers</v>
      </c>
      <c r="G34" s="25" cm="1">
        <f t="array" ref="G34">Common_InputFunctions.Utility_LookupValueInTableNumber(F34, Table_SourceData_Fertiliser_FracGASF[Fertiliser type f],Table_SourceData_Fertiliser_FracGASF[FracGASF f])</f>
        <v>0.11</v>
      </c>
      <c r="H34" s="25" cm="1">
        <f t="array" ref="H34">Fertiliser_Equations_AtmosphericDeposition.VEERG_5_4_1_1__2_MassOfNitrogenVolatilisedFromInorganicFertiliser(E34,G34)</f>
        <v>0</v>
      </c>
    </row>
    <row r="35" spans="1:12" ht="20.100000000000001" customHeight="1" x14ac:dyDescent="0.25">
      <c r="D35" s="25" t="str">
        <v>Single superphosphate (SSP)</v>
      </c>
      <c r="E35" s="25">
        <f>INDEX(Table_MN_j_f,18,4)</f>
        <v>0</v>
      </c>
      <c r="F35" s="25" t="str" cm="1">
        <f t="array" ref="F35">Common_InputFunctions.Utility_LookupValueInTable(D35, Table_Fertiliser_ChemicalCompounds[Fertiliser type f],Table_Fertiliser_ChemicalCompounds[Basis])</f>
        <v>Other fertilisers</v>
      </c>
      <c r="G35" s="25" cm="1">
        <f t="array" ref="G35">Common_InputFunctions.Utility_LookupValueInTableNumber(F35, Table_SourceData_Fertiliser_FracGASF[Fertiliser type f],Table_SourceData_Fertiliser_FracGASF[FracGASF f])</f>
        <v>0.11</v>
      </c>
      <c r="H35" s="25" cm="1">
        <f t="array" ref="H35">Fertiliser_Equations_AtmosphericDeposition.VEERG_5_4_1_1__2_MassOfNitrogenVolatilisedFromInorganicFertiliser(E35,G35)</f>
        <v>0</v>
      </c>
    </row>
    <row r="36" spans="1:12" ht="20.100000000000001" customHeight="1" x14ac:dyDescent="0.25">
      <c r="D36" s="25" t="str">
        <v>Ammonia</v>
      </c>
      <c r="E36" s="25">
        <f>INDEX(Table_MN_j_f,19,4)</f>
        <v>4117.5</v>
      </c>
      <c r="F36" s="25" t="str" cm="1">
        <f t="array" ref="F36">Common_InputFunctions.Utility_LookupValueInTable(D36, Table_Fertiliser_ChemicalCompounds[Fertiliser type f],Table_Fertiliser_ChemicalCompounds[Basis])</f>
        <v>Ammonium-based fertilisers</v>
      </c>
      <c r="G36" s="25" cm="1">
        <f t="array" ref="G36">Common_InputFunctions.Utility_LookupValueInTableNumber(F36, Table_SourceData_Fertiliser_FracGASF[Fertiliser type f],Table_SourceData_Fertiliser_FracGASF[FracGASF f])</f>
        <v>0.08</v>
      </c>
      <c r="H36" s="25" cm="1">
        <f t="array" ref="H36">Fertiliser_Equations_AtmosphericDeposition.VEERG_5_4_1_1__2_MassOfNitrogenVolatilisedFromInorganicFertiliser(E36,G36)</f>
        <v>329.40000000000003</v>
      </c>
    </row>
    <row r="37" spans="1:12" ht="20.100000000000001" customHeight="1" x14ac:dyDescent="0.25">
      <c r="A37" s="251" t="s">
        <v>1</v>
      </c>
      <c r="D37" s="25" t="str">
        <v>Calcium nitrate</v>
      </c>
      <c r="E37" s="25">
        <f>INDEX(Table_MN_j_f,20,4)</f>
        <v>775</v>
      </c>
      <c r="F37" s="25" t="str" cm="1">
        <f t="array" ref="F37">Common_InputFunctions.Utility_LookupValueInTable(D37, Table_Fertiliser_ChemicalCompounds[Fertiliser type f],Table_Fertiliser_ChemicalCompounds[Basis])</f>
        <v>Nitrate-based fertilisers</v>
      </c>
      <c r="G37" s="25" cm="1">
        <f t="array" ref="G37">Common_InputFunctions.Utility_LookupValueInTableNumber(F37, Table_SourceData_Fertiliser_FracGASF[Fertiliser type f],Table_SourceData_Fertiliser_FracGASF[FracGASF f])</f>
        <v>0.01</v>
      </c>
      <c r="H37" s="25" cm="1">
        <f t="array" ref="H37">Fertiliser_Equations_AtmosphericDeposition.VEERG_5_4_1_1__2_MassOfNitrogenVolatilisedFromInorganicFertiliser(E37,G37)</f>
        <v>7.75</v>
      </c>
    </row>
    <row r="38" spans="1:12" ht="20.100000000000001" customHeight="1" x14ac:dyDescent="0.25">
      <c r="A38" s="5" t="str">
        <f>HYPERLINK("#'Constants - Pasture Beef'!A1", "Constants - Pasture Beef")</f>
        <v>Constants - Pasture Beef</v>
      </c>
    </row>
    <row r="39" spans="1:12" ht="20.100000000000001" customHeight="1" x14ac:dyDescent="0.25">
      <c r="A39" s="5" t="str">
        <f>HYPERLINK("#'Constants - Ag Residue'!A1", "Constants - Ag residue")</f>
        <v>Constants - Ag residue</v>
      </c>
    </row>
    <row r="40" spans="1:12" ht="20.100000000000001" customHeight="1" x14ac:dyDescent="0.25">
      <c r="A40" s="5" t="str">
        <f>HYPERLINK("#'Constants - Common Livestock'!A1", "Constants - Common Livestock")</f>
        <v>Constants - Common Livestock</v>
      </c>
      <c r="C40" s="179"/>
      <c r="D40" s="179"/>
      <c r="E40" s="179"/>
      <c r="F40" s="179"/>
      <c r="G40" s="179"/>
      <c r="H40" s="179"/>
      <c r="I40" s="179"/>
      <c r="J40" s="179"/>
      <c r="K40" s="179"/>
      <c r="L40" s="179"/>
    </row>
    <row r="41" spans="1:12" ht="20.100000000000001" customHeight="1" x14ac:dyDescent="0.25">
      <c r="A41" s="5" t="str">
        <f>HYPERLINK("#'Constants - Electricity'!A1", "Constants - Electricity")</f>
        <v>Constants - Electricity</v>
      </c>
      <c r="D41" s="2" t="str" cm="1">
        <f t="array" ref="D41">Fertiliser_Equations_AtmosphericDeposition.VEERG_5_4_1_1__1_InorganicFertiliserAtmosphericDepositionN2OEmissions_Title()</f>
        <v>Nitrous oxide emissions from atmospheric deposition from all inorganic fertiliser types f and all production systems j</v>
      </c>
    </row>
    <row r="42" spans="1:12" ht="20.100000000000001" customHeight="1" x14ac:dyDescent="0.25">
      <c r="A42" s="5" t="str">
        <f>HYPERLINK("#'Constants - Fertiliser'!A1", "Constants - Fertiliser")</f>
        <v>Constants - Fertiliser</v>
      </c>
      <c r="D42" s="27" t="str" cm="1">
        <f t="array" ref="D42">Fertiliser_Equations_AtmosphericDeposition.VEERG_5_4_1_1__1_InorganicFertiliserAtmosphericDepositionN2OEmissions_Source()</f>
        <v>VEERG 2026: 5.4.1.1, Equation (1)</v>
      </c>
    </row>
    <row r="43" spans="1:12" ht="20.100000000000001" customHeight="1" x14ac:dyDescent="0.25">
      <c r="A43" s="5" t="str">
        <f>HYPERLINK("#'Constants - Fuel'!A1", "Constants - Fuel")</f>
        <v>Constants - Fuel</v>
      </c>
      <c r="D43" s="105" t="s">
        <v>261</v>
      </c>
      <c r="E43" s="105" t="str" cm="1">
        <f t="array" aca="1" ref="E43" ca="1">Common_InputFunctions.Utility_DisplayFunctionName(F59)</f>
        <v>=Fertiliser_Equations_AtmosphericDeposition.VEERG_5_4_1_1__1_InorganicFertiliserAtmosphericDepositionN2OEmissions</v>
      </c>
    </row>
    <row r="44" spans="1:12" ht="20.100000000000001" customHeight="1" x14ac:dyDescent="0.25">
      <c r="A44" s="5" t="str">
        <f>HYPERLINK("#'Constants - Common'!A1", "Constants - Common")</f>
        <v>Constants - Common</v>
      </c>
    </row>
    <row r="45" spans="1:12" ht="20.100000000000001" customHeight="1" x14ac:dyDescent="0.25">
      <c r="A45" s="5" t="str">
        <f>HYPERLINK("#'Acknowledgements'!A1", "Acknowledgements")</f>
        <v>Acknowledgements</v>
      </c>
    </row>
    <row r="46" spans="1:12" ht="20.100000000000001" customHeight="1" x14ac:dyDescent="0.25">
      <c r="A46" s="5" t="str">
        <f>HYPERLINK("#'Overview'!A1", "Overview")</f>
        <v>Overview</v>
      </c>
      <c r="D46" s="88" t="s">
        <v>263</v>
      </c>
      <c r="E46" s="1" t="str" cm="1">
        <f t="array" ref="E46">Fertiliser_Equations_AtmosphericDeposition.VEERG_5_4_1_1__1_InorganicFertiliserAtmosphericDepositionN2OEmissions_Variable()</f>
        <v>E_adinorganic</v>
      </c>
    </row>
    <row r="47" spans="1:12" ht="20.100000000000001" customHeight="1" x14ac:dyDescent="0.25">
      <c r="D47" s="88" t="s">
        <v>130</v>
      </c>
      <c r="E47" s="15" t="str" cm="1">
        <f t="array" ref="E47">Fertiliser_Equations_AtmosphericDeposition.VEERG_5_4_1_1__1_InorganicFertiliserAtmosphericDepositionN2OEmissions_Unit()</f>
        <v>t N2O</v>
      </c>
    </row>
    <row r="48" spans="1:12" ht="20.100000000000001" customHeight="1" x14ac:dyDescent="0.25"/>
    <row r="49" spans="4:10" ht="20.100000000000001" customHeight="1" x14ac:dyDescent="0.25">
      <c r="D49" s="107" t="str" cm="1">
        <f t="array" ref="D49:E54">_xlfn.CHOOSECOLS(Fertiliser_Equations_AtmosphericDeposition.VEERG_5_4_1_1__1_InorganicFertiliserAtmosphericDepositionN2OEmissions_Arguments(), 1, 2)</f>
        <v>M_volinorganicjf</v>
      </c>
      <c r="E49" s="108" t="str">
        <v>mass of nitrogen volatilised from inorganic fertiliser applied to production system</v>
      </c>
      <c r="F49" s="109"/>
      <c r="G49" s="110"/>
      <c r="H49" s="107" t="str" cm="1">
        <f t="array" ref="H49:I54">_xlfn.CHOOSECOLS(Fertiliser_Equations_AtmosphericDeposition.VEERG_5_4_1_1__1_InorganicFertiliserAtmosphericDepositionN2OEmissions_Arguments(), 3,4)</f>
        <v>kg N</v>
      </c>
      <c r="I49" s="112" t="str">
        <v>Calculated from 5.4.1.1 (2)</v>
      </c>
      <c r="J49" s="113" t="str" cm="1">
        <f t="array" aca="1" ref="J49" ca="1">HYPERLINK(Common_InputFunctions.Utility_SourceHyperlink($D$16),$D$16)</f>
        <v>Table_M_vol_inorganic_j_f</v>
      </c>
    </row>
    <row r="50" spans="4:10" ht="20.100000000000001" customHeight="1" x14ac:dyDescent="0.25">
      <c r="D50" s="107" t="str">
        <v>EF_N2Oj</v>
      </c>
      <c r="E50" s="108" t="str">
        <v>emission factor for atmospheric deposition</v>
      </c>
      <c r="F50" s="109"/>
      <c r="G50" s="110"/>
      <c r="H50" s="107" t="str">
        <v>kg N2O-N/kg N</v>
      </c>
      <c r="I50" s="112" t="str">
        <v>Constant</v>
      </c>
      <c r="J50" s="107">
        <f>Common_InputFunctions.Utility_LookupN2OEFFromProdIrrigationRainfall(J52,J53,J54,Table_SourceData_Common_EFN2O[Production system only],Table_SourceData_Common_EFN2O[Irrigation method],Table_SourceData_Common_EFN2O[Rainfall zone],Table_SourceData_Common_EFN2O[EFN2O])</f>
        <v>7.0000000000000001E-3</v>
      </c>
    </row>
    <row r="51" spans="4:10" ht="20.100000000000001" customHeight="1" x14ac:dyDescent="0.25">
      <c r="D51" s="107" t="str">
        <v>C_N2O</v>
      </c>
      <c r="E51" s="108" t="str">
        <v>factor to convert elemental mass of nitrous oxide to molecular mass</v>
      </c>
      <c r="F51" s="109"/>
      <c r="G51" s="110"/>
      <c r="H51" s="107" t="str">
        <v/>
      </c>
      <c r="I51" s="112" t="str">
        <v>Constant</v>
      </c>
      <c r="J51" s="122">
        <f>Common_InputFunctions.Utility_LookupValueInTableNumber("N2O",Table_GasToMolecularConversionFactor[Gas],Table_GasToMolecularConversionFactor[Conversion factor combined])</f>
        <v>1.5714285714285714</v>
      </c>
    </row>
    <row r="52" spans="4:10" ht="20.100000000000001" customHeight="1" x14ac:dyDescent="0.25">
      <c r="D52" s="107" t="str">
        <v>j</v>
      </c>
      <c r="E52" s="108" t="str">
        <v>Production system</v>
      </c>
      <c r="F52" s="109"/>
      <c r="G52" s="110"/>
      <c r="H52" s="107" t="str">
        <v/>
      </c>
      <c r="I52" s="111" t="str">
        <v>Input</v>
      </c>
      <c r="J52" s="107" t="str">
        <f>X_Cell_Fertiliser_ProductionSystem</f>
        <v>Crop</v>
      </c>
    </row>
    <row r="53" spans="4:10" ht="20.100000000000001" customHeight="1" x14ac:dyDescent="0.25">
      <c r="D53" s="107" t="str">
        <v>ir</v>
      </c>
      <c r="E53" s="108" t="str">
        <v>irrigation method</v>
      </c>
      <c r="F53" s="109"/>
      <c r="G53" s="110"/>
      <c r="H53" s="107" t="str">
        <v/>
      </c>
      <c r="I53" s="111" t="str">
        <v>Input</v>
      </c>
      <c r="J53" s="107" t="str">
        <f>X_Cell_Fertiliser_IrrigationMethod</f>
        <v>Sprinkler Irrigation</v>
      </c>
    </row>
    <row r="54" spans="4:10" ht="20.100000000000001" customHeight="1" x14ac:dyDescent="0.25">
      <c r="D54" s="107" t="str">
        <v>r</v>
      </c>
      <c r="E54" s="108" t="str">
        <v>rainfall region</v>
      </c>
      <c r="F54" s="109"/>
      <c r="G54" s="110"/>
      <c r="H54" s="107" t="str">
        <v/>
      </c>
      <c r="I54" s="111" t="str">
        <v>Input</v>
      </c>
      <c r="J54" s="107" t="str">
        <f>X_Cell_Site_RainfallZone</f>
        <v>High rainfall</v>
      </c>
    </row>
    <row r="55" spans="4:10" ht="20.100000000000001" customHeight="1" x14ac:dyDescent="0.25"/>
    <row r="56" spans="4:10" ht="20.100000000000001" customHeight="1" x14ac:dyDescent="0.25">
      <c r="D56" s="114" t="s">
        <v>603</v>
      </c>
    </row>
    <row r="57" spans="4:10" ht="20.100000000000001" customHeight="1" x14ac:dyDescent="0.25">
      <c r="D57" s="115" t="s">
        <v>604</v>
      </c>
    </row>
    <row r="58" spans="4:10" ht="20.100000000000001" customHeight="1" x14ac:dyDescent="0.25">
      <c r="D58" s="116" t="s">
        <v>598</v>
      </c>
      <c r="E58" s="183" t="s">
        <v>602</v>
      </c>
      <c r="F58" s="183" t="s">
        <v>605</v>
      </c>
    </row>
    <row r="59" spans="4:10" ht="20.100000000000001" customHeight="1" x14ac:dyDescent="0.25">
      <c r="D59" s="25" t="str" cm="1">
        <f t="array" ref="D59:D77">Table_Fertiliser_ChemicalCompounds[Fertiliser type f]</f>
        <v>Monoammonium phosphate (MAP)</v>
      </c>
      <c r="E59" s="25">
        <f t="shared" ref="E59:E77" si="0">H19</f>
        <v>0</v>
      </c>
      <c r="F59" s="25" cm="1">
        <f t="array" ref="F59">Fertiliser_Equations_AtmosphericDeposition.VEERG_5_4_1_1__1_InorganicFertiliserAtmosphericDepositionN2OEmissions(E59,$J$50,$J$51)</f>
        <v>0</v>
      </c>
      <c r="G59" s="26" t="str">
        <f>E47</f>
        <v>t N2O</v>
      </c>
    </row>
    <row r="60" spans="4:10" ht="20.100000000000001" customHeight="1" x14ac:dyDescent="0.25">
      <c r="D60" s="25" t="str">
        <v>Diammonium phosphate (DAP)</v>
      </c>
      <c r="E60" s="25">
        <f t="shared" si="0"/>
        <v>0</v>
      </c>
      <c r="F60" s="25" cm="1">
        <f t="array" ref="F60">Fertiliser_Equations_AtmosphericDeposition.VEERG_5_4_1_1__1_InorganicFertiliserAtmosphericDepositionN2OEmissions(E60,$J$50,$J$51)</f>
        <v>0</v>
      </c>
    </row>
    <row r="61" spans="4:10" ht="20.100000000000001" customHeight="1" x14ac:dyDescent="0.25">
      <c r="D61" s="25" t="str">
        <v>Urea</v>
      </c>
      <c r="E61" s="25">
        <f t="shared" si="0"/>
        <v>690</v>
      </c>
      <c r="F61" s="25" cm="1">
        <f t="array" ref="F61">Fertiliser_Equations_AtmosphericDeposition.VEERG_5_4_1_1__1_InorganicFertiliserAtmosphericDepositionN2OEmissions(E61,$J$50,$J$51)</f>
        <v>7.5900000000000004E-3</v>
      </c>
    </row>
    <row r="62" spans="4:10" ht="20.100000000000001" customHeight="1" x14ac:dyDescent="0.25">
      <c r="D62" s="25" t="str">
        <v>Sulphate of ammonia (SOA)</v>
      </c>
      <c r="E62" s="25">
        <f t="shared" si="0"/>
        <v>0</v>
      </c>
      <c r="F62" s="25" cm="1">
        <f t="array" ref="F62">Fertiliser_Equations_AtmosphericDeposition.VEERG_5_4_1_1__1_InorganicFertiliserAtmosphericDepositionN2OEmissions(E62,$J$50,$J$51)</f>
        <v>0</v>
      </c>
    </row>
    <row r="63" spans="4:10" ht="20.100000000000001" customHeight="1" x14ac:dyDescent="0.25">
      <c r="D63" s="25" t="str">
        <v>Urea-ammonium nitrate (UAN)</v>
      </c>
      <c r="E63" s="25">
        <f t="shared" si="0"/>
        <v>0</v>
      </c>
      <c r="F63" s="25" cm="1">
        <f t="array" ref="F63">Fertiliser_Equations_AtmosphericDeposition.VEERG_5_4_1_1__1_InorganicFertiliserAtmosphericDepositionN2OEmissions(E63,$J$50,$J$51)</f>
        <v>0</v>
      </c>
    </row>
    <row r="64" spans="4:10" ht="20.100000000000001" customHeight="1" x14ac:dyDescent="0.25">
      <c r="D64" s="25" t="str">
        <v>Ammonium nitrate (AN)</v>
      </c>
      <c r="E64" s="25">
        <f t="shared" si="0"/>
        <v>0</v>
      </c>
      <c r="F64" s="25" cm="1">
        <f t="array" ref="F64">Fertiliser_Equations_AtmosphericDeposition.VEERG_5_4_1_1__1_InorganicFertiliserAtmosphericDepositionN2OEmissions(E64,$J$50,$J$51)</f>
        <v>0</v>
      </c>
    </row>
    <row r="65" spans="4:6" ht="20.100000000000001" customHeight="1" x14ac:dyDescent="0.25">
      <c r="D65" s="25" t="str">
        <v>Calcium ammonium nitrate (CAN)</v>
      </c>
      <c r="E65" s="25">
        <f t="shared" si="0"/>
        <v>0</v>
      </c>
      <c r="F65" s="25" cm="1">
        <f t="array" ref="F65">Fertiliser_Equations_AtmosphericDeposition.VEERG_5_4_1_1__1_InorganicFertiliserAtmosphericDepositionN2OEmissions(E65,$J$50,$J$51)</f>
        <v>0</v>
      </c>
    </row>
    <row r="66" spans="4:6" ht="20.100000000000001" customHeight="1" x14ac:dyDescent="0.25">
      <c r="D66" s="25" t="str">
        <v>Nitrogen - Ammoniacal</v>
      </c>
      <c r="E66" s="25">
        <f t="shared" si="0"/>
        <v>0</v>
      </c>
      <c r="F66" s="25" cm="1">
        <f t="array" ref="F66">Fertiliser_Equations_AtmosphericDeposition.VEERG_5_4_1_1__1_InorganicFertiliserAtmosphericDepositionN2OEmissions(E66,$J$50,$J$51)</f>
        <v>0</v>
      </c>
    </row>
    <row r="67" spans="4:6" ht="20.100000000000001" customHeight="1" x14ac:dyDescent="0.25">
      <c r="D67" s="25" t="str">
        <v>Nitrogen - Nitrate</v>
      </c>
      <c r="E67" s="25">
        <f t="shared" si="0"/>
        <v>19.8</v>
      </c>
      <c r="F67" s="25" cm="1">
        <f t="array" ref="F67">Fertiliser_Equations_AtmosphericDeposition.VEERG_5_4_1_1__1_InorganicFertiliserAtmosphericDepositionN2OEmissions(E67,$J$50,$J$51)</f>
        <v>2.1780000000000001E-4</v>
      </c>
    </row>
    <row r="68" spans="4:6" ht="20.100000000000001" customHeight="1" x14ac:dyDescent="0.25">
      <c r="D68" s="25" t="str">
        <v>Nitrogen - Generic</v>
      </c>
      <c r="E68" s="25">
        <f t="shared" si="0"/>
        <v>230.57999999999998</v>
      </c>
      <c r="F68" s="25" cm="1">
        <f t="array" ref="F68">Fertiliser_Equations_AtmosphericDeposition.VEERG_5_4_1_1__1_InorganicFertiliserAtmosphericDepositionN2OEmissions(E68,$J$50,$J$51)</f>
        <v>2.53638E-3</v>
      </c>
    </row>
    <row r="69" spans="4:6" ht="20.100000000000001" customHeight="1" x14ac:dyDescent="0.25">
      <c r="D69" s="25" t="str">
        <v>Phosphorus - Generic</v>
      </c>
      <c r="E69" s="25">
        <f t="shared" si="0"/>
        <v>0</v>
      </c>
      <c r="F69" s="25" cm="1">
        <f t="array" ref="F69">Fertiliser_Equations_AtmosphericDeposition.VEERG_5_4_1_1__1_InorganicFertiliserAtmosphericDepositionN2OEmissions(E69,$J$50,$J$51)</f>
        <v>0</v>
      </c>
    </row>
    <row r="70" spans="4:6" ht="20.100000000000001" customHeight="1" x14ac:dyDescent="0.25">
      <c r="D70" s="25" t="str">
        <v>Potassium - Generic</v>
      </c>
      <c r="E70" s="25">
        <f t="shared" si="0"/>
        <v>0</v>
      </c>
      <c r="F70" s="25" cm="1">
        <f t="array" ref="F70">Fertiliser_Equations_AtmosphericDeposition.VEERG_5_4_1_1__1_InorganicFertiliserAtmosphericDepositionN2OEmissions(E70,$J$50,$J$51)</f>
        <v>0</v>
      </c>
    </row>
    <row r="71" spans="4:6" ht="20.100000000000001" customHeight="1" x14ac:dyDescent="0.25">
      <c r="D71" s="25" t="str">
        <v>Sulfur - Generic</v>
      </c>
      <c r="E71" s="25">
        <f t="shared" si="0"/>
        <v>0</v>
      </c>
      <c r="F71" s="25" cm="1">
        <f t="array" ref="F71">Fertiliser_Equations_AtmosphericDeposition.VEERG_5_4_1_1__1_InorganicFertiliserAtmosphericDepositionN2OEmissions(E71,$J$50,$J$51)</f>
        <v>0</v>
      </c>
    </row>
    <row r="72" spans="4:6" ht="20.100000000000001" customHeight="1" x14ac:dyDescent="0.25">
      <c r="D72" s="25" t="str">
        <v>Zinc - Generic</v>
      </c>
      <c r="E72" s="25">
        <f t="shared" si="0"/>
        <v>0</v>
      </c>
      <c r="F72" s="25" cm="1">
        <f t="array" ref="F72">Fertiliser_Equations_AtmosphericDeposition.VEERG_5_4_1_1__1_InorganicFertiliserAtmosphericDepositionN2OEmissions(E72,$J$50,$J$51)</f>
        <v>0</v>
      </c>
    </row>
    <row r="73" spans="4:6" ht="20.100000000000001" customHeight="1" x14ac:dyDescent="0.25">
      <c r="D73" s="25" t="str">
        <v>Muriate of potash (MOP)</v>
      </c>
      <c r="E73" s="25">
        <f t="shared" si="0"/>
        <v>0</v>
      </c>
      <c r="F73" s="25" cm="1">
        <f t="array" ref="F73">Fertiliser_Equations_AtmosphericDeposition.VEERG_5_4_1_1__1_InorganicFertiliserAtmosphericDepositionN2OEmissions(E73,$J$50,$J$51)</f>
        <v>0</v>
      </c>
    </row>
    <row r="74" spans="4:6" ht="20.100000000000001" customHeight="1" x14ac:dyDescent="0.25">
      <c r="D74" s="25" t="str">
        <v>Double superphosphate</v>
      </c>
      <c r="E74" s="25">
        <f t="shared" si="0"/>
        <v>0</v>
      </c>
      <c r="F74" s="25" cm="1">
        <f t="array" ref="F74">Fertiliser_Equations_AtmosphericDeposition.VEERG_5_4_1_1__1_InorganicFertiliserAtmosphericDepositionN2OEmissions(E74,$J$50,$J$51)</f>
        <v>0</v>
      </c>
    </row>
    <row r="75" spans="4:6" ht="20.100000000000001" customHeight="1" x14ac:dyDescent="0.25">
      <c r="D75" s="25" t="str">
        <v>Single superphosphate (SSP)</v>
      </c>
      <c r="E75" s="25">
        <f t="shared" si="0"/>
        <v>0</v>
      </c>
      <c r="F75" s="25" cm="1">
        <f t="array" ref="F75">Fertiliser_Equations_AtmosphericDeposition.VEERG_5_4_1_1__1_InorganicFertiliserAtmosphericDepositionN2OEmissions(E75,$J$50,$J$51)</f>
        <v>0</v>
      </c>
    </row>
    <row r="76" spans="4:6" ht="20.100000000000001" customHeight="1" x14ac:dyDescent="0.25">
      <c r="D76" s="25" t="str">
        <v>Ammonia</v>
      </c>
      <c r="E76" s="25">
        <f t="shared" si="0"/>
        <v>329.40000000000003</v>
      </c>
      <c r="F76" s="25" cm="1">
        <f t="array" ref="F76">Fertiliser_Equations_AtmosphericDeposition.VEERG_5_4_1_1__1_InorganicFertiliserAtmosphericDepositionN2OEmissions(E76,$J$50,$J$51)</f>
        <v>3.6234000000000001E-3</v>
      </c>
    </row>
    <row r="77" spans="4:6" ht="20.100000000000001" customHeight="1" x14ac:dyDescent="0.25">
      <c r="D77" s="25" t="str">
        <v>Calcium nitrate</v>
      </c>
      <c r="E77" s="25">
        <f t="shared" si="0"/>
        <v>7.75</v>
      </c>
      <c r="F77" s="25" cm="1">
        <f t="array" ref="F77">Fertiliser_Equations_AtmosphericDeposition.VEERG_5_4_1_1__1_InorganicFertiliserAtmosphericDepositionN2OEmissions(E77,$J$50,$J$51)</f>
        <v>8.5249999999999999E-5</v>
      </c>
    </row>
    <row r="78" spans="4:6" ht="20.100000000000001" customHeight="1" x14ac:dyDescent="0.25"/>
    <row r="79" spans="4:6" ht="20.100000000000001" customHeight="1" x14ac:dyDescent="0.25">
      <c r="D79" s="119" t="s">
        <v>606</v>
      </c>
      <c r="E79" s="120">
        <f>SUM(F59:F77)</f>
        <v>1.4052830000000001E-2</v>
      </c>
      <c r="F79" s="121" t="str">
        <f>$E$47</f>
        <v>t N2O</v>
      </c>
    </row>
    <row r="80" spans="4:6" ht="20.100000000000001" customHeight="1" x14ac:dyDescent="0.25"/>
    <row r="81" spans="3:12" ht="20.100000000000001" customHeight="1" x14ac:dyDescent="0.25">
      <c r="D81" s="122" t="str" cm="1">
        <f t="array" ref="D81:E82">Common_Equations.Common_ConvertN2OToCO2e_Arguments()</f>
        <v>EN2O</v>
      </c>
      <c r="E81" s="123" t="str">
        <v>Nitrous oxide emissions (t N2O)</v>
      </c>
      <c r="F81" s="124"/>
      <c r="G81" s="25">
        <f>E79</f>
        <v>1.4052830000000001E-2</v>
      </c>
    </row>
    <row r="82" spans="3:12" ht="20.100000000000001" customHeight="1" x14ac:dyDescent="0.25">
      <c r="D82" s="122" t="str">
        <v>GWPN2O</v>
      </c>
      <c r="E82" s="123" t="str">
        <v>Global warming potential for nitrous oxide (t CO2-e / t N2O)</v>
      </c>
      <c r="F82" s="124"/>
      <c r="G82" s="25">
        <f>Common_InputFunctions.Utility_LookupValueInTableNumber("N2O",Table_GWPData[Gas],Table_GWPData[CO2-e factor])</f>
        <v>265</v>
      </c>
    </row>
    <row r="83" spans="3:12" ht="20.100000000000001" customHeight="1" x14ac:dyDescent="0.25"/>
    <row r="84" spans="3:12" ht="20.100000000000001" customHeight="1" x14ac:dyDescent="0.25">
      <c r="D84" s="118" t="s">
        <v>301</v>
      </c>
      <c r="E84" s="118" cm="1">
        <f t="array" ref="E84">Common_Equations.Common_ConvertN2OToCO2e(G81,G82)</f>
        <v>3.7239999500000001</v>
      </c>
      <c r="F84" s="125" t="str" cm="1">
        <f t="array" ref="F84">Common_Equations.Common_ConvertN2OToCO2e_Unit()</f>
        <v>t CO2e</v>
      </c>
    </row>
    <row r="85" spans="3:12" ht="20.100000000000001" customHeight="1" x14ac:dyDescent="0.25"/>
    <row r="86" spans="3:12" ht="20.100000000000001" customHeight="1" x14ac:dyDescent="0.25"/>
    <row r="87" spans="3:12" ht="20.100000000000001" customHeight="1" x14ac:dyDescent="0.25">
      <c r="C87" s="179"/>
      <c r="D87" s="179"/>
      <c r="E87" s="179"/>
      <c r="F87" s="179"/>
      <c r="G87" s="179"/>
      <c r="H87" s="179"/>
      <c r="I87" s="179"/>
      <c r="J87" s="179"/>
      <c r="K87" s="179"/>
      <c r="L87" s="179"/>
    </row>
    <row r="88" spans="3:12" ht="20.100000000000001" customHeight="1" x14ac:dyDescent="0.25">
      <c r="D88" s="2" t="str" cm="1">
        <f t="array" ref="D88">Fertiliser_Equations_AtmosphericDeposition.VEERG_5_4_1_3__2_MassOfNitrogenVolatilisedFromOrganicFertiliser_Title()</f>
        <v>Mass of nitrogen volatilised from organic fertiliser applied to production system</v>
      </c>
    </row>
    <row r="89" spans="3:12" ht="20.100000000000001" customHeight="1" x14ac:dyDescent="0.25">
      <c r="D89" s="27" t="str" cm="1">
        <f t="array" ref="D89">Fertiliser_Equations_AtmosphericDeposition.VEERG_5_4_1_3__2_MassOfNitrogenVolatilisedFromOrganicFertiliser_Source()</f>
        <v>VEERG 2026: 5.4.1.3, Equation (2)</v>
      </c>
    </row>
    <row r="90" spans="3:12" ht="20.100000000000001" customHeight="1" x14ac:dyDescent="0.25">
      <c r="D90" s="105" t="s">
        <v>261</v>
      </c>
      <c r="E90" s="105" t="str" cm="1">
        <f t="array" aca="1" ref="E90" ca="1">Common_InputFunctions.Utility_DisplayFunctionName(F102)</f>
        <v>=Fertiliser_Equations_AtmosphericDeposition.VEERG_5_4_1_3__2_MassOfNitrogenVolatilisedFromOrganicFertiliser</v>
      </c>
    </row>
    <row r="91" spans="3:12" ht="20.100000000000001" customHeight="1" x14ac:dyDescent="0.25"/>
    <row r="92" spans="3:12" ht="20.100000000000001" customHeight="1" x14ac:dyDescent="0.25"/>
    <row r="93" spans="3:12" ht="20.100000000000001" customHeight="1" x14ac:dyDescent="0.25">
      <c r="D93" s="88" t="s">
        <v>263</v>
      </c>
      <c r="E93" s="1" t="str" cm="1">
        <f t="array" ref="E93">Fertiliser_Equations_AtmosphericDeposition.VEERG_5_4_1_3__2_MassOfNitrogenVolatilisedFromOrganicFertiliser_Variable()</f>
        <v>M_volorganicjf</v>
      </c>
    </row>
    <row r="94" spans="3:12" ht="20.100000000000001" customHeight="1" x14ac:dyDescent="0.25">
      <c r="D94" s="88" t="s">
        <v>130</v>
      </c>
      <c r="E94" s="15" t="str" cm="1">
        <f t="array" ref="E94">Fertiliser_Equations_AtmosphericDeposition.VEERG_5_4_1_3__2_MassOfNitrogenVolatilisedFromOrganicFertiliser_Unit()</f>
        <v>kg N</v>
      </c>
    </row>
    <row r="95" spans="3:12" ht="20.100000000000001" customHeight="1" x14ac:dyDescent="0.25"/>
    <row r="96" spans="3:12" ht="20.100000000000001" customHeight="1" x14ac:dyDescent="0.25">
      <c r="D96" s="107" t="str" cm="1">
        <f t="array" ref="D96:E97">_xlfn.CHOOSECOLS(Fertiliser_Equations_AtmosphericDeposition.VEERG_5_4_1_3__2_MassOfNitrogenVolatilisedFromOrganicFertiliser_Arguments(), 1, 2)</f>
        <v>MNSoil_jf</v>
      </c>
      <c r="E96" s="107" t="str">
        <v>mass of nitrogen in organic fertiliser type f applied to production system j</v>
      </c>
      <c r="F96" s="107"/>
      <c r="G96" s="107" t="str" cm="1">
        <f t="array" ref="G96:H97">_xlfn.CHOOSECOLS(Fertiliser_Equations_AtmosphericDeposition.VEERG_5_4_1_3__2_MassOfNitrogenVolatilisedFromOrganicFertiliser_Arguments(), 3,4)</f>
        <v>kg N</v>
      </c>
      <c r="H96" s="112" t="str">
        <v>Calculated from 5.2.1.1 (2)</v>
      </c>
      <c r="I96" s="113" t="str" cm="1">
        <f t="array" aca="1" ref="I96" ca="1">HYPERLINK(Common_InputFunctions.Utility_SourceHyperlink($D$99), $D$99)</f>
        <v>Table_M_vol_organic_j_f</v>
      </c>
    </row>
    <row r="97" spans="4:9" ht="20.100000000000001" customHeight="1" x14ac:dyDescent="0.25">
      <c r="D97" s="107" t="str">
        <v>FracGASM_soil</v>
      </c>
      <c r="E97" s="107" t="str">
        <v>fraction of organic fertiliser N that volatilises</v>
      </c>
      <c r="F97" s="107"/>
      <c r="G97" s="107" t="str">
        <v>(kg NH3-N + NOx-N)/kg N</v>
      </c>
      <c r="H97" s="112" t="str">
        <v>Constant</v>
      </c>
      <c r="I97" s="107">
        <f>'Constants - Fertiliser'!$E$73</f>
        <v>0.21</v>
      </c>
    </row>
    <row r="98" spans="4:9" ht="20.100000000000001" customHeight="1" x14ac:dyDescent="0.25"/>
    <row r="99" spans="4:9" ht="20.100000000000001" customHeight="1" x14ac:dyDescent="0.25">
      <c r="D99" s="114" t="s">
        <v>607</v>
      </c>
    </row>
    <row r="100" spans="4:9" ht="20.100000000000001" customHeight="1" x14ac:dyDescent="0.25">
      <c r="D100" s="115" t="s">
        <v>608</v>
      </c>
    </row>
    <row r="101" spans="4:9" ht="20.100000000000001" customHeight="1" x14ac:dyDescent="0.25">
      <c r="D101" s="117" t="s">
        <v>580</v>
      </c>
      <c r="E101" s="174" t="s">
        <v>584</v>
      </c>
      <c r="F101" s="174" t="s">
        <v>609</v>
      </c>
    </row>
    <row r="102" spans="4:9" ht="20.100000000000001" customHeight="1" x14ac:dyDescent="0.25">
      <c r="D102" s="25" t="str" cm="1">
        <f t="array" ref="D102:D104">Table_Input_OrganicFertiliser[Organic fertiliser type (select)]</f>
        <v>Manure - Other</v>
      </c>
      <c r="E102" s="25">
        <f>INDEX(Table_MNSoil_j_f,2,6)</f>
        <v>300</v>
      </c>
      <c r="F102" s="25" cm="1">
        <f t="array" ref="F102">Fertiliser_Equations_AtmosphericDeposition.VEERG_5_4_1_3__2_MassOfNitrogenVolatilisedFromOrganicFertiliser(E102,$I$97)</f>
        <v>63</v>
      </c>
      <c r="G102" s="26" t="str">
        <f>$E$94</f>
        <v>kg N</v>
      </c>
    </row>
    <row r="103" spans="4:9" ht="20.100000000000001" customHeight="1" x14ac:dyDescent="0.25">
      <c r="D103" s="25" t="str">
        <v>Manure - Poultry</v>
      </c>
      <c r="E103" s="25">
        <f>INDEX(Table_MNSoil_j_f,3,6)</f>
        <v>250</v>
      </c>
      <c r="F103" s="25" cm="1">
        <f t="array" ref="F103">Fertiliser_Equations_AtmosphericDeposition.VEERG_5_4_1_3__2_MassOfNitrogenVolatilisedFromOrganicFertiliser(E103,$I$97)</f>
        <v>52.5</v>
      </c>
    </row>
    <row r="104" spans="4:9" ht="20.100000000000001" customHeight="1" x14ac:dyDescent="0.25">
      <c r="D104" s="25" t="str">
        <v>Other organic fertiliser</v>
      </c>
      <c r="E104" s="25">
        <f>INDEX(Table_MNSoil_j_f,4,6)</f>
        <v>160</v>
      </c>
      <c r="F104" s="25" cm="1">
        <f t="array" ref="F104">Fertiliser_Equations_AtmosphericDeposition.VEERG_5_4_1_3__2_MassOfNitrogenVolatilisedFromOrganicFertiliser(E104,$I$97)</f>
        <v>33.6</v>
      </c>
    </row>
    <row r="105" spans="4:9" ht="20.100000000000001" customHeight="1" x14ac:dyDescent="0.25">
      <c r="D105" s="25"/>
      <c r="E105" s="25">
        <f>'5.2.1.1-2 Organic Fert N2O'!I23</f>
        <v>0</v>
      </c>
      <c r="F105" s="25" cm="1">
        <f t="array" ref="F105">Fertiliser_Equations_AtmosphericDeposition.VEERG_5_4_1_3__2_MassOfNitrogenVolatilisedFromOrganicFertiliser(E105,$I$97)</f>
        <v>0</v>
      </c>
    </row>
    <row r="106" spans="4:9" ht="20.100000000000001" customHeight="1" x14ac:dyDescent="0.25">
      <c r="D106" s="25"/>
      <c r="E106" s="25">
        <f>'5.2.1.1-2 Organic Fert N2O'!I24</f>
        <v>0</v>
      </c>
      <c r="F106" s="25" cm="1">
        <f t="array" ref="F106">Fertiliser_Equations_AtmosphericDeposition.VEERG_5_4_1_3__2_MassOfNitrogenVolatilisedFromOrganicFertiliser(E106,$I$97)</f>
        <v>0</v>
      </c>
    </row>
    <row r="107" spans="4:9" ht="20.100000000000001" customHeight="1" x14ac:dyDescent="0.25">
      <c r="D107" s="25"/>
      <c r="E107" s="25">
        <f>'5.2.1.1-2 Organic Fert N2O'!I25</f>
        <v>0</v>
      </c>
      <c r="F107" s="25" cm="1">
        <f t="array" ref="F107">Fertiliser_Equations_AtmosphericDeposition.VEERG_5_4_1_3__2_MassOfNitrogenVolatilisedFromOrganicFertiliser(E107,$I$97)</f>
        <v>0</v>
      </c>
    </row>
    <row r="108" spans="4:9" ht="20.100000000000001" customHeight="1" x14ac:dyDescent="0.25">
      <c r="D108" s="25"/>
      <c r="E108" s="25">
        <f>'5.2.1.1-2 Organic Fert N2O'!I26</f>
        <v>0</v>
      </c>
      <c r="F108" s="25" cm="1">
        <f t="array" ref="F108">Fertiliser_Equations_AtmosphericDeposition.VEERG_5_4_1_3__2_MassOfNitrogenVolatilisedFromOrganicFertiliser(E108,$I$97)</f>
        <v>0</v>
      </c>
    </row>
    <row r="109" spans="4:9" ht="20.100000000000001" customHeight="1" x14ac:dyDescent="0.25">
      <c r="D109" s="25"/>
      <c r="E109" s="25">
        <f>'5.2.1.1-2 Organic Fert N2O'!I27</f>
        <v>0</v>
      </c>
      <c r="F109" s="25" cm="1">
        <f t="array" ref="F109">Fertiliser_Equations_AtmosphericDeposition.VEERG_5_4_1_3__2_MassOfNitrogenVolatilisedFromOrganicFertiliser(E109,$I$97)</f>
        <v>0</v>
      </c>
    </row>
    <row r="110" spans="4:9" ht="20.100000000000001" customHeight="1" x14ac:dyDescent="0.25">
      <c r="D110" s="25"/>
      <c r="E110" s="25">
        <f>'5.2.1.1-2 Organic Fert N2O'!I28</f>
        <v>0</v>
      </c>
      <c r="F110" s="25" cm="1">
        <f t="array" ref="F110">Fertiliser_Equations_AtmosphericDeposition.VEERG_5_4_1_3__2_MassOfNitrogenVolatilisedFromOrganicFertiliser(E110,$I$97)</f>
        <v>0</v>
      </c>
    </row>
    <row r="111" spans="4:9" ht="20.100000000000001" customHeight="1" x14ac:dyDescent="0.25">
      <c r="D111" s="25"/>
      <c r="E111" s="25">
        <f>'5.2.1.1-2 Organic Fert N2O'!I29</f>
        <v>0</v>
      </c>
      <c r="F111" s="25" cm="1">
        <f t="array" ref="F111">Fertiliser_Equations_AtmosphericDeposition.VEERG_5_4_1_3__2_MassOfNitrogenVolatilisedFromOrganicFertiliser(E111,$I$97)</f>
        <v>0</v>
      </c>
    </row>
    <row r="112" spans="4:9" ht="20.100000000000001" customHeight="1" x14ac:dyDescent="0.25">
      <c r="D112" s="25"/>
      <c r="E112" s="25">
        <f>'5.2.1.1-2 Organic Fert N2O'!I30</f>
        <v>0</v>
      </c>
      <c r="F112" s="25" cm="1">
        <f t="array" ref="F112">Fertiliser_Equations_AtmosphericDeposition.VEERG_5_4_1_3__2_MassOfNitrogenVolatilisedFromOrganicFertiliser(E112,$I$97)</f>
        <v>0</v>
      </c>
    </row>
    <row r="113" spans="3:12" ht="20.100000000000001" customHeight="1" x14ac:dyDescent="0.25"/>
    <row r="114" spans="3:12" ht="20.100000000000001" customHeight="1" x14ac:dyDescent="0.25"/>
    <row r="115" spans="3:12" ht="20.100000000000001" customHeight="1" x14ac:dyDescent="0.25">
      <c r="C115" s="179"/>
      <c r="D115" s="179"/>
      <c r="E115" s="179"/>
      <c r="F115" s="179"/>
      <c r="G115" s="179"/>
      <c r="H115" s="179"/>
      <c r="I115" s="179"/>
      <c r="J115" s="179"/>
      <c r="K115" s="179"/>
      <c r="L115" s="179"/>
    </row>
    <row r="116" spans="3:12" ht="20.100000000000001" customHeight="1" x14ac:dyDescent="0.25">
      <c r="D116" s="2" t="str" cm="1">
        <f t="array" ref="D116">Fertiliser_Equations_AtmosphericDeposition.VEERG_5_4_1_3__1_OrganicFertiliserAtmosphericDepositionN2OEmissions_Title()</f>
        <v>Nitrous oxide emissions from atmospheric deposition of all organic fertiliser types f and all production systems j</v>
      </c>
    </row>
    <row r="117" spans="3:12" ht="20.100000000000001" customHeight="1" x14ac:dyDescent="0.25">
      <c r="D117" s="27" t="str" cm="1">
        <f t="array" ref="D117">Fertiliser_Equations_AtmosphericDeposition.VEERG_5_4_1_3__1_OrganicFertiliserAtmosphericDepositionN2OEmissions_Source()</f>
        <v>VEERG 2026: 5.4.1.3, Equation (1)</v>
      </c>
    </row>
    <row r="118" spans="3:12" ht="20.100000000000001" customHeight="1" x14ac:dyDescent="0.25">
      <c r="D118" s="105" t="s">
        <v>261</v>
      </c>
      <c r="E118" s="105" t="str" cm="1">
        <f t="array" aca="1" ref="E118" ca="1">Common_InputFunctions.Utility_DisplayFunctionName(F134)</f>
        <v>=Fertiliser_Equations_AtmosphericDeposition.VEERG_5_4_1_3__1_OrganicFertiliserAtmosphericDepositionN2OEmissions</v>
      </c>
    </row>
    <row r="119" spans="3:12" ht="20.100000000000001" customHeight="1" x14ac:dyDescent="0.25"/>
    <row r="120" spans="3:12" ht="20.100000000000001" customHeight="1" x14ac:dyDescent="0.25"/>
    <row r="121" spans="3:12" ht="20.100000000000001" customHeight="1" x14ac:dyDescent="0.25">
      <c r="D121" s="88" t="s">
        <v>263</v>
      </c>
      <c r="E121" s="1" t="str" cm="1">
        <f t="array" ref="E121">Fertiliser_Equations_AtmosphericDeposition.VEERG_5_4_1_3__1_OrganicFertiliserAtmosphericDepositionN2OEmissions_Variable()</f>
        <v>E_adorganic</v>
      </c>
    </row>
    <row r="122" spans="3:12" ht="20.100000000000001" customHeight="1" x14ac:dyDescent="0.25">
      <c r="D122" s="88" t="s">
        <v>130</v>
      </c>
      <c r="E122" s="15" t="str" cm="1">
        <f t="array" ref="E122">Fertiliser_Equations_AtmosphericDeposition.VEERG_5_4_1_3__1_OrganicFertiliserAtmosphericDepositionN2OEmissions_Unit()</f>
        <v>t N2O</v>
      </c>
    </row>
    <row r="123" spans="3:12" ht="20.100000000000001" customHeight="1" x14ac:dyDescent="0.25"/>
    <row r="124" spans="3:12" ht="20.100000000000001" customHeight="1" x14ac:dyDescent="0.25">
      <c r="D124" s="107" t="str" cm="1">
        <f t="array" ref="D124:E129">_xlfn.CHOOSECOLS(Fertiliser_Equations_AtmosphericDeposition.VEERG_5_4_1_3__1_OrganicFertiliserAtmosphericDepositionN2OEmissions_Arguments(), 1, 2)</f>
        <v>M_volorganicjf</v>
      </c>
      <c r="E124" s="108" t="str">
        <v>mass of nitrogen volatilised from organic fertiliser applied to production system</v>
      </c>
      <c r="F124" s="110"/>
      <c r="G124" s="107" t="str" cm="1">
        <f t="array" ref="G124:H129">_xlfn.CHOOSECOLS(Fertiliser_Equations_AtmosphericDeposition.VEERG_5_4_1_3__1_OrganicFertiliserAtmosphericDepositionN2OEmissions_Arguments(), 3,4)</f>
        <v>kg N</v>
      </c>
      <c r="H124" s="112" t="str">
        <v>Calculated from 5.4.1.3 (2)</v>
      </c>
      <c r="I124" s="113" t="str" cm="1">
        <f t="array" aca="1" ref="I124" ca="1">HYPERLINK(Common_InputFunctions.Utility_SourceHyperlink($D$99), $D$99)</f>
        <v>Table_M_vol_organic_j_f</v>
      </c>
    </row>
    <row r="125" spans="3:12" ht="20.100000000000001" customHeight="1" x14ac:dyDescent="0.25">
      <c r="D125" s="107" t="str">
        <v>EF_N2Oj</v>
      </c>
      <c r="E125" s="108" t="str">
        <v>emission factor for atmospheric deposition in production system j</v>
      </c>
      <c r="F125" s="110"/>
      <c r="G125" s="107" t="str">
        <v>kg N2O-N/kg N</v>
      </c>
      <c r="H125" s="112" t="str">
        <v>Constant</v>
      </c>
      <c r="I125" s="107">
        <f>Common_InputFunctions.Utility_LookupN2OEFFromProdIrrigationRainfall(I127,I128,I129,Table_SourceData_Common_EFN2O[Production system only],Table_SourceData_Common_EFN2O[Irrigation method],Table_SourceData_Common_EFN2O[Rainfall zone],Table_SourceData_Common_EFN2O[EFN2O])</f>
        <v>7.0000000000000001E-3</v>
      </c>
    </row>
    <row r="126" spans="3:12" ht="20.100000000000001" customHeight="1" x14ac:dyDescent="0.25">
      <c r="D126" s="107" t="str">
        <v>C_N2O</v>
      </c>
      <c r="E126" s="108" t="str">
        <v>factor to convert elemental mass of nitrous oxide to molecular mass</v>
      </c>
      <c r="F126" s="110"/>
      <c r="G126" s="107" t="str">
        <v/>
      </c>
      <c r="H126" s="112" t="str">
        <v>Constant</v>
      </c>
      <c r="I126" s="122">
        <f>Common_InputFunctions.Utility_LookupValueInTableNumber("N2O",Table_GasToMolecularConversionFactor[Gas],Table_GasToMolecularConversionFactor[Conversion factor combined])</f>
        <v>1.5714285714285714</v>
      </c>
    </row>
    <row r="127" spans="3:12" ht="20.100000000000001" customHeight="1" x14ac:dyDescent="0.25">
      <c r="D127" s="107" t="str">
        <v>j</v>
      </c>
      <c r="E127" s="108" t="str">
        <v>Production system</v>
      </c>
      <c r="F127" s="110"/>
      <c r="G127" s="107" t="str">
        <v/>
      </c>
      <c r="H127" s="111" t="str">
        <v>Input</v>
      </c>
      <c r="I127" s="107" t="str">
        <f>X_Cell_Fertiliser_ProductionSystem</f>
        <v>Crop</v>
      </c>
    </row>
    <row r="128" spans="3:12" ht="20.100000000000001" customHeight="1" x14ac:dyDescent="0.25">
      <c r="D128" s="107" t="str">
        <v>ir</v>
      </c>
      <c r="E128" s="108" t="str">
        <v>irrigation method</v>
      </c>
      <c r="F128" s="110"/>
      <c r="G128" s="107" t="str">
        <v/>
      </c>
      <c r="H128" s="111" t="str">
        <v>Input</v>
      </c>
      <c r="I128" s="107" t="str">
        <f>X_Cell_Fertiliser_IrrigationMethod</f>
        <v>Sprinkler Irrigation</v>
      </c>
    </row>
    <row r="129" spans="4:9" ht="20.100000000000001" customHeight="1" x14ac:dyDescent="0.25">
      <c r="D129" s="107" t="str">
        <v>r</v>
      </c>
      <c r="E129" s="108" t="str">
        <v>rainfall region</v>
      </c>
      <c r="F129" s="110"/>
      <c r="G129" s="107" t="str">
        <v/>
      </c>
      <c r="H129" s="111" t="str">
        <v>Input</v>
      </c>
      <c r="I129" s="107" t="str">
        <f>X_Cell_Site_RainfallZone</f>
        <v>High rainfall</v>
      </c>
    </row>
    <row r="130" spans="4:9" ht="20.100000000000001" customHeight="1" x14ac:dyDescent="0.25"/>
    <row r="131" spans="4:9" ht="20.100000000000001" customHeight="1" x14ac:dyDescent="0.25">
      <c r="D131" s="114" t="s">
        <v>610</v>
      </c>
    </row>
    <row r="132" spans="4:9" ht="20.100000000000001" customHeight="1" x14ac:dyDescent="0.25">
      <c r="D132" s="115" t="s">
        <v>611</v>
      </c>
    </row>
    <row r="133" spans="4:9" ht="20.100000000000001" customHeight="1" x14ac:dyDescent="0.25">
      <c r="D133" s="117" t="s">
        <v>580</v>
      </c>
      <c r="E133" s="174" t="s">
        <v>609</v>
      </c>
      <c r="F133" s="174" t="s">
        <v>612</v>
      </c>
    </row>
    <row r="134" spans="4:9" ht="20.100000000000001" customHeight="1" x14ac:dyDescent="0.25">
      <c r="D134" s="25" t="str" cm="1">
        <f t="array" ref="D134:D136">Table_Input_OrganicFertiliser[Organic fertiliser type (select)]</f>
        <v>Manure - Other</v>
      </c>
      <c r="E134" s="25">
        <f>F102</f>
        <v>63</v>
      </c>
      <c r="F134" s="25" cm="1">
        <f t="array" ref="F134">Fertiliser_Equations_AtmosphericDeposition.VEERG_5_4_1_3__1_OrganicFertiliserAtmosphericDepositionN2OEmissions(E134,$I$125,$I$126)</f>
        <v>6.9299999999999993E-4</v>
      </c>
    </row>
    <row r="135" spans="4:9" ht="20.100000000000001" customHeight="1" x14ac:dyDescent="0.25">
      <c r="D135" s="25" t="str">
        <v>Manure - Poultry</v>
      </c>
      <c r="E135" s="25">
        <f t="shared" ref="E135:E144" si="1">F103</f>
        <v>52.5</v>
      </c>
      <c r="F135" s="25" cm="1">
        <f t="array" ref="F135">Fertiliser_Equations_AtmosphericDeposition.VEERG_5_4_1_3__1_OrganicFertiliserAtmosphericDepositionN2OEmissions(E135,$I$125,$I$126)</f>
        <v>5.775E-4</v>
      </c>
    </row>
    <row r="136" spans="4:9" ht="20.100000000000001" customHeight="1" x14ac:dyDescent="0.25">
      <c r="D136" s="25" t="str">
        <v>Other organic fertiliser</v>
      </c>
      <c r="E136" s="25">
        <f t="shared" si="1"/>
        <v>33.6</v>
      </c>
      <c r="F136" s="25" cm="1">
        <f t="array" ref="F136">Fertiliser_Equations_AtmosphericDeposition.VEERG_5_4_1_3__1_OrganicFertiliserAtmosphericDepositionN2OEmissions(E136,$I$125,$I$126)</f>
        <v>3.6960000000000004E-4</v>
      </c>
    </row>
    <row r="137" spans="4:9" ht="20.100000000000001" customHeight="1" x14ac:dyDescent="0.25">
      <c r="D137" s="25"/>
      <c r="E137" s="25">
        <f t="shared" si="1"/>
        <v>0</v>
      </c>
      <c r="F137" s="25" cm="1">
        <f t="array" ref="F137">Fertiliser_Equations_AtmosphericDeposition.VEERG_5_4_1_3__1_OrganicFertiliserAtmosphericDepositionN2OEmissions(E137,$I$125,$I$126)</f>
        <v>0</v>
      </c>
    </row>
    <row r="138" spans="4:9" ht="20.100000000000001" customHeight="1" x14ac:dyDescent="0.25">
      <c r="D138" s="25"/>
      <c r="E138" s="25">
        <f t="shared" si="1"/>
        <v>0</v>
      </c>
      <c r="F138" s="25" cm="1">
        <f t="array" ref="F138">Fertiliser_Equations_AtmosphericDeposition.VEERG_5_4_1_3__1_OrganicFertiliserAtmosphericDepositionN2OEmissions(E138,$I$125,$I$126)</f>
        <v>0</v>
      </c>
    </row>
    <row r="139" spans="4:9" ht="20.100000000000001" customHeight="1" x14ac:dyDescent="0.25">
      <c r="D139" s="25"/>
      <c r="E139" s="25">
        <f t="shared" si="1"/>
        <v>0</v>
      </c>
      <c r="F139" s="25" cm="1">
        <f t="array" ref="F139">Fertiliser_Equations_AtmosphericDeposition.VEERG_5_4_1_3__1_OrganicFertiliserAtmosphericDepositionN2OEmissions(E139,$I$125,$I$126)</f>
        <v>0</v>
      </c>
    </row>
    <row r="140" spans="4:9" ht="20.100000000000001" customHeight="1" x14ac:dyDescent="0.25">
      <c r="D140" s="25"/>
      <c r="E140" s="25">
        <f t="shared" si="1"/>
        <v>0</v>
      </c>
      <c r="F140" s="25" cm="1">
        <f t="array" ref="F140">Fertiliser_Equations_AtmosphericDeposition.VEERG_5_4_1_3__1_OrganicFertiliserAtmosphericDepositionN2OEmissions(E140,$I$125,$I$126)</f>
        <v>0</v>
      </c>
    </row>
    <row r="141" spans="4:9" ht="20.100000000000001" customHeight="1" x14ac:dyDescent="0.25">
      <c r="D141" s="25"/>
      <c r="E141" s="25">
        <f t="shared" si="1"/>
        <v>0</v>
      </c>
      <c r="F141" s="25" cm="1">
        <f t="array" ref="F141">Fertiliser_Equations_AtmosphericDeposition.VEERG_5_4_1_3__1_OrganicFertiliserAtmosphericDepositionN2OEmissions(E141,$I$125,$I$126)</f>
        <v>0</v>
      </c>
    </row>
    <row r="142" spans="4:9" ht="20.100000000000001" customHeight="1" x14ac:dyDescent="0.25">
      <c r="D142" s="25"/>
      <c r="E142" s="25">
        <f t="shared" si="1"/>
        <v>0</v>
      </c>
      <c r="F142" s="25" cm="1">
        <f t="array" ref="F142">Fertiliser_Equations_AtmosphericDeposition.VEERG_5_4_1_3__1_OrganicFertiliserAtmosphericDepositionN2OEmissions(E142,$I$125,$I$126)</f>
        <v>0</v>
      </c>
    </row>
    <row r="143" spans="4:9" ht="20.100000000000001" customHeight="1" x14ac:dyDescent="0.25">
      <c r="D143" s="25"/>
      <c r="E143" s="25">
        <f t="shared" si="1"/>
        <v>0</v>
      </c>
      <c r="F143" s="25" cm="1">
        <f t="array" ref="F143">Fertiliser_Equations_AtmosphericDeposition.VEERG_5_4_1_3__1_OrganicFertiliserAtmosphericDepositionN2OEmissions(E143,$I$125,$I$126)</f>
        <v>0</v>
      </c>
    </row>
    <row r="144" spans="4:9" ht="20.100000000000001" customHeight="1" x14ac:dyDescent="0.25">
      <c r="D144" s="25"/>
      <c r="E144" s="25">
        <f t="shared" si="1"/>
        <v>0</v>
      </c>
      <c r="F144" s="25" cm="1">
        <f t="array" ref="F144">Fertiliser_Equations_AtmosphericDeposition.VEERG_5_4_1_3__1_OrganicFertiliserAtmosphericDepositionN2OEmissions(E144,$I$125,$I$126)</f>
        <v>0</v>
      </c>
    </row>
    <row r="145" spans="4:7" ht="20.100000000000001" customHeight="1" x14ac:dyDescent="0.25"/>
    <row r="146" spans="4:7" ht="20.100000000000001" customHeight="1" x14ac:dyDescent="0.25">
      <c r="D146" s="119" t="s">
        <v>613</v>
      </c>
      <c r="E146" s="120">
        <f>SUM(F134:F144)</f>
        <v>1.6401E-3</v>
      </c>
      <c r="F146" s="121" t="str">
        <f>$E$122</f>
        <v>t N2O</v>
      </c>
    </row>
    <row r="147" spans="4:7" ht="20.100000000000001" customHeight="1" x14ac:dyDescent="0.25"/>
    <row r="148" spans="4:7" ht="20.100000000000001" customHeight="1" x14ac:dyDescent="0.25">
      <c r="D148" s="122" t="str" cm="1">
        <f t="array" ref="D148:E149">Common_Equations.Common_ConvertN2OToCO2e_Arguments()</f>
        <v>EN2O</v>
      </c>
      <c r="E148" s="123" t="str">
        <v>Nitrous oxide emissions (t N2O)</v>
      </c>
      <c r="F148" s="124"/>
      <c r="G148" s="25">
        <f>E146</f>
        <v>1.6401E-3</v>
      </c>
    </row>
    <row r="149" spans="4:7" ht="20.100000000000001" customHeight="1" x14ac:dyDescent="0.25">
      <c r="D149" s="122" t="str">
        <v>GWPN2O</v>
      </c>
      <c r="E149" s="123" t="str">
        <v>Global warming potential for nitrous oxide (t CO2-e / t N2O)</v>
      </c>
      <c r="F149" s="124"/>
      <c r="G149" s="25">
        <f>Common_InputFunctions.Utility_LookupValueInTableNumber("N2O",Table_GWPData[Gas],Table_GWPData[CO2-e factor])</f>
        <v>265</v>
      </c>
    </row>
    <row r="150" spans="4:7" ht="20.100000000000001" customHeight="1" x14ac:dyDescent="0.25"/>
    <row r="151" spans="4:7" ht="20.100000000000001" customHeight="1" x14ac:dyDescent="0.25">
      <c r="D151" s="118" t="s">
        <v>301</v>
      </c>
      <c r="E151" s="118" cm="1">
        <f t="array" ref="E151">Common_Equations.Common_ConvertN2OToCO2e(G148,G149)</f>
        <v>0.43462650000000003</v>
      </c>
      <c r="F151" s="125" t="str" cm="1">
        <f t="array" ref="F151">Common_Equations.Common_ConvertN2OToCO2e_Unit()</f>
        <v>t CO2e</v>
      </c>
    </row>
    <row r="152" spans="4:7" ht="20.100000000000001" customHeight="1" x14ac:dyDescent="0.25"/>
    <row r="153" spans="4:7" ht="20.100000000000001" customHeight="1" x14ac:dyDescent="0.25"/>
    <row r="154" spans="4:7" ht="20.100000000000001" customHeight="1" x14ac:dyDescent="0.25"/>
    <row r="155" spans="4:7" ht="20.100000000000001" customHeight="1" x14ac:dyDescent="0.25"/>
    <row r="156" spans="4:7" ht="20.100000000000001" customHeight="1" x14ac:dyDescent="0.25"/>
    <row r="157" spans="4:7" ht="20.100000000000001" customHeight="1" x14ac:dyDescent="0.25"/>
    <row r="158" spans="4:7" ht="20.100000000000001" customHeight="1" x14ac:dyDescent="0.25"/>
    <row r="159" spans="4:7" ht="20.100000000000001" customHeight="1" x14ac:dyDescent="0.25"/>
    <row r="160" spans="4:7"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610E0-8499-4F54-830E-3AC357F67D5D}">
  <dimension ref="A1:T165"/>
  <sheetViews>
    <sheetView showGridLines="0" topLeftCell="A17" zoomScaleNormal="100" workbookViewId="0">
      <selection activeCell="A46" sqref="A46"/>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9" width="30.7109375" style="1" customWidth="1"/>
    <col min="20" max="20" width="4.7109375" style="1" customWidth="1"/>
  </cols>
  <sheetData>
    <row r="1" spans="1:20" s="31" customFormat="1" ht="30" customHeight="1" x14ac:dyDescent="0.35">
      <c r="A1" s="16" t="e" vm="1">
        <v>#VALUE!</v>
      </c>
      <c r="C1" s="31" t="s">
        <v>614</v>
      </c>
    </row>
    <row r="2" spans="1:20" s="3" customFormat="1" ht="20.100000000000001" customHeight="1" x14ac:dyDescent="0.25">
      <c r="A2"/>
    </row>
    <row r="3" spans="1:20" ht="20.100000000000001" customHeight="1" x14ac:dyDescent="0.25">
      <c r="A3" s="5" t="str">
        <f>HYPERLINK("#'Home'!A1", "Home")</f>
        <v>Home</v>
      </c>
      <c r="C3" s="33"/>
      <c r="D3" s="33" t="s">
        <v>149</v>
      </c>
      <c r="E3" s="33"/>
      <c r="F3" s="33"/>
      <c r="G3" s="33"/>
      <c r="H3" s="33"/>
      <c r="I3" s="33"/>
      <c r="J3" s="33"/>
      <c r="K3" s="33"/>
      <c r="M3" s="33"/>
      <c r="N3" s="33" t="s">
        <v>150</v>
      </c>
      <c r="O3" s="33"/>
      <c r="P3" s="33"/>
      <c r="Q3" s="33"/>
      <c r="R3" s="33"/>
      <c r="S3" s="33"/>
      <c r="T3" s="33"/>
    </row>
    <row r="4" spans="1:20" ht="20.100000000000001" customHeight="1" x14ac:dyDescent="0.25">
      <c r="A4" s="5" t="str">
        <f>HYPERLINK("#'Results'!A1", "Results")</f>
        <v>Results</v>
      </c>
    </row>
    <row r="5" spans="1:20" ht="20.100000000000001" customHeight="1" x14ac:dyDescent="0.25">
      <c r="D5" s="2" t="str" cm="1">
        <f t="array" ref="D5">Fertiliser_Equations_LeachingAndRunoff.VEERG_5_5_1_1__2_MassOfNitrogenLeachedFromInorganicFertiliser_Title()</f>
        <v>Mass of nitrogen lost through leaching and runoff from inorganic fertiliser application in production system j</v>
      </c>
    </row>
    <row r="6" spans="1:20" ht="20.100000000000001" customHeight="1" x14ac:dyDescent="0.25">
      <c r="D6" s="27" t="str" cm="1">
        <f t="array" ref="D6">Fertiliser_Equations_LeachingAndRunoff.VEERG_5_5_1_1__2_MassOfNitrogenLeachedFromInorganicFertiliser_Source()</f>
        <v>VEERG 2026: 5.5, Equation (2)</v>
      </c>
    </row>
    <row r="7" spans="1:20" ht="20.100000000000001" customHeight="1" x14ac:dyDescent="0.25">
      <c r="A7" s="7" t="s">
        <v>0</v>
      </c>
      <c r="D7" s="105" t="s">
        <v>261</v>
      </c>
      <c r="E7" s="105" t="str" cm="1">
        <f t="array" aca="1" ref="E7" ca="1">Common_InputFunctions.Utility_DisplayFunctionName(F23)</f>
        <v>=Fertiliser_Equations_LeachingAndRunoff.VEERG_5_5_1_1__2_MassOfNitrogenLeachedFromInorganicFertiliser</v>
      </c>
    </row>
    <row r="8" spans="1:20" ht="20.100000000000001" customHeight="1" x14ac:dyDescent="0.25">
      <c r="A8" s="5" t="str">
        <f>HYPERLINK("#'Input - Enterprise'!A1", "Enterprise")</f>
        <v>Enterprise</v>
      </c>
    </row>
    <row r="9" spans="1:20" ht="20.100000000000001" customHeight="1" x14ac:dyDescent="0.25">
      <c r="A9" s="5" t="str">
        <f>HYPERLINK("#'Input - Site'!A1", "Site")</f>
        <v>Site</v>
      </c>
    </row>
    <row r="10" spans="1:20" ht="20.100000000000001" customHeight="1" x14ac:dyDescent="0.25">
      <c r="A10" s="5" t="str">
        <f>HYPERLINK("#'Input - Pasture Beef'!A1", "Pasture Beef")</f>
        <v>Pasture Beef</v>
      </c>
      <c r="D10" s="88" t="s">
        <v>263</v>
      </c>
      <c r="E10" s="1" t="str" cm="1">
        <f t="array" ref="E10">Fertiliser_Equations_LeachingAndRunoff.VEERG_5_5_1_1__2_MassOfNitrogenLeachedFromInorganicFertiliser_Variable()</f>
        <v>M_leachinorganicj</v>
      </c>
    </row>
    <row r="11" spans="1:20" ht="20.100000000000001" customHeight="1" x14ac:dyDescent="0.25">
      <c r="A11" s="5" t="str">
        <f>HYPERLINK("#'Input - Pasture Beef (Enteric)'!A1", "Pasture Beef (Enteric)")</f>
        <v>Pasture Beef (Enteric)</v>
      </c>
      <c r="D11" s="88" t="s">
        <v>130</v>
      </c>
      <c r="E11" s="15" t="str" cm="1">
        <f t="array" ref="E11">Fertiliser_Equations_LeachingAndRunoff.VEERG_5_5_1_1__2_MassOfNitrogenLeachedFromInorganicFertiliser_Unit()</f>
        <v>kg N</v>
      </c>
    </row>
    <row r="12" spans="1:20" ht="20.100000000000001" customHeight="1" x14ac:dyDescent="0.25">
      <c r="A12" s="5" t="str">
        <f>HYPERLINK("#'Input - Pasture'!A1", "Pasture")</f>
        <v>Pasture</v>
      </c>
    </row>
    <row r="13" spans="1:20" ht="20.100000000000001" customHeight="1" x14ac:dyDescent="0.25">
      <c r="A13" s="5" t="str">
        <f>HYPERLINK("#'Input - Fertiliser'!A1", "Fertiliser")</f>
        <v>Fertiliser</v>
      </c>
      <c r="D13" s="107" t="str" cm="1">
        <f t="array" ref="D13:E18">_xlfn.CHOOSECOLS(Fertiliser_Equations_LeachingAndRunoff.VEERG_5_5_1_1__2_MassOfNitrogenLeachedFromInorganicFertiliser_Arguments(), 1, 2)</f>
        <v>MN_jf</v>
      </c>
      <c r="E13" s="108" t="str">
        <v>mass of nitrogen in inorganic fertiliser</v>
      </c>
      <c r="F13" s="110"/>
      <c r="G13" s="107" t="str" cm="1">
        <f t="array" ref="G13:H18">_xlfn.CHOOSECOLS(Fertiliser_Equations_LeachingAndRunoff.VEERG_5_5_1_1__2_MassOfNitrogenLeachedFromInorganicFertiliser_Arguments(), 3,4)</f>
        <v>kg N</v>
      </c>
      <c r="H13" s="112" t="str">
        <v>Calculated from 5.1.1.1 (2)</v>
      </c>
      <c r="I13" s="113" t="str" cm="1">
        <f t="array" aca="1" ref="I13" ca="1">HYPERLINK(Common_InputFunctions.Utility_SourceHyperlink(D20), D20)</f>
        <v>Table_M_leach_inorganic_j</v>
      </c>
    </row>
    <row r="14" spans="1:20" ht="20.100000000000001" customHeight="1" x14ac:dyDescent="0.25">
      <c r="A14" s="5" t="str">
        <f>HYPERLINK("#'Input - Fuel'!A1", "Fuel")</f>
        <v>Fuel</v>
      </c>
      <c r="D14" s="107" t="str">
        <v>FracWETj</v>
      </c>
      <c r="E14" s="108" t="str">
        <v>fraction of N available for leaching and runoff</v>
      </c>
      <c r="F14" s="110"/>
      <c r="G14" s="107" t="str">
        <v>fraction</v>
      </c>
      <c r="H14" s="112" t="str">
        <v>Constant</v>
      </c>
      <c r="I14" s="107">
        <f>Common_InputFunctions.CommonCropping_GetFracWET(I16,I18,#REF!,#REF!,Table_SourceData_FracWETIrrigation[Irrigation type i],Table_SourceData_FracWETIrrigation[FracWET])</f>
        <v>1</v>
      </c>
    </row>
    <row r="15" spans="1:20" ht="20.100000000000001" customHeight="1" x14ac:dyDescent="0.25">
      <c r="A15" s="5" t="str">
        <f>HYPERLINK("#'Input - Electricity'!A1", "Electricity")</f>
        <v>Electricity</v>
      </c>
      <c r="D15" s="107" t="str">
        <v>FracLEACH</v>
      </c>
      <c r="E15" s="108" t="str">
        <v>fraction of N that is lost through leaching and runoff</v>
      </c>
      <c r="F15" s="110"/>
      <c r="G15" s="107" t="str">
        <v>fraction</v>
      </c>
      <c r="H15" s="112" t="str">
        <v>Constant</v>
      </c>
      <c r="I15" s="107">
        <f>'Constants - Fertiliser'!$E$78</f>
        <v>0.24</v>
      </c>
    </row>
    <row r="16" spans="1:20" ht="20.100000000000001" customHeight="1" x14ac:dyDescent="0.25">
      <c r="D16" s="107" t="str">
        <v>z</v>
      </c>
      <c r="E16" s="108" t="str">
        <v>location in leaching zone</v>
      </c>
      <c r="F16" s="110"/>
      <c r="G16" s="107" t="str">
        <v/>
      </c>
      <c r="H16" s="111" t="str">
        <v>Input</v>
      </c>
      <c r="I16" s="107" t="str">
        <f>X_Cell_Site_LeachingZone</f>
        <v>NO - Not in leaching zone</v>
      </c>
    </row>
    <row r="17" spans="1:9" ht="20.100000000000001" customHeight="1" x14ac:dyDescent="0.25">
      <c r="D17" s="107" t="str">
        <v>j</v>
      </c>
      <c r="E17" s="108" t="str">
        <v>production system</v>
      </c>
      <c r="F17" s="110"/>
      <c r="G17" s="107" t="str">
        <v/>
      </c>
      <c r="H17" s="111" t="str">
        <v>Input</v>
      </c>
      <c r="I17" s="107" t="str">
        <f>X_Cell_Fertiliser_ProductionSystem</f>
        <v>Crop</v>
      </c>
    </row>
    <row r="18" spans="1:9" ht="20.100000000000001" customHeight="1" x14ac:dyDescent="0.25">
      <c r="A18" s="6" t="s">
        <v>2</v>
      </c>
      <c r="D18" s="107" t="str">
        <v>ir</v>
      </c>
      <c r="E18" s="108" t="str">
        <v>irrigation method</v>
      </c>
      <c r="F18" s="110"/>
      <c r="G18" s="107" t="str">
        <v/>
      </c>
      <c r="H18" s="111" t="str">
        <v>Input</v>
      </c>
      <c r="I18" s="107" t="str">
        <f>X_Cell_Fertiliser_IrrigationMethod</f>
        <v>Sprinkler Irrigation</v>
      </c>
    </row>
    <row r="19" spans="1:9" ht="20.100000000000001" customHeight="1" x14ac:dyDescent="0.25">
      <c r="A19" s="5" t="str">
        <f>HYPERLINK("#'3.2.1.1-2 Enteric Methane'!A1", "3.2.1.1-2 Enteric methane")</f>
        <v>3.2.1.1-2 Enteric methane</v>
      </c>
    </row>
    <row r="20" spans="1:9" ht="20.100000000000001" customHeight="1" x14ac:dyDescent="0.25">
      <c r="A20" s="5" t="str">
        <f>HYPERLINK("#'4.2.1.1-2 Methane'!A1", "4.2.1.1-2 Manure methane")</f>
        <v>4.2.1.1-2 Manure methane</v>
      </c>
      <c r="D20" s="114" t="s">
        <v>615</v>
      </c>
    </row>
    <row r="21" spans="1:9" ht="20.100000000000001" customHeight="1" x14ac:dyDescent="0.25">
      <c r="A21" s="5" t="str">
        <f>HYPERLINK("#'4.2.1.3-4 Soil direct N20'!A1", "4.2.1.3-4 Soil direct N2O")</f>
        <v>4.2.1.3-4 Soil direct N2O</v>
      </c>
      <c r="D21" s="115" t="s">
        <v>616</v>
      </c>
    </row>
    <row r="22" spans="1:9" ht="20.100000000000001" customHeight="1" x14ac:dyDescent="0.25">
      <c r="A22" s="5" t="str">
        <f>HYPERLINK("#'4.2.1.5-6 Soil Atmos Dep'!A1", "4.2.1.5-6 Soil atm. deposition")</f>
        <v>4.2.1.5-6 Soil atm. deposition</v>
      </c>
      <c r="D22" s="116" t="s">
        <v>543</v>
      </c>
      <c r="E22" s="116" t="s">
        <v>599</v>
      </c>
      <c r="F22" s="116" t="s">
        <v>617</v>
      </c>
    </row>
    <row r="23" spans="1:9" ht="20.100000000000001" customHeight="1" x14ac:dyDescent="0.25">
      <c r="A23" s="5" t="str">
        <f>HYPERLINK("#'4.2.1.7-8 Soil leach runoff'!A1", "4.2.1.7-8 Soil leach &amp; runoff")</f>
        <v>4.2.1.7-8 Soil leach &amp; runoff</v>
      </c>
      <c r="D23" s="25" t="str" cm="1">
        <f t="array" ref="D23:D41">Table_Fertiliser_ChemicalCompounds[Fertiliser type f]</f>
        <v>Monoammonium phosphate (MAP)</v>
      </c>
      <c r="E23" s="25">
        <f>INDEX(Table_MN_j_f,2,4)</f>
        <v>0</v>
      </c>
      <c r="F23" s="25" cm="1">
        <f t="array" ref="F23">Fertiliser_Equations_LeachingAndRunoff.VEERG_5_5_1_1__2_MassOfNitrogenLeachedFromInorganicFertiliser(E23, $I$14, $I$15)</f>
        <v>0</v>
      </c>
    </row>
    <row r="24" spans="1:9" ht="20.100000000000001" customHeight="1" x14ac:dyDescent="0.25">
      <c r="A24" s="5" t="str">
        <f>HYPERLINK("#'5.1.1.1-2 Inorganic fert N2O'!A1", "5.1.1.1-2 Inorganic fert N2O")</f>
        <v>5.1.1.1-2 Inorganic fert N2O</v>
      </c>
      <c r="D24" s="25" t="str">
        <v>Diammonium phosphate (DAP)</v>
      </c>
      <c r="E24" s="25">
        <f>INDEX(Table_MN_j_f,3,4)</f>
        <v>0</v>
      </c>
      <c r="F24" s="25" cm="1">
        <f t="array" ref="F24">Fertiliser_Equations_LeachingAndRunoff.VEERG_5_5_1_1__2_MassOfNitrogenLeachedFromInorganicFertiliser(E24, $I$14, $I$15)</f>
        <v>0</v>
      </c>
    </row>
    <row r="25" spans="1:9" ht="20.100000000000001" customHeight="1" x14ac:dyDescent="0.25">
      <c r="A25" s="5" t="str">
        <f>HYPERLINK("#'5.1.1.3-4 Inorganic fert CO2'!A1", "5.1.1.3-4 Inorganic fert CO2")</f>
        <v>5.1.1.3-4 Inorganic fert CO2</v>
      </c>
      <c r="D25" s="25" t="str">
        <v>Urea</v>
      </c>
      <c r="E25" s="25">
        <f>INDEX(Table_MN_j_f,4,4)</f>
        <v>4600</v>
      </c>
      <c r="F25" s="25" cm="1">
        <f t="array" ref="F25">Fertiliser_Equations_LeachingAndRunoff.VEERG_5_5_1_1__2_MassOfNitrogenLeachedFromInorganicFertiliser(E25, $I$14, $I$15)</f>
        <v>1104</v>
      </c>
    </row>
    <row r="26" spans="1:9" ht="20.100000000000001" customHeight="1" x14ac:dyDescent="0.25">
      <c r="A26" s="5" t="str">
        <f>HYPERLINK("#'5.2.1.1-2 Organic Fert N2O'!A1", "5.2.1.1-2 Organic fert N2O")</f>
        <v>5.2.1.1-2 Organic fert N2O</v>
      </c>
      <c r="D26" s="25" t="str">
        <v>Sulphate of ammonia (SOA)</v>
      </c>
      <c r="E26" s="25">
        <f>INDEX(Table_MN_j_f,5,4)</f>
        <v>0</v>
      </c>
      <c r="F26" s="25" cm="1">
        <f t="array" ref="F26">Fertiliser_Equations_LeachingAndRunoff.VEERG_5_5_1_1__2_MassOfNitrogenLeachedFromInorganicFertiliser(E26, $I$14, $I$15)</f>
        <v>0</v>
      </c>
    </row>
    <row r="27" spans="1:9" ht="20.100000000000001" customHeight="1" x14ac:dyDescent="0.25">
      <c r="A27" s="5" t="str">
        <f>HYPERLINK("#'5.3.1.1-2 Lime CO2'!A1", "5.3.1.1-2 Lime CO2")</f>
        <v>5.3.1.1-2 Lime CO2</v>
      </c>
      <c r="D27" s="25" t="str">
        <v>Urea-ammonium nitrate (UAN)</v>
      </c>
      <c r="E27" s="25">
        <f>INDEX(Table_MN_j_f,6,4)</f>
        <v>0</v>
      </c>
      <c r="F27" s="25" cm="1">
        <f t="array" ref="F27">Fertiliser_Equations_LeachingAndRunoff.VEERG_5_5_1_1__2_MassOfNitrogenLeachedFromInorganicFertiliser(E27, $I$14, $I$15)</f>
        <v>0</v>
      </c>
    </row>
    <row r="28" spans="1:9" ht="20.100000000000001" customHeight="1" x14ac:dyDescent="0.25">
      <c r="A28" s="5" t="str">
        <f>HYPERLINK("#'5.4.1.1-4 Atmos deposition'!A1", "5.4.1.1-4 Atmos. deposition")</f>
        <v>5.4.1.1-4 Atmos. deposition</v>
      </c>
      <c r="D28" s="25" t="str">
        <v>Ammonium nitrate (AN)</v>
      </c>
      <c r="E28" s="25">
        <f>INDEX(Table_MN_j_f,7,4)</f>
        <v>0</v>
      </c>
      <c r="F28" s="25" cm="1">
        <f t="array" ref="F28">Fertiliser_Equations_LeachingAndRunoff.VEERG_5_5_1_1__2_MassOfNitrogenLeachedFromInorganicFertiliser(E28, $I$14, $I$15)</f>
        <v>0</v>
      </c>
    </row>
    <row r="29" spans="1:9" ht="20.100000000000001" customHeight="1" x14ac:dyDescent="0.25">
      <c r="A29" s="106" t="str">
        <f>HYPERLINK("#'5.5.1.1-2 Leaching and runoff'!A1", "5.5.1.1-2 Leaching &amp; runoff")</f>
        <v>5.5.1.1-2 Leaching &amp; runoff</v>
      </c>
      <c r="D29" s="25" t="str">
        <v>Calcium ammonium nitrate (CAN)</v>
      </c>
      <c r="E29" s="25">
        <f>INDEX(Table_MN_j_f,8,4)</f>
        <v>0</v>
      </c>
      <c r="F29" s="25" cm="1">
        <f t="array" ref="F29">Fertiliser_Equations_LeachingAndRunoff.VEERG_5_5_1_1__2_MassOfNitrogenLeachedFromInorganicFertiliser(E29, $I$14, $I$15)</f>
        <v>0</v>
      </c>
    </row>
    <row r="30" spans="1:9" ht="20.100000000000001" customHeight="1" x14ac:dyDescent="0.25">
      <c r="A30" s="5" t="str">
        <f>HYPERLINK("#'6.2.1.1-2 Pasture residue N2O'!A1", "6.2.1.1-2 Pasture residue N2O")</f>
        <v>6.2.1.1-2 Pasture residue N2O</v>
      </c>
      <c r="D30" s="25" t="str">
        <v>Nitrogen - Ammoniacal</v>
      </c>
      <c r="E30" s="25">
        <f>INDEX(Table_MN_j_f,9,4)</f>
        <v>0</v>
      </c>
      <c r="F30" s="25" cm="1">
        <f t="array" ref="F30">Fertiliser_Equations_LeachingAndRunoff.VEERG_5_5_1_1__2_MassOfNitrogenLeachedFromInorganicFertiliser(E30, $I$14, $I$15)</f>
        <v>0</v>
      </c>
    </row>
    <row r="31" spans="1:9" ht="20.100000000000001" customHeight="1" x14ac:dyDescent="0.25">
      <c r="A31" s="5" t="str">
        <f>HYPERLINK("#'6.3.1.1-2 Leach runoff pasture'!A1", "6.3.1.1-2 Leach &amp; runoff (pasture)")</f>
        <v>6.3.1.1-2 Leach &amp; runoff (pasture)</v>
      </c>
      <c r="D31" s="25" t="str">
        <v>Nitrogen - Nitrate</v>
      </c>
      <c r="E31" s="25">
        <f>INDEX(Table_MN_j_f,10,4)</f>
        <v>1980</v>
      </c>
      <c r="F31" s="25" cm="1">
        <f t="array" ref="F31">Fertiliser_Equations_LeachingAndRunoff.VEERG_5_5_1_1__2_MassOfNitrogenLeachedFromInorganicFertiliser(E31, $I$14, $I$15)</f>
        <v>475.2</v>
      </c>
    </row>
    <row r="32" spans="1:9" ht="20.100000000000001" customHeight="1" x14ac:dyDescent="0.25">
      <c r="A32" s="5" t="str">
        <f>HYPERLINK("#'8.1.1.1-2 Transport fuel'!A1", "8.1.1.1-2 Transport fuel")</f>
        <v>8.1.1.1-2 Transport fuel</v>
      </c>
      <c r="D32" s="25" t="str">
        <v>Nitrogen - Generic</v>
      </c>
      <c r="E32" s="25">
        <f>INDEX(Table_MN_j_f,11,4)</f>
        <v>1537.2</v>
      </c>
      <c r="F32" s="25" cm="1">
        <f t="array" ref="F32">Fertiliser_Equations_LeachingAndRunoff.VEERG_5_5_1_1__2_MassOfNitrogenLeachedFromInorganicFertiliser(E32, $I$14, $I$15)</f>
        <v>368.928</v>
      </c>
    </row>
    <row r="33" spans="1:11" ht="20.100000000000001" customHeight="1" x14ac:dyDescent="0.25">
      <c r="A33" s="5" t="str">
        <f>HYPERLINK("#'8.2.1.1-2 Stationary fuel'!A1", "8.2.1.1-2 Stationary fuel")</f>
        <v>8.2.1.1-2 Stationary fuel</v>
      </c>
      <c r="D33" s="25" t="str">
        <v>Phosphorus - Generic</v>
      </c>
      <c r="E33" s="25">
        <f>INDEX(Table_MN_j_f,12,4)</f>
        <v>0</v>
      </c>
      <c r="F33" s="25" cm="1">
        <f t="array" ref="F33">Fertiliser_Equations_LeachingAndRunoff.VEERG_5_5_1_1__2_MassOfNitrogenLeachedFromInorganicFertiliser(E33, $I$14, $I$15)</f>
        <v>0</v>
      </c>
    </row>
    <row r="34" spans="1:11" ht="20.100000000000001" customHeight="1" x14ac:dyDescent="0.25">
      <c r="A34" s="5" t="str">
        <f>HYPERLINK("#'14.1.1-2 Purchased electricity'!A1", "14.1.1-2 Purchased electricity")</f>
        <v>14.1.1-2 Purchased electricity</v>
      </c>
      <c r="D34" s="25" t="str">
        <v>Potassium - Generic</v>
      </c>
      <c r="E34" s="25">
        <f>INDEX(Table_MN_j_f,13,4)</f>
        <v>0</v>
      </c>
      <c r="F34" s="25" cm="1">
        <f t="array" ref="F34">Fertiliser_Equations_LeachingAndRunoff.VEERG_5_5_1_1__2_MassOfNitrogenLeachedFromInorganicFertiliser(E34, $I$14, $I$15)</f>
        <v>0</v>
      </c>
    </row>
    <row r="35" spans="1:11" ht="20.100000000000001" customHeight="1" x14ac:dyDescent="0.25">
      <c r="D35" s="25" t="str">
        <v>Sulfur - Generic</v>
      </c>
      <c r="E35" s="25">
        <f>INDEX(Table_MN_j_f,14,4)</f>
        <v>0</v>
      </c>
      <c r="F35" s="25" cm="1">
        <f t="array" ref="F35">Fertiliser_Equations_LeachingAndRunoff.VEERG_5_5_1_1__2_MassOfNitrogenLeachedFromInorganicFertiliser(E35, $I$14, $I$15)</f>
        <v>0</v>
      </c>
    </row>
    <row r="36" spans="1:11" ht="20.100000000000001" customHeight="1" x14ac:dyDescent="0.25">
      <c r="D36" s="25" t="str">
        <v>Zinc - Generic</v>
      </c>
      <c r="E36" s="25">
        <f>INDEX(Table_MN_j_f,15,4)</f>
        <v>0</v>
      </c>
      <c r="F36" s="25" cm="1">
        <f t="array" ref="F36">Fertiliser_Equations_LeachingAndRunoff.VEERG_5_5_1_1__2_MassOfNitrogenLeachedFromInorganicFertiliser(E36, $I$14, $I$15)</f>
        <v>0</v>
      </c>
    </row>
    <row r="37" spans="1:11" ht="20.100000000000001" customHeight="1" x14ac:dyDescent="0.25">
      <c r="A37" s="251" t="s">
        <v>1</v>
      </c>
      <c r="D37" s="25" t="str">
        <v>Muriate of potash (MOP)</v>
      </c>
      <c r="E37" s="25">
        <f>INDEX(Table_MN_j_f,16,4)</f>
        <v>0</v>
      </c>
      <c r="F37" s="25" cm="1">
        <f t="array" ref="F37">Fertiliser_Equations_LeachingAndRunoff.VEERG_5_5_1_1__2_MassOfNitrogenLeachedFromInorganicFertiliser(E37, $I$14, $I$15)</f>
        <v>0</v>
      </c>
    </row>
    <row r="38" spans="1:11" ht="20.100000000000001" customHeight="1" x14ac:dyDescent="0.25">
      <c r="A38" s="5" t="str">
        <f>HYPERLINK("#'Constants - Pasture Beef'!A1", "Constants - Pasture Beef")</f>
        <v>Constants - Pasture Beef</v>
      </c>
      <c r="D38" s="25" t="str">
        <v>Double superphosphate</v>
      </c>
      <c r="E38" s="25">
        <f>INDEX(Table_MN_j_f,17,4)</f>
        <v>0</v>
      </c>
      <c r="F38" s="25" cm="1">
        <f t="array" ref="F38">Fertiliser_Equations_LeachingAndRunoff.VEERG_5_5_1_1__2_MassOfNitrogenLeachedFromInorganicFertiliser(E38, $I$14, $I$15)</f>
        <v>0</v>
      </c>
    </row>
    <row r="39" spans="1:11" ht="20.100000000000001" customHeight="1" x14ac:dyDescent="0.25">
      <c r="A39" s="5" t="str">
        <f>HYPERLINK("#'Constants - Ag Residue'!A1", "Constants - Ag residue")</f>
        <v>Constants - Ag residue</v>
      </c>
      <c r="D39" s="25" t="str">
        <v>Single superphosphate (SSP)</v>
      </c>
      <c r="E39" s="25">
        <f>INDEX(Table_MN_j_f,18,4)</f>
        <v>0</v>
      </c>
      <c r="F39" s="25" cm="1">
        <f t="array" ref="F39">Fertiliser_Equations_LeachingAndRunoff.VEERG_5_5_1_1__2_MassOfNitrogenLeachedFromInorganicFertiliser(E39, $I$14, $I$15)</f>
        <v>0</v>
      </c>
    </row>
    <row r="40" spans="1:11" ht="20.100000000000001" customHeight="1" x14ac:dyDescent="0.25">
      <c r="A40" s="5" t="str">
        <f>HYPERLINK("#'Constants - Common Livestock'!A1", "Constants - Common Livestock")</f>
        <v>Constants - Common Livestock</v>
      </c>
      <c r="D40" s="25" t="str">
        <v>Ammonia</v>
      </c>
      <c r="E40" s="25">
        <f>INDEX(Table_MN_j_f,19,4)</f>
        <v>4117.5</v>
      </c>
      <c r="F40" s="25" cm="1">
        <f t="array" ref="F40">Fertiliser_Equations_LeachingAndRunoff.VEERG_5_5_1_1__2_MassOfNitrogenLeachedFromInorganicFertiliser(E40, $I$14, $I$15)</f>
        <v>988.19999999999993</v>
      </c>
    </row>
    <row r="41" spans="1:11" ht="20.100000000000001" customHeight="1" x14ac:dyDescent="0.25">
      <c r="A41" s="5" t="str">
        <f>HYPERLINK("#'Constants - Electricity'!A1", "Constants - Electricity")</f>
        <v>Constants - Electricity</v>
      </c>
      <c r="D41" s="25" t="str">
        <v>Calcium nitrate</v>
      </c>
      <c r="E41" s="25">
        <f>INDEX(Table_MN_j_f,20,4)</f>
        <v>775</v>
      </c>
      <c r="F41" s="25" cm="1">
        <f t="array" ref="F41">Fertiliser_Equations_LeachingAndRunoff.VEERG_5_5_1_1__2_MassOfNitrogenLeachedFromInorganicFertiliser(E41, $I$14, $I$15)</f>
        <v>186</v>
      </c>
    </row>
    <row r="42" spans="1:11" ht="20.100000000000001" customHeight="1" x14ac:dyDescent="0.25">
      <c r="A42" s="5" t="str">
        <f>HYPERLINK("#'Constants - Fertiliser'!A1", "Constants - Fertiliser")</f>
        <v>Constants - Fertiliser</v>
      </c>
    </row>
    <row r="43" spans="1:11" ht="20.100000000000001" customHeight="1" x14ac:dyDescent="0.25">
      <c r="A43" s="5" t="str">
        <f>HYPERLINK("#'Constants - Fuel'!A1", "Constants - Fuel")</f>
        <v>Constants - Fuel</v>
      </c>
      <c r="D43" s="130" t="s">
        <v>618</v>
      </c>
      <c r="E43" s="118">
        <f>SUM(F23:F41)</f>
        <v>3122.328</v>
      </c>
      <c r="F43" s="125" t="str">
        <f>$E$11</f>
        <v>kg N</v>
      </c>
    </row>
    <row r="44" spans="1:11" ht="20.100000000000001" customHeight="1" x14ac:dyDescent="0.25">
      <c r="A44" s="5" t="str">
        <f>HYPERLINK("#'Constants - Common'!A1", "Constants - Common")</f>
        <v>Constants - Common</v>
      </c>
    </row>
    <row r="45" spans="1:11" ht="20.100000000000001" customHeight="1" x14ac:dyDescent="0.25">
      <c r="A45" s="5" t="str">
        <f>HYPERLINK("#'Acknowledgements'!A1", "Acknowledgements")</f>
        <v>Acknowledgements</v>
      </c>
      <c r="C45" s="184"/>
      <c r="D45" s="184"/>
      <c r="E45" s="184"/>
      <c r="F45" s="184"/>
      <c r="G45" s="184"/>
      <c r="H45" s="184"/>
      <c r="I45" s="184"/>
      <c r="J45" s="184"/>
      <c r="K45" s="184"/>
    </row>
    <row r="46" spans="1:11" ht="20.100000000000001" customHeight="1" x14ac:dyDescent="0.25">
      <c r="A46" s="5" t="str">
        <f>HYPERLINK("#'Overview'!A1", "Overview")</f>
        <v>Overview</v>
      </c>
    </row>
    <row r="47" spans="1:11" ht="20.100000000000001" customHeight="1" x14ac:dyDescent="0.25">
      <c r="D47" s="2" t="str" cm="1">
        <f t="array" ref="D47">Fertiliser_Equations_LeachingAndRunoff.VEERG_5_5_1_1__3_MassOfNitrogenLeachedFromOrganicFertiliser_Title()</f>
        <v>Mass of nitrogen lost through leaching and runoff from organic fertiliser application in production system j</v>
      </c>
    </row>
    <row r="48" spans="1:11" ht="20.100000000000001" customHeight="1" x14ac:dyDescent="0.25">
      <c r="D48" s="27" t="str" cm="1">
        <f t="array" ref="D48">Fertiliser_Equations_LeachingAndRunoff.VEERG_5_5_1_1__3_MassOfNitrogenLeachedFromOrganicFertiliser_Source()</f>
        <v>VEERG 2026: 5.5, Equation (3)</v>
      </c>
    </row>
    <row r="49" spans="4:9" ht="20.100000000000001" customHeight="1" x14ac:dyDescent="0.25">
      <c r="D49" s="105" t="s">
        <v>261</v>
      </c>
      <c r="E49" s="105" t="str" cm="1">
        <f t="array" aca="1" ref="E49" ca="1">Common_InputFunctions.Utility_DisplayFunctionName(F65)</f>
        <v>=Fertiliser_Equations_LeachingAndRunoff.VEERG_5_5_1_1__3_MassOfNitrogenLeachedFromOrganicFertiliser</v>
      </c>
    </row>
    <row r="50" spans="4:9" ht="20.100000000000001" customHeight="1" x14ac:dyDescent="0.25"/>
    <row r="51" spans="4:9" ht="20.100000000000001" customHeight="1" x14ac:dyDescent="0.25"/>
    <row r="52" spans="4:9" ht="20.100000000000001" customHeight="1" x14ac:dyDescent="0.25">
      <c r="D52" s="88" t="s">
        <v>263</v>
      </c>
      <c r="E52" s="1" t="str" cm="1">
        <f t="array" ref="E52">Fertiliser_Equations_LeachingAndRunoff.VEERG_5_5_1_1__3_MassOfNitrogenLeachedFromOrganicFertiliser_Variable()</f>
        <v>M_leachorganicj</v>
      </c>
    </row>
    <row r="53" spans="4:9" ht="20.100000000000001" customHeight="1" x14ac:dyDescent="0.25">
      <c r="D53" s="88" t="s">
        <v>130</v>
      </c>
      <c r="E53" s="15" t="str" cm="1">
        <f t="array" ref="E53">Fertiliser_Equations_LeachingAndRunoff.VEERG_5_5_1_1__3_MassOfNitrogenLeachedFromOrganicFertiliser_Unit()</f>
        <v>kg N</v>
      </c>
    </row>
    <row r="54" spans="4:9" ht="20.100000000000001" customHeight="1" x14ac:dyDescent="0.25"/>
    <row r="55" spans="4:9" ht="20.100000000000001" customHeight="1" x14ac:dyDescent="0.25">
      <c r="D55" s="107" t="str" cm="1">
        <f t="array" ref="D55:E60">_xlfn.CHOOSECOLS(Fertiliser_Equations_LeachingAndRunoff.VEERG_5_5_1_1__3_MassOfNitrogenLeachedFromOrganicFertiliser_Arguments(), 1, 2)</f>
        <v>MNSoil_jf</v>
      </c>
      <c r="E55" s="108" t="str">
        <v>mass of nitrogen in organic fertiliser</v>
      </c>
      <c r="F55" s="110"/>
      <c r="G55" s="107" t="str" cm="1">
        <f t="array" ref="G55:H60">_xlfn.CHOOSECOLS(Fertiliser_Equations_LeachingAndRunoff.VEERG_5_5_1_1__3_MassOfNitrogenLeachedFromOrganicFertiliser_Arguments(), 3,4)</f>
        <v>kg N</v>
      </c>
      <c r="H55" s="112" t="str">
        <v>Calculated from 5.2.1.1 (2)</v>
      </c>
      <c r="I55" s="113" t="str" cm="1">
        <f t="array" aca="1" ref="I55" ca="1">HYPERLINK(Common_InputFunctions.Utility_SourceHyperlink(D62), D62)</f>
        <v>Table_M_leach_organic_j</v>
      </c>
    </row>
    <row r="56" spans="4:9" ht="20.100000000000001" customHeight="1" x14ac:dyDescent="0.25">
      <c r="D56" s="107" t="str">
        <v>FracWETj</v>
      </c>
      <c r="E56" s="108" t="str">
        <v>fraction of N available for leaching and runoff</v>
      </c>
      <c r="F56" s="110"/>
      <c r="G56" s="107" t="str">
        <v>fraction</v>
      </c>
      <c r="H56" s="112" t="str">
        <v>Constant</v>
      </c>
      <c r="I56" s="107">
        <f>Common_InputFunctions.CommonCropping_GetFracWET(I58,I60,#REF!,#REF!,Table_SourceData_FracWETIrrigation[Irrigation type i],Table_SourceData_FracWETIrrigation[FracWET])</f>
        <v>1</v>
      </c>
    </row>
    <row r="57" spans="4:9" ht="20.100000000000001" customHeight="1" x14ac:dyDescent="0.25">
      <c r="D57" s="107" t="str">
        <v>FracLEACH</v>
      </c>
      <c r="E57" s="108" t="str">
        <v>fraction of N that is lost through leaching and runoff</v>
      </c>
      <c r="F57" s="110"/>
      <c r="G57" s="107" t="str">
        <v>fraction</v>
      </c>
      <c r="H57" s="112" t="str">
        <v>Constant</v>
      </c>
      <c r="I57" s="107">
        <f>'Constants - Fertiliser'!$E$78</f>
        <v>0.24</v>
      </c>
    </row>
    <row r="58" spans="4:9" ht="20.100000000000001" customHeight="1" x14ac:dyDescent="0.25">
      <c r="D58" s="107" t="str">
        <v>z</v>
      </c>
      <c r="E58" s="108" t="str">
        <v>location in leaching zone</v>
      </c>
      <c r="F58" s="110"/>
      <c r="G58" s="107" t="str">
        <v/>
      </c>
      <c r="H58" s="111" t="str">
        <v>Input</v>
      </c>
      <c r="I58" s="107" t="str">
        <f>X_Cell_Site_LeachingZone</f>
        <v>NO - Not in leaching zone</v>
      </c>
    </row>
    <row r="59" spans="4:9" ht="20.100000000000001" customHeight="1" x14ac:dyDescent="0.25">
      <c r="D59" s="107" t="str">
        <v>j</v>
      </c>
      <c r="E59" s="108" t="str">
        <v>production system</v>
      </c>
      <c r="F59" s="110"/>
      <c r="G59" s="107" t="str">
        <v/>
      </c>
      <c r="H59" s="111" t="str">
        <v>Input</v>
      </c>
      <c r="I59" s="107" t="str">
        <f>X_Cell_Fertiliser_ProductionSystem</f>
        <v>Crop</v>
      </c>
    </row>
    <row r="60" spans="4:9" ht="20.100000000000001" customHeight="1" x14ac:dyDescent="0.25">
      <c r="D60" s="107" t="str">
        <v>ir</v>
      </c>
      <c r="E60" s="108" t="str">
        <v>irrigation method</v>
      </c>
      <c r="F60" s="110"/>
      <c r="G60" s="107" t="str">
        <v/>
      </c>
      <c r="H60" s="111" t="str">
        <v>Input</v>
      </c>
      <c r="I60" s="107" t="str">
        <f>X_Cell_Fertiliser_IrrigationMethod</f>
        <v>Sprinkler Irrigation</v>
      </c>
    </row>
    <row r="61" spans="4:9" ht="20.100000000000001" customHeight="1" x14ac:dyDescent="0.25"/>
    <row r="62" spans="4:9" ht="20.100000000000001" customHeight="1" x14ac:dyDescent="0.25">
      <c r="D62" s="114" t="s">
        <v>619</v>
      </c>
    </row>
    <row r="63" spans="4:9" ht="20.100000000000001" customHeight="1" x14ac:dyDescent="0.25">
      <c r="D63" s="115" t="s">
        <v>620</v>
      </c>
    </row>
    <row r="64" spans="4:9" ht="20.100000000000001" customHeight="1" x14ac:dyDescent="0.25">
      <c r="D64" s="117" t="s">
        <v>580</v>
      </c>
      <c r="E64" s="185" t="s">
        <v>584</v>
      </c>
      <c r="F64" s="116" t="s">
        <v>621</v>
      </c>
    </row>
    <row r="65" spans="3:11" ht="20.100000000000001" customHeight="1" x14ac:dyDescent="0.25">
      <c r="D65" s="25" t="str">
        <f>INDEX(Table_MNSoil_j_f,2,1)</f>
        <v>Manure - Other</v>
      </c>
      <c r="E65" s="25">
        <f>INDEX(Table_MNSoil_j_f,2,6)</f>
        <v>300</v>
      </c>
      <c r="F65" s="25" cm="1">
        <f t="array" ref="F65">Fertiliser_Equations_LeachingAndRunoff.VEERG_5_5_1_1__3_MassOfNitrogenLeachedFromOrganicFertiliser(E65,$I$56, $I$57)</f>
        <v>72</v>
      </c>
    </row>
    <row r="66" spans="3:11" ht="20.100000000000001" customHeight="1" x14ac:dyDescent="0.25">
      <c r="D66" s="25" t="str">
        <f>INDEX(Table_MNSoil_j_f,3,1)</f>
        <v>Manure - Poultry</v>
      </c>
      <c r="E66" s="25">
        <f>INDEX(Table_MNSoil_j_f,3,6)</f>
        <v>250</v>
      </c>
      <c r="F66" s="25" cm="1">
        <f t="array" ref="F66">Fertiliser_Equations_LeachingAndRunoff.VEERG_5_5_1_1__3_MassOfNitrogenLeachedFromOrganicFertiliser(E66,$I$56, $I$57)</f>
        <v>60</v>
      </c>
    </row>
    <row r="67" spans="3:11" ht="20.100000000000001" customHeight="1" x14ac:dyDescent="0.25">
      <c r="D67" s="25" t="str">
        <f>INDEX(Table_MNSoil_j_f,4,1)</f>
        <v>Other organic fertiliser</v>
      </c>
      <c r="E67" s="25">
        <f>INDEX(Table_MNSoil_j_f,4,6)</f>
        <v>160</v>
      </c>
      <c r="F67" s="25" cm="1">
        <f t="array" ref="F67">Fertiliser_Equations_LeachingAndRunoff.VEERG_5_5_1_1__3_MassOfNitrogenLeachedFromOrganicFertiliser(E67,$I$56, $I$57)</f>
        <v>38.4</v>
      </c>
    </row>
    <row r="68" spans="3:11" ht="20.100000000000001" customHeight="1" x14ac:dyDescent="0.25">
      <c r="D68" s="25">
        <f>'5.2.1.1-2 Organic Fert N2O'!D23</f>
        <v>0</v>
      </c>
      <c r="E68" s="25">
        <f>'5.2.1.1-2 Organic Fert N2O'!I23</f>
        <v>0</v>
      </c>
      <c r="F68" s="25" cm="1">
        <f t="array" ref="F68">Fertiliser_Equations_LeachingAndRunoff.VEERG_5_5_1_1__3_MassOfNitrogenLeachedFromOrganicFertiliser(E68,$I$56, $I$57)</f>
        <v>0</v>
      </c>
    </row>
    <row r="69" spans="3:11" ht="20.100000000000001" customHeight="1" x14ac:dyDescent="0.25">
      <c r="D69" s="25">
        <f>'5.2.1.1-2 Organic Fert N2O'!D24</f>
        <v>0</v>
      </c>
      <c r="E69" s="25">
        <f>'5.2.1.1-2 Organic Fert N2O'!I24</f>
        <v>0</v>
      </c>
      <c r="F69" s="25" cm="1">
        <f t="array" ref="F69">Fertiliser_Equations_LeachingAndRunoff.VEERG_5_5_1_1__3_MassOfNitrogenLeachedFromOrganicFertiliser(E69,$I$56, $I$57)</f>
        <v>0</v>
      </c>
    </row>
    <row r="70" spans="3:11" ht="20.100000000000001" customHeight="1" x14ac:dyDescent="0.25">
      <c r="D70" s="25">
        <f>'5.2.1.1-2 Organic Fert N2O'!D25</f>
        <v>0</v>
      </c>
      <c r="E70" s="25">
        <f>'5.2.1.1-2 Organic Fert N2O'!I25</f>
        <v>0</v>
      </c>
      <c r="F70" s="25" cm="1">
        <f t="array" ref="F70">Fertiliser_Equations_LeachingAndRunoff.VEERG_5_5_1_1__3_MassOfNitrogenLeachedFromOrganicFertiliser(E70,$I$56, $I$57)</f>
        <v>0</v>
      </c>
    </row>
    <row r="71" spans="3:11" ht="20.100000000000001" customHeight="1" x14ac:dyDescent="0.25">
      <c r="D71" s="25">
        <f>'5.2.1.1-2 Organic Fert N2O'!D26</f>
        <v>0</v>
      </c>
      <c r="E71" s="25">
        <f>'5.2.1.1-2 Organic Fert N2O'!I26</f>
        <v>0</v>
      </c>
      <c r="F71" s="25" cm="1">
        <f t="array" ref="F71">Fertiliser_Equations_LeachingAndRunoff.VEERG_5_5_1_1__3_MassOfNitrogenLeachedFromOrganicFertiliser(E71,$I$56, $I$57)</f>
        <v>0</v>
      </c>
    </row>
    <row r="72" spans="3:11" ht="20.100000000000001" customHeight="1" x14ac:dyDescent="0.25">
      <c r="D72" s="25">
        <f>'5.2.1.1-2 Organic Fert N2O'!D27</f>
        <v>0</v>
      </c>
      <c r="E72" s="25">
        <f>'5.2.1.1-2 Organic Fert N2O'!I27</f>
        <v>0</v>
      </c>
      <c r="F72" s="25" cm="1">
        <f t="array" ref="F72">Fertiliser_Equations_LeachingAndRunoff.VEERG_5_5_1_1__3_MassOfNitrogenLeachedFromOrganicFertiliser(E72,$I$56, $I$57)</f>
        <v>0</v>
      </c>
    </row>
    <row r="73" spans="3:11" ht="20.100000000000001" customHeight="1" x14ac:dyDescent="0.25">
      <c r="D73" s="25">
        <f>'5.2.1.1-2 Organic Fert N2O'!D28</f>
        <v>0</v>
      </c>
      <c r="E73" s="25">
        <f>'5.2.1.1-2 Organic Fert N2O'!I28</f>
        <v>0</v>
      </c>
      <c r="F73" s="25" cm="1">
        <f t="array" ref="F73">Fertiliser_Equations_LeachingAndRunoff.VEERG_5_5_1_1__3_MassOfNitrogenLeachedFromOrganicFertiliser(E73,$I$56, $I$57)</f>
        <v>0</v>
      </c>
    </row>
    <row r="74" spans="3:11" ht="20.100000000000001" customHeight="1" x14ac:dyDescent="0.25">
      <c r="D74" s="25">
        <f>'5.2.1.1-2 Organic Fert N2O'!D29</f>
        <v>0</v>
      </c>
      <c r="E74" s="25">
        <f>'5.2.1.1-2 Organic Fert N2O'!I29</f>
        <v>0</v>
      </c>
      <c r="F74" s="25" cm="1">
        <f t="array" ref="F74">Fertiliser_Equations_LeachingAndRunoff.VEERG_5_5_1_1__3_MassOfNitrogenLeachedFromOrganicFertiliser(E74,$I$56, $I$57)</f>
        <v>0</v>
      </c>
    </row>
    <row r="75" spans="3:11" ht="20.100000000000001" customHeight="1" x14ac:dyDescent="0.25">
      <c r="D75" s="25">
        <f>'5.2.1.1-2 Organic Fert N2O'!D30</f>
        <v>0</v>
      </c>
      <c r="E75" s="25">
        <f>'5.2.1.1-2 Organic Fert N2O'!I30</f>
        <v>0</v>
      </c>
      <c r="F75" s="25" cm="1">
        <f t="array" ref="F75">Fertiliser_Equations_LeachingAndRunoff.VEERG_5_5_1_1__3_MassOfNitrogenLeachedFromOrganicFertiliser(E75,$I$56, $I$57)</f>
        <v>0</v>
      </c>
    </row>
    <row r="76" spans="3:11" ht="20.100000000000001" customHeight="1" x14ac:dyDescent="0.25"/>
    <row r="77" spans="3:11" ht="20.100000000000001" customHeight="1" x14ac:dyDescent="0.25">
      <c r="D77" s="130" t="s">
        <v>622</v>
      </c>
      <c r="E77" s="118">
        <f>SUM(F65:F75)</f>
        <v>170.4</v>
      </c>
      <c r="F77" s="125" t="str">
        <f>$E$53</f>
        <v>kg N</v>
      </c>
    </row>
    <row r="78" spans="3:11" ht="20.100000000000001" customHeight="1" x14ac:dyDescent="0.25"/>
    <row r="79" spans="3:11" ht="20.100000000000001" customHeight="1" x14ac:dyDescent="0.25">
      <c r="C79" s="184"/>
      <c r="D79" s="184"/>
      <c r="E79" s="184"/>
      <c r="F79" s="184"/>
      <c r="G79" s="184"/>
      <c r="H79" s="184"/>
      <c r="I79" s="184"/>
      <c r="J79" s="184"/>
      <c r="K79" s="184"/>
    </row>
    <row r="80" spans="3:11" ht="20.100000000000001" customHeight="1" x14ac:dyDescent="0.25"/>
    <row r="81" spans="4:10" ht="20.100000000000001" customHeight="1" x14ac:dyDescent="0.25">
      <c r="D81" s="2" t="str" cm="1">
        <f t="array" ref="D81">Fertiliser_Equations_LeachingAndRunoff.VEERG_5_5_1_1__1_FertiliserLeachingAndRunoffN2OEmissions_Title()</f>
        <v>Nitrous oxide emissions from nitrogen leaching and runoff from the application of all fertilisers across all production systems j</v>
      </c>
    </row>
    <row r="82" spans="4:10" ht="20.100000000000001" customHeight="1" x14ac:dyDescent="0.25">
      <c r="D82" s="27" t="str" cm="1">
        <f t="array" ref="D82">Fertiliser_Equations_LeachingAndRunoff.VEERG_5_5_1_1__1_FertiliserLeachingAndRunoffN2OEmissions_Source()</f>
        <v>VEERG 2026: 5.5, Equation (1)</v>
      </c>
    </row>
    <row r="83" spans="4:10" ht="20.100000000000001" customHeight="1" x14ac:dyDescent="0.25">
      <c r="D83" s="105" t="s">
        <v>261</v>
      </c>
      <c r="E83" s="105" t="str" cm="1">
        <f t="array" aca="1" ref="E83" ca="1">Common_InputFunctions.Utility_DisplayFunctionName(E94)</f>
        <v>=Fertiliser_Equations_LeachingAndRunoff.VEERG_5_5_1_1__1_FertiliserLeachingAndRunoffN2OEmissions</v>
      </c>
    </row>
    <row r="84" spans="4:10" ht="20.100000000000001" customHeight="1" x14ac:dyDescent="0.25"/>
    <row r="85" spans="4:10" ht="20.100000000000001" customHeight="1" x14ac:dyDescent="0.25"/>
    <row r="86" spans="4:10" ht="20.100000000000001" customHeight="1" x14ac:dyDescent="0.25">
      <c r="D86" s="88" t="s">
        <v>263</v>
      </c>
      <c r="E86" s="1" t="str" cm="1">
        <f t="array" ref="E86">Fertiliser_Equations_LeachingAndRunoff.VEERG_5_5_1_1__1_FertiliserLeachingAndRunoffN2OEmissions_Variable()</f>
        <v>E_fertleach</v>
      </c>
    </row>
    <row r="87" spans="4:10" ht="20.100000000000001" customHeight="1" x14ac:dyDescent="0.25">
      <c r="D87" s="88" t="s">
        <v>130</v>
      </c>
      <c r="E87" s="15" t="str" cm="1">
        <f t="array" ref="E87">Fertiliser_Equations_LeachingAndRunoff.VEERG_5_5_1_1__1_FertiliserLeachingAndRunoffN2OEmissions_Unit()</f>
        <v>t N2O</v>
      </c>
    </row>
    <row r="88" spans="4:10" ht="20.100000000000001" customHeight="1" x14ac:dyDescent="0.25"/>
    <row r="89" spans="4:10" ht="20.100000000000001" customHeight="1" x14ac:dyDescent="0.25">
      <c r="D89" s="107" t="str" cm="1">
        <f t="array" ref="D89:E92">_xlfn.CHOOSECOLS(Fertiliser_Equations_LeachingAndRunoff.VEERG_5_5_1_1__1_FertiliserLeachingAndRunoffN2OEmissions_Arguments(), 1, 2)</f>
        <v>M_leachinorganicj</v>
      </c>
      <c r="E89" s="108" t="str">
        <v>mass of nitrogen lost through leaching and runoff from inorganic fertiliser application in production system j</v>
      </c>
      <c r="F89" s="109"/>
      <c r="G89" s="110"/>
      <c r="H89" s="107" t="str" cm="1">
        <f t="array" ref="H89:I92">_xlfn.CHOOSECOLS(Fertiliser_Equations_LeachingAndRunoff.VEERG_5_5_1_1__1_FertiliserLeachingAndRunoffN2OEmissions_Arguments(), 3,4)</f>
        <v>kg N</v>
      </c>
      <c r="I89" s="112" t="str">
        <v>Calculated from 5.5.1.1 (2)</v>
      </c>
      <c r="J89" s="107">
        <f>$E$43</f>
        <v>3122.328</v>
      </c>
    </row>
    <row r="90" spans="4:10" ht="20.100000000000001" customHeight="1" x14ac:dyDescent="0.25">
      <c r="D90" s="107" t="str">
        <v>M_leachorganicj</v>
      </c>
      <c r="E90" s="108" t="str">
        <v>mass of nitrogen lost through leaching and runoff from organic fertiliser application</v>
      </c>
      <c r="F90" s="109"/>
      <c r="G90" s="110"/>
      <c r="H90" s="107" t="str">
        <v>kg N</v>
      </c>
      <c r="I90" s="112" t="str">
        <v>Calculated from 5.5.1.1 (3)</v>
      </c>
      <c r="J90" s="107">
        <f>$E$77</f>
        <v>170.4</v>
      </c>
    </row>
    <row r="91" spans="4:10" ht="20.100000000000001" customHeight="1" x14ac:dyDescent="0.25">
      <c r="D91" s="107" t="str">
        <v>EF_leach</v>
      </c>
      <c r="E91" s="108" t="str">
        <v>emission factor for nitrogen leaching and runoff</v>
      </c>
      <c r="F91" s="109"/>
      <c r="G91" s="110"/>
      <c r="H91" s="107" t="str">
        <v>kg N2O-N/kg N</v>
      </c>
      <c r="I91" s="112" t="str">
        <v>Constant</v>
      </c>
      <c r="J91" s="107">
        <f>'Constants - Fertiliser'!$E$83</f>
        <v>1.0999999999999999E-2</v>
      </c>
    </row>
    <row r="92" spans="4:10" ht="20.100000000000001" customHeight="1" x14ac:dyDescent="0.25">
      <c r="D92" s="107" t="str">
        <v>C_N2O</v>
      </c>
      <c r="E92" s="108" t="str">
        <v>factor to convert elemental mass of nitrous oxide to molecular mass</v>
      </c>
      <c r="F92" s="109"/>
      <c r="G92" s="110"/>
      <c r="H92" s="107" t="str">
        <v/>
      </c>
      <c r="I92" s="112" t="str">
        <v>Constant</v>
      </c>
      <c r="J92" s="122">
        <f>Common_InputFunctions.Utility_LookupValueInTableNumber("N2O",Table_GasToMolecularConversionFactor[Gas],Table_GasToMolecularConversionFactor[Conversion factor combined])</f>
        <v>1.5714285714285714</v>
      </c>
    </row>
    <row r="93" spans="4:10" ht="20.100000000000001" customHeight="1" x14ac:dyDescent="0.25"/>
    <row r="94" spans="4:10" ht="20.100000000000001" customHeight="1" x14ac:dyDescent="0.25">
      <c r="D94" s="119" t="s">
        <v>623</v>
      </c>
      <c r="E94" s="120" cm="1">
        <f t="array" ref="E94">Fertiliser_Equations_LeachingAndRunoff.VEERG_5_5_1_1__1_FertiliserLeachingAndRunoffN2OEmissions(J89,J90,J91,J92)</f>
        <v>5.6917155428571425E-2</v>
      </c>
      <c r="F94" s="121" t="str">
        <f>$E$87</f>
        <v>t N2O</v>
      </c>
    </row>
    <row r="95" spans="4:10" ht="20.100000000000001" customHeight="1" x14ac:dyDescent="0.25"/>
    <row r="96" spans="4:10" ht="20.100000000000001" customHeight="1" x14ac:dyDescent="0.25">
      <c r="D96" s="122" t="str" cm="1">
        <f t="array" ref="D96:E97">Common_Equations.Common_ConvertN2OToCO2e_Arguments()</f>
        <v>EN2O</v>
      </c>
      <c r="E96" s="123" t="str">
        <v>Nitrous oxide emissions (t N2O)</v>
      </c>
      <c r="F96" s="124"/>
      <c r="G96" s="25">
        <f>E94</f>
        <v>5.6917155428571425E-2</v>
      </c>
    </row>
    <row r="97" spans="4:7" ht="20.100000000000001" customHeight="1" x14ac:dyDescent="0.25">
      <c r="D97" s="122" t="str">
        <v>GWPN2O</v>
      </c>
      <c r="E97" s="123" t="str">
        <v>Global warming potential for nitrous oxide (t CO2-e / t N2O)</v>
      </c>
      <c r="F97" s="124"/>
      <c r="G97" s="25">
        <f>Common_InputFunctions.Utility_LookupValueInTableNumber("N2O",Table_GWPData[Gas],Table_GWPData[CO2-e factor])</f>
        <v>265</v>
      </c>
    </row>
    <row r="98" spans="4:7" ht="20.100000000000001" customHeight="1" x14ac:dyDescent="0.25"/>
    <row r="99" spans="4:7" ht="20.100000000000001" customHeight="1" x14ac:dyDescent="0.25">
      <c r="D99" s="118" t="s">
        <v>301</v>
      </c>
      <c r="E99" s="118" cm="1">
        <f t="array" ref="E99">Common_Equations.Common_ConvertN2OToCO2e(G96,G97)</f>
        <v>15.083046188571428</v>
      </c>
      <c r="F99" s="125" t="str" cm="1">
        <f t="array" ref="F99">Common_Equations.Common_ConvertN2OToCO2e_Unit()</f>
        <v>t CO2e</v>
      </c>
    </row>
    <row r="100" spans="4:7" ht="20.100000000000001" customHeight="1" x14ac:dyDescent="0.25"/>
    <row r="101" spans="4:7" ht="20.100000000000001" customHeight="1" x14ac:dyDescent="0.25"/>
    <row r="102" spans="4:7" ht="20.100000000000001" customHeight="1" x14ac:dyDescent="0.25"/>
    <row r="103" spans="4:7" ht="20.100000000000001" customHeight="1" x14ac:dyDescent="0.25"/>
    <row r="104" spans="4:7" ht="20.100000000000001" customHeight="1" x14ac:dyDescent="0.25"/>
    <row r="105" spans="4:7" ht="20.100000000000001" customHeight="1" x14ac:dyDescent="0.25"/>
    <row r="106" spans="4:7" ht="20.100000000000001" customHeight="1" x14ac:dyDescent="0.25"/>
    <row r="107" spans="4:7" ht="20.100000000000001" customHeight="1" x14ac:dyDescent="0.25"/>
    <row r="108" spans="4:7" ht="20.100000000000001" customHeight="1" x14ac:dyDescent="0.25"/>
    <row r="109" spans="4:7" ht="20.100000000000001" customHeight="1" x14ac:dyDescent="0.25"/>
    <row r="110" spans="4:7" ht="20.100000000000001" customHeight="1" x14ac:dyDescent="0.25"/>
    <row r="111" spans="4:7" ht="20.100000000000001" customHeight="1" x14ac:dyDescent="0.25"/>
    <row r="112" spans="4:7"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CC29C-2F0A-45CF-866A-5818982790D6}">
  <dimension ref="A1:U165"/>
  <sheetViews>
    <sheetView showGridLines="0" topLeftCell="A5" zoomScaleNormal="100" workbookViewId="0">
      <selection activeCell="A46" sqref="A46"/>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31" customFormat="1" ht="30" customHeight="1" x14ac:dyDescent="0.35">
      <c r="A1" s="16" t="e" vm="1">
        <v>#VALUE!</v>
      </c>
      <c r="C1" s="31" t="s">
        <v>817</v>
      </c>
    </row>
    <row r="2" spans="1:21" s="3" customFormat="1" ht="20.100000000000001" customHeight="1" x14ac:dyDescent="0.25">
      <c r="A2"/>
    </row>
    <row r="3" spans="1:21" ht="20.100000000000001" customHeight="1" x14ac:dyDescent="0.25">
      <c r="A3" s="5" t="str">
        <f>HYPERLINK("#'Home'!A1", "Home")</f>
        <v>Home</v>
      </c>
      <c r="C3" s="33"/>
      <c r="D3" s="33" t="s">
        <v>149</v>
      </c>
      <c r="E3" s="33"/>
      <c r="F3" s="33"/>
      <c r="G3" s="33"/>
      <c r="H3" s="33"/>
      <c r="I3" s="33"/>
      <c r="J3" s="33"/>
      <c r="K3" s="33"/>
      <c r="M3" s="33"/>
      <c r="N3" s="33" t="s">
        <v>150</v>
      </c>
      <c r="O3" s="33"/>
      <c r="P3" s="33"/>
      <c r="Q3" s="33"/>
      <c r="R3" s="33"/>
      <c r="S3" s="33"/>
      <c r="T3" s="33"/>
      <c r="U3" s="33"/>
    </row>
    <row r="4" spans="1:21" ht="20.100000000000001" customHeight="1" x14ac:dyDescent="0.25">
      <c r="A4" s="5" t="str">
        <f>HYPERLINK("#'Results'!A1", "Results")</f>
        <v>Results</v>
      </c>
    </row>
    <row r="5" spans="1:21" ht="20.100000000000001" customHeight="1" x14ac:dyDescent="0.25">
      <c r="D5" s="2" t="str" cm="1">
        <f t="array" ref="D5">AgResidue_Equations_PastureResidue.VEERG_6_2_1_1__2__MassOfNitrogenInPastureResidues_Title()</f>
        <v>Mass of nitrogen in pasture residues returned to the soil</v>
      </c>
    </row>
    <row r="6" spans="1:21" ht="20.100000000000001" customHeight="1" x14ac:dyDescent="0.25">
      <c r="D6" s="27" t="str" cm="1">
        <f t="array" ref="D6">AgResidue_Equations_PastureResidue.VEERG_6_2_1_1__2__MassOfNitrogenInPastureResidues_Source()</f>
        <v>VEERG 2026: 6.2.1.1, Equation (2)</v>
      </c>
    </row>
    <row r="7" spans="1:21" ht="20.100000000000001" customHeight="1" x14ac:dyDescent="0.25">
      <c r="A7" s="7" t="s">
        <v>0</v>
      </c>
      <c r="D7" s="105" t="s">
        <v>261</v>
      </c>
      <c r="E7" s="105" t="str" cm="1">
        <f t="array" aca="1" ref="E7" ca="1">Common_InputFunctions.Utility_DisplayFunctionName(E21)</f>
        <v>=AgResidue_Equations_PastureResidue.VEERG_6_2_1_1__2__MassOfNitrogenInPastureResidues</v>
      </c>
    </row>
    <row r="8" spans="1:21" ht="20.100000000000001" customHeight="1" x14ac:dyDescent="0.25">
      <c r="A8" s="5" t="str">
        <f>HYPERLINK("#'Input - Enterprise'!A1", "Enterprise")</f>
        <v>Enterprise</v>
      </c>
    </row>
    <row r="9" spans="1:21" ht="20.100000000000001" customHeight="1" x14ac:dyDescent="0.25">
      <c r="A9" s="5" t="str">
        <f>HYPERLINK("#'Input - Site'!A1", "Site")</f>
        <v>Site</v>
      </c>
    </row>
    <row r="10" spans="1:21" ht="20.100000000000001" customHeight="1" x14ac:dyDescent="0.25">
      <c r="A10" s="5" t="str">
        <f>HYPERLINK("#'Input - Pasture Beef'!A1", "Pasture Beef")</f>
        <v>Pasture Beef</v>
      </c>
      <c r="D10" s="35" t="s">
        <v>263</v>
      </c>
      <c r="E10" s="1" t="str" cm="1">
        <f t="array" ref="E10">AgResidue_Equations_PastureResidue.VEERG_6_2_1_1__2__MassOfNitrogenInPastureResidues_Variable()</f>
        <v>Mp</v>
      </c>
    </row>
    <row r="11" spans="1:21" ht="20.100000000000001" customHeight="1" x14ac:dyDescent="0.25">
      <c r="A11" s="5" t="str">
        <f>HYPERLINK("#'Input - Pasture Beef (Enteric)'!A1", "Pasture Beef (Enteric)")</f>
        <v>Pasture Beef (Enteric)</v>
      </c>
      <c r="D11" s="35" t="s">
        <v>130</v>
      </c>
      <c r="E11" s="15" t="str" cm="1">
        <f t="array" ref="E11">AgResidue_Equations_PastureResidue.VEERG_6_2_1_1__2__MassOfNitrogenInPastureResidues_Unit()</f>
        <v>kg N</v>
      </c>
    </row>
    <row r="12" spans="1:21" ht="20.100000000000001" customHeight="1" x14ac:dyDescent="0.25">
      <c r="A12" s="5" t="str">
        <f>HYPERLINK("#'Input - Pasture'!A1", "Pasture")</f>
        <v>Pasture</v>
      </c>
    </row>
    <row r="13" spans="1:21" ht="20.100000000000001" customHeight="1" x14ac:dyDescent="0.25">
      <c r="A13" s="5" t="str">
        <f>HYPERLINK("#'Input - Fertiliser'!A1", "Fertiliser")</f>
        <v>Fertiliser</v>
      </c>
      <c r="D13" s="107" t="str" cm="1">
        <f t="array" ref="D13:E19">_xlfn.CHOOSECOLS(AgResidue_Equations_PastureResidue.VEERG_6_2_1_1__2__MassOfNitrogenInPastureResidues_Arguments(), 1, 2)</f>
        <v>A_p</v>
      </c>
      <c r="E13" s="108" t="str">
        <v>area of pasture renewed or removed</v>
      </c>
      <c r="F13" s="109"/>
      <c r="G13" s="110"/>
      <c r="H13" s="107" t="str" cm="1">
        <f t="array" ref="H13:I19">_xlfn.CHOOSECOLS(AgResidue_Equations_PastureResidue.VEERG_6_2_1_1__2__MassOfNitrogenInPastureResidues_Arguments(), 3,4)</f>
        <v>ha</v>
      </c>
      <c r="I13" s="111" t="str">
        <v>Input</v>
      </c>
      <c r="J13" s="107">
        <f>X_Cell_Pasture_AreaRemovedOrRenewed</f>
        <v>500</v>
      </c>
      <c r="N13" s="107" t="str" cm="1">
        <f t="array" ref="N13:O19">_xlfn.CHOOSECOLS(AgResidue_Equations_PastureResidue.VEERG_6_2_1_1__2__MassOfNitrogenInPastureResidues_Arguments_Method2(), 1, 2)</f>
        <v>A_p</v>
      </c>
      <c r="O13" s="108" t="str">
        <v>area of pasture renewed or removed</v>
      </c>
      <c r="P13" s="109"/>
      <c r="Q13" s="110"/>
      <c r="R13" s="107" t="str" cm="1">
        <f t="array" ref="R13:S19">_xlfn.CHOOSECOLS(AgResidue_Equations_PastureResidue.VEERG_6_2_1_1__2__MassOfNitrogenInPastureResidues_Arguments_Method2(), 3,4)</f>
        <v>ha</v>
      </c>
      <c r="S13" s="111" t="str">
        <v>Input</v>
      </c>
      <c r="T13" s="107"/>
    </row>
    <row r="14" spans="1:21" ht="20.100000000000001" customHeight="1" x14ac:dyDescent="0.25">
      <c r="A14" s="5" t="str">
        <f>HYPERLINK("#'Input - Fuel'!A1", "Fuel")</f>
        <v>Fuel</v>
      </c>
      <c r="D14" s="107" t="str">
        <v>Y_p</v>
      </c>
      <c r="E14" s="108" t="str">
        <v>average yield of pasture crop</v>
      </c>
      <c r="F14" s="109"/>
      <c r="G14" s="110"/>
      <c r="H14" s="107" t="str">
        <v>t DM/ha</v>
      </c>
      <c r="I14" s="112" t="str">
        <v>Constant</v>
      </c>
      <c r="J14" s="107" cm="1">
        <f t="array" ref="J14">Common_InputFunctions.Utility_LookupValueInTableNumber($J$19,Table_SourceData_PastureAttributes[Pasture type],Table_SourceData_PastureAttributes[Average Yield (t DM ha) Yp])</f>
        <v>8.34</v>
      </c>
      <c r="N14" s="107" t="str">
        <v>Y_p</v>
      </c>
      <c r="O14" s="108" t="str">
        <v>average yield of pasture crop</v>
      </c>
      <c r="P14" s="109"/>
      <c r="Q14" s="110"/>
      <c r="R14" s="107" t="str">
        <v>t DM/ha</v>
      </c>
      <c r="S14" s="111" t="str">
        <v>Input</v>
      </c>
      <c r="T14" s="107">
        <f>X_Cell_Pasture_YieldPerHectare</f>
        <v>8.34</v>
      </c>
    </row>
    <row r="15" spans="1:21" ht="20.100000000000001" customHeight="1" x14ac:dyDescent="0.25">
      <c r="A15" s="5" t="str">
        <f>HYPERLINK("#'Input - Electricity'!A1", "Electricity")</f>
        <v>Electricity</v>
      </c>
      <c r="D15" s="107" t="str">
        <v>NC_AGp</v>
      </c>
      <c r="E15" s="108" t="str">
        <v>N content of above-ground pasture residue</v>
      </c>
      <c r="F15" s="109"/>
      <c r="G15" s="110"/>
      <c r="H15" s="107" t="str">
        <v>kg N/kg DM</v>
      </c>
      <c r="I15" s="112" t="str">
        <v>Constant</v>
      </c>
      <c r="J15" s="107" cm="1">
        <f t="array" ref="J15">Common_InputFunctions.Utility_LookupValueInTableNumber($J$19,Table_SourceData_PastureAttributes[Pasture type],Table_SourceData_PastureAttributes[N content Above-ground NCAGp])</f>
        <v>2.5000000000000001E-2</v>
      </c>
      <c r="N15" s="107" t="str">
        <v>NC_AGp</v>
      </c>
      <c r="O15" s="108" t="str">
        <v>N content of above-ground pasture residue</v>
      </c>
      <c r="P15" s="109"/>
      <c r="Q15" s="110"/>
      <c r="R15" s="107" t="str">
        <v>kg N/kg DM</v>
      </c>
      <c r="S15" s="112" t="str">
        <v>Constant</v>
      </c>
      <c r="T15" s="107"/>
    </row>
    <row r="16" spans="1:21" ht="20.100000000000001" customHeight="1" x14ac:dyDescent="0.25">
      <c r="D16" s="107" t="str">
        <v>R_BGp</v>
      </c>
      <c r="E16" s="108" t="str">
        <v>below-ground residue to above-ground residue ratio for pasture crop</v>
      </c>
      <c r="F16" s="109"/>
      <c r="G16" s="110"/>
      <c r="H16" s="107" t="str">
        <v/>
      </c>
      <c r="I16" s="112" t="str">
        <v>Constant</v>
      </c>
      <c r="J16" s="107" cm="1">
        <f t="array" ref="J16">Common_InputFunctions.Utility_LookupValueInTableNumber($J$19,Table_SourceData_PastureAttributes[Pasture type],Table_SourceData_PastureAttributes[Below-ground: above-ground residue ratio RBGp])</f>
        <v>0.8</v>
      </c>
      <c r="N16" s="107" t="str">
        <v>R_BGp</v>
      </c>
      <c r="O16" s="108" t="str">
        <v>below-ground residue to above-ground residue ratio for pasture crop</v>
      </c>
      <c r="P16" s="109"/>
      <c r="Q16" s="110"/>
      <c r="R16" s="107" t="str">
        <v/>
      </c>
      <c r="S16" s="112" t="str">
        <v>Constant</v>
      </c>
      <c r="T16" s="107"/>
    </row>
    <row r="17" spans="1:21" ht="20.100000000000001" customHeight="1" x14ac:dyDescent="0.25">
      <c r="D17" s="107" t="str">
        <v>NC_BGp</v>
      </c>
      <c r="E17" s="108" t="str">
        <v>N content of below-ground pasture crop residue</v>
      </c>
      <c r="F17" s="109"/>
      <c r="G17" s="110"/>
      <c r="H17" s="107" t="str">
        <v>kg N/kg DM</v>
      </c>
      <c r="I17" s="112" t="str">
        <v>Constant</v>
      </c>
      <c r="J17" s="107" cm="1">
        <f t="array" ref="J17">Common_InputFunctions.Utility_LookupValueInTableNumber($J$19,Table_SourceData_PastureAttributes[Pasture type],Table_SourceData_PastureAttributes[N content Below-ground NCBGp])</f>
        <v>1.6E-2</v>
      </c>
      <c r="N17" s="107" t="str">
        <v>NC_BGp</v>
      </c>
      <c r="O17" s="108" t="str">
        <v>N content of below-ground pasture crop residue</v>
      </c>
      <c r="P17" s="109"/>
      <c r="Q17" s="110"/>
      <c r="R17" s="107" t="str">
        <v>kg N/kg DM</v>
      </c>
      <c r="S17" s="112" t="str">
        <v>Constant</v>
      </c>
      <c r="T17" s="107"/>
    </row>
    <row r="18" spans="1:21" ht="20.100000000000001" customHeight="1" x14ac:dyDescent="0.25">
      <c r="A18" s="6" t="s">
        <v>2</v>
      </c>
      <c r="D18" s="107" t="str">
        <v>FFOD_p</v>
      </c>
      <c r="E18" s="108" t="str">
        <v>fraction of pasture yield that is removed</v>
      </c>
      <c r="F18" s="109"/>
      <c r="G18" s="110"/>
      <c r="H18" s="107" t="str">
        <v>fraction</v>
      </c>
      <c r="I18" s="112" t="str">
        <v>Constant</v>
      </c>
      <c r="J18" s="107" cm="1">
        <f t="array" ref="J18">Common_InputFunctions.Utility_LookupValueInTableNumber($J$19,Table_SourceData_PastureAttributes[Pasture type],Table_SourceData_PastureAttributes[Fraction of pasture yield that is removed FFODp])</f>
        <v>0.8</v>
      </c>
      <c r="N18" s="107" t="str">
        <v>FFOD_p</v>
      </c>
      <c r="O18" s="108" t="str">
        <v>fraction of pasture yield that is removed</v>
      </c>
      <c r="P18" s="109"/>
      <c r="Q18" s="110"/>
      <c r="R18" s="107" t="str">
        <v>fraction</v>
      </c>
      <c r="S18" s="112" t="str">
        <v>Constant</v>
      </c>
      <c r="T18" s="107"/>
    </row>
    <row r="19" spans="1:21" ht="20.100000000000001" customHeight="1" x14ac:dyDescent="0.25">
      <c r="A19" s="5" t="str">
        <f>HYPERLINK("#'3.2.1.1-2 Enteric Methane'!A1", "3.2.1.1-2 Enteric methane")</f>
        <v>3.2.1.1-2 Enteric methane</v>
      </c>
      <c r="D19" s="107" t="str">
        <v>p</v>
      </c>
      <c r="E19" s="108" t="str">
        <v>Pasture type</v>
      </c>
      <c r="F19" s="109"/>
      <c r="G19" s="110"/>
      <c r="H19" s="107" t="str">
        <v/>
      </c>
      <c r="I19" s="111" t="str">
        <v>Input</v>
      </c>
      <c r="J19" s="107" t="str">
        <f>X_Cell_Pasture_PastureType</f>
        <v>Grass clover mixture</v>
      </c>
      <c r="N19" s="107" t="str">
        <v>p</v>
      </c>
      <c r="O19" s="108" t="str">
        <v>Pasture type</v>
      </c>
      <c r="P19" s="109"/>
      <c r="Q19" s="110"/>
      <c r="R19" s="107" t="str">
        <v/>
      </c>
      <c r="S19" s="111" t="str">
        <v>Input</v>
      </c>
      <c r="T19" s="107"/>
    </row>
    <row r="20" spans="1:21" ht="20.100000000000001" customHeight="1" x14ac:dyDescent="0.25">
      <c r="A20" s="5" t="str">
        <f>HYPERLINK("#'4.2.1.1-2 Methane'!A1", "4.2.1.1-2 Manure methane")</f>
        <v>4.2.1.1-2 Manure methane</v>
      </c>
    </row>
    <row r="21" spans="1:21" ht="20.100000000000001" customHeight="1" x14ac:dyDescent="0.25">
      <c r="A21" s="5" t="str">
        <f>HYPERLINK("#'4.2.1.3-4 Soil direct N20'!A1", "4.2.1.3-4 Soil direct N2O")</f>
        <v>4.2.1.3-4 Soil direct N2O</v>
      </c>
      <c r="D21" s="130" t="s">
        <v>818</v>
      </c>
      <c r="E21" s="118" cm="1">
        <f t="array" ref="E21">AgResidue_Equations_PastureResidue.VEERG_6_2_1_1__2__MassOfNitrogenInPastureResidues(J13,J14,J18,J15,J16,J17)</f>
        <v>7.4226E-2</v>
      </c>
      <c r="F21" s="125" t="str" cm="1">
        <f t="array" ref="F21">AgResidue_Equations_PastureResidue.VEERG_6_2_1_1__2__MassOfNitrogenInPastureResidues_Unit()</f>
        <v>kg N</v>
      </c>
      <c r="N21" s="130" t="s">
        <v>818</v>
      </c>
      <c r="O21" s="118" cm="1">
        <f t="array" ref="O21">AgResidue_Equations_PastureResidue.VEERG_6_2_1_1__2__MassOfNitrogenInPastureResidues(J13,T14,J18,J15,J16,J17)</f>
        <v>7.4226E-2</v>
      </c>
      <c r="P21" s="125" t="str" cm="1">
        <f t="array" ref="P21">AgResidue_Equations_PastureResidue.VEERG_6_2_1_1__2__MassOfNitrogenInPastureResidues_Unit()</f>
        <v>kg N</v>
      </c>
    </row>
    <row r="22" spans="1:21" ht="20.100000000000001" customHeight="1" x14ac:dyDescent="0.25">
      <c r="A22" s="5" t="str">
        <f>HYPERLINK("#'4.2.1.5-6 Soil Atmos Dep'!A1", "4.2.1.5-6 Soil atm. deposition")</f>
        <v>4.2.1.5-6 Soil atm. deposition</v>
      </c>
    </row>
    <row r="23" spans="1:21" ht="20.100000000000001" customHeight="1" x14ac:dyDescent="0.25">
      <c r="A23" s="5" t="str">
        <f>HYPERLINK("#'4.2.1.7-8 Soil leach runoff'!A1", "4.2.1.7-8 Soil leach &amp; runoff")</f>
        <v>4.2.1.7-8 Soil leach &amp; runoff</v>
      </c>
    </row>
    <row r="24" spans="1:21" ht="20.100000000000001" customHeight="1" x14ac:dyDescent="0.25">
      <c r="A24" s="5" t="str">
        <f>HYPERLINK("#'5.1.1.1-2 Inorganic fert N2O'!A1", "5.1.1.1-2 Inorganic fert N2O")</f>
        <v>5.1.1.1-2 Inorganic fert N2O</v>
      </c>
      <c r="C24" s="118"/>
      <c r="D24" s="118"/>
      <c r="E24" s="118"/>
      <c r="F24" s="118"/>
      <c r="G24" s="118"/>
      <c r="H24" s="118"/>
      <c r="I24" s="118"/>
      <c r="J24" s="118"/>
      <c r="K24" s="118"/>
      <c r="M24" s="118"/>
      <c r="N24" s="118"/>
      <c r="O24" s="118"/>
      <c r="P24" s="118"/>
      <c r="Q24" s="118"/>
      <c r="R24" s="118"/>
      <c r="S24" s="118"/>
      <c r="T24" s="118"/>
      <c r="U24" s="118"/>
    </row>
    <row r="25" spans="1:21" ht="20.100000000000001" customHeight="1" x14ac:dyDescent="0.25">
      <c r="A25" s="5" t="str">
        <f>HYPERLINK("#'5.1.1.3-4 Inorganic fert CO2'!A1", "5.1.1.3-4 Inorganic fert CO2")</f>
        <v>5.1.1.3-4 Inorganic fert CO2</v>
      </c>
      <c r="D25" s="2" t="str" cm="1">
        <f t="array" ref="D25">AgResidue_Equations_PastureResidue.VEERG_6_2_1_1__1__NitrousOxideEmissionsFromPastureResidues_Title()</f>
        <v>Nitrous oxide emissions from the return of pasture residues from all pasture types to the soil</v>
      </c>
      <c r="N25" s="2" t="str" cm="1">
        <f t="array" ref="N25">AgResidue_Equations_PastureResidue.VEERG_6_2_1_1__1__NitrousOxideEmissionsFromPastureResidues_Title()</f>
        <v>Nitrous oxide emissions from the return of pasture residues from all pasture types to the soil</v>
      </c>
    </row>
    <row r="26" spans="1:21" ht="20.100000000000001" customHeight="1" x14ac:dyDescent="0.25">
      <c r="A26" s="5" t="str">
        <f>HYPERLINK("#'5.2.1.1-2 Organic Fert N2O'!A1", "5.2.1.1-2 Organic fert N2O")</f>
        <v>5.2.1.1-2 Organic fert N2O</v>
      </c>
      <c r="D26" s="27" t="str" cm="1">
        <f t="array" ref="D26">AgResidue_Equations_PastureResidue.VEERG_6_2_1_1__1__NitrousOxideEmissionsFromPastureResidues_Source()</f>
        <v>VEERG 2026: 6.2.1.1, Equation (1)</v>
      </c>
      <c r="N26" s="27" t="str" cm="1">
        <f t="array" ref="N26">AgResidue_Equations_PastureResidue.VEERG_6_2_1_1__1__NitrousOxideEmissionsFromPastureResidues_Source()</f>
        <v>VEERG 2026: 6.2.1.1, Equation (1)</v>
      </c>
    </row>
    <row r="27" spans="1:21" ht="20.100000000000001" customHeight="1" x14ac:dyDescent="0.25">
      <c r="A27" s="5" t="str">
        <f>HYPERLINK("#'5.3.1.1-2 Lime CO2'!A1", "5.3.1.1-2 Lime CO2")</f>
        <v>5.3.1.1-2 Lime CO2</v>
      </c>
      <c r="D27" s="105" t="s">
        <v>261</v>
      </c>
      <c r="E27" s="105" t="str" cm="1">
        <f t="array" aca="1" ref="E27" ca="1">Common_InputFunctions.Utility_DisplayFunctionName(E40)</f>
        <v>=AgResidue_Equations_PastureResidue.VEERG_6_2_1_1__1__NitrousOxideEmissionsFromPastureResidues</v>
      </c>
      <c r="N27" s="105" t="s">
        <v>261</v>
      </c>
      <c r="O27" s="105" t="str" cm="1">
        <f t="array" aca="1" ref="O27" ca="1">Common_InputFunctions.Utility_DisplayFunctionName(O40)</f>
        <v>=AgResidue_Equations_PastureResidue.VEERG_6_2_1_1__1__NitrousOxideEmissionsFromPastureResidues</v>
      </c>
    </row>
    <row r="28" spans="1:21" ht="20.100000000000001" customHeight="1" x14ac:dyDescent="0.25">
      <c r="A28" s="5" t="str">
        <f>HYPERLINK("#'5.4.1.1-4 Atmos deposition'!A1", "5.4.1.1-4 Atmos. deposition")</f>
        <v>5.4.1.1-4 Atmos. deposition</v>
      </c>
    </row>
    <row r="29" spans="1:21" ht="20.100000000000001" customHeight="1" x14ac:dyDescent="0.25">
      <c r="A29" s="5" t="str">
        <f>HYPERLINK("#'5.5.1.1-2 Leaching and runoff'!A1", "5.5.1.1-2 Leaching &amp; runoff")</f>
        <v>5.5.1.1-2 Leaching &amp; runoff</v>
      </c>
    </row>
    <row r="30" spans="1:21" ht="20.100000000000001" customHeight="1" x14ac:dyDescent="0.25">
      <c r="A30" s="106" t="str">
        <f>HYPERLINK("#'6.2.1.1-2 Pasture residue N2O'!A1", "6.2.1.1-2 Pasture residue N2O")</f>
        <v>6.2.1.1-2 Pasture residue N2O</v>
      </c>
      <c r="D30" s="35" t="s">
        <v>263</v>
      </c>
      <c r="E30" s="1" t="str" cm="1">
        <f t="array" ref="E30">AgResidue_Equations_PastureResidue.VEERG_6_2_1_1__1__NitrousOxideEmissionsFromPastureResidues_Variable()</f>
        <v>EN2O</v>
      </c>
      <c r="N30" s="35" t="s">
        <v>263</v>
      </c>
      <c r="O30" s="1" t="str" cm="1">
        <f t="array" ref="O30">AgResidue_Equations_PastureResidue.VEERG_6_2_1_1__1__NitrousOxideEmissionsFromPastureResidues_Variable()</f>
        <v>EN2O</v>
      </c>
    </row>
    <row r="31" spans="1:21" ht="20.100000000000001" customHeight="1" x14ac:dyDescent="0.25">
      <c r="A31" s="5" t="str">
        <f>HYPERLINK("#'6.3.1.1-2 Leach runoff pasture'!A1", "6.3.1.1-2 Leach &amp; runoff (pasture)")</f>
        <v>6.3.1.1-2 Leach &amp; runoff (pasture)</v>
      </c>
      <c r="D31" s="35" t="s">
        <v>130</v>
      </c>
      <c r="E31" s="15" t="str" cm="1">
        <f t="array" ref="E31">AgResidue_Equations_PastureResidue.VEERG_6_2_1_1__1__NitrousOxideEmissionsFromPastureResidues_Unit()</f>
        <v>t N2O</v>
      </c>
      <c r="N31" s="35" t="s">
        <v>130</v>
      </c>
      <c r="O31" s="15" t="str" cm="1">
        <f t="array" ref="O31">AgResidue_Equations_PastureResidue.VEERG_6_2_1_1__1__NitrousOxideEmissionsFromPastureResidues_Unit()</f>
        <v>t N2O</v>
      </c>
    </row>
    <row r="32" spans="1:21" ht="20.100000000000001" customHeight="1" x14ac:dyDescent="0.25">
      <c r="A32" s="5" t="str">
        <f>HYPERLINK("#'8.1.1.1-2 Transport fuel'!A1", "8.1.1.1-2 Transport fuel")</f>
        <v>8.1.1.1-2 Transport fuel</v>
      </c>
    </row>
    <row r="33" spans="1:20" ht="20.100000000000001" customHeight="1" x14ac:dyDescent="0.25">
      <c r="A33" s="5" t="str">
        <f>HYPERLINK("#'8.2.1.1-2 Stationary fuel'!A1", "8.2.1.1-2 Stationary fuel")</f>
        <v>8.2.1.1-2 Stationary fuel</v>
      </c>
      <c r="D33" s="107" t="str" cm="1">
        <f t="array" ref="D33:E37">_xlfn.CHOOSECOLS(AgResidue_Equations_PastureResidue.VEERG_6_2_1_1__1__NitrousOxideEmissionsFromPastureResidues_Arguments(), 1, 2)</f>
        <v>M_p</v>
      </c>
      <c r="E33" s="108" t="str">
        <v>mass of nitrogen in pasture p residues returned to the soil</v>
      </c>
      <c r="F33" s="109"/>
      <c r="G33" s="110"/>
      <c r="H33" s="107" t="str" cm="1">
        <f t="array" ref="H33:I37">_xlfn.CHOOSECOLS(AgResidue_Equations_PastureResidue.VEERG_6_2_1_1__1__NitrousOxideEmissionsFromPastureResidues_Arguments(), 3,4)</f>
        <v>kg N</v>
      </c>
      <c r="I33" s="112" t="str">
        <v>Calculated from 6.2.1.1 (2)</v>
      </c>
      <c r="J33" s="107">
        <f>$E$21</f>
        <v>7.4226E-2</v>
      </c>
      <c r="N33" s="107" t="str" cm="1">
        <f t="array" ref="N33:O37">_xlfn.CHOOSECOLS(AgResidue_Equations_PastureResidue.VEERG_6_2_1_1__1__NitrousOxideEmissionsFromPastureResidues_Arguments(), 1, 2)</f>
        <v>M_p</v>
      </c>
      <c r="O33" s="108" t="str">
        <v>mass of nitrogen in pasture p residues returned to the soil</v>
      </c>
      <c r="P33" s="109"/>
      <c r="Q33" s="110"/>
      <c r="R33" s="107" t="str" cm="1">
        <f t="array" ref="R33:S37">_xlfn.CHOOSECOLS(AgResidue_Equations_PastureResidue.VEERG_6_2_1_1__1__NitrousOxideEmissionsFromPastureResidues_Arguments(), 3,4)</f>
        <v>kg N</v>
      </c>
      <c r="S33" s="112" t="str">
        <v>Calculated from 6.2.1.1 (2)</v>
      </c>
      <c r="T33" s="107">
        <f>$O$21</f>
        <v>7.4226E-2</v>
      </c>
    </row>
    <row r="34" spans="1:20" ht="20.100000000000001" customHeight="1" x14ac:dyDescent="0.25">
      <c r="A34" s="5" t="str">
        <f>HYPERLINK("#'14.1.1-2 Purchased electricity'!A1", "14.1.1-2 Purchased electricity")</f>
        <v>14.1.1-2 Purchased electricity</v>
      </c>
      <c r="D34" s="107" t="str">
        <v>EF_Ni</v>
      </c>
      <c r="E34" s="108" t="str">
        <v>emission factor for crop residues returned to the soil in climate zone i</v>
      </c>
      <c r="F34" s="109"/>
      <c r="G34" s="110"/>
      <c r="H34" s="107" t="str">
        <v>kg N2O-N/kg N</v>
      </c>
      <c r="I34" s="112" t="str">
        <v>Constant</v>
      </c>
      <c r="J34" s="107" cm="1">
        <f t="array" ref="J34">Common_InputFunctions.Utility_LookupValueInTableNumber(J37,Table_SourceData_N2OEFOrganicFert[Climate zone type i],Table_SourceData_N2OEFOrganicFert[EF i N2O])</f>
        <v>5.0000000000000001E-3</v>
      </c>
      <c r="N34" s="107" t="str">
        <v>EF_Ni</v>
      </c>
      <c r="O34" s="108" t="str">
        <v>emission factor for crop residues returned to the soil in climate zone i</v>
      </c>
      <c r="P34" s="109"/>
      <c r="Q34" s="110"/>
      <c r="R34" s="107" t="str">
        <v>kg N2O-N/kg N</v>
      </c>
      <c r="S34" s="112" t="str">
        <v>Constant</v>
      </c>
      <c r="T34" s="107"/>
    </row>
    <row r="35" spans="1:20" ht="20.100000000000001" customHeight="1" x14ac:dyDescent="0.25">
      <c r="D35" s="107" t="str">
        <v>C_N2O</v>
      </c>
      <c r="E35" s="108" t="str">
        <v>factor to convert elemental mass of nitrous oxide to molecular mass</v>
      </c>
      <c r="F35" s="109"/>
      <c r="G35" s="110"/>
      <c r="H35" s="107" t="str">
        <v>dimensionless</v>
      </c>
      <c r="I35" s="112" t="str">
        <v>Constant</v>
      </c>
      <c r="J35" s="107">
        <f>Common_InputFunctions.Utility_LookupValueInTableNumber("N2O",Table_GasToMolecularConversionFactor[Gas],Table_GasToMolecularConversionFactor[Conversion factor combined])</f>
        <v>1.5714285714285714</v>
      </c>
      <c r="N35" s="107" t="str">
        <v>C_N2O</v>
      </c>
      <c r="O35" s="108" t="str">
        <v>factor to convert elemental mass of nitrous oxide to molecular mass</v>
      </c>
      <c r="P35" s="109"/>
      <c r="Q35" s="110"/>
      <c r="R35" s="107" t="str">
        <v>dimensionless</v>
      </c>
      <c r="S35" s="112" t="str">
        <v>Constant</v>
      </c>
      <c r="T35" s="107"/>
    </row>
    <row r="36" spans="1:20" ht="20.100000000000001" customHeight="1" x14ac:dyDescent="0.25">
      <c r="D36" s="107" t="str">
        <v>p</v>
      </c>
      <c r="E36" s="108" t="str">
        <v>Pasture type</v>
      </c>
      <c r="F36" s="109"/>
      <c r="G36" s="110"/>
      <c r="H36" s="107" t="str">
        <v/>
      </c>
      <c r="I36" s="111" t="str">
        <v>Input</v>
      </c>
      <c r="J36" s="107" t="str">
        <f>X_Cell_Pasture_PastureType</f>
        <v>Grass clover mixture</v>
      </c>
      <c r="N36" s="107" t="str">
        <v>p</v>
      </c>
      <c r="O36" s="108" t="str">
        <v>Pasture type</v>
      </c>
      <c r="P36" s="109"/>
      <c r="Q36" s="110"/>
      <c r="R36" s="107" t="str">
        <v/>
      </c>
      <c r="S36" s="111" t="str">
        <v>Input</v>
      </c>
      <c r="T36" s="107"/>
    </row>
    <row r="37" spans="1:20" ht="20.100000000000001" customHeight="1" x14ac:dyDescent="0.25">
      <c r="A37" s="251" t="s">
        <v>1</v>
      </c>
      <c r="D37" s="107" t="str">
        <v>i</v>
      </c>
      <c r="E37" s="108" t="str">
        <v>Wet or dry climate zone</v>
      </c>
      <c r="F37" s="109"/>
      <c r="G37" s="110"/>
      <c r="H37" s="107" t="str">
        <v/>
      </c>
      <c r="I37" s="111" t="str">
        <v>Input</v>
      </c>
      <c r="J37" s="107" t="str">
        <f>X_Cell_Site_WetOrDryClimateZone</f>
        <v>Dry climate zone</v>
      </c>
      <c r="N37" s="107" t="str">
        <v>i</v>
      </c>
      <c r="O37" s="108" t="str">
        <v>Wet or dry climate zone</v>
      </c>
      <c r="P37" s="109"/>
      <c r="Q37" s="110"/>
      <c r="R37" s="107" t="str">
        <v/>
      </c>
      <c r="S37" s="111" t="str">
        <v>Input</v>
      </c>
      <c r="T37" s="107"/>
    </row>
    <row r="38" spans="1:20" ht="20.100000000000001" customHeight="1" x14ac:dyDescent="0.25">
      <c r="A38" s="5" t="str">
        <f>HYPERLINK("#'Constants - Pasture Beef'!A1", "Constants - Pasture Beef")</f>
        <v>Constants - Pasture Beef</v>
      </c>
    </row>
    <row r="39" spans="1:20" ht="20.100000000000001" customHeight="1" x14ac:dyDescent="0.25">
      <c r="A39" s="5" t="str">
        <f>HYPERLINK("#'Constants - Ag Residue'!A1", "Constants - Ag residue")</f>
        <v>Constants - Ag residue</v>
      </c>
    </row>
    <row r="40" spans="1:20" ht="20.100000000000001" customHeight="1" x14ac:dyDescent="0.25">
      <c r="A40" s="5" t="str">
        <f>HYPERLINK("#'Constants - Common Livestock'!A1", "Constants - Common Livestock")</f>
        <v>Constants - Common Livestock</v>
      </c>
      <c r="D40" s="119" t="s">
        <v>568</v>
      </c>
      <c r="E40" s="120" cm="1">
        <f t="array" ref="E40">AgResidue_Equations_PastureResidue.VEERG_6_2_1_1__1__NitrousOxideEmissionsFromPastureResidues(J33,J34,J35)</f>
        <v>5.8320428571428569E-7</v>
      </c>
      <c r="F40" s="121" t="str" cm="1">
        <f t="array" ref="F40">AgResidue_Equations_PastureResidue.VEERG_6_2_1_1__1__NitrousOxideEmissionsFromPastureResidues_Unit()</f>
        <v>t N2O</v>
      </c>
      <c r="N40" s="119" t="s">
        <v>568</v>
      </c>
      <c r="O40" s="120" cm="1">
        <f t="array" ref="O40">AgResidue_Equations_PastureResidue.VEERG_6_2_1_1__1__NitrousOxideEmissionsFromPastureResidues(T33,J34,J35)</f>
        <v>5.8320428571428569E-7</v>
      </c>
      <c r="P40" s="121" t="str" cm="1">
        <f t="array" ref="P40">AgResidue_Equations_PastureResidue.VEERG_6_2_1_1__1__NitrousOxideEmissionsFromPastureResidues_Unit()</f>
        <v>t N2O</v>
      </c>
    </row>
    <row r="41" spans="1:20" ht="20.100000000000001" customHeight="1" x14ac:dyDescent="0.25">
      <c r="A41" s="5" t="str">
        <f>HYPERLINK("#'Constants - Electricity'!A1", "Constants - Electricity")</f>
        <v>Constants - Electricity</v>
      </c>
    </row>
    <row r="42" spans="1:20" ht="20.100000000000001" customHeight="1" x14ac:dyDescent="0.25">
      <c r="A42" s="5" t="str">
        <f>HYPERLINK("#'Constants - Fertiliser'!A1", "Constants - Fertiliser")</f>
        <v>Constants - Fertiliser</v>
      </c>
      <c r="D42" s="122" t="str" cm="1">
        <f t="array" ref="D42:E43">Common_Equations.Common_ConvertN2OToCO2e_Arguments()</f>
        <v>EN2O</v>
      </c>
      <c r="E42" s="123" t="str">
        <v>Nitrous oxide emissions (t N2O)</v>
      </c>
      <c r="F42" s="172"/>
      <c r="G42" s="122">
        <f>E40</f>
        <v>5.8320428571428569E-7</v>
      </c>
      <c r="N42" s="122" t="str" cm="1">
        <f t="array" ref="N42:O43">Common_Equations.Common_ConvertN2OToCO2e_Arguments()</f>
        <v>EN2O</v>
      </c>
      <c r="O42" s="123" t="str">
        <v>Nitrous oxide emissions (t N2O)</v>
      </c>
      <c r="P42" s="172"/>
      <c r="Q42" s="122">
        <f>O40</f>
        <v>5.8320428571428569E-7</v>
      </c>
    </row>
    <row r="43" spans="1:20" ht="20.100000000000001" customHeight="1" x14ac:dyDescent="0.25">
      <c r="A43" s="5" t="str">
        <f>HYPERLINK("#'Constants - Fuel'!A1", "Constants - Fuel")</f>
        <v>Constants - Fuel</v>
      </c>
      <c r="D43" s="122" t="str">
        <v>GWPN2O</v>
      </c>
      <c r="E43" s="123" t="str">
        <v>Global warming potential for nitrous oxide (t CO2-e / t N2O)</v>
      </c>
      <c r="F43" s="172"/>
      <c r="G43" s="25">
        <f>Common_InputFunctions.Utility_LookupValueInTableNumber("N2O",Table_GWPData[Gas],Table_GWPData[CO2-e factor])</f>
        <v>265</v>
      </c>
      <c r="N43" s="122" t="str">
        <v>GWPN2O</v>
      </c>
      <c r="O43" s="123" t="str">
        <v>Global warming potential for nitrous oxide (t CO2-e / t N2O)</v>
      </c>
      <c r="P43" s="172"/>
      <c r="Q43" s="25">
        <f>Common_InputFunctions.Utility_LookupValueInTableNumber("N2O",Table_GWPData[Gas],Table_GWPData[CO2-e factor])</f>
        <v>265</v>
      </c>
    </row>
    <row r="44" spans="1:20" ht="20.100000000000001" customHeight="1" x14ac:dyDescent="0.25">
      <c r="A44" s="5" t="str">
        <f>HYPERLINK("#'Constants - Common'!A1", "Constants - Common")</f>
        <v>Constants - Common</v>
      </c>
    </row>
    <row r="45" spans="1:20" ht="20.100000000000001" customHeight="1" x14ac:dyDescent="0.25">
      <c r="A45" s="5" t="str">
        <f>HYPERLINK("#'Acknowledgements'!A1", "Acknowledgements")</f>
        <v>Acknowledgements</v>
      </c>
      <c r="D45" s="1" t="s">
        <v>819</v>
      </c>
      <c r="E45" s="1" cm="1">
        <f t="array" ref="E45">Common_Equations.Common_ConvertN2OToCO2e(G42,G43)</f>
        <v>1.545491357142857E-4</v>
      </c>
      <c r="F45" s="15" t="str" cm="1">
        <f t="array" ref="F45">Common_Equations.Common_ConvertN2OToCO2e_Unit()</f>
        <v>t CO2e</v>
      </c>
      <c r="N45" s="1" t="s">
        <v>819</v>
      </c>
      <c r="O45" s="1" cm="1">
        <f t="array" ref="O45">Common_Equations.Common_ConvertN2OToCO2e(Q42,Q43)</f>
        <v>1.545491357142857E-4</v>
      </c>
      <c r="P45" s="15" t="str" cm="1">
        <f t="array" ref="P45">Common_Equations.Common_ConvertN2OToCO2e_Unit()</f>
        <v>t CO2e</v>
      </c>
    </row>
    <row r="46" spans="1:20" ht="20.100000000000001" customHeight="1" x14ac:dyDescent="0.25">
      <c r="A46" s="5" t="str">
        <f>HYPERLINK("#'Overview'!A1", "Overview")</f>
        <v>Overview</v>
      </c>
    </row>
    <row r="47" spans="1:20" ht="20.100000000000001" customHeight="1" x14ac:dyDescent="0.25"/>
    <row r="48" spans="1:20"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3298A6-ECAB-4621-A6E8-718022A438A6}">
  <dimension ref="A1:T165"/>
  <sheetViews>
    <sheetView showGridLines="0" topLeftCell="A2" workbookViewId="0">
      <selection activeCell="A46" sqref="A46"/>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9" width="30.7109375" style="1" customWidth="1"/>
    <col min="20" max="20" width="4.7109375" style="1" customWidth="1"/>
  </cols>
  <sheetData>
    <row r="1" spans="1:20" s="31" customFormat="1" ht="30" customHeight="1" x14ac:dyDescent="0.35">
      <c r="A1" s="16" t="e" vm="1">
        <v>#VALUE!</v>
      </c>
      <c r="C1" s="31" t="s">
        <v>820</v>
      </c>
    </row>
    <row r="2" spans="1:20" s="3" customFormat="1" ht="20.100000000000001" customHeight="1" x14ac:dyDescent="0.25">
      <c r="A2"/>
    </row>
    <row r="3" spans="1:20" ht="20.100000000000001" customHeight="1" x14ac:dyDescent="0.25">
      <c r="A3" s="5" t="str">
        <f>HYPERLINK("#'Home'!A1", "Home")</f>
        <v>Home</v>
      </c>
      <c r="C3" s="33"/>
      <c r="D3" s="33" t="s">
        <v>149</v>
      </c>
      <c r="E3" s="33"/>
      <c r="F3" s="33"/>
      <c r="G3" s="33"/>
      <c r="H3" s="33"/>
      <c r="I3" s="33"/>
      <c r="J3" s="33"/>
      <c r="K3" s="33"/>
      <c r="M3" s="33"/>
      <c r="N3" s="33" t="s">
        <v>150</v>
      </c>
      <c r="O3" s="33"/>
      <c r="P3" s="33"/>
      <c r="Q3" s="33"/>
      <c r="R3" s="33"/>
      <c r="S3" s="33"/>
      <c r="T3" s="33"/>
    </row>
    <row r="4" spans="1:20" ht="20.100000000000001" customHeight="1" x14ac:dyDescent="0.25">
      <c r="A4" s="5" t="str">
        <f>HYPERLINK("#'Results'!A1", "Results")</f>
        <v>Results</v>
      </c>
    </row>
    <row r="5" spans="1:20" ht="20.100000000000001" customHeight="1" x14ac:dyDescent="0.25">
      <c r="C5" s="8"/>
      <c r="D5" s="2" t="str" cm="1">
        <f t="array" ref="D5">AgResidue_Equations_Leaching.VEERG_6_3_1_1__2__MassOfNitrogenLostThroughLeachingAndRunoff_Title()</f>
        <v>Mass of nitrogen lost through leaching and runoff</v>
      </c>
      <c r="E5" s="8"/>
      <c r="F5" s="8"/>
      <c r="G5" s="8"/>
      <c r="H5" s="8"/>
      <c r="I5" s="8"/>
      <c r="J5" s="8"/>
      <c r="K5" s="8"/>
    </row>
    <row r="6" spans="1:20" ht="20.100000000000001" customHeight="1" x14ac:dyDescent="0.25">
      <c r="C6" s="8"/>
      <c r="D6" s="27" t="str" cm="1">
        <f t="array" ref="D6">AgResidue_Equations_Leaching.VEERG_6_3_1_1__2__MassOfNitrogenLostThroughLeachingAndRunoff_Source()</f>
        <v>VEERG 2026: 6.3.1.1, Equation (2)</v>
      </c>
      <c r="E6" s="8"/>
      <c r="F6" s="8"/>
      <c r="G6" s="8"/>
      <c r="H6" s="8"/>
      <c r="I6" s="8"/>
      <c r="J6" s="8"/>
      <c r="K6" s="8"/>
    </row>
    <row r="7" spans="1:20" ht="20.100000000000001" customHeight="1" x14ac:dyDescent="0.25">
      <c r="A7" s="7" t="s">
        <v>0</v>
      </c>
      <c r="C7" s="8"/>
      <c r="D7" s="105" t="s">
        <v>261</v>
      </c>
      <c r="E7" s="105" t="str" cm="1">
        <f t="array" aca="1" ref="E7" ca="1">Common_InputFunctions.Utility_DisplayFunctionName(I25)</f>
        <v>=AgResidue_Equations_Leaching.VEERG_6_3_1_1__2__MassOfNitrogenLostThroughLeachingAndRunoff</v>
      </c>
      <c r="F7" s="105"/>
      <c r="G7" s="8"/>
      <c r="H7" s="8"/>
      <c r="I7" s="8"/>
      <c r="J7" s="8"/>
      <c r="K7" s="8"/>
    </row>
    <row r="8" spans="1:20" ht="20.100000000000001" customHeight="1" x14ac:dyDescent="0.25">
      <c r="A8" s="5" t="str">
        <f>HYPERLINK("#'Input - Enterprise'!A1", "Enterprise")</f>
        <v>Enterprise</v>
      </c>
      <c r="C8" s="8"/>
      <c r="F8" s="8"/>
      <c r="G8" s="8"/>
      <c r="H8" s="8"/>
      <c r="I8" s="8"/>
      <c r="J8" s="8"/>
      <c r="K8" s="8"/>
    </row>
    <row r="9" spans="1:20" ht="20.100000000000001" customHeight="1" x14ac:dyDescent="0.25">
      <c r="A9" s="5" t="str">
        <f>HYPERLINK("#'Input - Site'!A1", "Site")</f>
        <v>Site</v>
      </c>
      <c r="C9" s="8"/>
      <c r="D9" s="8"/>
      <c r="E9" s="8"/>
      <c r="F9" s="8"/>
      <c r="G9" s="8"/>
      <c r="H9" s="8"/>
      <c r="I9" s="8"/>
      <c r="J9" s="8"/>
      <c r="K9" s="8"/>
    </row>
    <row r="10" spans="1:20" ht="20.100000000000001" customHeight="1" x14ac:dyDescent="0.25">
      <c r="A10" s="5" t="str">
        <f>HYPERLINK("#'Input - Pasture Beef'!A1", "Pasture Beef")</f>
        <v>Pasture Beef</v>
      </c>
      <c r="C10" s="8"/>
      <c r="D10" s="12" t="s">
        <v>263</v>
      </c>
      <c r="E10" s="8" t="str" cm="1">
        <f t="array" ref="E10">AgResidue_Equations_Leaching.VEERG_6_3_1_1__2__MassOfNitrogenLostThroughLeachingAndRunoff_Variable()</f>
        <v>M_leachcp</v>
      </c>
      <c r="F10" s="8"/>
      <c r="G10" s="27"/>
      <c r="H10" s="8"/>
      <c r="I10" s="8"/>
      <c r="J10" s="8"/>
      <c r="K10" s="8"/>
    </row>
    <row r="11" spans="1:20" ht="20.100000000000001" customHeight="1" x14ac:dyDescent="0.25">
      <c r="A11" s="5" t="str">
        <f>HYPERLINK("#'Input - Pasture Beef (Enteric)'!A1", "Pasture Beef (Enteric)")</f>
        <v>Pasture Beef (Enteric)</v>
      </c>
      <c r="C11" s="8"/>
      <c r="D11" s="12" t="s">
        <v>130</v>
      </c>
      <c r="E11" s="15" t="str" cm="1">
        <f t="array" ref="E11">AgResidue_Equations_Leaching.VEERG_6_3_1_1__2__MassOfNitrogenLostThroughLeachingAndRunoff_Unit()</f>
        <v>kg N</v>
      </c>
      <c r="F11" s="8"/>
      <c r="G11" s="8"/>
      <c r="H11" s="8"/>
      <c r="I11" s="8"/>
      <c r="J11" s="8"/>
      <c r="K11" s="8"/>
    </row>
    <row r="12" spans="1:20" ht="20.100000000000001" customHeight="1" x14ac:dyDescent="0.25">
      <c r="A12" s="5" t="str">
        <f>HYPERLINK("#'Input - Pasture'!A1", "Pasture")</f>
        <v>Pasture</v>
      </c>
      <c r="C12" s="8"/>
      <c r="D12" s="8"/>
      <c r="E12" s="8"/>
      <c r="F12" s="8"/>
      <c r="G12" s="8"/>
      <c r="H12" s="8"/>
      <c r="I12" s="8"/>
      <c r="J12" s="8"/>
      <c r="K12" s="8"/>
    </row>
    <row r="13" spans="1:20" ht="20.100000000000001" customHeight="1" x14ac:dyDescent="0.25">
      <c r="A13" s="5" t="str">
        <f>HYPERLINK("#'Input - Fertiliser'!A1", "Fertiliser")</f>
        <v>Fertiliser</v>
      </c>
      <c r="C13" s="8"/>
      <c r="D13" s="107" t="str" cm="1">
        <f t="array" ref="D13:E19">_xlfn.CHOOSECOLS(AgResidue_Equations_Leaching.VEERG_6_3_1_1__2__MassOfNitrogenLostThroughLeachingAndRunoff_Arguments(), 1,2)</f>
        <v>M_cp</v>
      </c>
      <c r="E13" s="108" t="str">
        <v>mass of nitrogen in crop residues c or pasture residues p applied to soils</v>
      </c>
      <c r="F13" s="109"/>
      <c r="G13" s="110"/>
      <c r="H13" s="107" t="str" cm="1">
        <f t="array" ref="H13:I19">_xlfn.CHOOSECOLS(AgResidue_Equations_Leaching.VEERG_6_3_1_1__2__MassOfNitrogenLostThroughLeachingAndRunoff_Arguments(), 3,4)</f>
        <v>kg N</v>
      </c>
      <c r="I13" s="112" t="str">
        <v>Calc from 6.1.1.1 (2) and 6.2.1.1 (2)</v>
      </c>
      <c r="J13" s="113" t="str" cm="1">
        <f t="array" aca="1" ref="J13" ca="1">HYPERLINK(Common_InputFunctions.Utility_SourceHyperlink($D$21), $D$21)</f>
        <v>M1_Table_M_leach_cp</v>
      </c>
      <c r="K13" s="8"/>
    </row>
    <row r="14" spans="1:20" ht="20.100000000000001" customHeight="1" x14ac:dyDescent="0.25">
      <c r="A14" s="5" t="str">
        <f>HYPERLINK("#'Input - Fuel'!A1", "Fuel")</f>
        <v>Fuel</v>
      </c>
      <c r="C14" s="8"/>
      <c r="D14" s="107" t="str">
        <v>FracWET_j</v>
      </c>
      <c r="E14" s="108" t="str">
        <v>fraction of N that is available for leaching and runoff from the leaching zone z and irrigation type ir</v>
      </c>
      <c r="F14" s="109"/>
      <c r="G14" s="110"/>
      <c r="H14" s="107" t="str">
        <v>fraction</v>
      </c>
      <c r="I14" s="112" t="str">
        <v>Constant</v>
      </c>
      <c r="J14" s="113" t="str" cm="1">
        <f t="array" aca="1" ref="J14" ca="1">HYPERLINK(Common_InputFunctions.Utility_SourceHyperlink($D$21), $D$21)</f>
        <v>M1_Table_M_leach_cp</v>
      </c>
      <c r="K14" s="8"/>
    </row>
    <row r="15" spans="1:20" ht="20.100000000000001" customHeight="1" x14ac:dyDescent="0.25">
      <c r="A15" s="5" t="str">
        <f>HYPERLINK("#'Input - Electricity'!A1", "Electricity")</f>
        <v>Electricity</v>
      </c>
      <c r="C15" s="8"/>
      <c r="D15" s="107" t="str">
        <v>FracLEACH</v>
      </c>
      <c r="E15" s="108" t="str">
        <v>fraction of N that is lost through leaching and runoff</v>
      </c>
      <c r="F15" s="109"/>
      <c r="G15" s="110"/>
      <c r="H15" s="107" t="str">
        <v>fraction</v>
      </c>
      <c r="I15" s="112" t="str">
        <v>Constant</v>
      </c>
      <c r="J15" s="107">
        <f>'Constants - Common'!$E$164</f>
        <v>0.24</v>
      </c>
      <c r="K15" s="8"/>
    </row>
    <row r="16" spans="1:20" ht="20.100000000000001" customHeight="1" x14ac:dyDescent="0.25">
      <c r="C16" s="8"/>
      <c r="D16" s="107" t="str">
        <v>z</v>
      </c>
      <c r="E16" s="108" t="str">
        <v>Location in leaching zone</v>
      </c>
      <c r="F16" s="109"/>
      <c r="G16" s="110"/>
      <c r="H16" s="107" t="str">
        <v/>
      </c>
      <c r="I16" s="111" t="str">
        <v>Input</v>
      </c>
      <c r="J16" s="113" t="str" cm="1">
        <f t="array" aca="1" ref="J16" ca="1">HYPERLINK(Common_InputFunctions.Utility_SourceHyperlink($D$21), $D$21)</f>
        <v>M1_Table_M_leach_cp</v>
      </c>
      <c r="K16" s="8"/>
    </row>
    <row r="17" spans="1:20" ht="20.100000000000001" customHeight="1" x14ac:dyDescent="0.25">
      <c r="C17" s="8"/>
      <c r="D17" s="107" t="str">
        <v>c</v>
      </c>
      <c r="E17" s="108" t="str">
        <v>Crop residue type</v>
      </c>
      <c r="F17" s="109"/>
      <c r="G17" s="110"/>
      <c r="H17" s="107" t="str">
        <v/>
      </c>
      <c r="I17" s="111" t="str">
        <v>Input</v>
      </c>
      <c r="J17" s="107" t="s">
        <v>141</v>
      </c>
      <c r="K17" s="8"/>
    </row>
    <row r="18" spans="1:20" ht="20.100000000000001" customHeight="1" x14ac:dyDescent="0.25">
      <c r="A18" s="6" t="s">
        <v>2</v>
      </c>
      <c r="C18" s="8"/>
      <c r="D18" s="107" t="str">
        <v>p</v>
      </c>
      <c r="E18" s="108" t="str">
        <v>Pasture residue type</v>
      </c>
      <c r="F18" s="109"/>
      <c r="G18" s="110"/>
      <c r="H18" s="107" t="str">
        <v/>
      </c>
      <c r="I18" s="111" t="str">
        <v>Input</v>
      </c>
      <c r="J18" s="107" t="str">
        <f>X_Cell_Pasture_PastureType</f>
        <v>Grass clover mixture</v>
      </c>
      <c r="K18" s="8"/>
    </row>
    <row r="19" spans="1:20" ht="20.100000000000001" customHeight="1" x14ac:dyDescent="0.25">
      <c r="A19" s="5" t="str">
        <f>HYPERLINK("#'3.2.1.1-2 Enteric Methane'!A1", "3.2.1.1-2 Enteric methane")</f>
        <v>3.2.1.1-2 Enteric methane</v>
      </c>
      <c r="C19" s="8"/>
      <c r="D19" s="107" t="str">
        <v>ir</v>
      </c>
      <c r="E19" s="108" t="str">
        <v>Irrigation type</v>
      </c>
      <c r="F19" s="109"/>
      <c r="G19" s="110"/>
      <c r="H19" s="107" t="str">
        <v/>
      </c>
      <c r="I19" s="111" t="str">
        <v>Input</v>
      </c>
      <c r="J19" s="113" t="str" cm="1">
        <f t="array" aca="1" ref="J19" ca="1">HYPERLINK(Common_InputFunctions.Utility_SourceHyperlink($D$21), $D$21)</f>
        <v>M1_Table_M_leach_cp</v>
      </c>
      <c r="K19" s="8"/>
    </row>
    <row r="20" spans="1:20" ht="20.100000000000001" customHeight="1" x14ac:dyDescent="0.25">
      <c r="A20" s="5" t="str">
        <f>HYPERLINK("#'4.2.1.1-2 Methane'!A1", "4.2.1.1-2 Manure methane")</f>
        <v>4.2.1.1-2 Manure methane</v>
      </c>
      <c r="C20" s="8"/>
      <c r="D20" s="8"/>
      <c r="E20" s="8"/>
      <c r="F20" s="8"/>
      <c r="G20" s="8"/>
      <c r="H20" s="8"/>
      <c r="I20" s="8"/>
      <c r="J20" s="8"/>
      <c r="K20" s="8"/>
    </row>
    <row r="21" spans="1:20" ht="20.100000000000001" customHeight="1" x14ac:dyDescent="0.25">
      <c r="A21" s="5" t="str">
        <f>HYPERLINK("#'4.2.1.3-4 Soil direct N20'!A1", "4.2.1.3-4 Soil direct N2O")</f>
        <v>4.2.1.3-4 Soil direct N2O</v>
      </c>
      <c r="C21" s="8"/>
      <c r="D21" s="114" t="s">
        <v>821</v>
      </c>
      <c r="E21" s="8"/>
      <c r="F21" s="8"/>
      <c r="G21" s="8"/>
      <c r="H21" s="8"/>
      <c r="I21" s="8"/>
      <c r="J21" s="8"/>
      <c r="K21" s="8"/>
      <c r="N21" s="114" t="s">
        <v>822</v>
      </c>
      <c r="O21" s="8"/>
      <c r="P21" s="8"/>
      <c r="Q21" s="8"/>
      <c r="R21" s="8"/>
      <c r="S21" s="8"/>
    </row>
    <row r="22" spans="1:20" ht="20.100000000000001" customHeight="1" x14ac:dyDescent="0.25">
      <c r="A22" s="5" t="str">
        <f>HYPERLINK("#'4.2.1.5-6 Soil Atmos Dep'!A1", "4.2.1.5-6 Soil atm. deposition")</f>
        <v>4.2.1.5-6 Soil atm. deposition</v>
      </c>
      <c r="C22" s="8"/>
      <c r="D22" s="115" t="s">
        <v>823</v>
      </c>
      <c r="E22" s="8"/>
      <c r="F22" s="8"/>
      <c r="G22" s="8"/>
      <c r="H22" s="8"/>
      <c r="I22" s="8"/>
      <c r="J22" s="8"/>
      <c r="K22" s="8"/>
      <c r="N22" s="115" t="s">
        <v>824</v>
      </c>
      <c r="O22" s="8"/>
      <c r="P22" s="8"/>
      <c r="Q22" s="8"/>
      <c r="R22" s="8"/>
      <c r="S22" s="8"/>
    </row>
    <row r="23" spans="1:20" ht="20.100000000000001" customHeight="1" x14ac:dyDescent="0.25">
      <c r="A23" s="5" t="str">
        <f>HYPERLINK("#'4.2.1.7-8 Soil leach runoff'!A1", "4.2.1.7-8 Soil leach &amp; runoff")</f>
        <v>4.2.1.7-8 Soil leach &amp; runoff</v>
      </c>
      <c r="C23" s="8"/>
      <c r="D23" s="117" t="s">
        <v>825</v>
      </c>
      <c r="E23" s="116" t="s">
        <v>826</v>
      </c>
      <c r="F23" s="117" t="s">
        <v>827</v>
      </c>
      <c r="G23" s="117" t="s">
        <v>112</v>
      </c>
      <c r="H23" s="116" t="s">
        <v>828</v>
      </c>
      <c r="I23" s="116" t="s">
        <v>829</v>
      </c>
      <c r="J23" s="8"/>
      <c r="K23" s="8"/>
      <c r="N23" s="117" t="s">
        <v>825</v>
      </c>
      <c r="O23" s="116" t="s">
        <v>826</v>
      </c>
      <c r="P23" s="117" t="s">
        <v>827</v>
      </c>
      <c r="Q23" s="117" t="s">
        <v>112</v>
      </c>
      <c r="R23" s="116" t="s">
        <v>828</v>
      </c>
      <c r="S23" s="116" t="s">
        <v>829</v>
      </c>
    </row>
    <row r="24" spans="1:20" ht="20.100000000000001" customHeight="1" x14ac:dyDescent="0.25">
      <c r="A24" s="5" t="str">
        <f>HYPERLINK("#'5.1.1.1-2 Inorganic fert N2O'!A1", "5.1.1.1-2 Inorganic fert N2O")</f>
        <v>5.1.1.1-2 Inorganic fert N2O</v>
      </c>
      <c r="D24" s="25" t="s">
        <v>469</v>
      </c>
      <c r="E24" s="25" t="s">
        <v>141</v>
      </c>
      <c r="F24" s="25" t="s">
        <v>141</v>
      </c>
      <c r="G24" s="25" t="s">
        <v>141</v>
      </c>
      <c r="H24" s="25" t="s">
        <v>141</v>
      </c>
      <c r="I24" s="25" t="s">
        <v>141</v>
      </c>
      <c r="N24" s="25"/>
      <c r="O24" s="25" t="s">
        <v>141</v>
      </c>
      <c r="P24" s="25"/>
      <c r="Q24" s="25"/>
      <c r="R24" s="25"/>
      <c r="S24" s="25" t="s">
        <v>141</v>
      </c>
    </row>
    <row r="25" spans="1:20" ht="20.100000000000001" customHeight="1" x14ac:dyDescent="0.25">
      <c r="A25" s="5" t="str">
        <f>HYPERLINK("#'5.1.1.3-4 Inorganic fert CO2'!A1", "5.1.1.3-4 Inorganic fert CO2")</f>
        <v>5.1.1.3-4 Inorganic fert CO2</v>
      </c>
      <c r="D25" s="25" t="s">
        <v>240</v>
      </c>
      <c r="E25" s="25">
        <f>'6.2.1.1-2 Pasture residue N2O'!$E$21</f>
        <v>7.4226E-2</v>
      </c>
      <c r="F25" s="25" t="str">
        <f>X_Cell_Pasture_IrrigationMethod</f>
        <v>Surface irrigation</v>
      </c>
      <c r="G25" s="25" t="str">
        <f>X_Cell_Site_LeachingZone</f>
        <v>NO - Not in leaching zone</v>
      </c>
      <c r="H25" s="25">
        <f>CommonCropping_InputFunctions.CommonCropping_GetFracWET(G25,F25,Table_SourceData_FracWET[Is in leaching zone],Table_SourceData_FracWET[FracWET], Table_SourceData_FracWETIrrigation[Irrigation type i],Table_SourceData_FracWETIrrigation[FracWET])</f>
        <v>1</v>
      </c>
      <c r="I25" s="25" cm="1">
        <f t="array" ref="I25">AgResidue_Equations_Leaching.VEERG_6_3_1_1__2__MassOfNitrogenLostThroughLeachingAndRunoff(E25,H25,$J$15)</f>
        <v>1.7814239999999999E-2</v>
      </c>
      <c r="N25" s="25"/>
      <c r="O25" s="25">
        <f>'6.2.1.1-2 Pasture residue N2O'!$O$21</f>
        <v>7.4226E-2</v>
      </c>
      <c r="P25" s="25"/>
      <c r="Q25" s="25"/>
      <c r="R25" s="25"/>
      <c r="S25" s="25" cm="1">
        <f t="array" ref="S25">AgResidue_Equations_Leaching.VEERG_6_3_1_1__2__MassOfNitrogenLostThroughLeachingAndRunoff(O25,H25,$J$15)</f>
        <v>1.7814239999999999E-2</v>
      </c>
    </row>
    <row r="26" spans="1:20" ht="20.100000000000001" customHeight="1" x14ac:dyDescent="0.25">
      <c r="A26" s="5" t="str">
        <f>HYPERLINK("#'5.2.1.1-2 Organic Fert N2O'!A1", "5.2.1.1-2 Organic fert N2O")</f>
        <v>5.2.1.1-2 Organic fert N2O</v>
      </c>
    </row>
    <row r="27" spans="1:20" ht="20.100000000000001" customHeight="1" x14ac:dyDescent="0.25">
      <c r="A27" s="5" t="str">
        <f>HYPERLINK("#'5.3.1.1-2 Lime CO2'!A1", "5.3.1.1-2 Lime CO2")</f>
        <v>5.3.1.1-2 Lime CO2</v>
      </c>
      <c r="C27" s="240"/>
      <c r="D27" s="240"/>
      <c r="E27" s="240"/>
      <c r="F27" s="240"/>
      <c r="G27" s="240"/>
      <c r="H27" s="240"/>
      <c r="I27" s="240"/>
      <c r="J27" s="240"/>
      <c r="K27" s="240"/>
      <c r="M27" s="240"/>
      <c r="N27" s="240"/>
      <c r="O27" s="240"/>
      <c r="P27" s="240"/>
      <c r="Q27" s="240"/>
      <c r="R27" s="240"/>
      <c r="S27" s="240"/>
      <c r="T27" s="240"/>
    </row>
    <row r="28" spans="1:20" ht="20.100000000000001" customHeight="1" x14ac:dyDescent="0.25">
      <c r="A28" s="5" t="str">
        <f>HYPERLINK("#'5.4.1.1-4 Atmos deposition'!A1", "5.4.1.1-4 Atmos. deposition")</f>
        <v>5.4.1.1-4 Atmos. deposition</v>
      </c>
      <c r="C28" s="8"/>
      <c r="D28" s="2" t="str" cm="1">
        <f t="array" ref="D28">AgResidue_Equations_Leaching.VEERG_6_3_1_1__1__LeachingAndRunoffEmissionsCropAndPastureResidue_Title()</f>
        <v>Nitrous oxide leaching and runoff emissions from crop and pasture residues returned to the soil</v>
      </c>
      <c r="E28" s="8"/>
      <c r="F28" s="241"/>
      <c r="G28" s="8"/>
      <c r="H28" s="8"/>
      <c r="I28" s="8"/>
      <c r="J28" s="8"/>
      <c r="K28" s="8"/>
    </row>
    <row r="29" spans="1:20" ht="20.100000000000001" customHeight="1" x14ac:dyDescent="0.25">
      <c r="A29" s="5" t="str">
        <f>HYPERLINK("#'5.5.1.1-2 Leaching and runoff'!A1", "5.5.1.1-2 Leaching &amp; runoff")</f>
        <v>5.5.1.1-2 Leaching &amp; runoff</v>
      </c>
      <c r="C29" s="8"/>
      <c r="D29" s="27" t="str" cm="1">
        <f t="array" ref="D29">AgResidue_Equations_Leaching.VEERG_6_3_1_1__1__LeachingAndRunoffEmissionsCropAndPastureResidue_Source()</f>
        <v>VEERG 2026: 6.3.1.1, Equation (1)</v>
      </c>
      <c r="E29" s="8"/>
      <c r="F29" s="8"/>
      <c r="G29" s="8"/>
      <c r="H29" s="8"/>
      <c r="I29" s="8"/>
      <c r="J29" s="8"/>
      <c r="K29" s="8"/>
    </row>
    <row r="30" spans="1:20" ht="20.100000000000001" customHeight="1" x14ac:dyDescent="0.25">
      <c r="A30" s="5" t="str">
        <f>HYPERLINK("#'6.2.1.1-2 Pasture residue N2O'!A1", "6.2.1.1-2 Pasture residue N2O")</f>
        <v>6.2.1.1-2 Pasture residue N2O</v>
      </c>
      <c r="C30" s="8"/>
      <c r="D30" s="105" t="s">
        <v>261</v>
      </c>
      <c r="E30" s="105" t="str" cm="1">
        <f t="array" aca="1" ref="E30" ca="1">Common_InputFunctions.Utility_DisplayFunctionName(E46)</f>
        <v>=AgResidue_Equations_Leaching.VEERG_6_3_1_1__1__LeachingAndRunoffEmissionsCropAndPastureResidue</v>
      </c>
      <c r="F30" s="8"/>
      <c r="G30" s="8"/>
      <c r="H30" s="8"/>
      <c r="I30" s="8"/>
      <c r="J30" s="8"/>
      <c r="K30" s="8"/>
    </row>
    <row r="31" spans="1:20" ht="20.100000000000001" customHeight="1" x14ac:dyDescent="0.25">
      <c r="A31" s="106" t="str">
        <f>HYPERLINK("#'6.3.1.1-2 Leach runoff pasture'!A1", "6.3.1.1-2 Leach &amp; runoff (pasture)")</f>
        <v>6.3.1.1-2 Leach &amp; runoff (pasture)</v>
      </c>
      <c r="C31" s="8"/>
      <c r="D31" s="8"/>
      <c r="E31" s="8"/>
      <c r="F31" s="8"/>
      <c r="G31" s="8"/>
      <c r="H31" s="8"/>
      <c r="I31" s="8"/>
      <c r="J31" s="8"/>
      <c r="K31" s="8"/>
    </row>
    <row r="32" spans="1:20" ht="20.100000000000001" customHeight="1" x14ac:dyDescent="0.25">
      <c r="A32" s="5" t="str">
        <f>HYPERLINK("#'8.1.1.1-2 Transport fuel'!A1", "8.1.1.1-2 Transport fuel")</f>
        <v>8.1.1.1-2 Transport fuel</v>
      </c>
      <c r="C32" s="8"/>
      <c r="D32" s="8"/>
      <c r="E32" s="8"/>
      <c r="F32" s="27"/>
      <c r="G32" s="8"/>
      <c r="H32" s="8"/>
      <c r="I32" s="8"/>
      <c r="J32" s="8"/>
      <c r="K32" s="8"/>
    </row>
    <row r="33" spans="1:17" ht="20.100000000000001" customHeight="1" x14ac:dyDescent="0.25">
      <c r="A33" s="5" t="str">
        <f>HYPERLINK("#'8.2.1.1-2 Stationary fuel'!A1", "8.2.1.1-2 Stationary fuel")</f>
        <v>8.2.1.1-2 Stationary fuel</v>
      </c>
      <c r="C33" s="8"/>
      <c r="D33" s="12" t="s">
        <v>263</v>
      </c>
      <c r="E33" s="8" t="str" cm="1">
        <f t="array" ref="E33">AgResidue_Equations_Leaching.VEERG_6_3_1_1__1__LeachingAndRunoffEmissionsCropAndPastureResidue_Variable()</f>
        <v>EN2O</v>
      </c>
      <c r="F33" s="8"/>
      <c r="G33" s="8"/>
      <c r="H33" s="8"/>
      <c r="I33" s="8"/>
      <c r="J33" s="8"/>
      <c r="K33" s="8"/>
    </row>
    <row r="34" spans="1:17" ht="20.100000000000001" customHeight="1" x14ac:dyDescent="0.25">
      <c r="A34" s="5" t="str">
        <f>HYPERLINK("#'14.1.1-2 Purchased electricity'!A1", "14.1.1-2 Purchased electricity")</f>
        <v>14.1.1-2 Purchased electricity</v>
      </c>
      <c r="C34" s="8"/>
      <c r="D34" s="12" t="s">
        <v>130</v>
      </c>
      <c r="E34" s="15" t="str" cm="1">
        <f t="array" ref="E34">AgResidue_Equations_Leaching.VEERG_6_3_1_1__1__LeachingAndRunoffEmissionsCropAndPastureResidue_Unit()</f>
        <v>t N2O</v>
      </c>
      <c r="F34" s="8"/>
      <c r="G34" s="8"/>
      <c r="H34" s="8"/>
      <c r="I34" s="8"/>
      <c r="J34" s="8"/>
      <c r="K34" s="8"/>
    </row>
    <row r="35" spans="1:17" ht="20.100000000000001" customHeight="1" x14ac:dyDescent="0.25">
      <c r="C35" s="8"/>
      <c r="D35" s="8"/>
      <c r="E35" s="8"/>
      <c r="F35" s="8"/>
      <c r="G35" s="8"/>
      <c r="H35" s="8"/>
      <c r="I35" s="8"/>
      <c r="J35" s="8"/>
      <c r="K35" s="8"/>
    </row>
    <row r="36" spans="1:17" ht="20.100000000000001" customHeight="1" x14ac:dyDescent="0.25">
      <c r="C36" s="8"/>
      <c r="D36" s="107" t="str" cm="1">
        <f t="array" ref="D36:E40">_xlfn.CHOOSECOLS(AgResidue_Equations_Leaching.VEERG_6_3_1_1__1__LeachingAndRunoffEmissionsCropAndPastureResidue_Arguments(),1,2)</f>
        <v>M_leachcp</v>
      </c>
      <c r="E36" s="108" t="str">
        <v>mass of nitrogen lost through leaching and runoff from the crop residue c or pasture residue p</v>
      </c>
      <c r="F36" s="109"/>
      <c r="G36" s="110"/>
      <c r="H36" s="107" t="str" cm="1">
        <f t="array" ref="H36:I40">_xlfn.CHOOSECOLS(AgResidue_Equations_Leaching.VEERG_6_3_1_1__1__LeachingAndRunoffEmissionsCropAndPastureResidue_Arguments(),3,4)</f>
        <v>kg N</v>
      </c>
      <c r="I36" s="112" t="str">
        <v>Calculated from 6.3.1.1 (2)</v>
      </c>
      <c r="J36" s="107" t="str" cm="1">
        <f t="array" aca="1" ref="J36" ca="1">HYPERLINK(Common_InputFunctions.Utility_SourceHyperlink($D$21), $D$21)</f>
        <v>M1_Table_M_leach_cp</v>
      </c>
      <c r="K36" s="8"/>
    </row>
    <row r="37" spans="1:17" ht="20.100000000000001" customHeight="1" x14ac:dyDescent="0.25">
      <c r="A37" s="251" t="s">
        <v>1</v>
      </c>
      <c r="C37" s="8"/>
      <c r="D37" s="107" t="str">
        <v>EF_leach</v>
      </c>
      <c r="E37" s="108" t="str">
        <v>emission factor for leaching and runoff</v>
      </c>
      <c r="F37" s="109"/>
      <c r="G37" s="110"/>
      <c r="H37" s="107" t="str">
        <v>kg N2O-N/kg N</v>
      </c>
      <c r="I37" s="112" t="str">
        <v>Constant</v>
      </c>
      <c r="J37" s="107">
        <f>'Constants - Common'!$E$170</f>
        <v>1.0999999999999999E-2</v>
      </c>
      <c r="K37" s="8"/>
    </row>
    <row r="38" spans="1:17" ht="20.100000000000001" customHeight="1" x14ac:dyDescent="0.25">
      <c r="A38" s="5" t="str">
        <f>HYPERLINK("#'Constants - Pasture Beef'!A1", "Constants - Pasture Beef")</f>
        <v>Constants - Pasture Beef</v>
      </c>
      <c r="C38" s="8"/>
      <c r="D38" s="107" t="str">
        <v>C_N2O</v>
      </c>
      <c r="E38" s="108" t="str">
        <v>factor to convert elemental mass of nitrous oxide to molecular mass</v>
      </c>
      <c r="F38" s="109"/>
      <c r="G38" s="110"/>
      <c r="H38" s="107" t="str">
        <v>dimensionless</v>
      </c>
      <c r="I38" s="112" t="str">
        <v>Constant</v>
      </c>
      <c r="J38" s="107">
        <f>Common_InputFunctions.Utility_LookupValueInTableNumber("N2O",Table_GasToMolecularConversionFactor[Gas],Table_GasToMolecularConversionFactor[Conversion factor combined])</f>
        <v>1.5714285714285714</v>
      </c>
      <c r="K38" s="8"/>
    </row>
    <row r="39" spans="1:17" ht="20.100000000000001" customHeight="1" x14ac:dyDescent="0.25">
      <c r="A39" s="5" t="str">
        <f>HYPERLINK("#'Constants - Ag Residue'!A1", "Constants - Ag residue")</f>
        <v>Constants - Ag residue</v>
      </c>
      <c r="C39" s="8"/>
      <c r="D39" s="107" t="str">
        <v>c</v>
      </c>
      <c r="E39" s="108" t="str">
        <v>Crop residue type</v>
      </c>
      <c r="F39" s="109"/>
      <c r="G39" s="110"/>
      <c r="H39" s="107" t="str">
        <v/>
      </c>
      <c r="I39" s="111" t="str">
        <v>Input</v>
      </c>
      <c r="J39" s="107" t="s">
        <v>141</v>
      </c>
      <c r="K39" s="8"/>
    </row>
    <row r="40" spans="1:17" ht="20.100000000000001" customHeight="1" x14ac:dyDescent="0.25">
      <c r="A40" s="5" t="str">
        <f>HYPERLINK("#'Constants - Common Livestock'!A1", "Constants - Common Livestock")</f>
        <v>Constants - Common Livestock</v>
      </c>
      <c r="C40" s="8"/>
      <c r="D40" s="107" t="str">
        <v>p</v>
      </c>
      <c r="E40" s="108" t="str">
        <v>Pasture residue type</v>
      </c>
      <c r="F40" s="109"/>
      <c r="G40" s="110"/>
      <c r="H40" s="107" t="str">
        <v/>
      </c>
      <c r="I40" s="111" t="str">
        <v>Input</v>
      </c>
      <c r="J40" s="107" t="str">
        <f>X_Cell_Pasture_PastureType</f>
        <v>Grass clover mixture</v>
      </c>
      <c r="K40" s="8"/>
    </row>
    <row r="41" spans="1:17" ht="20.100000000000001" customHeight="1" x14ac:dyDescent="0.25">
      <c r="A41" s="5" t="str">
        <f>HYPERLINK("#'Constants - Electricity'!A1", "Constants - Electricity")</f>
        <v>Constants - Electricity</v>
      </c>
      <c r="C41" s="8"/>
      <c r="D41" s="8"/>
      <c r="E41" s="8"/>
      <c r="F41" s="8"/>
      <c r="G41" s="8"/>
      <c r="H41" s="8"/>
      <c r="I41" s="8"/>
      <c r="J41" s="8"/>
      <c r="K41" s="8"/>
    </row>
    <row r="42" spans="1:17" ht="20.100000000000001" customHeight="1" x14ac:dyDescent="0.25">
      <c r="A42" s="5" t="str">
        <f>HYPERLINK("#'Constants - Fertiliser'!A1", "Constants - Fertiliser")</f>
        <v>Constants - Fertiliser</v>
      </c>
      <c r="C42" s="8"/>
      <c r="D42" s="114" t="s">
        <v>563</v>
      </c>
      <c r="E42" s="8"/>
      <c r="F42" s="8"/>
      <c r="G42" s="8"/>
      <c r="H42" s="8"/>
      <c r="I42" s="8"/>
      <c r="J42" s="8"/>
      <c r="K42" s="8"/>
      <c r="N42" s="114" t="s">
        <v>563</v>
      </c>
      <c r="O42" s="8"/>
      <c r="P42" s="8"/>
      <c r="Q42" s="8"/>
    </row>
    <row r="43" spans="1:17" ht="20.100000000000001" customHeight="1" x14ac:dyDescent="0.25">
      <c r="A43" s="5" t="str">
        <f>HYPERLINK("#'Constants - Fuel'!A1", "Constants - Fuel")</f>
        <v>Constants - Fuel</v>
      </c>
      <c r="C43" s="8"/>
      <c r="D43" s="115" t="s">
        <v>830</v>
      </c>
      <c r="E43" s="8"/>
      <c r="F43" s="8"/>
      <c r="G43" s="8"/>
      <c r="H43" s="8"/>
      <c r="I43" s="8"/>
      <c r="J43" s="8"/>
      <c r="K43" s="8"/>
      <c r="N43" s="115" t="s">
        <v>830</v>
      </c>
      <c r="O43" s="8"/>
      <c r="P43" s="8"/>
      <c r="Q43" s="8"/>
    </row>
    <row r="44" spans="1:17" ht="20.100000000000001" customHeight="1" x14ac:dyDescent="0.25">
      <c r="A44" s="5" t="str">
        <f>HYPERLINK("#'Constants - Common'!A1", "Constants - Common")</f>
        <v>Constants - Common</v>
      </c>
      <c r="C44" s="8"/>
      <c r="D44" s="116" t="s">
        <v>829</v>
      </c>
      <c r="E44" s="116" t="s">
        <v>831</v>
      </c>
      <c r="F44" s="8"/>
      <c r="G44" s="8"/>
      <c r="H44" s="8"/>
      <c r="I44" s="8"/>
      <c r="J44" s="8"/>
      <c r="K44" s="8"/>
      <c r="N44" s="116" t="s">
        <v>829</v>
      </c>
      <c r="O44" s="116" t="s">
        <v>831</v>
      </c>
      <c r="P44" s="8"/>
      <c r="Q44" s="8"/>
    </row>
    <row r="45" spans="1:17" ht="20.100000000000001" customHeight="1" x14ac:dyDescent="0.25">
      <c r="A45" s="5" t="str">
        <f>HYPERLINK("#'Acknowledgements'!A1", "Acknowledgements")</f>
        <v>Acknowledgements</v>
      </c>
      <c r="C45" s="8"/>
      <c r="D45" s="25" t="str">
        <f>I24</f>
        <v>N/A</v>
      </c>
      <c r="E45" s="25" t="s">
        <v>141</v>
      </c>
      <c r="F45" s="8"/>
      <c r="G45" s="8"/>
      <c r="H45" s="8"/>
      <c r="I45" s="8"/>
      <c r="J45" s="8"/>
      <c r="K45" s="8"/>
      <c r="N45" s="25" t="str">
        <f>S24</f>
        <v>N/A</v>
      </c>
      <c r="O45" s="25" t="s">
        <v>141</v>
      </c>
      <c r="P45" s="8"/>
      <c r="Q45" s="8"/>
    </row>
    <row r="46" spans="1:17" ht="20.100000000000001" customHeight="1" x14ac:dyDescent="0.25">
      <c r="A46" s="5" t="str">
        <f>HYPERLINK("#'Overview'!A1", "Overview")</f>
        <v>Overview</v>
      </c>
      <c r="C46" s="8"/>
      <c r="D46" s="25">
        <f>I25</f>
        <v>1.7814239999999999E-2</v>
      </c>
      <c r="E46" s="25" cm="1">
        <f t="array" ref="E46">AgResidue_Equations_Leaching.VEERG_6_3_1_1__1__LeachingAndRunoffEmissionsCropAndPastureResidue(D46,$J$37,$J$38)</f>
        <v>3.0793186285714277E-7</v>
      </c>
      <c r="F46" s="8"/>
      <c r="G46" s="8"/>
      <c r="H46" s="8"/>
      <c r="I46" s="8"/>
      <c r="J46" s="8"/>
      <c r="K46" s="8"/>
      <c r="N46" s="25">
        <f>S25</f>
        <v>1.7814239999999999E-2</v>
      </c>
      <c r="O46" s="25" cm="1">
        <f t="array" ref="O46">AgResidue_Equations_Leaching.VEERG_6_3_1_1__1__LeachingAndRunoffEmissionsCropAndPastureResidue(N46,$J$37,$J$38)</f>
        <v>3.0793186285714277E-7</v>
      </c>
      <c r="P46" s="8"/>
      <c r="Q46" s="8"/>
    </row>
    <row r="47" spans="1:17" ht="20.100000000000001" customHeight="1" x14ac:dyDescent="0.25">
      <c r="C47" s="8"/>
      <c r="F47" s="8"/>
      <c r="G47" s="8"/>
      <c r="H47" s="8"/>
      <c r="I47" s="8"/>
      <c r="J47" s="8"/>
      <c r="K47" s="8"/>
      <c r="P47" s="8"/>
      <c r="Q47" s="8"/>
    </row>
    <row r="48" spans="1:17" ht="20.100000000000001" customHeight="1" x14ac:dyDescent="0.4">
      <c r="C48" s="8"/>
      <c r="D48" s="242" t="s">
        <v>832</v>
      </c>
      <c r="E48" s="243">
        <f>SUM(E45:E46)</f>
        <v>3.0793186285714277E-7</v>
      </c>
      <c r="F48" s="121" t="str">
        <f>$E$34</f>
        <v>t N2O</v>
      </c>
      <c r="G48" s="8"/>
      <c r="H48" s="8"/>
      <c r="I48" s="8"/>
      <c r="J48" s="8"/>
      <c r="K48" s="8"/>
      <c r="N48" s="242" t="s">
        <v>832</v>
      </c>
      <c r="O48" s="243">
        <f>SUM(O45:O46)</f>
        <v>3.0793186285714277E-7</v>
      </c>
      <c r="P48" s="121" t="str">
        <f>$E$34</f>
        <v>t N2O</v>
      </c>
      <c r="Q48" s="8"/>
    </row>
    <row r="49" spans="4:17" ht="20.100000000000001" customHeight="1" x14ac:dyDescent="0.25">
      <c r="D49" s="8"/>
      <c r="E49" s="8"/>
      <c r="F49" s="8"/>
      <c r="G49" s="8"/>
      <c r="N49" s="8"/>
      <c r="O49" s="8"/>
      <c r="P49" s="8"/>
      <c r="Q49" s="8"/>
    </row>
    <row r="50" spans="4:17" ht="20.100000000000001" customHeight="1" x14ac:dyDescent="0.25">
      <c r="D50" s="122" t="str" cm="1">
        <f t="array" ref="D50:E51">Common_Equations.Common_ConvertN2OToCO2e_Arguments()</f>
        <v>EN2O</v>
      </c>
      <c r="E50" s="123" t="str">
        <v>Nitrous oxide emissions (t N2O)</v>
      </c>
      <c r="F50" s="124"/>
      <c r="G50" s="25">
        <f>E48</f>
        <v>3.0793186285714277E-7</v>
      </c>
      <c r="N50" s="122" t="str" cm="1">
        <f t="array" ref="N50:O51">Common_Equations.Common_ConvertN2OToCO2e_Arguments()</f>
        <v>EN2O</v>
      </c>
      <c r="O50" s="123" t="str">
        <v>Nitrous oxide emissions (t N2O)</v>
      </c>
      <c r="P50" s="124"/>
      <c r="Q50" s="25">
        <f>O48</f>
        <v>3.0793186285714277E-7</v>
      </c>
    </row>
    <row r="51" spans="4:17" ht="20.100000000000001" customHeight="1" x14ac:dyDescent="0.25">
      <c r="D51" s="122" t="str">
        <v>GWPN2O</v>
      </c>
      <c r="E51" s="123" t="str">
        <v>Global warming potential for nitrous oxide (t CO2-e / t N2O)</v>
      </c>
      <c r="F51" s="124"/>
      <c r="G51" s="25">
        <f>Common_InputFunctions.Utility_LookupValueInTableNumber("N2O",Table_GWPData[Gas],Table_GWPData[CO2-e factor])</f>
        <v>265</v>
      </c>
      <c r="H51" s="8"/>
      <c r="I51" s="8"/>
      <c r="N51" s="122" t="str">
        <v>GWPN2O</v>
      </c>
      <c r="O51" s="123" t="str">
        <v>Global warming potential for nitrous oxide (t CO2-e / t N2O)</v>
      </c>
      <c r="P51" s="124"/>
      <c r="Q51" s="25">
        <f>Common_InputFunctions.Utility_LookupValueInTableNumber("N2O",Table_GWPData[Gas],Table_GWPData[CO2-e factor])</f>
        <v>265</v>
      </c>
    </row>
    <row r="52" spans="4:17" ht="20.100000000000001" customHeight="1" x14ac:dyDescent="0.25">
      <c r="H52" s="8"/>
      <c r="I52" s="8"/>
    </row>
    <row r="53" spans="4:17" ht="20.100000000000001" customHeight="1" x14ac:dyDescent="0.25">
      <c r="D53" s="118" t="s">
        <v>301</v>
      </c>
      <c r="E53" s="118" cm="1">
        <f t="array" ref="E53">Common_Equations.Common_ConvertN2OToCO2e(G50,G51)</f>
        <v>8.1601943657142831E-5</v>
      </c>
      <c r="F53" s="125" t="str" cm="1">
        <f t="array" ref="F53">Common_Equations.Common_ConvertN2OToCO2e_Unit()</f>
        <v>t CO2e</v>
      </c>
      <c r="I53" s="8"/>
      <c r="N53" s="118" t="s">
        <v>301</v>
      </c>
      <c r="O53" s="118" cm="1">
        <f t="array" ref="O53">Common_Equations.Common_ConvertN2OToCO2e(Q50,Q51)</f>
        <v>8.1601943657142831E-5</v>
      </c>
      <c r="P53" s="125" t="str" cm="1">
        <f t="array" ref="P53">Common_Equations.Common_ConvertN2OToCO2e_Unit()</f>
        <v>t CO2e</v>
      </c>
    </row>
    <row r="54" spans="4:17" ht="20.100000000000001" customHeight="1" x14ac:dyDescent="0.25">
      <c r="I54" s="8"/>
    </row>
    <row r="55" spans="4:17" ht="20.100000000000001" customHeight="1" x14ac:dyDescent="0.25"/>
    <row r="56" spans="4:17" ht="20.100000000000001" customHeight="1" x14ac:dyDescent="0.25"/>
    <row r="57" spans="4:17" ht="20.100000000000001" customHeight="1" x14ac:dyDescent="0.25"/>
    <row r="58" spans="4:17" ht="20.100000000000001" customHeight="1" x14ac:dyDescent="0.25"/>
    <row r="59" spans="4:17" ht="20.100000000000001" customHeight="1" x14ac:dyDescent="0.25"/>
    <row r="60" spans="4:17" ht="20.100000000000001" customHeight="1" x14ac:dyDescent="0.25">
      <c r="H60" s="8"/>
      <c r="I60" s="8"/>
    </row>
    <row r="61" spans="4:17" ht="20.100000000000001" customHeight="1" x14ac:dyDescent="0.25">
      <c r="H61" s="8"/>
      <c r="I61" s="8"/>
    </row>
    <row r="62" spans="4:17" ht="20.100000000000001" customHeight="1" x14ac:dyDescent="0.25"/>
    <row r="63" spans="4:17" ht="20.100000000000001" customHeight="1" x14ac:dyDescent="0.25"/>
    <row r="64" spans="4:1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22DCC-2DFA-4762-BC5E-13F02852A5BE}">
  <dimension ref="A1:R342"/>
  <sheetViews>
    <sheetView showGridLines="0" topLeftCell="A42" zoomScale="85" zoomScaleNormal="85" workbookViewId="0">
      <selection activeCell="A46" sqref="A46"/>
    </sheetView>
  </sheetViews>
  <sheetFormatPr defaultRowHeight="15.75" x14ac:dyDescent="0.25"/>
  <cols>
    <col min="1" max="1" width="30.7109375" customWidth="1"/>
    <col min="2" max="2" width="4.7109375" customWidth="1"/>
    <col min="3" max="3" width="4.7109375" style="1" customWidth="1"/>
    <col min="4" max="4" width="46.28515625" style="1" customWidth="1"/>
    <col min="5" max="17" width="30.7109375" style="1" customWidth="1"/>
    <col min="18" max="18" width="4.7109375" style="1" customWidth="1"/>
  </cols>
  <sheetData>
    <row r="1" spans="1:18" s="31" customFormat="1" ht="30" customHeight="1" x14ac:dyDescent="0.35">
      <c r="A1" s="16" t="e" vm="1">
        <v>#VALUE!</v>
      </c>
      <c r="C1" s="31" t="s">
        <v>725</v>
      </c>
    </row>
    <row r="2" spans="1:18" s="3" customFormat="1" ht="20.100000000000001" customHeight="1" x14ac:dyDescent="0.25">
      <c r="A2"/>
    </row>
    <row r="3" spans="1:18" ht="20.100000000000001" customHeight="1" x14ac:dyDescent="0.25">
      <c r="A3" s="5" t="str">
        <f>HYPERLINK("#'Home'!A1", "Home")</f>
        <v>Home</v>
      </c>
      <c r="C3" s="33"/>
      <c r="D3" s="33" t="s">
        <v>149</v>
      </c>
      <c r="E3" s="33"/>
      <c r="F3" s="33"/>
      <c r="G3" s="33"/>
      <c r="H3" s="33"/>
      <c r="I3" s="33"/>
      <c r="J3" s="33"/>
      <c r="K3" s="33"/>
      <c r="L3" s="33"/>
      <c r="M3" s="33"/>
      <c r="N3" s="33"/>
      <c r="O3" s="33"/>
      <c r="P3" s="33"/>
      <c r="Q3" s="33"/>
      <c r="R3" s="33"/>
    </row>
    <row r="4" spans="1:18" ht="20.100000000000001" customHeight="1" x14ac:dyDescent="0.25">
      <c r="A4" s="5" t="str">
        <f>HYPERLINK("#'Results'!A1", "Results")</f>
        <v>Results</v>
      </c>
    </row>
    <row r="5" spans="1:18" ht="20.100000000000001" customHeight="1" x14ac:dyDescent="0.25">
      <c r="D5" s="2" t="str" cm="1">
        <f t="array" ref="D5">Fuel_Equations.VEERG_8_1_1_1__1_FuelCombustionTransport_Title()</f>
        <v>Emissions for each GHG from the combustion of fuels for transport energy purposes</v>
      </c>
      <c r="K5" s="2" t="str" cm="1">
        <f t="array" ref="K5">Scope3_Equations.VEERG_15_11_1_1__2_UpstreamTransportFuelEmissions_Title()</f>
        <v>Upstream emissions from scope 1 fuel use for transport purposes</v>
      </c>
      <c r="O5" s="177"/>
      <c r="P5" s="177"/>
      <c r="Q5" s="177"/>
    </row>
    <row r="6" spans="1:18" ht="20.100000000000001" customHeight="1" x14ac:dyDescent="0.25">
      <c r="D6" s="27" t="str" cm="1">
        <f t="array" ref="D6">Fuel_Equations.VEERG_8_1_1_1__1_FuelCombustionTransport_Source()</f>
        <v>VEERG 2026: 8.1.1.1, Equation (1)</v>
      </c>
      <c r="K6" s="27" t="str" cm="1">
        <f t="array" ref="K6">Scope3_Equations.VEERG_15_11_1_1__2_UpstreamTransportFuelEmissions_Source()</f>
        <v>VEERG 2026: 15.11.1.1, Equation (2)</v>
      </c>
      <c r="O6" s="177"/>
      <c r="P6" s="177"/>
      <c r="Q6" s="177"/>
    </row>
    <row r="7" spans="1:18" ht="20.100000000000001" customHeight="1" x14ac:dyDescent="0.25">
      <c r="A7" s="7" t="s">
        <v>0</v>
      </c>
      <c r="D7" s="105" t="s">
        <v>261</v>
      </c>
      <c r="E7" s="105" t="str" cm="1">
        <f t="array" aca="1" ref="E7" ca="1">Common_InputFunctions.Utility_DisplayFunctionName(N25)</f>
        <v>=Fuel_Equations.VEERG_8_1_1_1__1_FuelCombustionTransport</v>
      </c>
      <c r="K7" s="105" t="s">
        <v>261</v>
      </c>
      <c r="L7" s="105" t="str" cm="1">
        <f t="array" aca="1" ref="L7" ca="1">Common_InputFunctions.Utility_DisplayFunctionName(Q25)</f>
        <v>=Scope3_Equations.VEERG_15_11_1_1__2_UpstreamTransportFuelEmissions</v>
      </c>
      <c r="O7" s="177"/>
      <c r="P7" s="177"/>
      <c r="Q7" s="177"/>
    </row>
    <row r="8" spans="1:18" ht="20.100000000000001" customHeight="1" x14ac:dyDescent="0.25">
      <c r="A8" s="5" t="str">
        <f>HYPERLINK("#'Input - Enterprise'!A1", "Enterprise")</f>
        <v>Enterprise</v>
      </c>
      <c r="E8" s="105"/>
      <c r="L8" s="105"/>
      <c r="O8" s="177"/>
      <c r="P8" s="177"/>
      <c r="Q8" s="177"/>
    </row>
    <row r="9" spans="1:18" ht="20.100000000000001" customHeight="1" x14ac:dyDescent="0.25">
      <c r="A9" s="5" t="str">
        <f>HYPERLINK("#'Input - Site'!A1", "Site")</f>
        <v>Site</v>
      </c>
      <c r="G9" s="27"/>
      <c r="O9" s="177"/>
      <c r="P9" s="177"/>
      <c r="Q9" s="177"/>
    </row>
    <row r="10" spans="1:18" ht="20.100000000000001" customHeight="1" x14ac:dyDescent="0.25">
      <c r="A10" s="5" t="str">
        <f>HYPERLINK("#'Input - Pasture Beef'!A1", "Pasture Beef")</f>
        <v>Pasture Beef</v>
      </c>
      <c r="O10" s="177"/>
      <c r="P10" s="177"/>
      <c r="Q10" s="177"/>
    </row>
    <row r="11" spans="1:18" ht="20.100000000000001" customHeight="1" x14ac:dyDescent="0.25">
      <c r="A11" s="5" t="str">
        <f>HYPERLINK("#'Input - Pasture Beef (Enteric)'!A1", "Pasture Beef (Enteric)")</f>
        <v>Pasture Beef (Enteric)</v>
      </c>
      <c r="D11" s="88" t="s">
        <v>263</v>
      </c>
      <c r="E11" s="1" t="str" cm="1">
        <f t="array" ref="E11">Fuel_Equations.VEERG_8_1_1_1__1_FuelCombustionTransport_Variable()</f>
        <v>E_g</v>
      </c>
      <c r="K11" s="88" t="s">
        <v>263</v>
      </c>
      <c r="L11" s="1" t="str" cm="1">
        <f t="array" ref="L11">Scope3_Equations.VEERG_15_11_1_1__2_UpstreamTransportFuelEmissions_Variable()</f>
        <v>E_WTTtransq</v>
      </c>
      <c r="O11" s="177"/>
      <c r="P11" s="177"/>
      <c r="Q11" s="177"/>
    </row>
    <row r="12" spans="1:18" ht="20.100000000000001" customHeight="1" x14ac:dyDescent="0.25">
      <c r="A12" s="5" t="str">
        <f>HYPERLINK("#'Input - Pasture'!A1", "Pasture")</f>
        <v>Pasture</v>
      </c>
      <c r="D12" s="88" t="s">
        <v>130</v>
      </c>
      <c r="E12" s="15" t="str" cm="1">
        <f t="array" ref="E12">Fuel_Equations.VEERG_8_1_1_1__1_FuelCombustionTransport_Unit()</f>
        <v>t CO2-e</v>
      </c>
      <c r="K12" s="88" t="s">
        <v>130</v>
      </c>
      <c r="L12" s="15" t="str" cm="1">
        <f t="array" ref="L12">Scope3_Equations.VEERG_15_11_1_1__2_UpstreamTransportFuelEmissions_Unit()</f>
        <v>t CO2e</v>
      </c>
    </row>
    <row r="13" spans="1:18" ht="20.100000000000001" customHeight="1" x14ac:dyDescent="0.25">
      <c r="A13" s="5" t="str">
        <f>HYPERLINK("#'Input - Fertiliser'!A1", "Fertiliser")</f>
        <v>Fertiliser</v>
      </c>
    </row>
    <row r="14" spans="1:18" ht="20.100000000000001" customHeight="1" x14ac:dyDescent="0.25">
      <c r="A14" s="5" t="str">
        <f>HYPERLINK("#'Input - Fuel'!A1", "Fuel")</f>
        <v>Fuel</v>
      </c>
      <c r="D14" s="107" t="str" cm="1">
        <f t="array" ref="D14:E20">_xlfn.CHOOSECOLS(Fuel_Equations.VEERG_8_1_1_1__1_FuelCombustionTransport_Arguments(), 1,2)</f>
        <v>Q_Transtq</v>
      </c>
      <c r="E14" s="108" t="str">
        <v>Amount of fuel type q combusted for transport energy purposes</v>
      </c>
      <c r="F14" s="110"/>
      <c r="G14" s="107" t="str" cm="1">
        <f t="array" ref="G14:H20">_xlfn.CHOOSECOLS(Fuel_Equations.VEERG_8_1_1_1__1_FuelCombustionTransport_Arguments(), 3,4)</f>
        <v>Varies based on fuel type: kL, m3, GJ</v>
      </c>
      <c r="H14" s="111" t="str">
        <v>Input</v>
      </c>
      <c r="I14" s="113" t="str" cm="1">
        <f t="array" aca="1" ref="I14" ca="1">HYPERLINK(Common_InputFunctions.Utility_SourceHyperlink($D$22), $D$22)</f>
        <v>Table_E_g</v>
      </c>
      <c r="K14" s="107" t="str" cm="1">
        <f t="array" ref="K14:L16">_xlfn.CHOOSECOLS(Scope3_Equations.VEERG_15_11_1_1__2_UpstreamTransportFuelEmissions_Arguments(),1,2)</f>
        <v>Q_Transq</v>
      </c>
      <c r="L14" s="107" t="str">
        <v>amount of fuel q combusted for transport energy purposes</v>
      </c>
      <c r="M14" s="107"/>
      <c r="N14" s="107" t="str" cm="1">
        <f t="array" ref="N14:O16">_xlfn.CHOOSECOLS(Scope3_Equations.VEERG_15_11_1_1__2_UpstreamTransportFuelEmissions_Arguments(),3,4)</f>
        <v>kL</v>
      </c>
      <c r="O14" s="111" t="str">
        <v>Input</v>
      </c>
      <c r="P14" s="113" t="str" cm="1">
        <f t="array" aca="1" ref="P14" ca="1">HYPERLINK(Common_InputFunctions.Utility_SourceHyperlink($D$22), $D$22)</f>
        <v>Table_E_g</v>
      </c>
      <c r="Q14" s="177"/>
    </row>
    <row r="15" spans="1:18" ht="20.100000000000001" customHeight="1" x14ac:dyDescent="0.25">
      <c r="A15" s="5" t="str">
        <f>HYPERLINK("#'Input - Electricity'!A1", "Electricity")</f>
        <v>Electricity</v>
      </c>
      <c r="D15" s="107" t="str">
        <v>EC_Transq</v>
      </c>
      <c r="E15" s="108" t="str">
        <v>Energy content factor for transport energy purposes</v>
      </c>
      <c r="F15" s="110"/>
      <c r="G15" s="107" t="str">
        <v>GJ / unit of fuel</v>
      </c>
      <c r="H15" s="112" t="str">
        <v>Constant</v>
      </c>
      <c r="I15" s="113" t="str" cm="1">
        <f t="array" aca="1" ref="I15" ca="1">HYPERLINK(Common_InputFunctions.Utility_SourceHyperlink($D$22), $D$22)</f>
        <v>Table_E_g</v>
      </c>
      <c r="K15" s="107" t="str">
        <v>EC_Transq</v>
      </c>
      <c r="L15" s="107" t="str">
        <v>energy content factor for transport energy purposes</v>
      </c>
      <c r="M15" s="107"/>
      <c r="N15" s="107" t="str">
        <v>GJ/kL or GJ/m3</v>
      </c>
      <c r="O15" s="112" t="str">
        <v>Constant</v>
      </c>
      <c r="P15" s="113" t="str" cm="1">
        <f t="array" aca="1" ref="P15" ca="1">HYPERLINK(Common_InputFunctions.Utility_SourceHyperlink($D$22), $D$22)</f>
        <v>Table_E_g</v>
      </c>
      <c r="Q15" s="177"/>
    </row>
    <row r="16" spans="1:18" ht="20.100000000000001" customHeight="1" x14ac:dyDescent="0.25">
      <c r="D16" s="107" t="str">
        <v>EF_Trans1tqg</v>
      </c>
      <c r="E16" s="108" t="str">
        <v>Scope 1 emission factor for transport energy purposes for each greenhouse gas</v>
      </c>
      <c r="F16" s="110"/>
      <c r="G16" s="107" t="str">
        <v>kg CO2e / GJ</v>
      </c>
      <c r="H16" s="112" t="str">
        <v>Constant</v>
      </c>
      <c r="I16" s="113" t="str" cm="1">
        <f t="array" aca="1" ref="I16" ca="1">HYPERLINK(Common_InputFunctions.Utility_SourceHyperlink($D$22), $D$22)</f>
        <v>Table_E_g</v>
      </c>
      <c r="K16" s="107" t="str">
        <v>EF_Trans3q</v>
      </c>
      <c r="L16" s="107" t="str">
        <v>scope 3 emission factor for transport energy purposes</v>
      </c>
      <c r="M16" s="107"/>
      <c r="N16" s="107" t="str">
        <v>kg CO2e/GJ</v>
      </c>
      <c r="O16" s="112" t="str">
        <v>Constant</v>
      </c>
      <c r="P16" s="113" t="str" cm="1">
        <f t="array" aca="1" ref="P16" ca="1">HYPERLINK(Common_InputFunctions.Utility_SourceHyperlink($D$22), $D$22)</f>
        <v>Table_E_g</v>
      </c>
      <c r="Q16" s="177"/>
    </row>
    <row r="17" spans="1:17" ht="20.100000000000001" customHeight="1" x14ac:dyDescent="0.25">
      <c r="D17" s="107" t="str">
        <v>q</v>
      </c>
      <c r="E17" s="108" t="str">
        <v>Fuel type</v>
      </c>
      <c r="F17" s="110"/>
      <c r="G17" s="107" t="str">
        <v/>
      </c>
      <c r="H17" s="112" t="str">
        <v>Constant</v>
      </c>
      <c r="I17" s="113"/>
      <c r="J17" s="177"/>
      <c r="P17" s="177"/>
      <c r="Q17" s="177"/>
    </row>
    <row r="18" spans="1:17" ht="20.100000000000001" customHeight="1" x14ac:dyDescent="0.25">
      <c r="A18" s="6" t="s">
        <v>2</v>
      </c>
      <c r="D18" s="107" t="str">
        <v>Trans</v>
      </c>
      <c r="E18" s="108" t="str">
        <v>Transport combustion</v>
      </c>
      <c r="F18" s="110"/>
      <c r="G18" s="107" t="str">
        <v/>
      </c>
      <c r="H18" s="112" t="str">
        <v>Constant</v>
      </c>
      <c r="I18" s="113"/>
      <c r="J18" s="177"/>
      <c r="L18" s="177"/>
      <c r="M18" s="177"/>
      <c r="N18" s="177"/>
      <c r="O18" s="177"/>
      <c r="P18" s="177"/>
      <c r="Q18" s="177"/>
    </row>
    <row r="19" spans="1:17" ht="20.100000000000001" customHeight="1" x14ac:dyDescent="0.25">
      <c r="A19" s="5" t="str">
        <f>HYPERLINK("#'3.2.1.1-2 Enteric Methane'!A1", "3.2.1.1-2 Enteric methane")</f>
        <v>3.2.1.1-2 Enteric methane</v>
      </c>
      <c r="D19" s="107" t="str">
        <v>g</v>
      </c>
      <c r="E19" s="108" t="str">
        <v>Greenhouse gas</v>
      </c>
      <c r="F19" s="110"/>
      <c r="G19" s="107" t="str">
        <v/>
      </c>
      <c r="H19" s="112" t="str">
        <v>Constant</v>
      </c>
      <c r="I19" s="113"/>
      <c r="J19" s="177"/>
      <c r="L19" s="177"/>
      <c r="M19" s="177"/>
      <c r="N19" s="177"/>
      <c r="O19" s="177"/>
      <c r="P19" s="177"/>
      <c r="Q19" s="177"/>
    </row>
    <row r="20" spans="1:17" ht="20.100000000000001" customHeight="1" x14ac:dyDescent="0.25">
      <c r="A20" s="5" t="str">
        <f>HYPERLINK("#'4.2.1.1-2 Methane'!A1", "4.2.1.1-2 Manure methane")</f>
        <v>4.2.1.1-2 Manure methane</v>
      </c>
      <c r="D20" s="107" t="str">
        <v>1</v>
      </c>
      <c r="E20" s="108" t="str">
        <v>Scope 1</v>
      </c>
      <c r="F20" s="110"/>
      <c r="G20" s="107" t="str">
        <v/>
      </c>
      <c r="H20" s="112" t="str">
        <v>Constant</v>
      </c>
      <c r="I20" s="113"/>
      <c r="J20" s="177"/>
      <c r="L20" s="177"/>
      <c r="M20" s="177"/>
      <c r="N20" s="177"/>
      <c r="O20" s="177"/>
      <c r="P20" s="177"/>
      <c r="Q20" s="177"/>
    </row>
    <row r="21" spans="1:17" ht="20.100000000000001" customHeight="1" x14ac:dyDescent="0.25">
      <c r="A21" s="5" t="str">
        <f>HYPERLINK("#'4.2.1.3-4 Soil direct N20'!A1", "4.2.1.3-4 Soil direct N2O")</f>
        <v>4.2.1.3-4 Soil direct N2O</v>
      </c>
      <c r="O21" s="177"/>
      <c r="P21" s="177"/>
      <c r="Q21" s="177"/>
    </row>
    <row r="22" spans="1:17" ht="20.100000000000001" customHeight="1" x14ac:dyDescent="0.25">
      <c r="A22" s="5" t="str">
        <f>HYPERLINK("#'4.2.1.5-6 Soil Atmos Dep'!A1", "4.2.1.5-6 Soil atm. deposition")</f>
        <v>4.2.1.5-6 Soil atm. deposition</v>
      </c>
      <c r="D22" s="114" t="s">
        <v>726</v>
      </c>
    </row>
    <row r="23" spans="1:17" ht="20.100000000000001" customHeight="1" x14ac:dyDescent="0.25">
      <c r="A23" s="5" t="str">
        <f>HYPERLINK("#'4.2.1.7-8 Soil leach runoff'!A1", "4.2.1.7-8 Soil leach &amp; runoff")</f>
        <v>4.2.1.7-8 Soil leach &amp; runoff</v>
      </c>
      <c r="D23" s="115" t="s">
        <v>727</v>
      </c>
    </row>
    <row r="24" spans="1:17" ht="20.100000000000001" customHeight="1" x14ac:dyDescent="0.25">
      <c r="A24" s="5" t="str">
        <f>HYPERLINK("#'5.1.1.1-2 Inorganic fert N2O'!A1", "5.1.1.1-2 Inorganic fert N2O")</f>
        <v>5.1.1.1-2 Inorganic fert N2O</v>
      </c>
      <c r="D24" s="116" t="s">
        <v>728</v>
      </c>
      <c r="E24" s="116" t="s">
        <v>729</v>
      </c>
      <c r="F24" s="116" t="s">
        <v>730</v>
      </c>
      <c r="G24" s="116" t="s">
        <v>731</v>
      </c>
      <c r="H24" s="116" t="s">
        <v>732</v>
      </c>
      <c r="I24" s="116" t="s">
        <v>733</v>
      </c>
      <c r="J24" s="116" t="s">
        <v>734</v>
      </c>
      <c r="K24" s="116" t="s">
        <v>735</v>
      </c>
      <c r="L24" s="117" t="s">
        <v>736</v>
      </c>
      <c r="M24" s="116" t="s">
        <v>737</v>
      </c>
      <c r="N24" s="116" t="s">
        <v>738</v>
      </c>
      <c r="O24" s="116" t="s">
        <v>739</v>
      </c>
      <c r="P24" s="116" t="s">
        <v>740</v>
      </c>
      <c r="Q24" s="116" t="s">
        <v>741</v>
      </c>
    </row>
    <row r="25" spans="1:17" ht="20.100000000000001" customHeight="1" x14ac:dyDescent="0.25">
      <c r="A25" s="5" t="str">
        <f>HYPERLINK("#'5.1.1.3-4 Inorganic fert CO2'!A1", "5.1.1.3-4 Inorganic fert CO2")</f>
        <v>5.1.1.3-4 Inorganic fert CO2</v>
      </c>
      <c r="D25" s="35" t="str">
        <f>Table_FuelTypesPerUse[[#Headers],[Cars and light commercial vehicles]]</f>
        <v>Cars and light commercial vehicles</v>
      </c>
      <c r="E25" s="201" t="str">
        <f>'Constants - Fuel'!$E$10</f>
        <v>Gasoline</v>
      </c>
      <c r="F25" s="201" t="str">
        <f>'Constants - Fuel'!G131</f>
        <v>Petrol</v>
      </c>
      <c r="G25" s="25" cm="1">
        <f t="array" ref="G25">IFERROR(_xlfn.XLOOKUP(1, (Table_Fuel_EFs_Transport[Fuel combusted]=$E25)*(Table_Fuel_EFs_Transport[Transport type]=$D$25), Table_Fuel_EFs_Transport[Energy Content Factor (GJ per unit of fuel)]), 0)</f>
        <v>34.200000000000003</v>
      </c>
      <c r="H25" s="25" cm="1">
        <f t="array" ref="H25">IFERROR(_xlfn.XLOOKUP(1, (Table_Fuel_EFs_Transport[Fuel combusted]=$E25)*(Table_Fuel_EFs_Transport[Transport type]=$D$25), Table_Fuel_EFs_Transport[Scope 1 Emission Factor (kg CO2 - e / GJ) CO2]), 0)</f>
        <v>67.400000000000006</v>
      </c>
      <c r="I25" s="25" cm="1">
        <f t="array" ref="I25">IFERROR(_xlfn.XLOOKUP(1, (Table_Fuel_EFs_Transport[Fuel combusted]=$E25)*(Table_Fuel_EFs_Transport[Transport type]=$D$25), Table_Fuel_EFs_Transport[Scope 1 Emission Factor (kg CO2 - e / GJ) CH4]), 0)</f>
        <v>0.02</v>
      </c>
      <c r="J25" s="25" cm="1">
        <f t="array" ref="J25">IFERROR(_xlfn.XLOOKUP(1, (Table_Fuel_EFs_Transport[Fuel combusted]=$E25)*(Table_Fuel_EFs_Transport[Transport type]=$D$25), Table_Fuel_EFs_Transport[Scope 1 Emission Factor (kg CO2 - e / GJ) N2O]), 0)</f>
        <v>0.2</v>
      </c>
      <c r="K25" s="25" cm="1">
        <f t="array" ref="K25">IFERROR(_xlfn.XLOOKUP(1, (Table_Fuel_EFs_Transport[Fuel combusted]=$E25)*(Table_Fuel_EFs_Transport[Transport type]=$D$25), Table_Fuel_EFs_Transport[Scope 3 Emission Factor (kg CO2 - e / GJ)]), 0)</f>
        <v>17.2</v>
      </c>
      <c r="L25" s="181" cm="1">
        <f t="array" ref="L25">Fuel_InputFunctions.Fuel_TotalConsumption(Table_Input_Fuel[Amount consumed], Table_Input_Fuel[Fuel use (select)], D25, Table_Input_Fuel[Fuel type (select)],F25)</f>
        <v>0</v>
      </c>
      <c r="M25" s="181" t="str" cm="1">
        <f t="array" ref="M25">Common_InputFunctions.Utility_LookupValueInTable(F25,Table_FuelTypes_Units[Fuel type],Table_FuelTypes_Units[Unit])</f>
        <v>kL</v>
      </c>
      <c r="N25" s="202" cm="1">
        <f t="array" ref="N25">Fuel_Equations.VEERG_8_1_1_1__1_FuelCombustionTransport($L25,$G25,$H25)</f>
        <v>0</v>
      </c>
      <c r="O25" s="202" cm="1">
        <f t="array" ref="O25">Fuel_Equations.VEERG_8_1_1_1__1_FuelCombustionTransport($L25,$G25,$I25)</f>
        <v>0</v>
      </c>
      <c r="P25" s="202" cm="1">
        <f t="array" ref="P25">Fuel_Equations.VEERG_8_1_1_1__1_FuelCombustionTransport($L25,$G25,$J25)</f>
        <v>0</v>
      </c>
      <c r="Q25" s="202" cm="1">
        <f t="array" ref="Q25">Scope3_Equations.VEERG_15_11_1_1__2_UpstreamTransportFuelEmissions(L25,G25,K25)</f>
        <v>0</v>
      </c>
    </row>
    <row r="26" spans="1:17" ht="20.100000000000001" customHeight="1" x14ac:dyDescent="0.25">
      <c r="A26" s="5" t="str">
        <f>HYPERLINK("#'5.2.1.1-2 Organic Fert N2O'!A1", "5.2.1.1-2 Organic fert N2O")</f>
        <v>5.2.1.1-2 Organic fert N2O</v>
      </c>
      <c r="D26" s="203" t="str">
        <f t="shared" ref="D26:D32" si="0">$D$25</f>
        <v>Cars and light commercial vehicles</v>
      </c>
      <c r="E26" s="201" t="str">
        <f>'Constants - Fuel'!$E$11</f>
        <v>Diesel oil</v>
      </c>
      <c r="F26" s="201" t="str">
        <f>'Constants - Fuel'!G132</f>
        <v>Diesel</v>
      </c>
      <c r="G26" s="25" cm="1">
        <f t="array" ref="G26">IFERROR(_xlfn.XLOOKUP(1, (Table_Fuel_EFs_Transport[Fuel combusted]=$E26)*(Table_Fuel_EFs_Transport[Transport type]=$D$25), Table_Fuel_EFs_Transport[Energy Content Factor (GJ per unit of fuel)]), 0)</f>
        <v>38.6</v>
      </c>
      <c r="H26" s="25" cm="1">
        <f t="array" ref="H26">IFERROR(_xlfn.XLOOKUP(1, (Table_Fuel_EFs_Transport[Fuel combusted]=$E26)*(Table_Fuel_EFs_Transport[Transport type]=$D$25), Table_Fuel_EFs_Transport[Scope 1 Emission Factor (kg CO2 - e / GJ) CO2]), 0)</f>
        <v>69.900000000000006</v>
      </c>
      <c r="I26" s="25" cm="1">
        <f t="array" ref="I26">IFERROR(_xlfn.XLOOKUP(1, (Table_Fuel_EFs_Transport[Fuel combusted]=$E26)*(Table_Fuel_EFs_Transport[Transport type]=$D$25), Table_Fuel_EFs_Transport[Scope 1 Emission Factor (kg CO2 - e / GJ) CH4]), 0)</f>
        <v>0.01</v>
      </c>
      <c r="J26" s="25" cm="1">
        <f t="array" ref="J26">IFERROR(_xlfn.XLOOKUP(1, (Table_Fuel_EFs_Transport[Fuel combusted]=$E26)*(Table_Fuel_EFs_Transport[Transport type]=$D$25), Table_Fuel_EFs_Transport[Scope 1 Emission Factor (kg CO2 - e / GJ) N2O]), 0)</f>
        <v>0.5</v>
      </c>
      <c r="K26" s="25" cm="1">
        <f t="array" ref="K26">IFERROR(_xlfn.XLOOKUP(1, (Table_Fuel_EFs_Transport[Fuel combusted]=$E26)*(Table_Fuel_EFs_Transport[Transport type]=$D$25), Table_Fuel_EFs_Transport[Scope 3 Emission Factor (kg CO2 - e / GJ)]), 0)</f>
        <v>17.3</v>
      </c>
      <c r="L26" s="181" cm="1">
        <f t="array" ref="L26">Fuel_InputFunctions.Fuel_TotalConsumption(Table_Input_Fuel[Amount consumed], Table_Input_Fuel[Fuel use (select)], D26, Table_Input_Fuel[Fuel type (select)],F26)</f>
        <v>10</v>
      </c>
      <c r="M26" s="181" t="str" cm="1">
        <f t="array" ref="M26">Common_InputFunctions.Utility_LookupValueInTable(F26,Table_FuelTypes_Units[Fuel type],Table_FuelTypes_Units[Unit])</f>
        <v>kL</v>
      </c>
      <c r="N26" s="202" cm="1">
        <f t="array" ref="N26">Fuel_Equations.VEERG_8_1_1_1__1_FuelCombustionTransport($L26,$G26,$H26)</f>
        <v>26.981400000000001</v>
      </c>
      <c r="O26" s="202" cm="1">
        <f t="array" ref="O26">Fuel_Equations.VEERG_8_1_1_1__1_FuelCombustionTransport($L26,$G26,$I26)</f>
        <v>3.8600000000000001E-3</v>
      </c>
      <c r="P26" s="202" cm="1">
        <f t="array" ref="P26">Fuel_Equations.VEERG_8_1_1_1__1_FuelCombustionTransport($L26,$G26,$J26)</f>
        <v>0.193</v>
      </c>
      <c r="Q26" s="202" cm="1">
        <f t="array" ref="Q26">Scope3_Equations.VEERG_15_11_1_1__2_UpstreamTransportFuelEmissions(L26,G26,K26)</f>
        <v>6.6778000000000004</v>
      </c>
    </row>
    <row r="27" spans="1:17" ht="20.100000000000001" customHeight="1" x14ac:dyDescent="0.25">
      <c r="A27" s="5" t="str">
        <f>HYPERLINK("#'5.3.1.1-2 Lime CO2'!A1", "5.3.1.1-2 Lime CO2")</f>
        <v>5.3.1.1-2 Lime CO2</v>
      </c>
      <c r="D27" s="203" t="str">
        <f t="shared" si="0"/>
        <v>Cars and light commercial vehicles</v>
      </c>
      <c r="E27" s="201" t="str">
        <f>'Constants - Fuel'!$E$12</f>
        <v>Liquefied petroleum gas (LPG)</v>
      </c>
      <c r="F27" s="201" t="str">
        <f>'Constants - Fuel'!G133</f>
        <v>Liquefied petroleum gas (LPG)</v>
      </c>
      <c r="G27" s="25" cm="1">
        <f t="array" ref="G27">IFERROR(_xlfn.XLOOKUP(1, (Table_Fuel_EFs_Transport[Fuel combusted]=$E27)*(Table_Fuel_EFs_Transport[Transport type]=$D$25), Table_Fuel_EFs_Transport[Energy Content Factor (GJ per unit of fuel)]), 0)</f>
        <v>26.2</v>
      </c>
      <c r="H27" s="25" cm="1">
        <f t="array" ref="H27">IFERROR(_xlfn.XLOOKUP(1, (Table_Fuel_EFs_Transport[Fuel combusted]=$E27)*(Table_Fuel_EFs_Transport[Transport type]=$D$25), Table_Fuel_EFs_Transport[Scope 1 Emission Factor (kg CO2 - e / GJ) CO2]), 0)</f>
        <v>60.2</v>
      </c>
      <c r="I27" s="25" cm="1">
        <f t="array" ref="I27">IFERROR(_xlfn.XLOOKUP(1, (Table_Fuel_EFs_Transport[Fuel combusted]=$E27)*(Table_Fuel_EFs_Transport[Transport type]=$D$25), Table_Fuel_EFs_Transport[Scope 1 Emission Factor (kg CO2 - e / GJ) CH4]), 0)</f>
        <v>0.5</v>
      </c>
      <c r="J27" s="25" cm="1">
        <f t="array" ref="J27">IFERROR(_xlfn.XLOOKUP(1, (Table_Fuel_EFs_Transport[Fuel combusted]=$E27)*(Table_Fuel_EFs_Transport[Transport type]=$D$25), Table_Fuel_EFs_Transport[Scope 1 Emission Factor (kg CO2 - e / GJ) N2O]), 0)</f>
        <v>0.3</v>
      </c>
      <c r="K27" s="25" cm="1">
        <f t="array" ref="K27">IFERROR(_xlfn.XLOOKUP(1, (Table_Fuel_EFs_Transport[Fuel combusted]=$E27)*(Table_Fuel_EFs_Transport[Transport type]=$D$25), Table_Fuel_EFs_Transport[Scope 3 Emission Factor (kg CO2 - e / GJ)]), 0)</f>
        <v>20.2</v>
      </c>
      <c r="L27" s="181" cm="1">
        <f t="array" ref="L27">Fuel_InputFunctions.Fuel_TotalConsumption(Table_Input_Fuel[Amount consumed], Table_Input_Fuel[Fuel use (select)], D27, Table_Input_Fuel[Fuel type (select)],F27)</f>
        <v>0</v>
      </c>
      <c r="M27" s="181" t="str" cm="1">
        <f t="array" ref="M27">Common_InputFunctions.Utility_LookupValueInTable(F27,Table_FuelTypes_Units[Fuel type],Table_FuelTypes_Units[Unit])</f>
        <v>kL</v>
      </c>
      <c r="N27" s="202" cm="1">
        <f t="array" ref="N27">Fuel_Equations.VEERG_8_1_1_1__1_FuelCombustionTransport($L27,$G27,$H27)</f>
        <v>0</v>
      </c>
      <c r="O27" s="202" cm="1">
        <f t="array" ref="O27">Fuel_Equations.VEERG_8_1_1_1__1_FuelCombustionTransport($L27,$G27,$I27)</f>
        <v>0</v>
      </c>
      <c r="P27" s="202" cm="1">
        <f t="array" ref="P27">Fuel_Equations.VEERG_8_1_1_1__1_FuelCombustionTransport($L27,$G27,$J27)</f>
        <v>0</v>
      </c>
      <c r="Q27" s="202" cm="1">
        <f t="array" ref="Q27">Scope3_Equations.VEERG_15_11_1_1__2_UpstreamTransportFuelEmissions(L27,G27,K27)</f>
        <v>0</v>
      </c>
    </row>
    <row r="28" spans="1:17" ht="20.100000000000001" customHeight="1" x14ac:dyDescent="0.25">
      <c r="A28" s="5" t="str">
        <f>HYPERLINK("#'5.4.1.1-4 Atmos deposition'!A1", "5.4.1.1-4 Atmos. deposition")</f>
        <v>5.4.1.1-4 Atmos. deposition</v>
      </c>
      <c r="D28" s="203" t="str">
        <f t="shared" si="0"/>
        <v>Cars and light commercial vehicles</v>
      </c>
      <c r="E28" s="201" t="str">
        <f>'Constants - Fuel'!$E$13</f>
        <v>Fuel oil</v>
      </c>
      <c r="F28" s="201" t="str">
        <f>'Constants - Fuel'!G134</f>
        <v>Fuel oil</v>
      </c>
      <c r="G28" s="25" cm="1">
        <f t="array" ref="G28">IFERROR(_xlfn.XLOOKUP(1, (Table_Fuel_EFs_Transport[Fuel combusted]=$E28)*(Table_Fuel_EFs_Transport[Transport type]=$D$25), Table_Fuel_EFs_Transport[Energy Content Factor (GJ per unit of fuel)]), 0)</f>
        <v>39.700000000000003</v>
      </c>
      <c r="H28" s="25" cm="1">
        <f t="array" ref="H28">IFERROR(_xlfn.XLOOKUP(1, (Table_Fuel_EFs_Transport[Fuel combusted]=$E28)*(Table_Fuel_EFs_Transport[Transport type]=$D$25), Table_Fuel_EFs_Transport[Scope 1 Emission Factor (kg CO2 - e / GJ) CO2]), 0)</f>
        <v>73.599999999999994</v>
      </c>
      <c r="I28" s="25" cm="1">
        <f t="array" ref="I28">IFERROR(_xlfn.XLOOKUP(1, (Table_Fuel_EFs_Transport[Fuel combusted]=$E28)*(Table_Fuel_EFs_Transport[Transport type]=$D$25), Table_Fuel_EFs_Transport[Scope 1 Emission Factor (kg CO2 - e / GJ) CH4]), 0)</f>
        <v>0.08</v>
      </c>
      <c r="J28" s="25" cm="1">
        <f t="array" ref="J28">IFERROR(_xlfn.XLOOKUP(1, (Table_Fuel_EFs_Transport[Fuel combusted]=$E28)*(Table_Fuel_EFs_Transport[Transport type]=$D$25), Table_Fuel_EFs_Transport[Scope 1 Emission Factor (kg CO2 - e / GJ) N2O]), 0)</f>
        <v>0.5</v>
      </c>
      <c r="K28" s="25" cm="1">
        <f t="array" ref="K28">IFERROR(_xlfn.XLOOKUP(1, (Table_Fuel_EFs_Transport[Fuel combusted]=$E28)*(Table_Fuel_EFs_Transport[Transport type]=$D$25), Table_Fuel_EFs_Transport[Scope 3 Emission Factor (kg CO2 - e / GJ)]), 0)</f>
        <v>18</v>
      </c>
      <c r="L28" s="181" cm="1">
        <f t="array" ref="L28">Fuel_InputFunctions.Fuel_TotalConsumption(Table_Input_Fuel[Amount consumed], Table_Input_Fuel[Fuel use (select)], D28, Table_Input_Fuel[Fuel type (select)],F28)</f>
        <v>0</v>
      </c>
      <c r="M28" s="181" t="str" cm="1">
        <f t="array" ref="M28">Common_InputFunctions.Utility_LookupValueInTable(F28,Table_FuelTypes_Units[Fuel type],Table_FuelTypes_Units[Unit])</f>
        <v>kL</v>
      </c>
      <c r="N28" s="202" cm="1">
        <f t="array" ref="N28">Fuel_Equations.VEERG_8_1_1_1__1_FuelCombustionTransport($L28,$G28,$H28)</f>
        <v>0</v>
      </c>
      <c r="O28" s="202" cm="1">
        <f t="array" ref="O28">Fuel_Equations.VEERG_8_1_1_1__1_FuelCombustionTransport($L28,$G28,$I28)</f>
        <v>0</v>
      </c>
      <c r="P28" s="202" cm="1">
        <f t="array" ref="P28">Fuel_Equations.VEERG_8_1_1_1__1_FuelCombustionTransport($L28,$G28,$J28)</f>
        <v>0</v>
      </c>
      <c r="Q28" s="202" cm="1">
        <f t="array" ref="Q28">Scope3_Equations.VEERG_15_11_1_1__2_UpstreamTransportFuelEmissions(L28,G28,K28)</f>
        <v>0</v>
      </c>
    </row>
    <row r="29" spans="1:17" ht="20.100000000000001" customHeight="1" x14ac:dyDescent="0.25">
      <c r="A29" s="5" t="str">
        <f>HYPERLINK("#'5.5.1.1-2 Leaching and runoff'!A1", "5.5.1.1-2 Leaching &amp; runoff")</f>
        <v>5.5.1.1-2 Leaching &amp; runoff</v>
      </c>
      <c r="D29" s="203" t="str">
        <f t="shared" si="0"/>
        <v>Cars and light commercial vehicles</v>
      </c>
      <c r="E29" s="201" t="str">
        <f>'Constants - Fuel'!$E$14</f>
        <v>Ethanol</v>
      </c>
      <c r="F29" s="201" t="str">
        <f>'Constants - Fuel'!G135</f>
        <v>Ethanol</v>
      </c>
      <c r="G29" s="25" cm="1">
        <f t="array" ref="G29">IFERROR(_xlfn.XLOOKUP(1, (Table_Fuel_EFs_Transport[Fuel combusted]=$E29)*(Table_Fuel_EFs_Transport[Transport type]=$D$25), Table_Fuel_EFs_Transport[Energy Content Factor (GJ per unit of fuel)]), 0)</f>
        <v>23.4</v>
      </c>
      <c r="H29" s="25" cm="1">
        <f t="array" ref="H29">IFERROR(_xlfn.XLOOKUP(1, (Table_Fuel_EFs_Transport[Fuel combusted]=$E29)*(Table_Fuel_EFs_Transport[Transport type]=$D$25), Table_Fuel_EFs_Transport[Scope 1 Emission Factor (kg CO2 - e / GJ) CO2]), 0)</f>
        <v>0</v>
      </c>
      <c r="I29" s="25" cm="1">
        <f t="array" ref="I29">IFERROR(_xlfn.XLOOKUP(1, (Table_Fuel_EFs_Transport[Fuel combusted]=$E29)*(Table_Fuel_EFs_Transport[Transport type]=$D$25), Table_Fuel_EFs_Transport[Scope 1 Emission Factor (kg CO2 - e / GJ) CH4]), 0)</f>
        <v>0.2</v>
      </c>
      <c r="J29" s="25" cm="1">
        <f t="array" ref="J29">IFERROR(_xlfn.XLOOKUP(1, (Table_Fuel_EFs_Transport[Fuel combusted]=$E29)*(Table_Fuel_EFs_Transport[Transport type]=$D$25), Table_Fuel_EFs_Transport[Scope 1 Emission Factor (kg CO2 - e / GJ) N2O]), 0)</f>
        <v>0.2</v>
      </c>
      <c r="K29" s="25" t="str" cm="1">
        <f t="array" ref="K29">IFERROR(_xlfn.XLOOKUP(1, (Table_Fuel_EFs_Transport[Fuel combusted]=$E29)*(Table_Fuel_EFs_Transport[Transport type]=$D$25), Table_Fuel_EFs_Transport[Scope 3 Emission Factor (kg CO2 - e / GJ)]), 0)</f>
        <v>NE</v>
      </c>
      <c r="L29" s="181" cm="1">
        <f t="array" ref="L29">Fuel_InputFunctions.Fuel_TotalConsumption(Table_Input_Fuel[Amount consumed], Table_Input_Fuel[Fuel use (select)], D29, Table_Input_Fuel[Fuel type (select)],F29)</f>
        <v>0</v>
      </c>
      <c r="M29" s="181" t="str" cm="1">
        <f t="array" ref="M29">Common_InputFunctions.Utility_LookupValueInTable(F29,Table_FuelTypes_Units[Fuel type],Table_FuelTypes_Units[Unit])</f>
        <v>kL</v>
      </c>
      <c r="N29" s="202" cm="1">
        <f t="array" ref="N29">Fuel_Equations.VEERG_8_1_1_1__1_FuelCombustionTransport($L29,$G29,$H29)</f>
        <v>0</v>
      </c>
      <c r="O29" s="202" cm="1">
        <f t="array" ref="O29">Fuel_Equations.VEERG_8_1_1_1__1_FuelCombustionTransport($L29,$G29,$I29)</f>
        <v>0</v>
      </c>
      <c r="P29" s="202" cm="1">
        <f t="array" ref="P29">Fuel_Equations.VEERG_8_1_1_1__1_FuelCombustionTransport($L29,$G29,$J29)</f>
        <v>0</v>
      </c>
      <c r="Q29" s="202" cm="1">
        <f t="array" ref="Q29">Scope3_Equations.VEERG_15_11_1_1__2_UpstreamTransportFuelEmissions(L29,G29,IF(ISNUMBER(K29),K29,0))</f>
        <v>0</v>
      </c>
    </row>
    <row r="30" spans="1:17" ht="20.100000000000001" customHeight="1" x14ac:dyDescent="0.25">
      <c r="A30" s="5" t="str">
        <f>HYPERLINK("#'6.2.1.1-2 Pasture residue N2O'!A1", "6.2.1.1-2 Pasture residue N2O")</f>
        <v>6.2.1.1-2 Pasture residue N2O</v>
      </c>
      <c r="D30" s="203" t="str">
        <f t="shared" si="0"/>
        <v>Cars and light commercial vehicles</v>
      </c>
      <c r="E30" s="201" t="str">
        <f>'Constants - Fuel'!$E$15</f>
        <v>Biodiesel</v>
      </c>
      <c r="F30" s="201" t="str">
        <f>'Constants - Fuel'!G136</f>
        <v>Biodiesel</v>
      </c>
      <c r="G30" s="25" cm="1">
        <f t="array" ref="G30">IFERROR(_xlfn.XLOOKUP(1, (Table_Fuel_EFs_Transport[Fuel combusted]=$E30)*(Table_Fuel_EFs_Transport[Transport type]=$D$25), Table_Fuel_EFs_Transport[Energy Content Factor (GJ per unit of fuel)]), 0)</f>
        <v>34.6</v>
      </c>
      <c r="H30" s="25" cm="1">
        <f t="array" ref="H30">IFERROR(_xlfn.XLOOKUP(1, (Table_Fuel_EFs_Transport[Fuel combusted]=$E30)*(Table_Fuel_EFs_Transport[Transport type]=$D$25), Table_Fuel_EFs_Transport[Scope 1 Emission Factor (kg CO2 - e / GJ) CO2]), 0)</f>
        <v>0</v>
      </c>
      <c r="I30" s="25" cm="1">
        <f t="array" ref="I30">IFERROR(_xlfn.XLOOKUP(1, (Table_Fuel_EFs_Transport[Fuel combusted]=$E30)*(Table_Fuel_EFs_Transport[Transport type]=$D$25), Table_Fuel_EFs_Transport[Scope 1 Emission Factor (kg CO2 - e / GJ) CH4]), 0)</f>
        <v>0.8</v>
      </c>
      <c r="J30" s="25" cm="1">
        <f t="array" ref="J30">IFERROR(_xlfn.XLOOKUP(1, (Table_Fuel_EFs_Transport[Fuel combusted]=$E30)*(Table_Fuel_EFs_Transport[Transport type]=$D$25), Table_Fuel_EFs_Transport[Scope 1 Emission Factor (kg CO2 - e / GJ) N2O]), 0)</f>
        <v>1.7</v>
      </c>
      <c r="K30" s="25" t="str" cm="1">
        <f t="array" ref="K30">IFERROR(_xlfn.XLOOKUP(1, (Table_Fuel_EFs_Transport[Fuel combusted]=$E30)*(Table_Fuel_EFs_Transport[Transport type]=$D$25), Table_Fuel_EFs_Transport[Scope 3 Emission Factor (kg CO2 - e / GJ)]), 0)</f>
        <v>NE</v>
      </c>
      <c r="L30" s="181" cm="1">
        <f t="array" ref="L30">Fuel_InputFunctions.Fuel_TotalConsumption(Table_Input_Fuel[Amount consumed], Table_Input_Fuel[Fuel use (select)], D30, Table_Input_Fuel[Fuel type (select)],F30)</f>
        <v>0</v>
      </c>
      <c r="M30" s="181" t="str" cm="1">
        <f t="array" ref="M30">Common_InputFunctions.Utility_LookupValueInTable(F30,Table_FuelTypes_Units[Fuel type],Table_FuelTypes_Units[Unit])</f>
        <v>kL</v>
      </c>
      <c r="N30" s="202" cm="1">
        <f t="array" ref="N30">Fuel_Equations.VEERG_8_1_1_1__1_FuelCombustionTransport($L30,$G30,$H30)</f>
        <v>0</v>
      </c>
      <c r="O30" s="202" cm="1">
        <f t="array" ref="O30">Fuel_Equations.VEERG_8_1_1_1__1_FuelCombustionTransport($L30,$G30,$I30)</f>
        <v>0</v>
      </c>
      <c r="P30" s="202" cm="1">
        <f t="array" ref="P30">Fuel_Equations.VEERG_8_1_1_1__1_FuelCombustionTransport($L30,$G30,$J30)</f>
        <v>0</v>
      </c>
      <c r="Q30" s="202" cm="1">
        <f t="array" ref="Q30">Scope3_Equations.VEERG_15_11_1_1__2_UpstreamTransportFuelEmissions(L30,G30,IF(ISNUMBER(K30),K30,0))</f>
        <v>0</v>
      </c>
    </row>
    <row r="31" spans="1:17" ht="20.100000000000001" customHeight="1" x14ac:dyDescent="0.25">
      <c r="A31" s="5" t="str">
        <f>HYPERLINK("#'6.3.1.1-2 Leach runoff pasture'!A1", "6.3.1.1-2 Leach &amp; runoff (pasture)")</f>
        <v>6.3.1.1-2 Leach &amp; runoff (pasture)</v>
      </c>
      <c r="D31" s="203" t="str">
        <f t="shared" si="0"/>
        <v>Cars and light commercial vehicles</v>
      </c>
      <c r="E31" s="201" t="str">
        <f>'Constants - Fuel'!$E$16</f>
        <v>Renewable diesel</v>
      </c>
      <c r="F31" s="201" t="str">
        <f>'Constants - Fuel'!G137</f>
        <v>Renewable diesel</v>
      </c>
      <c r="G31" s="25" cm="1">
        <f t="array" ref="G31">IFERROR(_xlfn.XLOOKUP(1, (Table_Fuel_EFs_Transport[Fuel combusted]=$E31)*(Table_Fuel_EFs_Transport[Transport type]=$D$25), Table_Fuel_EFs_Transport[Energy Content Factor (GJ per unit of fuel)]), 0)</f>
        <v>38.6</v>
      </c>
      <c r="H31" s="25" cm="1">
        <f t="array" ref="H31">IFERROR(_xlfn.XLOOKUP(1, (Table_Fuel_EFs_Transport[Fuel combusted]=$E31)*(Table_Fuel_EFs_Transport[Transport type]=$D$25), Table_Fuel_EFs_Transport[Scope 1 Emission Factor (kg CO2 - e / GJ) CO2]), 0)</f>
        <v>0</v>
      </c>
      <c r="I31" s="25" cm="1">
        <f t="array" ref="I31">IFERROR(_xlfn.XLOOKUP(1, (Table_Fuel_EFs_Transport[Fuel combusted]=$E31)*(Table_Fuel_EFs_Transport[Transport type]=$D$25), Table_Fuel_EFs_Transport[Scope 1 Emission Factor (kg CO2 - e / GJ) CH4]), 0)</f>
        <v>0.01</v>
      </c>
      <c r="J31" s="25" cm="1">
        <f t="array" ref="J31">IFERROR(_xlfn.XLOOKUP(1, (Table_Fuel_EFs_Transport[Fuel combusted]=$E31)*(Table_Fuel_EFs_Transport[Transport type]=$D$25), Table_Fuel_EFs_Transport[Scope 1 Emission Factor (kg CO2 - e / GJ) N2O]), 0)</f>
        <v>0.5</v>
      </c>
      <c r="K31" s="25" t="str" cm="1">
        <f t="array" ref="K31">IFERROR(_xlfn.XLOOKUP(1, (Table_Fuel_EFs_Transport[Fuel combusted]=$E31)*(Table_Fuel_EFs_Transport[Transport type]=$D$25), Table_Fuel_EFs_Transport[Scope 3 Emission Factor (kg CO2 - e / GJ)]), 0)</f>
        <v>NE</v>
      </c>
      <c r="L31" s="181" cm="1">
        <f t="array" ref="L31">Fuel_InputFunctions.Fuel_TotalConsumption(Table_Input_Fuel[Amount consumed], Table_Input_Fuel[Fuel use (select)], D31, Table_Input_Fuel[Fuel type (select)],F31)</f>
        <v>0</v>
      </c>
      <c r="M31" s="181" t="str" cm="1">
        <f t="array" ref="M31">Common_InputFunctions.Utility_LookupValueInTable(F31,Table_FuelTypes_Units[Fuel type],Table_FuelTypes_Units[Unit])</f>
        <v>kL</v>
      </c>
      <c r="N31" s="202" cm="1">
        <f t="array" ref="N31">Fuel_Equations.VEERG_8_1_1_1__1_FuelCombustionTransport($L31,$G31,$H31)</f>
        <v>0</v>
      </c>
      <c r="O31" s="202" cm="1">
        <f t="array" ref="O31">Fuel_Equations.VEERG_8_1_1_1__1_FuelCombustionTransport($L31,$G31,$I31)</f>
        <v>0</v>
      </c>
      <c r="P31" s="202" cm="1">
        <f t="array" ref="P31">Fuel_Equations.VEERG_8_1_1_1__1_FuelCombustionTransport($L31,$G31,$J31)</f>
        <v>0</v>
      </c>
      <c r="Q31" s="202" cm="1">
        <f t="array" ref="Q31">Scope3_Equations.VEERG_15_11_1_1__2_UpstreamTransportFuelEmissions(L31,G31,IF(ISNUMBER(K31),K31,0))</f>
        <v>0</v>
      </c>
    </row>
    <row r="32" spans="1:17" ht="20.100000000000001" customHeight="1" x14ac:dyDescent="0.25">
      <c r="A32" s="106" t="str">
        <f>HYPERLINK("#'8.1.1.1-2 Transport fuel'!A1", "8.1.1.1-2 Transport fuel")</f>
        <v>8.1.1.1-2 Transport fuel</v>
      </c>
      <c r="D32" s="203" t="str">
        <f t="shared" si="0"/>
        <v>Cars and light commercial vehicles</v>
      </c>
      <c r="E32" s="201" t="str">
        <f>'Constants - Fuel'!$E$17</f>
        <v>Other biofuels</v>
      </c>
      <c r="F32" s="201" t="str">
        <f>'Constants - Fuel'!G138</f>
        <v>Other biofuels</v>
      </c>
      <c r="G32" s="25" cm="1">
        <f t="array" ref="G32">IFERROR(_xlfn.XLOOKUP(1, (Table_Fuel_EFs_Transport[Fuel combusted]=$E32)*(Table_Fuel_EFs_Transport[Transport type]=$D$25), Table_Fuel_EFs_Transport[Energy Content Factor (GJ per unit of fuel)]), 0)</f>
        <v>23.4</v>
      </c>
      <c r="H32" s="25" cm="1">
        <f t="array" ref="H32">IFERROR(_xlfn.XLOOKUP(1, (Table_Fuel_EFs_Transport[Fuel combusted]=$E32)*(Table_Fuel_EFs_Transport[Transport type]=$D$25), Table_Fuel_EFs_Transport[Scope 1 Emission Factor (kg CO2 - e / GJ) CO2]), 0)</f>
        <v>0</v>
      </c>
      <c r="I32" s="25" cm="1">
        <f t="array" ref="I32">IFERROR(_xlfn.XLOOKUP(1, (Table_Fuel_EFs_Transport[Fuel combusted]=$E32)*(Table_Fuel_EFs_Transport[Transport type]=$D$25), Table_Fuel_EFs_Transport[Scope 1 Emission Factor (kg CO2 - e / GJ) CH4]), 0)</f>
        <v>0.8</v>
      </c>
      <c r="J32" s="25" cm="1">
        <f t="array" ref="J32">IFERROR(_xlfn.XLOOKUP(1, (Table_Fuel_EFs_Transport[Fuel combusted]=$E32)*(Table_Fuel_EFs_Transport[Transport type]=$D$25), Table_Fuel_EFs_Transport[Scope 1 Emission Factor (kg CO2 - e / GJ) N2O]), 0)</f>
        <v>1.7</v>
      </c>
      <c r="K32" s="199" t="str" cm="1">
        <f t="array" ref="K32">IFERROR(_xlfn.XLOOKUP(1, (Table_Fuel_EFs_Transport[Fuel combusted]=$E32)*(Table_Fuel_EFs_Transport[Transport type]=$D$25), Table_Fuel_EFs_Transport[Scope 3 Emission Factor (kg CO2 - e / GJ)]), 0)</f>
        <v>NE</v>
      </c>
      <c r="L32" s="204" cm="1">
        <f t="array" ref="L32">Fuel_InputFunctions.Fuel_TotalConsumption(Table_Input_Fuel[Amount consumed], Table_Input_Fuel[Fuel use (select)], D32, Table_Input_Fuel[Fuel type (select)],F32)</f>
        <v>0</v>
      </c>
      <c r="M32" s="181" t="str" cm="1">
        <f t="array" ref="M32">Common_InputFunctions.Utility_LookupValueInTable(F32,Table_FuelTypes_Units[Fuel type],Table_FuelTypes_Units[Unit])</f>
        <v>kL</v>
      </c>
      <c r="N32" s="205" cm="1">
        <f t="array" ref="N32">Fuel_Equations.VEERG_8_1_1_1__1_FuelCombustionTransport($L32,$G32,$H32)</f>
        <v>0</v>
      </c>
      <c r="O32" s="205" cm="1">
        <f t="array" ref="O32">Fuel_Equations.VEERG_8_1_1_1__1_FuelCombustionTransport($L32,$G32,$I32)</f>
        <v>0</v>
      </c>
      <c r="P32" s="205" cm="1">
        <f t="array" ref="P32">Fuel_Equations.VEERG_8_1_1_1__1_FuelCombustionTransport($L32,$G32,$J32)</f>
        <v>0</v>
      </c>
      <c r="Q32" s="202" cm="1">
        <f t="array" ref="Q32">Scope3_Equations.VEERG_15_11_1_1__2_UpstreamTransportFuelEmissions(L32,G32,IF(ISNUMBER(K32),K32,0))</f>
        <v>0</v>
      </c>
    </row>
    <row r="33" spans="1:17" ht="20.100000000000001" customHeight="1" x14ac:dyDescent="0.25">
      <c r="A33" s="5" t="str">
        <f>HYPERLINK("#'8.2.1.1-2 Stationary fuel'!A1", "8.2.1.1-2 Stationary fuel")</f>
        <v>8.2.1.1-2 Stationary fuel</v>
      </c>
      <c r="D33" s="206" t="str">
        <f>Table_FuelTypesPerUse[[#Headers],[Off-road Agriculture and forestry equipment]]</f>
        <v>Off-road Agriculture and forestry equipment</v>
      </c>
      <c r="E33" s="207" t="str">
        <f>'Constants - Fuel'!$E$11</f>
        <v>Diesel oil</v>
      </c>
      <c r="F33" s="207" t="str">
        <f>'Constants - Fuel'!H131</f>
        <v>Diesel</v>
      </c>
      <c r="G33" s="208" cm="1">
        <f t="array" ref="G33">IFERROR(_xlfn.XLOOKUP(1, (Table_Fuel_EFs_Transport[Fuel combusted]=$E33)*(Table_Fuel_EFs_Transport[Transport type]=$D$33), Table_Fuel_EFs_Transport[Energy Content Factor (GJ per unit of fuel)]), 0)</f>
        <v>38.6</v>
      </c>
      <c r="H33" s="208" cm="1">
        <f t="array" ref="H33">IFERROR(_xlfn.XLOOKUP(1, (Table_Fuel_EFs_Transport[Fuel combusted]=$E33)*(Table_Fuel_EFs_Transport[Transport type]=$D$33), Table_Fuel_EFs_Transport[Scope 1 Emission Factor (kg CO2 - e / GJ) CO2]), 0)</f>
        <v>69.900000000000006</v>
      </c>
      <c r="I33" s="208" cm="1">
        <f t="array" ref="I33">IFERROR(_xlfn.XLOOKUP(1, (Table_Fuel_EFs_Transport[Fuel combusted]=$E33)*(Table_Fuel_EFs_Transport[Transport type]=$D$33), Table_Fuel_EFs_Transport[Scope 1 Emission Factor (kg CO2 - e / GJ) CH4]), 0)</f>
        <v>0.3</v>
      </c>
      <c r="J33" s="208" cm="1">
        <f t="array" ref="J33">IFERROR(_xlfn.XLOOKUP(1, (Table_Fuel_EFs_Transport[Fuel combusted]=$E33)*(Table_Fuel_EFs_Transport[Transport type]=$D$33), Table_Fuel_EFs_Transport[Scope 1 Emission Factor (kg CO2 - e / GJ) N2O]), 0)</f>
        <v>0.5</v>
      </c>
      <c r="K33" s="209" cm="1">
        <f t="array" ref="K33">IFERROR(_xlfn.XLOOKUP(1, (Table_Fuel_EFs_Transport[Fuel combusted]=$E33)*(Table_Fuel_EFs_Transport[Transport type]=$D$25), Table_Fuel_EFs_Transport[Scope 3 Emission Factor (kg CO2 - e / GJ)]), 0)</f>
        <v>17.3</v>
      </c>
      <c r="L33" s="210" cm="1">
        <f t="array" ref="L33">Fuel_InputFunctions.Fuel_TotalConsumption(Table_Input_Fuel[Amount consumed], Table_Input_Fuel[Fuel use (select)], D33, Table_Input_Fuel[Fuel type (select)],F33)</f>
        <v>10</v>
      </c>
      <c r="M33" s="211" t="str" cm="1">
        <f t="array" ref="M33">Common_InputFunctions.Utility_LookupValueInTable(F33,Table_FuelTypes_Units[Fuel type],Table_FuelTypes_Units[Unit])</f>
        <v>kL</v>
      </c>
      <c r="N33" s="212" cm="1">
        <f t="array" ref="N33">Fuel_Equations.VEERG_8_1_1_1__1_FuelCombustionTransport($L33,$G33,$H33)</f>
        <v>26.981400000000001</v>
      </c>
      <c r="O33" s="212" cm="1">
        <f t="array" ref="O33">Fuel_Equations.VEERG_8_1_1_1__1_FuelCombustionTransport($L33,$G33,$I33)</f>
        <v>0.1158</v>
      </c>
      <c r="P33" s="212" cm="1">
        <f t="array" ref="P33">Fuel_Equations.VEERG_8_1_1_1__1_FuelCombustionTransport($L33,$G33,$J33)</f>
        <v>0.193</v>
      </c>
      <c r="Q33" s="213" cm="1">
        <f t="array" ref="Q33">Scope3_Equations.VEERG_15_11_1_1__2_UpstreamTransportFuelEmissions(L33,G33,K33)</f>
        <v>6.6778000000000004</v>
      </c>
    </row>
    <row r="34" spans="1:17" ht="20.100000000000001" customHeight="1" x14ac:dyDescent="0.25">
      <c r="A34" s="5" t="str">
        <f>HYPERLINK("#'14.1.1-2 Purchased electricity'!A1", "14.1.1-2 Purchased electricity")</f>
        <v>14.1.1-2 Purchased electricity</v>
      </c>
      <c r="D34" s="206" t="str">
        <f>Table_FuelTypesPerUse[[#Headers],[Aviation]]</f>
        <v>Aviation</v>
      </c>
      <c r="E34" s="207" t="str">
        <f>'Constants - Fuel'!$E$28</f>
        <v>Gasoline for use as fuel in an aircraft</v>
      </c>
      <c r="F34" s="207" t="str">
        <f>'Constants - Fuel'!$F$131</f>
        <v>Avgas</v>
      </c>
      <c r="G34" s="214" cm="1">
        <f t="array" ref="G34">IFERROR(_xlfn.XLOOKUP(1, (Table_Fuel_EFs_Transport[Fuel combusted]=$E34)*(Table_Fuel_EFs_Transport[Transport type]=$D$34), Table_Fuel_EFs_Transport[Energy Content Factor (GJ per unit of fuel)]), 0)</f>
        <v>33.1</v>
      </c>
      <c r="H34" s="214" cm="1">
        <f t="array" ref="H34">IFERROR(_xlfn.XLOOKUP(1, (Table_Fuel_EFs_Transport[Fuel combusted]=$E34)*(Table_Fuel_EFs_Transport[Transport type]=$D$34), Table_Fuel_EFs_Transport[Scope 1 Emission Factor (kg CO2 - e / GJ) CO2]), 0)</f>
        <v>67</v>
      </c>
      <c r="I34" s="214" cm="1">
        <f t="array" ref="I34">IFERROR(_xlfn.XLOOKUP(1, (Table_Fuel_EFs_Transport[Fuel combusted]=$E34)*(Table_Fuel_EFs_Transport[Transport type]=$D$34), Table_Fuel_EFs_Transport[Scope 1 Emission Factor (kg CO2 - e / GJ) CH4]), 0)</f>
        <v>0.06</v>
      </c>
      <c r="J34" s="214" cm="1">
        <f t="array" ref="J34">IFERROR(_xlfn.XLOOKUP(1, (Table_Fuel_EFs_Transport[Fuel combusted]=$E34)*(Table_Fuel_EFs_Transport[Transport type]=$D$34), Table_Fuel_EFs_Transport[Scope 1 Emission Factor (kg CO2 - e / GJ) N2O]), 0)</f>
        <v>0.6</v>
      </c>
      <c r="K34" s="214" cm="1">
        <f t="array" ref="K34">IFERROR(_xlfn.XLOOKUP(1, (Table_Fuel_EFs_Transport[Fuel combusted]=$E34)*(Table_Fuel_EFs_Transport[Transport type]=$D$25), Table_Fuel_EFs_Transport[Scope 3 Emission Factor (kg CO2 - e / GJ)]), 0)</f>
        <v>0</v>
      </c>
      <c r="L34" s="211" cm="1">
        <f t="array" ref="L34">Fuel_InputFunctions.Fuel_TotalConsumption(Table_Input_Fuel[Amount consumed], Table_Input_Fuel[Fuel use (select)], D34, Table_Input_Fuel[Fuel type (select)],F34)</f>
        <v>0</v>
      </c>
      <c r="M34" s="211" t="str" cm="1">
        <f t="array" ref="M34">Common_InputFunctions.Utility_LookupValueInTable(F34,Table_FuelTypes_Units[Fuel type],Table_FuelTypes_Units[Unit])</f>
        <v>kL</v>
      </c>
      <c r="N34" s="212" cm="1">
        <f t="array" ref="N34">Fuel_Equations.VEERG_8_1_1_1__1_FuelCombustionTransport($L34,$G34,$H34)</f>
        <v>0</v>
      </c>
      <c r="O34" s="212" cm="1">
        <f t="array" ref="O34">Fuel_Equations.VEERG_8_1_1_1__1_FuelCombustionTransport($L34,$G34,$I34)</f>
        <v>0</v>
      </c>
      <c r="P34" s="212" cm="1">
        <f t="array" ref="P34">Fuel_Equations.VEERG_8_1_1_1__1_FuelCombustionTransport($L34,$G34,$J34)</f>
        <v>0</v>
      </c>
      <c r="Q34" s="212" cm="1">
        <f t="array" ref="Q34">Scope3_Equations.VEERG_15_11_1_1__2_UpstreamTransportFuelEmissions(L34,G34,K34)</f>
        <v>0</v>
      </c>
    </row>
    <row r="35" spans="1:17" ht="20.100000000000001" customHeight="1" x14ac:dyDescent="0.25">
      <c r="D35" s="203" t="str">
        <f>$D$34</f>
        <v>Aviation</v>
      </c>
      <c r="E35" s="201" t="str">
        <f>'Constants - Fuel'!$E$29</f>
        <v>Kerosene for use as fuel in an aircraft</v>
      </c>
      <c r="F35" s="201" t="str">
        <f>'Constants - Fuel'!$F$132</f>
        <v>Jet A1, Jet B</v>
      </c>
      <c r="G35" s="25" cm="1">
        <f t="array" ref="G35">IFERROR(_xlfn.XLOOKUP(1, (Table_Fuel_EFs_Transport[Fuel combusted]=$E35)*(Table_Fuel_EFs_Transport[Transport type]=$D$34), Table_Fuel_EFs_Transport[Energy Content Factor (GJ per unit of fuel)]), 0)</f>
        <v>36.799999999999997</v>
      </c>
      <c r="H35" s="25" cm="1">
        <f t="array" ref="H35">IFERROR(_xlfn.XLOOKUP(1, (Table_Fuel_EFs_Transport[Fuel combusted]=$E35)*(Table_Fuel_EFs_Transport[Transport type]=$D$34), Table_Fuel_EFs_Transport[Scope 1 Emission Factor (kg CO2 - e / GJ) CO2]), 0)</f>
        <v>69.599999999999994</v>
      </c>
      <c r="I35" s="25" cm="1">
        <f t="array" ref="I35">IFERROR(_xlfn.XLOOKUP(1, (Table_Fuel_EFs_Transport[Fuel combusted]=$E35)*(Table_Fuel_EFs_Transport[Transport type]=$D$34), Table_Fuel_EFs_Transport[Scope 1 Emission Factor (kg CO2 - e / GJ) CH4]), 0)</f>
        <v>0.01</v>
      </c>
      <c r="J35" s="25" cm="1">
        <f t="array" ref="J35">IFERROR(_xlfn.XLOOKUP(1, (Table_Fuel_EFs_Transport[Fuel combusted]=$E35)*(Table_Fuel_EFs_Transport[Transport type]=$D$34), Table_Fuel_EFs_Transport[Scope 1 Emission Factor (kg CO2 - e / GJ) N2O]), 0)</f>
        <v>0.6</v>
      </c>
      <c r="K35" s="25" cm="1">
        <f t="array" ref="K35">IFERROR(_xlfn.XLOOKUP(1, (Table_Fuel_EFs_Transport[Fuel combusted]=$E35)*(Table_Fuel_EFs_Transport[Transport type]=$D$25), Table_Fuel_EFs_Transport[Scope 3 Emission Factor (kg CO2 - e / GJ)]), 0)</f>
        <v>0</v>
      </c>
      <c r="L35" s="181" cm="1">
        <f t="array" ref="L35">Fuel_InputFunctions.Fuel_TotalConsumption(Table_Input_Fuel[Amount consumed], Table_Input_Fuel[Fuel use (select)], D35, Table_Input_Fuel[Fuel type (select)],F35)</f>
        <v>0</v>
      </c>
      <c r="M35" s="181" t="str" cm="1">
        <f t="array" ref="M35">Common_InputFunctions.Utility_LookupValueInTable(F35,Table_FuelTypes_Units[Fuel type],Table_FuelTypes_Units[Unit])</f>
        <v>kL</v>
      </c>
      <c r="N35" s="202" cm="1">
        <f t="array" ref="N35">Fuel_Equations.VEERG_8_1_1_1__1_FuelCombustionTransport($L35,$G35,$H35)</f>
        <v>0</v>
      </c>
      <c r="O35" s="202" cm="1">
        <f t="array" ref="O35">Fuel_Equations.VEERG_8_1_1_1__1_FuelCombustionTransport($L35,$G35,$I35)</f>
        <v>0</v>
      </c>
      <c r="P35" s="202" cm="1">
        <f t="array" ref="P35">Fuel_Equations.VEERG_8_1_1_1__1_FuelCombustionTransport($L35,$G35,$J35)</f>
        <v>0</v>
      </c>
      <c r="Q35" s="202" cm="1">
        <f t="array" ref="Q35">Scope3_Equations.VEERG_15_11_1_1__2_UpstreamTransportFuelEmissions(L35,G35,K35)</f>
        <v>0</v>
      </c>
    </row>
    <row r="36" spans="1:17" ht="20.100000000000001" customHeight="1" x14ac:dyDescent="0.25">
      <c r="D36" s="203" t="str">
        <f>$D$34</f>
        <v>Aviation</v>
      </c>
      <c r="E36" s="201" t="str">
        <f>'Constants - Fuel'!$E$30</f>
        <v>Renewable aviation kerosene</v>
      </c>
      <c r="F36" s="201" t="str">
        <f>'Constants - Fuel'!$F$133</f>
        <v>Renewable aviation kerosene</v>
      </c>
      <c r="G36" s="199" cm="1">
        <f t="array" ref="G36">IFERROR(_xlfn.XLOOKUP(1, (Table_Fuel_EFs_Transport[Fuel combusted]=$E36)*(Table_Fuel_EFs_Transport[Transport type]=$D$34), Table_Fuel_EFs_Transport[Energy Content Factor (GJ per unit of fuel)]), 0)</f>
        <v>36.799999999999997</v>
      </c>
      <c r="H36" s="199" cm="1">
        <f t="array" ref="H36">IFERROR(_xlfn.XLOOKUP(1, (Table_Fuel_EFs_Transport[Fuel combusted]=$E36)*(Table_Fuel_EFs_Transport[Transport type]=$D$34), Table_Fuel_EFs_Transport[Scope 1 Emission Factor (kg CO2 - e / GJ) CO2]), 0)</f>
        <v>0</v>
      </c>
      <c r="I36" s="199" cm="1">
        <f t="array" ref="I36">IFERROR(_xlfn.XLOOKUP(1, (Table_Fuel_EFs_Transport[Fuel combusted]=$E36)*(Table_Fuel_EFs_Transport[Transport type]=$D$34), Table_Fuel_EFs_Transport[Scope 1 Emission Factor (kg CO2 - e / GJ) CH4]), 0)</f>
        <v>0.01</v>
      </c>
      <c r="J36" s="199" cm="1">
        <f t="array" ref="J36">IFERROR(_xlfn.XLOOKUP(1, (Table_Fuel_EFs_Transport[Fuel combusted]=$E36)*(Table_Fuel_EFs_Transport[Transport type]=$D$34), Table_Fuel_EFs_Transport[Scope 1 Emission Factor (kg CO2 - e / GJ) N2O]), 0)</f>
        <v>0.6</v>
      </c>
      <c r="K36" s="199" cm="1">
        <f t="array" ref="K36">IFERROR(_xlfn.XLOOKUP(1, (Table_Fuel_EFs_Transport[Fuel combusted]=$E36)*(Table_Fuel_EFs_Transport[Transport type]=$D$25), Table_Fuel_EFs_Transport[Scope 3 Emission Factor (kg CO2 - e / GJ)]), 0)</f>
        <v>0</v>
      </c>
      <c r="L36" s="204" cm="1">
        <f t="array" ref="L36">Fuel_InputFunctions.Fuel_TotalConsumption(Table_Input_Fuel[Amount consumed], Table_Input_Fuel[Fuel use (select)], D36, Table_Input_Fuel[Fuel type (select)],F36)</f>
        <v>0</v>
      </c>
      <c r="M36" s="181" t="str" cm="1">
        <f t="array" ref="M36">Common_InputFunctions.Utility_LookupValueInTable(F36,Table_FuelTypes_Units[Fuel type],Table_FuelTypes_Units[Unit])</f>
        <v>kL</v>
      </c>
      <c r="N36" s="202" cm="1">
        <f t="array" ref="N36">Fuel_Equations.VEERG_8_1_1_1__1_FuelCombustionTransport($L36,$G36,$H36)</f>
        <v>0</v>
      </c>
      <c r="O36" s="202" cm="1">
        <f t="array" ref="O36">Fuel_Equations.VEERG_8_1_1_1__1_FuelCombustionTransport($L36,$G36,$I36)</f>
        <v>0</v>
      </c>
      <c r="P36" s="202" cm="1">
        <f t="array" ref="P36">Fuel_Equations.VEERG_8_1_1_1__1_FuelCombustionTransport($L36,$G36,$J36)</f>
        <v>0</v>
      </c>
      <c r="Q36" s="205" cm="1">
        <f t="array" ref="Q36">Scope3_Equations.VEERG_15_11_1_1__2_UpstreamTransportFuelEmissions(L36,G36,K36)</f>
        <v>0</v>
      </c>
    </row>
    <row r="37" spans="1:17" ht="20.100000000000001" customHeight="1" x14ac:dyDescent="0.25">
      <c r="A37" s="251" t="s">
        <v>1</v>
      </c>
      <c r="D37" s="206" t="str">
        <f>Table_FuelTypesPerUse[[#Headers],[Vessels]]</f>
        <v>Vessels</v>
      </c>
      <c r="E37" s="207" t="str">
        <f>'Constants - Fuel'!$E$10</f>
        <v>Gasoline</v>
      </c>
      <c r="F37" s="207" t="str">
        <f>'Constants - Fuel'!$I$131</f>
        <v>Petrol</v>
      </c>
      <c r="G37" s="214" cm="1">
        <f t="array" ref="G37">IFERROR(_xlfn.XLOOKUP(1, (Table_Fuel_EFs_Transport[Fuel combusted]=$E37)*(Table_Fuel_EFs_Transport[Transport type]=$D$37), Table_Fuel_EFs_Transport[Energy Content Factor (GJ per unit of fuel)]), 0)</f>
        <v>34.200000000000003</v>
      </c>
      <c r="H37" s="214" cm="1">
        <f t="array" ref="H37">IFERROR(_xlfn.XLOOKUP(1, (Table_Fuel_EFs_Transport[Fuel combusted]=$E37)*(Table_Fuel_EFs_Transport[Transport type]=$D$37), Table_Fuel_EFs_Transport[Scope 1 Emission Factor (kg CO2 - e / GJ) CO2]), 0)</f>
        <v>67.400000000000006</v>
      </c>
      <c r="I37" s="214" cm="1">
        <f t="array" ref="I37">IFERROR(_xlfn.XLOOKUP(1, (Table_Fuel_EFs_Transport[Fuel combusted]=$E37)*(Table_Fuel_EFs_Transport[Transport type]=$D$37), Table_Fuel_EFs_Transport[Scope 1 Emission Factor (kg CO2 - e / GJ) CH4]), 0)</f>
        <v>10.1</v>
      </c>
      <c r="J37" s="214" cm="1">
        <f t="array" ref="J37">IFERROR(_xlfn.XLOOKUP(1, (Table_Fuel_EFs_Transport[Fuel combusted]=$E37)*(Table_Fuel_EFs_Transport[Transport type]=$D$37), Table_Fuel_EFs_Transport[Scope 1 Emission Factor (kg CO2 - e / GJ) N2O]), 0)</f>
        <v>0.3</v>
      </c>
      <c r="K37" s="214" cm="1">
        <f t="array" ref="K37">IFERROR(_xlfn.XLOOKUP(1, (Table_Fuel_EFs_Transport[Fuel combusted]=$E37)*(Table_Fuel_EFs_Transport[Transport type]=$D$25), Table_Fuel_EFs_Transport[Scope 3 Emission Factor (kg CO2 - e / GJ)]), 0)</f>
        <v>17.2</v>
      </c>
      <c r="L37" s="211" cm="1">
        <f t="array" ref="L37">Fuel_InputFunctions.Fuel_TotalConsumption(Table_Input_Fuel[Amount consumed], Table_Input_Fuel[Fuel use (select)], D37, Table_Input_Fuel[Fuel type (select)],F37)</f>
        <v>0</v>
      </c>
      <c r="M37" s="215" t="str" cm="1">
        <f t="array" ref="M37">Common_InputFunctions.Utility_LookupValueInTable(F37,Table_FuelTypes_Units[Fuel type],Table_FuelTypes_Units[Unit])</f>
        <v>kL</v>
      </c>
      <c r="N37" s="212" cm="1">
        <f t="array" ref="N37">Fuel_Equations.VEERG_8_1_1_1__1_FuelCombustionTransport($L37,$G37,$H37)</f>
        <v>0</v>
      </c>
      <c r="O37" s="212" cm="1">
        <f t="array" ref="O37">Fuel_Equations.VEERG_8_1_1_1__1_FuelCombustionTransport($L37,$G37,$I37)</f>
        <v>0</v>
      </c>
      <c r="P37" s="212" cm="1">
        <f t="array" ref="P37">Fuel_Equations.VEERG_8_1_1_1__1_FuelCombustionTransport($L37,$G37,$J37)</f>
        <v>0</v>
      </c>
      <c r="Q37" s="212" cm="1">
        <f t="array" ref="Q37">Scope3_Equations.VEERG_15_11_1_1__2_UpstreamTransportFuelEmissions(L37,G37,K37)</f>
        <v>0</v>
      </c>
    </row>
    <row r="38" spans="1:17" ht="20.100000000000001" customHeight="1" x14ac:dyDescent="0.25">
      <c r="A38" s="5" t="str">
        <f>HYPERLINK("#'Constants - Pasture Beef'!A1", "Constants - Pasture Beef")</f>
        <v>Constants - Pasture Beef</v>
      </c>
      <c r="D38" s="203" t="str">
        <f>$D$37</f>
        <v>Vessels</v>
      </c>
      <c r="E38" s="201" t="str">
        <f>'Constants - Fuel'!$E$11</f>
        <v>Diesel oil</v>
      </c>
      <c r="F38" s="201" t="str">
        <f>'Constants - Fuel'!$I$132</f>
        <v>Diesel</v>
      </c>
      <c r="G38" s="25" cm="1">
        <f t="array" ref="G38">IFERROR(_xlfn.XLOOKUP(1, (Table_Fuel_EFs_Transport[Fuel combusted]=$E38)*(Table_Fuel_EFs_Transport[Transport type]=$D$37), Table_Fuel_EFs_Transport[Energy Content Factor (GJ per unit of fuel)]), 0)</f>
        <v>38.6</v>
      </c>
      <c r="H38" s="25" cm="1">
        <f t="array" ref="H38">IFERROR(_xlfn.XLOOKUP(1, (Table_Fuel_EFs_Transport[Fuel combusted]=$E38)*(Table_Fuel_EFs_Transport[Transport type]=$D$37), Table_Fuel_EFs_Transport[Scope 1 Emission Factor (kg CO2 - e / GJ) CO2]), 0)</f>
        <v>69.900000000000006</v>
      </c>
      <c r="I38" s="25" cm="1">
        <f t="array" ref="I38">IFERROR(_xlfn.XLOOKUP(1, (Table_Fuel_EFs_Transport[Fuel combusted]=$E38)*(Table_Fuel_EFs_Transport[Transport type]=$D$37), Table_Fuel_EFs_Transport[Scope 1 Emission Factor (kg CO2 - e / GJ) CH4]), 0)</f>
        <v>0.2</v>
      </c>
      <c r="J38" s="25" cm="1">
        <f t="array" ref="J38">IFERROR(_xlfn.XLOOKUP(1, (Table_Fuel_EFs_Transport[Fuel combusted]=$E38)*(Table_Fuel_EFs_Transport[Transport type]=$D$37), Table_Fuel_EFs_Transport[Scope 1 Emission Factor (kg CO2 - e / GJ) N2O]), 0)</f>
        <v>0.5</v>
      </c>
      <c r="K38" s="25" cm="1">
        <f t="array" ref="K38">IFERROR(_xlfn.XLOOKUP(1, (Table_Fuel_EFs_Transport[Fuel combusted]=$E38)*(Table_Fuel_EFs_Transport[Transport type]=$D$25), Table_Fuel_EFs_Transport[Scope 3 Emission Factor (kg CO2 - e / GJ)]), 0)</f>
        <v>17.3</v>
      </c>
      <c r="L38" s="181" cm="1">
        <f t="array" ref="L38">Fuel_InputFunctions.Fuel_TotalConsumption(Table_Input_Fuel[Amount consumed], Table_Input_Fuel[Fuel use (select)], D38, Table_Input_Fuel[Fuel type (select)],F38)</f>
        <v>0</v>
      </c>
      <c r="M38" s="181" t="str" cm="1">
        <f t="array" ref="M38">Common_InputFunctions.Utility_LookupValueInTable(F38,Table_FuelTypes_Units[Fuel type],Table_FuelTypes_Units[Unit])</f>
        <v>kL</v>
      </c>
      <c r="N38" s="202" cm="1">
        <f t="array" ref="N38">Fuel_Equations.VEERG_8_1_1_1__1_FuelCombustionTransport($L38,$G38,$H38)</f>
        <v>0</v>
      </c>
      <c r="O38" s="202" cm="1">
        <f t="array" ref="O38">Fuel_Equations.VEERG_8_1_1_1__1_FuelCombustionTransport($L38,$G38,$I38)</f>
        <v>0</v>
      </c>
      <c r="P38" s="202" cm="1">
        <f t="array" ref="P38">Fuel_Equations.VEERG_8_1_1_1__1_FuelCombustionTransport($L38,$G38,$J38)</f>
        <v>0</v>
      </c>
      <c r="Q38" s="202" cm="1">
        <f t="array" ref="Q38">Scope3_Equations.VEERG_15_11_1_1__2_UpstreamTransportFuelEmissions(L38,G38,K38)</f>
        <v>0</v>
      </c>
    </row>
    <row r="39" spans="1:17" ht="20.100000000000001" customHeight="1" x14ac:dyDescent="0.25">
      <c r="A39" s="5" t="str">
        <f>HYPERLINK("#'Constants - Ag Residue'!A1", "Constants - Ag residue")</f>
        <v>Constants - Ag residue</v>
      </c>
      <c r="D39" s="203" t="str">
        <f>$D$37</f>
        <v>Vessels</v>
      </c>
      <c r="E39" s="201" t="str">
        <f>'Constants - Fuel'!E33</f>
        <v>Fuel Oil</v>
      </c>
      <c r="F39" s="201" t="str">
        <f>'Constants - Fuel'!$I$133</f>
        <v>Fuel oil</v>
      </c>
      <c r="G39" s="25" cm="1">
        <f t="array" ref="G39">IFERROR(_xlfn.XLOOKUP(1, (Table_Fuel_EFs_Transport[Fuel combusted]=$E39)*(Table_Fuel_EFs_Transport[Transport type]=$D$37), Table_Fuel_EFs_Transport[Energy Content Factor (GJ per unit of fuel)]), 0)</f>
        <v>39.700000000000003</v>
      </c>
      <c r="H39" s="25" cm="1">
        <f t="array" ref="H39">IFERROR(_xlfn.XLOOKUP(1, (Table_Fuel_EFs_Transport[Fuel combusted]=$E39)*(Table_Fuel_EFs_Transport[Transport type]=$D$37), Table_Fuel_EFs_Transport[Scope 1 Emission Factor (kg CO2 - e / GJ) CO2]), 0)</f>
        <v>73.599999999999994</v>
      </c>
      <c r="I39" s="25" cm="1">
        <f t="array" ref="I39">IFERROR(_xlfn.XLOOKUP(1, (Table_Fuel_EFs_Transport[Fuel combusted]=$E39)*(Table_Fuel_EFs_Transport[Transport type]=$D$37), Table_Fuel_EFs_Transport[Scope 1 Emission Factor (kg CO2 - e / GJ) CH4]), 0)</f>
        <v>0.2</v>
      </c>
      <c r="J39" s="25" cm="1">
        <f t="array" ref="J39">IFERROR(_xlfn.XLOOKUP(1, (Table_Fuel_EFs_Transport[Fuel combusted]=$E39)*(Table_Fuel_EFs_Transport[Transport type]=$D$37), Table_Fuel_EFs_Transport[Scope 1 Emission Factor (kg CO2 - e / GJ) N2O]), 0)</f>
        <v>0.5</v>
      </c>
      <c r="K39" s="25" cm="1">
        <f t="array" ref="K39">IFERROR(_xlfn.XLOOKUP(1, (Table_Fuel_EFs_Transport[Fuel combusted]=$E39)*(Table_Fuel_EFs_Transport[Transport type]=$D$25), Table_Fuel_EFs_Transport[Scope 3 Emission Factor (kg CO2 - e / GJ)]), 0)</f>
        <v>18</v>
      </c>
      <c r="L39" s="181" cm="1">
        <f t="array" ref="L39">Fuel_InputFunctions.Fuel_TotalConsumption(Table_Input_Fuel[Amount consumed], Table_Input_Fuel[Fuel use (select)], D39, Table_Input_Fuel[Fuel type (select)],F39)</f>
        <v>10</v>
      </c>
      <c r="M39" s="181" t="str" cm="1">
        <f t="array" ref="M39">Common_InputFunctions.Utility_LookupValueInTable(F39,Table_FuelTypes_Units[Fuel type],Table_FuelTypes_Units[Unit])</f>
        <v>kL</v>
      </c>
      <c r="N39" s="202" cm="1">
        <f t="array" ref="N39">Fuel_Equations.VEERG_8_1_1_1__1_FuelCombustionTransport($L39,$G39,$H39)</f>
        <v>29.219199999999997</v>
      </c>
      <c r="O39" s="202" cm="1">
        <f t="array" ref="O39">Fuel_Equations.VEERG_8_1_1_1__1_FuelCombustionTransport($L39,$G39,$I39)</f>
        <v>7.9400000000000012E-2</v>
      </c>
      <c r="P39" s="202" cm="1">
        <f t="array" ref="P39">Fuel_Equations.VEERG_8_1_1_1__1_FuelCombustionTransport($L39,$G39,$J39)</f>
        <v>0.19850000000000001</v>
      </c>
      <c r="Q39" s="202" cm="1">
        <f t="array" ref="Q39">Scope3_Equations.VEERG_15_11_1_1__2_UpstreamTransportFuelEmissions(L39,G39,K39)</f>
        <v>7.1459999999999999</v>
      </c>
    </row>
    <row r="40" spans="1:17" ht="20.100000000000001" customHeight="1" x14ac:dyDescent="0.25">
      <c r="A40" s="5" t="str">
        <f>HYPERLINK("#'Constants - Common Livestock'!A1", "Constants - Common Livestock")</f>
        <v>Constants - Common Livestock</v>
      </c>
      <c r="H40" s="177"/>
      <c r="I40" s="177"/>
      <c r="J40" s="177"/>
      <c r="L40" s="177"/>
      <c r="M40" s="177"/>
      <c r="N40" s="177"/>
      <c r="O40" s="177"/>
      <c r="P40" s="177"/>
      <c r="Q40" s="177"/>
    </row>
    <row r="41" spans="1:17" ht="20.100000000000001" customHeight="1" x14ac:dyDescent="0.25">
      <c r="A41" s="5" t="str">
        <f>HYPERLINK("#'Constants - Electricity'!A1", "Constants - Electricity")</f>
        <v>Constants - Electricity</v>
      </c>
      <c r="H41" s="177"/>
      <c r="I41" s="177"/>
      <c r="J41" s="177"/>
      <c r="L41" s="177"/>
      <c r="M41" s="177"/>
      <c r="N41" s="177"/>
      <c r="O41" s="177"/>
      <c r="P41" s="177"/>
      <c r="Q41" s="177"/>
    </row>
    <row r="42" spans="1:17" ht="20.100000000000001" customHeight="1" x14ac:dyDescent="0.25">
      <c r="A42" s="5" t="str">
        <f>HYPERLINK("#'Constants - Fertiliser'!A1", "Constants - Fertiliser")</f>
        <v>Constants - Fertiliser</v>
      </c>
      <c r="D42" s="216" t="str">
        <f>"Total scope 1 - " &amp; D25</f>
        <v>Total scope 1 - Cars and light commercial vehicles</v>
      </c>
      <c r="E42" s="217"/>
      <c r="F42" s="218"/>
    </row>
    <row r="43" spans="1:17" ht="20.100000000000001" customHeight="1" x14ac:dyDescent="0.25">
      <c r="A43" s="5" t="str">
        <f>HYPERLINK("#'Constants - Fuel'!A1", "Constants - Fuel")</f>
        <v>Constants - Fuel</v>
      </c>
      <c r="D43" s="35" t="s">
        <v>742</v>
      </c>
      <c r="E43" s="219">
        <f>SUM(N25:N32)</f>
        <v>26.981400000000001</v>
      </c>
      <c r="F43" s="26" t="str">
        <f>$E$12</f>
        <v>t CO2-e</v>
      </c>
    </row>
    <row r="44" spans="1:17" ht="20.100000000000001" customHeight="1" x14ac:dyDescent="0.25">
      <c r="A44" s="5" t="str">
        <f>HYPERLINK("#'Constants - Common'!A1", "Constants - Common")</f>
        <v>Constants - Common</v>
      </c>
      <c r="D44" s="35" t="s">
        <v>743</v>
      </c>
      <c r="E44" s="219">
        <f>SUM(O25:O32)</f>
        <v>3.8600000000000001E-3</v>
      </c>
      <c r="F44" s="26" t="str">
        <f t="shared" ref="F44:F46" si="1">$E$12</f>
        <v>t CO2-e</v>
      </c>
    </row>
    <row r="45" spans="1:17" ht="20.100000000000001" customHeight="1" x14ac:dyDescent="0.25">
      <c r="A45" s="5" t="str">
        <f>HYPERLINK("#'Acknowledgements'!A1", "Acknowledgements")</f>
        <v>Acknowledgements</v>
      </c>
      <c r="D45" s="35" t="s">
        <v>744</v>
      </c>
      <c r="E45" s="219">
        <f>SUM(P25:P32)</f>
        <v>0.193</v>
      </c>
      <c r="F45" s="26" t="str">
        <f t="shared" si="1"/>
        <v>t CO2-e</v>
      </c>
    </row>
    <row r="46" spans="1:17" ht="20.100000000000001" customHeight="1" x14ac:dyDescent="0.25">
      <c r="A46" s="5" t="str">
        <f>HYPERLINK("#'Overview'!A1", "Overview")</f>
        <v>Overview</v>
      </c>
      <c r="D46" s="35" t="s">
        <v>745</v>
      </c>
      <c r="E46" s="219">
        <f>SUM(Q25:Q32)</f>
        <v>6.6778000000000004</v>
      </c>
      <c r="F46" s="26" t="str">
        <f t="shared" si="1"/>
        <v>t CO2-e</v>
      </c>
    </row>
    <row r="47" spans="1:17" ht="20.100000000000001" customHeight="1" x14ac:dyDescent="0.25">
      <c r="D47" s="177"/>
      <c r="E47" s="177"/>
      <c r="F47" s="177"/>
    </row>
    <row r="48" spans="1:17" ht="20.100000000000001" customHeight="1" x14ac:dyDescent="0.25">
      <c r="D48" s="216" t="str">
        <f>"Total scope 1 - " &amp; D33</f>
        <v>Total scope 1 - Off-road Agriculture and forestry equipment</v>
      </c>
      <c r="E48" s="220"/>
      <c r="F48" s="218"/>
      <c r="H48" s="177"/>
      <c r="I48" s="177"/>
      <c r="J48" s="177"/>
      <c r="L48" s="177"/>
      <c r="M48" s="177"/>
      <c r="N48" s="177"/>
      <c r="O48" s="177"/>
      <c r="P48" s="177"/>
      <c r="Q48" s="177"/>
    </row>
    <row r="49" spans="4:17" ht="20.100000000000001" customHeight="1" x14ac:dyDescent="0.25">
      <c r="D49" s="35" t="s">
        <v>742</v>
      </c>
      <c r="E49" s="219">
        <f>SUM(N33:N33)</f>
        <v>26.981400000000001</v>
      </c>
      <c r="F49" s="26" t="str">
        <f t="shared" ref="F49:F52" si="2">$E$12</f>
        <v>t CO2-e</v>
      </c>
      <c r="H49" s="177"/>
      <c r="I49" s="177"/>
      <c r="J49" s="177"/>
      <c r="L49" s="177"/>
      <c r="M49" s="177"/>
      <c r="N49" s="177"/>
      <c r="O49" s="177"/>
      <c r="P49" s="177"/>
      <c r="Q49" s="177"/>
    </row>
    <row r="50" spans="4:17" ht="20.100000000000001" customHeight="1" x14ac:dyDescent="0.25">
      <c r="D50" s="35" t="s">
        <v>743</v>
      </c>
      <c r="E50" s="219">
        <f>SUM(O33:O33)</f>
        <v>0.1158</v>
      </c>
      <c r="F50" s="26" t="str">
        <f t="shared" si="2"/>
        <v>t CO2-e</v>
      </c>
      <c r="H50" s="177"/>
      <c r="I50" s="177"/>
      <c r="J50" s="177"/>
      <c r="L50" s="177"/>
      <c r="M50" s="177"/>
      <c r="N50" s="177"/>
      <c r="O50" s="177"/>
      <c r="P50" s="177"/>
      <c r="Q50" s="177"/>
    </row>
    <row r="51" spans="4:17" ht="20.100000000000001" customHeight="1" x14ac:dyDescent="0.25">
      <c r="D51" s="35" t="s">
        <v>744</v>
      </c>
      <c r="E51" s="219">
        <f>SUM(P33:P33)</f>
        <v>0.193</v>
      </c>
      <c r="F51" s="26" t="str">
        <f t="shared" si="2"/>
        <v>t CO2-e</v>
      </c>
      <c r="H51" s="177"/>
      <c r="I51" s="177"/>
      <c r="J51" s="177"/>
      <c r="L51" s="177"/>
      <c r="M51" s="177"/>
      <c r="N51" s="177"/>
      <c r="O51" s="177"/>
      <c r="P51" s="177"/>
      <c r="Q51" s="177"/>
    </row>
    <row r="52" spans="4:17" ht="20.100000000000001" customHeight="1" x14ac:dyDescent="0.25">
      <c r="D52" s="35" t="s">
        <v>745</v>
      </c>
      <c r="E52" s="219">
        <f>SUM(Q33)</f>
        <v>6.6778000000000004</v>
      </c>
      <c r="F52" s="26" t="str">
        <f t="shared" si="2"/>
        <v>t CO2-e</v>
      </c>
      <c r="H52" s="177"/>
      <c r="I52" s="177"/>
      <c r="J52" s="177"/>
      <c r="L52" s="177"/>
      <c r="M52" s="177"/>
      <c r="N52" s="177"/>
      <c r="O52" s="177"/>
      <c r="P52" s="177"/>
      <c r="Q52" s="177"/>
    </row>
    <row r="53" spans="4:17" ht="20.100000000000001" customHeight="1" x14ac:dyDescent="0.25">
      <c r="D53" s="177"/>
      <c r="E53" s="221"/>
      <c r="F53" s="177"/>
      <c r="G53" s="177"/>
      <c r="H53" s="177"/>
      <c r="I53" s="177"/>
      <c r="J53" s="177"/>
      <c r="L53" s="177"/>
      <c r="M53" s="177"/>
      <c r="N53" s="177"/>
      <c r="O53" s="177"/>
      <c r="P53" s="177"/>
      <c r="Q53" s="177"/>
    </row>
    <row r="54" spans="4:17" ht="20.100000000000001" customHeight="1" x14ac:dyDescent="0.25">
      <c r="D54" s="216" t="str">
        <f>"Total scope 1 - " &amp; D34</f>
        <v>Total scope 1 - Aviation</v>
      </c>
      <c r="E54" s="220"/>
      <c r="F54" s="218"/>
      <c r="G54" s="177"/>
      <c r="H54" s="177"/>
      <c r="I54" s="177"/>
      <c r="J54" s="177"/>
      <c r="L54" s="177"/>
      <c r="M54" s="177"/>
      <c r="N54" s="177"/>
      <c r="O54" s="177"/>
      <c r="P54" s="177"/>
      <c r="Q54" s="177"/>
    </row>
    <row r="55" spans="4:17" ht="20.100000000000001" customHeight="1" x14ac:dyDescent="0.25">
      <c r="D55" s="35" t="s">
        <v>742</v>
      </c>
      <c r="E55" s="219">
        <f>SUM(N34:N36)</f>
        <v>0</v>
      </c>
      <c r="F55" s="26" t="str">
        <f t="shared" ref="F55:F58" si="3">$E$12</f>
        <v>t CO2-e</v>
      </c>
      <c r="G55" s="177"/>
      <c r="H55" s="177"/>
      <c r="I55" s="177"/>
      <c r="J55" s="177"/>
      <c r="L55" s="177"/>
      <c r="M55" s="177"/>
      <c r="N55" s="177"/>
      <c r="O55" s="177"/>
      <c r="P55" s="177"/>
      <c r="Q55" s="177"/>
    </row>
    <row r="56" spans="4:17" ht="20.100000000000001" customHeight="1" x14ac:dyDescent="0.25">
      <c r="D56" s="35" t="s">
        <v>743</v>
      </c>
      <c r="E56" s="219">
        <f>SUM(O34:O36)</f>
        <v>0</v>
      </c>
      <c r="F56" s="26" t="str">
        <f t="shared" si="3"/>
        <v>t CO2-e</v>
      </c>
      <c r="G56" s="177"/>
      <c r="H56" s="177"/>
      <c r="I56" s="177"/>
      <c r="J56" s="177"/>
      <c r="L56" s="177"/>
      <c r="M56" s="177"/>
      <c r="N56" s="177"/>
      <c r="O56" s="177"/>
      <c r="P56" s="177"/>
      <c r="Q56" s="177"/>
    </row>
    <row r="57" spans="4:17" ht="20.100000000000001" customHeight="1" x14ac:dyDescent="0.25">
      <c r="D57" s="35" t="s">
        <v>744</v>
      </c>
      <c r="E57" s="219">
        <f>SUM(P34:P36)</f>
        <v>0</v>
      </c>
      <c r="F57" s="26" t="str">
        <f t="shared" si="3"/>
        <v>t CO2-e</v>
      </c>
      <c r="G57" s="177"/>
      <c r="H57" s="177"/>
      <c r="I57" s="177"/>
      <c r="J57" s="177"/>
      <c r="L57" s="177"/>
      <c r="M57" s="177"/>
      <c r="N57" s="177"/>
      <c r="O57" s="177"/>
      <c r="P57" s="177"/>
      <c r="Q57" s="177"/>
    </row>
    <row r="58" spans="4:17" ht="20.100000000000001" customHeight="1" x14ac:dyDescent="0.25">
      <c r="D58" s="35" t="s">
        <v>745</v>
      </c>
      <c r="E58" s="219">
        <f>SUM(Q34:Q36)</f>
        <v>0</v>
      </c>
      <c r="F58" s="26" t="str">
        <f t="shared" si="3"/>
        <v>t CO2-e</v>
      </c>
      <c r="G58" s="177"/>
      <c r="H58" s="177"/>
      <c r="I58" s="177"/>
      <c r="J58" s="177"/>
      <c r="L58" s="177"/>
      <c r="M58" s="177"/>
      <c r="N58" s="177"/>
      <c r="O58" s="177"/>
      <c r="P58" s="177"/>
      <c r="Q58" s="177"/>
    </row>
    <row r="59" spans="4:17" ht="20.100000000000001" customHeight="1" x14ac:dyDescent="0.25">
      <c r="D59" s="177"/>
      <c r="E59" s="221"/>
      <c r="F59" s="177"/>
      <c r="G59" s="177"/>
      <c r="H59" s="177"/>
      <c r="I59" s="177"/>
      <c r="J59" s="177"/>
      <c r="L59" s="177"/>
      <c r="M59" s="177"/>
      <c r="N59" s="177"/>
      <c r="O59" s="177"/>
      <c r="P59" s="177"/>
      <c r="Q59" s="177"/>
    </row>
    <row r="60" spans="4:17" ht="20.100000000000001" customHeight="1" x14ac:dyDescent="0.25">
      <c r="D60" s="216" t="str">
        <f>"Total scope 1 - " &amp; D37</f>
        <v>Total scope 1 - Vessels</v>
      </c>
      <c r="E60" s="220"/>
      <c r="F60" s="218"/>
      <c r="G60" s="177"/>
      <c r="H60" s="177"/>
      <c r="I60" s="177"/>
      <c r="J60" s="177"/>
      <c r="L60" s="177"/>
      <c r="M60" s="177"/>
      <c r="N60" s="177"/>
      <c r="O60" s="177"/>
      <c r="P60" s="177"/>
      <c r="Q60" s="177"/>
    </row>
    <row r="61" spans="4:17" ht="20.100000000000001" customHeight="1" x14ac:dyDescent="0.25">
      <c r="D61" s="35" t="s">
        <v>742</v>
      </c>
      <c r="E61" s="219">
        <f>SUM(N37:N39)</f>
        <v>29.219199999999997</v>
      </c>
      <c r="F61" s="26" t="str">
        <f t="shared" ref="F61:F64" si="4">$E$12</f>
        <v>t CO2-e</v>
      </c>
      <c r="G61" s="177"/>
      <c r="H61" s="177"/>
      <c r="I61" s="177"/>
      <c r="J61" s="177"/>
      <c r="L61" s="177"/>
      <c r="M61" s="177"/>
      <c r="N61" s="177"/>
      <c r="O61" s="177"/>
      <c r="P61" s="177"/>
      <c r="Q61" s="177"/>
    </row>
    <row r="62" spans="4:17" ht="20.100000000000001" customHeight="1" x14ac:dyDescent="0.25">
      <c r="D62" s="35" t="s">
        <v>743</v>
      </c>
      <c r="E62" s="219">
        <f>SUM(O37:O39)</f>
        <v>7.9400000000000012E-2</v>
      </c>
      <c r="F62" s="26" t="str">
        <f t="shared" si="4"/>
        <v>t CO2-e</v>
      </c>
      <c r="G62" s="177"/>
      <c r="H62" s="177"/>
      <c r="I62" s="177"/>
      <c r="J62" s="177"/>
      <c r="L62" s="177"/>
      <c r="M62" s="177"/>
      <c r="N62" s="177"/>
      <c r="O62" s="177"/>
      <c r="P62" s="177"/>
      <c r="Q62" s="177"/>
    </row>
    <row r="63" spans="4:17" ht="20.100000000000001" customHeight="1" x14ac:dyDescent="0.25">
      <c r="D63" s="35" t="s">
        <v>744</v>
      </c>
      <c r="E63" s="219">
        <f>SUM(P37:P39)</f>
        <v>0.19850000000000001</v>
      </c>
      <c r="F63" s="26" t="str">
        <f t="shared" si="4"/>
        <v>t CO2-e</v>
      </c>
      <c r="G63" s="177"/>
      <c r="H63" s="177"/>
      <c r="I63" s="177"/>
      <c r="J63" s="177"/>
      <c r="L63" s="177"/>
      <c r="M63" s="177"/>
      <c r="N63" s="177"/>
      <c r="O63" s="177"/>
      <c r="P63" s="177"/>
      <c r="Q63" s="177"/>
    </row>
    <row r="64" spans="4:17" ht="20.100000000000001" customHeight="1" x14ac:dyDescent="0.25">
      <c r="D64" s="35" t="s">
        <v>745</v>
      </c>
      <c r="E64" s="219">
        <f>SUM(Q37:Q39)</f>
        <v>7.1459999999999999</v>
      </c>
      <c r="F64" s="26" t="str">
        <f t="shared" si="4"/>
        <v>t CO2-e</v>
      </c>
      <c r="G64" s="177"/>
      <c r="H64" s="177"/>
      <c r="I64" s="177"/>
      <c r="J64" s="177"/>
      <c r="L64" s="177"/>
      <c r="M64" s="177"/>
      <c r="N64" s="177"/>
      <c r="O64" s="177"/>
      <c r="P64" s="177"/>
      <c r="Q64" s="177"/>
    </row>
    <row r="65" spans="4:17" ht="20.100000000000001" customHeight="1" x14ac:dyDescent="0.25">
      <c r="G65" s="177"/>
      <c r="H65" s="177"/>
      <c r="I65" s="177"/>
      <c r="J65" s="177"/>
      <c r="L65" s="177"/>
      <c r="M65" s="177"/>
      <c r="N65" s="177"/>
      <c r="O65" s="177"/>
      <c r="P65" s="177"/>
      <c r="Q65" s="177"/>
    </row>
    <row r="66" spans="4:17" ht="20.100000000000001" customHeight="1" x14ac:dyDescent="0.25">
      <c r="D66" s="216" t="s">
        <v>746</v>
      </c>
      <c r="E66" s="222"/>
      <c r="F66" s="218"/>
      <c r="G66" s="177"/>
      <c r="H66" s="177"/>
      <c r="I66" s="177"/>
      <c r="J66" s="177"/>
      <c r="L66" s="177"/>
      <c r="M66" s="177"/>
      <c r="N66" s="177"/>
      <c r="O66" s="177"/>
      <c r="P66" s="177"/>
      <c r="Q66" s="177"/>
    </row>
    <row r="67" spans="4:17" ht="20.100000000000001" customHeight="1" x14ac:dyDescent="0.25">
      <c r="D67" s="35" t="s">
        <v>742</v>
      </c>
      <c r="E67" s="219">
        <f>E43+E49+E55+E61</f>
        <v>83.182000000000002</v>
      </c>
      <c r="F67" s="26" t="str">
        <f t="shared" ref="F67:F70" si="5">$E$12</f>
        <v>t CO2-e</v>
      </c>
      <c r="G67" s="177"/>
    </row>
    <row r="68" spans="4:17" ht="20.100000000000001" customHeight="1" x14ac:dyDescent="0.25">
      <c r="D68" s="35" t="s">
        <v>743</v>
      </c>
      <c r="E68" s="219">
        <f t="shared" ref="E68:E70" si="6">E44+E50+E56+E62</f>
        <v>0.19906000000000001</v>
      </c>
      <c r="F68" s="26" t="str">
        <f t="shared" si="5"/>
        <v>t CO2-e</v>
      </c>
      <c r="G68" s="177"/>
    </row>
    <row r="69" spans="4:17" ht="20.100000000000001" customHeight="1" x14ac:dyDescent="0.25">
      <c r="D69" s="35" t="s">
        <v>744</v>
      </c>
      <c r="E69" s="219">
        <f t="shared" si="6"/>
        <v>0.58450000000000002</v>
      </c>
      <c r="F69" s="26" t="str">
        <f t="shared" si="5"/>
        <v>t CO2-e</v>
      </c>
      <c r="G69" s="177"/>
    </row>
    <row r="70" spans="4:17" ht="20.100000000000001" customHeight="1" x14ac:dyDescent="0.25">
      <c r="D70" s="35" t="s">
        <v>745</v>
      </c>
      <c r="E70" s="219">
        <f t="shared" si="6"/>
        <v>20.5016</v>
      </c>
      <c r="F70" s="26" t="str">
        <f t="shared" si="5"/>
        <v>t CO2-e</v>
      </c>
      <c r="G70" s="177"/>
    </row>
    <row r="71" spans="4:17" ht="20.100000000000001" customHeight="1" x14ac:dyDescent="0.25">
      <c r="G71" s="177"/>
    </row>
    <row r="72" spans="4:17" ht="20.100000000000001" customHeight="1" x14ac:dyDescent="0.25"/>
    <row r="73" spans="4:17" ht="20.100000000000001" customHeight="1" x14ac:dyDescent="0.25"/>
    <row r="74" spans="4:17" ht="20.100000000000001" customHeight="1" x14ac:dyDescent="0.25"/>
    <row r="75" spans="4:17" ht="20.100000000000001" customHeight="1" x14ac:dyDescent="0.25"/>
    <row r="76" spans="4:17" ht="20.100000000000001" customHeight="1" x14ac:dyDescent="0.25"/>
    <row r="77" spans="4:17" ht="20.100000000000001" customHeight="1" x14ac:dyDescent="0.25"/>
    <row r="78" spans="4:17" ht="20.100000000000001" customHeight="1" x14ac:dyDescent="0.25"/>
    <row r="79" spans="4:17" ht="20.100000000000001" customHeight="1" x14ac:dyDescent="0.25"/>
    <row r="80" spans="4:17"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8"/>
    </row>
    <row r="342" spans="8:8" x14ac:dyDescent="0.25">
      <c r="H342" s="8"/>
    </row>
  </sheetData>
  <dataValidations count="1">
    <dataValidation operator="equal" allowBlank="1" showInputMessage="1" showErrorMessage="1" sqref="N172:Q172 O150:Q150 E269 N166:Q166 O143:Q144 E228 O167:Q167 G132 I129:I133 F134:I134 F129:F132 H128:H132 G129 F148:I148 I149 F150:I150" xr:uid="{51DAE858-0B16-4FDE-9376-C54C2E237E46}"/>
  </dataValidations>
  <pageMargins left="0.7" right="0.7" top="0.75" bottom="0.75" header="0.3" footer="0.3"/>
  <pageSetup paperSize="9"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90AEB-9FE6-49CD-B0AB-80D259254317}">
  <dimension ref="A1:R165"/>
  <sheetViews>
    <sheetView showGridLines="0" topLeftCell="A33" zoomScaleNormal="100" workbookViewId="0">
      <selection activeCell="A46" sqref="A46"/>
    </sheetView>
  </sheetViews>
  <sheetFormatPr defaultRowHeight="15.75" x14ac:dyDescent="0.25"/>
  <cols>
    <col min="1" max="1" width="30.7109375" customWidth="1"/>
    <col min="2" max="2" width="4.7109375" customWidth="1"/>
    <col min="3" max="3" width="4.7109375" style="1" customWidth="1"/>
    <col min="4" max="4" width="40.42578125" style="1" customWidth="1"/>
    <col min="5" max="17" width="30.7109375" style="1" customWidth="1"/>
    <col min="18" max="18" width="4.7109375" style="1" customWidth="1"/>
  </cols>
  <sheetData>
    <row r="1" spans="1:18" s="31" customFormat="1" ht="30" customHeight="1" x14ac:dyDescent="0.35">
      <c r="A1" s="16" t="e" vm="1">
        <v>#VALUE!</v>
      </c>
      <c r="C1" s="31" t="s">
        <v>747</v>
      </c>
    </row>
    <row r="2" spans="1:18" s="3" customFormat="1" ht="20.100000000000001" customHeight="1" x14ac:dyDescent="0.25">
      <c r="A2"/>
    </row>
    <row r="3" spans="1:18" ht="20.100000000000001" customHeight="1" x14ac:dyDescent="0.25">
      <c r="A3" s="5" t="str">
        <f>HYPERLINK("#'Home'!A1", "Home")</f>
        <v>Home</v>
      </c>
      <c r="C3" s="33"/>
      <c r="D3" s="33" t="s">
        <v>149</v>
      </c>
      <c r="E3" s="33"/>
      <c r="F3" s="33"/>
      <c r="G3" s="33"/>
      <c r="H3" s="33"/>
      <c r="I3" s="33"/>
      <c r="J3" s="33"/>
      <c r="K3" s="33"/>
      <c r="L3" s="33"/>
      <c r="M3" s="33"/>
      <c r="N3" s="33"/>
      <c r="O3" s="33"/>
      <c r="P3" s="33"/>
      <c r="Q3" s="33"/>
      <c r="R3" s="33"/>
    </row>
    <row r="4" spans="1:18" ht="20.100000000000001" customHeight="1" x14ac:dyDescent="0.25">
      <c r="A4" s="5" t="str">
        <f>HYPERLINK("#'Results'!A1", "Results")</f>
        <v>Results</v>
      </c>
    </row>
    <row r="5" spans="1:18" ht="20.100000000000001" customHeight="1" x14ac:dyDescent="0.25">
      <c r="D5" s="2" t="str" cm="1">
        <f t="array" ref="D5">Fuel_Equations.VEERG_8_2_1_1__1_FuelCombustionStationary_Title()</f>
        <v>Emissions for each GHG from the stationary combustion of fuels</v>
      </c>
      <c r="K5" s="2" t="str" cm="1">
        <f t="array" ref="K5">Scope3_Equations.VEERG_15_11_1_1__3_UpstreamStationaryFuelEmissions_Title()</f>
        <v>Upstream emissions from scope 1 stationary combustion fuel use</v>
      </c>
      <c r="O5" s="177"/>
      <c r="P5" s="177"/>
      <c r="Q5" s="177"/>
      <c r="R5" s="177"/>
    </row>
    <row r="6" spans="1:18" ht="20.100000000000001" customHeight="1" x14ac:dyDescent="0.25">
      <c r="D6" s="27" t="str" cm="1">
        <f t="array" ref="D6">Fuel_Equations.VEERG_8_2_1_1__1_FuelCombustionStationary_Source()</f>
        <v>VEERG 2026: 8.2.1.1, Equation (1)</v>
      </c>
      <c r="K6" s="27" t="str" cm="1">
        <f t="array" ref="K6">Scope3_Equations.VEERG_15_11_1_1__3_UpstreamStationaryFuelEmissions_Source()</f>
        <v>VEERG 2026: 15.11.1.1, Equation (3)</v>
      </c>
      <c r="O6" s="177"/>
      <c r="P6" s="177"/>
      <c r="Q6" s="177"/>
      <c r="R6" s="177"/>
    </row>
    <row r="7" spans="1:18" ht="20.100000000000001" customHeight="1" x14ac:dyDescent="0.25">
      <c r="A7" s="7" t="s">
        <v>0</v>
      </c>
      <c r="D7" s="105" t="s">
        <v>261</v>
      </c>
      <c r="E7" s="105" t="str" cm="1">
        <f t="array" aca="1" ref="E7" ca="1">Common_InputFunctions.Utility_DisplayFunctionName(N25)</f>
        <v>=Fuel_Equations.VEERG_8_2_1_1__1_FuelCombustionStationary</v>
      </c>
      <c r="K7" s="36" t="str" cm="1">
        <f t="array" ref="K7">Scope3_Equations.VEERG_15_11_1_1__3_UpstreamStationaryFuelEmissions_Variation()</f>
        <v>VARIATION ON SOURCE: Added 'state' and 'metro/non-metro' arguments as gaseous scope 3 EFs are state and metro/non-metro location-based.</v>
      </c>
      <c r="O7" s="177"/>
      <c r="P7" s="177"/>
      <c r="Q7" s="177"/>
      <c r="R7" s="177"/>
    </row>
    <row r="8" spans="1:18" ht="20.100000000000001" customHeight="1" x14ac:dyDescent="0.25">
      <c r="A8" s="5" t="str">
        <f>HYPERLINK("#'Input - Enterprise'!A1", "Enterprise")</f>
        <v>Enterprise</v>
      </c>
      <c r="K8" s="105" t="s">
        <v>261</v>
      </c>
      <c r="L8" s="105" t="str" cm="1">
        <f t="array" aca="1" ref="L8" ca="1">Common_InputFunctions.Utility_DisplayFunctionName(Q25)</f>
        <v>=Fuel_Equations.VEERG_8_2_1_1__1_FuelCombustionStationary</v>
      </c>
      <c r="O8" s="177"/>
      <c r="P8" s="177"/>
      <c r="Q8" s="177"/>
      <c r="R8" s="177"/>
    </row>
    <row r="9" spans="1:18" ht="20.100000000000001" customHeight="1" x14ac:dyDescent="0.25">
      <c r="A9" s="5" t="str">
        <f>HYPERLINK("#'Input - Site'!A1", "Site")</f>
        <v>Site</v>
      </c>
      <c r="G9" s="27"/>
      <c r="O9" s="177"/>
      <c r="P9" s="177"/>
      <c r="Q9" s="177"/>
      <c r="R9" s="177"/>
    </row>
    <row r="10" spans="1:18" ht="20.100000000000001" customHeight="1" x14ac:dyDescent="0.25">
      <c r="A10" s="5" t="str">
        <f>HYPERLINK("#'Input - Pasture Beef'!A1", "Pasture Beef")</f>
        <v>Pasture Beef</v>
      </c>
      <c r="O10" s="177"/>
      <c r="P10" s="177"/>
      <c r="Q10" s="177"/>
      <c r="R10" s="177"/>
    </row>
    <row r="11" spans="1:18" ht="20.100000000000001" customHeight="1" x14ac:dyDescent="0.25">
      <c r="A11" s="5" t="str">
        <f>HYPERLINK("#'Input - Pasture Beef (Enteric)'!A1", "Pasture Beef (Enteric)")</f>
        <v>Pasture Beef (Enteric)</v>
      </c>
      <c r="D11" s="88" t="s">
        <v>263</v>
      </c>
      <c r="E11" s="1" t="str" cm="1">
        <f t="array" ref="E11">Fuel_Equations.VEERG_8_2_1_1__1_FuelCombustionStationary_Variable()</f>
        <v>E_g</v>
      </c>
      <c r="K11" s="88" t="s">
        <v>263</v>
      </c>
      <c r="L11" s="1" t="str" cm="1">
        <f t="array" ref="L11">Scope3_Equations.VEERG_15_11_1_1__3_UpstreamStationaryFuelEmissions_Variable()</f>
        <v>E_WTTSCq</v>
      </c>
      <c r="O11" s="177"/>
      <c r="P11" s="177"/>
      <c r="Q11" s="177"/>
      <c r="R11" s="177"/>
    </row>
    <row r="12" spans="1:18" ht="20.100000000000001" customHeight="1" x14ac:dyDescent="0.25">
      <c r="A12" s="5" t="str">
        <f>HYPERLINK("#'Input - Pasture'!A1", "Pasture")</f>
        <v>Pasture</v>
      </c>
      <c r="D12" s="88" t="s">
        <v>130</v>
      </c>
      <c r="E12" s="15" t="str" cm="1">
        <f t="array" ref="E12">Fuel_Equations.VEERG_8_2_1_1__1_FuelCombustionStationary_Unit()</f>
        <v>t CO2-e</v>
      </c>
      <c r="K12" s="88" t="s">
        <v>130</v>
      </c>
      <c r="L12" s="15" t="str" cm="1">
        <f t="array" ref="L12">Scope3_Equations.VEERG_15_11_1_1__3_UpstreamStationaryFuelEmissions_Unit()</f>
        <v>t CO2e</v>
      </c>
    </row>
    <row r="13" spans="1:18" ht="20.100000000000001" customHeight="1" x14ac:dyDescent="0.25">
      <c r="A13" s="5" t="str">
        <f>HYPERLINK("#'Input - Fertiliser'!A1", "Fertiliser")</f>
        <v>Fertiliser</v>
      </c>
    </row>
    <row r="14" spans="1:18" ht="20.100000000000001" customHeight="1" x14ac:dyDescent="0.25">
      <c r="A14" s="5" t="str">
        <f>HYPERLINK("#'Input - Fuel'!A1", "Fuel")</f>
        <v>Fuel</v>
      </c>
      <c r="D14" s="107" t="str" cm="1">
        <f t="array" ref="D14:E20">_xlfn.CHOOSECOLS(Fuel_Equations.VEERG_8_2_1_1__1_FuelCombustionStationary_Arguments(), 1,2)</f>
        <v>Q_SCq</v>
      </c>
      <c r="E14" s="108" t="str">
        <v>Amount of fuel type q used for stationary combustion operations</v>
      </c>
      <c r="F14" s="110"/>
      <c r="G14" s="107" t="str" cm="1">
        <f t="array" ref="G14:H20">_xlfn.CHOOSECOLS(Fuel_Equations.VEERG_8_2_1_1__1_FuelCombustionStationary_Arguments(), 3,4)</f>
        <v>Varies based on fuel type: kL, m3, GJ</v>
      </c>
      <c r="H14" s="111" t="str">
        <v>Input</v>
      </c>
      <c r="I14" s="113" t="str" cm="1">
        <f t="array" aca="1" ref="I14" ca="1">HYPERLINK(Common_InputFunctions.Utility_SourceHyperlink($D$22), $D$22)</f>
        <v>Table_E_g</v>
      </c>
      <c r="K14" s="107" t="str" cm="1">
        <f t="array" ref="K14:L18">_xlfn.CHOOSECOLS(Scope3_Equations.VEERG_15_11_1_1__3_UpstreamStationaryFuelEmissions_Arguments(),1,2)</f>
        <v>Q_SCq</v>
      </c>
      <c r="L14" s="107" t="str">
        <v>amount of fuel q used for stationary combustion operations</v>
      </c>
      <c r="M14" s="107"/>
      <c r="N14" s="107" t="str" cm="1">
        <f t="array" ref="N14:O18">_xlfn.CHOOSECOLS(Scope3_Equations.VEERG_15_11_1_1__3_UpstreamStationaryFuelEmissions_Arguments(),3,4)</f>
        <v>kL</v>
      </c>
      <c r="O14" s="111" t="str">
        <v>Input</v>
      </c>
      <c r="P14" s="113" t="str" cm="1">
        <f t="array" aca="1" ref="P14" ca="1">HYPERLINK(Common_InputFunctions.Utility_SourceHyperlink($D$22), $D$22)</f>
        <v>Table_E_g</v>
      </c>
      <c r="Q14" s="177"/>
    </row>
    <row r="15" spans="1:18" ht="20.100000000000001" customHeight="1" x14ac:dyDescent="0.25">
      <c r="A15" s="5" t="str">
        <f>HYPERLINK("#'Input - Electricity'!A1", "Electricity")</f>
        <v>Electricity</v>
      </c>
      <c r="D15" s="107" t="str">
        <v>EC_SCq</v>
      </c>
      <c r="E15" s="108" t="str">
        <v>Energy content factor for stationary combustion operations</v>
      </c>
      <c r="F15" s="110"/>
      <c r="G15" s="107" t="str">
        <v>GJ / unit of fuel</v>
      </c>
      <c r="H15" s="112" t="str">
        <v>Constant</v>
      </c>
      <c r="I15" s="113" t="str" cm="1">
        <f t="array" aca="1" ref="I15" ca="1">HYPERLINK(Common_InputFunctions.Utility_SourceHyperlink($D$22), $D$22)</f>
        <v>Table_E_g</v>
      </c>
      <c r="K15" s="107" t="str">
        <v>EC_SCq</v>
      </c>
      <c r="L15" s="107" t="str">
        <v>energy content factor for stationary combustion operations</v>
      </c>
      <c r="M15" s="107"/>
      <c r="N15" s="107" t="str">
        <v>GJ/kL</v>
      </c>
      <c r="O15" s="112" t="str">
        <v>Constant</v>
      </c>
      <c r="P15" s="113" t="str" cm="1">
        <f t="array" aca="1" ref="P15" ca="1">HYPERLINK(Common_InputFunctions.Utility_SourceHyperlink($D$22), $D$22)</f>
        <v>Table_E_g</v>
      </c>
      <c r="Q15" s="177"/>
    </row>
    <row r="16" spans="1:18" ht="20.100000000000001" customHeight="1" x14ac:dyDescent="0.25">
      <c r="D16" s="107" t="str">
        <v>EF_SC1qg</v>
      </c>
      <c r="E16" s="108" t="str">
        <v>Scope 1 emission factor for stationary combustion for each greenhouse gas</v>
      </c>
      <c r="F16" s="110"/>
      <c r="G16" s="107" t="str">
        <v>kg CO2e / GJ</v>
      </c>
      <c r="H16" s="112" t="str">
        <v>Constant</v>
      </c>
      <c r="I16" s="113" t="str" cm="1">
        <f t="array" aca="1" ref="I16" ca="1">HYPERLINK(Common_InputFunctions.Utility_SourceHyperlink($D$22), $D$22)</f>
        <v>Table_E_g</v>
      </c>
      <c r="K16" s="107" t="str">
        <v>EF_SC3q</v>
      </c>
      <c r="L16" s="107" t="str">
        <v>scope 3 emission factor for stationary combustion operations</v>
      </c>
      <c r="M16" s="107"/>
      <c r="N16" s="107" t="str">
        <v>kg CO2e/GJ</v>
      </c>
      <c r="O16" s="112" t="str">
        <v>Constant</v>
      </c>
      <c r="P16" s="113" t="str" cm="1">
        <f t="array" aca="1" ref="P16" ca="1">HYPERLINK(Common_InputFunctions.Utility_SourceHyperlink($D$22), $D$22)</f>
        <v>Table_E_g</v>
      </c>
      <c r="Q16" s="177"/>
    </row>
    <row r="17" spans="1:17" ht="20.100000000000001" customHeight="1" x14ac:dyDescent="0.25">
      <c r="D17" s="107" t="str">
        <v>q</v>
      </c>
      <c r="E17" s="108" t="str">
        <v>Fuel type</v>
      </c>
      <c r="F17" s="110"/>
      <c r="G17" s="107" t="str">
        <v/>
      </c>
      <c r="H17" s="112" t="str">
        <v>Constant</v>
      </c>
      <c r="I17" s="113"/>
      <c r="J17" s="177"/>
      <c r="K17" s="107" t="str">
        <v>i</v>
      </c>
      <c r="L17" s="108" t="str">
        <v>state</v>
      </c>
      <c r="M17" s="110"/>
      <c r="N17" s="107" t="str">
        <v/>
      </c>
      <c r="O17" s="111" t="str">
        <v>Input</v>
      </c>
      <c r="P17" s="107" t="str">
        <f>X_Cell_Site_State</f>
        <v>Western Australia</v>
      </c>
      <c r="Q17" s="177"/>
    </row>
    <row r="18" spans="1:17" ht="20.100000000000001" customHeight="1" x14ac:dyDescent="0.25">
      <c r="A18" s="6" t="s">
        <v>2</v>
      </c>
      <c r="D18" s="107" t="str">
        <v>SC</v>
      </c>
      <c r="E18" s="108" t="str">
        <v>Stationary combustion</v>
      </c>
      <c r="F18" s="110"/>
      <c r="G18" s="107" t="str">
        <v/>
      </c>
      <c r="H18" s="112" t="str">
        <v>Constant</v>
      </c>
      <c r="I18" s="113"/>
      <c r="J18" s="177"/>
      <c r="K18" s="107" t="str">
        <v>m</v>
      </c>
      <c r="L18" s="108" t="str">
        <v>metropolitan/non-metropolitan location</v>
      </c>
      <c r="M18" s="110"/>
      <c r="N18" s="107" t="str">
        <v/>
      </c>
      <c r="O18" s="111" t="str">
        <v>Input</v>
      </c>
      <c r="P18" s="107" t="str">
        <f>X_Cell_Fuel_IsMetroLocation</f>
        <v>Metro</v>
      </c>
      <c r="Q18" s="177"/>
    </row>
    <row r="19" spans="1:17" ht="20.100000000000001" customHeight="1" x14ac:dyDescent="0.25">
      <c r="A19" s="5" t="str">
        <f>HYPERLINK("#'3.2.1.1-2 Enteric Methane'!A1", "3.2.1.1-2 Enteric methane")</f>
        <v>3.2.1.1-2 Enteric methane</v>
      </c>
      <c r="D19" s="107" t="str">
        <v>g</v>
      </c>
      <c r="E19" s="108" t="str">
        <v>Greenhouse gas</v>
      </c>
      <c r="F19" s="110"/>
      <c r="G19" s="107" t="str">
        <v/>
      </c>
      <c r="H19" s="112" t="str">
        <v>Constant</v>
      </c>
      <c r="I19" s="113"/>
      <c r="J19" s="177"/>
      <c r="L19" s="177"/>
      <c r="N19" s="177"/>
      <c r="O19" s="177"/>
      <c r="P19" s="177"/>
      <c r="Q19" s="177"/>
    </row>
    <row r="20" spans="1:17" ht="20.100000000000001" customHeight="1" x14ac:dyDescent="0.25">
      <c r="A20" s="5" t="str">
        <f>HYPERLINK("#'4.2.1.1-2 Methane'!A1", "4.2.1.1-2 Manure methane")</f>
        <v>4.2.1.1-2 Manure methane</v>
      </c>
      <c r="D20" s="107" t="str">
        <v>1</v>
      </c>
      <c r="E20" s="108" t="str">
        <v>Scope 1</v>
      </c>
      <c r="F20" s="110"/>
      <c r="G20" s="107" t="str">
        <v/>
      </c>
      <c r="H20" s="112" t="str">
        <v>Constant</v>
      </c>
      <c r="I20" s="113"/>
      <c r="J20" s="177"/>
      <c r="L20" s="177"/>
      <c r="N20" s="177"/>
      <c r="O20" s="177"/>
      <c r="P20" s="177"/>
      <c r="Q20" s="177"/>
    </row>
    <row r="21" spans="1:17" ht="20.100000000000001" customHeight="1" x14ac:dyDescent="0.25">
      <c r="A21" s="5" t="str">
        <f>HYPERLINK("#'4.2.1.3-4 Soil direct N20'!A1", "4.2.1.3-4 Soil direct N2O")</f>
        <v>4.2.1.3-4 Soil direct N2O</v>
      </c>
      <c r="O21" s="177"/>
      <c r="P21" s="177"/>
      <c r="Q21" s="177"/>
    </row>
    <row r="22" spans="1:17" ht="20.100000000000001" customHeight="1" x14ac:dyDescent="0.25">
      <c r="A22" s="5" t="str">
        <f>HYPERLINK("#'4.2.1.5-6 Soil Atmos Dep'!A1", "4.2.1.5-6 Soil atm. deposition")</f>
        <v>4.2.1.5-6 Soil atm. deposition</v>
      </c>
      <c r="D22" s="114" t="s">
        <v>726</v>
      </c>
    </row>
    <row r="23" spans="1:17" ht="20.100000000000001" customHeight="1" x14ac:dyDescent="0.25">
      <c r="A23" s="5" t="str">
        <f>HYPERLINK("#'4.2.1.7-8 Soil leach runoff'!A1", "4.2.1.7-8 Soil leach &amp; runoff")</f>
        <v>4.2.1.7-8 Soil leach &amp; runoff</v>
      </c>
      <c r="D23" s="115" t="s">
        <v>748</v>
      </c>
    </row>
    <row r="24" spans="1:17" ht="20.100000000000001" customHeight="1" x14ac:dyDescent="0.25">
      <c r="A24" s="5" t="str">
        <f>HYPERLINK("#'5.1.1.1-2 Inorganic fert N2O'!A1", "5.1.1.1-2 Inorganic fert N2O")</f>
        <v>5.1.1.1-2 Inorganic fert N2O</v>
      </c>
      <c r="D24" s="116" t="s">
        <v>728</v>
      </c>
      <c r="E24" s="116" t="s">
        <v>729</v>
      </c>
      <c r="F24" s="116" t="s">
        <v>730</v>
      </c>
      <c r="G24" s="116" t="s">
        <v>749</v>
      </c>
      <c r="H24" s="116" t="s">
        <v>750</v>
      </c>
      <c r="I24" s="116" t="s">
        <v>751</v>
      </c>
      <c r="J24" s="116" t="s">
        <v>752</v>
      </c>
      <c r="K24" s="116" t="s">
        <v>753</v>
      </c>
      <c r="L24" s="117" t="s">
        <v>754</v>
      </c>
      <c r="M24" s="116" t="s">
        <v>737</v>
      </c>
      <c r="N24" s="116" t="s">
        <v>738</v>
      </c>
      <c r="O24" s="116" t="s">
        <v>739</v>
      </c>
      <c r="P24" s="116" t="s">
        <v>740</v>
      </c>
      <c r="Q24" s="116" t="s">
        <v>755</v>
      </c>
    </row>
    <row r="25" spans="1:17" ht="20.100000000000001" customHeight="1" x14ac:dyDescent="0.25">
      <c r="A25" s="5" t="str">
        <f>HYPERLINK("#'5.1.1.3-4 Inorganic fert CO2'!A1", "5.1.1.3-4 Inorganic fert CO2")</f>
        <v>5.1.1.3-4 Inorganic fert CO2</v>
      </c>
      <c r="D25" s="35" t="str">
        <f>Table_FuelTypesPerUse[[#Headers],[Generators]]</f>
        <v>Generators</v>
      </c>
      <c r="E25" s="201" t="str">
        <f>'Constants - Fuel'!$D$58</f>
        <v>Automotive gasoline / petrol (other than for use as fuel in an aircraft)</v>
      </c>
      <c r="F25" s="201" t="str">
        <f>'Constants - Fuel'!D131</f>
        <v>Petrol</v>
      </c>
      <c r="G25" s="25">
        <f>IFERROR(_xlfn.XLOOKUP($E25, Table_Fuel_EFs_StationaryLiquid[Fuel combusted], Table_Fuel_EFs_StationaryLiquid[Energy Content Factor (GJ per unit of fuel)]),0)</f>
        <v>34.200000000000003</v>
      </c>
      <c r="H25" s="25">
        <f>IFERROR(_xlfn.XLOOKUP($E25, Table_Fuel_EFs_StationaryLiquid[Fuel combusted], Table_Fuel_EFs_StationaryLiquid[Scope 1 Emission Factor (kg CO2 - e / GJ) CO2]),0)</f>
        <v>67.400000000000006</v>
      </c>
      <c r="I25" s="25">
        <f>IFERROR(_xlfn.XLOOKUP($E25, Table_Fuel_EFs_StationaryLiquid[Fuel combusted], Table_Fuel_EFs_StationaryLiquid[Scope 1 Emission Factor (kg CO2 - e / GJ) CH4]),0)</f>
        <v>0.2</v>
      </c>
      <c r="J25" s="25">
        <f>IFERROR(_xlfn.XLOOKUP($E25, Table_Fuel_EFs_StationaryLiquid[Fuel combusted], Table_Fuel_EFs_StationaryLiquid[Scope 1 Emission Factor (kg CO2 - e / GJ) N2O]),0)</f>
        <v>0.2</v>
      </c>
      <c r="K25" s="25">
        <f>IFERROR(_xlfn.XLOOKUP($E25, Table_Fuel_EFs_StationaryLiquid[Fuel combusted], Table_Fuel_EFs_StationaryLiquid[Scope 3 Emission Factor (kg CO2 - e / GJ)]),0)</f>
        <v>17.2</v>
      </c>
      <c r="L25" s="181" cm="1">
        <f t="array" ref="L25">Fuel_InputFunctions.Fuel_TotalConsumption(Table_Input_Fuel[Amount consumed], Table_Input_Fuel[Fuel use (select)], D25, Table_Input_Fuel[Fuel type (select)],F25)</f>
        <v>0</v>
      </c>
      <c r="M25" s="181" t="str" cm="1">
        <f t="array" ref="M25">Common_InputFunctions.Utility_LookupValueInTable(F25,Table_FuelTypes_Units[Fuel type],Table_FuelTypes_Units[Unit])</f>
        <v>kL</v>
      </c>
      <c r="N25" s="223" cm="1">
        <f t="array" ref="N25">Fuel_Equations.VEERG_8_2_1_1__1_FuelCombustionStationary($L25,$G25,H25)</f>
        <v>0</v>
      </c>
      <c r="O25" s="223" cm="1">
        <f t="array" ref="O25">Fuel_Equations.VEERG_8_2_1_1__1_FuelCombustionStationary($L25,$G25,I25)</f>
        <v>0</v>
      </c>
      <c r="P25" s="223" cm="1">
        <f t="array" ref="P25">Fuel_Equations.VEERG_8_2_1_1__1_FuelCombustionStationary($L25,$G25,J25)</f>
        <v>0</v>
      </c>
      <c r="Q25" s="223" cm="1">
        <f t="array" ref="Q25">Fuel_Equations.VEERG_8_2_1_1__1_FuelCombustionStationary($L25,$G25,IF(ISNUMBER(K25), K25, 0))</f>
        <v>0</v>
      </c>
    </row>
    <row r="26" spans="1:17" ht="20.100000000000001" customHeight="1" x14ac:dyDescent="0.25">
      <c r="A26" s="5" t="str">
        <f>HYPERLINK("#'5.2.1.1-2 Organic Fert N2O'!A1", "5.2.1.1-2 Organic fert N2O")</f>
        <v>5.2.1.1-2 Organic fert N2O</v>
      </c>
      <c r="D26" s="203" t="str">
        <f t="shared" ref="D26:D31" si="0">$D$25</f>
        <v>Generators</v>
      </c>
      <c r="E26" s="201" t="str">
        <f>'Constants - Fuel'!$D$63</f>
        <v>Diesel oil</v>
      </c>
      <c r="F26" s="201" t="str">
        <f>'Constants - Fuel'!D132</f>
        <v>Diesel</v>
      </c>
      <c r="G26" s="25">
        <f>IFERROR(_xlfn.XLOOKUP($E26, Table_Fuel_EFs_StationaryLiquid[Fuel combusted], Table_Fuel_EFs_StationaryLiquid[Energy Content Factor (GJ per unit of fuel)]),0)</f>
        <v>38.6</v>
      </c>
      <c r="H26" s="25">
        <f>IFERROR(_xlfn.XLOOKUP($E26, Table_Fuel_EFs_StationaryLiquid[Fuel combusted], Table_Fuel_EFs_StationaryLiquid[Scope 1 Emission Factor (kg CO2 - e / GJ) CO2]),0)</f>
        <v>69.900000000000006</v>
      </c>
      <c r="I26" s="25">
        <f>IFERROR(_xlfn.XLOOKUP($E26, Table_Fuel_EFs_StationaryLiquid[Fuel combusted], Table_Fuel_EFs_StationaryLiquid[Scope 1 Emission Factor (kg CO2 - e / GJ) CH4]),0)</f>
        <v>0.1</v>
      </c>
      <c r="J26" s="25">
        <f>IFERROR(_xlfn.XLOOKUP($E26, Table_Fuel_EFs_StationaryLiquid[Fuel combusted], Table_Fuel_EFs_StationaryLiquid[Scope 1 Emission Factor (kg CO2 - e / GJ) N2O]),0)</f>
        <v>0.2</v>
      </c>
      <c r="K26" s="25">
        <f>IFERROR(_xlfn.XLOOKUP($E26, Table_Fuel_EFs_StationaryLiquid[Fuel combusted], Table_Fuel_EFs_StationaryLiquid[Scope 3 Emission Factor (kg CO2 - e / GJ)]),0)</f>
        <v>17.3</v>
      </c>
      <c r="L26" s="181" cm="1">
        <f t="array" ref="L26">Fuel_InputFunctions.Fuel_TotalConsumption(Table_Input_Fuel[Amount consumed], Table_Input_Fuel[Fuel use (select)], D26, Table_Input_Fuel[Fuel type (select)],F26)</f>
        <v>0</v>
      </c>
      <c r="M26" s="181" t="str" cm="1">
        <f t="array" ref="M26">Common_InputFunctions.Utility_LookupValueInTable(F26,Table_FuelTypes_Units[Fuel type],Table_FuelTypes_Units[Unit])</f>
        <v>kL</v>
      </c>
      <c r="N26" s="223" cm="1">
        <f t="array" ref="N26">Fuel_Equations.VEERG_8_2_1_1__1_FuelCombustionStationary($L26,$G26,H26)</f>
        <v>0</v>
      </c>
      <c r="O26" s="223" cm="1">
        <f t="array" ref="O26">Fuel_Equations.VEERG_8_2_1_1__1_FuelCombustionStationary($L26,$G26,I26)</f>
        <v>0</v>
      </c>
      <c r="P26" s="223" cm="1">
        <f t="array" ref="P26">Fuel_Equations.VEERG_8_2_1_1__1_FuelCombustionStationary($L26,$G26,J26)</f>
        <v>0</v>
      </c>
      <c r="Q26" s="223" cm="1">
        <f t="array" ref="Q26">Fuel_Equations.VEERG_8_2_1_1__1_FuelCombustionStationary($L26,$G26,IF(ISNUMBER(K26), K26, 0))</f>
        <v>0</v>
      </c>
    </row>
    <row r="27" spans="1:17" ht="20.100000000000001" customHeight="1" x14ac:dyDescent="0.25">
      <c r="A27" s="5" t="str">
        <f>HYPERLINK("#'5.3.1.1-2 Lime CO2'!A1", "5.3.1.1-2 Lime CO2")</f>
        <v>5.3.1.1-2 Lime CO2</v>
      </c>
      <c r="D27" s="203" t="str">
        <f t="shared" si="0"/>
        <v>Generators</v>
      </c>
      <c r="E27" s="201" t="str">
        <f>'Constants - Fuel'!$D$67</f>
        <v>Liquefied petroleum gas (LPG)</v>
      </c>
      <c r="F27" s="201" t="str">
        <f>'Constants - Fuel'!D133</f>
        <v>Liquefied petroleum gas (LPG)</v>
      </c>
      <c r="G27" s="25">
        <f>IFERROR(_xlfn.XLOOKUP($E27, Table_Fuel_EFs_StationaryLiquid[Fuel combusted], Table_Fuel_EFs_StationaryLiquid[Energy Content Factor (GJ per unit of fuel)]),0)</f>
        <v>25.7</v>
      </c>
      <c r="H27" s="25">
        <f>IFERROR(_xlfn.XLOOKUP($E27, Table_Fuel_EFs_StationaryLiquid[Fuel combusted], Table_Fuel_EFs_StationaryLiquid[Scope 1 Emission Factor (kg CO2 - e / GJ) CO2]),0)</f>
        <v>60.2</v>
      </c>
      <c r="I27" s="25">
        <f>IFERROR(_xlfn.XLOOKUP($E27, Table_Fuel_EFs_StationaryLiquid[Fuel combusted], Table_Fuel_EFs_StationaryLiquid[Scope 1 Emission Factor (kg CO2 - e / GJ) CH4]),0)</f>
        <v>0.2</v>
      </c>
      <c r="J27" s="25">
        <f>IFERROR(_xlfn.XLOOKUP($E27, Table_Fuel_EFs_StationaryLiquid[Fuel combusted], Table_Fuel_EFs_StationaryLiquid[Scope 1 Emission Factor (kg CO2 - e / GJ) N2O]),0)</f>
        <v>0.2</v>
      </c>
      <c r="K27" s="25">
        <f>IFERROR(_xlfn.XLOOKUP($E27, Table_Fuel_EFs_StationaryLiquid[Fuel combusted], Table_Fuel_EFs_StationaryLiquid[Scope 3 Emission Factor (kg CO2 - e / GJ)]),0)</f>
        <v>20.2</v>
      </c>
      <c r="L27" s="181" cm="1">
        <f t="array" ref="L27">Fuel_InputFunctions.Fuel_TotalConsumption(Table_Input_Fuel[Amount consumed], Table_Input_Fuel[Fuel use (select)], D27, Table_Input_Fuel[Fuel type (select)],F27)</f>
        <v>0</v>
      </c>
      <c r="M27" s="181" t="str" cm="1">
        <f t="array" ref="M27">Common_InputFunctions.Utility_LookupValueInTable(F27,Table_FuelTypes_Units[Fuel type],Table_FuelTypes_Units[Unit])</f>
        <v>kL</v>
      </c>
      <c r="N27" s="223" cm="1">
        <f t="array" ref="N27">Fuel_Equations.VEERG_8_2_1_1__1_FuelCombustionStationary($L27,$G27,H27)</f>
        <v>0</v>
      </c>
      <c r="O27" s="223" cm="1">
        <f t="array" ref="O27">Fuel_Equations.VEERG_8_2_1_1__1_FuelCombustionStationary($L27,$G27,I27)</f>
        <v>0</v>
      </c>
      <c r="P27" s="223" cm="1">
        <f t="array" ref="P27">Fuel_Equations.VEERG_8_2_1_1__1_FuelCombustionStationary($L27,$G27,J27)</f>
        <v>0</v>
      </c>
      <c r="Q27" s="223" cm="1">
        <f t="array" ref="Q27">Fuel_Equations.VEERG_8_2_1_1__1_FuelCombustionStationary($L27,$G27,IF(ISNUMBER(K27), K27, 0))</f>
        <v>0</v>
      </c>
    </row>
    <row r="28" spans="1:17" ht="20.100000000000001" customHeight="1" x14ac:dyDescent="0.25">
      <c r="A28" s="5" t="str">
        <f>HYPERLINK("#'5.4.1.1-4 Atmos deposition'!A1", "5.4.1.1-4 Atmos. deposition")</f>
        <v>5.4.1.1-4 Atmos. deposition</v>
      </c>
      <c r="D28" s="203" t="str">
        <f t="shared" si="0"/>
        <v>Generators</v>
      </c>
      <c r="E28" s="201" t="str">
        <f>'Constants - Fuel'!$D$73</f>
        <v>Biodiesel</v>
      </c>
      <c r="F28" s="201" t="str">
        <f>'Constants - Fuel'!D134</f>
        <v>Biodiesel</v>
      </c>
      <c r="G28" s="25">
        <f>IFERROR(_xlfn.XLOOKUP($E28, Table_Fuel_EFs_StationaryLiquid[Fuel combusted], Table_Fuel_EFs_StationaryLiquid[Energy Content Factor (GJ per unit of fuel)]),0)</f>
        <v>34.6</v>
      </c>
      <c r="H28" s="25">
        <f>IFERROR(_xlfn.XLOOKUP($E28, Table_Fuel_EFs_StationaryLiquid[Fuel combusted], Table_Fuel_EFs_StationaryLiquid[Scope 1 Emission Factor (kg CO2 - e / GJ) CO2]),0)</f>
        <v>0</v>
      </c>
      <c r="I28" s="25">
        <f>IFERROR(_xlfn.XLOOKUP($E28, Table_Fuel_EFs_StationaryLiquid[Fuel combusted], Table_Fuel_EFs_StationaryLiquid[Scope 1 Emission Factor (kg CO2 - e / GJ) CH4]),0)</f>
        <v>0.08</v>
      </c>
      <c r="J28" s="25">
        <f>IFERROR(_xlfn.XLOOKUP($E28, Table_Fuel_EFs_StationaryLiquid[Fuel combusted], Table_Fuel_EFs_StationaryLiquid[Scope 1 Emission Factor (kg CO2 - e / GJ) N2O]),0)</f>
        <v>0.2</v>
      </c>
      <c r="K28" s="25" t="str">
        <f>IFERROR(_xlfn.XLOOKUP($E28, Table_Fuel_EFs_StationaryLiquid[Fuel combusted], Table_Fuel_EFs_StationaryLiquid[Scope 3 Emission Factor (kg CO2 - e / GJ)]),0)</f>
        <v>NE</v>
      </c>
      <c r="L28" s="181" cm="1">
        <f t="array" ref="L28">Fuel_InputFunctions.Fuel_TotalConsumption(Table_Input_Fuel[Amount consumed], Table_Input_Fuel[Fuel use (select)], D28, Table_Input_Fuel[Fuel type (select)],F28)</f>
        <v>0</v>
      </c>
      <c r="M28" s="181" t="str" cm="1">
        <f t="array" ref="M28">Common_InputFunctions.Utility_LookupValueInTable(F28,Table_FuelTypes_Units[Fuel type],Table_FuelTypes_Units[Unit])</f>
        <v>kL</v>
      </c>
      <c r="N28" s="223" cm="1">
        <f t="array" ref="N28">Fuel_Equations.VEERG_8_2_1_1__1_FuelCombustionStationary($L28,$G28,H28)</f>
        <v>0</v>
      </c>
      <c r="O28" s="223" cm="1">
        <f t="array" ref="O28">Fuel_Equations.VEERG_8_2_1_1__1_FuelCombustionStationary($L28,$G28,I28)</f>
        <v>0</v>
      </c>
      <c r="P28" s="223" cm="1">
        <f t="array" ref="P28">Fuel_Equations.VEERG_8_2_1_1__1_FuelCombustionStationary($L28,$G28,J28)</f>
        <v>0</v>
      </c>
      <c r="Q28" s="223" cm="1">
        <f t="array" ref="Q28">Fuel_Equations.VEERG_8_2_1_1__1_FuelCombustionStationary($L28,$G28,IF(ISNUMBER(K28), K28, 0))</f>
        <v>0</v>
      </c>
    </row>
    <row r="29" spans="1:17" ht="20.100000000000001" customHeight="1" x14ac:dyDescent="0.25">
      <c r="A29" s="5" t="str">
        <f>HYPERLINK("#'5.5.1.1-2 Leaching and runoff'!A1", "5.5.1.1-2 Leaching &amp; runoff")</f>
        <v>5.5.1.1-2 Leaching &amp; runoff</v>
      </c>
      <c r="D29" s="203" t="str">
        <f t="shared" si="0"/>
        <v>Generators</v>
      </c>
      <c r="E29" s="201" t="str">
        <f>'Constants - Fuel'!$D$74</f>
        <v>Ethanol for use as a fuel in an internal combustion engine</v>
      </c>
      <c r="F29" s="201" t="str">
        <f>'Constants - Fuel'!D135</f>
        <v>Ethanol</v>
      </c>
      <c r="G29" s="25">
        <f>IFERROR(_xlfn.XLOOKUP($E29, Table_Fuel_EFs_StationaryLiquid[Fuel combusted], Table_Fuel_EFs_StationaryLiquid[Energy Content Factor (GJ per unit of fuel)]),0)</f>
        <v>23.4</v>
      </c>
      <c r="H29" s="25">
        <f>IFERROR(_xlfn.XLOOKUP($E29, Table_Fuel_EFs_StationaryLiquid[Fuel combusted], Table_Fuel_EFs_StationaryLiquid[Scope 1 Emission Factor (kg CO2 - e / GJ) CO2]),0)</f>
        <v>0</v>
      </c>
      <c r="I29" s="25">
        <f>IFERROR(_xlfn.XLOOKUP($E29, Table_Fuel_EFs_StationaryLiquid[Fuel combusted], Table_Fuel_EFs_StationaryLiquid[Scope 1 Emission Factor (kg CO2 - e / GJ) CH4]),0)</f>
        <v>0.08</v>
      </c>
      <c r="J29" s="25">
        <f>IFERROR(_xlfn.XLOOKUP($E29, Table_Fuel_EFs_StationaryLiquid[Fuel combusted], Table_Fuel_EFs_StationaryLiquid[Scope 1 Emission Factor (kg CO2 - e / GJ) N2O]),0)</f>
        <v>0.2</v>
      </c>
      <c r="K29" s="25" t="str">
        <f>IFERROR(_xlfn.XLOOKUP($E29, Table_Fuel_EFs_StationaryLiquid[Fuel combusted], Table_Fuel_EFs_StationaryLiquid[Scope 3 Emission Factor (kg CO2 - e / GJ)]),0)</f>
        <v>NE</v>
      </c>
      <c r="L29" s="181" cm="1">
        <f t="array" ref="L29">Fuel_InputFunctions.Fuel_TotalConsumption(Table_Input_Fuel[Amount consumed], Table_Input_Fuel[Fuel use (select)], D29, Table_Input_Fuel[Fuel type (select)],F29)</f>
        <v>0</v>
      </c>
      <c r="M29" s="181" t="str" cm="1">
        <f t="array" ref="M29">Common_InputFunctions.Utility_LookupValueInTable(F29,Table_FuelTypes_Units[Fuel type],Table_FuelTypes_Units[Unit])</f>
        <v>kL</v>
      </c>
      <c r="N29" s="223" cm="1">
        <f t="array" ref="N29">Fuel_Equations.VEERG_8_2_1_1__1_FuelCombustionStationary($L29,$G29,H29)</f>
        <v>0</v>
      </c>
      <c r="O29" s="223" cm="1">
        <f t="array" ref="O29">Fuel_Equations.VEERG_8_2_1_1__1_FuelCombustionStationary($L29,$G29,I29)</f>
        <v>0</v>
      </c>
      <c r="P29" s="223" cm="1">
        <f t="array" ref="P29">Fuel_Equations.VEERG_8_2_1_1__1_FuelCombustionStationary($L29,$G29,J29)</f>
        <v>0</v>
      </c>
      <c r="Q29" s="223" cm="1">
        <f t="array" ref="Q29">Fuel_Equations.VEERG_8_2_1_1__1_FuelCombustionStationary($L29,$G29,IF(ISNUMBER(K29), K29, 0))</f>
        <v>0</v>
      </c>
    </row>
    <row r="30" spans="1:17" ht="20.100000000000001" customHeight="1" x14ac:dyDescent="0.25">
      <c r="A30" s="5" t="str">
        <f>HYPERLINK("#'6.2.1.1-2 Pasture residue N2O'!A1", "6.2.1.1-2 Pasture residue N2O")</f>
        <v>6.2.1.1-2 Pasture residue N2O</v>
      </c>
      <c r="D30" s="203" t="str">
        <f t="shared" si="0"/>
        <v>Generators</v>
      </c>
      <c r="E30" s="201" t="str">
        <f>'Constants - Fuel'!$D$75</f>
        <v>Biofuels other than those mentioned in the items above and below</v>
      </c>
      <c r="F30" s="201" t="str">
        <f>'Constants - Fuel'!D136</f>
        <v>Other biofuels</v>
      </c>
      <c r="G30" s="25">
        <f>IFERROR(_xlfn.XLOOKUP($E30, Table_Fuel_EFs_StationaryLiquid[Fuel combusted], Table_Fuel_EFs_StationaryLiquid[Energy Content Factor (GJ per unit of fuel)]),0)</f>
        <v>23.4</v>
      </c>
      <c r="H30" s="25">
        <f>IFERROR(_xlfn.XLOOKUP($E30, Table_Fuel_EFs_StationaryLiquid[Fuel combusted], Table_Fuel_EFs_StationaryLiquid[Scope 1 Emission Factor (kg CO2 - e / GJ) CO2]),0)</f>
        <v>0</v>
      </c>
      <c r="I30" s="25">
        <f>IFERROR(_xlfn.XLOOKUP($E30, Table_Fuel_EFs_StationaryLiquid[Fuel combusted], Table_Fuel_EFs_StationaryLiquid[Scope 1 Emission Factor (kg CO2 - e / GJ) CH4]),0)</f>
        <v>0.08</v>
      </c>
      <c r="J30" s="25">
        <f>IFERROR(_xlfn.XLOOKUP($E30, Table_Fuel_EFs_StationaryLiquid[Fuel combusted], Table_Fuel_EFs_StationaryLiquid[Scope 1 Emission Factor (kg CO2 - e / GJ) N2O]),0)</f>
        <v>0.2</v>
      </c>
      <c r="K30" s="25" t="str">
        <f>IFERROR(_xlfn.XLOOKUP($E30, Table_Fuel_EFs_StationaryLiquid[Fuel combusted], Table_Fuel_EFs_StationaryLiquid[Scope 3 Emission Factor (kg CO2 - e / GJ)]),0)</f>
        <v>NE</v>
      </c>
      <c r="L30" s="181" cm="1">
        <f t="array" ref="L30">Fuel_InputFunctions.Fuel_TotalConsumption(Table_Input_Fuel[Amount consumed], Table_Input_Fuel[Fuel use (select)], D30, Table_Input_Fuel[Fuel type (select)],F30)</f>
        <v>0</v>
      </c>
      <c r="M30" s="181" t="str" cm="1">
        <f t="array" ref="M30">Common_InputFunctions.Utility_LookupValueInTable(F30,Table_FuelTypes_Units[Fuel type],Table_FuelTypes_Units[Unit])</f>
        <v>kL</v>
      </c>
      <c r="N30" s="223" cm="1">
        <f t="array" ref="N30">Fuel_Equations.VEERG_8_2_1_1__1_FuelCombustionStationary($L30,$G30,H30)</f>
        <v>0</v>
      </c>
      <c r="O30" s="223" cm="1">
        <f t="array" ref="O30">Fuel_Equations.VEERG_8_2_1_1__1_FuelCombustionStationary($L30,$G30,I30)</f>
        <v>0</v>
      </c>
      <c r="P30" s="223" cm="1">
        <f t="array" ref="P30">Fuel_Equations.VEERG_8_2_1_1__1_FuelCombustionStationary($L30,$G30,J30)</f>
        <v>0</v>
      </c>
      <c r="Q30" s="223" cm="1">
        <f t="array" ref="Q30">Fuel_Equations.VEERG_8_2_1_1__1_FuelCombustionStationary($L30,$G30,IF(ISNUMBER(K30), K30, 0))</f>
        <v>0</v>
      </c>
    </row>
    <row r="31" spans="1:17" ht="20.100000000000001" customHeight="1" x14ac:dyDescent="0.25">
      <c r="A31" s="5" t="str">
        <f>HYPERLINK("#'6.3.1.1-2 Leach runoff pasture'!A1", "6.3.1.1-2 Leach &amp; runoff (pasture)")</f>
        <v>6.3.1.1-2 Leach &amp; runoff (pasture)</v>
      </c>
      <c r="D31" s="203" t="str">
        <f t="shared" si="0"/>
        <v>Generators</v>
      </c>
      <c r="E31" s="201" t="str">
        <f>'Constants - Fuel'!$D$77</f>
        <v>Renewable diesel</v>
      </c>
      <c r="F31" s="201" t="str">
        <f>'Constants - Fuel'!D137</f>
        <v>Renewable diesel</v>
      </c>
      <c r="G31" s="199">
        <f>IFERROR(_xlfn.XLOOKUP($E31, Table_Fuel_EFs_StationaryLiquid[Fuel combusted], Table_Fuel_EFs_StationaryLiquid[Energy Content Factor (GJ per unit of fuel)]),0)</f>
        <v>38.6</v>
      </c>
      <c r="H31" s="199">
        <f>IFERROR(_xlfn.XLOOKUP($E31, Table_Fuel_EFs_StationaryLiquid[Fuel combusted], Table_Fuel_EFs_StationaryLiquid[Scope 1 Emission Factor (kg CO2 - e / GJ) CO2]),0)</f>
        <v>0</v>
      </c>
      <c r="I31" s="199">
        <f>IFERROR(_xlfn.XLOOKUP($E31, Table_Fuel_EFs_StationaryLiquid[Fuel combusted], Table_Fuel_EFs_StationaryLiquid[Scope 1 Emission Factor (kg CO2 - e / GJ) CH4]),0)</f>
        <v>0.1</v>
      </c>
      <c r="J31" s="199">
        <f>IFERROR(_xlfn.XLOOKUP($E31, Table_Fuel_EFs_StationaryLiquid[Fuel combusted], Table_Fuel_EFs_StationaryLiquid[Scope 1 Emission Factor (kg CO2 - e / GJ) N2O]),0)</f>
        <v>0.2</v>
      </c>
      <c r="K31" s="199" t="str">
        <f>IFERROR(_xlfn.XLOOKUP($E31, Table_Fuel_EFs_StationaryLiquid[Fuel combusted], Table_Fuel_EFs_StationaryLiquid[Scope 3 Emission Factor (kg CO2 - e / GJ)]),0)</f>
        <v>NE</v>
      </c>
      <c r="L31" s="204" cm="1">
        <f t="array" ref="L31">Fuel_InputFunctions.Fuel_TotalConsumption(Table_Input_Fuel[Amount consumed], Table_Input_Fuel[Fuel use (select)], D31, Table_Input_Fuel[Fuel type (select)],F31)</f>
        <v>0</v>
      </c>
      <c r="M31" s="204" t="str" cm="1">
        <f t="array" ref="M31">Common_InputFunctions.Utility_LookupValueInTable(F31,Table_FuelTypes_Units[Fuel type],Table_FuelTypes_Units[Unit])</f>
        <v>kL</v>
      </c>
      <c r="N31" s="224" cm="1">
        <f t="array" ref="N31">Fuel_Equations.VEERG_8_2_1_1__1_FuelCombustionStationary($L31,$G31,H31)</f>
        <v>0</v>
      </c>
      <c r="O31" s="224" cm="1">
        <f t="array" ref="O31">Fuel_Equations.VEERG_8_2_1_1__1_FuelCombustionStationary($L31,$G31,I31)</f>
        <v>0</v>
      </c>
      <c r="P31" s="224" cm="1">
        <f t="array" ref="P31">Fuel_Equations.VEERG_8_2_1_1__1_FuelCombustionStationary($L31,$G31,J31)</f>
        <v>0</v>
      </c>
      <c r="Q31" s="224" cm="1">
        <f t="array" ref="Q31">Fuel_Equations.VEERG_8_2_1_1__1_FuelCombustionStationary($L31,$G31,IF(ISNUMBER(K31), K31, 0))</f>
        <v>0</v>
      </c>
    </row>
    <row r="32" spans="1:17" ht="20.100000000000001" customHeight="1" x14ac:dyDescent="0.25">
      <c r="A32" s="5" t="str">
        <f>HYPERLINK("#'8.1.1.1-2 Transport fuel'!A1", "8.1.1.1-2 Transport fuel")</f>
        <v>8.1.1.1-2 Transport fuel</v>
      </c>
      <c r="D32" s="206" t="str">
        <f>Table_FuelTypesPerUse[[#Headers],[Power standalone machinery or heating]]</f>
        <v>Power standalone machinery or heating</v>
      </c>
      <c r="E32" s="207" t="str">
        <f>'Constants - Fuel'!$D$58</f>
        <v>Automotive gasoline / petrol (other than for use as fuel in an aircraft)</v>
      </c>
      <c r="F32" s="207" t="str">
        <f>'Constants - Fuel'!E131</f>
        <v>Petrol</v>
      </c>
      <c r="G32" s="214">
        <f>IFERROR(_xlfn.XLOOKUP($E32, Table_Fuel_EFs_StationaryLiquid[Fuel combusted], Table_Fuel_EFs_StationaryLiquid[Energy Content Factor (GJ per unit of fuel)]),0)</f>
        <v>34.200000000000003</v>
      </c>
      <c r="H32" s="214">
        <f>IFERROR(_xlfn.XLOOKUP($E32, Table_Fuel_EFs_StationaryLiquid[Fuel combusted], Table_Fuel_EFs_StationaryLiquid[Scope 1 Emission Factor (kg CO2 - e / GJ) CO2]),0)</f>
        <v>67.400000000000006</v>
      </c>
      <c r="I32" s="214">
        <f>IFERROR(_xlfn.XLOOKUP($E32, Table_Fuel_EFs_StationaryLiquid[Fuel combusted], Table_Fuel_EFs_StationaryLiquid[Scope 1 Emission Factor (kg CO2 - e / GJ) CH4]),0)</f>
        <v>0.2</v>
      </c>
      <c r="J32" s="214">
        <f>IFERROR(_xlfn.XLOOKUP($E32, Table_Fuel_EFs_StationaryLiquid[Fuel combusted], Table_Fuel_EFs_StationaryLiquid[Scope 1 Emission Factor (kg CO2 - e / GJ) N2O]),0)</f>
        <v>0.2</v>
      </c>
      <c r="K32" s="214">
        <f>IFERROR(_xlfn.XLOOKUP($E32, Table_Fuel_EFs_StationaryLiquid[Fuel combusted], Table_Fuel_EFs_StationaryLiquid[Scope 3 Emission Factor (kg CO2 - e / GJ)]),0)</f>
        <v>17.2</v>
      </c>
      <c r="L32" s="210" cm="1">
        <f t="array" ref="L32">Fuel_InputFunctions.Fuel_TotalConsumption(Table_Input_Fuel[Amount consumed], Table_Input_Fuel[Fuel use (select)], D32, Table_Input_Fuel[Fuel type (select)],F32)</f>
        <v>10</v>
      </c>
      <c r="M32" s="211" t="str" cm="1">
        <f t="array" ref="M32">Common_InputFunctions.Utility_LookupValueInTable(F32,Table_FuelTypes_Units[Fuel type],Table_FuelTypes_Units[Unit])</f>
        <v>kL</v>
      </c>
      <c r="N32" s="225" cm="1">
        <f t="array" ref="N32">Fuel_Equations.VEERG_8_2_1_1__1_FuelCombustionStationary($L32,$G32,H32)</f>
        <v>23.050800000000002</v>
      </c>
      <c r="O32" s="225" cm="1">
        <f t="array" ref="O32">Fuel_Equations.VEERG_8_2_1_1__1_FuelCombustionStationary($L32,$G32,I32)</f>
        <v>6.8400000000000002E-2</v>
      </c>
      <c r="P32" s="225" cm="1">
        <f t="array" ref="P32">Fuel_Equations.VEERG_8_2_1_1__1_FuelCombustionStationary($L32,$G32,J32)</f>
        <v>6.8400000000000002E-2</v>
      </c>
      <c r="Q32" s="225" cm="1">
        <f t="array" ref="Q32">Fuel_Equations.VEERG_8_2_1_1__1_FuelCombustionStationary($L32,$G32,IF(ISNUMBER(K32), K32, 0))</f>
        <v>5.8823999999999996</v>
      </c>
    </row>
    <row r="33" spans="1:17" ht="20.100000000000001" customHeight="1" x14ac:dyDescent="0.25">
      <c r="A33" s="106" t="str">
        <f>HYPERLINK("#'8.2.1.1-2 Stationary fuel'!A1", "8.2.1.1-2 Stationary fuel")</f>
        <v>8.2.1.1-2 Stationary fuel</v>
      </c>
      <c r="D33" s="203" t="str">
        <f t="shared" ref="D33:D40" si="1">$D$32</f>
        <v>Power standalone machinery or heating</v>
      </c>
      <c r="E33" s="201" t="str">
        <f>'Constants - Fuel'!$D$63</f>
        <v>Diesel oil</v>
      </c>
      <c r="F33" s="201" t="str">
        <f>'Constants - Fuel'!E132</f>
        <v>Diesel</v>
      </c>
      <c r="G33" s="25">
        <f>IFERROR(_xlfn.XLOOKUP($E33, Table_Fuel_EFs_StationaryLiquid[Fuel combusted], Table_Fuel_EFs_StationaryLiquid[Energy Content Factor (GJ per unit of fuel)]),0)</f>
        <v>38.6</v>
      </c>
      <c r="H33" s="25">
        <f>IFERROR(_xlfn.XLOOKUP($E33, Table_Fuel_EFs_StationaryLiquid[Fuel combusted], Table_Fuel_EFs_StationaryLiquid[Scope 1 Emission Factor (kg CO2 - e / GJ) CO2]),0)</f>
        <v>69.900000000000006</v>
      </c>
      <c r="I33" s="25">
        <f>IFERROR(_xlfn.XLOOKUP($E33, Table_Fuel_EFs_StationaryLiquid[Fuel combusted], Table_Fuel_EFs_StationaryLiquid[Scope 1 Emission Factor (kg CO2 - e / GJ) CH4]),0)</f>
        <v>0.1</v>
      </c>
      <c r="J33" s="25">
        <f>IFERROR(_xlfn.XLOOKUP($E33, Table_Fuel_EFs_StationaryLiquid[Fuel combusted], Table_Fuel_EFs_StationaryLiquid[Scope 1 Emission Factor (kg CO2 - e / GJ) N2O]),0)</f>
        <v>0.2</v>
      </c>
      <c r="K33" s="25">
        <f>IFERROR(_xlfn.XLOOKUP($E33, Table_Fuel_EFs_StationaryLiquid[Fuel combusted], Table_Fuel_EFs_StationaryLiquid[Scope 3 Emission Factor (kg CO2 - e / GJ)]),0)</f>
        <v>17.3</v>
      </c>
      <c r="L33" s="25" cm="1">
        <f t="array" ref="L33">Fuel_InputFunctions.Fuel_TotalConsumption(Table_Input_Fuel[Amount consumed], Table_Input_Fuel[Fuel use (select)], D33, Table_Input_Fuel[Fuel type (select)],F33)</f>
        <v>0</v>
      </c>
      <c r="M33" s="25" t="str" cm="1">
        <f t="array" ref="M33">Common_InputFunctions.Utility_LookupValueInTable(F33,Table_FuelTypes_Units[Fuel type],Table_FuelTypes_Units[Unit])</f>
        <v>kL</v>
      </c>
      <c r="N33" s="223" cm="1">
        <f t="array" ref="N33">Fuel_Equations.VEERG_8_2_1_1__1_FuelCombustionStationary($L33,$G33,H33)</f>
        <v>0</v>
      </c>
      <c r="O33" s="223" cm="1">
        <f t="array" ref="O33">Fuel_Equations.VEERG_8_2_1_1__1_FuelCombustionStationary($L33,$G33,I33)</f>
        <v>0</v>
      </c>
      <c r="P33" s="223" cm="1">
        <f t="array" ref="P33">Fuel_Equations.VEERG_8_2_1_1__1_FuelCombustionStationary($L33,$G33,J33)</f>
        <v>0</v>
      </c>
      <c r="Q33" s="223" cm="1">
        <f t="array" ref="Q33">Fuel_Equations.VEERG_8_2_1_1__1_FuelCombustionStationary($L33,$G33,IF(ISNUMBER(K33), K33, 0))</f>
        <v>0</v>
      </c>
    </row>
    <row r="34" spans="1:17" ht="20.100000000000001" customHeight="1" x14ac:dyDescent="0.25">
      <c r="A34" s="5" t="str">
        <f>HYPERLINK("#'14.1.1-2 Purchased electricity'!A1", "14.1.1-2 Purchased electricity")</f>
        <v>14.1.1-2 Purchased electricity</v>
      </c>
      <c r="D34" s="203" t="str">
        <f t="shared" si="1"/>
        <v>Power standalone machinery or heating</v>
      </c>
      <c r="E34" s="201" t="str">
        <f>'Constants - Fuel'!$D$67</f>
        <v>Liquefied petroleum gas (LPG)</v>
      </c>
      <c r="F34" s="201" t="str">
        <f>'Constants - Fuel'!E133</f>
        <v>Liquefied petroleum gas (LPG)</v>
      </c>
      <c r="G34" s="25">
        <f>IFERROR(_xlfn.XLOOKUP($E34, Table_Fuel_EFs_StationaryLiquid[Fuel combusted], Table_Fuel_EFs_StationaryLiquid[Energy Content Factor (GJ per unit of fuel)]),0)</f>
        <v>25.7</v>
      </c>
      <c r="H34" s="25">
        <f>IFERROR(_xlfn.XLOOKUP($E34, Table_Fuel_EFs_StationaryLiquid[Fuel combusted], Table_Fuel_EFs_StationaryLiquid[Scope 1 Emission Factor (kg CO2 - e / GJ) CO2]),0)</f>
        <v>60.2</v>
      </c>
      <c r="I34" s="25">
        <f>IFERROR(_xlfn.XLOOKUP($E34, Table_Fuel_EFs_StationaryLiquid[Fuel combusted], Table_Fuel_EFs_StationaryLiquid[Scope 1 Emission Factor (kg CO2 - e / GJ) CH4]),0)</f>
        <v>0.2</v>
      </c>
      <c r="J34" s="25">
        <f>IFERROR(_xlfn.XLOOKUP($E34, Table_Fuel_EFs_StationaryLiquid[Fuel combusted], Table_Fuel_EFs_StationaryLiquid[Scope 1 Emission Factor (kg CO2 - e / GJ) N2O]),0)</f>
        <v>0.2</v>
      </c>
      <c r="K34" s="25">
        <f>IFERROR(_xlfn.XLOOKUP($E34, Table_Fuel_EFs_StationaryLiquid[Fuel combusted], Table_Fuel_EFs_StationaryLiquid[Scope 3 Emission Factor (kg CO2 - e / GJ)]),0)</f>
        <v>20.2</v>
      </c>
      <c r="L34" s="25" cm="1">
        <f t="array" ref="L34">Fuel_InputFunctions.Fuel_TotalConsumption(Table_Input_Fuel[Amount consumed], Table_Input_Fuel[Fuel use (select)], D34, Table_Input_Fuel[Fuel type (select)],F34)</f>
        <v>0</v>
      </c>
      <c r="M34" s="25" t="str" cm="1">
        <f t="array" ref="M34">Common_InputFunctions.Utility_LookupValueInTable(F34,Table_FuelTypes_Units[Fuel type],Table_FuelTypes_Units[Unit])</f>
        <v>kL</v>
      </c>
      <c r="N34" s="223" cm="1">
        <f t="array" ref="N34">Fuel_Equations.VEERG_8_2_1_1__1_FuelCombustionStationary($L34,$G34,H34)</f>
        <v>0</v>
      </c>
      <c r="O34" s="223" cm="1">
        <f t="array" ref="O34">Fuel_Equations.VEERG_8_2_1_1__1_FuelCombustionStationary($L34,$G34,I34)</f>
        <v>0</v>
      </c>
      <c r="P34" s="223" cm="1">
        <f t="array" ref="P34">Fuel_Equations.VEERG_8_2_1_1__1_FuelCombustionStationary($L34,$G34,J34)</f>
        <v>0</v>
      </c>
      <c r="Q34" s="223" cm="1">
        <f t="array" ref="Q34">Fuel_Equations.VEERG_8_2_1_1__1_FuelCombustionStationary($L34,$G34,IF(ISNUMBER(K34), K34, 0))</f>
        <v>0</v>
      </c>
    </row>
    <row r="35" spans="1:17" ht="20.100000000000001" customHeight="1" x14ac:dyDescent="0.25">
      <c r="D35" s="203" t="str">
        <f t="shared" si="1"/>
        <v>Power standalone machinery or heating</v>
      </c>
      <c r="E35" s="201" t="str">
        <f>'Constants - Fuel'!$D$73</f>
        <v>Biodiesel</v>
      </c>
      <c r="F35" s="201" t="str">
        <f>'Constants - Fuel'!E134</f>
        <v>Biodiesel</v>
      </c>
      <c r="G35" s="25">
        <f>IFERROR(_xlfn.XLOOKUP($E35, Table_Fuel_EFs_StationaryLiquid[Fuel combusted], Table_Fuel_EFs_StationaryLiquid[Energy Content Factor (GJ per unit of fuel)]),0)</f>
        <v>34.6</v>
      </c>
      <c r="H35" s="25">
        <f>IFERROR(_xlfn.XLOOKUP($E35, Table_Fuel_EFs_StationaryLiquid[Fuel combusted], Table_Fuel_EFs_StationaryLiquid[Scope 1 Emission Factor (kg CO2 - e / GJ) CO2]),0)</f>
        <v>0</v>
      </c>
      <c r="I35" s="25">
        <f>IFERROR(_xlfn.XLOOKUP($E35, Table_Fuel_EFs_StationaryLiquid[Fuel combusted], Table_Fuel_EFs_StationaryLiquid[Scope 1 Emission Factor (kg CO2 - e / GJ) CH4]),0)</f>
        <v>0.08</v>
      </c>
      <c r="J35" s="25">
        <f>IFERROR(_xlfn.XLOOKUP($E35, Table_Fuel_EFs_StationaryLiquid[Fuel combusted], Table_Fuel_EFs_StationaryLiquid[Scope 1 Emission Factor (kg CO2 - e / GJ) N2O]),0)</f>
        <v>0.2</v>
      </c>
      <c r="K35" s="25" t="str">
        <f>IFERROR(_xlfn.XLOOKUP($E35, Table_Fuel_EFs_StationaryLiquid[Fuel combusted], Table_Fuel_EFs_StationaryLiquid[Scope 3 Emission Factor (kg CO2 - e / GJ)]),0)</f>
        <v>NE</v>
      </c>
      <c r="L35" s="25" cm="1">
        <f t="array" ref="L35">Fuel_InputFunctions.Fuel_TotalConsumption(Table_Input_Fuel[Amount consumed], Table_Input_Fuel[Fuel use (select)], D35, Table_Input_Fuel[Fuel type (select)],F35)</f>
        <v>0</v>
      </c>
      <c r="M35" s="25" t="str" cm="1">
        <f t="array" ref="M35">Common_InputFunctions.Utility_LookupValueInTable(F35,Table_FuelTypes_Units[Fuel type],Table_FuelTypes_Units[Unit])</f>
        <v>kL</v>
      </c>
      <c r="N35" s="223" cm="1">
        <f t="array" ref="N35">Fuel_Equations.VEERG_8_2_1_1__1_FuelCombustionStationary($L35,$G35,H35)</f>
        <v>0</v>
      </c>
      <c r="O35" s="223" cm="1">
        <f t="array" ref="O35">Fuel_Equations.VEERG_8_2_1_1__1_FuelCombustionStationary($L35,$G35,I35)</f>
        <v>0</v>
      </c>
      <c r="P35" s="223" cm="1">
        <f t="array" ref="P35">Fuel_Equations.VEERG_8_2_1_1__1_FuelCombustionStationary($L35,$G35,J35)</f>
        <v>0</v>
      </c>
      <c r="Q35" s="223" cm="1">
        <f t="array" ref="Q35">Fuel_Equations.VEERG_8_2_1_1__1_FuelCombustionStationary($L35,$G35,IF(ISNUMBER(K35), K35, 0))</f>
        <v>0</v>
      </c>
    </row>
    <row r="36" spans="1:17" ht="20.100000000000001" customHeight="1" x14ac:dyDescent="0.25">
      <c r="D36" s="203" t="str">
        <f t="shared" si="1"/>
        <v>Power standalone machinery or heating</v>
      </c>
      <c r="E36" s="201" t="str">
        <f>'Constants - Fuel'!$D$74</f>
        <v>Ethanol for use as a fuel in an internal combustion engine</v>
      </c>
      <c r="F36" s="201" t="str">
        <f>'Constants - Fuel'!E135</f>
        <v>Ethanol</v>
      </c>
      <c r="G36" s="25">
        <f>IFERROR(_xlfn.XLOOKUP($E36, Table_Fuel_EFs_StationaryLiquid[Fuel combusted], Table_Fuel_EFs_StationaryLiquid[Energy Content Factor (GJ per unit of fuel)]),0)</f>
        <v>23.4</v>
      </c>
      <c r="H36" s="25">
        <f>IFERROR(_xlfn.XLOOKUP($E36, Table_Fuel_EFs_StationaryLiquid[Fuel combusted], Table_Fuel_EFs_StationaryLiquid[Scope 1 Emission Factor (kg CO2 - e / GJ) CO2]),0)</f>
        <v>0</v>
      </c>
      <c r="I36" s="25">
        <f>IFERROR(_xlfn.XLOOKUP($E36, Table_Fuel_EFs_StationaryLiquid[Fuel combusted], Table_Fuel_EFs_StationaryLiquid[Scope 1 Emission Factor (kg CO2 - e / GJ) CH4]),0)</f>
        <v>0.08</v>
      </c>
      <c r="J36" s="25">
        <f>IFERROR(_xlfn.XLOOKUP($E36, Table_Fuel_EFs_StationaryLiquid[Fuel combusted], Table_Fuel_EFs_StationaryLiquid[Scope 1 Emission Factor (kg CO2 - e / GJ) N2O]),0)</f>
        <v>0.2</v>
      </c>
      <c r="K36" s="25" t="str">
        <f>IFERROR(_xlfn.XLOOKUP($E36, Table_Fuel_EFs_StationaryLiquid[Fuel combusted], Table_Fuel_EFs_StationaryLiquid[Scope 3 Emission Factor (kg CO2 - e / GJ)]),0)</f>
        <v>NE</v>
      </c>
      <c r="L36" s="25" cm="1">
        <f t="array" ref="L36">Fuel_InputFunctions.Fuel_TotalConsumption(Table_Input_Fuel[Amount consumed], Table_Input_Fuel[Fuel use (select)], D36, Table_Input_Fuel[Fuel type (select)],F36)</f>
        <v>0</v>
      </c>
      <c r="M36" s="25" t="str" cm="1">
        <f t="array" ref="M36">Common_InputFunctions.Utility_LookupValueInTable(F36,Table_FuelTypes_Units[Fuel type],Table_FuelTypes_Units[Unit])</f>
        <v>kL</v>
      </c>
      <c r="N36" s="223" cm="1">
        <f t="array" ref="N36">Fuel_Equations.VEERG_8_2_1_1__1_FuelCombustionStationary($L36,$G36,H36)</f>
        <v>0</v>
      </c>
      <c r="O36" s="223" cm="1">
        <f t="array" ref="O36">Fuel_Equations.VEERG_8_2_1_1__1_FuelCombustionStationary($L36,$G36,I36)</f>
        <v>0</v>
      </c>
      <c r="P36" s="223" cm="1">
        <f t="array" ref="P36">Fuel_Equations.VEERG_8_2_1_1__1_FuelCombustionStationary($L36,$G36,J36)</f>
        <v>0</v>
      </c>
      <c r="Q36" s="223" cm="1">
        <f t="array" ref="Q36">Fuel_Equations.VEERG_8_2_1_1__1_FuelCombustionStationary($L36,$G36,IF(ISNUMBER(K36), K36, 0))</f>
        <v>0</v>
      </c>
    </row>
    <row r="37" spans="1:17" ht="20.100000000000001" customHeight="1" x14ac:dyDescent="0.25">
      <c r="A37" s="251" t="s">
        <v>1</v>
      </c>
      <c r="D37" s="203" t="str">
        <f t="shared" si="1"/>
        <v>Power standalone machinery or heating</v>
      </c>
      <c r="E37" s="201" t="str">
        <f>'Constants - Fuel'!$D$75</f>
        <v>Biofuels other than those mentioned in the items above and below</v>
      </c>
      <c r="F37" s="201" t="str">
        <f>'Constants - Fuel'!E136</f>
        <v>Other biofuels</v>
      </c>
      <c r="G37" s="25">
        <f>IFERROR(_xlfn.XLOOKUP($E37, Table_Fuel_EFs_StationaryLiquid[Fuel combusted], Table_Fuel_EFs_StationaryLiquid[Energy Content Factor (GJ per unit of fuel)]),0)</f>
        <v>23.4</v>
      </c>
      <c r="H37" s="25">
        <f>IFERROR(_xlfn.XLOOKUP($E37, Table_Fuel_EFs_StationaryLiquid[Fuel combusted], Table_Fuel_EFs_StationaryLiquid[Scope 1 Emission Factor (kg CO2 - e / GJ) CO2]),0)</f>
        <v>0</v>
      </c>
      <c r="I37" s="25">
        <f>IFERROR(_xlfn.XLOOKUP($E37, Table_Fuel_EFs_StationaryLiquid[Fuel combusted], Table_Fuel_EFs_StationaryLiquid[Scope 1 Emission Factor (kg CO2 - e / GJ) CH4]),0)</f>
        <v>0.08</v>
      </c>
      <c r="J37" s="25">
        <f>IFERROR(_xlfn.XLOOKUP($E37, Table_Fuel_EFs_StationaryLiquid[Fuel combusted], Table_Fuel_EFs_StationaryLiquid[Scope 1 Emission Factor (kg CO2 - e / GJ) N2O]),0)</f>
        <v>0.2</v>
      </c>
      <c r="K37" s="25" t="str">
        <f>IFERROR(_xlfn.XLOOKUP($E37, Table_Fuel_EFs_StationaryLiquid[Fuel combusted], Table_Fuel_EFs_StationaryLiquid[Scope 3 Emission Factor (kg CO2 - e / GJ)]),0)</f>
        <v>NE</v>
      </c>
      <c r="L37" s="25" cm="1">
        <f t="array" ref="L37">Fuel_InputFunctions.Fuel_TotalConsumption(Table_Input_Fuel[Amount consumed], Table_Input_Fuel[Fuel use (select)], D37, Table_Input_Fuel[Fuel type (select)],F37)</f>
        <v>0</v>
      </c>
      <c r="M37" s="25" t="str" cm="1">
        <f t="array" ref="M37">Common_InputFunctions.Utility_LookupValueInTable(F37,Table_FuelTypes_Units[Fuel type],Table_FuelTypes_Units[Unit])</f>
        <v>kL</v>
      </c>
      <c r="N37" s="223" cm="1">
        <f t="array" ref="N37">Fuel_Equations.VEERG_8_2_1_1__1_FuelCombustionStationary($L37,$G37,H37)</f>
        <v>0</v>
      </c>
      <c r="O37" s="223" cm="1">
        <f t="array" ref="O37">Fuel_Equations.VEERG_8_2_1_1__1_FuelCombustionStationary($L37,$G37,I37)</f>
        <v>0</v>
      </c>
      <c r="P37" s="223" cm="1">
        <f t="array" ref="P37">Fuel_Equations.VEERG_8_2_1_1__1_FuelCombustionStationary($L37,$G37,J37)</f>
        <v>0</v>
      </c>
      <c r="Q37" s="223" cm="1">
        <f t="array" ref="Q37">Fuel_Equations.VEERG_8_2_1_1__1_FuelCombustionStationary($L37,$G37,IF(ISNUMBER(K37), K37, 0))</f>
        <v>0</v>
      </c>
    </row>
    <row r="38" spans="1:17" ht="20.100000000000001" customHeight="1" x14ac:dyDescent="0.25">
      <c r="A38" s="5" t="str">
        <f>HYPERLINK("#'Constants - Pasture Beef'!A1", "Constants - Pasture Beef")</f>
        <v>Constants - Pasture Beef</v>
      </c>
      <c r="D38" s="203" t="str">
        <f t="shared" si="1"/>
        <v>Power standalone machinery or heating</v>
      </c>
      <c r="E38" s="201" t="str">
        <f>'Constants - Fuel'!$D$77</f>
        <v>Renewable diesel</v>
      </c>
      <c r="F38" s="201" t="str">
        <f>'Constants - Fuel'!E137</f>
        <v>Renewable diesel</v>
      </c>
      <c r="G38" s="25">
        <f>IFERROR(_xlfn.XLOOKUP($E38, Table_Fuel_EFs_StationaryLiquid[Fuel combusted], Table_Fuel_EFs_StationaryLiquid[Energy Content Factor (GJ per unit of fuel)]),0)</f>
        <v>38.6</v>
      </c>
      <c r="H38" s="25">
        <f>IFERROR(_xlfn.XLOOKUP($E38, Table_Fuel_EFs_StationaryLiquid[Fuel combusted], Table_Fuel_EFs_StationaryLiquid[Scope 1 Emission Factor (kg CO2 - e / GJ) CO2]),0)</f>
        <v>0</v>
      </c>
      <c r="I38" s="25">
        <f>IFERROR(_xlfn.XLOOKUP($E38, Table_Fuel_EFs_StationaryLiquid[Fuel combusted], Table_Fuel_EFs_StationaryLiquid[Scope 1 Emission Factor (kg CO2 - e / GJ) CH4]),0)</f>
        <v>0.1</v>
      </c>
      <c r="J38" s="25">
        <f>IFERROR(_xlfn.XLOOKUP($E38, Table_Fuel_EFs_StationaryLiquid[Fuel combusted], Table_Fuel_EFs_StationaryLiquid[Scope 1 Emission Factor (kg CO2 - e / GJ) N2O]),0)</f>
        <v>0.2</v>
      </c>
      <c r="K38" s="25" t="str">
        <f>IFERROR(_xlfn.XLOOKUP($E38, Table_Fuel_EFs_StationaryLiquid[Fuel combusted], Table_Fuel_EFs_StationaryLiquid[Scope 3 Emission Factor (kg CO2 - e / GJ)]),0)</f>
        <v>NE</v>
      </c>
      <c r="L38" s="25" cm="1">
        <f t="array" ref="L38">Fuel_InputFunctions.Fuel_TotalConsumption(Table_Input_Fuel[Amount consumed], Table_Input_Fuel[Fuel use (select)], D38, Table_Input_Fuel[Fuel type (select)],F38)</f>
        <v>0</v>
      </c>
      <c r="M38" s="25" t="str" cm="1">
        <f t="array" ref="M38">Common_InputFunctions.Utility_LookupValueInTable(F38,Table_FuelTypes_Units[Fuel type],Table_FuelTypes_Units[Unit])</f>
        <v>kL</v>
      </c>
      <c r="N38" s="223" cm="1">
        <f t="array" ref="N38">Fuel_Equations.VEERG_8_2_1_1__1_FuelCombustionStationary($L38,$G38,H38)</f>
        <v>0</v>
      </c>
      <c r="O38" s="223" cm="1">
        <f t="array" ref="O38">Fuel_Equations.VEERG_8_2_1_1__1_FuelCombustionStationary($L38,$G38,I38)</f>
        <v>0</v>
      </c>
      <c r="P38" s="223" cm="1">
        <f t="array" ref="P38">Fuel_Equations.VEERG_8_2_1_1__1_FuelCombustionStationary($L38,$G38,J38)</f>
        <v>0</v>
      </c>
      <c r="Q38" s="223" cm="1">
        <f t="array" ref="Q38">Fuel_Equations.VEERG_8_2_1_1__1_FuelCombustionStationary($L38,$G38,IF(ISNUMBER(K38), K38, 0))</f>
        <v>0</v>
      </c>
    </row>
    <row r="39" spans="1:17" ht="20.100000000000001" customHeight="1" x14ac:dyDescent="0.25">
      <c r="A39" s="5" t="str">
        <f>HYPERLINK("#'Constants - Ag Residue'!A1", "Constants - Ag residue")</f>
        <v>Constants - Ag residue</v>
      </c>
      <c r="D39" s="203" t="str">
        <f t="shared" si="1"/>
        <v>Power standalone machinery or heating</v>
      </c>
      <c r="E39" s="201" t="str">
        <f>'Constants - Fuel'!$D$103</f>
        <v>Natural gas distributed in a pipeline - Gigajoules</v>
      </c>
      <c r="F39" s="201" t="str">
        <f>'Constants - Fuel'!E138</f>
        <v>Natural gas (via pipeline) in GJ</v>
      </c>
      <c r="G39" s="25">
        <f>IFERROR(_xlfn.XLOOKUP($E39, Table_Fuel_EFs_StationaryGaseous[Fuel combusted], Table_Fuel_EFs_StationaryGaseous[Energy Content Factor (GJ per unit of fuel)]),0)</f>
        <v>1</v>
      </c>
      <c r="H39" s="25">
        <f>IFERROR(_xlfn.XLOOKUP($E39, Table_Fuel_EFs_StationaryGaseous[Fuel combusted], Table_Fuel_EFs_StationaryGaseous[Scope 1 Emission Factor (kg CO2 - e / GJ) CO2]),0)</f>
        <v>51.4</v>
      </c>
      <c r="I39" s="25">
        <f>IFERROR(_xlfn.XLOOKUP($E39, Table_Fuel_EFs_StationaryGaseous[Fuel combusted], Table_Fuel_EFs_StationaryGaseous[Scope 1 Emission Factor (kg CO2 - e / GJ) CH4]),0)</f>
        <v>0.1</v>
      </c>
      <c r="J39" s="25">
        <f>IFERROR(_xlfn.XLOOKUP($E39, Table_Fuel_EFs_StationaryGaseous[Fuel combusted], Table_Fuel_EFs_StationaryGaseous[Scope 1 Emission Factor (kg CO2 - e / GJ) N2O]),0)</f>
        <v>0.03</v>
      </c>
      <c r="K39" s="25" cm="1">
        <f t="array" ref="K39">IFERROR(Common_InputFunctions.Utility_LookupValueInTableOneColumnAndHeader($P$17,$P$18,Table_Fuel_EFs_StationaryGaseous34[State or territory],Table_Fuel_EFs_StationaryGaseous34[#Headers],Table_Fuel_EFs_StationaryGaseous34[#Data]),0)</f>
        <v>4.0999999999999996</v>
      </c>
      <c r="L39" s="181" cm="1">
        <f t="array" ref="L39">Fuel_InputFunctions.Fuel_TotalConsumption(Table_Input_Fuel[Amount consumed], Table_Input_Fuel[Fuel use (select)], D39, Table_Input_Fuel[Fuel type (select)],F39)</f>
        <v>0</v>
      </c>
      <c r="M39" s="181" t="str" cm="1">
        <f t="array" ref="M39">Common_InputFunctions.Utility_LookupValueInTable(F39,Table_FuelTypes_Units[Fuel type],Table_FuelTypes_Units[Unit])</f>
        <v>GJ</v>
      </c>
      <c r="N39" s="223" cm="1">
        <f t="array" ref="N39">Fuel_Equations.VEERG_8_2_1_1__1_FuelCombustionStationary($L39,$G39,H39)</f>
        <v>0</v>
      </c>
      <c r="O39" s="223" cm="1">
        <f t="array" ref="O39">Fuel_Equations.VEERG_8_2_1_1__1_FuelCombustionStationary($L39,$G39,I39)</f>
        <v>0</v>
      </c>
      <c r="P39" s="223" cm="1">
        <f t="array" ref="P39">Fuel_Equations.VEERG_8_2_1_1__1_FuelCombustionStationary($L39,$G39,J39)</f>
        <v>0</v>
      </c>
      <c r="Q39" s="223" cm="1">
        <f t="array" ref="Q39">Fuel_Equations.VEERG_8_2_1_1__1_FuelCombustionStationary($L39,$G39,IF(ISNUMBER(K39), K39, 0))</f>
        <v>0</v>
      </c>
    </row>
    <row r="40" spans="1:17" ht="20.100000000000001" customHeight="1" x14ac:dyDescent="0.25">
      <c r="A40" s="5" t="str">
        <f>HYPERLINK("#'Constants - Common Livestock'!A1", "Constants - Common Livestock")</f>
        <v>Constants - Common Livestock</v>
      </c>
      <c r="D40" s="203" t="str">
        <f t="shared" si="1"/>
        <v>Power standalone machinery or heating</v>
      </c>
      <c r="E40" s="201" t="str">
        <f>'Constants - Fuel'!$D$104</f>
        <v>Town gas - Gigajoules</v>
      </c>
      <c r="F40" s="201" t="str">
        <f>'Constants - Fuel'!E139</f>
        <v>Town gas in GJ</v>
      </c>
      <c r="G40" s="25">
        <f>IFERROR(_xlfn.XLOOKUP($E40, Table_Fuel_EFs_StationaryGaseous[Fuel combusted], Table_Fuel_EFs_StationaryGaseous[Energy Content Factor (GJ per unit of fuel)]),0)</f>
        <v>1</v>
      </c>
      <c r="H40" s="25">
        <f>IFERROR(_xlfn.XLOOKUP($E40, Table_Fuel_EFs_StationaryGaseous[Fuel combusted], Table_Fuel_EFs_StationaryGaseous[Scope 1 Emission Factor (kg CO2 - e / GJ) CO2]),0)</f>
        <v>60.2</v>
      </c>
      <c r="I40" s="25">
        <f>IFERROR(_xlfn.XLOOKUP($E40, Table_Fuel_EFs_StationaryGaseous[Fuel combusted], Table_Fuel_EFs_StationaryGaseous[Scope 1 Emission Factor (kg CO2 - e / GJ) CH4]),0)</f>
        <v>0.04</v>
      </c>
      <c r="J40" s="25">
        <f>IFERROR(_xlfn.XLOOKUP($E40, Table_Fuel_EFs_StationaryGaseous[Fuel combusted], Table_Fuel_EFs_StationaryGaseous[Scope 1 Emission Factor (kg CO2 - e / GJ) N2O]),0)</f>
        <v>0.03</v>
      </c>
      <c r="K40" s="25" cm="1">
        <f t="array" ref="K40">IFERROR(Common_InputFunctions.Utility_LookupValueInTableOneColumnAndHeader($P$17,$P$18,Table_Fuel_EFs_StationaryGaseous34[State or territory],Table_Fuel_EFs_StationaryGaseous34[#Headers],Table_Fuel_EFs_StationaryGaseous34[#Data]),0)</f>
        <v>4.0999999999999996</v>
      </c>
      <c r="L40" s="181" cm="1">
        <f t="array" ref="L40">Fuel_InputFunctions.Fuel_TotalConsumption(Table_Input_Fuel[Amount consumed], Table_Input_Fuel[Fuel use (select)], D40, Table_Input_Fuel[Fuel type (select)],F40)</f>
        <v>100</v>
      </c>
      <c r="M40" s="181" t="str" cm="1">
        <f t="array" ref="M40">Common_InputFunctions.Utility_LookupValueInTable(F40,Table_FuelTypes_Units[Fuel type],Table_FuelTypes_Units[Unit])</f>
        <v>GJ</v>
      </c>
      <c r="N40" s="223" cm="1">
        <f t="array" ref="N40">Fuel_Equations.VEERG_8_2_1_1__1_FuelCombustionStationary($L40,$G40,H40)</f>
        <v>6.0200000000000005</v>
      </c>
      <c r="O40" s="223" cm="1">
        <f t="array" ref="O40">Fuel_Equations.VEERG_8_2_1_1__1_FuelCombustionStationary($L40,$G40,I40)</f>
        <v>4.0000000000000001E-3</v>
      </c>
      <c r="P40" s="223" cm="1">
        <f t="array" ref="P40">Fuel_Equations.VEERG_8_2_1_1__1_FuelCombustionStationary($L40,$G40,J40)</f>
        <v>3.0000000000000001E-3</v>
      </c>
      <c r="Q40" s="223" cm="1">
        <f t="array" ref="Q40">Fuel_Equations.VEERG_8_2_1_1__1_FuelCombustionStationary($L40,$G40,IF(ISNUMBER(K40), K40, 0))</f>
        <v>0.41</v>
      </c>
    </row>
    <row r="41" spans="1:17" ht="20.100000000000001" customHeight="1" x14ac:dyDescent="0.25">
      <c r="A41" s="5" t="str">
        <f>HYPERLINK("#'Constants - Electricity'!A1", "Constants - Electricity")</f>
        <v>Constants - Electricity</v>
      </c>
    </row>
    <row r="42" spans="1:17" ht="20.100000000000001" customHeight="1" x14ac:dyDescent="0.25">
      <c r="A42" s="5" t="str">
        <f>HYPERLINK("#'Constants - Fertiliser'!A1", "Constants - Fertiliser")</f>
        <v>Constants - Fertiliser</v>
      </c>
      <c r="D42" s="216" t="str">
        <f>"Total scope 1 - " &amp; D25</f>
        <v>Total scope 1 - Generators</v>
      </c>
      <c r="E42" s="217"/>
      <c r="F42" s="218"/>
    </row>
    <row r="43" spans="1:17" ht="20.100000000000001" customHeight="1" x14ac:dyDescent="0.25">
      <c r="A43" s="5" t="str">
        <f>HYPERLINK("#'Constants - Fuel'!A1", "Constants - Fuel")</f>
        <v>Constants - Fuel</v>
      </c>
      <c r="D43" s="35" t="s">
        <v>742</v>
      </c>
      <c r="E43" s="219">
        <f>SUM(N25:N31)</f>
        <v>0</v>
      </c>
      <c r="F43" s="26" t="str">
        <f>$E$12</f>
        <v>t CO2-e</v>
      </c>
    </row>
    <row r="44" spans="1:17" ht="20.100000000000001" customHeight="1" x14ac:dyDescent="0.25">
      <c r="A44" s="5" t="str">
        <f>HYPERLINK("#'Constants - Common'!A1", "Constants - Common")</f>
        <v>Constants - Common</v>
      </c>
      <c r="D44" s="35" t="s">
        <v>743</v>
      </c>
      <c r="E44" s="219">
        <f>SUM(O25:O31)</f>
        <v>0</v>
      </c>
      <c r="F44" s="26" t="str">
        <f t="shared" ref="F44:F46" si="2">$E$12</f>
        <v>t CO2-e</v>
      </c>
    </row>
    <row r="45" spans="1:17" ht="20.100000000000001" customHeight="1" x14ac:dyDescent="0.25">
      <c r="A45" s="5" t="str">
        <f>HYPERLINK("#'Acknowledgements'!A1", "Acknowledgements")</f>
        <v>Acknowledgements</v>
      </c>
      <c r="D45" s="35" t="s">
        <v>744</v>
      </c>
      <c r="E45" s="219">
        <f>SUM(P25:P31)</f>
        <v>0</v>
      </c>
      <c r="F45" s="26" t="str">
        <f t="shared" si="2"/>
        <v>t CO2-e</v>
      </c>
    </row>
    <row r="46" spans="1:17" ht="20.100000000000001" customHeight="1" x14ac:dyDescent="0.25">
      <c r="A46" s="5" t="str">
        <f>HYPERLINK("#'Overview'!A1", "Overview")</f>
        <v>Overview</v>
      </c>
      <c r="D46" s="35" t="s">
        <v>745</v>
      </c>
      <c r="E46" s="219">
        <f>SUM(Q25:Q31)</f>
        <v>0</v>
      </c>
      <c r="F46" s="26" t="str">
        <f t="shared" si="2"/>
        <v>t CO2-e</v>
      </c>
    </row>
    <row r="47" spans="1:17" ht="20.100000000000001" customHeight="1" x14ac:dyDescent="0.25">
      <c r="H47" s="177"/>
      <c r="I47" s="177"/>
      <c r="J47" s="177"/>
      <c r="L47" s="177"/>
      <c r="N47" s="177"/>
      <c r="O47" s="177"/>
      <c r="P47" s="177"/>
      <c r="Q47" s="177"/>
    </row>
    <row r="48" spans="1:17" ht="20.100000000000001" customHeight="1" x14ac:dyDescent="0.25">
      <c r="D48" s="216" t="str">
        <f>"Total scope 1 - " &amp; D32</f>
        <v>Total scope 1 - Power standalone machinery or heating</v>
      </c>
      <c r="E48" s="220"/>
      <c r="F48" s="218"/>
      <c r="H48" s="177"/>
      <c r="I48" s="177"/>
      <c r="J48" s="177"/>
      <c r="L48" s="177"/>
      <c r="N48" s="177"/>
      <c r="O48" s="177"/>
      <c r="P48" s="177"/>
      <c r="Q48" s="177"/>
    </row>
    <row r="49" spans="4:17" ht="20.100000000000001" customHeight="1" x14ac:dyDescent="0.25">
      <c r="D49" s="35" t="s">
        <v>742</v>
      </c>
      <c r="E49" s="219">
        <f>SUM(N32:N40)</f>
        <v>29.070800000000002</v>
      </c>
      <c r="F49" s="26" t="str">
        <f t="shared" ref="F49:F52" si="3">$E$12</f>
        <v>t CO2-e</v>
      </c>
      <c r="H49" s="177"/>
      <c r="I49" s="177"/>
      <c r="J49" s="177"/>
      <c r="L49" s="177"/>
      <c r="N49" s="177"/>
      <c r="O49" s="177"/>
      <c r="P49" s="177"/>
      <c r="Q49" s="177"/>
    </row>
    <row r="50" spans="4:17" ht="20.100000000000001" customHeight="1" x14ac:dyDescent="0.25">
      <c r="D50" s="35" t="s">
        <v>743</v>
      </c>
      <c r="E50" s="219">
        <f>SUM(O32:O40)</f>
        <v>7.2400000000000006E-2</v>
      </c>
      <c r="F50" s="26" t="str">
        <f t="shared" si="3"/>
        <v>t CO2-e</v>
      </c>
      <c r="H50" s="177"/>
      <c r="I50" s="177"/>
      <c r="J50" s="177"/>
      <c r="L50" s="177"/>
      <c r="N50" s="177"/>
      <c r="O50" s="177"/>
      <c r="P50" s="177"/>
      <c r="Q50" s="177"/>
    </row>
    <row r="51" spans="4:17" ht="20.100000000000001" customHeight="1" x14ac:dyDescent="0.25">
      <c r="D51" s="35" t="s">
        <v>744</v>
      </c>
      <c r="E51" s="219">
        <f>SUM(P32:P40)</f>
        <v>7.1400000000000005E-2</v>
      </c>
      <c r="F51" s="26" t="str">
        <f t="shared" si="3"/>
        <v>t CO2-e</v>
      </c>
      <c r="H51" s="177"/>
      <c r="I51" s="177"/>
      <c r="J51" s="177"/>
      <c r="L51" s="177"/>
      <c r="N51" s="177"/>
      <c r="O51" s="177"/>
      <c r="P51" s="177"/>
      <c r="Q51" s="177"/>
    </row>
    <row r="52" spans="4:17" ht="20.100000000000001" customHeight="1" x14ac:dyDescent="0.25">
      <c r="D52" s="35" t="s">
        <v>745</v>
      </c>
      <c r="E52" s="219">
        <f>SUM(Q32:Q40)</f>
        <v>6.2923999999999998</v>
      </c>
      <c r="F52" s="26" t="str">
        <f t="shared" si="3"/>
        <v>t CO2-e</v>
      </c>
      <c r="G52" s="177"/>
      <c r="H52" s="177"/>
      <c r="I52" s="177"/>
      <c r="J52" s="177"/>
      <c r="L52" s="177"/>
      <c r="N52" s="177"/>
      <c r="O52" s="177"/>
      <c r="P52" s="177"/>
      <c r="Q52" s="177"/>
    </row>
    <row r="53" spans="4:17" ht="20.100000000000001" customHeight="1" x14ac:dyDescent="0.25">
      <c r="G53" s="177"/>
      <c r="H53" s="177"/>
      <c r="I53" s="177"/>
      <c r="J53" s="177"/>
      <c r="L53" s="177"/>
      <c r="N53" s="177"/>
      <c r="O53" s="177"/>
      <c r="P53" s="177"/>
      <c r="Q53" s="177"/>
    </row>
    <row r="54" spans="4:17" ht="20.100000000000001" customHeight="1" x14ac:dyDescent="0.25">
      <c r="D54" s="216" t="s">
        <v>756</v>
      </c>
      <c r="E54" s="220"/>
      <c r="F54" s="218"/>
      <c r="G54" s="177"/>
      <c r="H54" s="177"/>
      <c r="I54" s="177"/>
      <c r="J54" s="177"/>
      <c r="L54" s="177"/>
      <c r="N54" s="177"/>
      <c r="O54" s="177"/>
      <c r="P54" s="177"/>
      <c r="Q54" s="177"/>
    </row>
    <row r="55" spans="4:17" ht="20.100000000000001" customHeight="1" x14ac:dyDescent="0.25">
      <c r="D55" s="35" t="s">
        <v>742</v>
      </c>
      <c r="E55" s="219">
        <f>E43+E49</f>
        <v>29.070800000000002</v>
      </c>
      <c r="F55" s="26" t="str">
        <f t="shared" ref="F55:F58" si="4">$E$12</f>
        <v>t CO2-e</v>
      </c>
      <c r="G55" s="177"/>
      <c r="H55" s="177"/>
      <c r="I55" s="177"/>
      <c r="J55" s="177"/>
      <c r="L55" s="177"/>
      <c r="N55" s="177"/>
      <c r="O55" s="177"/>
      <c r="P55" s="177"/>
      <c r="Q55" s="177"/>
    </row>
    <row r="56" spans="4:17" ht="20.100000000000001" customHeight="1" x14ac:dyDescent="0.25">
      <c r="D56" s="35" t="s">
        <v>743</v>
      </c>
      <c r="E56" s="219">
        <f>E44+E50</f>
        <v>7.2400000000000006E-2</v>
      </c>
      <c r="F56" s="26" t="str">
        <f t="shared" si="4"/>
        <v>t CO2-e</v>
      </c>
      <c r="H56" s="177"/>
    </row>
    <row r="57" spans="4:17" ht="20.100000000000001" customHeight="1" x14ac:dyDescent="0.25">
      <c r="D57" s="35" t="s">
        <v>744</v>
      </c>
      <c r="E57" s="219">
        <f>E45+E51</f>
        <v>7.1400000000000005E-2</v>
      </c>
      <c r="F57" s="26" t="str">
        <f t="shared" si="4"/>
        <v>t CO2-e</v>
      </c>
      <c r="G57" s="177"/>
      <c r="H57" s="177"/>
      <c r="I57" s="177"/>
      <c r="J57" s="177"/>
      <c r="L57" s="177"/>
      <c r="N57" s="177"/>
      <c r="O57" s="177"/>
      <c r="P57" s="177"/>
      <c r="Q57" s="177"/>
    </row>
    <row r="58" spans="4:17" ht="20.100000000000001" customHeight="1" x14ac:dyDescent="0.25">
      <c r="D58" s="35" t="s">
        <v>745</v>
      </c>
      <c r="E58" s="219">
        <f>E46+E52</f>
        <v>6.2923999999999998</v>
      </c>
      <c r="F58" s="26" t="str">
        <f t="shared" si="4"/>
        <v>t CO2-e</v>
      </c>
      <c r="G58" s="177"/>
      <c r="H58" s="177"/>
      <c r="I58" s="177"/>
      <c r="J58" s="177"/>
      <c r="L58" s="177"/>
      <c r="N58" s="177"/>
      <c r="O58" s="177"/>
      <c r="P58" s="177"/>
      <c r="Q58" s="177"/>
    </row>
    <row r="59" spans="4:17" ht="20.100000000000001" customHeight="1" x14ac:dyDescent="0.25">
      <c r="G59" s="177"/>
      <c r="H59" s="177"/>
      <c r="I59" s="177"/>
      <c r="J59" s="177"/>
      <c r="L59" s="177"/>
      <c r="N59" s="177"/>
      <c r="O59" s="177"/>
      <c r="P59" s="177"/>
      <c r="Q59" s="177"/>
    </row>
    <row r="60" spans="4:17" ht="20.100000000000001" customHeight="1" x14ac:dyDescent="0.25">
      <c r="G60" s="177"/>
      <c r="H60" s="177"/>
      <c r="I60" s="177"/>
      <c r="J60" s="177"/>
      <c r="L60" s="177"/>
      <c r="N60" s="177"/>
      <c r="O60" s="177"/>
      <c r="P60" s="177"/>
      <c r="Q60" s="177"/>
    </row>
    <row r="61" spans="4:17" ht="20.100000000000001" customHeight="1" x14ac:dyDescent="0.25">
      <c r="G61" s="177"/>
      <c r="H61" s="177"/>
      <c r="I61" s="177"/>
      <c r="J61" s="177"/>
      <c r="L61" s="177"/>
      <c r="N61" s="177"/>
      <c r="O61" s="177"/>
      <c r="P61" s="177"/>
      <c r="Q61" s="177"/>
    </row>
    <row r="62" spans="4:17" ht="20.100000000000001" customHeight="1" x14ac:dyDescent="0.25">
      <c r="G62" s="177"/>
      <c r="H62" s="177"/>
      <c r="I62" s="177"/>
      <c r="J62" s="177"/>
      <c r="L62" s="177"/>
      <c r="N62" s="177"/>
      <c r="O62" s="177"/>
      <c r="P62" s="177"/>
      <c r="Q62" s="177"/>
    </row>
    <row r="63" spans="4:17" ht="20.100000000000001" customHeight="1" x14ac:dyDescent="0.25">
      <c r="G63" s="177"/>
      <c r="H63" s="177"/>
      <c r="I63" s="177"/>
      <c r="J63" s="177"/>
      <c r="L63" s="177"/>
      <c r="N63" s="177"/>
      <c r="O63" s="177"/>
      <c r="P63" s="177"/>
      <c r="Q63" s="177"/>
    </row>
    <row r="64" spans="4:17" ht="20.100000000000001" customHeight="1" x14ac:dyDescent="0.25">
      <c r="G64" s="177"/>
      <c r="H64" s="177"/>
      <c r="I64" s="177"/>
      <c r="J64" s="177"/>
      <c r="L64" s="177"/>
      <c r="N64" s="177"/>
      <c r="O64" s="177"/>
      <c r="P64" s="177"/>
      <c r="Q64" s="177"/>
    </row>
    <row r="65" spans="7:17" ht="20.100000000000001" customHeight="1" x14ac:dyDescent="0.25">
      <c r="G65" s="177"/>
      <c r="H65" s="177"/>
      <c r="I65" s="177"/>
      <c r="J65" s="177"/>
      <c r="L65" s="177"/>
      <c r="N65" s="177"/>
      <c r="O65" s="177"/>
      <c r="P65" s="177"/>
      <c r="Q65" s="177"/>
    </row>
    <row r="66" spans="7:17" ht="20.100000000000001" customHeight="1" x14ac:dyDescent="0.25">
      <c r="G66" s="177"/>
      <c r="H66" s="177"/>
      <c r="I66" s="177"/>
      <c r="J66" s="177"/>
      <c r="L66" s="177"/>
      <c r="N66" s="177"/>
      <c r="O66" s="177"/>
      <c r="P66" s="177"/>
      <c r="Q66" s="177"/>
    </row>
    <row r="67" spans="7:17" ht="20.100000000000001" customHeight="1" x14ac:dyDescent="0.25">
      <c r="G67" s="177"/>
    </row>
    <row r="68" spans="7:17" ht="20.100000000000001" customHeight="1" x14ac:dyDescent="0.25">
      <c r="G68" s="177"/>
    </row>
    <row r="69" spans="7:17" ht="20.100000000000001" customHeight="1" x14ac:dyDescent="0.25">
      <c r="G69" s="177"/>
    </row>
    <row r="70" spans="7:17" ht="20.100000000000001" customHeight="1" x14ac:dyDescent="0.25">
      <c r="G70" s="177"/>
    </row>
    <row r="71" spans="7:17" ht="20.100000000000001" customHeight="1" x14ac:dyDescent="0.25">
      <c r="G71" s="177"/>
    </row>
    <row r="72" spans="7:17" ht="20.100000000000001" customHeight="1" x14ac:dyDescent="0.25"/>
    <row r="73" spans="7:17" ht="20.100000000000001" customHeight="1" x14ac:dyDescent="0.25"/>
    <row r="74" spans="7:17" ht="20.100000000000001" customHeight="1" x14ac:dyDescent="0.25"/>
    <row r="75" spans="7:17" ht="20.100000000000001" customHeight="1" x14ac:dyDescent="0.25"/>
    <row r="76" spans="7:17" ht="20.100000000000001" customHeight="1" x14ac:dyDescent="0.25"/>
    <row r="77" spans="7:17" ht="20.100000000000001" customHeight="1" x14ac:dyDescent="0.25"/>
    <row r="78" spans="7:17" ht="20.100000000000001" customHeight="1" x14ac:dyDescent="0.25"/>
    <row r="79" spans="7:17" ht="20.100000000000001" customHeight="1" x14ac:dyDescent="0.25"/>
    <row r="80" spans="7:17"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BAF2D-CA8B-4BF0-8C08-3019F59D7205}">
  <dimension ref="A1:K342"/>
  <sheetViews>
    <sheetView showGridLines="0" topLeftCell="C16" zoomScaleNormal="100" workbookViewId="0">
      <selection activeCell="A46" sqref="A46"/>
    </sheetView>
  </sheetViews>
  <sheetFormatPr defaultRowHeight="15.75" x14ac:dyDescent="0.25"/>
  <cols>
    <col min="1" max="1" width="30.7109375" customWidth="1"/>
    <col min="2" max="2" width="4.7109375" customWidth="1"/>
    <col min="3" max="3" width="4.7109375" style="1" customWidth="1"/>
    <col min="4" max="4" width="46.28515625" style="1" customWidth="1"/>
    <col min="5" max="10" width="30.7109375" style="1" customWidth="1"/>
    <col min="11" max="11" width="4.7109375" style="1" customWidth="1"/>
  </cols>
  <sheetData>
    <row r="1" spans="1:11" s="31" customFormat="1" ht="30" customHeight="1" x14ac:dyDescent="0.35">
      <c r="A1" s="16" t="e" vm="1">
        <v>#VALUE!</v>
      </c>
      <c r="C1" s="31" t="s">
        <v>692</v>
      </c>
    </row>
    <row r="2" spans="1:11" s="3" customFormat="1" ht="20.100000000000001" customHeight="1" x14ac:dyDescent="0.25">
      <c r="A2"/>
    </row>
    <row r="3" spans="1:11" ht="20.100000000000001" customHeight="1" x14ac:dyDescent="0.25">
      <c r="A3" s="5" t="str">
        <f>HYPERLINK("#'Home'!A1", "Home")</f>
        <v>Home</v>
      </c>
      <c r="C3" s="33"/>
      <c r="D3" s="33" t="s">
        <v>149</v>
      </c>
      <c r="E3" s="33"/>
      <c r="F3" s="33"/>
      <c r="G3" s="33"/>
      <c r="H3" s="33"/>
      <c r="I3" s="33"/>
      <c r="J3" s="33"/>
      <c r="K3" s="33"/>
    </row>
    <row r="4" spans="1:11" ht="20.100000000000001" customHeight="1" x14ac:dyDescent="0.25">
      <c r="A4" s="5" t="str">
        <f>HYPERLINK("#'Results'!A1", "Results")</f>
        <v>Results</v>
      </c>
    </row>
    <row r="5" spans="1:11" ht="20.100000000000001" customHeight="1" x14ac:dyDescent="0.25">
      <c r="D5" s="2" t="str" cm="1">
        <f t="array" ref="D5">Electricity_Equations.VEERG_14_1_1__1_LocationBasedScopeElectricityEmissions_Title()</f>
        <v>Location-based Scope 2 emissions from purchased electricity</v>
      </c>
    </row>
    <row r="6" spans="1:11" ht="20.100000000000001" customHeight="1" x14ac:dyDescent="0.25">
      <c r="D6" s="27" t="str" cm="1">
        <f t="array" ref="D6">Electricity_Equations.VEERG_14_1_1__1_LocationBasedScopeElectricityEmissions_Source()</f>
        <v>VEERG 2026: 14.1.1, Equation (1)</v>
      </c>
    </row>
    <row r="7" spans="1:11" ht="20.100000000000001" customHeight="1" x14ac:dyDescent="0.25">
      <c r="A7" s="7" t="s">
        <v>0</v>
      </c>
      <c r="D7" s="36" t="str" cm="1">
        <f t="array" ref="D7">Electricity_Equations.VEERG_14_1_1__1_LocationBasedScopeElectricityEmissions_Variation()</f>
        <v>Added g variable to capture which grid electricity was purchased from</v>
      </c>
    </row>
    <row r="8" spans="1:11" ht="20.100000000000001" customHeight="1" x14ac:dyDescent="0.25">
      <c r="A8" s="5" t="str">
        <f>HYPERLINK("#'Input - Enterprise'!A1", "Enterprise")</f>
        <v>Enterprise</v>
      </c>
      <c r="D8" s="105" t="s">
        <v>261</v>
      </c>
      <c r="E8" s="105" t="str" cm="1">
        <f t="array" aca="1" ref="E8" ca="1">Common_InputFunctions.Utility_DisplayFunctionName(E18)</f>
        <v>=Electricity_Equations.VEERG_14_1_1__1_LocationBasedScopeElectricityEmissions</v>
      </c>
    </row>
    <row r="9" spans="1:11" ht="20.100000000000001" customHeight="1" x14ac:dyDescent="0.25">
      <c r="A9" s="5" t="str">
        <f>HYPERLINK("#'Input - Site'!A1", "Site")</f>
        <v>Site</v>
      </c>
    </row>
    <row r="10" spans="1:11" ht="20.100000000000001" customHeight="1" x14ac:dyDescent="0.25">
      <c r="A10" s="5" t="str">
        <f>HYPERLINK("#'Input - Pasture Beef'!A1", "Pasture Beef")</f>
        <v>Pasture Beef</v>
      </c>
    </row>
    <row r="11" spans="1:11" ht="20.100000000000001" customHeight="1" x14ac:dyDescent="0.25">
      <c r="A11" s="5" t="str">
        <f>HYPERLINK("#'Input - Pasture Beef (Enteric)'!A1", "Pasture Beef (Enteric)")</f>
        <v>Pasture Beef (Enteric)</v>
      </c>
      <c r="D11" s="88" t="s">
        <v>263</v>
      </c>
      <c r="E11" s="1" t="str" cm="1">
        <f t="array" ref="E11">Electricity_Equations.VEERG_14_1_1__1_LocationBasedScopeElectricityEmissions_Variable()</f>
        <v>E_2elec</v>
      </c>
    </row>
    <row r="12" spans="1:11" ht="20.100000000000001" customHeight="1" x14ac:dyDescent="0.25">
      <c r="A12" s="5" t="str">
        <f>HYPERLINK("#'Input - Pasture'!A1", "Pasture")</f>
        <v>Pasture</v>
      </c>
      <c r="D12" s="88" t="s">
        <v>130</v>
      </c>
      <c r="E12" s="15" t="str" cm="1">
        <f t="array" ref="E12">Electricity_Equations.VEERG_14_1_1__1_LocationBasedScopeElectricityEmissions_Unit()</f>
        <v>t CO2e</v>
      </c>
    </row>
    <row r="13" spans="1:11" ht="20.100000000000001" customHeight="1" x14ac:dyDescent="0.25">
      <c r="A13" s="5" t="str">
        <f>HYPERLINK("#'Input - Fertiliser'!A1", "Fertiliser")</f>
        <v>Fertiliser</v>
      </c>
    </row>
    <row r="14" spans="1:11" ht="20.100000000000001" customHeight="1" x14ac:dyDescent="0.25">
      <c r="A14" s="5" t="str">
        <f>HYPERLINK("#'Input - Fuel'!A1", "Fuel")</f>
        <v>Fuel</v>
      </c>
      <c r="D14" s="107" t="str" cm="1">
        <f t="array" ref="D14:E16">_xlfn.CHOOSECOLS(Electricity_Equations.VEERG_14_1_1__1_LocationBasedScopeElectricityEmissions_Arguments(),1,2)</f>
        <v>Q_elec</v>
      </c>
      <c r="E14" s="108" t="str">
        <v>amount of electricity purchased from the grid</v>
      </c>
      <c r="F14" s="110"/>
      <c r="G14" s="107" t="str" cm="1">
        <f t="array" ref="G14:H16">_xlfn.CHOOSECOLS(Electricity_Equations.VEERG_14_1_1__1_LocationBasedScopeElectricityEmissions_Arguments(),3,4)</f>
        <v>kWh</v>
      </c>
      <c r="H14" s="111" t="str">
        <v>Input</v>
      </c>
      <c r="I14" s="108">
        <f>X_Cell_Electricity_Location_AmountPurchasedInkWh</f>
        <v>30000</v>
      </c>
      <c r="J14" s="110"/>
    </row>
    <row r="15" spans="1:11" ht="20.100000000000001" customHeight="1" x14ac:dyDescent="0.25">
      <c r="A15" s="5" t="str">
        <f>HYPERLINK("#'Input - Electricity'!A1", "Electricity")</f>
        <v>Electricity</v>
      </c>
      <c r="D15" s="107" t="str">
        <v>EF_2elec</v>
      </c>
      <c r="E15" s="108" t="str">
        <v>location-based Scope 2 emission factor for electricity</v>
      </c>
      <c r="F15" s="110"/>
      <c r="G15" s="107" t="str">
        <v>kg CO2e/kWh</v>
      </c>
      <c r="H15" s="112" t="str">
        <v>Constant</v>
      </c>
      <c r="I15" s="108" cm="1">
        <f t="array" ref="I15">Common_InputFunctions.Utility_LookupValueInTableNumber(I16,Table_SourceData_ElectricityEFs[State, Territory or grid description],Table_SourceData_ElectricityEFs[Scope 2 Emission Factors (kg CO2-e/kWh)])</f>
        <v>0.56000000000000005</v>
      </c>
      <c r="J15" s="110"/>
    </row>
    <row r="16" spans="1:11" ht="20.100000000000001" customHeight="1" x14ac:dyDescent="0.25">
      <c r="D16" s="107" t="str">
        <v>g</v>
      </c>
      <c r="E16" s="108" t="str">
        <v>Grid electricity was purchased from</v>
      </c>
      <c r="F16" s="110"/>
      <c r="G16" s="107" t="str">
        <v/>
      </c>
      <c r="H16" s="111" t="str">
        <v>Input</v>
      </c>
      <c r="I16" s="108" t="str">
        <f>X_Cell_Electricity_Location_GridElectricityPurchasedFrom</f>
        <v>Western Australia - North Western Interconnected System (NWIS)</v>
      </c>
      <c r="J16" s="110"/>
    </row>
    <row r="17" spans="1:11" ht="20.100000000000001" customHeight="1" x14ac:dyDescent="0.25"/>
    <row r="18" spans="1:11" ht="20.100000000000001" customHeight="1" x14ac:dyDescent="0.25">
      <c r="A18" s="6" t="s">
        <v>2</v>
      </c>
      <c r="D18" s="119" t="s">
        <v>693</v>
      </c>
      <c r="E18" s="120" cm="1">
        <f t="array" ref="E18">Electricity_Equations.VEERG_14_1_1__1_LocationBasedScopeElectricityEmissions(I14,I15)</f>
        <v>16.8</v>
      </c>
      <c r="F18" s="121" t="str">
        <f>$E$12</f>
        <v>t CO2e</v>
      </c>
    </row>
    <row r="19" spans="1:11" ht="20.100000000000001" customHeight="1" x14ac:dyDescent="0.25">
      <c r="A19" s="5" t="str">
        <f>HYPERLINK("#'3.2.1.1-2 Enteric Methane'!A1", "3.2.1.1-2 Enteric methane")</f>
        <v>3.2.1.1-2 Enteric methane</v>
      </c>
    </row>
    <row r="20" spans="1:11" ht="20.100000000000001" customHeight="1" x14ac:dyDescent="0.25">
      <c r="A20" s="5" t="str">
        <f>HYPERLINK("#'4.2.1.1-2 Methane'!A1", "4.2.1.1-2 Manure methane")</f>
        <v>4.2.1.1-2 Manure methane</v>
      </c>
    </row>
    <row r="21" spans="1:11" ht="20.100000000000001" customHeight="1" x14ac:dyDescent="0.25">
      <c r="A21" s="5" t="str">
        <f>HYPERLINK("#'4.2.1.3-4 Soil direct N20'!A1", "4.2.1.3-4 Soil direct N2O")</f>
        <v>4.2.1.3-4 Soil direct N2O</v>
      </c>
      <c r="C21" s="118"/>
      <c r="D21" s="118"/>
      <c r="E21" s="118"/>
      <c r="F21" s="118"/>
      <c r="G21" s="118"/>
      <c r="H21" s="118"/>
      <c r="I21" s="118"/>
      <c r="J21" s="118"/>
      <c r="K21" s="118"/>
    </row>
    <row r="22" spans="1:11" ht="20.100000000000001" customHeight="1" x14ac:dyDescent="0.25">
      <c r="A22" s="5" t="str">
        <f>HYPERLINK("#'4.2.1.5-6 Soil Atmos Dep'!A1", "4.2.1.5-6 Soil atm. deposition")</f>
        <v>4.2.1.5-6 Soil atm. deposition</v>
      </c>
      <c r="D22" s="2" t="str" cm="1">
        <f t="array" ref="D22">Electricity_Equations.VEERG_14_1_2__1_MarketBasedScopeElectricityEmissions_Title()</f>
        <v>Market-based Scope 2 emissions from purchased electricity</v>
      </c>
    </row>
    <row r="23" spans="1:11" ht="20.100000000000001" customHeight="1" x14ac:dyDescent="0.25">
      <c r="A23" s="5" t="str">
        <f>HYPERLINK("#'4.2.1.7-8 Soil leach runoff'!A1", "4.2.1.7-8 Soil leach &amp; runoff")</f>
        <v>4.2.1.7-8 Soil leach &amp; runoff</v>
      </c>
      <c r="D23" s="27" t="str" cm="1">
        <f t="array" ref="D23">Electricity_Equations.VEERG_14_1_2__1_MarketBasedScopeElectricityEmissions_Source()</f>
        <v>VEERG 2026: 14.1.2, Equation (1)</v>
      </c>
    </row>
    <row r="24" spans="1:11" ht="20.100000000000001" customHeight="1" x14ac:dyDescent="0.25">
      <c r="A24" s="5" t="str">
        <f>HYPERLINK("#'5.1.1.1-2 Inorganic fert N2O'!A1", "5.1.1.1-2 Inorganic fert N2O")</f>
        <v>5.1.1.1-2 Inorganic fert N2O</v>
      </c>
      <c r="D24" s="36" t="str" cm="1">
        <f t="array" ref="D24">Electricity_Equations.VEERG_14_1_2__1_MarketBasedScopeElectricityEmissions_Variation()</f>
        <v>VARIATION ON SOURCE: In order to convert megawatt hours to kilowatt hours, the REC_surrendered and REC_onsite variables are multiplied by 10^3 instead of 10^-3.</v>
      </c>
    </row>
    <row r="25" spans="1:11" ht="20.100000000000001" customHeight="1" x14ac:dyDescent="0.25">
      <c r="A25" s="5" t="str">
        <f>HYPERLINK("#'5.1.1.3-4 Inorganic fert CO2'!A1", "5.1.1.3-4 Inorganic fert CO2")</f>
        <v>5.1.1.3-4 Inorganic fert CO2</v>
      </c>
      <c r="D25" s="105" t="s">
        <v>261</v>
      </c>
      <c r="E25" s="105" t="str" cm="1">
        <f t="array" aca="1" ref="E25" ca="1">Common_InputFunctions.Utility_DisplayFunctionName(E39)</f>
        <v>=Electricity_Equations.VEERG_14_1_2__1_MarketBasedScopeElectricityEmissionsVariation</v>
      </c>
    </row>
    <row r="26" spans="1:11" ht="20.100000000000001" customHeight="1" x14ac:dyDescent="0.25">
      <c r="A26" s="5" t="str">
        <f>HYPERLINK("#'5.2.1.1-2 Organic Fert N2O'!A1", "5.2.1.1-2 Organic fert N2O")</f>
        <v>5.2.1.1-2 Organic fert N2O</v>
      </c>
    </row>
    <row r="27" spans="1:11" ht="20.100000000000001" customHeight="1" x14ac:dyDescent="0.25">
      <c r="A27" s="5" t="str">
        <f>HYPERLINK("#'5.3.1.1-2 Lime CO2'!A1", "5.3.1.1-2 Lime CO2")</f>
        <v>5.3.1.1-2 Lime CO2</v>
      </c>
    </row>
    <row r="28" spans="1:11" ht="20.100000000000001" customHeight="1" x14ac:dyDescent="0.25">
      <c r="A28" s="5" t="str">
        <f>HYPERLINK("#'5.4.1.1-4 Atmos deposition'!A1", "5.4.1.1-4 Atmos. deposition")</f>
        <v>5.4.1.1-4 Atmos. deposition</v>
      </c>
      <c r="D28" s="88" t="s">
        <v>263</v>
      </c>
      <c r="E28" s="1" t="str" cm="1">
        <f t="array" ref="E28">Electricity_Equations.VEERG_14_1_2__1_MarketBasedScopeElectricityEmissions_Variable()</f>
        <v>E_2elec</v>
      </c>
    </row>
    <row r="29" spans="1:11" ht="20.100000000000001" customHeight="1" x14ac:dyDescent="0.25">
      <c r="A29" s="5" t="str">
        <f>HYPERLINK("#'5.5.1.1-2 Leaching and runoff'!A1", "5.5.1.1-2 Leaching &amp; runoff")</f>
        <v>5.5.1.1-2 Leaching &amp; runoff</v>
      </c>
      <c r="D29" s="88" t="s">
        <v>130</v>
      </c>
      <c r="E29" s="15" t="str" cm="1">
        <f t="array" ref="E29">Electricity_Equations.VEERG_14_1_2__1_MarketBasedScopeElectricityEmissions_Unit()</f>
        <v>t CO2e</v>
      </c>
    </row>
    <row r="30" spans="1:11" ht="20.100000000000001" customHeight="1" x14ac:dyDescent="0.25">
      <c r="A30" s="5" t="str">
        <f>HYPERLINK("#'6.2.1.1-2 Pasture residue N2O'!A1", "6.2.1.1-2 Pasture residue N2O")</f>
        <v>6.2.1.1-2 Pasture residue N2O</v>
      </c>
    </row>
    <row r="31" spans="1:11" ht="20.100000000000001" customHeight="1" x14ac:dyDescent="0.25">
      <c r="A31" s="5" t="str">
        <f>HYPERLINK("#'6.3.1.1-2 Leach runoff pasture'!A1", "6.3.1.1-2 Leach &amp; runoff (pasture)")</f>
        <v>6.3.1.1-2 Leach &amp; runoff (pasture)</v>
      </c>
      <c r="D31" s="107" t="str" cm="1">
        <f t="array" ref="D31:E37">_xlfn.CHOOSECOLS(Electricity_Equations.VEERG_14_1_2__1_MarketBasedScopeElectricityEmissions_Arguments(),1,2)</f>
        <v>Q_elec</v>
      </c>
      <c r="E31" s="108" t="str">
        <v>amount of electricity purchased from the grid</v>
      </c>
      <c r="F31" s="109"/>
      <c r="G31" s="109"/>
      <c r="H31" s="107" t="str" cm="1">
        <f t="array" ref="H31:I37">_xlfn.CHOOSECOLS(Electricity_Equations.VEERG_14_1_2__1_MarketBasedScopeElectricityEmissions_Arguments(),3,4)</f>
        <v>kWh</v>
      </c>
      <c r="I31" s="111" t="str">
        <v>Input</v>
      </c>
      <c r="J31" s="107">
        <f>X_Cell_Electricity_Market_AmountPurchasedExcludingGreenPower</f>
        <v>30000</v>
      </c>
    </row>
    <row r="32" spans="1:11" ht="20.100000000000001" customHeight="1" x14ac:dyDescent="0.25">
      <c r="A32" s="5" t="str">
        <f>HYPERLINK("#'8.1.1.1-2 Transport fuel'!A1", "8.1.1.1-2 Transport fuel")</f>
        <v>8.1.1.1-2 Transport fuel</v>
      </c>
      <c r="D32" s="107" t="str">
        <v>RPP</v>
      </c>
      <c r="E32" s="108" t="str">
        <v>Renewable Power Percentage under the Large-scale Renewable Energy Target (LRET)</v>
      </c>
      <c r="F32" s="109"/>
      <c r="G32" s="109"/>
      <c r="H32" s="107" t="str">
        <v>per cent</v>
      </c>
      <c r="I32" s="111" t="str">
        <v>Input</v>
      </c>
      <c r="J32" s="194">
        <f>X_Cell_Electricity_Market_RenewablePowerPercentage</f>
        <v>0.1</v>
      </c>
    </row>
    <row r="33" spans="1:10" ht="20.100000000000001" customHeight="1" x14ac:dyDescent="0.25">
      <c r="A33" s="5" t="str">
        <f>HYPERLINK("#'8.2.1.1-2 Stationary fuel'!A1", "8.2.1.1-2 Stationary fuel")</f>
        <v>8.2.1.1-2 Stationary fuel</v>
      </c>
      <c r="D33" s="107" t="str">
        <v>JRPP</v>
      </c>
      <c r="E33" s="108" t="str">
        <v>jurisdictional renewable power percentage for the applicable period (ACT only)</v>
      </c>
      <c r="F33" s="109"/>
      <c r="G33" s="109"/>
      <c r="H33" s="107" t="str">
        <v>per cent</v>
      </c>
      <c r="I33" s="111" t="str">
        <v>Input</v>
      </c>
      <c r="J33" s="194" t="str">
        <f>IF(J37="ACT", X_Cell_Electricity_Market_JurisdictionalRenewablePowerPercentage, "N/A")</f>
        <v>N/A</v>
      </c>
    </row>
    <row r="34" spans="1:10" ht="20.100000000000001" customHeight="1" x14ac:dyDescent="0.25">
      <c r="A34" s="106" t="str">
        <f>HYPERLINK("#'14.1.1-2 Purchased electricity'!A1", "14.1.1-2 Purchased electricity")</f>
        <v>14.1.1-2 Purchased electricity</v>
      </c>
      <c r="D34" s="107" t="str">
        <v>REC_surrendered</v>
      </c>
      <c r="E34" s="108" t="str">
        <v>Renewable Energy Certificates voluntarily surrendered in the reporting year</v>
      </c>
      <c r="F34" s="109"/>
      <c r="G34" s="109"/>
      <c r="H34" s="107" t="str">
        <v>MWh</v>
      </c>
      <c r="I34" s="111" t="str">
        <v>Input</v>
      </c>
      <c r="J34" s="107">
        <f>(X_Cell_Electricity_Market_AmountPurchasedGreenPower*10^-3)+X_Cell_TotalElegibleVoluntarilySurrenderedRECs</f>
        <v>10</v>
      </c>
    </row>
    <row r="35" spans="1:10" ht="20.100000000000001" customHeight="1" x14ac:dyDescent="0.25">
      <c r="D35" s="107" t="str">
        <v>REC_onsite</v>
      </c>
      <c r="E35" s="108" t="str">
        <v>Renewable Energy Certificates issued for electricity produced on-site during the year and consumed by the entity</v>
      </c>
      <c r="F35" s="109"/>
      <c r="G35" s="109"/>
      <c r="H35" s="107" t="str">
        <v>MWh</v>
      </c>
      <c r="I35" s="111" t="str">
        <v>Input</v>
      </c>
      <c r="J35" s="107">
        <f>X_Cell_TotalElegibleRECsForElectricityProducedOnSite</f>
        <v>0</v>
      </c>
    </row>
    <row r="36" spans="1:10" ht="20.100000000000001" customHeight="1" x14ac:dyDescent="0.25">
      <c r="D36" s="107" t="str">
        <v>EF_RMF2elec</v>
      </c>
      <c r="E36" s="108" t="str">
        <v>Scope 2 residual mix emission factor for electricity</v>
      </c>
      <c r="F36" s="109"/>
      <c r="G36" s="109"/>
      <c r="H36" s="107" t="str">
        <v>kg CO2e/kWh</v>
      </c>
      <c r="I36" s="112" t="str">
        <v>Constant</v>
      </c>
      <c r="J36" s="107" cm="1">
        <f t="array" ref="J36">Table_SourceData_ElectricityEFsMarketBased[Scope 2 EF (kg CO2-e/kWh)]</f>
        <v>0.81</v>
      </c>
    </row>
    <row r="37" spans="1:10" ht="20.100000000000001" customHeight="1" x14ac:dyDescent="0.25">
      <c r="A37" s="251" t="s">
        <v>1</v>
      </c>
      <c r="D37" s="107" t="str">
        <v>i</v>
      </c>
      <c r="E37" s="108" t="str">
        <v>state</v>
      </c>
      <c r="F37" s="109"/>
      <c r="G37" s="110"/>
      <c r="H37" s="107" t="str">
        <v/>
      </c>
      <c r="I37" s="111" t="str">
        <v>Input</v>
      </c>
      <c r="J37" s="107" t="str">
        <f>X_Cell_Site_State</f>
        <v>Western Australia</v>
      </c>
    </row>
    <row r="38" spans="1:10" ht="20.100000000000001" customHeight="1" x14ac:dyDescent="0.25">
      <c r="A38" s="5" t="str">
        <f>HYPERLINK("#'Constants - Pasture Beef'!A1", "Constants - Pasture Beef")</f>
        <v>Constants - Pasture Beef</v>
      </c>
    </row>
    <row r="39" spans="1:10" ht="20.100000000000001" customHeight="1" x14ac:dyDescent="0.25">
      <c r="A39" s="5" t="str">
        <f>HYPERLINK("#'Constants - Ag Residue'!A1", "Constants - Ag residue")</f>
        <v>Constants - Ag residue</v>
      </c>
      <c r="D39" s="119" t="s">
        <v>693</v>
      </c>
      <c r="E39" s="120" cm="1">
        <f t="array" ref="E39">Electricity_Equations.VEERG_14_1_2__1_MarketBasedScopeElectricityEmissionsVariation(J31,J32,IF(ISNUMBER(J33), J33, 0),J34,J35,J36)</f>
        <v>13.77</v>
      </c>
      <c r="F39" s="121" t="str">
        <f>E29</f>
        <v>t CO2e</v>
      </c>
    </row>
    <row r="40" spans="1:10" ht="20.100000000000001" customHeight="1" x14ac:dyDescent="0.25">
      <c r="A40" s="5" t="str">
        <f>HYPERLINK("#'Constants - Common Livestock'!A1", "Constants - Common Livestock")</f>
        <v>Constants - Common Livestock</v>
      </c>
      <c r="H40" s="1" t="s">
        <v>687</v>
      </c>
    </row>
    <row r="41" spans="1:10" ht="20.100000000000001" customHeight="1" x14ac:dyDescent="0.25">
      <c r="A41" s="5" t="str">
        <f>HYPERLINK("#'Constants - Electricity'!A1", "Constants - Electricity")</f>
        <v>Constants - Electricity</v>
      </c>
    </row>
    <row r="42" spans="1:10" ht="20.100000000000001" customHeight="1" x14ac:dyDescent="0.25">
      <c r="A42" s="5" t="str">
        <f>HYPERLINK("#'Constants - Fertiliser'!A1", "Constants - Fertiliser")</f>
        <v>Constants - Fertiliser</v>
      </c>
    </row>
    <row r="43" spans="1:10" ht="20.100000000000001" customHeight="1" x14ac:dyDescent="0.25">
      <c r="A43" s="5" t="str">
        <f>HYPERLINK("#'Constants - Fuel'!A1", "Constants - Fuel")</f>
        <v>Constants - Fuel</v>
      </c>
    </row>
    <row r="44" spans="1:10" ht="20.100000000000001" customHeight="1" x14ac:dyDescent="0.25">
      <c r="A44" s="5" t="str">
        <f>HYPERLINK("#'Constants - Common'!A1", "Constants - Common")</f>
        <v>Constants - Common</v>
      </c>
      <c r="E44" s="152"/>
    </row>
    <row r="45" spans="1:10" ht="20.100000000000001" customHeight="1" x14ac:dyDescent="0.25">
      <c r="A45" s="5" t="str">
        <f>HYPERLINK("#'Acknowledgements'!A1", "Acknowledgements")</f>
        <v>Acknowledgements</v>
      </c>
    </row>
    <row r="46" spans="1:10" ht="20.100000000000001" customHeight="1" x14ac:dyDescent="0.25">
      <c r="A46" s="5" t="str">
        <f>HYPERLINK("#'Overview'!A1", "Overview")</f>
        <v>Overview</v>
      </c>
    </row>
    <row r="47" spans="1:10" ht="20.100000000000001" customHeight="1" x14ac:dyDescent="0.25"/>
    <row r="48" spans="1:10"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8"/>
    </row>
    <row r="342" spans="8:8" x14ac:dyDescent="0.25">
      <c r="H342" s="8"/>
    </row>
  </sheetData>
  <dataValidations count="1">
    <dataValidation operator="equal" allowBlank="1" showInputMessage="1" showErrorMessage="1" sqref="E269 E228 G132 I129:I133 F134:I134 F129:F132 H128:H132 G129 F148:I148 I149 F150:I150" xr:uid="{D9D5E402-53BB-466F-ADF9-7B04AD69808E}"/>
  </dataValidations>
  <pageMargins left="0.7" right="0.7" top="0.75" bottom="0.75" header="0.3" footer="0.3"/>
  <pageSetup paperSize="9" orientation="portrait"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AF881-0BFB-4EFE-8950-1526E3FB2179}">
  <dimension ref="A1:V483"/>
  <sheetViews>
    <sheetView showGridLines="0" topLeftCell="J2" zoomScale="85" zoomScaleNormal="85" workbookViewId="0">
      <selection activeCell="A46" sqref="A46"/>
    </sheetView>
  </sheetViews>
  <sheetFormatPr defaultRowHeight="15.75" x14ac:dyDescent="0.25"/>
  <cols>
    <col min="1" max="1" width="30.7109375" customWidth="1"/>
    <col min="2" max="2" width="4.7109375" customWidth="1"/>
    <col min="3" max="3" width="4.7109375" style="1" customWidth="1"/>
    <col min="4" max="5" width="30.7109375" style="1" customWidth="1"/>
    <col min="6" max="6" width="31.14062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31" customFormat="1" ht="30" customHeight="1" x14ac:dyDescent="0.35">
      <c r="A1" s="16" t="e" vm="1">
        <v>#VALUE!</v>
      </c>
      <c r="C1" s="31" t="s">
        <v>304</v>
      </c>
    </row>
    <row r="2" spans="1:21" s="3" customFormat="1" ht="20.100000000000001" customHeight="1" x14ac:dyDescent="0.25">
      <c r="A2"/>
    </row>
    <row r="3" spans="1:21" ht="20.100000000000001" customHeight="1" x14ac:dyDescent="0.25">
      <c r="A3" s="5" t="str">
        <f>HYPERLINK("#'Home'!A1", "Home")</f>
        <v>Home</v>
      </c>
      <c r="C3" s="33"/>
      <c r="D3" s="33"/>
      <c r="E3" s="33"/>
      <c r="F3" s="33"/>
      <c r="G3" s="33"/>
      <c r="H3" s="33"/>
      <c r="I3" s="33"/>
      <c r="J3" s="33"/>
      <c r="K3" s="33"/>
      <c r="L3" s="33"/>
      <c r="M3" s="33"/>
      <c r="N3" s="33"/>
      <c r="O3" s="33"/>
      <c r="P3" s="33"/>
      <c r="Q3" s="33"/>
      <c r="R3" s="33"/>
      <c r="S3" s="33"/>
      <c r="T3" s="33"/>
      <c r="U3" s="33"/>
    </row>
    <row r="4" spans="1:21" ht="20.100000000000001" customHeight="1" x14ac:dyDescent="0.25">
      <c r="A4" s="5" t="str">
        <f>HYPERLINK("#'Results'!A1", "Results")</f>
        <v>Results</v>
      </c>
      <c r="M4" s="8"/>
    </row>
    <row r="5" spans="1:21" ht="20.100000000000001" customHeight="1" x14ac:dyDescent="0.25">
      <c r="D5" s="2" t="s">
        <v>305</v>
      </c>
      <c r="G5" s="2" t="s">
        <v>306</v>
      </c>
      <c r="M5" s="1" t="s">
        <v>307</v>
      </c>
      <c r="O5" s="1" t="s">
        <v>308</v>
      </c>
      <c r="Q5" s="1" t="s">
        <v>309</v>
      </c>
      <c r="S5" s="1" t="s">
        <v>310</v>
      </c>
    </row>
    <row r="6" spans="1:21" ht="20.100000000000001" customHeight="1" x14ac:dyDescent="0.25">
      <c r="M6" s="1"/>
    </row>
    <row r="7" spans="1:21" ht="20.100000000000001" customHeight="1" x14ac:dyDescent="0.25">
      <c r="A7" s="7" t="s">
        <v>0</v>
      </c>
      <c r="D7" s="30" t="s">
        <v>311</v>
      </c>
      <c r="G7" s="30" t="s">
        <v>74</v>
      </c>
      <c r="M7" t="s">
        <v>312</v>
      </c>
      <c r="O7" s="30" t="s">
        <v>312</v>
      </c>
      <c r="Q7" s="30" t="s">
        <v>312</v>
      </c>
      <c r="S7" s="30" t="s">
        <v>312</v>
      </c>
    </row>
    <row r="8" spans="1:21" ht="20.100000000000001" customHeight="1" x14ac:dyDescent="0.25">
      <c r="A8" s="5" t="str">
        <f>HYPERLINK("#'Input - Enterprise'!A1", "Enterprise")</f>
        <v>Enterprise</v>
      </c>
      <c r="D8" s="30" t="str">
        <f>'Constants - Common'!$F$187</f>
        <v>Pasture</v>
      </c>
      <c r="G8" s="30" t="s">
        <v>313</v>
      </c>
      <c r="M8" s="30" t="s">
        <v>187</v>
      </c>
      <c r="O8" s="30" t="s">
        <v>314</v>
      </c>
      <c r="Q8" s="30" t="s">
        <v>315</v>
      </c>
      <c r="S8" s="30" t="s">
        <v>316</v>
      </c>
    </row>
    <row r="9" spans="1:21" ht="20.100000000000001" customHeight="1" x14ac:dyDescent="0.25">
      <c r="A9" s="5" t="str">
        <f>HYPERLINK("#'Input - Site'!A1", "Site")</f>
        <v>Site</v>
      </c>
      <c r="D9" s="1" t="str">
        <f>'Constants - Common'!$F$188</f>
        <v>Crop</v>
      </c>
      <c r="G9" s="30" t="s">
        <v>317</v>
      </c>
      <c r="M9" s="30" t="s">
        <v>318</v>
      </c>
      <c r="O9" s="30" t="s">
        <v>319</v>
      </c>
      <c r="Q9" s="30" t="s">
        <v>320</v>
      </c>
    </row>
    <row r="10" spans="1:21" ht="20.100000000000001" customHeight="1" x14ac:dyDescent="0.25">
      <c r="A10" s="5" t="str">
        <f>HYPERLINK("#'Input - Pasture Beef'!A1", "Pasture Beef")</f>
        <v>Pasture Beef</v>
      </c>
      <c r="G10" s="1" t="s">
        <v>241</v>
      </c>
      <c r="M10" s="30" t="s">
        <v>321</v>
      </c>
      <c r="O10" s="30" t="s">
        <v>322</v>
      </c>
      <c r="Q10" s="30" t="s">
        <v>323</v>
      </c>
      <c r="S10" s="1" t="s">
        <v>324</v>
      </c>
    </row>
    <row r="11" spans="1:21" ht="20.100000000000001" customHeight="1" x14ac:dyDescent="0.25">
      <c r="A11" s="5" t="str">
        <f>HYPERLINK("#'Input - Pasture Beef (Enteric)'!A1", "Pasture Beef (Enteric)")</f>
        <v>Pasture Beef (Enteric)</v>
      </c>
      <c r="G11" s="1" t="s">
        <v>325</v>
      </c>
      <c r="M11" s="1"/>
      <c r="Q11" s="30" t="s">
        <v>326</v>
      </c>
    </row>
    <row r="12" spans="1:21" ht="20.100000000000001" customHeight="1" x14ac:dyDescent="0.25">
      <c r="A12" s="5" t="str">
        <f>HYPERLINK("#'Input - Pasture'!A1", "Pasture")</f>
        <v>Pasture</v>
      </c>
      <c r="G12" s="1" t="s">
        <v>327</v>
      </c>
      <c r="M12" s="1"/>
      <c r="S12" s="30" t="s">
        <v>312</v>
      </c>
    </row>
    <row r="13" spans="1:21" ht="20.100000000000001" customHeight="1" x14ac:dyDescent="0.25">
      <c r="A13" s="5" t="str">
        <f>HYPERLINK("#'Input - Fertiliser'!A1", "Fertiliser")</f>
        <v>Fertiliser</v>
      </c>
      <c r="M13" s="1"/>
      <c r="S13" s="30" t="s">
        <v>316</v>
      </c>
    </row>
    <row r="14" spans="1:21" ht="20.100000000000001" customHeight="1" x14ac:dyDescent="0.25">
      <c r="A14" s="5" t="str">
        <f>HYPERLINK("#'Input - Fuel'!A1", "Fuel")</f>
        <v>Fuel</v>
      </c>
      <c r="D14" s="2" t="str" cm="1">
        <f t="array" ref="D14">SourceData_PastureBeef.SourceData_PastureBeef_Liveweight_Title()</f>
        <v>Beef pasture cattle - Liveweight (kg) (Wjkl)</v>
      </c>
      <c r="M14" s="1"/>
    </row>
    <row r="15" spans="1:21" ht="20.100000000000001" customHeight="1" x14ac:dyDescent="0.25">
      <c r="A15" s="5" t="str">
        <f>HYPERLINK("#'Input - Electricity'!A1", "Electricity")</f>
        <v>Electricity</v>
      </c>
      <c r="D15" s="27" t="str" cm="1">
        <f t="array" ref="D15">SourceData_PastureBeef.SourceData_PastureBeef_Liveweight_Source()</f>
        <v>VEERG 2026: Table A.1.2.1</v>
      </c>
      <c r="M15" s="1"/>
      <c r="S15" s="1" t="s">
        <v>328</v>
      </c>
    </row>
    <row r="16" spans="1:21" ht="20.100000000000001" customHeight="1" x14ac:dyDescent="0.25">
      <c r="D16" s="1" t="str" cm="1">
        <f t="array" ref="D16">SourceData_PastureBeef.SourceData_PastureBeef_Liveweight_Variable()</f>
        <v>Wjkl</v>
      </c>
      <c r="M16" s="1"/>
    </row>
    <row r="17" spans="1:19" ht="20.100000000000001" customHeight="1" x14ac:dyDescent="0.25">
      <c r="D17" s="15" t="str" cm="1">
        <f t="array" ref="D17">SourceData_PastureBeef.SourceData_PastureBeef_Liveweight_Unit()</f>
        <v>kg</v>
      </c>
      <c r="M17" s="1"/>
      <c r="O17" s="1" t="s">
        <v>329</v>
      </c>
      <c r="S17" s="30" t="s">
        <v>312</v>
      </c>
    </row>
    <row r="18" spans="1:19" ht="20.100000000000001" customHeight="1" x14ac:dyDescent="0.25">
      <c r="A18" s="6" t="s">
        <v>2</v>
      </c>
      <c r="D18" s="30" t="s">
        <v>107</v>
      </c>
      <c r="E18" s="30" t="s">
        <v>312</v>
      </c>
      <c r="F18" s="30" t="s">
        <v>78</v>
      </c>
      <c r="G18" s="30" t="s">
        <v>330</v>
      </c>
      <c r="H18" s="30" t="s">
        <v>331</v>
      </c>
      <c r="I18" s="30" t="s">
        <v>332</v>
      </c>
      <c r="J18" s="30" t="s">
        <v>333</v>
      </c>
      <c r="K18" s="30" t="s">
        <v>334</v>
      </c>
      <c r="L18" s="30" t="s">
        <v>335</v>
      </c>
      <c r="M18" s="30" t="s">
        <v>336</v>
      </c>
      <c r="O18" s="30" t="s">
        <v>337</v>
      </c>
      <c r="S18" s="30" t="s">
        <v>316</v>
      </c>
    </row>
    <row r="19" spans="1:19" ht="20.100000000000001" customHeight="1" x14ac:dyDescent="0.25">
      <c r="A19" s="5" t="str">
        <f>HYPERLINK("#'3.2.1.1-2 Enteric Methane'!A1", "3.2.1.1-2 Enteric methane")</f>
        <v>3.2.1.1-2 Enteric methane</v>
      </c>
      <c r="D19" s="30" t="str" cm="1">
        <f t="array" ref="D19">Common_InputFunctions.Utility_DisplayArrayInTable(SourceData_PastureBeef.SourceData_PastureBeef_Liveweight_Data(), Table_SourceData_PastureBeef_Liveweight[[#Headers],[State]], 0)</f>
        <v>ACT/NSW</v>
      </c>
      <c r="E19" s="30" t="str" cm="1">
        <f t="array" ref="E19">Common_InputFunctions.Utility_DisplayArrayInTable(SourceData_PastureBeef.SourceData_PastureBeef_Liveweight_Data(), Table_SourceData_PastureBeef_Liveweight[[#Headers],[State]], 0)</f>
        <v>n/a</v>
      </c>
      <c r="F19" s="30" t="str" cm="1">
        <f t="array" ref="F19">Common_InputFunctions.Utility_DisplayArrayInTable(SourceData_PastureBeef.SourceData_PastureBeef_Liveweight_Data(), Table_SourceData_PastureBeef_Liveweight[[#Headers],[State]], 0)</f>
        <v>Spring</v>
      </c>
      <c r="G19" s="30" cm="1">
        <f t="array" ref="G19">Common_InputFunctions.Utility_DisplayArrayInTable(SourceData_PastureBeef.SourceData_PastureBeef_Liveweight_Data(), Table_SourceData_PastureBeef_Liveweight[[#Headers],[State]], 0)</f>
        <v>80</v>
      </c>
      <c r="H19" s="30" cm="1">
        <f t="array" ref="H19">Common_InputFunctions.Utility_DisplayArrayInTable(SourceData_PastureBeef.SourceData_PastureBeef_Liveweight_Data(), Table_SourceData_PastureBeef_Liveweight[[#Headers],[State]], 0)</f>
        <v>480</v>
      </c>
      <c r="I19" s="30" cm="1">
        <f t="array" ref="I19">Common_InputFunctions.Utility_DisplayArrayInTable(SourceData_PastureBeef.SourceData_PastureBeef_Liveweight_Data(), Table_SourceData_PastureBeef_Liveweight[[#Headers],[State]], 0)</f>
        <v>75</v>
      </c>
      <c r="J19" s="30" cm="1">
        <f t="array" ref="J19">Common_InputFunctions.Utility_DisplayArrayInTable(SourceData_PastureBeef.SourceData_PastureBeef_Liveweight_Data(), Table_SourceData_PastureBeef_Liveweight[[#Headers],[State]], 0)</f>
        <v>300</v>
      </c>
      <c r="K19" s="30" cm="1">
        <f t="array" ref="K19">Common_InputFunctions.Utility_DisplayArrayInTable(SourceData_PastureBeef.SourceData_PastureBeef_Liveweight_Data(), Table_SourceData_PastureBeef_Liveweight[[#Headers],[State]], 0)</f>
        <v>440</v>
      </c>
      <c r="L19" s="30" cm="1">
        <f t="array" ref="L19">Common_InputFunctions.Utility_DisplayArrayInTable(SourceData_PastureBeef.SourceData_PastureBeef_Liveweight_Data(), Table_SourceData_PastureBeef_Liveweight[[#Headers],[State]], 0)</f>
        <v>75</v>
      </c>
      <c r="M19" s="30" cm="1">
        <f t="array" ref="M19">Common_InputFunctions.Utility_DisplayArrayInTable(SourceData_PastureBeef.SourceData_PastureBeef_Liveweight_Data(), Table_SourceData_PastureBeef_Liveweight[[#Headers],[State]], 0)</f>
        <v>380</v>
      </c>
      <c r="O19" s="30" t="str">
        <f>Table_SourceData_PastureBeef_LiveweightAllStates[[#Headers],[Bulls &lt; 1 year]]</f>
        <v>Bulls &lt; 1 year</v>
      </c>
    </row>
    <row r="20" spans="1:19" ht="20.100000000000001" customHeight="1" x14ac:dyDescent="0.25">
      <c r="A20" s="5" t="str">
        <f>HYPERLINK("#'4.2.1.1-2 Methane'!A1", "4.2.1.1-2 Manure methane")</f>
        <v>4.2.1.1-2 Manure methane</v>
      </c>
      <c r="D20" s="1" t="str" cm="1">
        <f t="array" ref="D20">Common_InputFunctions.Utility_DisplayArrayInTable(SourceData_PastureBeef.SourceData_PastureBeef_Liveweight_Data(), Table_SourceData_PastureBeef_Liveweight[[#Headers],[State]], 0)</f>
        <v>ACT/NSW</v>
      </c>
      <c r="E20" s="30" t="str" cm="1">
        <f t="array" ref="E20">Common_InputFunctions.Utility_DisplayArrayInTable(SourceData_PastureBeef.SourceData_PastureBeef_Liveweight_Data(), Table_SourceData_PastureBeef_Liveweight[[#Headers],[State]], 0)</f>
        <v>n/a</v>
      </c>
      <c r="F20" s="30" t="str" cm="1">
        <f t="array" ref="F20">Common_InputFunctions.Utility_DisplayArrayInTable(SourceData_PastureBeef.SourceData_PastureBeef_Liveweight_Data(), Table_SourceData_PastureBeef_Liveweight[[#Headers],[State]], 0)</f>
        <v>Summer</v>
      </c>
      <c r="G20" s="30" cm="1">
        <f t="array" ref="G20">Common_InputFunctions.Utility_DisplayArrayInTable(SourceData_PastureBeef.SourceData_PastureBeef_Liveweight_Data(), Table_SourceData_PastureBeef_Liveweight[[#Headers],[State]], 0)</f>
        <v>170</v>
      </c>
      <c r="H20" s="30" cm="1">
        <f t="array" ref="H20">Common_InputFunctions.Utility_DisplayArrayInTable(SourceData_PastureBeef.SourceData_PastureBeef_Liveweight_Data(), Table_SourceData_PastureBeef_Liveweight[[#Headers],[State]], 0)</f>
        <v>520</v>
      </c>
      <c r="I20" s="30" cm="1">
        <f t="array" ref="I20">Common_InputFunctions.Utility_DisplayArrayInTable(SourceData_PastureBeef.SourceData_PastureBeef_Liveweight_Data(), Table_SourceData_PastureBeef_Liveweight[[#Headers],[State]], 0)</f>
        <v>160</v>
      </c>
      <c r="J20" s="30" cm="1">
        <f t="array" ref="J20">Common_InputFunctions.Utility_DisplayArrayInTable(SourceData_PastureBeef.SourceData_PastureBeef_Liveweight_Data(), Table_SourceData_PastureBeef_Liveweight[[#Headers],[State]], 0)</f>
        <v>360</v>
      </c>
      <c r="K20" s="30" cm="1">
        <f t="array" ref="K20">Common_InputFunctions.Utility_DisplayArrayInTable(SourceData_PastureBeef.SourceData_PastureBeef_Liveweight_Data(), Table_SourceData_PastureBeef_Liveweight[[#Headers],[State]], 0)</f>
        <v>470</v>
      </c>
      <c r="L20" s="30" cm="1">
        <f t="array" ref="L20">Common_InputFunctions.Utility_DisplayArrayInTable(SourceData_PastureBeef.SourceData_PastureBeef_Liveweight_Data(), Table_SourceData_PastureBeef_Liveweight[[#Headers],[State]], 0)</f>
        <v>160</v>
      </c>
      <c r="M20" s="30" cm="1">
        <f t="array" ref="M20">Common_InputFunctions.Utility_DisplayArrayInTable(SourceData_PastureBeef.SourceData_PastureBeef_Liveweight_Data(), Table_SourceData_PastureBeef_Liveweight[[#Headers],[State]], 0)</f>
        <v>420</v>
      </c>
      <c r="O20" s="30" t="str">
        <f>Table_SourceData_PastureBeef_LiveweightAllStates[[#Headers],[Bulls &gt; 1 year]]</f>
        <v>Bulls &gt; 1 year</v>
      </c>
      <c r="S20" s="1" t="s">
        <v>338</v>
      </c>
    </row>
    <row r="21" spans="1:19" ht="20.100000000000001" customHeight="1" x14ac:dyDescent="0.25">
      <c r="A21" s="5" t="str">
        <f>HYPERLINK("#'4.2.1.3-4 Soil direct N20'!A1", "4.2.1.3-4 Soil direct N2O")</f>
        <v>4.2.1.3-4 Soil direct N2O</v>
      </c>
      <c r="D21" s="1" t="str" cm="1">
        <f t="array" ref="D21">Common_InputFunctions.Utility_DisplayArrayInTable(SourceData_PastureBeef.SourceData_PastureBeef_Liveweight_Data(), Table_SourceData_PastureBeef_Liveweight[[#Headers],[State]], 0)</f>
        <v>ACT/NSW</v>
      </c>
      <c r="E21" s="30" t="str" cm="1">
        <f t="array" ref="E21">Common_InputFunctions.Utility_DisplayArrayInTable(SourceData_PastureBeef.SourceData_PastureBeef_Liveweight_Data(), Table_SourceData_PastureBeef_Liveweight[[#Headers],[State]], 0)</f>
        <v>n/a</v>
      </c>
      <c r="F21" s="30" t="str" cm="1">
        <f t="array" ref="F21">Common_InputFunctions.Utility_DisplayArrayInTable(SourceData_PastureBeef.SourceData_PastureBeef_Liveweight_Data(), Table_SourceData_PastureBeef_Liveweight[[#Headers],[State]], 0)</f>
        <v>Autumn</v>
      </c>
      <c r="G21" s="30" cm="1">
        <f t="array" ref="G21">Common_InputFunctions.Utility_DisplayArrayInTable(SourceData_PastureBeef.SourceData_PastureBeef_Liveweight_Data(), Table_SourceData_PastureBeef_Liveweight[[#Headers],[State]], 0)</f>
        <v>240</v>
      </c>
      <c r="H21" s="30" cm="1">
        <f t="array" ref="H21">Common_InputFunctions.Utility_DisplayArrayInTable(SourceData_PastureBeef.SourceData_PastureBeef_Liveweight_Data(), Table_SourceData_PastureBeef_Liveweight[[#Headers],[State]], 0)</f>
        <v>550</v>
      </c>
      <c r="I21" s="30" cm="1">
        <f t="array" ref="I21">Common_InputFunctions.Utility_DisplayArrayInTable(SourceData_PastureBeef.SourceData_PastureBeef_Liveweight_Data(), Table_SourceData_PastureBeef_Liveweight[[#Headers],[State]], 0)</f>
        <v>220</v>
      </c>
      <c r="J21" s="30" cm="1">
        <f t="array" ref="J21">Common_InputFunctions.Utility_DisplayArrayInTable(SourceData_PastureBeef.SourceData_PastureBeef_Liveweight_Data(), Table_SourceData_PastureBeef_Liveweight[[#Headers],[State]], 0)</f>
        <v>390</v>
      </c>
      <c r="K21" s="30" cm="1">
        <f t="array" ref="K21">Common_InputFunctions.Utility_DisplayArrayInTable(SourceData_PastureBeef.SourceData_PastureBeef_Liveweight_Data(), Table_SourceData_PastureBeef_Liveweight[[#Headers],[State]], 0)</f>
        <v>490</v>
      </c>
      <c r="L21" s="30" cm="1">
        <f t="array" ref="L21">Common_InputFunctions.Utility_DisplayArrayInTable(SourceData_PastureBeef.SourceData_PastureBeef_Liveweight_Data(), Table_SourceData_PastureBeef_Liveweight[[#Headers],[State]], 0)</f>
        <v>220</v>
      </c>
      <c r="M21" s="30" cm="1">
        <f t="array" ref="M21">Common_InputFunctions.Utility_DisplayArrayInTable(SourceData_PastureBeef.SourceData_PastureBeef_Liveweight_Data(), Table_SourceData_PastureBeef_Liveweight[[#Headers],[State]], 0)</f>
        <v>450</v>
      </c>
      <c r="O21" s="30" t="str">
        <f>Table_SourceData_PastureBeef_LiveweightAllStates[[#Headers],[Cows &lt; 1 year]]</f>
        <v>Cows &lt; 1 year</v>
      </c>
    </row>
    <row r="22" spans="1:19" ht="20.100000000000001" customHeight="1" x14ac:dyDescent="0.25">
      <c r="A22" s="5" t="str">
        <f>HYPERLINK("#'4.2.1.5-6 Soil Atmos Dep'!A1", "4.2.1.5-6 Soil atm. deposition")</f>
        <v>4.2.1.5-6 Soil atm. deposition</v>
      </c>
      <c r="D22" s="1" t="str" cm="1">
        <f t="array" ref="D22">Common_InputFunctions.Utility_DisplayArrayInTable(SourceData_PastureBeef.SourceData_PastureBeef_Liveweight_Data(), Table_SourceData_PastureBeef_Liveweight[[#Headers],[State]], 0)</f>
        <v>ACT/NSW</v>
      </c>
      <c r="E22" s="30" t="str" cm="1">
        <f t="array" ref="E22">Common_InputFunctions.Utility_DisplayArrayInTable(SourceData_PastureBeef.SourceData_PastureBeef_Liveweight_Data(), Table_SourceData_PastureBeef_Liveweight[[#Headers],[State]], 0)</f>
        <v>n/a</v>
      </c>
      <c r="F22" s="30" t="str" cm="1">
        <f t="array" ref="F22">Common_InputFunctions.Utility_DisplayArrayInTable(SourceData_PastureBeef.SourceData_PastureBeef_Liveweight_Data(), Table_SourceData_PastureBeef_Liveweight[[#Headers],[State]], 0)</f>
        <v>Winter</v>
      </c>
      <c r="G22" s="30" cm="1">
        <f t="array" ref="G22">Common_InputFunctions.Utility_DisplayArrayInTable(SourceData_PastureBeef.SourceData_PastureBeef_Liveweight_Data(), Table_SourceData_PastureBeef_Liveweight[[#Headers],[State]], 0)</f>
        <v>280</v>
      </c>
      <c r="H22" s="30" cm="1">
        <f t="array" ref="H22">Common_InputFunctions.Utility_DisplayArrayInTable(SourceData_PastureBeef.SourceData_PastureBeef_Liveweight_Data(), Table_SourceData_PastureBeef_Liveweight[[#Headers],[State]], 0)</f>
        <v>560</v>
      </c>
      <c r="I22" s="30" cm="1">
        <f t="array" ref="I22">Common_InputFunctions.Utility_DisplayArrayInTable(SourceData_PastureBeef.SourceData_PastureBeef_Liveweight_Data(), Table_SourceData_PastureBeef_Liveweight[[#Headers],[State]], 0)</f>
        <v>260</v>
      </c>
      <c r="J22" s="30" cm="1">
        <f t="array" ref="J22">Common_InputFunctions.Utility_DisplayArrayInTable(SourceData_PastureBeef.SourceData_PastureBeef_Liveweight_Data(), Table_SourceData_PastureBeef_Liveweight[[#Headers],[State]], 0)</f>
        <v>410</v>
      </c>
      <c r="K22" s="30" cm="1">
        <f t="array" ref="K22">Common_InputFunctions.Utility_DisplayArrayInTable(SourceData_PastureBeef.SourceData_PastureBeef_Liveweight_Data(), Table_SourceData_PastureBeef_Liveweight[[#Headers],[State]], 0)</f>
        <v>500</v>
      </c>
      <c r="L22" s="30" cm="1">
        <f t="array" ref="L22">Common_InputFunctions.Utility_DisplayArrayInTable(SourceData_PastureBeef.SourceData_PastureBeef_Liveweight_Data(), Table_SourceData_PastureBeef_Liveweight[[#Headers],[State]], 0)</f>
        <v>260</v>
      </c>
      <c r="M22" s="30" cm="1">
        <f t="array" ref="M22">Common_InputFunctions.Utility_DisplayArrayInTable(SourceData_PastureBeef.SourceData_PastureBeef_Liveweight_Data(), Table_SourceData_PastureBeef_Liveweight[[#Headers],[State]], 0)</f>
        <v>460</v>
      </c>
      <c r="O22" s="30" t="str">
        <f>Table_SourceData_PastureBeef_LiveweightAllStates[[#Headers],[Cows 1-2 years]]</f>
        <v>Cows 1-2 years</v>
      </c>
      <c r="S22" s="30" t="s">
        <v>312</v>
      </c>
    </row>
    <row r="23" spans="1:19" ht="20.100000000000001" customHeight="1" x14ac:dyDescent="0.25">
      <c r="A23" s="5" t="str">
        <f>HYPERLINK("#'4.2.1.7-8 Soil leach runoff'!A1", "4.2.1.7-8 Soil leach &amp; runoff")</f>
        <v>4.2.1.7-8 Soil leach &amp; runoff</v>
      </c>
      <c r="D23" s="1" t="str" cm="1">
        <f t="array" ref="D23">Common_InputFunctions.Utility_DisplayArrayInTable(SourceData_PastureBeef.SourceData_PastureBeef_Liveweight_Data(), Table_SourceData_PastureBeef_Liveweight[[#Headers],[State]], 0)</f>
        <v>South Australia</v>
      </c>
      <c r="E23" s="30" t="str" cm="1">
        <f t="array" ref="E23">Common_InputFunctions.Utility_DisplayArrayInTable(SourceData_PastureBeef.SourceData_PastureBeef_Liveweight_Data(), Table_SourceData_PastureBeef_Liveweight[[#Headers],[State]], 0)</f>
        <v>n/a</v>
      </c>
      <c r="F23" s="30" t="str" cm="1">
        <f t="array" ref="F23">Common_InputFunctions.Utility_DisplayArrayInTable(SourceData_PastureBeef.SourceData_PastureBeef_Liveweight_Data(), Table_SourceData_PastureBeef_Liveweight[[#Headers],[State]], 0)</f>
        <v>Spring</v>
      </c>
      <c r="G23" s="30" cm="1">
        <f t="array" ref="G23">Common_InputFunctions.Utility_DisplayArrayInTable(SourceData_PastureBeef.SourceData_PastureBeef_Liveweight_Data(), Table_SourceData_PastureBeef_Liveweight[[#Headers],[State]], 0)</f>
        <v>250</v>
      </c>
      <c r="H23" s="30" cm="1">
        <f t="array" ref="H23">Common_InputFunctions.Utility_DisplayArrayInTable(SourceData_PastureBeef.SourceData_PastureBeef_Liveweight_Data(), Table_SourceData_PastureBeef_Liveweight[[#Headers],[State]], 0)</f>
        <v>800</v>
      </c>
      <c r="I23" s="30" cm="1">
        <f t="array" ref="I23">Common_InputFunctions.Utility_DisplayArrayInTable(SourceData_PastureBeef.SourceData_PastureBeef_Liveweight_Data(), Table_SourceData_PastureBeef_Liveweight[[#Headers],[State]], 0)</f>
        <v>220</v>
      </c>
      <c r="J23" s="30" cm="1">
        <f t="array" ref="J23">Common_InputFunctions.Utility_DisplayArrayInTable(SourceData_PastureBeef.SourceData_PastureBeef_Liveweight_Data(), Table_SourceData_PastureBeef_Liveweight[[#Headers],[State]], 0)</f>
        <v>400</v>
      </c>
      <c r="K23" s="30" cm="1">
        <f t="array" ref="K23">Common_InputFunctions.Utility_DisplayArrayInTable(SourceData_PastureBeef.SourceData_PastureBeef_Liveweight_Data(), Table_SourceData_PastureBeef_Liveweight[[#Headers],[State]], 0)</f>
        <v>500</v>
      </c>
      <c r="L23" s="30" cm="1">
        <f t="array" ref="L23">Common_InputFunctions.Utility_DisplayArrayInTable(SourceData_PastureBeef.SourceData_PastureBeef_Liveweight_Data(), Table_SourceData_PastureBeef_Liveweight[[#Headers],[State]], 0)</f>
        <v>230</v>
      </c>
      <c r="M23" s="30" cm="1">
        <f t="array" ref="M23">Common_InputFunctions.Utility_DisplayArrayInTable(SourceData_PastureBeef.SourceData_PastureBeef_Liveweight_Data(), Table_SourceData_PastureBeef_Liveweight[[#Headers],[State]], 0)</f>
        <v>420</v>
      </c>
      <c r="O23" s="30" t="str">
        <f>Table_SourceData_PastureBeef_LiveweightAllStates[[#Headers],[Cows 2-3 years]]</f>
        <v>Cows 2-3 years</v>
      </c>
      <c r="S23" s="30" t="s">
        <v>316</v>
      </c>
    </row>
    <row r="24" spans="1:19" ht="20.100000000000001" customHeight="1" x14ac:dyDescent="0.25">
      <c r="A24" s="5" t="str">
        <f>HYPERLINK("#'5.1.1.1-2 Inorganic fert N2O'!A1", "5.1.1.1-2 Inorganic fert N2O")</f>
        <v>5.1.1.1-2 Inorganic fert N2O</v>
      </c>
      <c r="D24" s="1" t="str" cm="1">
        <f t="array" ref="D24">Common_InputFunctions.Utility_DisplayArrayInTable(SourceData_PastureBeef.SourceData_PastureBeef_Liveweight_Data(), Table_SourceData_PastureBeef_Liveweight[[#Headers],[State]], 0)</f>
        <v>South Australia</v>
      </c>
      <c r="E24" s="30" t="str" cm="1">
        <f t="array" ref="E24">Common_InputFunctions.Utility_DisplayArrayInTable(SourceData_PastureBeef.SourceData_PastureBeef_Liveweight_Data(), Table_SourceData_PastureBeef_Liveweight[[#Headers],[State]], 0)</f>
        <v>n/a</v>
      </c>
      <c r="F24" s="30" t="str" cm="1">
        <f t="array" ref="F24">Common_InputFunctions.Utility_DisplayArrayInTable(SourceData_PastureBeef.SourceData_PastureBeef_Liveweight_Data(), Table_SourceData_PastureBeef_Liveweight[[#Headers],[State]], 0)</f>
        <v>Summer</v>
      </c>
      <c r="G24" s="30" cm="1">
        <f t="array" ref="G24">Common_InputFunctions.Utility_DisplayArrayInTable(SourceData_PastureBeef.SourceData_PastureBeef_Liveweight_Data(), Table_SourceData_PastureBeef_Liveweight[[#Headers],[State]], 0)</f>
        <v>320</v>
      </c>
      <c r="H24" s="30" cm="1">
        <f t="array" ref="H24">Common_InputFunctions.Utility_DisplayArrayInTable(SourceData_PastureBeef.SourceData_PastureBeef_Liveweight_Data(), Table_SourceData_PastureBeef_Liveweight[[#Headers],[State]], 0)</f>
        <v>800</v>
      </c>
      <c r="I24" s="30" cm="1">
        <f t="array" ref="I24">Common_InputFunctions.Utility_DisplayArrayInTable(SourceData_PastureBeef.SourceData_PastureBeef_Liveweight_Data(), Table_SourceData_PastureBeef_Liveweight[[#Headers],[State]], 0)</f>
        <v>280</v>
      </c>
      <c r="J24" s="30" cm="1">
        <f t="array" ref="J24">Common_InputFunctions.Utility_DisplayArrayInTable(SourceData_PastureBeef.SourceData_PastureBeef_Liveweight_Data(), Table_SourceData_PastureBeef_Liveweight[[#Headers],[State]], 0)</f>
        <v>420</v>
      </c>
      <c r="K24" s="30" cm="1">
        <f t="array" ref="K24">Common_InputFunctions.Utility_DisplayArrayInTable(SourceData_PastureBeef.SourceData_PastureBeef_Liveweight_Data(), Table_SourceData_PastureBeef_Liveweight[[#Headers],[State]], 0)</f>
        <v>500</v>
      </c>
      <c r="L24" s="30" cm="1">
        <f t="array" ref="L24">Common_InputFunctions.Utility_DisplayArrayInTable(SourceData_PastureBeef.SourceData_PastureBeef_Liveweight_Data(), Table_SourceData_PastureBeef_Liveweight[[#Headers],[State]], 0)</f>
        <v>290</v>
      </c>
      <c r="M24" s="30" cm="1">
        <f t="array" ref="M24">Common_InputFunctions.Utility_DisplayArrayInTable(SourceData_PastureBeef.SourceData_PastureBeef_Liveweight_Data(), Table_SourceData_PastureBeef_Liveweight[[#Headers],[State]], 0)</f>
        <v>420</v>
      </c>
      <c r="O24" s="30" t="str">
        <f>Table_SourceData_PastureBeef_LiveweightAllStates[[#Headers],[Cows &gt; 3 years]]</f>
        <v>Cows &gt; 3 years</v>
      </c>
    </row>
    <row r="25" spans="1:19" ht="20.100000000000001" customHeight="1" x14ac:dyDescent="0.25">
      <c r="A25" s="5" t="str">
        <f>HYPERLINK("#'5.1.1.3-4 Inorganic fert CO2'!A1", "5.1.1.3-4 Inorganic fert CO2")</f>
        <v>5.1.1.3-4 Inorganic fert CO2</v>
      </c>
      <c r="D25" s="1" t="str" cm="1">
        <f t="array" ref="D25">Common_InputFunctions.Utility_DisplayArrayInTable(SourceData_PastureBeef.SourceData_PastureBeef_Liveweight_Data(), Table_SourceData_PastureBeef_Liveweight[[#Headers],[State]], 0)</f>
        <v>South Australia</v>
      </c>
      <c r="E25" s="30" t="str" cm="1">
        <f t="array" ref="E25">Common_InputFunctions.Utility_DisplayArrayInTable(SourceData_PastureBeef.SourceData_PastureBeef_Liveweight_Data(), Table_SourceData_PastureBeef_Liveweight[[#Headers],[State]], 0)</f>
        <v>n/a</v>
      </c>
      <c r="F25" s="30" t="str" cm="1">
        <f t="array" ref="F25">Common_InputFunctions.Utility_DisplayArrayInTable(SourceData_PastureBeef.SourceData_PastureBeef_Liveweight_Data(), Table_SourceData_PastureBeef_Liveweight[[#Headers],[State]], 0)</f>
        <v>Autumn</v>
      </c>
      <c r="G25" s="30" cm="1">
        <f t="array" ref="G25">Common_InputFunctions.Utility_DisplayArrayInTable(SourceData_PastureBeef.SourceData_PastureBeef_Liveweight_Data(), Table_SourceData_PastureBeef_Liveweight[[#Headers],[State]], 0)</f>
        <v>80</v>
      </c>
      <c r="H25" s="30" cm="1">
        <f t="array" ref="H25">Common_InputFunctions.Utility_DisplayArrayInTable(SourceData_PastureBeef.SourceData_PastureBeef_Liveweight_Data(), Table_SourceData_PastureBeef_Liveweight[[#Headers],[State]], 0)</f>
        <v>700</v>
      </c>
      <c r="I25" s="30" cm="1">
        <f t="array" ref="I25">Common_InputFunctions.Utility_DisplayArrayInTable(SourceData_PastureBeef.SourceData_PastureBeef_Liveweight_Data(), Table_SourceData_PastureBeef_Liveweight[[#Headers],[State]], 0)</f>
        <v>70</v>
      </c>
      <c r="J25" s="30" cm="1">
        <f t="array" ref="J25">Common_InputFunctions.Utility_DisplayArrayInTable(SourceData_PastureBeef.SourceData_PastureBeef_Liveweight_Data(), Table_SourceData_PastureBeef_Liveweight[[#Headers],[State]], 0)</f>
        <v>300</v>
      </c>
      <c r="K25" s="30" cm="1">
        <f t="array" ref="K25">Common_InputFunctions.Utility_DisplayArrayInTable(SourceData_PastureBeef.SourceData_PastureBeef_Liveweight_Data(), Table_SourceData_PastureBeef_Liveweight[[#Headers],[State]], 0)</f>
        <v>450</v>
      </c>
      <c r="L25" s="30" cm="1">
        <f t="array" ref="L25">Common_InputFunctions.Utility_DisplayArrayInTable(SourceData_PastureBeef.SourceData_PastureBeef_Liveweight_Data(), Table_SourceData_PastureBeef_Liveweight[[#Headers],[State]], 0)</f>
        <v>75</v>
      </c>
      <c r="M25" s="30" cm="1">
        <f t="array" ref="M25">Common_InputFunctions.Utility_DisplayArrayInTable(SourceData_PastureBeef.SourceData_PastureBeef_Liveweight_Data(), Table_SourceData_PastureBeef_Liveweight[[#Headers],[State]], 0)</f>
        <v>400</v>
      </c>
      <c r="O25" s="30" t="str">
        <f>Table_SourceData_PastureBeef_LiveweightAllStates[[#Headers],[Steers &lt; 1 year]]</f>
        <v>Steers &lt; 1 year</v>
      </c>
      <c r="S25" s="1" t="s">
        <v>339</v>
      </c>
    </row>
    <row r="26" spans="1:19" ht="20.100000000000001" customHeight="1" x14ac:dyDescent="0.25">
      <c r="A26" s="5" t="str">
        <f>HYPERLINK("#'5.2.1.1-2 Organic Fert N2O'!A1", "5.2.1.1-2 Organic fert N2O")</f>
        <v>5.2.1.1-2 Organic fert N2O</v>
      </c>
      <c r="D26" s="1" t="str" cm="1">
        <f t="array" ref="D26">Common_InputFunctions.Utility_DisplayArrayInTable(SourceData_PastureBeef.SourceData_PastureBeef_Liveweight_Data(), Table_SourceData_PastureBeef_Liveweight[[#Headers],[State]], 0)</f>
        <v>South Australia</v>
      </c>
      <c r="E26" s="30" t="str" cm="1">
        <f t="array" ref="E26">Common_InputFunctions.Utility_DisplayArrayInTable(SourceData_PastureBeef.SourceData_PastureBeef_Liveweight_Data(), Table_SourceData_PastureBeef_Liveweight[[#Headers],[State]], 0)</f>
        <v>n/a</v>
      </c>
      <c r="F26" s="30" t="str" cm="1">
        <f t="array" ref="F26">Common_InputFunctions.Utility_DisplayArrayInTable(SourceData_PastureBeef.SourceData_PastureBeef_Liveweight_Data(), Table_SourceData_PastureBeef_Liveweight[[#Headers],[State]], 0)</f>
        <v>Winter</v>
      </c>
      <c r="G26" s="30" cm="1">
        <f t="array" ref="G26">Common_InputFunctions.Utility_DisplayArrayInTable(SourceData_PastureBeef.SourceData_PastureBeef_Liveweight_Data(), Table_SourceData_PastureBeef_Liveweight[[#Headers],[State]], 0)</f>
        <v>160</v>
      </c>
      <c r="H26" s="30" cm="1">
        <f t="array" ref="H26">Common_InputFunctions.Utility_DisplayArrayInTable(SourceData_PastureBeef.SourceData_PastureBeef_Liveweight_Data(), Table_SourceData_PastureBeef_Liveweight[[#Headers],[State]], 0)</f>
        <v>700</v>
      </c>
      <c r="I26" s="30" cm="1">
        <f t="array" ref="I26">Common_InputFunctions.Utility_DisplayArrayInTable(SourceData_PastureBeef.SourceData_PastureBeef_Liveweight_Data(), Table_SourceData_PastureBeef_Liveweight[[#Headers],[State]], 0)</f>
        <v>140</v>
      </c>
      <c r="J26" s="30" cm="1">
        <f t="array" ref="J26">Common_InputFunctions.Utility_DisplayArrayInTable(SourceData_PastureBeef.SourceData_PastureBeef_Liveweight_Data(), Table_SourceData_PastureBeef_Liveweight[[#Headers],[State]], 0)</f>
        <v>350</v>
      </c>
      <c r="K26" s="30" cm="1">
        <f t="array" ref="K26">Common_InputFunctions.Utility_DisplayArrayInTable(SourceData_PastureBeef.SourceData_PastureBeef_Liveweight_Data(), Table_SourceData_PastureBeef_Liveweight[[#Headers],[State]], 0)</f>
        <v>450</v>
      </c>
      <c r="L26" s="30" cm="1">
        <f t="array" ref="L26">Common_InputFunctions.Utility_DisplayArrayInTable(SourceData_PastureBeef.SourceData_PastureBeef_Liveweight_Data(), Table_SourceData_PastureBeef_Liveweight[[#Headers],[State]], 0)</f>
        <v>150</v>
      </c>
      <c r="M26" s="30" cm="1">
        <f t="array" ref="M26">Common_InputFunctions.Utility_DisplayArrayInTable(SourceData_PastureBeef.SourceData_PastureBeef_Liveweight_Data(), Table_SourceData_PastureBeef_Liveweight[[#Headers],[State]], 0)</f>
        <v>400</v>
      </c>
      <c r="O26" s="30" t="str">
        <f>Table_SourceData_PastureBeef_LiveweightAllStates[[#Headers],[Steers 1-2 years]]</f>
        <v>Steers 1-2 years</v>
      </c>
    </row>
    <row r="27" spans="1:19" ht="20.100000000000001" customHeight="1" x14ac:dyDescent="0.25">
      <c r="A27" s="5" t="str">
        <f>HYPERLINK("#'5.3.1.1-2 Lime CO2'!A1", "5.3.1.1-2 Lime CO2")</f>
        <v>5.3.1.1-2 Lime CO2</v>
      </c>
      <c r="D27" s="1" t="str" cm="1">
        <f t="array" ref="D27">Common_InputFunctions.Utility_DisplayArrayInTable(SourceData_PastureBeef.SourceData_PastureBeef_Liveweight_Data(), Table_SourceData_PastureBeef_Liveweight[[#Headers],[State]], 0)</f>
        <v>Tasmania</v>
      </c>
      <c r="E27" s="30" t="str" cm="1">
        <f t="array" ref="E27">Common_InputFunctions.Utility_DisplayArrayInTable(SourceData_PastureBeef.SourceData_PastureBeef_Liveweight_Data(), Table_SourceData_PastureBeef_Liveweight[[#Headers],[State]], 0)</f>
        <v>n/a</v>
      </c>
      <c r="F27" s="30" t="str" cm="1">
        <f t="array" ref="F27">Common_InputFunctions.Utility_DisplayArrayInTable(SourceData_PastureBeef.SourceData_PastureBeef_Liveweight_Data(), Table_SourceData_PastureBeef_Liveweight[[#Headers],[State]], 0)</f>
        <v>Spring</v>
      </c>
      <c r="G27" s="30" cm="1">
        <f t="array" ref="G27">Common_InputFunctions.Utility_DisplayArrayInTable(SourceData_PastureBeef.SourceData_PastureBeef_Liveweight_Data(), Table_SourceData_PastureBeef_Liveweight[[#Headers],[State]], 0)</f>
        <v>105</v>
      </c>
      <c r="H27" s="30" cm="1">
        <f t="array" ref="H27">Common_InputFunctions.Utility_DisplayArrayInTable(SourceData_PastureBeef.SourceData_PastureBeef_Liveweight_Data(), Table_SourceData_PastureBeef_Liveweight[[#Headers],[State]], 0)</f>
        <v>700</v>
      </c>
      <c r="I27" s="30" cm="1">
        <f t="array" ref="I27">Common_InputFunctions.Utility_DisplayArrayInTable(SourceData_PastureBeef.SourceData_PastureBeef_Liveweight_Data(), Table_SourceData_PastureBeef_Liveweight[[#Headers],[State]], 0)</f>
        <v>85</v>
      </c>
      <c r="J27" s="30" cm="1">
        <f t="array" ref="J27">Common_InputFunctions.Utility_DisplayArrayInTable(SourceData_PastureBeef.SourceData_PastureBeef_Liveweight_Data(), Table_SourceData_PastureBeef_Liveweight[[#Headers],[State]], 0)</f>
        <v>300</v>
      </c>
      <c r="K27" s="30" cm="1">
        <f t="array" ref="K27">Common_InputFunctions.Utility_DisplayArrayInTable(SourceData_PastureBeef.SourceData_PastureBeef_Liveweight_Data(), Table_SourceData_PastureBeef_Liveweight[[#Headers],[State]], 0)</f>
        <v>490</v>
      </c>
      <c r="L27" s="30" cm="1">
        <f t="array" ref="L27">Common_InputFunctions.Utility_DisplayArrayInTable(SourceData_PastureBeef.SourceData_PastureBeef_Liveweight_Data(), Table_SourceData_PastureBeef_Liveweight[[#Headers],[State]], 0)</f>
        <v>90</v>
      </c>
      <c r="M27" s="30" cm="1">
        <f t="array" ref="M27">Common_InputFunctions.Utility_DisplayArrayInTable(SourceData_PastureBeef.SourceData_PastureBeef_Liveweight_Data(), Table_SourceData_PastureBeef_Liveweight[[#Headers],[State]], 0)</f>
        <v>480</v>
      </c>
      <c r="O27" s="30" t="str">
        <f>Table_SourceData_PastureBeef_LiveweightAllStates[[#Headers],[Steers 2-3 years]]</f>
        <v>Steers 2-3 years</v>
      </c>
      <c r="S27" s="30" t="s">
        <v>312</v>
      </c>
    </row>
    <row r="28" spans="1:19" ht="20.100000000000001" customHeight="1" x14ac:dyDescent="0.25">
      <c r="A28" s="5" t="str">
        <f>HYPERLINK("#'5.4.1.1-4 Atmos deposition'!A1", "5.4.1.1-4 Atmos. deposition")</f>
        <v>5.4.1.1-4 Atmos. deposition</v>
      </c>
      <c r="D28" s="1" t="str" cm="1">
        <f t="array" ref="D28">Common_InputFunctions.Utility_DisplayArrayInTable(SourceData_PastureBeef.SourceData_PastureBeef_Liveweight_Data(), Table_SourceData_PastureBeef_Liveweight[[#Headers],[State]], 0)</f>
        <v>Tasmania</v>
      </c>
      <c r="E28" s="30" t="str" cm="1">
        <f t="array" ref="E28">Common_InputFunctions.Utility_DisplayArrayInTable(SourceData_PastureBeef.SourceData_PastureBeef_Liveweight_Data(), Table_SourceData_PastureBeef_Liveweight[[#Headers],[State]], 0)</f>
        <v>n/a</v>
      </c>
      <c r="F28" s="30" t="str" cm="1">
        <f t="array" ref="F28">Common_InputFunctions.Utility_DisplayArrayInTable(SourceData_PastureBeef.SourceData_PastureBeef_Liveweight_Data(), Table_SourceData_PastureBeef_Liveweight[[#Headers],[State]], 0)</f>
        <v>Summer</v>
      </c>
      <c r="G28" s="30" cm="1">
        <f t="array" ref="G28">Common_InputFunctions.Utility_DisplayArrayInTable(SourceData_PastureBeef.SourceData_PastureBeef_Liveweight_Data(), Table_SourceData_PastureBeef_Liveweight[[#Headers],[State]], 0)</f>
        <v>480</v>
      </c>
      <c r="H28" s="30" cm="1">
        <f t="array" ref="H28">Common_InputFunctions.Utility_DisplayArrayInTable(SourceData_PastureBeef.SourceData_PastureBeef_Liveweight_Data(), Table_SourceData_PastureBeef_Liveweight[[#Headers],[State]], 0)</f>
        <v>750</v>
      </c>
      <c r="I28" s="30" cm="1">
        <f t="array" ref="I28">Common_InputFunctions.Utility_DisplayArrayInTable(SourceData_PastureBeef.SourceData_PastureBeef_Liveweight_Data(), Table_SourceData_PastureBeef_Liveweight[[#Headers],[State]], 0)</f>
        <v>150</v>
      </c>
      <c r="J28" s="30" cm="1">
        <f t="array" ref="J28">Common_InputFunctions.Utility_DisplayArrayInTable(SourceData_PastureBeef.SourceData_PastureBeef_Liveweight_Data(), Table_SourceData_PastureBeef_Liveweight[[#Headers],[State]], 0)</f>
        <v>350</v>
      </c>
      <c r="K28" s="30" cm="1">
        <f t="array" ref="K28">Common_InputFunctions.Utility_DisplayArrayInTable(SourceData_PastureBeef.SourceData_PastureBeef_Liveweight_Data(), Table_SourceData_PastureBeef_Liveweight[[#Headers],[State]], 0)</f>
        <v>530</v>
      </c>
      <c r="L28" s="30" cm="1">
        <f t="array" ref="L28">Common_InputFunctions.Utility_DisplayArrayInTable(SourceData_PastureBeef.SourceData_PastureBeef_Liveweight_Data(), Table_SourceData_PastureBeef_Liveweight[[#Headers],[State]], 0)</f>
        <v>160</v>
      </c>
      <c r="M28" s="30" cm="1">
        <f t="array" ref="M28">Common_InputFunctions.Utility_DisplayArrayInTable(SourceData_PastureBeef.SourceData_PastureBeef_Liveweight_Data(), Table_SourceData_PastureBeef_Liveweight[[#Headers],[State]], 0)</f>
        <v>460</v>
      </c>
      <c r="O28" s="30" t="str">
        <f>Table_SourceData_PastureBeef_LiveweightAllStates[[#Headers],[Steers &gt;3 years]]</f>
        <v>Steers &gt;3 years</v>
      </c>
      <c r="S28" s="30" t="s">
        <v>316</v>
      </c>
    </row>
    <row r="29" spans="1:19" ht="20.100000000000001" customHeight="1" x14ac:dyDescent="0.25">
      <c r="A29" s="5" t="str">
        <f>HYPERLINK("#'5.5.1.1-2 Leaching and runoff'!A1", "5.5.1.1-2 Leaching &amp; runoff")</f>
        <v>5.5.1.1-2 Leaching &amp; runoff</v>
      </c>
      <c r="D29" s="1" t="str" cm="1">
        <f t="array" ref="D29">Common_InputFunctions.Utility_DisplayArrayInTable(SourceData_PastureBeef.SourceData_PastureBeef_Liveweight_Data(), Table_SourceData_PastureBeef_Liveweight[[#Headers],[State]], 0)</f>
        <v>Tasmania</v>
      </c>
      <c r="E29" s="30" t="str" cm="1">
        <f t="array" ref="E29">Common_InputFunctions.Utility_DisplayArrayInTable(SourceData_PastureBeef.SourceData_PastureBeef_Liveweight_Data(), Table_SourceData_PastureBeef_Liveweight[[#Headers],[State]], 0)</f>
        <v>n/a</v>
      </c>
      <c r="F29" s="30" t="str" cm="1">
        <f t="array" ref="F29">Common_InputFunctions.Utility_DisplayArrayInTable(SourceData_PastureBeef.SourceData_PastureBeef_Liveweight_Data(), Table_SourceData_PastureBeef_Liveweight[[#Headers],[State]], 0)</f>
        <v>Autumn</v>
      </c>
      <c r="G29" s="30" cm="1">
        <f t="array" ref="G29">Common_InputFunctions.Utility_DisplayArrayInTable(SourceData_PastureBeef.SourceData_PastureBeef_Liveweight_Data(), Table_SourceData_PastureBeef_Liveweight[[#Headers],[State]], 0)</f>
        <v>250</v>
      </c>
      <c r="H29" s="30" cm="1">
        <f t="array" ref="H29">Common_InputFunctions.Utility_DisplayArrayInTable(SourceData_PastureBeef.SourceData_PastureBeef_Liveweight_Data(), Table_SourceData_PastureBeef_Liveweight[[#Headers],[State]], 0)</f>
        <v>725</v>
      </c>
      <c r="I29" s="30" cm="1">
        <f t="array" ref="I29">Common_InputFunctions.Utility_DisplayArrayInTable(SourceData_PastureBeef.SourceData_PastureBeef_Liveweight_Data(), Table_SourceData_PastureBeef_Liveweight[[#Headers],[State]], 0)</f>
        <v>200</v>
      </c>
      <c r="J29" s="30" cm="1">
        <f t="array" ref="J29">Common_InputFunctions.Utility_DisplayArrayInTable(SourceData_PastureBeef.SourceData_PastureBeef_Liveweight_Data(), Table_SourceData_PastureBeef_Liveweight[[#Headers],[State]], 0)</f>
        <v>360</v>
      </c>
      <c r="K29" s="30" cm="1">
        <f t="array" ref="K29">Common_InputFunctions.Utility_DisplayArrayInTable(SourceData_PastureBeef.SourceData_PastureBeef_Liveweight_Data(), Table_SourceData_PastureBeef_Liveweight[[#Headers],[State]], 0)</f>
        <v>500</v>
      </c>
      <c r="L29" s="30" cm="1">
        <f t="array" ref="L29">Common_InputFunctions.Utility_DisplayArrayInTable(SourceData_PastureBeef.SourceData_PastureBeef_Liveweight_Data(), Table_SourceData_PastureBeef_Liveweight[[#Headers],[State]], 0)</f>
        <v>215</v>
      </c>
      <c r="M29" s="30" cm="1">
        <f t="array" ref="M29">Common_InputFunctions.Utility_DisplayArrayInTable(SourceData_PastureBeef.SourceData_PastureBeef_Liveweight_Data(), Table_SourceData_PastureBeef_Liveweight[[#Headers],[State]], 0)</f>
        <v>490</v>
      </c>
    </row>
    <row r="30" spans="1:19" ht="20.100000000000001" customHeight="1" x14ac:dyDescent="0.25">
      <c r="A30" s="5" t="str">
        <f>HYPERLINK("#'6.2.1.1-2 Pasture residue N2O'!A1", "6.2.1.1-2 Pasture residue N2O")</f>
        <v>6.2.1.1-2 Pasture residue N2O</v>
      </c>
      <c r="D30" s="1" t="str" cm="1">
        <f t="array" ref="D30">Common_InputFunctions.Utility_DisplayArrayInTable(SourceData_PastureBeef.SourceData_PastureBeef_Liveweight_Data(), Table_SourceData_PastureBeef_Liveweight[[#Headers],[State]], 0)</f>
        <v>Tasmania</v>
      </c>
      <c r="E30" s="30" t="str" cm="1">
        <f t="array" ref="E30">Common_InputFunctions.Utility_DisplayArrayInTable(SourceData_PastureBeef.SourceData_PastureBeef_Liveweight_Data(), Table_SourceData_PastureBeef_Liveweight[[#Headers],[State]], 0)</f>
        <v>n/a</v>
      </c>
      <c r="F30" s="30" t="str" cm="1">
        <f t="array" ref="F30">Common_InputFunctions.Utility_DisplayArrayInTable(SourceData_PastureBeef.SourceData_PastureBeef_Liveweight_Data(), Table_SourceData_PastureBeef_Liveweight[[#Headers],[State]], 0)</f>
        <v>Winter</v>
      </c>
      <c r="G30" s="30" cm="1">
        <f t="array" ref="G30">Common_InputFunctions.Utility_DisplayArrayInTable(SourceData_PastureBeef.SourceData_PastureBeef_Liveweight_Data(), Table_SourceData_PastureBeef_Liveweight[[#Headers],[State]], 0)</f>
        <v>260</v>
      </c>
      <c r="H30" s="30" cm="1">
        <f t="array" ref="H30">Common_InputFunctions.Utility_DisplayArrayInTable(SourceData_PastureBeef.SourceData_PastureBeef_Liveweight_Data(), Table_SourceData_PastureBeef_Liveweight[[#Headers],[State]], 0)</f>
        <v>700</v>
      </c>
      <c r="I30" s="30" cm="1">
        <f t="array" ref="I30">Common_InputFunctions.Utility_DisplayArrayInTable(SourceData_PastureBeef.SourceData_PastureBeef_Liveweight_Data(), Table_SourceData_PastureBeef_Liveweight[[#Headers],[State]], 0)</f>
        <v>210</v>
      </c>
      <c r="J30" s="30" cm="1">
        <f t="array" ref="J30">Common_InputFunctions.Utility_DisplayArrayInTable(SourceData_PastureBeef.SourceData_PastureBeef_Liveweight_Data(), Table_SourceData_PastureBeef_Liveweight[[#Headers],[State]], 0)</f>
        <v>380</v>
      </c>
      <c r="K30" s="30" cm="1">
        <f t="array" ref="K30">Common_InputFunctions.Utility_DisplayArrayInTable(SourceData_PastureBeef.SourceData_PastureBeef_Liveweight_Data(), Table_SourceData_PastureBeef_Liveweight[[#Headers],[State]], 0)</f>
        <v>460</v>
      </c>
      <c r="L30" s="30" cm="1">
        <f t="array" ref="L30">Common_InputFunctions.Utility_DisplayArrayInTable(SourceData_PastureBeef.SourceData_PastureBeef_Liveweight_Data(), Table_SourceData_PastureBeef_Liveweight[[#Headers],[State]], 0)</f>
        <v>230</v>
      </c>
      <c r="M30" s="30" cm="1">
        <f t="array" ref="M30">Common_InputFunctions.Utility_DisplayArrayInTable(SourceData_PastureBeef.SourceData_PastureBeef_Liveweight_Data(), Table_SourceData_PastureBeef_Liveweight[[#Headers],[State]], 0)</f>
        <v>470</v>
      </c>
    </row>
    <row r="31" spans="1:19" ht="20.100000000000001" customHeight="1" x14ac:dyDescent="0.25">
      <c r="A31" s="5" t="str">
        <f>HYPERLINK("#'6.3.1.1-2 Leach runoff pasture'!A1", "6.3.1.1-2 Leach &amp; runoff (pasture)")</f>
        <v>6.3.1.1-2 Leach &amp; runoff (pasture)</v>
      </c>
      <c r="D31" s="1" t="str" cm="1">
        <f t="array" ref="D31">Common_InputFunctions.Utility_DisplayArrayInTable(SourceData_PastureBeef.SourceData_PastureBeef_Liveweight_Data(), Table_SourceData_PastureBeef_Liveweight[[#Headers],[State]], 0)</f>
        <v>Victoria</v>
      </c>
      <c r="E31" s="30" t="str" cm="1">
        <f t="array" ref="E31">Common_InputFunctions.Utility_DisplayArrayInTable(SourceData_PastureBeef.SourceData_PastureBeef_Liveweight_Data(), Table_SourceData_PastureBeef_Liveweight[[#Headers],[State]], 0)</f>
        <v>n/a</v>
      </c>
      <c r="F31" s="30" t="str" cm="1">
        <f t="array" ref="F31">Common_InputFunctions.Utility_DisplayArrayInTable(SourceData_PastureBeef.SourceData_PastureBeef_Liveweight_Data(), Table_SourceData_PastureBeef_Liveweight[[#Headers],[State]], 0)</f>
        <v>Spring</v>
      </c>
      <c r="G31" s="30" cm="1">
        <f t="array" ref="G31">Common_InputFunctions.Utility_DisplayArrayInTable(SourceData_PastureBeef.SourceData_PastureBeef_Liveweight_Data(), Table_SourceData_PastureBeef_Liveweight[[#Headers],[State]], 0)</f>
        <v>250</v>
      </c>
      <c r="H31" s="30" cm="1">
        <f t="array" ref="H31">Common_InputFunctions.Utility_DisplayArrayInTable(SourceData_PastureBeef.SourceData_PastureBeef_Liveweight_Data(), Table_SourceData_PastureBeef_Liveweight[[#Headers],[State]], 0)</f>
        <v>820</v>
      </c>
      <c r="I31" s="30" cm="1">
        <f t="array" ref="I31">Common_InputFunctions.Utility_DisplayArrayInTable(SourceData_PastureBeef.SourceData_PastureBeef_Liveweight_Data(), Table_SourceData_PastureBeef_Liveweight[[#Headers],[State]], 0)</f>
        <v>240</v>
      </c>
      <c r="J31" s="30" cm="1">
        <f t="array" ref="J31">Common_InputFunctions.Utility_DisplayArrayInTable(SourceData_PastureBeef.SourceData_PastureBeef_Liveweight_Data(), Table_SourceData_PastureBeef_Liveweight[[#Headers],[State]], 0)</f>
        <v>410</v>
      </c>
      <c r="K31" s="30" cm="1">
        <f t="array" ref="K31">Common_InputFunctions.Utility_DisplayArrayInTable(SourceData_PastureBeef.SourceData_PastureBeef_Liveweight_Data(), Table_SourceData_PastureBeef_Liveweight[[#Headers],[State]], 0)</f>
        <v>560</v>
      </c>
      <c r="L31" s="30" cm="1">
        <f t="array" ref="L31">Common_InputFunctions.Utility_DisplayArrayInTable(SourceData_PastureBeef.SourceData_PastureBeef_Liveweight_Data(), Table_SourceData_PastureBeef_Liveweight[[#Headers],[State]], 0)</f>
        <v>240</v>
      </c>
      <c r="M31" s="30" cm="1">
        <f t="array" ref="M31">Common_InputFunctions.Utility_DisplayArrayInTable(SourceData_PastureBeef.SourceData_PastureBeef_Liveweight_Data(), Table_SourceData_PastureBeef_Liveweight[[#Headers],[State]], 0)</f>
        <v>510</v>
      </c>
      <c r="O31" s="1" t="s">
        <v>340</v>
      </c>
    </row>
    <row r="32" spans="1:19" ht="20.100000000000001" customHeight="1" x14ac:dyDescent="0.25">
      <c r="A32" s="5" t="str">
        <f>HYPERLINK("#'8.1.1.1-2 Transport fuel'!A1", "8.1.1.1-2 Transport fuel")</f>
        <v>8.1.1.1-2 Transport fuel</v>
      </c>
      <c r="D32" s="1" t="str" cm="1">
        <f t="array" ref="D32">Common_InputFunctions.Utility_DisplayArrayInTable(SourceData_PastureBeef.SourceData_PastureBeef_Liveweight_Data(), Table_SourceData_PastureBeef_Liveweight[[#Headers],[State]], 0)</f>
        <v>Victoria</v>
      </c>
      <c r="E32" s="30" t="str" cm="1">
        <f t="array" ref="E32">Common_InputFunctions.Utility_DisplayArrayInTable(SourceData_PastureBeef.SourceData_PastureBeef_Liveweight_Data(), Table_SourceData_PastureBeef_Liveweight[[#Headers],[State]], 0)</f>
        <v>n/a</v>
      </c>
      <c r="F32" s="30" t="str" cm="1">
        <f t="array" ref="F32">Common_InputFunctions.Utility_DisplayArrayInTable(SourceData_PastureBeef.SourceData_PastureBeef_Liveweight_Data(), Table_SourceData_PastureBeef_Liveweight[[#Headers],[State]], 0)</f>
        <v>Summer</v>
      </c>
      <c r="G32" s="30" cm="1">
        <f t="array" ref="G32">Common_InputFunctions.Utility_DisplayArrayInTable(SourceData_PastureBeef.SourceData_PastureBeef_Liveweight_Data(), Table_SourceData_PastureBeef_Liveweight[[#Headers],[State]], 0)</f>
        <v>280</v>
      </c>
      <c r="H32" s="30" cm="1">
        <f t="array" ref="H32">Common_InputFunctions.Utility_DisplayArrayInTable(SourceData_PastureBeef.SourceData_PastureBeef_Liveweight_Data(), Table_SourceData_PastureBeef_Liveweight[[#Headers],[State]], 0)</f>
        <v>850</v>
      </c>
      <c r="I32" s="30" cm="1">
        <f t="array" ref="I32">Common_InputFunctions.Utility_DisplayArrayInTable(SourceData_PastureBeef.SourceData_PastureBeef_Liveweight_Data(), Table_SourceData_PastureBeef_Liveweight[[#Headers],[State]], 0)</f>
        <v>260</v>
      </c>
      <c r="J32" s="30" cm="1">
        <f t="array" ref="J32">Common_InputFunctions.Utility_DisplayArrayInTable(SourceData_PastureBeef.SourceData_PastureBeef_Liveweight_Data(), Table_SourceData_PastureBeef_Liveweight[[#Headers],[State]], 0)</f>
        <v>440</v>
      </c>
      <c r="K32" s="30" cm="1">
        <f t="array" ref="K32">Common_InputFunctions.Utility_DisplayArrayInTable(SourceData_PastureBeef.SourceData_PastureBeef_Liveweight_Data(), Table_SourceData_PastureBeef_Liveweight[[#Headers],[State]], 0)</f>
        <v>550</v>
      </c>
      <c r="L32" s="30" cm="1">
        <f t="array" ref="L32">Common_InputFunctions.Utility_DisplayArrayInTable(SourceData_PastureBeef.SourceData_PastureBeef_Liveweight_Data(), Table_SourceData_PastureBeef_Liveweight[[#Headers],[State]], 0)</f>
        <v>270</v>
      </c>
      <c r="M32" s="30" cm="1">
        <f t="array" ref="M32">Common_InputFunctions.Utility_DisplayArrayInTable(SourceData_PastureBeef.SourceData_PastureBeef_Liveweight_Data(), Table_SourceData_PastureBeef_Liveweight[[#Headers],[State]], 0)</f>
        <v>520</v>
      </c>
      <c r="O32" s="30" t="s">
        <v>312</v>
      </c>
      <c r="P32" s="30" t="s">
        <v>341</v>
      </c>
    </row>
    <row r="33" spans="1:16" ht="20.100000000000001" customHeight="1" x14ac:dyDescent="0.25">
      <c r="A33" s="5" t="str">
        <f>HYPERLINK("#'8.2.1.1-2 Stationary fuel'!A1", "8.2.1.1-2 Stationary fuel")</f>
        <v>8.2.1.1-2 Stationary fuel</v>
      </c>
      <c r="D33" s="1" t="str" cm="1">
        <f t="array" ref="D33">Common_InputFunctions.Utility_DisplayArrayInTable(SourceData_PastureBeef.SourceData_PastureBeef_Liveweight_Data(), Table_SourceData_PastureBeef_Liveweight[[#Headers],[State]], 0)</f>
        <v>Victoria</v>
      </c>
      <c r="E33" s="30" t="str" cm="1">
        <f t="array" ref="E33">Common_InputFunctions.Utility_DisplayArrayInTable(SourceData_PastureBeef.SourceData_PastureBeef_Liveweight_Data(), Table_SourceData_PastureBeef_Liveweight[[#Headers],[State]], 0)</f>
        <v>n/a</v>
      </c>
      <c r="F33" s="30" t="str" cm="1">
        <f t="array" ref="F33">Common_InputFunctions.Utility_DisplayArrayInTable(SourceData_PastureBeef.SourceData_PastureBeef_Liveweight_Data(), Table_SourceData_PastureBeef_Liveweight[[#Headers],[State]], 0)</f>
        <v>Autumn</v>
      </c>
      <c r="G33" s="30" cm="1">
        <f t="array" ref="G33">Common_InputFunctions.Utility_DisplayArrayInTable(SourceData_PastureBeef.SourceData_PastureBeef_Liveweight_Data(), Table_SourceData_PastureBeef_Liveweight[[#Headers],[State]], 0)</f>
        <v>100</v>
      </c>
      <c r="H33" s="30" cm="1">
        <f t="array" ref="H33">Common_InputFunctions.Utility_DisplayArrayInTable(SourceData_PastureBeef.SourceData_PastureBeef_Liveweight_Data(), Table_SourceData_PastureBeef_Liveweight[[#Headers],[State]], 0)</f>
        <v>700</v>
      </c>
      <c r="I33" s="30" cm="1">
        <f t="array" ref="I33">Common_InputFunctions.Utility_DisplayArrayInTable(SourceData_PastureBeef.SourceData_PastureBeef_Liveweight_Data(), Table_SourceData_PastureBeef_Liveweight[[#Headers],[State]], 0)</f>
        <v>95</v>
      </c>
      <c r="J33" s="30" cm="1">
        <f t="array" ref="J33">Common_InputFunctions.Utility_DisplayArrayInTable(SourceData_PastureBeef.SourceData_PastureBeef_Liveweight_Data(), Table_SourceData_PastureBeef_Liveweight[[#Headers],[State]], 0)</f>
        <v>300</v>
      </c>
      <c r="K33" s="30" cm="1">
        <f t="array" ref="K33">Common_InputFunctions.Utility_DisplayArrayInTable(SourceData_PastureBeef.SourceData_PastureBeef_Liveweight_Data(), Table_SourceData_PastureBeef_Liveweight[[#Headers],[State]], 0)</f>
        <v>450</v>
      </c>
      <c r="L33" s="30" cm="1">
        <f t="array" ref="L33">Common_InputFunctions.Utility_DisplayArrayInTable(SourceData_PastureBeef.SourceData_PastureBeef_Liveweight_Data(), Table_SourceData_PastureBeef_Liveweight[[#Headers],[State]], 0)</f>
        <v>95</v>
      </c>
      <c r="M33" s="30" cm="1">
        <f t="array" ref="M33">Common_InputFunctions.Utility_DisplayArrayInTable(SourceData_PastureBeef.SourceData_PastureBeef_Liveweight_Data(), Table_SourceData_PastureBeef_Liveweight[[#Headers],[State]], 0)</f>
        <v>410</v>
      </c>
      <c r="O33" s="30" t="s">
        <v>342</v>
      </c>
      <c r="P33" s="30" t="s">
        <v>343</v>
      </c>
    </row>
    <row r="34" spans="1:16" ht="20.100000000000001" customHeight="1" x14ac:dyDescent="0.25">
      <c r="A34" s="5" t="str">
        <f>HYPERLINK("#'14.1.1-2 Purchased electricity'!A1", "14.1.1-2 Purchased electricity")</f>
        <v>14.1.1-2 Purchased electricity</v>
      </c>
      <c r="D34" s="1" t="str" cm="1">
        <f t="array" ref="D34">Common_InputFunctions.Utility_DisplayArrayInTable(SourceData_PastureBeef.SourceData_PastureBeef_Liveweight_Data(), Table_SourceData_PastureBeef_Liveweight[[#Headers],[State]], 0)</f>
        <v>Victoria</v>
      </c>
      <c r="E34" s="30" t="str" cm="1">
        <f t="array" ref="E34">Common_InputFunctions.Utility_DisplayArrayInTable(SourceData_PastureBeef.SourceData_PastureBeef_Liveweight_Data(), Table_SourceData_PastureBeef_Liveweight[[#Headers],[State]], 0)</f>
        <v>n/a</v>
      </c>
      <c r="F34" s="30" t="str" cm="1">
        <f t="array" ref="F34">Common_InputFunctions.Utility_DisplayArrayInTable(SourceData_PastureBeef.SourceData_PastureBeef_Liveweight_Data(), Table_SourceData_PastureBeef_Liveweight[[#Headers],[State]], 0)</f>
        <v>Winter</v>
      </c>
      <c r="G34" s="30" cm="1">
        <f t="array" ref="G34">Common_InputFunctions.Utility_DisplayArrayInTable(SourceData_PastureBeef.SourceData_PastureBeef_Liveweight_Data(), Table_SourceData_PastureBeef_Liveweight[[#Headers],[State]], 0)</f>
        <v>150</v>
      </c>
      <c r="H34" s="30" cm="1">
        <f t="array" ref="H34">Common_InputFunctions.Utility_DisplayArrayInTable(SourceData_PastureBeef.SourceData_PastureBeef_Liveweight_Data(), Table_SourceData_PastureBeef_Liveweight[[#Headers],[State]], 0)</f>
        <v>720</v>
      </c>
      <c r="I34" s="30" cm="1">
        <f t="array" ref="I34">Common_InputFunctions.Utility_DisplayArrayInTable(SourceData_PastureBeef.SourceData_PastureBeef_Liveweight_Data(), Table_SourceData_PastureBeef_Liveweight[[#Headers],[State]], 0)</f>
        <v>140</v>
      </c>
      <c r="J34" s="30" cm="1">
        <f t="array" ref="J34">Common_InputFunctions.Utility_DisplayArrayInTable(SourceData_PastureBeef.SourceData_PastureBeef_Liveweight_Data(), Table_SourceData_PastureBeef_Liveweight[[#Headers],[State]], 0)</f>
        <v>320</v>
      </c>
      <c r="K34" s="30" cm="1">
        <f t="array" ref="K34">Common_InputFunctions.Utility_DisplayArrayInTable(SourceData_PastureBeef.SourceData_PastureBeef_Liveweight_Data(), Table_SourceData_PastureBeef_Liveweight[[#Headers],[State]], 0)</f>
        <v>470</v>
      </c>
      <c r="L34" s="30" cm="1">
        <f t="array" ref="L34">Common_InputFunctions.Utility_DisplayArrayInTable(SourceData_PastureBeef.SourceData_PastureBeef_Liveweight_Data(), Table_SourceData_PastureBeef_Liveweight[[#Headers],[State]], 0)</f>
        <v>140</v>
      </c>
      <c r="M34" s="30" cm="1">
        <f t="array" ref="M34">Common_InputFunctions.Utility_DisplayArrayInTable(SourceData_PastureBeef.SourceData_PastureBeef_Liveweight_Data(), Table_SourceData_PastureBeef_Liveweight[[#Headers],[State]], 0)</f>
        <v>440</v>
      </c>
      <c r="O34" s="30" t="s">
        <v>343</v>
      </c>
      <c r="P34" s="30" t="s">
        <v>343</v>
      </c>
    </row>
    <row r="35" spans="1:16" ht="20.100000000000001" customHeight="1" x14ac:dyDescent="0.25">
      <c r="D35" s="1" t="str" cm="1">
        <f t="array" ref="D35">Common_InputFunctions.Utility_DisplayArrayInTable(SourceData_PastureBeef.SourceData_PastureBeef_Liveweight_Data(), Table_SourceData_PastureBeef_Liveweight[[#Headers],[State]], 0)</f>
        <v>Western Australia</v>
      </c>
      <c r="E35" s="30" t="str" cm="1">
        <f t="array" ref="E35">Common_InputFunctions.Utility_DisplayArrayInTable(SourceData_PastureBeef.SourceData_PastureBeef_Liveweight_Data(), Table_SourceData_PastureBeef_Liveweight[[#Headers],[State]], 0)</f>
        <v>South West</v>
      </c>
      <c r="F35" s="30" t="str" cm="1">
        <f t="array" ref="F35">Common_InputFunctions.Utility_DisplayArrayInTable(SourceData_PastureBeef.SourceData_PastureBeef_Liveweight_Data(), Table_SourceData_PastureBeef_Liveweight[[#Headers],[State]], 0)</f>
        <v>Spring</v>
      </c>
      <c r="G35" s="30" cm="1">
        <f t="array" ref="G35">Common_InputFunctions.Utility_DisplayArrayInTable(SourceData_PastureBeef.SourceData_PastureBeef_Liveweight_Data(), Table_SourceData_PastureBeef_Liveweight[[#Headers],[State]], 0)</f>
        <v>340</v>
      </c>
      <c r="H35" s="30" cm="1">
        <f t="array" ref="H35">Common_InputFunctions.Utility_DisplayArrayInTable(SourceData_PastureBeef.SourceData_PastureBeef_Liveweight_Data(), Table_SourceData_PastureBeef_Liveweight[[#Headers],[State]], 0)</f>
        <v>800</v>
      </c>
      <c r="I35" s="30" cm="1">
        <f t="array" ref="I35">Common_InputFunctions.Utility_DisplayArrayInTable(SourceData_PastureBeef.SourceData_PastureBeef_Liveweight_Data(), Table_SourceData_PastureBeef_Liveweight[[#Headers],[State]], 0)</f>
        <v>260</v>
      </c>
      <c r="J35" s="30" cm="1">
        <f t="array" ref="J35">Common_InputFunctions.Utility_DisplayArrayInTable(SourceData_PastureBeef.SourceData_PastureBeef_Liveweight_Data(), Table_SourceData_PastureBeef_Liveweight[[#Headers],[State]], 0)</f>
        <v>420</v>
      </c>
      <c r="K35" s="30" cm="1">
        <f t="array" ref="K35">Common_InputFunctions.Utility_DisplayArrayInTable(SourceData_PastureBeef.SourceData_PastureBeef_Liveweight_Data(), Table_SourceData_PastureBeef_Liveweight[[#Headers],[State]], 0)</f>
        <v>550</v>
      </c>
      <c r="L35" s="30" cm="1">
        <f t="array" ref="L35">Common_InputFunctions.Utility_DisplayArrayInTable(SourceData_PastureBeef.SourceData_PastureBeef_Liveweight_Data(), Table_SourceData_PastureBeef_Liveweight[[#Headers],[State]], 0)</f>
        <v>300</v>
      </c>
      <c r="M35" s="30" cm="1">
        <f t="array" ref="M35">Common_InputFunctions.Utility_DisplayArrayInTable(SourceData_PastureBeef.SourceData_PastureBeef_Liveweight_Data(), Table_SourceData_PastureBeef_Liveweight[[#Headers],[State]], 0)</f>
        <v>480</v>
      </c>
      <c r="O35" s="30" t="s">
        <v>344</v>
      </c>
      <c r="P35" s="30" t="s">
        <v>344</v>
      </c>
    </row>
    <row r="36" spans="1:16" ht="20.100000000000001" customHeight="1" x14ac:dyDescent="0.25">
      <c r="D36" s="1" t="str" cm="1">
        <f t="array" ref="D36">Common_InputFunctions.Utility_DisplayArrayInTable(SourceData_PastureBeef.SourceData_PastureBeef_Liveweight_Data(), Table_SourceData_PastureBeef_Liveweight[[#Headers],[State]], 0)</f>
        <v>Western Australia</v>
      </c>
      <c r="E36" s="30" t="str" cm="1">
        <f t="array" ref="E36">Common_InputFunctions.Utility_DisplayArrayInTable(SourceData_PastureBeef.SourceData_PastureBeef_Liveweight_Data(), Table_SourceData_PastureBeef_Liveweight[[#Headers],[State]], 0)</f>
        <v>South West</v>
      </c>
      <c r="F36" s="30" t="str" cm="1">
        <f t="array" ref="F36">Common_InputFunctions.Utility_DisplayArrayInTable(SourceData_PastureBeef.SourceData_PastureBeef_Liveweight_Data(), Table_SourceData_PastureBeef_Liveweight[[#Headers],[State]], 0)</f>
        <v>Summer</v>
      </c>
      <c r="G36" s="30" cm="1">
        <f t="array" ref="G36">Common_InputFunctions.Utility_DisplayArrayInTable(SourceData_PastureBeef.SourceData_PastureBeef_Liveweight_Data(), Table_SourceData_PastureBeef_Liveweight[[#Headers],[State]], 0)</f>
        <v>380</v>
      </c>
      <c r="H36" s="30" cm="1">
        <f t="array" ref="H36">Common_InputFunctions.Utility_DisplayArrayInTable(SourceData_PastureBeef.SourceData_PastureBeef_Liveweight_Data(), Table_SourceData_PastureBeef_Liveweight[[#Headers],[State]], 0)</f>
        <v>780</v>
      </c>
      <c r="I36" s="30" cm="1">
        <f t="array" ref="I36">Common_InputFunctions.Utility_DisplayArrayInTable(SourceData_PastureBeef.SourceData_PastureBeef_Liveweight_Data(), Table_SourceData_PastureBeef_Liveweight[[#Headers],[State]], 0)</f>
        <v>300</v>
      </c>
      <c r="J36" s="30" cm="1">
        <f t="array" ref="J36">Common_InputFunctions.Utility_DisplayArrayInTable(SourceData_PastureBeef.SourceData_PastureBeef_Liveweight_Data(), Table_SourceData_PastureBeef_Liveweight[[#Headers],[State]], 0)</f>
        <v>450</v>
      </c>
      <c r="K36" s="30" cm="1">
        <f t="array" ref="K36">Common_InputFunctions.Utility_DisplayArrayInTable(SourceData_PastureBeef.SourceData_PastureBeef_Liveweight_Data(), Table_SourceData_PastureBeef_Liveweight[[#Headers],[State]], 0)</f>
        <v>530</v>
      </c>
      <c r="L36" s="30" cm="1">
        <f t="array" ref="L36">Common_InputFunctions.Utility_DisplayArrayInTable(SourceData_PastureBeef.SourceData_PastureBeef_Liveweight_Data(), Table_SourceData_PastureBeef_Liveweight[[#Headers],[State]], 0)</f>
        <v>340</v>
      </c>
      <c r="M36" s="30" cm="1">
        <f t="array" ref="M36">Common_InputFunctions.Utility_DisplayArrayInTable(SourceData_PastureBeef.SourceData_PastureBeef_Liveweight_Data(), Table_SourceData_PastureBeef_Liveweight[[#Headers],[State]], 0)</f>
        <v>470</v>
      </c>
      <c r="O36" s="30" t="s">
        <v>345</v>
      </c>
      <c r="P36" s="30" t="s">
        <v>345</v>
      </c>
    </row>
    <row r="37" spans="1:16" ht="20.100000000000001" customHeight="1" x14ac:dyDescent="0.25">
      <c r="A37" s="251" t="s">
        <v>1</v>
      </c>
      <c r="D37" s="1" t="str" cm="1">
        <f t="array" ref="D37">Common_InputFunctions.Utility_DisplayArrayInTable(SourceData_PastureBeef.SourceData_PastureBeef_Liveweight_Data(), Table_SourceData_PastureBeef_Liveweight[[#Headers],[State]], 0)</f>
        <v>Western Australia</v>
      </c>
      <c r="E37" s="30" t="str" cm="1">
        <f t="array" ref="E37">Common_InputFunctions.Utility_DisplayArrayInTable(SourceData_PastureBeef.SourceData_PastureBeef_Liveweight_Data(), Table_SourceData_PastureBeef_Liveweight[[#Headers],[State]], 0)</f>
        <v>South West</v>
      </c>
      <c r="F37" s="30" t="str" cm="1">
        <f t="array" ref="F37">Common_InputFunctions.Utility_DisplayArrayInTable(SourceData_PastureBeef.SourceData_PastureBeef_Liveweight_Data(), Table_SourceData_PastureBeef_Liveweight[[#Headers],[State]], 0)</f>
        <v>Autumn</v>
      </c>
      <c r="G37" s="30" cm="1">
        <f t="array" ref="G37">Common_InputFunctions.Utility_DisplayArrayInTable(SourceData_PastureBeef.SourceData_PastureBeef_Liveweight_Data(), Table_SourceData_PastureBeef_Liveweight[[#Headers],[State]], 0)</f>
        <v>100</v>
      </c>
      <c r="H37" s="30" cm="1">
        <f t="array" ref="H37">Common_InputFunctions.Utility_DisplayArrayInTable(SourceData_PastureBeef.SourceData_PastureBeef_Liveweight_Data(), Table_SourceData_PastureBeef_Liveweight[[#Headers],[State]], 0)</f>
        <v>680</v>
      </c>
      <c r="I37" s="30" cm="1">
        <f t="array" ref="I37">Common_InputFunctions.Utility_DisplayArrayInTable(SourceData_PastureBeef.SourceData_PastureBeef_Liveweight_Data(), Table_SourceData_PastureBeef_Liveweight[[#Headers],[State]], 0)</f>
        <v>80</v>
      </c>
      <c r="J37" s="30" cm="1">
        <f t="array" ref="J37">Common_InputFunctions.Utility_DisplayArrayInTable(SourceData_PastureBeef.SourceData_PastureBeef_Liveweight_Data(), Table_SourceData_PastureBeef_Liveweight[[#Headers],[State]], 0)</f>
        <v>320</v>
      </c>
      <c r="K37" s="30" cm="1">
        <f t="array" ref="K37">Common_InputFunctions.Utility_DisplayArrayInTable(SourceData_PastureBeef.SourceData_PastureBeef_Liveweight_Data(), Table_SourceData_PastureBeef_Liveweight[[#Headers],[State]], 0)</f>
        <v>480</v>
      </c>
      <c r="L37" s="30" cm="1">
        <f t="array" ref="L37">Common_InputFunctions.Utility_DisplayArrayInTable(SourceData_PastureBeef.SourceData_PastureBeef_Liveweight_Data(), Table_SourceData_PastureBeef_Liveweight[[#Headers],[State]], 0)</f>
        <v>100</v>
      </c>
      <c r="M37" s="30" cm="1">
        <f t="array" ref="M37">Common_InputFunctions.Utility_DisplayArrayInTable(SourceData_PastureBeef.SourceData_PastureBeef_Liveweight_Data(), Table_SourceData_PastureBeef_Liveweight[[#Headers],[State]], 0)</f>
        <v>340</v>
      </c>
      <c r="O37" s="30" t="s">
        <v>346</v>
      </c>
      <c r="P37" s="30" t="s">
        <v>346</v>
      </c>
    </row>
    <row r="38" spans="1:16" ht="20.100000000000001" customHeight="1" x14ac:dyDescent="0.25">
      <c r="A38" s="126" t="str">
        <f>HYPERLINK("#'Constants - Pasture Beef'!A1", "Constants - Pasture Beef")</f>
        <v>Constants - Pasture Beef</v>
      </c>
      <c r="D38" s="1" t="str" cm="1">
        <f t="array" ref="D38">Common_InputFunctions.Utility_DisplayArrayInTable(SourceData_PastureBeef.SourceData_PastureBeef_Liveweight_Data(), Table_SourceData_PastureBeef_Liveweight[[#Headers],[State]], 0)</f>
        <v>Western Australia</v>
      </c>
      <c r="E38" s="30" t="str" cm="1">
        <f t="array" ref="E38">Common_InputFunctions.Utility_DisplayArrayInTable(SourceData_PastureBeef.SourceData_PastureBeef_Liveweight_Data(), Table_SourceData_PastureBeef_Liveweight[[#Headers],[State]], 0)</f>
        <v>South West</v>
      </c>
      <c r="F38" s="30" t="str" cm="1">
        <f t="array" ref="F38">Common_InputFunctions.Utility_DisplayArrayInTable(SourceData_PastureBeef.SourceData_PastureBeef_Liveweight_Data(), Table_SourceData_PastureBeef_Liveweight[[#Headers],[State]], 0)</f>
        <v>Winter</v>
      </c>
      <c r="G38" s="30" cm="1">
        <f t="array" ref="G38">Common_InputFunctions.Utility_DisplayArrayInTable(SourceData_PastureBeef.SourceData_PastureBeef_Liveweight_Data(), Table_SourceData_PastureBeef_Liveweight[[#Headers],[State]], 0)</f>
        <v>190</v>
      </c>
      <c r="H38" s="30" cm="1">
        <f t="array" ref="H38">Common_InputFunctions.Utility_DisplayArrayInTable(SourceData_PastureBeef.SourceData_PastureBeef_Liveweight_Data(), Table_SourceData_PastureBeef_Liveweight[[#Headers],[State]], 0)</f>
        <v>700</v>
      </c>
      <c r="I38" s="30" cm="1">
        <f t="array" ref="I38">Common_InputFunctions.Utility_DisplayArrayInTable(SourceData_PastureBeef.SourceData_PastureBeef_Liveweight_Data(), Table_SourceData_PastureBeef_Liveweight[[#Headers],[State]], 0)</f>
        <v>150</v>
      </c>
      <c r="J38" s="30" cm="1">
        <f t="array" ref="J38">Common_InputFunctions.Utility_DisplayArrayInTable(SourceData_PastureBeef.SourceData_PastureBeef_Liveweight_Data(), Table_SourceData_PastureBeef_Liveweight[[#Headers],[State]], 0)</f>
        <v>330</v>
      </c>
      <c r="K38" s="30" cm="1">
        <f t="array" ref="K38">Common_InputFunctions.Utility_DisplayArrayInTable(SourceData_PastureBeef.SourceData_PastureBeef_Liveweight_Data(), Table_SourceData_PastureBeef_Liveweight[[#Headers],[State]], 0)</f>
        <v>490</v>
      </c>
      <c r="L38" s="30" cm="1">
        <f t="array" ref="L38">Common_InputFunctions.Utility_DisplayArrayInTable(SourceData_PastureBeef.SourceData_PastureBeef_Liveweight_Data(), Table_SourceData_PastureBeef_Liveweight[[#Headers],[State]], 0)</f>
        <v>170</v>
      </c>
      <c r="M38" s="30" cm="1">
        <f t="array" ref="M38">Common_InputFunctions.Utility_DisplayArrayInTable(SourceData_PastureBeef.SourceData_PastureBeef_Liveweight_Data(), Table_SourceData_PastureBeef_Liveweight[[#Headers],[State]], 0)</f>
        <v>360</v>
      </c>
      <c r="O38" s="30" t="s">
        <v>347</v>
      </c>
      <c r="P38" s="30" t="s">
        <v>348</v>
      </c>
    </row>
    <row r="39" spans="1:16" ht="20.100000000000001" customHeight="1" x14ac:dyDescent="0.25">
      <c r="A39" s="5" t="str">
        <f>HYPERLINK("#'Constants - Ag Residue'!A1", "Constants - Ag residue")</f>
        <v>Constants - Ag residue</v>
      </c>
      <c r="D39" s="1" t="str" cm="1">
        <f t="array" ref="D39">Common_InputFunctions.Utility_DisplayArrayInTable(SourceData_PastureBeef.SourceData_PastureBeef_Liveweight_Data(), Table_SourceData_PastureBeef_Liveweight[[#Headers],[State]], 0)</f>
        <v>Western Australia</v>
      </c>
      <c r="E39" s="30" t="str" cm="1">
        <f t="array" ref="E39">Common_InputFunctions.Utility_DisplayArrayInTable(SourceData_PastureBeef.SourceData_PastureBeef_Liveweight_Data(), Table_SourceData_PastureBeef_Liveweight[[#Headers],[State]], 0)</f>
        <v>Pilbara</v>
      </c>
      <c r="F39" s="30" t="str" cm="1">
        <f t="array" ref="F39">Common_InputFunctions.Utility_DisplayArrayInTable(SourceData_PastureBeef.SourceData_PastureBeef_Liveweight_Data(), Table_SourceData_PastureBeef_Liveweight[[#Headers],[State]], 0)</f>
        <v>Spring</v>
      </c>
      <c r="G39" s="30" cm="1">
        <f t="array" ref="G39">Common_InputFunctions.Utility_DisplayArrayInTable(SourceData_PastureBeef.SourceData_PastureBeef_Liveweight_Data(), Table_SourceData_PastureBeef_Liveweight[[#Headers],[State]], 0)</f>
        <v>80</v>
      </c>
      <c r="H39" s="30" cm="1">
        <f t="array" ref="H39">Common_InputFunctions.Utility_DisplayArrayInTable(SourceData_PastureBeef.SourceData_PastureBeef_Liveweight_Data(), Table_SourceData_PastureBeef_Liveweight[[#Headers],[State]], 0)</f>
        <v>450</v>
      </c>
      <c r="I39" s="30" cm="1">
        <f t="array" ref="I39">Common_InputFunctions.Utility_DisplayArrayInTable(SourceData_PastureBeef.SourceData_PastureBeef_Liveweight_Data(), Table_SourceData_PastureBeef_Liveweight[[#Headers],[State]], 0)</f>
        <v>70</v>
      </c>
      <c r="J39" s="30" cm="1">
        <f t="array" ref="J39">Common_InputFunctions.Utility_DisplayArrayInTable(SourceData_PastureBeef.SourceData_PastureBeef_Liveweight_Data(), Table_SourceData_PastureBeef_Liveweight[[#Headers],[State]], 0)</f>
        <v>260</v>
      </c>
      <c r="K39" s="30" cm="1">
        <f t="array" ref="K39">Common_InputFunctions.Utility_DisplayArrayInTable(SourceData_PastureBeef.SourceData_PastureBeef_Liveweight_Data(), Table_SourceData_PastureBeef_Liveweight[[#Headers],[State]], 0)</f>
        <v>340</v>
      </c>
      <c r="L39" s="30" cm="1">
        <f t="array" ref="L39">Common_InputFunctions.Utility_DisplayArrayInTable(SourceData_PastureBeef.SourceData_PastureBeef_Liveweight_Data(), Table_SourceData_PastureBeef_Liveweight[[#Headers],[State]], 0)</f>
        <v>80</v>
      </c>
      <c r="M39" s="30" cm="1">
        <f t="array" ref="M39">Common_InputFunctions.Utility_DisplayArrayInTable(SourceData_PastureBeef.SourceData_PastureBeef_Liveweight_Data(), Table_SourceData_PastureBeef_Liveweight[[#Headers],[State]], 0)</f>
        <v>370</v>
      </c>
      <c r="O39" s="30" t="s">
        <v>349</v>
      </c>
      <c r="P39" s="30" t="s">
        <v>348</v>
      </c>
    </row>
    <row r="40" spans="1:16" ht="20.100000000000001" customHeight="1" x14ac:dyDescent="0.25">
      <c r="A40" s="5" t="str">
        <f>HYPERLINK("#'Constants - Common Livestock'!A1", "Constants - Common Livestock")</f>
        <v>Constants - Common Livestock</v>
      </c>
      <c r="D40" s="1" t="str" cm="1">
        <f t="array" ref="D40">Common_InputFunctions.Utility_DisplayArrayInTable(SourceData_PastureBeef.SourceData_PastureBeef_Liveweight_Data(), Table_SourceData_PastureBeef_Liveweight[[#Headers],[State]], 0)</f>
        <v>Western Australia</v>
      </c>
      <c r="E40" s="30" t="str" cm="1">
        <f t="array" ref="E40">Common_InputFunctions.Utility_DisplayArrayInTable(SourceData_PastureBeef.SourceData_PastureBeef_Liveweight_Data(), Table_SourceData_PastureBeef_Liveweight[[#Headers],[State]], 0)</f>
        <v>Pilbara</v>
      </c>
      <c r="F40" s="30" t="str" cm="1">
        <f t="array" ref="F40">Common_InputFunctions.Utility_DisplayArrayInTable(SourceData_PastureBeef.SourceData_PastureBeef_Liveweight_Data(), Table_SourceData_PastureBeef_Liveweight[[#Headers],[State]], 0)</f>
        <v>Summer</v>
      </c>
      <c r="G40" s="30" cm="1">
        <f t="array" ref="G40">Common_InputFunctions.Utility_DisplayArrayInTable(SourceData_PastureBeef.SourceData_PastureBeef_Liveweight_Data(), Table_SourceData_PastureBeef_Liveweight[[#Headers],[State]], 0)</f>
        <v>150</v>
      </c>
      <c r="H40" s="30" cm="1">
        <f t="array" ref="H40">Common_InputFunctions.Utility_DisplayArrayInTable(SourceData_PastureBeef.SourceData_PastureBeef_Liveweight_Data(), Table_SourceData_PastureBeef_Liveweight[[#Headers],[State]], 0)</f>
        <v>500</v>
      </c>
      <c r="I40" s="30" cm="1">
        <f t="array" ref="I40">Common_InputFunctions.Utility_DisplayArrayInTable(SourceData_PastureBeef.SourceData_PastureBeef_Liveweight_Data(), Table_SourceData_PastureBeef_Liveweight[[#Headers],[State]], 0)</f>
        <v>140</v>
      </c>
      <c r="J40" s="30" cm="1">
        <f t="array" ref="J40">Common_InputFunctions.Utility_DisplayArrayInTable(SourceData_PastureBeef.SourceData_PastureBeef_Liveweight_Data(), Table_SourceData_PastureBeef_Liveweight[[#Headers],[State]], 0)</f>
        <v>310</v>
      </c>
      <c r="K40" s="30" cm="1">
        <f t="array" ref="K40">Common_InputFunctions.Utility_DisplayArrayInTable(SourceData_PastureBeef.SourceData_PastureBeef_Liveweight_Data(), Table_SourceData_PastureBeef_Liveweight[[#Headers],[State]], 0)</f>
        <v>360</v>
      </c>
      <c r="L40" s="30" cm="1">
        <f t="array" ref="L40">Common_InputFunctions.Utility_DisplayArrayInTable(SourceData_PastureBeef.SourceData_PastureBeef_Liveweight_Data(), Table_SourceData_PastureBeef_Liveweight[[#Headers],[State]], 0)</f>
        <v>150</v>
      </c>
      <c r="M40" s="30" cm="1">
        <f t="array" ref="M40">Common_InputFunctions.Utility_DisplayArrayInTable(SourceData_PastureBeef.SourceData_PastureBeef_Liveweight_Data(), Table_SourceData_PastureBeef_Liveweight[[#Headers],[State]], 0)</f>
        <v>400</v>
      </c>
      <c r="O40" s="30" t="s">
        <v>254</v>
      </c>
      <c r="P40" s="30" t="s">
        <v>348</v>
      </c>
    </row>
    <row r="41" spans="1:16" ht="20.100000000000001" customHeight="1" x14ac:dyDescent="0.25">
      <c r="A41" s="5" t="str">
        <f>HYPERLINK("#'Constants - Electricity'!A1", "Constants - Electricity")</f>
        <v>Constants - Electricity</v>
      </c>
      <c r="D41" s="1" t="str" cm="1">
        <f t="array" ref="D41">Common_InputFunctions.Utility_DisplayArrayInTable(SourceData_PastureBeef.SourceData_PastureBeef_Liveweight_Data(), Table_SourceData_PastureBeef_Liveweight[[#Headers],[State]], 0)</f>
        <v>Western Australia</v>
      </c>
      <c r="E41" s="30" t="str" cm="1">
        <f t="array" ref="E41">Common_InputFunctions.Utility_DisplayArrayInTable(SourceData_PastureBeef.SourceData_PastureBeef_Liveweight_Data(), Table_SourceData_PastureBeef_Liveweight[[#Headers],[State]], 0)</f>
        <v>Pilbara</v>
      </c>
      <c r="F41" s="30" t="str" cm="1">
        <f t="array" ref="F41">Common_InputFunctions.Utility_DisplayArrayInTable(SourceData_PastureBeef.SourceData_PastureBeef_Liveweight_Data(), Table_SourceData_PastureBeef_Liveweight[[#Headers],[State]], 0)</f>
        <v>Autumn</v>
      </c>
      <c r="G41" s="30" cm="1">
        <f t="array" ref="G41">Common_InputFunctions.Utility_DisplayArrayInTable(SourceData_PastureBeef.SourceData_PastureBeef_Liveweight_Data(), Table_SourceData_PastureBeef_Liveweight[[#Headers],[State]], 0)</f>
        <v>230</v>
      </c>
      <c r="H41" s="30" cm="1">
        <f t="array" ref="H41">Common_InputFunctions.Utility_DisplayArrayInTable(SourceData_PastureBeef.SourceData_PastureBeef_Liveweight_Data(), Table_SourceData_PastureBeef_Liveweight[[#Headers],[State]], 0)</f>
        <v>550</v>
      </c>
      <c r="I41" s="30" cm="1">
        <f t="array" ref="I41">Common_InputFunctions.Utility_DisplayArrayInTable(SourceData_PastureBeef.SourceData_PastureBeef_Liveweight_Data(), Table_SourceData_PastureBeef_Liveweight[[#Headers],[State]], 0)</f>
        <v>220</v>
      </c>
      <c r="J41" s="30" cm="1">
        <f t="array" ref="J41">Common_InputFunctions.Utility_DisplayArrayInTable(SourceData_PastureBeef.SourceData_PastureBeef_Liveweight_Data(), Table_SourceData_PastureBeef_Liveweight[[#Headers],[State]], 0)</f>
        <v>330</v>
      </c>
      <c r="K41" s="30" cm="1">
        <f t="array" ref="K41">Common_InputFunctions.Utility_DisplayArrayInTable(SourceData_PastureBeef.SourceData_PastureBeef_Liveweight_Data(), Table_SourceData_PastureBeef_Liveweight[[#Headers],[State]], 0)</f>
        <v>380</v>
      </c>
      <c r="L41" s="30" cm="1">
        <f t="array" ref="L41">Common_InputFunctions.Utility_DisplayArrayInTable(SourceData_PastureBeef.SourceData_PastureBeef_Liveweight_Data(), Table_SourceData_PastureBeef_Liveweight[[#Headers],[State]], 0)</f>
        <v>230</v>
      </c>
      <c r="M41" s="30" cm="1">
        <f t="array" ref="M41">Common_InputFunctions.Utility_DisplayArrayInTable(SourceData_PastureBeef.SourceData_PastureBeef_Liveweight_Data(), Table_SourceData_PastureBeef_Liveweight[[#Headers],[State]], 0)</f>
        <v>420</v>
      </c>
      <c r="O41" s="30" t="s">
        <v>350</v>
      </c>
      <c r="P41" s="30" t="s">
        <v>351</v>
      </c>
    </row>
    <row r="42" spans="1:16" ht="20.100000000000001" customHeight="1" x14ac:dyDescent="0.25">
      <c r="A42" s="5" t="str">
        <f>HYPERLINK("#'Constants - Fertiliser'!A1", "Constants - Fertiliser")</f>
        <v>Constants - Fertiliser</v>
      </c>
      <c r="D42" s="1" t="str" cm="1">
        <f t="array" ref="D42">Common_InputFunctions.Utility_DisplayArrayInTable(SourceData_PastureBeef.SourceData_PastureBeef_Liveweight_Data(), Table_SourceData_PastureBeef_Liveweight[[#Headers],[State]], 0)</f>
        <v>Western Australia</v>
      </c>
      <c r="E42" s="30" t="str" cm="1">
        <f t="array" ref="E42">Common_InputFunctions.Utility_DisplayArrayInTable(SourceData_PastureBeef.SourceData_PastureBeef_Liveweight_Data(), Table_SourceData_PastureBeef_Liveweight[[#Headers],[State]], 0)</f>
        <v>Pilbara</v>
      </c>
      <c r="F42" s="30" t="str" cm="1">
        <f t="array" ref="F42">Common_InputFunctions.Utility_DisplayArrayInTable(SourceData_PastureBeef.SourceData_PastureBeef_Liveweight_Data(), Table_SourceData_PastureBeef_Liveweight[[#Headers],[State]], 0)</f>
        <v>Winter</v>
      </c>
      <c r="G42" s="30" cm="1">
        <f t="array" ref="G42">Common_InputFunctions.Utility_DisplayArrayInTable(SourceData_PastureBeef.SourceData_PastureBeef_Liveweight_Data(), Table_SourceData_PastureBeef_Liveweight[[#Headers],[State]], 0)</f>
        <v>250</v>
      </c>
      <c r="H42" s="30" cm="1">
        <f t="array" ref="H42">Common_InputFunctions.Utility_DisplayArrayInTable(SourceData_PastureBeef.SourceData_PastureBeef_Liveweight_Data(), Table_SourceData_PastureBeef_Liveweight[[#Headers],[State]], 0)</f>
        <v>500</v>
      </c>
      <c r="I42" s="30" cm="1">
        <f t="array" ref="I42">Common_InputFunctions.Utility_DisplayArrayInTable(SourceData_PastureBeef.SourceData_PastureBeef_Liveweight_Data(), Table_SourceData_PastureBeef_Liveweight[[#Headers],[State]], 0)</f>
        <v>240</v>
      </c>
      <c r="J42" s="30" cm="1">
        <f t="array" ref="J42">Common_InputFunctions.Utility_DisplayArrayInTable(SourceData_PastureBeef.SourceData_PastureBeef_Liveweight_Data(), Table_SourceData_PastureBeef_Liveweight[[#Headers],[State]], 0)</f>
        <v>340</v>
      </c>
      <c r="K42" s="30" cm="1">
        <f t="array" ref="K42">Common_InputFunctions.Utility_DisplayArrayInTable(SourceData_PastureBeef.SourceData_PastureBeef_Liveweight_Data(), Table_SourceData_PastureBeef_Liveweight[[#Headers],[State]], 0)</f>
        <v>360</v>
      </c>
      <c r="L42" s="30" cm="1">
        <f t="array" ref="L42">Common_InputFunctions.Utility_DisplayArrayInTable(SourceData_PastureBeef.SourceData_PastureBeef_Liveweight_Data(), Table_SourceData_PastureBeef_Liveweight[[#Headers],[State]], 0)</f>
        <v>250</v>
      </c>
      <c r="M42" s="30" cm="1">
        <f t="array" ref="M42">Common_InputFunctions.Utility_DisplayArrayInTable(SourceData_PastureBeef.SourceData_PastureBeef_Liveweight_Data(), Table_SourceData_PastureBeef_Liveweight[[#Headers],[State]], 0)</f>
        <v>390</v>
      </c>
      <c r="O42" s="30" t="s">
        <v>352</v>
      </c>
      <c r="P42" s="30" t="s">
        <v>351</v>
      </c>
    </row>
    <row r="43" spans="1:16" ht="20.100000000000001" customHeight="1" x14ac:dyDescent="0.25">
      <c r="A43" s="5" t="str">
        <f>HYPERLINK("#'Constants - Fuel'!A1", "Constants - Fuel")</f>
        <v>Constants - Fuel</v>
      </c>
      <c r="D43" s="1" t="str" cm="1">
        <f t="array" ref="D43">Common_InputFunctions.Utility_DisplayArrayInTable(SourceData_PastureBeef.SourceData_PastureBeef_Liveweight_Data(), Table_SourceData_PastureBeef_Liveweight[[#Headers],[State]], 0)</f>
        <v>Western Australia</v>
      </c>
      <c r="E43" s="30" t="str" cm="1">
        <f t="array" ref="E43">Common_InputFunctions.Utility_DisplayArrayInTable(SourceData_PastureBeef.SourceData_PastureBeef_Liveweight_Data(), Table_SourceData_PastureBeef_Liveweight[[#Headers],[State]], 0)</f>
        <v>Kimberley</v>
      </c>
      <c r="F43" s="30" t="str" cm="1">
        <f t="array" ref="F43">Common_InputFunctions.Utility_DisplayArrayInTable(SourceData_PastureBeef.SourceData_PastureBeef_Liveweight_Data(), Table_SourceData_PastureBeef_Liveweight[[#Headers],[State]], 0)</f>
        <v>Spring</v>
      </c>
      <c r="G43" s="30" cm="1">
        <f t="array" ref="G43">Common_InputFunctions.Utility_DisplayArrayInTable(SourceData_PastureBeef.SourceData_PastureBeef_Liveweight_Data(), Table_SourceData_PastureBeef_Liveweight[[#Headers],[State]], 0)</f>
        <v>220</v>
      </c>
      <c r="H43" s="30" cm="1">
        <f t="array" ref="H43">Common_InputFunctions.Utility_DisplayArrayInTable(SourceData_PastureBeef.SourceData_PastureBeef_Liveweight_Data(), Table_SourceData_PastureBeef_Liveweight[[#Headers],[State]], 0)</f>
        <v>500</v>
      </c>
      <c r="I43" s="30" cm="1">
        <f t="array" ref="I43">Common_InputFunctions.Utility_DisplayArrayInTable(SourceData_PastureBeef.SourceData_PastureBeef_Liveweight_Data(), Table_SourceData_PastureBeef_Liveweight[[#Headers],[State]], 0)</f>
        <v>180</v>
      </c>
      <c r="J43" s="30" cm="1">
        <f t="array" ref="J43">Common_InputFunctions.Utility_DisplayArrayInTable(SourceData_PastureBeef.SourceData_PastureBeef_Liveweight_Data(), Table_SourceData_PastureBeef_Liveweight[[#Headers],[State]], 0)</f>
        <v>300</v>
      </c>
      <c r="K43" s="30" cm="1">
        <f t="array" ref="K43">Common_InputFunctions.Utility_DisplayArrayInTable(SourceData_PastureBeef.SourceData_PastureBeef_Liveweight_Data(), Table_SourceData_PastureBeef_Liveweight[[#Headers],[State]], 0)</f>
        <v>320</v>
      </c>
      <c r="L43" s="30" cm="1">
        <f t="array" ref="L43">Common_InputFunctions.Utility_DisplayArrayInTable(SourceData_PastureBeef.SourceData_PastureBeef_Liveweight_Data(), Table_SourceData_PastureBeef_Liveweight[[#Headers],[State]], 0)</f>
        <v>210</v>
      </c>
      <c r="M43" s="30" cm="1">
        <f t="array" ref="M43">Common_InputFunctions.Utility_DisplayArrayInTable(SourceData_PastureBeef.SourceData_PastureBeef_Liveweight_Data(), Table_SourceData_PastureBeef_Liveweight[[#Headers],[State]], 0)</f>
        <v>340</v>
      </c>
      <c r="O43" s="30" t="s">
        <v>353</v>
      </c>
      <c r="P43" s="30" t="s">
        <v>351</v>
      </c>
    </row>
    <row r="44" spans="1:16" ht="20.100000000000001" customHeight="1" x14ac:dyDescent="0.25">
      <c r="A44" s="5" t="str">
        <f>HYPERLINK("#'Constants - Common'!A1", "Constants - Common")</f>
        <v>Constants - Common</v>
      </c>
      <c r="D44" s="1" t="str" cm="1">
        <f t="array" ref="D44">Common_InputFunctions.Utility_DisplayArrayInTable(SourceData_PastureBeef.SourceData_PastureBeef_Liveweight_Data(), Table_SourceData_PastureBeef_Liveweight[[#Headers],[State]], 0)</f>
        <v>Western Australia</v>
      </c>
      <c r="E44" s="30" t="str" cm="1">
        <f t="array" ref="E44">Common_InputFunctions.Utility_DisplayArrayInTable(SourceData_PastureBeef.SourceData_PastureBeef_Liveweight_Data(), Table_SourceData_PastureBeef_Liveweight[[#Headers],[State]], 0)</f>
        <v>Kimberley</v>
      </c>
      <c r="F44" s="30" t="str" cm="1">
        <f t="array" ref="F44">Common_InputFunctions.Utility_DisplayArrayInTable(SourceData_PastureBeef.SourceData_PastureBeef_Liveweight_Data(), Table_SourceData_PastureBeef_Liveweight[[#Headers],[State]], 0)</f>
        <v>Summer</v>
      </c>
      <c r="G44" s="30" cm="1">
        <f t="array" ref="G44">Common_InputFunctions.Utility_DisplayArrayInTable(SourceData_PastureBeef.SourceData_PastureBeef_Liveweight_Data(), Table_SourceData_PastureBeef_Liveweight[[#Headers],[State]], 0)</f>
        <v>110</v>
      </c>
      <c r="H44" s="30" cm="1">
        <f t="array" ref="H44">Common_InputFunctions.Utility_DisplayArrayInTable(SourceData_PastureBeef.SourceData_PastureBeef_Liveweight_Data(), Table_SourceData_PastureBeef_Liveweight[[#Headers],[State]], 0)</f>
        <v>550</v>
      </c>
      <c r="I44" s="30" cm="1">
        <f t="array" ref="I44">Common_InputFunctions.Utility_DisplayArrayInTable(SourceData_PastureBeef.SourceData_PastureBeef_Liveweight_Data(), Table_SourceData_PastureBeef_Liveweight[[#Headers],[State]], 0)</f>
        <v>90</v>
      </c>
      <c r="J44" s="30" cm="1">
        <f t="array" ref="J44">Common_InputFunctions.Utility_DisplayArrayInTable(SourceData_PastureBeef.SourceData_PastureBeef_Liveweight_Data(), Table_SourceData_PastureBeef_Liveweight[[#Headers],[State]], 0)</f>
        <v>220</v>
      </c>
      <c r="K44" s="30" cm="1">
        <f t="array" ref="K44">Common_InputFunctions.Utility_DisplayArrayInTable(SourceData_PastureBeef.SourceData_PastureBeef_Liveweight_Data(), Table_SourceData_PastureBeef_Liveweight[[#Headers],[State]], 0)</f>
        <v>380</v>
      </c>
      <c r="L44" s="30" cm="1">
        <f t="array" ref="L44">Common_InputFunctions.Utility_DisplayArrayInTable(SourceData_PastureBeef.SourceData_PastureBeef_Liveweight_Data(), Table_SourceData_PastureBeef_Liveweight[[#Headers],[State]], 0)</f>
        <v>100</v>
      </c>
      <c r="M44" s="30" cm="1">
        <f t="array" ref="M44">Common_InputFunctions.Utility_DisplayArrayInTable(SourceData_PastureBeef.SourceData_PastureBeef_Liveweight_Data(), Table_SourceData_PastureBeef_Liveweight[[#Headers],[State]], 0)</f>
        <v>390</v>
      </c>
      <c r="O44" s="30" t="s">
        <v>354</v>
      </c>
      <c r="P44" s="30" t="s">
        <v>355</v>
      </c>
    </row>
    <row r="45" spans="1:16" ht="20.100000000000001" customHeight="1" x14ac:dyDescent="0.25">
      <c r="A45" s="5" t="str">
        <f>HYPERLINK("#'Acknowledgements'!A1", "Acknowledgements")</f>
        <v>Acknowledgements</v>
      </c>
      <c r="D45" s="1" t="str" cm="1">
        <f t="array" ref="D45">Common_InputFunctions.Utility_DisplayArrayInTable(SourceData_PastureBeef.SourceData_PastureBeef_Liveweight_Data(), Table_SourceData_PastureBeef_Liveweight[[#Headers],[State]], 0)</f>
        <v>Western Australia</v>
      </c>
      <c r="E45" s="30" t="str" cm="1">
        <f t="array" ref="E45">Common_InputFunctions.Utility_DisplayArrayInTable(SourceData_PastureBeef.SourceData_PastureBeef_Liveweight_Data(), Table_SourceData_PastureBeef_Liveweight[[#Headers],[State]], 0)</f>
        <v>Kimberley</v>
      </c>
      <c r="F45" s="30" t="str" cm="1">
        <f t="array" ref="F45">Common_InputFunctions.Utility_DisplayArrayInTable(SourceData_PastureBeef.SourceData_PastureBeef_Liveweight_Data(), Table_SourceData_PastureBeef_Liveweight[[#Headers],[State]], 0)</f>
        <v>Autumn</v>
      </c>
      <c r="G45" s="30" cm="1">
        <f t="array" ref="G45">Common_InputFunctions.Utility_DisplayArrayInTable(SourceData_PastureBeef.SourceData_PastureBeef_Liveweight_Data(), Table_SourceData_PastureBeef_Liveweight[[#Headers],[State]], 0)</f>
        <v>170</v>
      </c>
      <c r="H45" s="30" cm="1">
        <f t="array" ref="H45">Common_InputFunctions.Utility_DisplayArrayInTable(SourceData_PastureBeef.SourceData_PastureBeef_Liveweight_Data(), Table_SourceData_PastureBeef_Liveweight[[#Headers],[State]], 0)</f>
        <v>600</v>
      </c>
      <c r="I45" s="30" cm="1">
        <f t="array" ref="I45">Common_InputFunctions.Utility_DisplayArrayInTable(SourceData_PastureBeef.SourceData_PastureBeef_Liveweight_Data(), Table_SourceData_PastureBeef_Liveweight[[#Headers],[State]], 0)</f>
        <v>140</v>
      </c>
      <c r="J45" s="30" cm="1">
        <f t="array" ref="J45">Common_InputFunctions.Utility_DisplayArrayInTable(SourceData_PastureBeef.SourceData_PastureBeef_Liveweight_Data(), Table_SourceData_PastureBeef_Liveweight[[#Headers],[State]], 0)</f>
        <v>270</v>
      </c>
      <c r="K45" s="30" cm="1">
        <f t="array" ref="K45">Common_InputFunctions.Utility_DisplayArrayInTable(SourceData_PastureBeef.SourceData_PastureBeef_Liveweight_Data(), Table_SourceData_PastureBeef_Liveweight[[#Headers],[State]], 0)</f>
        <v>390</v>
      </c>
      <c r="L45" s="30" cm="1">
        <f t="array" ref="L45">Common_InputFunctions.Utility_DisplayArrayInTable(SourceData_PastureBeef.SourceData_PastureBeef_Liveweight_Data(), Table_SourceData_PastureBeef_Liveweight[[#Headers],[State]], 0)</f>
        <v>160</v>
      </c>
      <c r="M45" s="30" cm="1">
        <f t="array" ref="M45">Common_InputFunctions.Utility_DisplayArrayInTable(SourceData_PastureBeef.SourceData_PastureBeef_Liveweight_Data(), Table_SourceData_PastureBeef_Liveweight[[#Headers],[State]], 0)</f>
        <v>430</v>
      </c>
      <c r="O45" s="30" t="s">
        <v>356</v>
      </c>
      <c r="P45" s="30" t="s">
        <v>355</v>
      </c>
    </row>
    <row r="46" spans="1:16" ht="20.100000000000001" customHeight="1" x14ac:dyDescent="0.25">
      <c r="A46" s="5" t="str">
        <f>HYPERLINK("#'Overview'!A1", "Overview")</f>
        <v>Overview</v>
      </c>
      <c r="D46" s="1" t="str" cm="1">
        <f t="array" ref="D46">Common_InputFunctions.Utility_DisplayArrayInTable(SourceData_PastureBeef.SourceData_PastureBeef_Liveweight_Data(), Table_SourceData_PastureBeef_Liveweight[[#Headers],[State]], 0)</f>
        <v>Western Australia</v>
      </c>
      <c r="E46" s="30" t="str" cm="1">
        <f t="array" ref="E46">Common_InputFunctions.Utility_DisplayArrayInTable(SourceData_PastureBeef.SourceData_PastureBeef_Liveweight_Data(), Table_SourceData_PastureBeef_Liveweight[[#Headers],[State]], 0)</f>
        <v>Kimberley</v>
      </c>
      <c r="F46" s="30" t="str" cm="1">
        <f t="array" ref="F46">Common_InputFunctions.Utility_DisplayArrayInTable(SourceData_PastureBeef.SourceData_PastureBeef_Liveweight_Data(), Table_SourceData_PastureBeef_Liveweight[[#Headers],[State]], 0)</f>
        <v>Winter</v>
      </c>
      <c r="G46" s="30" cm="1">
        <f t="array" ref="G46">Common_InputFunctions.Utility_DisplayArrayInTable(SourceData_PastureBeef.SourceData_PastureBeef_Liveweight_Data(), Table_SourceData_PastureBeef_Liveweight[[#Headers],[State]], 0)</f>
        <v>200</v>
      </c>
      <c r="H46" s="30" cm="1">
        <f t="array" ref="H46">Common_InputFunctions.Utility_DisplayArrayInTable(SourceData_PastureBeef.SourceData_PastureBeef_Liveweight_Data(), Table_SourceData_PastureBeef_Liveweight[[#Headers],[State]], 0)</f>
        <v>550</v>
      </c>
      <c r="I46" s="30" cm="1">
        <f t="array" ref="I46">Common_InputFunctions.Utility_DisplayArrayInTable(SourceData_PastureBeef.SourceData_PastureBeef_Liveweight_Data(), Table_SourceData_PastureBeef_Liveweight[[#Headers],[State]], 0)</f>
        <v>150</v>
      </c>
      <c r="J46" s="30" cm="1">
        <f t="array" ref="J46">Common_InputFunctions.Utility_DisplayArrayInTable(SourceData_PastureBeef.SourceData_PastureBeef_Liveweight_Data(), Table_SourceData_PastureBeef_Liveweight[[#Headers],[State]], 0)</f>
        <v>280</v>
      </c>
      <c r="K46" s="30" cm="1">
        <f t="array" ref="K46">Common_InputFunctions.Utility_DisplayArrayInTable(SourceData_PastureBeef.SourceData_PastureBeef_Liveweight_Data(), Table_SourceData_PastureBeef_Liveweight[[#Headers],[State]], 0)</f>
        <v>350</v>
      </c>
      <c r="L46" s="30" cm="1">
        <f t="array" ref="L46">Common_InputFunctions.Utility_DisplayArrayInTable(SourceData_PastureBeef.SourceData_PastureBeef_Liveweight_Data(), Table_SourceData_PastureBeef_Liveweight[[#Headers],[State]], 0)</f>
        <v>190</v>
      </c>
      <c r="M46" s="30" cm="1">
        <f t="array" ref="M46">Common_InputFunctions.Utility_DisplayArrayInTable(SourceData_PastureBeef.SourceData_PastureBeef_Liveweight_Data(), Table_SourceData_PastureBeef_Liveweight[[#Headers],[State]], 0)</f>
        <v>400</v>
      </c>
      <c r="O46" s="30" t="s">
        <v>357</v>
      </c>
      <c r="P46" s="30" t="s">
        <v>355</v>
      </c>
    </row>
    <row r="47" spans="1:16" ht="20.100000000000001" customHeight="1" x14ac:dyDescent="0.25">
      <c r="M47" s="1"/>
      <c r="O47" s="30" t="s">
        <v>358</v>
      </c>
      <c r="P47" s="30" t="s">
        <v>355</v>
      </c>
    </row>
    <row r="48" spans="1:16" ht="20.100000000000001" customHeight="1" x14ac:dyDescent="0.25">
      <c r="M48" s="1"/>
      <c r="O48" s="1" t="s">
        <v>359</v>
      </c>
      <c r="P48" s="1" t="s">
        <v>359</v>
      </c>
    </row>
    <row r="49" spans="4:16" ht="20.100000000000001" customHeight="1" x14ac:dyDescent="0.25">
      <c r="D49" s="2" t="str" cm="1">
        <f t="array" ref="D49">SourceData_PastureBeef.SourceData_PastureBeef_LiveweightNTQLD_Title()</f>
        <v>Beef pasture cattle - Liveweight (kg) (Wjkl) for NT and QLD</v>
      </c>
      <c r="M49" s="1"/>
    </row>
    <row r="50" spans="4:16" ht="20.100000000000001" customHeight="1" x14ac:dyDescent="0.25">
      <c r="D50" s="27" t="str" cm="1">
        <f t="array" ref="D50">SourceData_PastureBeef.SourceData_PastureBeef_LiveweightNTQLD_Source()</f>
        <v>VEERG 2026: Table A.1.2.2</v>
      </c>
      <c r="M50" s="1"/>
    </row>
    <row r="51" spans="4:16" ht="20.100000000000001" customHeight="1" x14ac:dyDescent="0.25">
      <c r="D51" s="1" t="str" cm="1">
        <f t="array" ref="D51">SourceData_PastureBeef.SourceData_PastureBeef_LiveweightNTQLD_Variable()</f>
        <v>Wjkl</v>
      </c>
      <c r="M51" s="1"/>
    </row>
    <row r="52" spans="4:16" ht="20.100000000000001" customHeight="1" x14ac:dyDescent="0.25">
      <c r="D52" s="15" t="str" cm="1">
        <f t="array" ref="D52">SourceData_PastureBeef.SourceData_PastureBeef_LiveweightNTQLD_Unit()</f>
        <v>kg</v>
      </c>
      <c r="M52" s="1"/>
    </row>
    <row r="53" spans="4:16" ht="20.100000000000001" customHeight="1" x14ac:dyDescent="0.25">
      <c r="D53" s="30" t="s">
        <v>107</v>
      </c>
      <c r="E53" s="30" t="s">
        <v>312</v>
      </c>
      <c r="F53" s="30" t="s">
        <v>78</v>
      </c>
      <c r="G53" s="30" t="s">
        <v>360</v>
      </c>
      <c r="H53" s="30" t="s">
        <v>361</v>
      </c>
      <c r="I53" s="30" t="s">
        <v>362</v>
      </c>
      <c r="J53" s="30" t="s">
        <v>363</v>
      </c>
      <c r="K53" s="30" t="s">
        <v>364</v>
      </c>
      <c r="L53" s="30" t="s">
        <v>365</v>
      </c>
      <c r="M53" s="30" t="s">
        <v>366</v>
      </c>
      <c r="N53" s="30" t="s">
        <v>367</v>
      </c>
      <c r="O53" s="30" t="s">
        <v>368</v>
      </c>
      <c r="P53" s="30" t="s">
        <v>369</v>
      </c>
    </row>
    <row r="54" spans="4:16" ht="20.100000000000001" customHeight="1" x14ac:dyDescent="0.25">
      <c r="D54" s="30" t="str" cm="1">
        <f t="array" ref="D54">Common_InputFunctions.Utility_DisplayArrayInTable(SourceData_PastureBeef.SourceData_PastureBeef_LiveweightNTQLD_Data(),Table_SourceData_PastureBeef_LiveweightNTQD[[#Headers],[State]], 0)</f>
        <v>Northern Territory</v>
      </c>
      <c r="E54" s="30" t="str" cm="1">
        <f t="array" ref="E54">Common_InputFunctions.Utility_DisplayArrayInTable(SourceData_PastureBeef.SourceData_PastureBeef_LiveweightNTQLD_Data(),Table_SourceData_PastureBeef_LiveweightNTQD[[#Headers],[State]], 0)</f>
        <v>Alice Springs</v>
      </c>
      <c r="F54" s="30" t="str" cm="1">
        <f t="array" ref="F54">Common_InputFunctions.Utility_DisplayArrayInTable(SourceData_PastureBeef.SourceData_PastureBeef_LiveweightNTQLD_Data(),Table_SourceData_PastureBeef_LiveweightNTQD[[#Headers],[State]], 0)</f>
        <v>Spring</v>
      </c>
      <c r="G54" s="30" cm="1">
        <f t="array" ref="G54">Common_InputFunctions.Utility_DisplayArrayInTable(SourceData_PastureBeef.SourceData_PastureBeef_LiveweightNTQLD_Data(),Table_SourceData_PastureBeef_LiveweightNTQD[[#Headers],[State]], 0)</f>
        <v>220</v>
      </c>
      <c r="H54" s="30" cm="1">
        <f t="array" ref="H54">Common_InputFunctions.Utility_DisplayArrayInTable(SourceData_PastureBeef.SourceData_PastureBeef_LiveweightNTQLD_Data(),Table_SourceData_PastureBeef_LiveweightNTQD[[#Headers],[State]], 0)</f>
        <v>706</v>
      </c>
      <c r="I54" s="30" cm="1">
        <f t="array" ref="I54">Common_InputFunctions.Utility_DisplayArrayInTable(SourceData_PastureBeef.SourceData_PastureBeef_LiveweightNTQLD_Data(),Table_SourceData_PastureBeef_LiveweightNTQD[[#Headers],[State]], 0)</f>
        <v>208</v>
      </c>
      <c r="J54" s="30" cm="1">
        <f t="array" ref="J54">Common_InputFunctions.Utility_DisplayArrayInTable(SourceData_PastureBeef.SourceData_PastureBeef_LiveweightNTQLD_Data(),Table_SourceData_PastureBeef_LiveweightNTQD[[#Headers],[State]], 0)</f>
        <v>323</v>
      </c>
      <c r="K54" s="30" cm="1">
        <f t="array" ref="K54">Common_InputFunctions.Utility_DisplayArrayInTable(SourceData_PastureBeef.SourceData_PastureBeef_LiveweightNTQLD_Data(),Table_SourceData_PastureBeef_LiveweightNTQD[[#Headers],[State]], 0)</f>
        <v>415</v>
      </c>
      <c r="L54" s="30" cm="1">
        <f t="array" ref="L54">Common_InputFunctions.Utility_DisplayArrayInTable(SourceData_PastureBeef.SourceData_PastureBeef_LiveweightNTQLD_Data(),Table_SourceData_PastureBeef_LiveweightNTQD[[#Headers],[State]], 0)</f>
        <v>467</v>
      </c>
      <c r="M54" s="30" cm="1">
        <f t="array" ref="M54">Common_InputFunctions.Utility_DisplayArrayInTable(SourceData_PastureBeef.SourceData_PastureBeef_LiveweightNTQLD_Data(),Table_SourceData_PastureBeef_LiveweightNTQD[[#Headers],[State]], 0)</f>
        <v>223</v>
      </c>
      <c r="N54" s="30" cm="1">
        <f t="array" ref="N54">Common_InputFunctions.Utility_DisplayArrayInTable(SourceData_PastureBeef.SourceData_PastureBeef_LiveweightNTQLD_Data(),Table_SourceData_PastureBeef_LiveweightNTQD[[#Headers],[State]], 0)</f>
        <v>371</v>
      </c>
      <c r="O54" s="30" cm="1">
        <f t="array" ref="O54">Common_InputFunctions.Utility_DisplayArrayInTable(SourceData_PastureBeef.SourceData_PastureBeef_LiveweightNTQLD_Data(),Table_SourceData_PastureBeef_LiveweightNTQD[[#Headers],[State]], 0)</f>
        <v>493</v>
      </c>
      <c r="P54" s="30" cm="1">
        <f t="array" ref="P54">Common_InputFunctions.Utility_DisplayArrayInTable(SourceData_PastureBeef.SourceData_PastureBeef_LiveweightNTQLD_Data(),Table_SourceData_PastureBeef_LiveweightNTQD[[#Headers],[State]], 0)</f>
        <v>585</v>
      </c>
    </row>
    <row r="55" spans="4:16" ht="20.100000000000001" customHeight="1" x14ac:dyDescent="0.25">
      <c r="D55" s="1" t="str" cm="1">
        <f t="array" ref="D55">Common_InputFunctions.Utility_DisplayArrayInTable(SourceData_PastureBeef.SourceData_PastureBeef_LiveweightNTQLD_Data(),Table_SourceData_PastureBeef_LiveweightNTQD[[#Headers],[State]], 0)</f>
        <v>Northern Territory</v>
      </c>
      <c r="E55" s="30" t="str" cm="1">
        <f t="array" ref="E55">Common_InputFunctions.Utility_DisplayArrayInTable(SourceData_PastureBeef.SourceData_PastureBeef_LiveweightNTQLD_Data(),Table_SourceData_PastureBeef_LiveweightNTQD[[#Headers],[State]], 0)</f>
        <v>Alice Springs</v>
      </c>
      <c r="F55" s="30" t="str" cm="1">
        <f t="array" ref="F55">Common_InputFunctions.Utility_DisplayArrayInTable(SourceData_PastureBeef.SourceData_PastureBeef_LiveweightNTQLD_Data(),Table_SourceData_PastureBeef_LiveweightNTQD[[#Headers],[State]], 0)</f>
        <v>Summer</v>
      </c>
      <c r="G55" s="30" cm="1">
        <f t="array" ref="G55">Common_InputFunctions.Utility_DisplayArrayInTable(SourceData_PastureBeef.SourceData_PastureBeef_LiveweightNTQLD_Data(),Table_SourceData_PastureBeef_LiveweightNTQD[[#Headers],[State]], 0)</f>
        <v>110</v>
      </c>
      <c r="H55" s="30" cm="1">
        <f t="array" ref="H55">Common_InputFunctions.Utility_DisplayArrayInTable(SourceData_PastureBeef.SourceData_PastureBeef_LiveweightNTQLD_Data(),Table_SourceData_PastureBeef_LiveweightNTQD[[#Headers],[State]], 0)</f>
        <v>703</v>
      </c>
      <c r="I55" s="30" cm="1">
        <f t="array" ref="I55">Common_InputFunctions.Utility_DisplayArrayInTable(SourceData_PastureBeef.SourceData_PastureBeef_LiveweightNTQLD_Data(),Table_SourceData_PastureBeef_LiveweightNTQD[[#Headers],[State]], 0)</f>
        <v>112</v>
      </c>
      <c r="J55" s="30" cm="1">
        <f t="array" ref="J55">Common_InputFunctions.Utility_DisplayArrayInTable(SourceData_PastureBeef.SourceData_PastureBeef_LiveweightNTQLD_Data(),Table_SourceData_PastureBeef_LiveweightNTQD[[#Headers],[State]], 0)</f>
        <v>256</v>
      </c>
      <c r="K55" s="30" cm="1">
        <f t="array" ref="K55">Common_InputFunctions.Utility_DisplayArrayInTable(SourceData_PastureBeef.SourceData_PastureBeef_LiveweightNTQLD_Data(),Table_SourceData_PastureBeef_LiveweightNTQD[[#Headers],[State]], 0)</f>
        <v>368</v>
      </c>
      <c r="L55" s="30" cm="1">
        <f t="array" ref="L55">Common_InputFunctions.Utility_DisplayArrayInTable(SourceData_PastureBeef.SourceData_PastureBeef_LiveweightNTQLD_Data(),Table_SourceData_PastureBeef_LiveweightNTQD[[#Headers],[State]], 0)</f>
        <v>465</v>
      </c>
      <c r="M55" s="30" cm="1">
        <f t="array" ref="M55">Common_InputFunctions.Utility_DisplayArrayInTable(SourceData_PastureBeef.SourceData_PastureBeef_LiveweightNTQLD_Data(),Table_SourceData_PastureBeef_LiveweightNTQD[[#Headers],[State]], 0)</f>
        <v>108</v>
      </c>
      <c r="N55" s="30" cm="1">
        <f t="array" ref="N55">Common_InputFunctions.Utility_DisplayArrayInTable(SourceData_PastureBeef.SourceData_PastureBeef_LiveweightNTQLD_Data(),Table_SourceData_PastureBeef_LiveweightNTQD[[#Headers],[State]], 0)</f>
        <v>280</v>
      </c>
      <c r="O55" s="30" cm="1">
        <f t="array" ref="O55">Common_InputFunctions.Utility_DisplayArrayInTable(SourceData_PastureBeef.SourceData_PastureBeef_LiveweightNTQLD_Data(),Table_SourceData_PastureBeef_LiveweightNTQD[[#Headers],[State]], 0)</f>
        <v>421</v>
      </c>
      <c r="P55" s="30" cm="1">
        <f t="array" ref="P55">Common_InputFunctions.Utility_DisplayArrayInTable(SourceData_PastureBeef.SourceData_PastureBeef_LiveweightNTQLD_Data(),Table_SourceData_PastureBeef_LiveweightNTQD[[#Headers],[State]], 0)</f>
        <v>543</v>
      </c>
    </row>
    <row r="56" spans="4:16" ht="20.100000000000001" customHeight="1" x14ac:dyDescent="0.25">
      <c r="D56" s="1" t="str" cm="1">
        <f t="array" ref="D56">Common_InputFunctions.Utility_DisplayArrayInTable(SourceData_PastureBeef.SourceData_PastureBeef_LiveweightNTQLD_Data(),Table_SourceData_PastureBeef_LiveweightNTQD[[#Headers],[State]], 0)</f>
        <v>Northern Territory</v>
      </c>
      <c r="E56" s="30" t="str" cm="1">
        <f t="array" ref="E56">Common_InputFunctions.Utility_DisplayArrayInTable(SourceData_PastureBeef.SourceData_PastureBeef_LiveweightNTQLD_Data(),Table_SourceData_PastureBeef_LiveweightNTQD[[#Headers],[State]], 0)</f>
        <v>Alice Springs</v>
      </c>
      <c r="F56" s="30" t="str" cm="1">
        <f t="array" ref="F56">Common_InputFunctions.Utility_DisplayArrayInTable(SourceData_PastureBeef.SourceData_PastureBeef_LiveweightNTQLD_Data(),Table_SourceData_PastureBeef_LiveweightNTQD[[#Headers],[State]], 0)</f>
        <v>Autumn</v>
      </c>
      <c r="G56" s="30" cm="1">
        <f t="array" ref="G56">Common_InputFunctions.Utility_DisplayArrayInTable(SourceData_PastureBeef.SourceData_PastureBeef_LiveweightNTQLD_Data(),Table_SourceData_PastureBeef_LiveweightNTQD[[#Headers],[State]], 0)</f>
        <v>170</v>
      </c>
      <c r="H56" s="30" cm="1">
        <f t="array" ref="H56">Common_InputFunctions.Utility_DisplayArrayInTable(SourceData_PastureBeef.SourceData_PastureBeef_LiveweightNTQLD_Data(),Table_SourceData_PastureBeef_LiveweightNTQD[[#Headers],[State]], 0)</f>
        <v>721</v>
      </c>
      <c r="I56" s="30" cm="1">
        <f t="array" ref="I56">Common_InputFunctions.Utility_DisplayArrayInTable(SourceData_PastureBeef.SourceData_PastureBeef_LiveweightNTQLD_Data(),Table_SourceData_PastureBeef_LiveweightNTQD[[#Headers],[State]], 0)</f>
        <v>169</v>
      </c>
      <c r="J56" s="30" cm="1">
        <f t="array" ref="J56">Common_InputFunctions.Utility_DisplayArrayInTable(SourceData_PastureBeef.SourceData_PastureBeef_LiveweightNTQLD_Data(),Table_SourceData_PastureBeef_LiveweightNTQD[[#Headers],[State]], 0)</f>
        <v>306</v>
      </c>
      <c r="K56" s="30" cm="1">
        <f t="array" ref="K56">Common_InputFunctions.Utility_DisplayArrayInTable(SourceData_PastureBeef.SourceData_PastureBeef_LiveweightNTQLD_Data(),Table_SourceData_PastureBeef_LiveweightNTQD[[#Headers],[State]], 0)</f>
        <v>392</v>
      </c>
      <c r="L56" s="30" cm="1">
        <f t="array" ref="L56">Common_InputFunctions.Utility_DisplayArrayInTable(SourceData_PastureBeef.SourceData_PastureBeef_LiveweightNTQLD_Data(),Table_SourceData_PastureBeef_LiveweightNTQD[[#Headers],[State]], 0)</f>
        <v>464</v>
      </c>
      <c r="M56" s="30" cm="1">
        <f t="array" ref="M56">Common_InputFunctions.Utility_DisplayArrayInTable(SourceData_PastureBeef.SourceData_PastureBeef_LiveweightNTQLD_Data(),Table_SourceData_PastureBeef_LiveweightNTQD[[#Headers],[State]], 0)</f>
        <v>176</v>
      </c>
      <c r="N56" s="30" cm="1">
        <f t="array" ref="N56">Common_InputFunctions.Utility_DisplayArrayInTable(SourceData_PastureBeef.SourceData_PastureBeef_LiveweightNTQLD_Data(),Table_SourceData_PastureBeef_LiveweightNTQD[[#Headers],[State]], 0)</f>
        <v>339</v>
      </c>
      <c r="O56" s="30" cm="1">
        <f t="array" ref="O56">Common_InputFunctions.Utility_DisplayArrayInTable(SourceData_PastureBeef.SourceData_PastureBeef_LiveweightNTQLD_Data(),Table_SourceData_PastureBeef_LiveweightNTQD[[#Headers],[State]], 0)</f>
        <v>470</v>
      </c>
      <c r="P56" s="30" cm="1">
        <f t="array" ref="P56">Common_InputFunctions.Utility_DisplayArrayInTable(SourceData_PastureBeef.SourceData_PastureBeef_LiveweightNTQLD_Data(),Table_SourceData_PastureBeef_LiveweightNTQD[[#Headers],[State]], 0)</f>
        <v>580</v>
      </c>
    </row>
    <row r="57" spans="4:16" ht="20.100000000000001" customHeight="1" x14ac:dyDescent="0.25">
      <c r="D57" s="1" t="str" cm="1">
        <f t="array" ref="D57">Common_InputFunctions.Utility_DisplayArrayInTable(SourceData_PastureBeef.SourceData_PastureBeef_LiveweightNTQLD_Data(),Table_SourceData_PastureBeef_LiveweightNTQD[[#Headers],[State]], 0)</f>
        <v>Northern Territory</v>
      </c>
      <c r="E57" s="30" t="str" cm="1">
        <f t="array" ref="E57">Common_InputFunctions.Utility_DisplayArrayInTable(SourceData_PastureBeef.SourceData_PastureBeef_LiveweightNTQLD_Data(),Table_SourceData_PastureBeef_LiveweightNTQD[[#Headers],[State]], 0)</f>
        <v>Alice Springs</v>
      </c>
      <c r="F57" s="30" t="str" cm="1">
        <f t="array" ref="F57">Common_InputFunctions.Utility_DisplayArrayInTable(SourceData_PastureBeef.SourceData_PastureBeef_LiveweightNTQLD_Data(),Table_SourceData_PastureBeef_LiveweightNTQD[[#Headers],[State]], 0)</f>
        <v>Winter</v>
      </c>
      <c r="G57" s="30" cm="1">
        <f t="array" ref="G57">Common_InputFunctions.Utility_DisplayArrayInTable(SourceData_PastureBeef.SourceData_PastureBeef_LiveweightNTQLD_Data(),Table_SourceData_PastureBeef_LiveweightNTQD[[#Headers],[State]], 0)</f>
        <v>200</v>
      </c>
      <c r="H57" s="30" cm="1">
        <f t="array" ref="H57">Common_InputFunctions.Utility_DisplayArrayInTable(SourceData_PastureBeef.SourceData_PastureBeef_LiveweightNTQLD_Data(),Table_SourceData_PastureBeef_LiveweightNTQD[[#Headers],[State]], 0)</f>
        <v>727</v>
      </c>
      <c r="I57" s="30" cm="1">
        <f t="array" ref="I57">Common_InputFunctions.Utility_DisplayArrayInTable(SourceData_PastureBeef.SourceData_PastureBeef_LiveweightNTQLD_Data(),Table_SourceData_PastureBeef_LiveweightNTQD[[#Headers],[State]], 0)</f>
        <v>211</v>
      </c>
      <c r="J57" s="30" cm="1">
        <f t="array" ref="J57">Common_InputFunctions.Utility_DisplayArrayInTable(SourceData_PastureBeef.SourceData_PastureBeef_LiveweightNTQLD_Data(),Table_SourceData_PastureBeef_LiveweightNTQD[[#Headers],[State]], 0)</f>
        <v>338</v>
      </c>
      <c r="K57" s="30" cm="1">
        <f t="array" ref="K57">Common_InputFunctions.Utility_DisplayArrayInTable(SourceData_PastureBeef.SourceData_PastureBeef_LiveweightNTQLD_Data(),Table_SourceData_PastureBeef_LiveweightNTQD[[#Headers],[State]], 0)</f>
        <v>432</v>
      </c>
      <c r="L57" s="30" cm="1">
        <f t="array" ref="L57">Common_InputFunctions.Utility_DisplayArrayInTable(SourceData_PastureBeef.SourceData_PastureBeef_LiveweightNTQLD_Data(),Table_SourceData_PastureBeef_LiveweightNTQD[[#Headers],[State]], 0)</f>
        <v>492</v>
      </c>
      <c r="M57" s="30" cm="1">
        <f t="array" ref="M57">Common_InputFunctions.Utility_DisplayArrayInTable(SourceData_PastureBeef.SourceData_PastureBeef_LiveweightNTQLD_Data(),Table_SourceData_PastureBeef_LiveweightNTQD[[#Headers],[State]], 0)</f>
        <v>222</v>
      </c>
      <c r="N57" s="30" cm="1">
        <f t="array" ref="N57">Common_InputFunctions.Utility_DisplayArrayInTable(SourceData_PastureBeef.SourceData_PastureBeef_LiveweightNTQLD_Data(),Table_SourceData_PastureBeef_LiveweightNTQD[[#Headers],[State]], 0)</f>
        <v>377</v>
      </c>
      <c r="O57" s="30" cm="1">
        <f t="array" ref="O57">Common_InputFunctions.Utility_DisplayArrayInTable(SourceData_PastureBeef.SourceData_PastureBeef_LiveweightNTQLD_Data(),Table_SourceData_PastureBeef_LiveweightNTQD[[#Headers],[State]], 0)</f>
        <v>498</v>
      </c>
      <c r="P57" s="30" cm="1">
        <f t="array" ref="P57">Common_InputFunctions.Utility_DisplayArrayInTable(SourceData_PastureBeef.SourceData_PastureBeef_LiveweightNTQLD_Data(),Table_SourceData_PastureBeef_LiveweightNTQD[[#Headers],[State]], 0)</f>
        <v>590</v>
      </c>
    </row>
    <row r="58" spans="4:16" ht="20.100000000000001" customHeight="1" x14ac:dyDescent="0.25">
      <c r="D58" s="1" t="str" cm="1">
        <f t="array" ref="D58">Common_InputFunctions.Utility_DisplayArrayInTable(SourceData_PastureBeef.SourceData_PastureBeef_LiveweightNTQLD_Data(),Table_SourceData_PastureBeef_LiveweightNTQD[[#Headers],[State]], 0)</f>
        <v>Northern Territory</v>
      </c>
      <c r="E58" s="30" t="str" cm="1">
        <f t="array" ref="E58">Common_InputFunctions.Utility_DisplayArrayInTable(SourceData_PastureBeef.SourceData_PastureBeef_LiveweightNTQLD_Data(),Table_SourceData_PastureBeef_LiveweightNTQD[[#Headers],[State]], 0)</f>
        <v>Barkly</v>
      </c>
      <c r="F58" s="30" t="str" cm="1">
        <f t="array" ref="F58">Common_InputFunctions.Utility_DisplayArrayInTable(SourceData_PastureBeef.SourceData_PastureBeef_LiveweightNTQLD_Data(),Table_SourceData_PastureBeef_LiveweightNTQD[[#Headers],[State]], 0)</f>
        <v>Spring</v>
      </c>
      <c r="G58" s="30" cm="1">
        <f t="array" ref="G58">Common_InputFunctions.Utility_DisplayArrayInTable(SourceData_PastureBeef.SourceData_PastureBeef_LiveweightNTQLD_Data(),Table_SourceData_PastureBeef_LiveweightNTQD[[#Headers],[State]], 0)</f>
        <v>220</v>
      </c>
      <c r="H58" s="30" cm="1">
        <f t="array" ref="H58">Common_InputFunctions.Utility_DisplayArrayInTable(SourceData_PastureBeef.SourceData_PastureBeef_LiveweightNTQLD_Data(),Table_SourceData_PastureBeef_LiveweightNTQD[[#Headers],[State]], 0)</f>
        <v>620</v>
      </c>
      <c r="I58" s="30" cm="1">
        <f t="array" ref="I58">Common_InputFunctions.Utility_DisplayArrayInTable(SourceData_PastureBeef.SourceData_PastureBeef_LiveweightNTQLD_Data(),Table_SourceData_PastureBeef_LiveweightNTQD[[#Headers],[State]], 0)</f>
        <v>227</v>
      </c>
      <c r="J58" s="30" cm="1">
        <f t="array" ref="J58">Common_InputFunctions.Utility_DisplayArrayInTable(SourceData_PastureBeef.SourceData_PastureBeef_LiveweightNTQLD_Data(),Table_SourceData_PastureBeef_LiveweightNTQD[[#Headers],[State]], 0)</f>
        <v>319</v>
      </c>
      <c r="K58" s="30" cm="1">
        <f t="array" ref="K58">Common_InputFunctions.Utility_DisplayArrayInTable(SourceData_PastureBeef.SourceData_PastureBeef_LiveweightNTQLD_Data(),Table_SourceData_PastureBeef_LiveweightNTQD[[#Headers],[State]], 0)</f>
        <v>398</v>
      </c>
      <c r="L58" s="30" cm="1">
        <f t="array" ref="L58">Common_InputFunctions.Utility_DisplayArrayInTable(SourceData_PastureBeef.SourceData_PastureBeef_LiveweightNTQLD_Data(),Table_SourceData_PastureBeef_LiveweightNTQD[[#Headers],[State]], 0)</f>
        <v>452</v>
      </c>
      <c r="M58" s="30" cm="1">
        <f t="array" ref="M58">Common_InputFunctions.Utility_DisplayArrayInTable(SourceData_PastureBeef.SourceData_PastureBeef_LiveweightNTQLD_Data(),Table_SourceData_PastureBeef_LiveweightNTQD[[#Headers],[State]], 0)</f>
        <v>216</v>
      </c>
      <c r="N58" s="30" cm="1">
        <f t="array" ref="N58">Common_InputFunctions.Utility_DisplayArrayInTable(SourceData_PastureBeef.SourceData_PastureBeef_LiveweightNTQLD_Data(),Table_SourceData_PastureBeef_LiveweightNTQD[[#Headers],[State]], 0)</f>
        <v>334</v>
      </c>
      <c r="O58" s="30" t="str" cm="1">
        <f t="array" ref="O58">Common_InputFunctions.Utility_DisplayArrayInTable(SourceData_PastureBeef.SourceData_PastureBeef_LiveweightNTQLD_Data(),Table_SourceData_PastureBeef_LiveweightNTQD[[#Headers],[State]], 0)</f>
        <v>NO</v>
      </c>
      <c r="P58" s="30" t="str" cm="1">
        <f t="array" ref="P58">Common_InputFunctions.Utility_DisplayArrayInTable(SourceData_PastureBeef.SourceData_PastureBeef_LiveweightNTQLD_Data(),Table_SourceData_PastureBeef_LiveweightNTQD[[#Headers],[State]], 0)</f>
        <v>NO</v>
      </c>
    </row>
    <row r="59" spans="4:16" ht="20.100000000000001" customHeight="1" x14ac:dyDescent="0.25">
      <c r="D59" s="1" t="str" cm="1">
        <f t="array" ref="D59">Common_InputFunctions.Utility_DisplayArrayInTable(SourceData_PastureBeef.SourceData_PastureBeef_LiveweightNTQLD_Data(),Table_SourceData_PastureBeef_LiveweightNTQD[[#Headers],[State]], 0)</f>
        <v>Northern Territory</v>
      </c>
      <c r="E59" s="30" t="str" cm="1">
        <f t="array" ref="E59">Common_InputFunctions.Utility_DisplayArrayInTable(SourceData_PastureBeef.SourceData_PastureBeef_LiveweightNTQLD_Data(),Table_SourceData_PastureBeef_LiveweightNTQD[[#Headers],[State]], 0)</f>
        <v>Barkly</v>
      </c>
      <c r="F59" s="30" t="str" cm="1">
        <f t="array" ref="F59">Common_InputFunctions.Utility_DisplayArrayInTable(SourceData_PastureBeef.SourceData_PastureBeef_LiveweightNTQLD_Data(),Table_SourceData_PastureBeef_LiveweightNTQD[[#Headers],[State]], 0)</f>
        <v>Summer</v>
      </c>
      <c r="G59" s="30" cm="1">
        <f t="array" ref="G59">Common_InputFunctions.Utility_DisplayArrayInTable(SourceData_PastureBeef.SourceData_PastureBeef_LiveweightNTQLD_Data(),Table_SourceData_PastureBeef_LiveweightNTQD[[#Headers],[State]], 0)</f>
        <v>110</v>
      </c>
      <c r="H59" s="30" cm="1">
        <f t="array" ref="H59">Common_InputFunctions.Utility_DisplayArrayInTable(SourceData_PastureBeef.SourceData_PastureBeef_LiveweightNTQLD_Data(),Table_SourceData_PastureBeef_LiveweightNTQD[[#Headers],[State]], 0)</f>
        <v>650</v>
      </c>
      <c r="I59" s="30" cm="1">
        <f t="array" ref="I59">Common_InputFunctions.Utility_DisplayArrayInTable(SourceData_PastureBeef.SourceData_PastureBeef_LiveweightNTQLD_Data(),Table_SourceData_PastureBeef_LiveweightNTQD[[#Headers],[State]], 0)</f>
        <v>108</v>
      </c>
      <c r="J59" s="30" cm="1">
        <f t="array" ref="J59">Common_InputFunctions.Utility_DisplayArrayInTable(SourceData_PastureBeef.SourceData_PastureBeef_LiveweightNTQLD_Data(),Table_SourceData_PastureBeef_LiveweightNTQD[[#Headers],[State]], 0)</f>
        <v>262</v>
      </c>
      <c r="K59" s="30" cm="1">
        <f t="array" ref="K59">Common_InputFunctions.Utility_DisplayArrayInTable(SourceData_PastureBeef.SourceData_PastureBeef_LiveweightNTQLD_Data(),Table_SourceData_PastureBeef_LiveweightNTQD[[#Headers],[State]], 0)</f>
        <v>346</v>
      </c>
      <c r="L59" s="30" cm="1">
        <f t="array" ref="L59">Common_InputFunctions.Utility_DisplayArrayInTable(SourceData_PastureBeef.SourceData_PastureBeef_LiveweightNTQLD_Data(),Table_SourceData_PastureBeef_LiveweightNTQD[[#Headers],[State]], 0)</f>
        <v>430</v>
      </c>
      <c r="M59" s="30" cm="1">
        <f t="array" ref="M59">Common_InputFunctions.Utility_DisplayArrayInTable(SourceData_PastureBeef.SourceData_PastureBeef_LiveweightNTQLD_Data(),Table_SourceData_PastureBeef_LiveweightNTQD[[#Headers],[State]], 0)</f>
        <v>111</v>
      </c>
      <c r="N59" s="30" cm="1">
        <f t="array" ref="N59">Common_InputFunctions.Utility_DisplayArrayInTable(SourceData_PastureBeef.SourceData_PastureBeef_LiveweightNTQLD_Data(),Table_SourceData_PastureBeef_LiveweightNTQD[[#Headers],[State]], 0)</f>
        <v>236</v>
      </c>
      <c r="O59" s="30" t="str" cm="1">
        <f t="array" ref="O59">Common_InputFunctions.Utility_DisplayArrayInTable(SourceData_PastureBeef.SourceData_PastureBeef_LiveweightNTQLD_Data(),Table_SourceData_PastureBeef_LiveweightNTQD[[#Headers],[State]], 0)</f>
        <v>NO</v>
      </c>
      <c r="P59" s="30" t="str" cm="1">
        <f t="array" ref="P59">Common_InputFunctions.Utility_DisplayArrayInTable(SourceData_PastureBeef.SourceData_PastureBeef_LiveweightNTQLD_Data(),Table_SourceData_PastureBeef_LiveweightNTQD[[#Headers],[State]], 0)</f>
        <v>NO</v>
      </c>
    </row>
    <row r="60" spans="4:16" ht="20.100000000000001" customHeight="1" x14ac:dyDescent="0.25">
      <c r="D60" s="1" t="str" cm="1">
        <f t="array" ref="D60">Common_InputFunctions.Utility_DisplayArrayInTable(SourceData_PastureBeef.SourceData_PastureBeef_LiveweightNTQLD_Data(),Table_SourceData_PastureBeef_LiveweightNTQD[[#Headers],[State]], 0)</f>
        <v>Northern Territory</v>
      </c>
      <c r="E60" s="30" t="str" cm="1">
        <f t="array" ref="E60">Common_InputFunctions.Utility_DisplayArrayInTable(SourceData_PastureBeef.SourceData_PastureBeef_LiveweightNTQLD_Data(),Table_SourceData_PastureBeef_LiveweightNTQD[[#Headers],[State]], 0)</f>
        <v>Barkly</v>
      </c>
      <c r="F60" s="30" t="str" cm="1">
        <f t="array" ref="F60">Common_InputFunctions.Utility_DisplayArrayInTable(SourceData_PastureBeef.SourceData_PastureBeef_LiveweightNTQLD_Data(),Table_SourceData_PastureBeef_LiveweightNTQD[[#Headers],[State]], 0)</f>
        <v>Autumn</v>
      </c>
      <c r="G60" s="30" cm="1">
        <f t="array" ref="G60">Common_InputFunctions.Utility_DisplayArrayInTable(SourceData_PastureBeef.SourceData_PastureBeef_LiveweightNTQLD_Data(),Table_SourceData_PastureBeef_LiveweightNTQD[[#Headers],[State]], 0)</f>
        <v>170</v>
      </c>
      <c r="H60" s="30" cm="1">
        <f t="array" ref="H60">Common_InputFunctions.Utility_DisplayArrayInTable(SourceData_PastureBeef.SourceData_PastureBeef_LiveweightNTQLD_Data(),Table_SourceData_PastureBeef_LiveweightNTQD[[#Headers],[State]], 0)</f>
        <v>670</v>
      </c>
      <c r="I60" s="30" cm="1">
        <f t="array" ref="I60">Common_InputFunctions.Utility_DisplayArrayInTable(SourceData_PastureBeef.SourceData_PastureBeef_LiveweightNTQLD_Data(),Table_SourceData_PastureBeef_LiveweightNTQD[[#Headers],[State]], 0)</f>
        <v>170</v>
      </c>
      <c r="J60" s="30" cm="1">
        <f t="array" ref="J60">Common_InputFunctions.Utility_DisplayArrayInTable(SourceData_PastureBeef.SourceData_PastureBeef_LiveweightNTQLD_Data(),Table_SourceData_PastureBeef_LiveweightNTQD[[#Headers],[State]], 0)</f>
        <v>266</v>
      </c>
      <c r="K60" s="30" cm="1">
        <f t="array" ref="K60">Common_InputFunctions.Utility_DisplayArrayInTable(SourceData_PastureBeef.SourceData_PastureBeef_LiveweightNTQLD_Data(),Table_SourceData_PastureBeef_LiveweightNTQD[[#Headers],[State]], 0)</f>
        <v>363</v>
      </c>
      <c r="L60" s="30" cm="1">
        <f t="array" ref="L60">Common_InputFunctions.Utility_DisplayArrayInTable(SourceData_PastureBeef.SourceData_PastureBeef_LiveweightNTQLD_Data(),Table_SourceData_PastureBeef_LiveweightNTQD[[#Headers],[State]], 0)</f>
        <v>444</v>
      </c>
      <c r="M60" s="30" cm="1">
        <f t="array" ref="M60">Common_InputFunctions.Utility_DisplayArrayInTable(SourceData_PastureBeef.SourceData_PastureBeef_LiveweightNTQLD_Data(),Table_SourceData_PastureBeef_LiveweightNTQD[[#Headers],[State]], 0)</f>
        <v>169</v>
      </c>
      <c r="N60" s="30" cm="1">
        <f t="array" ref="N60">Common_InputFunctions.Utility_DisplayArrayInTable(SourceData_PastureBeef.SourceData_PastureBeef_LiveweightNTQLD_Data(),Table_SourceData_PastureBeef_LiveweightNTQD[[#Headers],[State]], 0)</f>
        <v>282</v>
      </c>
      <c r="O60" s="30" t="str" cm="1">
        <f t="array" ref="O60">Common_InputFunctions.Utility_DisplayArrayInTable(SourceData_PastureBeef.SourceData_PastureBeef_LiveweightNTQLD_Data(),Table_SourceData_PastureBeef_LiveweightNTQD[[#Headers],[State]], 0)</f>
        <v>NO</v>
      </c>
      <c r="P60" s="30" t="str" cm="1">
        <f t="array" ref="P60">Common_InputFunctions.Utility_DisplayArrayInTable(SourceData_PastureBeef.SourceData_PastureBeef_LiveweightNTQLD_Data(),Table_SourceData_PastureBeef_LiveweightNTQD[[#Headers],[State]], 0)</f>
        <v>NO</v>
      </c>
    </row>
    <row r="61" spans="4:16" ht="20.100000000000001" customHeight="1" x14ac:dyDescent="0.25">
      <c r="D61" s="1" t="str" cm="1">
        <f t="array" ref="D61">Common_InputFunctions.Utility_DisplayArrayInTable(SourceData_PastureBeef.SourceData_PastureBeef_LiveweightNTQLD_Data(),Table_SourceData_PastureBeef_LiveweightNTQD[[#Headers],[State]], 0)</f>
        <v>Northern Territory</v>
      </c>
      <c r="E61" s="30" t="str" cm="1">
        <f t="array" ref="E61">Common_InputFunctions.Utility_DisplayArrayInTable(SourceData_PastureBeef.SourceData_PastureBeef_LiveweightNTQLD_Data(),Table_SourceData_PastureBeef_LiveweightNTQD[[#Headers],[State]], 0)</f>
        <v>Barkly</v>
      </c>
      <c r="F61" s="30" t="str" cm="1">
        <f t="array" ref="F61">Common_InputFunctions.Utility_DisplayArrayInTable(SourceData_PastureBeef.SourceData_PastureBeef_LiveweightNTQLD_Data(),Table_SourceData_PastureBeef_LiveweightNTQD[[#Headers],[State]], 0)</f>
        <v>Winter</v>
      </c>
      <c r="G61" s="30" cm="1">
        <f t="array" ref="G61">Common_InputFunctions.Utility_DisplayArrayInTable(SourceData_PastureBeef.SourceData_PastureBeef_LiveweightNTQLD_Data(),Table_SourceData_PastureBeef_LiveweightNTQD[[#Headers],[State]], 0)</f>
        <v>200</v>
      </c>
      <c r="H61" s="30" cm="1">
        <f t="array" ref="H61">Common_InputFunctions.Utility_DisplayArrayInTable(SourceData_PastureBeef.SourceData_PastureBeef_LiveweightNTQLD_Data(),Table_SourceData_PastureBeef_LiveweightNTQD[[#Headers],[State]], 0)</f>
        <v>660</v>
      </c>
      <c r="I61" s="30" cm="1">
        <f t="array" ref="I61">Common_InputFunctions.Utility_DisplayArrayInTable(SourceData_PastureBeef.SourceData_PastureBeef_LiveweightNTQLD_Data(),Table_SourceData_PastureBeef_LiveweightNTQD[[#Headers],[State]], 0)</f>
        <v>225</v>
      </c>
      <c r="J61" s="30" cm="1">
        <f t="array" ref="J61">Common_InputFunctions.Utility_DisplayArrayInTable(SourceData_PastureBeef.SourceData_PastureBeef_LiveweightNTQLD_Data(),Table_SourceData_PastureBeef_LiveweightNTQD[[#Headers],[State]], 0)</f>
        <v>307</v>
      </c>
      <c r="K61" s="30" cm="1">
        <f t="array" ref="K61">Common_InputFunctions.Utility_DisplayArrayInTable(SourceData_PastureBeef.SourceData_PastureBeef_LiveweightNTQLD_Data(),Table_SourceData_PastureBeef_LiveweightNTQD[[#Headers],[State]], 0)</f>
        <v>398</v>
      </c>
      <c r="L61" s="30" cm="1">
        <f t="array" ref="L61">Common_InputFunctions.Utility_DisplayArrayInTable(SourceData_PastureBeef.SourceData_PastureBeef_LiveweightNTQLD_Data(),Table_SourceData_PastureBeef_LiveweightNTQD[[#Headers],[State]], 0)</f>
        <v>452</v>
      </c>
      <c r="M61" s="30" cm="1">
        <f t="array" ref="M61">Common_InputFunctions.Utility_DisplayArrayInTable(SourceData_PastureBeef.SourceData_PastureBeef_LiveweightNTQLD_Data(),Table_SourceData_PastureBeef_LiveweightNTQD[[#Headers],[State]], 0)</f>
        <v>214</v>
      </c>
      <c r="N61" s="30" cm="1">
        <f t="array" ref="N61">Common_InputFunctions.Utility_DisplayArrayInTable(SourceData_PastureBeef.SourceData_PastureBeef_LiveweightNTQLD_Data(),Table_SourceData_PastureBeef_LiveweightNTQD[[#Headers],[State]], 0)</f>
        <v>326</v>
      </c>
      <c r="O61" s="30" t="str" cm="1">
        <f t="array" ref="O61">Common_InputFunctions.Utility_DisplayArrayInTable(SourceData_PastureBeef.SourceData_PastureBeef_LiveweightNTQLD_Data(),Table_SourceData_PastureBeef_LiveweightNTQD[[#Headers],[State]], 0)</f>
        <v>NO</v>
      </c>
      <c r="P61" s="30" t="str" cm="1">
        <f t="array" ref="P61">Common_InputFunctions.Utility_DisplayArrayInTable(SourceData_PastureBeef.SourceData_PastureBeef_LiveweightNTQLD_Data(),Table_SourceData_PastureBeef_LiveweightNTQD[[#Headers],[State]], 0)</f>
        <v>NO</v>
      </c>
    </row>
    <row r="62" spans="4:16" ht="20.100000000000001" customHeight="1" x14ac:dyDescent="0.25">
      <c r="D62" s="1" t="str" cm="1">
        <f t="array" ref="D62">Common_InputFunctions.Utility_DisplayArrayInTable(SourceData_PastureBeef.SourceData_PastureBeef_LiveweightNTQLD_Data(),Table_SourceData_PastureBeef_LiveweightNTQD[[#Headers],[State]], 0)</f>
        <v>Northern Territory</v>
      </c>
      <c r="E62" s="30" t="str" cm="1">
        <f t="array" ref="E62">Common_InputFunctions.Utility_DisplayArrayInTable(SourceData_PastureBeef.SourceData_PastureBeef_LiveweightNTQLD_Data(),Table_SourceData_PastureBeef_LiveweightNTQD[[#Headers],[State]], 0)</f>
        <v>Northern</v>
      </c>
      <c r="F62" s="30" t="str" cm="1">
        <f t="array" ref="F62">Common_InputFunctions.Utility_DisplayArrayInTable(SourceData_PastureBeef.SourceData_PastureBeef_LiveweightNTQLD_Data(),Table_SourceData_PastureBeef_LiveweightNTQD[[#Headers],[State]], 0)</f>
        <v>Spring</v>
      </c>
      <c r="G62" s="30" cm="1">
        <f t="array" ref="G62">Common_InputFunctions.Utility_DisplayArrayInTable(SourceData_PastureBeef.SourceData_PastureBeef_LiveweightNTQLD_Data(),Table_SourceData_PastureBeef_LiveweightNTQD[[#Headers],[State]], 0)</f>
        <v>220</v>
      </c>
      <c r="H62" s="30" cm="1">
        <f t="array" ref="H62">Common_InputFunctions.Utility_DisplayArrayInTable(SourceData_PastureBeef.SourceData_PastureBeef_LiveweightNTQLD_Data(),Table_SourceData_PastureBeef_LiveweightNTQD[[#Headers],[State]], 0)</f>
        <v>620</v>
      </c>
      <c r="I62" s="30" cm="1">
        <f t="array" ref="I62">Common_InputFunctions.Utility_DisplayArrayInTable(SourceData_PastureBeef.SourceData_PastureBeef_LiveweightNTQLD_Data(),Table_SourceData_PastureBeef_LiveweightNTQD[[#Headers],[State]], 0)</f>
        <v>177</v>
      </c>
      <c r="J62" s="30" cm="1">
        <f t="array" ref="J62">Common_InputFunctions.Utility_DisplayArrayInTable(SourceData_PastureBeef.SourceData_PastureBeef_LiveweightNTQLD_Data(),Table_SourceData_PastureBeef_LiveweightNTQD[[#Headers],[State]], 0)</f>
        <v>267</v>
      </c>
      <c r="K62" s="30" cm="1">
        <f t="array" ref="K62">Common_InputFunctions.Utility_DisplayArrayInTable(SourceData_PastureBeef.SourceData_PastureBeef_LiveweightNTQLD_Data(),Table_SourceData_PastureBeef_LiveweightNTQD[[#Headers],[State]], 0)</f>
        <v>365</v>
      </c>
      <c r="L62" s="30" cm="1">
        <f t="array" ref="L62">Common_InputFunctions.Utility_DisplayArrayInTable(SourceData_PastureBeef.SourceData_PastureBeef_LiveweightNTQLD_Data(),Table_SourceData_PastureBeef_LiveweightNTQD[[#Headers],[State]], 0)</f>
        <v>406</v>
      </c>
      <c r="M62" s="30" cm="1">
        <f t="array" ref="M62">Common_InputFunctions.Utility_DisplayArrayInTable(SourceData_PastureBeef.SourceData_PastureBeef_LiveweightNTQLD_Data(),Table_SourceData_PastureBeef_LiveweightNTQD[[#Headers],[State]], 0)</f>
        <v>231</v>
      </c>
      <c r="N62" s="30" cm="1">
        <f t="array" ref="N62">Common_InputFunctions.Utility_DisplayArrayInTable(SourceData_PastureBeef.SourceData_PastureBeef_LiveweightNTQLD_Data(),Table_SourceData_PastureBeef_LiveweightNTQD[[#Headers],[State]], 0)</f>
        <v>249</v>
      </c>
      <c r="O62" s="30" cm="1">
        <f t="array" ref="O62">Common_InputFunctions.Utility_DisplayArrayInTable(SourceData_PastureBeef.SourceData_PastureBeef_LiveweightNTQLD_Data(),Table_SourceData_PastureBeef_LiveweightNTQD[[#Headers],[State]], 0)</f>
        <v>324</v>
      </c>
      <c r="P62" s="30" t="str" cm="1">
        <f t="array" ref="P62">Common_InputFunctions.Utility_DisplayArrayInTable(SourceData_PastureBeef.SourceData_PastureBeef_LiveweightNTQLD_Data(),Table_SourceData_PastureBeef_LiveweightNTQD[[#Headers],[State]], 0)</f>
        <v>NO</v>
      </c>
    </row>
    <row r="63" spans="4:16" ht="20.100000000000001" customHeight="1" x14ac:dyDescent="0.25">
      <c r="D63" s="1" t="str" cm="1">
        <f t="array" ref="D63">Common_InputFunctions.Utility_DisplayArrayInTable(SourceData_PastureBeef.SourceData_PastureBeef_LiveweightNTQLD_Data(),Table_SourceData_PastureBeef_LiveweightNTQD[[#Headers],[State]], 0)</f>
        <v>Northern Territory</v>
      </c>
      <c r="E63" s="30" t="str" cm="1">
        <f t="array" ref="E63">Common_InputFunctions.Utility_DisplayArrayInTable(SourceData_PastureBeef.SourceData_PastureBeef_LiveweightNTQLD_Data(),Table_SourceData_PastureBeef_LiveweightNTQD[[#Headers],[State]], 0)</f>
        <v>Northern</v>
      </c>
      <c r="F63" s="30" t="str" cm="1">
        <f t="array" ref="F63">Common_InputFunctions.Utility_DisplayArrayInTable(SourceData_PastureBeef.SourceData_PastureBeef_LiveweightNTQLD_Data(),Table_SourceData_PastureBeef_LiveweightNTQD[[#Headers],[State]], 0)</f>
        <v>Summer</v>
      </c>
      <c r="G63" s="30" cm="1">
        <f t="array" ref="G63">Common_InputFunctions.Utility_DisplayArrayInTable(SourceData_PastureBeef.SourceData_PastureBeef_LiveweightNTQLD_Data(),Table_SourceData_PastureBeef_LiveweightNTQD[[#Headers],[State]], 0)</f>
        <v>110</v>
      </c>
      <c r="H63" s="30" cm="1">
        <f t="array" ref="H63">Common_InputFunctions.Utility_DisplayArrayInTable(SourceData_PastureBeef.SourceData_PastureBeef_LiveweightNTQLD_Data(),Table_SourceData_PastureBeef_LiveweightNTQD[[#Headers],[State]], 0)</f>
        <v>650</v>
      </c>
      <c r="I63" s="30" cm="1">
        <f t="array" ref="I63">Common_InputFunctions.Utility_DisplayArrayInTable(SourceData_PastureBeef.SourceData_PastureBeef_LiveweightNTQLD_Data(),Table_SourceData_PastureBeef_LiveweightNTQD[[#Headers],[State]], 0)</f>
        <v>102</v>
      </c>
      <c r="J63" s="30" cm="1">
        <f t="array" ref="J63">Common_InputFunctions.Utility_DisplayArrayInTable(SourceData_PastureBeef.SourceData_PastureBeef_LiveweightNTQLD_Data(),Table_SourceData_PastureBeef_LiveweightNTQD[[#Headers],[State]], 0)</f>
        <v>203</v>
      </c>
      <c r="K63" s="30" cm="1">
        <f t="array" ref="K63">Common_InputFunctions.Utility_DisplayArrayInTable(SourceData_PastureBeef.SourceData_PastureBeef_LiveweightNTQLD_Data(),Table_SourceData_PastureBeef_LiveweightNTQD[[#Headers],[State]], 0)</f>
        <v>299</v>
      </c>
      <c r="L63" s="30" cm="1">
        <f t="array" ref="L63">Common_InputFunctions.Utility_DisplayArrayInTable(SourceData_PastureBeef.SourceData_PastureBeef_LiveweightNTQLD_Data(),Table_SourceData_PastureBeef_LiveweightNTQD[[#Headers],[State]], 0)</f>
        <v>380</v>
      </c>
      <c r="M63" s="30" cm="1">
        <f t="array" ref="M63">Common_InputFunctions.Utility_DisplayArrayInTable(SourceData_PastureBeef.SourceData_PastureBeef_LiveweightNTQLD_Data(),Table_SourceData_PastureBeef_LiveweightNTQD[[#Headers],[State]], 0)</f>
        <v>102</v>
      </c>
      <c r="N63" s="30" cm="1">
        <f t="array" ref="N63">Common_InputFunctions.Utility_DisplayArrayInTable(SourceData_PastureBeef.SourceData_PastureBeef_LiveweightNTQLD_Data(),Table_SourceData_PastureBeef_LiveweightNTQD[[#Headers],[State]], 0)</f>
        <v>218</v>
      </c>
      <c r="O63" s="30" cm="1">
        <f t="array" ref="O63">Common_InputFunctions.Utility_DisplayArrayInTable(SourceData_PastureBeef.SourceData_PastureBeef_LiveweightNTQLD_Data(),Table_SourceData_PastureBeef_LiveweightNTQD[[#Headers],[State]], 0)</f>
        <v>263</v>
      </c>
      <c r="P63" s="30" t="str" cm="1">
        <f t="array" ref="P63">Common_InputFunctions.Utility_DisplayArrayInTable(SourceData_PastureBeef.SourceData_PastureBeef_LiveweightNTQLD_Data(),Table_SourceData_PastureBeef_LiveweightNTQD[[#Headers],[State]], 0)</f>
        <v>NO</v>
      </c>
    </row>
    <row r="64" spans="4:16" ht="20.100000000000001" customHeight="1" x14ac:dyDescent="0.25">
      <c r="D64" s="1" t="str" cm="1">
        <f t="array" ref="D64">Common_InputFunctions.Utility_DisplayArrayInTable(SourceData_PastureBeef.SourceData_PastureBeef_LiveweightNTQLD_Data(),Table_SourceData_PastureBeef_LiveweightNTQD[[#Headers],[State]], 0)</f>
        <v>Northern Territory</v>
      </c>
      <c r="E64" s="30" t="str" cm="1">
        <f t="array" ref="E64">Common_InputFunctions.Utility_DisplayArrayInTable(SourceData_PastureBeef.SourceData_PastureBeef_LiveweightNTQLD_Data(),Table_SourceData_PastureBeef_LiveweightNTQD[[#Headers],[State]], 0)</f>
        <v>Northern</v>
      </c>
      <c r="F64" s="30" t="str" cm="1">
        <f t="array" ref="F64">Common_InputFunctions.Utility_DisplayArrayInTable(SourceData_PastureBeef.SourceData_PastureBeef_LiveweightNTQLD_Data(),Table_SourceData_PastureBeef_LiveweightNTQD[[#Headers],[State]], 0)</f>
        <v>Autumn</v>
      </c>
      <c r="G64" s="30" cm="1">
        <f t="array" ref="G64">Common_InputFunctions.Utility_DisplayArrayInTable(SourceData_PastureBeef.SourceData_PastureBeef_LiveweightNTQLD_Data(),Table_SourceData_PastureBeef_LiveweightNTQD[[#Headers],[State]], 0)</f>
        <v>170</v>
      </c>
      <c r="H64" s="30" cm="1">
        <f t="array" ref="H64">Common_InputFunctions.Utility_DisplayArrayInTable(SourceData_PastureBeef.SourceData_PastureBeef_LiveweightNTQLD_Data(),Table_SourceData_PastureBeef_LiveweightNTQD[[#Headers],[State]], 0)</f>
        <v>670</v>
      </c>
      <c r="I64" s="30" cm="1">
        <f t="array" ref="I64">Common_InputFunctions.Utility_DisplayArrayInTable(SourceData_PastureBeef.SourceData_PastureBeef_LiveweightNTQLD_Data(),Table_SourceData_PastureBeef_LiveweightNTQD[[#Headers],[State]], 0)</f>
        <v>173</v>
      </c>
      <c r="J64" s="30" cm="1">
        <f t="array" ref="J64">Common_InputFunctions.Utility_DisplayArrayInTable(SourceData_PastureBeef.SourceData_PastureBeef_LiveweightNTQLD_Data(),Table_SourceData_PastureBeef_LiveweightNTQD[[#Headers],[State]], 0)</f>
        <v>250</v>
      </c>
      <c r="K64" s="30" cm="1">
        <f t="array" ref="K64">Common_InputFunctions.Utility_DisplayArrayInTable(SourceData_PastureBeef.SourceData_PastureBeef_LiveweightNTQLD_Data(),Table_SourceData_PastureBeef_LiveweightNTQD[[#Headers],[State]], 0)</f>
        <v>336</v>
      </c>
      <c r="L64" s="30" cm="1">
        <f t="array" ref="L64">Common_InputFunctions.Utility_DisplayArrayInTable(SourceData_PastureBeef.SourceData_PastureBeef_LiveweightNTQLD_Data(),Table_SourceData_PastureBeef_LiveweightNTQD[[#Headers],[State]], 0)</f>
        <v>414</v>
      </c>
      <c r="M64" s="30" cm="1">
        <f t="array" ref="M64">Common_InputFunctions.Utility_DisplayArrayInTable(SourceData_PastureBeef.SourceData_PastureBeef_LiveweightNTQLD_Data(),Table_SourceData_PastureBeef_LiveweightNTQD[[#Headers],[State]], 0)</f>
        <v>175</v>
      </c>
      <c r="N64" s="30" cm="1">
        <f t="array" ref="N64">Common_InputFunctions.Utility_DisplayArrayInTable(SourceData_PastureBeef.SourceData_PastureBeef_LiveweightNTQLD_Data(),Table_SourceData_PastureBeef_LiveweightNTQD[[#Headers],[State]], 0)</f>
        <v>243</v>
      </c>
      <c r="O64" s="30" cm="1">
        <f t="array" ref="O64">Common_InputFunctions.Utility_DisplayArrayInTable(SourceData_PastureBeef.SourceData_PastureBeef_LiveweightNTQLD_Data(),Table_SourceData_PastureBeef_LiveweightNTQD[[#Headers],[State]], 0)</f>
        <v>304</v>
      </c>
      <c r="P64" s="30" t="str" cm="1">
        <f t="array" ref="P64">Common_InputFunctions.Utility_DisplayArrayInTable(SourceData_PastureBeef.SourceData_PastureBeef_LiveweightNTQLD_Data(),Table_SourceData_PastureBeef_LiveweightNTQD[[#Headers],[State]], 0)</f>
        <v>NO</v>
      </c>
    </row>
    <row r="65" spans="4:22" ht="20.100000000000001" customHeight="1" x14ac:dyDescent="0.25">
      <c r="D65" s="1" t="str" cm="1">
        <f t="array" ref="D65">Common_InputFunctions.Utility_DisplayArrayInTable(SourceData_PastureBeef.SourceData_PastureBeef_LiveweightNTQLD_Data(),Table_SourceData_PastureBeef_LiveweightNTQD[[#Headers],[State]], 0)</f>
        <v>Northern Territory</v>
      </c>
      <c r="E65" s="30" t="str" cm="1">
        <f t="array" ref="E65">Common_InputFunctions.Utility_DisplayArrayInTable(SourceData_PastureBeef.SourceData_PastureBeef_LiveweightNTQLD_Data(),Table_SourceData_PastureBeef_LiveweightNTQD[[#Headers],[State]], 0)</f>
        <v>Northern</v>
      </c>
      <c r="F65" s="30" t="str" cm="1">
        <f t="array" ref="F65">Common_InputFunctions.Utility_DisplayArrayInTable(SourceData_PastureBeef.SourceData_PastureBeef_LiveweightNTQLD_Data(),Table_SourceData_PastureBeef_LiveweightNTQD[[#Headers],[State]], 0)</f>
        <v>Winter</v>
      </c>
      <c r="G65" s="30" cm="1">
        <f t="array" ref="G65">Common_InputFunctions.Utility_DisplayArrayInTable(SourceData_PastureBeef.SourceData_PastureBeef_LiveweightNTQLD_Data(),Table_SourceData_PastureBeef_LiveweightNTQD[[#Headers],[State]], 0)</f>
        <v>200</v>
      </c>
      <c r="H65" s="30" cm="1">
        <f t="array" ref="H65">Common_InputFunctions.Utility_DisplayArrayInTable(SourceData_PastureBeef.SourceData_PastureBeef_LiveweightNTQLD_Data(),Table_SourceData_PastureBeef_LiveweightNTQD[[#Headers],[State]], 0)</f>
        <v>660</v>
      </c>
      <c r="I65" s="30" cm="1">
        <f t="array" ref="I65">Common_InputFunctions.Utility_DisplayArrayInTable(SourceData_PastureBeef.SourceData_PastureBeef_LiveweightNTQLD_Data(),Table_SourceData_PastureBeef_LiveweightNTQD[[#Headers],[State]], 0)</f>
        <v>202</v>
      </c>
      <c r="J65" s="30" cm="1">
        <f t="array" ref="J65">Common_InputFunctions.Utility_DisplayArrayInTable(SourceData_PastureBeef.SourceData_PastureBeef_LiveweightNTQLD_Data(),Table_SourceData_PastureBeef_LiveweightNTQD[[#Headers],[State]], 0)</f>
        <v>272</v>
      </c>
      <c r="K65" s="30" cm="1">
        <f t="array" ref="K65">Common_InputFunctions.Utility_DisplayArrayInTable(SourceData_PastureBeef.SourceData_PastureBeef_LiveweightNTQLD_Data(),Table_SourceData_PastureBeef_LiveweightNTQD[[#Headers],[State]], 0)</f>
        <v>365</v>
      </c>
      <c r="L65" s="30" cm="1">
        <f t="array" ref="L65">Common_InputFunctions.Utility_DisplayArrayInTable(SourceData_PastureBeef.SourceData_PastureBeef_LiveweightNTQLD_Data(),Table_SourceData_PastureBeef_LiveweightNTQD[[#Headers],[State]], 0)</f>
        <v>390</v>
      </c>
      <c r="M65" s="30" cm="1">
        <f t="array" ref="M65">Common_InputFunctions.Utility_DisplayArrayInTable(SourceData_PastureBeef.SourceData_PastureBeef_LiveweightNTQLD_Data(),Table_SourceData_PastureBeef_LiveweightNTQD[[#Headers],[State]], 0)</f>
        <v>208</v>
      </c>
      <c r="N65" s="30" cm="1">
        <f t="array" ref="N65">Common_InputFunctions.Utility_DisplayArrayInTable(SourceData_PastureBeef.SourceData_PastureBeef_LiveweightNTQLD_Data(),Table_SourceData_PastureBeef_LiveweightNTQD[[#Headers],[State]], 0)</f>
        <v>260</v>
      </c>
      <c r="O65" s="30" cm="1">
        <f t="array" ref="O65">Common_InputFunctions.Utility_DisplayArrayInTable(SourceData_PastureBeef.SourceData_PastureBeef_LiveweightNTQLD_Data(),Table_SourceData_PastureBeef_LiveweightNTQD[[#Headers],[State]], 0)</f>
        <v>337</v>
      </c>
      <c r="P65" s="30" t="str" cm="1">
        <f t="array" ref="P65">Common_InputFunctions.Utility_DisplayArrayInTable(SourceData_PastureBeef.SourceData_PastureBeef_LiveweightNTQLD_Data(),Table_SourceData_PastureBeef_LiveweightNTQD[[#Headers],[State]], 0)</f>
        <v>NO</v>
      </c>
    </row>
    <row r="66" spans="4:22" ht="20.100000000000001" customHeight="1" x14ac:dyDescent="0.25">
      <c r="D66" s="1" t="str" cm="1">
        <f t="array" ref="D66">Common_InputFunctions.Utility_DisplayArrayInTable(SourceData_PastureBeef.SourceData_PastureBeef_LiveweightNTQLD_Data(),Table_SourceData_PastureBeef_LiveweightNTQD[[#Headers],[State]], 0)</f>
        <v>Queensland</v>
      </c>
      <c r="E66" s="30" t="str" cm="1">
        <f t="array" ref="E66">Common_InputFunctions.Utility_DisplayArrayInTable(SourceData_PastureBeef.SourceData_PastureBeef_LiveweightNTQLD_Data(),Table_SourceData_PastureBeef_LiveweightNTQD[[#Headers],[State]], 0)</f>
        <v>High</v>
      </c>
      <c r="F66" s="30" t="str" cm="1">
        <f t="array" ref="F66">Common_InputFunctions.Utility_DisplayArrayInTable(SourceData_PastureBeef.SourceData_PastureBeef_LiveweightNTQLD_Data(),Table_SourceData_PastureBeef_LiveweightNTQD[[#Headers],[State]], 0)</f>
        <v>Spring</v>
      </c>
      <c r="G66" s="30" cm="1">
        <f t="array" ref="G66">Common_InputFunctions.Utility_DisplayArrayInTable(SourceData_PastureBeef.SourceData_PastureBeef_LiveweightNTQLD_Data(),Table_SourceData_PastureBeef_LiveweightNTQD[[#Headers],[State]], 0)</f>
        <v>260</v>
      </c>
      <c r="H66" s="30" cm="1">
        <f t="array" ref="H66">Common_InputFunctions.Utility_DisplayArrayInTable(SourceData_PastureBeef.SourceData_PastureBeef_LiveweightNTQLD_Data(),Table_SourceData_PastureBeef_LiveweightNTQD[[#Headers],[State]], 0)</f>
        <v>705</v>
      </c>
      <c r="I66" s="30" cm="1">
        <f t="array" ref="I66">Common_InputFunctions.Utility_DisplayArrayInTable(SourceData_PastureBeef.SourceData_PastureBeef_LiveweightNTQLD_Data(),Table_SourceData_PastureBeef_LiveweightNTQD[[#Headers],[State]], 0)</f>
        <v>215</v>
      </c>
      <c r="J66" s="30" cm="1">
        <f t="array" ref="J66">Common_InputFunctions.Utility_DisplayArrayInTable(SourceData_PastureBeef.SourceData_PastureBeef_LiveweightNTQLD_Data(),Table_SourceData_PastureBeef_LiveweightNTQD[[#Headers],[State]], 0)</f>
        <v>302</v>
      </c>
      <c r="K66" s="30" cm="1">
        <f t="array" ref="K66">Common_InputFunctions.Utility_DisplayArrayInTable(SourceData_PastureBeef.SourceData_PastureBeef_LiveweightNTQLD_Data(),Table_SourceData_PastureBeef_LiveweightNTQD[[#Headers],[State]], 0)</f>
        <v>416</v>
      </c>
      <c r="L66" s="30" cm="1">
        <f t="array" ref="L66">Common_InputFunctions.Utility_DisplayArrayInTable(SourceData_PastureBeef.SourceData_PastureBeef_LiveweightNTQLD_Data(),Table_SourceData_PastureBeef_LiveweightNTQD[[#Headers],[State]], 0)</f>
        <v>519</v>
      </c>
      <c r="M66" s="30" cm="1">
        <f t="array" ref="M66">Common_InputFunctions.Utility_DisplayArrayInTable(SourceData_PastureBeef.SourceData_PastureBeef_LiveweightNTQLD_Data(),Table_SourceData_PastureBeef_LiveweightNTQD[[#Headers],[State]], 0)</f>
        <v>234</v>
      </c>
      <c r="N66" s="30" cm="1">
        <f t="array" ref="N66">Common_InputFunctions.Utility_DisplayArrayInTable(SourceData_PastureBeef.SourceData_PastureBeef_LiveweightNTQLD_Data(),Table_SourceData_PastureBeef_LiveweightNTQD[[#Headers],[State]], 0)</f>
        <v>455</v>
      </c>
      <c r="O66" s="30" cm="1">
        <f t="array" ref="O66">Common_InputFunctions.Utility_DisplayArrayInTable(SourceData_PastureBeef.SourceData_PastureBeef_LiveweightNTQLD_Data(),Table_SourceData_PastureBeef_LiveweightNTQD[[#Headers],[State]], 0)</f>
        <v>551</v>
      </c>
      <c r="P66" s="30" cm="1">
        <f t="array" ref="P66">Common_InputFunctions.Utility_DisplayArrayInTable(SourceData_PastureBeef.SourceData_PastureBeef_LiveweightNTQLD_Data(),Table_SourceData_PastureBeef_LiveweightNTQD[[#Headers],[State]], 0)</f>
        <v>660</v>
      </c>
    </row>
    <row r="67" spans="4:22" ht="20.100000000000001" customHeight="1" x14ac:dyDescent="0.25">
      <c r="D67" s="1" t="str" cm="1">
        <f t="array" ref="D67">Common_InputFunctions.Utility_DisplayArrayInTable(SourceData_PastureBeef.SourceData_PastureBeef_LiveweightNTQLD_Data(),Table_SourceData_PastureBeef_LiveweightNTQD[[#Headers],[State]], 0)</f>
        <v>Queensland</v>
      </c>
      <c r="E67" s="30" t="str" cm="1">
        <f t="array" ref="E67">Common_InputFunctions.Utility_DisplayArrayInTable(SourceData_PastureBeef.SourceData_PastureBeef_LiveweightNTQLD_Data(),Table_SourceData_PastureBeef_LiveweightNTQD[[#Headers],[State]], 0)</f>
        <v>High</v>
      </c>
      <c r="F67" s="30" t="str" cm="1">
        <f t="array" ref="F67">Common_InputFunctions.Utility_DisplayArrayInTable(SourceData_PastureBeef.SourceData_PastureBeef_LiveweightNTQLD_Data(),Table_SourceData_PastureBeef_LiveweightNTQD[[#Headers],[State]], 0)</f>
        <v>Summer</v>
      </c>
      <c r="G67" s="30" cm="1">
        <f t="array" ref="G67">Common_InputFunctions.Utility_DisplayArrayInTable(SourceData_PastureBeef.SourceData_PastureBeef_LiveweightNTQLD_Data(),Table_SourceData_PastureBeef_LiveweightNTQD[[#Headers],[State]], 0)</f>
        <v>153</v>
      </c>
      <c r="H67" s="30" cm="1">
        <f t="array" ref="H67">Common_InputFunctions.Utility_DisplayArrayInTable(SourceData_PastureBeef.SourceData_PastureBeef_LiveweightNTQLD_Data(),Table_SourceData_PastureBeef_LiveweightNTQD[[#Headers],[State]], 0)</f>
        <v>703</v>
      </c>
      <c r="I67" s="30" cm="1">
        <f t="array" ref="I67">Common_InputFunctions.Utility_DisplayArrayInTable(SourceData_PastureBeef.SourceData_PastureBeef_LiveweightNTQLD_Data(),Table_SourceData_PastureBeef_LiveweightNTQD[[#Headers],[State]], 0)</f>
        <v>118</v>
      </c>
      <c r="J67" s="30" cm="1">
        <f t="array" ref="J67">Common_InputFunctions.Utility_DisplayArrayInTable(SourceData_PastureBeef.SourceData_PastureBeef_LiveweightNTQLD_Data(),Table_SourceData_PastureBeef_LiveweightNTQD[[#Headers],[State]], 0)</f>
        <v>277</v>
      </c>
      <c r="K67" s="30" cm="1">
        <f t="array" ref="K67">Common_InputFunctions.Utility_DisplayArrayInTable(SourceData_PastureBeef.SourceData_PastureBeef_LiveweightNTQLD_Data(),Table_SourceData_PastureBeef_LiveweightNTQD[[#Headers],[State]], 0)</f>
        <v>397</v>
      </c>
      <c r="L67" s="30" cm="1">
        <f t="array" ref="L67">Common_InputFunctions.Utility_DisplayArrayInTable(SourceData_PastureBeef.SourceData_PastureBeef_LiveweightNTQLD_Data(),Table_SourceData_PastureBeef_LiveweightNTQD[[#Headers],[State]], 0)</f>
        <v>483</v>
      </c>
      <c r="M67" s="30" cm="1">
        <f t="array" ref="M67">Common_InputFunctions.Utility_DisplayArrayInTable(SourceData_PastureBeef.SourceData_PastureBeef_LiveweightNTQLD_Data(),Table_SourceData_PastureBeef_LiveweightNTQD[[#Headers],[State]], 0)</f>
        <v>111</v>
      </c>
      <c r="N67" s="30" cm="1">
        <f t="array" ref="N67">Common_InputFunctions.Utility_DisplayArrayInTable(SourceData_PastureBeef.SourceData_PastureBeef_LiveweightNTQLD_Data(),Table_SourceData_PastureBeef_LiveweightNTQD[[#Headers],[State]], 0)</f>
        <v>304</v>
      </c>
      <c r="O67" s="30" cm="1">
        <f t="array" ref="O67">Common_InputFunctions.Utility_DisplayArrayInTable(SourceData_PastureBeef.SourceData_PastureBeef_LiveweightNTQLD_Data(),Table_SourceData_PastureBeef_LiveweightNTQD[[#Headers],[State]], 0)</f>
        <v>521</v>
      </c>
      <c r="P67" s="30" cm="1">
        <f t="array" ref="P67">Common_InputFunctions.Utility_DisplayArrayInTable(SourceData_PastureBeef.SourceData_PastureBeef_LiveweightNTQLD_Data(),Table_SourceData_PastureBeef_LiveweightNTQD[[#Headers],[State]], 0)</f>
        <v>547</v>
      </c>
    </row>
    <row r="68" spans="4:22" ht="20.100000000000001" customHeight="1" x14ac:dyDescent="0.25">
      <c r="D68" s="1" t="str" cm="1">
        <f t="array" ref="D68">Common_InputFunctions.Utility_DisplayArrayInTable(SourceData_PastureBeef.SourceData_PastureBeef_LiveweightNTQLD_Data(),Table_SourceData_PastureBeef_LiveweightNTQD[[#Headers],[State]], 0)</f>
        <v>Queensland</v>
      </c>
      <c r="E68" s="30" t="str" cm="1">
        <f t="array" ref="E68">Common_InputFunctions.Utility_DisplayArrayInTable(SourceData_PastureBeef.SourceData_PastureBeef_LiveweightNTQLD_Data(),Table_SourceData_PastureBeef_LiveweightNTQD[[#Headers],[State]], 0)</f>
        <v>High</v>
      </c>
      <c r="F68" s="30" t="str" cm="1">
        <f t="array" ref="F68">Common_InputFunctions.Utility_DisplayArrayInTable(SourceData_PastureBeef.SourceData_PastureBeef_LiveweightNTQLD_Data(),Table_SourceData_PastureBeef_LiveweightNTQD[[#Headers],[State]], 0)</f>
        <v>Autumn</v>
      </c>
      <c r="G68" s="30" cm="1">
        <f t="array" ref="G68">Common_InputFunctions.Utility_DisplayArrayInTable(SourceData_PastureBeef.SourceData_PastureBeef_LiveweightNTQLD_Data(),Table_SourceData_PastureBeef_LiveweightNTQD[[#Headers],[State]], 0)</f>
        <v>168</v>
      </c>
      <c r="H68" s="30" cm="1">
        <f t="array" ref="H68">Common_InputFunctions.Utility_DisplayArrayInTable(SourceData_PastureBeef.SourceData_PastureBeef_LiveweightNTQLD_Data(),Table_SourceData_PastureBeef_LiveweightNTQD[[#Headers],[State]], 0)</f>
        <v>718</v>
      </c>
      <c r="I68" s="30" cm="1">
        <f t="array" ref="I68">Common_InputFunctions.Utility_DisplayArrayInTable(SourceData_PastureBeef.SourceData_PastureBeef_LiveweightNTQLD_Data(),Table_SourceData_PastureBeef_LiveweightNTQD[[#Headers],[State]], 0)</f>
        <v>191</v>
      </c>
      <c r="J68" s="30" cm="1">
        <f t="array" ref="J68">Common_InputFunctions.Utility_DisplayArrayInTable(SourceData_PastureBeef.SourceData_PastureBeef_LiveweightNTQLD_Data(),Table_SourceData_PastureBeef_LiveweightNTQD[[#Headers],[State]], 0)</f>
        <v>319</v>
      </c>
      <c r="K68" s="30" cm="1">
        <f t="array" ref="K68">Common_InputFunctions.Utility_DisplayArrayInTable(SourceData_PastureBeef.SourceData_PastureBeef_LiveweightNTQLD_Data(),Table_SourceData_PastureBeef_LiveweightNTQD[[#Headers],[State]], 0)</f>
        <v>440</v>
      </c>
      <c r="L68" s="30" cm="1">
        <f t="array" ref="L68">Common_InputFunctions.Utility_DisplayArrayInTable(SourceData_PastureBeef.SourceData_PastureBeef_LiveweightNTQLD_Data(),Table_SourceData_PastureBeef_LiveweightNTQD[[#Headers],[State]], 0)</f>
        <v>506</v>
      </c>
      <c r="M68" s="30" cm="1">
        <f t="array" ref="M68">Common_InputFunctions.Utility_DisplayArrayInTable(SourceData_PastureBeef.SourceData_PastureBeef_LiveweightNTQLD_Data(),Table_SourceData_PastureBeef_LiveweightNTQD[[#Headers],[State]], 0)</f>
        <v>188</v>
      </c>
      <c r="N68" s="30" cm="1">
        <f t="array" ref="N68">Common_InputFunctions.Utility_DisplayArrayInTable(SourceData_PastureBeef.SourceData_PastureBeef_LiveweightNTQLD_Data(),Table_SourceData_PastureBeef_LiveweightNTQD[[#Headers],[State]], 0)</f>
        <v>326</v>
      </c>
      <c r="O68" s="30" cm="1">
        <f t="array" ref="O68">Common_InputFunctions.Utility_DisplayArrayInTable(SourceData_PastureBeef.SourceData_PastureBeef_LiveweightNTQLD_Data(),Table_SourceData_PastureBeef_LiveweightNTQD[[#Headers],[State]], 0)</f>
        <v>520</v>
      </c>
      <c r="P68" s="30" cm="1">
        <f t="array" ref="P68">Common_InputFunctions.Utility_DisplayArrayInTable(SourceData_PastureBeef.SourceData_PastureBeef_LiveweightNTQLD_Data(),Table_SourceData_PastureBeef_LiveweightNTQD[[#Headers],[State]], 0)</f>
        <v>582</v>
      </c>
    </row>
    <row r="69" spans="4:22" ht="20.100000000000001" customHeight="1" x14ac:dyDescent="0.25">
      <c r="D69" s="1" t="str" cm="1">
        <f t="array" ref="D69">Common_InputFunctions.Utility_DisplayArrayInTable(SourceData_PastureBeef.SourceData_PastureBeef_LiveweightNTQLD_Data(),Table_SourceData_PastureBeef_LiveweightNTQD[[#Headers],[State]], 0)</f>
        <v>Queensland</v>
      </c>
      <c r="E69" s="30" t="str" cm="1">
        <f t="array" ref="E69">Common_InputFunctions.Utility_DisplayArrayInTable(SourceData_PastureBeef.SourceData_PastureBeef_LiveweightNTQLD_Data(),Table_SourceData_PastureBeef_LiveweightNTQD[[#Headers],[State]], 0)</f>
        <v>High</v>
      </c>
      <c r="F69" s="30" t="str" cm="1">
        <f t="array" ref="F69">Common_InputFunctions.Utility_DisplayArrayInTable(SourceData_PastureBeef.SourceData_PastureBeef_LiveweightNTQLD_Data(),Table_SourceData_PastureBeef_LiveweightNTQD[[#Headers],[State]], 0)</f>
        <v>Winter</v>
      </c>
      <c r="G69" s="30" cm="1">
        <f t="array" ref="G69">Common_InputFunctions.Utility_DisplayArrayInTable(SourceData_PastureBeef.SourceData_PastureBeef_LiveweightNTQLD_Data(),Table_SourceData_PastureBeef_LiveweightNTQD[[#Headers],[State]], 0)</f>
        <v>235</v>
      </c>
      <c r="H69" s="30" cm="1">
        <f t="array" ref="H69">Common_InputFunctions.Utility_DisplayArrayInTable(SourceData_PastureBeef.SourceData_PastureBeef_LiveweightNTQLD_Data(),Table_SourceData_PastureBeef_LiveweightNTQD[[#Headers],[State]], 0)</f>
        <v>722</v>
      </c>
      <c r="I69" s="30" cm="1">
        <f t="array" ref="I69">Common_InputFunctions.Utility_DisplayArrayInTable(SourceData_PastureBeef.SourceData_PastureBeef_LiveweightNTQLD_Data(),Table_SourceData_PastureBeef_LiveweightNTQD[[#Headers],[State]], 0)</f>
        <v>207</v>
      </c>
      <c r="J69" s="30" cm="1">
        <f t="array" ref="J69">Common_InputFunctions.Utility_DisplayArrayInTable(SourceData_PastureBeef.SourceData_PastureBeef_LiveweightNTQLD_Data(),Table_SourceData_PastureBeef_LiveweightNTQD[[#Headers],[State]], 0)</f>
        <v>352</v>
      </c>
      <c r="K69" s="30" cm="1">
        <f t="array" ref="K69">Common_InputFunctions.Utility_DisplayArrayInTable(SourceData_PastureBeef.SourceData_PastureBeef_LiveweightNTQLD_Data(),Table_SourceData_PastureBeef_LiveweightNTQD[[#Headers],[State]], 0)</f>
        <v>470</v>
      </c>
      <c r="L69" s="30" cm="1">
        <f t="array" ref="L69">Common_InputFunctions.Utility_DisplayArrayInTable(SourceData_PastureBeef.SourceData_PastureBeef_LiveweightNTQLD_Data(),Table_SourceData_PastureBeef_LiveweightNTQD[[#Headers],[State]], 0)</f>
        <v>514</v>
      </c>
      <c r="M69" s="30" cm="1">
        <f t="array" ref="M69">Common_InputFunctions.Utility_DisplayArrayInTable(SourceData_PastureBeef.SourceData_PastureBeef_LiveweightNTQLD_Data(),Table_SourceData_PastureBeef_LiveweightNTQD[[#Headers],[State]], 0)</f>
        <v>209</v>
      </c>
      <c r="N69" s="30" cm="1">
        <f t="array" ref="N69">Common_InputFunctions.Utility_DisplayArrayInTable(SourceData_PastureBeef.SourceData_PastureBeef_LiveweightNTQLD_Data(),Table_SourceData_PastureBeef_LiveweightNTQD[[#Headers],[State]], 0)</f>
        <v>421</v>
      </c>
      <c r="O69" s="30" cm="1">
        <f t="array" ref="O69">Common_InputFunctions.Utility_DisplayArrayInTable(SourceData_PastureBeef.SourceData_PastureBeef_LiveweightNTQLD_Data(),Table_SourceData_PastureBeef_LiveweightNTQD[[#Headers],[State]], 0)</f>
        <v>512</v>
      </c>
      <c r="P69" s="30" cm="1">
        <f t="array" ref="P69">Common_InputFunctions.Utility_DisplayArrayInTable(SourceData_PastureBeef.SourceData_PastureBeef_LiveweightNTQLD_Data(),Table_SourceData_PastureBeef_LiveweightNTQD[[#Headers],[State]], 0)</f>
        <v>605</v>
      </c>
    </row>
    <row r="70" spans="4:22" ht="20.100000000000001" customHeight="1" x14ac:dyDescent="0.25">
      <c r="D70" s="1" t="str" cm="1">
        <f t="array" ref="D70">Common_InputFunctions.Utility_DisplayArrayInTable(SourceData_PastureBeef.SourceData_PastureBeef_LiveweightNTQLD_Data(),Table_SourceData_PastureBeef_LiveweightNTQD[[#Headers],[State]], 0)</f>
        <v>Queensland</v>
      </c>
      <c r="E70" s="30" t="str" cm="1">
        <f t="array" ref="E70">Common_InputFunctions.Utility_DisplayArrayInTable(SourceData_PastureBeef.SourceData_PastureBeef_LiveweightNTQLD_Data(),Table_SourceData_PastureBeef_LiveweightNTQD[[#Headers],[State]], 0)</f>
        <v>Moderate/High</v>
      </c>
      <c r="F70" s="30" t="str" cm="1">
        <f t="array" ref="F70">Common_InputFunctions.Utility_DisplayArrayInTable(SourceData_PastureBeef.SourceData_PastureBeef_LiveweightNTQLD_Data(),Table_SourceData_PastureBeef_LiveweightNTQD[[#Headers],[State]], 0)</f>
        <v>Spring</v>
      </c>
      <c r="G70" s="30" cm="1">
        <f t="array" ref="G70">Common_InputFunctions.Utility_DisplayArrayInTable(SourceData_PastureBeef.SourceData_PastureBeef_LiveweightNTQLD_Data(),Table_SourceData_PastureBeef_LiveweightNTQD[[#Headers],[State]], 0)</f>
        <v>230</v>
      </c>
      <c r="H70" s="30" cm="1">
        <f t="array" ref="H70">Common_InputFunctions.Utility_DisplayArrayInTable(SourceData_PastureBeef.SourceData_PastureBeef_LiveweightNTQLD_Data(),Table_SourceData_PastureBeef_LiveweightNTQD[[#Headers],[State]], 0)</f>
        <v>674</v>
      </c>
      <c r="I70" s="30" cm="1">
        <f t="array" ref="I70">Common_InputFunctions.Utility_DisplayArrayInTable(SourceData_PastureBeef.SourceData_PastureBeef_LiveweightNTQLD_Data(),Table_SourceData_PastureBeef_LiveweightNTQD[[#Headers],[State]], 0)</f>
        <v>217</v>
      </c>
      <c r="J70" s="30" cm="1">
        <f t="array" ref="J70">Common_InputFunctions.Utility_DisplayArrayInTable(SourceData_PastureBeef.SourceData_PastureBeef_LiveweightNTQLD_Data(),Table_SourceData_PastureBeef_LiveweightNTQD[[#Headers],[State]], 0)</f>
        <v>344</v>
      </c>
      <c r="K70" s="30" cm="1">
        <f t="array" ref="K70">Common_InputFunctions.Utility_DisplayArrayInTable(SourceData_PastureBeef.SourceData_PastureBeef_LiveweightNTQLD_Data(),Table_SourceData_PastureBeef_LiveweightNTQD[[#Headers],[State]], 0)</f>
        <v>357</v>
      </c>
      <c r="L70" s="30" cm="1">
        <f t="array" ref="L70">Common_InputFunctions.Utility_DisplayArrayInTable(SourceData_PastureBeef.SourceData_PastureBeef_LiveweightNTQLD_Data(),Table_SourceData_PastureBeef_LiveweightNTQD[[#Headers],[State]], 0)</f>
        <v>467</v>
      </c>
      <c r="M70" s="30" cm="1">
        <f t="array" ref="M70">Common_InputFunctions.Utility_DisplayArrayInTable(SourceData_PastureBeef.SourceData_PastureBeef_LiveweightNTQLD_Data(),Table_SourceData_PastureBeef_LiveweightNTQD[[#Headers],[State]], 0)</f>
        <v>242</v>
      </c>
      <c r="N70" s="30" cm="1">
        <f t="array" ref="N70">Common_InputFunctions.Utility_DisplayArrayInTable(SourceData_PastureBeef.SourceData_PastureBeef_LiveweightNTQLD_Data(),Table_SourceData_PastureBeef_LiveweightNTQD[[#Headers],[State]], 0)</f>
        <v>370</v>
      </c>
      <c r="O70" s="30" cm="1">
        <f t="array" ref="O70">Common_InputFunctions.Utility_DisplayArrayInTable(SourceData_PastureBeef.SourceData_PastureBeef_LiveweightNTQLD_Data(),Table_SourceData_PastureBeef_LiveweightNTQD[[#Headers],[State]], 0)</f>
        <v>550</v>
      </c>
      <c r="P70" s="30" cm="1">
        <f t="array" ref="P70">Common_InputFunctions.Utility_DisplayArrayInTable(SourceData_PastureBeef.SourceData_PastureBeef_LiveweightNTQLD_Data(),Table_SourceData_PastureBeef_LiveweightNTQD[[#Headers],[State]], 0)</f>
        <v>620</v>
      </c>
    </row>
    <row r="71" spans="4:22" ht="20.100000000000001" customHeight="1" x14ac:dyDescent="0.25">
      <c r="D71" s="1" t="str" cm="1">
        <f t="array" ref="D71">Common_InputFunctions.Utility_DisplayArrayInTable(SourceData_PastureBeef.SourceData_PastureBeef_LiveweightNTQLD_Data(),Table_SourceData_PastureBeef_LiveweightNTQD[[#Headers],[State]], 0)</f>
        <v>Queensland</v>
      </c>
      <c r="E71" s="30" t="str" cm="1">
        <f t="array" ref="E71">Common_InputFunctions.Utility_DisplayArrayInTable(SourceData_PastureBeef.SourceData_PastureBeef_LiveweightNTQLD_Data(),Table_SourceData_PastureBeef_LiveweightNTQD[[#Headers],[State]], 0)</f>
        <v>Moderate/High</v>
      </c>
      <c r="F71" s="30" t="str" cm="1">
        <f t="array" ref="F71">Common_InputFunctions.Utility_DisplayArrayInTable(SourceData_PastureBeef.SourceData_PastureBeef_LiveweightNTQLD_Data(),Table_SourceData_PastureBeef_LiveweightNTQD[[#Headers],[State]], 0)</f>
        <v>Summer</v>
      </c>
      <c r="G71" s="30" cm="1">
        <f t="array" ref="G71">Common_InputFunctions.Utility_DisplayArrayInTable(SourceData_PastureBeef.SourceData_PastureBeef_LiveweightNTQLD_Data(),Table_SourceData_PastureBeef_LiveweightNTQD[[#Headers],[State]], 0)</f>
        <v>113</v>
      </c>
      <c r="H71" s="30" cm="1">
        <f t="array" ref="H71">Common_InputFunctions.Utility_DisplayArrayInTable(SourceData_PastureBeef.SourceData_PastureBeef_LiveweightNTQLD_Data(),Table_SourceData_PastureBeef_LiveweightNTQD[[#Headers],[State]], 0)</f>
        <v>669</v>
      </c>
      <c r="I71" s="30" cm="1">
        <f t="array" ref="I71">Common_InputFunctions.Utility_DisplayArrayInTable(SourceData_PastureBeef.SourceData_PastureBeef_LiveweightNTQLD_Data(),Table_SourceData_PastureBeef_LiveweightNTQD[[#Headers],[State]], 0)</f>
        <v>113</v>
      </c>
      <c r="J71" s="30" cm="1">
        <f t="array" ref="J71">Common_InputFunctions.Utility_DisplayArrayInTable(SourceData_PastureBeef.SourceData_PastureBeef_LiveweightNTQLD_Data(),Table_SourceData_PastureBeef_LiveweightNTQD[[#Headers],[State]], 0)</f>
        <v>283</v>
      </c>
      <c r="K71" s="30" cm="1">
        <f t="array" ref="K71">Common_InputFunctions.Utility_DisplayArrayInTable(SourceData_PastureBeef.SourceData_PastureBeef_LiveweightNTQLD_Data(),Table_SourceData_PastureBeef_LiveweightNTQD[[#Headers],[State]], 0)</f>
        <v>361</v>
      </c>
      <c r="L71" s="30" cm="1">
        <f t="array" ref="L71">Common_InputFunctions.Utility_DisplayArrayInTable(SourceData_PastureBeef.SourceData_PastureBeef_LiveweightNTQLD_Data(),Table_SourceData_PastureBeef_LiveweightNTQD[[#Headers],[State]], 0)</f>
        <v>477</v>
      </c>
      <c r="M71" s="30" cm="1">
        <f t="array" ref="M71">Common_InputFunctions.Utility_DisplayArrayInTable(SourceData_PastureBeef.SourceData_PastureBeef_LiveweightNTQLD_Data(),Table_SourceData_PastureBeef_LiveweightNTQD[[#Headers],[State]], 0)</f>
        <v>120</v>
      </c>
      <c r="N71" s="30" cm="1">
        <f t="array" ref="N71">Common_InputFunctions.Utility_DisplayArrayInTable(SourceData_PastureBeef.SourceData_PastureBeef_LiveweightNTQLD_Data(),Table_SourceData_PastureBeef_LiveweightNTQD[[#Headers],[State]], 0)</f>
        <v>273</v>
      </c>
      <c r="O71" s="30" cm="1">
        <f t="array" ref="O71">Common_InputFunctions.Utility_DisplayArrayInTable(SourceData_PastureBeef.SourceData_PastureBeef_LiveweightNTQLD_Data(),Table_SourceData_PastureBeef_LiveweightNTQD[[#Headers],[State]], 0)</f>
        <v>545</v>
      </c>
      <c r="P71" s="30" cm="1">
        <f t="array" ref="P71">Common_InputFunctions.Utility_DisplayArrayInTable(SourceData_PastureBeef.SourceData_PastureBeef_LiveweightNTQLD_Data(),Table_SourceData_PastureBeef_LiveweightNTQD[[#Headers],[State]], 0)</f>
        <v>553</v>
      </c>
      <c r="V71" s="1"/>
    </row>
    <row r="72" spans="4:22" ht="20.100000000000001" customHeight="1" x14ac:dyDescent="0.25">
      <c r="D72" s="1" t="str" cm="1">
        <f t="array" ref="D72">Common_InputFunctions.Utility_DisplayArrayInTable(SourceData_PastureBeef.SourceData_PastureBeef_LiveweightNTQLD_Data(),Table_SourceData_PastureBeef_LiveweightNTQD[[#Headers],[State]], 0)</f>
        <v>Queensland</v>
      </c>
      <c r="E72" s="30" t="str" cm="1">
        <f t="array" ref="E72">Common_InputFunctions.Utility_DisplayArrayInTable(SourceData_PastureBeef.SourceData_PastureBeef_LiveweightNTQLD_Data(),Table_SourceData_PastureBeef_LiveweightNTQD[[#Headers],[State]], 0)</f>
        <v>Moderate/High</v>
      </c>
      <c r="F72" s="30" t="str" cm="1">
        <f t="array" ref="F72">Common_InputFunctions.Utility_DisplayArrayInTable(SourceData_PastureBeef.SourceData_PastureBeef_LiveweightNTQLD_Data(),Table_SourceData_PastureBeef_LiveweightNTQD[[#Headers],[State]], 0)</f>
        <v>Autumn</v>
      </c>
      <c r="G72" s="30" cm="1">
        <f t="array" ref="G72">Common_InputFunctions.Utility_DisplayArrayInTable(SourceData_PastureBeef.SourceData_PastureBeef_LiveweightNTQLD_Data(),Table_SourceData_PastureBeef_LiveweightNTQD[[#Headers],[State]], 0)</f>
        <v>172</v>
      </c>
      <c r="H72" s="30" cm="1">
        <f t="array" ref="H72">Common_InputFunctions.Utility_DisplayArrayInTable(SourceData_PastureBeef.SourceData_PastureBeef_LiveweightNTQLD_Data(),Table_SourceData_PastureBeef_LiveweightNTQD[[#Headers],[State]], 0)</f>
        <v>685</v>
      </c>
      <c r="I72" s="30" cm="1">
        <f t="array" ref="I72">Common_InputFunctions.Utility_DisplayArrayInTable(SourceData_PastureBeef.SourceData_PastureBeef_LiveweightNTQLD_Data(),Table_SourceData_PastureBeef_LiveweightNTQD[[#Headers],[State]], 0)</f>
        <v>172</v>
      </c>
      <c r="J72" s="30" cm="1">
        <f t="array" ref="J72">Common_InputFunctions.Utility_DisplayArrayInTable(SourceData_PastureBeef.SourceData_PastureBeef_LiveweightNTQLD_Data(),Table_SourceData_PastureBeef_LiveweightNTQD[[#Headers],[State]], 0)</f>
        <v>309</v>
      </c>
      <c r="K72" s="30" cm="1">
        <f t="array" ref="K72">Common_InputFunctions.Utility_DisplayArrayInTable(SourceData_PastureBeef.SourceData_PastureBeef_LiveweightNTQLD_Data(),Table_SourceData_PastureBeef_LiveweightNTQD[[#Headers],[State]], 0)</f>
        <v>376</v>
      </c>
      <c r="L72" s="30" cm="1">
        <f t="array" ref="L72">Common_InputFunctions.Utility_DisplayArrayInTable(SourceData_PastureBeef.SourceData_PastureBeef_LiveweightNTQLD_Data(),Table_SourceData_PastureBeef_LiveweightNTQD[[#Headers],[State]], 0)</f>
        <v>471</v>
      </c>
      <c r="M72" s="30" cm="1">
        <f t="array" ref="M72">Common_InputFunctions.Utility_DisplayArrayInTable(SourceData_PastureBeef.SourceData_PastureBeef_LiveweightNTQLD_Data(),Table_SourceData_PastureBeef_LiveweightNTQD[[#Headers],[State]], 0)</f>
        <v>238</v>
      </c>
      <c r="N72" s="30" cm="1">
        <f t="array" ref="N72">Common_InputFunctions.Utility_DisplayArrayInTable(SourceData_PastureBeef.SourceData_PastureBeef_LiveweightNTQLD_Data(),Table_SourceData_PastureBeef_LiveweightNTQD[[#Headers],[State]], 0)</f>
        <v>329</v>
      </c>
      <c r="O72" s="30" cm="1">
        <f t="array" ref="O72">Common_InputFunctions.Utility_DisplayArrayInTable(SourceData_PastureBeef.SourceData_PastureBeef_LiveweightNTQLD_Data(),Table_SourceData_PastureBeef_LiveweightNTQD[[#Headers],[State]], 0)</f>
        <v>573</v>
      </c>
      <c r="P72" s="30" cm="1">
        <f t="array" ref="P72">Common_InputFunctions.Utility_DisplayArrayInTable(SourceData_PastureBeef.SourceData_PastureBeef_LiveweightNTQLD_Data(),Table_SourceData_PastureBeef_LiveweightNTQD[[#Headers],[State]], 0)</f>
        <v>620</v>
      </c>
      <c r="V72" s="1"/>
    </row>
    <row r="73" spans="4:22" ht="20.100000000000001" customHeight="1" x14ac:dyDescent="0.25">
      <c r="D73" s="1" t="str" cm="1">
        <f t="array" ref="D73">Common_InputFunctions.Utility_DisplayArrayInTable(SourceData_PastureBeef.SourceData_PastureBeef_LiveweightNTQLD_Data(),Table_SourceData_PastureBeef_LiveweightNTQD[[#Headers],[State]], 0)</f>
        <v>Queensland</v>
      </c>
      <c r="E73" s="30" t="str" cm="1">
        <f t="array" ref="E73">Common_InputFunctions.Utility_DisplayArrayInTable(SourceData_PastureBeef.SourceData_PastureBeef_LiveweightNTQLD_Data(),Table_SourceData_PastureBeef_LiveweightNTQD[[#Headers],[State]], 0)</f>
        <v>Moderate/High</v>
      </c>
      <c r="F73" s="30" t="str" cm="1">
        <f t="array" ref="F73">Common_InputFunctions.Utility_DisplayArrayInTable(SourceData_PastureBeef.SourceData_PastureBeef_LiveweightNTQLD_Data(),Table_SourceData_PastureBeef_LiveweightNTQD[[#Headers],[State]], 0)</f>
        <v>Winter</v>
      </c>
      <c r="G73" s="30" cm="1">
        <f t="array" ref="G73">Common_InputFunctions.Utility_DisplayArrayInTable(SourceData_PastureBeef.SourceData_PastureBeef_LiveweightNTQLD_Data(),Table_SourceData_PastureBeef_LiveweightNTQD[[#Headers],[State]], 0)</f>
        <v>241</v>
      </c>
      <c r="H73" s="30" cm="1">
        <f t="array" ref="H73">Common_InputFunctions.Utility_DisplayArrayInTable(SourceData_PastureBeef.SourceData_PastureBeef_LiveweightNTQLD_Data(),Table_SourceData_PastureBeef_LiveweightNTQD[[#Headers],[State]], 0)</f>
        <v>692</v>
      </c>
      <c r="I73" s="30" cm="1">
        <f t="array" ref="I73">Common_InputFunctions.Utility_DisplayArrayInTable(SourceData_PastureBeef.SourceData_PastureBeef_LiveweightNTQLD_Data(),Table_SourceData_PastureBeef_LiveweightNTQD[[#Headers],[State]], 0)</f>
        <v>208</v>
      </c>
      <c r="J73" s="30" cm="1">
        <f t="array" ref="J73">Common_InputFunctions.Utility_DisplayArrayInTable(SourceData_PastureBeef.SourceData_PastureBeef_LiveweightNTQLD_Data(),Table_SourceData_PastureBeef_LiveweightNTQD[[#Headers],[State]], 0)</f>
        <v>344</v>
      </c>
      <c r="K73" s="30" cm="1">
        <f t="array" ref="K73">Common_InputFunctions.Utility_DisplayArrayInTable(SourceData_PastureBeef.SourceData_PastureBeef_LiveweightNTQLD_Data(),Table_SourceData_PastureBeef_LiveweightNTQD[[#Headers],[State]], 0)</f>
        <v>364</v>
      </c>
      <c r="L73" s="30" cm="1">
        <f t="array" ref="L73">Common_InputFunctions.Utility_DisplayArrayInTable(SourceData_PastureBeef.SourceData_PastureBeef_LiveweightNTQLD_Data(),Table_SourceData_PastureBeef_LiveweightNTQD[[#Headers],[State]], 0)</f>
        <v>484</v>
      </c>
      <c r="M73" s="30" cm="1">
        <f t="array" ref="M73">Common_InputFunctions.Utility_DisplayArrayInTable(SourceData_PastureBeef.SourceData_PastureBeef_LiveweightNTQLD_Data(),Table_SourceData_PastureBeef_LiveweightNTQD[[#Headers],[State]], 0)</f>
        <v>260</v>
      </c>
      <c r="N73" s="30" cm="1">
        <f t="array" ref="N73">Common_InputFunctions.Utility_DisplayArrayInTable(SourceData_PastureBeef.SourceData_PastureBeef_LiveweightNTQLD_Data(),Table_SourceData_PastureBeef_LiveweightNTQD[[#Headers],[State]], 0)</f>
        <v>350</v>
      </c>
      <c r="O73" s="30" cm="1">
        <f t="array" ref="O73">Common_InputFunctions.Utility_DisplayArrayInTable(SourceData_PastureBeef.SourceData_PastureBeef_LiveweightNTQLD_Data(),Table_SourceData_PastureBeef_LiveweightNTQD[[#Headers],[State]], 0)</f>
        <v>567</v>
      </c>
      <c r="P73" s="30" cm="1">
        <f t="array" ref="P73">Common_InputFunctions.Utility_DisplayArrayInTable(SourceData_PastureBeef.SourceData_PastureBeef_LiveweightNTQLD_Data(),Table_SourceData_PastureBeef_LiveweightNTQD[[#Headers],[State]], 0)</f>
        <v>620</v>
      </c>
      <c r="V73" s="1"/>
    </row>
    <row r="74" spans="4:22" ht="20.100000000000001" customHeight="1" x14ac:dyDescent="0.25">
      <c r="D74" s="1" t="str" cm="1">
        <f t="array" ref="D74">Common_InputFunctions.Utility_DisplayArrayInTable(SourceData_PastureBeef.SourceData_PastureBeef_LiveweightNTQLD_Data(),Table_SourceData_PastureBeef_LiveweightNTQD[[#Headers],[State]], 0)</f>
        <v>Queensland</v>
      </c>
      <c r="E74" s="30" t="str" cm="1">
        <f t="array" ref="E74">Common_InputFunctions.Utility_DisplayArrayInTable(SourceData_PastureBeef.SourceData_PastureBeef_LiveweightNTQLD_Data(),Table_SourceData_PastureBeef_LiveweightNTQD[[#Headers],[State]], 0)</f>
        <v>Moderate/Low</v>
      </c>
      <c r="F74" s="30" t="str" cm="1">
        <f t="array" ref="F74">Common_InputFunctions.Utility_DisplayArrayInTable(SourceData_PastureBeef.SourceData_PastureBeef_LiveweightNTQLD_Data(),Table_SourceData_PastureBeef_LiveweightNTQD[[#Headers],[State]], 0)</f>
        <v>Spring</v>
      </c>
      <c r="G74" s="30" cm="1">
        <f t="array" ref="G74">Common_InputFunctions.Utility_DisplayArrayInTable(SourceData_PastureBeef.SourceData_PastureBeef_LiveweightNTQLD_Data(),Table_SourceData_PastureBeef_LiveweightNTQD[[#Headers],[State]], 0)</f>
        <v>236</v>
      </c>
      <c r="H74" s="30" cm="1">
        <f t="array" ref="H74">Common_InputFunctions.Utility_DisplayArrayInTable(SourceData_PastureBeef.SourceData_PastureBeef_LiveweightNTQLD_Data(),Table_SourceData_PastureBeef_LiveweightNTQD[[#Headers],[State]], 0)</f>
        <v>674</v>
      </c>
      <c r="I74" s="30" cm="1">
        <f t="array" ref="I74">Common_InputFunctions.Utility_DisplayArrayInTable(SourceData_PastureBeef.SourceData_PastureBeef_LiveweightNTQLD_Data(),Table_SourceData_PastureBeef_LiveweightNTQD[[#Headers],[State]], 0)</f>
        <v>178</v>
      </c>
      <c r="J74" s="30" cm="1">
        <f t="array" ref="J74">Common_InputFunctions.Utility_DisplayArrayInTable(SourceData_PastureBeef.SourceData_PastureBeef_LiveweightNTQLD_Data(),Table_SourceData_PastureBeef_LiveweightNTQD[[#Headers],[State]], 0)</f>
        <v>310</v>
      </c>
      <c r="K74" s="30" cm="1">
        <f t="array" ref="K74">Common_InputFunctions.Utility_DisplayArrayInTable(SourceData_PastureBeef.SourceData_PastureBeef_LiveweightNTQLD_Data(),Table_SourceData_PastureBeef_LiveweightNTQD[[#Headers],[State]], 0)</f>
        <v>428</v>
      </c>
      <c r="L74" s="30" cm="1">
        <f t="array" ref="L74">Common_InputFunctions.Utility_DisplayArrayInTable(SourceData_PastureBeef.SourceData_PastureBeef_LiveweightNTQLD_Data(),Table_SourceData_PastureBeef_LiveweightNTQD[[#Headers],[State]], 0)</f>
        <v>466</v>
      </c>
      <c r="M74" s="30" cm="1">
        <f t="array" ref="M74">Common_InputFunctions.Utility_DisplayArrayInTable(SourceData_PastureBeef.SourceData_PastureBeef_LiveweightNTQLD_Data(),Table_SourceData_PastureBeef_LiveweightNTQD[[#Headers],[State]], 0)</f>
        <v>193</v>
      </c>
      <c r="N74" s="30" cm="1">
        <f t="array" ref="N74">Common_InputFunctions.Utility_DisplayArrayInTable(SourceData_PastureBeef.SourceData_PastureBeef_LiveweightNTQLD_Data(),Table_SourceData_PastureBeef_LiveweightNTQD[[#Headers],[State]], 0)</f>
        <v>370</v>
      </c>
      <c r="O74" s="30" cm="1">
        <f t="array" ref="O74">Common_InputFunctions.Utility_DisplayArrayInTable(SourceData_PastureBeef.SourceData_PastureBeef_LiveweightNTQLD_Data(),Table_SourceData_PastureBeef_LiveweightNTQD[[#Headers],[State]], 0)</f>
        <v>519</v>
      </c>
      <c r="P74" s="30" cm="1">
        <f t="array" ref="P74">Common_InputFunctions.Utility_DisplayArrayInTable(SourceData_PastureBeef.SourceData_PastureBeef_LiveweightNTQLD_Data(),Table_SourceData_PastureBeef_LiveweightNTQD[[#Headers],[State]], 0)</f>
        <v>565</v>
      </c>
      <c r="V74" s="1"/>
    </row>
    <row r="75" spans="4:22" ht="20.100000000000001" customHeight="1" x14ac:dyDescent="0.25">
      <c r="D75" s="1" t="str" cm="1">
        <f t="array" ref="D75">Common_InputFunctions.Utility_DisplayArrayInTable(SourceData_PastureBeef.SourceData_PastureBeef_LiveweightNTQLD_Data(),Table_SourceData_PastureBeef_LiveweightNTQD[[#Headers],[State]], 0)</f>
        <v>Queensland</v>
      </c>
      <c r="E75" s="30" t="str" cm="1">
        <f t="array" ref="E75">Common_InputFunctions.Utility_DisplayArrayInTable(SourceData_PastureBeef.SourceData_PastureBeef_LiveweightNTQLD_Data(),Table_SourceData_PastureBeef_LiveweightNTQD[[#Headers],[State]], 0)</f>
        <v>Moderate/Low</v>
      </c>
      <c r="F75" s="30" t="str" cm="1">
        <f t="array" ref="F75">Common_InputFunctions.Utility_DisplayArrayInTable(SourceData_PastureBeef.SourceData_PastureBeef_LiveweightNTQLD_Data(),Table_SourceData_PastureBeef_LiveweightNTQD[[#Headers],[State]], 0)</f>
        <v>Summer</v>
      </c>
      <c r="G75" s="30" cm="1">
        <f t="array" ref="G75">Common_InputFunctions.Utility_DisplayArrayInTable(SourceData_PastureBeef.SourceData_PastureBeef_LiveweightNTQLD_Data(),Table_SourceData_PastureBeef_LiveweightNTQD[[#Headers],[State]], 0)</f>
        <v>120</v>
      </c>
      <c r="H75" s="30" cm="1">
        <f t="array" ref="H75">Common_InputFunctions.Utility_DisplayArrayInTable(SourceData_PastureBeef.SourceData_PastureBeef_LiveweightNTQLD_Data(),Table_SourceData_PastureBeef_LiveweightNTQD[[#Headers],[State]], 0)</f>
        <v>669</v>
      </c>
      <c r="I75" s="30" cm="1">
        <f t="array" ref="I75">Common_InputFunctions.Utility_DisplayArrayInTable(SourceData_PastureBeef.SourceData_PastureBeef_LiveweightNTQLD_Data(),Table_SourceData_PastureBeef_LiveweightNTQD[[#Headers],[State]], 0)</f>
        <v>112</v>
      </c>
      <c r="J75" s="30" cm="1">
        <f t="array" ref="J75">Common_InputFunctions.Utility_DisplayArrayInTable(SourceData_PastureBeef.SourceData_PastureBeef_LiveweightNTQLD_Data(),Table_SourceData_PastureBeef_LiveweightNTQD[[#Headers],[State]], 0)</f>
        <v>250</v>
      </c>
      <c r="K75" s="30" cm="1">
        <f t="array" ref="K75">Common_InputFunctions.Utility_DisplayArrayInTable(SourceData_PastureBeef.SourceData_PastureBeef_LiveweightNTQLD_Data(),Table_SourceData_PastureBeef_LiveweightNTQD[[#Headers],[State]], 0)</f>
        <v>390</v>
      </c>
      <c r="L75" s="30" cm="1">
        <f t="array" ref="L75">Common_InputFunctions.Utility_DisplayArrayInTable(SourceData_PastureBeef.SourceData_PastureBeef_LiveweightNTQLD_Data(),Table_SourceData_PastureBeef_LiveweightNTQD[[#Headers],[State]], 0)</f>
        <v>448</v>
      </c>
      <c r="M75" s="30" cm="1">
        <f t="array" ref="M75">Common_InputFunctions.Utility_DisplayArrayInTable(SourceData_PastureBeef.SourceData_PastureBeef_LiveweightNTQLD_Data(),Table_SourceData_PastureBeef_LiveweightNTQD[[#Headers],[State]], 0)</f>
        <v>115</v>
      </c>
      <c r="N75" s="30" cm="1">
        <f t="array" ref="N75">Common_InputFunctions.Utility_DisplayArrayInTable(SourceData_PastureBeef.SourceData_PastureBeef_LiveweightNTQLD_Data(),Table_SourceData_PastureBeef_LiveweightNTQD[[#Headers],[State]], 0)</f>
        <v>273</v>
      </c>
      <c r="O75" s="30" cm="1">
        <f t="array" ref="O75">Common_InputFunctions.Utility_DisplayArrayInTable(SourceData_PastureBeef.SourceData_PastureBeef_LiveweightNTQLD_Data(),Table_SourceData_PastureBeef_LiveweightNTQD[[#Headers],[State]], 0)</f>
        <v>433</v>
      </c>
      <c r="P75" s="30" cm="1">
        <f t="array" ref="P75">Common_InputFunctions.Utility_DisplayArrayInTable(SourceData_PastureBeef.SourceData_PastureBeef_LiveweightNTQLD_Data(),Table_SourceData_PastureBeef_LiveweightNTQD[[#Headers],[State]], 0)</f>
        <v>556</v>
      </c>
      <c r="V75" s="1"/>
    </row>
    <row r="76" spans="4:22" ht="20.100000000000001" customHeight="1" x14ac:dyDescent="0.25">
      <c r="D76" s="1" t="str" cm="1">
        <f t="array" ref="D76">Common_InputFunctions.Utility_DisplayArrayInTable(SourceData_PastureBeef.SourceData_PastureBeef_LiveweightNTQLD_Data(),Table_SourceData_PastureBeef_LiveweightNTQD[[#Headers],[State]], 0)</f>
        <v>Queensland</v>
      </c>
      <c r="E76" s="30" t="str" cm="1">
        <f t="array" ref="E76">Common_InputFunctions.Utility_DisplayArrayInTable(SourceData_PastureBeef.SourceData_PastureBeef_LiveweightNTQLD_Data(),Table_SourceData_PastureBeef_LiveweightNTQD[[#Headers],[State]], 0)</f>
        <v>Moderate/Low</v>
      </c>
      <c r="F76" s="30" t="str" cm="1">
        <f t="array" ref="F76">Common_InputFunctions.Utility_DisplayArrayInTable(SourceData_PastureBeef.SourceData_PastureBeef_LiveweightNTQLD_Data(),Table_SourceData_PastureBeef_LiveweightNTQD[[#Headers],[State]], 0)</f>
        <v>Autumn</v>
      </c>
      <c r="G76" s="30" cm="1">
        <f t="array" ref="G76">Common_InputFunctions.Utility_DisplayArrayInTable(SourceData_PastureBeef.SourceData_PastureBeef_LiveweightNTQLD_Data(),Table_SourceData_PastureBeef_LiveweightNTQD[[#Headers],[State]], 0)</f>
        <v>125</v>
      </c>
      <c r="H76" s="30" cm="1">
        <f t="array" ref="H76">Common_InputFunctions.Utility_DisplayArrayInTable(SourceData_PastureBeef.SourceData_PastureBeef_LiveweightNTQLD_Data(),Table_SourceData_PastureBeef_LiveweightNTQD[[#Headers],[State]], 0)</f>
        <v>685</v>
      </c>
      <c r="I76" s="30" cm="1">
        <f t="array" ref="I76">Common_InputFunctions.Utility_DisplayArrayInTable(SourceData_PastureBeef.SourceData_PastureBeef_LiveweightNTQLD_Data(),Table_SourceData_PastureBeef_LiveweightNTQD[[#Headers],[State]], 0)</f>
        <v>140</v>
      </c>
      <c r="J76" s="30" cm="1">
        <f t="array" ref="J76">Common_InputFunctions.Utility_DisplayArrayInTable(SourceData_PastureBeef.SourceData_PastureBeef_LiveweightNTQLD_Data(),Table_SourceData_PastureBeef_LiveweightNTQD[[#Headers],[State]], 0)</f>
        <v>277</v>
      </c>
      <c r="K76" s="30" cm="1">
        <f t="array" ref="K76">Common_InputFunctions.Utility_DisplayArrayInTable(SourceData_PastureBeef.SourceData_PastureBeef_LiveweightNTQLD_Data(),Table_SourceData_PastureBeef_LiveweightNTQD[[#Headers],[State]], 0)</f>
        <v>407</v>
      </c>
      <c r="L76" s="30" cm="1">
        <f t="array" ref="L76">Common_InputFunctions.Utility_DisplayArrayInTable(SourceData_PastureBeef.SourceData_PastureBeef_LiveweightNTQLD_Data(),Table_SourceData_PastureBeef_LiveweightNTQD[[#Headers],[State]], 0)</f>
        <v>455</v>
      </c>
      <c r="M76" s="30" cm="1">
        <f t="array" ref="M76">Common_InputFunctions.Utility_DisplayArrayInTable(SourceData_PastureBeef.SourceData_PastureBeef_LiveweightNTQLD_Data(),Table_SourceData_PastureBeef_LiveweightNTQD[[#Headers],[State]], 0)</f>
        <v>141</v>
      </c>
      <c r="N76" s="30" cm="1">
        <f t="array" ref="N76">Common_InputFunctions.Utility_DisplayArrayInTable(SourceData_PastureBeef.SourceData_PastureBeef_LiveweightNTQLD_Data(),Table_SourceData_PastureBeef_LiveweightNTQD[[#Headers],[State]], 0)</f>
        <v>296</v>
      </c>
      <c r="O76" s="30" cm="1">
        <f t="array" ref="O76">Common_InputFunctions.Utility_DisplayArrayInTable(SourceData_PastureBeef.SourceData_PastureBeef_LiveweightNTQLD_Data(),Table_SourceData_PastureBeef_LiveweightNTQD[[#Headers],[State]], 0)</f>
        <v>445</v>
      </c>
      <c r="P76" s="30" cm="1">
        <f t="array" ref="P76">Common_InputFunctions.Utility_DisplayArrayInTable(SourceData_PastureBeef.SourceData_PastureBeef_LiveweightNTQLD_Data(),Table_SourceData_PastureBeef_LiveweightNTQD[[#Headers],[State]], 0)</f>
        <v>593</v>
      </c>
      <c r="V76" s="1"/>
    </row>
    <row r="77" spans="4:22" ht="20.100000000000001" customHeight="1" x14ac:dyDescent="0.25">
      <c r="D77" s="1" t="str" cm="1">
        <f t="array" ref="D77">Common_InputFunctions.Utility_DisplayArrayInTable(SourceData_PastureBeef.SourceData_PastureBeef_LiveweightNTQLD_Data(),Table_SourceData_PastureBeef_LiveweightNTQD[[#Headers],[State]], 0)</f>
        <v>Queensland</v>
      </c>
      <c r="E77" s="30" t="str" cm="1">
        <f t="array" ref="E77">Common_InputFunctions.Utility_DisplayArrayInTable(SourceData_PastureBeef.SourceData_PastureBeef_LiveweightNTQLD_Data(),Table_SourceData_PastureBeef_LiveweightNTQD[[#Headers],[State]], 0)</f>
        <v>Moderate/Low</v>
      </c>
      <c r="F77" s="30" t="str" cm="1">
        <f t="array" ref="F77">Common_InputFunctions.Utility_DisplayArrayInTable(SourceData_PastureBeef.SourceData_PastureBeef_LiveweightNTQLD_Data(),Table_SourceData_PastureBeef_LiveweightNTQD[[#Headers],[State]], 0)</f>
        <v>Winter</v>
      </c>
      <c r="G77" s="30" cm="1">
        <f t="array" ref="G77">Common_InputFunctions.Utility_DisplayArrayInTable(SourceData_PastureBeef.SourceData_PastureBeef_LiveweightNTQLD_Data(),Table_SourceData_PastureBeef_LiveweightNTQD[[#Headers],[State]], 0)</f>
        <v>180</v>
      </c>
      <c r="H77" s="30" cm="1">
        <f t="array" ref="H77">Common_InputFunctions.Utility_DisplayArrayInTable(SourceData_PastureBeef.SourceData_PastureBeef_LiveweightNTQLD_Data(),Table_SourceData_PastureBeef_LiveweightNTQD[[#Headers],[State]], 0)</f>
        <v>692</v>
      </c>
      <c r="I77" s="30" cm="1">
        <f t="array" ref="I77">Common_InputFunctions.Utility_DisplayArrayInTable(SourceData_PastureBeef.SourceData_PastureBeef_LiveweightNTQLD_Data(),Table_SourceData_PastureBeef_LiveweightNTQD[[#Headers],[State]], 0)</f>
        <v>183</v>
      </c>
      <c r="J77" s="30" cm="1">
        <f t="array" ref="J77">Common_InputFunctions.Utility_DisplayArrayInTable(SourceData_PastureBeef.SourceData_PastureBeef_LiveweightNTQLD_Data(),Table_SourceData_PastureBeef_LiveweightNTQD[[#Headers],[State]], 0)</f>
        <v>316</v>
      </c>
      <c r="K77" s="30" cm="1">
        <f t="array" ref="K77">Common_InputFunctions.Utility_DisplayArrayInTable(SourceData_PastureBeef.SourceData_PastureBeef_LiveweightNTQLD_Data(),Table_SourceData_PastureBeef_LiveweightNTQD[[#Headers],[State]], 0)</f>
        <v>438</v>
      </c>
      <c r="L77" s="30" cm="1">
        <f t="array" ref="L77">Common_InputFunctions.Utility_DisplayArrayInTable(SourceData_PastureBeef.SourceData_PastureBeef_LiveweightNTQLD_Data(),Table_SourceData_PastureBeef_LiveweightNTQD[[#Headers],[State]], 0)</f>
        <v>468</v>
      </c>
      <c r="M77" s="30" cm="1">
        <f t="array" ref="M77">Common_InputFunctions.Utility_DisplayArrayInTable(SourceData_PastureBeef.SourceData_PastureBeef_LiveweightNTQLD_Data(),Table_SourceData_PastureBeef_LiveweightNTQD[[#Headers],[State]], 0)</f>
        <v>189</v>
      </c>
      <c r="N77" s="30" cm="1">
        <f t="array" ref="N77">Common_InputFunctions.Utility_DisplayArrayInTable(SourceData_PastureBeef.SourceData_PastureBeef_LiveweightNTQLD_Data(),Table_SourceData_PastureBeef_LiveweightNTQD[[#Headers],[State]], 0)</f>
        <v>354</v>
      </c>
      <c r="O77" s="30" cm="1">
        <f t="array" ref="O77">Common_InputFunctions.Utility_DisplayArrayInTable(SourceData_PastureBeef.SourceData_PastureBeef_LiveweightNTQLD_Data(),Table_SourceData_PastureBeef_LiveweightNTQD[[#Headers],[State]], 0)</f>
        <v>500</v>
      </c>
      <c r="P77" s="30" cm="1">
        <f t="array" ref="P77">Common_InputFunctions.Utility_DisplayArrayInTable(SourceData_PastureBeef.SourceData_PastureBeef_LiveweightNTQLD_Data(),Table_SourceData_PastureBeef_LiveweightNTQD[[#Headers],[State]], 0)</f>
        <v>553</v>
      </c>
      <c r="V77" s="1"/>
    </row>
    <row r="78" spans="4:22" ht="20.100000000000001" customHeight="1" x14ac:dyDescent="0.25">
      <c r="D78" s="1" t="str" cm="1">
        <f t="array" ref="D78">Common_InputFunctions.Utility_DisplayArrayInTable(SourceData_PastureBeef.SourceData_PastureBeef_LiveweightNTQLD_Data(),Table_SourceData_PastureBeef_LiveweightNTQD[[#Headers],[State]], 0)</f>
        <v>Queensland</v>
      </c>
      <c r="E78" s="30" t="str" cm="1">
        <f t="array" ref="E78">Common_InputFunctions.Utility_DisplayArrayInTable(SourceData_PastureBeef.SourceData_PastureBeef_LiveweightNTQLD_Data(),Table_SourceData_PastureBeef_LiveweightNTQD[[#Headers],[State]], 0)</f>
        <v>Low</v>
      </c>
      <c r="F78" s="30" t="str" cm="1">
        <f t="array" ref="F78">Common_InputFunctions.Utility_DisplayArrayInTable(SourceData_PastureBeef.SourceData_PastureBeef_LiveweightNTQLD_Data(),Table_SourceData_PastureBeef_LiveweightNTQD[[#Headers],[State]], 0)</f>
        <v>Spring</v>
      </c>
      <c r="G78" s="30" cm="1">
        <f t="array" ref="G78">Common_InputFunctions.Utility_DisplayArrayInTable(SourceData_PastureBeef.SourceData_PastureBeef_LiveweightNTQLD_Data(),Table_SourceData_PastureBeef_LiveweightNTQD[[#Headers],[State]], 0)</f>
        <v>190</v>
      </c>
      <c r="H78" s="30" cm="1">
        <f t="array" ref="H78">Common_InputFunctions.Utility_DisplayArrayInTable(SourceData_PastureBeef.SourceData_PastureBeef_LiveweightNTQLD_Data(),Table_SourceData_PastureBeef_LiveweightNTQD[[#Headers],[State]], 0)</f>
        <v>617</v>
      </c>
      <c r="I78" s="30" cm="1">
        <f t="array" ref="I78">Common_InputFunctions.Utility_DisplayArrayInTable(SourceData_PastureBeef.SourceData_PastureBeef_LiveweightNTQLD_Data(),Table_SourceData_PastureBeef_LiveweightNTQD[[#Headers],[State]], 0)</f>
        <v>174</v>
      </c>
      <c r="J78" s="30" cm="1">
        <f t="array" ref="J78">Common_InputFunctions.Utility_DisplayArrayInTable(SourceData_PastureBeef.SourceData_PastureBeef_LiveweightNTQLD_Data(),Table_SourceData_PastureBeef_LiveweightNTQD[[#Headers],[State]], 0)</f>
        <v>265</v>
      </c>
      <c r="K78" s="30" cm="1">
        <f t="array" ref="K78">Common_InputFunctions.Utility_DisplayArrayInTable(SourceData_PastureBeef.SourceData_PastureBeef_LiveweightNTQLD_Data(),Table_SourceData_PastureBeef_LiveweightNTQD[[#Headers],[State]], 0)</f>
        <v>371</v>
      </c>
      <c r="L78" s="30" cm="1">
        <f t="array" ref="L78">Common_InputFunctions.Utility_DisplayArrayInTable(SourceData_PastureBeef.SourceData_PastureBeef_LiveweightNTQLD_Data(),Table_SourceData_PastureBeef_LiveweightNTQD[[#Headers],[State]], 0)</f>
        <v>415</v>
      </c>
      <c r="M78" s="30" cm="1">
        <f t="array" ref="M78">Common_InputFunctions.Utility_DisplayArrayInTable(SourceData_PastureBeef.SourceData_PastureBeef_LiveweightNTQLD_Data(),Table_SourceData_PastureBeef_LiveweightNTQD[[#Headers],[State]], 0)</f>
        <v>170</v>
      </c>
      <c r="N78" s="30" cm="1">
        <f t="array" ref="N78">Common_InputFunctions.Utility_DisplayArrayInTable(SourceData_PastureBeef.SourceData_PastureBeef_LiveweightNTQLD_Data(),Table_SourceData_PastureBeef_LiveweightNTQD[[#Headers],[State]], 0)</f>
        <v>272</v>
      </c>
      <c r="O78" s="30" cm="1">
        <f t="array" ref="O78">Common_InputFunctions.Utility_DisplayArrayInTable(SourceData_PastureBeef.SourceData_PastureBeef_LiveweightNTQLD_Data(),Table_SourceData_PastureBeef_LiveweightNTQD[[#Headers],[State]], 0)</f>
        <v>392</v>
      </c>
      <c r="P78" s="30" cm="1">
        <f t="array" ref="P78">Common_InputFunctions.Utility_DisplayArrayInTable(SourceData_PastureBeef.SourceData_PastureBeef_LiveweightNTQLD_Data(),Table_SourceData_PastureBeef_LiveweightNTQD[[#Headers],[State]], 0)</f>
        <v>531</v>
      </c>
    </row>
    <row r="79" spans="4:22" ht="20.100000000000001" customHeight="1" x14ac:dyDescent="0.25">
      <c r="D79" s="1" t="str" cm="1">
        <f t="array" ref="D79">Common_InputFunctions.Utility_DisplayArrayInTable(SourceData_PastureBeef.SourceData_PastureBeef_LiveweightNTQLD_Data(),Table_SourceData_PastureBeef_LiveweightNTQD[[#Headers],[State]], 0)</f>
        <v>Queensland</v>
      </c>
      <c r="E79" s="30" t="str" cm="1">
        <f t="array" ref="E79">Common_InputFunctions.Utility_DisplayArrayInTable(SourceData_PastureBeef.SourceData_PastureBeef_LiveweightNTQLD_Data(),Table_SourceData_PastureBeef_LiveweightNTQD[[#Headers],[State]], 0)</f>
        <v>Low</v>
      </c>
      <c r="F79" s="30" t="str" cm="1">
        <f t="array" ref="F79">Common_InputFunctions.Utility_DisplayArrayInTable(SourceData_PastureBeef.SourceData_PastureBeef_LiveweightNTQLD_Data(),Table_SourceData_PastureBeef_LiveweightNTQD[[#Headers],[State]], 0)</f>
        <v>Summer</v>
      </c>
      <c r="G79" s="30" cm="1">
        <f t="array" ref="G79">Common_InputFunctions.Utility_DisplayArrayInTable(SourceData_PastureBeef.SourceData_PastureBeef_LiveweightNTQLD_Data(),Table_SourceData_PastureBeef_LiveweightNTQD[[#Headers],[State]], 0)</f>
        <v>119</v>
      </c>
      <c r="H79" s="30" cm="1">
        <f t="array" ref="H79">Common_InputFunctions.Utility_DisplayArrayInTable(SourceData_PastureBeef.SourceData_PastureBeef_LiveweightNTQLD_Data(),Table_SourceData_PastureBeef_LiveweightNTQD[[#Headers],[State]], 0)</f>
        <v>591</v>
      </c>
      <c r="I79" s="30" cm="1">
        <f t="array" ref="I79">Common_InputFunctions.Utility_DisplayArrayInTable(SourceData_PastureBeef.SourceData_PastureBeef_LiveweightNTQLD_Data(),Table_SourceData_PastureBeef_LiveweightNTQD[[#Headers],[State]], 0)</f>
        <v>140</v>
      </c>
      <c r="J79" s="30" cm="1">
        <f t="array" ref="J79">Common_InputFunctions.Utility_DisplayArrayInTable(SourceData_PastureBeef.SourceData_PastureBeef_LiveweightNTQLD_Data(),Table_SourceData_PastureBeef_LiveweightNTQD[[#Headers],[State]], 0)</f>
        <v>205</v>
      </c>
      <c r="K79" s="30" cm="1">
        <f t="array" ref="K79">Common_InputFunctions.Utility_DisplayArrayInTable(SourceData_PastureBeef.SourceData_PastureBeef_LiveweightNTQLD_Data(),Table_SourceData_PastureBeef_LiveweightNTQD[[#Headers],[State]], 0)</f>
        <v>310</v>
      </c>
      <c r="L79" s="30" cm="1">
        <f t="array" ref="L79">Common_InputFunctions.Utility_DisplayArrayInTable(SourceData_PastureBeef.SourceData_PastureBeef_LiveweightNTQLD_Data(),Table_SourceData_PastureBeef_LiveweightNTQD[[#Headers],[State]], 0)</f>
        <v>405</v>
      </c>
      <c r="M79" s="30" cm="1">
        <f t="array" ref="M79">Common_InputFunctions.Utility_DisplayArrayInTable(SourceData_PastureBeef.SourceData_PastureBeef_LiveweightNTQLD_Data(),Table_SourceData_PastureBeef_LiveweightNTQD[[#Headers],[State]], 0)</f>
        <v>133</v>
      </c>
      <c r="N79" s="30" cm="1">
        <f t="array" ref="N79">Common_InputFunctions.Utility_DisplayArrayInTable(SourceData_PastureBeef.SourceData_PastureBeef_LiveweightNTQLD_Data(),Table_SourceData_PastureBeef_LiveweightNTQD[[#Headers],[State]], 0)</f>
        <v>218</v>
      </c>
      <c r="O79" s="30" cm="1">
        <f t="array" ref="O79">Common_InputFunctions.Utility_DisplayArrayInTable(SourceData_PastureBeef.SourceData_PastureBeef_LiveweightNTQLD_Data(),Table_SourceData_PastureBeef_LiveweightNTQD[[#Headers],[State]], 0)</f>
        <v>315</v>
      </c>
      <c r="P79" s="30" cm="1">
        <f t="array" ref="P79">Common_InputFunctions.Utility_DisplayArrayInTable(SourceData_PastureBeef.SourceData_PastureBeef_LiveweightNTQLD_Data(),Table_SourceData_PastureBeef_LiveweightNTQD[[#Headers],[State]], 0)</f>
        <v>445</v>
      </c>
    </row>
    <row r="80" spans="4:22" ht="20.100000000000001" customHeight="1" x14ac:dyDescent="0.25">
      <c r="D80" s="1" t="str" cm="1">
        <f t="array" ref="D80">Common_InputFunctions.Utility_DisplayArrayInTable(SourceData_PastureBeef.SourceData_PastureBeef_LiveweightNTQLD_Data(),Table_SourceData_PastureBeef_LiveweightNTQD[[#Headers],[State]], 0)</f>
        <v>Queensland</v>
      </c>
      <c r="E80" s="30" t="str" cm="1">
        <f t="array" ref="E80">Common_InputFunctions.Utility_DisplayArrayInTable(SourceData_PastureBeef.SourceData_PastureBeef_LiveweightNTQLD_Data(),Table_SourceData_PastureBeef_LiveweightNTQD[[#Headers],[State]], 0)</f>
        <v>Low</v>
      </c>
      <c r="F80" s="30" t="str" cm="1">
        <f t="array" ref="F80">Common_InputFunctions.Utility_DisplayArrayInTable(SourceData_PastureBeef.SourceData_PastureBeef_LiveweightNTQLD_Data(),Table_SourceData_PastureBeef_LiveweightNTQD[[#Headers],[State]], 0)</f>
        <v>Autumn</v>
      </c>
      <c r="G80" s="30" cm="1">
        <f t="array" ref="G80">Common_InputFunctions.Utility_DisplayArrayInTable(SourceData_PastureBeef.SourceData_PastureBeef_LiveweightNTQLD_Data(),Table_SourceData_PastureBeef_LiveweightNTQD[[#Headers],[State]], 0)</f>
        <v>175</v>
      </c>
      <c r="H80" s="30" cm="1">
        <f t="array" ref="H80">Common_InputFunctions.Utility_DisplayArrayInTable(SourceData_PastureBeef.SourceData_PastureBeef_LiveweightNTQLD_Data(),Table_SourceData_PastureBeef_LiveweightNTQD[[#Headers],[State]], 0)</f>
        <v>610</v>
      </c>
      <c r="I80" s="30" cm="1">
        <f t="array" ref="I80">Common_InputFunctions.Utility_DisplayArrayInTable(SourceData_PastureBeef.SourceData_PastureBeef_LiveweightNTQLD_Data(),Table_SourceData_PastureBeef_LiveweightNTQD[[#Headers],[State]], 0)</f>
        <v>163</v>
      </c>
      <c r="J80" s="30" cm="1">
        <f t="array" ref="J80">Common_InputFunctions.Utility_DisplayArrayInTable(SourceData_PastureBeef.SourceData_PastureBeef_LiveweightNTQLD_Data(),Table_SourceData_PastureBeef_LiveweightNTQD[[#Headers],[State]], 0)</f>
        <v>232</v>
      </c>
      <c r="K80" s="30" cm="1">
        <f t="array" ref="K80">Common_InputFunctions.Utility_DisplayArrayInTable(SourceData_PastureBeef.SourceData_PastureBeef_LiveweightNTQLD_Data(),Table_SourceData_PastureBeef_LiveweightNTQD[[#Headers],[State]], 0)</f>
        <v>351</v>
      </c>
      <c r="L80" s="30" cm="1">
        <f t="array" ref="L80">Common_InputFunctions.Utility_DisplayArrayInTable(SourceData_PastureBeef.SourceData_PastureBeef_LiveweightNTQLD_Data(),Table_SourceData_PastureBeef_LiveweightNTQD[[#Headers],[State]], 0)</f>
        <v>427</v>
      </c>
      <c r="M80" s="30" cm="1">
        <f t="array" ref="M80">Common_InputFunctions.Utility_DisplayArrayInTable(SourceData_PastureBeef.SourceData_PastureBeef_LiveweightNTQLD_Data(),Table_SourceData_PastureBeef_LiveweightNTQD[[#Headers],[State]], 0)</f>
        <v>146</v>
      </c>
      <c r="N80" s="30" cm="1">
        <f t="array" ref="N80">Common_InputFunctions.Utility_DisplayArrayInTable(SourceData_PastureBeef.SourceData_PastureBeef_LiveweightNTQLD_Data(),Table_SourceData_PastureBeef_LiveweightNTQD[[#Headers],[State]], 0)</f>
        <v>242</v>
      </c>
      <c r="O80" s="30" cm="1">
        <f t="array" ref="O80">Common_InputFunctions.Utility_DisplayArrayInTable(SourceData_PastureBeef.SourceData_PastureBeef_LiveweightNTQLD_Data(),Table_SourceData_PastureBeef_LiveweightNTQD[[#Headers],[State]], 0)</f>
        <v>320</v>
      </c>
      <c r="P80" s="30" cm="1">
        <f t="array" ref="P80">Common_InputFunctions.Utility_DisplayArrayInTable(SourceData_PastureBeef.SourceData_PastureBeef_LiveweightNTQLD_Data(),Table_SourceData_PastureBeef_LiveweightNTQD[[#Headers],[State]], 0)</f>
        <v>471</v>
      </c>
    </row>
    <row r="81" spans="4:22" ht="20.100000000000001" customHeight="1" x14ac:dyDescent="0.25">
      <c r="D81" s="1" t="str" cm="1">
        <f t="array" ref="D81">Common_InputFunctions.Utility_DisplayArrayInTable(SourceData_PastureBeef.SourceData_PastureBeef_LiveweightNTQLD_Data(),Table_SourceData_PastureBeef_LiveweightNTQD[[#Headers],[State]], 0)</f>
        <v>Queensland</v>
      </c>
      <c r="E81" s="30" t="str" cm="1">
        <f t="array" ref="E81">Common_InputFunctions.Utility_DisplayArrayInTable(SourceData_PastureBeef.SourceData_PastureBeef_LiveweightNTQLD_Data(),Table_SourceData_PastureBeef_LiveweightNTQD[[#Headers],[State]], 0)</f>
        <v>Low</v>
      </c>
      <c r="F81" s="30" t="str" cm="1">
        <f t="array" ref="F81">Common_InputFunctions.Utility_DisplayArrayInTable(SourceData_PastureBeef.SourceData_PastureBeef_LiveweightNTQLD_Data(),Table_SourceData_PastureBeef_LiveweightNTQD[[#Headers],[State]], 0)</f>
        <v>Winter</v>
      </c>
      <c r="G81" s="30" cm="1">
        <f t="array" ref="G81">Common_InputFunctions.Utility_DisplayArrayInTable(SourceData_PastureBeef.SourceData_PastureBeef_LiveweightNTQLD_Data(),Table_SourceData_PastureBeef_LiveweightNTQD[[#Headers],[State]], 0)</f>
        <v>192</v>
      </c>
      <c r="H81" s="30" cm="1">
        <f t="array" ref="H81">Common_InputFunctions.Utility_DisplayArrayInTable(SourceData_PastureBeef.SourceData_PastureBeef_LiveweightNTQLD_Data(),Table_SourceData_PastureBeef_LiveweightNTQD[[#Headers],[State]], 0)</f>
        <v>615</v>
      </c>
      <c r="I81" s="30" cm="1">
        <f t="array" ref="I81">Common_InputFunctions.Utility_DisplayArrayInTable(SourceData_PastureBeef.SourceData_PastureBeef_LiveweightNTQLD_Data(),Table_SourceData_PastureBeef_LiveweightNTQD[[#Headers],[State]], 0)</f>
        <v>162</v>
      </c>
      <c r="J81" s="30" cm="1">
        <f t="array" ref="J81">Common_InputFunctions.Utility_DisplayArrayInTable(SourceData_PastureBeef.SourceData_PastureBeef_LiveweightNTQLD_Data(),Table_SourceData_PastureBeef_LiveweightNTQD[[#Headers],[State]], 0)</f>
        <v>255</v>
      </c>
      <c r="K81" s="30" cm="1">
        <f t="array" ref="K81">Common_InputFunctions.Utility_DisplayArrayInTable(SourceData_PastureBeef.SourceData_PastureBeef_LiveweightNTQLD_Data(),Table_SourceData_PastureBeef_LiveweightNTQD[[#Headers],[State]], 0)</f>
        <v>364</v>
      </c>
      <c r="L81" s="30" cm="1">
        <f t="array" ref="L81">Common_InputFunctions.Utility_DisplayArrayInTable(SourceData_PastureBeef.SourceData_PastureBeef_LiveweightNTQLD_Data(),Table_SourceData_PastureBeef_LiveweightNTQD[[#Headers],[State]], 0)</f>
        <v>420</v>
      </c>
      <c r="M81" s="30" cm="1">
        <f t="array" ref="M81">Common_InputFunctions.Utility_DisplayArrayInTable(SourceData_PastureBeef.SourceData_PastureBeef_LiveweightNTQLD_Data(),Table_SourceData_PastureBeef_LiveweightNTQD[[#Headers],[State]], 0)</f>
        <v>157</v>
      </c>
      <c r="N81" s="30" cm="1">
        <f t="array" ref="N81">Common_InputFunctions.Utility_DisplayArrayInTable(SourceData_PastureBeef.SourceData_PastureBeef_LiveweightNTQLD_Data(),Table_SourceData_PastureBeef_LiveweightNTQD[[#Headers],[State]], 0)</f>
        <v>261</v>
      </c>
      <c r="O81" s="30" cm="1">
        <f t="array" ref="O81">Common_InputFunctions.Utility_DisplayArrayInTable(SourceData_PastureBeef.SourceData_PastureBeef_LiveweightNTQLD_Data(),Table_SourceData_PastureBeef_LiveweightNTQD[[#Headers],[State]], 0)</f>
        <v>342</v>
      </c>
      <c r="P81" s="30" cm="1">
        <f t="array" ref="P81">Common_InputFunctions.Utility_DisplayArrayInTable(SourceData_PastureBeef.SourceData_PastureBeef_LiveweightNTQLD_Data(),Table_SourceData_PastureBeef_LiveweightNTQD[[#Headers],[State]], 0)</f>
        <v>484</v>
      </c>
    </row>
    <row r="82" spans="4:22" ht="20.100000000000001" customHeight="1" x14ac:dyDescent="0.25">
      <c r="M82" s="1"/>
    </row>
    <row r="83" spans="4:22" ht="20.100000000000001" customHeight="1" x14ac:dyDescent="0.25">
      <c r="M83" s="1"/>
    </row>
    <row r="84" spans="4:22" ht="20.100000000000001" customHeight="1" x14ac:dyDescent="0.25">
      <c r="D84" s="2" t="s">
        <v>370</v>
      </c>
      <c r="M84" s="1"/>
    </row>
    <row r="85" spans="4:22" ht="20.100000000000001" customHeight="1" x14ac:dyDescent="0.25">
      <c r="D85" s="30" t="s">
        <v>107</v>
      </c>
      <c r="E85" s="30" t="s">
        <v>312</v>
      </c>
      <c r="F85" s="30" t="s">
        <v>78</v>
      </c>
      <c r="G85" s="127" t="s">
        <v>193</v>
      </c>
      <c r="H85" s="127" t="s">
        <v>194</v>
      </c>
      <c r="I85" s="127" t="s">
        <v>195</v>
      </c>
      <c r="J85" s="127" t="s">
        <v>196</v>
      </c>
      <c r="K85" s="127" t="s">
        <v>197</v>
      </c>
      <c r="L85" s="127" t="s">
        <v>198</v>
      </c>
      <c r="M85" s="127" t="s">
        <v>199</v>
      </c>
      <c r="N85" s="127" t="s">
        <v>200</v>
      </c>
      <c r="O85" s="127" t="s">
        <v>201</v>
      </c>
      <c r="P85" s="127" t="s">
        <v>202</v>
      </c>
      <c r="V85" s="1"/>
    </row>
    <row r="86" spans="4:22" ht="20.100000000000001" customHeight="1" x14ac:dyDescent="0.25">
      <c r="D86" s="30" t="s">
        <v>342</v>
      </c>
      <c r="E86" s="30" t="s">
        <v>316</v>
      </c>
      <c r="F86" s="30" t="str">
        <f>F19</f>
        <v>Spring</v>
      </c>
      <c r="G86" s="30">
        <f>G19</f>
        <v>80</v>
      </c>
      <c r="H86" s="30">
        <f t="shared" ref="H86:K89" si="0">H19</f>
        <v>480</v>
      </c>
      <c r="I86" s="30">
        <f>I19</f>
        <v>75</v>
      </c>
      <c r="J86" s="30">
        <f>J19</f>
        <v>300</v>
      </c>
      <c r="K86" s="30">
        <f>K19</f>
        <v>440</v>
      </c>
      <c r="L86" s="30">
        <f>K19</f>
        <v>440</v>
      </c>
      <c r="M86" s="30">
        <f>L19</f>
        <v>75</v>
      </c>
      <c r="N86" s="30">
        <f>M19</f>
        <v>380</v>
      </c>
      <c r="O86" s="30">
        <f>M19</f>
        <v>380</v>
      </c>
      <c r="P86" s="30">
        <f>M19</f>
        <v>380</v>
      </c>
      <c r="V86" s="1"/>
    </row>
    <row r="87" spans="4:22" ht="20.100000000000001" customHeight="1" x14ac:dyDescent="0.25">
      <c r="D87" s="30" t="s">
        <v>342</v>
      </c>
      <c r="E87" s="30" t="s">
        <v>316</v>
      </c>
      <c r="F87" s="30" t="s">
        <v>204</v>
      </c>
      <c r="G87" s="30">
        <f t="shared" ref="G87:G89" si="1">G20</f>
        <v>170</v>
      </c>
      <c r="H87" s="30">
        <f t="shared" si="0"/>
        <v>520</v>
      </c>
      <c r="I87" s="30">
        <f t="shared" si="0"/>
        <v>160</v>
      </c>
      <c r="J87" s="30">
        <f t="shared" si="0"/>
        <v>360</v>
      </c>
      <c r="K87" s="30">
        <f t="shared" si="0"/>
        <v>470</v>
      </c>
      <c r="L87" s="30">
        <f t="shared" ref="L87:N89" si="2">K20</f>
        <v>470</v>
      </c>
      <c r="M87" s="30">
        <f t="shared" si="2"/>
        <v>160</v>
      </c>
      <c r="N87" s="30">
        <f t="shared" si="2"/>
        <v>420</v>
      </c>
      <c r="O87" s="30">
        <f t="shared" ref="O87:O89" si="3">M20</f>
        <v>420</v>
      </c>
      <c r="P87" s="30">
        <f t="shared" ref="P87:P89" si="4">M20</f>
        <v>420</v>
      </c>
      <c r="V87" s="1"/>
    </row>
    <row r="88" spans="4:22" ht="20.100000000000001" customHeight="1" x14ac:dyDescent="0.25">
      <c r="D88" s="30" t="s">
        <v>342</v>
      </c>
      <c r="E88" s="30" t="s">
        <v>316</v>
      </c>
      <c r="F88" s="30" t="s">
        <v>205</v>
      </c>
      <c r="G88" s="30">
        <f t="shared" si="1"/>
        <v>240</v>
      </c>
      <c r="H88" s="30">
        <f t="shared" si="0"/>
        <v>550</v>
      </c>
      <c r="I88" s="30">
        <f t="shared" si="0"/>
        <v>220</v>
      </c>
      <c r="J88" s="30">
        <f t="shared" si="0"/>
        <v>390</v>
      </c>
      <c r="K88" s="30">
        <f t="shared" si="0"/>
        <v>490</v>
      </c>
      <c r="L88" s="30">
        <f t="shared" si="2"/>
        <v>490</v>
      </c>
      <c r="M88" s="30">
        <f t="shared" si="2"/>
        <v>220</v>
      </c>
      <c r="N88" s="30">
        <f t="shared" si="2"/>
        <v>450</v>
      </c>
      <c r="O88" s="30">
        <f t="shared" si="3"/>
        <v>450</v>
      </c>
      <c r="P88" s="30">
        <f t="shared" si="4"/>
        <v>450</v>
      </c>
      <c r="V88" s="1"/>
    </row>
    <row r="89" spans="4:22" ht="20.100000000000001" customHeight="1" x14ac:dyDescent="0.25">
      <c r="D89" s="30" t="s">
        <v>342</v>
      </c>
      <c r="E89" s="30" t="s">
        <v>316</v>
      </c>
      <c r="F89" s="30" t="s">
        <v>206</v>
      </c>
      <c r="G89" s="30">
        <f t="shared" si="1"/>
        <v>280</v>
      </c>
      <c r="H89" s="30">
        <f t="shared" si="0"/>
        <v>560</v>
      </c>
      <c r="I89" s="30">
        <f t="shared" si="0"/>
        <v>260</v>
      </c>
      <c r="J89" s="30">
        <f t="shared" si="0"/>
        <v>410</v>
      </c>
      <c r="K89" s="30">
        <f t="shared" si="0"/>
        <v>500</v>
      </c>
      <c r="L89" s="30">
        <f t="shared" si="2"/>
        <v>500</v>
      </c>
      <c r="M89" s="30">
        <f t="shared" si="2"/>
        <v>260</v>
      </c>
      <c r="N89" s="30">
        <f t="shared" si="2"/>
        <v>460</v>
      </c>
      <c r="O89" s="30">
        <f t="shared" si="3"/>
        <v>460</v>
      </c>
      <c r="P89" s="30">
        <f t="shared" si="4"/>
        <v>460</v>
      </c>
      <c r="V89" s="1"/>
    </row>
    <row r="90" spans="4:22" ht="20.100000000000001" customHeight="1" x14ac:dyDescent="0.25">
      <c r="D90" s="30" t="s">
        <v>343</v>
      </c>
      <c r="E90" s="30" t="s">
        <v>316</v>
      </c>
      <c r="F90" s="30" t="str">
        <f>F23</f>
        <v>Spring</v>
      </c>
      <c r="G90" s="30">
        <f>G19</f>
        <v>80</v>
      </c>
      <c r="H90" s="30">
        <f t="shared" ref="H90:J90" si="5">H19</f>
        <v>480</v>
      </c>
      <c r="I90" s="30">
        <f t="shared" si="5"/>
        <v>75</v>
      </c>
      <c r="J90" s="30">
        <f t="shared" si="5"/>
        <v>300</v>
      </c>
      <c r="K90" s="30">
        <f>K19</f>
        <v>440</v>
      </c>
      <c r="L90" s="30">
        <f>K19</f>
        <v>440</v>
      </c>
      <c r="M90" s="30">
        <f>L19</f>
        <v>75</v>
      </c>
      <c r="N90" s="30">
        <f>M19</f>
        <v>380</v>
      </c>
      <c r="O90" s="30">
        <f>M19</f>
        <v>380</v>
      </c>
      <c r="P90" s="30">
        <f>M19</f>
        <v>380</v>
      </c>
      <c r="V90" s="1"/>
    </row>
    <row r="91" spans="4:22" ht="20.100000000000001" customHeight="1" x14ac:dyDescent="0.25">
      <c r="D91" s="30" t="s">
        <v>343</v>
      </c>
      <c r="E91" s="30" t="s">
        <v>316</v>
      </c>
      <c r="F91" s="30" t="s">
        <v>204</v>
      </c>
      <c r="G91" s="30">
        <f t="shared" ref="G91:K94" si="6">G20</f>
        <v>170</v>
      </c>
      <c r="H91" s="30">
        <f t="shared" si="6"/>
        <v>520</v>
      </c>
      <c r="I91" s="30">
        <f t="shared" si="6"/>
        <v>160</v>
      </c>
      <c r="J91" s="30">
        <f t="shared" si="6"/>
        <v>360</v>
      </c>
      <c r="K91" s="30">
        <f t="shared" si="6"/>
        <v>470</v>
      </c>
      <c r="L91" s="30">
        <f t="shared" ref="L91:N105" si="7">K20</f>
        <v>470</v>
      </c>
      <c r="M91" s="30">
        <f t="shared" si="7"/>
        <v>160</v>
      </c>
      <c r="N91" s="30">
        <f t="shared" si="7"/>
        <v>420</v>
      </c>
      <c r="O91" s="30">
        <f t="shared" ref="O91:O93" si="8">M20</f>
        <v>420</v>
      </c>
      <c r="P91" s="30">
        <f t="shared" ref="P91:P93" si="9">M20</f>
        <v>420</v>
      </c>
    </row>
    <row r="92" spans="4:22" ht="20.100000000000001" customHeight="1" x14ac:dyDescent="0.25">
      <c r="D92" s="30" t="s">
        <v>343</v>
      </c>
      <c r="E92" s="30" t="s">
        <v>316</v>
      </c>
      <c r="F92" s="30" t="s">
        <v>205</v>
      </c>
      <c r="G92" s="30">
        <f t="shared" si="6"/>
        <v>240</v>
      </c>
      <c r="H92" s="30">
        <f t="shared" si="6"/>
        <v>550</v>
      </c>
      <c r="I92" s="30">
        <f t="shared" si="6"/>
        <v>220</v>
      </c>
      <c r="J92" s="30">
        <f t="shared" si="6"/>
        <v>390</v>
      </c>
      <c r="K92" s="30">
        <f t="shared" si="6"/>
        <v>490</v>
      </c>
      <c r="L92" s="30">
        <f t="shared" si="7"/>
        <v>490</v>
      </c>
      <c r="M92" s="30">
        <f t="shared" si="7"/>
        <v>220</v>
      </c>
      <c r="N92" s="30">
        <f t="shared" si="7"/>
        <v>450</v>
      </c>
      <c r="O92" s="30">
        <f t="shared" si="8"/>
        <v>450</v>
      </c>
      <c r="P92" s="30">
        <f t="shared" si="9"/>
        <v>450</v>
      </c>
    </row>
    <row r="93" spans="4:22" ht="20.100000000000001" customHeight="1" x14ac:dyDescent="0.25">
      <c r="D93" s="30" t="s">
        <v>343</v>
      </c>
      <c r="E93" s="30" t="s">
        <v>316</v>
      </c>
      <c r="F93" s="30" t="s">
        <v>206</v>
      </c>
      <c r="G93" s="30">
        <f t="shared" si="6"/>
        <v>280</v>
      </c>
      <c r="H93" s="30">
        <f t="shared" si="6"/>
        <v>560</v>
      </c>
      <c r="I93" s="30">
        <f t="shared" si="6"/>
        <v>260</v>
      </c>
      <c r="J93" s="30">
        <f t="shared" si="6"/>
        <v>410</v>
      </c>
      <c r="K93" s="30">
        <f t="shared" si="6"/>
        <v>500</v>
      </c>
      <c r="L93" s="30">
        <f t="shared" si="7"/>
        <v>500</v>
      </c>
      <c r="M93" s="30">
        <f t="shared" si="7"/>
        <v>260</v>
      </c>
      <c r="N93" s="30">
        <f t="shared" si="7"/>
        <v>460</v>
      </c>
      <c r="O93" s="30">
        <f t="shared" si="8"/>
        <v>460</v>
      </c>
      <c r="P93" s="30">
        <f t="shared" si="9"/>
        <v>460</v>
      </c>
    </row>
    <row r="94" spans="4:22" ht="20.100000000000001" customHeight="1" x14ac:dyDescent="0.25">
      <c r="D94" s="30" t="s">
        <v>344</v>
      </c>
      <c r="E94" s="30" t="s">
        <v>316</v>
      </c>
      <c r="F94" s="30" t="str">
        <f>F27</f>
        <v>Spring</v>
      </c>
      <c r="G94" s="30">
        <f>G23</f>
        <v>250</v>
      </c>
      <c r="H94" s="30">
        <f t="shared" si="6"/>
        <v>800</v>
      </c>
      <c r="I94" s="30">
        <f t="shared" si="6"/>
        <v>220</v>
      </c>
      <c r="J94" s="30">
        <f>J23</f>
        <v>400</v>
      </c>
      <c r="K94" s="30">
        <f>K23</f>
        <v>500</v>
      </c>
      <c r="L94" s="30">
        <f>K23</f>
        <v>500</v>
      </c>
      <c r="M94" s="30">
        <f>L23</f>
        <v>230</v>
      </c>
      <c r="N94" s="30">
        <f>M23</f>
        <v>420</v>
      </c>
      <c r="O94" s="30">
        <f>M23</f>
        <v>420</v>
      </c>
      <c r="P94" s="30">
        <f>M23</f>
        <v>420</v>
      </c>
    </row>
    <row r="95" spans="4:22" ht="20.100000000000001" customHeight="1" x14ac:dyDescent="0.25">
      <c r="D95" s="30" t="s">
        <v>344</v>
      </c>
      <c r="E95" s="30" t="s">
        <v>316</v>
      </c>
      <c r="F95" s="30" t="s">
        <v>204</v>
      </c>
      <c r="G95" s="30">
        <f t="shared" ref="G95:K98" si="10">G24</f>
        <v>320</v>
      </c>
      <c r="H95" s="30">
        <f t="shared" si="10"/>
        <v>800</v>
      </c>
      <c r="I95" s="30">
        <f t="shared" si="10"/>
        <v>280</v>
      </c>
      <c r="J95" s="30">
        <f t="shared" si="10"/>
        <v>420</v>
      </c>
      <c r="K95" s="30">
        <f t="shared" si="10"/>
        <v>500</v>
      </c>
      <c r="L95" s="30">
        <f t="shared" ref="L95:M97" si="11">K24</f>
        <v>500</v>
      </c>
      <c r="M95" s="30">
        <f t="shared" si="11"/>
        <v>290</v>
      </c>
      <c r="N95" s="30">
        <f t="shared" si="7"/>
        <v>420</v>
      </c>
      <c r="O95" s="30">
        <f t="shared" ref="O95:O97" si="12">M24</f>
        <v>420</v>
      </c>
      <c r="P95" s="30">
        <f t="shared" ref="P95:P97" si="13">M24</f>
        <v>420</v>
      </c>
    </row>
    <row r="96" spans="4:22" ht="20.100000000000001" customHeight="1" x14ac:dyDescent="0.25">
      <c r="D96" s="30" t="s">
        <v>344</v>
      </c>
      <c r="E96" s="30" t="s">
        <v>316</v>
      </c>
      <c r="F96" s="30" t="s">
        <v>205</v>
      </c>
      <c r="G96" s="30">
        <f t="shared" si="10"/>
        <v>80</v>
      </c>
      <c r="H96" s="30">
        <f t="shared" si="10"/>
        <v>700</v>
      </c>
      <c r="I96" s="30">
        <f t="shared" si="10"/>
        <v>70</v>
      </c>
      <c r="J96" s="30">
        <f t="shared" si="10"/>
        <v>300</v>
      </c>
      <c r="K96" s="30">
        <f t="shared" si="10"/>
        <v>450</v>
      </c>
      <c r="L96" s="30">
        <f t="shared" si="11"/>
        <v>450</v>
      </c>
      <c r="M96" s="30">
        <f t="shared" si="11"/>
        <v>75</v>
      </c>
      <c r="N96" s="30">
        <f t="shared" si="7"/>
        <v>400</v>
      </c>
      <c r="O96" s="30">
        <f t="shared" si="12"/>
        <v>400</v>
      </c>
      <c r="P96" s="30">
        <f t="shared" si="13"/>
        <v>400</v>
      </c>
    </row>
    <row r="97" spans="4:16" ht="20.100000000000001" customHeight="1" x14ac:dyDescent="0.25">
      <c r="D97" s="30" t="s">
        <v>344</v>
      </c>
      <c r="E97" s="30" t="s">
        <v>316</v>
      </c>
      <c r="F97" s="30" t="s">
        <v>206</v>
      </c>
      <c r="G97" s="30">
        <f t="shared" si="10"/>
        <v>160</v>
      </c>
      <c r="H97" s="30">
        <f t="shared" si="10"/>
        <v>700</v>
      </c>
      <c r="I97" s="30">
        <f t="shared" si="10"/>
        <v>140</v>
      </c>
      <c r="J97" s="30">
        <f t="shared" si="10"/>
        <v>350</v>
      </c>
      <c r="K97" s="30">
        <f t="shared" si="10"/>
        <v>450</v>
      </c>
      <c r="L97" s="30">
        <f t="shared" si="11"/>
        <v>450</v>
      </c>
      <c r="M97" s="30">
        <f t="shared" si="11"/>
        <v>150</v>
      </c>
      <c r="N97" s="30">
        <f t="shared" si="7"/>
        <v>400</v>
      </c>
      <c r="O97" s="30">
        <f t="shared" si="12"/>
        <v>400</v>
      </c>
      <c r="P97" s="30">
        <f t="shared" si="13"/>
        <v>400</v>
      </c>
    </row>
    <row r="98" spans="4:16" ht="20.100000000000001" customHeight="1" x14ac:dyDescent="0.25">
      <c r="D98" s="30" t="s">
        <v>345</v>
      </c>
      <c r="E98" s="30" t="s">
        <v>316</v>
      </c>
      <c r="F98" s="30" t="str">
        <f>F31</f>
        <v>Spring</v>
      </c>
      <c r="G98" s="30">
        <f>G27</f>
        <v>105</v>
      </c>
      <c r="H98" s="30">
        <f t="shared" si="10"/>
        <v>700</v>
      </c>
      <c r="I98" s="30">
        <f t="shared" si="10"/>
        <v>85</v>
      </c>
      <c r="J98" s="30">
        <f t="shared" si="10"/>
        <v>300</v>
      </c>
      <c r="K98" s="30">
        <f t="shared" si="10"/>
        <v>490</v>
      </c>
      <c r="L98" s="30">
        <f>K27</f>
        <v>490</v>
      </c>
      <c r="M98" s="30">
        <f>L27</f>
        <v>90</v>
      </c>
      <c r="N98" s="30">
        <f>M27</f>
        <v>480</v>
      </c>
      <c r="O98" s="30">
        <f>M27</f>
        <v>480</v>
      </c>
      <c r="P98" s="30">
        <f>M27</f>
        <v>480</v>
      </c>
    </row>
    <row r="99" spans="4:16" ht="20.100000000000001" customHeight="1" x14ac:dyDescent="0.25">
      <c r="D99" s="30" t="s">
        <v>345</v>
      </c>
      <c r="E99" s="30" t="s">
        <v>316</v>
      </c>
      <c r="F99" s="30" t="s">
        <v>204</v>
      </c>
      <c r="G99" s="30">
        <f t="shared" ref="G99:K102" si="14">G28</f>
        <v>480</v>
      </c>
      <c r="H99" s="30">
        <f t="shared" si="14"/>
        <v>750</v>
      </c>
      <c r="I99" s="30">
        <f t="shared" si="14"/>
        <v>150</v>
      </c>
      <c r="J99" s="30">
        <f t="shared" si="14"/>
        <v>350</v>
      </c>
      <c r="K99" s="30">
        <f t="shared" si="14"/>
        <v>530</v>
      </c>
      <c r="L99" s="30">
        <f t="shared" ref="L99:M101" si="15">K28</f>
        <v>530</v>
      </c>
      <c r="M99" s="30">
        <f t="shared" si="15"/>
        <v>160</v>
      </c>
      <c r="N99" s="30">
        <f t="shared" si="7"/>
        <v>460</v>
      </c>
      <c r="O99" s="30">
        <f t="shared" ref="O99:O101" si="16">M28</f>
        <v>460</v>
      </c>
      <c r="P99" s="30">
        <f t="shared" ref="P99:P101" si="17">M28</f>
        <v>460</v>
      </c>
    </row>
    <row r="100" spans="4:16" ht="20.100000000000001" customHeight="1" x14ac:dyDescent="0.25">
      <c r="D100" s="30" t="s">
        <v>345</v>
      </c>
      <c r="E100" s="30" t="s">
        <v>316</v>
      </c>
      <c r="F100" s="30" t="s">
        <v>205</v>
      </c>
      <c r="G100" s="30">
        <f t="shared" si="14"/>
        <v>250</v>
      </c>
      <c r="H100" s="30">
        <f t="shared" si="14"/>
        <v>725</v>
      </c>
      <c r="I100" s="30">
        <f t="shared" si="14"/>
        <v>200</v>
      </c>
      <c r="J100" s="30">
        <f t="shared" si="14"/>
        <v>360</v>
      </c>
      <c r="K100" s="30">
        <f t="shared" si="14"/>
        <v>500</v>
      </c>
      <c r="L100" s="30">
        <f t="shared" si="15"/>
        <v>500</v>
      </c>
      <c r="M100" s="30">
        <f t="shared" si="15"/>
        <v>215</v>
      </c>
      <c r="N100" s="30">
        <f t="shared" si="7"/>
        <v>490</v>
      </c>
      <c r="O100" s="30">
        <f t="shared" si="16"/>
        <v>490</v>
      </c>
      <c r="P100" s="30">
        <f t="shared" si="17"/>
        <v>490</v>
      </c>
    </row>
    <row r="101" spans="4:16" ht="20.100000000000001" customHeight="1" x14ac:dyDescent="0.25">
      <c r="D101" s="30" t="s">
        <v>345</v>
      </c>
      <c r="E101" s="30" t="s">
        <v>316</v>
      </c>
      <c r="F101" s="30" t="s">
        <v>206</v>
      </c>
      <c r="G101" s="30">
        <f t="shared" si="14"/>
        <v>260</v>
      </c>
      <c r="H101" s="30">
        <f t="shared" si="14"/>
        <v>700</v>
      </c>
      <c r="I101" s="30">
        <f t="shared" si="14"/>
        <v>210</v>
      </c>
      <c r="J101" s="30">
        <f t="shared" si="14"/>
        <v>380</v>
      </c>
      <c r="K101" s="30">
        <f t="shared" si="14"/>
        <v>460</v>
      </c>
      <c r="L101" s="30">
        <f t="shared" si="15"/>
        <v>460</v>
      </c>
      <c r="M101" s="30">
        <f t="shared" si="15"/>
        <v>230</v>
      </c>
      <c r="N101" s="30">
        <f t="shared" si="7"/>
        <v>470</v>
      </c>
      <c r="O101" s="30">
        <f t="shared" si="16"/>
        <v>470</v>
      </c>
      <c r="P101" s="30">
        <f t="shared" si="17"/>
        <v>470</v>
      </c>
    </row>
    <row r="102" spans="4:16" ht="20.100000000000001" customHeight="1" x14ac:dyDescent="0.25">
      <c r="D102" s="30" t="s">
        <v>346</v>
      </c>
      <c r="E102" s="30" t="s">
        <v>316</v>
      </c>
      <c r="F102" s="30" t="str">
        <f>F35</f>
        <v>Spring</v>
      </c>
      <c r="G102" s="30">
        <f>G31</f>
        <v>250</v>
      </c>
      <c r="H102" s="30">
        <f t="shared" si="14"/>
        <v>820</v>
      </c>
      <c r="I102" s="30">
        <f t="shared" si="14"/>
        <v>240</v>
      </c>
      <c r="J102" s="30">
        <f t="shared" si="14"/>
        <v>410</v>
      </c>
      <c r="K102" s="30">
        <f>K31</f>
        <v>560</v>
      </c>
      <c r="L102" s="30">
        <f>K31</f>
        <v>560</v>
      </c>
      <c r="M102" s="30">
        <f>L31</f>
        <v>240</v>
      </c>
      <c r="N102" s="30">
        <f>M31</f>
        <v>510</v>
      </c>
      <c r="O102" s="30">
        <f>M31</f>
        <v>510</v>
      </c>
      <c r="P102" s="30">
        <f>M31</f>
        <v>510</v>
      </c>
    </row>
    <row r="103" spans="4:16" ht="20.100000000000001" customHeight="1" x14ac:dyDescent="0.25">
      <c r="D103" s="30" t="s">
        <v>346</v>
      </c>
      <c r="E103" s="30" t="s">
        <v>316</v>
      </c>
      <c r="F103" s="30" t="s">
        <v>204</v>
      </c>
      <c r="G103" s="30">
        <f t="shared" ref="G103:K105" si="18">G32</f>
        <v>280</v>
      </c>
      <c r="H103" s="30">
        <f t="shared" si="18"/>
        <v>850</v>
      </c>
      <c r="I103" s="30">
        <f t="shared" si="18"/>
        <v>260</v>
      </c>
      <c r="J103" s="30">
        <f t="shared" si="18"/>
        <v>440</v>
      </c>
      <c r="K103" s="30">
        <f t="shared" si="18"/>
        <v>550</v>
      </c>
      <c r="L103" s="30">
        <f t="shared" ref="L103:M105" si="19">K32</f>
        <v>550</v>
      </c>
      <c r="M103" s="30">
        <f t="shared" si="19"/>
        <v>270</v>
      </c>
      <c r="N103" s="30">
        <f t="shared" si="7"/>
        <v>520</v>
      </c>
      <c r="O103" s="30">
        <f t="shared" ref="O103:O105" si="20">M32</f>
        <v>520</v>
      </c>
      <c r="P103" s="30">
        <f t="shared" ref="P103:P105" si="21">M32</f>
        <v>520</v>
      </c>
    </row>
    <row r="104" spans="4:16" ht="20.100000000000001" customHeight="1" x14ac:dyDescent="0.25">
      <c r="D104" s="30" t="s">
        <v>346</v>
      </c>
      <c r="E104" s="30" t="s">
        <v>316</v>
      </c>
      <c r="F104" s="30" t="s">
        <v>205</v>
      </c>
      <c r="G104" s="30">
        <f t="shared" si="18"/>
        <v>100</v>
      </c>
      <c r="H104" s="30">
        <f t="shared" si="18"/>
        <v>700</v>
      </c>
      <c r="I104" s="30">
        <f t="shared" si="18"/>
        <v>95</v>
      </c>
      <c r="J104" s="30">
        <f t="shared" si="18"/>
        <v>300</v>
      </c>
      <c r="K104" s="30">
        <f t="shared" si="18"/>
        <v>450</v>
      </c>
      <c r="L104" s="30">
        <f t="shared" si="19"/>
        <v>450</v>
      </c>
      <c r="M104" s="30">
        <f t="shared" si="19"/>
        <v>95</v>
      </c>
      <c r="N104" s="30">
        <f t="shared" si="7"/>
        <v>410</v>
      </c>
      <c r="O104" s="30">
        <f t="shared" si="20"/>
        <v>410</v>
      </c>
      <c r="P104" s="30">
        <f t="shared" si="21"/>
        <v>410</v>
      </c>
    </row>
    <row r="105" spans="4:16" ht="20.100000000000001" customHeight="1" x14ac:dyDescent="0.25">
      <c r="D105" s="30" t="s">
        <v>346</v>
      </c>
      <c r="E105" s="30" t="s">
        <v>316</v>
      </c>
      <c r="F105" s="30" t="s">
        <v>206</v>
      </c>
      <c r="G105" s="30">
        <f t="shared" si="18"/>
        <v>150</v>
      </c>
      <c r="H105" s="30">
        <f t="shared" si="18"/>
        <v>720</v>
      </c>
      <c r="I105" s="30">
        <f t="shared" si="18"/>
        <v>140</v>
      </c>
      <c r="J105" s="30">
        <f t="shared" si="18"/>
        <v>320</v>
      </c>
      <c r="K105" s="30">
        <f t="shared" si="18"/>
        <v>470</v>
      </c>
      <c r="L105" s="30">
        <f t="shared" si="19"/>
        <v>470</v>
      </c>
      <c r="M105" s="30">
        <f t="shared" si="19"/>
        <v>140</v>
      </c>
      <c r="N105" s="30">
        <f t="shared" si="7"/>
        <v>440</v>
      </c>
      <c r="O105" s="30">
        <f t="shared" si="20"/>
        <v>440</v>
      </c>
      <c r="P105" s="30">
        <f t="shared" si="21"/>
        <v>440</v>
      </c>
    </row>
    <row r="106" spans="4:16" ht="20.100000000000001" customHeight="1" x14ac:dyDescent="0.25">
      <c r="D106" s="30" t="s">
        <v>348</v>
      </c>
      <c r="E106" s="30" t="str">
        <f>E35</f>
        <v>South West</v>
      </c>
      <c r="F106" s="30" t="str">
        <f t="shared" ref="F106:K106" si="22">F35</f>
        <v>Spring</v>
      </c>
      <c r="G106" s="30">
        <f t="shared" si="22"/>
        <v>340</v>
      </c>
      <c r="H106" s="30">
        <f t="shared" si="22"/>
        <v>800</v>
      </c>
      <c r="I106" s="30">
        <f t="shared" si="22"/>
        <v>260</v>
      </c>
      <c r="J106" s="30">
        <f t="shared" si="22"/>
        <v>420</v>
      </c>
      <c r="K106" s="30">
        <f t="shared" si="22"/>
        <v>550</v>
      </c>
      <c r="L106" s="30">
        <f>K35</f>
        <v>550</v>
      </c>
      <c r="M106" s="30">
        <f>L35</f>
        <v>300</v>
      </c>
      <c r="N106" s="30">
        <f>M35</f>
        <v>480</v>
      </c>
      <c r="O106" s="30">
        <f>M35</f>
        <v>480</v>
      </c>
      <c r="P106" s="30">
        <f>M35</f>
        <v>480</v>
      </c>
    </row>
    <row r="107" spans="4:16" ht="20.100000000000001" customHeight="1" x14ac:dyDescent="0.25">
      <c r="D107" s="30" t="s">
        <v>348</v>
      </c>
      <c r="E107" s="30" t="str">
        <f t="shared" ref="E107:K117" si="23">E36</f>
        <v>South West</v>
      </c>
      <c r="F107" s="30" t="str">
        <f t="shared" si="23"/>
        <v>Summer</v>
      </c>
      <c r="G107" s="30">
        <f t="shared" si="23"/>
        <v>380</v>
      </c>
      <c r="H107" s="30">
        <f t="shared" si="23"/>
        <v>780</v>
      </c>
      <c r="I107" s="30">
        <f t="shared" si="23"/>
        <v>300</v>
      </c>
      <c r="J107" s="30">
        <f t="shared" si="23"/>
        <v>450</v>
      </c>
      <c r="K107" s="30">
        <f t="shared" si="23"/>
        <v>530</v>
      </c>
      <c r="L107" s="30">
        <f t="shared" ref="L107:N117" si="24">K36</f>
        <v>530</v>
      </c>
      <c r="M107" s="30">
        <f t="shared" si="24"/>
        <v>340</v>
      </c>
      <c r="N107" s="30">
        <f t="shared" si="24"/>
        <v>470</v>
      </c>
      <c r="O107" s="30">
        <f t="shared" ref="O107:O117" si="25">M36</f>
        <v>470</v>
      </c>
      <c r="P107" s="30">
        <f t="shared" ref="P107:P117" si="26">M36</f>
        <v>470</v>
      </c>
    </row>
    <row r="108" spans="4:16" ht="20.100000000000001" customHeight="1" x14ac:dyDescent="0.25">
      <c r="D108" s="30" t="s">
        <v>348</v>
      </c>
      <c r="E108" s="30" t="str">
        <f t="shared" si="23"/>
        <v>South West</v>
      </c>
      <c r="F108" s="30" t="str">
        <f t="shared" si="23"/>
        <v>Autumn</v>
      </c>
      <c r="G108" s="30">
        <f t="shared" si="23"/>
        <v>100</v>
      </c>
      <c r="H108" s="30">
        <f t="shared" si="23"/>
        <v>680</v>
      </c>
      <c r="I108" s="30">
        <f t="shared" si="23"/>
        <v>80</v>
      </c>
      <c r="J108" s="30">
        <f t="shared" si="23"/>
        <v>320</v>
      </c>
      <c r="K108" s="30">
        <f t="shared" si="23"/>
        <v>480</v>
      </c>
      <c r="L108" s="30">
        <f t="shared" si="24"/>
        <v>480</v>
      </c>
      <c r="M108" s="30">
        <f t="shared" si="24"/>
        <v>100</v>
      </c>
      <c r="N108" s="30">
        <f t="shared" si="24"/>
        <v>340</v>
      </c>
      <c r="O108" s="30">
        <f t="shared" si="25"/>
        <v>340</v>
      </c>
      <c r="P108" s="30">
        <f t="shared" si="26"/>
        <v>340</v>
      </c>
    </row>
    <row r="109" spans="4:16" ht="20.100000000000001" customHeight="1" x14ac:dyDescent="0.25">
      <c r="D109" s="30" t="s">
        <v>348</v>
      </c>
      <c r="E109" s="30" t="str">
        <f t="shared" si="23"/>
        <v>South West</v>
      </c>
      <c r="F109" s="30" t="str">
        <f t="shared" si="23"/>
        <v>Winter</v>
      </c>
      <c r="G109" s="30">
        <f t="shared" si="23"/>
        <v>190</v>
      </c>
      <c r="H109" s="30">
        <f t="shared" si="23"/>
        <v>700</v>
      </c>
      <c r="I109" s="30">
        <f t="shared" si="23"/>
        <v>150</v>
      </c>
      <c r="J109" s="30">
        <f t="shared" si="23"/>
        <v>330</v>
      </c>
      <c r="K109" s="30">
        <f t="shared" si="23"/>
        <v>490</v>
      </c>
      <c r="L109" s="30">
        <f t="shared" si="24"/>
        <v>490</v>
      </c>
      <c r="M109" s="30">
        <f t="shared" si="24"/>
        <v>170</v>
      </c>
      <c r="N109" s="30">
        <f t="shared" si="24"/>
        <v>360</v>
      </c>
      <c r="O109" s="30">
        <f t="shared" si="25"/>
        <v>360</v>
      </c>
      <c r="P109" s="30">
        <f t="shared" si="26"/>
        <v>360</v>
      </c>
    </row>
    <row r="110" spans="4:16" ht="20.100000000000001" customHeight="1" x14ac:dyDescent="0.25">
      <c r="D110" s="30" t="s">
        <v>348</v>
      </c>
      <c r="E110" s="30" t="str">
        <f t="shared" si="23"/>
        <v>Pilbara</v>
      </c>
      <c r="F110" s="30" t="str">
        <f t="shared" si="23"/>
        <v>Spring</v>
      </c>
      <c r="G110" s="30">
        <f t="shared" si="23"/>
        <v>80</v>
      </c>
      <c r="H110" s="30">
        <f t="shared" si="23"/>
        <v>450</v>
      </c>
      <c r="I110" s="30">
        <f t="shared" si="23"/>
        <v>70</v>
      </c>
      <c r="J110" s="30">
        <f t="shared" si="23"/>
        <v>260</v>
      </c>
      <c r="K110" s="30">
        <f t="shared" si="23"/>
        <v>340</v>
      </c>
      <c r="L110" s="30">
        <f t="shared" si="24"/>
        <v>340</v>
      </c>
      <c r="M110" s="30">
        <f t="shared" si="24"/>
        <v>80</v>
      </c>
      <c r="N110" s="30">
        <f t="shared" si="24"/>
        <v>370</v>
      </c>
      <c r="O110" s="30">
        <f t="shared" si="25"/>
        <v>370</v>
      </c>
      <c r="P110" s="30">
        <f t="shared" si="26"/>
        <v>370</v>
      </c>
    </row>
    <row r="111" spans="4:16" ht="20.100000000000001" customHeight="1" x14ac:dyDescent="0.25">
      <c r="D111" s="30" t="s">
        <v>348</v>
      </c>
      <c r="E111" s="30" t="str">
        <f t="shared" si="23"/>
        <v>Pilbara</v>
      </c>
      <c r="F111" s="30" t="str">
        <f t="shared" si="23"/>
        <v>Summer</v>
      </c>
      <c r="G111" s="30">
        <f t="shared" si="23"/>
        <v>150</v>
      </c>
      <c r="H111" s="30">
        <f t="shared" si="23"/>
        <v>500</v>
      </c>
      <c r="I111" s="30">
        <f t="shared" si="23"/>
        <v>140</v>
      </c>
      <c r="J111" s="30">
        <f t="shared" si="23"/>
        <v>310</v>
      </c>
      <c r="K111" s="30">
        <f t="shared" si="23"/>
        <v>360</v>
      </c>
      <c r="L111" s="30">
        <f t="shared" si="24"/>
        <v>360</v>
      </c>
      <c r="M111" s="30">
        <f t="shared" si="24"/>
        <v>150</v>
      </c>
      <c r="N111" s="30">
        <f t="shared" si="24"/>
        <v>400</v>
      </c>
      <c r="O111" s="30">
        <f t="shared" si="25"/>
        <v>400</v>
      </c>
      <c r="P111" s="30">
        <f t="shared" si="26"/>
        <v>400</v>
      </c>
    </row>
    <row r="112" spans="4:16" ht="20.100000000000001" customHeight="1" x14ac:dyDescent="0.25">
      <c r="D112" s="30" t="s">
        <v>348</v>
      </c>
      <c r="E112" s="30" t="str">
        <f t="shared" si="23"/>
        <v>Pilbara</v>
      </c>
      <c r="F112" s="30" t="str">
        <f t="shared" si="23"/>
        <v>Autumn</v>
      </c>
      <c r="G112" s="30">
        <f t="shared" si="23"/>
        <v>230</v>
      </c>
      <c r="H112" s="30">
        <f t="shared" si="23"/>
        <v>550</v>
      </c>
      <c r="I112" s="30">
        <f t="shared" si="23"/>
        <v>220</v>
      </c>
      <c r="J112" s="30">
        <f t="shared" si="23"/>
        <v>330</v>
      </c>
      <c r="K112" s="30">
        <f t="shared" si="23"/>
        <v>380</v>
      </c>
      <c r="L112" s="30">
        <f t="shared" si="24"/>
        <v>380</v>
      </c>
      <c r="M112" s="30">
        <f t="shared" si="24"/>
        <v>230</v>
      </c>
      <c r="N112" s="30">
        <f t="shared" si="24"/>
        <v>420</v>
      </c>
      <c r="O112" s="30">
        <f t="shared" si="25"/>
        <v>420</v>
      </c>
      <c r="P112" s="30">
        <f t="shared" si="26"/>
        <v>420</v>
      </c>
    </row>
    <row r="113" spans="4:22" ht="20.100000000000001" customHeight="1" x14ac:dyDescent="0.25">
      <c r="D113" s="30" t="s">
        <v>348</v>
      </c>
      <c r="E113" s="30" t="str">
        <f t="shared" si="23"/>
        <v>Pilbara</v>
      </c>
      <c r="F113" s="30" t="str">
        <f t="shared" si="23"/>
        <v>Winter</v>
      </c>
      <c r="G113" s="30">
        <f t="shared" si="23"/>
        <v>250</v>
      </c>
      <c r="H113" s="30">
        <f t="shared" si="23"/>
        <v>500</v>
      </c>
      <c r="I113" s="30">
        <f t="shared" si="23"/>
        <v>240</v>
      </c>
      <c r="J113" s="30">
        <f t="shared" si="23"/>
        <v>340</v>
      </c>
      <c r="K113" s="30">
        <f t="shared" si="23"/>
        <v>360</v>
      </c>
      <c r="L113" s="30">
        <f t="shared" si="24"/>
        <v>360</v>
      </c>
      <c r="M113" s="30">
        <f t="shared" si="24"/>
        <v>250</v>
      </c>
      <c r="N113" s="30">
        <f t="shared" si="24"/>
        <v>390</v>
      </c>
      <c r="O113" s="30">
        <f t="shared" si="25"/>
        <v>390</v>
      </c>
      <c r="P113" s="30">
        <f t="shared" si="26"/>
        <v>390</v>
      </c>
    </row>
    <row r="114" spans="4:22" ht="20.100000000000001" customHeight="1" x14ac:dyDescent="0.25">
      <c r="D114" s="30" t="s">
        <v>348</v>
      </c>
      <c r="E114" s="30" t="str">
        <f t="shared" si="23"/>
        <v>Kimberley</v>
      </c>
      <c r="F114" s="30" t="str">
        <f t="shared" si="23"/>
        <v>Spring</v>
      </c>
      <c r="G114" s="30">
        <f t="shared" si="23"/>
        <v>220</v>
      </c>
      <c r="H114" s="30">
        <f t="shared" si="23"/>
        <v>500</v>
      </c>
      <c r="I114" s="30">
        <f t="shared" si="23"/>
        <v>180</v>
      </c>
      <c r="J114" s="30">
        <f t="shared" si="23"/>
        <v>300</v>
      </c>
      <c r="K114" s="30">
        <f t="shared" si="23"/>
        <v>320</v>
      </c>
      <c r="L114" s="30">
        <f t="shared" si="24"/>
        <v>320</v>
      </c>
      <c r="M114" s="30">
        <f t="shared" si="24"/>
        <v>210</v>
      </c>
      <c r="N114" s="30">
        <f t="shared" si="24"/>
        <v>340</v>
      </c>
      <c r="O114" s="30">
        <f t="shared" si="25"/>
        <v>340</v>
      </c>
      <c r="P114" s="30">
        <f t="shared" si="26"/>
        <v>340</v>
      </c>
    </row>
    <row r="115" spans="4:22" ht="20.100000000000001" customHeight="1" x14ac:dyDescent="0.25">
      <c r="D115" s="30" t="s">
        <v>348</v>
      </c>
      <c r="E115" s="30" t="str">
        <f t="shared" si="23"/>
        <v>Kimberley</v>
      </c>
      <c r="F115" s="30" t="str">
        <f t="shared" si="23"/>
        <v>Summer</v>
      </c>
      <c r="G115" s="30">
        <f t="shared" si="23"/>
        <v>110</v>
      </c>
      <c r="H115" s="30">
        <f t="shared" si="23"/>
        <v>550</v>
      </c>
      <c r="I115" s="30">
        <f t="shared" si="23"/>
        <v>90</v>
      </c>
      <c r="J115" s="30">
        <f t="shared" si="23"/>
        <v>220</v>
      </c>
      <c r="K115" s="30">
        <f t="shared" si="23"/>
        <v>380</v>
      </c>
      <c r="L115" s="30">
        <f t="shared" si="24"/>
        <v>380</v>
      </c>
      <c r="M115" s="30">
        <f t="shared" si="24"/>
        <v>100</v>
      </c>
      <c r="N115" s="30">
        <f t="shared" si="24"/>
        <v>390</v>
      </c>
      <c r="O115" s="30">
        <f t="shared" si="25"/>
        <v>390</v>
      </c>
      <c r="P115" s="30">
        <f t="shared" si="26"/>
        <v>390</v>
      </c>
      <c r="V115" s="1"/>
    </row>
    <row r="116" spans="4:22" ht="20.100000000000001" customHeight="1" x14ac:dyDescent="0.25">
      <c r="D116" s="30" t="s">
        <v>348</v>
      </c>
      <c r="E116" s="30" t="str">
        <f t="shared" si="23"/>
        <v>Kimberley</v>
      </c>
      <c r="F116" s="30" t="str">
        <f t="shared" si="23"/>
        <v>Autumn</v>
      </c>
      <c r="G116" s="30">
        <f t="shared" si="23"/>
        <v>170</v>
      </c>
      <c r="H116" s="30">
        <f t="shared" si="23"/>
        <v>600</v>
      </c>
      <c r="I116" s="30">
        <f t="shared" si="23"/>
        <v>140</v>
      </c>
      <c r="J116" s="30">
        <f t="shared" si="23"/>
        <v>270</v>
      </c>
      <c r="K116" s="30">
        <f t="shared" si="23"/>
        <v>390</v>
      </c>
      <c r="L116" s="30">
        <f t="shared" si="24"/>
        <v>390</v>
      </c>
      <c r="M116" s="30">
        <f t="shared" si="24"/>
        <v>160</v>
      </c>
      <c r="N116" s="30">
        <f t="shared" si="24"/>
        <v>430</v>
      </c>
      <c r="O116" s="30">
        <f t="shared" si="25"/>
        <v>430</v>
      </c>
      <c r="P116" s="30">
        <f t="shared" si="26"/>
        <v>430</v>
      </c>
      <c r="V116" s="1"/>
    </row>
    <row r="117" spans="4:22" ht="20.100000000000001" customHeight="1" x14ac:dyDescent="0.25">
      <c r="D117" s="30" t="s">
        <v>348</v>
      </c>
      <c r="E117" s="30" t="str">
        <f t="shared" si="23"/>
        <v>Kimberley</v>
      </c>
      <c r="F117" s="30" t="str">
        <f t="shared" si="23"/>
        <v>Winter</v>
      </c>
      <c r="G117" s="30">
        <f t="shared" si="23"/>
        <v>200</v>
      </c>
      <c r="H117" s="30">
        <f t="shared" si="23"/>
        <v>550</v>
      </c>
      <c r="I117" s="30">
        <f t="shared" si="23"/>
        <v>150</v>
      </c>
      <c r="J117" s="30">
        <f t="shared" si="23"/>
        <v>280</v>
      </c>
      <c r="K117" s="30">
        <f t="shared" si="23"/>
        <v>350</v>
      </c>
      <c r="L117" s="30">
        <f t="shared" si="24"/>
        <v>350</v>
      </c>
      <c r="M117" s="30">
        <f t="shared" si="24"/>
        <v>190</v>
      </c>
      <c r="N117" s="30">
        <f t="shared" si="24"/>
        <v>400</v>
      </c>
      <c r="O117" s="30">
        <f t="shared" si="25"/>
        <v>400</v>
      </c>
      <c r="P117" s="30">
        <f t="shared" si="26"/>
        <v>400</v>
      </c>
      <c r="V117" s="1"/>
    </row>
    <row r="118" spans="4:22" ht="20.100000000000001" customHeight="1" x14ac:dyDescent="0.25">
      <c r="D118" s="30" t="s">
        <v>351</v>
      </c>
      <c r="E118" s="30" t="str">
        <f>E54</f>
        <v>Alice Springs</v>
      </c>
      <c r="F118" s="30" t="str">
        <f t="shared" ref="F118:P118" si="27">F54</f>
        <v>Spring</v>
      </c>
      <c r="G118" s="30">
        <f t="shared" si="27"/>
        <v>220</v>
      </c>
      <c r="H118" s="30">
        <f t="shared" si="27"/>
        <v>706</v>
      </c>
      <c r="I118" s="30">
        <f t="shared" si="27"/>
        <v>208</v>
      </c>
      <c r="J118" s="30">
        <f t="shared" si="27"/>
        <v>323</v>
      </c>
      <c r="K118" s="30">
        <f t="shared" si="27"/>
        <v>415</v>
      </c>
      <c r="L118" s="30">
        <f t="shared" si="27"/>
        <v>467</v>
      </c>
      <c r="M118" s="30">
        <f t="shared" si="27"/>
        <v>223</v>
      </c>
      <c r="N118" s="30">
        <f t="shared" si="27"/>
        <v>371</v>
      </c>
      <c r="O118" s="30">
        <f t="shared" si="27"/>
        <v>493</v>
      </c>
      <c r="P118" s="30">
        <f t="shared" si="27"/>
        <v>585</v>
      </c>
    </row>
    <row r="119" spans="4:22" ht="20.100000000000001" customHeight="1" x14ac:dyDescent="0.25">
      <c r="D119" s="30" t="s">
        <v>351</v>
      </c>
      <c r="E119" s="30" t="str">
        <f t="shared" ref="E119:P134" si="28">E55</f>
        <v>Alice Springs</v>
      </c>
      <c r="F119" s="30" t="str">
        <f t="shared" si="28"/>
        <v>Summer</v>
      </c>
      <c r="G119" s="30">
        <f t="shared" si="28"/>
        <v>110</v>
      </c>
      <c r="H119" s="30">
        <f t="shared" si="28"/>
        <v>703</v>
      </c>
      <c r="I119" s="30">
        <f t="shared" si="28"/>
        <v>112</v>
      </c>
      <c r="J119" s="30">
        <f t="shared" si="28"/>
        <v>256</v>
      </c>
      <c r="K119" s="30">
        <f t="shared" si="28"/>
        <v>368</v>
      </c>
      <c r="L119" s="30">
        <f t="shared" si="28"/>
        <v>465</v>
      </c>
      <c r="M119" s="30">
        <f t="shared" si="28"/>
        <v>108</v>
      </c>
      <c r="N119" s="30">
        <f t="shared" si="28"/>
        <v>280</v>
      </c>
      <c r="O119" s="30">
        <f t="shared" si="28"/>
        <v>421</v>
      </c>
      <c r="P119" s="30">
        <f t="shared" si="28"/>
        <v>543</v>
      </c>
    </row>
    <row r="120" spans="4:22" ht="20.100000000000001" customHeight="1" x14ac:dyDescent="0.25">
      <c r="D120" s="30" t="s">
        <v>351</v>
      </c>
      <c r="E120" s="30" t="str">
        <f t="shared" si="28"/>
        <v>Alice Springs</v>
      </c>
      <c r="F120" s="30" t="str">
        <f t="shared" si="28"/>
        <v>Autumn</v>
      </c>
      <c r="G120" s="30">
        <f t="shared" si="28"/>
        <v>170</v>
      </c>
      <c r="H120" s="30">
        <f t="shared" si="28"/>
        <v>721</v>
      </c>
      <c r="I120" s="30">
        <f t="shared" si="28"/>
        <v>169</v>
      </c>
      <c r="J120" s="30">
        <f t="shared" si="28"/>
        <v>306</v>
      </c>
      <c r="K120" s="30">
        <f t="shared" si="28"/>
        <v>392</v>
      </c>
      <c r="L120" s="30">
        <f t="shared" si="28"/>
        <v>464</v>
      </c>
      <c r="M120" s="30">
        <f t="shared" si="28"/>
        <v>176</v>
      </c>
      <c r="N120" s="30">
        <f t="shared" si="28"/>
        <v>339</v>
      </c>
      <c r="O120" s="30">
        <f t="shared" si="28"/>
        <v>470</v>
      </c>
      <c r="P120" s="30">
        <f t="shared" si="28"/>
        <v>580</v>
      </c>
    </row>
    <row r="121" spans="4:22" ht="20.100000000000001" customHeight="1" x14ac:dyDescent="0.25">
      <c r="D121" s="30" t="s">
        <v>351</v>
      </c>
      <c r="E121" s="30" t="str">
        <f t="shared" si="28"/>
        <v>Alice Springs</v>
      </c>
      <c r="F121" s="30" t="str">
        <f t="shared" si="28"/>
        <v>Winter</v>
      </c>
      <c r="G121" s="30">
        <f t="shared" si="28"/>
        <v>200</v>
      </c>
      <c r="H121" s="30">
        <f t="shared" si="28"/>
        <v>727</v>
      </c>
      <c r="I121" s="30">
        <f t="shared" si="28"/>
        <v>211</v>
      </c>
      <c r="J121" s="30">
        <f t="shared" si="28"/>
        <v>338</v>
      </c>
      <c r="K121" s="30">
        <f t="shared" si="28"/>
        <v>432</v>
      </c>
      <c r="L121" s="30">
        <f t="shared" si="28"/>
        <v>492</v>
      </c>
      <c r="M121" s="30">
        <f t="shared" si="28"/>
        <v>222</v>
      </c>
      <c r="N121" s="30">
        <f t="shared" si="28"/>
        <v>377</v>
      </c>
      <c r="O121" s="30">
        <f t="shared" si="28"/>
        <v>498</v>
      </c>
      <c r="P121" s="30">
        <f t="shared" si="28"/>
        <v>590</v>
      </c>
    </row>
    <row r="122" spans="4:22" ht="20.100000000000001" customHeight="1" x14ac:dyDescent="0.25">
      <c r="D122" s="30" t="s">
        <v>351</v>
      </c>
      <c r="E122" s="30" t="str">
        <f t="shared" si="28"/>
        <v>Barkly</v>
      </c>
      <c r="F122" s="30" t="str">
        <f t="shared" si="28"/>
        <v>Spring</v>
      </c>
      <c r="G122" s="30">
        <f t="shared" si="28"/>
        <v>220</v>
      </c>
      <c r="H122" s="30">
        <f t="shared" si="28"/>
        <v>620</v>
      </c>
      <c r="I122" s="30">
        <f t="shared" si="28"/>
        <v>227</v>
      </c>
      <c r="J122" s="30">
        <f t="shared" si="28"/>
        <v>319</v>
      </c>
      <c r="K122" s="30">
        <f t="shared" si="28"/>
        <v>398</v>
      </c>
      <c r="L122" s="30">
        <f t="shared" si="28"/>
        <v>452</v>
      </c>
      <c r="M122" s="30">
        <f t="shared" si="28"/>
        <v>216</v>
      </c>
      <c r="N122" s="30">
        <f t="shared" si="28"/>
        <v>334</v>
      </c>
      <c r="O122" s="30" t="str">
        <f t="shared" si="28"/>
        <v>NO</v>
      </c>
      <c r="P122" s="30" t="str">
        <f t="shared" si="28"/>
        <v>NO</v>
      </c>
    </row>
    <row r="123" spans="4:22" ht="20.100000000000001" customHeight="1" x14ac:dyDescent="0.25">
      <c r="D123" s="30" t="s">
        <v>351</v>
      </c>
      <c r="E123" s="30" t="str">
        <f t="shared" si="28"/>
        <v>Barkly</v>
      </c>
      <c r="F123" s="30" t="str">
        <f t="shared" si="28"/>
        <v>Summer</v>
      </c>
      <c r="G123" s="30">
        <f t="shared" si="28"/>
        <v>110</v>
      </c>
      <c r="H123" s="30">
        <f t="shared" si="28"/>
        <v>650</v>
      </c>
      <c r="I123" s="30">
        <f t="shared" si="28"/>
        <v>108</v>
      </c>
      <c r="J123" s="30">
        <f t="shared" si="28"/>
        <v>262</v>
      </c>
      <c r="K123" s="30">
        <f t="shared" si="28"/>
        <v>346</v>
      </c>
      <c r="L123" s="30">
        <f t="shared" si="28"/>
        <v>430</v>
      </c>
      <c r="M123" s="30">
        <f t="shared" si="28"/>
        <v>111</v>
      </c>
      <c r="N123" s="30">
        <f t="shared" si="28"/>
        <v>236</v>
      </c>
      <c r="O123" s="30" t="str">
        <f t="shared" si="28"/>
        <v>NO</v>
      </c>
      <c r="P123" s="30" t="str">
        <f t="shared" si="28"/>
        <v>NO</v>
      </c>
    </row>
    <row r="124" spans="4:22" ht="20.100000000000001" customHeight="1" x14ac:dyDescent="0.25">
      <c r="D124" s="30" t="s">
        <v>351</v>
      </c>
      <c r="E124" s="30" t="str">
        <f t="shared" si="28"/>
        <v>Barkly</v>
      </c>
      <c r="F124" s="30" t="str">
        <f t="shared" si="28"/>
        <v>Autumn</v>
      </c>
      <c r="G124" s="30">
        <f t="shared" si="28"/>
        <v>170</v>
      </c>
      <c r="H124" s="30">
        <f t="shared" si="28"/>
        <v>670</v>
      </c>
      <c r="I124" s="30">
        <f t="shared" si="28"/>
        <v>170</v>
      </c>
      <c r="J124" s="30">
        <f t="shared" si="28"/>
        <v>266</v>
      </c>
      <c r="K124" s="30">
        <f t="shared" si="28"/>
        <v>363</v>
      </c>
      <c r="L124" s="30">
        <f t="shared" si="28"/>
        <v>444</v>
      </c>
      <c r="M124" s="30">
        <f t="shared" si="28"/>
        <v>169</v>
      </c>
      <c r="N124" s="30">
        <f t="shared" si="28"/>
        <v>282</v>
      </c>
      <c r="O124" s="30" t="str">
        <f t="shared" si="28"/>
        <v>NO</v>
      </c>
      <c r="P124" s="30" t="str">
        <f t="shared" si="28"/>
        <v>NO</v>
      </c>
    </row>
    <row r="125" spans="4:22" ht="20.100000000000001" customHeight="1" x14ac:dyDescent="0.25">
      <c r="D125" s="30" t="s">
        <v>351</v>
      </c>
      <c r="E125" s="30" t="str">
        <f t="shared" si="28"/>
        <v>Barkly</v>
      </c>
      <c r="F125" s="30" t="str">
        <f t="shared" si="28"/>
        <v>Winter</v>
      </c>
      <c r="G125" s="30">
        <f t="shared" si="28"/>
        <v>200</v>
      </c>
      <c r="H125" s="30">
        <f t="shared" si="28"/>
        <v>660</v>
      </c>
      <c r="I125" s="30">
        <f t="shared" si="28"/>
        <v>225</v>
      </c>
      <c r="J125" s="30">
        <f t="shared" si="28"/>
        <v>307</v>
      </c>
      <c r="K125" s="30">
        <f t="shared" si="28"/>
        <v>398</v>
      </c>
      <c r="L125" s="30">
        <f t="shared" si="28"/>
        <v>452</v>
      </c>
      <c r="M125" s="30">
        <f t="shared" si="28"/>
        <v>214</v>
      </c>
      <c r="N125" s="30">
        <f t="shared" si="28"/>
        <v>326</v>
      </c>
      <c r="O125" s="30" t="str">
        <f t="shared" si="28"/>
        <v>NO</v>
      </c>
      <c r="P125" s="30" t="str">
        <f t="shared" si="28"/>
        <v>NO</v>
      </c>
      <c r="V125" s="1"/>
    </row>
    <row r="126" spans="4:22" ht="20.100000000000001" customHeight="1" x14ac:dyDescent="0.25">
      <c r="D126" s="30" t="s">
        <v>351</v>
      </c>
      <c r="E126" s="30" t="str">
        <f t="shared" si="28"/>
        <v>Northern</v>
      </c>
      <c r="F126" s="30" t="str">
        <f t="shared" si="28"/>
        <v>Spring</v>
      </c>
      <c r="G126" s="30">
        <f t="shared" si="28"/>
        <v>220</v>
      </c>
      <c r="H126" s="30">
        <f t="shared" si="28"/>
        <v>620</v>
      </c>
      <c r="I126" s="30">
        <f t="shared" si="28"/>
        <v>177</v>
      </c>
      <c r="J126" s="30">
        <f t="shared" si="28"/>
        <v>267</v>
      </c>
      <c r="K126" s="30">
        <f t="shared" si="28"/>
        <v>365</v>
      </c>
      <c r="L126" s="30">
        <f t="shared" si="28"/>
        <v>406</v>
      </c>
      <c r="M126" s="30">
        <f t="shared" si="28"/>
        <v>231</v>
      </c>
      <c r="N126" s="30">
        <f t="shared" si="28"/>
        <v>249</v>
      </c>
      <c r="O126" s="30">
        <f t="shared" si="28"/>
        <v>324</v>
      </c>
      <c r="P126" s="30" t="str">
        <f t="shared" si="28"/>
        <v>NO</v>
      </c>
      <c r="V126" s="1"/>
    </row>
    <row r="127" spans="4:22" ht="20.100000000000001" customHeight="1" x14ac:dyDescent="0.25">
      <c r="D127" s="30" t="s">
        <v>351</v>
      </c>
      <c r="E127" s="30" t="str">
        <f t="shared" si="28"/>
        <v>Northern</v>
      </c>
      <c r="F127" s="30" t="str">
        <f t="shared" si="28"/>
        <v>Summer</v>
      </c>
      <c r="G127" s="30">
        <f t="shared" si="28"/>
        <v>110</v>
      </c>
      <c r="H127" s="30">
        <f t="shared" si="28"/>
        <v>650</v>
      </c>
      <c r="I127" s="30">
        <f t="shared" si="28"/>
        <v>102</v>
      </c>
      <c r="J127" s="30">
        <f t="shared" si="28"/>
        <v>203</v>
      </c>
      <c r="K127" s="30">
        <f t="shared" si="28"/>
        <v>299</v>
      </c>
      <c r="L127" s="30">
        <f t="shared" si="28"/>
        <v>380</v>
      </c>
      <c r="M127" s="30">
        <f t="shared" si="28"/>
        <v>102</v>
      </c>
      <c r="N127" s="30">
        <f t="shared" si="28"/>
        <v>218</v>
      </c>
      <c r="O127" s="30">
        <f t="shared" si="28"/>
        <v>263</v>
      </c>
      <c r="P127" s="30" t="str">
        <f t="shared" si="28"/>
        <v>NO</v>
      </c>
      <c r="V127" s="1"/>
    </row>
    <row r="128" spans="4:22" ht="20.100000000000001" customHeight="1" x14ac:dyDescent="0.25">
      <c r="D128" s="30" t="s">
        <v>351</v>
      </c>
      <c r="E128" s="30" t="str">
        <f t="shared" si="28"/>
        <v>Northern</v>
      </c>
      <c r="F128" s="30" t="str">
        <f t="shared" si="28"/>
        <v>Autumn</v>
      </c>
      <c r="G128" s="30">
        <f t="shared" si="28"/>
        <v>170</v>
      </c>
      <c r="H128" s="30">
        <f t="shared" si="28"/>
        <v>670</v>
      </c>
      <c r="I128" s="30">
        <f t="shared" si="28"/>
        <v>173</v>
      </c>
      <c r="J128" s="30">
        <f t="shared" si="28"/>
        <v>250</v>
      </c>
      <c r="K128" s="30">
        <f t="shared" si="28"/>
        <v>336</v>
      </c>
      <c r="L128" s="30">
        <f t="shared" si="28"/>
        <v>414</v>
      </c>
      <c r="M128" s="30">
        <f t="shared" si="28"/>
        <v>175</v>
      </c>
      <c r="N128" s="30">
        <f t="shared" si="28"/>
        <v>243</v>
      </c>
      <c r="O128" s="30">
        <f t="shared" si="28"/>
        <v>304</v>
      </c>
      <c r="P128" s="30" t="str">
        <f t="shared" si="28"/>
        <v>NO</v>
      </c>
      <c r="V128" s="1"/>
    </row>
    <row r="129" spans="4:22" ht="20.100000000000001" customHeight="1" x14ac:dyDescent="0.25">
      <c r="D129" s="30" t="s">
        <v>351</v>
      </c>
      <c r="E129" s="30" t="str">
        <f t="shared" si="28"/>
        <v>Northern</v>
      </c>
      <c r="F129" s="30" t="str">
        <f t="shared" si="28"/>
        <v>Winter</v>
      </c>
      <c r="G129" s="30">
        <f t="shared" si="28"/>
        <v>200</v>
      </c>
      <c r="H129" s="30">
        <f t="shared" si="28"/>
        <v>660</v>
      </c>
      <c r="I129" s="30">
        <f t="shared" si="28"/>
        <v>202</v>
      </c>
      <c r="J129" s="30">
        <f t="shared" si="28"/>
        <v>272</v>
      </c>
      <c r="K129" s="30">
        <f t="shared" si="28"/>
        <v>365</v>
      </c>
      <c r="L129" s="30">
        <f t="shared" si="28"/>
        <v>390</v>
      </c>
      <c r="M129" s="30">
        <f t="shared" si="28"/>
        <v>208</v>
      </c>
      <c r="N129" s="30">
        <f t="shared" si="28"/>
        <v>260</v>
      </c>
      <c r="O129" s="30">
        <f t="shared" si="28"/>
        <v>337</v>
      </c>
      <c r="P129" s="30" t="str">
        <f t="shared" si="28"/>
        <v>NO</v>
      </c>
      <c r="V129" s="1"/>
    </row>
    <row r="130" spans="4:22" ht="20.100000000000001" customHeight="1" x14ac:dyDescent="0.25">
      <c r="D130" s="30" t="s">
        <v>355</v>
      </c>
      <c r="E130" s="30" t="str">
        <f t="shared" si="28"/>
        <v>High</v>
      </c>
      <c r="F130" s="30" t="str">
        <f t="shared" si="28"/>
        <v>Spring</v>
      </c>
      <c r="G130" s="30">
        <f t="shared" si="28"/>
        <v>260</v>
      </c>
      <c r="H130" s="30">
        <f t="shared" si="28"/>
        <v>705</v>
      </c>
      <c r="I130" s="30">
        <f t="shared" si="28"/>
        <v>215</v>
      </c>
      <c r="J130" s="30">
        <f t="shared" si="28"/>
        <v>302</v>
      </c>
      <c r="K130" s="30">
        <f t="shared" si="28"/>
        <v>416</v>
      </c>
      <c r="L130" s="30">
        <f t="shared" si="28"/>
        <v>519</v>
      </c>
      <c r="M130" s="30">
        <f t="shared" si="28"/>
        <v>234</v>
      </c>
      <c r="N130" s="30">
        <f t="shared" si="28"/>
        <v>455</v>
      </c>
      <c r="O130" s="30">
        <f t="shared" si="28"/>
        <v>551</v>
      </c>
      <c r="P130" s="30">
        <f t="shared" si="28"/>
        <v>660</v>
      </c>
      <c r="V130" s="1"/>
    </row>
    <row r="131" spans="4:22" ht="20.100000000000001" customHeight="1" x14ac:dyDescent="0.25">
      <c r="D131" s="30" t="s">
        <v>355</v>
      </c>
      <c r="E131" s="30" t="str">
        <f t="shared" si="28"/>
        <v>High</v>
      </c>
      <c r="F131" s="30" t="str">
        <f t="shared" si="28"/>
        <v>Summer</v>
      </c>
      <c r="G131" s="30">
        <f t="shared" si="28"/>
        <v>153</v>
      </c>
      <c r="H131" s="30">
        <f t="shared" si="28"/>
        <v>703</v>
      </c>
      <c r="I131" s="30">
        <f t="shared" si="28"/>
        <v>118</v>
      </c>
      <c r="J131" s="30">
        <f t="shared" si="28"/>
        <v>277</v>
      </c>
      <c r="K131" s="30">
        <f t="shared" si="28"/>
        <v>397</v>
      </c>
      <c r="L131" s="30">
        <f t="shared" si="28"/>
        <v>483</v>
      </c>
      <c r="M131" s="30">
        <f t="shared" si="28"/>
        <v>111</v>
      </c>
      <c r="N131" s="30">
        <f t="shared" si="28"/>
        <v>304</v>
      </c>
      <c r="O131" s="30">
        <f t="shared" si="28"/>
        <v>521</v>
      </c>
      <c r="P131" s="30">
        <f t="shared" si="28"/>
        <v>547</v>
      </c>
    </row>
    <row r="132" spans="4:22" ht="20.100000000000001" customHeight="1" x14ac:dyDescent="0.25">
      <c r="D132" s="30" t="s">
        <v>355</v>
      </c>
      <c r="E132" s="30" t="str">
        <f t="shared" si="28"/>
        <v>High</v>
      </c>
      <c r="F132" s="30" t="str">
        <f t="shared" si="28"/>
        <v>Autumn</v>
      </c>
      <c r="G132" s="30">
        <f t="shared" si="28"/>
        <v>168</v>
      </c>
      <c r="H132" s="30">
        <f t="shared" si="28"/>
        <v>718</v>
      </c>
      <c r="I132" s="30">
        <f t="shared" si="28"/>
        <v>191</v>
      </c>
      <c r="J132" s="30">
        <f t="shared" si="28"/>
        <v>319</v>
      </c>
      <c r="K132" s="30">
        <f t="shared" si="28"/>
        <v>440</v>
      </c>
      <c r="L132" s="30">
        <f t="shared" si="28"/>
        <v>506</v>
      </c>
      <c r="M132" s="30">
        <f t="shared" si="28"/>
        <v>188</v>
      </c>
      <c r="N132" s="30">
        <f t="shared" si="28"/>
        <v>326</v>
      </c>
      <c r="O132" s="30">
        <f t="shared" si="28"/>
        <v>520</v>
      </c>
      <c r="P132" s="30">
        <f t="shared" si="28"/>
        <v>582</v>
      </c>
    </row>
    <row r="133" spans="4:22" ht="20.100000000000001" customHeight="1" x14ac:dyDescent="0.25">
      <c r="D133" s="30" t="s">
        <v>355</v>
      </c>
      <c r="E133" s="30" t="str">
        <f t="shared" si="28"/>
        <v>High</v>
      </c>
      <c r="F133" s="30" t="str">
        <f t="shared" si="28"/>
        <v>Winter</v>
      </c>
      <c r="G133" s="30">
        <f t="shared" si="28"/>
        <v>235</v>
      </c>
      <c r="H133" s="30">
        <f t="shared" si="28"/>
        <v>722</v>
      </c>
      <c r="I133" s="30">
        <f t="shared" si="28"/>
        <v>207</v>
      </c>
      <c r="J133" s="30">
        <f t="shared" si="28"/>
        <v>352</v>
      </c>
      <c r="K133" s="30">
        <f t="shared" si="28"/>
        <v>470</v>
      </c>
      <c r="L133" s="30">
        <f t="shared" si="28"/>
        <v>514</v>
      </c>
      <c r="M133" s="30">
        <f t="shared" si="28"/>
        <v>209</v>
      </c>
      <c r="N133" s="30">
        <f t="shared" si="28"/>
        <v>421</v>
      </c>
      <c r="O133" s="30">
        <f t="shared" si="28"/>
        <v>512</v>
      </c>
      <c r="P133" s="30">
        <f t="shared" si="28"/>
        <v>605</v>
      </c>
    </row>
    <row r="134" spans="4:22" ht="20.100000000000001" customHeight="1" x14ac:dyDescent="0.25">
      <c r="D134" s="30" t="s">
        <v>355</v>
      </c>
      <c r="E134" s="30" t="str">
        <f t="shared" si="28"/>
        <v>Moderate/High</v>
      </c>
      <c r="F134" s="30" t="str">
        <f t="shared" si="28"/>
        <v>Spring</v>
      </c>
      <c r="G134" s="30">
        <f t="shared" si="28"/>
        <v>230</v>
      </c>
      <c r="H134" s="30">
        <f t="shared" si="28"/>
        <v>674</v>
      </c>
      <c r="I134" s="30">
        <f t="shared" si="28"/>
        <v>217</v>
      </c>
      <c r="J134" s="30">
        <f t="shared" si="28"/>
        <v>344</v>
      </c>
      <c r="K134" s="30">
        <f t="shared" si="28"/>
        <v>357</v>
      </c>
      <c r="L134" s="30">
        <f t="shared" si="28"/>
        <v>467</v>
      </c>
      <c r="M134" s="30">
        <f t="shared" si="28"/>
        <v>242</v>
      </c>
      <c r="N134" s="30">
        <f t="shared" si="28"/>
        <v>370</v>
      </c>
      <c r="O134" s="30">
        <f t="shared" si="28"/>
        <v>550</v>
      </c>
      <c r="P134" s="30">
        <f t="shared" si="28"/>
        <v>620</v>
      </c>
    </row>
    <row r="135" spans="4:22" ht="20.100000000000001" customHeight="1" x14ac:dyDescent="0.25">
      <c r="D135" s="30" t="s">
        <v>355</v>
      </c>
      <c r="E135" s="30" t="str">
        <f t="shared" ref="E135:P145" si="29">E71</f>
        <v>Moderate/High</v>
      </c>
      <c r="F135" s="30" t="str">
        <f t="shared" si="29"/>
        <v>Summer</v>
      </c>
      <c r="G135" s="30">
        <f t="shared" si="29"/>
        <v>113</v>
      </c>
      <c r="H135" s="30">
        <f t="shared" si="29"/>
        <v>669</v>
      </c>
      <c r="I135" s="30">
        <f t="shared" si="29"/>
        <v>113</v>
      </c>
      <c r="J135" s="30">
        <f t="shared" si="29"/>
        <v>283</v>
      </c>
      <c r="K135" s="30">
        <f t="shared" si="29"/>
        <v>361</v>
      </c>
      <c r="L135" s="30">
        <f t="shared" si="29"/>
        <v>477</v>
      </c>
      <c r="M135" s="30">
        <f t="shared" si="29"/>
        <v>120</v>
      </c>
      <c r="N135" s="30">
        <f t="shared" si="29"/>
        <v>273</v>
      </c>
      <c r="O135" s="30">
        <f t="shared" si="29"/>
        <v>545</v>
      </c>
      <c r="P135" s="30">
        <f t="shared" si="29"/>
        <v>553</v>
      </c>
    </row>
    <row r="136" spans="4:22" ht="20.100000000000001" customHeight="1" x14ac:dyDescent="0.25">
      <c r="D136" s="30" t="s">
        <v>355</v>
      </c>
      <c r="E136" s="30" t="str">
        <f t="shared" si="29"/>
        <v>Moderate/High</v>
      </c>
      <c r="F136" s="30" t="str">
        <f t="shared" si="29"/>
        <v>Autumn</v>
      </c>
      <c r="G136" s="30">
        <f t="shared" si="29"/>
        <v>172</v>
      </c>
      <c r="H136" s="30">
        <f t="shared" si="29"/>
        <v>685</v>
      </c>
      <c r="I136" s="30">
        <f t="shared" si="29"/>
        <v>172</v>
      </c>
      <c r="J136" s="30">
        <f t="shared" si="29"/>
        <v>309</v>
      </c>
      <c r="K136" s="30">
        <f t="shared" si="29"/>
        <v>376</v>
      </c>
      <c r="L136" s="30">
        <f t="shared" si="29"/>
        <v>471</v>
      </c>
      <c r="M136" s="30">
        <f t="shared" si="29"/>
        <v>238</v>
      </c>
      <c r="N136" s="30">
        <f t="shared" si="29"/>
        <v>329</v>
      </c>
      <c r="O136" s="30">
        <f t="shared" si="29"/>
        <v>573</v>
      </c>
      <c r="P136" s="30">
        <f t="shared" si="29"/>
        <v>620</v>
      </c>
    </row>
    <row r="137" spans="4:22" ht="20.100000000000001" customHeight="1" x14ac:dyDescent="0.25">
      <c r="D137" s="30" t="s">
        <v>355</v>
      </c>
      <c r="E137" s="30" t="str">
        <f t="shared" si="29"/>
        <v>Moderate/High</v>
      </c>
      <c r="F137" s="30" t="str">
        <f t="shared" si="29"/>
        <v>Winter</v>
      </c>
      <c r="G137" s="30">
        <f t="shared" si="29"/>
        <v>241</v>
      </c>
      <c r="H137" s="30">
        <f t="shared" si="29"/>
        <v>692</v>
      </c>
      <c r="I137" s="30">
        <f t="shared" si="29"/>
        <v>208</v>
      </c>
      <c r="J137" s="30">
        <f t="shared" si="29"/>
        <v>344</v>
      </c>
      <c r="K137" s="30">
        <f t="shared" si="29"/>
        <v>364</v>
      </c>
      <c r="L137" s="30">
        <f t="shared" si="29"/>
        <v>484</v>
      </c>
      <c r="M137" s="30">
        <f t="shared" si="29"/>
        <v>260</v>
      </c>
      <c r="N137" s="30">
        <f t="shared" si="29"/>
        <v>350</v>
      </c>
      <c r="O137" s="30">
        <f t="shared" si="29"/>
        <v>567</v>
      </c>
      <c r="P137" s="30">
        <f t="shared" si="29"/>
        <v>620</v>
      </c>
    </row>
    <row r="138" spans="4:22" ht="20.100000000000001" customHeight="1" x14ac:dyDescent="0.25">
      <c r="D138" s="30" t="s">
        <v>355</v>
      </c>
      <c r="E138" s="30" t="str">
        <f t="shared" si="29"/>
        <v>Moderate/Low</v>
      </c>
      <c r="F138" s="30" t="str">
        <f t="shared" si="29"/>
        <v>Spring</v>
      </c>
      <c r="G138" s="30">
        <f t="shared" si="29"/>
        <v>236</v>
      </c>
      <c r="H138" s="30">
        <f t="shared" si="29"/>
        <v>674</v>
      </c>
      <c r="I138" s="30">
        <f t="shared" si="29"/>
        <v>178</v>
      </c>
      <c r="J138" s="30">
        <f t="shared" si="29"/>
        <v>310</v>
      </c>
      <c r="K138" s="30">
        <f t="shared" si="29"/>
        <v>428</v>
      </c>
      <c r="L138" s="30">
        <f t="shared" si="29"/>
        <v>466</v>
      </c>
      <c r="M138" s="30">
        <f t="shared" si="29"/>
        <v>193</v>
      </c>
      <c r="N138" s="30">
        <f t="shared" si="29"/>
        <v>370</v>
      </c>
      <c r="O138" s="30">
        <f t="shared" si="29"/>
        <v>519</v>
      </c>
      <c r="P138" s="30">
        <f t="shared" si="29"/>
        <v>565</v>
      </c>
    </row>
    <row r="139" spans="4:22" ht="20.100000000000001" customHeight="1" x14ac:dyDescent="0.25">
      <c r="D139" s="30" t="s">
        <v>355</v>
      </c>
      <c r="E139" s="30" t="str">
        <f t="shared" si="29"/>
        <v>Moderate/Low</v>
      </c>
      <c r="F139" s="30" t="str">
        <f t="shared" si="29"/>
        <v>Summer</v>
      </c>
      <c r="G139" s="30">
        <f t="shared" si="29"/>
        <v>120</v>
      </c>
      <c r="H139" s="30">
        <f t="shared" si="29"/>
        <v>669</v>
      </c>
      <c r="I139" s="30">
        <f t="shared" si="29"/>
        <v>112</v>
      </c>
      <c r="J139" s="30">
        <f t="shared" si="29"/>
        <v>250</v>
      </c>
      <c r="K139" s="30">
        <f t="shared" si="29"/>
        <v>390</v>
      </c>
      <c r="L139" s="30">
        <f t="shared" si="29"/>
        <v>448</v>
      </c>
      <c r="M139" s="30">
        <f t="shared" si="29"/>
        <v>115</v>
      </c>
      <c r="N139" s="30">
        <f t="shared" si="29"/>
        <v>273</v>
      </c>
      <c r="O139" s="30">
        <f t="shared" si="29"/>
        <v>433</v>
      </c>
      <c r="P139" s="30">
        <f t="shared" si="29"/>
        <v>556</v>
      </c>
    </row>
    <row r="140" spans="4:22" ht="20.100000000000001" customHeight="1" x14ac:dyDescent="0.25">
      <c r="D140" s="30" t="s">
        <v>355</v>
      </c>
      <c r="E140" s="30" t="str">
        <f t="shared" si="29"/>
        <v>Moderate/Low</v>
      </c>
      <c r="F140" s="30" t="str">
        <f t="shared" si="29"/>
        <v>Autumn</v>
      </c>
      <c r="G140" s="30">
        <f t="shared" si="29"/>
        <v>125</v>
      </c>
      <c r="H140" s="30">
        <f t="shared" si="29"/>
        <v>685</v>
      </c>
      <c r="I140" s="30">
        <f t="shared" si="29"/>
        <v>140</v>
      </c>
      <c r="J140" s="30">
        <f t="shared" si="29"/>
        <v>277</v>
      </c>
      <c r="K140" s="30">
        <f t="shared" si="29"/>
        <v>407</v>
      </c>
      <c r="L140" s="30">
        <f t="shared" si="29"/>
        <v>455</v>
      </c>
      <c r="M140" s="30">
        <f t="shared" si="29"/>
        <v>141</v>
      </c>
      <c r="N140" s="30">
        <f t="shared" si="29"/>
        <v>296</v>
      </c>
      <c r="O140" s="30">
        <f t="shared" si="29"/>
        <v>445</v>
      </c>
      <c r="P140" s="30">
        <f t="shared" si="29"/>
        <v>593</v>
      </c>
    </row>
    <row r="141" spans="4:22" ht="20.100000000000001" customHeight="1" x14ac:dyDescent="0.25">
      <c r="D141" s="30" t="s">
        <v>355</v>
      </c>
      <c r="E141" s="30" t="str">
        <f t="shared" si="29"/>
        <v>Moderate/Low</v>
      </c>
      <c r="F141" s="30" t="str">
        <f t="shared" si="29"/>
        <v>Winter</v>
      </c>
      <c r="G141" s="30">
        <f t="shared" si="29"/>
        <v>180</v>
      </c>
      <c r="H141" s="30">
        <f t="shared" si="29"/>
        <v>692</v>
      </c>
      <c r="I141" s="30">
        <f t="shared" si="29"/>
        <v>183</v>
      </c>
      <c r="J141" s="30">
        <f t="shared" si="29"/>
        <v>316</v>
      </c>
      <c r="K141" s="30">
        <f t="shared" si="29"/>
        <v>438</v>
      </c>
      <c r="L141" s="30">
        <f t="shared" si="29"/>
        <v>468</v>
      </c>
      <c r="M141" s="30">
        <f t="shared" si="29"/>
        <v>189</v>
      </c>
      <c r="N141" s="30">
        <f t="shared" si="29"/>
        <v>354</v>
      </c>
      <c r="O141" s="30">
        <f t="shared" si="29"/>
        <v>500</v>
      </c>
      <c r="P141" s="30">
        <f t="shared" si="29"/>
        <v>553</v>
      </c>
    </row>
    <row r="142" spans="4:22" ht="20.100000000000001" customHeight="1" x14ac:dyDescent="0.25">
      <c r="D142" s="30" t="s">
        <v>355</v>
      </c>
      <c r="E142" s="30" t="str">
        <f t="shared" si="29"/>
        <v>Low</v>
      </c>
      <c r="F142" s="30" t="str">
        <f t="shared" si="29"/>
        <v>Spring</v>
      </c>
      <c r="G142" s="30">
        <f t="shared" si="29"/>
        <v>190</v>
      </c>
      <c r="H142" s="30">
        <f t="shared" si="29"/>
        <v>617</v>
      </c>
      <c r="I142" s="30">
        <f t="shared" si="29"/>
        <v>174</v>
      </c>
      <c r="J142" s="30">
        <f t="shared" si="29"/>
        <v>265</v>
      </c>
      <c r="K142" s="30">
        <f t="shared" si="29"/>
        <v>371</v>
      </c>
      <c r="L142" s="30">
        <f t="shared" si="29"/>
        <v>415</v>
      </c>
      <c r="M142" s="30">
        <f t="shared" si="29"/>
        <v>170</v>
      </c>
      <c r="N142" s="30">
        <f t="shared" si="29"/>
        <v>272</v>
      </c>
      <c r="O142" s="30">
        <f t="shared" si="29"/>
        <v>392</v>
      </c>
      <c r="P142" s="30">
        <f t="shared" si="29"/>
        <v>531</v>
      </c>
    </row>
    <row r="143" spans="4:22" ht="20.100000000000001" customHeight="1" x14ac:dyDescent="0.25">
      <c r="D143" s="30" t="s">
        <v>355</v>
      </c>
      <c r="E143" s="30" t="str">
        <f t="shared" si="29"/>
        <v>Low</v>
      </c>
      <c r="F143" s="30" t="str">
        <f t="shared" si="29"/>
        <v>Summer</v>
      </c>
      <c r="G143" s="30">
        <f t="shared" si="29"/>
        <v>119</v>
      </c>
      <c r="H143" s="30">
        <f t="shared" si="29"/>
        <v>591</v>
      </c>
      <c r="I143" s="30">
        <f t="shared" si="29"/>
        <v>140</v>
      </c>
      <c r="J143" s="30">
        <f t="shared" si="29"/>
        <v>205</v>
      </c>
      <c r="K143" s="30">
        <f t="shared" si="29"/>
        <v>310</v>
      </c>
      <c r="L143" s="30">
        <f t="shared" si="29"/>
        <v>405</v>
      </c>
      <c r="M143" s="30">
        <f t="shared" si="29"/>
        <v>133</v>
      </c>
      <c r="N143" s="30">
        <f t="shared" si="29"/>
        <v>218</v>
      </c>
      <c r="O143" s="30">
        <f t="shared" si="29"/>
        <v>315</v>
      </c>
      <c r="P143" s="30">
        <f t="shared" si="29"/>
        <v>445</v>
      </c>
    </row>
    <row r="144" spans="4:22" ht="20.100000000000001" customHeight="1" x14ac:dyDescent="0.25">
      <c r="D144" s="30" t="s">
        <v>355</v>
      </c>
      <c r="E144" s="30" t="str">
        <f t="shared" si="29"/>
        <v>Low</v>
      </c>
      <c r="F144" s="30" t="str">
        <f t="shared" si="29"/>
        <v>Autumn</v>
      </c>
      <c r="G144" s="30">
        <f t="shared" si="29"/>
        <v>175</v>
      </c>
      <c r="H144" s="30">
        <f t="shared" si="29"/>
        <v>610</v>
      </c>
      <c r="I144" s="30">
        <f t="shared" si="29"/>
        <v>163</v>
      </c>
      <c r="J144" s="30">
        <f t="shared" si="29"/>
        <v>232</v>
      </c>
      <c r="K144" s="30">
        <f t="shared" si="29"/>
        <v>351</v>
      </c>
      <c r="L144" s="30">
        <f t="shared" si="29"/>
        <v>427</v>
      </c>
      <c r="M144" s="30">
        <f t="shared" si="29"/>
        <v>146</v>
      </c>
      <c r="N144" s="30">
        <f t="shared" si="29"/>
        <v>242</v>
      </c>
      <c r="O144" s="30">
        <f t="shared" si="29"/>
        <v>320</v>
      </c>
      <c r="P144" s="30">
        <f t="shared" si="29"/>
        <v>471</v>
      </c>
    </row>
    <row r="145" spans="4:16" ht="20.100000000000001" customHeight="1" x14ac:dyDescent="0.25">
      <c r="D145" s="30" t="s">
        <v>355</v>
      </c>
      <c r="E145" s="30" t="str">
        <f t="shared" si="29"/>
        <v>Low</v>
      </c>
      <c r="F145" s="30" t="str">
        <f t="shared" si="29"/>
        <v>Winter</v>
      </c>
      <c r="G145" s="30">
        <f t="shared" si="29"/>
        <v>192</v>
      </c>
      <c r="H145" s="30">
        <f t="shared" si="29"/>
        <v>615</v>
      </c>
      <c r="I145" s="30">
        <f t="shared" si="29"/>
        <v>162</v>
      </c>
      <c r="J145" s="30">
        <f t="shared" si="29"/>
        <v>255</v>
      </c>
      <c r="K145" s="30">
        <f t="shared" si="29"/>
        <v>364</v>
      </c>
      <c r="L145" s="30">
        <f t="shared" si="29"/>
        <v>420</v>
      </c>
      <c r="M145" s="30">
        <f t="shared" si="29"/>
        <v>157</v>
      </c>
      <c r="N145" s="30">
        <f t="shared" si="29"/>
        <v>261</v>
      </c>
      <c r="O145" s="30">
        <f t="shared" si="29"/>
        <v>342</v>
      </c>
      <c r="P145" s="30">
        <f t="shared" si="29"/>
        <v>484</v>
      </c>
    </row>
    <row r="146" spans="4:16" ht="20.100000000000001" customHeight="1" x14ac:dyDescent="0.25">
      <c r="D146" s="1" t="s">
        <v>359</v>
      </c>
      <c r="E146" s="1" t="s">
        <v>316</v>
      </c>
      <c r="F146" s="1" t="str">
        <f>F142</f>
        <v>Spring</v>
      </c>
      <c r="G146" s="1">
        <f t="shared" ref="G146:P149" si="30">AVERAGE(G86,G90,G94,G98,G102,G106,G110,G114,G118,G122,G126,G130,G134,G138,G142)</f>
        <v>198.73333333333332</v>
      </c>
      <c r="H146" s="1">
        <f t="shared" si="30"/>
        <v>643.06666666666672</v>
      </c>
      <c r="I146" s="1">
        <f t="shared" si="30"/>
        <v>173.4</v>
      </c>
      <c r="J146" s="1">
        <f t="shared" si="30"/>
        <v>321.33333333333331</v>
      </c>
      <c r="K146" s="1">
        <f t="shared" si="30"/>
        <v>426</v>
      </c>
      <c r="L146" s="1">
        <f t="shared" si="30"/>
        <v>455.46666666666664</v>
      </c>
      <c r="M146" s="1">
        <f t="shared" si="30"/>
        <v>187.26666666666668</v>
      </c>
      <c r="N146" s="1">
        <f t="shared" si="30"/>
        <v>385.4</v>
      </c>
      <c r="O146" s="1">
        <f t="shared" si="30"/>
        <v>442.07142857142856</v>
      </c>
      <c r="P146" s="1">
        <f t="shared" si="30"/>
        <v>486.23076923076923</v>
      </c>
    </row>
    <row r="147" spans="4:16" ht="20.100000000000001" customHeight="1" x14ac:dyDescent="0.25">
      <c r="D147" s="1" t="s">
        <v>359</v>
      </c>
      <c r="E147" s="1" t="s">
        <v>316</v>
      </c>
      <c r="F147" s="1" t="str">
        <f>F143</f>
        <v>Summer</v>
      </c>
      <c r="G147" s="1">
        <f t="shared" si="30"/>
        <v>193</v>
      </c>
      <c r="H147" s="1">
        <f t="shared" si="30"/>
        <v>660.33333333333337</v>
      </c>
      <c r="I147" s="1">
        <f t="shared" si="30"/>
        <v>156.33333333333334</v>
      </c>
      <c r="J147" s="1">
        <f t="shared" si="30"/>
        <v>309.73333333333335</v>
      </c>
      <c r="K147" s="1">
        <f t="shared" si="30"/>
        <v>417.4</v>
      </c>
      <c r="L147" s="1">
        <f t="shared" si="30"/>
        <v>458.53333333333336</v>
      </c>
      <c r="M147" s="1">
        <f t="shared" si="30"/>
        <v>162</v>
      </c>
      <c r="N147" s="1">
        <f t="shared" si="30"/>
        <v>353.46666666666664</v>
      </c>
      <c r="O147" s="1">
        <f t="shared" si="30"/>
        <v>428.42857142857144</v>
      </c>
      <c r="P147" s="1">
        <f t="shared" si="30"/>
        <v>472.61538461538464</v>
      </c>
    </row>
    <row r="148" spans="4:16" ht="20.100000000000001" customHeight="1" x14ac:dyDescent="0.25">
      <c r="D148" s="1" t="s">
        <v>359</v>
      </c>
      <c r="E148" s="1" t="s">
        <v>316</v>
      </c>
      <c r="F148" s="1" t="str">
        <f>F144</f>
        <v>Autumn</v>
      </c>
      <c r="G148" s="1">
        <f t="shared" si="30"/>
        <v>170.66666666666666</v>
      </c>
      <c r="H148" s="1">
        <f t="shared" si="30"/>
        <v>654.26666666666665</v>
      </c>
      <c r="I148" s="1">
        <f t="shared" si="30"/>
        <v>161.53333333333333</v>
      </c>
      <c r="J148" s="1">
        <f t="shared" si="30"/>
        <v>307.93333333333334</v>
      </c>
      <c r="K148" s="1">
        <f t="shared" si="30"/>
        <v>419.66666666666669</v>
      </c>
      <c r="L148" s="1">
        <f t="shared" si="30"/>
        <v>454.06666666666666</v>
      </c>
      <c r="M148" s="1">
        <f t="shared" si="30"/>
        <v>169.86666666666667</v>
      </c>
      <c r="N148" s="1">
        <f t="shared" si="30"/>
        <v>363.13333333333333</v>
      </c>
      <c r="O148" s="1">
        <f t="shared" si="30"/>
        <v>430.14285714285717</v>
      </c>
      <c r="P148" s="1">
        <f t="shared" si="30"/>
        <v>479.69230769230768</v>
      </c>
    </row>
    <row r="149" spans="4:16" ht="20.100000000000001" customHeight="1" x14ac:dyDescent="0.25">
      <c r="D149" s="1" t="s">
        <v>359</v>
      </c>
      <c r="E149" s="1" t="s">
        <v>316</v>
      </c>
      <c r="F149" s="1" t="str">
        <f>F145</f>
        <v>Winter</v>
      </c>
      <c r="G149" s="1">
        <f t="shared" si="30"/>
        <v>214.53333333333333</v>
      </c>
      <c r="H149" s="1">
        <f t="shared" si="30"/>
        <v>650.5333333333333</v>
      </c>
      <c r="I149" s="1">
        <f t="shared" si="30"/>
        <v>196.53333333333333</v>
      </c>
      <c r="J149" s="1">
        <f t="shared" si="30"/>
        <v>333.6</v>
      </c>
      <c r="K149" s="1">
        <f t="shared" si="30"/>
        <v>427.4</v>
      </c>
      <c r="L149" s="1">
        <f t="shared" si="30"/>
        <v>453.33333333333331</v>
      </c>
      <c r="M149" s="1">
        <f t="shared" si="30"/>
        <v>207.26666666666668</v>
      </c>
      <c r="N149" s="1">
        <f t="shared" si="30"/>
        <v>381.93333333333334</v>
      </c>
      <c r="O149" s="1">
        <f t="shared" si="30"/>
        <v>438.28571428571428</v>
      </c>
      <c r="P149" s="1">
        <f t="shared" si="30"/>
        <v>479.38461538461536</v>
      </c>
    </row>
    <row r="150" spans="4:16" ht="20.100000000000001" customHeight="1" x14ac:dyDescent="0.25">
      <c r="D150" s="2" t="str" cm="1">
        <f t="array" ref="D150">SourceData_PastureBeef.SourceData_PastureBeef_LiveweightGain_Title()</f>
        <v>Beef pasture cattle - Liveweight gain (kg) (LWGjkl)</v>
      </c>
      <c r="M150" s="1"/>
    </row>
    <row r="151" spans="4:16" ht="20.100000000000001" customHeight="1" x14ac:dyDescent="0.25">
      <c r="D151" s="27" t="str" cm="1">
        <f t="array" ref="D151">SourceData_PastureBeef.SourceData_PastureBeef_LiveweightGain_Source()</f>
        <v>VEERG 2026: Table A.1.2.3</v>
      </c>
      <c r="M151" s="1"/>
    </row>
    <row r="152" spans="4:16" ht="20.100000000000001" customHeight="1" x14ac:dyDescent="0.25">
      <c r="D152" s="1" t="str" cm="1">
        <f t="array" ref="D152">SourceData_PastureBeef.SourceData_PastureBeef_LiveweightGain_Variable()</f>
        <v>LWGjkl</v>
      </c>
      <c r="M152" s="1"/>
    </row>
    <row r="153" spans="4:16" ht="20.100000000000001" customHeight="1" x14ac:dyDescent="0.25">
      <c r="D153" s="15" t="str" cm="1">
        <f t="array" ref="D153">SourceData_PastureBeef.SourceData_PastureBeef_LiveweightGain_Unit()</f>
        <v>kg</v>
      </c>
      <c r="M153" s="1"/>
    </row>
    <row r="154" spans="4:16" ht="20.100000000000001" customHeight="1" x14ac:dyDescent="0.25">
      <c r="D154" s="30" t="s">
        <v>107</v>
      </c>
      <c r="E154" s="30" t="s">
        <v>312</v>
      </c>
      <c r="F154" s="30" t="s">
        <v>78</v>
      </c>
      <c r="G154" s="30" t="s">
        <v>360</v>
      </c>
      <c r="H154" s="30" t="s">
        <v>361</v>
      </c>
      <c r="I154" s="30" t="s">
        <v>371</v>
      </c>
      <c r="J154" s="30" t="s">
        <v>333</v>
      </c>
      <c r="K154" s="30" t="s">
        <v>372</v>
      </c>
      <c r="L154" s="30" t="s">
        <v>366</v>
      </c>
      <c r="M154" s="30" t="s">
        <v>373</v>
      </c>
    </row>
    <row r="155" spans="4:16" ht="20.100000000000001" customHeight="1" x14ac:dyDescent="0.25">
      <c r="D155" s="30" t="str" cm="1">
        <f t="array" ref="D155">Common_InputFunctions.Utility_DisplayArrayInTable(SourceData_PastureBeef.SourceData_PastureBeef_LiveweightGain_Data(), Table_SourceData_PastureBeef_LiveweightGain[[#Headers],[State]],0)</f>
        <v>ACT/NSW</v>
      </c>
      <c r="E155" s="30" t="str" cm="1">
        <f t="array" ref="E155">Common_InputFunctions.Utility_DisplayArrayInTable(SourceData_PastureBeef.SourceData_PastureBeef_LiveweightGain_Data(), Table_SourceData_PastureBeef_LiveweightGain[[#Headers],[State]],0)</f>
        <v>n/a</v>
      </c>
      <c r="F155" s="30" t="str" cm="1">
        <f t="array" ref="F155">Common_InputFunctions.Utility_DisplayArrayInTable(SourceData_PastureBeef.SourceData_PastureBeef_LiveweightGain_Data(), Table_SourceData_PastureBeef_LiveweightGain[[#Headers],[State]],0)</f>
        <v>Spring</v>
      </c>
      <c r="G155" s="30" cm="1">
        <f t="array" ref="G155">Common_InputFunctions.Utility_DisplayArrayInTable(SourceData_PastureBeef.SourceData_PastureBeef_LiveweightGain_Data(), Table_SourceData_PastureBeef_LiveweightGain[[#Headers],[State]],0)</f>
        <v>0.5</v>
      </c>
      <c r="H155" s="30" cm="1">
        <f t="array" ref="H155">Common_InputFunctions.Utility_DisplayArrayInTable(SourceData_PastureBeef.SourceData_PastureBeef_LiveweightGain_Data(), Table_SourceData_PastureBeef_LiveweightGain[[#Headers],[State]],0)</f>
        <v>0.2</v>
      </c>
      <c r="I155" s="30" cm="1">
        <f t="array" ref="I155">Common_InputFunctions.Utility_DisplayArrayInTable(SourceData_PastureBeef.SourceData_PastureBeef_LiveweightGain_Data(), Table_SourceData_PastureBeef_LiveweightGain[[#Headers],[State]],0)</f>
        <v>0.5</v>
      </c>
      <c r="J155" s="30" cm="1">
        <f t="array" ref="J155">Common_InputFunctions.Utility_DisplayArrayInTable(SourceData_PastureBeef.SourceData_PastureBeef_LiveweightGain_Data(), Table_SourceData_PastureBeef_LiveweightGain[[#Headers],[State]],0)</f>
        <v>0.4</v>
      </c>
      <c r="K155" s="30" cm="1">
        <f t="array" ref="K155">Common_InputFunctions.Utility_DisplayArrayInTable(SourceData_PastureBeef.SourceData_PastureBeef_LiveweightGain_Data(), Table_SourceData_PastureBeef_LiveweightGain[[#Headers],[State]],0)</f>
        <v>0.3</v>
      </c>
      <c r="L155" s="30" cm="1">
        <f t="array" ref="L155">Common_InputFunctions.Utility_DisplayArrayInTable(SourceData_PastureBeef.SourceData_PastureBeef_LiveweightGain_Data(), Table_SourceData_PastureBeef_LiveweightGain[[#Headers],[State]],0)</f>
        <v>0.5</v>
      </c>
      <c r="M155" s="30" cm="1">
        <f t="array" ref="M155">Common_InputFunctions.Utility_DisplayArrayInTable(SourceData_PastureBeef.SourceData_PastureBeef_LiveweightGain_Data(), Table_SourceData_PastureBeef_LiveweightGain[[#Headers],[State]],0)</f>
        <v>0.4</v>
      </c>
    </row>
    <row r="156" spans="4:16" ht="20.100000000000001" customHeight="1" x14ac:dyDescent="0.25">
      <c r="D156" s="1" t="str" cm="1">
        <f t="array" ref="D156">Common_InputFunctions.Utility_DisplayArrayInTable(SourceData_PastureBeef.SourceData_PastureBeef_LiveweightGain_Data(), Table_SourceData_PastureBeef_LiveweightGain[[#Headers],[State]],0)</f>
        <v>ACT/NSW</v>
      </c>
      <c r="E156" s="30" t="str" cm="1">
        <f t="array" ref="E156">Common_InputFunctions.Utility_DisplayArrayInTable(SourceData_PastureBeef.SourceData_PastureBeef_LiveweightGain_Data(), Table_SourceData_PastureBeef_LiveweightGain[[#Headers],[State]],0)</f>
        <v>n/a</v>
      </c>
      <c r="F156" s="30" t="str" cm="1">
        <f t="array" ref="F156">Common_InputFunctions.Utility_DisplayArrayInTable(SourceData_PastureBeef.SourceData_PastureBeef_LiveweightGain_Data(), Table_SourceData_PastureBeef_LiveweightGain[[#Headers],[State]],0)</f>
        <v>Summer</v>
      </c>
      <c r="G156" s="30" cm="1">
        <f t="array" ref="G156">Common_InputFunctions.Utility_DisplayArrayInTable(SourceData_PastureBeef.SourceData_PastureBeef_LiveweightGain_Data(), Table_SourceData_PastureBeef_LiveweightGain[[#Headers],[State]],0)</f>
        <v>1</v>
      </c>
      <c r="H156" s="30" cm="1">
        <f t="array" ref="H156">Common_InputFunctions.Utility_DisplayArrayInTable(SourceData_PastureBeef.SourceData_PastureBeef_LiveweightGain_Data(), Table_SourceData_PastureBeef_LiveweightGain[[#Headers],[State]],0)</f>
        <v>0.4</v>
      </c>
      <c r="I156" s="30" cm="1">
        <f t="array" ref="I156">Common_InputFunctions.Utility_DisplayArrayInTable(SourceData_PastureBeef.SourceData_PastureBeef_LiveweightGain_Data(), Table_SourceData_PastureBeef_LiveweightGain[[#Headers],[State]],0)</f>
        <v>0.9</v>
      </c>
      <c r="J156" s="30" cm="1">
        <f t="array" ref="J156">Common_InputFunctions.Utility_DisplayArrayInTable(SourceData_PastureBeef.SourceData_PastureBeef_LiveweightGain_Data(), Table_SourceData_PastureBeef_LiveweightGain[[#Headers],[State]],0)</f>
        <v>0.7</v>
      </c>
      <c r="K156" s="30" cm="1">
        <f t="array" ref="K156">Common_InputFunctions.Utility_DisplayArrayInTable(SourceData_PastureBeef.SourceData_PastureBeef_LiveweightGain_Data(), Table_SourceData_PastureBeef_LiveweightGain[[#Headers],[State]],0)</f>
        <v>0.3</v>
      </c>
      <c r="L156" s="30" cm="1">
        <f t="array" ref="L156">Common_InputFunctions.Utility_DisplayArrayInTable(SourceData_PastureBeef.SourceData_PastureBeef_LiveweightGain_Data(), Table_SourceData_PastureBeef_LiveweightGain[[#Headers],[State]],0)</f>
        <v>0.9</v>
      </c>
      <c r="M156" s="30" cm="1">
        <f t="array" ref="M156">Common_InputFunctions.Utility_DisplayArrayInTable(SourceData_PastureBeef.SourceData_PastureBeef_LiveweightGain_Data(), Table_SourceData_PastureBeef_LiveweightGain[[#Headers],[State]],0)</f>
        <v>0.4</v>
      </c>
    </row>
    <row r="157" spans="4:16" ht="20.100000000000001" customHeight="1" x14ac:dyDescent="0.25">
      <c r="D157" s="1" t="str" cm="1">
        <f t="array" ref="D157">Common_InputFunctions.Utility_DisplayArrayInTable(SourceData_PastureBeef.SourceData_PastureBeef_LiveweightGain_Data(), Table_SourceData_PastureBeef_LiveweightGain[[#Headers],[State]],0)</f>
        <v>ACT/NSW</v>
      </c>
      <c r="E157" s="30" t="str" cm="1">
        <f t="array" ref="E157">Common_InputFunctions.Utility_DisplayArrayInTable(SourceData_PastureBeef.SourceData_PastureBeef_LiveweightGain_Data(), Table_SourceData_PastureBeef_LiveweightGain[[#Headers],[State]],0)</f>
        <v>n/a</v>
      </c>
      <c r="F157" s="30" t="str" cm="1">
        <f t="array" ref="F157">Common_InputFunctions.Utility_DisplayArrayInTable(SourceData_PastureBeef.SourceData_PastureBeef_LiveweightGain_Data(), Table_SourceData_PastureBeef_LiveweightGain[[#Headers],[State]],0)</f>
        <v>Autumn</v>
      </c>
      <c r="G157" s="30" cm="1">
        <f t="array" ref="G157">Common_InputFunctions.Utility_DisplayArrayInTable(SourceData_PastureBeef.SourceData_PastureBeef_LiveweightGain_Data(), Table_SourceData_PastureBeef_LiveweightGain[[#Headers],[State]],0)</f>
        <v>0.8</v>
      </c>
      <c r="H157" s="30" cm="1">
        <f t="array" ref="H157">Common_InputFunctions.Utility_DisplayArrayInTable(SourceData_PastureBeef.SourceData_PastureBeef_LiveweightGain_Data(), Table_SourceData_PastureBeef_LiveweightGain[[#Headers],[State]],0)</f>
        <v>0.3</v>
      </c>
      <c r="I157" s="30" cm="1">
        <f t="array" ref="I157">Common_InputFunctions.Utility_DisplayArrayInTable(SourceData_PastureBeef.SourceData_PastureBeef_LiveweightGain_Data(), Table_SourceData_PastureBeef_LiveweightGain[[#Headers],[State]],0)</f>
        <v>0.7</v>
      </c>
      <c r="J157" s="30" cm="1">
        <f t="array" ref="J157">Common_InputFunctions.Utility_DisplayArrayInTable(SourceData_PastureBeef.SourceData_PastureBeef_LiveweightGain_Data(), Table_SourceData_PastureBeef_LiveweightGain[[#Headers],[State]],0)</f>
        <v>0.3</v>
      </c>
      <c r="K157" s="30" cm="1">
        <f t="array" ref="K157">Common_InputFunctions.Utility_DisplayArrayInTable(SourceData_PastureBeef.SourceData_PastureBeef_LiveweightGain_Data(), Table_SourceData_PastureBeef_LiveweightGain[[#Headers],[State]],0)</f>
        <v>0.2</v>
      </c>
      <c r="L157" s="30" cm="1">
        <f t="array" ref="L157">Common_InputFunctions.Utility_DisplayArrayInTable(SourceData_PastureBeef.SourceData_PastureBeef_LiveweightGain_Data(), Table_SourceData_PastureBeef_LiveweightGain[[#Headers],[State]],0)</f>
        <v>0.7</v>
      </c>
      <c r="M157" s="30" cm="1">
        <f t="array" ref="M157">Common_InputFunctions.Utility_DisplayArrayInTable(SourceData_PastureBeef.SourceData_PastureBeef_LiveweightGain_Data(), Table_SourceData_PastureBeef_LiveweightGain[[#Headers],[State]],0)</f>
        <v>0.3</v>
      </c>
    </row>
    <row r="158" spans="4:16" ht="20.100000000000001" customHeight="1" x14ac:dyDescent="0.25">
      <c r="D158" s="1" t="str" cm="1">
        <f t="array" ref="D158">Common_InputFunctions.Utility_DisplayArrayInTable(SourceData_PastureBeef.SourceData_PastureBeef_LiveweightGain_Data(), Table_SourceData_PastureBeef_LiveweightGain[[#Headers],[State]],0)</f>
        <v>ACT/NSW</v>
      </c>
      <c r="E158" s="30" t="str" cm="1">
        <f t="array" ref="E158">Common_InputFunctions.Utility_DisplayArrayInTable(SourceData_PastureBeef.SourceData_PastureBeef_LiveweightGain_Data(), Table_SourceData_PastureBeef_LiveweightGain[[#Headers],[State]],0)</f>
        <v>n/a</v>
      </c>
      <c r="F158" s="30" t="str" cm="1">
        <f t="array" ref="F158">Common_InputFunctions.Utility_DisplayArrayInTable(SourceData_PastureBeef.SourceData_PastureBeef_LiveweightGain_Data(), Table_SourceData_PastureBeef_LiveweightGain[[#Headers],[State]],0)</f>
        <v>Winter</v>
      </c>
      <c r="G158" s="30" cm="1">
        <f t="array" ref="G158">Common_InputFunctions.Utility_DisplayArrayInTable(SourceData_PastureBeef.SourceData_PastureBeef_LiveweightGain_Data(), Table_SourceData_PastureBeef_LiveweightGain[[#Headers],[State]],0)</f>
        <v>0.4</v>
      </c>
      <c r="H158" s="30" cm="1">
        <f t="array" ref="H158">Common_InputFunctions.Utility_DisplayArrayInTable(SourceData_PastureBeef.SourceData_PastureBeef_LiveweightGain_Data(), Table_SourceData_PastureBeef_LiveweightGain[[#Headers],[State]],0)</f>
        <v>0.1</v>
      </c>
      <c r="I158" s="30" cm="1">
        <f t="array" ref="I158">Common_InputFunctions.Utility_DisplayArrayInTable(SourceData_PastureBeef.SourceData_PastureBeef_LiveweightGain_Data(), Table_SourceData_PastureBeef_LiveweightGain[[#Headers],[State]],0)</f>
        <v>0.4</v>
      </c>
      <c r="J158" s="30" cm="1">
        <f t="array" ref="J158">Common_InputFunctions.Utility_DisplayArrayInTable(SourceData_PastureBeef.SourceData_PastureBeef_LiveweightGain_Data(), Table_SourceData_PastureBeef_LiveweightGain[[#Headers],[State]],0)</f>
        <v>0.2</v>
      </c>
      <c r="K158" s="30" cm="1">
        <f t="array" ref="K158">Common_InputFunctions.Utility_DisplayArrayInTable(SourceData_PastureBeef.SourceData_PastureBeef_LiveweightGain_Data(), Table_SourceData_PastureBeef_LiveweightGain[[#Headers],[State]],0)</f>
        <v>0.1</v>
      </c>
      <c r="L158" s="30" cm="1">
        <f t="array" ref="L158">Common_InputFunctions.Utility_DisplayArrayInTable(SourceData_PastureBeef.SourceData_PastureBeef_LiveweightGain_Data(), Table_SourceData_PastureBeef_LiveweightGain[[#Headers],[State]],0)</f>
        <v>0.4</v>
      </c>
      <c r="M158" s="30" cm="1">
        <f t="array" ref="M158">Common_InputFunctions.Utility_DisplayArrayInTable(SourceData_PastureBeef.SourceData_PastureBeef_LiveweightGain_Data(), Table_SourceData_PastureBeef_LiveweightGain[[#Headers],[State]],0)</f>
        <v>0.1</v>
      </c>
    </row>
    <row r="159" spans="4:16" ht="20.100000000000001" customHeight="1" x14ac:dyDescent="0.25">
      <c r="D159" s="1" t="str" cm="1">
        <f t="array" ref="D159">Common_InputFunctions.Utility_DisplayArrayInTable(SourceData_PastureBeef.SourceData_PastureBeef_LiveweightGain_Data(), Table_SourceData_PastureBeef_LiveweightGain[[#Headers],[State]],0)</f>
        <v>South Australia</v>
      </c>
      <c r="E159" s="30" t="str" cm="1">
        <f t="array" ref="E159">Common_InputFunctions.Utility_DisplayArrayInTable(SourceData_PastureBeef.SourceData_PastureBeef_LiveweightGain_Data(), Table_SourceData_PastureBeef_LiveweightGain[[#Headers],[State]],0)</f>
        <v>n/a</v>
      </c>
      <c r="F159" s="30" t="str" cm="1">
        <f t="array" ref="F159">Common_InputFunctions.Utility_DisplayArrayInTable(SourceData_PastureBeef.SourceData_PastureBeef_LiveweightGain_Data(), Table_SourceData_PastureBeef_LiveweightGain[[#Headers],[State]],0)</f>
        <v>Spring</v>
      </c>
      <c r="G159" s="30" cm="1">
        <f t="array" ref="G159">Common_InputFunctions.Utility_DisplayArrayInTable(SourceData_PastureBeef.SourceData_PastureBeef_LiveweightGain_Data(), Table_SourceData_PastureBeef_LiveweightGain[[#Headers],[State]],0)</f>
        <v>0.99</v>
      </c>
      <c r="H159" s="30" cm="1">
        <f t="array" ref="H159">Common_InputFunctions.Utility_DisplayArrayInTable(SourceData_PastureBeef.SourceData_PastureBeef_LiveweightGain_Data(), Table_SourceData_PastureBeef_LiveweightGain[[#Headers],[State]],0)</f>
        <v>1.1000000000000001</v>
      </c>
      <c r="I159" s="30" cm="1">
        <f t="array" ref="I159">Common_InputFunctions.Utility_DisplayArrayInTable(SourceData_PastureBeef.SourceData_PastureBeef_LiveweightGain_Data(), Table_SourceData_PastureBeef_LiveweightGain[[#Headers],[State]],0)</f>
        <v>0.88</v>
      </c>
      <c r="J159" s="30" cm="1">
        <f t="array" ref="J159">Common_InputFunctions.Utility_DisplayArrayInTable(SourceData_PastureBeef.SourceData_PastureBeef_LiveweightGain_Data(), Table_SourceData_PastureBeef_LiveweightGain[[#Headers],[State]],0)</f>
        <v>0.55000000000000004</v>
      </c>
      <c r="K159" s="30" cm="1">
        <f t="array" ref="K159">Common_InputFunctions.Utility_DisplayArrayInTable(SourceData_PastureBeef.SourceData_PastureBeef_LiveweightGain_Data(), Table_SourceData_PastureBeef_LiveweightGain[[#Headers],[State]],0)</f>
        <v>0.55000000000000004</v>
      </c>
      <c r="L159" s="30" cm="1">
        <f t="array" ref="L159">Common_InputFunctions.Utility_DisplayArrayInTable(SourceData_PastureBeef.SourceData_PastureBeef_LiveweightGain_Data(), Table_SourceData_PastureBeef_LiveweightGain[[#Headers],[State]],0)</f>
        <v>0.88</v>
      </c>
      <c r="M159" s="30" cm="1">
        <f t="array" ref="M159">Common_InputFunctions.Utility_DisplayArrayInTable(SourceData_PastureBeef.SourceData_PastureBeef_LiveweightGain_Data(), Table_SourceData_PastureBeef_LiveweightGain[[#Headers],[State]],0)</f>
        <v>0.22</v>
      </c>
    </row>
    <row r="160" spans="4:16" ht="20.100000000000001" customHeight="1" x14ac:dyDescent="0.25">
      <c r="D160" s="1" t="str" cm="1">
        <f t="array" ref="D160">Common_InputFunctions.Utility_DisplayArrayInTable(SourceData_PastureBeef.SourceData_PastureBeef_LiveweightGain_Data(), Table_SourceData_PastureBeef_LiveweightGain[[#Headers],[State]],0)</f>
        <v>South Australia</v>
      </c>
      <c r="E160" s="30" t="str" cm="1">
        <f t="array" ref="E160">Common_InputFunctions.Utility_DisplayArrayInTable(SourceData_PastureBeef.SourceData_PastureBeef_LiveweightGain_Data(), Table_SourceData_PastureBeef_LiveweightGain[[#Headers],[State]],0)</f>
        <v>n/a</v>
      </c>
      <c r="F160" s="30" t="str" cm="1">
        <f t="array" ref="F160">Common_InputFunctions.Utility_DisplayArrayInTable(SourceData_PastureBeef.SourceData_PastureBeef_LiveweightGain_Data(), Table_SourceData_PastureBeef_LiveweightGain[[#Headers],[State]],0)</f>
        <v>Summer</v>
      </c>
      <c r="G160" s="30" cm="1">
        <f t="array" ref="G160">Common_InputFunctions.Utility_DisplayArrayInTable(SourceData_PastureBeef.SourceData_PastureBeef_LiveweightGain_Data(), Table_SourceData_PastureBeef_LiveweightGain[[#Headers],[State]],0)</f>
        <v>0.77</v>
      </c>
      <c r="H160" s="30" cm="1">
        <f t="array" ref="H160">Common_InputFunctions.Utility_DisplayArrayInTable(SourceData_PastureBeef.SourceData_PastureBeef_LiveweightGain_Data(), Table_SourceData_PastureBeef_LiveweightGain[[#Headers],[State]],0)</f>
        <v>0</v>
      </c>
      <c r="I160" s="30" cm="1">
        <f t="array" ref="I160">Common_InputFunctions.Utility_DisplayArrayInTable(SourceData_PastureBeef.SourceData_PastureBeef_LiveweightGain_Data(), Table_SourceData_PastureBeef_LiveweightGain[[#Headers],[State]],0)</f>
        <v>0.66</v>
      </c>
      <c r="J160" s="30" cm="1">
        <f t="array" ref="J160">Common_InputFunctions.Utility_DisplayArrayInTable(SourceData_PastureBeef.SourceData_PastureBeef_LiveweightGain_Data(), Table_SourceData_PastureBeef_LiveweightGain[[#Headers],[State]],0)</f>
        <v>0.22</v>
      </c>
      <c r="K160" s="30" cm="1">
        <f t="array" ref="K160">Common_InputFunctions.Utility_DisplayArrayInTable(SourceData_PastureBeef.SourceData_PastureBeef_LiveweightGain_Data(), Table_SourceData_PastureBeef_LiveweightGain[[#Headers],[State]],0)</f>
        <v>0</v>
      </c>
      <c r="L160" s="30" cm="1">
        <f t="array" ref="L160">Common_InputFunctions.Utility_DisplayArrayInTable(SourceData_PastureBeef.SourceData_PastureBeef_LiveweightGain_Data(), Table_SourceData_PastureBeef_LiveweightGain[[#Headers],[State]],0)</f>
        <v>0.66</v>
      </c>
      <c r="M160" s="30" cm="1">
        <f t="array" ref="M160">Common_InputFunctions.Utility_DisplayArrayInTable(SourceData_PastureBeef.SourceData_PastureBeef_LiveweightGain_Data(), Table_SourceData_PastureBeef_LiveweightGain[[#Headers],[State]],0)</f>
        <v>0</v>
      </c>
    </row>
    <row r="161" spans="4:13" ht="20.100000000000001" customHeight="1" x14ac:dyDescent="0.25">
      <c r="D161" s="1" t="str" cm="1">
        <f t="array" ref="D161">Common_InputFunctions.Utility_DisplayArrayInTable(SourceData_PastureBeef.SourceData_PastureBeef_LiveweightGain_Data(), Table_SourceData_PastureBeef_LiveweightGain[[#Headers],[State]],0)</f>
        <v>South Australia</v>
      </c>
      <c r="E161" s="30" t="str" cm="1">
        <f t="array" ref="E161">Common_InputFunctions.Utility_DisplayArrayInTable(SourceData_PastureBeef.SourceData_PastureBeef_LiveweightGain_Data(), Table_SourceData_PastureBeef_LiveweightGain[[#Headers],[State]],0)</f>
        <v>n/a</v>
      </c>
      <c r="F161" s="30" t="str" cm="1">
        <f t="array" ref="F161">Common_InputFunctions.Utility_DisplayArrayInTable(SourceData_PastureBeef.SourceData_PastureBeef_LiveweightGain_Data(), Table_SourceData_PastureBeef_LiveweightGain[[#Headers],[State]],0)</f>
        <v>Autumn</v>
      </c>
      <c r="G161" s="30" cm="1">
        <f t="array" ref="G161">Common_InputFunctions.Utility_DisplayArrayInTable(SourceData_PastureBeef.SourceData_PastureBeef_LiveweightGain_Data(), Table_SourceData_PastureBeef_LiveweightGain[[#Headers],[State]],0)</f>
        <v>0.9</v>
      </c>
      <c r="H161" s="30" cm="1">
        <f t="array" ref="H161">Common_InputFunctions.Utility_DisplayArrayInTable(SourceData_PastureBeef.SourceData_PastureBeef_LiveweightGain_Data(), Table_SourceData_PastureBeef_LiveweightGain[[#Headers],[State]],0)</f>
        <v>-1.1000000000000001</v>
      </c>
      <c r="I161" s="30" cm="1">
        <f t="array" ref="I161">Common_InputFunctions.Utility_DisplayArrayInTable(SourceData_PastureBeef.SourceData_PastureBeef_LiveweightGain_Data(), Table_SourceData_PastureBeef_LiveweightGain[[#Headers],[State]],0)</f>
        <v>0.7</v>
      </c>
      <c r="J161" s="30" cm="1">
        <f t="array" ref="J161">Common_InputFunctions.Utility_DisplayArrayInTable(SourceData_PastureBeef.SourceData_PastureBeef_LiveweightGain_Data(), Table_SourceData_PastureBeef_LiveweightGain[[#Headers],[State]],0)</f>
        <v>0.22</v>
      </c>
      <c r="K161" s="30" cm="1">
        <f t="array" ref="K161">Common_InputFunctions.Utility_DisplayArrayInTable(SourceData_PastureBeef.SourceData_PastureBeef_LiveweightGain_Data(), Table_SourceData_PastureBeef_LiveweightGain[[#Headers],[State]],0)</f>
        <v>-0.55000000000000004</v>
      </c>
      <c r="L161" s="30" cm="1">
        <f t="array" ref="L161">Common_InputFunctions.Utility_DisplayArrayInTable(SourceData_PastureBeef.SourceData_PastureBeef_LiveweightGain_Data(), Table_SourceData_PastureBeef_LiveweightGain[[#Headers],[State]],0)</f>
        <v>0.8</v>
      </c>
      <c r="M161" s="30" cm="1">
        <f t="array" ref="M161">Common_InputFunctions.Utility_DisplayArrayInTable(SourceData_PastureBeef.SourceData_PastureBeef_LiveweightGain_Data(), Table_SourceData_PastureBeef_LiveweightGain[[#Headers],[State]],0)</f>
        <v>-0.22</v>
      </c>
    </row>
    <row r="162" spans="4:13" ht="20.100000000000001" customHeight="1" x14ac:dyDescent="0.25">
      <c r="D162" s="1" t="str" cm="1">
        <f t="array" ref="D162">Common_InputFunctions.Utility_DisplayArrayInTable(SourceData_PastureBeef.SourceData_PastureBeef_LiveweightGain_Data(), Table_SourceData_PastureBeef_LiveweightGain[[#Headers],[State]],0)</f>
        <v>South Australia</v>
      </c>
      <c r="E162" s="30" t="str" cm="1">
        <f t="array" ref="E162">Common_InputFunctions.Utility_DisplayArrayInTable(SourceData_PastureBeef.SourceData_PastureBeef_LiveweightGain_Data(), Table_SourceData_PastureBeef_LiveweightGain[[#Headers],[State]],0)</f>
        <v>n/a</v>
      </c>
      <c r="F162" s="30" t="str" cm="1">
        <f t="array" ref="F162">Common_InputFunctions.Utility_DisplayArrayInTable(SourceData_PastureBeef.SourceData_PastureBeef_LiveweightGain_Data(), Table_SourceData_PastureBeef_LiveweightGain[[#Headers],[State]],0)</f>
        <v>Winter</v>
      </c>
      <c r="G162" s="30" cm="1">
        <f t="array" ref="G162">Common_InputFunctions.Utility_DisplayArrayInTable(SourceData_PastureBeef.SourceData_PastureBeef_LiveweightGain_Data(), Table_SourceData_PastureBeef_LiveweightGain[[#Headers],[State]],0)</f>
        <v>0.88</v>
      </c>
      <c r="H162" s="30" cm="1">
        <f t="array" ref="H162">Common_InputFunctions.Utility_DisplayArrayInTable(SourceData_PastureBeef.SourceData_PastureBeef_LiveweightGain_Data(), Table_SourceData_PastureBeef_LiveweightGain[[#Headers],[State]],0)</f>
        <v>0</v>
      </c>
      <c r="I162" s="30" cm="1">
        <f t="array" ref="I162">Common_InputFunctions.Utility_DisplayArrayInTable(SourceData_PastureBeef.SourceData_PastureBeef_LiveweightGain_Data(), Table_SourceData_PastureBeef_LiveweightGain[[#Headers],[State]],0)</f>
        <v>0.77</v>
      </c>
      <c r="J162" s="30" cm="1">
        <f t="array" ref="J162">Common_InputFunctions.Utility_DisplayArrayInTable(SourceData_PastureBeef.SourceData_PastureBeef_LiveweightGain_Data(), Table_SourceData_PastureBeef_LiveweightGain[[#Headers],[State]],0)</f>
        <v>0.55000000000000004</v>
      </c>
      <c r="K162" s="30" cm="1">
        <f t="array" ref="K162">Common_InputFunctions.Utility_DisplayArrayInTable(SourceData_PastureBeef.SourceData_PastureBeef_LiveweightGain_Data(), Table_SourceData_PastureBeef_LiveweightGain[[#Headers],[State]],0)</f>
        <v>0</v>
      </c>
      <c r="L162" s="30" cm="1">
        <f t="array" ref="L162">Common_InputFunctions.Utility_DisplayArrayInTable(SourceData_PastureBeef.SourceData_PastureBeef_LiveweightGain_Data(), Table_SourceData_PastureBeef_LiveweightGain[[#Headers],[State]],0)</f>
        <v>0.82</v>
      </c>
      <c r="M162" s="30" cm="1">
        <f t="array" ref="M162">Common_InputFunctions.Utility_DisplayArrayInTable(SourceData_PastureBeef.SourceData_PastureBeef_LiveweightGain_Data(), Table_SourceData_PastureBeef_LiveweightGain[[#Headers],[State]],0)</f>
        <v>0</v>
      </c>
    </row>
    <row r="163" spans="4:13" ht="20.100000000000001" customHeight="1" x14ac:dyDescent="0.25">
      <c r="D163" s="1" t="str" cm="1">
        <f t="array" ref="D163">Common_InputFunctions.Utility_DisplayArrayInTable(SourceData_PastureBeef.SourceData_PastureBeef_LiveweightGain_Data(), Table_SourceData_PastureBeef_LiveweightGain[[#Headers],[State]],0)</f>
        <v>Tasmania</v>
      </c>
      <c r="E163" s="30" t="str" cm="1">
        <f t="array" ref="E163">Common_InputFunctions.Utility_DisplayArrayInTable(SourceData_PastureBeef.SourceData_PastureBeef_LiveweightGain_Data(), Table_SourceData_PastureBeef_LiveweightGain[[#Headers],[State]],0)</f>
        <v>n/a</v>
      </c>
      <c r="F163" s="30" t="str" cm="1">
        <f t="array" ref="F163">Common_InputFunctions.Utility_DisplayArrayInTable(SourceData_PastureBeef.SourceData_PastureBeef_LiveweightGain_Data(), Table_SourceData_PastureBeef_LiveweightGain[[#Headers],[State]],0)</f>
        <v>Spring</v>
      </c>
      <c r="G163" s="30" cm="1">
        <f t="array" ref="G163">Common_InputFunctions.Utility_DisplayArrayInTable(SourceData_PastureBeef.SourceData_PastureBeef_LiveweightGain_Data(), Table_SourceData_PastureBeef_LiveweightGain[[#Headers],[State]],0)</f>
        <v>1</v>
      </c>
      <c r="H163" s="30" cm="1">
        <f t="array" ref="H163">Common_InputFunctions.Utility_DisplayArrayInTable(SourceData_PastureBeef.SourceData_PastureBeef_LiveweightGain_Data(), Table_SourceData_PastureBeef_LiveweightGain[[#Headers],[State]],0)</f>
        <v>0.5</v>
      </c>
      <c r="I163" s="30" cm="1">
        <f t="array" ref="I163">Common_InputFunctions.Utility_DisplayArrayInTable(SourceData_PastureBeef.SourceData_PastureBeef_LiveweightGain_Data(), Table_SourceData_PastureBeef_LiveweightGain[[#Headers],[State]],0)</f>
        <v>1</v>
      </c>
      <c r="J163" s="30" cm="1">
        <f t="array" ref="J163">Common_InputFunctions.Utility_DisplayArrayInTable(SourceData_PastureBeef.SourceData_PastureBeef_LiveweightGain_Data(), Table_SourceData_PastureBeef_LiveweightGain[[#Headers],[State]],0)</f>
        <v>1</v>
      </c>
      <c r="K163" s="30" cm="1">
        <f t="array" ref="K163">Common_InputFunctions.Utility_DisplayArrayInTable(SourceData_PastureBeef.SourceData_PastureBeef_LiveweightGain_Data(), Table_SourceData_PastureBeef_LiveweightGain[[#Headers],[State]],0)</f>
        <v>-0.44</v>
      </c>
      <c r="L163" s="30" cm="1">
        <f t="array" ref="L163">Common_InputFunctions.Utility_DisplayArrayInTable(SourceData_PastureBeef.SourceData_PastureBeef_LiveweightGain_Data(), Table_SourceData_PastureBeef_LiveweightGain[[#Headers],[State]],0)</f>
        <v>1</v>
      </c>
      <c r="M163" s="30" cm="1">
        <f t="array" ref="M163">Common_InputFunctions.Utility_DisplayArrayInTable(SourceData_PastureBeef.SourceData_PastureBeef_LiveweightGain_Data(), Table_SourceData_PastureBeef_LiveweightGain[[#Headers],[State]],0)</f>
        <v>0.5</v>
      </c>
    </row>
    <row r="164" spans="4:13" ht="20.100000000000001" customHeight="1" x14ac:dyDescent="0.25">
      <c r="D164" s="1" t="str" cm="1">
        <f t="array" ref="D164">Common_InputFunctions.Utility_DisplayArrayInTable(SourceData_PastureBeef.SourceData_PastureBeef_LiveweightGain_Data(), Table_SourceData_PastureBeef_LiveweightGain[[#Headers],[State]],0)</f>
        <v>Tasmania</v>
      </c>
      <c r="E164" s="30" t="str" cm="1">
        <f t="array" ref="E164">Common_InputFunctions.Utility_DisplayArrayInTable(SourceData_PastureBeef.SourceData_PastureBeef_LiveweightGain_Data(), Table_SourceData_PastureBeef_LiveweightGain[[#Headers],[State]],0)</f>
        <v>n/a</v>
      </c>
      <c r="F164" s="30" t="str" cm="1">
        <f t="array" ref="F164">Common_InputFunctions.Utility_DisplayArrayInTable(SourceData_PastureBeef.SourceData_PastureBeef_LiveweightGain_Data(), Table_SourceData_PastureBeef_LiveweightGain[[#Headers],[State]],0)</f>
        <v>Summer</v>
      </c>
      <c r="G164" s="30" cm="1">
        <f t="array" ref="G164">Common_InputFunctions.Utility_DisplayArrayInTable(SourceData_PastureBeef.SourceData_PastureBeef_LiveweightGain_Data(), Table_SourceData_PastureBeef_LiveweightGain[[#Headers],[State]],0)</f>
        <v>0.82</v>
      </c>
      <c r="H164" s="30" cm="1">
        <f t="array" ref="H164">Common_InputFunctions.Utility_DisplayArrayInTable(SourceData_PastureBeef.SourceData_PastureBeef_LiveweightGain_Data(), Table_SourceData_PastureBeef_LiveweightGain[[#Headers],[State]],0)</f>
        <v>0.55000000000000004</v>
      </c>
      <c r="I164" s="30" cm="1">
        <f t="array" ref="I164">Common_InputFunctions.Utility_DisplayArrayInTable(SourceData_PastureBeef.SourceData_PastureBeef_LiveweightGain_Data(), Table_SourceData_PastureBeef_LiveweightGain[[#Headers],[State]],0)</f>
        <v>0.71</v>
      </c>
      <c r="J164" s="30" cm="1">
        <f t="array" ref="J164">Common_InputFunctions.Utility_DisplayArrayInTable(SourceData_PastureBeef.SourceData_PastureBeef_LiveweightGain_Data(), Table_SourceData_PastureBeef_LiveweightGain[[#Headers],[State]],0)</f>
        <v>0.55000000000000004</v>
      </c>
      <c r="K164" s="30" cm="1">
        <f t="array" ref="K164">Common_InputFunctions.Utility_DisplayArrayInTable(SourceData_PastureBeef.SourceData_PastureBeef_LiveweightGain_Data(), Table_SourceData_PastureBeef_LiveweightGain[[#Headers],[State]],0)</f>
        <v>0.99</v>
      </c>
      <c r="L164" s="30" cm="1">
        <f t="array" ref="L164">Common_InputFunctions.Utility_DisplayArrayInTable(SourceData_PastureBeef.SourceData_PastureBeef_LiveweightGain_Data(), Table_SourceData_PastureBeef_LiveweightGain[[#Headers],[State]],0)</f>
        <v>0.77</v>
      </c>
      <c r="M164" s="30" cm="1">
        <f t="array" ref="M164">Common_InputFunctions.Utility_DisplayArrayInTable(SourceData_PastureBeef.SourceData_PastureBeef_LiveweightGain_Data(), Table_SourceData_PastureBeef_LiveweightGain[[#Headers],[State]],0)</f>
        <v>0.5</v>
      </c>
    </row>
    <row r="165" spans="4:13" ht="20.100000000000001" customHeight="1" x14ac:dyDescent="0.25">
      <c r="D165" s="1" t="str" cm="1">
        <f t="array" ref="D165">Common_InputFunctions.Utility_DisplayArrayInTable(SourceData_PastureBeef.SourceData_PastureBeef_LiveweightGain_Data(), Table_SourceData_PastureBeef_LiveweightGain[[#Headers],[State]],0)</f>
        <v>Tasmania</v>
      </c>
      <c r="E165" s="30" t="str" cm="1">
        <f t="array" ref="E165">Common_InputFunctions.Utility_DisplayArrayInTable(SourceData_PastureBeef.SourceData_PastureBeef_LiveweightGain_Data(), Table_SourceData_PastureBeef_LiveweightGain[[#Headers],[State]],0)</f>
        <v>n/a</v>
      </c>
      <c r="F165" s="30" t="str" cm="1">
        <f t="array" ref="F165">Common_InputFunctions.Utility_DisplayArrayInTable(SourceData_PastureBeef.SourceData_PastureBeef_LiveweightGain_Data(), Table_SourceData_PastureBeef_LiveweightGain[[#Headers],[State]],0)</f>
        <v>Autumn</v>
      </c>
      <c r="G165" s="30" cm="1">
        <f t="array" ref="G165">Common_InputFunctions.Utility_DisplayArrayInTable(SourceData_PastureBeef.SourceData_PastureBeef_LiveweightGain_Data(), Table_SourceData_PastureBeef_LiveweightGain[[#Headers],[State]],0)</f>
        <v>0.77</v>
      </c>
      <c r="H165" s="30" cm="1">
        <f t="array" ref="H165">Common_InputFunctions.Utility_DisplayArrayInTable(SourceData_PastureBeef.SourceData_PastureBeef_LiveweightGain_Data(), Table_SourceData_PastureBeef_LiveweightGain[[#Headers],[State]],0)</f>
        <v>0.5</v>
      </c>
      <c r="I165" s="30" cm="1">
        <f t="array" ref="I165">Common_InputFunctions.Utility_DisplayArrayInTable(SourceData_PastureBeef.SourceData_PastureBeef_LiveweightGain_Data(), Table_SourceData_PastureBeef_LiveweightGain[[#Headers],[State]],0)</f>
        <v>0.55000000000000004</v>
      </c>
      <c r="J165" s="30" cm="1">
        <f t="array" ref="J165">Common_InputFunctions.Utility_DisplayArrayInTable(SourceData_PastureBeef.SourceData_PastureBeef_LiveweightGain_Data(), Table_SourceData_PastureBeef_LiveweightGain[[#Headers],[State]],0)</f>
        <v>0.11</v>
      </c>
      <c r="K165" s="30" cm="1">
        <f t="array" ref="K165">Common_InputFunctions.Utility_DisplayArrayInTable(SourceData_PastureBeef.SourceData_PastureBeef_LiveweightGain_Data(), Table_SourceData_PastureBeef_LiveweightGain[[#Headers],[State]],0)</f>
        <v>-0.33</v>
      </c>
      <c r="L165" s="30" cm="1">
        <f t="array" ref="L165">Common_InputFunctions.Utility_DisplayArrayInTable(SourceData_PastureBeef.SourceData_PastureBeef_LiveweightGain_Data(), Table_SourceData_PastureBeef_LiveweightGain[[#Headers],[State]],0)</f>
        <v>0.6</v>
      </c>
      <c r="M165" s="30" cm="1">
        <f t="array" ref="M165">Common_InputFunctions.Utility_DisplayArrayInTable(SourceData_PastureBeef.SourceData_PastureBeef_LiveweightGain_Data(), Table_SourceData_PastureBeef_LiveweightGain[[#Headers],[State]],0)</f>
        <v>0.33</v>
      </c>
    </row>
    <row r="166" spans="4:13" x14ac:dyDescent="0.25">
      <c r="D166" s="1" t="str" cm="1">
        <f t="array" ref="D166">Common_InputFunctions.Utility_DisplayArrayInTable(SourceData_PastureBeef.SourceData_PastureBeef_LiveweightGain_Data(), Table_SourceData_PastureBeef_LiveweightGain[[#Headers],[State]],0)</f>
        <v>Tasmania</v>
      </c>
      <c r="E166" s="30" t="str" cm="1">
        <f t="array" ref="E166">Common_InputFunctions.Utility_DisplayArrayInTable(SourceData_PastureBeef.SourceData_PastureBeef_LiveweightGain_Data(), Table_SourceData_PastureBeef_LiveweightGain[[#Headers],[State]],0)</f>
        <v>n/a</v>
      </c>
      <c r="F166" s="30" t="str" cm="1">
        <f t="array" ref="F166">Common_InputFunctions.Utility_DisplayArrayInTable(SourceData_PastureBeef.SourceData_PastureBeef_LiveweightGain_Data(), Table_SourceData_PastureBeef_LiveweightGain[[#Headers],[State]],0)</f>
        <v>Winter</v>
      </c>
      <c r="G166" s="30" cm="1">
        <f t="array" ref="G166">Common_InputFunctions.Utility_DisplayArrayInTable(SourceData_PastureBeef.SourceData_PastureBeef_LiveweightGain_Data(), Table_SourceData_PastureBeef_LiveweightGain[[#Headers],[State]],0)</f>
        <v>0.11</v>
      </c>
      <c r="H166" s="30" cm="1">
        <f t="array" ref="H166">Common_InputFunctions.Utility_DisplayArrayInTable(SourceData_PastureBeef.SourceData_PastureBeef_LiveweightGain_Data(), Table_SourceData_PastureBeef_LiveweightGain[[#Headers],[State]],0)</f>
        <v>-0.27</v>
      </c>
      <c r="I166" s="30" cm="1">
        <f t="array" ref="I166">Common_InputFunctions.Utility_DisplayArrayInTable(SourceData_PastureBeef.SourceData_PastureBeef_LiveweightGain_Data(), Table_SourceData_PastureBeef_LiveweightGain[[#Headers],[State]],0)</f>
        <v>0.11</v>
      </c>
      <c r="J166" s="30" cm="1">
        <f t="array" ref="J166">Common_InputFunctions.Utility_DisplayArrayInTable(SourceData_PastureBeef.SourceData_PastureBeef_LiveweightGain_Data(), Table_SourceData_PastureBeef_LiveweightGain[[#Headers],[State]],0)</f>
        <v>0.22</v>
      </c>
      <c r="K166" s="30" cm="1">
        <f t="array" ref="K166">Common_InputFunctions.Utility_DisplayArrayInTable(SourceData_PastureBeef.SourceData_PastureBeef_LiveweightGain_Data(), Table_SourceData_PastureBeef_LiveweightGain[[#Headers],[State]],0)</f>
        <v>-0.44</v>
      </c>
      <c r="L166" s="30" cm="1">
        <f t="array" ref="L166">Common_InputFunctions.Utility_DisplayArrayInTable(SourceData_PastureBeef.SourceData_PastureBeef_LiveweightGain_Data(), Table_SourceData_PastureBeef_LiveweightGain[[#Headers],[State]],0)</f>
        <v>0.16</v>
      </c>
      <c r="M166" s="30" cm="1">
        <f t="array" ref="M166">Common_InputFunctions.Utility_DisplayArrayInTable(SourceData_PastureBeef.SourceData_PastureBeef_LiveweightGain_Data(), Table_SourceData_PastureBeef_LiveweightGain[[#Headers],[State]],0)</f>
        <v>-0.22</v>
      </c>
    </row>
    <row r="167" spans="4:13" x14ac:dyDescent="0.25">
      <c r="D167" s="1" t="str" cm="1">
        <f t="array" ref="D167">Common_InputFunctions.Utility_DisplayArrayInTable(SourceData_PastureBeef.SourceData_PastureBeef_LiveweightGain_Data(), Table_SourceData_PastureBeef_LiveweightGain[[#Headers],[State]],0)</f>
        <v>Victoria</v>
      </c>
      <c r="E167" s="30" t="str" cm="1">
        <f t="array" ref="E167">Common_InputFunctions.Utility_DisplayArrayInTable(SourceData_PastureBeef.SourceData_PastureBeef_LiveweightGain_Data(), Table_SourceData_PastureBeef_LiveweightGain[[#Headers],[State]],0)</f>
        <v>n/a</v>
      </c>
      <c r="F167" s="30" t="str" cm="1">
        <f t="array" ref="F167">Common_InputFunctions.Utility_DisplayArrayInTable(SourceData_PastureBeef.SourceData_PastureBeef_LiveweightGain_Data(), Table_SourceData_PastureBeef_LiveweightGain[[#Headers],[State]],0)</f>
        <v>Spring</v>
      </c>
      <c r="G167" s="30" cm="1">
        <f t="array" ref="G167">Common_InputFunctions.Utility_DisplayArrayInTable(SourceData_PastureBeef.SourceData_PastureBeef_LiveweightGain_Data(), Table_SourceData_PastureBeef_LiveweightGain[[#Headers],[State]],0)</f>
        <v>1.1000000000000001</v>
      </c>
      <c r="H167" s="30" cm="1">
        <f t="array" ref="H167">Common_InputFunctions.Utility_DisplayArrayInTable(SourceData_PastureBeef.SourceData_PastureBeef_LiveweightGain_Data(), Table_SourceData_PastureBeef_LiveweightGain[[#Headers],[State]],0)</f>
        <v>1.1000000000000001</v>
      </c>
      <c r="I167" s="30" cm="1">
        <f t="array" ref="I167">Common_InputFunctions.Utility_DisplayArrayInTable(SourceData_PastureBeef.SourceData_PastureBeef_LiveweightGain_Data(), Table_SourceData_PastureBeef_LiveweightGain[[#Headers],[State]],0)</f>
        <v>1.1000000000000001</v>
      </c>
      <c r="J167" s="30" cm="1">
        <f t="array" ref="J167">Common_InputFunctions.Utility_DisplayArrayInTable(SourceData_PastureBeef.SourceData_PastureBeef_LiveweightGain_Data(), Table_SourceData_PastureBeef_LiveweightGain[[#Headers],[State]],0)</f>
        <v>0.99</v>
      </c>
      <c r="K167" s="30" cm="1">
        <f t="array" ref="K167">Common_InputFunctions.Utility_DisplayArrayInTable(SourceData_PastureBeef.SourceData_PastureBeef_LiveweightGain_Data(), Table_SourceData_PastureBeef_LiveweightGain[[#Headers],[State]],0)</f>
        <v>0.99</v>
      </c>
      <c r="L167" s="30" cm="1">
        <f t="array" ref="L167">Common_InputFunctions.Utility_DisplayArrayInTable(SourceData_PastureBeef.SourceData_PastureBeef_LiveweightGain_Data(), Table_SourceData_PastureBeef_LiveweightGain[[#Headers],[State]],0)</f>
        <v>1.1000000000000001</v>
      </c>
      <c r="M167" s="30" cm="1">
        <f t="array" ref="M167">Common_InputFunctions.Utility_DisplayArrayInTable(SourceData_PastureBeef.SourceData_PastureBeef_LiveweightGain_Data(), Table_SourceData_PastureBeef_LiveweightGain[[#Headers],[State]],0)</f>
        <v>0.77</v>
      </c>
    </row>
    <row r="168" spans="4:13" x14ac:dyDescent="0.25">
      <c r="D168" s="1" t="str" cm="1">
        <f t="array" ref="D168">Common_InputFunctions.Utility_DisplayArrayInTable(SourceData_PastureBeef.SourceData_PastureBeef_LiveweightGain_Data(), Table_SourceData_PastureBeef_LiveweightGain[[#Headers],[State]],0)</f>
        <v>Victoria</v>
      </c>
      <c r="E168" s="30" t="str" cm="1">
        <f t="array" ref="E168">Common_InputFunctions.Utility_DisplayArrayInTable(SourceData_PastureBeef.SourceData_PastureBeef_LiveweightGain_Data(), Table_SourceData_PastureBeef_LiveweightGain[[#Headers],[State]],0)</f>
        <v>n/a</v>
      </c>
      <c r="F168" s="30" t="str" cm="1">
        <f t="array" ref="F168">Common_InputFunctions.Utility_DisplayArrayInTable(SourceData_PastureBeef.SourceData_PastureBeef_LiveweightGain_Data(), Table_SourceData_PastureBeef_LiveweightGain[[#Headers],[State]],0)</f>
        <v>Summer</v>
      </c>
      <c r="G168" s="30" cm="1">
        <f t="array" ref="G168">Common_InputFunctions.Utility_DisplayArrayInTable(SourceData_PastureBeef.SourceData_PastureBeef_LiveweightGain_Data(), Table_SourceData_PastureBeef_LiveweightGain[[#Headers],[State]],0)</f>
        <v>0.33</v>
      </c>
      <c r="H168" s="30" cm="1">
        <f t="array" ref="H168">Common_InputFunctions.Utility_DisplayArrayInTable(SourceData_PastureBeef.SourceData_PastureBeef_LiveweightGain_Data(), Table_SourceData_PastureBeef_LiveweightGain[[#Headers],[State]],0)</f>
        <v>0.33</v>
      </c>
      <c r="I168" s="30" cm="1">
        <f t="array" ref="I168">Common_InputFunctions.Utility_DisplayArrayInTable(SourceData_PastureBeef.SourceData_PastureBeef_LiveweightGain_Data(), Table_SourceData_PastureBeef_LiveweightGain[[#Headers],[State]],0)</f>
        <v>0.22</v>
      </c>
      <c r="J168" s="30" cm="1">
        <f t="array" ref="J168">Common_InputFunctions.Utility_DisplayArrayInTable(SourceData_PastureBeef.SourceData_PastureBeef_LiveweightGain_Data(), Table_SourceData_PastureBeef_LiveweightGain[[#Headers],[State]],0)</f>
        <v>0.33</v>
      </c>
      <c r="K168" s="30" cm="1">
        <f t="array" ref="K168">Common_InputFunctions.Utility_DisplayArrayInTable(SourceData_PastureBeef.SourceData_PastureBeef_LiveweightGain_Data(), Table_SourceData_PastureBeef_LiveweightGain[[#Headers],[State]],0)</f>
        <v>-0.1</v>
      </c>
      <c r="L168" s="30" cm="1">
        <f t="array" ref="L168">Common_InputFunctions.Utility_DisplayArrayInTable(SourceData_PastureBeef.SourceData_PastureBeef_LiveweightGain_Data(), Table_SourceData_PastureBeef_LiveweightGain[[#Headers],[State]],0)</f>
        <v>0.33</v>
      </c>
      <c r="M168" s="30" cm="1">
        <f t="array" ref="M168">Common_InputFunctions.Utility_DisplayArrayInTable(SourceData_PastureBeef.SourceData_PastureBeef_LiveweightGain_Data(), Table_SourceData_PastureBeef_LiveweightGain[[#Headers],[State]],0)</f>
        <v>0.11</v>
      </c>
    </row>
    <row r="169" spans="4:13" x14ac:dyDescent="0.25">
      <c r="D169" s="1" t="str" cm="1">
        <f t="array" ref="D169">Common_InputFunctions.Utility_DisplayArrayInTable(SourceData_PastureBeef.SourceData_PastureBeef_LiveweightGain_Data(), Table_SourceData_PastureBeef_LiveweightGain[[#Headers],[State]],0)</f>
        <v>Victoria</v>
      </c>
      <c r="E169" s="30" t="str" cm="1">
        <f t="array" ref="E169">Common_InputFunctions.Utility_DisplayArrayInTable(SourceData_PastureBeef.SourceData_PastureBeef_LiveweightGain_Data(), Table_SourceData_PastureBeef_LiveweightGain[[#Headers],[State]],0)</f>
        <v>n/a</v>
      </c>
      <c r="F169" s="30" t="str" cm="1">
        <f t="array" ref="F169">Common_InputFunctions.Utility_DisplayArrayInTable(SourceData_PastureBeef.SourceData_PastureBeef_LiveweightGain_Data(), Table_SourceData_PastureBeef_LiveweightGain[[#Headers],[State]],0)</f>
        <v>Autumn</v>
      </c>
      <c r="G169" s="30" cm="1">
        <f t="array" ref="G169">Common_InputFunctions.Utility_DisplayArrayInTable(SourceData_PastureBeef.SourceData_PastureBeef_LiveweightGain_Data(), Table_SourceData_PastureBeef_LiveweightGain[[#Headers],[State]],0)</f>
        <v>0.5</v>
      </c>
      <c r="H169" s="30" cm="1">
        <f t="array" ref="H169">Common_InputFunctions.Utility_DisplayArrayInTable(SourceData_PastureBeef.SourceData_PastureBeef_LiveweightGain_Data(), Table_SourceData_PastureBeef_LiveweightGain[[#Headers],[State]],0)</f>
        <v>0.2</v>
      </c>
      <c r="I169" s="30" cm="1">
        <f t="array" ref="I169">Common_InputFunctions.Utility_DisplayArrayInTable(SourceData_PastureBeef.SourceData_PastureBeef_LiveweightGain_Data(), Table_SourceData_PastureBeef_LiveweightGain[[#Headers],[State]],0)</f>
        <v>0.55000000000000004</v>
      </c>
      <c r="J169" s="30" cm="1">
        <f t="array" ref="J169">Common_InputFunctions.Utility_DisplayArrayInTable(SourceData_PastureBeef.SourceData_PastureBeef_LiveweightGain_Data(), Table_SourceData_PastureBeef_LiveweightGain[[#Headers],[State]],0)</f>
        <v>0.44</v>
      </c>
      <c r="K169" s="30" cm="1">
        <f t="array" ref="K169">Common_InputFunctions.Utility_DisplayArrayInTable(SourceData_PastureBeef.SourceData_PastureBeef_LiveweightGain_Data(), Table_SourceData_PastureBeef_LiveweightGain[[#Headers],[State]],0)</f>
        <v>0.2</v>
      </c>
      <c r="L169" s="30" cm="1">
        <f t="array" ref="L169">Common_InputFunctions.Utility_DisplayArrayInTable(SourceData_PastureBeef.SourceData_PastureBeef_LiveweightGain_Data(), Table_SourceData_PastureBeef_LiveweightGain[[#Headers],[State]],0)</f>
        <v>0.55000000000000004</v>
      </c>
      <c r="M169" s="30" cm="1">
        <f t="array" ref="M169">Common_InputFunctions.Utility_DisplayArrayInTable(SourceData_PastureBeef.SourceData_PastureBeef_LiveweightGain_Data(), Table_SourceData_PastureBeef_LiveweightGain[[#Headers],[State]],0)</f>
        <v>0.2</v>
      </c>
    </row>
    <row r="170" spans="4:13" x14ac:dyDescent="0.25">
      <c r="D170" s="1" t="str" cm="1">
        <f t="array" ref="D170">Common_InputFunctions.Utility_DisplayArrayInTable(SourceData_PastureBeef.SourceData_PastureBeef_LiveweightGain_Data(), Table_SourceData_PastureBeef_LiveweightGain[[#Headers],[State]],0)</f>
        <v>Victoria</v>
      </c>
      <c r="E170" s="30" t="str" cm="1">
        <f t="array" ref="E170">Common_InputFunctions.Utility_DisplayArrayInTable(SourceData_PastureBeef.SourceData_PastureBeef_LiveweightGain_Data(), Table_SourceData_PastureBeef_LiveweightGain[[#Headers],[State]],0)</f>
        <v>n/a</v>
      </c>
      <c r="F170" s="30" t="str" cm="1">
        <f t="array" ref="F170">Common_InputFunctions.Utility_DisplayArrayInTable(SourceData_PastureBeef.SourceData_PastureBeef_LiveweightGain_Data(), Table_SourceData_PastureBeef_LiveweightGain[[#Headers],[State]],0)</f>
        <v>Winter</v>
      </c>
      <c r="G170" s="30" cm="1">
        <f t="array" ref="G170">Common_InputFunctions.Utility_DisplayArrayInTable(SourceData_PastureBeef.SourceData_PastureBeef_LiveweightGain_Data(), Table_SourceData_PastureBeef_LiveweightGain[[#Headers],[State]],0)</f>
        <v>0.55000000000000004</v>
      </c>
      <c r="H170" s="30" cm="1">
        <f t="array" ref="H170">Common_InputFunctions.Utility_DisplayArrayInTable(SourceData_PastureBeef.SourceData_PastureBeef_LiveweightGain_Data(), Table_SourceData_PastureBeef_LiveweightGain[[#Headers],[State]],0)</f>
        <v>0.22</v>
      </c>
      <c r="I170" s="30" cm="1">
        <f t="array" ref="I170">Common_InputFunctions.Utility_DisplayArrayInTable(SourceData_PastureBeef.SourceData_PastureBeef_LiveweightGain_Data(), Table_SourceData_PastureBeef_LiveweightGain[[#Headers],[State]],0)</f>
        <v>0.49</v>
      </c>
      <c r="J170" s="30" cm="1">
        <f t="array" ref="J170">Common_InputFunctions.Utility_DisplayArrayInTable(SourceData_PastureBeef.SourceData_PastureBeef_LiveweightGain_Data(), Table_SourceData_PastureBeef_LiveweightGain[[#Headers],[State]],0)</f>
        <v>0.22</v>
      </c>
      <c r="K170" s="30" cm="1">
        <f t="array" ref="K170">Common_InputFunctions.Utility_DisplayArrayInTable(SourceData_PastureBeef.SourceData_PastureBeef_LiveweightGain_Data(), Table_SourceData_PastureBeef_LiveweightGain[[#Headers],[State]],0)</f>
        <v>0.22</v>
      </c>
      <c r="L170" s="30" cm="1">
        <f t="array" ref="L170">Common_InputFunctions.Utility_DisplayArrayInTable(SourceData_PastureBeef.SourceData_PastureBeef_LiveweightGain_Data(), Table_SourceData_PastureBeef_LiveweightGain[[#Headers],[State]],0)</f>
        <v>0.49</v>
      </c>
      <c r="M170" s="30" cm="1">
        <f t="array" ref="M170">Common_InputFunctions.Utility_DisplayArrayInTable(SourceData_PastureBeef.SourceData_PastureBeef_LiveweightGain_Data(), Table_SourceData_PastureBeef_LiveweightGain[[#Headers],[State]],0)</f>
        <v>0.33</v>
      </c>
    </row>
    <row r="171" spans="4:13" x14ac:dyDescent="0.25">
      <c r="D171" s="1" t="str" cm="1">
        <f t="array" ref="D171">Common_InputFunctions.Utility_DisplayArrayInTable(SourceData_PastureBeef.SourceData_PastureBeef_LiveweightGain_Data(), Table_SourceData_PastureBeef_LiveweightGain[[#Headers],[State]],0)</f>
        <v>Western Australia</v>
      </c>
      <c r="E171" s="30" t="str" cm="1">
        <f t="array" ref="E171">Common_InputFunctions.Utility_DisplayArrayInTable(SourceData_PastureBeef.SourceData_PastureBeef_LiveweightGain_Data(), Table_SourceData_PastureBeef_LiveweightGain[[#Headers],[State]],0)</f>
        <v>South West</v>
      </c>
      <c r="F171" s="30" t="str" cm="1">
        <f t="array" ref="F171">Common_InputFunctions.Utility_DisplayArrayInTable(SourceData_PastureBeef.SourceData_PastureBeef_LiveweightGain_Data(), Table_SourceData_PastureBeef_LiveweightGain[[#Headers],[State]],0)</f>
        <v>Spring</v>
      </c>
      <c r="G171" s="30" cm="1">
        <f t="array" ref="G171">Common_InputFunctions.Utility_DisplayArrayInTable(SourceData_PastureBeef.SourceData_PastureBeef_LiveweightGain_Data(), Table_SourceData_PastureBeef_LiveweightGain[[#Headers],[State]],0)</f>
        <v>1.64</v>
      </c>
      <c r="H171" s="30" cm="1">
        <f t="array" ref="H171">Common_InputFunctions.Utility_DisplayArrayInTable(SourceData_PastureBeef.SourceData_PastureBeef_LiveweightGain_Data(), Table_SourceData_PastureBeef_LiveweightGain[[#Headers],[State]],0)</f>
        <v>1.1000000000000001</v>
      </c>
      <c r="I171" s="30" cm="1">
        <f t="array" ref="I171">Common_InputFunctions.Utility_DisplayArrayInTable(SourceData_PastureBeef.SourceData_PastureBeef_LiveweightGain_Data(), Table_SourceData_PastureBeef_LiveweightGain[[#Headers],[State]],0)</f>
        <v>1.21</v>
      </c>
      <c r="J171" s="30" cm="1">
        <f t="array" ref="J171">Common_InputFunctions.Utility_DisplayArrayInTable(SourceData_PastureBeef.SourceData_PastureBeef_LiveweightGain_Data(), Table_SourceData_PastureBeef_LiveweightGain[[#Headers],[State]],0)</f>
        <v>0.99</v>
      </c>
      <c r="K171" s="30" cm="1">
        <f t="array" ref="K171">Common_InputFunctions.Utility_DisplayArrayInTable(SourceData_PastureBeef.SourceData_PastureBeef_LiveweightGain_Data(), Table_SourceData_PastureBeef_LiveweightGain[[#Headers],[State]],0)</f>
        <v>0.66</v>
      </c>
      <c r="L171" s="30" cm="1">
        <f t="array" ref="L171">Common_InputFunctions.Utility_DisplayArrayInTable(SourceData_PastureBeef.SourceData_PastureBeef_LiveweightGain_Data(), Table_SourceData_PastureBeef_LiveweightGain[[#Headers],[State]],0)</f>
        <v>1.42</v>
      </c>
      <c r="M171" s="30" cm="1">
        <f t="array" ref="M171">Common_InputFunctions.Utility_DisplayArrayInTable(SourceData_PastureBeef.SourceData_PastureBeef_LiveweightGain_Data(), Table_SourceData_PastureBeef_LiveweightGain[[#Headers],[State]],0)</f>
        <v>1.1000000000000001</v>
      </c>
    </row>
    <row r="172" spans="4:13" x14ac:dyDescent="0.25">
      <c r="D172" s="1" t="str" cm="1">
        <f t="array" ref="D172">Common_InputFunctions.Utility_DisplayArrayInTable(SourceData_PastureBeef.SourceData_PastureBeef_LiveweightGain_Data(), Table_SourceData_PastureBeef_LiveweightGain[[#Headers],[State]],0)</f>
        <v>Western Australia</v>
      </c>
      <c r="E172" s="30" t="str" cm="1">
        <f t="array" ref="E172">Common_InputFunctions.Utility_DisplayArrayInTable(SourceData_PastureBeef.SourceData_PastureBeef_LiveweightGain_Data(), Table_SourceData_PastureBeef_LiveweightGain[[#Headers],[State]],0)</f>
        <v>South West</v>
      </c>
      <c r="F172" s="30" t="str" cm="1">
        <f t="array" ref="F172">Common_InputFunctions.Utility_DisplayArrayInTable(SourceData_PastureBeef.SourceData_PastureBeef_LiveweightGain_Data(), Table_SourceData_PastureBeef_LiveweightGain[[#Headers],[State]],0)</f>
        <v>Summer</v>
      </c>
      <c r="G172" s="30" cm="1">
        <f t="array" ref="G172">Common_InputFunctions.Utility_DisplayArrayInTable(SourceData_PastureBeef.SourceData_PastureBeef_LiveweightGain_Data(), Table_SourceData_PastureBeef_LiveweightGain[[#Headers],[State]],0)</f>
        <v>0.44</v>
      </c>
      <c r="H172" s="30" cm="1">
        <f t="array" ref="H172">Common_InputFunctions.Utility_DisplayArrayInTable(SourceData_PastureBeef.SourceData_PastureBeef_LiveweightGain_Data(), Table_SourceData_PastureBeef_LiveweightGain[[#Headers],[State]],0)</f>
        <v>-0.22</v>
      </c>
      <c r="I172" s="30" cm="1">
        <f t="array" ref="I172">Common_InputFunctions.Utility_DisplayArrayInTable(SourceData_PastureBeef.SourceData_PastureBeef_LiveweightGain_Data(), Table_SourceData_PastureBeef_LiveweightGain[[#Headers],[State]],0)</f>
        <v>0.44</v>
      </c>
      <c r="J172" s="30" cm="1">
        <f t="array" ref="J172">Common_InputFunctions.Utility_DisplayArrayInTable(SourceData_PastureBeef.SourceData_PastureBeef_LiveweightGain_Data(), Table_SourceData_PastureBeef_LiveweightGain[[#Headers],[State]],0)</f>
        <v>0.33</v>
      </c>
      <c r="K172" s="30" cm="1">
        <f t="array" ref="K172">Common_InputFunctions.Utility_DisplayArrayInTable(SourceData_PastureBeef.SourceData_PastureBeef_LiveweightGain_Data(), Table_SourceData_PastureBeef_LiveweightGain[[#Headers],[State]],0)</f>
        <v>-0.22</v>
      </c>
      <c r="L172" s="30" cm="1">
        <f t="array" ref="L172">Common_InputFunctions.Utility_DisplayArrayInTable(SourceData_PastureBeef.SourceData_PastureBeef_LiveweightGain_Data(), Table_SourceData_PastureBeef_LiveweightGain[[#Headers],[State]],0)</f>
        <v>0.44</v>
      </c>
      <c r="M172" s="30" cm="1">
        <f t="array" ref="M172">Common_InputFunctions.Utility_DisplayArrayInTable(SourceData_PastureBeef.SourceData_PastureBeef_LiveweightGain_Data(), Table_SourceData_PastureBeef_LiveweightGain[[#Headers],[State]],0)</f>
        <v>-0.11</v>
      </c>
    </row>
    <row r="173" spans="4:13" x14ac:dyDescent="0.25">
      <c r="D173" s="1" t="str" cm="1">
        <f t="array" ref="D173">Common_InputFunctions.Utility_DisplayArrayInTable(SourceData_PastureBeef.SourceData_PastureBeef_LiveweightGain_Data(), Table_SourceData_PastureBeef_LiveweightGain[[#Headers],[State]],0)</f>
        <v>Western Australia</v>
      </c>
      <c r="E173" s="30" t="str" cm="1">
        <f t="array" ref="E173">Common_InputFunctions.Utility_DisplayArrayInTable(SourceData_PastureBeef.SourceData_PastureBeef_LiveweightGain_Data(), Table_SourceData_PastureBeef_LiveweightGain[[#Headers],[State]],0)</f>
        <v>South West</v>
      </c>
      <c r="F173" s="30" t="str" cm="1">
        <f t="array" ref="F173">Common_InputFunctions.Utility_DisplayArrayInTable(SourceData_PastureBeef.SourceData_PastureBeef_LiveweightGain_Data(), Table_SourceData_PastureBeef_LiveweightGain[[#Headers],[State]],0)</f>
        <v>Autumn</v>
      </c>
      <c r="G173" s="30" cm="1">
        <f t="array" ref="G173">Common_InputFunctions.Utility_DisplayArrayInTable(SourceData_PastureBeef.SourceData_PastureBeef_LiveweightGain_Data(), Table_SourceData_PastureBeef_LiveweightGain[[#Headers],[State]],0)</f>
        <v>0.6</v>
      </c>
      <c r="H173" s="30" cm="1">
        <f t="array" ref="H173">Common_InputFunctions.Utility_DisplayArrayInTable(SourceData_PastureBeef.SourceData_PastureBeef_LiveweightGain_Data(), Table_SourceData_PastureBeef_LiveweightGain[[#Headers],[State]],0)</f>
        <v>0</v>
      </c>
      <c r="I173" s="30" cm="1">
        <f t="array" ref="I173">Common_InputFunctions.Utility_DisplayArrayInTable(SourceData_PastureBeef.SourceData_PastureBeef_LiveweightGain_Data(), Table_SourceData_PastureBeef_LiveweightGain[[#Headers],[State]],0)</f>
        <v>0.6</v>
      </c>
      <c r="J173" s="30" cm="1">
        <f t="array" ref="J173">Common_InputFunctions.Utility_DisplayArrayInTable(SourceData_PastureBeef.SourceData_PastureBeef_LiveweightGain_Data(), Table_SourceData_PastureBeef_LiveweightGain[[#Headers],[State]],0)</f>
        <v>0.22</v>
      </c>
      <c r="K173" s="30" cm="1">
        <f t="array" ref="K173">Common_InputFunctions.Utility_DisplayArrayInTable(SourceData_PastureBeef.SourceData_PastureBeef_LiveweightGain_Data(), Table_SourceData_PastureBeef_LiveweightGain[[#Headers],[State]],0)</f>
        <v>-0.55000000000000004</v>
      </c>
      <c r="L173" s="30" cm="1">
        <f t="array" ref="L173">Common_InputFunctions.Utility_DisplayArrayInTable(SourceData_PastureBeef.SourceData_PastureBeef_LiveweightGain_Data(), Table_SourceData_PastureBeef_LiveweightGain[[#Headers],[State]],0)</f>
        <v>0.6</v>
      </c>
      <c r="M173" s="30" cm="1">
        <f t="array" ref="M173">Common_InputFunctions.Utility_DisplayArrayInTable(SourceData_PastureBeef.SourceData_PastureBeef_LiveweightGain_Data(), Table_SourceData_PastureBeef_LiveweightGain[[#Headers],[State]],0)</f>
        <v>0</v>
      </c>
    </row>
    <row r="174" spans="4:13" x14ac:dyDescent="0.25">
      <c r="D174" s="1" t="str" cm="1">
        <f t="array" ref="D174">Common_InputFunctions.Utility_DisplayArrayInTable(SourceData_PastureBeef.SourceData_PastureBeef_LiveweightGain_Data(), Table_SourceData_PastureBeef_LiveweightGain[[#Headers],[State]],0)</f>
        <v>Western Australia</v>
      </c>
      <c r="E174" s="30" t="str" cm="1">
        <f t="array" ref="E174">Common_InputFunctions.Utility_DisplayArrayInTable(SourceData_PastureBeef.SourceData_PastureBeef_LiveweightGain_Data(), Table_SourceData_PastureBeef_LiveweightGain[[#Headers],[State]],0)</f>
        <v>South West</v>
      </c>
      <c r="F174" s="30" t="str" cm="1">
        <f t="array" ref="F174">Common_InputFunctions.Utility_DisplayArrayInTable(SourceData_PastureBeef.SourceData_PastureBeef_LiveweightGain_Data(), Table_SourceData_PastureBeef_LiveweightGain[[#Headers],[State]],0)</f>
        <v>Winter</v>
      </c>
      <c r="G174" s="30" cm="1">
        <f t="array" ref="G174">Common_InputFunctions.Utility_DisplayArrayInTable(SourceData_PastureBeef.SourceData_PastureBeef_LiveweightGain_Data(), Table_SourceData_PastureBeef_LiveweightGain[[#Headers],[State]],0)</f>
        <v>0.99</v>
      </c>
      <c r="H174" s="30" cm="1">
        <f t="array" ref="H174">Common_InputFunctions.Utility_DisplayArrayInTable(SourceData_PastureBeef.SourceData_PastureBeef_LiveweightGain_Data(), Table_SourceData_PastureBeef_LiveweightGain[[#Headers],[State]],0)</f>
        <v>0.22</v>
      </c>
      <c r="I174" s="30" cm="1">
        <f t="array" ref="I174">Common_InputFunctions.Utility_DisplayArrayInTable(SourceData_PastureBeef.SourceData_PastureBeef_LiveweightGain_Data(), Table_SourceData_PastureBeef_LiveweightGain[[#Headers],[State]],0)</f>
        <v>0.77</v>
      </c>
      <c r="J174" s="30" cm="1">
        <f t="array" ref="J174">Common_InputFunctions.Utility_DisplayArrayInTable(SourceData_PastureBeef.SourceData_PastureBeef_LiveweightGain_Data(), Table_SourceData_PastureBeef_LiveweightGain[[#Headers],[State]],0)</f>
        <v>0.11</v>
      </c>
      <c r="K174" s="30" cm="1">
        <f t="array" ref="K174">Common_InputFunctions.Utility_DisplayArrayInTable(SourceData_PastureBeef.SourceData_PastureBeef_LiveweightGain_Data(), Table_SourceData_PastureBeef_LiveweightGain[[#Headers],[State]],0)</f>
        <v>0.11</v>
      </c>
      <c r="L174" s="30" cm="1">
        <f t="array" ref="L174">Common_InputFunctions.Utility_DisplayArrayInTable(SourceData_PastureBeef.SourceData_PastureBeef_LiveweightGain_Data(), Table_SourceData_PastureBeef_LiveweightGain[[#Headers],[State]],0)</f>
        <v>0.77</v>
      </c>
      <c r="M174" s="30" cm="1">
        <f t="array" ref="M174">Common_InputFunctions.Utility_DisplayArrayInTable(SourceData_PastureBeef.SourceData_PastureBeef_LiveweightGain_Data(), Table_SourceData_PastureBeef_LiveweightGain[[#Headers],[State]],0)</f>
        <v>0.44</v>
      </c>
    </row>
    <row r="175" spans="4:13" x14ac:dyDescent="0.25">
      <c r="D175" s="1" t="str" cm="1">
        <f t="array" ref="D175">Common_InputFunctions.Utility_DisplayArrayInTable(SourceData_PastureBeef.SourceData_PastureBeef_LiveweightGain_Data(), Table_SourceData_PastureBeef_LiveweightGain[[#Headers],[State]],0)</f>
        <v>Western Australia</v>
      </c>
      <c r="E175" s="30" t="str" cm="1">
        <f t="array" ref="E175">Common_InputFunctions.Utility_DisplayArrayInTable(SourceData_PastureBeef.SourceData_PastureBeef_LiveweightGain_Data(), Table_SourceData_PastureBeef_LiveweightGain[[#Headers],[State]],0)</f>
        <v>Pilbara</v>
      </c>
      <c r="F175" s="30" t="str" cm="1">
        <f t="array" ref="F175">Common_InputFunctions.Utility_DisplayArrayInTable(SourceData_PastureBeef.SourceData_PastureBeef_LiveweightGain_Data(), Table_SourceData_PastureBeef_LiveweightGain[[#Headers],[State]],0)</f>
        <v>Spring</v>
      </c>
      <c r="G175" s="30" cm="1">
        <f t="array" ref="G175">Common_InputFunctions.Utility_DisplayArrayInTable(SourceData_PastureBeef.SourceData_PastureBeef_LiveweightGain_Data(), Table_SourceData_PastureBeef_LiveweightGain[[#Headers],[State]],0)</f>
        <v>0.7</v>
      </c>
      <c r="H175" s="30" cm="1">
        <f t="array" ref="H175">Common_InputFunctions.Utility_DisplayArrayInTable(SourceData_PastureBeef.SourceData_PastureBeef_LiveweightGain_Data(), Table_SourceData_PastureBeef_LiveweightGain[[#Headers],[State]],0)</f>
        <v>-0.55000000000000004</v>
      </c>
      <c r="I175" s="30" cm="1">
        <f t="array" ref="I175">Common_InputFunctions.Utility_DisplayArrayInTable(SourceData_PastureBeef.SourceData_PastureBeef_LiveweightGain_Data(), Table_SourceData_PastureBeef_LiveweightGain[[#Headers],[State]],0)</f>
        <v>0.7</v>
      </c>
      <c r="J175" s="30" cm="1">
        <f t="array" ref="J175">Common_InputFunctions.Utility_DisplayArrayInTable(SourceData_PastureBeef.SourceData_PastureBeef_LiveweightGain_Data(), Table_SourceData_PastureBeef_LiveweightGain[[#Headers],[State]],0)</f>
        <v>0.22</v>
      </c>
      <c r="K175" s="30" cm="1">
        <f t="array" ref="K175">Common_InputFunctions.Utility_DisplayArrayInTable(SourceData_PastureBeef.SourceData_PastureBeef_LiveweightGain_Data(), Table_SourceData_PastureBeef_LiveweightGain[[#Headers],[State]],0)</f>
        <v>-0.22</v>
      </c>
      <c r="L175" s="30" cm="1">
        <f t="array" ref="L175">Common_InputFunctions.Utility_DisplayArrayInTable(SourceData_PastureBeef.SourceData_PastureBeef_LiveweightGain_Data(), Table_SourceData_PastureBeef_LiveweightGain[[#Headers],[State]],0)</f>
        <v>0.7</v>
      </c>
      <c r="M175" s="30" cm="1">
        <f t="array" ref="M175">Common_InputFunctions.Utility_DisplayArrayInTable(SourceData_PastureBeef.SourceData_PastureBeef_LiveweightGain_Data(), Table_SourceData_PastureBeef_LiveweightGain[[#Headers],[State]],0)</f>
        <v>-0.22</v>
      </c>
    </row>
    <row r="176" spans="4:13" x14ac:dyDescent="0.25">
      <c r="D176" s="1" t="str" cm="1">
        <f t="array" ref="D176">Common_InputFunctions.Utility_DisplayArrayInTable(SourceData_PastureBeef.SourceData_PastureBeef_LiveweightGain_Data(), Table_SourceData_PastureBeef_LiveweightGain[[#Headers],[State]],0)</f>
        <v>Western Australia</v>
      </c>
      <c r="E176" s="30" t="str" cm="1">
        <f t="array" ref="E176">Common_InputFunctions.Utility_DisplayArrayInTable(SourceData_PastureBeef.SourceData_PastureBeef_LiveweightGain_Data(), Table_SourceData_PastureBeef_LiveweightGain[[#Headers],[State]],0)</f>
        <v>Pilbara</v>
      </c>
      <c r="F176" s="30" t="str" cm="1">
        <f t="array" ref="F176">Common_InputFunctions.Utility_DisplayArrayInTable(SourceData_PastureBeef.SourceData_PastureBeef_LiveweightGain_Data(), Table_SourceData_PastureBeef_LiveweightGain[[#Headers],[State]],0)</f>
        <v>Summer</v>
      </c>
      <c r="G176" s="30" cm="1">
        <f t="array" ref="G176">Common_InputFunctions.Utility_DisplayArrayInTable(SourceData_PastureBeef.SourceData_PastureBeef_LiveweightGain_Data(), Table_SourceData_PastureBeef_LiveweightGain[[#Headers],[State]],0)</f>
        <v>0.77</v>
      </c>
      <c r="H176" s="30" cm="1">
        <f t="array" ref="H176">Common_InputFunctions.Utility_DisplayArrayInTable(SourceData_PastureBeef.SourceData_PastureBeef_LiveweightGain_Data(), Table_SourceData_PastureBeef_LiveweightGain[[#Headers],[State]],0)</f>
        <v>0.55000000000000004</v>
      </c>
      <c r="I176" s="30" cm="1">
        <f t="array" ref="I176">Common_InputFunctions.Utility_DisplayArrayInTable(SourceData_PastureBeef.SourceData_PastureBeef_LiveweightGain_Data(), Table_SourceData_PastureBeef_LiveweightGain[[#Headers],[State]],0)</f>
        <v>0.77</v>
      </c>
      <c r="J176" s="30" cm="1">
        <f t="array" ref="J176">Common_InputFunctions.Utility_DisplayArrayInTable(SourceData_PastureBeef.SourceData_PastureBeef_LiveweightGain_Data(), Table_SourceData_PastureBeef_LiveweightGain[[#Headers],[State]],0)</f>
        <v>0.66</v>
      </c>
      <c r="K176" s="30" cm="1">
        <f t="array" ref="K176">Common_InputFunctions.Utility_DisplayArrayInTable(SourceData_PastureBeef.SourceData_PastureBeef_LiveweightGain_Data(), Table_SourceData_PastureBeef_LiveweightGain[[#Headers],[State]],0)</f>
        <v>0.55000000000000004</v>
      </c>
      <c r="L176" s="30" cm="1">
        <f t="array" ref="L176">Common_InputFunctions.Utility_DisplayArrayInTable(SourceData_PastureBeef.SourceData_PastureBeef_LiveweightGain_Data(), Table_SourceData_PastureBeef_LiveweightGain[[#Headers],[State]],0)</f>
        <v>0.77</v>
      </c>
      <c r="M176" s="30" cm="1">
        <f t="array" ref="M176">Common_InputFunctions.Utility_DisplayArrayInTable(SourceData_PastureBeef.SourceData_PastureBeef_LiveweightGain_Data(), Table_SourceData_PastureBeef_LiveweightGain[[#Headers],[State]],0)</f>
        <v>0.33</v>
      </c>
    </row>
    <row r="177" spans="4:16" x14ac:dyDescent="0.25">
      <c r="D177" s="1" t="str" cm="1">
        <f t="array" ref="D177">Common_InputFunctions.Utility_DisplayArrayInTable(SourceData_PastureBeef.SourceData_PastureBeef_LiveweightGain_Data(), Table_SourceData_PastureBeef_LiveweightGain[[#Headers],[State]],0)</f>
        <v>Western Australia</v>
      </c>
      <c r="E177" s="30" t="str" cm="1">
        <f t="array" ref="E177">Common_InputFunctions.Utility_DisplayArrayInTable(SourceData_PastureBeef.SourceData_PastureBeef_LiveweightGain_Data(), Table_SourceData_PastureBeef_LiveweightGain[[#Headers],[State]],0)</f>
        <v>Pilbara</v>
      </c>
      <c r="F177" s="30" t="str" cm="1">
        <f t="array" ref="F177">Common_InputFunctions.Utility_DisplayArrayInTable(SourceData_PastureBeef.SourceData_PastureBeef_LiveweightGain_Data(), Table_SourceData_PastureBeef_LiveweightGain[[#Headers],[State]],0)</f>
        <v>Autumn</v>
      </c>
      <c r="G177" s="30" cm="1">
        <f t="array" ref="G177">Common_InputFunctions.Utility_DisplayArrayInTable(SourceData_PastureBeef.SourceData_PastureBeef_LiveweightGain_Data(), Table_SourceData_PastureBeef_LiveweightGain[[#Headers],[State]],0)</f>
        <v>0.88</v>
      </c>
      <c r="H177" s="30" cm="1">
        <f t="array" ref="H177">Common_InputFunctions.Utility_DisplayArrayInTable(SourceData_PastureBeef.SourceData_PastureBeef_LiveweightGain_Data(), Table_SourceData_PastureBeef_LiveweightGain[[#Headers],[State]],0)</f>
        <v>0.55000000000000004</v>
      </c>
      <c r="I177" s="30" cm="1">
        <f t="array" ref="I177">Common_InputFunctions.Utility_DisplayArrayInTable(SourceData_PastureBeef.SourceData_PastureBeef_LiveweightGain_Data(), Table_SourceData_PastureBeef_LiveweightGain[[#Headers],[State]],0)</f>
        <v>0.88</v>
      </c>
      <c r="J177" s="30" cm="1">
        <f t="array" ref="J177">Common_InputFunctions.Utility_DisplayArrayInTable(SourceData_PastureBeef.SourceData_PastureBeef_LiveweightGain_Data(), Table_SourceData_PastureBeef_LiveweightGain[[#Headers],[State]],0)</f>
        <v>0.22</v>
      </c>
      <c r="K177" s="30" cm="1">
        <f t="array" ref="K177">Common_InputFunctions.Utility_DisplayArrayInTable(SourceData_PastureBeef.SourceData_PastureBeef_LiveweightGain_Data(), Table_SourceData_PastureBeef_LiveweightGain[[#Headers],[State]],0)</f>
        <v>0.22</v>
      </c>
      <c r="L177" s="30" cm="1">
        <f t="array" ref="L177">Common_InputFunctions.Utility_DisplayArrayInTable(SourceData_PastureBeef.SourceData_PastureBeef_LiveweightGain_Data(), Table_SourceData_PastureBeef_LiveweightGain[[#Headers],[State]],0)</f>
        <v>0.88</v>
      </c>
      <c r="M177" s="30" cm="1">
        <f t="array" ref="M177">Common_InputFunctions.Utility_DisplayArrayInTable(SourceData_PastureBeef.SourceData_PastureBeef_LiveweightGain_Data(), Table_SourceData_PastureBeef_LiveweightGain[[#Headers],[State]],0)</f>
        <v>0.22</v>
      </c>
    </row>
    <row r="178" spans="4:16" x14ac:dyDescent="0.25">
      <c r="D178" s="1" t="str" cm="1">
        <f t="array" ref="D178">Common_InputFunctions.Utility_DisplayArrayInTable(SourceData_PastureBeef.SourceData_PastureBeef_LiveweightGain_Data(), Table_SourceData_PastureBeef_LiveweightGain[[#Headers],[State]],0)</f>
        <v>Western Australia</v>
      </c>
      <c r="E178" s="30" t="str" cm="1">
        <f t="array" ref="E178">Common_InputFunctions.Utility_DisplayArrayInTable(SourceData_PastureBeef.SourceData_PastureBeef_LiveweightGain_Data(), Table_SourceData_PastureBeef_LiveweightGain[[#Headers],[State]],0)</f>
        <v>Pilbara</v>
      </c>
      <c r="F178" s="30" t="str" cm="1">
        <f t="array" ref="F178">Common_InputFunctions.Utility_DisplayArrayInTable(SourceData_PastureBeef.SourceData_PastureBeef_LiveweightGain_Data(), Table_SourceData_PastureBeef_LiveweightGain[[#Headers],[State]],0)</f>
        <v>Winter</v>
      </c>
      <c r="G178" s="30" cm="1">
        <f t="array" ref="G178">Common_InputFunctions.Utility_DisplayArrayInTable(SourceData_PastureBeef.SourceData_PastureBeef_LiveweightGain_Data(), Table_SourceData_PastureBeef_LiveweightGain[[#Headers],[State]],0)</f>
        <v>0.22</v>
      </c>
      <c r="H178" s="30" cm="1">
        <f t="array" ref="H178">Common_InputFunctions.Utility_DisplayArrayInTable(SourceData_PastureBeef.SourceData_PastureBeef_LiveweightGain_Data(), Table_SourceData_PastureBeef_LiveweightGain[[#Headers],[State]],0)</f>
        <v>-0.55000000000000004</v>
      </c>
      <c r="I178" s="30" cm="1">
        <f t="array" ref="I178">Common_InputFunctions.Utility_DisplayArrayInTable(SourceData_PastureBeef.SourceData_PastureBeef_LiveweightGain_Data(), Table_SourceData_PastureBeef_LiveweightGain[[#Headers],[State]],0)</f>
        <v>0.22</v>
      </c>
      <c r="J178" s="30" cm="1">
        <f t="array" ref="J178">Common_InputFunctions.Utility_DisplayArrayInTable(SourceData_PastureBeef.SourceData_PastureBeef_LiveweightGain_Data(), Table_SourceData_PastureBeef_LiveweightGain[[#Headers],[State]],0)</f>
        <v>0.11</v>
      </c>
      <c r="K178" s="30" cm="1">
        <f t="array" ref="K178">Common_InputFunctions.Utility_DisplayArrayInTable(SourceData_PastureBeef.SourceData_PastureBeef_LiveweightGain_Data(), Table_SourceData_PastureBeef_LiveweightGain[[#Headers],[State]],0)</f>
        <v>-0.22</v>
      </c>
      <c r="L178" s="30" cm="1">
        <f t="array" ref="L178">Common_InputFunctions.Utility_DisplayArrayInTable(SourceData_PastureBeef.SourceData_PastureBeef_LiveweightGain_Data(), Table_SourceData_PastureBeef_LiveweightGain[[#Headers],[State]],0)</f>
        <v>0.22</v>
      </c>
      <c r="M178" s="30" cm="1">
        <f t="array" ref="M178">Common_InputFunctions.Utility_DisplayArrayInTable(SourceData_PastureBeef.SourceData_PastureBeef_LiveweightGain_Data(), Table_SourceData_PastureBeef_LiveweightGain[[#Headers],[State]],0)</f>
        <v>-0.33</v>
      </c>
    </row>
    <row r="179" spans="4:16" x14ac:dyDescent="0.25">
      <c r="D179" s="1" t="str" cm="1">
        <f t="array" ref="D179">Common_InputFunctions.Utility_DisplayArrayInTable(SourceData_PastureBeef.SourceData_PastureBeef_LiveweightGain_Data(), Table_SourceData_PastureBeef_LiveweightGain[[#Headers],[State]],0)</f>
        <v>Western Australia</v>
      </c>
      <c r="E179" s="30" t="str" cm="1">
        <f t="array" ref="E179">Common_InputFunctions.Utility_DisplayArrayInTable(SourceData_PastureBeef.SourceData_PastureBeef_LiveweightGain_Data(), Table_SourceData_PastureBeef_LiveweightGain[[#Headers],[State]],0)</f>
        <v>Kimberley</v>
      </c>
      <c r="F179" s="30" t="str" cm="1">
        <f t="array" ref="F179">Common_InputFunctions.Utility_DisplayArrayInTable(SourceData_PastureBeef.SourceData_PastureBeef_LiveweightGain_Data(), Table_SourceData_PastureBeef_LiveweightGain[[#Headers],[State]],0)</f>
        <v>Spring</v>
      </c>
      <c r="G179" s="30" cm="1">
        <f t="array" ref="G179">Common_InputFunctions.Utility_DisplayArrayInTable(SourceData_PastureBeef.SourceData_PastureBeef_LiveweightGain_Data(), Table_SourceData_PastureBeef_LiveweightGain[[#Headers],[State]],0)</f>
        <v>0.22</v>
      </c>
      <c r="H179" s="30" cm="1">
        <f t="array" ref="H179">Common_InputFunctions.Utility_DisplayArrayInTable(SourceData_PastureBeef.SourceData_PastureBeef_LiveweightGain_Data(), Table_SourceData_PastureBeef_LiveweightGain[[#Headers],[State]],0)</f>
        <v>-0.55000000000000004</v>
      </c>
      <c r="I179" s="30" cm="1">
        <f t="array" ref="I179">Common_InputFunctions.Utility_DisplayArrayInTable(SourceData_PastureBeef.SourceData_PastureBeef_LiveweightGain_Data(), Table_SourceData_PastureBeef_LiveweightGain[[#Headers],[State]],0)</f>
        <v>0.33</v>
      </c>
      <c r="J179" s="30" cm="1">
        <f t="array" ref="J179">Common_InputFunctions.Utility_DisplayArrayInTable(SourceData_PastureBeef.SourceData_PastureBeef_LiveweightGain_Data(), Table_SourceData_PastureBeef_LiveweightGain[[#Headers],[State]],0)</f>
        <v>0.22</v>
      </c>
      <c r="K179" s="30" cm="1">
        <f t="array" ref="K179">Common_InputFunctions.Utility_DisplayArrayInTable(SourceData_PastureBeef.SourceData_PastureBeef_LiveweightGain_Data(), Table_SourceData_PastureBeef_LiveweightGain[[#Headers],[State]],0)</f>
        <v>-0.33</v>
      </c>
      <c r="L179" s="30" cm="1">
        <f t="array" ref="L179">Common_InputFunctions.Utility_DisplayArrayInTable(SourceData_PastureBeef.SourceData_PastureBeef_LiveweightGain_Data(), Table_SourceData_PastureBeef_LiveweightGain[[#Headers],[State]],0)</f>
        <v>0.22</v>
      </c>
      <c r="M179" s="30" cm="1">
        <f t="array" ref="M179">Common_InputFunctions.Utility_DisplayArrayInTable(SourceData_PastureBeef.SourceData_PastureBeef_LiveweightGain_Data(), Table_SourceData_PastureBeef_LiveweightGain[[#Headers],[State]],0)</f>
        <v>-0.55000000000000004</v>
      </c>
    </row>
    <row r="180" spans="4:16" x14ac:dyDescent="0.25">
      <c r="D180" s="1" t="str" cm="1">
        <f t="array" ref="D180">Common_InputFunctions.Utility_DisplayArrayInTable(SourceData_PastureBeef.SourceData_PastureBeef_LiveweightGain_Data(), Table_SourceData_PastureBeef_LiveweightGain[[#Headers],[State]],0)</f>
        <v>Western Australia</v>
      </c>
      <c r="E180" s="30" t="str" cm="1">
        <f t="array" ref="E180">Common_InputFunctions.Utility_DisplayArrayInTable(SourceData_PastureBeef.SourceData_PastureBeef_LiveweightGain_Data(), Table_SourceData_PastureBeef_LiveweightGain[[#Headers],[State]],0)</f>
        <v>Kimberley</v>
      </c>
      <c r="F180" s="30" t="str" cm="1">
        <f t="array" ref="F180">Common_InputFunctions.Utility_DisplayArrayInTable(SourceData_PastureBeef.SourceData_PastureBeef_LiveweightGain_Data(), Table_SourceData_PastureBeef_LiveweightGain[[#Headers],[State]],0)</f>
        <v>Summer</v>
      </c>
      <c r="G180" s="30" cm="1">
        <f t="array" ref="G180">Common_InputFunctions.Utility_DisplayArrayInTable(SourceData_PastureBeef.SourceData_PastureBeef_LiveweightGain_Data(), Table_SourceData_PastureBeef_LiveweightGain[[#Headers],[State]],0)</f>
        <v>0.8</v>
      </c>
      <c r="H180" s="30" cm="1">
        <f t="array" ref="H180">Common_InputFunctions.Utility_DisplayArrayInTable(SourceData_PastureBeef.SourceData_PastureBeef_LiveweightGain_Data(), Table_SourceData_PastureBeef_LiveweightGain[[#Headers],[State]],0)</f>
        <v>0.55000000000000004</v>
      </c>
      <c r="I180" s="30" cm="1">
        <f t="array" ref="I180">Common_InputFunctions.Utility_DisplayArrayInTable(SourceData_PastureBeef.SourceData_PastureBeef_LiveweightGain_Data(), Table_SourceData_PastureBeef_LiveweightGain[[#Headers],[State]],0)</f>
        <v>0.7</v>
      </c>
      <c r="J180" s="30" cm="1">
        <f t="array" ref="J180">Common_InputFunctions.Utility_DisplayArrayInTable(SourceData_PastureBeef.SourceData_PastureBeef_LiveweightGain_Data(), Table_SourceData_PastureBeef_LiveweightGain[[#Headers],[State]],0)</f>
        <v>0.44</v>
      </c>
      <c r="K180" s="30" cm="1">
        <f t="array" ref="K180">Common_InputFunctions.Utility_DisplayArrayInTable(SourceData_PastureBeef.SourceData_PastureBeef_LiveweightGain_Data(), Table_SourceData_PastureBeef_LiveweightGain[[#Headers],[State]],0)</f>
        <v>0.66</v>
      </c>
      <c r="L180" s="30" cm="1">
        <f t="array" ref="L180">Common_InputFunctions.Utility_DisplayArrayInTable(SourceData_PastureBeef.SourceData_PastureBeef_LiveweightGain_Data(), Table_SourceData_PastureBeef_LiveweightGain[[#Headers],[State]],0)</f>
        <v>0.8</v>
      </c>
      <c r="M180" s="30" cm="1">
        <f t="array" ref="M180">Common_InputFunctions.Utility_DisplayArrayInTable(SourceData_PastureBeef.SourceData_PastureBeef_LiveweightGain_Data(), Table_SourceData_PastureBeef_LiveweightGain[[#Headers],[State]],0)</f>
        <v>0.55000000000000004</v>
      </c>
    </row>
    <row r="181" spans="4:16" x14ac:dyDescent="0.25">
      <c r="D181" s="1" t="str" cm="1">
        <f t="array" ref="D181">Common_InputFunctions.Utility_DisplayArrayInTable(SourceData_PastureBeef.SourceData_PastureBeef_LiveweightGain_Data(), Table_SourceData_PastureBeef_LiveweightGain[[#Headers],[State]],0)</f>
        <v>Western Australia</v>
      </c>
      <c r="E181" s="30" t="str" cm="1">
        <f t="array" ref="E181">Common_InputFunctions.Utility_DisplayArrayInTable(SourceData_PastureBeef.SourceData_PastureBeef_LiveweightGain_Data(), Table_SourceData_PastureBeef_LiveweightGain[[#Headers],[State]],0)</f>
        <v>Kimberley</v>
      </c>
      <c r="F181" s="30" t="str" cm="1">
        <f t="array" ref="F181">Common_InputFunctions.Utility_DisplayArrayInTable(SourceData_PastureBeef.SourceData_PastureBeef_LiveweightGain_Data(), Table_SourceData_PastureBeef_LiveweightGain[[#Headers],[State]],0)</f>
        <v>Autumn</v>
      </c>
      <c r="G181" s="30" cm="1">
        <f t="array" ref="G181">Common_InputFunctions.Utility_DisplayArrayInTable(SourceData_PastureBeef.SourceData_PastureBeef_LiveweightGain_Data(), Table_SourceData_PastureBeef_LiveweightGain[[#Headers],[State]],0)</f>
        <v>0.66</v>
      </c>
      <c r="H181" s="30" cm="1">
        <f t="array" ref="H181">Common_InputFunctions.Utility_DisplayArrayInTable(SourceData_PastureBeef.SourceData_PastureBeef_LiveweightGain_Data(), Table_SourceData_PastureBeef_LiveweightGain[[#Headers],[State]],0)</f>
        <v>0.55000000000000004</v>
      </c>
      <c r="I181" s="30" cm="1">
        <f t="array" ref="I181">Common_InputFunctions.Utility_DisplayArrayInTable(SourceData_PastureBeef.SourceData_PastureBeef_LiveweightGain_Data(), Table_SourceData_PastureBeef_LiveweightGain[[#Headers],[State]],0)</f>
        <v>0.55000000000000004</v>
      </c>
      <c r="J181" s="30" cm="1">
        <f t="array" ref="J181">Common_InputFunctions.Utility_DisplayArrayInTable(SourceData_PastureBeef.SourceData_PastureBeef_LiveweightGain_Data(), Table_SourceData_PastureBeef_LiveweightGain[[#Headers],[State]],0)</f>
        <v>0.55000000000000004</v>
      </c>
      <c r="K181" s="30" cm="1">
        <f t="array" ref="K181">Common_InputFunctions.Utility_DisplayArrayInTable(SourceData_PastureBeef.SourceData_PastureBeef_LiveweightGain_Data(), Table_SourceData_PastureBeef_LiveweightGain[[#Headers],[State]],0)</f>
        <v>0.11</v>
      </c>
      <c r="L181" s="30" cm="1">
        <f t="array" ref="L181">Common_InputFunctions.Utility_DisplayArrayInTable(SourceData_PastureBeef.SourceData_PastureBeef_LiveweightGain_Data(), Table_SourceData_PastureBeef_LiveweightGain[[#Headers],[State]],0)</f>
        <v>0.66</v>
      </c>
      <c r="M181" s="30" cm="1">
        <f t="array" ref="M181">Common_InputFunctions.Utility_DisplayArrayInTable(SourceData_PastureBeef.SourceData_PastureBeef_LiveweightGain_Data(), Table_SourceData_PastureBeef_LiveweightGain[[#Headers],[State]],0)</f>
        <v>0.55000000000000004</v>
      </c>
    </row>
    <row r="182" spans="4:16" x14ac:dyDescent="0.25">
      <c r="D182" s="1" t="str" cm="1">
        <f t="array" ref="D182">Common_InputFunctions.Utility_DisplayArrayInTable(SourceData_PastureBeef.SourceData_PastureBeef_LiveweightGain_Data(), Table_SourceData_PastureBeef_LiveweightGain[[#Headers],[State]],0)</f>
        <v>Western Australia</v>
      </c>
      <c r="E182" s="30" t="str" cm="1">
        <f t="array" ref="E182">Common_InputFunctions.Utility_DisplayArrayInTable(SourceData_PastureBeef.SourceData_PastureBeef_LiveweightGain_Data(), Table_SourceData_PastureBeef_LiveweightGain[[#Headers],[State]],0)</f>
        <v>Kimberley</v>
      </c>
      <c r="F182" s="30" t="str" cm="1">
        <f t="array" ref="F182">Common_InputFunctions.Utility_DisplayArrayInTable(SourceData_PastureBeef.SourceData_PastureBeef_LiveweightGain_Data(), Table_SourceData_PastureBeef_LiveweightGain[[#Headers],[State]],0)</f>
        <v>Winter</v>
      </c>
      <c r="G182" s="30" cm="1">
        <f t="array" ref="G182">Common_InputFunctions.Utility_DisplayArrayInTable(SourceData_PastureBeef.SourceData_PastureBeef_LiveweightGain_Data(), Table_SourceData_PastureBeef_LiveweightGain[[#Headers],[State]],0)</f>
        <v>0.33</v>
      </c>
      <c r="H182" s="30" cm="1">
        <f t="array" ref="H182">Common_InputFunctions.Utility_DisplayArrayInTable(SourceData_PastureBeef.SourceData_PastureBeef_LiveweightGain_Data(), Table_SourceData_PastureBeef_LiveweightGain[[#Headers],[State]],0)</f>
        <v>-0.55000000000000004</v>
      </c>
      <c r="I182" s="30" cm="1">
        <f t="array" ref="I182">Common_InputFunctions.Utility_DisplayArrayInTable(SourceData_PastureBeef.SourceData_PastureBeef_LiveweightGain_Data(), Table_SourceData_PastureBeef_LiveweightGain[[#Headers],[State]],0)</f>
        <v>0.11</v>
      </c>
      <c r="J182" s="30" cm="1">
        <f t="array" ref="J182">Common_InputFunctions.Utility_DisplayArrayInTable(SourceData_PastureBeef.SourceData_PastureBeef_LiveweightGain_Data(), Table_SourceData_PastureBeef_LiveweightGain[[#Headers],[State]],0)</f>
        <v>0.11</v>
      </c>
      <c r="K182" s="30" cm="1">
        <f t="array" ref="K182">Common_InputFunctions.Utility_DisplayArrayInTable(SourceData_PastureBeef.SourceData_PastureBeef_LiveweightGain_Data(), Table_SourceData_PastureBeef_LiveweightGain[[#Headers],[State]],0)</f>
        <v>-0.44</v>
      </c>
      <c r="L182" s="30" cm="1">
        <f t="array" ref="L182">Common_InputFunctions.Utility_DisplayArrayInTable(SourceData_PastureBeef.SourceData_PastureBeef_LiveweightGain_Data(), Table_SourceData_PastureBeef_LiveweightGain[[#Headers],[State]],0)</f>
        <v>0.33</v>
      </c>
      <c r="M182" s="30" cm="1">
        <f t="array" ref="M182">Common_InputFunctions.Utility_DisplayArrayInTable(SourceData_PastureBeef.SourceData_PastureBeef_LiveweightGain_Data(), Table_SourceData_PastureBeef_LiveweightGain[[#Headers],[State]],0)</f>
        <v>-0.55000000000000004</v>
      </c>
    </row>
    <row r="183" spans="4:16" x14ac:dyDescent="0.25">
      <c r="M183" s="1"/>
    </row>
    <row r="184" spans="4:16" x14ac:dyDescent="0.25">
      <c r="M184" s="1"/>
    </row>
    <row r="185" spans="4:16" ht="23.25" x14ac:dyDescent="0.25">
      <c r="D185" s="2" t="str" cm="1">
        <f t="array" ref="D185">SourceData_PastureBeef.SourceData_PastureBeef_LiveweightGainNTQLD_Title()</f>
        <v>Beef pasture cattle - Liveweight gain (kg) (LWGjkl) for NT and QLD</v>
      </c>
      <c r="M185" s="1"/>
    </row>
    <row r="186" spans="4:16" x14ac:dyDescent="0.25">
      <c r="D186" s="27" t="str" cm="1">
        <f t="array" ref="D186">SourceData_PastureBeef.SourceData_PastureBeef_LiveweightGainNTQLD_Source()</f>
        <v>VEERG 2026: Table A.1.2.4</v>
      </c>
      <c r="M186" s="1"/>
    </row>
    <row r="187" spans="4:16" x14ac:dyDescent="0.25">
      <c r="D187" s="1" t="str" cm="1">
        <f t="array" ref="D187">SourceData_PastureBeef.SourceData_PastureBeef_LiveweightGainNTQLD_Variable()</f>
        <v>LWGjkl</v>
      </c>
      <c r="M187" s="1"/>
    </row>
    <row r="188" spans="4:16" x14ac:dyDescent="0.25">
      <c r="D188" s="15" t="str" cm="1">
        <f t="array" ref="D188">SourceData_PastureBeef.SourceData_PastureBeef_LiveweightGainNTQLD_Unit()</f>
        <v>kg</v>
      </c>
      <c r="M188" s="1"/>
    </row>
    <row r="189" spans="4:16" x14ac:dyDescent="0.25">
      <c r="D189" s="30" t="s">
        <v>107</v>
      </c>
      <c r="E189" s="30" t="s">
        <v>312</v>
      </c>
      <c r="F189" s="30" t="s">
        <v>78</v>
      </c>
      <c r="G189" s="30" t="s">
        <v>360</v>
      </c>
      <c r="H189" s="30" t="s">
        <v>361</v>
      </c>
      <c r="I189" s="30" t="s">
        <v>371</v>
      </c>
      <c r="J189" s="30" t="s">
        <v>333</v>
      </c>
      <c r="K189" s="30" t="s">
        <v>374</v>
      </c>
      <c r="L189" s="30" t="s">
        <v>375</v>
      </c>
      <c r="M189" s="30" t="s">
        <v>366</v>
      </c>
      <c r="N189" s="30" t="s">
        <v>367</v>
      </c>
      <c r="O189" s="30" t="s">
        <v>368</v>
      </c>
      <c r="P189" s="30" t="s">
        <v>369</v>
      </c>
    </row>
    <row r="190" spans="4:16" x14ac:dyDescent="0.25">
      <c r="D190" s="30" t="str" cm="1">
        <f t="array" ref="D190">Common_InputFunctions.Utility_DisplayArrayInTable(SourceData_PastureBeef.SourceData_PastureBeef_LiveweightGainNTQLD_Data(),Table_SourceData_PastureBeef_LiveweightGainNTQLD[[#Headers],[State]],0)</f>
        <v>Northern Territory</v>
      </c>
      <c r="E190" s="30" t="str" cm="1">
        <f t="array" ref="E190">Common_InputFunctions.Utility_DisplayArrayInTable(SourceData_PastureBeef.SourceData_PastureBeef_LiveweightGainNTQLD_Data(),Table_SourceData_PastureBeef_LiveweightGainNTQLD[[#Headers],[State]],0)</f>
        <v>Alice Springs</v>
      </c>
      <c r="F190" s="30" t="str" cm="1">
        <f t="array" ref="F190">Common_InputFunctions.Utility_DisplayArrayInTable(SourceData_PastureBeef.SourceData_PastureBeef_LiveweightGainNTQLD_Data(),Table_SourceData_PastureBeef_LiveweightGainNTQLD[[#Headers],[State]],0)</f>
        <v>Spring</v>
      </c>
      <c r="G190" s="30" cm="1">
        <f t="array" ref="G190">Common_InputFunctions.Utility_DisplayArrayInTable(SourceData_PastureBeef.SourceData_PastureBeef_LiveweightGainNTQLD_Data(),Table_SourceData_PastureBeef_LiveweightGainNTQLD[[#Headers],[State]],0)</f>
        <v>0.22</v>
      </c>
      <c r="H190" s="30" cm="1">
        <f t="array" ref="H190">Common_InputFunctions.Utility_DisplayArrayInTable(SourceData_PastureBeef.SourceData_PastureBeef_LiveweightGainNTQLD_Data(),Table_SourceData_PastureBeef_LiveweightGainNTQLD[[#Headers],[State]],0)</f>
        <v>-0.23</v>
      </c>
      <c r="I190" s="30" cm="1">
        <f t="array" ref="I190">Common_InputFunctions.Utility_DisplayArrayInTable(SourceData_PastureBeef.SourceData_PastureBeef_LiveweightGainNTQLD_Data(),Table_SourceData_PastureBeef_LiveweightGainNTQLD[[#Headers],[State]],0)</f>
        <v>0.25</v>
      </c>
      <c r="J190" s="30" cm="1">
        <f t="array" ref="J190">Common_InputFunctions.Utility_DisplayArrayInTable(SourceData_PastureBeef.SourceData_PastureBeef_LiveweightGainNTQLD_Data(),Table_SourceData_PastureBeef_LiveweightGainNTQLD[[#Headers],[State]],0)</f>
        <v>0.17</v>
      </c>
      <c r="K190" s="30" cm="1">
        <f t="array" ref="K190">Common_InputFunctions.Utility_DisplayArrayInTable(SourceData_PastureBeef.SourceData_PastureBeef_LiveweightGainNTQLD_Data(),Table_SourceData_PastureBeef_LiveweightGainNTQLD[[#Headers],[State]],0)</f>
        <v>0.18</v>
      </c>
      <c r="L190" s="30" cm="1">
        <f t="array" ref="L190">Common_InputFunctions.Utility_DisplayArrayInTable(SourceData_PastureBeef.SourceData_PastureBeef_LiveweightGainNTQLD_Data(),Table_SourceData_PastureBeef_LiveweightGainNTQLD[[#Headers],[State]],0)</f>
        <v>-0.28000000000000003</v>
      </c>
      <c r="M190" s="30" cm="1">
        <f t="array" ref="M190">Common_InputFunctions.Utility_DisplayArrayInTable(SourceData_PastureBeef.SourceData_PastureBeef_LiveweightGainNTQLD_Data(),Table_SourceData_PastureBeef_LiveweightGainNTQLD[[#Headers],[State]],0)</f>
        <v>0.32</v>
      </c>
      <c r="N190" s="30" cm="1">
        <f t="array" ref="N190">Common_InputFunctions.Utility_DisplayArrayInTable(SourceData_PastureBeef.SourceData_PastureBeef_LiveweightGainNTQLD_Data(),Table_SourceData_PastureBeef_LiveweightGainNTQLD[[#Headers],[State]],0)</f>
        <v>0.24</v>
      </c>
      <c r="O190" s="30" cm="1">
        <f t="array" ref="O190">Common_InputFunctions.Utility_DisplayArrayInTable(SourceData_PastureBeef.SourceData_PastureBeef_LiveweightGainNTQLD_Data(),Table_SourceData_PastureBeef_LiveweightGainNTQLD[[#Headers],[State]],0)</f>
        <v>0.25</v>
      </c>
      <c r="P190" s="30" cm="1">
        <f t="array" ref="P190">Common_InputFunctions.Utility_DisplayArrayInTable(SourceData_PastureBeef.SourceData_PastureBeef_LiveweightGainNTQLD_Data(),Table_SourceData_PastureBeef_LiveweightGainNTQLD[[#Headers],[State]],0)</f>
        <v>-0.05</v>
      </c>
    </row>
    <row r="191" spans="4:16" x14ac:dyDescent="0.25">
      <c r="D191" s="1" t="str" cm="1">
        <f t="array" ref="D191">Common_InputFunctions.Utility_DisplayArrayInTable(SourceData_PastureBeef.SourceData_PastureBeef_LiveweightGainNTQLD_Data(),Table_SourceData_PastureBeef_LiveweightGainNTQLD[[#Headers],[State]],0)</f>
        <v>Northern Territory</v>
      </c>
      <c r="E191" s="30" t="str" cm="1">
        <f t="array" ref="E191">Common_InputFunctions.Utility_DisplayArrayInTable(SourceData_PastureBeef.SourceData_PastureBeef_LiveweightGainNTQLD_Data(),Table_SourceData_PastureBeef_LiveweightGainNTQLD[[#Headers],[State]],0)</f>
        <v>Alice Springs</v>
      </c>
      <c r="F191" s="30" t="str" cm="1">
        <f t="array" ref="F191">Common_InputFunctions.Utility_DisplayArrayInTable(SourceData_PastureBeef.SourceData_PastureBeef_LiveweightGainNTQLD_Data(),Table_SourceData_PastureBeef_LiveweightGainNTQLD[[#Headers],[State]],0)</f>
        <v>Summer</v>
      </c>
      <c r="G191" s="30" cm="1">
        <f t="array" ref="G191">Common_InputFunctions.Utility_DisplayArrayInTable(SourceData_PastureBeef.SourceData_PastureBeef_LiveweightGainNTQLD_Data(),Table_SourceData_PastureBeef_LiveweightGainNTQLD[[#Headers],[State]],0)</f>
        <v>0.66</v>
      </c>
      <c r="H191" s="30" cm="1">
        <f t="array" ref="H191">Common_InputFunctions.Utility_DisplayArrayInTable(SourceData_PastureBeef.SourceData_PastureBeef_LiveweightGainNTQLD_Data(),Table_SourceData_PastureBeef_LiveweightGainNTQLD[[#Headers],[State]],0)</f>
        <v>0.2</v>
      </c>
      <c r="I191" s="30" cm="1">
        <f t="array" ref="I191">Common_InputFunctions.Utility_DisplayArrayInTable(SourceData_PastureBeef.SourceData_PastureBeef_LiveweightGainNTQLD_Data(),Table_SourceData_PastureBeef_LiveweightGainNTQLD[[#Headers],[State]],0)</f>
        <v>0.62</v>
      </c>
      <c r="J191" s="30" cm="1">
        <f t="array" ref="J191">Common_InputFunctions.Utility_DisplayArrayInTable(SourceData_PastureBeef.SourceData_PastureBeef_LiveweightGainNTQLD_Data(),Table_SourceData_PastureBeef_LiveweightGainNTQLD[[#Headers],[State]],0)</f>
        <v>0.54</v>
      </c>
      <c r="K191" s="30" cm="1">
        <f t="array" ref="K191">Common_InputFunctions.Utility_DisplayArrayInTable(SourceData_PastureBeef.SourceData_PastureBeef_LiveweightGainNTQLD_Data(),Table_SourceData_PastureBeef_LiveweightGainNTQLD[[#Headers],[State]],0)</f>
        <v>0.38</v>
      </c>
      <c r="L191" s="30" cm="1">
        <f t="array" ref="L191">Common_InputFunctions.Utility_DisplayArrayInTable(SourceData_PastureBeef.SourceData_PastureBeef_LiveweightGainNTQLD_Data(),Table_SourceData_PastureBeef_LiveweightGainNTQLD[[#Headers],[State]],0)</f>
        <v>0.27</v>
      </c>
      <c r="M191" s="30" cm="1">
        <f t="array" ref="M191">Common_InputFunctions.Utility_DisplayArrayInTable(SourceData_PastureBeef.SourceData_PastureBeef_LiveweightGainNTQLD_Data(),Table_SourceData_PastureBeef_LiveweightGainNTQLD[[#Headers],[State]],0)</f>
        <v>0.75</v>
      </c>
      <c r="N191" s="30" cm="1">
        <f t="array" ref="N191">Common_InputFunctions.Utility_DisplayArrayInTable(SourceData_PastureBeef.SourceData_PastureBeef_LiveweightGainNTQLD_Data(),Table_SourceData_PastureBeef_LiveweightGainNTQLD[[#Headers],[State]],0)</f>
        <v>0.64</v>
      </c>
      <c r="O191" s="30" cm="1">
        <f t="array" ref="O191">Common_InputFunctions.Utility_DisplayArrayInTable(SourceData_PastureBeef.SourceData_PastureBeef_LiveweightGainNTQLD_Data(),Table_SourceData_PastureBeef_LiveweightGainNTQLD[[#Headers],[State]],0)</f>
        <v>0.55000000000000004</v>
      </c>
      <c r="P191" s="30" cm="1">
        <f t="array" ref="P191">Common_InputFunctions.Utility_DisplayArrayInTable(SourceData_PastureBeef.SourceData_PastureBeef_LiveweightGainNTQLD_Data(),Table_SourceData_PastureBeef_LiveweightGainNTQLD[[#Headers],[State]],0)</f>
        <v>0.48</v>
      </c>
    </row>
    <row r="192" spans="4:16" x14ac:dyDescent="0.25">
      <c r="D192" s="1" t="str" cm="1">
        <f t="array" ref="D192">Common_InputFunctions.Utility_DisplayArrayInTable(SourceData_PastureBeef.SourceData_PastureBeef_LiveweightGainNTQLD_Data(),Table_SourceData_PastureBeef_LiveweightGainNTQLD[[#Headers],[State]],0)</f>
        <v>Northern Territory</v>
      </c>
      <c r="E192" s="30" t="str" cm="1">
        <f t="array" ref="E192">Common_InputFunctions.Utility_DisplayArrayInTable(SourceData_PastureBeef.SourceData_PastureBeef_LiveweightGainNTQLD_Data(),Table_SourceData_PastureBeef_LiveweightGainNTQLD[[#Headers],[State]],0)</f>
        <v>Alice Springs</v>
      </c>
      <c r="F192" s="30" t="str" cm="1">
        <f t="array" ref="F192">Common_InputFunctions.Utility_DisplayArrayInTable(SourceData_PastureBeef.SourceData_PastureBeef_LiveweightGainNTQLD_Data(),Table_SourceData_PastureBeef_LiveweightGainNTQLD[[#Headers],[State]],0)</f>
        <v>Autumn</v>
      </c>
      <c r="G192" s="30" cm="1">
        <f t="array" ref="G192">Common_InputFunctions.Utility_DisplayArrayInTable(SourceData_PastureBeef.SourceData_PastureBeef_LiveweightGainNTQLD_Data(),Table_SourceData_PastureBeef_LiveweightGainNTQLD[[#Headers],[State]],0)</f>
        <v>0.49</v>
      </c>
      <c r="H192" s="30" cm="1">
        <f t="array" ref="H192">Common_InputFunctions.Utility_DisplayArrayInTable(SourceData_PastureBeef.SourceData_PastureBeef_LiveweightGainNTQLD_Data(),Table_SourceData_PastureBeef_LiveweightGainNTQLD[[#Headers],[State]],0)</f>
        <v>0.13</v>
      </c>
      <c r="I192" s="30" cm="1">
        <f t="array" ref="I192">Common_InputFunctions.Utility_DisplayArrayInTable(SourceData_PastureBeef.SourceData_PastureBeef_LiveweightGainNTQLD_Data(),Table_SourceData_PastureBeef_LiveweightGainNTQLD[[#Headers],[State]],0)</f>
        <v>0.54</v>
      </c>
      <c r="J192" s="30" cm="1">
        <f t="array" ref="J192">Common_InputFunctions.Utility_DisplayArrayInTable(SourceData_PastureBeef.SourceData_PastureBeef_LiveweightGainNTQLD_Data(),Table_SourceData_PastureBeef_LiveweightGainNTQLD[[#Headers],[State]],0)</f>
        <v>0.45</v>
      </c>
      <c r="K192" s="30" cm="1">
        <f t="array" ref="K192">Common_InputFunctions.Utility_DisplayArrayInTable(SourceData_PastureBeef.SourceData_PastureBeef_LiveweightGainNTQLD_Data(),Table_SourceData_PastureBeef_LiveweightGainNTQLD[[#Headers],[State]],0)</f>
        <v>0.35</v>
      </c>
      <c r="L192" s="30" cm="1">
        <f t="array" ref="L192">Common_InputFunctions.Utility_DisplayArrayInTable(SourceData_PastureBeef.SourceData_PastureBeef_LiveweightGainNTQLD_Data(),Table_SourceData_PastureBeef_LiveweightGainNTQLD[[#Headers],[State]],0)</f>
        <v>0.15</v>
      </c>
      <c r="M192" s="30" cm="1">
        <f t="array" ref="M192">Common_InputFunctions.Utility_DisplayArrayInTable(SourceData_PastureBeef.SourceData_PastureBeef_LiveweightGainNTQLD_Data(),Table_SourceData_PastureBeef_LiveweightGainNTQLD[[#Headers],[State]],0)</f>
        <v>0.63</v>
      </c>
      <c r="N192" s="30" cm="1">
        <f t="array" ref="N192">Common_InputFunctions.Utility_DisplayArrayInTable(SourceData_PastureBeef.SourceData_PastureBeef_LiveweightGainNTQLD_Data(),Table_SourceData_PastureBeef_LiveweightGainNTQLD[[#Headers],[State]],0)</f>
        <v>0.54</v>
      </c>
      <c r="O192" s="30" cm="1">
        <f t="array" ref="O192">Common_InputFunctions.Utility_DisplayArrayInTable(SourceData_PastureBeef.SourceData_PastureBeef_LiveweightGainNTQLD_Data(),Table_SourceData_PastureBeef_LiveweightGainNTQLD[[#Headers],[State]],0)</f>
        <v>0.42</v>
      </c>
      <c r="P192" s="30" cm="1">
        <f t="array" ref="P192">Common_InputFunctions.Utility_DisplayArrayInTable(SourceData_PastureBeef.SourceData_PastureBeef_LiveweightGainNTQLD_Data(),Table_SourceData_PastureBeef_LiveweightGainNTQLD[[#Headers],[State]],0)</f>
        <v>0.26</v>
      </c>
    </row>
    <row r="193" spans="4:16" x14ac:dyDescent="0.25">
      <c r="D193" s="1" t="str" cm="1">
        <f t="array" ref="D193">Common_InputFunctions.Utility_DisplayArrayInTable(SourceData_PastureBeef.SourceData_PastureBeef_LiveweightGainNTQLD_Data(),Table_SourceData_PastureBeef_LiveweightGainNTQLD[[#Headers],[State]],0)</f>
        <v>Northern Territory</v>
      </c>
      <c r="E193" s="30" t="str" cm="1">
        <f t="array" ref="E193">Common_InputFunctions.Utility_DisplayArrayInTable(SourceData_PastureBeef.SourceData_PastureBeef_LiveweightGainNTQLD_Data(),Table_SourceData_PastureBeef_LiveweightGainNTQLD[[#Headers],[State]],0)</f>
        <v>Alice Springs</v>
      </c>
      <c r="F193" s="30" t="str" cm="1">
        <f t="array" ref="F193">Common_InputFunctions.Utility_DisplayArrayInTable(SourceData_PastureBeef.SourceData_PastureBeef_LiveweightGainNTQLD_Data(),Table_SourceData_PastureBeef_LiveweightGainNTQLD[[#Headers],[State]],0)</f>
        <v>Winter</v>
      </c>
      <c r="G193" s="30" cm="1">
        <f t="array" ref="G193">Common_InputFunctions.Utility_DisplayArrayInTable(SourceData_PastureBeef.SourceData_PastureBeef_LiveweightGainNTQLD_Data(),Table_SourceData_PastureBeef_LiveweightGainNTQLD[[#Headers],[State]],0)</f>
        <v>0.27</v>
      </c>
      <c r="H193" s="30" cm="1">
        <f t="array" ref="H193">Common_InputFunctions.Utility_DisplayArrayInTable(SourceData_PastureBeef.SourceData_PastureBeef_LiveweightGainNTQLD_Data(),Table_SourceData_PastureBeef_LiveweightGainNTQLD[[#Headers],[State]],0)</f>
        <v>-0.8</v>
      </c>
      <c r="I193" s="30" cm="1">
        <f t="array" ref="I193">Common_InputFunctions.Utility_DisplayArrayInTable(SourceData_PastureBeef.SourceData_PastureBeef_LiveweightGainNTQLD_Data(),Table_SourceData_PastureBeef_LiveweightGainNTQLD[[#Headers],[State]],0)</f>
        <v>0.22</v>
      </c>
      <c r="J193" s="30" cm="1">
        <f t="array" ref="J193">Common_InputFunctions.Utility_DisplayArrayInTable(SourceData_PastureBeef.SourceData_PastureBeef_LiveweightGainNTQLD_Data(),Table_SourceData_PastureBeef_LiveweightGainNTQLD[[#Headers],[State]],0)</f>
        <v>0.09</v>
      </c>
      <c r="K193" s="30" cm="1">
        <f t="array" ref="K193">Common_InputFunctions.Utility_DisplayArrayInTable(SourceData_PastureBeef.SourceData_PastureBeef_LiveweightGainNTQLD_Data(),Table_SourceData_PastureBeef_LiveweightGainNTQLD[[#Headers],[State]],0)</f>
        <v>0.12</v>
      </c>
      <c r="L193" s="30" cm="1">
        <f t="array" ref="L193">Common_InputFunctions.Utility_DisplayArrayInTable(SourceData_PastureBeef.SourceData_PastureBeef_LiveweightGainNTQLD_Data(),Table_SourceData_PastureBeef_LiveweightGainNTQLD[[#Headers],[State]],0)</f>
        <v>0.02</v>
      </c>
      <c r="M193" s="30" cm="1">
        <f t="array" ref="M193">Common_InputFunctions.Utility_DisplayArrayInTable(SourceData_PastureBeef.SourceData_PastureBeef_LiveweightGainNTQLD_Data(),Table_SourceData_PastureBeef_LiveweightGainNTQLD[[#Headers],[State]],0)</f>
        <v>0.25</v>
      </c>
      <c r="N193" s="30" cm="1">
        <f t="array" ref="N193">Common_InputFunctions.Utility_DisplayArrayInTable(SourceData_PastureBeef.SourceData_PastureBeef_LiveweightGainNTQLD_Data(),Table_SourceData_PastureBeef_LiveweightGainNTQLD[[#Headers],[State]],0)</f>
        <v>0.18</v>
      </c>
      <c r="O193" s="30" cm="1">
        <f t="array" ref="O193">Common_InputFunctions.Utility_DisplayArrayInTable(SourceData_PastureBeef.SourceData_PastureBeef_LiveweightGainNTQLD_Data(),Table_SourceData_PastureBeef_LiveweightGainNTQLD[[#Headers],[State]],0)</f>
        <v>0.12</v>
      </c>
      <c r="P193" s="30" cm="1">
        <f t="array" ref="P193">Common_InputFunctions.Utility_DisplayArrayInTable(SourceData_PastureBeef.SourceData_PastureBeef_LiveweightGainNTQLD_Data(),Table_SourceData_PastureBeef_LiveweightGainNTQLD[[#Headers],[State]],0)</f>
        <v>0.03</v>
      </c>
    </row>
    <row r="194" spans="4:16" x14ac:dyDescent="0.25">
      <c r="D194" s="1" t="str" cm="1">
        <f t="array" ref="D194">Common_InputFunctions.Utility_DisplayArrayInTable(SourceData_PastureBeef.SourceData_PastureBeef_LiveweightGainNTQLD_Data(),Table_SourceData_PastureBeef_LiveweightGainNTQLD[[#Headers],[State]],0)</f>
        <v>Northern Territory</v>
      </c>
      <c r="E194" s="30" t="str" cm="1">
        <f t="array" ref="E194">Common_InputFunctions.Utility_DisplayArrayInTable(SourceData_PastureBeef.SourceData_PastureBeef_LiveweightGainNTQLD_Data(),Table_SourceData_PastureBeef_LiveweightGainNTQLD[[#Headers],[State]],0)</f>
        <v>Barkly</v>
      </c>
      <c r="F194" s="30" t="str" cm="1">
        <f t="array" ref="F194">Common_InputFunctions.Utility_DisplayArrayInTable(SourceData_PastureBeef.SourceData_PastureBeef_LiveweightGainNTQLD_Data(),Table_SourceData_PastureBeef_LiveweightGainNTQLD[[#Headers],[State]],0)</f>
        <v>Spring</v>
      </c>
      <c r="G194" s="30" cm="1">
        <f t="array" ref="G194">Common_InputFunctions.Utility_DisplayArrayInTable(SourceData_PastureBeef.SourceData_PastureBeef_LiveweightGainNTQLD_Data(),Table_SourceData_PastureBeef_LiveweightGainNTQLD[[#Headers],[State]],0)</f>
        <v>0.22</v>
      </c>
      <c r="H194" s="30" cm="1">
        <f t="array" ref="H194">Common_InputFunctions.Utility_DisplayArrayInTable(SourceData_PastureBeef.SourceData_PastureBeef_LiveweightGainNTQLD_Data(),Table_SourceData_PastureBeef_LiveweightGainNTQLD[[#Headers],[State]],0)</f>
        <v>-0.44</v>
      </c>
      <c r="I194" s="30" cm="1">
        <f t="array" ref="I194">Common_InputFunctions.Utility_DisplayArrayInTable(SourceData_PastureBeef.SourceData_PastureBeef_LiveweightGainNTQLD_Data(),Table_SourceData_PastureBeef_LiveweightGainNTQLD[[#Headers],[State]],0)</f>
        <v>0.2</v>
      </c>
      <c r="J194" s="30" cm="1">
        <f t="array" ref="J194">Common_InputFunctions.Utility_DisplayArrayInTable(SourceData_PastureBeef.SourceData_PastureBeef_LiveweightGainNTQLD_Data(),Table_SourceData_PastureBeef_LiveweightGainNTQLD[[#Headers],[State]],0)</f>
        <v>0.21</v>
      </c>
      <c r="K194" s="30" cm="1">
        <f t="array" ref="K194">Common_InputFunctions.Utility_DisplayArrayInTable(SourceData_PastureBeef.SourceData_PastureBeef_LiveweightGainNTQLD_Data(),Table_SourceData_PastureBeef_LiveweightGainNTQLD[[#Headers],[State]],0)</f>
        <v>0.18</v>
      </c>
      <c r="L194" s="30" cm="1">
        <f t="array" ref="L194">Common_InputFunctions.Utility_DisplayArrayInTable(SourceData_PastureBeef.SourceData_PastureBeef_LiveweightGainNTQLD_Data(),Table_SourceData_PastureBeef_LiveweightGainNTQLD[[#Headers],[State]],0)</f>
        <v>0.01</v>
      </c>
      <c r="M194" s="30" cm="1">
        <f t="array" ref="M194">Common_InputFunctions.Utility_DisplayArrayInTable(SourceData_PastureBeef.SourceData_PastureBeef_LiveweightGainNTQLD_Data(),Table_SourceData_PastureBeef_LiveweightGainNTQLD[[#Headers],[State]],0)</f>
        <v>0.12</v>
      </c>
      <c r="N194" s="30" cm="1">
        <f t="array" ref="N194">Common_InputFunctions.Utility_DisplayArrayInTable(SourceData_PastureBeef.SourceData_PastureBeef_LiveweightGainNTQLD_Data(),Table_SourceData_PastureBeef_LiveweightGainNTQLD[[#Headers],[State]],0)</f>
        <v>0.09</v>
      </c>
      <c r="O194" s="30" t="str" cm="1">
        <f t="array" ref="O194">Common_InputFunctions.Utility_DisplayArrayInTable(SourceData_PastureBeef.SourceData_PastureBeef_LiveweightGainNTQLD_Data(),Table_SourceData_PastureBeef_LiveweightGainNTQLD[[#Headers],[State]],0)</f>
        <v>NO</v>
      </c>
      <c r="P194" s="30" t="str" cm="1">
        <f t="array" ref="P194">Common_InputFunctions.Utility_DisplayArrayInTable(SourceData_PastureBeef.SourceData_PastureBeef_LiveweightGainNTQLD_Data(),Table_SourceData_PastureBeef_LiveweightGainNTQLD[[#Headers],[State]],0)</f>
        <v>NO</v>
      </c>
    </row>
    <row r="195" spans="4:16" x14ac:dyDescent="0.25">
      <c r="D195" s="1" t="str" cm="1">
        <f t="array" ref="D195">Common_InputFunctions.Utility_DisplayArrayInTable(SourceData_PastureBeef.SourceData_PastureBeef_LiveweightGainNTQLD_Data(),Table_SourceData_PastureBeef_LiveweightGainNTQLD[[#Headers],[State]],0)</f>
        <v>Northern Territory</v>
      </c>
      <c r="E195" s="30" t="str" cm="1">
        <f t="array" ref="E195">Common_InputFunctions.Utility_DisplayArrayInTable(SourceData_PastureBeef.SourceData_PastureBeef_LiveweightGainNTQLD_Data(),Table_SourceData_PastureBeef_LiveweightGainNTQLD[[#Headers],[State]],0)</f>
        <v>Barkly</v>
      </c>
      <c r="F195" s="30" t="str" cm="1">
        <f t="array" ref="F195">Common_InputFunctions.Utility_DisplayArrayInTable(SourceData_PastureBeef.SourceData_PastureBeef_LiveweightGainNTQLD_Data(),Table_SourceData_PastureBeef_LiveweightGainNTQLD[[#Headers],[State]],0)</f>
        <v>Summer</v>
      </c>
      <c r="G195" s="30" cm="1">
        <f t="array" ref="G195">Common_InputFunctions.Utility_DisplayArrayInTable(SourceData_PastureBeef.SourceData_PastureBeef_LiveweightGainNTQLD_Data(),Table_SourceData_PastureBeef_LiveweightGainNTQLD[[#Headers],[State]],0)</f>
        <v>0.66</v>
      </c>
      <c r="H195" s="30" cm="1">
        <f t="array" ref="H195">Common_InputFunctions.Utility_DisplayArrayInTable(SourceData_PastureBeef.SourceData_PastureBeef_LiveweightGainNTQLD_Data(),Table_SourceData_PastureBeef_LiveweightGainNTQLD[[#Headers],[State]],0)</f>
        <v>0.22</v>
      </c>
      <c r="I195" s="30" cm="1">
        <f t="array" ref="I195">Common_InputFunctions.Utility_DisplayArrayInTable(SourceData_PastureBeef.SourceData_PastureBeef_LiveweightGainNTQLD_Data(),Table_SourceData_PastureBeef_LiveweightGainNTQLD[[#Headers],[State]],0)</f>
        <v>0.68</v>
      </c>
      <c r="J195" s="30" cm="1">
        <f t="array" ref="J195">Common_InputFunctions.Utility_DisplayArrayInTable(SourceData_PastureBeef.SourceData_PastureBeef_LiveweightGainNTQLD_Data(),Table_SourceData_PastureBeef_LiveweightGainNTQLD[[#Headers],[State]],0)</f>
        <v>0.22</v>
      </c>
      <c r="K195" s="30" cm="1">
        <f t="array" ref="K195">Common_InputFunctions.Utility_DisplayArrayInTable(SourceData_PastureBeef.SourceData_PastureBeef_LiveweightGainNTQLD_Data(),Table_SourceData_PastureBeef_LiveweightGainNTQLD[[#Headers],[State]],0)</f>
        <v>0.24</v>
      </c>
      <c r="L195" s="30" cm="1">
        <f t="array" ref="L195">Common_InputFunctions.Utility_DisplayArrayInTable(SourceData_PastureBeef.SourceData_PastureBeef_LiveweightGainNTQLD_Data(),Table_SourceData_PastureBeef_LiveweightGainNTQLD[[#Headers],[State]],0)</f>
        <v>0.25</v>
      </c>
      <c r="M195" s="30" cm="1">
        <f t="array" ref="M195">Common_InputFunctions.Utility_DisplayArrayInTable(SourceData_PastureBeef.SourceData_PastureBeef_LiveweightGainNTQLD_Data(),Table_SourceData_PastureBeef_LiveweightGainNTQLD[[#Headers],[State]],0)</f>
        <v>0.64</v>
      </c>
      <c r="N195" s="30" cm="1">
        <f t="array" ref="N195">Common_InputFunctions.Utility_DisplayArrayInTable(SourceData_PastureBeef.SourceData_PastureBeef_LiveweightGainNTQLD_Data(),Table_SourceData_PastureBeef_LiveweightGainNTQLD[[#Headers],[State]],0)</f>
        <v>0.37</v>
      </c>
      <c r="O195" s="30" t="str" cm="1">
        <f t="array" ref="O195">Common_InputFunctions.Utility_DisplayArrayInTable(SourceData_PastureBeef.SourceData_PastureBeef_LiveweightGainNTQLD_Data(),Table_SourceData_PastureBeef_LiveweightGainNTQLD[[#Headers],[State]],0)</f>
        <v>NO</v>
      </c>
      <c r="P195" s="30" t="str" cm="1">
        <f t="array" ref="P195">Common_InputFunctions.Utility_DisplayArrayInTable(SourceData_PastureBeef.SourceData_PastureBeef_LiveweightGainNTQLD_Data(),Table_SourceData_PastureBeef_LiveweightGainNTQLD[[#Headers],[State]],0)</f>
        <v>NO</v>
      </c>
    </row>
    <row r="196" spans="4:16" x14ac:dyDescent="0.25">
      <c r="D196" s="1" t="str" cm="1">
        <f t="array" ref="D196">Common_InputFunctions.Utility_DisplayArrayInTable(SourceData_PastureBeef.SourceData_PastureBeef_LiveweightGainNTQLD_Data(),Table_SourceData_PastureBeef_LiveweightGainNTQLD[[#Headers],[State]],0)</f>
        <v>Northern Territory</v>
      </c>
      <c r="E196" s="30" t="str" cm="1">
        <f t="array" ref="E196">Common_InputFunctions.Utility_DisplayArrayInTable(SourceData_PastureBeef.SourceData_PastureBeef_LiveweightGainNTQLD_Data(),Table_SourceData_PastureBeef_LiveweightGainNTQLD[[#Headers],[State]],0)</f>
        <v>Barkly</v>
      </c>
      <c r="F196" s="30" t="str" cm="1">
        <f t="array" ref="F196">Common_InputFunctions.Utility_DisplayArrayInTable(SourceData_PastureBeef.SourceData_PastureBeef_LiveweightGainNTQLD_Data(),Table_SourceData_PastureBeef_LiveweightGainNTQLD[[#Headers],[State]],0)</f>
        <v>Autumn</v>
      </c>
      <c r="G196" s="30" cm="1">
        <f t="array" ref="G196">Common_InputFunctions.Utility_DisplayArrayInTable(SourceData_PastureBeef.SourceData_PastureBeef_LiveweightGainNTQLD_Data(),Table_SourceData_PastureBeef_LiveweightGainNTQLD[[#Headers],[State]],0)</f>
        <v>0.49</v>
      </c>
      <c r="H196" s="30" cm="1">
        <f t="array" ref="H196">Common_InputFunctions.Utility_DisplayArrayInTable(SourceData_PastureBeef.SourceData_PastureBeef_LiveweightGainNTQLD_Data(),Table_SourceData_PastureBeef_LiveweightGainNTQLD[[#Headers],[State]],0)</f>
        <v>0.05</v>
      </c>
      <c r="I196" s="30" cm="1">
        <f t="array" ref="I196">Common_InputFunctions.Utility_DisplayArrayInTable(SourceData_PastureBeef.SourceData_PastureBeef_LiveweightGainNTQLD_Data(),Table_SourceData_PastureBeef_LiveweightGainNTQLD[[#Headers],[State]],0)</f>
        <v>0.64</v>
      </c>
      <c r="J196" s="30" cm="1">
        <f t="array" ref="J196">Common_InputFunctions.Utility_DisplayArrayInTable(SourceData_PastureBeef.SourceData_PastureBeef_LiveweightGainNTQLD_Data(),Table_SourceData_PastureBeef_LiveweightGainNTQLD[[#Headers],[State]],0)</f>
        <v>0.25</v>
      </c>
      <c r="K196" s="30" cm="1">
        <f t="array" ref="K196">Common_InputFunctions.Utility_DisplayArrayInTable(SourceData_PastureBeef.SourceData_PastureBeef_LiveweightGainNTQLD_Data(),Table_SourceData_PastureBeef_LiveweightGainNTQLD[[#Headers],[State]],0)</f>
        <v>0.28999999999999998</v>
      </c>
      <c r="L196" s="30" cm="1">
        <f t="array" ref="L196">Common_InputFunctions.Utility_DisplayArrayInTable(SourceData_PastureBeef.SourceData_PastureBeef_LiveweightGainNTQLD_Data(),Table_SourceData_PastureBeef_LiveweightGainNTQLD[[#Headers],[State]],0)</f>
        <v>0.12</v>
      </c>
      <c r="M196" s="30" cm="1">
        <f t="array" ref="M196">Common_InputFunctions.Utility_DisplayArrayInTable(SourceData_PastureBeef.SourceData_PastureBeef_LiveweightGainNTQLD_Data(),Table_SourceData_PastureBeef_LiveweightGainNTQLD[[#Headers],[State]],0)</f>
        <v>0.56999999999999995</v>
      </c>
      <c r="N196" s="30" cm="1">
        <f t="array" ref="N196">Common_InputFunctions.Utility_DisplayArrayInTable(SourceData_PastureBeef.SourceData_PastureBeef_LiveweightGainNTQLD_Data(),Table_SourceData_PastureBeef_LiveweightGainNTQLD[[#Headers],[State]],0)</f>
        <v>0.49</v>
      </c>
      <c r="O196" s="30" t="str" cm="1">
        <f t="array" ref="O196">Common_InputFunctions.Utility_DisplayArrayInTable(SourceData_PastureBeef.SourceData_PastureBeef_LiveweightGainNTQLD_Data(),Table_SourceData_PastureBeef_LiveweightGainNTQLD[[#Headers],[State]],0)</f>
        <v>NO</v>
      </c>
      <c r="P196" s="30" t="str" cm="1">
        <f t="array" ref="P196">Common_InputFunctions.Utility_DisplayArrayInTable(SourceData_PastureBeef.SourceData_PastureBeef_LiveweightGainNTQLD_Data(),Table_SourceData_PastureBeef_LiveweightGainNTQLD[[#Headers],[State]],0)</f>
        <v>NO</v>
      </c>
    </row>
    <row r="197" spans="4:16" x14ac:dyDescent="0.25">
      <c r="D197" s="1" t="str" cm="1">
        <f t="array" ref="D197">Common_InputFunctions.Utility_DisplayArrayInTable(SourceData_PastureBeef.SourceData_PastureBeef_LiveweightGainNTQLD_Data(),Table_SourceData_PastureBeef_LiveweightGainNTQLD[[#Headers],[State]],0)</f>
        <v>Northern Territory</v>
      </c>
      <c r="E197" s="30" t="str" cm="1">
        <f t="array" ref="E197">Common_InputFunctions.Utility_DisplayArrayInTable(SourceData_PastureBeef.SourceData_PastureBeef_LiveweightGainNTQLD_Data(),Table_SourceData_PastureBeef_LiveweightGainNTQLD[[#Headers],[State]],0)</f>
        <v>Barkly</v>
      </c>
      <c r="F197" s="30" t="str" cm="1">
        <f t="array" ref="F197">Common_InputFunctions.Utility_DisplayArrayInTable(SourceData_PastureBeef.SourceData_PastureBeef_LiveweightGainNTQLD_Data(),Table_SourceData_PastureBeef_LiveweightGainNTQLD[[#Headers],[State]],0)</f>
        <v>Winter</v>
      </c>
      <c r="G197" s="30" cm="1">
        <f t="array" ref="G197">Common_InputFunctions.Utility_DisplayArrayInTable(SourceData_PastureBeef.SourceData_PastureBeef_LiveweightGainNTQLD_Data(),Table_SourceData_PastureBeef_LiveweightGainNTQLD[[#Headers],[State]],0)</f>
        <v>0.27</v>
      </c>
      <c r="H197" s="30" cm="1">
        <f t="array" ref="H197">Common_InputFunctions.Utility_DisplayArrayInTable(SourceData_PastureBeef.SourceData_PastureBeef_LiveweightGainNTQLD_Data(),Table_SourceData_PastureBeef_LiveweightGainNTQLD[[#Headers],[State]],0)</f>
        <v>-0.27</v>
      </c>
      <c r="I197" s="30" cm="1">
        <f t="array" ref="I197">Common_InputFunctions.Utility_DisplayArrayInTable(SourceData_PastureBeef.SourceData_PastureBeef_LiveweightGainNTQLD_Data(),Table_SourceData_PastureBeef_LiveweightGainNTQLD[[#Headers],[State]],0)</f>
        <v>0.31</v>
      </c>
      <c r="J197" s="30" cm="1">
        <f t="array" ref="J197">Common_InputFunctions.Utility_DisplayArrayInTable(SourceData_PastureBeef.SourceData_PastureBeef_LiveweightGainNTQLD_Data(),Table_SourceData_PastureBeef_LiveweightGainNTQLD[[#Headers],[State]],0)</f>
        <v>0.28999999999999998</v>
      </c>
      <c r="K197" s="30" cm="1">
        <f t="array" ref="K197">Common_InputFunctions.Utility_DisplayArrayInTable(SourceData_PastureBeef.SourceData_PastureBeef_LiveweightGainNTQLD_Data(),Table_SourceData_PastureBeef_LiveweightGainNTQLD[[#Headers],[State]],0)</f>
        <v>0.19</v>
      </c>
      <c r="L197" s="30" cm="1">
        <f t="array" ref="L197">Common_InputFunctions.Utility_DisplayArrayInTable(SourceData_PastureBeef.SourceData_PastureBeef_LiveweightGainNTQLD_Data(),Table_SourceData_PastureBeef_LiveweightGainNTQLD[[#Headers],[State]],0)</f>
        <v>0.04</v>
      </c>
      <c r="M197" s="30" cm="1">
        <f t="array" ref="M197">Common_InputFunctions.Utility_DisplayArrayInTable(SourceData_PastureBeef.SourceData_PastureBeef_LiveweightGainNTQLD_Data(),Table_SourceData_PastureBeef_LiveweightGainNTQLD[[#Headers],[State]],0)</f>
        <v>0.26</v>
      </c>
      <c r="N197" s="30" cm="1">
        <f t="array" ref="N197">Common_InputFunctions.Utility_DisplayArrayInTable(SourceData_PastureBeef.SourceData_PastureBeef_LiveweightGainNTQLD_Data(),Table_SourceData_PastureBeef_LiveweightGainNTQLD[[#Headers],[State]],0)</f>
        <v>0.28000000000000003</v>
      </c>
      <c r="O197" s="30" t="str" cm="1">
        <f t="array" ref="O197">Common_InputFunctions.Utility_DisplayArrayInTable(SourceData_PastureBeef.SourceData_PastureBeef_LiveweightGainNTQLD_Data(),Table_SourceData_PastureBeef_LiveweightGainNTQLD[[#Headers],[State]],0)</f>
        <v>NO</v>
      </c>
      <c r="P197" s="30" t="str" cm="1">
        <f t="array" ref="P197">Common_InputFunctions.Utility_DisplayArrayInTable(SourceData_PastureBeef.SourceData_PastureBeef_LiveweightGainNTQLD_Data(),Table_SourceData_PastureBeef_LiveweightGainNTQLD[[#Headers],[State]],0)</f>
        <v>NO</v>
      </c>
    </row>
    <row r="198" spans="4:16" x14ac:dyDescent="0.25">
      <c r="D198" s="1" t="str" cm="1">
        <f t="array" ref="D198">Common_InputFunctions.Utility_DisplayArrayInTable(SourceData_PastureBeef.SourceData_PastureBeef_LiveweightGainNTQLD_Data(),Table_SourceData_PastureBeef_LiveweightGainNTQLD[[#Headers],[State]],0)</f>
        <v>Northern Territory</v>
      </c>
      <c r="E198" s="30" t="str" cm="1">
        <f t="array" ref="E198">Common_InputFunctions.Utility_DisplayArrayInTable(SourceData_PastureBeef.SourceData_PastureBeef_LiveweightGainNTQLD_Data(),Table_SourceData_PastureBeef_LiveweightGainNTQLD[[#Headers],[State]],0)</f>
        <v>Northern</v>
      </c>
      <c r="F198" s="30" t="str" cm="1">
        <f t="array" ref="F198">Common_InputFunctions.Utility_DisplayArrayInTable(SourceData_PastureBeef.SourceData_PastureBeef_LiveweightGainNTQLD_Data(),Table_SourceData_PastureBeef_LiveweightGainNTQLD[[#Headers],[State]],0)</f>
        <v>Spring</v>
      </c>
      <c r="G198" s="30" cm="1">
        <f t="array" ref="G198">Common_InputFunctions.Utility_DisplayArrayInTable(SourceData_PastureBeef.SourceData_PastureBeef_LiveweightGainNTQLD_Data(),Table_SourceData_PastureBeef_LiveweightGainNTQLD[[#Headers],[State]],0)</f>
        <v>0.22</v>
      </c>
      <c r="H198" s="30" cm="1">
        <f t="array" ref="H198">Common_InputFunctions.Utility_DisplayArrayInTable(SourceData_PastureBeef.SourceData_PastureBeef_LiveweightGainNTQLD_Data(),Table_SourceData_PastureBeef_LiveweightGainNTQLD[[#Headers],[State]],0)</f>
        <v>-0.44</v>
      </c>
      <c r="I198" s="30" cm="1">
        <f t="array" ref="I198">Common_InputFunctions.Utility_DisplayArrayInTable(SourceData_PastureBeef.SourceData_PastureBeef_LiveweightGainNTQLD_Data(),Table_SourceData_PastureBeef_LiveweightGainNTQLD[[#Headers],[State]],0)</f>
        <v>0</v>
      </c>
      <c r="J198" s="30" cm="1">
        <f t="array" ref="J198">Common_InputFunctions.Utility_DisplayArrayInTable(SourceData_PastureBeef.SourceData_PastureBeef_LiveweightGainNTQLD_Data(),Table_SourceData_PastureBeef_LiveweightGainNTQLD[[#Headers],[State]],0)</f>
        <v>0.15</v>
      </c>
      <c r="K198" s="30" cm="1">
        <f t="array" ref="K198">Common_InputFunctions.Utility_DisplayArrayInTable(SourceData_PastureBeef.SourceData_PastureBeef_LiveweightGainNTQLD_Data(),Table_SourceData_PastureBeef_LiveweightGainNTQLD[[#Headers],[State]],0)</f>
        <v>0.08</v>
      </c>
      <c r="L198" s="30" cm="1">
        <f t="array" ref="L198">Common_InputFunctions.Utility_DisplayArrayInTable(SourceData_PastureBeef.SourceData_PastureBeef_LiveweightGainNTQLD_Data(),Table_SourceData_PastureBeef_LiveweightGainNTQLD[[#Headers],[State]],0)</f>
        <v>0.17</v>
      </c>
      <c r="M198" s="30" cm="1">
        <f t="array" ref="M198">Common_InputFunctions.Utility_DisplayArrayInTable(SourceData_PastureBeef.SourceData_PastureBeef_LiveweightGainNTQLD_Data(),Table_SourceData_PastureBeef_LiveweightGainNTQLD[[#Headers],[State]],0)</f>
        <v>0.06</v>
      </c>
      <c r="N198" s="30" cm="1">
        <f t="array" ref="N198">Common_InputFunctions.Utility_DisplayArrayInTable(SourceData_PastureBeef.SourceData_PastureBeef_LiveweightGainNTQLD_Data(),Table_SourceData_PastureBeef_LiveweightGainNTQLD[[#Headers],[State]],0)</f>
        <v>0.02</v>
      </c>
      <c r="O198" s="30" cm="1">
        <f t="array" ref="O198">Common_InputFunctions.Utility_DisplayArrayInTable(SourceData_PastureBeef.SourceData_PastureBeef_LiveweightGainNTQLD_Data(),Table_SourceData_PastureBeef_LiveweightGainNTQLD[[#Headers],[State]],0)</f>
        <v>-0.14000000000000001</v>
      </c>
      <c r="P198" s="30" t="str" cm="1">
        <f t="array" ref="P198">Common_InputFunctions.Utility_DisplayArrayInTable(SourceData_PastureBeef.SourceData_PastureBeef_LiveweightGainNTQLD_Data(),Table_SourceData_PastureBeef_LiveweightGainNTQLD[[#Headers],[State]],0)</f>
        <v>NO</v>
      </c>
    </row>
    <row r="199" spans="4:16" x14ac:dyDescent="0.25">
      <c r="D199" s="1" t="str" cm="1">
        <f t="array" ref="D199">Common_InputFunctions.Utility_DisplayArrayInTable(SourceData_PastureBeef.SourceData_PastureBeef_LiveweightGainNTQLD_Data(),Table_SourceData_PastureBeef_LiveweightGainNTQLD[[#Headers],[State]],0)</f>
        <v>Northern Territory</v>
      </c>
      <c r="E199" s="30" t="str" cm="1">
        <f t="array" ref="E199">Common_InputFunctions.Utility_DisplayArrayInTable(SourceData_PastureBeef.SourceData_PastureBeef_LiveweightGainNTQLD_Data(),Table_SourceData_PastureBeef_LiveweightGainNTQLD[[#Headers],[State]],0)</f>
        <v>Northern</v>
      </c>
      <c r="F199" s="30" t="str" cm="1">
        <f t="array" ref="F199">Common_InputFunctions.Utility_DisplayArrayInTable(SourceData_PastureBeef.SourceData_PastureBeef_LiveweightGainNTQLD_Data(),Table_SourceData_PastureBeef_LiveweightGainNTQLD[[#Headers],[State]],0)</f>
        <v>Summer</v>
      </c>
      <c r="G199" s="30" cm="1">
        <f t="array" ref="G199">Common_InputFunctions.Utility_DisplayArrayInTable(SourceData_PastureBeef.SourceData_PastureBeef_LiveweightGainNTQLD_Data(),Table_SourceData_PastureBeef_LiveweightGainNTQLD[[#Headers],[State]],0)</f>
        <v>0.66</v>
      </c>
      <c r="H199" s="30" cm="1">
        <f t="array" ref="H199">Common_InputFunctions.Utility_DisplayArrayInTable(SourceData_PastureBeef.SourceData_PastureBeef_LiveweightGainNTQLD_Data(),Table_SourceData_PastureBeef_LiveweightGainNTQLD[[#Headers],[State]],0)</f>
        <v>0.22</v>
      </c>
      <c r="I199" s="30" cm="1">
        <f t="array" ref="I199">Common_InputFunctions.Utility_DisplayArrayInTable(SourceData_PastureBeef.SourceData_PastureBeef_LiveweightGainNTQLD_Data(),Table_SourceData_PastureBeef_LiveweightGainNTQLD[[#Headers],[State]],0)</f>
        <v>0.79</v>
      </c>
      <c r="J199" s="30" cm="1">
        <f t="array" ref="J199">Common_InputFunctions.Utility_DisplayArrayInTable(SourceData_PastureBeef.SourceData_PastureBeef_LiveweightGainNTQLD_Data(),Table_SourceData_PastureBeef_LiveweightGainNTQLD[[#Headers],[State]],0)</f>
        <v>0.4</v>
      </c>
      <c r="K199" s="30" cm="1">
        <f t="array" ref="K199">Common_InputFunctions.Utility_DisplayArrayInTable(SourceData_PastureBeef.SourceData_PastureBeef_LiveweightGainNTQLD_Data(),Table_SourceData_PastureBeef_LiveweightGainNTQLD[[#Headers],[State]],0)</f>
        <v>0.38</v>
      </c>
      <c r="L199" s="30" cm="1">
        <f t="array" ref="L199">Common_InputFunctions.Utility_DisplayArrayInTable(SourceData_PastureBeef.SourceData_PastureBeef_LiveweightGainNTQLD_Data(),Table_SourceData_PastureBeef_LiveweightGainNTQLD[[#Headers],[State]],0)</f>
        <v>0.27</v>
      </c>
      <c r="M199" s="30" cm="1">
        <f t="array" ref="M199">Common_InputFunctions.Utility_DisplayArrayInTable(SourceData_PastureBeef.SourceData_PastureBeef_LiveweightGainNTQLD_Data(),Table_SourceData_PastureBeef_LiveweightGainNTQLD[[#Headers],[State]],0)</f>
        <v>0.8</v>
      </c>
      <c r="N199" s="30" cm="1">
        <f t="array" ref="N199">Common_InputFunctions.Utility_DisplayArrayInTable(SourceData_PastureBeef.SourceData_PastureBeef_LiveweightGainNTQLD_Data(),Table_SourceData_PastureBeef_LiveweightGainNTQLD[[#Headers],[State]],0)</f>
        <v>0.16</v>
      </c>
      <c r="O199" s="30" cm="1">
        <f t="array" ref="O199">Common_InputFunctions.Utility_DisplayArrayInTable(SourceData_PastureBeef.SourceData_PastureBeef_LiveweightGainNTQLD_Data(),Table_SourceData_PastureBeef_LiveweightGainNTQLD[[#Headers],[State]],0)</f>
        <v>0.3</v>
      </c>
      <c r="P199" s="30" t="str" cm="1">
        <f t="array" ref="P199">Common_InputFunctions.Utility_DisplayArrayInTable(SourceData_PastureBeef.SourceData_PastureBeef_LiveweightGainNTQLD_Data(),Table_SourceData_PastureBeef_LiveweightGainNTQLD[[#Headers],[State]],0)</f>
        <v>NO</v>
      </c>
    </row>
    <row r="200" spans="4:16" x14ac:dyDescent="0.25">
      <c r="D200" s="1" t="str" cm="1">
        <f t="array" ref="D200">Common_InputFunctions.Utility_DisplayArrayInTable(SourceData_PastureBeef.SourceData_PastureBeef_LiveweightGainNTQLD_Data(),Table_SourceData_PastureBeef_LiveweightGainNTQLD[[#Headers],[State]],0)</f>
        <v>Northern Territory</v>
      </c>
      <c r="E200" s="30" t="str" cm="1">
        <f t="array" ref="E200">Common_InputFunctions.Utility_DisplayArrayInTable(SourceData_PastureBeef.SourceData_PastureBeef_LiveweightGainNTQLD_Data(),Table_SourceData_PastureBeef_LiveweightGainNTQLD[[#Headers],[State]],0)</f>
        <v>Northern</v>
      </c>
      <c r="F200" s="30" t="str" cm="1">
        <f t="array" ref="F200">Common_InputFunctions.Utility_DisplayArrayInTable(SourceData_PastureBeef.SourceData_PastureBeef_LiveweightGainNTQLD_Data(),Table_SourceData_PastureBeef_LiveweightGainNTQLD[[#Headers],[State]],0)</f>
        <v>Autumn</v>
      </c>
      <c r="G200" s="30" cm="1">
        <f t="array" ref="G200">Common_InputFunctions.Utility_DisplayArrayInTable(SourceData_PastureBeef.SourceData_PastureBeef_LiveweightGainNTQLD_Data(),Table_SourceData_PastureBeef_LiveweightGainNTQLD[[#Headers],[State]],0)</f>
        <v>0.49</v>
      </c>
      <c r="H200" s="30" cm="1">
        <f t="array" ref="H200">Common_InputFunctions.Utility_DisplayArrayInTable(SourceData_PastureBeef.SourceData_PastureBeef_LiveweightGainNTQLD_Data(),Table_SourceData_PastureBeef_LiveweightGainNTQLD[[#Headers],[State]],0)</f>
        <v>0.05</v>
      </c>
      <c r="I200" s="30" cm="1">
        <f t="array" ref="I200">Common_InputFunctions.Utility_DisplayArrayInTable(SourceData_PastureBeef.SourceData_PastureBeef_LiveweightGainNTQLD_Data(),Table_SourceData_PastureBeef_LiveweightGainNTQLD[[#Headers],[State]],0)</f>
        <v>0.55000000000000004</v>
      </c>
      <c r="J200" s="30" cm="1">
        <f t="array" ref="J200">Common_InputFunctions.Utility_DisplayArrayInTable(SourceData_PastureBeef.SourceData_PastureBeef_LiveweightGainNTQLD_Data(),Table_SourceData_PastureBeef_LiveweightGainNTQLD[[#Headers],[State]],0)</f>
        <v>0.38</v>
      </c>
      <c r="K200" s="30" cm="1">
        <f t="array" ref="K200">Common_InputFunctions.Utility_DisplayArrayInTable(SourceData_PastureBeef.SourceData_PastureBeef_LiveweightGainNTQLD_Data(),Table_SourceData_PastureBeef_LiveweightGainNTQLD[[#Headers],[State]],0)</f>
        <v>0.36</v>
      </c>
      <c r="L200" s="30" cm="1">
        <f t="array" ref="L200">Common_InputFunctions.Utility_DisplayArrayInTable(SourceData_PastureBeef.SourceData_PastureBeef_LiveweightGainNTQLD_Data(),Table_SourceData_PastureBeef_LiveweightGainNTQLD[[#Headers],[State]],0)</f>
        <v>0.06</v>
      </c>
      <c r="M200" s="30" cm="1">
        <f t="array" ref="M200">Common_InputFunctions.Utility_DisplayArrayInTable(SourceData_PastureBeef.SourceData_PastureBeef_LiveweightGainNTQLD_Data(),Table_SourceData_PastureBeef_LiveweightGainNTQLD[[#Headers],[State]],0)</f>
        <v>0.57999999999999996</v>
      </c>
      <c r="N200" s="30" cm="1">
        <f t="array" ref="N200">Common_InputFunctions.Utility_DisplayArrayInTable(SourceData_PastureBeef.SourceData_PastureBeef_LiveweightGainNTQLD_Data(),Table_SourceData_PastureBeef_LiveweightGainNTQLD[[#Headers],[State]],0)</f>
        <v>0.23</v>
      </c>
      <c r="O200" s="30" cm="1">
        <f t="array" ref="O200">Common_InputFunctions.Utility_DisplayArrayInTable(SourceData_PastureBeef.SourceData_PastureBeef_LiveweightGainNTQLD_Data(),Table_SourceData_PastureBeef_LiveweightGainNTQLD[[#Headers],[State]],0)</f>
        <v>0.4</v>
      </c>
      <c r="P200" s="30" t="str" cm="1">
        <f t="array" ref="P200">Common_InputFunctions.Utility_DisplayArrayInTable(SourceData_PastureBeef.SourceData_PastureBeef_LiveweightGainNTQLD_Data(),Table_SourceData_PastureBeef_LiveweightGainNTQLD[[#Headers],[State]],0)</f>
        <v>NO</v>
      </c>
    </row>
    <row r="201" spans="4:16" x14ac:dyDescent="0.25">
      <c r="D201" s="1" t="str" cm="1">
        <f t="array" ref="D201">Common_InputFunctions.Utility_DisplayArrayInTable(SourceData_PastureBeef.SourceData_PastureBeef_LiveweightGainNTQLD_Data(),Table_SourceData_PastureBeef_LiveweightGainNTQLD[[#Headers],[State]],0)</f>
        <v>Northern Territory</v>
      </c>
      <c r="E201" s="30" t="str" cm="1">
        <f t="array" ref="E201">Common_InputFunctions.Utility_DisplayArrayInTable(SourceData_PastureBeef.SourceData_PastureBeef_LiveweightGainNTQLD_Data(),Table_SourceData_PastureBeef_LiveweightGainNTQLD[[#Headers],[State]],0)</f>
        <v>Northern</v>
      </c>
      <c r="F201" s="30" t="str" cm="1">
        <f t="array" ref="F201">Common_InputFunctions.Utility_DisplayArrayInTable(SourceData_PastureBeef.SourceData_PastureBeef_LiveweightGainNTQLD_Data(),Table_SourceData_PastureBeef_LiveweightGainNTQLD[[#Headers],[State]],0)</f>
        <v>Winter</v>
      </c>
      <c r="G201" s="30" cm="1">
        <f t="array" ref="G201">Common_InputFunctions.Utility_DisplayArrayInTable(SourceData_PastureBeef.SourceData_PastureBeef_LiveweightGainNTQLD_Data(),Table_SourceData_PastureBeef_LiveweightGainNTQLD[[#Headers],[State]],0)</f>
        <v>0.27</v>
      </c>
      <c r="H201" s="30" cm="1">
        <f t="array" ref="H201">Common_InputFunctions.Utility_DisplayArrayInTable(SourceData_PastureBeef.SourceData_PastureBeef_LiveweightGainNTQLD_Data(),Table_SourceData_PastureBeef_LiveweightGainNTQLD[[#Headers],[State]],0)</f>
        <v>-0.27</v>
      </c>
      <c r="I201" s="30" cm="1">
        <f t="array" ref="I201">Common_InputFunctions.Utility_DisplayArrayInTable(SourceData_PastureBeef.SourceData_PastureBeef_LiveweightGainNTQLD_Data(),Table_SourceData_PastureBeef_LiveweightGainNTQLD[[#Headers],[State]],0)</f>
        <v>0.02</v>
      </c>
      <c r="J201" s="30" cm="1">
        <f t="array" ref="J201">Common_InputFunctions.Utility_DisplayArrayInTable(SourceData_PastureBeef.SourceData_PastureBeef_LiveweightGainNTQLD_Data(),Table_SourceData_PastureBeef_LiveweightGainNTQLD[[#Headers],[State]],0)</f>
        <v>0.09</v>
      </c>
      <c r="K201" s="30" cm="1">
        <f t="array" ref="K201">Common_InputFunctions.Utility_DisplayArrayInTable(SourceData_PastureBeef.SourceData_PastureBeef_LiveweightGainNTQLD_Data(),Table_SourceData_PastureBeef_LiveweightGainNTQLD[[#Headers],[State]],0)</f>
        <v>0.16</v>
      </c>
      <c r="L201" s="30" cm="1">
        <f t="array" ref="L201">Common_InputFunctions.Utility_DisplayArrayInTable(SourceData_PastureBeef.SourceData_PastureBeef_LiveweightGainNTQLD_Data(),Table_SourceData_PastureBeef_LiveweightGainNTQLD[[#Headers],[State]],0)</f>
        <v>-0.04</v>
      </c>
      <c r="M201" s="30" cm="1">
        <f t="array" ref="M201">Common_InputFunctions.Utility_DisplayArrayInTable(SourceData_PastureBeef.SourceData_PastureBeef_LiveweightGainNTQLD_Data(),Table_SourceData_PastureBeef_LiveweightGainNTQLD[[#Headers],[State]],0)</f>
        <v>0.21</v>
      </c>
      <c r="N201" s="30" cm="1">
        <f t="array" ref="N201">Common_InputFunctions.Utility_DisplayArrayInTable(SourceData_PastureBeef.SourceData_PastureBeef_LiveweightGainNTQLD_Data(),Table_SourceData_PastureBeef_LiveweightGainNTQLD[[#Headers],[State]],0)</f>
        <v>0.03</v>
      </c>
      <c r="O201" s="30" cm="1">
        <f t="array" ref="O201">Common_InputFunctions.Utility_DisplayArrayInTable(SourceData_PastureBeef.SourceData_PastureBeef_LiveweightGainNTQLD_Data(),Table_SourceData_PastureBeef_LiveweightGainNTQLD[[#Headers],[State]],0)</f>
        <v>0.11</v>
      </c>
      <c r="P201" s="30" t="str" cm="1">
        <f t="array" ref="P201">Common_InputFunctions.Utility_DisplayArrayInTable(SourceData_PastureBeef.SourceData_PastureBeef_LiveweightGainNTQLD_Data(),Table_SourceData_PastureBeef_LiveweightGainNTQLD[[#Headers],[State]],0)</f>
        <v>NO</v>
      </c>
    </row>
    <row r="202" spans="4:16" x14ac:dyDescent="0.25">
      <c r="D202" s="1" t="str" cm="1">
        <f t="array" ref="D202">Common_InputFunctions.Utility_DisplayArrayInTable(SourceData_PastureBeef.SourceData_PastureBeef_LiveweightGainNTQLD_Data(),Table_SourceData_PastureBeef_LiveweightGainNTQLD[[#Headers],[State]],0)</f>
        <v>Queensland</v>
      </c>
      <c r="E202" s="30" t="str" cm="1">
        <f t="array" ref="E202">Common_InputFunctions.Utility_DisplayArrayInTable(SourceData_PastureBeef.SourceData_PastureBeef_LiveweightGainNTQLD_Data(),Table_SourceData_PastureBeef_LiveweightGainNTQLD[[#Headers],[State]],0)</f>
        <v>High</v>
      </c>
      <c r="F202" s="30" t="str" cm="1">
        <f t="array" ref="F202">Common_InputFunctions.Utility_DisplayArrayInTable(SourceData_PastureBeef.SourceData_PastureBeef_LiveweightGainNTQLD_Data(),Table_SourceData_PastureBeef_LiveweightGainNTQLD[[#Headers],[State]],0)</f>
        <v>Spring</v>
      </c>
      <c r="G202" s="30" cm="1">
        <f t="array" ref="G202">Common_InputFunctions.Utility_DisplayArrayInTable(SourceData_PastureBeef.SourceData_PastureBeef_LiveweightGainNTQLD_Data(),Table_SourceData_PastureBeef_LiveweightGainNTQLD[[#Headers],[State]],0)</f>
        <v>0.27</v>
      </c>
      <c r="H202" s="30" cm="1">
        <f t="array" ref="H202">Common_InputFunctions.Utility_DisplayArrayInTable(SourceData_PastureBeef.SourceData_PastureBeef_LiveweightGainNTQLD_Data(),Table_SourceData_PastureBeef_LiveweightGainNTQLD[[#Headers],[State]],0)</f>
        <v>-0.19</v>
      </c>
      <c r="I202" s="30" cm="1">
        <f t="array" ref="I202">Common_InputFunctions.Utility_DisplayArrayInTable(SourceData_PastureBeef.SourceData_PastureBeef_LiveweightGainNTQLD_Data(),Table_SourceData_PastureBeef_LiveweightGainNTQLD[[#Headers],[State]],0)</f>
        <v>0.38</v>
      </c>
      <c r="J202" s="30" cm="1">
        <f t="array" ref="J202">Common_InputFunctions.Utility_DisplayArrayInTable(SourceData_PastureBeef.SourceData_PastureBeef_LiveweightGainNTQLD_Data(),Table_SourceData_PastureBeef_LiveweightGainNTQLD[[#Headers],[State]],0)</f>
        <v>0.25</v>
      </c>
      <c r="K202" s="30" cm="1">
        <f t="array" ref="K202">Common_InputFunctions.Utility_DisplayArrayInTable(SourceData_PastureBeef.SourceData_PastureBeef_LiveweightGainNTQLD_Data(),Table_SourceData_PastureBeef_LiveweightGainNTQLD[[#Headers],[State]],0)</f>
        <v>7.0000000000000007E-2</v>
      </c>
      <c r="L202" s="30" cm="1">
        <f t="array" ref="L202">Common_InputFunctions.Utility_DisplayArrayInTable(SourceData_PastureBeef.SourceData_PastureBeef_LiveweightGainNTQLD_Data(),Table_SourceData_PastureBeef_LiveweightGainNTQLD[[#Headers],[State]],0)</f>
        <v>0.05</v>
      </c>
      <c r="M202" s="30" cm="1">
        <f t="array" ref="M202">Common_InputFunctions.Utility_DisplayArrayInTable(SourceData_PastureBeef.SourceData_PastureBeef_LiveweightGainNTQLD_Data(),Table_SourceData_PastureBeef_LiveweightGainNTQLD[[#Headers],[State]],0)</f>
        <v>0.52</v>
      </c>
      <c r="N202" s="30" cm="1">
        <f t="array" ref="N202">Common_InputFunctions.Utility_DisplayArrayInTable(SourceData_PastureBeef.SourceData_PastureBeef_LiveweightGainNTQLD_Data(),Table_SourceData_PastureBeef_LiveweightGainNTQLD[[#Headers],[State]],0)</f>
        <v>0.55000000000000004</v>
      </c>
      <c r="O202" s="30" cm="1">
        <f t="array" ref="O202">Common_InputFunctions.Utility_DisplayArrayInTable(SourceData_PastureBeef.SourceData_PastureBeef_LiveweightGainNTQLD_Data(),Table_SourceData_PastureBeef_LiveweightGainNTQLD[[#Headers],[State]],0)</f>
        <v>0.19</v>
      </c>
      <c r="P202" s="30" cm="1">
        <f t="array" ref="P202">Common_InputFunctions.Utility_DisplayArrayInTable(SourceData_PastureBeef.SourceData_PastureBeef_LiveweightGainNTQLD_Data(),Table_SourceData_PastureBeef_LiveweightGainNTQLD[[#Headers],[State]],0)</f>
        <v>0.6</v>
      </c>
    </row>
    <row r="203" spans="4:16" x14ac:dyDescent="0.25">
      <c r="D203" s="1" t="str" cm="1">
        <f t="array" ref="D203">Common_InputFunctions.Utility_DisplayArrayInTable(SourceData_PastureBeef.SourceData_PastureBeef_LiveweightGainNTQLD_Data(),Table_SourceData_PastureBeef_LiveweightGainNTQLD[[#Headers],[State]],0)</f>
        <v>Queensland</v>
      </c>
      <c r="E203" s="30" t="str" cm="1">
        <f t="array" ref="E203">Common_InputFunctions.Utility_DisplayArrayInTable(SourceData_PastureBeef.SourceData_PastureBeef_LiveweightGainNTQLD_Data(),Table_SourceData_PastureBeef_LiveweightGainNTQLD[[#Headers],[State]],0)</f>
        <v>High</v>
      </c>
      <c r="F203" s="30" t="str" cm="1">
        <f t="array" ref="F203">Common_InputFunctions.Utility_DisplayArrayInTable(SourceData_PastureBeef.SourceData_PastureBeef_LiveweightGainNTQLD_Data(),Table_SourceData_PastureBeef_LiveweightGainNTQLD[[#Headers],[State]],0)</f>
        <v>Summer</v>
      </c>
      <c r="G203" s="30" cm="1">
        <f t="array" ref="G203">Common_InputFunctions.Utility_DisplayArrayInTable(SourceData_PastureBeef.SourceData_PastureBeef_LiveweightGainNTQLD_Data(),Table_SourceData_PastureBeef_LiveweightGainNTQLD[[#Headers],[State]],0)</f>
        <v>0.16</v>
      </c>
      <c r="H203" s="30" cm="1">
        <f t="array" ref="H203">Common_InputFunctions.Utility_DisplayArrayInTable(SourceData_PastureBeef.SourceData_PastureBeef_LiveweightGainNTQLD_Data(),Table_SourceData_PastureBeef_LiveweightGainNTQLD[[#Headers],[State]],0)</f>
        <v>0.16</v>
      </c>
      <c r="I203" s="30" cm="1">
        <f t="array" ref="I203">Common_InputFunctions.Utility_DisplayArrayInTable(SourceData_PastureBeef.SourceData_PastureBeef_LiveweightGainNTQLD_Data(),Table_SourceData_PastureBeef_LiveweightGainNTQLD[[#Headers],[State]],0)</f>
        <v>0.8</v>
      </c>
      <c r="J203" s="30" cm="1">
        <f t="array" ref="J203">Common_InputFunctions.Utility_DisplayArrayInTable(SourceData_PastureBeef.SourceData_PastureBeef_LiveweightGainNTQLD_Data(),Table_SourceData_PastureBeef_LiveweightGainNTQLD[[#Headers],[State]],0)</f>
        <v>0.56999999999999995</v>
      </c>
      <c r="K203" s="30" cm="1">
        <f t="array" ref="K203">Common_InputFunctions.Utility_DisplayArrayInTable(SourceData_PastureBeef.SourceData_PastureBeef_LiveweightGainNTQLD_Data(),Table_SourceData_PastureBeef_LiveweightGainNTQLD[[#Headers],[State]],0)</f>
        <v>0.76</v>
      </c>
      <c r="L203" s="30" cm="1">
        <f t="array" ref="L203">Common_InputFunctions.Utility_DisplayArrayInTable(SourceData_PastureBeef.SourceData_PastureBeef_LiveweightGainNTQLD_Data(),Table_SourceData_PastureBeef_LiveweightGainNTQLD[[#Headers],[State]],0)</f>
        <v>0.49</v>
      </c>
      <c r="M203" s="30" cm="1">
        <f t="array" ref="M203">Common_InputFunctions.Utility_DisplayArrayInTable(SourceData_PastureBeef.SourceData_PastureBeef_LiveweightGainNTQLD_Data(),Table_SourceData_PastureBeef_LiveweightGainNTQLD[[#Headers],[State]],0)</f>
        <v>0.84</v>
      </c>
      <c r="N203" s="30" cm="1">
        <f t="array" ref="N203">Common_InputFunctions.Utility_DisplayArrayInTable(SourceData_PastureBeef.SourceData_PastureBeef_LiveweightGainNTQLD_Data(),Table_SourceData_PastureBeef_LiveweightGainNTQLD[[#Headers],[State]],0)</f>
        <v>0.51</v>
      </c>
      <c r="O203" s="30" cm="1">
        <f t="array" ref="O203">Common_InputFunctions.Utility_DisplayArrayInTable(SourceData_PastureBeef.SourceData_PastureBeef_LiveweightGainNTQLD_Data(),Table_SourceData_PastureBeef_LiveweightGainNTQLD[[#Headers],[State]],0)</f>
        <v>0.36</v>
      </c>
      <c r="P203" s="30" cm="1">
        <f t="array" ref="P203">Common_InputFunctions.Utility_DisplayArrayInTable(SourceData_PastureBeef.SourceData_PastureBeef_LiveweightGainNTQLD_Data(),Table_SourceData_PastureBeef_LiveweightGainNTQLD[[#Headers],[State]],0)</f>
        <v>0.17</v>
      </c>
    </row>
    <row r="204" spans="4:16" x14ac:dyDescent="0.25">
      <c r="D204" s="1" t="str" cm="1">
        <f t="array" ref="D204">Common_InputFunctions.Utility_DisplayArrayInTable(SourceData_PastureBeef.SourceData_PastureBeef_LiveweightGainNTQLD_Data(),Table_SourceData_PastureBeef_LiveweightGainNTQLD[[#Headers],[State]],0)</f>
        <v>Queensland</v>
      </c>
      <c r="E204" s="30" t="str" cm="1">
        <f t="array" ref="E204">Common_InputFunctions.Utility_DisplayArrayInTable(SourceData_PastureBeef.SourceData_PastureBeef_LiveweightGainNTQLD_Data(),Table_SourceData_PastureBeef_LiveweightGainNTQLD[[#Headers],[State]],0)</f>
        <v>High</v>
      </c>
      <c r="F204" s="30" t="str" cm="1">
        <f t="array" ref="F204">Common_InputFunctions.Utility_DisplayArrayInTable(SourceData_PastureBeef.SourceData_PastureBeef_LiveweightGainNTQLD_Data(),Table_SourceData_PastureBeef_LiveweightGainNTQLD[[#Headers],[State]],0)</f>
        <v>Autumn</v>
      </c>
      <c r="G204" s="30" cm="1">
        <f t="array" ref="G204">Common_InputFunctions.Utility_DisplayArrayInTable(SourceData_PastureBeef.SourceData_PastureBeef_LiveweightGainNTQLD_Data(),Table_SourceData_PastureBeef_LiveweightGainNTQLD[[#Headers],[State]],0)</f>
        <v>0.45</v>
      </c>
      <c r="H204" s="30" cm="1">
        <f t="array" ref="H204">Common_InputFunctions.Utility_DisplayArrayInTable(SourceData_PastureBeef.SourceData_PastureBeef_LiveweightGainNTQLD_Data(),Table_SourceData_PastureBeef_LiveweightGainNTQLD[[#Headers],[State]],0)</f>
        <v>0.1</v>
      </c>
      <c r="I204" s="30" cm="1">
        <f t="array" ref="I204">Common_InputFunctions.Utility_DisplayArrayInTable(SourceData_PastureBeef.SourceData_PastureBeef_LiveweightGainNTQLD_Data(),Table_SourceData_PastureBeef_LiveweightGainNTQLD[[#Headers],[State]],0)</f>
        <v>0.49</v>
      </c>
      <c r="J204" s="30" cm="1">
        <f t="array" ref="J204">Common_InputFunctions.Utility_DisplayArrayInTable(SourceData_PastureBeef.SourceData_PastureBeef_LiveweightGainNTQLD_Data(),Table_SourceData_PastureBeef_LiveweightGainNTQLD[[#Headers],[State]],0)</f>
        <v>0.41</v>
      </c>
      <c r="K204" s="30" cm="1">
        <f t="array" ref="K204">Common_InputFunctions.Utility_DisplayArrayInTable(SourceData_PastureBeef.SourceData_PastureBeef_LiveweightGainNTQLD_Data(),Table_SourceData_PastureBeef_LiveweightGainNTQLD[[#Headers],[State]],0)</f>
        <v>0.4</v>
      </c>
      <c r="L204" s="30" cm="1">
        <f t="array" ref="L204">Common_InputFunctions.Utility_DisplayArrayInTable(SourceData_PastureBeef.SourceData_PastureBeef_LiveweightGainNTQLD_Data(),Table_SourceData_PastureBeef_LiveweightGainNTQLD[[#Headers],[State]],0)</f>
        <v>0.17</v>
      </c>
      <c r="M204" s="30" cm="1">
        <f t="array" ref="M204">Common_InputFunctions.Utility_DisplayArrayInTable(SourceData_PastureBeef.SourceData_PastureBeef_LiveweightGainNTQLD_Data(),Table_SourceData_PastureBeef_LiveweightGainNTQLD[[#Headers],[State]],0)</f>
        <v>0.54</v>
      </c>
      <c r="N204" s="30" cm="1">
        <f t="array" ref="N204">Common_InputFunctions.Utility_DisplayArrayInTable(SourceData_PastureBeef.SourceData_PastureBeef_LiveweightGainNTQLD_Data(),Table_SourceData_PastureBeef_LiveweightGainNTQLD[[#Headers],[State]],0)</f>
        <v>0.64</v>
      </c>
      <c r="O204" s="30" cm="1">
        <f t="array" ref="O204">Common_InputFunctions.Utility_DisplayArrayInTable(SourceData_PastureBeef.SourceData_PastureBeef_LiveweightGainNTQLD_Data(),Table_SourceData_PastureBeef_LiveweightGainNTQLD[[#Headers],[State]],0)</f>
        <v>-0.05</v>
      </c>
      <c r="P204" s="30" cm="1">
        <f t="array" ref="P204">Common_InputFunctions.Utility_DisplayArrayInTable(SourceData_PastureBeef.SourceData_PastureBeef_LiveweightGainNTQLD_Data(),Table_SourceData_PastureBeef_LiveweightGainNTQLD[[#Headers],[State]],0)</f>
        <v>0.32</v>
      </c>
    </row>
    <row r="205" spans="4:16" x14ac:dyDescent="0.25">
      <c r="D205" s="1" t="str" cm="1">
        <f t="array" ref="D205">Common_InputFunctions.Utility_DisplayArrayInTable(SourceData_PastureBeef.SourceData_PastureBeef_LiveweightGainNTQLD_Data(),Table_SourceData_PastureBeef_LiveweightGainNTQLD[[#Headers],[State]],0)</f>
        <v>Queensland</v>
      </c>
      <c r="E205" s="30" t="str" cm="1">
        <f t="array" ref="E205">Common_InputFunctions.Utility_DisplayArrayInTable(SourceData_PastureBeef.SourceData_PastureBeef_LiveweightGainNTQLD_Data(),Table_SourceData_PastureBeef_LiveweightGainNTQLD[[#Headers],[State]],0)</f>
        <v>High</v>
      </c>
      <c r="F205" s="30" t="str" cm="1">
        <f t="array" ref="F205">Common_InputFunctions.Utility_DisplayArrayInTable(SourceData_PastureBeef.SourceData_PastureBeef_LiveweightGainNTQLD_Data(),Table_SourceData_PastureBeef_LiveweightGainNTQLD[[#Headers],[State]],0)</f>
        <v>Winter</v>
      </c>
      <c r="G205" s="30" cm="1">
        <f t="array" ref="G205">Common_InputFunctions.Utility_DisplayArrayInTable(SourceData_PastureBeef.SourceData_PastureBeef_LiveweightGainNTQLD_Data(),Table_SourceData_PastureBeef_LiveweightGainNTQLD[[#Headers],[State]],0)</f>
        <v>0.51</v>
      </c>
      <c r="H205" s="30" cm="1">
        <f t="array" ref="H205">Common_InputFunctions.Utility_DisplayArrayInTable(SourceData_PastureBeef.SourceData_PastureBeef_LiveweightGainNTQLD_Data(),Table_SourceData_PastureBeef_LiveweightGainNTQLD[[#Headers],[State]],0)</f>
        <v>-7.0000000000000007E-2</v>
      </c>
      <c r="I205" s="30" cm="1">
        <f t="array" ref="I205">Common_InputFunctions.Utility_DisplayArrayInTable(SourceData_PastureBeef.SourceData_PastureBeef_LiveweightGainNTQLD_Data(),Table_SourceData_PastureBeef_LiveweightGainNTQLD[[#Headers],[State]],0)</f>
        <v>0.13</v>
      </c>
      <c r="J205" s="30" cm="1">
        <f t="array" ref="J205">Common_InputFunctions.Utility_DisplayArrayInTable(SourceData_PastureBeef.SourceData_PastureBeef_LiveweightGainNTQLD_Data(),Table_SourceData_PastureBeef_LiveweightGainNTQLD[[#Headers],[State]],0)</f>
        <v>-0.09</v>
      </c>
      <c r="K205" s="30" cm="1">
        <f t="array" ref="K205">Common_InputFunctions.Utility_DisplayArrayInTable(SourceData_PastureBeef.SourceData_PastureBeef_LiveweightGainNTQLD_Data(),Table_SourceData_PastureBeef_LiveweightGainNTQLD[[#Headers],[State]],0)</f>
        <v>-0.13</v>
      </c>
      <c r="L205" s="30" cm="1">
        <f t="array" ref="L205">Common_InputFunctions.Utility_DisplayArrayInTable(SourceData_PastureBeef.SourceData_PastureBeef_LiveweightGainNTQLD_Data(),Table_SourceData_PastureBeef_LiveweightGainNTQLD[[#Headers],[State]],0)</f>
        <v>7.0000000000000007E-2</v>
      </c>
      <c r="M205" s="30" cm="1">
        <f t="array" ref="M205">Common_InputFunctions.Utility_DisplayArrayInTable(SourceData_PastureBeef.SourceData_PastureBeef_LiveweightGainNTQLD_Data(),Table_SourceData_PastureBeef_LiveweightGainNTQLD[[#Headers],[State]],0)</f>
        <v>0.25</v>
      </c>
      <c r="N205" s="30" cm="1">
        <f t="array" ref="N205">Common_InputFunctions.Utility_DisplayArrayInTable(SourceData_PastureBeef.SourceData_PastureBeef_LiveweightGainNTQLD_Data(),Table_SourceData_PastureBeef_LiveweightGainNTQLD[[#Headers],[State]],0)</f>
        <v>0.71</v>
      </c>
      <c r="O205" s="30" cm="1">
        <f t="array" ref="O205">Common_InputFunctions.Utility_DisplayArrayInTable(SourceData_PastureBeef.SourceData_PastureBeef_LiveweightGainNTQLD_Data(),Table_SourceData_PastureBeef_LiveweightGainNTQLD[[#Headers],[State]],0)</f>
        <v>0.17</v>
      </c>
      <c r="P205" s="30" cm="1">
        <f t="array" ref="P205">Common_InputFunctions.Utility_DisplayArrayInTable(SourceData_PastureBeef.SourceData_PastureBeef_LiveweightGainNTQLD_Data(),Table_SourceData_PastureBeef_LiveweightGainNTQLD[[#Headers],[State]],0)</f>
        <v>0.43</v>
      </c>
    </row>
    <row r="206" spans="4:16" x14ac:dyDescent="0.25">
      <c r="D206" s="1" t="str" cm="1">
        <f t="array" ref="D206">Common_InputFunctions.Utility_DisplayArrayInTable(SourceData_PastureBeef.SourceData_PastureBeef_LiveweightGainNTQLD_Data(),Table_SourceData_PastureBeef_LiveweightGainNTQLD[[#Headers],[State]],0)</f>
        <v>Queensland</v>
      </c>
      <c r="E206" s="30" t="str" cm="1">
        <f t="array" ref="E206">Common_InputFunctions.Utility_DisplayArrayInTable(SourceData_PastureBeef.SourceData_PastureBeef_LiveweightGainNTQLD_Data(),Table_SourceData_PastureBeef_LiveweightGainNTQLD[[#Headers],[State]],0)</f>
        <v>Moderate/High</v>
      </c>
      <c r="F206" s="30" t="str" cm="1">
        <f t="array" ref="F206">Common_InputFunctions.Utility_DisplayArrayInTable(SourceData_PastureBeef.SourceData_PastureBeef_LiveweightGainNTQLD_Data(),Table_SourceData_PastureBeef_LiveweightGainNTQLD[[#Headers],[State]],0)</f>
        <v>Spring</v>
      </c>
      <c r="G206" s="30" cm="1">
        <f t="array" ref="G206">Common_InputFunctions.Utility_DisplayArrayInTable(SourceData_PastureBeef.SourceData_PastureBeef_LiveweightGainNTQLD_Data(),Table_SourceData_PastureBeef_LiveweightGainNTQLD[[#Headers],[State]],0)</f>
        <v>-0.12</v>
      </c>
      <c r="H206" s="30" cm="1">
        <f t="array" ref="H206">Common_InputFunctions.Utility_DisplayArrayInTable(SourceData_PastureBeef.SourceData_PastureBeef_LiveweightGainNTQLD_Data(),Table_SourceData_PastureBeef_LiveweightGainNTQLD[[#Headers],[State]],0)</f>
        <v>-0.19</v>
      </c>
      <c r="I206" s="30" cm="1">
        <f t="array" ref="I206">Common_InputFunctions.Utility_DisplayArrayInTable(SourceData_PastureBeef.SourceData_PastureBeef_LiveweightGainNTQLD_Data(),Table_SourceData_PastureBeef_LiveweightGainNTQLD[[#Headers],[State]],0)</f>
        <v>0.41</v>
      </c>
      <c r="J206" s="30" cm="1">
        <f t="array" ref="J206">Common_InputFunctions.Utility_DisplayArrayInTable(SourceData_PastureBeef.SourceData_PastureBeef_LiveweightGainNTQLD_Data(),Table_SourceData_PastureBeef_LiveweightGainNTQLD[[#Headers],[State]],0)</f>
        <v>0.09</v>
      </c>
      <c r="K206" s="30" cm="1">
        <f t="array" ref="K206">Common_InputFunctions.Utility_DisplayArrayInTable(SourceData_PastureBeef.SourceData_PastureBeef_LiveweightGainNTQLD_Data(),Table_SourceData_PastureBeef_LiveweightGainNTQLD[[#Headers],[State]],0)</f>
        <v>0.41</v>
      </c>
      <c r="L206" s="30" cm="1">
        <f t="array" ref="L206">Common_InputFunctions.Utility_DisplayArrayInTable(SourceData_PastureBeef.SourceData_PastureBeef_LiveweightGainNTQLD_Data(),Table_SourceData_PastureBeef_LiveweightGainNTQLD[[#Headers],[State]],0)</f>
        <v>-0.19</v>
      </c>
      <c r="M206" s="30" cm="1">
        <f t="array" ref="M206">Common_InputFunctions.Utility_DisplayArrayInTable(SourceData_PastureBeef.SourceData_PastureBeef_LiveweightGainNTQLD_Data(),Table_SourceData_PastureBeef_LiveweightGainNTQLD[[#Headers],[State]],0)</f>
        <v>7.0000000000000007E-2</v>
      </c>
      <c r="N206" s="30" cm="1">
        <f t="array" ref="N206">Common_InputFunctions.Utility_DisplayArrayInTable(SourceData_PastureBeef.SourceData_PastureBeef_LiveweightGainNTQLD_Data(),Table_SourceData_PastureBeef_LiveweightGainNTQLD[[#Headers],[State]],0)</f>
        <v>1.07</v>
      </c>
      <c r="O206" s="30" cm="1">
        <f t="array" ref="O206">Common_InputFunctions.Utility_DisplayArrayInTable(SourceData_PastureBeef.SourceData_PastureBeef_LiveweightGainNTQLD_Data(),Table_SourceData_PastureBeef_LiveweightGainNTQLD[[#Headers],[State]],0)</f>
        <v>-0.08</v>
      </c>
      <c r="P206" s="30" cm="1">
        <f t="array" ref="P206">Common_InputFunctions.Utility_DisplayArrayInTable(SourceData_PastureBeef.SourceData_PastureBeef_LiveweightGainNTQLD_Data(),Table_SourceData_PastureBeef_LiveweightGainNTQLD[[#Headers],[State]],0)</f>
        <v>0</v>
      </c>
    </row>
    <row r="207" spans="4:16" x14ac:dyDescent="0.25">
      <c r="D207" s="1" t="str" cm="1">
        <f t="array" ref="D207">Common_InputFunctions.Utility_DisplayArrayInTable(SourceData_PastureBeef.SourceData_PastureBeef_LiveweightGainNTQLD_Data(),Table_SourceData_PastureBeef_LiveweightGainNTQLD[[#Headers],[State]],0)</f>
        <v>Queensland</v>
      </c>
      <c r="E207" s="30" t="str" cm="1">
        <f t="array" ref="E207">Common_InputFunctions.Utility_DisplayArrayInTable(SourceData_PastureBeef.SourceData_PastureBeef_LiveweightGainNTQLD_Data(),Table_SourceData_PastureBeef_LiveweightGainNTQLD[[#Headers],[State]],0)</f>
        <v>Moderate/High</v>
      </c>
      <c r="F207" s="30" t="str" cm="1">
        <f t="array" ref="F207">Common_InputFunctions.Utility_DisplayArrayInTable(SourceData_PastureBeef.SourceData_PastureBeef_LiveweightGainNTQLD_Data(),Table_SourceData_PastureBeef_LiveweightGainNTQLD[[#Headers],[State]],0)</f>
        <v>Summer</v>
      </c>
      <c r="G207" s="30" cm="1">
        <f t="array" ref="G207">Common_InputFunctions.Utility_DisplayArrayInTable(SourceData_PastureBeef.SourceData_PastureBeef_LiveweightGainNTQLD_Data(),Table_SourceData_PastureBeef_LiveweightGainNTQLD[[#Headers],[State]],0)</f>
        <v>0.65</v>
      </c>
      <c r="H207" s="30" cm="1">
        <f t="array" ref="H207">Common_InputFunctions.Utility_DisplayArrayInTable(SourceData_PastureBeef.SourceData_PastureBeef_LiveweightGainNTQLD_Data(),Table_SourceData_PastureBeef_LiveweightGainNTQLD[[#Headers],[State]],0)</f>
        <v>0.19</v>
      </c>
      <c r="I207" s="30" cm="1">
        <f t="array" ref="I207">Common_InputFunctions.Utility_DisplayArrayInTable(SourceData_PastureBeef.SourceData_PastureBeef_LiveweightGainNTQLD_Data(),Table_SourceData_PastureBeef_LiveweightGainNTQLD[[#Headers],[State]],0)</f>
        <v>0.65</v>
      </c>
      <c r="J207" s="30" cm="1">
        <f t="array" ref="J207">Common_InputFunctions.Utility_DisplayArrayInTable(SourceData_PastureBeef.SourceData_PastureBeef_LiveweightGainNTQLD_Data(),Table_SourceData_PastureBeef_LiveweightGainNTQLD[[#Headers],[State]],0)</f>
        <v>0.51</v>
      </c>
      <c r="K207" s="30" cm="1">
        <f t="array" ref="K207">Common_InputFunctions.Utility_DisplayArrayInTable(SourceData_PastureBeef.SourceData_PastureBeef_LiveweightGainNTQLD_Data(),Table_SourceData_PastureBeef_LiveweightGainNTQLD[[#Headers],[State]],0)</f>
        <v>0.18</v>
      </c>
      <c r="L207" s="30" cm="1">
        <f t="array" ref="L207">Common_InputFunctions.Utility_DisplayArrayInTable(SourceData_PastureBeef.SourceData_PastureBeef_LiveweightGainNTQLD_Data(),Table_SourceData_PastureBeef_LiveweightGainNTQLD[[#Headers],[State]],0)</f>
        <v>0.63</v>
      </c>
      <c r="M207" s="30" cm="1">
        <f t="array" ref="M207">Common_InputFunctions.Utility_DisplayArrayInTable(SourceData_PastureBeef.SourceData_PastureBeef_LiveweightGainNTQLD_Data(),Table_SourceData_PastureBeef_LiveweightGainNTQLD[[#Headers],[State]],0)</f>
        <v>1.3</v>
      </c>
      <c r="N207" s="30" cm="1">
        <f t="array" ref="N207">Common_InputFunctions.Utility_DisplayArrayInTable(SourceData_PastureBeef.SourceData_PastureBeef_LiveweightGainNTQLD_Data(),Table_SourceData_PastureBeef_LiveweightGainNTQLD[[#Headers],[State]],0)</f>
        <v>0.48</v>
      </c>
      <c r="O207" s="30" cm="1">
        <f t="array" ref="O207">Common_InputFunctions.Utility_DisplayArrayInTable(SourceData_PastureBeef.SourceData_PastureBeef_LiveweightGainNTQLD_Data(),Table_SourceData_PastureBeef_LiveweightGainNTQLD[[#Headers],[State]],0)</f>
        <v>1.1200000000000001</v>
      </c>
      <c r="P207" s="30" cm="1">
        <f t="array" ref="P207">Common_InputFunctions.Utility_DisplayArrayInTable(SourceData_PastureBeef.SourceData_PastureBeef_LiveweightGainNTQLD_Data(),Table_SourceData_PastureBeef_LiveweightGainNTQLD[[#Headers],[State]],0)</f>
        <v>0.38</v>
      </c>
    </row>
    <row r="208" spans="4:16" x14ac:dyDescent="0.25">
      <c r="D208" s="1" t="str" cm="1">
        <f t="array" ref="D208">Common_InputFunctions.Utility_DisplayArrayInTable(SourceData_PastureBeef.SourceData_PastureBeef_LiveweightGainNTQLD_Data(),Table_SourceData_PastureBeef_LiveweightGainNTQLD[[#Headers],[State]],0)</f>
        <v>Queensland</v>
      </c>
      <c r="E208" s="30" t="str" cm="1">
        <f t="array" ref="E208">Common_InputFunctions.Utility_DisplayArrayInTable(SourceData_PastureBeef.SourceData_PastureBeef_LiveweightGainNTQLD_Data(),Table_SourceData_PastureBeef_LiveweightGainNTQLD[[#Headers],[State]],0)</f>
        <v>Moderate/High</v>
      </c>
      <c r="F208" s="30" t="str" cm="1">
        <f t="array" ref="F208">Common_InputFunctions.Utility_DisplayArrayInTable(SourceData_PastureBeef.SourceData_PastureBeef_LiveweightGainNTQLD_Data(),Table_SourceData_PastureBeef_LiveweightGainNTQLD[[#Headers],[State]],0)</f>
        <v>Autumn</v>
      </c>
      <c r="G208" s="30" cm="1">
        <f t="array" ref="G208">Common_InputFunctions.Utility_DisplayArrayInTable(SourceData_PastureBeef.SourceData_PastureBeef_LiveweightGainNTQLD_Data(),Table_SourceData_PastureBeef_LiveweightGainNTQLD[[#Headers],[State]],0)</f>
        <v>0.7</v>
      </c>
      <c r="H208" s="30" cm="1">
        <f t="array" ref="H208">Common_InputFunctions.Utility_DisplayArrayInTable(SourceData_PastureBeef.SourceData_PastureBeef_LiveweightGainNTQLD_Data(),Table_SourceData_PastureBeef_LiveweightGainNTQLD[[#Headers],[State]],0)</f>
        <v>0.13</v>
      </c>
      <c r="I208" s="30" cm="1">
        <f t="array" ref="I208">Common_InputFunctions.Utility_DisplayArrayInTable(SourceData_PastureBeef.SourceData_PastureBeef_LiveweightGainNTQLD_Data(),Table_SourceData_PastureBeef_LiveweightGainNTQLD[[#Headers],[State]],0)</f>
        <v>0.52</v>
      </c>
      <c r="J208" s="30" cm="1">
        <f t="array" ref="J208">Common_InputFunctions.Utility_DisplayArrayInTable(SourceData_PastureBeef.SourceData_PastureBeef_LiveweightGainNTQLD_Data(),Table_SourceData_PastureBeef_LiveweightGainNTQLD[[#Headers],[State]],0)</f>
        <v>0.34</v>
      </c>
      <c r="K208" s="30" cm="1">
        <f t="array" ref="K208">Common_InputFunctions.Utility_DisplayArrayInTable(SourceData_PastureBeef.SourceData_PastureBeef_LiveweightGainNTQLD_Data(),Table_SourceData_PastureBeef_LiveweightGainNTQLD[[#Headers],[State]],0)</f>
        <v>0.02</v>
      </c>
      <c r="L208" s="30" cm="1">
        <f t="array" ref="L208">Common_InputFunctions.Utility_DisplayArrayInTable(SourceData_PastureBeef.SourceData_PastureBeef_LiveweightGainNTQLD_Data(),Table_SourceData_PastureBeef_LiveweightGainNTQLD[[#Headers],[State]],0)</f>
        <v>0.04</v>
      </c>
      <c r="M208" s="30" cm="1">
        <f t="array" ref="M208">Common_InputFunctions.Utility_DisplayArrayInTable(SourceData_PastureBeef.SourceData_PastureBeef_LiveweightGainNTQLD_Data(),Table_SourceData_PastureBeef_LiveweightGainNTQLD[[#Headers],[State]],0)</f>
        <v>0.77</v>
      </c>
      <c r="N208" s="30" cm="1">
        <f t="array" ref="N208">Common_InputFunctions.Utility_DisplayArrayInTable(SourceData_PastureBeef.SourceData_PastureBeef_LiveweightGainNTQLD_Data(),Table_SourceData_PastureBeef_LiveweightGainNTQLD[[#Headers],[State]],0)</f>
        <v>0.42</v>
      </c>
      <c r="O208" s="30" cm="1">
        <f t="array" ref="O208">Common_InputFunctions.Utility_DisplayArrayInTable(SourceData_PastureBeef.SourceData_PastureBeef_LiveweightGainNTQLD_Data(),Table_SourceData_PastureBeef_LiveweightGainNTQLD[[#Headers],[State]],0)</f>
        <v>0.12</v>
      </c>
      <c r="P208" s="30" cm="1">
        <f t="array" ref="P208">Common_InputFunctions.Utility_DisplayArrayInTable(SourceData_PastureBeef.SourceData_PastureBeef_LiveweightGainNTQLD_Data(),Table_SourceData_PastureBeef_LiveweightGainNTQLD[[#Headers],[State]],0)</f>
        <v>0.74</v>
      </c>
    </row>
    <row r="209" spans="4:16" x14ac:dyDescent="0.25">
      <c r="D209" s="1" t="str" cm="1">
        <f t="array" ref="D209">Common_InputFunctions.Utility_DisplayArrayInTable(SourceData_PastureBeef.SourceData_PastureBeef_LiveweightGainNTQLD_Data(),Table_SourceData_PastureBeef_LiveweightGainNTQLD[[#Headers],[State]],0)</f>
        <v>Queensland</v>
      </c>
      <c r="E209" s="30" t="str" cm="1">
        <f t="array" ref="E209">Common_InputFunctions.Utility_DisplayArrayInTable(SourceData_PastureBeef.SourceData_PastureBeef_LiveweightGainNTQLD_Data(),Table_SourceData_PastureBeef_LiveweightGainNTQLD[[#Headers],[State]],0)</f>
        <v>Moderate/High</v>
      </c>
      <c r="F209" s="30" t="str" cm="1">
        <f t="array" ref="F209">Common_InputFunctions.Utility_DisplayArrayInTable(SourceData_PastureBeef.SourceData_PastureBeef_LiveweightGainNTQLD_Data(),Table_SourceData_PastureBeef_LiveweightGainNTQLD[[#Headers],[State]],0)</f>
        <v>Winter</v>
      </c>
      <c r="G209" s="30" cm="1">
        <f t="array" ref="G209">Common_InputFunctions.Utility_DisplayArrayInTable(SourceData_PastureBeef.SourceData_PastureBeef_LiveweightGainNTQLD_Data(),Table_SourceData_PastureBeef_LiveweightGainNTQLD[[#Headers],[State]],0)</f>
        <v>0.32</v>
      </c>
      <c r="H209" s="30" cm="1">
        <f t="array" ref="H209">Common_InputFunctions.Utility_DisplayArrayInTable(SourceData_PastureBeef.SourceData_PastureBeef_LiveweightGainNTQLD_Data(),Table_SourceData_PastureBeef_LiveweightGainNTQLD[[#Headers],[State]],0)</f>
        <v>-0.06</v>
      </c>
      <c r="I209" s="30" cm="1">
        <f t="array" ref="I209">Common_InputFunctions.Utility_DisplayArrayInTable(SourceData_PastureBeef.SourceData_PastureBeef_LiveweightGainNTQLD_Data(),Table_SourceData_PastureBeef_LiveweightGainNTQLD[[#Headers],[State]],0)</f>
        <v>0.25</v>
      </c>
      <c r="J209" s="30" cm="1">
        <f t="array" ref="J209">Common_InputFunctions.Utility_DisplayArrayInTable(SourceData_PastureBeef.SourceData_PastureBeef_LiveweightGainNTQLD_Data(),Table_SourceData_PastureBeef_LiveweightGainNTQLD[[#Headers],[State]],0)</f>
        <v>0.19</v>
      </c>
      <c r="K209" s="30" cm="1">
        <f t="array" ref="K209">Common_InputFunctions.Utility_DisplayArrayInTable(SourceData_PastureBeef.SourceData_PastureBeef_LiveweightGainNTQLD_Data(),Table_SourceData_PastureBeef_LiveweightGainNTQLD[[#Headers],[State]],0)</f>
        <v>-0.1</v>
      </c>
      <c r="L209" s="30" cm="1">
        <f t="array" ref="L209">Common_InputFunctions.Utility_DisplayArrayInTable(SourceData_PastureBeef.SourceData_PastureBeef_LiveweightGainNTQLD_Data(),Table_SourceData_PastureBeef_LiveweightGainNTQLD[[#Headers],[State]],0)</f>
        <v>-0.02</v>
      </c>
      <c r="M209" s="30" cm="1">
        <f t="array" ref="M209">Common_InputFunctions.Utility_DisplayArrayInTable(SourceData_PastureBeef.SourceData_PastureBeef_LiveweightGainNTQLD_Data(),Table_SourceData_PastureBeef_LiveweightGainNTQLD[[#Headers],[State]],0)</f>
        <v>0.02</v>
      </c>
      <c r="N209" s="30" cm="1">
        <f t="array" ref="N209">Common_InputFunctions.Utility_DisplayArrayInTable(SourceData_PastureBeef.SourceData_PastureBeef_LiveweightGainNTQLD_Data(),Table_SourceData_PastureBeef_LiveweightGainNTQLD[[#Headers],[State]],0)</f>
        <v>0.23</v>
      </c>
      <c r="O209" s="30" cm="1">
        <f t="array" ref="O209">Common_InputFunctions.Utility_DisplayArrayInTable(SourceData_PastureBeef.SourceData_PastureBeef_LiveweightGainNTQLD_Data(),Table_SourceData_PastureBeef_LiveweightGainNTQLD[[#Headers],[State]],0)</f>
        <v>-0.13</v>
      </c>
      <c r="P209" s="30" cm="1">
        <f t="array" ref="P209">Common_InputFunctions.Utility_DisplayArrayInTable(SourceData_PastureBeef.SourceData_PastureBeef_LiveweightGainNTQLD_Data(),Table_SourceData_PastureBeef_LiveweightGainNTQLD[[#Headers],[State]],0)</f>
        <v>0</v>
      </c>
    </row>
    <row r="210" spans="4:16" x14ac:dyDescent="0.25">
      <c r="D210" s="1" t="str" cm="1">
        <f t="array" ref="D210">Common_InputFunctions.Utility_DisplayArrayInTable(SourceData_PastureBeef.SourceData_PastureBeef_LiveweightGainNTQLD_Data(),Table_SourceData_PastureBeef_LiveweightGainNTQLD[[#Headers],[State]],0)</f>
        <v>Queensland</v>
      </c>
      <c r="E210" s="30" t="str" cm="1">
        <f t="array" ref="E210">Common_InputFunctions.Utility_DisplayArrayInTable(SourceData_PastureBeef.SourceData_PastureBeef_LiveweightGainNTQLD_Data(),Table_SourceData_PastureBeef_LiveweightGainNTQLD[[#Headers],[State]],0)</f>
        <v>Moderate/Low</v>
      </c>
      <c r="F210" s="30" t="str" cm="1">
        <f t="array" ref="F210">Common_InputFunctions.Utility_DisplayArrayInTable(SourceData_PastureBeef.SourceData_PastureBeef_LiveweightGainNTQLD_Data(),Table_SourceData_PastureBeef_LiveweightGainNTQLD[[#Headers],[State]],0)</f>
        <v>Spring</v>
      </c>
      <c r="G210" s="30" cm="1">
        <f t="array" ref="G210">Common_InputFunctions.Utility_DisplayArrayInTable(SourceData_PastureBeef.SourceData_PastureBeef_LiveweightGainNTQLD_Data(),Table_SourceData_PastureBeef_LiveweightGainNTQLD[[#Headers],[State]],0)</f>
        <v>0.62</v>
      </c>
      <c r="H210" s="30" cm="1">
        <f t="array" ref="H210">Common_InputFunctions.Utility_DisplayArrayInTable(SourceData_PastureBeef.SourceData_PastureBeef_LiveweightGainNTQLD_Data(),Table_SourceData_PastureBeef_LiveweightGainNTQLD[[#Headers],[State]],0)</f>
        <v>-0.19</v>
      </c>
      <c r="I210" s="30" cm="1">
        <f t="array" ref="I210">Common_InputFunctions.Utility_DisplayArrayInTable(SourceData_PastureBeef.SourceData_PastureBeef_LiveweightGainNTQLD_Data(),Table_SourceData_PastureBeef_LiveweightGainNTQLD[[#Headers],[State]],0)</f>
        <v>0.37</v>
      </c>
      <c r="J210" s="30" cm="1">
        <f t="array" ref="J210">Common_InputFunctions.Utility_DisplayArrayInTable(SourceData_PastureBeef.SourceData_PastureBeef_LiveweightGainNTQLD_Data(),Table_SourceData_PastureBeef_LiveweightGainNTQLD[[#Headers],[State]],0)</f>
        <v>0.41</v>
      </c>
      <c r="K210" s="30" cm="1">
        <f t="array" ref="K210">Common_InputFunctions.Utility_DisplayArrayInTable(SourceData_PastureBeef.SourceData_PastureBeef_LiveweightGainNTQLD_Data(),Table_SourceData_PastureBeef_LiveweightGainNTQLD[[#Headers],[State]],0)</f>
        <v>0.06</v>
      </c>
      <c r="L210" s="30" cm="1">
        <f t="array" ref="L210">Common_InputFunctions.Utility_DisplayArrayInTable(SourceData_PastureBeef.SourceData_PastureBeef_LiveweightGainNTQLD_Data(),Table_SourceData_PastureBeef_LiveweightGainNTQLD[[#Headers],[State]],0)</f>
        <v>-0.02</v>
      </c>
      <c r="M210" s="30" cm="1">
        <f t="array" ref="M210">Common_InputFunctions.Utility_DisplayArrayInTable(SourceData_PastureBeef.SourceData_PastureBeef_LiveweightGainNTQLD_Data(),Table_SourceData_PastureBeef_LiveweightGainNTQLD[[#Headers],[State]],0)</f>
        <v>0.47</v>
      </c>
      <c r="N210" s="30" cm="1">
        <f t="array" ref="N210">Common_InputFunctions.Utility_DisplayArrayInTable(SourceData_PastureBeef.SourceData_PastureBeef_LiveweightGainNTQLD_Data(),Table_SourceData_PastureBeef_LiveweightGainNTQLD[[#Headers],[State]],0)</f>
        <v>0.44</v>
      </c>
      <c r="O210" s="30" cm="1">
        <f t="array" ref="O210">Common_InputFunctions.Utility_DisplayArrayInTable(SourceData_PastureBeef.SourceData_PastureBeef_LiveweightGainNTQLD_Data(),Table_SourceData_PastureBeef_LiveweightGainNTQLD[[#Headers],[State]],0)</f>
        <v>0.3</v>
      </c>
      <c r="P210" s="30" cm="1">
        <f t="array" ref="P210">Common_InputFunctions.Utility_DisplayArrayInTable(SourceData_PastureBeef.SourceData_PastureBeef_LiveweightGainNTQLD_Data(),Table_SourceData_PastureBeef_LiveweightGainNTQLD[[#Headers],[State]],0)</f>
        <v>0.13</v>
      </c>
    </row>
    <row r="211" spans="4:16" x14ac:dyDescent="0.25">
      <c r="D211" s="1" t="str" cm="1">
        <f t="array" ref="D211">Common_InputFunctions.Utility_DisplayArrayInTable(SourceData_PastureBeef.SourceData_PastureBeef_LiveweightGainNTQLD_Data(),Table_SourceData_PastureBeef_LiveweightGainNTQLD[[#Headers],[State]],0)</f>
        <v>Queensland</v>
      </c>
      <c r="E211" s="30" t="str" cm="1">
        <f t="array" ref="E211">Common_InputFunctions.Utility_DisplayArrayInTable(SourceData_PastureBeef.SourceData_PastureBeef_LiveweightGainNTQLD_Data(),Table_SourceData_PastureBeef_LiveweightGainNTQLD[[#Headers],[State]],0)</f>
        <v>Moderate/Low</v>
      </c>
      <c r="F211" s="30" t="str" cm="1">
        <f t="array" ref="F211">Common_InputFunctions.Utility_DisplayArrayInTable(SourceData_PastureBeef.SourceData_PastureBeef_LiveweightGainNTQLD_Data(),Table_SourceData_PastureBeef_LiveweightGainNTQLD[[#Headers],[State]],0)</f>
        <v>Summer</v>
      </c>
      <c r="G211" s="30" cm="1">
        <f t="array" ref="G211">Common_InputFunctions.Utility_DisplayArrayInTable(SourceData_PastureBeef.SourceData_PastureBeef_LiveweightGainNTQLD_Data(),Table_SourceData_PastureBeef_LiveweightGainNTQLD[[#Headers],[State]],0)</f>
        <v>0.05</v>
      </c>
      <c r="H211" s="30" cm="1">
        <f t="array" ref="H211">Common_InputFunctions.Utility_DisplayArrayInTable(SourceData_PastureBeef.SourceData_PastureBeef_LiveweightGainNTQLD_Data(),Table_SourceData_PastureBeef_LiveweightGainNTQLD[[#Headers],[State]],0)</f>
        <v>0.19</v>
      </c>
      <c r="I211" s="30" cm="1">
        <f t="array" ref="I211">Common_InputFunctions.Utility_DisplayArrayInTable(SourceData_PastureBeef.SourceData_PastureBeef_LiveweightGainNTQLD_Data(),Table_SourceData_PastureBeef_LiveweightGainNTQLD[[#Headers],[State]],0)</f>
        <v>0.31</v>
      </c>
      <c r="J211" s="30" cm="1">
        <f t="array" ref="J211">Common_InputFunctions.Utility_DisplayArrayInTable(SourceData_PastureBeef.SourceData_PastureBeef_LiveweightGainNTQLD_Data(),Table_SourceData_PastureBeef_LiveweightGainNTQLD[[#Headers],[State]],0)</f>
        <v>0.54</v>
      </c>
      <c r="K211" s="30" cm="1">
        <f t="array" ref="K211">Common_InputFunctions.Utility_DisplayArrayInTable(SourceData_PastureBeef.SourceData_PastureBeef_LiveweightGainNTQLD_Data(),Table_SourceData_PastureBeef_LiveweightGainNTQLD[[#Headers],[State]],0)</f>
        <v>0.53</v>
      </c>
      <c r="L211" s="30" cm="1">
        <f t="array" ref="L211">Common_InputFunctions.Utility_DisplayArrayInTable(SourceData_PastureBeef.SourceData_PastureBeef_LiveweightGainNTQLD_Data(),Table_SourceData_PastureBeef_LiveweightGainNTQLD[[#Headers],[State]],0)</f>
        <v>0.15</v>
      </c>
      <c r="M211" s="30" cm="1">
        <f t="array" ref="M211">Common_InputFunctions.Utility_DisplayArrayInTable(SourceData_PastureBeef.SourceData_PastureBeef_LiveweightGainNTQLD_Data(),Table_SourceData_PastureBeef_LiveweightGainNTQLD[[#Headers],[State]],0)</f>
        <v>0.28000000000000003</v>
      </c>
      <c r="N211" s="30" cm="1">
        <f t="array" ref="N211">Common_InputFunctions.Utility_DisplayArrayInTable(SourceData_PastureBeef.SourceData_PastureBeef_LiveweightGainNTQLD_Data(),Table_SourceData_PastureBeef_LiveweightGainNTQLD[[#Headers],[State]],0)</f>
        <v>0.56999999999999995</v>
      </c>
      <c r="O211" s="30" cm="1">
        <f t="array" ref="O211">Common_InputFunctions.Utility_DisplayArrayInTable(SourceData_PastureBeef.SourceData_PastureBeef_LiveweightGainNTQLD_Data(),Table_SourceData_PastureBeef_LiveweightGainNTQLD[[#Headers],[State]],0)</f>
        <v>0.42</v>
      </c>
      <c r="P211" s="30" cm="1">
        <f t="array" ref="P211">Common_InputFunctions.Utility_DisplayArrayInTable(SourceData_PastureBeef.SourceData_PastureBeef_LiveweightGainNTQLD_Data(),Table_SourceData_PastureBeef_LiveweightGainNTQLD[[#Headers],[State]],0)</f>
        <v>0.4</v>
      </c>
    </row>
    <row r="212" spans="4:16" x14ac:dyDescent="0.25">
      <c r="D212" s="1" t="str" cm="1">
        <f t="array" ref="D212">Common_InputFunctions.Utility_DisplayArrayInTable(SourceData_PastureBeef.SourceData_PastureBeef_LiveweightGainNTQLD_Data(),Table_SourceData_PastureBeef_LiveweightGainNTQLD[[#Headers],[State]],0)</f>
        <v>Queensland</v>
      </c>
      <c r="E212" s="30" t="str" cm="1">
        <f t="array" ref="E212">Common_InputFunctions.Utility_DisplayArrayInTable(SourceData_PastureBeef.SourceData_PastureBeef_LiveweightGainNTQLD_Data(),Table_SourceData_PastureBeef_LiveweightGainNTQLD[[#Headers],[State]],0)</f>
        <v>Moderate/Low</v>
      </c>
      <c r="F212" s="30" t="str" cm="1">
        <f t="array" ref="F212">Common_InputFunctions.Utility_DisplayArrayInTable(SourceData_PastureBeef.SourceData_PastureBeef_LiveweightGainNTQLD_Data(),Table_SourceData_PastureBeef_LiveweightGainNTQLD[[#Headers],[State]],0)</f>
        <v>Autumn</v>
      </c>
      <c r="G212" s="30" cm="1">
        <f t="array" ref="G212">Common_InputFunctions.Utility_DisplayArrayInTable(SourceData_PastureBeef.SourceData_PastureBeef_LiveweightGainNTQLD_Data(),Table_SourceData_PastureBeef_LiveweightGainNTQLD[[#Headers],[State]],0)</f>
        <v>0.33</v>
      </c>
      <c r="H212" s="30" cm="1">
        <f t="array" ref="H212">Common_InputFunctions.Utility_DisplayArrayInTable(SourceData_PastureBeef.SourceData_PastureBeef_LiveweightGainNTQLD_Data(),Table_SourceData_PastureBeef_LiveweightGainNTQLD[[#Headers],[State]],0)</f>
        <v>0.13</v>
      </c>
      <c r="I212" s="30" cm="1">
        <f t="array" ref="I212">Common_InputFunctions.Utility_DisplayArrayInTable(SourceData_PastureBeef.SourceData_PastureBeef_LiveweightGainNTQLD_Data(),Table_SourceData_PastureBeef_LiveweightGainNTQLD[[#Headers],[State]],0)</f>
        <v>0.39</v>
      </c>
      <c r="J212" s="30" cm="1">
        <f t="array" ref="J212">Common_InputFunctions.Utility_DisplayArrayInTable(SourceData_PastureBeef.SourceData_PastureBeef_LiveweightGainNTQLD_Data(),Table_SourceData_PastureBeef_LiveweightGainNTQLD[[#Headers],[State]],0)</f>
        <v>0.36</v>
      </c>
      <c r="K212" s="30" cm="1">
        <f t="array" ref="K212">Common_InputFunctions.Utility_DisplayArrayInTable(SourceData_PastureBeef.SourceData_PastureBeef_LiveweightGainNTQLD_Data(),Table_SourceData_PastureBeef_LiveweightGainNTQLD[[#Headers],[State]],0)</f>
        <v>0.26</v>
      </c>
      <c r="L212" s="30" cm="1">
        <f t="array" ref="L212">Common_InputFunctions.Utility_DisplayArrayInTable(SourceData_PastureBeef.SourceData_PastureBeef_LiveweightGainNTQLD_Data(),Table_SourceData_PastureBeef_LiveweightGainNTQLD[[#Headers],[State]],0)</f>
        <v>0.11</v>
      </c>
      <c r="M212" s="30" cm="1">
        <f t="array" ref="M212">Common_InputFunctions.Utility_DisplayArrayInTable(SourceData_PastureBeef.SourceData_PastureBeef_LiveweightGainNTQLD_Data(),Table_SourceData_PastureBeef_LiveweightGainNTQLD[[#Headers],[State]],0)</f>
        <v>0.4</v>
      </c>
      <c r="N212" s="30" cm="1">
        <f t="array" ref="N212">Common_InputFunctions.Utility_DisplayArrayInTable(SourceData_PastureBeef.SourceData_PastureBeef_LiveweightGainNTQLD_Data(),Table_SourceData_PastureBeef_LiveweightGainNTQLD[[#Headers],[State]],0)</f>
        <v>0.44</v>
      </c>
      <c r="O212" s="30" cm="1">
        <f t="array" ref="O212">Common_InputFunctions.Utility_DisplayArrayInTable(SourceData_PastureBeef.SourceData_PastureBeef_LiveweightGainNTQLD_Data(),Table_SourceData_PastureBeef_LiveweightGainNTQLD[[#Headers],[State]],0)</f>
        <v>0.37</v>
      </c>
      <c r="P212" s="30" cm="1">
        <f t="array" ref="P212">Common_InputFunctions.Utility_DisplayArrayInTable(SourceData_PastureBeef.SourceData_PastureBeef_LiveweightGainNTQLD_Data(),Table_SourceData_PastureBeef_LiveweightGainNTQLD[[#Headers],[State]],0)</f>
        <v>-0.01</v>
      </c>
    </row>
    <row r="213" spans="4:16" x14ac:dyDescent="0.25">
      <c r="D213" s="1" t="str" cm="1">
        <f t="array" ref="D213">Common_InputFunctions.Utility_DisplayArrayInTable(SourceData_PastureBeef.SourceData_PastureBeef_LiveweightGainNTQLD_Data(),Table_SourceData_PastureBeef_LiveweightGainNTQLD[[#Headers],[State]],0)</f>
        <v>Queensland</v>
      </c>
      <c r="E213" s="30" t="str" cm="1">
        <f t="array" ref="E213">Common_InputFunctions.Utility_DisplayArrayInTable(SourceData_PastureBeef.SourceData_PastureBeef_LiveweightGainNTQLD_Data(),Table_SourceData_PastureBeef_LiveweightGainNTQLD[[#Headers],[State]],0)</f>
        <v>Moderate/Low</v>
      </c>
      <c r="F213" s="30" t="str" cm="1">
        <f t="array" ref="F213">Common_InputFunctions.Utility_DisplayArrayInTable(SourceData_PastureBeef.SourceData_PastureBeef_LiveweightGainNTQLD_Data(),Table_SourceData_PastureBeef_LiveweightGainNTQLD[[#Headers],[State]],0)</f>
        <v>Winter</v>
      </c>
      <c r="G213" s="30" cm="1">
        <f t="array" ref="G213">Common_InputFunctions.Utility_DisplayArrayInTable(SourceData_PastureBeef.SourceData_PastureBeef_LiveweightGainNTQLD_Data(),Table_SourceData_PastureBeef_LiveweightGainNTQLD[[#Headers],[State]],0)</f>
        <v>0.61</v>
      </c>
      <c r="H213" s="30" cm="1">
        <f t="array" ref="H213">Common_InputFunctions.Utility_DisplayArrayInTable(SourceData_PastureBeef.SourceData_PastureBeef_LiveweightGainNTQLD_Data(),Table_SourceData_PastureBeef_LiveweightGainNTQLD[[#Headers],[State]],0)</f>
        <v>-0.06</v>
      </c>
      <c r="I213" s="30" cm="1">
        <f t="array" ref="I213">Common_InputFunctions.Utility_DisplayArrayInTable(SourceData_PastureBeef.SourceData_PastureBeef_LiveweightGainNTQLD_Data(),Table_SourceData_PastureBeef_LiveweightGainNTQLD[[#Headers],[State]],0)</f>
        <v>0.21</v>
      </c>
      <c r="J213" s="30" cm="1">
        <f t="array" ref="J213">Common_InputFunctions.Utility_DisplayArrayInTable(SourceData_PastureBeef.SourceData_PastureBeef_LiveweightGainNTQLD_Data(),Table_SourceData_PastureBeef_LiveweightGainNTQLD[[#Headers],[State]],0)</f>
        <v>0.18</v>
      </c>
      <c r="K213" s="30" cm="1">
        <f t="array" ref="K213">Common_InputFunctions.Utility_DisplayArrayInTable(SourceData_PastureBeef.SourceData_PastureBeef_LiveweightGainNTQLD_Data(),Table_SourceData_PastureBeef_LiveweightGainNTQLD[[#Headers],[State]],0)</f>
        <v>0.12</v>
      </c>
      <c r="L213" s="30" cm="1">
        <f t="array" ref="L213">Common_InputFunctions.Utility_DisplayArrayInTable(SourceData_PastureBeef.SourceData_PastureBeef_LiveweightGainNTQLD_Data(),Table_SourceData_PastureBeef_LiveweightGainNTQLD[[#Headers],[State]],0)</f>
        <v>0.06</v>
      </c>
      <c r="M213" s="30" cm="1">
        <f t="array" ref="M213">Common_InputFunctions.Utility_DisplayArrayInTable(SourceData_PastureBeef.SourceData_PastureBeef_LiveweightGainNTQLD_Data(),Table_SourceData_PastureBeef_LiveweightGainNTQLD[[#Headers],[State]],0)</f>
        <v>0.28999999999999998</v>
      </c>
      <c r="N213" s="30" cm="1">
        <f t="array" ref="N213">Common_InputFunctions.Utility_DisplayArrayInTable(SourceData_PastureBeef.SourceData_PastureBeef_LiveweightGainNTQLD_Data(),Table_SourceData_PastureBeef_LiveweightGainNTQLD[[#Headers],[State]],0)</f>
        <v>0.41</v>
      </c>
      <c r="O213" s="30" cm="1">
        <f t="array" ref="O213">Common_InputFunctions.Utility_DisplayArrayInTable(SourceData_PastureBeef.SourceData_PastureBeef_LiveweightGainNTQLD_Data(),Table_SourceData_PastureBeef_LiveweightGainNTQLD[[#Headers],[State]],0)</f>
        <v>0.41</v>
      </c>
      <c r="P213" s="30" cm="1">
        <f t="array" ref="P213">Common_InputFunctions.Utility_DisplayArrayInTable(SourceData_PastureBeef.SourceData_PastureBeef_LiveweightGainNTQLD_Data(),Table_SourceData_PastureBeef_LiveweightGainNTQLD[[#Headers],[State]],0)</f>
        <v>-0.15</v>
      </c>
    </row>
    <row r="214" spans="4:16" x14ac:dyDescent="0.25">
      <c r="D214" s="1" t="str" cm="1">
        <f t="array" ref="D214">Common_InputFunctions.Utility_DisplayArrayInTable(SourceData_PastureBeef.SourceData_PastureBeef_LiveweightGainNTQLD_Data(),Table_SourceData_PastureBeef_LiveweightGainNTQLD[[#Headers],[State]],0)</f>
        <v>Queensland</v>
      </c>
      <c r="E214" s="30" t="str" cm="1">
        <f t="array" ref="E214">Common_InputFunctions.Utility_DisplayArrayInTable(SourceData_PastureBeef.SourceData_PastureBeef_LiveweightGainNTQLD_Data(),Table_SourceData_PastureBeef_LiveweightGainNTQLD[[#Headers],[State]],0)</f>
        <v>Low</v>
      </c>
      <c r="F214" s="30" t="str" cm="1">
        <f t="array" ref="F214">Common_InputFunctions.Utility_DisplayArrayInTable(SourceData_PastureBeef.SourceData_PastureBeef_LiveweightGainNTQLD_Data(),Table_SourceData_PastureBeef_LiveweightGainNTQLD[[#Headers],[State]],0)</f>
        <v>Spring</v>
      </c>
      <c r="G214" s="30" cm="1">
        <f t="array" ref="G214">Common_InputFunctions.Utility_DisplayArrayInTable(SourceData_PastureBeef.SourceData_PastureBeef_LiveweightGainNTQLD_Data(),Table_SourceData_PastureBeef_LiveweightGainNTQLD[[#Headers],[State]],0)</f>
        <v>-0.2</v>
      </c>
      <c r="H214" s="30" cm="1">
        <f t="array" ref="H214">Common_InputFunctions.Utility_DisplayArrayInTable(SourceData_PastureBeef.SourceData_PastureBeef_LiveweightGainNTQLD_Data(),Table_SourceData_PastureBeef_LiveweightGainNTQLD[[#Headers],[State]],0)</f>
        <v>0.02</v>
      </c>
      <c r="I214" s="30" cm="1">
        <f t="array" ref="I214">Common_InputFunctions.Utility_DisplayArrayInTable(SourceData_PastureBeef.SourceData_PastureBeef_LiveweightGainNTQLD_Data(),Table_SourceData_PastureBeef_LiveweightGainNTQLD[[#Headers],[State]],0)</f>
        <v>0.24</v>
      </c>
      <c r="J214" s="30" cm="1">
        <f t="array" ref="J214">Common_InputFunctions.Utility_DisplayArrayInTable(SourceData_PastureBeef.SourceData_PastureBeef_LiveweightGainNTQLD_Data(),Table_SourceData_PastureBeef_LiveweightGainNTQLD[[#Headers],[State]],0)</f>
        <v>0.3</v>
      </c>
      <c r="K214" s="30" cm="1">
        <f t="array" ref="K214">Common_InputFunctions.Utility_DisplayArrayInTable(SourceData_PastureBeef.SourceData_PastureBeef_LiveweightGainNTQLD_Data(),Table_SourceData_PastureBeef_LiveweightGainNTQLD[[#Headers],[State]],0)</f>
        <v>0.23</v>
      </c>
      <c r="L214" s="30" cm="1">
        <f t="array" ref="L214">Common_InputFunctions.Utility_DisplayArrayInTable(SourceData_PastureBeef.SourceData_PastureBeef_LiveweightGainNTQLD_Data(),Table_SourceData_PastureBeef_LiveweightGainNTQLD[[#Headers],[State]],0)</f>
        <v>-0.05</v>
      </c>
      <c r="M214" s="30" cm="1">
        <f t="array" ref="M214">Common_InputFunctions.Utility_DisplayArrayInTable(SourceData_PastureBeef.SourceData_PastureBeef_LiveweightGainNTQLD_Data(),Table_SourceData_PastureBeef_LiveweightGainNTQLD[[#Headers],[State]],0)</f>
        <v>0.34</v>
      </c>
      <c r="N214" s="30" cm="1">
        <f t="array" ref="N214">Common_InputFunctions.Utility_DisplayArrayInTable(SourceData_PastureBeef.SourceData_PastureBeef_LiveweightGainNTQLD_Data(),Table_SourceData_PastureBeef_LiveweightGainNTQLD[[#Headers],[State]],0)</f>
        <v>0.3</v>
      </c>
      <c r="O214" s="30" cm="1">
        <f t="array" ref="O214">Common_InputFunctions.Utility_DisplayArrayInTable(SourceData_PastureBeef.SourceData_PastureBeef_LiveweightGainNTQLD_Data(),Table_SourceData_PastureBeef_LiveweightGainNTQLD[[#Headers],[State]],0)</f>
        <v>0.56999999999999995</v>
      </c>
      <c r="P214" s="30" cm="1">
        <f t="array" ref="P214">Common_InputFunctions.Utility_DisplayArrayInTable(SourceData_PastureBeef.SourceData_PastureBeef_LiveweightGainNTQLD_Data(),Table_SourceData_PastureBeef_LiveweightGainNTQLD[[#Headers],[State]],0)</f>
        <v>0.52</v>
      </c>
    </row>
    <row r="215" spans="4:16" x14ac:dyDescent="0.25">
      <c r="D215" s="1" t="str" cm="1">
        <f t="array" ref="D215">Common_InputFunctions.Utility_DisplayArrayInTable(SourceData_PastureBeef.SourceData_PastureBeef_LiveweightGainNTQLD_Data(),Table_SourceData_PastureBeef_LiveweightGainNTQLD[[#Headers],[State]],0)</f>
        <v>Queensland</v>
      </c>
      <c r="E215" s="30" t="str" cm="1">
        <f t="array" ref="E215">Common_InputFunctions.Utility_DisplayArrayInTable(SourceData_PastureBeef.SourceData_PastureBeef_LiveweightGainNTQLD_Data(),Table_SourceData_PastureBeef_LiveweightGainNTQLD[[#Headers],[State]],0)</f>
        <v>Low</v>
      </c>
      <c r="F215" s="30" t="str" cm="1">
        <f t="array" ref="F215">Common_InputFunctions.Utility_DisplayArrayInTable(SourceData_PastureBeef.SourceData_PastureBeef_LiveweightGainNTQLD_Data(),Table_SourceData_PastureBeef_LiveweightGainNTQLD[[#Headers],[State]],0)</f>
        <v>Summer</v>
      </c>
      <c r="G215" s="30" cm="1">
        <f t="array" ref="G215">Common_InputFunctions.Utility_DisplayArrayInTable(SourceData_PastureBeef.SourceData_PastureBeef_LiveweightGainNTQLD_Data(),Table_SourceData_PastureBeef_LiveweightGainNTQLD[[#Headers],[State]],0)</f>
        <v>0.62</v>
      </c>
      <c r="H215" s="30" cm="1">
        <f t="array" ref="H215">Common_InputFunctions.Utility_DisplayArrayInTable(SourceData_PastureBeef.SourceData_PastureBeef_LiveweightGainNTQLD_Data(),Table_SourceData_PastureBeef_LiveweightGainNTQLD[[#Headers],[State]],0)</f>
        <v>0.21</v>
      </c>
      <c r="I215" s="30" cm="1">
        <f t="array" ref="I215">Common_InputFunctions.Utility_DisplayArrayInTable(SourceData_PastureBeef.SourceData_PastureBeef_LiveweightGainNTQLD_Data(),Table_SourceData_PastureBeef_LiveweightGainNTQLD[[#Headers],[State]],0)</f>
        <v>0.25</v>
      </c>
      <c r="J215" s="30" cm="1">
        <f t="array" ref="J215">Common_InputFunctions.Utility_DisplayArrayInTable(SourceData_PastureBeef.SourceData_PastureBeef_LiveweightGainNTQLD_Data(),Table_SourceData_PastureBeef_LiveweightGainNTQLD[[#Headers],[State]],0)</f>
        <v>0.32</v>
      </c>
      <c r="K215" s="30" cm="1">
        <f t="array" ref="K215">Common_InputFunctions.Utility_DisplayArrayInTable(SourceData_PastureBeef.SourceData_PastureBeef_LiveweightGainNTQLD_Data(),Table_SourceData_PastureBeef_LiveweightGainNTQLD[[#Headers],[State]],0)</f>
        <v>0.47</v>
      </c>
      <c r="L215" s="30" cm="1">
        <f t="array" ref="L215">Common_InputFunctions.Utility_DisplayArrayInTable(SourceData_PastureBeef.SourceData_PastureBeef_LiveweightGainNTQLD_Data(),Table_SourceData_PastureBeef_LiveweightGainNTQLD[[#Headers],[State]],0)</f>
        <v>0.31</v>
      </c>
      <c r="M215" s="30" cm="1">
        <f t="array" ref="M215">Common_InputFunctions.Utility_DisplayArrayInTable(SourceData_PastureBeef.SourceData_PastureBeef_LiveweightGainNTQLD_Data(),Table_SourceData_PastureBeef_LiveweightGainNTQLD[[#Headers],[State]],0)</f>
        <v>0.14000000000000001</v>
      </c>
      <c r="N215" s="30" cm="1">
        <f t="array" ref="N215">Common_InputFunctions.Utility_DisplayArrayInTable(SourceData_PastureBeef.SourceData_PastureBeef_LiveweightGainNTQLD_Data(),Table_SourceData_PastureBeef_LiveweightGainNTQLD[[#Headers],[State]],0)</f>
        <v>0.4</v>
      </c>
      <c r="O215" s="30" cm="1">
        <f t="array" ref="O215">Common_InputFunctions.Utility_DisplayArrayInTable(SourceData_PastureBeef.SourceData_PastureBeef_LiveweightGainNTQLD_Data(),Table_SourceData_PastureBeef_LiveweightGainNTQLD[[#Headers],[State]],0)</f>
        <v>0.26</v>
      </c>
      <c r="P215" s="30" cm="1">
        <f t="array" ref="P215">Common_InputFunctions.Utility_DisplayArrayInTable(SourceData_PastureBeef.SourceData_PastureBeef_LiveweightGainNTQLD_Data(),Table_SourceData_PastureBeef_LiveweightGainNTQLD[[#Headers],[State]],0)</f>
        <v>0.43</v>
      </c>
    </row>
    <row r="216" spans="4:16" x14ac:dyDescent="0.25">
      <c r="D216" s="1" t="str" cm="1">
        <f t="array" ref="D216">Common_InputFunctions.Utility_DisplayArrayInTable(SourceData_PastureBeef.SourceData_PastureBeef_LiveweightGainNTQLD_Data(),Table_SourceData_PastureBeef_LiveweightGainNTQLD[[#Headers],[State]],0)</f>
        <v>Queensland</v>
      </c>
      <c r="E216" s="30" t="str" cm="1">
        <f t="array" ref="E216">Common_InputFunctions.Utility_DisplayArrayInTable(SourceData_PastureBeef.SourceData_PastureBeef_LiveweightGainNTQLD_Data(),Table_SourceData_PastureBeef_LiveweightGainNTQLD[[#Headers],[State]],0)</f>
        <v>Low</v>
      </c>
      <c r="F216" s="30" t="str" cm="1">
        <f t="array" ref="F216">Common_InputFunctions.Utility_DisplayArrayInTable(SourceData_PastureBeef.SourceData_PastureBeef_LiveweightGainNTQLD_Data(),Table_SourceData_PastureBeef_LiveweightGainNTQLD[[#Headers],[State]],0)</f>
        <v>Autumn</v>
      </c>
      <c r="G216" s="30" cm="1">
        <f t="array" ref="G216">Common_InputFunctions.Utility_DisplayArrayInTable(SourceData_PastureBeef.SourceData_PastureBeef_LiveweightGainNTQLD_Data(),Table_SourceData_PastureBeef_LiveweightGainNTQLD[[#Headers],[State]],0)</f>
        <v>0.4</v>
      </c>
      <c r="H216" s="30" cm="1">
        <f t="array" ref="H216">Common_InputFunctions.Utility_DisplayArrayInTable(SourceData_PastureBeef.SourceData_PastureBeef_LiveweightGainNTQLD_Data(),Table_SourceData_PastureBeef_LiveweightGainNTQLD[[#Headers],[State]],0)</f>
        <v>0.13</v>
      </c>
      <c r="I216" s="30" cm="1">
        <f t="array" ref="I216">Common_InputFunctions.Utility_DisplayArrayInTable(SourceData_PastureBeef.SourceData_PastureBeef_LiveweightGainNTQLD_Data(),Table_SourceData_PastureBeef_LiveweightGainNTQLD[[#Headers],[State]],0)</f>
        <v>0.12</v>
      </c>
      <c r="J216" s="30" cm="1">
        <f t="array" ref="J216">Common_InputFunctions.Utility_DisplayArrayInTable(SourceData_PastureBeef.SourceData_PastureBeef_LiveweightGainNTQLD_Data(),Table_SourceData_PastureBeef_LiveweightGainNTQLD[[#Headers],[State]],0)</f>
        <v>0.27</v>
      </c>
      <c r="K216" s="30" cm="1">
        <f t="array" ref="K216">Common_InputFunctions.Utility_DisplayArrayInTable(SourceData_PastureBeef.SourceData_PastureBeef_LiveweightGainNTQLD_Data(),Table_SourceData_PastureBeef_LiveweightGainNTQLD[[#Headers],[State]],0)</f>
        <v>0.3</v>
      </c>
      <c r="L216" s="30" cm="1">
        <f t="array" ref="L216">Common_InputFunctions.Utility_DisplayArrayInTable(SourceData_PastureBeef.SourceData_PastureBeef_LiveweightGainNTQLD_Data(),Table_SourceData_PastureBeef_LiveweightGainNTQLD[[#Headers],[State]],0)</f>
        <v>0.08</v>
      </c>
      <c r="M216" s="30" cm="1">
        <f t="array" ref="M216">Common_InputFunctions.Utility_DisplayArrayInTable(SourceData_PastureBeef.SourceData_PastureBeef_LiveweightGainNTQLD_Data(),Table_SourceData_PastureBeef_LiveweightGainNTQLD[[#Headers],[State]],0)</f>
        <v>0.13</v>
      </c>
      <c r="N216" s="30" cm="1">
        <f t="array" ref="N216">Common_InputFunctions.Utility_DisplayArrayInTable(SourceData_PastureBeef.SourceData_PastureBeef_LiveweightGainNTQLD_Data(),Table_SourceData_PastureBeef_LiveweightGainNTQLD[[#Headers],[State]],0)</f>
        <v>0.24</v>
      </c>
      <c r="O216" s="30" cm="1">
        <f t="array" ref="O216">Common_InputFunctions.Utility_DisplayArrayInTable(SourceData_PastureBeef.SourceData_PastureBeef_LiveweightGainNTQLD_Data(),Table_SourceData_PastureBeef_LiveweightGainNTQLD[[#Headers],[State]],0)</f>
        <v>0.15</v>
      </c>
      <c r="P216" s="30" cm="1">
        <f t="array" ref="P216">Common_InputFunctions.Utility_DisplayArrayInTable(SourceData_PastureBeef.SourceData_PastureBeef_LiveweightGainNTQLD_Data(),Table_SourceData_PastureBeef_LiveweightGainNTQLD[[#Headers],[State]],0)</f>
        <v>0.21</v>
      </c>
    </row>
    <row r="217" spans="4:16" x14ac:dyDescent="0.25">
      <c r="D217" s="1" t="str" cm="1">
        <f t="array" ref="D217">Common_InputFunctions.Utility_DisplayArrayInTable(SourceData_PastureBeef.SourceData_PastureBeef_LiveweightGainNTQLD_Data(),Table_SourceData_PastureBeef_LiveweightGainNTQLD[[#Headers],[State]],0)</f>
        <v>Queensland</v>
      </c>
      <c r="E217" s="30" t="str" cm="1">
        <f t="array" ref="E217">Common_InputFunctions.Utility_DisplayArrayInTable(SourceData_PastureBeef.SourceData_PastureBeef_LiveweightGainNTQLD_Data(),Table_SourceData_PastureBeef_LiveweightGainNTQLD[[#Headers],[State]],0)</f>
        <v>Low</v>
      </c>
      <c r="F217" s="30" t="str" cm="1">
        <f t="array" ref="F217">Common_InputFunctions.Utility_DisplayArrayInTable(SourceData_PastureBeef.SourceData_PastureBeef_LiveweightGainNTQLD_Data(),Table_SourceData_PastureBeef_LiveweightGainNTQLD[[#Headers],[State]],0)</f>
        <v>Winter</v>
      </c>
      <c r="G217" s="30" cm="1">
        <f t="array" ref="G217">Common_InputFunctions.Utility_DisplayArrayInTable(SourceData_PastureBeef.SourceData_PastureBeef_LiveweightGainNTQLD_Data(),Table_SourceData_PastureBeef_LiveweightGainNTQLD[[#Headers],[State]],0)</f>
        <v>0.08</v>
      </c>
      <c r="H217" s="30" cm="1">
        <f t="array" ref="H217">Common_InputFunctions.Utility_DisplayArrayInTable(SourceData_PastureBeef.SourceData_PastureBeef_LiveweightGainNTQLD_Data(),Table_SourceData_PastureBeef_LiveweightGainNTQLD[[#Headers],[State]],0)</f>
        <v>0.04</v>
      </c>
      <c r="I217" s="30" cm="1">
        <f t="array" ref="I217">Common_InputFunctions.Utility_DisplayArrayInTable(SourceData_PastureBeef.SourceData_PastureBeef_LiveweightGainNTQLD_Data(),Table_SourceData_PastureBeef_LiveweightGainNTQLD[[#Headers],[State]],0)</f>
        <v>0.06</v>
      </c>
      <c r="J217" s="30" cm="1">
        <f t="array" ref="J217">Common_InputFunctions.Utility_DisplayArrayInTable(SourceData_PastureBeef.SourceData_PastureBeef_LiveweightGainNTQLD_Data(),Table_SourceData_PastureBeef_LiveweightGainNTQLD[[#Headers],[State]],0)</f>
        <v>0.18</v>
      </c>
      <c r="K217" s="30" cm="1">
        <f t="array" ref="K217">Common_InputFunctions.Utility_DisplayArrayInTable(SourceData_PastureBeef.SourceData_PastureBeef_LiveweightGainNTQLD_Data(),Table_SourceData_PastureBeef_LiveweightGainNTQLD[[#Headers],[State]],0)</f>
        <v>0.11</v>
      </c>
      <c r="L217" s="30" cm="1">
        <f t="array" ref="L217">Common_InputFunctions.Utility_DisplayArrayInTable(SourceData_PastureBeef.SourceData_PastureBeef_LiveweightGainNTQLD_Data(),Table_SourceData_PastureBeef_LiveweightGainNTQLD[[#Headers],[State]],0)</f>
        <v>-7.0000000000000007E-2</v>
      </c>
      <c r="M217" s="30" cm="1">
        <f t="array" ref="M217">Common_InputFunctions.Utility_DisplayArrayInTable(SourceData_PastureBeef.SourceData_PastureBeef_LiveweightGainNTQLD_Data(),Table_SourceData_PastureBeef_LiveweightGainNTQLD[[#Headers],[State]],0)</f>
        <v>0.13</v>
      </c>
      <c r="N217" s="30" cm="1">
        <f t="array" ref="N217">Common_InputFunctions.Utility_DisplayArrayInTable(SourceData_PastureBeef.SourceData_PastureBeef_LiveweightGainNTQLD_Data(),Table_SourceData_PastureBeef_LiveweightGainNTQLD[[#Headers],[State]],0)</f>
        <v>0.16</v>
      </c>
      <c r="O217" s="30" cm="1">
        <f t="array" ref="O217">Common_InputFunctions.Utility_DisplayArrayInTable(SourceData_PastureBeef.SourceData_PastureBeef_LiveweightGainNTQLD_Data(),Table_SourceData_PastureBeef_LiveweightGainNTQLD[[#Headers],[State]],0)</f>
        <v>0.4</v>
      </c>
      <c r="P217" s="30" cm="1">
        <f t="array" ref="P217">Common_InputFunctions.Utility_DisplayArrayInTable(SourceData_PastureBeef.SourceData_PastureBeef_LiveweightGainNTQLD_Data(),Table_SourceData_PastureBeef_LiveweightGainNTQLD[[#Headers],[State]],0)</f>
        <v>0.33</v>
      </c>
    </row>
    <row r="218" spans="4:16" x14ac:dyDescent="0.25">
      <c r="M218" s="1"/>
    </row>
    <row r="219" spans="4:16" x14ac:dyDescent="0.25">
      <c r="M219" s="1"/>
    </row>
    <row r="220" spans="4:16" ht="23.25" x14ac:dyDescent="0.25">
      <c r="D220" s="2" t="s">
        <v>370</v>
      </c>
      <c r="M220" s="1"/>
    </row>
    <row r="221" spans="4:16" x14ac:dyDescent="0.25">
      <c r="M221" s="1"/>
    </row>
    <row r="222" spans="4:16" x14ac:dyDescent="0.25">
      <c r="D222" s="30" t="s">
        <v>107</v>
      </c>
      <c r="E222" s="30" t="s">
        <v>312</v>
      </c>
      <c r="F222" s="30" t="s">
        <v>78</v>
      </c>
      <c r="G222" s="127" t="s">
        <v>193</v>
      </c>
      <c r="H222" s="127" t="s">
        <v>194</v>
      </c>
      <c r="I222" s="127" t="s">
        <v>195</v>
      </c>
      <c r="J222" s="127" t="s">
        <v>196</v>
      </c>
      <c r="K222" s="127" t="s">
        <v>197</v>
      </c>
      <c r="L222" s="127" t="s">
        <v>198</v>
      </c>
      <c r="M222" s="127" t="s">
        <v>199</v>
      </c>
      <c r="N222" s="127" t="s">
        <v>200</v>
      </c>
      <c r="O222" s="127" t="s">
        <v>201</v>
      </c>
      <c r="P222" s="127" t="s">
        <v>202</v>
      </c>
    </row>
    <row r="223" spans="4:16" x14ac:dyDescent="0.25">
      <c r="D223" s="30" t="s">
        <v>342</v>
      </c>
      <c r="E223" s="30" t="s">
        <v>316</v>
      </c>
      <c r="F223" s="30" t="str">
        <f>F155</f>
        <v>Spring</v>
      </c>
      <c r="G223" s="30">
        <f>G155</f>
        <v>0.5</v>
      </c>
      <c r="H223" s="30">
        <f t="shared" ref="H223:J223" si="31">H155</f>
        <v>0.2</v>
      </c>
      <c r="I223" s="30">
        <f t="shared" si="31"/>
        <v>0.5</v>
      </c>
      <c r="J223" s="30">
        <f t="shared" si="31"/>
        <v>0.4</v>
      </c>
      <c r="K223" s="30">
        <f>K155</f>
        <v>0.3</v>
      </c>
      <c r="L223" s="30">
        <f>K155</f>
        <v>0.3</v>
      </c>
      <c r="M223" s="30">
        <f>L155</f>
        <v>0.5</v>
      </c>
      <c r="N223" s="30">
        <f>M155</f>
        <v>0.4</v>
      </c>
      <c r="O223" s="30">
        <f>M155</f>
        <v>0.4</v>
      </c>
      <c r="P223" s="30">
        <f>M155</f>
        <v>0.4</v>
      </c>
    </row>
    <row r="224" spans="4:16" x14ac:dyDescent="0.25">
      <c r="D224" s="30" t="s">
        <v>342</v>
      </c>
      <c r="E224" s="30" t="s">
        <v>316</v>
      </c>
      <c r="F224" s="30" t="str">
        <f t="shared" ref="F224:K226" si="32">F156</f>
        <v>Summer</v>
      </c>
      <c r="G224" s="30">
        <f t="shared" si="32"/>
        <v>1</v>
      </c>
      <c r="H224" s="30">
        <f t="shared" si="32"/>
        <v>0.4</v>
      </c>
      <c r="I224" s="30">
        <f t="shared" si="32"/>
        <v>0.9</v>
      </c>
      <c r="J224" s="30">
        <f t="shared" si="32"/>
        <v>0.7</v>
      </c>
      <c r="K224" s="30">
        <f t="shared" si="32"/>
        <v>0.3</v>
      </c>
      <c r="L224" s="30">
        <f t="shared" ref="L224:N226" si="33">K156</f>
        <v>0.3</v>
      </c>
      <c r="M224" s="30">
        <f t="shared" si="33"/>
        <v>0.9</v>
      </c>
      <c r="N224" s="30">
        <f t="shared" si="33"/>
        <v>0.4</v>
      </c>
      <c r="O224" s="30">
        <f t="shared" ref="O224:O226" si="34">M156</f>
        <v>0.4</v>
      </c>
      <c r="P224" s="30">
        <f t="shared" ref="P224:P226" si="35">M156</f>
        <v>0.4</v>
      </c>
    </row>
    <row r="225" spans="4:16" x14ac:dyDescent="0.25">
      <c r="D225" s="30" t="s">
        <v>342</v>
      </c>
      <c r="E225" s="30" t="s">
        <v>316</v>
      </c>
      <c r="F225" s="30" t="str">
        <f t="shared" si="32"/>
        <v>Autumn</v>
      </c>
      <c r="G225" s="30">
        <f t="shared" si="32"/>
        <v>0.8</v>
      </c>
      <c r="H225" s="30">
        <f t="shared" si="32"/>
        <v>0.3</v>
      </c>
      <c r="I225" s="30">
        <f t="shared" si="32"/>
        <v>0.7</v>
      </c>
      <c r="J225" s="30">
        <f t="shared" si="32"/>
        <v>0.3</v>
      </c>
      <c r="K225" s="30">
        <f t="shared" si="32"/>
        <v>0.2</v>
      </c>
      <c r="L225" s="30">
        <f t="shared" si="33"/>
        <v>0.2</v>
      </c>
      <c r="M225" s="30">
        <f t="shared" si="33"/>
        <v>0.7</v>
      </c>
      <c r="N225" s="30">
        <f t="shared" si="33"/>
        <v>0.3</v>
      </c>
      <c r="O225" s="30">
        <f t="shared" si="34"/>
        <v>0.3</v>
      </c>
      <c r="P225" s="30">
        <f t="shared" si="35"/>
        <v>0.3</v>
      </c>
    </row>
    <row r="226" spans="4:16" x14ac:dyDescent="0.25">
      <c r="D226" s="30" t="s">
        <v>342</v>
      </c>
      <c r="E226" s="30" t="s">
        <v>316</v>
      </c>
      <c r="F226" s="30" t="str">
        <f t="shared" si="32"/>
        <v>Winter</v>
      </c>
      <c r="G226" s="30">
        <f t="shared" si="32"/>
        <v>0.4</v>
      </c>
      <c r="H226" s="30">
        <f t="shared" si="32"/>
        <v>0.1</v>
      </c>
      <c r="I226" s="30">
        <f t="shared" si="32"/>
        <v>0.4</v>
      </c>
      <c r="J226" s="30">
        <f t="shared" si="32"/>
        <v>0.2</v>
      </c>
      <c r="K226" s="30">
        <f t="shared" si="32"/>
        <v>0.1</v>
      </c>
      <c r="L226" s="30">
        <f t="shared" si="33"/>
        <v>0.1</v>
      </c>
      <c r="M226" s="30">
        <f t="shared" si="33"/>
        <v>0.4</v>
      </c>
      <c r="N226" s="30">
        <f t="shared" si="33"/>
        <v>0.1</v>
      </c>
      <c r="O226" s="30">
        <f t="shared" si="34"/>
        <v>0.1</v>
      </c>
      <c r="P226" s="30">
        <f t="shared" si="35"/>
        <v>0.1</v>
      </c>
    </row>
    <row r="227" spans="4:16" x14ac:dyDescent="0.25">
      <c r="D227" s="30" t="s">
        <v>343</v>
      </c>
      <c r="E227" s="30" t="s">
        <v>316</v>
      </c>
      <c r="F227" s="30" t="str">
        <f>F155</f>
        <v>Spring</v>
      </c>
      <c r="G227" s="30">
        <f>G155</f>
        <v>0.5</v>
      </c>
      <c r="H227" s="30">
        <f t="shared" ref="H227:J227" si="36">H155</f>
        <v>0.2</v>
      </c>
      <c r="I227" s="30">
        <f t="shared" si="36"/>
        <v>0.5</v>
      </c>
      <c r="J227" s="30">
        <f t="shared" si="36"/>
        <v>0.4</v>
      </c>
      <c r="K227" s="30">
        <f>K155</f>
        <v>0.3</v>
      </c>
      <c r="L227" s="30">
        <f>K155</f>
        <v>0.3</v>
      </c>
      <c r="M227" s="30">
        <f t="shared" ref="M227" si="37">L155</f>
        <v>0.5</v>
      </c>
      <c r="N227" s="30">
        <f>M155</f>
        <v>0.4</v>
      </c>
      <c r="O227" s="30">
        <f>M155</f>
        <v>0.4</v>
      </c>
      <c r="P227" s="30">
        <f>M155</f>
        <v>0.4</v>
      </c>
    </row>
    <row r="228" spans="4:16" x14ac:dyDescent="0.25">
      <c r="D228" s="30" t="s">
        <v>343</v>
      </c>
      <c r="E228" s="30" t="s">
        <v>316</v>
      </c>
      <c r="F228" s="30" t="str">
        <f t="shared" ref="F228:K231" si="38">F156</f>
        <v>Summer</v>
      </c>
      <c r="G228" s="30">
        <f t="shared" si="38"/>
        <v>1</v>
      </c>
      <c r="H228" s="30">
        <f t="shared" si="38"/>
        <v>0.4</v>
      </c>
      <c r="I228" s="30">
        <f t="shared" si="38"/>
        <v>0.9</v>
      </c>
      <c r="J228" s="30">
        <f t="shared" si="38"/>
        <v>0.7</v>
      </c>
      <c r="K228" s="30">
        <f t="shared" si="38"/>
        <v>0.3</v>
      </c>
      <c r="L228" s="30">
        <f t="shared" ref="L228:N231" si="39">K156</f>
        <v>0.3</v>
      </c>
      <c r="M228" s="30">
        <f t="shared" si="39"/>
        <v>0.9</v>
      </c>
      <c r="N228" s="30">
        <f t="shared" si="39"/>
        <v>0.4</v>
      </c>
      <c r="O228" s="30">
        <f t="shared" ref="O228:O230" si="40">M156</f>
        <v>0.4</v>
      </c>
      <c r="P228" s="30">
        <f t="shared" ref="P228:P230" si="41">M156</f>
        <v>0.4</v>
      </c>
    </row>
    <row r="229" spans="4:16" x14ac:dyDescent="0.25">
      <c r="D229" s="30" t="s">
        <v>343</v>
      </c>
      <c r="E229" s="30" t="s">
        <v>316</v>
      </c>
      <c r="F229" s="30" t="str">
        <f t="shared" si="38"/>
        <v>Autumn</v>
      </c>
      <c r="G229" s="30">
        <f t="shared" si="38"/>
        <v>0.8</v>
      </c>
      <c r="H229" s="30">
        <f t="shared" si="38"/>
        <v>0.3</v>
      </c>
      <c r="I229" s="30">
        <f t="shared" si="38"/>
        <v>0.7</v>
      </c>
      <c r="J229" s="30">
        <f t="shared" si="38"/>
        <v>0.3</v>
      </c>
      <c r="K229" s="30">
        <f t="shared" si="38"/>
        <v>0.2</v>
      </c>
      <c r="L229" s="30">
        <f t="shared" si="39"/>
        <v>0.2</v>
      </c>
      <c r="M229" s="30">
        <f t="shared" si="39"/>
        <v>0.7</v>
      </c>
      <c r="N229" s="30">
        <f t="shared" si="39"/>
        <v>0.3</v>
      </c>
      <c r="O229" s="30">
        <f t="shared" si="40"/>
        <v>0.3</v>
      </c>
      <c r="P229" s="30">
        <f t="shared" si="41"/>
        <v>0.3</v>
      </c>
    </row>
    <row r="230" spans="4:16" x14ac:dyDescent="0.25">
      <c r="D230" s="30" t="s">
        <v>343</v>
      </c>
      <c r="E230" s="30" t="s">
        <v>316</v>
      </c>
      <c r="F230" s="30" t="str">
        <f t="shared" si="38"/>
        <v>Winter</v>
      </c>
      <c r="G230" s="30">
        <f t="shared" si="38"/>
        <v>0.4</v>
      </c>
      <c r="H230" s="30">
        <f t="shared" si="38"/>
        <v>0.1</v>
      </c>
      <c r="I230" s="30">
        <f t="shared" si="38"/>
        <v>0.4</v>
      </c>
      <c r="J230" s="30">
        <f t="shared" si="38"/>
        <v>0.2</v>
      </c>
      <c r="K230" s="30">
        <f t="shared" si="38"/>
        <v>0.1</v>
      </c>
      <c r="L230" s="30">
        <f t="shared" si="39"/>
        <v>0.1</v>
      </c>
      <c r="M230" s="30">
        <f t="shared" si="39"/>
        <v>0.4</v>
      </c>
      <c r="N230" s="30">
        <f t="shared" si="39"/>
        <v>0.1</v>
      </c>
      <c r="O230" s="30">
        <f t="shared" si="40"/>
        <v>0.1</v>
      </c>
      <c r="P230" s="30">
        <f t="shared" si="41"/>
        <v>0.1</v>
      </c>
    </row>
    <row r="231" spans="4:16" x14ac:dyDescent="0.25">
      <c r="D231" s="30" t="s">
        <v>344</v>
      </c>
      <c r="E231" s="30" t="s">
        <v>316</v>
      </c>
      <c r="F231" s="30" t="str">
        <f>F159</f>
        <v>Spring</v>
      </c>
      <c r="G231" s="30">
        <f>G159</f>
        <v>0.99</v>
      </c>
      <c r="H231" s="30">
        <f t="shared" si="38"/>
        <v>1.1000000000000001</v>
      </c>
      <c r="I231" s="30">
        <f t="shared" si="38"/>
        <v>0.88</v>
      </c>
      <c r="J231" s="30">
        <f t="shared" si="38"/>
        <v>0.55000000000000004</v>
      </c>
      <c r="K231" s="30">
        <f>K159</f>
        <v>0.55000000000000004</v>
      </c>
      <c r="L231" s="30">
        <f>K159</f>
        <v>0.55000000000000004</v>
      </c>
      <c r="M231" s="30">
        <f t="shared" si="39"/>
        <v>0.88</v>
      </c>
      <c r="N231" s="30">
        <f>M159</f>
        <v>0.22</v>
      </c>
      <c r="O231" s="30">
        <f>M159</f>
        <v>0.22</v>
      </c>
      <c r="P231" s="30">
        <f>M159</f>
        <v>0.22</v>
      </c>
    </row>
    <row r="232" spans="4:16" x14ac:dyDescent="0.25">
      <c r="D232" s="30" t="s">
        <v>344</v>
      </c>
      <c r="E232" s="30" t="s">
        <v>316</v>
      </c>
      <c r="F232" s="30" t="str">
        <f t="shared" ref="F232:K247" si="42">F160</f>
        <v>Summer</v>
      </c>
      <c r="G232" s="30">
        <f t="shared" si="42"/>
        <v>0.77</v>
      </c>
      <c r="H232" s="30">
        <f t="shared" si="42"/>
        <v>0</v>
      </c>
      <c r="I232" s="30">
        <f t="shared" si="42"/>
        <v>0.66</v>
      </c>
      <c r="J232" s="30">
        <f t="shared" si="42"/>
        <v>0.22</v>
      </c>
      <c r="K232" s="30">
        <f t="shared" si="42"/>
        <v>0</v>
      </c>
      <c r="L232" s="30">
        <f t="shared" ref="L232:N247" si="43">K160</f>
        <v>0</v>
      </c>
      <c r="M232" s="30">
        <f t="shared" si="43"/>
        <v>0.66</v>
      </c>
      <c r="N232" s="30">
        <f t="shared" si="43"/>
        <v>0</v>
      </c>
      <c r="O232" s="30">
        <f t="shared" ref="O232:O254" si="44">M160</f>
        <v>0</v>
      </c>
      <c r="P232" s="30">
        <f t="shared" ref="P232:P254" si="45">M160</f>
        <v>0</v>
      </c>
    </row>
    <row r="233" spans="4:16" x14ac:dyDescent="0.25">
      <c r="D233" s="30" t="s">
        <v>344</v>
      </c>
      <c r="E233" s="30" t="s">
        <v>316</v>
      </c>
      <c r="F233" s="30" t="str">
        <f t="shared" si="42"/>
        <v>Autumn</v>
      </c>
      <c r="G233" s="30">
        <f t="shared" si="42"/>
        <v>0.9</v>
      </c>
      <c r="H233" s="30">
        <f t="shared" si="42"/>
        <v>-1.1000000000000001</v>
      </c>
      <c r="I233" s="30">
        <f t="shared" si="42"/>
        <v>0.7</v>
      </c>
      <c r="J233" s="30">
        <f t="shared" si="42"/>
        <v>0.22</v>
      </c>
      <c r="K233" s="30">
        <f t="shared" si="42"/>
        <v>-0.55000000000000004</v>
      </c>
      <c r="L233" s="30">
        <f t="shared" si="43"/>
        <v>-0.55000000000000004</v>
      </c>
      <c r="M233" s="30">
        <f t="shared" si="43"/>
        <v>0.8</v>
      </c>
      <c r="N233" s="30">
        <f t="shared" si="43"/>
        <v>-0.22</v>
      </c>
      <c r="O233" s="30">
        <f t="shared" si="44"/>
        <v>-0.22</v>
      </c>
      <c r="P233" s="30">
        <f t="shared" si="45"/>
        <v>-0.22</v>
      </c>
    </row>
    <row r="234" spans="4:16" x14ac:dyDescent="0.25">
      <c r="D234" s="30" t="s">
        <v>344</v>
      </c>
      <c r="E234" s="30" t="s">
        <v>316</v>
      </c>
      <c r="F234" s="30" t="str">
        <f t="shared" si="42"/>
        <v>Winter</v>
      </c>
      <c r="G234" s="30">
        <f t="shared" si="42"/>
        <v>0.88</v>
      </c>
      <c r="H234" s="30">
        <f t="shared" si="42"/>
        <v>0</v>
      </c>
      <c r="I234" s="30">
        <f t="shared" si="42"/>
        <v>0.77</v>
      </c>
      <c r="J234" s="30">
        <f t="shared" si="42"/>
        <v>0.55000000000000004</v>
      </c>
      <c r="K234" s="30">
        <f t="shared" si="42"/>
        <v>0</v>
      </c>
      <c r="L234" s="30">
        <f t="shared" si="43"/>
        <v>0</v>
      </c>
      <c r="M234" s="30">
        <f t="shared" si="43"/>
        <v>0.82</v>
      </c>
      <c r="N234" s="30">
        <f t="shared" si="43"/>
        <v>0</v>
      </c>
      <c r="O234" s="30">
        <f t="shared" si="44"/>
        <v>0</v>
      </c>
      <c r="P234" s="30">
        <f t="shared" si="45"/>
        <v>0</v>
      </c>
    </row>
    <row r="235" spans="4:16" x14ac:dyDescent="0.25">
      <c r="D235" s="30" t="s">
        <v>345</v>
      </c>
      <c r="E235" s="30" t="s">
        <v>316</v>
      </c>
      <c r="F235" s="30" t="str">
        <f t="shared" si="42"/>
        <v>Spring</v>
      </c>
      <c r="G235" s="30">
        <f t="shared" si="42"/>
        <v>1</v>
      </c>
      <c r="H235" s="30">
        <f t="shared" si="42"/>
        <v>0.5</v>
      </c>
      <c r="I235" s="30">
        <f t="shared" si="42"/>
        <v>1</v>
      </c>
      <c r="J235" s="30">
        <f t="shared" si="42"/>
        <v>1</v>
      </c>
      <c r="K235" s="30">
        <f t="shared" si="42"/>
        <v>-0.44</v>
      </c>
      <c r="L235" s="30">
        <f t="shared" si="43"/>
        <v>-0.44</v>
      </c>
      <c r="M235" s="30">
        <f t="shared" si="43"/>
        <v>1</v>
      </c>
      <c r="N235" s="30">
        <f t="shared" si="43"/>
        <v>0.5</v>
      </c>
      <c r="O235" s="30">
        <f t="shared" si="44"/>
        <v>0.5</v>
      </c>
      <c r="P235" s="30">
        <f t="shared" si="45"/>
        <v>0.5</v>
      </c>
    </row>
    <row r="236" spans="4:16" x14ac:dyDescent="0.25">
      <c r="D236" s="30" t="s">
        <v>345</v>
      </c>
      <c r="E236" s="30" t="s">
        <v>316</v>
      </c>
      <c r="F236" s="30" t="str">
        <f t="shared" si="42"/>
        <v>Summer</v>
      </c>
      <c r="G236" s="30">
        <f t="shared" si="42"/>
        <v>0.82</v>
      </c>
      <c r="H236" s="30">
        <f t="shared" si="42"/>
        <v>0.55000000000000004</v>
      </c>
      <c r="I236" s="30">
        <f t="shared" si="42"/>
        <v>0.71</v>
      </c>
      <c r="J236" s="30">
        <f t="shared" si="42"/>
        <v>0.55000000000000004</v>
      </c>
      <c r="K236" s="30">
        <f t="shared" si="42"/>
        <v>0.99</v>
      </c>
      <c r="L236" s="30">
        <f t="shared" si="43"/>
        <v>0.99</v>
      </c>
      <c r="M236" s="30">
        <f t="shared" si="43"/>
        <v>0.77</v>
      </c>
      <c r="N236" s="30">
        <f t="shared" si="43"/>
        <v>0.5</v>
      </c>
      <c r="O236" s="30">
        <f t="shared" si="44"/>
        <v>0.5</v>
      </c>
      <c r="P236" s="30">
        <f t="shared" si="45"/>
        <v>0.5</v>
      </c>
    </row>
    <row r="237" spans="4:16" x14ac:dyDescent="0.25">
      <c r="D237" s="30" t="s">
        <v>345</v>
      </c>
      <c r="E237" s="30" t="s">
        <v>316</v>
      </c>
      <c r="F237" s="30" t="str">
        <f t="shared" si="42"/>
        <v>Autumn</v>
      </c>
      <c r="G237" s="30">
        <f t="shared" si="42"/>
        <v>0.77</v>
      </c>
      <c r="H237" s="30">
        <f t="shared" si="42"/>
        <v>0.5</v>
      </c>
      <c r="I237" s="30">
        <f t="shared" si="42"/>
        <v>0.55000000000000004</v>
      </c>
      <c r="J237" s="30">
        <f t="shared" si="42"/>
        <v>0.11</v>
      </c>
      <c r="K237" s="30">
        <f t="shared" si="42"/>
        <v>-0.33</v>
      </c>
      <c r="L237" s="30">
        <f t="shared" si="43"/>
        <v>-0.33</v>
      </c>
      <c r="M237" s="30">
        <f t="shared" si="43"/>
        <v>0.6</v>
      </c>
      <c r="N237" s="30">
        <f t="shared" si="43"/>
        <v>0.33</v>
      </c>
      <c r="O237" s="30">
        <f t="shared" si="44"/>
        <v>0.33</v>
      </c>
      <c r="P237" s="30">
        <f t="shared" si="45"/>
        <v>0.33</v>
      </c>
    </row>
    <row r="238" spans="4:16" x14ac:dyDescent="0.25">
      <c r="D238" s="30" t="s">
        <v>345</v>
      </c>
      <c r="E238" s="30" t="s">
        <v>316</v>
      </c>
      <c r="F238" s="30" t="str">
        <f t="shared" si="42"/>
        <v>Winter</v>
      </c>
      <c r="G238" s="30">
        <f t="shared" si="42"/>
        <v>0.11</v>
      </c>
      <c r="H238" s="30">
        <f t="shared" si="42"/>
        <v>-0.27</v>
      </c>
      <c r="I238" s="30">
        <f t="shared" si="42"/>
        <v>0.11</v>
      </c>
      <c r="J238" s="30">
        <f t="shared" si="42"/>
        <v>0.22</v>
      </c>
      <c r="K238" s="30">
        <f t="shared" si="42"/>
        <v>-0.44</v>
      </c>
      <c r="L238" s="30">
        <f t="shared" si="43"/>
        <v>-0.44</v>
      </c>
      <c r="M238" s="30">
        <f t="shared" si="43"/>
        <v>0.16</v>
      </c>
      <c r="N238" s="30">
        <f t="shared" si="43"/>
        <v>-0.22</v>
      </c>
      <c r="O238" s="30">
        <f t="shared" si="44"/>
        <v>-0.22</v>
      </c>
      <c r="P238" s="30">
        <f t="shared" si="45"/>
        <v>-0.22</v>
      </c>
    </row>
    <row r="239" spans="4:16" x14ac:dyDescent="0.25">
      <c r="D239" s="30" t="s">
        <v>346</v>
      </c>
      <c r="E239" s="30" t="s">
        <v>316</v>
      </c>
      <c r="F239" s="30" t="str">
        <f t="shared" si="42"/>
        <v>Spring</v>
      </c>
      <c r="G239" s="30">
        <f t="shared" si="42"/>
        <v>1.1000000000000001</v>
      </c>
      <c r="H239" s="30">
        <f t="shared" si="42"/>
        <v>1.1000000000000001</v>
      </c>
      <c r="I239" s="30">
        <f t="shared" si="42"/>
        <v>1.1000000000000001</v>
      </c>
      <c r="J239" s="30">
        <f t="shared" si="42"/>
        <v>0.99</v>
      </c>
      <c r="K239" s="30">
        <f t="shared" si="42"/>
        <v>0.99</v>
      </c>
      <c r="L239" s="30">
        <f t="shared" si="43"/>
        <v>0.99</v>
      </c>
      <c r="M239" s="30">
        <f t="shared" si="43"/>
        <v>1.1000000000000001</v>
      </c>
      <c r="N239" s="30">
        <f t="shared" si="43"/>
        <v>0.77</v>
      </c>
      <c r="O239" s="30">
        <f t="shared" si="44"/>
        <v>0.77</v>
      </c>
      <c r="P239" s="30">
        <f t="shared" si="45"/>
        <v>0.77</v>
      </c>
    </row>
    <row r="240" spans="4:16" x14ac:dyDescent="0.25">
      <c r="D240" s="30" t="s">
        <v>346</v>
      </c>
      <c r="E240" s="30" t="s">
        <v>316</v>
      </c>
      <c r="F240" s="30" t="str">
        <f t="shared" si="42"/>
        <v>Summer</v>
      </c>
      <c r="G240" s="30">
        <f t="shared" si="42"/>
        <v>0.33</v>
      </c>
      <c r="H240" s="30">
        <f t="shared" si="42"/>
        <v>0.33</v>
      </c>
      <c r="I240" s="30">
        <f t="shared" si="42"/>
        <v>0.22</v>
      </c>
      <c r="J240" s="30">
        <f t="shared" si="42"/>
        <v>0.33</v>
      </c>
      <c r="K240" s="30">
        <f t="shared" si="42"/>
        <v>-0.1</v>
      </c>
      <c r="L240" s="30">
        <f t="shared" si="43"/>
        <v>-0.1</v>
      </c>
      <c r="M240" s="30">
        <f t="shared" si="43"/>
        <v>0.33</v>
      </c>
      <c r="N240" s="30">
        <f t="shared" si="43"/>
        <v>0.11</v>
      </c>
      <c r="O240" s="30">
        <f t="shared" si="44"/>
        <v>0.11</v>
      </c>
      <c r="P240" s="30">
        <f t="shared" si="45"/>
        <v>0.11</v>
      </c>
    </row>
    <row r="241" spans="4:16" x14ac:dyDescent="0.25">
      <c r="D241" s="30" t="s">
        <v>346</v>
      </c>
      <c r="E241" s="30" t="s">
        <v>316</v>
      </c>
      <c r="F241" s="30" t="str">
        <f t="shared" si="42"/>
        <v>Autumn</v>
      </c>
      <c r="G241" s="30">
        <f t="shared" si="42"/>
        <v>0.5</v>
      </c>
      <c r="H241" s="30">
        <f t="shared" si="42"/>
        <v>0.2</v>
      </c>
      <c r="I241" s="30">
        <f t="shared" si="42"/>
        <v>0.55000000000000004</v>
      </c>
      <c r="J241" s="30">
        <f t="shared" si="42"/>
        <v>0.44</v>
      </c>
      <c r="K241" s="30">
        <f t="shared" si="42"/>
        <v>0.2</v>
      </c>
      <c r="L241" s="30">
        <f t="shared" si="43"/>
        <v>0.2</v>
      </c>
      <c r="M241" s="30">
        <f t="shared" si="43"/>
        <v>0.55000000000000004</v>
      </c>
      <c r="N241" s="30">
        <f t="shared" si="43"/>
        <v>0.2</v>
      </c>
      <c r="O241" s="30">
        <f t="shared" si="44"/>
        <v>0.2</v>
      </c>
      <c r="P241" s="30">
        <f t="shared" si="45"/>
        <v>0.2</v>
      </c>
    </row>
    <row r="242" spans="4:16" x14ac:dyDescent="0.25">
      <c r="D242" s="30" t="s">
        <v>346</v>
      </c>
      <c r="E242" s="30" t="s">
        <v>316</v>
      </c>
      <c r="F242" s="30" t="str">
        <f t="shared" si="42"/>
        <v>Winter</v>
      </c>
      <c r="G242" s="30">
        <f t="shared" si="42"/>
        <v>0.55000000000000004</v>
      </c>
      <c r="H242" s="30">
        <f t="shared" si="42"/>
        <v>0.22</v>
      </c>
      <c r="I242" s="30">
        <f t="shared" si="42"/>
        <v>0.49</v>
      </c>
      <c r="J242" s="30">
        <f t="shared" si="42"/>
        <v>0.22</v>
      </c>
      <c r="K242" s="30">
        <f t="shared" si="42"/>
        <v>0.22</v>
      </c>
      <c r="L242" s="30">
        <f t="shared" si="43"/>
        <v>0.22</v>
      </c>
      <c r="M242" s="30">
        <f t="shared" si="43"/>
        <v>0.49</v>
      </c>
      <c r="N242" s="30">
        <f t="shared" si="43"/>
        <v>0.33</v>
      </c>
      <c r="O242" s="30">
        <f t="shared" si="44"/>
        <v>0.33</v>
      </c>
      <c r="P242" s="30">
        <f t="shared" si="45"/>
        <v>0.33</v>
      </c>
    </row>
    <row r="243" spans="4:16" x14ac:dyDescent="0.25">
      <c r="D243" s="30" t="s">
        <v>348</v>
      </c>
      <c r="E243" s="30" t="str">
        <f>E171</f>
        <v>South West</v>
      </c>
      <c r="F243" s="30" t="str">
        <f t="shared" si="42"/>
        <v>Spring</v>
      </c>
      <c r="G243" s="30">
        <f t="shared" si="42"/>
        <v>1.64</v>
      </c>
      <c r="H243" s="30">
        <f t="shared" si="42"/>
        <v>1.1000000000000001</v>
      </c>
      <c r="I243" s="30">
        <f t="shared" si="42"/>
        <v>1.21</v>
      </c>
      <c r="J243" s="30">
        <f t="shared" si="42"/>
        <v>0.99</v>
      </c>
      <c r="K243" s="30">
        <f t="shared" si="42"/>
        <v>0.66</v>
      </c>
      <c r="L243" s="30">
        <f t="shared" si="43"/>
        <v>0.66</v>
      </c>
      <c r="M243" s="30">
        <f t="shared" si="43"/>
        <v>1.42</v>
      </c>
      <c r="N243" s="30">
        <f t="shared" si="43"/>
        <v>1.1000000000000001</v>
      </c>
      <c r="O243" s="30">
        <f t="shared" si="44"/>
        <v>1.1000000000000001</v>
      </c>
      <c r="P243" s="30">
        <f t="shared" si="45"/>
        <v>1.1000000000000001</v>
      </c>
    </row>
    <row r="244" spans="4:16" x14ac:dyDescent="0.25">
      <c r="D244" s="30" t="s">
        <v>348</v>
      </c>
      <c r="E244" s="30" t="str">
        <f t="shared" ref="E244:K254" si="46">E172</f>
        <v>South West</v>
      </c>
      <c r="F244" s="30" t="str">
        <f t="shared" si="42"/>
        <v>Summer</v>
      </c>
      <c r="G244" s="30">
        <f t="shared" si="42"/>
        <v>0.44</v>
      </c>
      <c r="H244" s="30">
        <f t="shared" si="42"/>
        <v>-0.22</v>
      </c>
      <c r="I244" s="30">
        <f t="shared" si="42"/>
        <v>0.44</v>
      </c>
      <c r="J244" s="30">
        <f t="shared" si="42"/>
        <v>0.33</v>
      </c>
      <c r="K244" s="30">
        <f t="shared" si="42"/>
        <v>-0.22</v>
      </c>
      <c r="L244" s="30">
        <f t="shared" si="43"/>
        <v>-0.22</v>
      </c>
      <c r="M244" s="30">
        <f t="shared" si="43"/>
        <v>0.44</v>
      </c>
      <c r="N244" s="30">
        <f t="shared" si="43"/>
        <v>-0.11</v>
      </c>
      <c r="O244" s="30">
        <f t="shared" si="44"/>
        <v>-0.11</v>
      </c>
      <c r="P244" s="30">
        <f t="shared" si="45"/>
        <v>-0.11</v>
      </c>
    </row>
    <row r="245" spans="4:16" x14ac:dyDescent="0.25">
      <c r="D245" s="30" t="s">
        <v>348</v>
      </c>
      <c r="E245" s="30" t="str">
        <f t="shared" si="46"/>
        <v>South West</v>
      </c>
      <c r="F245" s="30" t="str">
        <f t="shared" si="42"/>
        <v>Autumn</v>
      </c>
      <c r="G245" s="30">
        <f t="shared" si="42"/>
        <v>0.6</v>
      </c>
      <c r="H245" s="30">
        <f t="shared" si="42"/>
        <v>0</v>
      </c>
      <c r="I245" s="30">
        <f t="shared" si="42"/>
        <v>0.6</v>
      </c>
      <c r="J245" s="30">
        <f t="shared" si="42"/>
        <v>0.22</v>
      </c>
      <c r="K245" s="30">
        <f t="shared" si="42"/>
        <v>-0.55000000000000004</v>
      </c>
      <c r="L245" s="30">
        <f t="shared" si="43"/>
        <v>-0.55000000000000004</v>
      </c>
      <c r="M245" s="30">
        <f t="shared" si="43"/>
        <v>0.6</v>
      </c>
      <c r="N245" s="30">
        <f t="shared" si="43"/>
        <v>0</v>
      </c>
      <c r="O245" s="30">
        <f t="shared" si="44"/>
        <v>0</v>
      </c>
      <c r="P245" s="30">
        <f t="shared" si="45"/>
        <v>0</v>
      </c>
    </row>
    <row r="246" spans="4:16" x14ac:dyDescent="0.25">
      <c r="D246" s="30" t="s">
        <v>348</v>
      </c>
      <c r="E246" s="30" t="str">
        <f t="shared" si="46"/>
        <v>South West</v>
      </c>
      <c r="F246" s="30" t="str">
        <f t="shared" si="42"/>
        <v>Winter</v>
      </c>
      <c r="G246" s="30">
        <f t="shared" si="42"/>
        <v>0.99</v>
      </c>
      <c r="H246" s="30">
        <f t="shared" si="42"/>
        <v>0.22</v>
      </c>
      <c r="I246" s="30">
        <f t="shared" si="42"/>
        <v>0.77</v>
      </c>
      <c r="J246" s="30">
        <f t="shared" si="42"/>
        <v>0.11</v>
      </c>
      <c r="K246" s="30">
        <f t="shared" si="42"/>
        <v>0.11</v>
      </c>
      <c r="L246" s="30">
        <f t="shared" si="43"/>
        <v>0.11</v>
      </c>
      <c r="M246" s="30">
        <f t="shared" si="43"/>
        <v>0.77</v>
      </c>
      <c r="N246" s="30">
        <f t="shared" si="43"/>
        <v>0.44</v>
      </c>
      <c r="O246" s="30">
        <f t="shared" si="44"/>
        <v>0.44</v>
      </c>
      <c r="P246" s="30">
        <f t="shared" si="45"/>
        <v>0.44</v>
      </c>
    </row>
    <row r="247" spans="4:16" x14ac:dyDescent="0.25">
      <c r="D247" s="30" t="s">
        <v>348</v>
      </c>
      <c r="E247" s="30" t="str">
        <f t="shared" si="46"/>
        <v>Pilbara</v>
      </c>
      <c r="F247" s="30" t="str">
        <f t="shared" si="42"/>
        <v>Spring</v>
      </c>
      <c r="G247" s="30">
        <f t="shared" si="42"/>
        <v>0.7</v>
      </c>
      <c r="H247" s="30">
        <f t="shared" si="42"/>
        <v>-0.55000000000000004</v>
      </c>
      <c r="I247" s="30">
        <f t="shared" si="42"/>
        <v>0.7</v>
      </c>
      <c r="J247" s="30">
        <f t="shared" si="42"/>
        <v>0.22</v>
      </c>
      <c r="K247" s="30">
        <f t="shared" si="42"/>
        <v>-0.22</v>
      </c>
      <c r="L247" s="30">
        <f t="shared" si="43"/>
        <v>-0.22</v>
      </c>
      <c r="M247" s="30">
        <f t="shared" si="43"/>
        <v>0.7</v>
      </c>
      <c r="N247" s="30">
        <f t="shared" si="43"/>
        <v>-0.22</v>
      </c>
      <c r="O247" s="30">
        <f t="shared" si="44"/>
        <v>-0.22</v>
      </c>
      <c r="P247" s="30">
        <f t="shared" si="45"/>
        <v>-0.22</v>
      </c>
    </row>
    <row r="248" spans="4:16" x14ac:dyDescent="0.25">
      <c r="D248" s="30" t="s">
        <v>348</v>
      </c>
      <c r="E248" s="30" t="str">
        <f t="shared" si="46"/>
        <v>Pilbara</v>
      </c>
      <c r="F248" s="30" t="str">
        <f t="shared" si="46"/>
        <v>Summer</v>
      </c>
      <c r="G248" s="30">
        <f t="shared" si="46"/>
        <v>0.77</v>
      </c>
      <c r="H248" s="30">
        <f t="shared" si="46"/>
        <v>0.55000000000000004</v>
      </c>
      <c r="I248" s="30">
        <f t="shared" si="46"/>
        <v>0.77</v>
      </c>
      <c r="J248" s="30">
        <f t="shared" si="46"/>
        <v>0.66</v>
      </c>
      <c r="K248" s="30">
        <f t="shared" si="46"/>
        <v>0.55000000000000004</v>
      </c>
      <c r="L248" s="30">
        <f t="shared" ref="L248:N254" si="47">K176</f>
        <v>0.55000000000000004</v>
      </c>
      <c r="M248" s="30">
        <f t="shared" si="47"/>
        <v>0.77</v>
      </c>
      <c r="N248" s="30">
        <f t="shared" si="47"/>
        <v>0.33</v>
      </c>
      <c r="O248" s="30">
        <f t="shared" si="44"/>
        <v>0.33</v>
      </c>
      <c r="P248" s="30">
        <f t="shared" si="45"/>
        <v>0.33</v>
      </c>
    </row>
    <row r="249" spans="4:16" x14ac:dyDescent="0.25">
      <c r="D249" s="30" t="s">
        <v>348</v>
      </c>
      <c r="E249" s="30" t="str">
        <f t="shared" si="46"/>
        <v>Pilbara</v>
      </c>
      <c r="F249" s="30" t="str">
        <f t="shared" si="46"/>
        <v>Autumn</v>
      </c>
      <c r="G249" s="30">
        <f t="shared" si="46"/>
        <v>0.88</v>
      </c>
      <c r="H249" s="30">
        <f t="shared" si="46"/>
        <v>0.55000000000000004</v>
      </c>
      <c r="I249" s="30">
        <f t="shared" si="46"/>
        <v>0.88</v>
      </c>
      <c r="J249" s="30">
        <f t="shared" si="46"/>
        <v>0.22</v>
      </c>
      <c r="K249" s="30">
        <f t="shared" si="46"/>
        <v>0.22</v>
      </c>
      <c r="L249" s="30">
        <f t="shared" si="47"/>
        <v>0.22</v>
      </c>
      <c r="M249" s="30">
        <f t="shared" si="47"/>
        <v>0.88</v>
      </c>
      <c r="N249" s="30">
        <f t="shared" si="47"/>
        <v>0.22</v>
      </c>
      <c r="O249" s="30">
        <f t="shared" si="44"/>
        <v>0.22</v>
      </c>
      <c r="P249" s="30">
        <f t="shared" si="45"/>
        <v>0.22</v>
      </c>
    </row>
    <row r="250" spans="4:16" x14ac:dyDescent="0.25">
      <c r="D250" s="30" t="s">
        <v>348</v>
      </c>
      <c r="E250" s="30" t="str">
        <f t="shared" si="46"/>
        <v>Pilbara</v>
      </c>
      <c r="F250" s="30" t="str">
        <f t="shared" si="46"/>
        <v>Winter</v>
      </c>
      <c r="G250" s="30">
        <f t="shared" si="46"/>
        <v>0.22</v>
      </c>
      <c r="H250" s="30">
        <f t="shared" si="46"/>
        <v>-0.55000000000000004</v>
      </c>
      <c r="I250" s="30">
        <f t="shared" si="46"/>
        <v>0.22</v>
      </c>
      <c r="J250" s="30">
        <f t="shared" si="46"/>
        <v>0.11</v>
      </c>
      <c r="K250" s="30">
        <f t="shared" si="46"/>
        <v>-0.22</v>
      </c>
      <c r="L250" s="30">
        <f t="shared" si="47"/>
        <v>-0.22</v>
      </c>
      <c r="M250" s="30">
        <f t="shared" si="47"/>
        <v>0.22</v>
      </c>
      <c r="N250" s="30">
        <f t="shared" si="47"/>
        <v>-0.33</v>
      </c>
      <c r="O250" s="30">
        <f t="shared" si="44"/>
        <v>-0.33</v>
      </c>
      <c r="P250" s="30">
        <f t="shared" si="45"/>
        <v>-0.33</v>
      </c>
    </row>
    <row r="251" spans="4:16" x14ac:dyDescent="0.25">
      <c r="D251" s="30" t="s">
        <v>348</v>
      </c>
      <c r="E251" s="30" t="str">
        <f t="shared" si="46"/>
        <v>Kimberley</v>
      </c>
      <c r="F251" s="30" t="str">
        <f t="shared" si="46"/>
        <v>Spring</v>
      </c>
      <c r="G251" s="30">
        <f t="shared" si="46"/>
        <v>0.22</v>
      </c>
      <c r="H251" s="30">
        <f t="shared" si="46"/>
        <v>-0.55000000000000004</v>
      </c>
      <c r="I251" s="30">
        <f t="shared" si="46"/>
        <v>0.33</v>
      </c>
      <c r="J251" s="30">
        <f t="shared" si="46"/>
        <v>0.22</v>
      </c>
      <c r="K251" s="30">
        <f t="shared" si="46"/>
        <v>-0.33</v>
      </c>
      <c r="L251" s="30">
        <f t="shared" si="47"/>
        <v>-0.33</v>
      </c>
      <c r="M251" s="30">
        <f t="shared" si="47"/>
        <v>0.22</v>
      </c>
      <c r="N251" s="30">
        <f t="shared" si="47"/>
        <v>-0.55000000000000004</v>
      </c>
      <c r="O251" s="30">
        <f t="shared" si="44"/>
        <v>-0.55000000000000004</v>
      </c>
      <c r="P251" s="30">
        <f t="shared" si="45"/>
        <v>-0.55000000000000004</v>
      </c>
    </row>
    <row r="252" spans="4:16" x14ac:dyDescent="0.25">
      <c r="D252" s="30" t="s">
        <v>348</v>
      </c>
      <c r="E252" s="30" t="str">
        <f t="shared" si="46"/>
        <v>Kimberley</v>
      </c>
      <c r="F252" s="30" t="str">
        <f t="shared" si="46"/>
        <v>Summer</v>
      </c>
      <c r="G252" s="30">
        <f t="shared" si="46"/>
        <v>0.8</v>
      </c>
      <c r="H252" s="30">
        <f t="shared" si="46"/>
        <v>0.55000000000000004</v>
      </c>
      <c r="I252" s="30">
        <f t="shared" si="46"/>
        <v>0.7</v>
      </c>
      <c r="J252" s="30">
        <f t="shared" si="46"/>
        <v>0.44</v>
      </c>
      <c r="K252" s="30">
        <f t="shared" si="46"/>
        <v>0.66</v>
      </c>
      <c r="L252" s="30">
        <f t="shared" si="47"/>
        <v>0.66</v>
      </c>
      <c r="M252" s="30">
        <f t="shared" si="47"/>
        <v>0.8</v>
      </c>
      <c r="N252" s="30">
        <f t="shared" si="47"/>
        <v>0.55000000000000004</v>
      </c>
      <c r="O252" s="30">
        <f t="shared" si="44"/>
        <v>0.55000000000000004</v>
      </c>
      <c r="P252" s="30">
        <f t="shared" si="45"/>
        <v>0.55000000000000004</v>
      </c>
    </row>
    <row r="253" spans="4:16" x14ac:dyDescent="0.25">
      <c r="D253" s="30" t="s">
        <v>348</v>
      </c>
      <c r="E253" s="30" t="str">
        <f t="shared" si="46"/>
        <v>Kimberley</v>
      </c>
      <c r="F253" s="30" t="str">
        <f t="shared" si="46"/>
        <v>Autumn</v>
      </c>
      <c r="G253" s="30">
        <f t="shared" si="46"/>
        <v>0.66</v>
      </c>
      <c r="H253" s="30">
        <f t="shared" si="46"/>
        <v>0.55000000000000004</v>
      </c>
      <c r="I253" s="30">
        <f t="shared" si="46"/>
        <v>0.55000000000000004</v>
      </c>
      <c r="J253" s="30">
        <f t="shared" si="46"/>
        <v>0.55000000000000004</v>
      </c>
      <c r="K253" s="30">
        <f t="shared" si="46"/>
        <v>0.11</v>
      </c>
      <c r="L253" s="30">
        <f t="shared" si="47"/>
        <v>0.11</v>
      </c>
      <c r="M253" s="30">
        <f t="shared" si="47"/>
        <v>0.66</v>
      </c>
      <c r="N253" s="30">
        <f t="shared" si="47"/>
        <v>0.55000000000000004</v>
      </c>
      <c r="O253" s="30">
        <f t="shared" si="44"/>
        <v>0.55000000000000004</v>
      </c>
      <c r="P253" s="30">
        <f t="shared" si="45"/>
        <v>0.55000000000000004</v>
      </c>
    </row>
    <row r="254" spans="4:16" x14ac:dyDescent="0.25">
      <c r="D254" s="30" t="s">
        <v>348</v>
      </c>
      <c r="E254" s="30" t="str">
        <f t="shared" si="46"/>
        <v>Kimberley</v>
      </c>
      <c r="F254" s="30" t="str">
        <f t="shared" si="46"/>
        <v>Winter</v>
      </c>
      <c r="G254" s="30">
        <f t="shared" si="46"/>
        <v>0.33</v>
      </c>
      <c r="H254" s="30">
        <f t="shared" si="46"/>
        <v>-0.55000000000000004</v>
      </c>
      <c r="I254" s="30">
        <f t="shared" si="46"/>
        <v>0.11</v>
      </c>
      <c r="J254" s="30">
        <f t="shared" si="46"/>
        <v>0.11</v>
      </c>
      <c r="K254" s="30">
        <f t="shared" si="46"/>
        <v>-0.44</v>
      </c>
      <c r="L254" s="30">
        <f t="shared" si="47"/>
        <v>-0.44</v>
      </c>
      <c r="M254" s="30">
        <f t="shared" si="47"/>
        <v>0.33</v>
      </c>
      <c r="N254" s="30">
        <f t="shared" si="47"/>
        <v>-0.55000000000000004</v>
      </c>
      <c r="O254" s="30">
        <f t="shared" si="44"/>
        <v>-0.55000000000000004</v>
      </c>
      <c r="P254" s="30">
        <f t="shared" si="45"/>
        <v>-0.55000000000000004</v>
      </c>
    </row>
    <row r="255" spans="4:16" x14ac:dyDescent="0.25">
      <c r="D255" s="30" t="s">
        <v>351</v>
      </c>
      <c r="E255" s="30" t="str">
        <f>E190</f>
        <v>Alice Springs</v>
      </c>
      <c r="F255" s="30" t="str">
        <f>F190</f>
        <v>Spring</v>
      </c>
      <c r="G255" s="30">
        <f>G190</f>
        <v>0.22</v>
      </c>
      <c r="H255" s="30">
        <f t="shared" ref="H255:P255" si="48">H190</f>
        <v>-0.23</v>
      </c>
      <c r="I255" s="30">
        <f t="shared" si="48"/>
        <v>0.25</v>
      </c>
      <c r="J255" s="30">
        <f t="shared" si="48"/>
        <v>0.17</v>
      </c>
      <c r="K255" s="30">
        <f t="shared" si="48"/>
        <v>0.18</v>
      </c>
      <c r="L255" s="30">
        <f t="shared" si="48"/>
        <v>-0.28000000000000003</v>
      </c>
      <c r="M255" s="30">
        <f t="shared" si="48"/>
        <v>0.32</v>
      </c>
      <c r="N255" s="30">
        <f t="shared" si="48"/>
        <v>0.24</v>
      </c>
      <c r="O255" s="30">
        <f t="shared" si="48"/>
        <v>0.25</v>
      </c>
      <c r="P255" s="30">
        <f t="shared" si="48"/>
        <v>-0.05</v>
      </c>
    </row>
    <row r="256" spans="4:16" x14ac:dyDescent="0.25">
      <c r="D256" s="30" t="s">
        <v>351</v>
      </c>
      <c r="E256" s="30" t="str">
        <f t="shared" ref="E256:P271" si="49">E191</f>
        <v>Alice Springs</v>
      </c>
      <c r="F256" s="30" t="str">
        <f t="shared" si="49"/>
        <v>Summer</v>
      </c>
      <c r="G256" s="30">
        <f t="shared" si="49"/>
        <v>0.66</v>
      </c>
      <c r="H256" s="30">
        <f t="shared" si="49"/>
        <v>0.2</v>
      </c>
      <c r="I256" s="30">
        <f t="shared" si="49"/>
        <v>0.62</v>
      </c>
      <c r="J256" s="30">
        <f t="shared" si="49"/>
        <v>0.54</v>
      </c>
      <c r="K256" s="30">
        <f t="shared" si="49"/>
        <v>0.38</v>
      </c>
      <c r="L256" s="30">
        <f t="shared" si="49"/>
        <v>0.27</v>
      </c>
      <c r="M256" s="30">
        <f t="shared" si="49"/>
        <v>0.75</v>
      </c>
      <c r="N256" s="30">
        <f t="shared" si="49"/>
        <v>0.64</v>
      </c>
      <c r="O256" s="30">
        <f t="shared" si="49"/>
        <v>0.55000000000000004</v>
      </c>
      <c r="P256" s="30">
        <f t="shared" si="49"/>
        <v>0.48</v>
      </c>
    </row>
    <row r="257" spans="4:16" x14ac:dyDescent="0.25">
      <c r="D257" s="30" t="s">
        <v>351</v>
      </c>
      <c r="E257" s="30" t="str">
        <f t="shared" si="49"/>
        <v>Alice Springs</v>
      </c>
      <c r="F257" s="30" t="str">
        <f t="shared" si="49"/>
        <v>Autumn</v>
      </c>
      <c r="G257" s="30">
        <f t="shared" si="49"/>
        <v>0.49</v>
      </c>
      <c r="H257" s="30">
        <f t="shared" si="49"/>
        <v>0.13</v>
      </c>
      <c r="I257" s="30">
        <f t="shared" si="49"/>
        <v>0.54</v>
      </c>
      <c r="J257" s="30">
        <f t="shared" si="49"/>
        <v>0.45</v>
      </c>
      <c r="K257" s="30">
        <f t="shared" si="49"/>
        <v>0.35</v>
      </c>
      <c r="L257" s="30">
        <f t="shared" si="49"/>
        <v>0.15</v>
      </c>
      <c r="M257" s="30">
        <f t="shared" si="49"/>
        <v>0.63</v>
      </c>
      <c r="N257" s="30">
        <f t="shared" si="49"/>
        <v>0.54</v>
      </c>
      <c r="O257" s="30">
        <f t="shared" si="49"/>
        <v>0.42</v>
      </c>
      <c r="P257" s="30">
        <f t="shared" si="49"/>
        <v>0.26</v>
      </c>
    </row>
    <row r="258" spans="4:16" x14ac:dyDescent="0.25">
      <c r="D258" s="30" t="s">
        <v>351</v>
      </c>
      <c r="E258" s="30" t="str">
        <f t="shared" si="49"/>
        <v>Alice Springs</v>
      </c>
      <c r="F258" s="30" t="str">
        <f t="shared" si="49"/>
        <v>Winter</v>
      </c>
      <c r="G258" s="30">
        <f t="shared" si="49"/>
        <v>0.27</v>
      </c>
      <c r="H258" s="30">
        <f t="shared" si="49"/>
        <v>-0.8</v>
      </c>
      <c r="I258" s="30">
        <f t="shared" si="49"/>
        <v>0.22</v>
      </c>
      <c r="J258" s="30">
        <f t="shared" si="49"/>
        <v>0.09</v>
      </c>
      <c r="K258" s="30">
        <f t="shared" si="49"/>
        <v>0.12</v>
      </c>
      <c r="L258" s="30">
        <f t="shared" si="49"/>
        <v>0.02</v>
      </c>
      <c r="M258" s="30">
        <f t="shared" si="49"/>
        <v>0.25</v>
      </c>
      <c r="N258" s="30">
        <f t="shared" si="49"/>
        <v>0.18</v>
      </c>
      <c r="O258" s="30">
        <f t="shared" si="49"/>
        <v>0.12</v>
      </c>
      <c r="P258" s="30">
        <f t="shared" si="49"/>
        <v>0.03</v>
      </c>
    </row>
    <row r="259" spans="4:16" x14ac:dyDescent="0.25">
      <c r="D259" s="30" t="s">
        <v>351</v>
      </c>
      <c r="E259" s="30" t="str">
        <f t="shared" si="49"/>
        <v>Barkly</v>
      </c>
      <c r="F259" s="30" t="str">
        <f t="shared" si="49"/>
        <v>Spring</v>
      </c>
      <c r="G259" s="30">
        <f t="shared" si="49"/>
        <v>0.22</v>
      </c>
      <c r="H259" s="30">
        <f t="shared" si="49"/>
        <v>-0.44</v>
      </c>
      <c r="I259" s="30">
        <f t="shared" si="49"/>
        <v>0.2</v>
      </c>
      <c r="J259" s="30">
        <f t="shared" si="49"/>
        <v>0.21</v>
      </c>
      <c r="K259" s="30">
        <f t="shared" si="49"/>
        <v>0.18</v>
      </c>
      <c r="L259" s="30">
        <f t="shared" si="49"/>
        <v>0.01</v>
      </c>
      <c r="M259" s="30">
        <f t="shared" si="49"/>
        <v>0.12</v>
      </c>
      <c r="N259" s="30">
        <f t="shared" si="49"/>
        <v>0.09</v>
      </c>
      <c r="O259" s="30" t="str">
        <f t="shared" si="49"/>
        <v>NO</v>
      </c>
      <c r="P259" s="30" t="str">
        <f t="shared" si="49"/>
        <v>NO</v>
      </c>
    </row>
    <row r="260" spans="4:16" x14ac:dyDescent="0.25">
      <c r="D260" s="30" t="s">
        <v>351</v>
      </c>
      <c r="E260" s="30" t="str">
        <f t="shared" si="49"/>
        <v>Barkly</v>
      </c>
      <c r="F260" s="30" t="str">
        <f t="shared" si="49"/>
        <v>Summer</v>
      </c>
      <c r="G260" s="30">
        <f t="shared" si="49"/>
        <v>0.66</v>
      </c>
      <c r="H260" s="30">
        <f t="shared" si="49"/>
        <v>0.22</v>
      </c>
      <c r="I260" s="30">
        <f t="shared" si="49"/>
        <v>0.68</v>
      </c>
      <c r="J260" s="30">
        <f t="shared" si="49"/>
        <v>0.22</v>
      </c>
      <c r="K260" s="30">
        <f t="shared" si="49"/>
        <v>0.24</v>
      </c>
      <c r="L260" s="30">
        <f t="shared" si="49"/>
        <v>0.25</v>
      </c>
      <c r="M260" s="30">
        <f t="shared" si="49"/>
        <v>0.64</v>
      </c>
      <c r="N260" s="30">
        <f t="shared" si="49"/>
        <v>0.37</v>
      </c>
      <c r="O260" s="30" t="str">
        <f t="shared" si="49"/>
        <v>NO</v>
      </c>
      <c r="P260" s="30" t="str">
        <f t="shared" si="49"/>
        <v>NO</v>
      </c>
    </row>
    <row r="261" spans="4:16" x14ac:dyDescent="0.25">
      <c r="D261" s="30" t="s">
        <v>351</v>
      </c>
      <c r="E261" s="30" t="str">
        <f t="shared" si="49"/>
        <v>Barkly</v>
      </c>
      <c r="F261" s="30" t="str">
        <f t="shared" si="49"/>
        <v>Autumn</v>
      </c>
      <c r="G261" s="30">
        <f t="shared" si="49"/>
        <v>0.49</v>
      </c>
      <c r="H261" s="30">
        <f t="shared" si="49"/>
        <v>0.05</v>
      </c>
      <c r="I261" s="30">
        <f t="shared" si="49"/>
        <v>0.64</v>
      </c>
      <c r="J261" s="30">
        <f t="shared" si="49"/>
        <v>0.25</v>
      </c>
      <c r="K261" s="30">
        <f t="shared" si="49"/>
        <v>0.28999999999999998</v>
      </c>
      <c r="L261" s="30">
        <f t="shared" si="49"/>
        <v>0.12</v>
      </c>
      <c r="M261" s="30">
        <f t="shared" si="49"/>
        <v>0.56999999999999995</v>
      </c>
      <c r="N261" s="30">
        <f t="shared" si="49"/>
        <v>0.49</v>
      </c>
      <c r="O261" s="30" t="str">
        <f t="shared" si="49"/>
        <v>NO</v>
      </c>
      <c r="P261" s="30" t="str">
        <f t="shared" si="49"/>
        <v>NO</v>
      </c>
    </row>
    <row r="262" spans="4:16" x14ac:dyDescent="0.25">
      <c r="D262" s="30" t="s">
        <v>351</v>
      </c>
      <c r="E262" s="30" t="str">
        <f t="shared" si="49"/>
        <v>Barkly</v>
      </c>
      <c r="F262" s="30" t="str">
        <f t="shared" si="49"/>
        <v>Winter</v>
      </c>
      <c r="G262" s="30">
        <f t="shared" si="49"/>
        <v>0.27</v>
      </c>
      <c r="H262" s="30">
        <f t="shared" si="49"/>
        <v>-0.27</v>
      </c>
      <c r="I262" s="30">
        <f t="shared" si="49"/>
        <v>0.31</v>
      </c>
      <c r="J262" s="30">
        <f t="shared" si="49"/>
        <v>0.28999999999999998</v>
      </c>
      <c r="K262" s="30">
        <f t="shared" si="49"/>
        <v>0.19</v>
      </c>
      <c r="L262" s="30">
        <f t="shared" si="49"/>
        <v>0.04</v>
      </c>
      <c r="M262" s="30">
        <f t="shared" si="49"/>
        <v>0.26</v>
      </c>
      <c r="N262" s="30">
        <f t="shared" si="49"/>
        <v>0.28000000000000003</v>
      </c>
      <c r="O262" s="30" t="str">
        <f t="shared" si="49"/>
        <v>NO</v>
      </c>
      <c r="P262" s="30" t="str">
        <f t="shared" si="49"/>
        <v>NO</v>
      </c>
    </row>
    <row r="263" spans="4:16" x14ac:dyDescent="0.25">
      <c r="D263" s="30" t="s">
        <v>351</v>
      </c>
      <c r="E263" s="30" t="str">
        <f t="shared" si="49"/>
        <v>Northern</v>
      </c>
      <c r="F263" s="30" t="str">
        <f t="shared" si="49"/>
        <v>Spring</v>
      </c>
      <c r="G263" s="30">
        <f t="shared" si="49"/>
        <v>0.22</v>
      </c>
      <c r="H263" s="30">
        <f t="shared" si="49"/>
        <v>-0.44</v>
      </c>
      <c r="I263" s="30">
        <f t="shared" si="49"/>
        <v>0</v>
      </c>
      <c r="J263" s="30">
        <f t="shared" si="49"/>
        <v>0.15</v>
      </c>
      <c r="K263" s="30">
        <f t="shared" si="49"/>
        <v>0.08</v>
      </c>
      <c r="L263" s="30">
        <f t="shared" si="49"/>
        <v>0.17</v>
      </c>
      <c r="M263" s="30">
        <f t="shared" si="49"/>
        <v>0.06</v>
      </c>
      <c r="N263" s="30">
        <f t="shared" si="49"/>
        <v>0.02</v>
      </c>
      <c r="O263" s="30">
        <f t="shared" si="49"/>
        <v>-0.14000000000000001</v>
      </c>
      <c r="P263" s="30" t="str">
        <f t="shared" si="49"/>
        <v>NO</v>
      </c>
    </row>
    <row r="264" spans="4:16" x14ac:dyDescent="0.25">
      <c r="D264" s="30" t="s">
        <v>351</v>
      </c>
      <c r="E264" s="30" t="str">
        <f t="shared" si="49"/>
        <v>Northern</v>
      </c>
      <c r="F264" s="30" t="str">
        <f t="shared" si="49"/>
        <v>Summer</v>
      </c>
      <c r="G264" s="30">
        <f t="shared" si="49"/>
        <v>0.66</v>
      </c>
      <c r="H264" s="30">
        <f t="shared" si="49"/>
        <v>0.22</v>
      </c>
      <c r="I264" s="30">
        <f t="shared" si="49"/>
        <v>0.79</v>
      </c>
      <c r="J264" s="30">
        <f t="shared" si="49"/>
        <v>0.4</v>
      </c>
      <c r="K264" s="30">
        <f t="shared" si="49"/>
        <v>0.38</v>
      </c>
      <c r="L264" s="30">
        <f t="shared" si="49"/>
        <v>0.27</v>
      </c>
      <c r="M264" s="30">
        <f t="shared" si="49"/>
        <v>0.8</v>
      </c>
      <c r="N264" s="30">
        <f t="shared" si="49"/>
        <v>0.16</v>
      </c>
      <c r="O264" s="30">
        <f t="shared" si="49"/>
        <v>0.3</v>
      </c>
      <c r="P264" s="30" t="str">
        <f t="shared" si="49"/>
        <v>NO</v>
      </c>
    </row>
    <row r="265" spans="4:16" x14ac:dyDescent="0.25">
      <c r="D265" s="30" t="s">
        <v>351</v>
      </c>
      <c r="E265" s="30" t="str">
        <f t="shared" si="49"/>
        <v>Northern</v>
      </c>
      <c r="F265" s="30" t="str">
        <f t="shared" si="49"/>
        <v>Autumn</v>
      </c>
      <c r="G265" s="30">
        <f t="shared" si="49"/>
        <v>0.49</v>
      </c>
      <c r="H265" s="30">
        <f t="shared" si="49"/>
        <v>0.05</v>
      </c>
      <c r="I265" s="30">
        <f t="shared" si="49"/>
        <v>0.55000000000000004</v>
      </c>
      <c r="J265" s="30">
        <f t="shared" si="49"/>
        <v>0.38</v>
      </c>
      <c r="K265" s="30">
        <f t="shared" si="49"/>
        <v>0.36</v>
      </c>
      <c r="L265" s="30">
        <f t="shared" si="49"/>
        <v>0.06</v>
      </c>
      <c r="M265" s="30">
        <f t="shared" si="49"/>
        <v>0.57999999999999996</v>
      </c>
      <c r="N265" s="30">
        <f t="shared" si="49"/>
        <v>0.23</v>
      </c>
      <c r="O265" s="30">
        <f t="shared" si="49"/>
        <v>0.4</v>
      </c>
      <c r="P265" s="30" t="str">
        <f t="shared" si="49"/>
        <v>NO</v>
      </c>
    </row>
    <row r="266" spans="4:16" x14ac:dyDescent="0.25">
      <c r="D266" s="30" t="s">
        <v>351</v>
      </c>
      <c r="E266" s="30" t="str">
        <f t="shared" si="49"/>
        <v>Northern</v>
      </c>
      <c r="F266" s="30" t="str">
        <f t="shared" si="49"/>
        <v>Winter</v>
      </c>
      <c r="G266" s="30">
        <f t="shared" si="49"/>
        <v>0.27</v>
      </c>
      <c r="H266" s="30">
        <f t="shared" si="49"/>
        <v>-0.27</v>
      </c>
      <c r="I266" s="30">
        <f t="shared" si="49"/>
        <v>0.02</v>
      </c>
      <c r="J266" s="30">
        <f t="shared" si="49"/>
        <v>0.09</v>
      </c>
      <c r="K266" s="30">
        <f t="shared" si="49"/>
        <v>0.16</v>
      </c>
      <c r="L266" s="30">
        <f t="shared" si="49"/>
        <v>-0.04</v>
      </c>
      <c r="M266" s="30">
        <f t="shared" si="49"/>
        <v>0.21</v>
      </c>
      <c r="N266" s="30">
        <f t="shared" si="49"/>
        <v>0.03</v>
      </c>
      <c r="O266" s="30">
        <f t="shared" si="49"/>
        <v>0.11</v>
      </c>
      <c r="P266" s="30" t="str">
        <f t="shared" si="49"/>
        <v>NO</v>
      </c>
    </row>
    <row r="267" spans="4:16" x14ac:dyDescent="0.25">
      <c r="D267" s="30" t="s">
        <v>355</v>
      </c>
      <c r="E267" s="30" t="str">
        <f t="shared" si="49"/>
        <v>High</v>
      </c>
      <c r="F267" s="30" t="str">
        <f t="shared" si="49"/>
        <v>Spring</v>
      </c>
      <c r="G267" s="30">
        <f t="shared" si="49"/>
        <v>0.27</v>
      </c>
      <c r="H267" s="30">
        <f t="shared" si="49"/>
        <v>-0.19</v>
      </c>
      <c r="I267" s="30">
        <f t="shared" si="49"/>
        <v>0.38</v>
      </c>
      <c r="J267" s="30">
        <f t="shared" si="49"/>
        <v>0.25</v>
      </c>
      <c r="K267" s="30">
        <f t="shared" si="49"/>
        <v>7.0000000000000007E-2</v>
      </c>
      <c r="L267" s="30">
        <f t="shared" si="49"/>
        <v>0.05</v>
      </c>
      <c r="M267" s="30">
        <f t="shared" si="49"/>
        <v>0.52</v>
      </c>
      <c r="N267" s="30">
        <f t="shared" si="49"/>
        <v>0.55000000000000004</v>
      </c>
      <c r="O267" s="30">
        <f t="shared" si="49"/>
        <v>0.19</v>
      </c>
      <c r="P267" s="30">
        <f t="shared" si="49"/>
        <v>0.6</v>
      </c>
    </row>
    <row r="268" spans="4:16" x14ac:dyDescent="0.25">
      <c r="D268" s="30" t="s">
        <v>355</v>
      </c>
      <c r="E268" s="30" t="str">
        <f t="shared" si="49"/>
        <v>High</v>
      </c>
      <c r="F268" s="30" t="str">
        <f t="shared" si="49"/>
        <v>Summer</v>
      </c>
      <c r="G268" s="30">
        <f t="shared" si="49"/>
        <v>0.16</v>
      </c>
      <c r="H268" s="30">
        <f t="shared" si="49"/>
        <v>0.16</v>
      </c>
      <c r="I268" s="30">
        <f t="shared" si="49"/>
        <v>0.8</v>
      </c>
      <c r="J268" s="30">
        <f t="shared" si="49"/>
        <v>0.56999999999999995</v>
      </c>
      <c r="K268" s="30">
        <f t="shared" si="49"/>
        <v>0.76</v>
      </c>
      <c r="L268" s="30">
        <f t="shared" si="49"/>
        <v>0.49</v>
      </c>
      <c r="M268" s="30">
        <f t="shared" si="49"/>
        <v>0.84</v>
      </c>
      <c r="N268" s="30">
        <f t="shared" si="49"/>
        <v>0.51</v>
      </c>
      <c r="O268" s="30">
        <f t="shared" si="49"/>
        <v>0.36</v>
      </c>
      <c r="P268" s="30">
        <f t="shared" si="49"/>
        <v>0.17</v>
      </c>
    </row>
    <row r="269" spans="4:16" x14ac:dyDescent="0.25">
      <c r="D269" s="30" t="s">
        <v>355</v>
      </c>
      <c r="E269" s="30" t="str">
        <f t="shared" si="49"/>
        <v>High</v>
      </c>
      <c r="F269" s="30" t="str">
        <f t="shared" si="49"/>
        <v>Autumn</v>
      </c>
      <c r="G269" s="30">
        <f t="shared" si="49"/>
        <v>0.45</v>
      </c>
      <c r="H269" s="30">
        <f t="shared" si="49"/>
        <v>0.1</v>
      </c>
      <c r="I269" s="30">
        <f t="shared" si="49"/>
        <v>0.49</v>
      </c>
      <c r="J269" s="30">
        <f t="shared" si="49"/>
        <v>0.41</v>
      </c>
      <c r="K269" s="30">
        <f t="shared" si="49"/>
        <v>0.4</v>
      </c>
      <c r="L269" s="30">
        <f t="shared" si="49"/>
        <v>0.17</v>
      </c>
      <c r="M269" s="30">
        <f t="shared" si="49"/>
        <v>0.54</v>
      </c>
      <c r="N269" s="30">
        <f t="shared" si="49"/>
        <v>0.64</v>
      </c>
      <c r="O269" s="30">
        <f t="shared" si="49"/>
        <v>-0.05</v>
      </c>
      <c r="P269" s="30">
        <f t="shared" si="49"/>
        <v>0.32</v>
      </c>
    </row>
    <row r="270" spans="4:16" x14ac:dyDescent="0.25">
      <c r="D270" s="30" t="s">
        <v>355</v>
      </c>
      <c r="E270" s="30" t="str">
        <f t="shared" si="49"/>
        <v>High</v>
      </c>
      <c r="F270" s="30" t="str">
        <f t="shared" si="49"/>
        <v>Winter</v>
      </c>
      <c r="G270" s="30">
        <f t="shared" si="49"/>
        <v>0.51</v>
      </c>
      <c r="H270" s="30">
        <f t="shared" si="49"/>
        <v>-7.0000000000000007E-2</v>
      </c>
      <c r="I270" s="30">
        <f t="shared" si="49"/>
        <v>0.13</v>
      </c>
      <c r="J270" s="30">
        <f t="shared" si="49"/>
        <v>-0.09</v>
      </c>
      <c r="K270" s="30">
        <f t="shared" si="49"/>
        <v>-0.13</v>
      </c>
      <c r="L270" s="30">
        <f t="shared" si="49"/>
        <v>7.0000000000000007E-2</v>
      </c>
      <c r="M270" s="30">
        <f t="shared" si="49"/>
        <v>0.25</v>
      </c>
      <c r="N270" s="30">
        <f t="shared" si="49"/>
        <v>0.71</v>
      </c>
      <c r="O270" s="30">
        <f t="shared" si="49"/>
        <v>0.17</v>
      </c>
      <c r="P270" s="30">
        <f t="shared" si="49"/>
        <v>0.43</v>
      </c>
    </row>
    <row r="271" spans="4:16" x14ac:dyDescent="0.25">
      <c r="D271" s="30" t="s">
        <v>355</v>
      </c>
      <c r="E271" s="30" t="str">
        <f t="shared" si="49"/>
        <v>Moderate/High</v>
      </c>
      <c r="F271" s="30" t="str">
        <f t="shared" si="49"/>
        <v>Spring</v>
      </c>
      <c r="G271" s="30">
        <f t="shared" si="49"/>
        <v>-0.12</v>
      </c>
      <c r="H271" s="30">
        <f t="shared" si="49"/>
        <v>-0.19</v>
      </c>
      <c r="I271" s="30">
        <f t="shared" si="49"/>
        <v>0.41</v>
      </c>
      <c r="J271" s="30">
        <f t="shared" si="49"/>
        <v>0.09</v>
      </c>
      <c r="K271" s="30">
        <f t="shared" si="49"/>
        <v>0.41</v>
      </c>
      <c r="L271" s="30">
        <f t="shared" si="49"/>
        <v>-0.19</v>
      </c>
      <c r="M271" s="30">
        <f t="shared" si="49"/>
        <v>7.0000000000000007E-2</v>
      </c>
      <c r="N271" s="30">
        <f t="shared" si="49"/>
        <v>1.07</v>
      </c>
      <c r="O271" s="30">
        <f t="shared" si="49"/>
        <v>-0.08</v>
      </c>
      <c r="P271" s="30">
        <f t="shared" si="49"/>
        <v>0</v>
      </c>
    </row>
    <row r="272" spans="4:16" x14ac:dyDescent="0.25">
      <c r="D272" s="30" t="s">
        <v>355</v>
      </c>
      <c r="E272" s="30" t="str">
        <f t="shared" ref="E272:P282" si="50">E207</f>
        <v>Moderate/High</v>
      </c>
      <c r="F272" s="30" t="str">
        <f t="shared" si="50"/>
        <v>Summer</v>
      </c>
      <c r="G272" s="30">
        <f t="shared" si="50"/>
        <v>0.65</v>
      </c>
      <c r="H272" s="30">
        <f t="shared" si="50"/>
        <v>0.19</v>
      </c>
      <c r="I272" s="30">
        <f t="shared" si="50"/>
        <v>0.65</v>
      </c>
      <c r="J272" s="30">
        <f t="shared" si="50"/>
        <v>0.51</v>
      </c>
      <c r="K272" s="30">
        <f t="shared" si="50"/>
        <v>0.18</v>
      </c>
      <c r="L272" s="30">
        <f t="shared" si="50"/>
        <v>0.63</v>
      </c>
      <c r="M272" s="30">
        <f t="shared" si="50"/>
        <v>1.3</v>
      </c>
      <c r="N272" s="30">
        <f t="shared" si="50"/>
        <v>0.48</v>
      </c>
      <c r="O272" s="30">
        <f t="shared" si="50"/>
        <v>1.1200000000000001</v>
      </c>
      <c r="P272" s="30">
        <f t="shared" si="50"/>
        <v>0.38</v>
      </c>
    </row>
    <row r="273" spans="4:16" x14ac:dyDescent="0.25">
      <c r="D273" s="30" t="s">
        <v>355</v>
      </c>
      <c r="E273" s="30" t="str">
        <f t="shared" si="50"/>
        <v>Moderate/High</v>
      </c>
      <c r="F273" s="30" t="str">
        <f t="shared" si="50"/>
        <v>Autumn</v>
      </c>
      <c r="G273" s="30">
        <f t="shared" si="50"/>
        <v>0.7</v>
      </c>
      <c r="H273" s="30">
        <f t="shared" si="50"/>
        <v>0.13</v>
      </c>
      <c r="I273" s="30">
        <f t="shared" si="50"/>
        <v>0.52</v>
      </c>
      <c r="J273" s="30">
        <f t="shared" si="50"/>
        <v>0.34</v>
      </c>
      <c r="K273" s="30">
        <f t="shared" si="50"/>
        <v>0.02</v>
      </c>
      <c r="L273" s="30">
        <f t="shared" si="50"/>
        <v>0.04</v>
      </c>
      <c r="M273" s="30">
        <f t="shared" si="50"/>
        <v>0.77</v>
      </c>
      <c r="N273" s="30">
        <f t="shared" si="50"/>
        <v>0.42</v>
      </c>
      <c r="O273" s="30">
        <f t="shared" si="50"/>
        <v>0.12</v>
      </c>
      <c r="P273" s="30">
        <f t="shared" si="50"/>
        <v>0.74</v>
      </c>
    </row>
    <row r="274" spans="4:16" x14ac:dyDescent="0.25">
      <c r="D274" s="30" t="s">
        <v>355</v>
      </c>
      <c r="E274" s="30" t="str">
        <f t="shared" si="50"/>
        <v>Moderate/High</v>
      </c>
      <c r="F274" s="30" t="str">
        <f t="shared" si="50"/>
        <v>Winter</v>
      </c>
      <c r="G274" s="30">
        <f t="shared" si="50"/>
        <v>0.32</v>
      </c>
      <c r="H274" s="30">
        <f t="shared" si="50"/>
        <v>-0.06</v>
      </c>
      <c r="I274" s="30">
        <f t="shared" si="50"/>
        <v>0.25</v>
      </c>
      <c r="J274" s="30">
        <f t="shared" si="50"/>
        <v>0.19</v>
      </c>
      <c r="K274" s="30">
        <f t="shared" si="50"/>
        <v>-0.1</v>
      </c>
      <c r="L274" s="30">
        <f t="shared" si="50"/>
        <v>-0.02</v>
      </c>
      <c r="M274" s="30">
        <f t="shared" si="50"/>
        <v>0.02</v>
      </c>
      <c r="N274" s="30">
        <f t="shared" si="50"/>
        <v>0.23</v>
      </c>
      <c r="O274" s="30">
        <f t="shared" si="50"/>
        <v>-0.13</v>
      </c>
      <c r="P274" s="30">
        <f t="shared" si="50"/>
        <v>0</v>
      </c>
    </row>
    <row r="275" spans="4:16" x14ac:dyDescent="0.25">
      <c r="D275" s="30" t="s">
        <v>355</v>
      </c>
      <c r="E275" s="30" t="str">
        <f t="shared" si="50"/>
        <v>Moderate/Low</v>
      </c>
      <c r="F275" s="30" t="str">
        <f t="shared" si="50"/>
        <v>Spring</v>
      </c>
      <c r="G275" s="30">
        <f t="shared" si="50"/>
        <v>0.62</v>
      </c>
      <c r="H275" s="30">
        <f t="shared" si="50"/>
        <v>-0.19</v>
      </c>
      <c r="I275" s="30">
        <f t="shared" si="50"/>
        <v>0.37</v>
      </c>
      <c r="J275" s="30">
        <f t="shared" si="50"/>
        <v>0.41</v>
      </c>
      <c r="K275" s="30">
        <f t="shared" si="50"/>
        <v>0.06</v>
      </c>
      <c r="L275" s="30">
        <f t="shared" si="50"/>
        <v>-0.02</v>
      </c>
      <c r="M275" s="30">
        <f t="shared" si="50"/>
        <v>0.47</v>
      </c>
      <c r="N275" s="30">
        <f t="shared" si="50"/>
        <v>0.44</v>
      </c>
      <c r="O275" s="30">
        <f t="shared" si="50"/>
        <v>0.3</v>
      </c>
      <c r="P275" s="30">
        <f t="shared" si="50"/>
        <v>0.13</v>
      </c>
    </row>
    <row r="276" spans="4:16" x14ac:dyDescent="0.25">
      <c r="D276" s="30" t="s">
        <v>355</v>
      </c>
      <c r="E276" s="30" t="str">
        <f t="shared" si="50"/>
        <v>Moderate/Low</v>
      </c>
      <c r="F276" s="30" t="str">
        <f t="shared" si="50"/>
        <v>Summer</v>
      </c>
      <c r="G276" s="30">
        <f t="shared" si="50"/>
        <v>0.05</v>
      </c>
      <c r="H276" s="30">
        <f t="shared" si="50"/>
        <v>0.19</v>
      </c>
      <c r="I276" s="30">
        <f t="shared" si="50"/>
        <v>0.31</v>
      </c>
      <c r="J276" s="30">
        <f t="shared" si="50"/>
        <v>0.54</v>
      </c>
      <c r="K276" s="30">
        <f t="shared" si="50"/>
        <v>0.53</v>
      </c>
      <c r="L276" s="30">
        <f t="shared" si="50"/>
        <v>0.15</v>
      </c>
      <c r="M276" s="30">
        <f t="shared" si="50"/>
        <v>0.28000000000000003</v>
      </c>
      <c r="N276" s="30">
        <f t="shared" si="50"/>
        <v>0.56999999999999995</v>
      </c>
      <c r="O276" s="30">
        <f t="shared" si="50"/>
        <v>0.42</v>
      </c>
      <c r="P276" s="30">
        <f t="shared" si="50"/>
        <v>0.4</v>
      </c>
    </row>
    <row r="277" spans="4:16" x14ac:dyDescent="0.25">
      <c r="D277" s="30" t="s">
        <v>355</v>
      </c>
      <c r="E277" s="30" t="str">
        <f t="shared" si="50"/>
        <v>Moderate/Low</v>
      </c>
      <c r="F277" s="30" t="str">
        <f t="shared" si="50"/>
        <v>Autumn</v>
      </c>
      <c r="G277" s="30">
        <f t="shared" si="50"/>
        <v>0.33</v>
      </c>
      <c r="H277" s="30">
        <f t="shared" si="50"/>
        <v>0.13</v>
      </c>
      <c r="I277" s="30">
        <f t="shared" si="50"/>
        <v>0.39</v>
      </c>
      <c r="J277" s="30">
        <f t="shared" si="50"/>
        <v>0.36</v>
      </c>
      <c r="K277" s="30">
        <f t="shared" si="50"/>
        <v>0.26</v>
      </c>
      <c r="L277" s="30">
        <f t="shared" si="50"/>
        <v>0.11</v>
      </c>
      <c r="M277" s="30">
        <f t="shared" si="50"/>
        <v>0.4</v>
      </c>
      <c r="N277" s="30">
        <f t="shared" si="50"/>
        <v>0.44</v>
      </c>
      <c r="O277" s="30">
        <f t="shared" si="50"/>
        <v>0.37</v>
      </c>
      <c r="P277" s="30">
        <f t="shared" si="50"/>
        <v>-0.01</v>
      </c>
    </row>
    <row r="278" spans="4:16" x14ac:dyDescent="0.25">
      <c r="D278" s="30" t="s">
        <v>355</v>
      </c>
      <c r="E278" s="30" t="str">
        <f t="shared" si="50"/>
        <v>Moderate/Low</v>
      </c>
      <c r="F278" s="30" t="str">
        <f t="shared" si="50"/>
        <v>Winter</v>
      </c>
      <c r="G278" s="30">
        <f t="shared" si="50"/>
        <v>0.61</v>
      </c>
      <c r="H278" s="30">
        <f t="shared" si="50"/>
        <v>-0.06</v>
      </c>
      <c r="I278" s="30">
        <f t="shared" si="50"/>
        <v>0.21</v>
      </c>
      <c r="J278" s="30">
        <f t="shared" si="50"/>
        <v>0.18</v>
      </c>
      <c r="K278" s="30">
        <f t="shared" si="50"/>
        <v>0.12</v>
      </c>
      <c r="L278" s="30">
        <f t="shared" si="50"/>
        <v>0.06</v>
      </c>
      <c r="M278" s="30">
        <f t="shared" si="50"/>
        <v>0.28999999999999998</v>
      </c>
      <c r="N278" s="30">
        <f t="shared" si="50"/>
        <v>0.41</v>
      </c>
      <c r="O278" s="30">
        <f t="shared" si="50"/>
        <v>0.41</v>
      </c>
      <c r="P278" s="30">
        <f t="shared" si="50"/>
        <v>-0.15</v>
      </c>
    </row>
    <row r="279" spans="4:16" x14ac:dyDescent="0.25">
      <c r="D279" s="30" t="s">
        <v>355</v>
      </c>
      <c r="E279" s="30" t="str">
        <f t="shared" si="50"/>
        <v>Low</v>
      </c>
      <c r="F279" s="30" t="str">
        <f t="shared" si="50"/>
        <v>Spring</v>
      </c>
      <c r="G279" s="30">
        <f t="shared" si="50"/>
        <v>-0.2</v>
      </c>
      <c r="H279" s="30">
        <f t="shared" si="50"/>
        <v>0.02</v>
      </c>
      <c r="I279" s="30">
        <f t="shared" si="50"/>
        <v>0.24</v>
      </c>
      <c r="J279" s="30">
        <f t="shared" si="50"/>
        <v>0.3</v>
      </c>
      <c r="K279" s="30">
        <f t="shared" si="50"/>
        <v>0.23</v>
      </c>
      <c r="L279" s="30">
        <f t="shared" si="50"/>
        <v>-0.05</v>
      </c>
      <c r="M279" s="30">
        <f t="shared" si="50"/>
        <v>0.34</v>
      </c>
      <c r="N279" s="30">
        <f t="shared" si="50"/>
        <v>0.3</v>
      </c>
      <c r="O279" s="30">
        <f t="shared" si="50"/>
        <v>0.56999999999999995</v>
      </c>
      <c r="P279" s="30">
        <f t="shared" si="50"/>
        <v>0.52</v>
      </c>
    </row>
    <row r="280" spans="4:16" x14ac:dyDescent="0.25">
      <c r="D280" s="30" t="s">
        <v>355</v>
      </c>
      <c r="E280" s="30" t="str">
        <f t="shared" si="50"/>
        <v>Low</v>
      </c>
      <c r="F280" s="30" t="str">
        <f t="shared" si="50"/>
        <v>Summer</v>
      </c>
      <c r="G280" s="30">
        <f t="shared" si="50"/>
        <v>0.62</v>
      </c>
      <c r="H280" s="30">
        <f t="shared" si="50"/>
        <v>0.21</v>
      </c>
      <c r="I280" s="30">
        <f t="shared" si="50"/>
        <v>0.25</v>
      </c>
      <c r="J280" s="30">
        <f t="shared" si="50"/>
        <v>0.32</v>
      </c>
      <c r="K280" s="30">
        <f t="shared" si="50"/>
        <v>0.47</v>
      </c>
      <c r="L280" s="30">
        <f t="shared" si="50"/>
        <v>0.31</v>
      </c>
      <c r="M280" s="30">
        <f t="shared" si="50"/>
        <v>0.14000000000000001</v>
      </c>
      <c r="N280" s="30">
        <f t="shared" si="50"/>
        <v>0.4</v>
      </c>
      <c r="O280" s="30">
        <f t="shared" si="50"/>
        <v>0.26</v>
      </c>
      <c r="P280" s="30">
        <f t="shared" si="50"/>
        <v>0.43</v>
      </c>
    </row>
    <row r="281" spans="4:16" x14ac:dyDescent="0.25">
      <c r="D281" s="30" t="s">
        <v>355</v>
      </c>
      <c r="E281" s="30" t="str">
        <f t="shared" si="50"/>
        <v>Low</v>
      </c>
      <c r="F281" s="30" t="str">
        <f t="shared" si="50"/>
        <v>Autumn</v>
      </c>
      <c r="G281" s="30">
        <f t="shared" si="50"/>
        <v>0.4</v>
      </c>
      <c r="H281" s="30">
        <f t="shared" si="50"/>
        <v>0.13</v>
      </c>
      <c r="I281" s="30">
        <f t="shared" si="50"/>
        <v>0.12</v>
      </c>
      <c r="J281" s="30">
        <f t="shared" si="50"/>
        <v>0.27</v>
      </c>
      <c r="K281" s="30">
        <f t="shared" si="50"/>
        <v>0.3</v>
      </c>
      <c r="L281" s="30">
        <f t="shared" si="50"/>
        <v>0.08</v>
      </c>
      <c r="M281" s="30">
        <f t="shared" si="50"/>
        <v>0.13</v>
      </c>
      <c r="N281" s="30">
        <f t="shared" si="50"/>
        <v>0.24</v>
      </c>
      <c r="O281" s="30">
        <f t="shared" si="50"/>
        <v>0.15</v>
      </c>
      <c r="P281" s="30">
        <f t="shared" si="50"/>
        <v>0.21</v>
      </c>
    </row>
    <row r="282" spans="4:16" x14ac:dyDescent="0.25">
      <c r="D282" s="30" t="s">
        <v>355</v>
      </c>
      <c r="E282" s="30" t="str">
        <f t="shared" si="50"/>
        <v>Low</v>
      </c>
      <c r="F282" s="30" t="str">
        <f t="shared" si="50"/>
        <v>Winter</v>
      </c>
      <c r="G282" s="30">
        <f t="shared" si="50"/>
        <v>0.08</v>
      </c>
      <c r="H282" s="30">
        <f t="shared" si="50"/>
        <v>0.04</v>
      </c>
      <c r="I282" s="30">
        <f t="shared" si="50"/>
        <v>0.06</v>
      </c>
      <c r="J282" s="30">
        <f t="shared" si="50"/>
        <v>0.18</v>
      </c>
      <c r="K282" s="30">
        <f t="shared" si="50"/>
        <v>0.11</v>
      </c>
      <c r="L282" s="30">
        <f t="shared" si="50"/>
        <v>-7.0000000000000007E-2</v>
      </c>
      <c r="M282" s="30">
        <f t="shared" si="50"/>
        <v>0.13</v>
      </c>
      <c r="N282" s="30">
        <f t="shared" si="50"/>
        <v>0.16</v>
      </c>
      <c r="O282" s="30">
        <f t="shared" si="50"/>
        <v>0.4</v>
      </c>
      <c r="P282" s="30">
        <f t="shared" si="50"/>
        <v>0.33</v>
      </c>
    </row>
    <row r="283" spans="4:16" x14ac:dyDescent="0.25">
      <c r="M283" s="8"/>
    </row>
    <row r="284" spans="4:16" x14ac:dyDescent="0.25">
      <c r="M284" s="8"/>
    </row>
    <row r="285" spans="4:16" ht="23.25" x14ac:dyDescent="0.25">
      <c r="D285" s="2" t="str" cm="1">
        <f t="array" ref="D285">SourceData_PastureBeef.SourceData_PastureBeef_DryMatterDigestibility_Title()</f>
        <v>Beef pasture cattle - Dry matter digestibility of feed intake (fraction) (DMDj)</v>
      </c>
      <c r="M285" s="8"/>
    </row>
    <row r="286" spans="4:16" x14ac:dyDescent="0.25">
      <c r="D286" s="27" t="str" cm="1">
        <f t="array" ref="D286">SourceData_PastureBeef.SourceData_PastureBeef_DryMatterDigestibility_Source()</f>
        <v>VEERG 2026: Table A.1.2.5</v>
      </c>
      <c r="M286" s="8"/>
    </row>
    <row r="287" spans="4:16" x14ac:dyDescent="0.25">
      <c r="D287" s="1" t="str" cm="1">
        <f t="array" ref="D287">SourceData_PastureBeef.SourceData_PastureBeef_DryMatterDigestibility_Variable()</f>
        <v>DMDj</v>
      </c>
      <c r="M287" s="8"/>
    </row>
    <row r="288" spans="4:16" x14ac:dyDescent="0.25">
      <c r="D288" s="15" t="str" cm="1">
        <f t="array" ref="D288">SourceData_PastureBeef.SourceData_PastureBeef_DryMatterDigestibility_Unit()</f>
        <v>fraction</v>
      </c>
      <c r="M288" s="8"/>
    </row>
    <row r="289" spans="4:13" x14ac:dyDescent="0.25">
      <c r="D289" s="36" t="str" cm="1">
        <f t="array" ref="D289">SourceData_PastureBeef.SourceData_PastureBeef_DryMatterDigestibility_Variation()</f>
        <v>VARIATION ON SOURCE: Split ACT and NSW into separate rows. Duplicated QLD and NT rows with regions from table A.1.2.2 to aid lookup</v>
      </c>
      <c r="M289" s="8"/>
    </row>
    <row r="290" spans="4:13" x14ac:dyDescent="0.25">
      <c r="D290" s="30" t="s">
        <v>107</v>
      </c>
      <c r="E290" s="30" t="s">
        <v>312</v>
      </c>
      <c r="F290" s="30" t="s">
        <v>203</v>
      </c>
      <c r="G290" s="30" t="s">
        <v>204</v>
      </c>
      <c r="H290" s="30" t="s">
        <v>205</v>
      </c>
      <c r="I290" s="30" t="s">
        <v>206</v>
      </c>
      <c r="M290" s="8"/>
    </row>
    <row r="291" spans="4:13" x14ac:dyDescent="0.25">
      <c r="D291" s="30" t="str" cm="1">
        <f t="array" ref="D291">Common_InputFunctions.Utility_DisplayArrayInTable(SourceData_PastureBeef.SourceData_PastureBeef_DryMatterDigestibility_Data(), Table_SourceData_PastureBeef_DryMatterDigestibility[[#Headers],[State]], 0)</f>
        <v>ACT</v>
      </c>
      <c r="E291" s="30" t="str" cm="1">
        <f t="array" ref="E291">Common_InputFunctions.Utility_DisplayArrayInTable(SourceData_PastureBeef.SourceData_PastureBeef_DryMatterDigestibility_Data(), Table_SourceData_PastureBeef_DryMatterDigestibility[[#Headers],[State]], 0)</f>
        <v>n/a</v>
      </c>
      <c r="F291" s="30" cm="1">
        <f t="array" ref="F291">Common_InputFunctions.Utility_DisplayArrayInTable(SourceData_PastureBeef.SourceData_PastureBeef_DryMatterDigestibility_Data(), Table_SourceData_PastureBeef_DryMatterDigestibility[[#Headers],[State]], 0)</f>
        <v>0.55000000000000004</v>
      </c>
      <c r="G291" s="30" cm="1">
        <f t="array" ref="G291">Common_InputFunctions.Utility_DisplayArrayInTable(SourceData_PastureBeef.SourceData_PastureBeef_DryMatterDigestibility_Data(), Table_SourceData_PastureBeef_DryMatterDigestibility[[#Headers],[State]], 0)</f>
        <v>0.65</v>
      </c>
      <c r="H291" s="30" cm="1">
        <f t="array" ref="H291">Common_InputFunctions.Utility_DisplayArrayInTable(SourceData_PastureBeef.SourceData_PastureBeef_DryMatterDigestibility_Data(), Table_SourceData_PastureBeef_DryMatterDigestibility[[#Headers],[State]], 0)</f>
        <v>0.6</v>
      </c>
      <c r="I291" s="30" cm="1">
        <f t="array" ref="I291">Common_InputFunctions.Utility_DisplayArrayInTable(SourceData_PastureBeef.SourceData_PastureBeef_DryMatterDigestibility_Data(), Table_SourceData_PastureBeef_DryMatterDigestibility[[#Headers],[State]], 0)</f>
        <v>0.5</v>
      </c>
      <c r="M291" s="8"/>
    </row>
    <row r="292" spans="4:13" x14ac:dyDescent="0.25">
      <c r="D292" s="1" t="str" cm="1">
        <f t="array" ref="D292">Common_InputFunctions.Utility_DisplayArrayInTable(SourceData_PastureBeef.SourceData_PastureBeef_DryMatterDigestibility_Data(), Table_SourceData_PastureBeef_DryMatterDigestibility[[#Headers],[State]], 0)</f>
        <v>NSW</v>
      </c>
      <c r="E292" s="30" t="str" cm="1">
        <f t="array" ref="E292">Common_InputFunctions.Utility_DisplayArrayInTable(SourceData_PastureBeef.SourceData_PastureBeef_DryMatterDigestibility_Data(), Table_SourceData_PastureBeef_DryMatterDigestibility[[#Headers],[State]], 0)</f>
        <v>n/a</v>
      </c>
      <c r="F292" s="30" cm="1">
        <f t="array" ref="F292">Common_InputFunctions.Utility_DisplayArrayInTable(SourceData_PastureBeef.SourceData_PastureBeef_DryMatterDigestibility_Data(), Table_SourceData_PastureBeef_DryMatterDigestibility[[#Headers],[State]], 0)</f>
        <v>0.55000000000000004</v>
      </c>
      <c r="G292" s="30" cm="1">
        <f t="array" ref="G292">Common_InputFunctions.Utility_DisplayArrayInTable(SourceData_PastureBeef.SourceData_PastureBeef_DryMatterDigestibility_Data(), Table_SourceData_PastureBeef_DryMatterDigestibility[[#Headers],[State]], 0)</f>
        <v>0.65</v>
      </c>
      <c r="H292" s="30" cm="1">
        <f t="array" ref="H292">Common_InputFunctions.Utility_DisplayArrayInTable(SourceData_PastureBeef.SourceData_PastureBeef_DryMatterDigestibility_Data(), Table_SourceData_PastureBeef_DryMatterDigestibility[[#Headers],[State]], 0)</f>
        <v>0.6</v>
      </c>
      <c r="I292" s="30" cm="1">
        <f t="array" ref="I292">Common_InputFunctions.Utility_DisplayArrayInTable(SourceData_PastureBeef.SourceData_PastureBeef_DryMatterDigestibility_Data(), Table_SourceData_PastureBeef_DryMatterDigestibility[[#Headers],[State]], 0)</f>
        <v>0.5</v>
      </c>
      <c r="M292" s="8"/>
    </row>
    <row r="293" spans="4:13" x14ac:dyDescent="0.25">
      <c r="D293" s="1" t="str" cm="1">
        <f t="array" ref="D293">Common_InputFunctions.Utility_DisplayArrayInTable(SourceData_PastureBeef.SourceData_PastureBeef_DryMatterDigestibility_Data(), Table_SourceData_PastureBeef_DryMatterDigestibility[[#Headers],[State]], 0)</f>
        <v>NT</v>
      </c>
      <c r="E293" s="30" t="str" cm="1">
        <f t="array" ref="E293">Common_InputFunctions.Utility_DisplayArrayInTable(SourceData_PastureBeef.SourceData_PastureBeef_DryMatterDigestibility_Data(), Table_SourceData_PastureBeef_DryMatterDigestibility[[#Headers],[State]], 0)</f>
        <v>Alice Springs</v>
      </c>
      <c r="F293" s="30" cm="1">
        <f t="array" ref="F293">Common_InputFunctions.Utility_DisplayArrayInTable(SourceData_PastureBeef.SourceData_PastureBeef_DryMatterDigestibility_Data(), Table_SourceData_PastureBeef_DryMatterDigestibility[[#Headers],[State]], 0)</f>
        <v>0.55000000000000004</v>
      </c>
      <c r="G293" s="30" cm="1">
        <f t="array" ref="G293">Common_InputFunctions.Utility_DisplayArrayInTable(SourceData_PastureBeef.SourceData_PastureBeef_DryMatterDigestibility_Data(), Table_SourceData_PastureBeef_DryMatterDigestibility[[#Headers],[State]], 0)</f>
        <v>0.61</v>
      </c>
      <c r="H293" s="30" cm="1">
        <f t="array" ref="H293">Common_InputFunctions.Utility_DisplayArrayInTable(SourceData_PastureBeef.SourceData_PastureBeef_DryMatterDigestibility_Data(), Table_SourceData_PastureBeef_DryMatterDigestibility[[#Headers],[State]], 0)</f>
        <v>0.56999999999999995</v>
      </c>
      <c r="I293" s="30" cm="1">
        <f t="array" ref="I293">Common_InputFunctions.Utility_DisplayArrayInTable(SourceData_PastureBeef.SourceData_PastureBeef_DryMatterDigestibility_Data(), Table_SourceData_PastureBeef_DryMatterDigestibility[[#Headers],[State]], 0)</f>
        <v>0.54</v>
      </c>
      <c r="M293" s="8"/>
    </row>
    <row r="294" spans="4:13" x14ac:dyDescent="0.25">
      <c r="D294" s="1" t="str" cm="1">
        <f t="array" ref="D294">Common_InputFunctions.Utility_DisplayArrayInTable(SourceData_PastureBeef.SourceData_PastureBeef_DryMatterDigestibility_Data(), Table_SourceData_PastureBeef_DryMatterDigestibility[[#Headers],[State]], 0)</f>
        <v>NT</v>
      </c>
      <c r="E294" s="30" t="str" cm="1">
        <f t="array" ref="E294">Common_InputFunctions.Utility_DisplayArrayInTable(SourceData_PastureBeef.SourceData_PastureBeef_DryMatterDigestibility_Data(), Table_SourceData_PastureBeef_DryMatterDigestibility[[#Headers],[State]], 0)</f>
        <v>Barkly</v>
      </c>
      <c r="F294" s="30" cm="1">
        <f t="array" ref="F294">Common_InputFunctions.Utility_DisplayArrayInTable(SourceData_PastureBeef.SourceData_PastureBeef_DryMatterDigestibility_Data(), Table_SourceData_PastureBeef_DryMatterDigestibility[[#Headers],[State]], 0)</f>
        <v>0.55000000000000004</v>
      </c>
      <c r="G294" s="30" cm="1">
        <f t="array" ref="G294">Common_InputFunctions.Utility_DisplayArrayInTable(SourceData_PastureBeef.SourceData_PastureBeef_DryMatterDigestibility_Data(), Table_SourceData_PastureBeef_DryMatterDigestibility[[#Headers],[State]], 0)</f>
        <v>0.61</v>
      </c>
      <c r="H294" s="30" cm="1">
        <f t="array" ref="H294">Common_InputFunctions.Utility_DisplayArrayInTable(SourceData_PastureBeef.SourceData_PastureBeef_DryMatterDigestibility_Data(), Table_SourceData_PastureBeef_DryMatterDigestibility[[#Headers],[State]], 0)</f>
        <v>0.56999999999999995</v>
      </c>
      <c r="I294" s="30" cm="1">
        <f t="array" ref="I294">Common_InputFunctions.Utility_DisplayArrayInTable(SourceData_PastureBeef.SourceData_PastureBeef_DryMatterDigestibility_Data(), Table_SourceData_PastureBeef_DryMatterDigestibility[[#Headers],[State]], 0)</f>
        <v>0.54</v>
      </c>
      <c r="M294" s="8"/>
    </row>
    <row r="295" spans="4:13" x14ac:dyDescent="0.25">
      <c r="D295" s="1" t="str" cm="1">
        <f t="array" ref="D295">Common_InputFunctions.Utility_DisplayArrayInTable(SourceData_PastureBeef.SourceData_PastureBeef_DryMatterDigestibility_Data(), Table_SourceData_PastureBeef_DryMatterDigestibility[[#Headers],[State]], 0)</f>
        <v>NT</v>
      </c>
      <c r="E295" s="30" t="str" cm="1">
        <f t="array" ref="E295">Common_InputFunctions.Utility_DisplayArrayInTable(SourceData_PastureBeef.SourceData_PastureBeef_DryMatterDigestibility_Data(), Table_SourceData_PastureBeef_DryMatterDigestibility[[#Headers],[State]], 0)</f>
        <v>Northern</v>
      </c>
      <c r="F295" s="30" cm="1">
        <f t="array" ref="F295">Common_InputFunctions.Utility_DisplayArrayInTable(SourceData_PastureBeef.SourceData_PastureBeef_DryMatterDigestibility_Data(), Table_SourceData_PastureBeef_DryMatterDigestibility[[#Headers],[State]], 0)</f>
        <v>0.55000000000000004</v>
      </c>
      <c r="G295" s="30" cm="1">
        <f t="array" ref="G295">Common_InputFunctions.Utility_DisplayArrayInTable(SourceData_PastureBeef.SourceData_PastureBeef_DryMatterDigestibility_Data(), Table_SourceData_PastureBeef_DryMatterDigestibility[[#Headers],[State]], 0)</f>
        <v>0.61</v>
      </c>
      <c r="H295" s="30" cm="1">
        <f t="array" ref="H295">Common_InputFunctions.Utility_DisplayArrayInTable(SourceData_PastureBeef.SourceData_PastureBeef_DryMatterDigestibility_Data(), Table_SourceData_PastureBeef_DryMatterDigestibility[[#Headers],[State]], 0)</f>
        <v>0.56999999999999995</v>
      </c>
      <c r="I295" s="30" cm="1">
        <f t="array" ref="I295">Common_InputFunctions.Utility_DisplayArrayInTable(SourceData_PastureBeef.SourceData_PastureBeef_DryMatterDigestibility_Data(), Table_SourceData_PastureBeef_DryMatterDigestibility[[#Headers],[State]], 0)</f>
        <v>0.54</v>
      </c>
      <c r="M295" s="8"/>
    </row>
    <row r="296" spans="4:13" x14ac:dyDescent="0.25">
      <c r="D296" s="1" t="str" cm="1">
        <f t="array" ref="D296">Common_InputFunctions.Utility_DisplayArrayInTable(SourceData_PastureBeef.SourceData_PastureBeef_DryMatterDigestibility_Data(), Table_SourceData_PastureBeef_DryMatterDigestibility[[#Headers],[State]], 0)</f>
        <v>QLD</v>
      </c>
      <c r="E296" s="30" t="str" cm="1">
        <f t="array" ref="E296">Common_InputFunctions.Utility_DisplayArrayInTable(SourceData_PastureBeef.SourceData_PastureBeef_DryMatterDigestibility_Data(), Table_SourceData_PastureBeef_DryMatterDigestibility[[#Headers],[State]], 0)</f>
        <v>High</v>
      </c>
      <c r="F296" s="30" cm="1">
        <f t="array" ref="F296">Common_InputFunctions.Utility_DisplayArrayInTable(SourceData_PastureBeef.SourceData_PastureBeef_DryMatterDigestibility_Data(), Table_SourceData_PastureBeef_DryMatterDigestibility[[#Headers],[State]], 0)</f>
        <v>0.53</v>
      </c>
      <c r="G296" s="30" cm="1">
        <f t="array" ref="G296">Common_InputFunctions.Utility_DisplayArrayInTable(SourceData_PastureBeef.SourceData_PastureBeef_DryMatterDigestibility_Data(), Table_SourceData_PastureBeef_DryMatterDigestibility[[#Headers],[State]], 0)</f>
        <v>0.56999999999999995</v>
      </c>
      <c r="H296" s="30" cm="1">
        <f t="array" ref="H296">Common_InputFunctions.Utility_DisplayArrayInTable(SourceData_PastureBeef.SourceData_PastureBeef_DryMatterDigestibility_Data(), Table_SourceData_PastureBeef_DryMatterDigestibility[[#Headers],[State]], 0)</f>
        <v>0.55000000000000004</v>
      </c>
      <c r="I296" s="30" cm="1">
        <f t="array" ref="I296">Common_InputFunctions.Utility_DisplayArrayInTable(SourceData_PastureBeef.SourceData_PastureBeef_DryMatterDigestibility_Data(), Table_SourceData_PastureBeef_DryMatterDigestibility[[#Headers],[State]], 0)</f>
        <v>0.51</v>
      </c>
      <c r="M296" s="8"/>
    </row>
    <row r="297" spans="4:13" x14ac:dyDescent="0.25">
      <c r="D297" s="1" t="str" cm="1">
        <f t="array" ref="D297">Common_InputFunctions.Utility_DisplayArrayInTable(SourceData_PastureBeef.SourceData_PastureBeef_DryMatterDigestibility_Data(), Table_SourceData_PastureBeef_DryMatterDigestibility[[#Headers],[State]], 0)</f>
        <v>QLD</v>
      </c>
      <c r="E297" s="30" t="str" cm="1">
        <f t="array" ref="E297">Common_InputFunctions.Utility_DisplayArrayInTable(SourceData_PastureBeef.SourceData_PastureBeef_DryMatterDigestibility_Data(), Table_SourceData_PastureBeef_DryMatterDigestibility[[#Headers],[State]], 0)</f>
        <v>Moderate/High</v>
      </c>
      <c r="F297" s="30" cm="1">
        <f t="array" ref="F297">Common_InputFunctions.Utility_DisplayArrayInTable(SourceData_PastureBeef.SourceData_PastureBeef_DryMatterDigestibility_Data(), Table_SourceData_PastureBeef_DryMatterDigestibility[[#Headers],[State]], 0)</f>
        <v>0.53</v>
      </c>
      <c r="G297" s="30" cm="1">
        <f t="array" ref="G297">Common_InputFunctions.Utility_DisplayArrayInTable(SourceData_PastureBeef.SourceData_PastureBeef_DryMatterDigestibility_Data(), Table_SourceData_PastureBeef_DryMatterDigestibility[[#Headers],[State]], 0)</f>
        <v>0.56999999999999995</v>
      </c>
      <c r="H297" s="30" cm="1">
        <f t="array" ref="H297">Common_InputFunctions.Utility_DisplayArrayInTable(SourceData_PastureBeef.SourceData_PastureBeef_DryMatterDigestibility_Data(), Table_SourceData_PastureBeef_DryMatterDigestibility[[#Headers],[State]], 0)</f>
        <v>0.55000000000000004</v>
      </c>
      <c r="I297" s="30" cm="1">
        <f t="array" ref="I297">Common_InputFunctions.Utility_DisplayArrayInTable(SourceData_PastureBeef.SourceData_PastureBeef_DryMatterDigestibility_Data(), Table_SourceData_PastureBeef_DryMatterDigestibility[[#Headers],[State]], 0)</f>
        <v>0.51</v>
      </c>
      <c r="M297" s="8"/>
    </row>
    <row r="298" spans="4:13" x14ac:dyDescent="0.25">
      <c r="D298" s="1" t="str" cm="1">
        <f t="array" ref="D298">Common_InputFunctions.Utility_DisplayArrayInTable(SourceData_PastureBeef.SourceData_PastureBeef_DryMatterDigestibility_Data(), Table_SourceData_PastureBeef_DryMatterDigestibility[[#Headers],[State]], 0)</f>
        <v>QLD</v>
      </c>
      <c r="E298" s="30" t="str" cm="1">
        <f t="array" ref="E298">Common_InputFunctions.Utility_DisplayArrayInTable(SourceData_PastureBeef.SourceData_PastureBeef_DryMatterDigestibility_Data(), Table_SourceData_PastureBeef_DryMatterDigestibility[[#Headers],[State]], 0)</f>
        <v>Moderate/Low</v>
      </c>
      <c r="F298" s="30" cm="1">
        <f t="array" ref="F298">Common_InputFunctions.Utility_DisplayArrayInTable(SourceData_PastureBeef.SourceData_PastureBeef_DryMatterDigestibility_Data(), Table_SourceData_PastureBeef_DryMatterDigestibility[[#Headers],[State]], 0)</f>
        <v>0.53</v>
      </c>
      <c r="G298" s="30" cm="1">
        <f t="array" ref="G298">Common_InputFunctions.Utility_DisplayArrayInTable(SourceData_PastureBeef.SourceData_PastureBeef_DryMatterDigestibility_Data(), Table_SourceData_PastureBeef_DryMatterDigestibility[[#Headers],[State]], 0)</f>
        <v>0.56999999999999995</v>
      </c>
      <c r="H298" s="30" cm="1">
        <f t="array" ref="H298">Common_InputFunctions.Utility_DisplayArrayInTable(SourceData_PastureBeef.SourceData_PastureBeef_DryMatterDigestibility_Data(), Table_SourceData_PastureBeef_DryMatterDigestibility[[#Headers],[State]], 0)</f>
        <v>0.55000000000000004</v>
      </c>
      <c r="I298" s="30" cm="1">
        <f t="array" ref="I298">Common_InputFunctions.Utility_DisplayArrayInTable(SourceData_PastureBeef.SourceData_PastureBeef_DryMatterDigestibility_Data(), Table_SourceData_PastureBeef_DryMatterDigestibility[[#Headers],[State]], 0)</f>
        <v>0.51</v>
      </c>
      <c r="M298" s="8"/>
    </row>
    <row r="299" spans="4:13" x14ac:dyDescent="0.25">
      <c r="D299" s="1" t="str" cm="1">
        <f t="array" ref="D299">Common_InputFunctions.Utility_DisplayArrayInTable(SourceData_PastureBeef.SourceData_PastureBeef_DryMatterDigestibility_Data(), Table_SourceData_PastureBeef_DryMatterDigestibility[[#Headers],[State]], 0)</f>
        <v>QLD</v>
      </c>
      <c r="E299" s="30" t="str" cm="1">
        <f t="array" ref="E299">Common_InputFunctions.Utility_DisplayArrayInTable(SourceData_PastureBeef.SourceData_PastureBeef_DryMatterDigestibility_Data(), Table_SourceData_PastureBeef_DryMatterDigestibility[[#Headers],[State]], 0)</f>
        <v>Low</v>
      </c>
      <c r="F299" s="30" cm="1">
        <f t="array" ref="F299">Common_InputFunctions.Utility_DisplayArrayInTable(SourceData_PastureBeef.SourceData_PastureBeef_DryMatterDigestibility_Data(), Table_SourceData_PastureBeef_DryMatterDigestibility[[#Headers],[State]], 0)</f>
        <v>0.53</v>
      </c>
      <c r="G299" s="30" cm="1">
        <f t="array" ref="G299">Common_InputFunctions.Utility_DisplayArrayInTable(SourceData_PastureBeef.SourceData_PastureBeef_DryMatterDigestibility_Data(), Table_SourceData_PastureBeef_DryMatterDigestibility[[#Headers],[State]], 0)</f>
        <v>0.56999999999999995</v>
      </c>
      <c r="H299" s="30" cm="1">
        <f t="array" ref="H299">Common_InputFunctions.Utility_DisplayArrayInTable(SourceData_PastureBeef.SourceData_PastureBeef_DryMatterDigestibility_Data(), Table_SourceData_PastureBeef_DryMatterDigestibility[[#Headers],[State]], 0)</f>
        <v>0.55000000000000004</v>
      </c>
      <c r="I299" s="30" cm="1">
        <f t="array" ref="I299">Common_InputFunctions.Utility_DisplayArrayInTable(SourceData_PastureBeef.SourceData_PastureBeef_DryMatterDigestibility_Data(), Table_SourceData_PastureBeef_DryMatterDigestibility[[#Headers],[State]], 0)</f>
        <v>0.51</v>
      </c>
      <c r="M299" s="8"/>
    </row>
    <row r="300" spans="4:13" x14ac:dyDescent="0.25">
      <c r="D300" s="1" t="str" cm="1">
        <f t="array" ref="D300">Common_InputFunctions.Utility_DisplayArrayInTable(SourceData_PastureBeef.SourceData_PastureBeef_DryMatterDigestibility_Data(), Table_SourceData_PastureBeef_DryMatterDigestibility[[#Headers],[State]], 0)</f>
        <v>SA</v>
      </c>
      <c r="E300" s="30" t="str" cm="1">
        <f t="array" ref="E300">Common_InputFunctions.Utility_DisplayArrayInTable(SourceData_PastureBeef.SourceData_PastureBeef_DryMatterDigestibility_Data(), Table_SourceData_PastureBeef_DryMatterDigestibility[[#Headers],[State]], 0)</f>
        <v>n/a</v>
      </c>
      <c r="F300" s="30" cm="1">
        <f t="array" ref="F300">Common_InputFunctions.Utility_DisplayArrayInTable(SourceData_PastureBeef.SourceData_PastureBeef_DryMatterDigestibility_Data(), Table_SourceData_PastureBeef_DryMatterDigestibility[[#Headers],[State]], 0)</f>
        <v>0.7</v>
      </c>
      <c r="G300" s="30" cm="1">
        <f t="array" ref="G300">Common_InputFunctions.Utility_DisplayArrayInTable(SourceData_PastureBeef.SourceData_PastureBeef_DryMatterDigestibility_Data(), Table_SourceData_PastureBeef_DryMatterDigestibility[[#Headers],[State]], 0)</f>
        <v>0.55000000000000004</v>
      </c>
      <c r="H300" s="30" cm="1">
        <f t="array" ref="H300">Common_InputFunctions.Utility_DisplayArrayInTable(SourceData_PastureBeef.SourceData_PastureBeef_DryMatterDigestibility_Data(), Table_SourceData_PastureBeef_DryMatterDigestibility[[#Headers],[State]], 0)</f>
        <v>0.55000000000000004</v>
      </c>
      <c r="I300" s="30" cm="1">
        <f t="array" ref="I300">Common_InputFunctions.Utility_DisplayArrayInTable(SourceData_PastureBeef.SourceData_PastureBeef_DryMatterDigestibility_Data(), Table_SourceData_PastureBeef_DryMatterDigestibility[[#Headers],[State]], 0)</f>
        <v>0.75</v>
      </c>
      <c r="M300" s="8"/>
    </row>
    <row r="301" spans="4:13" x14ac:dyDescent="0.25">
      <c r="D301" s="1" t="str" cm="1">
        <f t="array" ref="D301">Common_InputFunctions.Utility_DisplayArrayInTable(SourceData_PastureBeef.SourceData_PastureBeef_DryMatterDigestibility_Data(), Table_SourceData_PastureBeef_DryMatterDigestibility[[#Headers],[State]], 0)</f>
        <v>TAS</v>
      </c>
      <c r="E301" s="30" t="str" cm="1">
        <f t="array" ref="E301">Common_InputFunctions.Utility_DisplayArrayInTable(SourceData_PastureBeef.SourceData_PastureBeef_DryMatterDigestibility_Data(), Table_SourceData_PastureBeef_DryMatterDigestibility[[#Headers],[State]], 0)</f>
        <v>n/a</v>
      </c>
      <c r="F301" s="30" cm="1">
        <f t="array" ref="F301">Common_InputFunctions.Utility_DisplayArrayInTable(SourceData_PastureBeef.SourceData_PastureBeef_DryMatterDigestibility_Data(), Table_SourceData_PastureBeef_DryMatterDigestibility[[#Headers],[State]], 0)</f>
        <v>0.75</v>
      </c>
      <c r="G301" s="30" cm="1">
        <f t="array" ref="G301">Common_InputFunctions.Utility_DisplayArrayInTable(SourceData_PastureBeef.SourceData_PastureBeef_DryMatterDigestibility_Data(), Table_SourceData_PastureBeef_DryMatterDigestibility[[#Headers],[State]], 0)</f>
        <v>0.6</v>
      </c>
      <c r="H301" s="30" cm="1">
        <f t="array" ref="H301">Common_InputFunctions.Utility_DisplayArrayInTable(SourceData_PastureBeef.SourceData_PastureBeef_DryMatterDigestibility_Data(), Table_SourceData_PastureBeef_DryMatterDigestibility[[#Headers],[State]], 0)</f>
        <v>0.7</v>
      </c>
      <c r="I301" s="30" cm="1">
        <f t="array" ref="I301">Common_InputFunctions.Utility_DisplayArrayInTable(SourceData_PastureBeef.SourceData_PastureBeef_DryMatterDigestibility_Data(), Table_SourceData_PastureBeef_DryMatterDigestibility[[#Headers],[State]], 0)</f>
        <v>0.75</v>
      </c>
      <c r="M301" s="8"/>
    </row>
    <row r="302" spans="4:13" x14ac:dyDescent="0.25">
      <c r="D302" s="1" t="str" cm="1">
        <f t="array" ref="D302">Common_InputFunctions.Utility_DisplayArrayInTable(SourceData_PastureBeef.SourceData_PastureBeef_DryMatterDigestibility_Data(), Table_SourceData_PastureBeef_DryMatterDigestibility[[#Headers],[State]], 0)</f>
        <v>VIC</v>
      </c>
      <c r="E302" s="30" t="str" cm="1">
        <f t="array" ref="E302">Common_InputFunctions.Utility_DisplayArrayInTable(SourceData_PastureBeef.SourceData_PastureBeef_DryMatterDigestibility_Data(), Table_SourceData_PastureBeef_DryMatterDigestibility[[#Headers],[State]], 0)</f>
        <v>n/a</v>
      </c>
      <c r="F302" s="30" cm="1">
        <f t="array" ref="F302">Common_InputFunctions.Utility_DisplayArrayInTable(SourceData_PastureBeef.SourceData_PastureBeef_DryMatterDigestibility_Data(), Table_SourceData_PastureBeef_DryMatterDigestibility[[#Headers],[State]], 0)</f>
        <v>0.8</v>
      </c>
      <c r="G302" s="30" cm="1">
        <f t="array" ref="G302">Common_InputFunctions.Utility_DisplayArrayInTable(SourceData_PastureBeef.SourceData_PastureBeef_DryMatterDigestibility_Data(), Table_SourceData_PastureBeef_DryMatterDigestibility[[#Headers],[State]], 0)</f>
        <v>0.55000000000000004</v>
      </c>
      <c r="H302" s="30" cm="1">
        <f t="array" ref="H302">Common_InputFunctions.Utility_DisplayArrayInTable(SourceData_PastureBeef.SourceData_PastureBeef_DryMatterDigestibility_Data(), Table_SourceData_PastureBeef_DryMatterDigestibility[[#Headers],[State]], 0)</f>
        <v>0.6</v>
      </c>
      <c r="I302" s="30" cm="1">
        <f t="array" ref="I302">Common_InputFunctions.Utility_DisplayArrayInTable(SourceData_PastureBeef.SourceData_PastureBeef_DryMatterDigestibility_Data(), Table_SourceData_PastureBeef_DryMatterDigestibility[[#Headers],[State]], 0)</f>
        <v>0.76</v>
      </c>
      <c r="M302" s="8"/>
    </row>
    <row r="303" spans="4:13" x14ac:dyDescent="0.25">
      <c r="D303" s="1" t="str" cm="1">
        <f t="array" ref="D303">Common_InputFunctions.Utility_DisplayArrayInTable(SourceData_PastureBeef.SourceData_PastureBeef_DryMatterDigestibility_Data(), Table_SourceData_PastureBeef_DryMatterDigestibility[[#Headers],[State]], 0)</f>
        <v>WA</v>
      </c>
      <c r="E303" s="30" t="str" cm="1">
        <f t="array" ref="E303">Common_InputFunctions.Utility_DisplayArrayInTable(SourceData_PastureBeef.SourceData_PastureBeef_DryMatterDigestibility_Data(), Table_SourceData_PastureBeef_DryMatterDigestibility[[#Headers],[State]], 0)</f>
        <v>South West</v>
      </c>
      <c r="F303" s="30" cm="1">
        <f t="array" ref="F303">Common_InputFunctions.Utility_DisplayArrayInTable(SourceData_PastureBeef.SourceData_PastureBeef_DryMatterDigestibility_Data(), Table_SourceData_PastureBeef_DryMatterDigestibility[[#Headers],[State]], 0)</f>
        <v>0.8</v>
      </c>
      <c r="G303" s="30" cm="1">
        <f t="array" ref="G303">Common_InputFunctions.Utility_DisplayArrayInTable(SourceData_PastureBeef.SourceData_PastureBeef_DryMatterDigestibility_Data(), Table_SourceData_PastureBeef_DryMatterDigestibility[[#Headers],[State]], 0)</f>
        <v>0.57999999999999996</v>
      </c>
      <c r="H303" s="30" cm="1">
        <f t="array" ref="H303">Common_InputFunctions.Utility_DisplayArrayInTable(SourceData_PastureBeef.SourceData_PastureBeef_DryMatterDigestibility_Data(), Table_SourceData_PastureBeef_DryMatterDigestibility[[#Headers],[State]], 0)</f>
        <v>0.5</v>
      </c>
      <c r="I303" s="30" cm="1">
        <f t="array" ref="I303">Common_InputFunctions.Utility_DisplayArrayInTable(SourceData_PastureBeef.SourceData_PastureBeef_DryMatterDigestibility_Data(), Table_SourceData_PastureBeef_DryMatterDigestibility[[#Headers],[State]], 0)</f>
        <v>0.75</v>
      </c>
      <c r="M303" s="8"/>
    </row>
    <row r="304" spans="4:13" x14ac:dyDescent="0.25">
      <c r="D304" s="1" t="str" cm="1">
        <f t="array" ref="D304">Common_InputFunctions.Utility_DisplayArrayInTable(SourceData_PastureBeef.SourceData_PastureBeef_DryMatterDigestibility_Data(), Table_SourceData_PastureBeef_DryMatterDigestibility[[#Headers],[State]], 0)</f>
        <v>WA</v>
      </c>
      <c r="E304" s="30" t="str" cm="1">
        <f t="array" ref="E304">Common_InputFunctions.Utility_DisplayArrayInTable(SourceData_PastureBeef.SourceData_PastureBeef_DryMatterDigestibility_Data(), Table_SourceData_PastureBeef_DryMatterDigestibility[[#Headers],[State]], 0)</f>
        <v>Pilbara</v>
      </c>
      <c r="F304" s="30" cm="1">
        <f t="array" ref="F304">Common_InputFunctions.Utility_DisplayArrayInTable(SourceData_PastureBeef.SourceData_PastureBeef_DryMatterDigestibility_Data(), Table_SourceData_PastureBeef_DryMatterDigestibility[[#Headers],[State]], 0)</f>
        <v>0.4</v>
      </c>
      <c r="G304" s="30" cm="1">
        <f t="array" ref="G304">Common_InputFunctions.Utility_DisplayArrayInTable(SourceData_PastureBeef.SourceData_PastureBeef_DryMatterDigestibility_Data(), Table_SourceData_PastureBeef_DryMatterDigestibility[[#Headers],[State]], 0)</f>
        <v>0.65</v>
      </c>
      <c r="H304" s="30" cm="1">
        <f t="array" ref="H304">Common_InputFunctions.Utility_DisplayArrayInTable(SourceData_PastureBeef.SourceData_PastureBeef_DryMatterDigestibility_Data(), Table_SourceData_PastureBeef_DryMatterDigestibility[[#Headers],[State]], 0)</f>
        <v>0.55000000000000004</v>
      </c>
      <c r="I304" s="30" cm="1">
        <f t="array" ref="I304">Common_InputFunctions.Utility_DisplayArrayInTable(SourceData_PastureBeef.SourceData_PastureBeef_DryMatterDigestibility_Data(), Table_SourceData_PastureBeef_DryMatterDigestibility[[#Headers],[State]], 0)</f>
        <v>0.45</v>
      </c>
      <c r="M304" s="8"/>
    </row>
    <row r="305" spans="4:13" x14ac:dyDescent="0.25">
      <c r="D305" s="1" t="str" cm="1">
        <f t="array" ref="D305">Common_InputFunctions.Utility_DisplayArrayInTable(SourceData_PastureBeef.SourceData_PastureBeef_DryMatterDigestibility_Data(), Table_SourceData_PastureBeef_DryMatterDigestibility[[#Headers],[State]], 0)</f>
        <v>WA</v>
      </c>
      <c r="E305" s="30" t="str" cm="1">
        <f t="array" ref="E305">Common_InputFunctions.Utility_DisplayArrayInTable(SourceData_PastureBeef.SourceData_PastureBeef_DryMatterDigestibility_Data(), Table_SourceData_PastureBeef_DryMatterDigestibility[[#Headers],[State]], 0)</f>
        <v>Kimberley</v>
      </c>
      <c r="F305" s="30" cm="1">
        <f t="array" ref="F305">Common_InputFunctions.Utility_DisplayArrayInTable(SourceData_PastureBeef.SourceData_PastureBeef_DryMatterDigestibility_Data(), Table_SourceData_PastureBeef_DryMatterDigestibility[[#Headers],[State]], 0)</f>
        <v>0.4</v>
      </c>
      <c r="G305" s="30" cm="1">
        <f t="array" ref="G305">Common_InputFunctions.Utility_DisplayArrayInTable(SourceData_PastureBeef.SourceData_PastureBeef_DryMatterDigestibility_Data(), Table_SourceData_PastureBeef_DryMatterDigestibility[[#Headers],[State]], 0)</f>
        <v>0.65</v>
      </c>
      <c r="H305" s="30" cm="1">
        <f t="array" ref="H305">Common_InputFunctions.Utility_DisplayArrayInTable(SourceData_PastureBeef.SourceData_PastureBeef_DryMatterDigestibility_Data(), Table_SourceData_PastureBeef_DryMatterDigestibility[[#Headers],[State]], 0)</f>
        <v>0.55000000000000004</v>
      </c>
      <c r="I305" s="30" cm="1">
        <f t="array" ref="I305">Common_InputFunctions.Utility_DisplayArrayInTable(SourceData_PastureBeef.SourceData_PastureBeef_DryMatterDigestibility_Data(), Table_SourceData_PastureBeef_DryMatterDigestibility[[#Headers],[State]], 0)</f>
        <v>0.45</v>
      </c>
      <c r="M305" s="8"/>
    </row>
    <row r="306" spans="4:13" x14ac:dyDescent="0.25">
      <c r="M306" s="8"/>
    </row>
    <row r="307" spans="4:13" x14ac:dyDescent="0.25">
      <c r="M307" s="8"/>
    </row>
    <row r="308" spans="4:13" ht="23.25" x14ac:dyDescent="0.25">
      <c r="D308" s="2" t="str" cm="1">
        <f t="array" ref="D308">SourceData_PastureBeef.SourceData_PastureBeef_CrudeProteinContent_Title()</f>
        <v>Beef pasture cattle - Crude protein content of feed intake (fraction) (CPj)</v>
      </c>
      <c r="M308" s="8"/>
    </row>
    <row r="309" spans="4:13" x14ac:dyDescent="0.25">
      <c r="D309" s="27" t="str" cm="1">
        <f t="array" ref="D309">SourceData_PastureBeef.SourceData_PastureBeef_CrudeProteinContent_Source()</f>
        <v>VEERG 2026: Table A.1.2.6</v>
      </c>
      <c r="M309" s="8"/>
    </row>
    <row r="310" spans="4:13" x14ac:dyDescent="0.25">
      <c r="D310" s="1" t="str" cm="1">
        <f t="array" ref="D310">SourceData_PastureBeef.SourceData_PastureBeef_CrudeProteinContent_Variable()</f>
        <v>CPj</v>
      </c>
      <c r="M310" s="8"/>
    </row>
    <row r="311" spans="4:13" x14ac:dyDescent="0.25">
      <c r="D311" s="15" t="str" cm="1">
        <f t="array" ref="D311">SourceData_PastureBeef.SourceData_PastureBeef_CrudeProteinContent_Unit()</f>
        <v>fraction</v>
      </c>
      <c r="M311" s="8"/>
    </row>
    <row r="312" spans="4:13" x14ac:dyDescent="0.25">
      <c r="D312" s="36" t="str" cm="1">
        <f t="array" ref="D312">SourceData_PastureBeef.SourceData_PastureBeef_CrudeProteinContent_Variation()</f>
        <v>VARIATION ON SOURCE: Split ACT and NSW into separate rows. Duplicated QLD and NT rows with regions from table A.1.2.2 to aid lookup</v>
      </c>
      <c r="M312" s="8"/>
    </row>
    <row r="313" spans="4:13" x14ac:dyDescent="0.25">
      <c r="D313" s="30" t="s">
        <v>107</v>
      </c>
      <c r="E313" s="30" t="s">
        <v>312</v>
      </c>
      <c r="F313" s="30" t="s">
        <v>203</v>
      </c>
      <c r="G313" s="30" t="s">
        <v>204</v>
      </c>
      <c r="H313" s="30" t="s">
        <v>205</v>
      </c>
      <c r="I313" s="30" t="s">
        <v>206</v>
      </c>
      <c r="M313" s="8"/>
    </row>
    <row r="314" spans="4:13" x14ac:dyDescent="0.25">
      <c r="D314" s="30" t="str" cm="1">
        <f t="array" ref="D314">Common_InputFunctions.Utility_DisplayArrayInTable(SourceData_PastureBeef.SourceData_PastureBeef_CrudeProteinContent_Data(), Table_SourceData_PastureBeef_CrudeProtein[[#Headers],[State]], 0)</f>
        <v>ACT</v>
      </c>
      <c r="E314" s="30" t="str" cm="1">
        <f t="array" ref="E314">Common_InputFunctions.Utility_DisplayArrayInTable(SourceData_PastureBeef.SourceData_PastureBeef_CrudeProteinContent_Data(), Table_SourceData_PastureBeef_CrudeProtein[[#Headers],[State]], 0)</f>
        <v>n/a</v>
      </c>
      <c r="F314" s="30" cm="1">
        <f t="array" ref="F314">Common_InputFunctions.Utility_DisplayArrayInTable(SourceData_PastureBeef.SourceData_PastureBeef_CrudeProteinContent_Data(), Table_SourceData_PastureBeef_CrudeProtein[[#Headers],[State]], 0)</f>
        <v>7.0000000000000007E-2</v>
      </c>
      <c r="G314" s="30" cm="1">
        <f t="array" ref="G314">Common_InputFunctions.Utility_DisplayArrayInTable(SourceData_PastureBeef.SourceData_PastureBeef_CrudeProteinContent_Data(), Table_SourceData_PastureBeef_CrudeProtein[[#Headers],[State]], 0)</f>
        <v>0.13</v>
      </c>
      <c r="H314" s="30" cm="1">
        <f t="array" ref="H314">Common_InputFunctions.Utility_DisplayArrayInTable(SourceData_PastureBeef.SourceData_PastureBeef_CrudeProteinContent_Data(), Table_SourceData_PastureBeef_CrudeProtein[[#Headers],[State]], 0)</f>
        <v>0.1</v>
      </c>
      <c r="I314" s="30" cm="1">
        <f t="array" ref="I314">Common_InputFunctions.Utility_DisplayArrayInTable(SourceData_PastureBeef.SourceData_PastureBeef_CrudeProteinContent_Data(), Table_SourceData_PastureBeef_CrudeProtein[[#Headers],[State]], 0)</f>
        <v>0.06</v>
      </c>
      <c r="M314" s="8"/>
    </row>
    <row r="315" spans="4:13" x14ac:dyDescent="0.25">
      <c r="D315" s="30" t="str" cm="1">
        <f t="array" ref="D315">Common_InputFunctions.Utility_DisplayArrayInTable(SourceData_PastureBeef.SourceData_PastureBeef_CrudeProteinContent_Data(), Table_SourceData_PastureBeef_CrudeProtein[[#Headers],[State]], 0)</f>
        <v>NSW</v>
      </c>
      <c r="E315" s="30" t="str" cm="1">
        <f t="array" ref="E315">Common_InputFunctions.Utility_DisplayArrayInTable(SourceData_PastureBeef.SourceData_PastureBeef_CrudeProteinContent_Data(), Table_SourceData_PastureBeef_CrudeProtein[[#Headers],[State]], 0)</f>
        <v>n/a</v>
      </c>
      <c r="F315" s="30" cm="1">
        <f t="array" ref="F315">Common_InputFunctions.Utility_DisplayArrayInTable(SourceData_PastureBeef.SourceData_PastureBeef_CrudeProteinContent_Data(), Table_SourceData_PastureBeef_CrudeProtein[[#Headers],[State]], 0)</f>
        <v>7.0000000000000007E-2</v>
      </c>
      <c r="G315" s="30" cm="1">
        <f t="array" ref="G315">Common_InputFunctions.Utility_DisplayArrayInTable(SourceData_PastureBeef.SourceData_PastureBeef_CrudeProteinContent_Data(), Table_SourceData_PastureBeef_CrudeProtein[[#Headers],[State]], 0)</f>
        <v>0.13</v>
      </c>
      <c r="H315" s="30" cm="1">
        <f t="array" ref="H315">Common_InputFunctions.Utility_DisplayArrayInTable(SourceData_PastureBeef.SourceData_PastureBeef_CrudeProteinContent_Data(), Table_SourceData_PastureBeef_CrudeProtein[[#Headers],[State]], 0)</f>
        <v>0.1</v>
      </c>
      <c r="I315" s="30" cm="1">
        <f t="array" ref="I315">Common_InputFunctions.Utility_DisplayArrayInTable(SourceData_PastureBeef.SourceData_PastureBeef_CrudeProteinContent_Data(), Table_SourceData_PastureBeef_CrudeProtein[[#Headers],[State]], 0)</f>
        <v>0.06</v>
      </c>
      <c r="M315" s="8"/>
    </row>
    <row r="316" spans="4:13" x14ac:dyDescent="0.25">
      <c r="D316" s="30" t="str" cm="1">
        <f t="array" ref="D316">Common_InputFunctions.Utility_DisplayArrayInTable(SourceData_PastureBeef.SourceData_PastureBeef_CrudeProteinContent_Data(), Table_SourceData_PastureBeef_CrudeProtein[[#Headers],[State]], 0)</f>
        <v>NT</v>
      </c>
      <c r="E316" s="30" t="str" cm="1">
        <f t="array" ref="E316">Common_InputFunctions.Utility_DisplayArrayInTable(SourceData_PastureBeef.SourceData_PastureBeef_CrudeProteinContent_Data(), Table_SourceData_PastureBeef_CrudeProtein[[#Headers],[State]], 0)</f>
        <v>Alice Springs</v>
      </c>
      <c r="F316" s="30" cm="1">
        <f t="array" ref="F316">Common_InputFunctions.Utility_DisplayArrayInTable(SourceData_PastureBeef.SourceData_PastureBeef_CrudeProteinContent_Data(), Table_SourceData_PastureBeef_CrudeProtein[[#Headers],[State]], 0)</f>
        <v>5.8000000000000003E-2</v>
      </c>
      <c r="G316" s="30" cm="1">
        <f t="array" ref="G316">Common_InputFunctions.Utility_DisplayArrayInTable(SourceData_PastureBeef.SourceData_PastureBeef_CrudeProteinContent_Data(), Table_SourceData_PastureBeef_CrudeProtein[[#Headers],[State]], 0)</f>
        <v>9.1999999999999998E-2</v>
      </c>
      <c r="H316" s="30" cm="1">
        <f t="array" ref="H316">Common_InputFunctions.Utility_DisplayArrayInTable(SourceData_PastureBeef.SourceData_PastureBeef_CrudeProteinContent_Data(), Table_SourceData_PastureBeef_CrudeProtein[[#Headers],[State]], 0)</f>
        <v>7.4999999999999997E-2</v>
      </c>
      <c r="I316" s="30" cm="1">
        <f t="array" ref="I316">Common_InputFunctions.Utility_DisplayArrayInTable(SourceData_PastureBeef.SourceData_PastureBeef_CrudeProteinContent_Data(), Table_SourceData_PastureBeef_CrudeProtein[[#Headers],[State]], 0)</f>
        <v>5.2999999999999999E-2</v>
      </c>
      <c r="M316" s="8"/>
    </row>
    <row r="317" spans="4:13" x14ac:dyDescent="0.25">
      <c r="D317" s="30" t="str" cm="1">
        <f t="array" ref="D317">Common_InputFunctions.Utility_DisplayArrayInTable(SourceData_PastureBeef.SourceData_PastureBeef_CrudeProteinContent_Data(), Table_SourceData_PastureBeef_CrudeProtein[[#Headers],[State]], 0)</f>
        <v>NT</v>
      </c>
      <c r="E317" s="30" t="str" cm="1">
        <f t="array" ref="E317">Common_InputFunctions.Utility_DisplayArrayInTable(SourceData_PastureBeef.SourceData_PastureBeef_CrudeProteinContent_Data(), Table_SourceData_PastureBeef_CrudeProtein[[#Headers],[State]], 0)</f>
        <v>Barkly</v>
      </c>
      <c r="F317" s="30" cm="1">
        <f t="array" ref="F317">Common_InputFunctions.Utility_DisplayArrayInTable(SourceData_PastureBeef.SourceData_PastureBeef_CrudeProteinContent_Data(), Table_SourceData_PastureBeef_CrudeProtein[[#Headers],[State]], 0)</f>
        <v>5.8000000000000003E-2</v>
      </c>
      <c r="G317" s="30" cm="1">
        <f t="array" ref="G317">Common_InputFunctions.Utility_DisplayArrayInTable(SourceData_PastureBeef.SourceData_PastureBeef_CrudeProteinContent_Data(), Table_SourceData_PastureBeef_CrudeProtein[[#Headers],[State]], 0)</f>
        <v>9.1999999999999998E-2</v>
      </c>
      <c r="H317" s="30" cm="1">
        <f t="array" ref="H317">Common_InputFunctions.Utility_DisplayArrayInTable(SourceData_PastureBeef.SourceData_PastureBeef_CrudeProteinContent_Data(), Table_SourceData_PastureBeef_CrudeProtein[[#Headers],[State]], 0)</f>
        <v>7.4999999999999997E-2</v>
      </c>
      <c r="I317" s="30" cm="1">
        <f t="array" ref="I317">Common_InputFunctions.Utility_DisplayArrayInTable(SourceData_PastureBeef.SourceData_PastureBeef_CrudeProteinContent_Data(), Table_SourceData_PastureBeef_CrudeProtein[[#Headers],[State]], 0)</f>
        <v>5.2999999999999999E-2</v>
      </c>
      <c r="M317" s="8"/>
    </row>
    <row r="318" spans="4:13" x14ac:dyDescent="0.25">
      <c r="D318" s="30" t="str" cm="1">
        <f t="array" ref="D318">Common_InputFunctions.Utility_DisplayArrayInTable(SourceData_PastureBeef.SourceData_PastureBeef_CrudeProteinContent_Data(), Table_SourceData_PastureBeef_CrudeProtein[[#Headers],[State]], 0)</f>
        <v>NT</v>
      </c>
      <c r="E318" s="30" t="str" cm="1">
        <f t="array" ref="E318">Common_InputFunctions.Utility_DisplayArrayInTable(SourceData_PastureBeef.SourceData_PastureBeef_CrudeProteinContent_Data(), Table_SourceData_PastureBeef_CrudeProtein[[#Headers],[State]], 0)</f>
        <v>Northern</v>
      </c>
      <c r="F318" s="30" cm="1">
        <f t="array" ref="F318">Common_InputFunctions.Utility_DisplayArrayInTable(SourceData_PastureBeef.SourceData_PastureBeef_CrudeProteinContent_Data(), Table_SourceData_PastureBeef_CrudeProtein[[#Headers],[State]], 0)</f>
        <v>5.8000000000000003E-2</v>
      </c>
      <c r="G318" s="30" cm="1">
        <f t="array" ref="G318">Common_InputFunctions.Utility_DisplayArrayInTable(SourceData_PastureBeef.SourceData_PastureBeef_CrudeProteinContent_Data(), Table_SourceData_PastureBeef_CrudeProtein[[#Headers],[State]], 0)</f>
        <v>9.1999999999999998E-2</v>
      </c>
      <c r="H318" s="30" cm="1">
        <f t="array" ref="H318">Common_InputFunctions.Utility_DisplayArrayInTable(SourceData_PastureBeef.SourceData_PastureBeef_CrudeProteinContent_Data(), Table_SourceData_PastureBeef_CrudeProtein[[#Headers],[State]], 0)</f>
        <v>7.4999999999999997E-2</v>
      </c>
      <c r="I318" s="30" cm="1">
        <f t="array" ref="I318">Common_InputFunctions.Utility_DisplayArrayInTable(SourceData_PastureBeef.SourceData_PastureBeef_CrudeProteinContent_Data(), Table_SourceData_PastureBeef_CrudeProtein[[#Headers],[State]], 0)</f>
        <v>5.2999999999999999E-2</v>
      </c>
      <c r="M318" s="8"/>
    </row>
    <row r="319" spans="4:13" x14ac:dyDescent="0.25">
      <c r="D319" s="30" t="str" cm="1">
        <f t="array" ref="D319">Common_InputFunctions.Utility_DisplayArrayInTable(SourceData_PastureBeef.SourceData_PastureBeef_CrudeProteinContent_Data(), Table_SourceData_PastureBeef_CrudeProtein[[#Headers],[State]], 0)</f>
        <v>QLD</v>
      </c>
      <c r="E319" s="30" t="str" cm="1">
        <f t="array" ref="E319">Common_InputFunctions.Utility_DisplayArrayInTable(SourceData_PastureBeef.SourceData_PastureBeef_CrudeProteinContent_Data(), Table_SourceData_PastureBeef_CrudeProtein[[#Headers],[State]], 0)</f>
        <v>High</v>
      </c>
      <c r="F319" s="30" cm="1">
        <f t="array" ref="F319">Common_InputFunctions.Utility_DisplayArrayInTable(SourceData_PastureBeef.SourceData_PastureBeef_CrudeProteinContent_Data(), Table_SourceData_PastureBeef_CrudeProtein[[#Headers],[State]], 0)</f>
        <v>7.1999999999999995E-2</v>
      </c>
      <c r="G319" s="30" cm="1">
        <f t="array" ref="G319">Common_InputFunctions.Utility_DisplayArrayInTable(SourceData_PastureBeef.SourceData_PastureBeef_CrudeProteinContent_Data(), Table_SourceData_PastureBeef_CrudeProtein[[#Headers],[State]], 0)</f>
        <v>9.9000000000000005E-2</v>
      </c>
      <c r="H319" s="30" cm="1">
        <f t="array" ref="H319">Common_InputFunctions.Utility_DisplayArrayInTable(SourceData_PastureBeef.SourceData_PastureBeef_CrudeProteinContent_Data(), Table_SourceData_PastureBeef_CrudeProtein[[#Headers],[State]], 0)</f>
        <v>7.8E-2</v>
      </c>
      <c r="I319" s="30" cm="1">
        <f t="array" ref="I319">Common_InputFunctions.Utility_DisplayArrayInTable(SourceData_PastureBeef.SourceData_PastureBeef_CrudeProteinContent_Data(), Table_SourceData_PastureBeef_CrudeProtein[[#Headers],[State]], 0)</f>
        <v>5.8999999999999997E-2</v>
      </c>
      <c r="M319" s="1"/>
    </row>
    <row r="320" spans="4:13" x14ac:dyDescent="0.25">
      <c r="D320" s="30" t="str" cm="1">
        <f t="array" ref="D320">Common_InputFunctions.Utility_DisplayArrayInTable(SourceData_PastureBeef.SourceData_PastureBeef_CrudeProteinContent_Data(), Table_SourceData_PastureBeef_CrudeProtein[[#Headers],[State]], 0)</f>
        <v>QLD</v>
      </c>
      <c r="E320" s="30" t="str" cm="1">
        <f t="array" ref="E320">Common_InputFunctions.Utility_DisplayArrayInTable(SourceData_PastureBeef.SourceData_PastureBeef_CrudeProteinContent_Data(), Table_SourceData_PastureBeef_CrudeProtein[[#Headers],[State]], 0)</f>
        <v>Moderate/High</v>
      </c>
      <c r="F320" s="30" cm="1">
        <f t="array" ref="F320">Common_InputFunctions.Utility_DisplayArrayInTable(SourceData_PastureBeef.SourceData_PastureBeef_CrudeProteinContent_Data(), Table_SourceData_PastureBeef_CrudeProtein[[#Headers],[State]], 0)</f>
        <v>7.1999999999999995E-2</v>
      </c>
      <c r="G320" s="30" cm="1">
        <f t="array" ref="G320">Common_InputFunctions.Utility_DisplayArrayInTable(SourceData_PastureBeef.SourceData_PastureBeef_CrudeProteinContent_Data(), Table_SourceData_PastureBeef_CrudeProtein[[#Headers],[State]], 0)</f>
        <v>9.9000000000000005E-2</v>
      </c>
      <c r="H320" s="30" cm="1">
        <f t="array" ref="H320">Common_InputFunctions.Utility_DisplayArrayInTable(SourceData_PastureBeef.SourceData_PastureBeef_CrudeProteinContent_Data(), Table_SourceData_PastureBeef_CrudeProtein[[#Headers],[State]], 0)</f>
        <v>7.8E-2</v>
      </c>
      <c r="I320" s="30" cm="1">
        <f t="array" ref="I320">Common_InputFunctions.Utility_DisplayArrayInTable(SourceData_PastureBeef.SourceData_PastureBeef_CrudeProteinContent_Data(), Table_SourceData_PastureBeef_CrudeProtein[[#Headers],[State]], 0)</f>
        <v>5.8999999999999997E-2</v>
      </c>
      <c r="M320" s="1"/>
    </row>
    <row r="321" spans="4:13" x14ac:dyDescent="0.25">
      <c r="D321" s="30" t="str" cm="1">
        <f t="array" ref="D321">Common_InputFunctions.Utility_DisplayArrayInTable(SourceData_PastureBeef.SourceData_PastureBeef_CrudeProteinContent_Data(), Table_SourceData_PastureBeef_CrudeProtein[[#Headers],[State]], 0)</f>
        <v>QLD</v>
      </c>
      <c r="E321" s="30" t="str" cm="1">
        <f t="array" ref="E321">Common_InputFunctions.Utility_DisplayArrayInTable(SourceData_PastureBeef.SourceData_PastureBeef_CrudeProteinContent_Data(), Table_SourceData_PastureBeef_CrudeProtein[[#Headers],[State]], 0)</f>
        <v>Moderate/Low</v>
      </c>
      <c r="F321" s="30" cm="1">
        <f t="array" ref="F321">Common_InputFunctions.Utility_DisplayArrayInTable(SourceData_PastureBeef.SourceData_PastureBeef_CrudeProteinContent_Data(), Table_SourceData_PastureBeef_CrudeProtein[[#Headers],[State]], 0)</f>
        <v>7.1999999999999995E-2</v>
      </c>
      <c r="G321" s="30" cm="1">
        <f t="array" ref="G321">Common_InputFunctions.Utility_DisplayArrayInTable(SourceData_PastureBeef.SourceData_PastureBeef_CrudeProteinContent_Data(), Table_SourceData_PastureBeef_CrudeProtein[[#Headers],[State]], 0)</f>
        <v>9.9000000000000005E-2</v>
      </c>
      <c r="H321" s="30" cm="1">
        <f t="array" ref="H321">Common_InputFunctions.Utility_DisplayArrayInTable(SourceData_PastureBeef.SourceData_PastureBeef_CrudeProteinContent_Data(), Table_SourceData_PastureBeef_CrudeProtein[[#Headers],[State]], 0)</f>
        <v>7.8E-2</v>
      </c>
      <c r="I321" s="30" cm="1">
        <f t="array" ref="I321">Common_InputFunctions.Utility_DisplayArrayInTable(SourceData_PastureBeef.SourceData_PastureBeef_CrudeProteinContent_Data(), Table_SourceData_PastureBeef_CrudeProtein[[#Headers],[State]], 0)</f>
        <v>5.8999999999999997E-2</v>
      </c>
      <c r="M321" s="1"/>
    </row>
    <row r="322" spans="4:13" x14ac:dyDescent="0.25">
      <c r="D322" s="30" t="str" cm="1">
        <f t="array" ref="D322">Common_InputFunctions.Utility_DisplayArrayInTable(SourceData_PastureBeef.SourceData_PastureBeef_CrudeProteinContent_Data(), Table_SourceData_PastureBeef_CrudeProtein[[#Headers],[State]], 0)</f>
        <v>QLD</v>
      </c>
      <c r="E322" s="30" t="str" cm="1">
        <f t="array" ref="E322">Common_InputFunctions.Utility_DisplayArrayInTable(SourceData_PastureBeef.SourceData_PastureBeef_CrudeProteinContent_Data(), Table_SourceData_PastureBeef_CrudeProtein[[#Headers],[State]], 0)</f>
        <v>Low</v>
      </c>
      <c r="F322" s="30" cm="1">
        <f t="array" ref="F322">Common_InputFunctions.Utility_DisplayArrayInTable(SourceData_PastureBeef.SourceData_PastureBeef_CrudeProteinContent_Data(), Table_SourceData_PastureBeef_CrudeProtein[[#Headers],[State]], 0)</f>
        <v>7.1999999999999995E-2</v>
      </c>
      <c r="G322" s="30" cm="1">
        <f t="array" ref="G322">Common_InputFunctions.Utility_DisplayArrayInTable(SourceData_PastureBeef.SourceData_PastureBeef_CrudeProteinContent_Data(), Table_SourceData_PastureBeef_CrudeProtein[[#Headers],[State]], 0)</f>
        <v>9.9000000000000005E-2</v>
      </c>
      <c r="H322" s="30" cm="1">
        <f t="array" ref="H322">Common_InputFunctions.Utility_DisplayArrayInTable(SourceData_PastureBeef.SourceData_PastureBeef_CrudeProteinContent_Data(), Table_SourceData_PastureBeef_CrudeProtein[[#Headers],[State]], 0)</f>
        <v>7.8E-2</v>
      </c>
      <c r="I322" s="30" cm="1">
        <f t="array" ref="I322">Common_InputFunctions.Utility_DisplayArrayInTable(SourceData_PastureBeef.SourceData_PastureBeef_CrudeProteinContent_Data(), Table_SourceData_PastureBeef_CrudeProtein[[#Headers],[State]], 0)</f>
        <v>5.8999999999999997E-2</v>
      </c>
      <c r="M322" s="1"/>
    </row>
    <row r="323" spans="4:13" x14ac:dyDescent="0.25">
      <c r="D323" s="30" t="str" cm="1">
        <f t="array" ref="D323">Common_InputFunctions.Utility_DisplayArrayInTable(SourceData_PastureBeef.SourceData_PastureBeef_CrudeProteinContent_Data(), Table_SourceData_PastureBeef_CrudeProtein[[#Headers],[State]], 0)</f>
        <v>SA</v>
      </c>
      <c r="E323" s="30" t="str" cm="1">
        <f t="array" ref="E323">Common_InputFunctions.Utility_DisplayArrayInTable(SourceData_PastureBeef.SourceData_PastureBeef_CrudeProteinContent_Data(), Table_SourceData_PastureBeef_CrudeProtein[[#Headers],[State]], 0)</f>
        <v>n/a</v>
      </c>
      <c r="F323" s="30" cm="1">
        <f t="array" ref="F323">Common_InputFunctions.Utility_DisplayArrayInTable(SourceData_PastureBeef.SourceData_PastureBeef_CrudeProteinContent_Data(), Table_SourceData_PastureBeef_CrudeProtein[[#Headers],[State]], 0)</f>
        <v>0.16</v>
      </c>
      <c r="G323" s="30" cm="1">
        <f t="array" ref="G323">Common_InputFunctions.Utility_DisplayArrayInTable(SourceData_PastureBeef.SourceData_PastureBeef_CrudeProteinContent_Data(), Table_SourceData_PastureBeef_CrudeProtein[[#Headers],[State]], 0)</f>
        <v>7.0000000000000007E-2</v>
      </c>
      <c r="H323" s="30" cm="1">
        <f t="array" ref="H323">Common_InputFunctions.Utility_DisplayArrayInTable(SourceData_PastureBeef.SourceData_PastureBeef_CrudeProteinContent_Data(), Table_SourceData_PastureBeef_CrudeProtein[[#Headers],[State]], 0)</f>
        <v>0.09</v>
      </c>
      <c r="I323" s="30" cm="1">
        <f t="array" ref="I323">Common_InputFunctions.Utility_DisplayArrayInTable(SourceData_PastureBeef.SourceData_PastureBeef_CrudeProteinContent_Data(), Table_SourceData_PastureBeef_CrudeProtein[[#Headers],[State]], 0)</f>
        <v>0.2</v>
      </c>
      <c r="M323" s="1"/>
    </row>
    <row r="324" spans="4:13" x14ac:dyDescent="0.25">
      <c r="D324" s="30" t="str" cm="1">
        <f t="array" ref="D324">Common_InputFunctions.Utility_DisplayArrayInTable(SourceData_PastureBeef.SourceData_PastureBeef_CrudeProteinContent_Data(), Table_SourceData_PastureBeef_CrudeProtein[[#Headers],[State]], 0)</f>
        <v>TAS</v>
      </c>
      <c r="E324" s="30" t="str" cm="1">
        <f t="array" ref="E324">Common_InputFunctions.Utility_DisplayArrayInTable(SourceData_PastureBeef.SourceData_PastureBeef_CrudeProteinContent_Data(), Table_SourceData_PastureBeef_CrudeProtein[[#Headers],[State]], 0)</f>
        <v>n/a</v>
      </c>
      <c r="F324" s="30" cm="1">
        <f t="array" ref="F324">Common_InputFunctions.Utility_DisplayArrayInTable(SourceData_PastureBeef.SourceData_PastureBeef_CrudeProteinContent_Data(), Table_SourceData_PastureBeef_CrudeProtein[[#Headers],[State]], 0)</f>
        <v>0.2</v>
      </c>
      <c r="G324" s="30" cm="1">
        <f t="array" ref="G324">Common_InputFunctions.Utility_DisplayArrayInTable(SourceData_PastureBeef.SourceData_PastureBeef_CrudeProteinContent_Data(), Table_SourceData_PastureBeef_CrudeProtein[[#Headers],[State]], 0)</f>
        <v>0.1</v>
      </c>
      <c r="H324" s="30" cm="1">
        <f t="array" ref="H324">Common_InputFunctions.Utility_DisplayArrayInTable(SourceData_PastureBeef.SourceData_PastureBeef_CrudeProteinContent_Data(), Table_SourceData_PastureBeef_CrudeProtein[[#Headers],[State]], 0)</f>
        <v>0.16</v>
      </c>
      <c r="I324" s="30" cm="1">
        <f t="array" ref="I324">Common_InputFunctions.Utility_DisplayArrayInTable(SourceData_PastureBeef.SourceData_PastureBeef_CrudeProteinContent_Data(), Table_SourceData_PastureBeef_CrudeProtein[[#Headers],[State]], 0)</f>
        <v>0.2</v>
      </c>
      <c r="M324" s="1"/>
    </row>
    <row r="325" spans="4:13" x14ac:dyDescent="0.25">
      <c r="D325" s="30" t="str" cm="1">
        <f t="array" ref="D325">Common_InputFunctions.Utility_DisplayArrayInTable(SourceData_PastureBeef.SourceData_PastureBeef_CrudeProteinContent_Data(), Table_SourceData_PastureBeef_CrudeProtein[[#Headers],[State]], 0)</f>
        <v>VIC</v>
      </c>
      <c r="E325" s="30" t="str" cm="1">
        <f t="array" ref="E325">Common_InputFunctions.Utility_DisplayArrayInTable(SourceData_PastureBeef.SourceData_PastureBeef_CrudeProteinContent_Data(), Table_SourceData_PastureBeef_CrudeProtein[[#Headers],[State]], 0)</f>
        <v>n/a</v>
      </c>
      <c r="F325" s="30" cm="1">
        <f t="array" ref="F325">Common_InputFunctions.Utility_DisplayArrayInTable(SourceData_PastureBeef.SourceData_PastureBeef_CrudeProteinContent_Data(), Table_SourceData_PastureBeef_CrudeProtein[[#Headers],[State]], 0)</f>
        <v>0.25</v>
      </c>
      <c r="G325" s="30" cm="1">
        <f t="array" ref="G325">Common_InputFunctions.Utility_DisplayArrayInTable(SourceData_PastureBeef.SourceData_PastureBeef_CrudeProteinContent_Data(), Table_SourceData_PastureBeef_CrudeProtein[[#Headers],[State]], 0)</f>
        <v>7.0000000000000007E-2</v>
      </c>
      <c r="H325" s="30" cm="1">
        <f t="array" ref="H325">Common_InputFunctions.Utility_DisplayArrayInTable(SourceData_PastureBeef.SourceData_PastureBeef_CrudeProteinContent_Data(), Table_SourceData_PastureBeef_CrudeProtein[[#Headers],[State]], 0)</f>
        <v>0.1</v>
      </c>
      <c r="I325" s="30" cm="1">
        <f t="array" ref="I325">Common_InputFunctions.Utility_DisplayArrayInTable(SourceData_PastureBeef.SourceData_PastureBeef_CrudeProteinContent_Data(), Table_SourceData_PastureBeef_CrudeProtein[[#Headers],[State]], 0)</f>
        <v>0.21</v>
      </c>
      <c r="M325" s="1"/>
    </row>
    <row r="326" spans="4:13" x14ac:dyDescent="0.25">
      <c r="D326" s="30" t="str" cm="1">
        <f t="array" ref="D326">Common_InputFunctions.Utility_DisplayArrayInTable(SourceData_PastureBeef.SourceData_PastureBeef_CrudeProteinContent_Data(), Table_SourceData_PastureBeef_CrudeProtein[[#Headers],[State]], 0)</f>
        <v>WA</v>
      </c>
      <c r="E326" s="30" t="str" cm="1">
        <f t="array" ref="E326">Common_InputFunctions.Utility_DisplayArrayInTable(SourceData_PastureBeef.SourceData_PastureBeef_CrudeProteinContent_Data(), Table_SourceData_PastureBeef_CrudeProtein[[#Headers],[State]], 0)</f>
        <v>South West</v>
      </c>
      <c r="F326" s="30" cm="1">
        <f t="array" ref="F326">Common_InputFunctions.Utility_DisplayArrayInTable(SourceData_PastureBeef.SourceData_PastureBeef_CrudeProteinContent_Data(), Table_SourceData_PastureBeef_CrudeProtein[[#Headers],[State]], 0)</f>
        <v>0.2</v>
      </c>
      <c r="G326" s="30" cm="1">
        <f t="array" ref="G326">Common_InputFunctions.Utility_DisplayArrayInTable(SourceData_PastureBeef.SourceData_PastureBeef_CrudeProteinContent_Data(), Table_SourceData_PastureBeef_CrudeProtein[[#Headers],[State]], 0)</f>
        <v>0.09</v>
      </c>
      <c r="H326" s="30" cm="1">
        <f t="array" ref="H326">Common_InputFunctions.Utility_DisplayArrayInTable(SourceData_PastureBeef.SourceData_PastureBeef_CrudeProteinContent_Data(), Table_SourceData_PastureBeef_CrudeProtein[[#Headers],[State]], 0)</f>
        <v>0.06</v>
      </c>
      <c r="I326" s="30" cm="1">
        <f t="array" ref="I326">Common_InputFunctions.Utility_DisplayArrayInTable(SourceData_PastureBeef.SourceData_PastureBeef_CrudeProteinContent_Data(), Table_SourceData_PastureBeef_CrudeProtein[[#Headers],[State]], 0)</f>
        <v>0.2</v>
      </c>
      <c r="M326" s="1"/>
    </row>
    <row r="327" spans="4:13" x14ac:dyDescent="0.25">
      <c r="D327" s="30" t="str" cm="1">
        <f t="array" ref="D327">Common_InputFunctions.Utility_DisplayArrayInTable(SourceData_PastureBeef.SourceData_PastureBeef_CrudeProteinContent_Data(), Table_SourceData_PastureBeef_CrudeProtein[[#Headers],[State]], 0)</f>
        <v>WA</v>
      </c>
      <c r="E327" s="30" t="str" cm="1">
        <f t="array" ref="E327">Common_InputFunctions.Utility_DisplayArrayInTable(SourceData_PastureBeef.SourceData_PastureBeef_CrudeProteinContent_Data(), Table_SourceData_PastureBeef_CrudeProtein[[#Headers],[State]], 0)</f>
        <v>Pilbara</v>
      </c>
      <c r="F327" s="30" cm="1">
        <f t="array" ref="F327">Common_InputFunctions.Utility_DisplayArrayInTable(SourceData_PastureBeef.SourceData_PastureBeef_CrudeProteinContent_Data(), Table_SourceData_PastureBeef_CrudeProtein[[#Headers],[State]], 0)</f>
        <v>0.04</v>
      </c>
      <c r="G327" s="30" cm="1">
        <f t="array" ref="G327">Common_InputFunctions.Utility_DisplayArrayInTable(SourceData_PastureBeef.SourceData_PastureBeef_CrudeProteinContent_Data(), Table_SourceData_PastureBeef_CrudeProtein[[#Headers],[State]], 0)</f>
        <v>0.12</v>
      </c>
      <c r="H327" s="30" cm="1">
        <f t="array" ref="H327">Common_InputFunctions.Utility_DisplayArrayInTable(SourceData_PastureBeef.SourceData_PastureBeef_CrudeProteinContent_Data(), Table_SourceData_PastureBeef_CrudeProtein[[#Headers],[State]], 0)</f>
        <v>0.09</v>
      </c>
      <c r="I327" s="30" cm="1">
        <f t="array" ref="I327">Common_InputFunctions.Utility_DisplayArrayInTable(SourceData_PastureBeef.SourceData_PastureBeef_CrudeProteinContent_Data(), Table_SourceData_PastureBeef_CrudeProtein[[#Headers],[State]], 0)</f>
        <v>0.06</v>
      </c>
      <c r="M327" s="1"/>
    </row>
    <row r="328" spans="4:13" x14ac:dyDescent="0.25">
      <c r="D328" s="30" t="str" cm="1">
        <f t="array" ref="D328">Common_InputFunctions.Utility_DisplayArrayInTable(SourceData_PastureBeef.SourceData_PastureBeef_CrudeProteinContent_Data(), Table_SourceData_PastureBeef_CrudeProtein[[#Headers],[State]], 0)</f>
        <v>WA</v>
      </c>
      <c r="E328" s="30" t="str" cm="1">
        <f t="array" ref="E328">Common_InputFunctions.Utility_DisplayArrayInTable(SourceData_PastureBeef.SourceData_PastureBeef_CrudeProteinContent_Data(), Table_SourceData_PastureBeef_CrudeProtein[[#Headers],[State]], 0)</f>
        <v>Kimberley</v>
      </c>
      <c r="F328" s="30" cm="1">
        <f t="array" ref="F328">Common_InputFunctions.Utility_DisplayArrayInTable(SourceData_PastureBeef.SourceData_PastureBeef_CrudeProteinContent_Data(), Table_SourceData_PastureBeef_CrudeProtein[[#Headers],[State]], 0)</f>
        <v>0.04</v>
      </c>
      <c r="G328" s="30" cm="1">
        <f t="array" ref="G328">Common_InputFunctions.Utility_DisplayArrayInTable(SourceData_PastureBeef.SourceData_PastureBeef_CrudeProteinContent_Data(), Table_SourceData_PastureBeef_CrudeProtein[[#Headers],[State]], 0)</f>
        <v>0.12</v>
      </c>
      <c r="H328" s="30" cm="1">
        <f t="array" ref="H328">Common_InputFunctions.Utility_DisplayArrayInTable(SourceData_PastureBeef.SourceData_PastureBeef_CrudeProteinContent_Data(), Table_SourceData_PastureBeef_CrudeProtein[[#Headers],[State]], 0)</f>
        <v>0.09</v>
      </c>
      <c r="I328" s="30" cm="1">
        <f t="array" ref="I328">Common_InputFunctions.Utility_DisplayArrayInTable(SourceData_PastureBeef.SourceData_PastureBeef_CrudeProteinContent_Data(), Table_SourceData_PastureBeef_CrudeProtein[[#Headers],[State]], 0)</f>
        <v>0.06</v>
      </c>
      <c r="M328" s="1"/>
    </row>
    <row r="329" spans="4:13" x14ac:dyDescent="0.25">
      <c r="M329" s="1"/>
    </row>
    <row r="330" spans="4:13" x14ac:dyDescent="0.25">
      <c r="M330" s="1"/>
    </row>
    <row r="331" spans="4:13" ht="23.25" x14ac:dyDescent="0.25">
      <c r="D331" s="2" t="str" cm="1">
        <f t="array" ref="D331">SourceData_PastureBeef.SourceData_PastureBeef_FeedAdjustmentAndMilkProduction_Title()</f>
        <v>Beef pasture cattle - Feed intake adjustment and milk production (kg/head/day)</v>
      </c>
      <c r="M331" s="1"/>
    </row>
    <row r="332" spans="4:13" x14ac:dyDescent="0.25">
      <c r="D332" s="27" t="str" cm="1">
        <f t="array" ref="D332">SourceData_PastureBeef.SourceData_PastureBeef_FeedAdjustmentAndMilkProduction_Source()</f>
        <v>VEERG 2026: Table A.1.2.7</v>
      </c>
      <c r="M332" s="1"/>
    </row>
    <row r="333" spans="4:13" x14ac:dyDescent="0.25">
      <c r="D333" s="1" t="str" cm="1">
        <f t="array" ref="D333">SourceData_PastureBeef.SourceData_PastureBeef_FeedAdjustmentAndMilkProduction_Variable()</f>
        <v>MCjk=1,3,6; DMPjk=5</v>
      </c>
      <c r="I333" s="36" t="s">
        <v>376</v>
      </c>
      <c r="M333" s="1"/>
    </row>
    <row r="334" spans="4:13" x14ac:dyDescent="0.25">
      <c r="D334" s="30" t="s">
        <v>377</v>
      </c>
      <c r="E334" s="30" t="s">
        <v>78</v>
      </c>
      <c r="F334" s="30" t="s">
        <v>378</v>
      </c>
      <c r="G334" s="30" t="s">
        <v>379</v>
      </c>
      <c r="I334" s="30" t="s">
        <v>377</v>
      </c>
      <c r="J334" s="30" t="s">
        <v>78</v>
      </c>
      <c r="K334" s="30" t="s">
        <v>378</v>
      </c>
      <c r="L334" s="30" t="s">
        <v>379</v>
      </c>
      <c r="M334" s="1"/>
    </row>
    <row r="335" spans="4:13" x14ac:dyDescent="0.25">
      <c r="D335" s="30" t="str" cm="1">
        <f t="array" ref="D335">Common_InputFunctions.Utility_DisplayArrayInTable(SourceData_PastureBeef.SourceData_PastureBeef_FeedAdjustmentAndMilkProduction_Data(), Table_SourceData_PastureBeef_FeedIntakeAdjustment[[#Headers],[Breed]], 0)</f>
        <v>Hereford or Shorthorn breeds</v>
      </c>
      <c r="E335" s="30" t="str" cm="1">
        <f t="array" ref="E335">Common_InputFunctions.Utility_DisplayArrayInTable(SourceData_PastureBeef.SourceData_PastureBeef_FeedAdjustmentAndMilkProduction_Data(), Table_SourceData_PastureBeef_FeedIntakeAdjustment[[#Headers],[Breed]], 0)</f>
        <v>Spring</v>
      </c>
      <c r="F335" s="30" cm="1">
        <f t="array" ref="F335">Common_InputFunctions.Utility_DisplayArrayInTable(SourceData_PastureBeef.SourceData_PastureBeef_FeedAdjustmentAndMilkProduction_Data(), Table_SourceData_PastureBeef_FeedIntakeAdjustment[[#Headers],[Breed]], 0)</f>
        <v>1.3</v>
      </c>
      <c r="G335" s="30" cm="1">
        <f t="array" ref="G335">Common_InputFunctions.Utility_DisplayArrayInTable(SourceData_PastureBeef.SourceData_PastureBeef_FeedAdjustmentAndMilkProduction_Data(), Table_SourceData_PastureBeef_FeedIntakeAdjustment[[#Headers],[Breed]], 0)</f>
        <v>6</v>
      </c>
      <c r="I335" s="30" t="str">
        <f>Table_SourceData_PastureBeef_FeedIntakeAdjustment[[#This Row],[Breed]]</f>
        <v>Hereford or Shorthorn breeds</v>
      </c>
      <c r="J335" s="30" t="s">
        <v>216</v>
      </c>
      <c r="K335" s="30">
        <f>Table_SourceData_PastureBeef_FeedIntakeAdjustment[[#This Row],[Feed adjustment]]</f>
        <v>1.3</v>
      </c>
      <c r="L335" s="30">
        <f>Table_SourceData_PastureBeef_FeedIntakeAdjustment[[#This Row],[Milk intake/production]]</f>
        <v>6</v>
      </c>
      <c r="M335" s="1"/>
    </row>
    <row r="336" spans="4:13" x14ac:dyDescent="0.25">
      <c r="D336" s="1" t="str" cm="1">
        <f t="array" ref="D336">Common_InputFunctions.Utility_DisplayArrayInTable(SourceData_PastureBeef.SourceData_PastureBeef_FeedAdjustmentAndMilkProduction_Data(), Table_SourceData_PastureBeef_FeedIntakeAdjustment[[#Headers],[Breed]], 0)</f>
        <v>Hereford or Shorthorn breeds</v>
      </c>
      <c r="E336" s="30" t="str" cm="1">
        <f t="array" ref="E336">Common_InputFunctions.Utility_DisplayArrayInTable(SourceData_PastureBeef.SourceData_PastureBeef_FeedAdjustmentAndMilkProduction_Data(), Table_SourceData_PastureBeef_FeedIntakeAdjustment[[#Headers],[Breed]], 0)</f>
        <v>Summer</v>
      </c>
      <c r="F336" s="30" cm="1">
        <f t="array" ref="F336">Common_InputFunctions.Utility_DisplayArrayInTable(SourceData_PastureBeef.SourceData_PastureBeef_FeedAdjustmentAndMilkProduction_Data(), Table_SourceData_PastureBeef_FeedIntakeAdjustment[[#Headers],[Breed]], 0)</f>
        <v>1.1000000000000001</v>
      </c>
      <c r="G336" s="30" cm="1">
        <f t="array" ref="G336">Common_InputFunctions.Utility_DisplayArrayInTable(SourceData_PastureBeef.SourceData_PastureBeef_FeedAdjustmentAndMilkProduction_Data(), Table_SourceData_PastureBeef_FeedIntakeAdjustment[[#Headers],[Breed]], 0)</f>
        <v>4</v>
      </c>
      <c r="I336" s="1" t="str">
        <f>Table_SourceData_PastureBeef_FeedIntakeAdjustment[[#This Row],[Breed]]</f>
        <v>Hereford or Shorthorn breeds</v>
      </c>
      <c r="J336" s="30" t="s">
        <v>380</v>
      </c>
      <c r="K336" s="30">
        <f>Table_SourceData_PastureBeef_FeedIntakeAdjustment[[#This Row],[Feed adjustment]]</f>
        <v>1.1000000000000001</v>
      </c>
      <c r="L336" s="30">
        <f>Table_SourceData_PastureBeef_FeedIntakeAdjustment[[#This Row],[Milk intake/production]]</f>
        <v>4</v>
      </c>
      <c r="M336" s="1"/>
    </row>
    <row r="337" spans="4:13" x14ac:dyDescent="0.25">
      <c r="D337" s="1" t="str" cm="1">
        <f t="array" ref="D337">Common_InputFunctions.Utility_DisplayArrayInTable(SourceData_PastureBeef.SourceData_PastureBeef_FeedAdjustmentAndMilkProduction_Data(), Table_SourceData_PastureBeef_FeedIntakeAdjustment[[#Headers],[Breed]], 0)</f>
        <v>Hereford or Shorthorn breeds</v>
      </c>
      <c r="E337" s="30" t="str" cm="1">
        <f t="array" ref="E337">Common_InputFunctions.Utility_DisplayArrayInTable(SourceData_PastureBeef.SourceData_PastureBeef_FeedAdjustmentAndMilkProduction_Data(), Table_SourceData_PastureBeef_FeedIntakeAdjustment[[#Headers],[Breed]], 0)</f>
        <v>Autumn</v>
      </c>
      <c r="F337" s="30" cm="1">
        <f t="array" ref="F337">Common_InputFunctions.Utility_DisplayArrayInTable(SourceData_PastureBeef.SourceData_PastureBeef_FeedAdjustmentAndMilkProduction_Data(), Table_SourceData_PastureBeef_FeedIntakeAdjustment[[#Headers],[Breed]], 0)</f>
        <v>0</v>
      </c>
      <c r="G337" s="30" cm="1">
        <f t="array" ref="G337">Common_InputFunctions.Utility_DisplayArrayInTable(SourceData_PastureBeef.SourceData_PastureBeef_FeedAdjustmentAndMilkProduction_Data(), Table_SourceData_PastureBeef_FeedIntakeAdjustment[[#Headers],[Breed]], 0)</f>
        <v>0</v>
      </c>
      <c r="I337" s="1" t="str">
        <f>D340</f>
        <v>Northern Brahman cross breed</v>
      </c>
      <c r="J337" s="30" t="s">
        <v>216</v>
      </c>
      <c r="K337" s="30">
        <f>F340</f>
        <v>1.3</v>
      </c>
      <c r="L337" s="30">
        <f t="shared" ref="L337:L338" si="51">G340</f>
        <v>4</v>
      </c>
      <c r="M337" s="1"/>
    </row>
    <row r="338" spans="4:13" x14ac:dyDescent="0.25">
      <c r="D338" s="1" t="str" cm="1">
        <f t="array" ref="D338">Common_InputFunctions.Utility_DisplayArrayInTable(SourceData_PastureBeef.SourceData_PastureBeef_FeedAdjustmentAndMilkProduction_Data(), Table_SourceData_PastureBeef_FeedIntakeAdjustment[[#Headers],[Breed]], 0)</f>
        <v>Hereford or Shorthorn breeds</v>
      </c>
      <c r="E338" s="30" t="str" cm="1">
        <f t="array" ref="E338">Common_InputFunctions.Utility_DisplayArrayInTable(SourceData_PastureBeef.SourceData_PastureBeef_FeedAdjustmentAndMilkProduction_Data(), Table_SourceData_PastureBeef_FeedIntakeAdjustment[[#Headers],[Breed]], 0)</f>
        <v>Winter</v>
      </c>
      <c r="F338" s="30" cm="1">
        <f t="array" ref="F338">Common_InputFunctions.Utility_DisplayArrayInTable(SourceData_PastureBeef.SourceData_PastureBeef_FeedAdjustmentAndMilkProduction_Data(), Table_SourceData_PastureBeef_FeedIntakeAdjustment[[#Headers],[Breed]], 0)</f>
        <v>0</v>
      </c>
      <c r="G338" s="30" cm="1">
        <f t="array" ref="G338">Common_InputFunctions.Utility_DisplayArrayInTable(SourceData_PastureBeef.SourceData_PastureBeef_FeedAdjustmentAndMilkProduction_Data(), Table_SourceData_PastureBeef_FeedIntakeAdjustment[[#Headers],[Breed]], 0)</f>
        <v>0</v>
      </c>
      <c r="I338" s="1" t="str">
        <f>D341</f>
        <v>Northern Brahman cross breed</v>
      </c>
      <c r="J338" s="30" t="s">
        <v>380</v>
      </c>
      <c r="K338" s="30">
        <f t="shared" ref="K338" si="52">F341</f>
        <v>1.1000000000000001</v>
      </c>
      <c r="L338" s="30">
        <f t="shared" si="51"/>
        <v>3</v>
      </c>
      <c r="M338" s="1"/>
    </row>
    <row r="339" spans="4:13" x14ac:dyDescent="0.25">
      <c r="D339" s="1" t="str" cm="1">
        <f t="array" ref="D339">Common_InputFunctions.Utility_DisplayArrayInTable(SourceData_PastureBeef.SourceData_PastureBeef_FeedAdjustmentAndMilkProduction_Data(), Table_SourceData_PastureBeef_FeedIntakeAdjustment[[#Headers],[Breed]], 0)</f>
        <v>Northern Brahman cross breed</v>
      </c>
      <c r="E339" s="30" t="str" cm="1">
        <f t="array" ref="E339">Common_InputFunctions.Utility_DisplayArrayInTable(SourceData_PastureBeef.SourceData_PastureBeef_FeedAdjustmentAndMilkProduction_Data(), Table_SourceData_PastureBeef_FeedIntakeAdjustment[[#Headers],[Breed]], 0)</f>
        <v>Spring</v>
      </c>
      <c r="F339" s="30" cm="1">
        <f t="array" ref="F339">Common_InputFunctions.Utility_DisplayArrayInTable(SourceData_PastureBeef.SourceData_PastureBeef_FeedAdjustmentAndMilkProduction_Data(), Table_SourceData_PastureBeef_FeedIntakeAdjustment[[#Headers],[Breed]], 0)</f>
        <v>0</v>
      </c>
      <c r="G339" s="30" cm="1">
        <f t="array" ref="G339">Common_InputFunctions.Utility_DisplayArrayInTable(SourceData_PastureBeef.SourceData_PastureBeef_FeedAdjustmentAndMilkProduction_Data(), Table_SourceData_PastureBeef_FeedIntakeAdjustment[[#Headers],[Breed]], 0)</f>
        <v>0</v>
      </c>
      <c r="M339" s="1"/>
    </row>
    <row r="340" spans="4:13" x14ac:dyDescent="0.25">
      <c r="D340" s="1" t="str" cm="1">
        <f t="array" ref="D340">Common_InputFunctions.Utility_DisplayArrayInTable(SourceData_PastureBeef.SourceData_PastureBeef_FeedAdjustmentAndMilkProduction_Data(), Table_SourceData_PastureBeef_FeedIntakeAdjustment[[#Headers],[Breed]], 0)</f>
        <v>Northern Brahman cross breed</v>
      </c>
      <c r="E340" s="30" t="str" cm="1">
        <f t="array" ref="E340">Common_InputFunctions.Utility_DisplayArrayInTable(SourceData_PastureBeef.SourceData_PastureBeef_FeedAdjustmentAndMilkProduction_Data(), Table_SourceData_PastureBeef_FeedIntakeAdjustment[[#Headers],[Breed]], 0)</f>
        <v>Summer</v>
      </c>
      <c r="F340" s="30" cm="1">
        <f t="array" ref="F340">Common_InputFunctions.Utility_DisplayArrayInTable(SourceData_PastureBeef.SourceData_PastureBeef_FeedAdjustmentAndMilkProduction_Data(), Table_SourceData_PastureBeef_FeedIntakeAdjustment[[#Headers],[Breed]], 0)</f>
        <v>1.3</v>
      </c>
      <c r="G340" s="30" cm="1">
        <f t="array" ref="G340">Common_InputFunctions.Utility_DisplayArrayInTable(SourceData_PastureBeef.SourceData_PastureBeef_FeedAdjustmentAndMilkProduction_Data(), Table_SourceData_PastureBeef_FeedIntakeAdjustment[[#Headers],[Breed]], 0)</f>
        <v>4</v>
      </c>
      <c r="M340" s="1"/>
    </row>
    <row r="341" spans="4:13" x14ac:dyDescent="0.25">
      <c r="D341" s="1" t="str" cm="1">
        <f t="array" ref="D341">Common_InputFunctions.Utility_DisplayArrayInTable(SourceData_PastureBeef.SourceData_PastureBeef_FeedAdjustmentAndMilkProduction_Data(), Table_SourceData_PastureBeef_FeedIntakeAdjustment[[#Headers],[Breed]], 0)</f>
        <v>Northern Brahman cross breed</v>
      </c>
      <c r="E341" s="30" t="str" cm="1">
        <f t="array" ref="E341">Common_InputFunctions.Utility_DisplayArrayInTable(SourceData_PastureBeef.SourceData_PastureBeef_FeedAdjustmentAndMilkProduction_Data(), Table_SourceData_PastureBeef_FeedIntakeAdjustment[[#Headers],[Breed]], 0)</f>
        <v>Autumn</v>
      </c>
      <c r="F341" s="30" cm="1">
        <f t="array" ref="F341">Common_InputFunctions.Utility_DisplayArrayInTable(SourceData_PastureBeef.SourceData_PastureBeef_FeedAdjustmentAndMilkProduction_Data(), Table_SourceData_PastureBeef_FeedIntakeAdjustment[[#Headers],[Breed]], 0)</f>
        <v>1.1000000000000001</v>
      </c>
      <c r="G341" s="30" cm="1">
        <f t="array" ref="G341">Common_InputFunctions.Utility_DisplayArrayInTable(SourceData_PastureBeef.SourceData_PastureBeef_FeedAdjustmentAndMilkProduction_Data(), Table_SourceData_PastureBeef_FeedIntakeAdjustment[[#Headers],[Breed]], 0)</f>
        <v>3</v>
      </c>
      <c r="M341" s="1"/>
    </row>
    <row r="342" spans="4:13" x14ac:dyDescent="0.25">
      <c r="D342" s="1" t="str" cm="1">
        <f t="array" ref="D342">Common_InputFunctions.Utility_DisplayArrayInTable(SourceData_PastureBeef.SourceData_PastureBeef_FeedAdjustmentAndMilkProduction_Data(), Table_SourceData_PastureBeef_FeedIntakeAdjustment[[#Headers],[Breed]], 0)</f>
        <v>Northern Brahman cross breed</v>
      </c>
      <c r="E342" s="30" t="str" cm="1">
        <f t="array" ref="E342">Common_InputFunctions.Utility_DisplayArrayInTable(SourceData_PastureBeef.SourceData_PastureBeef_FeedAdjustmentAndMilkProduction_Data(), Table_SourceData_PastureBeef_FeedIntakeAdjustment[[#Headers],[Breed]], 0)</f>
        <v>Winter</v>
      </c>
      <c r="F342" s="30" cm="1">
        <f t="array" ref="F342">Common_InputFunctions.Utility_DisplayArrayInTable(SourceData_PastureBeef.SourceData_PastureBeef_FeedAdjustmentAndMilkProduction_Data(), Table_SourceData_PastureBeef_FeedIntakeAdjustment[[#Headers],[Breed]], 0)</f>
        <v>0</v>
      </c>
      <c r="G342" s="30" cm="1">
        <f t="array" ref="G342">Common_InputFunctions.Utility_DisplayArrayInTable(SourceData_PastureBeef.SourceData_PastureBeef_FeedAdjustmentAndMilkProduction_Data(), Table_SourceData_PastureBeef_FeedIntakeAdjustment[[#Headers],[Breed]], 0)</f>
        <v>0</v>
      </c>
      <c r="M342" s="1"/>
    </row>
    <row r="343" spans="4:13" x14ac:dyDescent="0.25">
      <c r="M343" s="1"/>
    </row>
    <row r="344" spans="4:13" x14ac:dyDescent="0.25">
      <c r="M344" s="1"/>
    </row>
    <row r="345" spans="4:13" ht="23.25" x14ac:dyDescent="0.25">
      <c r="D345" s="2" t="str" cm="1">
        <f t="array" ref="D345">SourceData_PastureBeef.SourceData_PastureBeef_StandardReferenceWeights_Title()</f>
        <v>Beef pasture cattle - Standard reference weights (kg) (SRWk)</v>
      </c>
      <c r="M345" s="1"/>
    </row>
    <row r="346" spans="4:13" x14ac:dyDescent="0.25">
      <c r="D346" s="27" t="str" cm="1">
        <f t="array" ref="D346">SourceData_PastureBeef.SourceData_PastureBeef_StandardReferenceWeights_Source()</f>
        <v>VEERG 2026: Table A.1.2.8</v>
      </c>
      <c r="M346" s="1"/>
    </row>
    <row r="347" spans="4:13" x14ac:dyDescent="0.25">
      <c r="D347" s="1" t="str" cm="1">
        <f t="array" ref="D347">SourceData_PastureBeef.SourceData_PastureBeef_StandardReferenceWeights_Variable()</f>
        <v>SRWk</v>
      </c>
      <c r="M347" s="1"/>
    </row>
    <row r="348" spans="4:13" x14ac:dyDescent="0.25">
      <c r="D348" s="15" t="str" cm="1">
        <f t="array" ref="D348">SourceData_PastureBeef.SourceData_PastureBeef_StandardReferenceWeights_Unit()</f>
        <v>kg</v>
      </c>
      <c r="M348" s="1"/>
    </row>
    <row r="349" spans="4:13" x14ac:dyDescent="0.25">
      <c r="D349" s="36" t="str" cm="1">
        <f t="array" ref="D349">SourceData_PastureBeef.SourceData_PastureBeef_StandardReferenceWeights_Variation()</f>
        <v>VARIATION ON SOURCE: Split ACT and NSW into separate rows. Added 'State abbreviation' column to aid lookup.</v>
      </c>
      <c r="M349" s="1"/>
    </row>
    <row r="350" spans="4:13" x14ac:dyDescent="0.25">
      <c r="D350" s="30" t="s">
        <v>107</v>
      </c>
      <c r="E350" s="30" t="s">
        <v>381</v>
      </c>
      <c r="F350" s="30" t="s">
        <v>382</v>
      </c>
      <c r="G350" s="30" t="s">
        <v>362</v>
      </c>
      <c r="H350" s="30" t="s">
        <v>363</v>
      </c>
      <c r="I350" s="30" t="s">
        <v>383</v>
      </c>
      <c r="J350" s="30" t="s">
        <v>366</v>
      </c>
      <c r="K350" s="30" t="s">
        <v>373</v>
      </c>
      <c r="L350" s="30" t="s">
        <v>384</v>
      </c>
      <c r="M350" s="1"/>
    </row>
    <row r="351" spans="4:13" x14ac:dyDescent="0.25">
      <c r="D351" s="30" t="str" cm="1">
        <f t="array" ref="D351">Common_InputFunctions.Utility_DisplayArrayInTable(SourceData_PastureBeef.SourceData_PastureBeef_StandardReferenceWeights_Data(), Table_SourceData_PastureBeef_StandardReferenceWeights[[#Headers],[State]], 0)</f>
        <v>ACT</v>
      </c>
      <c r="E351" s="30" cm="1">
        <f t="array" ref="E351">Common_InputFunctions.Utility_DisplayArrayInTable(SourceData_PastureBeef.SourceData_PastureBeef_StandardReferenceWeights_Data(), Table_SourceData_PastureBeef_StandardReferenceWeights[[#Headers],[State]], 0)</f>
        <v>700</v>
      </c>
      <c r="F351" s="30" cm="1">
        <f t="array" ref="F351">Common_InputFunctions.Utility_DisplayArrayInTable(SourceData_PastureBeef.SourceData_PastureBeef_StandardReferenceWeights_Data(), Table_SourceData_PastureBeef_StandardReferenceWeights[[#Headers],[State]], 0)</f>
        <v>700</v>
      </c>
      <c r="G351" s="30" cm="1">
        <f t="array" ref="G351">Common_InputFunctions.Utility_DisplayArrayInTable(SourceData_PastureBeef.SourceData_PastureBeef_StandardReferenceWeights_Data(), Table_SourceData_PastureBeef_StandardReferenceWeights[[#Headers],[State]], 0)</f>
        <v>500</v>
      </c>
      <c r="H351" s="30" cm="1">
        <f t="array" ref="H351">Common_InputFunctions.Utility_DisplayArrayInTable(SourceData_PastureBeef.SourceData_PastureBeef_StandardReferenceWeights_Data(), Table_SourceData_PastureBeef_StandardReferenceWeights[[#Headers],[State]], 0)</f>
        <v>500</v>
      </c>
      <c r="I351" s="30" cm="1">
        <f t="array" ref="I351">Common_InputFunctions.Utility_DisplayArrayInTable(SourceData_PastureBeef.SourceData_PastureBeef_StandardReferenceWeights_Data(), Table_SourceData_PastureBeef_StandardReferenceWeights[[#Headers],[State]], 0)</f>
        <v>500</v>
      </c>
      <c r="J351" s="30" cm="1">
        <f t="array" ref="J351">Common_InputFunctions.Utility_DisplayArrayInTable(SourceData_PastureBeef.SourceData_PastureBeef_StandardReferenceWeights_Data(), Table_SourceData_PastureBeef_StandardReferenceWeights[[#Headers],[State]], 0)</f>
        <v>600</v>
      </c>
      <c r="K351" s="30" cm="1">
        <f t="array" ref="K351">Common_InputFunctions.Utility_DisplayArrayInTable(SourceData_PastureBeef.SourceData_PastureBeef_StandardReferenceWeights_Data(), Table_SourceData_PastureBeef_StandardReferenceWeights[[#Headers],[State]], 0)</f>
        <v>600</v>
      </c>
      <c r="L351" s="30" t="str" cm="1">
        <f t="array" ref="L351">Common_InputFunctions.Utility_DisplayArrayInTable(SourceData_PastureBeef.SourceData_PastureBeef_StandardReferenceWeights_Data(), Table_SourceData_PastureBeef_StandardReferenceWeights[[#Headers],[State]], 0)</f>
        <v>ACT</v>
      </c>
      <c r="M351" s="1"/>
    </row>
    <row r="352" spans="4:13" x14ac:dyDescent="0.25">
      <c r="D352" s="1" t="str" cm="1">
        <f t="array" ref="D352">Common_InputFunctions.Utility_DisplayArrayInTable(SourceData_PastureBeef.SourceData_PastureBeef_StandardReferenceWeights_Data(), Table_SourceData_PastureBeef_StandardReferenceWeights[[#Headers],[State]], 0)</f>
        <v>NSW</v>
      </c>
      <c r="E352" s="30" cm="1">
        <f t="array" ref="E352">Common_InputFunctions.Utility_DisplayArrayInTable(SourceData_PastureBeef.SourceData_PastureBeef_StandardReferenceWeights_Data(), Table_SourceData_PastureBeef_StandardReferenceWeights[[#Headers],[State]], 0)</f>
        <v>700</v>
      </c>
      <c r="F352" s="30" cm="1">
        <f t="array" ref="F352">Common_InputFunctions.Utility_DisplayArrayInTable(SourceData_PastureBeef.SourceData_PastureBeef_StandardReferenceWeights_Data(), Table_SourceData_PastureBeef_StandardReferenceWeights[[#Headers],[State]], 0)</f>
        <v>700</v>
      </c>
      <c r="G352" s="30" cm="1">
        <f t="array" ref="G352">Common_InputFunctions.Utility_DisplayArrayInTable(SourceData_PastureBeef.SourceData_PastureBeef_StandardReferenceWeights_Data(), Table_SourceData_PastureBeef_StandardReferenceWeights[[#Headers],[State]], 0)</f>
        <v>500</v>
      </c>
      <c r="H352" s="30" cm="1">
        <f t="array" ref="H352">Common_InputFunctions.Utility_DisplayArrayInTable(SourceData_PastureBeef.SourceData_PastureBeef_StandardReferenceWeights_Data(), Table_SourceData_PastureBeef_StandardReferenceWeights[[#Headers],[State]], 0)</f>
        <v>500</v>
      </c>
      <c r="I352" s="30" cm="1">
        <f t="array" ref="I352">Common_InputFunctions.Utility_DisplayArrayInTable(SourceData_PastureBeef.SourceData_PastureBeef_StandardReferenceWeights_Data(), Table_SourceData_PastureBeef_StandardReferenceWeights[[#Headers],[State]], 0)</f>
        <v>500</v>
      </c>
      <c r="J352" s="30" cm="1">
        <f t="array" ref="J352">Common_InputFunctions.Utility_DisplayArrayInTable(SourceData_PastureBeef.SourceData_PastureBeef_StandardReferenceWeights_Data(), Table_SourceData_PastureBeef_StandardReferenceWeights[[#Headers],[State]], 0)</f>
        <v>600</v>
      </c>
      <c r="K352" s="30" cm="1">
        <f t="array" ref="K352">Common_InputFunctions.Utility_DisplayArrayInTable(SourceData_PastureBeef.SourceData_PastureBeef_StandardReferenceWeights_Data(), Table_SourceData_PastureBeef_StandardReferenceWeights[[#Headers],[State]], 0)</f>
        <v>600</v>
      </c>
      <c r="L352" s="30" t="str" cm="1">
        <f t="array" ref="L352">Common_InputFunctions.Utility_DisplayArrayInTable(SourceData_PastureBeef.SourceData_PastureBeef_StandardReferenceWeights_Data(), Table_SourceData_PastureBeef_StandardReferenceWeights[[#Headers],[State]], 0)</f>
        <v>NSW</v>
      </c>
      <c r="M352" s="1"/>
    </row>
    <row r="353" spans="4:15" x14ac:dyDescent="0.25">
      <c r="D353" s="1" t="str" cm="1">
        <f t="array" ref="D353">Common_InputFunctions.Utility_DisplayArrayInTable(SourceData_PastureBeef.SourceData_PastureBeef_StandardReferenceWeights_Data(), Table_SourceData_PastureBeef_StandardReferenceWeights[[#Headers],[State]], 0)</f>
        <v>Northern Territory</v>
      </c>
      <c r="E353" s="30" cm="1">
        <f t="array" ref="E353">Common_InputFunctions.Utility_DisplayArrayInTable(SourceData_PastureBeef.SourceData_PastureBeef_StandardReferenceWeights_Data(), Table_SourceData_PastureBeef_StandardReferenceWeights[[#Headers],[State]], 0)</f>
        <v>770</v>
      </c>
      <c r="F353" s="30" cm="1">
        <f t="array" ref="F353">Common_InputFunctions.Utility_DisplayArrayInTable(SourceData_PastureBeef.SourceData_PastureBeef_StandardReferenceWeights_Data(), Table_SourceData_PastureBeef_StandardReferenceWeights[[#Headers],[State]], 0)</f>
        <v>770</v>
      </c>
      <c r="G353" s="30" cm="1">
        <f t="array" ref="G353">Common_InputFunctions.Utility_DisplayArrayInTable(SourceData_PastureBeef.SourceData_PastureBeef_StandardReferenceWeights_Data(), Table_SourceData_PastureBeef_StandardReferenceWeights[[#Headers],[State]], 0)</f>
        <v>550</v>
      </c>
      <c r="H353" s="30" cm="1">
        <f t="array" ref="H353">Common_InputFunctions.Utility_DisplayArrayInTable(SourceData_PastureBeef.SourceData_PastureBeef_StandardReferenceWeights_Data(), Table_SourceData_PastureBeef_StandardReferenceWeights[[#Headers],[State]], 0)</f>
        <v>550</v>
      </c>
      <c r="I353" s="30" cm="1">
        <f t="array" ref="I353">Common_InputFunctions.Utility_DisplayArrayInTable(SourceData_PastureBeef.SourceData_PastureBeef_StandardReferenceWeights_Data(), Table_SourceData_PastureBeef_StandardReferenceWeights[[#Headers],[State]], 0)</f>
        <v>550</v>
      </c>
      <c r="J353" s="30" cm="1">
        <f t="array" ref="J353">Common_InputFunctions.Utility_DisplayArrayInTable(SourceData_PastureBeef.SourceData_PastureBeef_StandardReferenceWeights_Data(), Table_SourceData_PastureBeef_StandardReferenceWeights[[#Headers],[State]], 0)</f>
        <v>660</v>
      </c>
      <c r="K353" s="30" cm="1">
        <f t="array" ref="K353">Common_InputFunctions.Utility_DisplayArrayInTable(SourceData_PastureBeef.SourceData_PastureBeef_StandardReferenceWeights_Data(), Table_SourceData_PastureBeef_StandardReferenceWeights[[#Headers],[State]], 0)</f>
        <v>660</v>
      </c>
      <c r="L353" s="30" t="str" cm="1">
        <f t="array" ref="L353">Common_InputFunctions.Utility_DisplayArrayInTable(SourceData_PastureBeef.SourceData_PastureBeef_StandardReferenceWeights_Data(), Table_SourceData_PastureBeef_StandardReferenceWeights[[#Headers],[State]], 0)</f>
        <v>NT</v>
      </c>
      <c r="M353" s="1"/>
    </row>
    <row r="354" spans="4:15" x14ac:dyDescent="0.25">
      <c r="D354" s="1" t="str" cm="1">
        <f t="array" ref="D354">Common_InputFunctions.Utility_DisplayArrayInTable(SourceData_PastureBeef.SourceData_PastureBeef_StandardReferenceWeights_Data(), Table_SourceData_PastureBeef_StandardReferenceWeights[[#Headers],[State]], 0)</f>
        <v>Queensland</v>
      </c>
      <c r="E354" s="30" cm="1">
        <f t="array" ref="E354">Common_InputFunctions.Utility_DisplayArrayInTable(SourceData_PastureBeef.SourceData_PastureBeef_StandardReferenceWeights_Data(), Table_SourceData_PastureBeef_StandardReferenceWeights[[#Headers],[State]], 0)</f>
        <v>770</v>
      </c>
      <c r="F354" s="30" cm="1">
        <f t="array" ref="F354">Common_InputFunctions.Utility_DisplayArrayInTable(SourceData_PastureBeef.SourceData_PastureBeef_StandardReferenceWeights_Data(), Table_SourceData_PastureBeef_StandardReferenceWeights[[#Headers],[State]], 0)</f>
        <v>770</v>
      </c>
      <c r="G354" s="30" cm="1">
        <f t="array" ref="G354">Common_InputFunctions.Utility_DisplayArrayInTable(SourceData_PastureBeef.SourceData_PastureBeef_StandardReferenceWeights_Data(), Table_SourceData_PastureBeef_StandardReferenceWeights[[#Headers],[State]], 0)</f>
        <v>550</v>
      </c>
      <c r="H354" s="30" cm="1">
        <f t="array" ref="H354">Common_InputFunctions.Utility_DisplayArrayInTable(SourceData_PastureBeef.SourceData_PastureBeef_StandardReferenceWeights_Data(), Table_SourceData_PastureBeef_StandardReferenceWeights[[#Headers],[State]], 0)</f>
        <v>550</v>
      </c>
      <c r="I354" s="30" cm="1">
        <f t="array" ref="I354">Common_InputFunctions.Utility_DisplayArrayInTable(SourceData_PastureBeef.SourceData_PastureBeef_StandardReferenceWeights_Data(), Table_SourceData_PastureBeef_StandardReferenceWeights[[#Headers],[State]], 0)</f>
        <v>550</v>
      </c>
      <c r="J354" s="30" cm="1">
        <f t="array" ref="J354">Common_InputFunctions.Utility_DisplayArrayInTable(SourceData_PastureBeef.SourceData_PastureBeef_StandardReferenceWeights_Data(), Table_SourceData_PastureBeef_StandardReferenceWeights[[#Headers],[State]], 0)</f>
        <v>660</v>
      </c>
      <c r="K354" s="30" cm="1">
        <f t="array" ref="K354">Common_InputFunctions.Utility_DisplayArrayInTable(SourceData_PastureBeef.SourceData_PastureBeef_StandardReferenceWeights_Data(), Table_SourceData_PastureBeef_StandardReferenceWeights[[#Headers],[State]], 0)</f>
        <v>660</v>
      </c>
      <c r="L354" s="30" t="str" cm="1">
        <f t="array" ref="L354">Common_InputFunctions.Utility_DisplayArrayInTable(SourceData_PastureBeef.SourceData_PastureBeef_StandardReferenceWeights_Data(), Table_SourceData_PastureBeef_StandardReferenceWeights[[#Headers],[State]], 0)</f>
        <v>QLD</v>
      </c>
      <c r="M354" s="1"/>
    </row>
    <row r="355" spans="4:15" x14ac:dyDescent="0.25">
      <c r="D355" s="1" t="str" cm="1">
        <f t="array" ref="D355">Common_InputFunctions.Utility_DisplayArrayInTable(SourceData_PastureBeef.SourceData_PastureBeef_StandardReferenceWeights_Data(), Table_SourceData_PastureBeef_StandardReferenceWeights[[#Headers],[State]], 0)</f>
        <v>South Australia</v>
      </c>
      <c r="E355" s="30" cm="1">
        <f t="array" ref="E355">Common_InputFunctions.Utility_DisplayArrayInTable(SourceData_PastureBeef.SourceData_PastureBeef_StandardReferenceWeights_Data(), Table_SourceData_PastureBeef_StandardReferenceWeights[[#Headers],[State]], 0)</f>
        <v>770</v>
      </c>
      <c r="F355" s="30" cm="1">
        <f t="array" ref="F355">Common_InputFunctions.Utility_DisplayArrayInTable(SourceData_PastureBeef.SourceData_PastureBeef_StandardReferenceWeights_Data(), Table_SourceData_PastureBeef_StandardReferenceWeights[[#Headers],[State]], 0)</f>
        <v>770</v>
      </c>
      <c r="G355" s="30" cm="1">
        <f t="array" ref="G355">Common_InputFunctions.Utility_DisplayArrayInTable(SourceData_PastureBeef.SourceData_PastureBeef_StandardReferenceWeights_Data(), Table_SourceData_PastureBeef_StandardReferenceWeights[[#Headers],[State]], 0)</f>
        <v>550</v>
      </c>
      <c r="H355" s="30" cm="1">
        <f t="array" ref="H355">Common_InputFunctions.Utility_DisplayArrayInTable(SourceData_PastureBeef.SourceData_PastureBeef_StandardReferenceWeights_Data(), Table_SourceData_PastureBeef_StandardReferenceWeights[[#Headers],[State]], 0)</f>
        <v>550</v>
      </c>
      <c r="I355" s="30" cm="1">
        <f t="array" ref="I355">Common_InputFunctions.Utility_DisplayArrayInTable(SourceData_PastureBeef.SourceData_PastureBeef_StandardReferenceWeights_Data(), Table_SourceData_PastureBeef_StandardReferenceWeights[[#Headers],[State]], 0)</f>
        <v>550</v>
      </c>
      <c r="J355" s="30" cm="1">
        <f t="array" ref="J355">Common_InputFunctions.Utility_DisplayArrayInTable(SourceData_PastureBeef.SourceData_PastureBeef_StandardReferenceWeights_Data(), Table_SourceData_PastureBeef_StandardReferenceWeights[[#Headers],[State]], 0)</f>
        <v>660</v>
      </c>
      <c r="K355" s="30" cm="1">
        <f t="array" ref="K355">Common_InputFunctions.Utility_DisplayArrayInTable(SourceData_PastureBeef.SourceData_PastureBeef_StandardReferenceWeights_Data(), Table_SourceData_PastureBeef_StandardReferenceWeights[[#Headers],[State]], 0)</f>
        <v>660</v>
      </c>
      <c r="L355" s="30" t="str" cm="1">
        <f t="array" ref="L355">Common_InputFunctions.Utility_DisplayArrayInTable(SourceData_PastureBeef.SourceData_PastureBeef_StandardReferenceWeights_Data(), Table_SourceData_PastureBeef_StandardReferenceWeights[[#Headers],[State]], 0)</f>
        <v>SA</v>
      </c>
      <c r="M355" s="1"/>
    </row>
    <row r="356" spans="4:15" x14ac:dyDescent="0.25">
      <c r="D356" s="1" t="str" cm="1">
        <f t="array" ref="D356">Common_InputFunctions.Utility_DisplayArrayInTable(SourceData_PastureBeef.SourceData_PastureBeef_StandardReferenceWeights_Data(), Table_SourceData_PastureBeef_StandardReferenceWeights[[#Headers],[State]], 0)</f>
        <v>Tasmania</v>
      </c>
      <c r="E356" s="30" cm="1">
        <f t="array" ref="E356">Common_InputFunctions.Utility_DisplayArrayInTable(SourceData_PastureBeef.SourceData_PastureBeef_StandardReferenceWeights_Data(), Table_SourceData_PastureBeef_StandardReferenceWeights[[#Headers],[State]], 0)</f>
        <v>770</v>
      </c>
      <c r="F356" s="30" cm="1">
        <f t="array" ref="F356">Common_InputFunctions.Utility_DisplayArrayInTable(SourceData_PastureBeef.SourceData_PastureBeef_StandardReferenceWeights_Data(), Table_SourceData_PastureBeef_StandardReferenceWeights[[#Headers],[State]], 0)</f>
        <v>770</v>
      </c>
      <c r="G356" s="30" cm="1">
        <f t="array" ref="G356">Common_InputFunctions.Utility_DisplayArrayInTable(SourceData_PastureBeef.SourceData_PastureBeef_StandardReferenceWeights_Data(), Table_SourceData_PastureBeef_StandardReferenceWeights[[#Headers],[State]], 0)</f>
        <v>550</v>
      </c>
      <c r="H356" s="30" cm="1">
        <f t="array" ref="H356">Common_InputFunctions.Utility_DisplayArrayInTable(SourceData_PastureBeef.SourceData_PastureBeef_StandardReferenceWeights_Data(), Table_SourceData_PastureBeef_StandardReferenceWeights[[#Headers],[State]], 0)</f>
        <v>550</v>
      </c>
      <c r="I356" s="30" cm="1">
        <f t="array" ref="I356">Common_InputFunctions.Utility_DisplayArrayInTable(SourceData_PastureBeef.SourceData_PastureBeef_StandardReferenceWeights_Data(), Table_SourceData_PastureBeef_StandardReferenceWeights[[#Headers],[State]], 0)</f>
        <v>550</v>
      </c>
      <c r="J356" s="30" cm="1">
        <f t="array" ref="J356">Common_InputFunctions.Utility_DisplayArrayInTable(SourceData_PastureBeef.SourceData_PastureBeef_StandardReferenceWeights_Data(), Table_SourceData_PastureBeef_StandardReferenceWeights[[#Headers],[State]], 0)</f>
        <v>660</v>
      </c>
      <c r="K356" s="30" cm="1">
        <f t="array" ref="K356">Common_InputFunctions.Utility_DisplayArrayInTable(SourceData_PastureBeef.SourceData_PastureBeef_StandardReferenceWeights_Data(), Table_SourceData_PastureBeef_StandardReferenceWeights[[#Headers],[State]], 0)</f>
        <v>660</v>
      </c>
      <c r="L356" s="30" t="str" cm="1">
        <f t="array" ref="L356">Common_InputFunctions.Utility_DisplayArrayInTable(SourceData_PastureBeef.SourceData_PastureBeef_StandardReferenceWeights_Data(), Table_SourceData_PastureBeef_StandardReferenceWeights[[#Headers],[State]], 0)</f>
        <v>TAS</v>
      </c>
      <c r="M356" s="1"/>
    </row>
    <row r="357" spans="4:15" x14ac:dyDescent="0.25">
      <c r="D357" s="1" t="str" cm="1">
        <f t="array" ref="D357">Common_InputFunctions.Utility_DisplayArrayInTable(SourceData_PastureBeef.SourceData_PastureBeef_StandardReferenceWeights_Data(), Table_SourceData_PastureBeef_StandardReferenceWeights[[#Headers],[State]], 0)</f>
        <v>Victoria</v>
      </c>
      <c r="E357" s="30" cm="1">
        <f t="array" ref="E357">Common_InputFunctions.Utility_DisplayArrayInTable(SourceData_PastureBeef.SourceData_PastureBeef_StandardReferenceWeights_Data(), Table_SourceData_PastureBeef_StandardReferenceWeights[[#Headers],[State]], 0)</f>
        <v>770</v>
      </c>
      <c r="F357" s="30" cm="1">
        <f t="array" ref="F357">Common_InputFunctions.Utility_DisplayArrayInTable(SourceData_PastureBeef.SourceData_PastureBeef_StandardReferenceWeights_Data(), Table_SourceData_PastureBeef_StandardReferenceWeights[[#Headers],[State]], 0)</f>
        <v>770</v>
      </c>
      <c r="G357" s="30" cm="1">
        <f t="array" ref="G357">Common_InputFunctions.Utility_DisplayArrayInTable(SourceData_PastureBeef.SourceData_PastureBeef_StandardReferenceWeights_Data(), Table_SourceData_PastureBeef_StandardReferenceWeights[[#Headers],[State]], 0)</f>
        <v>550</v>
      </c>
      <c r="H357" s="30" cm="1">
        <f t="array" ref="H357">Common_InputFunctions.Utility_DisplayArrayInTable(SourceData_PastureBeef.SourceData_PastureBeef_StandardReferenceWeights_Data(), Table_SourceData_PastureBeef_StandardReferenceWeights[[#Headers],[State]], 0)</f>
        <v>550</v>
      </c>
      <c r="I357" s="30" cm="1">
        <f t="array" ref="I357">Common_InputFunctions.Utility_DisplayArrayInTable(SourceData_PastureBeef.SourceData_PastureBeef_StandardReferenceWeights_Data(), Table_SourceData_PastureBeef_StandardReferenceWeights[[#Headers],[State]], 0)</f>
        <v>550</v>
      </c>
      <c r="J357" s="30" cm="1">
        <f t="array" ref="J357">Common_InputFunctions.Utility_DisplayArrayInTable(SourceData_PastureBeef.SourceData_PastureBeef_StandardReferenceWeights_Data(), Table_SourceData_PastureBeef_StandardReferenceWeights[[#Headers],[State]], 0)</f>
        <v>660</v>
      </c>
      <c r="K357" s="30" cm="1">
        <f t="array" ref="K357">Common_InputFunctions.Utility_DisplayArrayInTable(SourceData_PastureBeef.SourceData_PastureBeef_StandardReferenceWeights_Data(), Table_SourceData_PastureBeef_StandardReferenceWeights[[#Headers],[State]], 0)</f>
        <v>660</v>
      </c>
      <c r="L357" s="30" t="str" cm="1">
        <f t="array" ref="L357">Common_InputFunctions.Utility_DisplayArrayInTable(SourceData_PastureBeef.SourceData_PastureBeef_StandardReferenceWeights_Data(), Table_SourceData_PastureBeef_StandardReferenceWeights[[#Headers],[State]], 0)</f>
        <v>VIC</v>
      </c>
      <c r="M357" s="1"/>
    </row>
    <row r="358" spans="4:15" x14ac:dyDescent="0.25">
      <c r="D358" s="1" t="str" cm="1">
        <f t="array" ref="D358">Common_InputFunctions.Utility_DisplayArrayInTable(SourceData_PastureBeef.SourceData_PastureBeef_StandardReferenceWeights_Data(), Table_SourceData_PastureBeef_StandardReferenceWeights[[#Headers],[State]], 0)</f>
        <v>Western Australia</v>
      </c>
      <c r="E358" s="30" cm="1">
        <f t="array" ref="E358">Common_InputFunctions.Utility_DisplayArrayInTable(SourceData_PastureBeef.SourceData_PastureBeef_StandardReferenceWeights_Data(), Table_SourceData_PastureBeef_StandardReferenceWeights[[#Headers],[State]], 0)</f>
        <v>770</v>
      </c>
      <c r="F358" s="30" cm="1">
        <f t="array" ref="F358">Common_InputFunctions.Utility_DisplayArrayInTable(SourceData_PastureBeef.SourceData_PastureBeef_StandardReferenceWeights_Data(), Table_SourceData_PastureBeef_StandardReferenceWeights[[#Headers],[State]], 0)</f>
        <v>770</v>
      </c>
      <c r="G358" s="30" cm="1">
        <f t="array" ref="G358">Common_InputFunctions.Utility_DisplayArrayInTable(SourceData_PastureBeef.SourceData_PastureBeef_StandardReferenceWeights_Data(), Table_SourceData_PastureBeef_StandardReferenceWeights[[#Headers],[State]], 0)</f>
        <v>550</v>
      </c>
      <c r="H358" s="30" cm="1">
        <f t="array" ref="H358">Common_InputFunctions.Utility_DisplayArrayInTable(SourceData_PastureBeef.SourceData_PastureBeef_StandardReferenceWeights_Data(), Table_SourceData_PastureBeef_StandardReferenceWeights[[#Headers],[State]], 0)</f>
        <v>550</v>
      </c>
      <c r="I358" s="30" cm="1">
        <f t="array" ref="I358">Common_InputFunctions.Utility_DisplayArrayInTable(SourceData_PastureBeef.SourceData_PastureBeef_StandardReferenceWeights_Data(), Table_SourceData_PastureBeef_StandardReferenceWeights[[#Headers],[State]], 0)</f>
        <v>550</v>
      </c>
      <c r="J358" s="30" cm="1">
        <f t="array" ref="J358">Common_InputFunctions.Utility_DisplayArrayInTable(SourceData_PastureBeef.SourceData_PastureBeef_StandardReferenceWeights_Data(), Table_SourceData_PastureBeef_StandardReferenceWeights[[#Headers],[State]], 0)</f>
        <v>660</v>
      </c>
      <c r="K358" s="30" cm="1">
        <f t="array" ref="K358">Common_InputFunctions.Utility_DisplayArrayInTable(SourceData_PastureBeef.SourceData_PastureBeef_StandardReferenceWeights_Data(), Table_SourceData_PastureBeef_StandardReferenceWeights[[#Headers],[State]], 0)</f>
        <v>660</v>
      </c>
      <c r="L358" s="30" t="str" cm="1">
        <f t="array" ref="L358">Common_InputFunctions.Utility_DisplayArrayInTable(SourceData_PastureBeef.SourceData_PastureBeef_StandardReferenceWeights_Data(), Table_SourceData_PastureBeef_StandardReferenceWeights[[#Headers],[State]], 0)</f>
        <v>WA</v>
      </c>
      <c r="M358" s="1"/>
    </row>
    <row r="359" spans="4:15" x14ac:dyDescent="0.25">
      <c r="M359" s="1"/>
    </row>
    <row r="360" spans="4:15" x14ac:dyDescent="0.25">
      <c r="M360" s="1"/>
    </row>
    <row r="361" spans="4:15" x14ac:dyDescent="0.25">
      <c r="D361" s="30" t="s">
        <v>107</v>
      </c>
      <c r="E361" s="127" t="s">
        <v>193</v>
      </c>
      <c r="F361" s="127" t="s">
        <v>194</v>
      </c>
      <c r="G361" s="127" t="s">
        <v>195</v>
      </c>
      <c r="H361" s="127" t="s">
        <v>196</v>
      </c>
      <c r="I361" s="127" t="s">
        <v>197</v>
      </c>
      <c r="J361" s="127" t="s">
        <v>198</v>
      </c>
      <c r="K361" s="127" t="s">
        <v>199</v>
      </c>
      <c r="L361" s="127" t="s">
        <v>200</v>
      </c>
      <c r="M361" s="127" t="s">
        <v>201</v>
      </c>
      <c r="N361" s="127" t="s">
        <v>202</v>
      </c>
      <c r="O361" s="30" t="s">
        <v>384</v>
      </c>
    </row>
    <row r="362" spans="4:15" x14ac:dyDescent="0.25">
      <c r="D362" s="30" t="str">
        <f>D351</f>
        <v>ACT</v>
      </c>
      <c r="E362" s="30">
        <f t="shared" ref="E362:H362" si="53">E351</f>
        <v>700</v>
      </c>
      <c r="F362" s="30">
        <f t="shared" si="53"/>
        <v>700</v>
      </c>
      <c r="G362" s="30">
        <f t="shared" si="53"/>
        <v>500</v>
      </c>
      <c r="H362" s="30">
        <f t="shared" si="53"/>
        <v>500</v>
      </c>
      <c r="I362" s="30">
        <f>I351</f>
        <v>500</v>
      </c>
      <c r="J362" s="30">
        <f>I351</f>
        <v>500</v>
      </c>
      <c r="K362" s="30">
        <f t="shared" ref="K362" si="54">J351</f>
        <v>600</v>
      </c>
      <c r="L362" s="30">
        <f>K351</f>
        <v>600</v>
      </c>
      <c r="M362" s="30">
        <f>K351</f>
        <v>600</v>
      </c>
      <c r="N362" s="30">
        <f>K351</f>
        <v>600</v>
      </c>
      <c r="O362" s="30" t="str">
        <f>L351</f>
        <v>ACT</v>
      </c>
    </row>
    <row r="363" spans="4:15" x14ac:dyDescent="0.25">
      <c r="D363" s="30" t="str">
        <f t="shared" ref="D363:I369" si="55">D352</f>
        <v>NSW</v>
      </c>
      <c r="E363" s="30">
        <f t="shared" si="55"/>
        <v>700</v>
      </c>
      <c r="F363" s="30">
        <f t="shared" si="55"/>
        <v>700</v>
      </c>
      <c r="G363" s="30">
        <f t="shared" si="55"/>
        <v>500</v>
      </c>
      <c r="H363" s="30">
        <f t="shared" si="55"/>
        <v>500</v>
      </c>
      <c r="I363" s="30">
        <f t="shared" si="55"/>
        <v>500</v>
      </c>
      <c r="J363" s="30">
        <f t="shared" ref="J363:L369" si="56">I352</f>
        <v>500</v>
      </c>
      <c r="K363" s="30">
        <f t="shared" si="56"/>
        <v>600</v>
      </c>
      <c r="L363" s="30">
        <f t="shared" si="56"/>
        <v>600</v>
      </c>
      <c r="M363" s="30">
        <f t="shared" ref="M363:M369" si="57">K352</f>
        <v>600</v>
      </c>
      <c r="N363" s="30">
        <f t="shared" ref="N363:O369" si="58">K352</f>
        <v>600</v>
      </c>
      <c r="O363" s="30" t="str">
        <f t="shared" si="58"/>
        <v>NSW</v>
      </c>
    </row>
    <row r="364" spans="4:15" x14ac:dyDescent="0.25">
      <c r="D364" s="30" t="str">
        <f t="shared" si="55"/>
        <v>Northern Territory</v>
      </c>
      <c r="E364" s="30">
        <f t="shared" si="55"/>
        <v>770</v>
      </c>
      <c r="F364" s="30">
        <f t="shared" si="55"/>
        <v>770</v>
      </c>
      <c r="G364" s="30">
        <f t="shared" si="55"/>
        <v>550</v>
      </c>
      <c r="H364" s="30">
        <f t="shared" si="55"/>
        <v>550</v>
      </c>
      <c r="I364" s="30">
        <f t="shared" si="55"/>
        <v>550</v>
      </c>
      <c r="J364" s="30">
        <f t="shared" si="56"/>
        <v>550</v>
      </c>
      <c r="K364" s="30">
        <f t="shared" si="56"/>
        <v>660</v>
      </c>
      <c r="L364" s="30">
        <f t="shared" si="56"/>
        <v>660</v>
      </c>
      <c r="M364" s="30">
        <f t="shared" si="57"/>
        <v>660</v>
      </c>
      <c r="N364" s="30">
        <f t="shared" si="58"/>
        <v>660</v>
      </c>
      <c r="O364" s="30" t="str">
        <f t="shared" si="58"/>
        <v>NT</v>
      </c>
    </row>
    <row r="365" spans="4:15" x14ac:dyDescent="0.25">
      <c r="D365" s="30" t="str">
        <f t="shared" si="55"/>
        <v>Queensland</v>
      </c>
      <c r="E365" s="30">
        <f t="shared" si="55"/>
        <v>770</v>
      </c>
      <c r="F365" s="30">
        <f t="shared" si="55"/>
        <v>770</v>
      </c>
      <c r="G365" s="30">
        <f t="shared" si="55"/>
        <v>550</v>
      </c>
      <c r="H365" s="30">
        <f t="shared" si="55"/>
        <v>550</v>
      </c>
      <c r="I365" s="30">
        <f t="shared" si="55"/>
        <v>550</v>
      </c>
      <c r="J365" s="30">
        <f t="shared" si="56"/>
        <v>550</v>
      </c>
      <c r="K365" s="30">
        <f t="shared" si="56"/>
        <v>660</v>
      </c>
      <c r="L365" s="30">
        <f t="shared" si="56"/>
        <v>660</v>
      </c>
      <c r="M365" s="30">
        <f t="shared" si="57"/>
        <v>660</v>
      </c>
      <c r="N365" s="30">
        <f t="shared" si="58"/>
        <v>660</v>
      </c>
      <c r="O365" s="30" t="str">
        <f t="shared" si="58"/>
        <v>QLD</v>
      </c>
    </row>
    <row r="366" spans="4:15" x14ac:dyDescent="0.25">
      <c r="D366" s="30" t="str">
        <f t="shared" si="55"/>
        <v>South Australia</v>
      </c>
      <c r="E366" s="30">
        <f t="shared" si="55"/>
        <v>770</v>
      </c>
      <c r="F366" s="30">
        <f t="shared" si="55"/>
        <v>770</v>
      </c>
      <c r="G366" s="30">
        <f t="shared" si="55"/>
        <v>550</v>
      </c>
      <c r="H366" s="30">
        <f t="shared" si="55"/>
        <v>550</v>
      </c>
      <c r="I366" s="30">
        <f t="shared" si="55"/>
        <v>550</v>
      </c>
      <c r="J366" s="30">
        <f t="shared" si="56"/>
        <v>550</v>
      </c>
      <c r="K366" s="30">
        <f t="shared" si="56"/>
        <v>660</v>
      </c>
      <c r="L366" s="30">
        <f t="shared" si="56"/>
        <v>660</v>
      </c>
      <c r="M366" s="30">
        <f t="shared" si="57"/>
        <v>660</v>
      </c>
      <c r="N366" s="30">
        <f t="shared" si="58"/>
        <v>660</v>
      </c>
      <c r="O366" s="30" t="str">
        <f t="shared" si="58"/>
        <v>SA</v>
      </c>
    </row>
    <row r="367" spans="4:15" x14ac:dyDescent="0.25">
      <c r="D367" s="30" t="str">
        <f t="shared" si="55"/>
        <v>Tasmania</v>
      </c>
      <c r="E367" s="30">
        <f t="shared" si="55"/>
        <v>770</v>
      </c>
      <c r="F367" s="30">
        <f t="shared" si="55"/>
        <v>770</v>
      </c>
      <c r="G367" s="30">
        <f t="shared" si="55"/>
        <v>550</v>
      </c>
      <c r="H367" s="30">
        <f t="shared" si="55"/>
        <v>550</v>
      </c>
      <c r="I367" s="30">
        <f t="shared" si="55"/>
        <v>550</v>
      </c>
      <c r="J367" s="30">
        <f t="shared" si="56"/>
        <v>550</v>
      </c>
      <c r="K367" s="30">
        <f t="shared" si="56"/>
        <v>660</v>
      </c>
      <c r="L367" s="30">
        <f t="shared" si="56"/>
        <v>660</v>
      </c>
      <c r="M367" s="30">
        <f t="shared" si="57"/>
        <v>660</v>
      </c>
      <c r="N367" s="30">
        <f t="shared" si="58"/>
        <v>660</v>
      </c>
      <c r="O367" s="30" t="str">
        <f t="shared" si="58"/>
        <v>TAS</v>
      </c>
    </row>
    <row r="368" spans="4:15" x14ac:dyDescent="0.25">
      <c r="D368" s="30" t="str">
        <f t="shared" si="55"/>
        <v>Victoria</v>
      </c>
      <c r="E368" s="30">
        <f t="shared" si="55"/>
        <v>770</v>
      </c>
      <c r="F368" s="30">
        <f t="shared" si="55"/>
        <v>770</v>
      </c>
      <c r="G368" s="30">
        <f t="shared" si="55"/>
        <v>550</v>
      </c>
      <c r="H368" s="30">
        <f t="shared" si="55"/>
        <v>550</v>
      </c>
      <c r="I368" s="30">
        <f t="shared" si="55"/>
        <v>550</v>
      </c>
      <c r="J368" s="30">
        <f t="shared" si="56"/>
        <v>550</v>
      </c>
      <c r="K368" s="30">
        <f t="shared" si="56"/>
        <v>660</v>
      </c>
      <c r="L368" s="30">
        <f t="shared" si="56"/>
        <v>660</v>
      </c>
      <c r="M368" s="30">
        <f t="shared" si="57"/>
        <v>660</v>
      </c>
      <c r="N368" s="30">
        <f t="shared" si="58"/>
        <v>660</v>
      </c>
      <c r="O368" s="30" t="str">
        <f t="shared" si="58"/>
        <v>VIC</v>
      </c>
    </row>
    <row r="369" spans="4:15" x14ac:dyDescent="0.25">
      <c r="D369" s="30" t="str">
        <f t="shared" si="55"/>
        <v>Western Australia</v>
      </c>
      <c r="E369" s="30">
        <f t="shared" si="55"/>
        <v>770</v>
      </c>
      <c r="F369" s="30">
        <f t="shared" si="55"/>
        <v>770</v>
      </c>
      <c r="G369" s="30">
        <f t="shared" si="55"/>
        <v>550</v>
      </c>
      <c r="H369" s="30">
        <f t="shared" si="55"/>
        <v>550</v>
      </c>
      <c r="I369" s="30">
        <f t="shared" si="55"/>
        <v>550</v>
      </c>
      <c r="J369" s="30">
        <f t="shared" si="56"/>
        <v>550</v>
      </c>
      <c r="K369" s="30">
        <f t="shared" si="56"/>
        <v>660</v>
      </c>
      <c r="L369" s="30">
        <f t="shared" si="56"/>
        <v>660</v>
      </c>
      <c r="M369" s="30">
        <f t="shared" si="57"/>
        <v>660</v>
      </c>
      <c r="N369" s="30">
        <f t="shared" si="58"/>
        <v>660</v>
      </c>
      <c r="O369" s="30" t="str">
        <f t="shared" si="58"/>
        <v>WA</v>
      </c>
    </row>
    <row r="370" spans="4:15" x14ac:dyDescent="0.25">
      <c r="M370" s="1"/>
    </row>
    <row r="371" spans="4:15" x14ac:dyDescent="0.25">
      <c r="M371" s="1"/>
    </row>
    <row r="372" spans="4:15" ht="23.25" x14ac:dyDescent="0.25">
      <c r="D372" s="2" t="str" cm="1">
        <f t="array" ref="D372">SourceData_PastureBeef.SourceData_PastureBeef_FractionOfManureToMMS_Title()</f>
        <v>Beef pasture cattle - Fraction of manure to each manure management system (fraction) (MMSm)</v>
      </c>
      <c r="M372" s="1"/>
    </row>
    <row r="373" spans="4:15" x14ac:dyDescent="0.25">
      <c r="D373" s="27" t="str" cm="1">
        <f t="array" ref="D373">SourceData_PastureBeef.SourceData_PastureBeef_FractionOfManureToMMS_Source()</f>
        <v>VEERG 2026: Table A.1.2.9</v>
      </c>
      <c r="M373" s="1"/>
    </row>
    <row r="374" spans="4:15" x14ac:dyDescent="0.25">
      <c r="D374" s="1" t="str" cm="1">
        <f t="array" ref="D374">SourceData_PastureBeef.SourceData_PastureBeef_FractionOfManureToMMS_Variable()</f>
        <v>MMSm</v>
      </c>
      <c r="M374" s="1"/>
    </row>
    <row r="375" spans="4:15" x14ac:dyDescent="0.25">
      <c r="D375" s="15" t="str" cm="1">
        <f t="array" ref="D375">SourceData_PastureBeef.SourceData_PastureBeef_FractionOfManureToMMS_Unit()</f>
        <v>fraction</v>
      </c>
      <c r="E375" s="128" t="s">
        <v>385</v>
      </c>
      <c r="M375" s="1"/>
    </row>
    <row r="376" spans="4:15" x14ac:dyDescent="0.25">
      <c r="D376" s="36" t="str" cm="1">
        <f t="array" ref="D376">SourceData_PastureBeef.SourceData_PastureBeef_FractionOfManureToMMS_Variation()</f>
        <v>VARIATION ON SOURCE: Removed comma from 'Pasture range and paddock' to aid lookup</v>
      </c>
      <c r="M376" s="1"/>
    </row>
    <row r="377" spans="4:15" x14ac:dyDescent="0.25">
      <c r="D377" s="30" t="s">
        <v>107</v>
      </c>
      <c r="E377" s="30" t="s">
        <v>312</v>
      </c>
      <c r="F377" s="30" t="s">
        <v>93</v>
      </c>
      <c r="G377" s="30" t="s">
        <v>386</v>
      </c>
      <c r="M377" s="1"/>
    </row>
    <row r="378" spans="4:15" x14ac:dyDescent="0.25">
      <c r="D378" s="30" t="str" cm="1">
        <f t="array" ref="D378">Common_InputFunctions.Utility_DisplayArrayInTable(SourceData_PastureBeef.SourceData_PastureBeef_FractionOfManureToMMS_Data(),Table_SourceData_PastureBeef_FractionManureToMMS[[#Headers],[State]], 0)</f>
        <v>ACT</v>
      </c>
      <c r="E378" s="30" t="str" cm="1">
        <f t="array" ref="E378">Common_InputFunctions.Utility_DisplayArrayInTable(SourceData_PastureBeef.SourceData_PastureBeef_FractionOfManureToMMS_Data(),Table_SourceData_PastureBeef_FractionManureToMMS[[#Headers],[State]], 0)</f>
        <v>n/a</v>
      </c>
      <c r="F378" s="30" cm="1">
        <f t="array" ref="F378">Common_InputFunctions.Utility_DisplayArrayInTable(SourceData_PastureBeef.SourceData_PastureBeef_FractionOfManureToMMS_Data(),Table_SourceData_PastureBeef_FractionManureToMMS[[#Headers],[State]], 0)</f>
        <v>99.191999999999993</v>
      </c>
      <c r="G378" s="30" cm="1">
        <f t="array" ref="G378">Common_InputFunctions.Utility_DisplayArrayInTable(SourceData_PastureBeef.SourceData_PastureBeef_FractionOfManureToMMS_Data(),Table_SourceData_PastureBeef_FractionManureToMMS[[#Headers],[State]], 0)</f>
        <v>0.80800000000000005</v>
      </c>
      <c r="M378" s="1"/>
    </row>
    <row r="379" spans="4:15" x14ac:dyDescent="0.25">
      <c r="D379" s="1" t="str" cm="1">
        <f t="array" ref="D379">Common_InputFunctions.Utility_DisplayArrayInTable(SourceData_PastureBeef.SourceData_PastureBeef_FractionOfManureToMMS_Data(),Table_SourceData_PastureBeef_FractionManureToMMS[[#Headers],[State]], 0)</f>
        <v>NSW</v>
      </c>
      <c r="E379" s="30" t="str" cm="1">
        <f t="array" ref="E379">Common_InputFunctions.Utility_DisplayArrayInTable(SourceData_PastureBeef.SourceData_PastureBeef_FractionOfManureToMMS_Data(),Table_SourceData_PastureBeef_FractionManureToMMS[[#Headers],[State]], 0)</f>
        <v>n/a</v>
      </c>
      <c r="F379" s="30" cm="1">
        <f t="array" ref="F379">Common_InputFunctions.Utility_DisplayArrayInTable(SourceData_PastureBeef.SourceData_PastureBeef_FractionOfManureToMMS_Data(),Table_SourceData_PastureBeef_FractionManureToMMS[[#Headers],[State]], 0)</f>
        <v>99.451999999999998</v>
      </c>
      <c r="G379" s="30" cm="1">
        <f t="array" ref="G379">Common_InputFunctions.Utility_DisplayArrayInTable(SourceData_PastureBeef.SourceData_PastureBeef_FractionOfManureToMMS_Data(),Table_SourceData_PastureBeef_FractionManureToMMS[[#Headers],[State]], 0)</f>
        <v>0.54800000000000004</v>
      </c>
      <c r="M379" s="1"/>
    </row>
    <row r="380" spans="4:15" x14ac:dyDescent="0.25">
      <c r="D380" s="1" t="str" cm="1">
        <f t="array" ref="D380">Common_InputFunctions.Utility_DisplayArrayInTable(SourceData_PastureBeef.SourceData_PastureBeef_FractionOfManureToMMS_Data(),Table_SourceData_PastureBeef_FractionManureToMMS[[#Headers],[State]], 0)</f>
        <v>SA</v>
      </c>
      <c r="E380" s="30" t="str" cm="1">
        <f t="array" ref="E380">Common_InputFunctions.Utility_DisplayArrayInTable(SourceData_PastureBeef.SourceData_PastureBeef_FractionOfManureToMMS_Data(),Table_SourceData_PastureBeef_FractionManureToMMS[[#Headers],[State]], 0)</f>
        <v>n/a</v>
      </c>
      <c r="F380" s="30" cm="1">
        <f t="array" ref="F380">Common_InputFunctions.Utility_DisplayArrayInTable(SourceData_PastureBeef.SourceData_PastureBeef_FractionOfManureToMMS_Data(),Table_SourceData_PastureBeef_FractionManureToMMS[[#Headers],[State]], 0)</f>
        <v>99.759</v>
      </c>
      <c r="G380" s="30" cm="1">
        <f t="array" ref="G380">Common_InputFunctions.Utility_DisplayArrayInTable(SourceData_PastureBeef.SourceData_PastureBeef_FractionOfManureToMMS_Data(),Table_SourceData_PastureBeef_FractionManureToMMS[[#Headers],[State]], 0)</f>
        <v>0.24099999999999999</v>
      </c>
      <c r="M380" s="1"/>
    </row>
    <row r="381" spans="4:15" x14ac:dyDescent="0.25">
      <c r="D381" s="1" t="str" cm="1">
        <f t="array" ref="D381">Common_InputFunctions.Utility_DisplayArrayInTable(SourceData_PastureBeef.SourceData_PastureBeef_FractionOfManureToMMS_Data(),Table_SourceData_PastureBeef_FractionManureToMMS[[#Headers],[State]], 0)</f>
        <v>TAS</v>
      </c>
      <c r="E381" s="30" t="str" cm="1">
        <f t="array" ref="E381">Common_InputFunctions.Utility_DisplayArrayInTable(SourceData_PastureBeef.SourceData_PastureBeef_FractionOfManureToMMS_Data(),Table_SourceData_PastureBeef_FractionManureToMMS[[#Headers],[State]], 0)</f>
        <v>n/a</v>
      </c>
      <c r="F381" s="30" cm="1">
        <f t="array" ref="F381">Common_InputFunctions.Utility_DisplayArrayInTable(SourceData_PastureBeef.SourceData_PastureBeef_FractionOfManureToMMS_Data(),Table_SourceData_PastureBeef_FractionManureToMMS[[#Headers],[State]], 0)</f>
        <v>99.122</v>
      </c>
      <c r="G381" s="30" cm="1">
        <f t="array" ref="G381">Common_InputFunctions.Utility_DisplayArrayInTable(SourceData_PastureBeef.SourceData_PastureBeef_FractionOfManureToMMS_Data(),Table_SourceData_PastureBeef_FractionManureToMMS[[#Headers],[State]], 0)</f>
        <v>0.878</v>
      </c>
      <c r="M381" s="1"/>
    </row>
    <row r="382" spans="4:15" x14ac:dyDescent="0.25">
      <c r="D382" s="1" t="str" cm="1">
        <f t="array" ref="D382">Common_InputFunctions.Utility_DisplayArrayInTable(SourceData_PastureBeef.SourceData_PastureBeef_FractionOfManureToMMS_Data(),Table_SourceData_PastureBeef_FractionManureToMMS[[#Headers],[State]], 0)</f>
        <v>VIC</v>
      </c>
      <c r="E382" s="30" t="str" cm="1">
        <f t="array" ref="E382">Common_InputFunctions.Utility_DisplayArrayInTable(SourceData_PastureBeef.SourceData_PastureBeef_FractionOfManureToMMS_Data(),Table_SourceData_PastureBeef_FractionManureToMMS[[#Headers],[State]], 0)</f>
        <v>n/a</v>
      </c>
      <c r="F382" s="30" cm="1">
        <f t="array" ref="F382">Common_InputFunctions.Utility_DisplayArrayInTable(SourceData_PastureBeef.SourceData_PastureBeef_FractionOfManureToMMS_Data(),Table_SourceData_PastureBeef_FractionManureToMMS[[#Headers],[State]], 0)</f>
        <v>98.894000000000005</v>
      </c>
      <c r="G382" s="30" cm="1">
        <f t="array" ref="G382">Common_InputFunctions.Utility_DisplayArrayInTable(SourceData_PastureBeef.SourceData_PastureBeef_FractionOfManureToMMS_Data(),Table_SourceData_PastureBeef_FractionManureToMMS[[#Headers],[State]], 0)</f>
        <v>1.1060000000000001</v>
      </c>
      <c r="M382" s="1"/>
    </row>
    <row r="383" spans="4:15" x14ac:dyDescent="0.25">
      <c r="D383" s="1" t="str" cm="1">
        <f t="array" ref="D383">Common_InputFunctions.Utility_DisplayArrayInTable(SourceData_PastureBeef.SourceData_PastureBeef_FractionOfManureToMMS_Data(),Table_SourceData_PastureBeef_FractionManureToMMS[[#Headers],[State]], 0)</f>
        <v>WA</v>
      </c>
      <c r="E383" s="30" t="str" cm="1">
        <f t="array" ref="E383">Common_InputFunctions.Utility_DisplayArrayInTable(SourceData_PastureBeef.SourceData_PastureBeef_FractionOfManureToMMS_Data(),Table_SourceData_PastureBeef_FractionManureToMMS[[#Headers],[State]], 0)</f>
        <v>South West</v>
      </c>
      <c r="F383" s="30" cm="1">
        <f t="array" ref="F383">Common_InputFunctions.Utility_DisplayArrayInTable(SourceData_PastureBeef.SourceData_PastureBeef_FractionOfManureToMMS_Data(),Table_SourceData_PastureBeef_FractionManureToMMS[[#Headers],[State]], 0)</f>
        <v>99.622</v>
      </c>
      <c r="G383" s="30" cm="1">
        <f t="array" ref="G383">Common_InputFunctions.Utility_DisplayArrayInTable(SourceData_PastureBeef.SourceData_PastureBeef_FractionOfManureToMMS_Data(),Table_SourceData_PastureBeef_FractionManureToMMS[[#Headers],[State]], 0)</f>
        <v>0.378</v>
      </c>
      <c r="M383" s="1"/>
    </row>
    <row r="384" spans="4:15" x14ac:dyDescent="0.25">
      <c r="D384" s="1" t="str" cm="1">
        <f t="array" ref="D384">Common_InputFunctions.Utility_DisplayArrayInTable(SourceData_PastureBeef.SourceData_PastureBeef_FractionOfManureToMMS_Data(),Table_SourceData_PastureBeef_FractionManureToMMS[[#Headers],[State]], 0)</f>
        <v>WA</v>
      </c>
      <c r="E384" s="30" t="str" cm="1">
        <f t="array" ref="E384">Common_InputFunctions.Utility_DisplayArrayInTable(SourceData_PastureBeef.SourceData_PastureBeef_FractionOfManureToMMS_Data(),Table_SourceData_PastureBeef_FractionManureToMMS[[#Headers],[State]], 0)</f>
        <v>Pilbara</v>
      </c>
      <c r="F384" s="30" cm="1">
        <f t="array" ref="F384">Common_InputFunctions.Utility_DisplayArrayInTable(SourceData_PastureBeef.SourceData_PastureBeef_FractionOfManureToMMS_Data(),Table_SourceData_PastureBeef_FractionManureToMMS[[#Headers],[State]], 0)</f>
        <v>99.998999999999995</v>
      </c>
      <c r="G384" s="30" cm="1">
        <f t="array" ref="G384">Common_InputFunctions.Utility_DisplayArrayInTable(SourceData_PastureBeef.SourceData_PastureBeef_FractionOfManureToMMS_Data(),Table_SourceData_PastureBeef_FractionManureToMMS[[#Headers],[State]], 0)</f>
        <v>1E-3</v>
      </c>
      <c r="M384" s="1"/>
    </row>
    <row r="385" spans="4:13" x14ac:dyDescent="0.25">
      <c r="D385" s="1" t="str" cm="1">
        <f t="array" ref="D385">Common_InputFunctions.Utility_DisplayArrayInTable(SourceData_PastureBeef.SourceData_PastureBeef_FractionOfManureToMMS_Data(),Table_SourceData_PastureBeef_FractionManureToMMS[[#Headers],[State]], 0)</f>
        <v>WA</v>
      </c>
      <c r="E385" s="30" t="str" cm="1">
        <f t="array" ref="E385">Common_InputFunctions.Utility_DisplayArrayInTable(SourceData_PastureBeef.SourceData_PastureBeef_FractionOfManureToMMS_Data(),Table_SourceData_PastureBeef_FractionManureToMMS[[#Headers],[State]], 0)</f>
        <v>Kimberley</v>
      </c>
      <c r="F385" s="30" cm="1">
        <f t="array" ref="F385">Common_InputFunctions.Utility_DisplayArrayInTable(SourceData_PastureBeef.SourceData_PastureBeef_FractionOfManureToMMS_Data(),Table_SourceData_PastureBeef_FractionManureToMMS[[#Headers],[State]], 0)</f>
        <v>99.998999999999995</v>
      </c>
      <c r="G385" s="30" cm="1">
        <f t="array" ref="G385">Common_InputFunctions.Utility_DisplayArrayInTable(SourceData_PastureBeef.SourceData_PastureBeef_FractionOfManureToMMS_Data(),Table_SourceData_PastureBeef_FractionManureToMMS[[#Headers],[State]], 0)</f>
        <v>1E-3</v>
      </c>
      <c r="M385" s="1"/>
    </row>
    <row r="386" spans="4:13" x14ac:dyDescent="0.25">
      <c r="D386" s="1" t="str" cm="1">
        <f t="array" ref="D386">Common_InputFunctions.Utility_DisplayArrayInTable(SourceData_PastureBeef.SourceData_PastureBeef_FractionOfManureToMMS_Data(),Table_SourceData_PastureBeef_FractionManureToMMS[[#Headers],[State]], 0)</f>
        <v>NT</v>
      </c>
      <c r="E386" s="30" t="str" cm="1">
        <f t="array" ref="E386">Common_InputFunctions.Utility_DisplayArrayInTable(SourceData_PastureBeef.SourceData_PastureBeef_FractionOfManureToMMS_Data(),Table_SourceData_PastureBeef_FractionManureToMMS[[#Headers],[State]], 0)</f>
        <v>Alice Springs</v>
      </c>
      <c r="F386" s="30" cm="1">
        <f t="array" ref="F386">Common_InputFunctions.Utility_DisplayArrayInTable(SourceData_PastureBeef.SourceData_PastureBeef_FractionOfManureToMMS_Data(),Table_SourceData_PastureBeef_FractionManureToMMS[[#Headers],[State]], 0)</f>
        <v>99.998999999999995</v>
      </c>
      <c r="G386" s="30" cm="1">
        <f t="array" ref="G386">Common_InputFunctions.Utility_DisplayArrayInTable(SourceData_PastureBeef.SourceData_PastureBeef_FractionOfManureToMMS_Data(),Table_SourceData_PastureBeef_FractionManureToMMS[[#Headers],[State]], 0)</f>
        <v>1E-3</v>
      </c>
      <c r="M386" s="1"/>
    </row>
    <row r="387" spans="4:13" x14ac:dyDescent="0.25">
      <c r="D387" s="1" t="str" cm="1">
        <f t="array" ref="D387">Common_InputFunctions.Utility_DisplayArrayInTable(SourceData_PastureBeef.SourceData_PastureBeef_FractionOfManureToMMS_Data(),Table_SourceData_PastureBeef_FractionManureToMMS[[#Headers],[State]], 0)</f>
        <v>NT</v>
      </c>
      <c r="E387" s="30" t="str" cm="1">
        <f t="array" ref="E387">Common_InputFunctions.Utility_DisplayArrayInTable(SourceData_PastureBeef.SourceData_PastureBeef_FractionOfManureToMMS_Data(),Table_SourceData_PastureBeef_FractionManureToMMS[[#Headers],[State]], 0)</f>
        <v>Barkly</v>
      </c>
      <c r="F387" s="30" cm="1">
        <f t="array" ref="F387">Common_InputFunctions.Utility_DisplayArrayInTable(SourceData_PastureBeef.SourceData_PastureBeef_FractionOfManureToMMS_Data(),Table_SourceData_PastureBeef_FractionManureToMMS[[#Headers],[State]], 0)</f>
        <v>99.994</v>
      </c>
      <c r="G387" s="30" cm="1">
        <f t="array" ref="G387">Common_InputFunctions.Utility_DisplayArrayInTable(SourceData_PastureBeef.SourceData_PastureBeef_FractionOfManureToMMS_Data(),Table_SourceData_PastureBeef_FractionManureToMMS[[#Headers],[State]], 0)</f>
        <v>6.0000000000000001E-3</v>
      </c>
      <c r="M387" s="1"/>
    </row>
    <row r="388" spans="4:13" x14ac:dyDescent="0.25">
      <c r="D388" s="1" t="str" cm="1">
        <f t="array" ref="D388">Common_InputFunctions.Utility_DisplayArrayInTable(SourceData_PastureBeef.SourceData_PastureBeef_FractionOfManureToMMS_Data(),Table_SourceData_PastureBeef_FractionManureToMMS[[#Headers],[State]], 0)</f>
        <v>NT</v>
      </c>
      <c r="E388" s="30" t="str" cm="1">
        <f t="array" ref="E388">Common_InputFunctions.Utility_DisplayArrayInTable(SourceData_PastureBeef.SourceData_PastureBeef_FractionOfManureToMMS_Data(),Table_SourceData_PastureBeef_FractionManureToMMS[[#Headers],[State]], 0)</f>
        <v>Northern</v>
      </c>
      <c r="F388" s="30" cm="1">
        <f t="array" ref="F388">Common_InputFunctions.Utility_DisplayArrayInTable(SourceData_PastureBeef.SourceData_PastureBeef_FractionOfManureToMMS_Data(),Table_SourceData_PastureBeef_FractionManureToMMS[[#Headers],[State]], 0)</f>
        <v>99.998999999999995</v>
      </c>
      <c r="G388" s="30" cm="1">
        <f t="array" ref="G388">Common_InputFunctions.Utility_DisplayArrayInTable(SourceData_PastureBeef.SourceData_PastureBeef_FractionOfManureToMMS_Data(),Table_SourceData_PastureBeef_FractionManureToMMS[[#Headers],[State]], 0)</f>
        <v>1E-3</v>
      </c>
      <c r="M388" s="1"/>
    </row>
    <row r="389" spans="4:13" x14ac:dyDescent="0.25">
      <c r="D389" s="1" t="str" cm="1">
        <f t="array" ref="D389">Common_InputFunctions.Utility_DisplayArrayInTable(SourceData_PastureBeef.SourceData_PastureBeef_FractionOfManureToMMS_Data(),Table_SourceData_PastureBeef_FractionManureToMMS[[#Headers],[State]], 0)</f>
        <v>QLD</v>
      </c>
      <c r="E389" s="30" t="str" cm="1">
        <f t="array" ref="E389">Common_InputFunctions.Utility_DisplayArrayInTable(SourceData_PastureBeef.SourceData_PastureBeef_FractionOfManureToMMS_Data(),Table_SourceData_PastureBeef_FractionManureToMMS[[#Headers],[State]], 0)</f>
        <v>High</v>
      </c>
      <c r="F389" s="30" cm="1">
        <f t="array" ref="F389">Common_InputFunctions.Utility_DisplayArrayInTable(SourceData_PastureBeef.SourceData_PastureBeef_FractionOfManureToMMS_Data(),Table_SourceData_PastureBeef_FractionManureToMMS[[#Headers],[State]], 0)</f>
        <v>99.772999999999996</v>
      </c>
      <c r="G389" s="30" cm="1">
        <f t="array" ref="G389">Common_InputFunctions.Utility_DisplayArrayInTable(SourceData_PastureBeef.SourceData_PastureBeef_FractionOfManureToMMS_Data(),Table_SourceData_PastureBeef_FractionManureToMMS[[#Headers],[State]], 0)</f>
        <v>0.22700000000000001</v>
      </c>
      <c r="M389" s="1"/>
    </row>
    <row r="390" spans="4:13" x14ac:dyDescent="0.25">
      <c r="D390" s="1" t="str" cm="1">
        <f t="array" ref="D390">Common_InputFunctions.Utility_DisplayArrayInTable(SourceData_PastureBeef.SourceData_PastureBeef_FractionOfManureToMMS_Data(),Table_SourceData_PastureBeef_FractionManureToMMS[[#Headers],[State]], 0)</f>
        <v>QLD</v>
      </c>
      <c r="E390" s="30" t="str" cm="1">
        <f t="array" ref="E390">Common_InputFunctions.Utility_DisplayArrayInTable(SourceData_PastureBeef.SourceData_PastureBeef_FractionOfManureToMMS_Data(),Table_SourceData_PastureBeef_FractionManureToMMS[[#Headers],[State]], 0)</f>
        <v>Moderate/High</v>
      </c>
      <c r="F390" s="30" cm="1">
        <f t="array" ref="F390">Common_InputFunctions.Utility_DisplayArrayInTable(SourceData_PastureBeef.SourceData_PastureBeef_FractionOfManureToMMS_Data(),Table_SourceData_PastureBeef_FractionManureToMMS[[#Headers],[State]], 0)</f>
        <v>99.897999999999996</v>
      </c>
      <c r="G390" s="30" cm="1">
        <f t="array" ref="G390">Common_InputFunctions.Utility_DisplayArrayInTable(SourceData_PastureBeef.SourceData_PastureBeef_FractionOfManureToMMS_Data(),Table_SourceData_PastureBeef_FractionManureToMMS[[#Headers],[State]], 0)</f>
        <v>0.10199999999999999</v>
      </c>
      <c r="M390" s="1"/>
    </row>
    <row r="391" spans="4:13" x14ac:dyDescent="0.25">
      <c r="D391" s="1" t="str" cm="1">
        <f t="array" ref="D391">Common_InputFunctions.Utility_DisplayArrayInTable(SourceData_PastureBeef.SourceData_PastureBeef_FractionOfManureToMMS_Data(),Table_SourceData_PastureBeef_FractionManureToMMS[[#Headers],[State]], 0)</f>
        <v>QLD</v>
      </c>
      <c r="E391" s="30" t="str" cm="1">
        <f t="array" ref="E391">Common_InputFunctions.Utility_DisplayArrayInTable(SourceData_PastureBeef.SourceData_PastureBeef_FractionOfManureToMMS_Data(),Table_SourceData_PastureBeef_FractionManureToMMS[[#Headers],[State]], 0)</f>
        <v>Moderate/Low</v>
      </c>
      <c r="F391" s="30" cm="1">
        <f t="array" ref="F391">Common_InputFunctions.Utility_DisplayArrayInTable(SourceData_PastureBeef.SourceData_PastureBeef_FractionOfManureToMMS_Data(),Table_SourceData_PastureBeef_FractionManureToMMS[[#Headers],[State]], 0)</f>
        <v>99.978999999999999</v>
      </c>
      <c r="G391" s="30" cm="1">
        <f t="array" ref="G391">Common_InputFunctions.Utility_DisplayArrayInTable(SourceData_PastureBeef.SourceData_PastureBeef_FractionOfManureToMMS_Data(),Table_SourceData_PastureBeef_FractionManureToMMS[[#Headers],[State]], 0)</f>
        <v>2.1000000000000001E-2</v>
      </c>
      <c r="M391" s="1"/>
    </row>
    <row r="392" spans="4:13" x14ac:dyDescent="0.25">
      <c r="D392" s="1" t="str" cm="1">
        <f t="array" ref="D392">Common_InputFunctions.Utility_DisplayArrayInTable(SourceData_PastureBeef.SourceData_PastureBeef_FractionOfManureToMMS_Data(),Table_SourceData_PastureBeef_FractionManureToMMS[[#Headers],[State]], 0)</f>
        <v>QLD</v>
      </c>
      <c r="E392" s="30" t="str" cm="1">
        <f t="array" ref="E392">Common_InputFunctions.Utility_DisplayArrayInTable(SourceData_PastureBeef.SourceData_PastureBeef_FractionOfManureToMMS_Data(),Table_SourceData_PastureBeef_FractionManureToMMS[[#Headers],[State]], 0)</f>
        <v>Low</v>
      </c>
      <c r="F392" s="30" cm="1">
        <f t="array" ref="F392">Common_InputFunctions.Utility_DisplayArrayInTable(SourceData_PastureBeef.SourceData_PastureBeef_FractionOfManureToMMS_Data(),Table_SourceData_PastureBeef_FractionManureToMMS[[#Headers],[State]], 0)</f>
        <v>99.977000000000004</v>
      </c>
      <c r="G392" s="30" cm="1">
        <f t="array" ref="G392">Common_InputFunctions.Utility_DisplayArrayInTable(SourceData_PastureBeef.SourceData_PastureBeef_FractionOfManureToMMS_Data(),Table_SourceData_PastureBeef_FractionManureToMMS[[#Headers],[State]], 0)</f>
        <v>2.3E-2</v>
      </c>
      <c r="M392" s="1"/>
    </row>
    <row r="393" spans="4:13" x14ac:dyDescent="0.25">
      <c r="M393" s="1"/>
    </row>
    <row r="394" spans="4:13" x14ac:dyDescent="0.25">
      <c r="M394" s="1"/>
    </row>
    <row r="395" spans="4:13" ht="23.25" x14ac:dyDescent="0.25">
      <c r="D395" s="2" t="str" cm="1">
        <f t="array" ref="D395">SourceData_PastureBeef.SourceData_PastureBeef_MethaneConversionFactorPerRegion_Title()</f>
        <v>Beef pasture cattle - Methane conversion factor per region (fraction) (MCFim)</v>
      </c>
      <c r="M395" s="1"/>
    </row>
    <row r="396" spans="4:13" x14ac:dyDescent="0.25">
      <c r="D396" s="27" t="str" cm="1">
        <f t="array" ref="D396">SourceData_PastureBeef.SourceData_PastureBeef_MethaneConversionFactorPerRegion_Source()</f>
        <v>VEERG 2026: Table A.1.2.10</v>
      </c>
      <c r="M396" s="1"/>
    </row>
    <row r="397" spans="4:13" x14ac:dyDescent="0.25">
      <c r="D397" s="1" t="str" cm="1">
        <f t="array" ref="D397">SourceData_PastureBeef.SourceData_PastureBeef_MethaneConversionFactorPerRegion_Variable()</f>
        <v>MCFim</v>
      </c>
      <c r="M397" s="1"/>
    </row>
    <row r="398" spans="4:13" x14ac:dyDescent="0.25">
      <c r="D398" s="15" t="str" cm="1">
        <f t="array" ref="D398">SourceData_PastureBeef.SourceData_PastureBeef_MethaneConversionFactorPerRegion_Unit()</f>
        <v>fraction</v>
      </c>
      <c r="M398" s="1"/>
    </row>
    <row r="399" spans="4:13" x14ac:dyDescent="0.25">
      <c r="D399" s="36" t="str" cm="1">
        <f t="array" ref="D399">SourceData_PastureBeef.SourceData_PastureBeef_MethaneConversionFactorPerRegion_Variation()</f>
        <v>VARIATION ON SOURCE: Removed comma from 'Pasture range and paddock' to aid lookup</v>
      </c>
      <c r="M399" s="1"/>
    </row>
    <row r="400" spans="4:13" x14ac:dyDescent="0.25">
      <c r="D400" s="30" t="s">
        <v>107</v>
      </c>
      <c r="E400" s="30" t="s">
        <v>312</v>
      </c>
      <c r="F400" s="30" t="s">
        <v>93</v>
      </c>
      <c r="G400" s="30" t="s">
        <v>386</v>
      </c>
      <c r="M400" s="1"/>
    </row>
    <row r="401" spans="4:13" x14ac:dyDescent="0.25">
      <c r="D401" s="30" t="str" cm="1">
        <f t="array" ref="D401">Common_InputFunctions.Utility_DisplayArrayInTable(SourceData_PastureBeef.SourceData_PastureBeef_MethaneConversionFactorPerRegion_Data(), Table_SourceData_PastureBeef_MethaneConversionFactor[[#Headers],[State]], 0)</f>
        <v>ACT</v>
      </c>
      <c r="E401" s="30" t="str" cm="1">
        <f t="array" ref="E401">Common_InputFunctions.Utility_DisplayArrayInTable(SourceData_PastureBeef.SourceData_PastureBeef_MethaneConversionFactorPerRegion_Data(), Table_SourceData_PastureBeef_MethaneConversionFactor[[#Headers],[State]], 0)</f>
        <v>n/a</v>
      </c>
      <c r="F401" s="30" cm="1">
        <f t="array" ref="F401">Common_InputFunctions.Utility_DisplayArrayInTable(SourceData_PastureBeef.SourceData_PastureBeef_MethaneConversionFactorPerRegion_Data(), Table_SourceData_PastureBeef_MethaneConversionFactor[[#Headers],[State]], 0)</f>
        <v>4.7000000000000002E-3</v>
      </c>
      <c r="G401" s="30" cm="1">
        <f t="array" ref="G401">Common_InputFunctions.Utility_DisplayArrayInTable(SourceData_PastureBeef.SourceData_PastureBeef_MethaneConversionFactorPerRegion_Data(), Table_SourceData_PastureBeef_MethaneConversionFactor[[#Headers],[State]], 0)</f>
        <v>0.71</v>
      </c>
      <c r="M401" s="1"/>
    </row>
    <row r="402" spans="4:13" x14ac:dyDescent="0.25">
      <c r="D402" s="30" t="str" cm="1">
        <f t="array" ref="D402">Common_InputFunctions.Utility_DisplayArrayInTable(SourceData_PastureBeef.SourceData_PastureBeef_MethaneConversionFactorPerRegion_Data(), Table_SourceData_PastureBeef_MethaneConversionFactor[[#Headers],[State]], 0)</f>
        <v>NSW</v>
      </c>
      <c r="E402" s="30" t="str" cm="1">
        <f t="array" ref="E402">Common_InputFunctions.Utility_DisplayArrayInTable(SourceData_PastureBeef.SourceData_PastureBeef_MethaneConversionFactorPerRegion_Data(), Table_SourceData_PastureBeef_MethaneConversionFactor[[#Headers],[State]], 0)</f>
        <v>n/a</v>
      </c>
      <c r="F402" s="30" cm="1">
        <f t="array" ref="F402">Common_InputFunctions.Utility_DisplayArrayInTable(SourceData_PastureBeef.SourceData_PastureBeef_MethaneConversionFactorPerRegion_Data(), Table_SourceData_PastureBeef_MethaneConversionFactor[[#Headers],[State]], 0)</f>
        <v>4.7000000000000002E-3</v>
      </c>
      <c r="G402" s="30" cm="1">
        <f t="array" ref="G402">Common_InputFunctions.Utility_DisplayArrayInTable(SourceData_PastureBeef.SourceData_PastureBeef_MethaneConversionFactorPerRegion_Data(), Table_SourceData_PastureBeef_MethaneConversionFactor[[#Headers],[State]], 0)</f>
        <v>0.75</v>
      </c>
      <c r="M402" s="1"/>
    </row>
    <row r="403" spans="4:13" x14ac:dyDescent="0.25">
      <c r="D403" s="30" t="str" cm="1">
        <f t="array" ref="D403">Common_InputFunctions.Utility_DisplayArrayInTable(SourceData_PastureBeef.SourceData_PastureBeef_MethaneConversionFactorPerRegion_Data(), Table_SourceData_PastureBeef_MethaneConversionFactor[[#Headers],[State]], 0)</f>
        <v>SA</v>
      </c>
      <c r="E403" s="30" t="str" cm="1">
        <f t="array" ref="E403">Common_InputFunctions.Utility_DisplayArrayInTable(SourceData_PastureBeef.SourceData_PastureBeef_MethaneConversionFactorPerRegion_Data(), Table_SourceData_PastureBeef_MethaneConversionFactor[[#Headers],[State]], 0)</f>
        <v>n/a</v>
      </c>
      <c r="F403" s="30" cm="1">
        <f t="array" ref="F403">Common_InputFunctions.Utility_DisplayArrayInTable(SourceData_PastureBeef.SourceData_PastureBeef_MethaneConversionFactorPerRegion_Data(), Table_SourceData_PastureBeef_MethaneConversionFactor[[#Headers],[State]], 0)</f>
        <v>4.7000000000000002E-3</v>
      </c>
      <c r="G403" s="30" cm="1">
        <f t="array" ref="G403">Common_InputFunctions.Utility_DisplayArrayInTable(SourceData_PastureBeef.SourceData_PastureBeef_MethaneConversionFactorPerRegion_Data(), Table_SourceData_PastureBeef_MethaneConversionFactor[[#Headers],[State]], 0)</f>
        <v>0.74</v>
      </c>
      <c r="M403" s="1"/>
    </row>
    <row r="404" spans="4:13" x14ac:dyDescent="0.25">
      <c r="D404" s="30" t="str" cm="1">
        <f t="array" ref="D404">Common_InputFunctions.Utility_DisplayArrayInTable(SourceData_PastureBeef.SourceData_PastureBeef_MethaneConversionFactorPerRegion_Data(), Table_SourceData_PastureBeef_MethaneConversionFactor[[#Headers],[State]], 0)</f>
        <v>TAS</v>
      </c>
      <c r="E404" s="30" t="str" cm="1">
        <f t="array" ref="E404">Common_InputFunctions.Utility_DisplayArrayInTable(SourceData_PastureBeef.SourceData_PastureBeef_MethaneConversionFactorPerRegion_Data(), Table_SourceData_PastureBeef_MethaneConversionFactor[[#Headers],[State]], 0)</f>
        <v>n/a</v>
      </c>
      <c r="F404" s="30" cm="1">
        <f t="array" ref="F404">Common_InputFunctions.Utility_DisplayArrayInTable(SourceData_PastureBeef.SourceData_PastureBeef_MethaneConversionFactorPerRegion_Data(), Table_SourceData_PastureBeef_MethaneConversionFactor[[#Headers],[State]], 0)</f>
        <v>4.7000000000000002E-3</v>
      </c>
      <c r="G404" s="30" cm="1">
        <f t="array" ref="G404">Common_InputFunctions.Utility_DisplayArrayInTable(SourceData_PastureBeef.SourceData_PastureBeef_MethaneConversionFactorPerRegion_Data(), Table_SourceData_PastureBeef_MethaneConversionFactor[[#Headers],[State]], 0)</f>
        <v>0.7</v>
      </c>
      <c r="M404" s="1"/>
    </row>
    <row r="405" spans="4:13" x14ac:dyDescent="0.25">
      <c r="D405" s="30" t="str" cm="1">
        <f t="array" ref="D405">Common_InputFunctions.Utility_DisplayArrayInTable(SourceData_PastureBeef.SourceData_PastureBeef_MethaneConversionFactorPerRegion_Data(), Table_SourceData_PastureBeef_MethaneConversionFactor[[#Headers],[State]], 0)</f>
        <v>VIC</v>
      </c>
      <c r="E405" s="30" t="str" cm="1">
        <f t="array" ref="E405">Common_InputFunctions.Utility_DisplayArrayInTable(SourceData_PastureBeef.SourceData_PastureBeef_MethaneConversionFactorPerRegion_Data(), Table_SourceData_PastureBeef_MethaneConversionFactor[[#Headers],[State]], 0)</f>
        <v>n/a</v>
      </c>
      <c r="F405" s="30" cm="1">
        <f t="array" ref="F405">Common_InputFunctions.Utility_DisplayArrayInTable(SourceData_PastureBeef.SourceData_PastureBeef_MethaneConversionFactorPerRegion_Data(), Table_SourceData_PastureBeef_MethaneConversionFactor[[#Headers],[State]], 0)</f>
        <v>4.7000000000000002E-3</v>
      </c>
      <c r="G405" s="30" cm="1">
        <f t="array" ref="G405">Common_InputFunctions.Utility_DisplayArrayInTable(SourceData_PastureBeef.SourceData_PastureBeef_MethaneConversionFactorPerRegion_Data(), Table_SourceData_PastureBeef_MethaneConversionFactor[[#Headers],[State]], 0)</f>
        <v>0.74</v>
      </c>
      <c r="M405" s="1"/>
    </row>
    <row r="406" spans="4:13" x14ac:dyDescent="0.25">
      <c r="D406" s="30" t="str" cm="1">
        <f t="array" ref="D406">Common_InputFunctions.Utility_DisplayArrayInTable(SourceData_PastureBeef.SourceData_PastureBeef_MethaneConversionFactorPerRegion_Data(), Table_SourceData_PastureBeef_MethaneConversionFactor[[#Headers],[State]], 0)</f>
        <v>WA</v>
      </c>
      <c r="E406" s="30" t="str" cm="1">
        <f t="array" ref="E406">Common_InputFunctions.Utility_DisplayArrayInTable(SourceData_PastureBeef.SourceData_PastureBeef_MethaneConversionFactorPerRegion_Data(), Table_SourceData_PastureBeef_MethaneConversionFactor[[#Headers],[State]], 0)</f>
        <v>South West</v>
      </c>
      <c r="F406" s="30" cm="1">
        <f t="array" ref="F406">Common_InputFunctions.Utility_DisplayArrayInTable(SourceData_PastureBeef.SourceData_PastureBeef_MethaneConversionFactorPerRegion_Data(), Table_SourceData_PastureBeef_MethaneConversionFactor[[#Headers],[State]], 0)</f>
        <v>4.7000000000000002E-3</v>
      </c>
      <c r="G406" s="30" cm="1">
        <f t="array" ref="G406">Common_InputFunctions.Utility_DisplayArrayInTable(SourceData_PastureBeef.SourceData_PastureBeef_MethaneConversionFactorPerRegion_Data(), Table_SourceData_PastureBeef_MethaneConversionFactor[[#Headers],[State]], 0)</f>
        <v>0.76</v>
      </c>
      <c r="M406" s="1"/>
    </row>
    <row r="407" spans="4:13" x14ac:dyDescent="0.25">
      <c r="D407" s="30" t="str" cm="1">
        <f t="array" ref="D407">Common_InputFunctions.Utility_DisplayArrayInTable(SourceData_PastureBeef.SourceData_PastureBeef_MethaneConversionFactorPerRegion_Data(), Table_SourceData_PastureBeef_MethaneConversionFactor[[#Headers],[State]], 0)</f>
        <v>WA</v>
      </c>
      <c r="E407" s="30" t="str" cm="1">
        <f t="array" ref="E407">Common_InputFunctions.Utility_DisplayArrayInTable(SourceData_PastureBeef.SourceData_PastureBeef_MethaneConversionFactorPerRegion_Data(), Table_SourceData_PastureBeef_MethaneConversionFactor[[#Headers],[State]], 0)</f>
        <v>Pilbara</v>
      </c>
      <c r="F407" s="30" cm="1">
        <f t="array" ref="F407">Common_InputFunctions.Utility_DisplayArrayInTable(SourceData_PastureBeef.SourceData_PastureBeef_MethaneConversionFactorPerRegion_Data(), Table_SourceData_PastureBeef_MethaneConversionFactor[[#Headers],[State]], 0)</f>
        <v>4.7000000000000002E-3</v>
      </c>
      <c r="G407" s="30" cm="1">
        <f t="array" ref="G407">Common_InputFunctions.Utility_DisplayArrayInTable(SourceData_PastureBeef.SourceData_PastureBeef_MethaneConversionFactorPerRegion_Data(), Table_SourceData_PastureBeef_MethaneConversionFactor[[#Headers],[State]], 0)</f>
        <v>0.76</v>
      </c>
      <c r="M407" s="1"/>
    </row>
    <row r="408" spans="4:13" x14ac:dyDescent="0.25">
      <c r="D408" s="30" t="str" cm="1">
        <f t="array" ref="D408">Common_InputFunctions.Utility_DisplayArrayInTable(SourceData_PastureBeef.SourceData_PastureBeef_MethaneConversionFactorPerRegion_Data(), Table_SourceData_PastureBeef_MethaneConversionFactor[[#Headers],[State]], 0)</f>
        <v>WA</v>
      </c>
      <c r="E408" s="30" t="str" cm="1">
        <f t="array" ref="E408">Common_InputFunctions.Utility_DisplayArrayInTable(SourceData_PastureBeef.SourceData_PastureBeef_MethaneConversionFactorPerRegion_Data(), Table_SourceData_PastureBeef_MethaneConversionFactor[[#Headers],[State]], 0)</f>
        <v>Kimberley</v>
      </c>
      <c r="F408" s="30" cm="1">
        <f t="array" ref="F408">Common_InputFunctions.Utility_DisplayArrayInTable(SourceData_PastureBeef.SourceData_PastureBeef_MethaneConversionFactorPerRegion_Data(), Table_SourceData_PastureBeef_MethaneConversionFactor[[#Headers],[State]], 0)</f>
        <v>4.7000000000000002E-3</v>
      </c>
      <c r="G408" s="30" cm="1">
        <f t="array" ref="G408">Common_InputFunctions.Utility_DisplayArrayInTable(SourceData_PastureBeef.SourceData_PastureBeef_MethaneConversionFactorPerRegion_Data(), Table_SourceData_PastureBeef_MethaneConversionFactor[[#Headers],[State]], 0)</f>
        <v>0.76</v>
      </c>
      <c r="M408" s="1"/>
    </row>
    <row r="409" spans="4:13" x14ac:dyDescent="0.25">
      <c r="D409" s="30" t="str" cm="1">
        <f t="array" ref="D409">Common_InputFunctions.Utility_DisplayArrayInTable(SourceData_PastureBeef.SourceData_PastureBeef_MethaneConversionFactorPerRegion_Data(), Table_SourceData_PastureBeef_MethaneConversionFactor[[#Headers],[State]], 0)</f>
        <v>NT</v>
      </c>
      <c r="E409" s="30" t="str" cm="1">
        <f t="array" ref="E409">Common_InputFunctions.Utility_DisplayArrayInTable(SourceData_PastureBeef.SourceData_PastureBeef_MethaneConversionFactorPerRegion_Data(), Table_SourceData_PastureBeef_MethaneConversionFactor[[#Headers],[State]], 0)</f>
        <v>Alice Springs</v>
      </c>
      <c r="F409" s="30" cm="1">
        <f t="array" ref="F409">Common_InputFunctions.Utility_DisplayArrayInTable(SourceData_PastureBeef.SourceData_PastureBeef_MethaneConversionFactorPerRegion_Data(), Table_SourceData_PastureBeef_MethaneConversionFactor[[#Headers],[State]], 0)</f>
        <v>4.7000000000000002E-3</v>
      </c>
      <c r="G409" s="30" cm="1">
        <f t="array" ref="G409">Common_InputFunctions.Utility_DisplayArrayInTable(SourceData_PastureBeef.SourceData_PastureBeef_MethaneConversionFactorPerRegion_Data(), Table_SourceData_PastureBeef_MethaneConversionFactor[[#Headers],[State]], 0)</f>
        <v>0.8</v>
      </c>
      <c r="M409" s="1"/>
    </row>
    <row r="410" spans="4:13" x14ac:dyDescent="0.25">
      <c r="D410" s="30" t="str" cm="1">
        <f t="array" ref="D410">Common_InputFunctions.Utility_DisplayArrayInTable(SourceData_PastureBeef.SourceData_PastureBeef_MethaneConversionFactorPerRegion_Data(), Table_SourceData_PastureBeef_MethaneConversionFactor[[#Headers],[State]], 0)</f>
        <v>NT</v>
      </c>
      <c r="E410" s="30" t="str" cm="1">
        <f t="array" ref="E410">Common_InputFunctions.Utility_DisplayArrayInTable(SourceData_PastureBeef.SourceData_PastureBeef_MethaneConversionFactorPerRegion_Data(), Table_SourceData_PastureBeef_MethaneConversionFactor[[#Headers],[State]], 0)</f>
        <v>Barkly</v>
      </c>
      <c r="F410" s="30" cm="1">
        <f t="array" ref="F410">Common_InputFunctions.Utility_DisplayArrayInTable(SourceData_PastureBeef.SourceData_PastureBeef_MethaneConversionFactorPerRegion_Data(), Table_SourceData_PastureBeef_MethaneConversionFactor[[#Headers],[State]], 0)</f>
        <v>4.7000000000000002E-3</v>
      </c>
      <c r="G410" s="30" cm="1">
        <f t="array" ref="G410">Common_InputFunctions.Utility_DisplayArrayInTable(SourceData_PastureBeef.SourceData_PastureBeef_MethaneConversionFactorPerRegion_Data(), Table_SourceData_PastureBeef_MethaneConversionFactor[[#Headers],[State]], 0)</f>
        <v>0.8</v>
      </c>
      <c r="M410" s="1"/>
    </row>
    <row r="411" spans="4:13" x14ac:dyDescent="0.25">
      <c r="D411" s="30" t="str" cm="1">
        <f t="array" ref="D411">Common_InputFunctions.Utility_DisplayArrayInTable(SourceData_PastureBeef.SourceData_PastureBeef_MethaneConversionFactorPerRegion_Data(), Table_SourceData_PastureBeef_MethaneConversionFactor[[#Headers],[State]], 0)</f>
        <v>NT</v>
      </c>
      <c r="E411" s="30" t="str" cm="1">
        <f t="array" ref="E411">Common_InputFunctions.Utility_DisplayArrayInTable(SourceData_PastureBeef.SourceData_PastureBeef_MethaneConversionFactorPerRegion_Data(), Table_SourceData_PastureBeef_MethaneConversionFactor[[#Headers],[State]], 0)</f>
        <v>Northern</v>
      </c>
      <c r="F411" s="30" cm="1">
        <f t="array" ref="F411">Common_InputFunctions.Utility_DisplayArrayInTable(SourceData_PastureBeef.SourceData_PastureBeef_MethaneConversionFactorPerRegion_Data(), Table_SourceData_PastureBeef_MethaneConversionFactor[[#Headers],[State]], 0)</f>
        <v>4.7000000000000002E-3</v>
      </c>
      <c r="G411" s="30" cm="1">
        <f t="array" ref="G411">Common_InputFunctions.Utility_DisplayArrayInTable(SourceData_PastureBeef.SourceData_PastureBeef_MethaneConversionFactorPerRegion_Data(), Table_SourceData_PastureBeef_MethaneConversionFactor[[#Headers],[State]], 0)</f>
        <v>0.8</v>
      </c>
      <c r="M411" s="1"/>
    </row>
    <row r="412" spans="4:13" x14ac:dyDescent="0.25">
      <c r="D412" s="30" t="str" cm="1">
        <f t="array" ref="D412">Common_InputFunctions.Utility_DisplayArrayInTable(SourceData_PastureBeef.SourceData_PastureBeef_MethaneConversionFactorPerRegion_Data(), Table_SourceData_PastureBeef_MethaneConversionFactor[[#Headers],[State]], 0)</f>
        <v>QLD</v>
      </c>
      <c r="E412" s="30" t="str" cm="1">
        <f t="array" ref="E412">Common_InputFunctions.Utility_DisplayArrayInTable(SourceData_PastureBeef.SourceData_PastureBeef_MethaneConversionFactorPerRegion_Data(), Table_SourceData_PastureBeef_MethaneConversionFactor[[#Headers],[State]], 0)</f>
        <v>High</v>
      </c>
      <c r="F412" s="30" cm="1">
        <f t="array" ref="F412">Common_InputFunctions.Utility_DisplayArrayInTable(SourceData_PastureBeef.SourceData_PastureBeef_MethaneConversionFactorPerRegion_Data(), Table_SourceData_PastureBeef_MethaneConversionFactor[[#Headers],[State]], 0)</f>
        <v>4.7000000000000002E-3</v>
      </c>
      <c r="G412" s="30" cm="1">
        <f t="array" ref="G412">Common_InputFunctions.Utility_DisplayArrayInTable(SourceData_PastureBeef.SourceData_PastureBeef_MethaneConversionFactorPerRegion_Data(), Table_SourceData_PastureBeef_MethaneConversionFactor[[#Headers],[State]], 0)</f>
        <v>0.78</v>
      </c>
      <c r="M412" s="1"/>
    </row>
    <row r="413" spans="4:13" x14ac:dyDescent="0.25">
      <c r="D413" s="30" t="str" cm="1">
        <f t="array" ref="D413">Common_InputFunctions.Utility_DisplayArrayInTable(SourceData_PastureBeef.SourceData_PastureBeef_MethaneConversionFactorPerRegion_Data(), Table_SourceData_PastureBeef_MethaneConversionFactor[[#Headers],[State]], 0)</f>
        <v>QLD</v>
      </c>
      <c r="E413" s="30" t="str" cm="1">
        <f t="array" ref="E413">Common_InputFunctions.Utility_DisplayArrayInTable(SourceData_PastureBeef.SourceData_PastureBeef_MethaneConversionFactorPerRegion_Data(), Table_SourceData_PastureBeef_MethaneConversionFactor[[#Headers],[State]], 0)</f>
        <v>Moderate/High</v>
      </c>
      <c r="F413" s="30" cm="1">
        <f t="array" ref="F413">Common_InputFunctions.Utility_DisplayArrayInTable(SourceData_PastureBeef.SourceData_PastureBeef_MethaneConversionFactorPerRegion_Data(), Table_SourceData_PastureBeef_MethaneConversionFactor[[#Headers],[State]], 0)</f>
        <v>4.7000000000000002E-3</v>
      </c>
      <c r="G413" s="30" cm="1">
        <f t="array" ref="G413">Common_InputFunctions.Utility_DisplayArrayInTable(SourceData_PastureBeef.SourceData_PastureBeef_MethaneConversionFactorPerRegion_Data(), Table_SourceData_PastureBeef_MethaneConversionFactor[[#Headers],[State]], 0)</f>
        <v>0.78</v>
      </c>
      <c r="M413" s="1"/>
    </row>
    <row r="414" spans="4:13" x14ac:dyDescent="0.25">
      <c r="D414" s="30" t="str" cm="1">
        <f t="array" ref="D414">Common_InputFunctions.Utility_DisplayArrayInTable(SourceData_PastureBeef.SourceData_PastureBeef_MethaneConversionFactorPerRegion_Data(), Table_SourceData_PastureBeef_MethaneConversionFactor[[#Headers],[State]], 0)</f>
        <v>QLD</v>
      </c>
      <c r="E414" s="30" t="str" cm="1">
        <f t="array" ref="E414">Common_InputFunctions.Utility_DisplayArrayInTable(SourceData_PastureBeef.SourceData_PastureBeef_MethaneConversionFactorPerRegion_Data(), Table_SourceData_PastureBeef_MethaneConversionFactor[[#Headers],[State]], 0)</f>
        <v>Moderate/Low</v>
      </c>
      <c r="F414" s="30" cm="1">
        <f t="array" ref="F414">Common_InputFunctions.Utility_DisplayArrayInTable(SourceData_PastureBeef.SourceData_PastureBeef_MethaneConversionFactorPerRegion_Data(), Table_SourceData_PastureBeef_MethaneConversionFactor[[#Headers],[State]], 0)</f>
        <v>4.7000000000000002E-3</v>
      </c>
      <c r="G414" s="30" cm="1">
        <f t="array" ref="G414">Common_InputFunctions.Utility_DisplayArrayInTable(SourceData_PastureBeef.SourceData_PastureBeef_MethaneConversionFactorPerRegion_Data(), Table_SourceData_PastureBeef_MethaneConversionFactor[[#Headers],[State]], 0)</f>
        <v>0.78</v>
      </c>
      <c r="M414" s="1"/>
    </row>
    <row r="415" spans="4:13" x14ac:dyDescent="0.25">
      <c r="D415" s="30" t="str" cm="1">
        <f t="array" ref="D415">Common_InputFunctions.Utility_DisplayArrayInTable(SourceData_PastureBeef.SourceData_PastureBeef_MethaneConversionFactorPerRegion_Data(), Table_SourceData_PastureBeef_MethaneConversionFactor[[#Headers],[State]], 0)</f>
        <v>QLD</v>
      </c>
      <c r="E415" s="30" t="str" cm="1">
        <f t="array" ref="E415">Common_InputFunctions.Utility_DisplayArrayInTable(SourceData_PastureBeef.SourceData_PastureBeef_MethaneConversionFactorPerRegion_Data(), Table_SourceData_PastureBeef_MethaneConversionFactor[[#Headers],[State]], 0)</f>
        <v>Low</v>
      </c>
      <c r="F415" s="30" cm="1">
        <f t="array" ref="F415">Common_InputFunctions.Utility_DisplayArrayInTable(SourceData_PastureBeef.SourceData_PastureBeef_MethaneConversionFactorPerRegion_Data(), Table_SourceData_PastureBeef_MethaneConversionFactor[[#Headers],[State]], 0)</f>
        <v>4.7000000000000002E-3</v>
      </c>
      <c r="G415" s="30" cm="1">
        <f t="array" ref="G415">Common_InputFunctions.Utility_DisplayArrayInTable(SourceData_PastureBeef.SourceData_PastureBeef_MethaneConversionFactorPerRegion_Data(), Table_SourceData_PastureBeef_MethaneConversionFactor[[#Headers],[State]], 0)</f>
        <v>0.78</v>
      </c>
      <c r="M415" s="1"/>
    </row>
    <row r="416" spans="4:13" x14ac:dyDescent="0.25">
      <c r="M416" s="1"/>
    </row>
    <row r="417" spans="4:13" x14ac:dyDescent="0.25">
      <c r="M417" s="1"/>
    </row>
    <row r="418" spans="4:13" ht="23.25" x14ac:dyDescent="0.25">
      <c r="D418" s="2" t="str" cm="1">
        <f t="array" ref="D418">SourceData_PastureBeef.SourceData_PastureBeef_AshContentOfFeedIntake_Title()</f>
        <v>Ash content of feed intake</v>
      </c>
      <c r="M418" s="1"/>
    </row>
    <row r="419" spans="4:13" x14ac:dyDescent="0.25">
      <c r="D419" s="27" t="str" cm="1">
        <f t="array" ref="D419">SourceData_PastureBeef.SourceData_PastureBeef_AshContentOfFeedIntake_Source()</f>
        <v>VEERG 2026: 4.2.2.3 CONSTANTS</v>
      </c>
      <c r="M419" s="1"/>
    </row>
    <row r="420" spans="4:13" x14ac:dyDescent="0.25">
      <c r="D420" s="1" t="str" cm="1">
        <f t="array" ref="D420">SourceData_PastureBeef.SourceData_PastureBeef_AshContentOfFeedIntake_Variable()</f>
        <v>A</v>
      </c>
      <c r="M420" s="1"/>
    </row>
    <row r="421" spans="4:13" x14ac:dyDescent="0.25">
      <c r="D421" s="15" t="str" cm="1">
        <f t="array" ref="D421">SourceData_PastureBeef.SourceData_PastureBeef_AshContentOfFeedIntake_Unit()</f>
        <v>fraction</v>
      </c>
      <c r="M421" s="1"/>
    </row>
    <row r="422" spans="4:13" x14ac:dyDescent="0.25">
      <c r="D422" s="88" cm="1">
        <f t="array" ref="D422">SourceData_PastureBeef.SourceData_PastureBeef_AshContentOfFeedIntake_Data()</f>
        <v>0.08</v>
      </c>
      <c r="M422" s="1"/>
    </row>
    <row r="423" spans="4:13" x14ac:dyDescent="0.25">
      <c r="M423" s="1"/>
    </row>
    <row r="424" spans="4:13" ht="23.25" x14ac:dyDescent="0.25">
      <c r="D424" s="2" t="str" cm="1">
        <f t="array" ref="D424">SourceData_PastureBeef.SourceData_PastureBeef_MethaneEmissionsPotential_Title()</f>
        <v>Methane emissions potential</v>
      </c>
      <c r="M424" s="1"/>
    </row>
    <row r="425" spans="4:13" x14ac:dyDescent="0.25">
      <c r="D425" s="27" t="str" cm="1">
        <f t="array" ref="D425">SourceData_PastureBeef.SourceData_PastureBeef_MethaneEmissionsPotential_Source()</f>
        <v>VEERG 2026: 4.2.2.3 CONSTANTS</v>
      </c>
      <c r="M425" s="1"/>
    </row>
    <row r="426" spans="4:13" x14ac:dyDescent="0.25">
      <c r="D426" s="1" t="str" cm="1">
        <f t="array" ref="D426">SourceData_PastureBeef.SourceData_PastureBeef_MethaneEmissionsPotential_Variable()</f>
        <v>B0</v>
      </c>
      <c r="M426" s="1"/>
    </row>
    <row r="427" spans="4:13" x14ac:dyDescent="0.25">
      <c r="D427" s="15" t="str" cm="1">
        <f t="array" ref="D427">SourceData_PastureBeef.SourceData_PastureBeef_MethaneEmissionsPotential_Unit()</f>
        <v>m3 CH4 / kg VS</v>
      </c>
      <c r="M427" s="1"/>
    </row>
    <row r="428" spans="4:13" x14ac:dyDescent="0.25">
      <c r="D428" s="88" cm="1">
        <f t="array" ref="D428">SourceData_PastureBeef.SourceData_PastureBeef_MethaneEmissionsPotential_Data()</f>
        <v>0.19</v>
      </c>
      <c r="M428" s="1"/>
    </row>
    <row r="429" spans="4:13" x14ac:dyDescent="0.25">
      <c r="M429" s="1"/>
    </row>
    <row r="430" spans="4:13" ht="23.25" x14ac:dyDescent="0.25">
      <c r="D430" s="2" t="str" cm="1">
        <f t="array" ref="D430">SourceData_PastureBeef.SourceData_PastureBeef_FracGASMSoil_Title()</f>
        <v>Fraction of nitrogen volatilised from urine and faeces deposited on pasture</v>
      </c>
      <c r="M430" s="1"/>
    </row>
    <row r="431" spans="4:13" x14ac:dyDescent="0.25">
      <c r="D431" s="27" t="str" cm="1">
        <f t="array" ref="D431">SourceData_PastureBeef.SourceData_PastureBeef_FracGASMSoil_Source()</f>
        <v>VEERG 2026: 4.2.2.3 CONSTANTS</v>
      </c>
      <c r="M431" s="1"/>
    </row>
    <row r="432" spans="4:13" x14ac:dyDescent="0.25">
      <c r="D432" s="1" t="str" cm="1">
        <f t="array" ref="D432">SourceData_PastureBeef.SourceData_PastureBeef_FracGASMSoil_Variable()</f>
        <v>FracGASMSoil</v>
      </c>
      <c r="M432" s="1"/>
    </row>
    <row r="433" spans="4:13" x14ac:dyDescent="0.25">
      <c r="D433" s="15" t="str" cm="1">
        <f t="array" ref="D433">SourceData_PastureBeef.SourceData_PastureBeef_FracGASMSoil_Unit()</f>
        <v>fraction</v>
      </c>
      <c r="M433" s="1"/>
    </row>
    <row r="434" spans="4:13" x14ac:dyDescent="0.25">
      <c r="D434" s="88" cm="1">
        <f t="array" ref="D434">SourceData_PastureBeef.SourceData_PastureBeef_FracGASMSoil_Data()</f>
        <v>0.21</v>
      </c>
      <c r="M434" s="1"/>
    </row>
    <row r="435" spans="4:13" x14ac:dyDescent="0.25">
      <c r="M435" s="1"/>
    </row>
    <row r="436" spans="4:13" ht="23.25" x14ac:dyDescent="0.25">
      <c r="D436" s="2" t="str" cm="1">
        <f t="array" ref="D436">SourceData_PastureBeef.SourceData_PastureBeef_FracLEACH_Title()</f>
        <v>Default fraction of N that is lost through leaching and runoff</v>
      </c>
      <c r="M436" s="1"/>
    </row>
    <row r="437" spans="4:13" x14ac:dyDescent="0.25">
      <c r="D437" s="27" t="str" cm="1">
        <f t="array" ref="D437">SourceData_PastureBeef.SourceData_PastureBeef_FracLEACH_Source()</f>
        <v>VEERG 2026: 4.2.2.3 CONSTANTS</v>
      </c>
      <c r="M437" s="1"/>
    </row>
    <row r="438" spans="4:13" x14ac:dyDescent="0.25">
      <c r="D438" s="1" t="str" cm="1">
        <f t="array" ref="D438">SourceData_PastureBeef.SourceData_PastureBeef_FracLEACH_Variable()</f>
        <v>FracLEACH</v>
      </c>
      <c r="M438" s="1"/>
    </row>
    <row r="439" spans="4:13" x14ac:dyDescent="0.25">
      <c r="D439" s="15" t="str" cm="1">
        <f t="array" ref="D439">SourceData_PastureBeef.SourceData_PastureBeef_FracLEACH_Unit()</f>
        <v>fraction</v>
      </c>
      <c r="M439" s="1"/>
    </row>
    <row r="440" spans="4:13" x14ac:dyDescent="0.25">
      <c r="D440" s="88" cm="1">
        <f t="array" ref="D440">SourceData_PastureBeef.SourceData_PastureBeef_FracLEACH_Data()</f>
        <v>0.24</v>
      </c>
      <c r="M440" s="1"/>
    </row>
    <row r="441" spans="4:13" x14ac:dyDescent="0.25">
      <c r="M441" s="1"/>
    </row>
    <row r="442" spans="4:13" x14ac:dyDescent="0.25">
      <c r="D442" s="30" t="s">
        <v>387</v>
      </c>
      <c r="E442" s="30" t="s">
        <v>153</v>
      </c>
      <c r="F442" s="30" t="s">
        <v>388</v>
      </c>
      <c r="G442" s="30" t="s">
        <v>389</v>
      </c>
      <c r="H442" s="30" t="s">
        <v>390</v>
      </c>
      <c r="I442" s="30" t="s">
        <v>391</v>
      </c>
      <c r="M442" s="1"/>
    </row>
    <row r="443" spans="4:13" x14ac:dyDescent="0.25">
      <c r="D443" s="30" t="str" cm="1">
        <f t="array" ref="D443">Common_InputFunctions.Utility_DisplayArrayInTable(Scope3_SourceData.Scope3_Livestock_Data(), Table_SourceData_Scope3_Animals[[#Headers],[Category]], 0, 2)</f>
        <v>Beef cattle</v>
      </c>
      <c r="E443" s="30" t="str" cm="1">
        <f t="array" ref="E443">Common_InputFunctions.Utility_DisplayArrayInTable(Scope3_SourceData.Scope3_Livestock_Data(), Table_SourceData_Scope3_Animals[[#Headers],[Category]], 0, 2)</f>
        <v>Cattle, for manufacturing beef</v>
      </c>
      <c r="F443" s="30" t="str" cm="1">
        <f t="array" ref="F443">Common_InputFunctions.Utility_DisplayArrayInTable(Scope3_SourceData.Scope3_Livestock_Data(), Table_SourceData_Scope3_Animals[[#Headers],[Category]], 0, 2)</f>
        <v>Australia</v>
      </c>
      <c r="G443" s="30" t="str" cm="1">
        <f t="array" ref="G443">Common_InputFunctions.Utility_DisplayArrayInTable(Scope3_SourceData.Scope3_Livestock_Data(), Table_SourceData_Scope3_Animals[[#Headers],[Category]], 0, 2)</f>
        <v>kg liveweight</v>
      </c>
      <c r="H443" s="30" cm="1">
        <f t="array" ref="H443">Common_InputFunctions.Utility_DisplayArrayInTable(Scope3_SourceData.Scope3_Livestock_Data(), Table_SourceData_Scope3_Animals[[#Headers],[Category]], 0, 2)</f>
        <v>11</v>
      </c>
      <c r="I443" s="30" t="str" cm="1">
        <f t="array" ref="I443">Common_InputFunctions.Utility_DisplayArrayInTable(Scope3_SourceData.Scope3_Livestock_Data(), Table_SourceData_Scope3_Animals[[#Headers],[Category]], 0, 2)</f>
        <v>at market</v>
      </c>
      <c r="M443" s="1"/>
    </row>
    <row r="444" spans="4:13" x14ac:dyDescent="0.25">
      <c r="D444" s="30" t="str" cm="1">
        <f t="array" ref="D444">Common_InputFunctions.Utility_DisplayArrayInTable(Scope3_SourceData.Scope3_Livestock_Data(), Table_SourceData_Scope3_Animals[[#Headers],[Category]], 0, 2)</f>
        <v>Beef cattle</v>
      </c>
      <c r="E444" s="30" t="str" cm="1">
        <f t="array" ref="E444">Common_InputFunctions.Utility_DisplayArrayInTable(Scope3_SourceData.Scope3_Livestock_Data(), Table_SourceData_Scope3_Animals[[#Headers],[Category]], 0, 2)</f>
        <v>Cattle, for manufacturing beef</v>
      </c>
      <c r="F444" s="30" t="str" cm="1">
        <f t="array" ref="F444">Common_InputFunctions.Utility_DisplayArrayInTable(Scope3_SourceData.Scope3_Livestock_Data(), Table_SourceData_Scope3_Animals[[#Headers],[Category]], 0, 2)</f>
        <v>NSW</v>
      </c>
      <c r="G444" s="30" t="str" cm="1">
        <f t="array" ref="G444">Common_InputFunctions.Utility_DisplayArrayInTable(Scope3_SourceData.Scope3_Livestock_Data(), Table_SourceData_Scope3_Animals[[#Headers],[Category]], 0, 2)</f>
        <v>kg liveweight</v>
      </c>
      <c r="H444" s="30" cm="1">
        <f t="array" ref="H444">Common_InputFunctions.Utility_DisplayArrayInTable(Scope3_SourceData.Scope3_Livestock_Data(), Table_SourceData_Scope3_Animals[[#Headers],[Category]], 0, 2)</f>
        <v>8.2100000000000009</v>
      </c>
      <c r="I444" s="30" t="str" cm="1">
        <f t="array" ref="I444">Common_InputFunctions.Utility_DisplayArrayInTable(Scope3_SourceData.Scope3_Livestock_Data(), Table_SourceData_Scope3_Animals[[#Headers],[Category]], 0, 2)</f>
        <v>at market</v>
      </c>
      <c r="M444" s="1"/>
    </row>
    <row r="445" spans="4:13" x14ac:dyDescent="0.25">
      <c r="D445" s="30" t="str" cm="1">
        <f t="array" ref="D445">Common_InputFunctions.Utility_DisplayArrayInTable(Scope3_SourceData.Scope3_Livestock_Data(), Table_SourceData_Scope3_Animals[[#Headers],[Category]], 0, 2)</f>
        <v>Beef cattle</v>
      </c>
      <c r="E445" s="30" t="str" cm="1">
        <f t="array" ref="E445">Common_InputFunctions.Utility_DisplayArrayInTable(Scope3_SourceData.Scope3_Livestock_Data(), Table_SourceData_Scope3_Animals[[#Headers],[Category]], 0, 2)</f>
        <v>Cattle, for manufacturing beef</v>
      </c>
      <c r="F445" s="30" t="str" cm="1">
        <f t="array" ref="F445">Common_InputFunctions.Utility_DisplayArrayInTable(Scope3_SourceData.Scope3_Livestock_Data(), Table_SourceData_Scope3_Animals[[#Headers],[Category]], 0, 2)</f>
        <v>NT</v>
      </c>
      <c r="G445" s="30" t="str" cm="1">
        <f t="array" ref="G445">Common_InputFunctions.Utility_DisplayArrayInTable(Scope3_SourceData.Scope3_Livestock_Data(), Table_SourceData_Scope3_Animals[[#Headers],[Category]], 0, 2)</f>
        <v>kg liveweight</v>
      </c>
      <c r="H445" s="30" cm="1">
        <f t="array" ref="H445">Common_InputFunctions.Utility_DisplayArrayInTable(Scope3_SourceData.Scope3_Livestock_Data(), Table_SourceData_Scope3_Animals[[#Headers],[Category]], 0, 2)</f>
        <v>12.2</v>
      </c>
      <c r="I445" s="30" t="str" cm="1">
        <f t="array" ref="I445">Common_InputFunctions.Utility_DisplayArrayInTable(Scope3_SourceData.Scope3_Livestock_Data(), Table_SourceData_Scope3_Animals[[#Headers],[Category]], 0, 2)</f>
        <v>at market</v>
      </c>
      <c r="M445" s="1"/>
    </row>
    <row r="446" spans="4:13" x14ac:dyDescent="0.25">
      <c r="D446" s="30" t="str" cm="1">
        <f t="array" ref="D446">Common_InputFunctions.Utility_DisplayArrayInTable(Scope3_SourceData.Scope3_Livestock_Data(), Table_SourceData_Scope3_Animals[[#Headers],[Category]], 0, 2)</f>
        <v>Beef cattle</v>
      </c>
      <c r="E446" s="30" t="str" cm="1">
        <f t="array" ref="E446">Common_InputFunctions.Utility_DisplayArrayInTable(Scope3_SourceData.Scope3_Livestock_Data(), Table_SourceData_Scope3_Animals[[#Headers],[Category]], 0, 2)</f>
        <v>Cattle, for manufacturing beef</v>
      </c>
      <c r="F446" s="30" t="str" cm="1">
        <f t="array" ref="F446">Common_InputFunctions.Utility_DisplayArrayInTable(Scope3_SourceData.Scope3_Livestock_Data(), Table_SourceData_Scope3_Animals[[#Headers],[Category]], 0, 2)</f>
        <v>QLD</v>
      </c>
      <c r="G446" s="30" t="str" cm="1">
        <f t="array" ref="G446">Common_InputFunctions.Utility_DisplayArrayInTable(Scope3_SourceData.Scope3_Livestock_Data(), Table_SourceData_Scope3_Animals[[#Headers],[Category]], 0, 2)</f>
        <v>kg liveweight</v>
      </c>
      <c r="H446" s="30" cm="1">
        <f t="array" ref="H446">Common_InputFunctions.Utility_DisplayArrayInTable(Scope3_SourceData.Scope3_Livestock_Data(), Table_SourceData_Scope3_Animals[[#Headers],[Category]], 0, 2)</f>
        <v>10.9</v>
      </c>
      <c r="I446" s="30" t="str" cm="1">
        <f t="array" ref="I446">Common_InputFunctions.Utility_DisplayArrayInTable(Scope3_SourceData.Scope3_Livestock_Data(), Table_SourceData_Scope3_Animals[[#Headers],[Category]], 0, 2)</f>
        <v>at market</v>
      </c>
      <c r="M446" s="1"/>
    </row>
    <row r="447" spans="4:13" x14ac:dyDescent="0.25">
      <c r="D447" s="30" t="str" cm="1">
        <f t="array" ref="D447">Common_InputFunctions.Utility_DisplayArrayInTable(Scope3_SourceData.Scope3_Livestock_Data(), Table_SourceData_Scope3_Animals[[#Headers],[Category]], 0, 2)</f>
        <v>Beef cattle</v>
      </c>
      <c r="E447" s="30" t="str" cm="1">
        <f t="array" ref="E447">Common_InputFunctions.Utility_DisplayArrayInTable(Scope3_SourceData.Scope3_Livestock_Data(), Table_SourceData_Scope3_Animals[[#Headers],[Category]], 0, 2)</f>
        <v>Cattle, for manufacturing beef</v>
      </c>
      <c r="F447" s="30" t="str" cm="1">
        <f t="array" ref="F447">Common_InputFunctions.Utility_DisplayArrayInTable(Scope3_SourceData.Scope3_Livestock_Data(), Table_SourceData_Scope3_Animals[[#Headers],[Category]], 0, 2)</f>
        <v>SA</v>
      </c>
      <c r="G447" s="30" t="str" cm="1">
        <f t="array" ref="G447">Common_InputFunctions.Utility_DisplayArrayInTable(Scope3_SourceData.Scope3_Livestock_Data(), Table_SourceData_Scope3_Animals[[#Headers],[Category]], 0, 2)</f>
        <v>kg liveweight</v>
      </c>
      <c r="H447" s="30" cm="1">
        <f t="array" ref="H447">Common_InputFunctions.Utility_DisplayArrayInTable(Scope3_SourceData.Scope3_Livestock_Data(), Table_SourceData_Scope3_Animals[[#Headers],[Category]], 0, 2)</f>
        <v>7.63</v>
      </c>
      <c r="I447" s="30" t="str" cm="1">
        <f t="array" ref="I447">Common_InputFunctions.Utility_DisplayArrayInTable(Scope3_SourceData.Scope3_Livestock_Data(), Table_SourceData_Scope3_Animals[[#Headers],[Category]], 0, 2)</f>
        <v>at market</v>
      </c>
      <c r="M447" s="1"/>
    </row>
    <row r="448" spans="4:13" x14ac:dyDescent="0.25">
      <c r="D448" s="30" t="str" cm="1">
        <f t="array" ref="D448">Common_InputFunctions.Utility_DisplayArrayInTable(Scope3_SourceData.Scope3_Livestock_Data(), Table_SourceData_Scope3_Animals[[#Headers],[Category]], 0, 2)</f>
        <v>Beef cattle</v>
      </c>
      <c r="E448" s="30" t="str" cm="1">
        <f t="array" ref="E448">Common_InputFunctions.Utility_DisplayArrayInTable(Scope3_SourceData.Scope3_Livestock_Data(), Table_SourceData_Scope3_Animals[[#Headers],[Category]], 0, 2)</f>
        <v>Cattle, for manufacturing beef</v>
      </c>
      <c r="F448" s="30" t="str" cm="1">
        <f t="array" ref="F448">Common_InputFunctions.Utility_DisplayArrayInTable(Scope3_SourceData.Scope3_Livestock_Data(), Table_SourceData_Scope3_Animals[[#Headers],[Category]], 0, 2)</f>
        <v>TAS</v>
      </c>
      <c r="G448" s="30" t="str" cm="1">
        <f t="array" ref="G448">Common_InputFunctions.Utility_DisplayArrayInTable(Scope3_SourceData.Scope3_Livestock_Data(), Table_SourceData_Scope3_Animals[[#Headers],[Category]], 0, 2)</f>
        <v>kg liveweight</v>
      </c>
      <c r="H448" s="30" cm="1">
        <f t="array" ref="H448">Common_InputFunctions.Utility_DisplayArrayInTable(Scope3_SourceData.Scope3_Livestock_Data(), Table_SourceData_Scope3_Animals[[#Headers],[Category]], 0, 2)</f>
        <v>8.75</v>
      </c>
      <c r="I448" s="30" t="str" cm="1">
        <f t="array" ref="I448">Common_InputFunctions.Utility_DisplayArrayInTable(Scope3_SourceData.Scope3_Livestock_Data(), Table_SourceData_Scope3_Animals[[#Headers],[Category]], 0, 2)</f>
        <v>at market</v>
      </c>
      <c r="M448" s="1"/>
    </row>
    <row r="449" spans="4:13" x14ac:dyDescent="0.25">
      <c r="D449" s="30" t="str" cm="1">
        <f t="array" ref="D449">Common_InputFunctions.Utility_DisplayArrayInTable(Scope3_SourceData.Scope3_Livestock_Data(), Table_SourceData_Scope3_Animals[[#Headers],[Category]], 0, 2)</f>
        <v>Beef cattle</v>
      </c>
      <c r="E449" s="30" t="str" cm="1">
        <f t="array" ref="E449">Common_InputFunctions.Utility_DisplayArrayInTable(Scope3_SourceData.Scope3_Livestock_Data(), Table_SourceData_Scope3_Animals[[#Headers],[Category]], 0, 2)</f>
        <v>Cattle, for manufacturing beef</v>
      </c>
      <c r="F449" s="30" t="str" cm="1">
        <f t="array" ref="F449">Common_InputFunctions.Utility_DisplayArrayInTable(Scope3_SourceData.Scope3_Livestock_Data(), Table_SourceData_Scope3_Animals[[#Headers],[Category]], 0, 2)</f>
        <v>VIC</v>
      </c>
      <c r="G449" s="30" t="str" cm="1">
        <f t="array" ref="G449">Common_InputFunctions.Utility_DisplayArrayInTable(Scope3_SourceData.Scope3_Livestock_Data(), Table_SourceData_Scope3_Animals[[#Headers],[Category]], 0, 2)</f>
        <v>kg liveweight</v>
      </c>
      <c r="H449" s="30" cm="1">
        <f t="array" ref="H449">Common_InputFunctions.Utility_DisplayArrayInTable(Scope3_SourceData.Scope3_Livestock_Data(), Table_SourceData_Scope3_Animals[[#Headers],[Category]], 0, 2)</f>
        <v>8.17</v>
      </c>
      <c r="I449" s="30" t="str" cm="1">
        <f t="array" ref="I449">Common_InputFunctions.Utility_DisplayArrayInTable(Scope3_SourceData.Scope3_Livestock_Data(), Table_SourceData_Scope3_Animals[[#Headers],[Category]], 0, 2)</f>
        <v>at market</v>
      </c>
      <c r="M449" s="1"/>
    </row>
    <row r="450" spans="4:13" x14ac:dyDescent="0.25">
      <c r="D450" s="30" t="str" cm="1">
        <f t="array" ref="D450">Common_InputFunctions.Utility_DisplayArrayInTable(Scope3_SourceData.Scope3_Livestock_Data(), Table_SourceData_Scope3_Animals[[#Headers],[Category]], 0, 2)</f>
        <v>Beef cattle</v>
      </c>
      <c r="E450" s="30" t="str" cm="1">
        <f t="array" ref="E450">Common_InputFunctions.Utility_DisplayArrayInTable(Scope3_SourceData.Scope3_Livestock_Data(), Table_SourceData_Scope3_Animals[[#Headers],[Category]], 0, 2)</f>
        <v>Cattle, for manufacturing beef</v>
      </c>
      <c r="F450" s="30" t="str" cm="1">
        <f t="array" ref="F450">Common_InputFunctions.Utility_DisplayArrayInTable(Scope3_SourceData.Scope3_Livestock_Data(), Table_SourceData_Scope3_Animals[[#Headers],[Category]], 0, 2)</f>
        <v>WA</v>
      </c>
      <c r="G450" s="30" t="str" cm="1">
        <f t="array" ref="G450">Common_InputFunctions.Utility_DisplayArrayInTable(Scope3_SourceData.Scope3_Livestock_Data(), Table_SourceData_Scope3_Animals[[#Headers],[Category]], 0, 2)</f>
        <v>kg liveweight</v>
      </c>
      <c r="H450" s="30" cm="1">
        <f t="array" ref="H450">Common_InputFunctions.Utility_DisplayArrayInTable(Scope3_SourceData.Scope3_Livestock_Data(), Table_SourceData_Scope3_Animals[[#Headers],[Category]], 0, 2)</f>
        <v>13.1</v>
      </c>
      <c r="I450" s="30" t="str" cm="1">
        <f t="array" ref="I450">Common_InputFunctions.Utility_DisplayArrayInTable(Scope3_SourceData.Scope3_Livestock_Data(), Table_SourceData_Scope3_Animals[[#Headers],[Category]], 0, 2)</f>
        <v>at market</v>
      </c>
      <c r="M450" s="1"/>
    </row>
    <row r="451" spans="4:13" x14ac:dyDescent="0.25">
      <c r="D451" s="30" t="str" cm="1">
        <f t="array" ref="D451">Common_InputFunctions.Utility_DisplayArrayInTable(Scope3_SourceData.Scope3_Livestock_Data(), Table_SourceData_Scope3_Animals[[#Headers],[Category]], 0, 2)</f>
        <v>Beef cattle</v>
      </c>
      <c r="E451" s="30" t="str" cm="1">
        <f t="array" ref="E451">Common_InputFunctions.Utility_DisplayArrayInTable(Scope3_SourceData.Scope3_Livestock_Data(), Table_SourceData_Scope3_Animals[[#Headers],[Category]], 0, 2)</f>
        <v>Cattle, for prime beef</v>
      </c>
      <c r="F451" s="30" t="str" cm="1">
        <f t="array" ref="F451">Common_InputFunctions.Utility_DisplayArrayInTable(Scope3_SourceData.Scope3_Livestock_Data(), Table_SourceData_Scope3_Animals[[#Headers],[Category]], 0, 2)</f>
        <v>Australia</v>
      </c>
      <c r="G451" s="30" t="str" cm="1">
        <f t="array" ref="G451">Common_InputFunctions.Utility_DisplayArrayInTable(Scope3_SourceData.Scope3_Livestock_Data(), Table_SourceData_Scope3_Animals[[#Headers],[Category]], 0, 2)</f>
        <v>kg liveweight</v>
      </c>
      <c r="H451" s="30" cm="1">
        <f t="array" ref="H451">Common_InputFunctions.Utility_DisplayArrayInTable(Scope3_SourceData.Scope3_Livestock_Data(), Table_SourceData_Scope3_Animals[[#Headers],[Category]], 0, 2)</f>
        <v>14.5</v>
      </c>
      <c r="I451" s="30" t="str" cm="1">
        <f t="array" ref="I451">Common_InputFunctions.Utility_DisplayArrayInTable(Scope3_SourceData.Scope3_Livestock_Data(), Table_SourceData_Scope3_Animals[[#Headers],[Category]], 0, 2)</f>
        <v>at market</v>
      </c>
      <c r="M451" s="1"/>
    </row>
    <row r="452" spans="4:13" x14ac:dyDescent="0.25">
      <c r="D452" s="30" t="str" cm="1">
        <f t="array" ref="D452">Common_InputFunctions.Utility_DisplayArrayInTable(Scope3_SourceData.Scope3_Livestock_Data(), Table_SourceData_Scope3_Animals[[#Headers],[Category]], 0, 2)</f>
        <v>Beef cattle</v>
      </c>
      <c r="E452" s="30" t="str" cm="1">
        <f t="array" ref="E452">Common_InputFunctions.Utility_DisplayArrayInTable(Scope3_SourceData.Scope3_Livestock_Data(), Table_SourceData_Scope3_Animals[[#Headers],[Category]], 0, 2)</f>
        <v>Cattle, for prime beef</v>
      </c>
      <c r="F452" s="30" t="str" cm="1">
        <f t="array" ref="F452">Common_InputFunctions.Utility_DisplayArrayInTable(Scope3_SourceData.Scope3_Livestock_Data(), Table_SourceData_Scope3_Animals[[#Headers],[Category]], 0, 2)</f>
        <v>NSW</v>
      </c>
      <c r="G452" s="30" t="str" cm="1">
        <f t="array" ref="G452">Common_InputFunctions.Utility_DisplayArrayInTable(Scope3_SourceData.Scope3_Livestock_Data(), Table_SourceData_Scope3_Animals[[#Headers],[Category]], 0, 2)</f>
        <v>kg liveweight</v>
      </c>
      <c r="H452" s="30" cm="1">
        <f t="array" ref="H452">Common_InputFunctions.Utility_DisplayArrayInTable(Scope3_SourceData.Scope3_Livestock_Data(), Table_SourceData_Scope3_Animals[[#Headers],[Category]], 0, 2)</f>
        <v>11.3</v>
      </c>
      <c r="I452" s="30" t="str" cm="1">
        <f t="array" ref="I452">Common_InputFunctions.Utility_DisplayArrayInTable(Scope3_SourceData.Scope3_Livestock_Data(), Table_SourceData_Scope3_Animals[[#Headers],[Category]], 0, 2)</f>
        <v>at market</v>
      </c>
      <c r="M452" s="1"/>
    </row>
    <row r="453" spans="4:13" x14ac:dyDescent="0.25">
      <c r="D453" s="30" t="str" cm="1">
        <f t="array" ref="D453">Common_InputFunctions.Utility_DisplayArrayInTable(Scope3_SourceData.Scope3_Livestock_Data(), Table_SourceData_Scope3_Animals[[#Headers],[Category]], 0, 2)</f>
        <v>Beef cattle</v>
      </c>
      <c r="E453" s="30" t="str" cm="1">
        <f t="array" ref="E453">Common_InputFunctions.Utility_DisplayArrayInTable(Scope3_SourceData.Scope3_Livestock_Data(), Table_SourceData_Scope3_Animals[[#Headers],[Category]], 0, 2)</f>
        <v>Cattle, for prime beef</v>
      </c>
      <c r="F453" s="30" t="str" cm="1">
        <f t="array" ref="F453">Common_InputFunctions.Utility_DisplayArrayInTable(Scope3_SourceData.Scope3_Livestock_Data(), Table_SourceData_Scope3_Animals[[#Headers],[Category]], 0, 2)</f>
        <v>NT</v>
      </c>
      <c r="G453" s="30" t="str" cm="1">
        <f t="array" ref="G453">Common_InputFunctions.Utility_DisplayArrayInTable(Scope3_SourceData.Scope3_Livestock_Data(), Table_SourceData_Scope3_Animals[[#Headers],[Category]], 0, 2)</f>
        <v>kg liveweight</v>
      </c>
      <c r="H453" s="30" cm="1">
        <f t="array" ref="H453">Common_InputFunctions.Utility_DisplayArrayInTable(Scope3_SourceData.Scope3_Livestock_Data(), Table_SourceData_Scope3_Animals[[#Headers],[Category]], 0, 2)</f>
        <v>18.899999999999999</v>
      </c>
      <c r="I453" s="30" t="str" cm="1">
        <f t="array" ref="I453">Common_InputFunctions.Utility_DisplayArrayInTable(Scope3_SourceData.Scope3_Livestock_Data(), Table_SourceData_Scope3_Animals[[#Headers],[Category]], 0, 2)</f>
        <v>at market</v>
      </c>
      <c r="M453" s="1"/>
    </row>
    <row r="454" spans="4:13" x14ac:dyDescent="0.25">
      <c r="D454" s="30" t="str" cm="1">
        <f t="array" ref="D454">Common_InputFunctions.Utility_DisplayArrayInTable(Scope3_SourceData.Scope3_Livestock_Data(), Table_SourceData_Scope3_Animals[[#Headers],[Category]], 0, 2)</f>
        <v>Beef cattle</v>
      </c>
      <c r="E454" s="30" t="str" cm="1">
        <f t="array" ref="E454">Common_InputFunctions.Utility_DisplayArrayInTable(Scope3_SourceData.Scope3_Livestock_Data(), Table_SourceData_Scope3_Animals[[#Headers],[Category]], 0, 2)</f>
        <v>Cattle, for prime beef</v>
      </c>
      <c r="F454" s="30" t="str" cm="1">
        <f t="array" ref="F454">Common_InputFunctions.Utility_DisplayArrayInTable(Scope3_SourceData.Scope3_Livestock_Data(), Table_SourceData_Scope3_Animals[[#Headers],[Category]], 0, 2)</f>
        <v>QLD</v>
      </c>
      <c r="G454" s="30" t="str" cm="1">
        <f t="array" ref="G454">Common_InputFunctions.Utility_DisplayArrayInTable(Scope3_SourceData.Scope3_Livestock_Data(), Table_SourceData_Scope3_Animals[[#Headers],[Category]], 0, 2)</f>
        <v>kg liveweight</v>
      </c>
      <c r="H454" s="30" cm="1">
        <f t="array" ref="H454">Common_InputFunctions.Utility_DisplayArrayInTable(Scope3_SourceData.Scope3_Livestock_Data(), Table_SourceData_Scope3_Animals[[#Headers],[Category]], 0, 2)</f>
        <v>13.9</v>
      </c>
      <c r="I454" s="30" t="str" cm="1">
        <f t="array" ref="I454">Common_InputFunctions.Utility_DisplayArrayInTable(Scope3_SourceData.Scope3_Livestock_Data(), Table_SourceData_Scope3_Animals[[#Headers],[Category]], 0, 2)</f>
        <v>at market</v>
      </c>
      <c r="M454" s="1"/>
    </row>
    <row r="455" spans="4:13" x14ac:dyDescent="0.25">
      <c r="D455" s="30" t="str" cm="1">
        <f t="array" ref="D455">Common_InputFunctions.Utility_DisplayArrayInTable(Scope3_SourceData.Scope3_Livestock_Data(), Table_SourceData_Scope3_Animals[[#Headers],[Category]], 0, 2)</f>
        <v>Beef cattle</v>
      </c>
      <c r="E455" s="30" t="str" cm="1">
        <f t="array" ref="E455">Common_InputFunctions.Utility_DisplayArrayInTable(Scope3_SourceData.Scope3_Livestock_Data(), Table_SourceData_Scope3_Animals[[#Headers],[Category]], 0, 2)</f>
        <v>Cattle, for prime beef</v>
      </c>
      <c r="F455" s="30" t="str" cm="1">
        <f t="array" ref="F455">Common_InputFunctions.Utility_DisplayArrayInTable(Scope3_SourceData.Scope3_Livestock_Data(), Table_SourceData_Scope3_Animals[[#Headers],[Category]], 0, 2)</f>
        <v>SA</v>
      </c>
      <c r="G455" s="30" t="str" cm="1">
        <f t="array" ref="G455">Common_InputFunctions.Utility_DisplayArrayInTable(Scope3_SourceData.Scope3_Livestock_Data(), Table_SourceData_Scope3_Animals[[#Headers],[Category]], 0, 2)</f>
        <v>kg liveweight</v>
      </c>
      <c r="H455" s="30" cm="1">
        <f t="array" ref="H455">Common_InputFunctions.Utility_DisplayArrayInTable(Scope3_SourceData.Scope3_Livestock_Data(), Table_SourceData_Scope3_Animals[[#Headers],[Category]], 0, 2)</f>
        <v>12.3</v>
      </c>
      <c r="I455" s="30" t="str" cm="1">
        <f t="array" ref="I455">Common_InputFunctions.Utility_DisplayArrayInTable(Scope3_SourceData.Scope3_Livestock_Data(), Table_SourceData_Scope3_Animals[[#Headers],[Category]], 0, 2)</f>
        <v>at market</v>
      </c>
    </row>
    <row r="456" spans="4:13" x14ac:dyDescent="0.25">
      <c r="D456" s="30" t="str" cm="1">
        <f t="array" ref="D456">Common_InputFunctions.Utility_DisplayArrayInTable(Scope3_SourceData.Scope3_Livestock_Data(), Table_SourceData_Scope3_Animals[[#Headers],[Category]], 0, 2)</f>
        <v>Beef cattle</v>
      </c>
      <c r="E456" s="30" t="str" cm="1">
        <f t="array" ref="E456">Common_InputFunctions.Utility_DisplayArrayInTable(Scope3_SourceData.Scope3_Livestock_Data(), Table_SourceData_Scope3_Animals[[#Headers],[Category]], 0, 2)</f>
        <v>Cattle, for prime beef</v>
      </c>
      <c r="F456" s="30" t="str" cm="1">
        <f t="array" ref="F456">Common_InputFunctions.Utility_DisplayArrayInTable(Scope3_SourceData.Scope3_Livestock_Data(), Table_SourceData_Scope3_Animals[[#Headers],[Category]], 0, 2)</f>
        <v>TAS</v>
      </c>
      <c r="G456" s="30" t="str" cm="1">
        <f t="array" ref="G456">Common_InputFunctions.Utility_DisplayArrayInTable(Scope3_SourceData.Scope3_Livestock_Data(), Table_SourceData_Scope3_Animals[[#Headers],[Category]], 0, 2)</f>
        <v>kg liveweight</v>
      </c>
      <c r="H456" s="30" cm="1">
        <f t="array" ref="H456">Common_InputFunctions.Utility_DisplayArrayInTable(Scope3_SourceData.Scope3_Livestock_Data(), Table_SourceData_Scope3_Animals[[#Headers],[Category]], 0, 2)</f>
        <v>11.5</v>
      </c>
      <c r="I456" s="30" t="str" cm="1">
        <f t="array" ref="I456">Common_InputFunctions.Utility_DisplayArrayInTable(Scope3_SourceData.Scope3_Livestock_Data(), Table_SourceData_Scope3_Animals[[#Headers],[Category]], 0, 2)</f>
        <v>at market</v>
      </c>
    </row>
    <row r="457" spans="4:13" x14ac:dyDescent="0.25">
      <c r="D457" s="30" t="str" cm="1">
        <f t="array" ref="D457">Common_InputFunctions.Utility_DisplayArrayInTable(Scope3_SourceData.Scope3_Livestock_Data(), Table_SourceData_Scope3_Animals[[#Headers],[Category]], 0, 2)</f>
        <v>Beef cattle</v>
      </c>
      <c r="E457" s="30" t="str" cm="1">
        <f t="array" ref="E457">Common_InputFunctions.Utility_DisplayArrayInTable(Scope3_SourceData.Scope3_Livestock_Data(), Table_SourceData_Scope3_Animals[[#Headers],[Category]], 0, 2)</f>
        <v>Cattle, for prime beef</v>
      </c>
      <c r="F457" s="30" t="str" cm="1">
        <f t="array" ref="F457">Common_InputFunctions.Utility_DisplayArrayInTable(Scope3_SourceData.Scope3_Livestock_Data(), Table_SourceData_Scope3_Animals[[#Headers],[Category]], 0, 2)</f>
        <v>VIC</v>
      </c>
      <c r="G457" s="30" t="str" cm="1">
        <f t="array" ref="G457">Common_InputFunctions.Utility_DisplayArrayInTable(Scope3_SourceData.Scope3_Livestock_Data(), Table_SourceData_Scope3_Animals[[#Headers],[Category]], 0, 2)</f>
        <v>kg liveweight</v>
      </c>
      <c r="H457" s="30" cm="1">
        <f t="array" ref="H457">Common_InputFunctions.Utility_DisplayArrayInTable(Scope3_SourceData.Scope3_Livestock_Data(), Table_SourceData_Scope3_Animals[[#Headers],[Category]], 0, 2)</f>
        <v>11.5</v>
      </c>
      <c r="I457" s="30" t="str" cm="1">
        <f t="array" ref="I457">Common_InputFunctions.Utility_DisplayArrayInTable(Scope3_SourceData.Scope3_Livestock_Data(), Table_SourceData_Scope3_Animals[[#Headers],[Category]], 0, 2)</f>
        <v>at market</v>
      </c>
    </row>
    <row r="458" spans="4:13" x14ac:dyDescent="0.25">
      <c r="D458" s="30" t="str" cm="1">
        <f t="array" ref="D458">Common_InputFunctions.Utility_DisplayArrayInTable(Scope3_SourceData.Scope3_Livestock_Data(), Table_SourceData_Scope3_Animals[[#Headers],[Category]], 0, 2)</f>
        <v>Beef cattle</v>
      </c>
      <c r="E458" s="30" t="str" cm="1">
        <f t="array" ref="E458">Common_InputFunctions.Utility_DisplayArrayInTable(Scope3_SourceData.Scope3_Livestock_Data(), Table_SourceData_Scope3_Animals[[#Headers],[Category]], 0, 2)</f>
        <v>Cattle, for prime beef</v>
      </c>
      <c r="F458" s="30" t="str" cm="1">
        <f t="array" ref="F458">Common_InputFunctions.Utility_DisplayArrayInTable(Scope3_SourceData.Scope3_Livestock_Data(), Table_SourceData_Scope3_Animals[[#Headers],[Category]], 0, 2)</f>
        <v>WA</v>
      </c>
      <c r="G458" s="30" t="str" cm="1">
        <f t="array" ref="G458">Common_InputFunctions.Utility_DisplayArrayInTable(Scope3_SourceData.Scope3_Livestock_Data(), Table_SourceData_Scope3_Animals[[#Headers],[Category]], 0, 2)</f>
        <v>kg liveweight</v>
      </c>
      <c r="H458" s="30" cm="1">
        <f t="array" ref="H458">Common_InputFunctions.Utility_DisplayArrayInTable(Scope3_SourceData.Scope3_Livestock_Data(), Table_SourceData_Scope3_Animals[[#Headers],[Category]], 0, 2)</f>
        <v>20.8</v>
      </c>
      <c r="I458" s="30" t="str" cm="1">
        <f t="array" ref="I458">Common_InputFunctions.Utility_DisplayArrayInTable(Scope3_SourceData.Scope3_Livestock_Data(), Table_SourceData_Scope3_Animals[[#Headers],[Category]], 0, 2)</f>
        <v>at market</v>
      </c>
    </row>
    <row r="459" spans="4:13" x14ac:dyDescent="0.25">
      <c r="D459" s="30" t="str" cm="1">
        <f t="array" ref="D459">Common_InputFunctions.Utility_DisplayArrayInTable(Scope3_SourceData.Scope3_Livestock_Data(), Table_SourceData_Scope3_Animals[[#Headers],[Category]], 0, 2)</f>
        <v>Beef cattle</v>
      </c>
      <c r="E459" s="30" t="str" cm="1">
        <f t="array" ref="E459">Common_InputFunctions.Utility_DisplayArrayInTable(Scope3_SourceData.Scope3_Livestock_Data(), Table_SourceData_Scope3_Animals[[#Headers],[Category]], 0, 2)</f>
        <v>Cattle, weaners</v>
      </c>
      <c r="F459" s="30" t="str" cm="1">
        <f t="array" ref="F459">Common_InputFunctions.Utility_DisplayArrayInTable(Scope3_SourceData.Scope3_Livestock_Data(), Table_SourceData_Scope3_Animals[[#Headers],[Category]], 0, 2)</f>
        <v>Australia</v>
      </c>
      <c r="G459" s="30" t="str" cm="1">
        <f t="array" ref="G459">Common_InputFunctions.Utility_DisplayArrayInTable(Scope3_SourceData.Scope3_Livestock_Data(), Table_SourceData_Scope3_Animals[[#Headers],[Category]], 0, 2)</f>
        <v>kg liveweight</v>
      </c>
      <c r="H459" s="30" cm="1">
        <f t="array" ref="H459">Common_InputFunctions.Utility_DisplayArrayInTable(Scope3_SourceData.Scope3_Livestock_Data(), Table_SourceData_Scope3_Animals[[#Headers],[Category]], 0, 2)</f>
        <v>15.5</v>
      </c>
      <c r="I459" s="30" t="str" cm="1">
        <f t="array" ref="I459">Common_InputFunctions.Utility_DisplayArrayInTable(Scope3_SourceData.Scope3_Livestock_Data(), Table_SourceData_Scope3_Animals[[#Headers],[Category]], 0, 2)</f>
        <v>at market</v>
      </c>
    </row>
    <row r="460" spans="4:13" x14ac:dyDescent="0.25">
      <c r="D460" s="30" t="str" cm="1">
        <f t="array" ref="D460">Common_InputFunctions.Utility_DisplayArrayInTable(Scope3_SourceData.Scope3_Livestock_Data(), Table_SourceData_Scope3_Animals[[#Headers],[Category]], 0, 2)</f>
        <v>Beef cattle</v>
      </c>
      <c r="E460" s="30" t="str" cm="1">
        <f t="array" ref="E460">Common_InputFunctions.Utility_DisplayArrayInTable(Scope3_SourceData.Scope3_Livestock_Data(), Table_SourceData_Scope3_Animals[[#Headers],[Category]], 0, 2)</f>
        <v>Cattle, weaners</v>
      </c>
      <c r="F460" s="30" t="str" cm="1">
        <f t="array" ref="F460">Common_InputFunctions.Utility_DisplayArrayInTable(Scope3_SourceData.Scope3_Livestock_Data(), Table_SourceData_Scope3_Animals[[#Headers],[Category]], 0, 2)</f>
        <v>NSW</v>
      </c>
      <c r="G460" s="30" t="str" cm="1">
        <f t="array" ref="G460">Common_InputFunctions.Utility_DisplayArrayInTable(Scope3_SourceData.Scope3_Livestock_Data(), Table_SourceData_Scope3_Animals[[#Headers],[Category]], 0, 2)</f>
        <v>kg liveweight</v>
      </c>
      <c r="H460" s="30" cm="1">
        <f t="array" ref="H460">Common_InputFunctions.Utility_DisplayArrayInTable(Scope3_SourceData.Scope3_Livestock_Data(), Table_SourceData_Scope3_Animals[[#Headers],[Category]], 0, 2)</f>
        <v>12.7</v>
      </c>
      <c r="I460" s="30" t="str" cm="1">
        <f t="array" ref="I460">Common_InputFunctions.Utility_DisplayArrayInTable(Scope3_SourceData.Scope3_Livestock_Data(), Table_SourceData_Scope3_Animals[[#Headers],[Category]], 0, 2)</f>
        <v>at market</v>
      </c>
    </row>
    <row r="461" spans="4:13" x14ac:dyDescent="0.25">
      <c r="D461" s="30" t="str" cm="1">
        <f t="array" ref="D461">Common_InputFunctions.Utility_DisplayArrayInTable(Scope3_SourceData.Scope3_Livestock_Data(), Table_SourceData_Scope3_Animals[[#Headers],[Category]], 0, 2)</f>
        <v>Beef cattle</v>
      </c>
      <c r="E461" s="30" t="str" cm="1">
        <f t="array" ref="E461">Common_InputFunctions.Utility_DisplayArrayInTable(Scope3_SourceData.Scope3_Livestock_Data(), Table_SourceData_Scope3_Animals[[#Headers],[Category]], 0, 2)</f>
        <v>Cattle, weaners</v>
      </c>
      <c r="F461" s="30" t="str" cm="1">
        <f t="array" ref="F461">Common_InputFunctions.Utility_DisplayArrayInTable(Scope3_SourceData.Scope3_Livestock_Data(), Table_SourceData_Scope3_Animals[[#Headers],[Category]], 0, 2)</f>
        <v>NT</v>
      </c>
      <c r="G461" s="30" t="str" cm="1">
        <f t="array" ref="G461">Common_InputFunctions.Utility_DisplayArrayInTable(Scope3_SourceData.Scope3_Livestock_Data(), Table_SourceData_Scope3_Animals[[#Headers],[Category]], 0, 2)</f>
        <v>kg liveweight</v>
      </c>
      <c r="H461" s="30" cm="1">
        <f t="array" ref="H461">Common_InputFunctions.Utility_DisplayArrayInTable(Scope3_SourceData.Scope3_Livestock_Data(), Table_SourceData_Scope3_Animals[[#Headers],[Category]], 0, 2)</f>
        <v>19.100000000000001</v>
      </c>
      <c r="I461" s="30" t="str" cm="1">
        <f t="array" ref="I461">Common_InputFunctions.Utility_DisplayArrayInTable(Scope3_SourceData.Scope3_Livestock_Data(), Table_SourceData_Scope3_Animals[[#Headers],[Category]], 0, 2)</f>
        <v>at market</v>
      </c>
    </row>
    <row r="462" spans="4:13" x14ac:dyDescent="0.25">
      <c r="D462" s="30" t="str" cm="1">
        <f t="array" ref="D462">Common_InputFunctions.Utility_DisplayArrayInTable(Scope3_SourceData.Scope3_Livestock_Data(), Table_SourceData_Scope3_Animals[[#Headers],[Category]], 0, 2)</f>
        <v>Beef cattle</v>
      </c>
      <c r="E462" s="30" t="str" cm="1">
        <f t="array" ref="E462">Common_InputFunctions.Utility_DisplayArrayInTable(Scope3_SourceData.Scope3_Livestock_Data(), Table_SourceData_Scope3_Animals[[#Headers],[Category]], 0, 2)</f>
        <v>Cattle, weaners</v>
      </c>
      <c r="F462" s="30" t="str" cm="1">
        <f t="array" ref="F462">Common_InputFunctions.Utility_DisplayArrayInTable(Scope3_SourceData.Scope3_Livestock_Data(), Table_SourceData_Scope3_Animals[[#Headers],[Category]], 0, 2)</f>
        <v>QLD</v>
      </c>
      <c r="G462" s="30" t="str" cm="1">
        <f t="array" ref="G462">Common_InputFunctions.Utility_DisplayArrayInTable(Scope3_SourceData.Scope3_Livestock_Data(), Table_SourceData_Scope3_Animals[[#Headers],[Category]], 0, 2)</f>
        <v>kg liveweight</v>
      </c>
      <c r="H462" s="30" cm="1">
        <f t="array" ref="H462">Common_InputFunctions.Utility_DisplayArrayInTable(Scope3_SourceData.Scope3_Livestock_Data(), Table_SourceData_Scope3_Animals[[#Headers],[Category]], 0, 2)</f>
        <v>20.5</v>
      </c>
      <c r="I462" s="30" t="str" cm="1">
        <f t="array" ref="I462">Common_InputFunctions.Utility_DisplayArrayInTable(Scope3_SourceData.Scope3_Livestock_Data(), Table_SourceData_Scope3_Animals[[#Headers],[Category]], 0, 2)</f>
        <v>at market</v>
      </c>
    </row>
    <row r="463" spans="4:13" x14ac:dyDescent="0.25">
      <c r="D463" s="30" t="str" cm="1">
        <f t="array" ref="D463">Common_InputFunctions.Utility_DisplayArrayInTable(Scope3_SourceData.Scope3_Livestock_Data(), Table_SourceData_Scope3_Animals[[#Headers],[Category]], 0, 2)</f>
        <v>Beef cattle</v>
      </c>
      <c r="E463" s="30" t="str" cm="1">
        <f t="array" ref="E463">Common_InputFunctions.Utility_DisplayArrayInTable(Scope3_SourceData.Scope3_Livestock_Data(), Table_SourceData_Scope3_Animals[[#Headers],[Category]], 0, 2)</f>
        <v>Cattle, weaners</v>
      </c>
      <c r="F463" s="30" t="str" cm="1">
        <f t="array" ref="F463">Common_InputFunctions.Utility_DisplayArrayInTable(Scope3_SourceData.Scope3_Livestock_Data(), Table_SourceData_Scope3_Animals[[#Headers],[Category]], 0, 2)</f>
        <v>SA</v>
      </c>
      <c r="G463" s="30" t="str" cm="1">
        <f t="array" ref="G463">Common_InputFunctions.Utility_DisplayArrayInTable(Scope3_SourceData.Scope3_Livestock_Data(), Table_SourceData_Scope3_Animals[[#Headers],[Category]], 0, 2)</f>
        <v>kg liveweight</v>
      </c>
      <c r="H463" s="30" cm="1">
        <f t="array" ref="H463">Common_InputFunctions.Utility_DisplayArrayInTable(Scope3_SourceData.Scope3_Livestock_Data(), Table_SourceData_Scope3_Animals[[#Headers],[Category]], 0, 2)</f>
        <v>10.8</v>
      </c>
      <c r="I463" s="30" t="str" cm="1">
        <f t="array" ref="I463">Common_InputFunctions.Utility_DisplayArrayInTable(Scope3_SourceData.Scope3_Livestock_Data(), Table_SourceData_Scope3_Animals[[#Headers],[Category]], 0, 2)</f>
        <v>at market</v>
      </c>
    </row>
    <row r="464" spans="4:13" x14ac:dyDescent="0.25">
      <c r="D464" s="30" t="str" cm="1">
        <f t="array" ref="D464">Common_InputFunctions.Utility_DisplayArrayInTable(Scope3_SourceData.Scope3_Livestock_Data(), Table_SourceData_Scope3_Animals[[#Headers],[Category]], 0, 2)</f>
        <v>Beef cattle</v>
      </c>
      <c r="E464" s="30" t="str" cm="1">
        <f t="array" ref="E464">Common_InputFunctions.Utility_DisplayArrayInTable(Scope3_SourceData.Scope3_Livestock_Data(), Table_SourceData_Scope3_Animals[[#Headers],[Category]], 0, 2)</f>
        <v>Cattle, weaners</v>
      </c>
      <c r="F464" s="30" t="str" cm="1">
        <f t="array" ref="F464">Common_InputFunctions.Utility_DisplayArrayInTable(Scope3_SourceData.Scope3_Livestock_Data(), Table_SourceData_Scope3_Animals[[#Headers],[Category]], 0, 2)</f>
        <v>TAS</v>
      </c>
      <c r="G464" s="30" t="str" cm="1">
        <f t="array" ref="G464">Common_InputFunctions.Utility_DisplayArrayInTable(Scope3_SourceData.Scope3_Livestock_Data(), Table_SourceData_Scope3_Animals[[#Headers],[Category]], 0, 2)</f>
        <v>kg liveweight</v>
      </c>
      <c r="H464" s="30" cm="1">
        <f t="array" ref="H464">Common_InputFunctions.Utility_DisplayArrayInTable(Scope3_SourceData.Scope3_Livestock_Data(), Table_SourceData_Scope3_Animals[[#Headers],[Category]], 0, 2)</f>
        <v>13.4</v>
      </c>
      <c r="I464" s="30" t="str" cm="1">
        <f t="array" ref="I464">Common_InputFunctions.Utility_DisplayArrayInTable(Scope3_SourceData.Scope3_Livestock_Data(), Table_SourceData_Scope3_Animals[[#Headers],[Category]], 0, 2)</f>
        <v>at market</v>
      </c>
    </row>
    <row r="465" spans="4:9" x14ac:dyDescent="0.25">
      <c r="D465" s="30" t="str" cm="1">
        <f t="array" ref="D465">Common_InputFunctions.Utility_DisplayArrayInTable(Scope3_SourceData.Scope3_Livestock_Data(), Table_SourceData_Scope3_Animals[[#Headers],[Category]], 0, 2)</f>
        <v>Beef cattle</v>
      </c>
      <c r="E465" s="30" t="str" cm="1">
        <f t="array" ref="E465">Common_InputFunctions.Utility_DisplayArrayInTable(Scope3_SourceData.Scope3_Livestock_Data(), Table_SourceData_Scope3_Animals[[#Headers],[Category]], 0, 2)</f>
        <v>Cattle, weaners</v>
      </c>
      <c r="F465" s="30" t="str" cm="1">
        <f t="array" ref="F465">Common_InputFunctions.Utility_DisplayArrayInTable(Scope3_SourceData.Scope3_Livestock_Data(), Table_SourceData_Scope3_Animals[[#Headers],[Category]], 0, 2)</f>
        <v>VIC</v>
      </c>
      <c r="G465" s="30" t="str" cm="1">
        <f t="array" ref="G465">Common_InputFunctions.Utility_DisplayArrayInTable(Scope3_SourceData.Scope3_Livestock_Data(), Table_SourceData_Scope3_Animals[[#Headers],[Category]], 0, 2)</f>
        <v>kg liveweight</v>
      </c>
      <c r="H465" s="30" cm="1">
        <f t="array" ref="H465">Common_InputFunctions.Utility_DisplayArrayInTable(Scope3_SourceData.Scope3_Livestock_Data(), Table_SourceData_Scope3_Animals[[#Headers],[Category]], 0, 2)</f>
        <v>12</v>
      </c>
      <c r="I465" s="30" t="str" cm="1">
        <f t="array" ref="I465">Common_InputFunctions.Utility_DisplayArrayInTable(Scope3_SourceData.Scope3_Livestock_Data(), Table_SourceData_Scope3_Animals[[#Headers],[Category]], 0, 2)</f>
        <v>at market</v>
      </c>
    </row>
    <row r="466" spans="4:9" x14ac:dyDescent="0.25">
      <c r="D466" s="30" t="str" cm="1">
        <f t="array" ref="D466">Common_InputFunctions.Utility_DisplayArrayInTable(Scope3_SourceData.Scope3_Livestock_Data(), Table_SourceData_Scope3_Animals[[#Headers],[Category]], 0, 2)</f>
        <v>Beef cattle</v>
      </c>
      <c r="E466" s="30" t="str" cm="1">
        <f t="array" ref="E466">Common_InputFunctions.Utility_DisplayArrayInTable(Scope3_SourceData.Scope3_Livestock_Data(), Table_SourceData_Scope3_Animals[[#Headers],[Category]], 0, 2)</f>
        <v>Cattle, weaners</v>
      </c>
      <c r="F466" s="30" t="str" cm="1">
        <f t="array" ref="F466">Common_InputFunctions.Utility_DisplayArrayInTable(Scope3_SourceData.Scope3_Livestock_Data(), Table_SourceData_Scope3_Animals[[#Headers],[Category]], 0, 2)</f>
        <v>WA</v>
      </c>
      <c r="G466" s="30" t="str" cm="1">
        <f t="array" ref="G466">Common_InputFunctions.Utility_DisplayArrayInTable(Scope3_SourceData.Scope3_Livestock_Data(), Table_SourceData_Scope3_Animals[[#Headers],[Category]], 0, 2)</f>
        <v>kg liveweight</v>
      </c>
      <c r="H466" s="30" cm="1">
        <f t="array" ref="H466">Common_InputFunctions.Utility_DisplayArrayInTable(Scope3_SourceData.Scope3_Livestock_Data(), Table_SourceData_Scope3_Animals[[#Headers],[Category]], 0, 2)</f>
        <v>12.4</v>
      </c>
      <c r="I466" s="30" t="str" cm="1">
        <f t="array" ref="I466">Common_InputFunctions.Utility_DisplayArrayInTable(Scope3_SourceData.Scope3_Livestock_Data(), Table_SourceData_Scope3_Animals[[#Headers],[Category]], 0, 2)</f>
        <v>at market</v>
      </c>
    </row>
    <row r="467" spans="4:9" x14ac:dyDescent="0.25">
      <c r="D467" s="30" t="str" cm="1">
        <f t="array" ref="D467">Common_InputFunctions.Utility_DisplayArrayInTable(Scope3_SourceData.Scope3_Livestock_Data(), Table_SourceData_Scope3_Animals[[#Headers],[Category]], 0, 2)</f>
        <v>Chickens</v>
      </c>
      <c r="E467" s="30" t="str" cm="1">
        <f t="array" ref="E467">Common_InputFunctions.Utility_DisplayArrayInTable(Scope3_SourceData.Scope3_Livestock_Data(), Table_SourceData_Scope3_Animals[[#Headers],[Category]], 0, 2)</f>
        <v>Chickens</v>
      </c>
      <c r="F467" s="30" t="str" cm="1">
        <f t="array" ref="F467">Common_InputFunctions.Utility_DisplayArrayInTable(Scope3_SourceData.Scope3_Livestock_Data(), Table_SourceData_Scope3_Animals[[#Headers],[Category]], 0, 2)</f>
        <v>Australia</v>
      </c>
      <c r="G467" s="30" t="str" cm="1">
        <f t="array" ref="G467">Common_InputFunctions.Utility_DisplayArrayInTable(Scope3_SourceData.Scope3_Livestock_Data(), Table_SourceData_Scope3_Animals[[#Headers],[Category]], 0, 2)</f>
        <v>kg liveweight</v>
      </c>
      <c r="H467" s="30" cm="1">
        <f t="array" ref="H467">Common_InputFunctions.Utility_DisplayArrayInTable(Scope3_SourceData.Scope3_Livestock_Data(), Table_SourceData_Scope3_Animals[[#Headers],[Category]], 0, 2)</f>
        <v>1.36</v>
      </c>
      <c r="I467" s="30" t="str" cm="1">
        <f t="array" ref="I467">Common_InputFunctions.Utility_DisplayArrayInTable(Scope3_SourceData.Scope3_Livestock_Data(), Table_SourceData_Scope3_Animals[[#Headers],[Category]], 0, 2)</f>
        <v>at market</v>
      </c>
    </row>
    <row r="468" spans="4:9" x14ac:dyDescent="0.25">
      <c r="D468" s="30" t="str" cm="1">
        <f t="array" ref="D468">Common_InputFunctions.Utility_DisplayArrayInTable(Scope3_SourceData.Scope3_Livestock_Data(), Table_SourceData_Scope3_Animals[[#Headers],[Category]], 0, 2)</f>
        <v>Dairy cattle</v>
      </c>
      <c r="E468" s="30" t="str" cm="1">
        <f t="array" ref="E468">Common_InputFunctions.Utility_DisplayArrayInTable(Scope3_SourceData.Scope3_Livestock_Data(), Table_SourceData_Scope3_Animals[[#Headers],[Category]], 0, 2)</f>
        <v>Dairy cows</v>
      </c>
      <c r="F468" s="30" t="str" cm="1">
        <f t="array" ref="F468">Common_InputFunctions.Utility_DisplayArrayInTable(Scope3_SourceData.Scope3_Livestock_Data(), Table_SourceData_Scope3_Animals[[#Headers],[Category]], 0, 2)</f>
        <v>VIC</v>
      </c>
      <c r="G468" s="30" t="str" cm="1">
        <f t="array" ref="G468">Common_InputFunctions.Utility_DisplayArrayInTable(Scope3_SourceData.Scope3_Livestock_Data(), Table_SourceData_Scope3_Animals[[#Headers],[Category]], 0, 2)</f>
        <v>kg liveweight</v>
      </c>
      <c r="H468" s="30" cm="1">
        <f t="array" ref="H468">Common_InputFunctions.Utility_DisplayArrayInTable(Scope3_SourceData.Scope3_Livestock_Data(), Table_SourceData_Scope3_Animals[[#Headers],[Category]], 0, 2)</f>
        <v>4.41</v>
      </c>
      <c r="I468" s="30" t="str" cm="1">
        <f t="array" ref="I468">Common_InputFunctions.Utility_DisplayArrayInTable(Scope3_SourceData.Scope3_Livestock_Data(), Table_SourceData_Scope3_Animals[[#Headers],[Category]], 0, 2)</f>
        <v>at market</v>
      </c>
    </row>
    <row r="469" spans="4:9" x14ac:dyDescent="0.25">
      <c r="D469" s="30" t="str" cm="1">
        <f t="array" ref="D469">Common_InputFunctions.Utility_DisplayArrayInTable(Scope3_SourceData.Scope3_Livestock_Data(), Table_SourceData_Scope3_Animals[[#Headers],[Category]], 0, 2)</f>
        <v>Pigs</v>
      </c>
      <c r="E469" s="30" t="str" cm="1">
        <f t="array" ref="E469">Common_InputFunctions.Utility_DisplayArrayInTable(Scope3_SourceData.Scope3_Livestock_Data(), Table_SourceData_Scope3_Animals[[#Headers],[Category]], 0, 2)</f>
        <v>Pigs</v>
      </c>
      <c r="F469" s="30" t="str" cm="1">
        <f t="array" ref="F469">Common_InputFunctions.Utility_DisplayArrayInTable(Scope3_SourceData.Scope3_Livestock_Data(), Table_SourceData_Scope3_Animals[[#Headers],[Category]], 0, 2)</f>
        <v>Australia</v>
      </c>
      <c r="G469" s="30" t="str" cm="1">
        <f t="array" ref="G469">Common_InputFunctions.Utility_DisplayArrayInTable(Scope3_SourceData.Scope3_Livestock_Data(), Table_SourceData_Scope3_Animals[[#Headers],[Category]], 0, 2)</f>
        <v>kg liveweight</v>
      </c>
      <c r="H469" s="30" cm="1">
        <f t="array" ref="H469">Common_InputFunctions.Utility_DisplayArrayInTable(Scope3_SourceData.Scope3_Livestock_Data(), Table_SourceData_Scope3_Animals[[#Headers],[Category]], 0, 2)</f>
        <v>3.38</v>
      </c>
      <c r="I469" s="30" t="str" cm="1">
        <f t="array" ref="I469">Common_InputFunctions.Utility_DisplayArrayInTable(Scope3_SourceData.Scope3_Livestock_Data(), Table_SourceData_Scope3_Animals[[#Headers],[Category]], 0, 2)</f>
        <v>at market</v>
      </c>
    </row>
    <row r="470" spans="4:9" x14ac:dyDescent="0.25">
      <c r="D470" s="30" t="str" cm="1">
        <f t="array" ref="D470">Common_InputFunctions.Utility_DisplayArrayInTable(Scope3_SourceData.Scope3_Livestock_Data(), Table_SourceData_Scope3_Animals[[#Headers],[Category]], 0, 2)</f>
        <v>Sheep</v>
      </c>
      <c r="E470" s="30" t="str" cm="1">
        <f t="array" ref="E470">Common_InputFunctions.Utility_DisplayArrayInTable(Scope3_SourceData.Scope3_Livestock_Data(), Table_SourceData_Scope3_Animals[[#Headers],[Category]], 0, 2)</f>
        <v>Sheep, for mutton</v>
      </c>
      <c r="F470" s="30" t="str" cm="1">
        <f t="array" ref="F470">Common_InputFunctions.Utility_DisplayArrayInTable(Scope3_SourceData.Scope3_Livestock_Data(), Table_SourceData_Scope3_Animals[[#Headers],[Category]], 0, 2)</f>
        <v>Australia</v>
      </c>
      <c r="G470" s="30" t="str" cm="1">
        <f t="array" ref="G470">Common_InputFunctions.Utility_DisplayArrayInTable(Scope3_SourceData.Scope3_Livestock_Data(), Table_SourceData_Scope3_Animals[[#Headers],[Category]], 0, 2)</f>
        <v>kg liveweight</v>
      </c>
      <c r="H470" s="30" cm="1">
        <f t="array" ref="H470">Common_InputFunctions.Utility_DisplayArrayInTable(Scope3_SourceData.Scope3_Livestock_Data(), Table_SourceData_Scope3_Animals[[#Headers],[Category]], 0, 2)</f>
        <v>6.81</v>
      </c>
      <c r="I470" s="30" t="str" cm="1">
        <f t="array" ref="I470">Common_InputFunctions.Utility_DisplayArrayInTable(Scope3_SourceData.Scope3_Livestock_Data(), Table_SourceData_Scope3_Animals[[#Headers],[Category]], 0, 2)</f>
        <v>at market</v>
      </c>
    </row>
    <row r="471" spans="4:9" x14ac:dyDescent="0.25">
      <c r="D471" s="30" t="str" cm="1">
        <f t="array" ref="D471">Common_InputFunctions.Utility_DisplayArrayInTable(Scope3_SourceData.Scope3_Livestock_Data(), Table_SourceData_Scope3_Animals[[#Headers],[Category]], 0, 2)</f>
        <v>Sheep</v>
      </c>
      <c r="E471" s="30" t="str" cm="1">
        <f t="array" ref="E471">Common_InputFunctions.Utility_DisplayArrayInTable(Scope3_SourceData.Scope3_Livestock_Data(), Table_SourceData_Scope3_Animals[[#Headers],[Category]], 0, 2)</f>
        <v>Sheep, for mutton</v>
      </c>
      <c r="F471" s="30" t="str" cm="1">
        <f t="array" ref="F471">Common_InputFunctions.Utility_DisplayArrayInTable(Scope3_SourceData.Scope3_Livestock_Data(), Table_SourceData_Scope3_Animals[[#Headers],[Category]], 0, 2)</f>
        <v>NSW</v>
      </c>
      <c r="G471" s="30" t="str" cm="1">
        <f t="array" ref="G471">Common_InputFunctions.Utility_DisplayArrayInTable(Scope3_SourceData.Scope3_Livestock_Data(), Table_SourceData_Scope3_Animals[[#Headers],[Category]], 0, 2)</f>
        <v>kg liveweight</v>
      </c>
      <c r="H471" s="30" cm="1">
        <f t="array" ref="H471">Common_InputFunctions.Utility_DisplayArrayInTable(Scope3_SourceData.Scope3_Livestock_Data(), Table_SourceData_Scope3_Animals[[#Headers],[Category]], 0, 2)</f>
        <v>2.2599999999999998</v>
      </c>
      <c r="I471" s="30" t="str" cm="1">
        <f t="array" ref="I471">Common_InputFunctions.Utility_DisplayArrayInTable(Scope3_SourceData.Scope3_Livestock_Data(), Table_SourceData_Scope3_Animals[[#Headers],[Category]], 0, 2)</f>
        <v>at market</v>
      </c>
    </row>
    <row r="472" spans="4:9" x14ac:dyDescent="0.25">
      <c r="D472" s="30" t="str" cm="1">
        <f t="array" ref="D472">Common_InputFunctions.Utility_DisplayArrayInTable(Scope3_SourceData.Scope3_Livestock_Data(), Table_SourceData_Scope3_Animals[[#Headers],[Category]], 0, 2)</f>
        <v>Sheep</v>
      </c>
      <c r="E472" s="30" t="str" cm="1">
        <f t="array" ref="E472">Common_InputFunctions.Utility_DisplayArrayInTable(Scope3_SourceData.Scope3_Livestock_Data(), Table_SourceData_Scope3_Animals[[#Headers],[Category]], 0, 2)</f>
        <v>Sheep, for mutton</v>
      </c>
      <c r="F472" s="30" t="str" cm="1">
        <f t="array" ref="F472">Common_InputFunctions.Utility_DisplayArrayInTable(Scope3_SourceData.Scope3_Livestock_Data(), Table_SourceData_Scope3_Animals[[#Headers],[Category]], 0, 2)</f>
        <v>QLD</v>
      </c>
      <c r="G472" s="30" t="str" cm="1">
        <f t="array" ref="G472">Common_InputFunctions.Utility_DisplayArrayInTable(Scope3_SourceData.Scope3_Livestock_Data(), Table_SourceData_Scope3_Animals[[#Headers],[Category]], 0, 2)</f>
        <v>kg liveweight</v>
      </c>
      <c r="H472" s="30" cm="1">
        <f t="array" ref="H472">Common_InputFunctions.Utility_DisplayArrayInTable(Scope3_SourceData.Scope3_Livestock_Data(), Table_SourceData_Scope3_Animals[[#Headers],[Category]], 0, 2)</f>
        <v>6.33</v>
      </c>
      <c r="I472" s="30" t="str" cm="1">
        <f t="array" ref="I472">Common_InputFunctions.Utility_DisplayArrayInTable(Scope3_SourceData.Scope3_Livestock_Data(), Table_SourceData_Scope3_Animals[[#Headers],[Category]], 0, 2)</f>
        <v>at market</v>
      </c>
    </row>
    <row r="473" spans="4:9" x14ac:dyDescent="0.25">
      <c r="D473" s="30" t="str" cm="1">
        <f t="array" ref="D473">Common_InputFunctions.Utility_DisplayArrayInTable(Scope3_SourceData.Scope3_Livestock_Data(), Table_SourceData_Scope3_Animals[[#Headers],[Category]], 0, 2)</f>
        <v>Sheep</v>
      </c>
      <c r="E473" s="30" t="str" cm="1">
        <f t="array" ref="E473">Common_InputFunctions.Utility_DisplayArrayInTable(Scope3_SourceData.Scope3_Livestock_Data(), Table_SourceData_Scope3_Animals[[#Headers],[Category]], 0, 2)</f>
        <v>Sheep, for mutton</v>
      </c>
      <c r="F473" s="30" t="str" cm="1">
        <f t="array" ref="F473">Common_InputFunctions.Utility_DisplayArrayInTable(Scope3_SourceData.Scope3_Livestock_Data(), Table_SourceData_Scope3_Animals[[#Headers],[Category]], 0, 2)</f>
        <v>SA</v>
      </c>
      <c r="G473" s="30" t="str" cm="1">
        <f t="array" ref="G473">Common_InputFunctions.Utility_DisplayArrayInTable(Scope3_SourceData.Scope3_Livestock_Data(), Table_SourceData_Scope3_Animals[[#Headers],[Category]], 0, 2)</f>
        <v>kg liveweight</v>
      </c>
      <c r="H473" s="30" cm="1">
        <f t="array" ref="H473">Common_InputFunctions.Utility_DisplayArrayInTable(Scope3_SourceData.Scope3_Livestock_Data(), Table_SourceData_Scope3_Animals[[#Headers],[Category]], 0, 2)</f>
        <v>6.18</v>
      </c>
      <c r="I473" s="30" t="str" cm="1">
        <f t="array" ref="I473">Common_InputFunctions.Utility_DisplayArrayInTable(Scope3_SourceData.Scope3_Livestock_Data(), Table_SourceData_Scope3_Animals[[#Headers],[Category]], 0, 2)</f>
        <v>at market</v>
      </c>
    </row>
    <row r="474" spans="4:9" x14ac:dyDescent="0.25">
      <c r="D474" s="30" t="str" cm="1">
        <f t="array" ref="D474">Common_InputFunctions.Utility_DisplayArrayInTable(Scope3_SourceData.Scope3_Livestock_Data(), Table_SourceData_Scope3_Animals[[#Headers],[Category]], 0, 2)</f>
        <v>Sheep</v>
      </c>
      <c r="E474" s="30" t="str" cm="1">
        <f t="array" ref="E474">Common_InputFunctions.Utility_DisplayArrayInTable(Scope3_SourceData.Scope3_Livestock_Data(), Table_SourceData_Scope3_Animals[[#Headers],[Category]], 0, 2)</f>
        <v>Sheep, for mutton</v>
      </c>
      <c r="F474" s="30" t="str" cm="1">
        <f t="array" ref="F474">Common_InputFunctions.Utility_DisplayArrayInTable(Scope3_SourceData.Scope3_Livestock_Data(), Table_SourceData_Scope3_Animals[[#Headers],[Category]], 0, 2)</f>
        <v>TAS</v>
      </c>
      <c r="G474" s="30" t="str" cm="1">
        <f t="array" ref="G474">Common_InputFunctions.Utility_DisplayArrayInTable(Scope3_SourceData.Scope3_Livestock_Data(), Table_SourceData_Scope3_Animals[[#Headers],[Category]], 0, 2)</f>
        <v>kg liveweight</v>
      </c>
      <c r="H474" s="30" cm="1">
        <f t="array" ref="H474">Common_InputFunctions.Utility_DisplayArrayInTable(Scope3_SourceData.Scope3_Livestock_Data(), Table_SourceData_Scope3_Animals[[#Headers],[Category]], 0, 2)</f>
        <v>7.5</v>
      </c>
      <c r="I474" s="30" t="str" cm="1">
        <f t="array" ref="I474">Common_InputFunctions.Utility_DisplayArrayInTable(Scope3_SourceData.Scope3_Livestock_Data(), Table_SourceData_Scope3_Animals[[#Headers],[Category]], 0, 2)</f>
        <v>at market</v>
      </c>
    </row>
    <row r="475" spans="4:9" x14ac:dyDescent="0.25">
      <c r="D475" s="30" t="str" cm="1">
        <f t="array" ref="D475">Common_InputFunctions.Utility_DisplayArrayInTable(Scope3_SourceData.Scope3_Livestock_Data(), Table_SourceData_Scope3_Animals[[#Headers],[Category]], 0, 2)</f>
        <v>Sheep</v>
      </c>
      <c r="E475" s="30" t="str" cm="1">
        <f t="array" ref="E475">Common_InputFunctions.Utility_DisplayArrayInTable(Scope3_SourceData.Scope3_Livestock_Data(), Table_SourceData_Scope3_Animals[[#Headers],[Category]], 0, 2)</f>
        <v>Sheep, for mutton</v>
      </c>
      <c r="F475" s="30" t="str" cm="1">
        <f t="array" ref="F475">Common_InputFunctions.Utility_DisplayArrayInTable(Scope3_SourceData.Scope3_Livestock_Data(), Table_SourceData_Scope3_Animals[[#Headers],[Category]], 0, 2)</f>
        <v>VIC</v>
      </c>
      <c r="G475" s="30" t="str" cm="1">
        <f t="array" ref="G475">Common_InputFunctions.Utility_DisplayArrayInTable(Scope3_SourceData.Scope3_Livestock_Data(), Table_SourceData_Scope3_Animals[[#Headers],[Category]], 0, 2)</f>
        <v>kg liveweight</v>
      </c>
      <c r="H475" s="30" cm="1">
        <f t="array" ref="H475">Common_InputFunctions.Utility_DisplayArrayInTable(Scope3_SourceData.Scope3_Livestock_Data(), Table_SourceData_Scope3_Animals[[#Headers],[Category]], 0, 2)</f>
        <v>8.08</v>
      </c>
      <c r="I475" s="30" t="str" cm="1">
        <f t="array" ref="I475">Common_InputFunctions.Utility_DisplayArrayInTable(Scope3_SourceData.Scope3_Livestock_Data(), Table_SourceData_Scope3_Animals[[#Headers],[Category]], 0, 2)</f>
        <v>at market</v>
      </c>
    </row>
    <row r="476" spans="4:9" x14ac:dyDescent="0.25">
      <c r="D476" s="30" t="str" cm="1">
        <f t="array" ref="D476">Common_InputFunctions.Utility_DisplayArrayInTable(Scope3_SourceData.Scope3_Livestock_Data(), Table_SourceData_Scope3_Animals[[#Headers],[Category]], 0, 2)</f>
        <v>Sheep</v>
      </c>
      <c r="E476" s="30" t="str" cm="1">
        <f t="array" ref="E476">Common_InputFunctions.Utility_DisplayArrayInTable(Scope3_SourceData.Scope3_Livestock_Data(), Table_SourceData_Scope3_Animals[[#Headers],[Category]], 0, 2)</f>
        <v>Sheep, for mutton</v>
      </c>
      <c r="F476" s="30" t="str" cm="1">
        <f t="array" ref="F476">Common_InputFunctions.Utility_DisplayArrayInTable(Scope3_SourceData.Scope3_Livestock_Data(), Table_SourceData_Scope3_Animals[[#Headers],[Category]], 0, 2)</f>
        <v>WA</v>
      </c>
      <c r="G476" s="30" t="str" cm="1">
        <f t="array" ref="G476">Common_InputFunctions.Utility_DisplayArrayInTable(Scope3_SourceData.Scope3_Livestock_Data(), Table_SourceData_Scope3_Animals[[#Headers],[Category]], 0, 2)</f>
        <v>kg liveweight</v>
      </c>
      <c r="H476" s="30" cm="1">
        <f t="array" ref="H476">Common_InputFunctions.Utility_DisplayArrayInTable(Scope3_SourceData.Scope3_Livestock_Data(), Table_SourceData_Scope3_Animals[[#Headers],[Category]], 0, 2)</f>
        <v>5.45</v>
      </c>
      <c r="I476" s="30" t="str" cm="1">
        <f t="array" ref="I476">Common_InputFunctions.Utility_DisplayArrayInTable(Scope3_SourceData.Scope3_Livestock_Data(), Table_SourceData_Scope3_Animals[[#Headers],[Category]], 0, 2)</f>
        <v>at market</v>
      </c>
    </row>
    <row r="477" spans="4:9" x14ac:dyDescent="0.25">
      <c r="D477" s="30" t="str" cm="1">
        <f t="array" ref="D477">Common_InputFunctions.Utility_DisplayArrayInTable(Scope3_SourceData.Scope3_Livestock_Data(), Table_SourceData_Scope3_Animals[[#Headers],[Category]], 0, 2)</f>
        <v>Sheep</v>
      </c>
      <c r="E477" s="30" t="str" cm="1">
        <f t="array" ref="E477">Common_InputFunctions.Utility_DisplayArrayInTable(Scope3_SourceData.Scope3_Livestock_Data(), Table_SourceData_Scope3_Animals[[#Headers],[Category]], 0, 2)</f>
        <v>Sheep, for prime lamb</v>
      </c>
      <c r="F477" s="30" t="str" cm="1">
        <f t="array" ref="F477">Common_InputFunctions.Utility_DisplayArrayInTable(Scope3_SourceData.Scope3_Livestock_Data(), Table_SourceData_Scope3_Animals[[#Headers],[Category]], 0, 2)</f>
        <v>Australia</v>
      </c>
      <c r="G477" s="30" t="str" cm="1">
        <f t="array" ref="G477">Common_InputFunctions.Utility_DisplayArrayInTable(Scope3_SourceData.Scope3_Livestock_Data(), Table_SourceData_Scope3_Animals[[#Headers],[Category]], 0, 2)</f>
        <v>kg liveweight</v>
      </c>
      <c r="H477" s="30" cm="1">
        <f t="array" ref="H477">Common_InputFunctions.Utility_DisplayArrayInTable(Scope3_SourceData.Scope3_Livestock_Data(), Table_SourceData_Scope3_Animals[[#Headers],[Category]], 0, 2)</f>
        <v>7.15</v>
      </c>
      <c r="I477" s="30" t="str" cm="1">
        <f t="array" ref="I477">Common_InputFunctions.Utility_DisplayArrayInTable(Scope3_SourceData.Scope3_Livestock_Data(), Table_SourceData_Scope3_Animals[[#Headers],[Category]], 0, 2)</f>
        <v>at market</v>
      </c>
    </row>
    <row r="478" spans="4:9" x14ac:dyDescent="0.25">
      <c r="D478" s="30" t="str" cm="1">
        <f t="array" ref="D478">Common_InputFunctions.Utility_DisplayArrayInTable(Scope3_SourceData.Scope3_Livestock_Data(), Table_SourceData_Scope3_Animals[[#Headers],[Category]], 0, 2)</f>
        <v>Sheep</v>
      </c>
      <c r="E478" s="30" t="str" cm="1">
        <f t="array" ref="E478">Common_InputFunctions.Utility_DisplayArrayInTable(Scope3_SourceData.Scope3_Livestock_Data(), Table_SourceData_Scope3_Animals[[#Headers],[Category]], 0, 2)</f>
        <v>Sheep, for prime lamb</v>
      </c>
      <c r="F478" s="30" t="str" cm="1">
        <f t="array" ref="F478">Common_InputFunctions.Utility_DisplayArrayInTable(Scope3_SourceData.Scope3_Livestock_Data(), Table_SourceData_Scope3_Animals[[#Headers],[Category]], 0, 2)</f>
        <v>NSW</v>
      </c>
      <c r="G478" s="30" t="str" cm="1">
        <f t="array" ref="G478">Common_InputFunctions.Utility_DisplayArrayInTable(Scope3_SourceData.Scope3_Livestock_Data(), Table_SourceData_Scope3_Animals[[#Headers],[Category]], 0, 2)</f>
        <v>kg liveweight</v>
      </c>
      <c r="H478" s="30" cm="1">
        <f t="array" ref="H478">Common_InputFunctions.Utility_DisplayArrayInTable(Scope3_SourceData.Scope3_Livestock_Data(), Table_SourceData_Scope3_Animals[[#Headers],[Category]], 0, 2)</f>
        <v>8.2899999999999991</v>
      </c>
      <c r="I478" s="30" t="str" cm="1">
        <f t="array" ref="I478">Common_InputFunctions.Utility_DisplayArrayInTable(Scope3_SourceData.Scope3_Livestock_Data(), Table_SourceData_Scope3_Animals[[#Headers],[Category]], 0, 2)</f>
        <v>at market</v>
      </c>
    </row>
    <row r="479" spans="4:9" x14ac:dyDescent="0.25">
      <c r="D479" s="30" t="str" cm="1">
        <f t="array" ref="D479">Common_InputFunctions.Utility_DisplayArrayInTable(Scope3_SourceData.Scope3_Livestock_Data(), Table_SourceData_Scope3_Animals[[#Headers],[Category]], 0, 2)</f>
        <v>Sheep</v>
      </c>
      <c r="E479" s="30" t="str" cm="1">
        <f t="array" ref="E479">Common_InputFunctions.Utility_DisplayArrayInTable(Scope3_SourceData.Scope3_Livestock_Data(), Table_SourceData_Scope3_Animals[[#Headers],[Category]], 0, 2)</f>
        <v>Sheep, for prime lamb</v>
      </c>
      <c r="F479" s="30" t="str" cm="1">
        <f t="array" ref="F479">Common_InputFunctions.Utility_DisplayArrayInTable(Scope3_SourceData.Scope3_Livestock_Data(), Table_SourceData_Scope3_Animals[[#Headers],[Category]], 0, 2)</f>
        <v>QLD</v>
      </c>
      <c r="G479" s="30" t="str" cm="1">
        <f t="array" ref="G479">Common_InputFunctions.Utility_DisplayArrayInTable(Scope3_SourceData.Scope3_Livestock_Data(), Table_SourceData_Scope3_Animals[[#Headers],[Category]], 0, 2)</f>
        <v>kg liveweight</v>
      </c>
      <c r="H479" s="30" cm="1">
        <f t="array" ref="H479">Common_InputFunctions.Utility_DisplayArrayInTable(Scope3_SourceData.Scope3_Livestock_Data(), Table_SourceData_Scope3_Animals[[#Headers],[Category]], 0, 2)</f>
        <v>6.39</v>
      </c>
      <c r="I479" s="30" t="str" cm="1">
        <f t="array" ref="I479">Common_InputFunctions.Utility_DisplayArrayInTable(Scope3_SourceData.Scope3_Livestock_Data(), Table_SourceData_Scope3_Animals[[#Headers],[Category]], 0, 2)</f>
        <v>at market</v>
      </c>
    </row>
    <row r="480" spans="4:9" x14ac:dyDescent="0.25">
      <c r="D480" s="30" t="str" cm="1">
        <f t="array" ref="D480">Common_InputFunctions.Utility_DisplayArrayInTable(Scope3_SourceData.Scope3_Livestock_Data(), Table_SourceData_Scope3_Animals[[#Headers],[Category]], 0, 2)</f>
        <v>Sheep</v>
      </c>
      <c r="E480" s="30" t="str" cm="1">
        <f t="array" ref="E480">Common_InputFunctions.Utility_DisplayArrayInTable(Scope3_SourceData.Scope3_Livestock_Data(), Table_SourceData_Scope3_Animals[[#Headers],[Category]], 0, 2)</f>
        <v>Sheep, for prime lamb</v>
      </c>
      <c r="F480" s="30" t="str" cm="1">
        <f t="array" ref="F480">Common_InputFunctions.Utility_DisplayArrayInTable(Scope3_SourceData.Scope3_Livestock_Data(), Table_SourceData_Scope3_Animals[[#Headers],[Category]], 0, 2)</f>
        <v>SA</v>
      </c>
      <c r="G480" s="30" t="str" cm="1">
        <f t="array" ref="G480">Common_InputFunctions.Utility_DisplayArrayInTable(Scope3_SourceData.Scope3_Livestock_Data(), Table_SourceData_Scope3_Animals[[#Headers],[Category]], 0, 2)</f>
        <v>kg liveweight</v>
      </c>
      <c r="H480" s="30" cm="1">
        <f t="array" ref="H480">Common_InputFunctions.Utility_DisplayArrayInTable(Scope3_SourceData.Scope3_Livestock_Data(), Table_SourceData_Scope3_Animals[[#Headers],[Category]], 0, 2)</f>
        <v>6.87</v>
      </c>
      <c r="I480" s="30" t="str" cm="1">
        <f t="array" ref="I480">Common_InputFunctions.Utility_DisplayArrayInTable(Scope3_SourceData.Scope3_Livestock_Data(), Table_SourceData_Scope3_Animals[[#Headers],[Category]], 0, 2)</f>
        <v>at market</v>
      </c>
    </row>
    <row r="481" spans="4:9" x14ac:dyDescent="0.25">
      <c r="D481" s="30" t="str" cm="1">
        <f t="array" ref="D481">Common_InputFunctions.Utility_DisplayArrayInTable(Scope3_SourceData.Scope3_Livestock_Data(), Table_SourceData_Scope3_Animals[[#Headers],[Category]], 0, 2)</f>
        <v>Sheep</v>
      </c>
      <c r="E481" s="30" t="str" cm="1">
        <f t="array" ref="E481">Common_InputFunctions.Utility_DisplayArrayInTable(Scope3_SourceData.Scope3_Livestock_Data(), Table_SourceData_Scope3_Animals[[#Headers],[Category]], 0, 2)</f>
        <v>Sheep, for prime lamb</v>
      </c>
      <c r="F481" s="30" t="str" cm="1">
        <f t="array" ref="F481">Common_InputFunctions.Utility_DisplayArrayInTable(Scope3_SourceData.Scope3_Livestock_Data(), Table_SourceData_Scope3_Animals[[#Headers],[Category]], 0, 2)</f>
        <v>TAS</v>
      </c>
      <c r="G481" s="30" t="str" cm="1">
        <f t="array" ref="G481">Common_InputFunctions.Utility_DisplayArrayInTable(Scope3_SourceData.Scope3_Livestock_Data(), Table_SourceData_Scope3_Animals[[#Headers],[Category]], 0, 2)</f>
        <v>kg liveweight</v>
      </c>
      <c r="H481" s="30" cm="1">
        <f t="array" ref="H481">Common_InputFunctions.Utility_DisplayArrayInTable(Scope3_SourceData.Scope3_Livestock_Data(), Table_SourceData_Scope3_Animals[[#Headers],[Category]], 0, 2)</f>
        <v>8.66</v>
      </c>
      <c r="I481" s="30" t="str" cm="1">
        <f t="array" ref="I481">Common_InputFunctions.Utility_DisplayArrayInTable(Scope3_SourceData.Scope3_Livestock_Data(), Table_SourceData_Scope3_Animals[[#Headers],[Category]], 0, 2)</f>
        <v>at market</v>
      </c>
    </row>
    <row r="482" spans="4:9" x14ac:dyDescent="0.25">
      <c r="D482" s="30" t="str" cm="1">
        <f t="array" ref="D482">Common_InputFunctions.Utility_DisplayArrayInTable(Scope3_SourceData.Scope3_Livestock_Data(), Table_SourceData_Scope3_Animals[[#Headers],[Category]], 0, 2)</f>
        <v>Sheep</v>
      </c>
      <c r="E482" s="30" t="str" cm="1">
        <f t="array" ref="E482">Common_InputFunctions.Utility_DisplayArrayInTable(Scope3_SourceData.Scope3_Livestock_Data(), Table_SourceData_Scope3_Animals[[#Headers],[Category]], 0, 2)</f>
        <v>Sheep, for prime lamb</v>
      </c>
      <c r="F482" s="30" t="str" cm="1">
        <f t="array" ref="F482">Common_InputFunctions.Utility_DisplayArrayInTable(Scope3_SourceData.Scope3_Livestock_Data(), Table_SourceData_Scope3_Animals[[#Headers],[Category]], 0, 2)</f>
        <v>VIC</v>
      </c>
      <c r="G482" s="30" t="str" cm="1">
        <f t="array" ref="G482">Common_InputFunctions.Utility_DisplayArrayInTable(Scope3_SourceData.Scope3_Livestock_Data(), Table_SourceData_Scope3_Animals[[#Headers],[Category]], 0, 2)</f>
        <v>kg liveweight</v>
      </c>
      <c r="H482" s="30" cm="1">
        <f t="array" ref="H482">Common_InputFunctions.Utility_DisplayArrayInTable(Scope3_SourceData.Scope3_Livestock_Data(), Table_SourceData_Scope3_Animals[[#Headers],[Category]], 0, 2)</f>
        <v>10</v>
      </c>
      <c r="I482" s="30" t="str" cm="1">
        <f t="array" ref="I482">Common_InputFunctions.Utility_DisplayArrayInTable(Scope3_SourceData.Scope3_Livestock_Data(), Table_SourceData_Scope3_Animals[[#Headers],[Category]], 0, 2)</f>
        <v>at market</v>
      </c>
    </row>
    <row r="483" spans="4:9" x14ac:dyDescent="0.25">
      <c r="D483" s="30" t="str" cm="1">
        <f t="array" ref="D483">Common_InputFunctions.Utility_DisplayArrayInTable(Scope3_SourceData.Scope3_Livestock_Data(), Table_SourceData_Scope3_Animals[[#Headers],[Category]], 0, 2)</f>
        <v>Sheep</v>
      </c>
      <c r="E483" s="30" t="str" cm="1">
        <f t="array" ref="E483">Common_InputFunctions.Utility_DisplayArrayInTable(Scope3_SourceData.Scope3_Livestock_Data(), Table_SourceData_Scope3_Animals[[#Headers],[Category]], 0, 2)</f>
        <v>Sheep, for prime lamb</v>
      </c>
      <c r="F483" s="30" t="str" cm="1">
        <f t="array" ref="F483">Common_InputFunctions.Utility_DisplayArrayInTable(Scope3_SourceData.Scope3_Livestock_Data(), Table_SourceData_Scope3_Animals[[#Headers],[Category]], 0, 2)</f>
        <v>WA</v>
      </c>
      <c r="G483" s="30" t="str" cm="1">
        <f t="array" ref="G483">Common_InputFunctions.Utility_DisplayArrayInTable(Scope3_SourceData.Scope3_Livestock_Data(), Table_SourceData_Scope3_Animals[[#Headers],[Category]], 0, 2)</f>
        <v>kg liveweight</v>
      </c>
      <c r="H483" s="30" cm="1">
        <f t="array" ref="H483">Common_InputFunctions.Utility_DisplayArrayInTable(Scope3_SourceData.Scope3_Livestock_Data(), Table_SourceData_Scope3_Animals[[#Headers],[Category]], 0, 2)</f>
        <v>5.67</v>
      </c>
      <c r="I483" s="30" t="str" cm="1">
        <f t="array" ref="I483">Common_InputFunctions.Utility_DisplayArrayInTable(Scope3_SourceData.Scope3_Livestock_Data(), Table_SourceData_Scope3_Animals[[#Headers],[Category]], 0, 2)</f>
        <v>at market</v>
      </c>
    </row>
  </sheetData>
  <pageMargins left="0.7" right="0.7" top="0.75" bottom="0.75" header="0.3" footer="0.3"/>
  <pageSetup paperSize="9" orientation="portrait" r:id="rId1"/>
  <tableParts count="2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E4718-A440-462A-91CE-D0D9B95F3F97}">
  <dimension ref="A1:AI235"/>
  <sheetViews>
    <sheetView showGridLines="0" topLeftCell="B16" zoomScaleNormal="100" workbookViewId="0">
      <selection activeCell="A46" sqref="A46"/>
    </sheetView>
  </sheetViews>
  <sheetFormatPr defaultRowHeight="15.75" x14ac:dyDescent="0.25"/>
  <cols>
    <col min="1" max="1" width="30.7109375" customWidth="1"/>
    <col min="2" max="2" width="4.7109375" customWidth="1"/>
    <col min="3" max="3" width="4.7109375" style="1" customWidth="1"/>
    <col min="4" max="9" width="20.7109375" style="1" customWidth="1"/>
    <col min="10" max="10" width="26.28515625" style="1" customWidth="1"/>
    <col min="11" max="31" width="20.7109375" style="1" customWidth="1"/>
    <col min="32" max="32" width="4.7109375" style="1" customWidth="1"/>
  </cols>
  <sheetData>
    <row r="1" spans="1:35" s="31" customFormat="1" ht="30" customHeight="1" x14ac:dyDescent="0.35">
      <c r="A1" s="16" t="e" vm="1">
        <v>#VALUE!</v>
      </c>
      <c r="C1" s="31" t="s">
        <v>833</v>
      </c>
      <c r="AG1"/>
      <c r="AH1"/>
      <c r="AI1"/>
    </row>
    <row r="2" spans="1:35" s="3" customFormat="1" ht="20.100000000000001" customHeight="1" x14ac:dyDescent="0.25">
      <c r="A2"/>
      <c r="AG2"/>
      <c r="AH2"/>
      <c r="AI2"/>
    </row>
    <row r="3" spans="1:35" ht="20.100000000000001" customHeight="1" x14ac:dyDescent="0.25">
      <c r="A3" s="5" t="str">
        <f>HYPERLINK("#'Home'!A1", "Home")</f>
        <v>Home</v>
      </c>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row>
    <row r="4" spans="1:35" ht="20.100000000000001" customHeight="1" x14ac:dyDescent="0.25">
      <c r="A4" s="5" t="str">
        <f>HYPERLINK("#'Results'!A1", "Results")</f>
        <v>Results</v>
      </c>
    </row>
    <row r="5" spans="1:35" ht="20.100000000000001" customHeight="1" x14ac:dyDescent="0.25">
      <c r="D5" s="2" t="str" cm="1">
        <f t="array" ref="D5">Agresidue_SourceData.CropPurposeAndYield_Title()</f>
        <v>Crop purpose and yield</v>
      </c>
    </row>
    <row r="6" spans="1:35" ht="20.100000000000001" customHeight="1" x14ac:dyDescent="0.25"/>
    <row r="7" spans="1:35" ht="20.100000000000001" customHeight="1" x14ac:dyDescent="0.25">
      <c r="A7" s="7" t="s">
        <v>0</v>
      </c>
      <c r="D7" s="244" t="s">
        <v>834</v>
      </c>
      <c r="E7" s="244" t="s">
        <v>835</v>
      </c>
      <c r="F7" s="244" t="s">
        <v>836</v>
      </c>
      <c r="G7" s="244" t="s">
        <v>837</v>
      </c>
      <c r="H7" s="244" t="s">
        <v>838</v>
      </c>
      <c r="I7" s="244" t="s">
        <v>839</v>
      </c>
      <c r="J7" s="244" t="s">
        <v>840</v>
      </c>
      <c r="K7" s="244" t="s">
        <v>841</v>
      </c>
      <c r="AG7" s="1"/>
      <c r="AH7" s="1"/>
      <c r="AI7" s="1"/>
    </row>
    <row r="8" spans="1:35" ht="20.100000000000001" customHeight="1" x14ac:dyDescent="0.25">
      <c r="A8" s="5" t="str">
        <f>HYPERLINK("#'Input - Enterprise'!A1", "Enterprise")</f>
        <v>Enterprise</v>
      </c>
      <c r="D8" t="str" cm="1">
        <f t="array" ref="D8">Common_InputFunctions.Utility_DisplayArrayInTable(Agresidue_SourceData.CropPurposeAndYield_Data(), Table_SourceData_CropPurposeAndYields[[#Headers],[Purpose]], 0)</f>
        <v>Cash grain crop</v>
      </c>
      <c r="E8" t="str" cm="1">
        <f t="array" ref="E8">Common_InputFunctions.Utility_DisplayArrayInTable(Agresidue_SourceData.CropPurposeAndYield_Data(), Table_SourceData_CropPurposeAndYields[[#Headers],[Purpose]], 0)</f>
        <v>grain</v>
      </c>
      <c r="F8" t="str" cm="1">
        <f t="array" ref="F8">Common_InputFunctions.Utility_DisplayArrayInTable(Agresidue_SourceData.CropPurposeAndYield_Data(), Table_SourceData_CropPurposeAndYields[[#Headers],[Purpose]], 0)</f>
        <v>yield</v>
      </c>
      <c r="G8" t="str" cm="1">
        <f t="array" ref="G8">Common_InputFunctions.Utility_DisplayArrayInTable(Agresidue_SourceData.CropPurposeAndYield_Data(), Table_SourceData_CropPurposeAndYields[[#Headers],[Purpose]], 0)</f>
        <v>harvest</v>
      </c>
      <c r="H8" t="str" cm="1">
        <f t="array" ref="H8">Common_InputFunctions.Utility_DisplayArrayInTable(Agresidue_SourceData.CropPurposeAndYield_Data(), Table_SourceData_CropPurposeAndYields[[#Headers],[Purpose]], 0)</f>
        <v>grain</v>
      </c>
      <c r="I8" t="str" cm="1">
        <f t="array" ref="I8">Common_InputFunctions.Utility_DisplayArrayInTable(Agresidue_SourceData.CropPurposeAndYield_Data(), Table_SourceData_CropPurposeAndYields[[#Headers],[Purpose]], 0)</f>
        <v>Yield is the grain harvested from the plant</v>
      </c>
      <c r="J8" t="str" cm="1">
        <f t="array" ref="J8">Common_InputFunctions.Utility_DisplayArrayInTable(Agresidue_SourceData.CropPurposeAndYield_Data(), Table_SourceData_CropPurposeAndYields[[#Headers],[Purpose]], 0)</f>
        <v>Residue to crop ratio is provided from default values</v>
      </c>
      <c r="K8" t="str" cm="1">
        <f t="array" ref="K8">Common_InputFunctions.Utility_DisplayArrayInTable(Agresidue_SourceData.CropPurposeAndYield_Data(), Table_SourceData_CropPurposeAndYields[[#Headers],[Purpose]], 0)</f>
        <v>Total production is the total grain harvested</v>
      </c>
      <c r="AG8" s="1"/>
      <c r="AH8" s="1"/>
      <c r="AI8" s="1"/>
    </row>
    <row r="9" spans="1:35" ht="20.100000000000001" customHeight="1" x14ac:dyDescent="0.25">
      <c r="A9" s="5" t="str">
        <f>HYPERLINK("#'Input - Site'!A1", "Site")</f>
        <v>Site</v>
      </c>
      <c r="D9" t="str" cm="1">
        <f t="array" ref="D9">Common_InputFunctions.Utility_DisplayArrayInTable(Agresidue_SourceData.CropPurposeAndYield_Data(), Table_SourceData_CropPurposeAndYields[[#Headers],[Purpose]], 0)</f>
        <v>Cash crop for hay/silage</v>
      </c>
      <c r="E9" t="str" cm="1">
        <f t="array" ref="E9">Common_InputFunctions.Utility_DisplayArrayInTable(Agresidue_SourceData.CropPurposeAndYield_Data(), Table_SourceData_CropPurposeAndYields[[#Headers],[Purpose]], 0)</f>
        <v>above ground biomass</v>
      </c>
      <c r="F9" t="str" cm="1">
        <f t="array" ref="F9">Common_InputFunctions.Utility_DisplayArrayInTable(Agresidue_SourceData.CropPurposeAndYield_Data(), Table_SourceData_CropPurposeAndYields[[#Headers],[Purpose]], 0)</f>
        <v>yield</v>
      </c>
      <c r="G9" t="str" cm="1">
        <f t="array" ref="G9">Common_InputFunctions.Utility_DisplayArrayInTable(Agresidue_SourceData.CropPurposeAndYield_Data(), Table_SourceData_CropPurposeAndYields[[#Headers],[Purpose]], 0)</f>
        <v>harvest</v>
      </c>
      <c r="H9" t="str" cm="1">
        <f t="array" ref="H9">Common_InputFunctions.Utility_DisplayArrayInTable(Agresidue_SourceData.CropPurposeAndYield_Data(), Table_SourceData_CropPurposeAndYields[[#Headers],[Purpose]], 0)</f>
        <v>plant biomass</v>
      </c>
      <c r="I9" t="str" cm="1">
        <f t="array" ref="I9">Common_InputFunctions.Utility_DisplayArrayInTable(Agresidue_SourceData.CropPurposeAndYield_Data(), Table_SourceData_CropPurposeAndYields[[#Headers],[Purpose]], 0)</f>
        <v>Yield is the whole plant harvested for hay/silage</v>
      </c>
      <c r="J9" t="str" cm="1">
        <f t="array" ref="J9">Common_InputFunctions.Utility_DisplayArrayInTable(Agresidue_SourceData.CropPurposeAndYield_Data(), Table_SourceData_CropPurposeAndYields[[#Headers],[Purpose]], 0)</f>
        <v>Residue to crop ratio is 0 assuming the whole plant is harvested for hay/silage</v>
      </c>
      <c r="K9" t="str" cm="1">
        <f t="array" ref="K9">Common_InputFunctions.Utility_DisplayArrayInTable(Agresidue_SourceData.CropPurposeAndYield_Data(), Table_SourceData_CropPurposeAndYields[[#Headers],[Purpose]], 0)</f>
        <v>Total production is the total whole plant biomass harvested as hay/silage</v>
      </c>
      <c r="AG9" s="1"/>
      <c r="AH9" s="1"/>
      <c r="AI9" s="1"/>
    </row>
    <row r="10" spans="1:35" ht="20.100000000000001" customHeight="1" x14ac:dyDescent="0.25">
      <c r="A10" s="5" t="str">
        <f>HYPERLINK("#'Input - Pasture Beef'!A1", "Pasture Beef")</f>
        <v>Pasture Beef</v>
      </c>
      <c r="D10" t="str" cm="1">
        <f t="array" ref="D10">Common_InputFunctions.Utility_DisplayArrayInTable(Agresidue_SourceData.CropPurposeAndYield_Data(), Table_SourceData_CropPurposeAndYields[[#Headers],[Purpose]], 0)</f>
        <v>Cover crop</v>
      </c>
      <c r="E10" t="str" cm="1">
        <f t="array" ref="E10">Common_InputFunctions.Utility_DisplayArrayInTable(Agresidue_SourceData.CropPurposeAndYield_Data(), Table_SourceData_CropPurposeAndYields[[#Headers],[Purpose]], 0)</f>
        <v>above ground biomass</v>
      </c>
      <c r="F10" t="str" cm="1">
        <f t="array" ref="F10">Common_InputFunctions.Utility_DisplayArrayInTable(Agresidue_SourceData.CropPurposeAndYield_Data(), Table_SourceData_CropPurposeAndYields[[#Headers],[Purpose]], 0)</f>
        <v>mass</v>
      </c>
      <c r="G10" t="str" cm="1">
        <f t="array" ref="G10">Common_InputFunctions.Utility_DisplayArrayInTable(Agresidue_SourceData.CropPurposeAndYield_Data(), Table_SourceData_CropPurposeAndYields[[#Headers],[Purpose]], 0)</f>
        <v>end of crop cycle</v>
      </c>
      <c r="H10" t="str" cm="1">
        <f t="array" ref="H10">Common_InputFunctions.Utility_DisplayArrayInTable(Agresidue_SourceData.CropPurposeAndYield_Data(), Table_SourceData_CropPurposeAndYields[[#Headers],[Purpose]], 0)</f>
        <v>above ground biomass</v>
      </c>
      <c r="I10" t="str" cm="1">
        <f t="array" ref="I10">Common_InputFunctions.Utility_DisplayArrayInTable(Agresidue_SourceData.CropPurposeAndYield_Data(), Table_SourceData_CropPurposeAndYields[[#Headers],[Purpose]], 0)</f>
        <v>Yield is the whole plant kept as cover crop</v>
      </c>
      <c r="J10" t="str" cm="1">
        <f t="array" ref="J10">Common_InputFunctions.Utility_DisplayArrayInTable(Agresidue_SourceData.CropPurposeAndYield_Data(), Table_SourceData_CropPurposeAndYields[[#Headers],[Purpose]], 0)</f>
        <v>Residue to crop ratio is 1 assuming the whole plant is kept as cover crop</v>
      </c>
      <c r="K10" t="str" cm="1">
        <f t="array" ref="K10">Common_InputFunctions.Utility_DisplayArrayInTable(Agresidue_SourceData.CropPurposeAndYield_Data(), Table_SourceData_CropPurposeAndYields[[#Headers],[Purpose]], 0)</f>
        <v>Total production is the total whole plant biomass kept as cover crop</v>
      </c>
      <c r="AG10" s="1"/>
      <c r="AH10" s="1"/>
      <c r="AI10" s="1"/>
    </row>
    <row r="11" spans="1:35" ht="20.100000000000001" customHeight="1" x14ac:dyDescent="0.25">
      <c r="A11" s="5" t="str">
        <f>HYPERLINK("#'Input - Pasture Beef (Enteric)'!A1", "Pasture Beef (Enteric)")</f>
        <v>Pasture Beef (Enteric)</v>
      </c>
    </row>
    <row r="12" spans="1:35" ht="20.100000000000001" customHeight="1" x14ac:dyDescent="0.25">
      <c r="A12" s="5" t="str">
        <f>HYPERLINK("#'Input - Pasture'!A1", "Pasture")</f>
        <v>Pasture</v>
      </c>
    </row>
    <row r="13" spans="1:35" ht="20.100000000000001" customHeight="1" x14ac:dyDescent="0.25">
      <c r="A13" s="5" t="str">
        <f>HYPERLINK("#'Input - Fertiliser'!A1", "Fertiliser")</f>
        <v>Fertiliser</v>
      </c>
    </row>
    <row r="14" spans="1:35" ht="20.100000000000001" customHeight="1" x14ac:dyDescent="0.25">
      <c r="A14" s="5" t="str">
        <f>HYPERLINK("#'Input - Fuel'!A1", "Fuel")</f>
        <v>Fuel</v>
      </c>
    </row>
    <row r="15" spans="1:35" ht="20.100000000000001" customHeight="1" x14ac:dyDescent="0.25">
      <c r="A15" s="5" t="str">
        <f>HYPERLINK("#'Input - Electricity'!A1", "Electricity")</f>
        <v>Electricity</v>
      </c>
      <c r="D15" s="2" t="str" cm="1">
        <f t="array" ref="D15">Agresidue_SourceData.CropAttributes_Title()</f>
        <v>Table A.2.1.1: Crop attributes</v>
      </c>
      <c r="E15" s="8"/>
      <c r="F15" s="8"/>
      <c r="G15" s="8"/>
      <c r="H15" s="8"/>
      <c r="I15" s="8"/>
      <c r="J15" s="8"/>
      <c r="K15" s="8"/>
      <c r="L15" s="8"/>
    </row>
    <row r="16" spans="1:35" ht="20.100000000000001" customHeight="1" x14ac:dyDescent="0.25">
      <c r="D16" s="27" t="str" cm="1">
        <f t="array" ref="D16">Agresidue_SourceData.CropAttributes_Source()</f>
        <v>VEERG 2026: Table A.2.1.1: Crop attributes</v>
      </c>
      <c r="E16" s="8"/>
      <c r="F16" s="8"/>
      <c r="G16" s="8"/>
      <c r="H16" s="8"/>
      <c r="I16" s="8"/>
      <c r="J16" s="8"/>
      <c r="K16" s="8"/>
      <c r="L16" s="8"/>
    </row>
    <row r="17" spans="1:14" ht="20.100000000000001" customHeight="1" x14ac:dyDescent="0.25">
      <c r="D17" s="36" t="str" cm="1">
        <f t="array" ref="D17">"⚠️" &amp; Agresidue_SourceData.CropAttributes_Variation()</f>
        <v>⚠️VARIATION FROM SOURCE: 'N/A' values passed as zero for calculations.</v>
      </c>
      <c r="E17" s="8"/>
      <c r="F17" s="8"/>
      <c r="G17" s="8"/>
      <c r="H17" s="8"/>
      <c r="I17" s="8"/>
      <c r="J17" s="8"/>
      <c r="K17" s="8"/>
      <c r="L17" s="8"/>
    </row>
    <row r="18" spans="1:14" ht="20.100000000000001" customHeight="1" x14ac:dyDescent="0.25">
      <c r="A18" s="6" t="s">
        <v>2</v>
      </c>
      <c r="D18" s="8"/>
      <c r="E18" s="8"/>
      <c r="F18" s="8"/>
      <c r="G18" s="8"/>
      <c r="H18" s="8"/>
      <c r="I18" s="8"/>
      <c r="J18" s="8"/>
      <c r="K18" s="8"/>
      <c r="L18" s="8"/>
    </row>
    <row r="19" spans="1:14" ht="20.100000000000001" customHeight="1" x14ac:dyDescent="0.25">
      <c r="A19" s="5" t="str">
        <f>HYPERLINK("#'3.2.1.1-2 Enteric Methane'!A1", "3.2.1.1-2 Enteric methane")</f>
        <v>3.2.1.1-2 Enteric methane</v>
      </c>
      <c r="D19" t="s">
        <v>470</v>
      </c>
      <c r="E19" t="s">
        <v>842</v>
      </c>
      <c r="F19" t="s">
        <v>843</v>
      </c>
      <c r="G19" t="s">
        <v>844</v>
      </c>
      <c r="H19" t="s">
        <v>845</v>
      </c>
      <c r="I19" t="s">
        <v>846</v>
      </c>
      <c r="J19" t="s">
        <v>847</v>
      </c>
      <c r="K19" t="s">
        <v>848</v>
      </c>
      <c r="L19" t="s">
        <v>849</v>
      </c>
      <c r="N19" s="2" t="s">
        <v>306</v>
      </c>
    </row>
    <row r="20" spans="1:14" ht="20.100000000000001" customHeight="1" x14ac:dyDescent="0.25">
      <c r="A20" s="5" t="str">
        <f>HYPERLINK("#'4.2.1.1-2 Methane'!A1", "4.2.1.1-2 Manure methane")</f>
        <v>4.2.1.1-2 Manure methane</v>
      </c>
      <c r="D20" t="str" cm="1">
        <f t="array" ref="D20">Common_InputFunctions.Utility_DisplayArrayInTable(Agresidue_SourceData.CropAttributes_Data(),Table_SourceData_CropAttributes[[#Headers],[Crop type]], -1)</f>
        <v>Wheat</v>
      </c>
      <c r="E20" cm="1">
        <f t="array" ref="E20">Common_InputFunctions.Utility_DisplayArrayInTable(Agresidue_SourceData.CropAttributes_Data(),Table_SourceData_CropAttributes[[#Headers],[Crop type]], -1)</f>
        <v>1.5</v>
      </c>
      <c r="F20" cm="1">
        <f t="array" ref="F20">Common_InputFunctions.Utility_DisplayArrayInTable(Agresidue_SourceData.CropAttributes_Data(),Table_SourceData_CropAttributes[[#Headers],[Crop type]], -1)</f>
        <v>0.28999999999999998</v>
      </c>
      <c r="G20" cm="1">
        <f t="array" ref="G20">Common_InputFunctions.Utility_DisplayArrayInTable(Agresidue_SourceData.CropAttributes_Data(),Table_SourceData_CropAttributes[[#Headers],[Crop type]], -1)</f>
        <v>0.88</v>
      </c>
      <c r="H20" cm="1">
        <f t="array" ref="H20">Common_InputFunctions.Utility_DisplayArrayInTable(Agresidue_SourceData.CropAttributes_Data(),Table_SourceData_CropAttributes[[#Headers],[Crop type]], -1)</f>
        <v>0.4</v>
      </c>
      <c r="I20" cm="1">
        <f t="array" ref="I20">Common_InputFunctions.Utility_DisplayArrayInTable(Agresidue_SourceData.CropAttributes_Data(),Table_SourceData_CropAttributes[[#Headers],[Crop type]], -1)</f>
        <v>6.0000000000000001E-3</v>
      </c>
      <c r="J20" cm="1">
        <f t="array" ref="J20">Common_InputFunctions.Utility_DisplayArrayInTable(Agresidue_SourceData.CropAttributes_Data(),Table_SourceData_CropAttributes[[#Headers],[Crop type]], -1)</f>
        <v>0.01</v>
      </c>
      <c r="K20" cm="1">
        <f t="array" ref="K20">Common_InputFunctions.Utility_DisplayArrayInTable(Agresidue_SourceData.CropAttributes_Data(),Table_SourceData_CropAttributes[[#Headers],[Crop type]], -1)</f>
        <v>0.5</v>
      </c>
      <c r="L20" cm="1">
        <f t="array" ref="L20">Common_InputFunctions.Utility_DisplayArrayInTable(Agresidue_SourceData.CropAttributes_Data(),Table_SourceData_CropAttributes[[#Headers],[Crop type]], -1)</f>
        <v>0.9</v>
      </c>
    </row>
    <row r="21" spans="1:14" ht="20.100000000000001" customHeight="1" x14ac:dyDescent="0.25">
      <c r="A21" s="5" t="str">
        <f>HYPERLINK("#'4.2.1.3-4 Soil direct N20'!A1", "4.2.1.3-4 Soil direct N2O")</f>
        <v>4.2.1.3-4 Soil direct N2O</v>
      </c>
      <c r="D21" t="str" cm="1">
        <f t="array" ref="D21">Common_InputFunctions.Utility_DisplayArrayInTable(Agresidue_SourceData.CropAttributes_Data(),Table_SourceData_CropAttributes[[#Headers],[Crop type]], -1)</f>
        <v>Barley</v>
      </c>
      <c r="E21" cm="1">
        <f t="array" ref="E21">Common_InputFunctions.Utility_DisplayArrayInTable(Agresidue_SourceData.CropAttributes_Data(),Table_SourceData_CropAttributes[[#Headers],[Crop type]], -1)</f>
        <v>1.24</v>
      </c>
      <c r="F21" cm="1">
        <f t="array" ref="F21">Common_InputFunctions.Utility_DisplayArrayInTable(Agresidue_SourceData.CropAttributes_Data(),Table_SourceData_CropAttributes[[#Headers],[Crop type]], -1)</f>
        <v>0.32</v>
      </c>
      <c r="G21" cm="1">
        <f t="array" ref="G21">Common_InputFunctions.Utility_DisplayArrayInTable(Agresidue_SourceData.CropAttributes_Data(),Table_SourceData_CropAttributes[[#Headers],[Crop type]], -1)</f>
        <v>0.88</v>
      </c>
      <c r="H21" cm="1">
        <f t="array" ref="H21">Common_InputFunctions.Utility_DisplayArrayInTable(Agresidue_SourceData.CropAttributes_Data(),Table_SourceData_CropAttributes[[#Headers],[Crop type]], -1)</f>
        <v>0.4</v>
      </c>
      <c r="I21" cm="1">
        <f t="array" ref="I21">Common_InputFunctions.Utility_DisplayArrayInTable(Agresidue_SourceData.CropAttributes_Data(),Table_SourceData_CropAttributes[[#Headers],[Crop type]], -1)</f>
        <v>7.0000000000000001E-3</v>
      </c>
      <c r="J21" cm="1">
        <f t="array" ref="J21">Common_InputFunctions.Utility_DisplayArrayInTable(Agresidue_SourceData.CropAttributes_Data(),Table_SourceData_CropAttributes[[#Headers],[Crop type]], -1)</f>
        <v>0.01</v>
      </c>
      <c r="K21" cm="1">
        <f t="array" ref="K21">Common_InputFunctions.Utility_DisplayArrayInTable(Agresidue_SourceData.CropAttributes_Data(),Table_SourceData_CropAttributes[[#Headers],[Crop type]], -1)</f>
        <v>0.5</v>
      </c>
      <c r="L21" cm="1">
        <f t="array" ref="L21">Common_InputFunctions.Utility_DisplayArrayInTable(Agresidue_SourceData.CropAttributes_Data(),Table_SourceData_CropAttributes[[#Headers],[Crop type]], -1)</f>
        <v>0.85</v>
      </c>
      <c r="N21" s="30" t="s">
        <v>74</v>
      </c>
    </row>
    <row r="22" spans="1:14" ht="20.100000000000001" customHeight="1" x14ac:dyDescent="0.25">
      <c r="A22" s="5" t="str">
        <f>HYPERLINK("#'4.2.1.5-6 Soil Atmos Dep'!A1", "4.2.1.5-6 Soil atm. deposition")</f>
        <v>4.2.1.5-6 Soil atm. deposition</v>
      </c>
      <c r="D22" t="str" cm="1">
        <f t="array" ref="D22">Common_InputFunctions.Utility_DisplayArrayInTable(Agresidue_SourceData.CropAttributes_Data(),Table_SourceData_CropAttributes[[#Headers],[Crop type]], -1)</f>
        <v>Maize</v>
      </c>
      <c r="E22" cm="1">
        <f t="array" ref="E22">Common_InputFunctions.Utility_DisplayArrayInTable(Agresidue_SourceData.CropAttributes_Data(),Table_SourceData_CropAttributes[[#Headers],[Crop type]], -1)</f>
        <v>0.81</v>
      </c>
      <c r="F22" cm="1">
        <f t="array" ref="F22">Common_InputFunctions.Utility_DisplayArrayInTable(Agresidue_SourceData.CropAttributes_Data(),Table_SourceData_CropAttributes[[#Headers],[Crop type]], -1)</f>
        <v>0.39</v>
      </c>
      <c r="G22" cm="1">
        <f t="array" ref="G22">Common_InputFunctions.Utility_DisplayArrayInTable(Agresidue_SourceData.CropAttributes_Data(),Table_SourceData_CropAttributes[[#Headers],[Crop type]], -1)</f>
        <v>0.85</v>
      </c>
      <c r="H22" cm="1">
        <f t="array" ref="H22">Common_InputFunctions.Utility_DisplayArrayInTable(Agresidue_SourceData.CropAttributes_Data(),Table_SourceData_CropAttributes[[#Headers],[Crop type]], -1)</f>
        <v>0.42</v>
      </c>
      <c r="I22" cm="1">
        <f t="array" ref="I22">Common_InputFunctions.Utility_DisplayArrayInTable(Agresidue_SourceData.CropAttributes_Data(),Table_SourceData_CropAttributes[[#Headers],[Crop type]], -1)</f>
        <v>5.0000000000000001E-3</v>
      </c>
      <c r="J22" cm="1">
        <f t="array" ref="J22">Common_InputFunctions.Utility_DisplayArrayInTable(Agresidue_SourceData.CropAttributes_Data(),Table_SourceData_CropAttributes[[#Headers],[Crop type]], -1)</f>
        <v>7.0000000000000001E-3</v>
      </c>
      <c r="K22" cm="1">
        <f t="array" ref="K22">Common_InputFunctions.Utility_DisplayArrayInTable(Agresidue_SourceData.CropAttributes_Data(),Table_SourceData_CropAttributes[[#Headers],[Crop type]], -1)</f>
        <v>1</v>
      </c>
      <c r="L22" cm="1">
        <f t="array" ref="L22">Common_InputFunctions.Utility_DisplayArrayInTable(Agresidue_SourceData.CropAttributes_Data(),Table_SourceData_CropAttributes[[#Headers],[Crop type]], -1)</f>
        <v>0.8</v>
      </c>
      <c r="N22" s="30" t="s">
        <v>313</v>
      </c>
    </row>
    <row r="23" spans="1:14" ht="20.100000000000001" customHeight="1" x14ac:dyDescent="0.25">
      <c r="A23" s="5" t="str">
        <f>HYPERLINK("#'4.2.1.7-8 Soil leach runoff'!A1", "4.2.1.7-8 Soil leach &amp; runoff")</f>
        <v>4.2.1.7-8 Soil leach &amp; runoff</v>
      </c>
      <c r="D23" t="str" cm="1">
        <f t="array" ref="D23">Common_InputFunctions.Utility_DisplayArrayInTable(Agresidue_SourceData.CropAttributes_Data(),Table_SourceData_CropAttributes[[#Headers],[Crop type]], -1)</f>
        <v>Oats</v>
      </c>
      <c r="E23" cm="1">
        <f t="array" ref="E23">Common_InputFunctions.Utility_DisplayArrayInTable(Agresidue_SourceData.CropAttributes_Data(),Table_SourceData_CropAttributes[[#Headers],[Crop type]], -1)</f>
        <v>1.42</v>
      </c>
      <c r="F23" cm="1">
        <f t="array" ref="F23">Common_InputFunctions.Utility_DisplayArrayInTable(Agresidue_SourceData.CropAttributes_Data(),Table_SourceData_CropAttributes[[#Headers],[Crop type]], -1)</f>
        <v>0.43</v>
      </c>
      <c r="G23" cm="1">
        <f t="array" ref="G23">Common_InputFunctions.Utility_DisplayArrayInTable(Agresidue_SourceData.CropAttributes_Data(),Table_SourceData_CropAttributes[[#Headers],[Crop type]], -1)</f>
        <v>0.88</v>
      </c>
      <c r="H23" cm="1">
        <f t="array" ref="H23">Common_InputFunctions.Utility_DisplayArrayInTable(Agresidue_SourceData.CropAttributes_Data(),Table_SourceData_CropAttributes[[#Headers],[Crop type]], -1)</f>
        <v>0.4</v>
      </c>
      <c r="I23" cm="1">
        <f t="array" ref="I23">Common_InputFunctions.Utility_DisplayArrayInTable(Agresidue_SourceData.CropAttributes_Data(),Table_SourceData_CropAttributes[[#Headers],[Crop type]], -1)</f>
        <v>6.0000000000000001E-3</v>
      </c>
      <c r="J23" cm="1">
        <f t="array" ref="J23">Common_InputFunctions.Utility_DisplayArrayInTable(Agresidue_SourceData.CropAttributes_Data(),Table_SourceData_CropAttributes[[#Headers],[Crop type]], -1)</f>
        <v>0.01</v>
      </c>
      <c r="K23" cm="1">
        <f t="array" ref="K23">Common_InputFunctions.Utility_DisplayArrayInTable(Agresidue_SourceData.CropAttributes_Data(),Table_SourceData_CropAttributes[[#Headers],[Crop type]], -1)</f>
        <v>0.5</v>
      </c>
      <c r="L23" cm="1">
        <f t="array" ref="L23">Common_InputFunctions.Utility_DisplayArrayInTable(Agresidue_SourceData.CropAttributes_Data(),Table_SourceData_CropAttributes[[#Headers],[Crop type]], -1)</f>
        <v>0.85</v>
      </c>
      <c r="N23" s="30" t="s">
        <v>317</v>
      </c>
    </row>
    <row r="24" spans="1:14" ht="20.100000000000001" customHeight="1" x14ac:dyDescent="0.25">
      <c r="A24" s="5" t="str">
        <f>HYPERLINK("#'5.1.1.1-2 Inorganic fert N2O'!A1", "5.1.1.1-2 Inorganic fert N2O")</f>
        <v>5.1.1.1-2 Inorganic fert N2O</v>
      </c>
      <c r="D24" t="str" cm="1">
        <f t="array" ref="D24">Common_InputFunctions.Utility_DisplayArrayInTable(Agresidue_SourceData.CropAttributes_Data(),Table_SourceData_CropAttributes[[#Headers],[Crop type]], -1)</f>
        <v>Rice</v>
      </c>
      <c r="E24" cm="1">
        <f t="array" ref="E24">Common_InputFunctions.Utility_DisplayArrayInTable(Agresidue_SourceData.CropAttributes_Data(),Table_SourceData_CropAttributes[[#Headers],[Crop type]], -1)</f>
        <v>1.31</v>
      </c>
      <c r="F24" cm="1">
        <f t="array" ref="F24">Common_InputFunctions.Utility_DisplayArrayInTable(Agresidue_SourceData.CropAttributes_Data(),Table_SourceData_CropAttributes[[#Headers],[Crop type]], -1)</f>
        <v>0.16</v>
      </c>
      <c r="G24" cm="1">
        <f t="array" ref="G24">Common_InputFunctions.Utility_DisplayArrayInTable(Agresidue_SourceData.CropAttributes_Data(),Table_SourceData_CropAttributes[[#Headers],[Crop type]], -1)</f>
        <v>0.8</v>
      </c>
      <c r="H24" cm="1">
        <f t="array" ref="H24">Common_InputFunctions.Utility_DisplayArrayInTable(Agresidue_SourceData.CropAttributes_Data(),Table_SourceData_CropAttributes[[#Headers],[Crop type]], -1)</f>
        <v>0.42</v>
      </c>
      <c r="I24" cm="1">
        <f t="array" ref="I24">Common_InputFunctions.Utility_DisplayArrayInTable(Agresidue_SourceData.CropAttributes_Data(),Table_SourceData_CropAttributes[[#Headers],[Crop type]], -1)</f>
        <v>7.0000000000000001E-3</v>
      </c>
      <c r="J24" cm="1">
        <f t="array" ref="J24">Common_InputFunctions.Utility_DisplayArrayInTable(Agresidue_SourceData.CropAttributes_Data(),Table_SourceData_CropAttributes[[#Headers],[Crop type]], -1)</f>
        <v>0.01</v>
      </c>
      <c r="K24" cm="1">
        <f t="array" ref="K24">Common_InputFunctions.Utility_DisplayArrayInTable(Agresidue_SourceData.CropAttributes_Data(),Table_SourceData_CropAttributes[[#Headers],[Crop type]], -1)</f>
        <v>1</v>
      </c>
      <c r="L24" cm="1">
        <f t="array" ref="L24">Common_InputFunctions.Utility_DisplayArrayInTable(Agresidue_SourceData.CropAttributes_Data(),Table_SourceData_CropAttributes[[#Headers],[Crop type]], -1)</f>
        <v>0.8</v>
      </c>
      <c r="N24" s="1" t="s">
        <v>241</v>
      </c>
    </row>
    <row r="25" spans="1:14" ht="20.100000000000001" customHeight="1" x14ac:dyDescent="0.25">
      <c r="A25" s="5" t="str">
        <f>HYPERLINK("#'5.1.1.3-4 Inorganic fert CO2'!A1", "5.1.1.3-4 Inorganic fert CO2")</f>
        <v>5.1.1.3-4 Inorganic fert CO2</v>
      </c>
      <c r="D25" t="str" cm="1">
        <f t="array" ref="D25">Common_InputFunctions.Utility_DisplayArrayInTable(Agresidue_SourceData.CropAttributes_Data(),Table_SourceData_CropAttributes[[#Headers],[Crop type]], -1)</f>
        <v>Sorghum</v>
      </c>
      <c r="E25" cm="1">
        <f t="array" ref="E25">Common_InputFunctions.Utility_DisplayArrayInTable(Agresidue_SourceData.CropAttributes_Data(),Table_SourceData_CropAttributes[[#Headers],[Crop type]], -1)</f>
        <v>1.5</v>
      </c>
      <c r="F25" cm="1">
        <f t="array" ref="F25">Common_InputFunctions.Utility_DisplayArrayInTable(Agresidue_SourceData.CropAttributes_Data(),Table_SourceData_CropAttributes[[#Headers],[Crop type]], -1)</f>
        <v>0.22</v>
      </c>
      <c r="G25" cm="1">
        <f t="array" ref="G25">Common_InputFunctions.Utility_DisplayArrayInTable(Agresidue_SourceData.CropAttributes_Data(),Table_SourceData_CropAttributes[[#Headers],[Crop type]], -1)</f>
        <v>0.8</v>
      </c>
      <c r="H25" cm="1">
        <f t="array" ref="H25">Common_InputFunctions.Utility_DisplayArrayInTable(Agresidue_SourceData.CropAttributes_Data(),Table_SourceData_CropAttributes[[#Headers],[Crop type]], -1)</f>
        <v>0.4</v>
      </c>
      <c r="I25" cm="1">
        <f t="array" ref="I25">Common_InputFunctions.Utility_DisplayArrayInTable(Agresidue_SourceData.CropAttributes_Data(),Table_SourceData_CropAttributes[[#Headers],[Crop type]], -1)</f>
        <v>8.0000000000000002E-3</v>
      </c>
      <c r="J25" cm="1">
        <f t="array" ref="J25">Common_InputFunctions.Utility_DisplayArrayInTable(Agresidue_SourceData.CropAttributes_Data(),Table_SourceData_CropAttributes[[#Headers],[Crop type]], -1)</f>
        <v>7.0000000000000001E-3</v>
      </c>
      <c r="K25" cm="1">
        <f t="array" ref="K25">Common_InputFunctions.Utility_DisplayArrayInTable(Agresidue_SourceData.CropAttributes_Data(),Table_SourceData_CropAttributes[[#Headers],[Crop type]], -1)</f>
        <v>0.5</v>
      </c>
      <c r="L25" cm="1">
        <f t="array" ref="L25">Common_InputFunctions.Utility_DisplayArrayInTable(Agresidue_SourceData.CropAttributes_Data(),Table_SourceData_CropAttributes[[#Headers],[Crop type]], -1)</f>
        <v>0.85</v>
      </c>
      <c r="N25" s="1" t="s">
        <v>325</v>
      </c>
    </row>
    <row r="26" spans="1:14" ht="20.100000000000001" customHeight="1" x14ac:dyDescent="0.25">
      <c r="A26" s="5" t="str">
        <f>HYPERLINK("#'5.2.1.1-2 Organic Fert N2O'!A1", "5.2.1.1-2 Organic fert N2O")</f>
        <v>5.2.1.1-2 Organic fert N2O</v>
      </c>
      <c r="D26" t="str" cm="1">
        <f t="array" ref="D26">Common_InputFunctions.Utility_DisplayArrayInTable(Agresidue_SourceData.CropAttributes_Data(),Table_SourceData_CropAttributes[[#Headers],[Crop type]], -1)</f>
        <v>Triticale</v>
      </c>
      <c r="E26" cm="1">
        <f t="array" ref="E26">Common_InputFunctions.Utility_DisplayArrayInTable(Agresidue_SourceData.CropAttributes_Data(),Table_SourceData_CropAttributes[[#Headers],[Crop type]], -1)</f>
        <v>1.5</v>
      </c>
      <c r="F26" cm="1">
        <f t="array" ref="F26">Common_InputFunctions.Utility_DisplayArrayInTable(Agresidue_SourceData.CropAttributes_Data(),Table_SourceData_CropAttributes[[#Headers],[Crop type]], -1)</f>
        <v>0.42</v>
      </c>
      <c r="G26" cm="1">
        <f t="array" ref="G26">Common_InputFunctions.Utility_DisplayArrayInTable(Agresidue_SourceData.CropAttributes_Data(),Table_SourceData_CropAttributes[[#Headers],[Crop type]], -1)</f>
        <v>0.88</v>
      </c>
      <c r="H26" cm="1">
        <f t="array" ref="H26">Common_InputFunctions.Utility_DisplayArrayInTable(Agresidue_SourceData.CropAttributes_Data(),Table_SourceData_CropAttributes[[#Headers],[Crop type]], -1)</f>
        <v>0.4</v>
      </c>
      <c r="I26" cm="1">
        <f t="array" ref="I26">Common_InputFunctions.Utility_DisplayArrayInTable(Agresidue_SourceData.CropAttributes_Data(),Table_SourceData_CropAttributes[[#Headers],[Crop type]], -1)</f>
        <v>6.0000000000000001E-3</v>
      </c>
      <c r="J26" cm="1">
        <f t="array" ref="J26">Common_InputFunctions.Utility_DisplayArrayInTable(Agresidue_SourceData.CropAttributes_Data(),Table_SourceData_CropAttributes[[#Headers],[Crop type]], -1)</f>
        <v>0.01</v>
      </c>
      <c r="K26" cm="1">
        <f t="array" ref="K26">Common_InputFunctions.Utility_DisplayArrayInTable(Agresidue_SourceData.CropAttributes_Data(),Table_SourceData_CropAttributes[[#Headers],[Crop type]], -1)</f>
        <v>0.5</v>
      </c>
      <c r="L26" cm="1">
        <f t="array" ref="L26">Common_InputFunctions.Utility_DisplayArrayInTable(Agresidue_SourceData.CropAttributes_Data(),Table_SourceData_CropAttributes[[#Headers],[Crop type]], -1)</f>
        <v>0.85</v>
      </c>
      <c r="N26" s="1" t="s">
        <v>327</v>
      </c>
    </row>
    <row r="27" spans="1:14" ht="20.100000000000001" customHeight="1" x14ac:dyDescent="0.25">
      <c r="A27" s="5" t="str">
        <f>HYPERLINK("#'5.3.1.1-2 Lime CO2'!A1", "5.3.1.1-2 Lime CO2")</f>
        <v>5.3.1.1-2 Lime CO2</v>
      </c>
      <c r="D27" t="str" cm="1">
        <f t="array" ref="D27">Common_InputFunctions.Utility_DisplayArrayInTable(Agresidue_SourceData.CropAttributes_Data(),Table_SourceData_CropAttributes[[#Headers],[Crop type]], -1)</f>
        <v>Other cereals</v>
      </c>
      <c r="E27" cm="1">
        <f t="array" ref="E27">Common_InputFunctions.Utility_DisplayArrayInTable(Agresidue_SourceData.CropAttributes_Data(),Table_SourceData_CropAttributes[[#Headers],[Crop type]], -1)</f>
        <v>1.46</v>
      </c>
      <c r="F27" cm="1">
        <f t="array" ref="F27">Common_InputFunctions.Utility_DisplayArrayInTable(Agresidue_SourceData.CropAttributes_Data(),Table_SourceData_CropAttributes[[#Headers],[Crop type]], -1)</f>
        <v>0.36</v>
      </c>
      <c r="G27" cm="1">
        <f t="array" ref="G27">Common_InputFunctions.Utility_DisplayArrayInTable(Agresidue_SourceData.CropAttributes_Data(),Table_SourceData_CropAttributes[[#Headers],[Crop type]], -1)</f>
        <v>0.88</v>
      </c>
      <c r="H27" cm="1">
        <f t="array" ref="H27">Common_InputFunctions.Utility_DisplayArrayInTable(Agresidue_SourceData.CropAttributes_Data(),Table_SourceData_CropAttributes[[#Headers],[Crop type]], -1)</f>
        <v>0.4</v>
      </c>
      <c r="I27" cm="1">
        <f t="array" ref="I27">Common_InputFunctions.Utility_DisplayArrayInTable(Agresidue_SourceData.CropAttributes_Data(),Table_SourceData_CropAttributes[[#Headers],[Crop type]], -1)</f>
        <v>6.0000000000000001E-3</v>
      </c>
      <c r="J27" cm="1">
        <f t="array" ref="J27">Common_InputFunctions.Utility_DisplayArrayInTable(Agresidue_SourceData.CropAttributes_Data(),Table_SourceData_CropAttributes[[#Headers],[Crop type]], -1)</f>
        <v>0.01</v>
      </c>
      <c r="K27" cm="1">
        <f t="array" ref="K27">Common_InputFunctions.Utility_DisplayArrayInTable(Agresidue_SourceData.CropAttributes_Data(),Table_SourceData_CropAttributes[[#Headers],[Crop type]], -1)</f>
        <v>0.5</v>
      </c>
      <c r="L27" cm="1">
        <f t="array" ref="L27">Common_InputFunctions.Utility_DisplayArrayInTable(Agresidue_SourceData.CropAttributes_Data(),Table_SourceData_CropAttributes[[#Headers],[Crop type]], -1)</f>
        <v>0.85</v>
      </c>
    </row>
    <row r="28" spans="1:14" ht="20.100000000000001" customHeight="1" x14ac:dyDescent="0.25">
      <c r="A28" s="5" t="str">
        <f>HYPERLINK("#'5.4.1.1-4 Atmos deposition'!A1", "5.4.1.1-4 Atmos. deposition")</f>
        <v>5.4.1.1-4 Atmos. deposition</v>
      </c>
      <c r="D28" t="str" cm="1">
        <f t="array" ref="D28">Common_InputFunctions.Utility_DisplayArrayInTable(Agresidue_SourceData.CropAttributes_Data(),Table_SourceData_CropAttributes[[#Headers],[Crop type]], -1)</f>
        <v>Pulses</v>
      </c>
      <c r="E28" cm="1">
        <f t="array" ref="E28">Common_InputFunctions.Utility_DisplayArrayInTable(Agresidue_SourceData.CropAttributes_Data(),Table_SourceData_CropAttributes[[#Headers],[Crop type]], -1)</f>
        <v>1.37</v>
      </c>
      <c r="F28" cm="1">
        <f t="array" ref="F28">Common_InputFunctions.Utility_DisplayArrayInTable(Agresidue_SourceData.CropAttributes_Data(),Table_SourceData_CropAttributes[[#Headers],[Crop type]], -1)</f>
        <v>0.51</v>
      </c>
      <c r="G28" cm="1">
        <f t="array" ref="G28">Common_InputFunctions.Utility_DisplayArrayInTable(Agresidue_SourceData.CropAttributes_Data(),Table_SourceData_CropAttributes[[#Headers],[Crop type]], -1)</f>
        <v>0.87</v>
      </c>
      <c r="H28" cm="1">
        <f t="array" ref="H28">Common_InputFunctions.Utility_DisplayArrayInTable(Agresidue_SourceData.CropAttributes_Data(),Table_SourceData_CropAttributes[[#Headers],[Crop type]], -1)</f>
        <v>0.4</v>
      </c>
      <c r="I28" cm="1">
        <f t="array" ref="I28">Common_InputFunctions.Utility_DisplayArrayInTable(Agresidue_SourceData.CropAttributes_Data(),Table_SourceData_CropAttributes[[#Headers],[Crop type]], -1)</f>
        <v>8.9999999999999993E-3</v>
      </c>
      <c r="J28" cm="1">
        <f t="array" ref="J28">Common_InputFunctions.Utility_DisplayArrayInTable(Agresidue_SourceData.CropAttributes_Data(),Table_SourceData_CropAttributes[[#Headers],[Crop type]], -1)</f>
        <v>0.01</v>
      </c>
      <c r="K28" cm="1">
        <f t="array" ref="K28">Common_InputFunctions.Utility_DisplayArrayInTable(Agresidue_SourceData.CropAttributes_Data(),Table_SourceData_CropAttributes[[#Headers],[Crop type]], -1)</f>
        <v>0.5</v>
      </c>
      <c r="L28" cm="1">
        <f t="array" ref="L28">Common_InputFunctions.Utility_DisplayArrayInTable(Agresidue_SourceData.CropAttributes_Data(),Table_SourceData_CropAttributes[[#Headers],[Crop type]], -1)</f>
        <v>0.85</v>
      </c>
    </row>
    <row r="29" spans="1:14" ht="20.100000000000001" customHeight="1" x14ac:dyDescent="0.25">
      <c r="A29" s="5" t="str">
        <f>HYPERLINK("#'5.5.1.1-2 Leaching and runoff'!A1", "5.5.1.1-2 Leaching &amp; runoff")</f>
        <v>5.5.1.1-2 Leaching &amp; runoff</v>
      </c>
      <c r="D29" t="str" cm="1">
        <f t="array" ref="D29">Common_InputFunctions.Utility_DisplayArrayInTable(Agresidue_SourceData.CropAttributes_Data(),Table_SourceData_CropAttributes[[#Headers],[Crop type]], -1)</f>
        <v>Tubers and roots</v>
      </c>
      <c r="E29" cm="1">
        <f t="array" ref="E29">Common_InputFunctions.Utility_DisplayArrayInTable(Agresidue_SourceData.CropAttributes_Data(),Table_SourceData_CropAttributes[[#Headers],[Crop type]], -1)</f>
        <v>0.34</v>
      </c>
      <c r="F29" cm="1">
        <f t="array" ref="F29">Common_InputFunctions.Utility_DisplayArrayInTable(Agresidue_SourceData.CropAttributes_Data(),Table_SourceData_CropAttributes[[#Headers],[Crop type]], -1)</f>
        <v>0.43</v>
      </c>
      <c r="G29" cm="1">
        <f t="array" ref="G29">Common_InputFunctions.Utility_DisplayArrayInTable(Agresidue_SourceData.CropAttributes_Data(),Table_SourceData_CropAttributes[[#Headers],[Crop type]], -1)</f>
        <v>0.25</v>
      </c>
      <c r="H29" cm="1">
        <f t="array" ref="H29">Common_InputFunctions.Utility_DisplayArrayInTable(Agresidue_SourceData.CropAttributes_Data(),Table_SourceData_CropAttributes[[#Headers],[Crop type]], -1)</f>
        <v>0.4</v>
      </c>
      <c r="I29" cm="1">
        <f t="array" ref="I29">Common_InputFunctions.Utility_DisplayArrayInTable(Agresidue_SourceData.CropAttributes_Data(),Table_SourceData_CropAttributes[[#Headers],[Crop type]], -1)</f>
        <v>0.02</v>
      </c>
      <c r="J29" cm="1">
        <f t="array" ref="J29">Common_InputFunctions.Utility_DisplayArrayInTable(Agresidue_SourceData.CropAttributes_Data(),Table_SourceData_CropAttributes[[#Headers],[Crop type]], -1)</f>
        <v>0.01</v>
      </c>
      <c r="K29" t="str" cm="1">
        <f t="array" ref="K29">Common_InputFunctions.Utility_DisplayArrayInTable(Agresidue_SourceData.CropAttributes_Data(),Table_SourceData_CropAttributes[[#Headers],[Crop type]], -1)</f>
        <v>n/a</v>
      </c>
      <c r="L29" cm="1">
        <f t="array" ref="L29">Common_InputFunctions.Utility_DisplayArrayInTable(Agresidue_SourceData.CropAttributes_Data(),Table_SourceData_CropAttributes[[#Headers],[Crop type]], -1)</f>
        <v>0.85</v>
      </c>
    </row>
    <row r="30" spans="1:14" ht="20.100000000000001" customHeight="1" x14ac:dyDescent="0.25">
      <c r="A30" s="5" t="str">
        <f>HYPERLINK("#'6.2.1.1-2 Pasture residue N2O'!A1", "6.2.1.1-2 Pasture residue N2O")</f>
        <v>6.2.1.1-2 Pasture residue N2O</v>
      </c>
      <c r="D30" t="str" cm="1">
        <f t="array" ref="D30">Common_InputFunctions.Utility_DisplayArrayInTable(Agresidue_SourceData.CropAttributes_Data(),Table_SourceData_CropAttributes[[#Headers],[Crop type]], -1)</f>
        <v>Peanuts</v>
      </c>
      <c r="E30" cm="1">
        <f t="array" ref="E30">Common_InputFunctions.Utility_DisplayArrayInTable(Agresidue_SourceData.CropAttributes_Data(),Table_SourceData_CropAttributes[[#Headers],[Crop type]], -1)</f>
        <v>1.07</v>
      </c>
      <c r="F30" cm="1">
        <f t="array" ref="F30">Common_InputFunctions.Utility_DisplayArrayInTable(Agresidue_SourceData.CropAttributes_Data(),Table_SourceData_CropAttributes[[#Headers],[Crop type]], -1)</f>
        <v>0.2</v>
      </c>
      <c r="G30" cm="1">
        <f t="array" ref="G30">Common_InputFunctions.Utility_DisplayArrayInTable(Agresidue_SourceData.CropAttributes_Data(),Table_SourceData_CropAttributes[[#Headers],[Crop type]], -1)</f>
        <v>0.8</v>
      </c>
      <c r="H30" cm="1">
        <f t="array" ref="H30">Common_InputFunctions.Utility_DisplayArrayInTable(Agresidue_SourceData.CropAttributes_Data(),Table_SourceData_CropAttributes[[#Headers],[Crop type]], -1)</f>
        <v>0.42</v>
      </c>
      <c r="I30" cm="1">
        <f t="array" ref="I30">Common_InputFunctions.Utility_DisplayArrayInTable(Agresidue_SourceData.CropAttributes_Data(),Table_SourceData_CropAttributes[[#Headers],[Crop type]], -1)</f>
        <v>1.6E-2</v>
      </c>
      <c r="J30" cm="1">
        <f t="array" ref="J30">Common_InputFunctions.Utility_DisplayArrayInTable(Agresidue_SourceData.CropAttributes_Data(),Table_SourceData_CropAttributes[[#Headers],[Crop type]], -1)</f>
        <v>1.4E-2</v>
      </c>
      <c r="K30" cm="1">
        <f t="array" ref="K30">Common_InputFunctions.Utility_DisplayArrayInTable(Agresidue_SourceData.CropAttributes_Data(),Table_SourceData_CropAttributes[[#Headers],[Crop type]], -1)</f>
        <v>0.5</v>
      </c>
      <c r="L30" cm="1">
        <f t="array" ref="L30">Common_InputFunctions.Utility_DisplayArrayInTable(Agresidue_SourceData.CropAttributes_Data(),Table_SourceData_CropAttributes[[#Headers],[Crop type]], -1)</f>
        <v>0.85</v>
      </c>
    </row>
    <row r="31" spans="1:14" ht="20.100000000000001" customHeight="1" x14ac:dyDescent="0.25">
      <c r="A31" s="5" t="str">
        <f>HYPERLINK("#'6.3.1.1-2 Leach runoff pasture'!A1", "6.3.1.1-2 Leach &amp; runoff (pasture)")</f>
        <v>6.3.1.1-2 Leach &amp; runoff (pasture)</v>
      </c>
      <c r="D31" t="str" cm="1">
        <f t="array" ref="D31">Common_InputFunctions.Utility_DisplayArrayInTable(Agresidue_SourceData.CropAttributes_Data(),Table_SourceData_CropAttributes[[#Headers],[Crop type]], -1)</f>
        <v>Sugar cane</v>
      </c>
      <c r="E31" cm="1">
        <f t="array" ref="E31">Common_InputFunctions.Utility_DisplayArrayInTable(Agresidue_SourceData.CropAttributes_Data(),Table_SourceData_CropAttributes[[#Headers],[Crop type]], -1)</f>
        <v>0.25</v>
      </c>
      <c r="F31" cm="1">
        <f t="array" ref="F31">Common_InputFunctions.Utility_DisplayArrayInTable(Agresidue_SourceData.CropAttributes_Data(),Table_SourceData_CropAttributes[[#Headers],[Crop type]], -1)</f>
        <v>0.45</v>
      </c>
      <c r="G31" cm="1">
        <f t="array" ref="G31">Common_InputFunctions.Utility_DisplayArrayInTable(Agresidue_SourceData.CropAttributes_Data(),Table_SourceData_CropAttributes[[#Headers],[Crop type]], -1)</f>
        <v>0.2</v>
      </c>
      <c r="H31" cm="1">
        <f t="array" ref="H31">Common_InputFunctions.Utility_DisplayArrayInTable(Agresidue_SourceData.CropAttributes_Data(),Table_SourceData_CropAttributes[[#Headers],[Crop type]], -1)</f>
        <v>0.4</v>
      </c>
      <c r="I31" cm="1">
        <f t="array" ref="I31">Common_InputFunctions.Utility_DisplayArrayInTable(Agresidue_SourceData.CropAttributes_Data(),Table_SourceData_CropAttributes[[#Headers],[Crop type]], -1)</f>
        <v>5.0000000000000001E-3</v>
      </c>
      <c r="J31" cm="1">
        <f t="array" ref="J31">Common_InputFunctions.Utility_DisplayArrayInTable(Agresidue_SourceData.CropAttributes_Data(),Table_SourceData_CropAttributes[[#Headers],[Crop type]], -1)</f>
        <v>7.0000000000000001E-3</v>
      </c>
      <c r="K31" cm="1">
        <f t="array" ref="K31">Common_InputFunctions.Utility_DisplayArrayInTable(Agresidue_SourceData.CropAttributes_Data(),Table_SourceData_CropAttributes[[#Headers],[Crop type]], -1)</f>
        <v>1</v>
      </c>
      <c r="L31" cm="1">
        <f t="array" ref="L31">Common_InputFunctions.Utility_DisplayArrayInTable(Agresidue_SourceData.CropAttributes_Data(),Table_SourceData_CropAttributes[[#Headers],[Crop type]], -1)</f>
        <v>0.8</v>
      </c>
    </row>
    <row r="32" spans="1:14" ht="20.100000000000001" customHeight="1" x14ac:dyDescent="0.25">
      <c r="A32" s="5" t="str">
        <f>HYPERLINK("#'8.1.1.1-2 Transport fuel'!A1", "8.1.1.1-2 Transport fuel")</f>
        <v>8.1.1.1-2 Transport fuel</v>
      </c>
      <c r="D32" t="str" cm="1">
        <f t="array" ref="D32">Common_InputFunctions.Utility_DisplayArrayInTable(Agresidue_SourceData.CropAttributes_Data(),Table_SourceData_CropAttributes[[#Headers],[Crop type]], -1)</f>
        <v>Cotton</v>
      </c>
      <c r="E32" cm="1">
        <f t="array" ref="E32">Common_InputFunctions.Utility_DisplayArrayInTable(Agresidue_SourceData.CropAttributes_Data(),Table_SourceData_CropAttributes[[#Headers],[Crop type]], -1)</f>
        <v>1.9</v>
      </c>
      <c r="F32" cm="1">
        <f t="array" ref="F32">Common_InputFunctions.Utility_DisplayArrayInTable(Agresidue_SourceData.CropAttributes_Data(),Table_SourceData_CropAttributes[[#Headers],[Crop type]], -1)</f>
        <v>0.3</v>
      </c>
      <c r="G32" cm="1">
        <f t="array" ref="G32">Common_InputFunctions.Utility_DisplayArrayInTable(Agresidue_SourceData.CropAttributes_Data(),Table_SourceData_CropAttributes[[#Headers],[Crop type]], -1)</f>
        <v>0.9</v>
      </c>
      <c r="H32" cm="1">
        <f t="array" ref="H32">Common_InputFunctions.Utility_DisplayArrayInTable(Agresidue_SourceData.CropAttributes_Data(),Table_SourceData_CropAttributes[[#Headers],[Crop type]], -1)</f>
        <v>0.4</v>
      </c>
      <c r="I32" cm="1">
        <f t="array" ref="I32">Common_InputFunctions.Utility_DisplayArrayInTable(Agresidue_SourceData.CropAttributes_Data(),Table_SourceData_CropAttributes[[#Headers],[Crop type]], -1)</f>
        <v>0.01</v>
      </c>
      <c r="J32" cm="1">
        <f t="array" ref="J32">Common_InputFunctions.Utility_DisplayArrayInTable(Agresidue_SourceData.CropAttributes_Data(),Table_SourceData_CropAttributes[[#Headers],[Crop type]], -1)</f>
        <v>0.01</v>
      </c>
      <c r="K32" t="str" cm="1">
        <f t="array" ref="K32">Common_InputFunctions.Utility_DisplayArrayInTable(Agresidue_SourceData.CropAttributes_Data(),Table_SourceData_CropAttributes[[#Headers],[Crop type]], -1)</f>
        <v>n/a</v>
      </c>
      <c r="L32" cm="1">
        <f t="array" ref="L32">Common_InputFunctions.Utility_DisplayArrayInTable(Agresidue_SourceData.CropAttributes_Data(),Table_SourceData_CropAttributes[[#Headers],[Crop type]], -1)</f>
        <v>0.85</v>
      </c>
    </row>
    <row r="33" spans="1:13" ht="20.100000000000001" customHeight="1" x14ac:dyDescent="0.25">
      <c r="A33" s="5" t="str">
        <f>HYPERLINK("#'8.2.1.1-2 Stationary fuel'!A1", "8.2.1.1-2 Stationary fuel")</f>
        <v>8.2.1.1-2 Stationary fuel</v>
      </c>
      <c r="D33" t="str" cm="1">
        <f t="array" ref="D33">Common_InputFunctions.Utility_DisplayArrayInTable(Agresidue_SourceData.CropAttributes_Data(),Table_SourceData_CropAttributes[[#Headers],[Crop type]], -1)</f>
        <v>Hops</v>
      </c>
      <c r="E33" cm="1">
        <f t="array" ref="E33">Common_InputFunctions.Utility_DisplayArrayInTable(Agresidue_SourceData.CropAttributes_Data(),Table_SourceData_CropAttributes[[#Headers],[Crop type]], -1)</f>
        <v>1.5</v>
      </c>
      <c r="F33" cm="1">
        <f t="array" ref="F33">Common_InputFunctions.Utility_DisplayArrayInTable(Agresidue_SourceData.CropAttributes_Data(),Table_SourceData_CropAttributes[[#Headers],[Crop type]], -1)</f>
        <v>0.28999999999999998</v>
      </c>
      <c r="G33" cm="1">
        <f t="array" ref="G33">Common_InputFunctions.Utility_DisplayArrayInTable(Agresidue_SourceData.CropAttributes_Data(),Table_SourceData_CropAttributes[[#Headers],[Crop type]], -1)</f>
        <v>0.88</v>
      </c>
      <c r="H33" cm="1">
        <f t="array" ref="H33">Common_InputFunctions.Utility_DisplayArrayInTable(Agresidue_SourceData.CropAttributes_Data(),Table_SourceData_CropAttributes[[#Headers],[Crop type]], -1)</f>
        <v>0.4</v>
      </c>
      <c r="I33" cm="1">
        <f t="array" ref="I33">Common_InputFunctions.Utility_DisplayArrayInTable(Agresidue_SourceData.CropAttributes_Data(),Table_SourceData_CropAttributes[[#Headers],[Crop type]], -1)</f>
        <v>6.0000000000000001E-3</v>
      </c>
      <c r="J33" t="str" cm="1">
        <f t="array" ref="J33">Common_InputFunctions.Utility_DisplayArrayInTable(Agresidue_SourceData.CropAttributes_Data(),Table_SourceData_CropAttributes[[#Headers],[Crop type]], -1)</f>
        <v>n/a</v>
      </c>
      <c r="K33" t="str" cm="1">
        <f t="array" ref="K33">Common_InputFunctions.Utility_DisplayArrayInTable(Agresidue_SourceData.CropAttributes_Data(),Table_SourceData_CropAttributes[[#Headers],[Crop type]], -1)</f>
        <v>n/a</v>
      </c>
      <c r="L33" cm="1">
        <f t="array" ref="L33">Common_InputFunctions.Utility_DisplayArrayInTable(Agresidue_SourceData.CropAttributes_Data(),Table_SourceData_CropAttributes[[#Headers],[Crop type]], -1)</f>
        <v>0.85</v>
      </c>
    </row>
    <row r="34" spans="1:13" ht="20.100000000000001" customHeight="1" x14ac:dyDescent="0.25">
      <c r="A34" s="5" t="str">
        <f>HYPERLINK("#'14.1.1-2 Purchased electricity'!A1", "14.1.1-2 Purchased electricity")</f>
        <v>14.1.1-2 Purchased electricity</v>
      </c>
      <c r="D34" t="str" cm="1">
        <f t="array" ref="D34">Common_InputFunctions.Utility_DisplayArrayInTable(Agresidue_SourceData.CropAttributes_Data(),Table_SourceData_CropAttributes[[#Headers],[Crop type]], -1)</f>
        <v>Oilseeds</v>
      </c>
      <c r="E34" cm="1">
        <f t="array" ref="E34">Common_InputFunctions.Utility_DisplayArrayInTable(Agresidue_SourceData.CropAttributes_Data(),Table_SourceData_CropAttributes[[#Headers],[Crop type]], -1)</f>
        <v>2.08</v>
      </c>
      <c r="F34" cm="1">
        <f t="array" ref="F34">Common_InputFunctions.Utility_DisplayArrayInTable(Agresidue_SourceData.CropAttributes_Data(),Table_SourceData_CropAttributes[[#Headers],[Crop type]], -1)</f>
        <v>0.33</v>
      </c>
      <c r="G34" cm="1">
        <f t="array" ref="G34">Common_InputFunctions.Utility_DisplayArrayInTable(Agresidue_SourceData.CropAttributes_Data(),Table_SourceData_CropAttributes[[#Headers],[Crop type]], -1)</f>
        <v>0.96</v>
      </c>
      <c r="H34" cm="1">
        <f t="array" ref="H34">Common_InputFunctions.Utility_DisplayArrayInTable(Agresidue_SourceData.CropAttributes_Data(),Table_SourceData_CropAttributes[[#Headers],[Crop type]], -1)</f>
        <v>0.4</v>
      </c>
      <c r="I34" cm="1">
        <f t="array" ref="I34">Common_InputFunctions.Utility_DisplayArrayInTable(Agresidue_SourceData.CropAttributes_Data(),Table_SourceData_CropAttributes[[#Headers],[Crop type]], -1)</f>
        <v>8.9999999999999993E-3</v>
      </c>
      <c r="J34" cm="1">
        <f t="array" ref="J34">Common_InputFunctions.Utility_DisplayArrayInTable(Agresidue_SourceData.CropAttributes_Data(),Table_SourceData_CropAttributes[[#Headers],[Crop type]], -1)</f>
        <v>0.01</v>
      </c>
      <c r="K34" cm="1">
        <f t="array" ref="K34">Common_InputFunctions.Utility_DisplayArrayInTable(Agresidue_SourceData.CropAttributes_Data(),Table_SourceData_CropAttributes[[#Headers],[Crop type]], -1)</f>
        <v>0.5</v>
      </c>
      <c r="L34" cm="1">
        <f t="array" ref="L34">Common_InputFunctions.Utility_DisplayArrayInTable(Agresidue_SourceData.CropAttributes_Data(),Table_SourceData_CropAttributes[[#Headers],[Crop type]], -1)</f>
        <v>0.85</v>
      </c>
    </row>
    <row r="35" spans="1:13" ht="20.100000000000001" customHeight="1" x14ac:dyDescent="0.25">
      <c r="D35" t="str" cm="1">
        <f t="array" ref="D35">Common_InputFunctions.Utility_DisplayArrayInTable(Agresidue_SourceData.CropAttributes_Data(),Table_SourceData_CropAttributes[[#Headers],[Crop type]], -1)</f>
        <v>Forage crops</v>
      </c>
      <c r="E35" cm="1">
        <f t="array" ref="E35">Common_InputFunctions.Utility_DisplayArrayInTable(Agresidue_SourceData.CropAttributes_Data(),Table_SourceData_CropAttributes[[#Headers],[Crop type]], -1)</f>
        <v>1.34</v>
      </c>
      <c r="F35" cm="1">
        <f t="array" ref="F35">Common_InputFunctions.Utility_DisplayArrayInTable(Agresidue_SourceData.CropAttributes_Data(),Table_SourceData_CropAttributes[[#Headers],[Crop type]], -1)</f>
        <v>0.37</v>
      </c>
      <c r="G35" cm="1">
        <f t="array" ref="G35">Common_InputFunctions.Utility_DisplayArrayInTable(Agresidue_SourceData.CropAttributes_Data(),Table_SourceData_CropAttributes[[#Headers],[Crop type]], -1)</f>
        <v>0.88</v>
      </c>
      <c r="H35" cm="1">
        <f t="array" ref="H35">Common_InputFunctions.Utility_DisplayArrayInTable(Agresidue_SourceData.CropAttributes_Data(),Table_SourceData_CropAttributes[[#Headers],[Crop type]], -1)</f>
        <v>0.4</v>
      </c>
      <c r="I35" cm="1">
        <f t="array" ref="I35">Common_InputFunctions.Utility_DisplayArrayInTable(Agresidue_SourceData.CropAttributes_Data(),Table_SourceData_CropAttributes[[#Headers],[Crop type]], -1)</f>
        <v>6.0000000000000001E-3</v>
      </c>
      <c r="J35" cm="1">
        <f t="array" ref="J35">Common_InputFunctions.Utility_DisplayArrayInTable(Agresidue_SourceData.CropAttributes_Data(),Table_SourceData_CropAttributes[[#Headers],[Crop type]], -1)</f>
        <v>0.01</v>
      </c>
      <c r="K35" t="str" cm="1">
        <f t="array" ref="K35">Common_InputFunctions.Utility_DisplayArrayInTable(Agresidue_SourceData.CropAttributes_Data(),Table_SourceData_CropAttributes[[#Headers],[Crop type]], -1)</f>
        <v>n/a</v>
      </c>
      <c r="L35" cm="1">
        <f t="array" ref="L35">Common_InputFunctions.Utility_DisplayArrayInTable(Agresidue_SourceData.CropAttributes_Data(),Table_SourceData_CropAttributes[[#Headers],[Crop type]], -1)</f>
        <v>0.85</v>
      </c>
    </row>
    <row r="36" spans="1:13" ht="20.100000000000001" customHeight="1" x14ac:dyDescent="0.25">
      <c r="D36" t="str" cm="1">
        <f t="array" ref="D36">Common_InputFunctions.Utility_DisplayArrayInTable(Agresidue_SourceData.CropAttributes_Data(),Table_SourceData_CropAttributes[[#Headers],[Crop type]], -1)</f>
        <v>Other annual crops</v>
      </c>
      <c r="E36" cm="1">
        <f t="array" ref="E36">Common_InputFunctions.Utility_DisplayArrayInTable(Agresidue_SourceData.CropAttributes_Data(),Table_SourceData_CropAttributes[[#Headers],[Crop type]], -1)</f>
        <v>1</v>
      </c>
      <c r="F36" cm="1">
        <f t="array" ref="F36">Common_InputFunctions.Utility_DisplayArrayInTable(Agresidue_SourceData.CropAttributes_Data(),Table_SourceData_CropAttributes[[#Headers],[Crop type]], -1)</f>
        <v>0.22</v>
      </c>
      <c r="G36" cm="1">
        <f t="array" ref="G36">Common_InputFunctions.Utility_DisplayArrayInTable(Agresidue_SourceData.CropAttributes_Data(),Table_SourceData_CropAttributes[[#Headers],[Crop type]], -1)</f>
        <v>0.85</v>
      </c>
      <c r="H36" cm="1">
        <f t="array" ref="H36">Common_InputFunctions.Utility_DisplayArrayInTable(Agresidue_SourceData.CropAttributes_Data(),Table_SourceData_CropAttributes[[#Headers],[Crop type]], -1)</f>
        <v>0.4</v>
      </c>
      <c r="I36" cm="1">
        <f t="array" ref="I36">Common_InputFunctions.Utility_DisplayArrayInTable(Agresidue_SourceData.CropAttributes_Data(),Table_SourceData_CropAttributes[[#Headers],[Crop type]], -1)</f>
        <v>8.0000000000000002E-3</v>
      </c>
      <c r="J36" cm="1">
        <f t="array" ref="J36">Common_InputFunctions.Utility_DisplayArrayInTable(Agresidue_SourceData.CropAttributes_Data(),Table_SourceData_CropAttributes[[#Headers],[Crop type]], -1)</f>
        <v>8.9999999999999993E-3</v>
      </c>
      <c r="K36" t="str" cm="1">
        <f t="array" ref="K36">Common_InputFunctions.Utility_DisplayArrayInTable(Agresidue_SourceData.CropAttributes_Data(),Table_SourceData_CropAttributes[[#Headers],[Crop type]], -1)</f>
        <v>n/a</v>
      </c>
      <c r="L36" t="str" cm="1">
        <f t="array" ref="L36">Common_InputFunctions.Utility_DisplayArrayInTable(Agresidue_SourceData.CropAttributes_Data(),Table_SourceData_CropAttributes[[#Headers],[Crop type]], -1)</f>
        <v>n/a</v>
      </c>
    </row>
    <row r="37" spans="1:13" ht="20.100000000000001" customHeight="1" x14ac:dyDescent="0.25">
      <c r="A37" s="251" t="s">
        <v>1</v>
      </c>
      <c r="D37" t="str" cm="1">
        <f t="array" ref="D37">Common_InputFunctions.Utility_DisplayArrayInTable(Agresidue_SourceData.CropAttributes_Data(),Table_SourceData_CropAttributes[[#Headers],[Crop type]], -1)</f>
        <v>Other perennial crops</v>
      </c>
      <c r="E37" cm="1">
        <f t="array" ref="E37">Common_InputFunctions.Utility_DisplayArrayInTable(Agresidue_SourceData.CropAttributes_Data(),Table_SourceData_CropAttributes[[#Headers],[Crop type]], -1)</f>
        <v>1.5</v>
      </c>
      <c r="F37" cm="1">
        <f t="array" ref="F37">Common_InputFunctions.Utility_DisplayArrayInTable(Agresidue_SourceData.CropAttributes_Data(),Table_SourceData_CropAttributes[[#Headers],[Crop type]], -1)</f>
        <v>0.28999999999999998</v>
      </c>
      <c r="G37" cm="1">
        <f t="array" ref="G37">Common_InputFunctions.Utility_DisplayArrayInTable(Agresidue_SourceData.CropAttributes_Data(),Table_SourceData_CropAttributes[[#Headers],[Crop type]], -1)</f>
        <v>0.88</v>
      </c>
      <c r="H37" cm="1">
        <f t="array" ref="H37">Common_InputFunctions.Utility_DisplayArrayInTable(Agresidue_SourceData.CropAttributes_Data(),Table_SourceData_CropAttributes[[#Headers],[Crop type]], -1)</f>
        <v>0.4</v>
      </c>
      <c r="I37" cm="1">
        <f t="array" ref="I37">Common_InputFunctions.Utility_DisplayArrayInTable(Agresidue_SourceData.CropAttributes_Data(),Table_SourceData_CropAttributes[[#Headers],[Crop type]], -1)</f>
        <v>6.0000000000000001E-3</v>
      </c>
      <c r="J37" t="str" cm="1">
        <f t="array" ref="J37">Common_InputFunctions.Utility_DisplayArrayInTable(Agresidue_SourceData.CropAttributes_Data(),Table_SourceData_CropAttributes[[#Headers],[Crop type]], -1)</f>
        <v>n/a</v>
      </c>
      <c r="K37" t="str" cm="1">
        <f t="array" ref="K37">Common_InputFunctions.Utility_DisplayArrayInTable(Agresidue_SourceData.CropAttributes_Data(),Table_SourceData_CropAttributes[[#Headers],[Crop type]], -1)</f>
        <v>n/a</v>
      </c>
      <c r="L37" t="str" cm="1">
        <f t="array" ref="L37">Common_InputFunctions.Utility_DisplayArrayInTable(Agresidue_SourceData.CropAttributes_Data(),Table_SourceData_CropAttributes[[#Headers],[Crop type]], -1)</f>
        <v>n/a</v>
      </c>
    </row>
    <row r="38" spans="1:13" ht="20.100000000000001" customHeight="1" x14ac:dyDescent="0.25">
      <c r="A38" s="5" t="str">
        <f>HYPERLINK("#'Constants - Pasture Beef'!A1", "Constants - Pasture Beef")</f>
        <v>Constants - Pasture Beef</v>
      </c>
      <c r="D38" s="8"/>
      <c r="E38" s="8"/>
      <c r="F38" s="8"/>
      <c r="G38" s="8"/>
      <c r="H38" s="8"/>
      <c r="I38" s="8"/>
      <c r="J38" s="8"/>
      <c r="K38" s="8"/>
      <c r="L38" s="8"/>
    </row>
    <row r="39" spans="1:13" ht="20.100000000000001" customHeight="1" x14ac:dyDescent="0.25">
      <c r="A39" s="126" t="str">
        <f>HYPERLINK("#'Constants - Ag Residue'!A1", "Constants - Ag residue")</f>
        <v>Constants - Ag residue</v>
      </c>
      <c r="D39" s="8"/>
      <c r="E39" s="8"/>
      <c r="F39" s="8"/>
      <c r="G39" s="8"/>
      <c r="H39" s="8"/>
      <c r="I39" s="8"/>
      <c r="J39" s="8"/>
      <c r="K39" s="8"/>
      <c r="L39" s="8"/>
    </row>
    <row r="40" spans="1:13" ht="20.100000000000001" customHeight="1" x14ac:dyDescent="0.25">
      <c r="A40" s="5" t="str">
        <f>HYPERLINK("#'Constants - Common Livestock'!A1", "Constants - Common Livestock")</f>
        <v>Constants - Common Livestock</v>
      </c>
      <c r="D40" s="2" t="str" cm="1">
        <f t="array" ref="D40">Agresidue_SourceData.N2OEFOrganicFertiliser_Title()</f>
        <v>Emission factor for organic fertiliser and crop residues returned to the soil</v>
      </c>
      <c r="E40" s="35"/>
      <c r="F40" s="35"/>
      <c r="G40" s="8"/>
      <c r="H40" s="8"/>
      <c r="I40" s="8"/>
      <c r="J40" s="8"/>
      <c r="K40" s="8"/>
      <c r="L40" s="8"/>
    </row>
    <row r="41" spans="1:13" ht="20.100000000000001" customHeight="1" x14ac:dyDescent="0.25">
      <c r="A41" s="5" t="str">
        <f>HYPERLINK("#'Constants - Electricity'!A1", "Constants - Electricity")</f>
        <v>Constants - Electricity</v>
      </c>
      <c r="D41" s="27" t="str" cm="1">
        <f t="array" ref="D41">Agresidue_SourceData.N2OEFOrganicFertiliser_Source()</f>
        <v>VEERG 2026: Table A.2.1.4</v>
      </c>
      <c r="E41" s="35"/>
      <c r="F41" s="35"/>
      <c r="G41" s="8"/>
      <c r="H41" s="8"/>
      <c r="I41" s="8"/>
      <c r="J41" s="8"/>
      <c r="K41" s="8"/>
      <c r="L41" s="8"/>
    </row>
    <row r="42" spans="1:13" ht="20.100000000000001" customHeight="1" x14ac:dyDescent="0.25">
      <c r="A42" s="5" t="str">
        <f>HYPERLINK("#'Constants - Fertiliser'!A1", "Constants - Fertiliser")</f>
        <v>Constants - Fertiliser</v>
      </c>
      <c r="D42" s="27"/>
      <c r="E42" s="35"/>
      <c r="F42" s="35"/>
      <c r="H42" s="8"/>
      <c r="I42" s="8"/>
      <c r="M42" s="35"/>
    </row>
    <row r="43" spans="1:13" ht="20.100000000000001" customHeight="1" x14ac:dyDescent="0.25">
      <c r="A43" s="5" t="str">
        <f>HYPERLINK("#'Constants - Fuel'!A1", "Constants - Fuel")</f>
        <v>Constants - Fuel</v>
      </c>
      <c r="D43" s="186" t="s">
        <v>850</v>
      </c>
      <c r="E43" s="186" t="s">
        <v>851</v>
      </c>
      <c r="F43" s="35"/>
      <c r="H43" s="8"/>
      <c r="I43" s="8"/>
      <c r="M43" s="35"/>
    </row>
    <row r="44" spans="1:13" ht="20.100000000000001" customHeight="1" x14ac:dyDescent="0.25">
      <c r="A44" s="5" t="str">
        <f>HYPERLINK("#'Constants - Common'!A1", "Constants - Common")</f>
        <v>Constants - Common</v>
      </c>
      <c r="D44" s="37" t="str" cm="1">
        <f t="array" ref="D44">Common_InputFunctions.Utility_DisplayArrayInTable(Agresidue_SourceData.N2OEFOrganicFertiliser_Data(), Table_SourceData_N2OEFOrganicFert[[#Headers],[Climate zone type i]], 0)</f>
        <v>Wet climate zone</v>
      </c>
      <c r="E44" s="37" cm="1">
        <f t="array" ref="E44">Common_InputFunctions.Utility_DisplayArrayInTable(Agresidue_SourceData.N2OEFOrganicFertiliser_Data(), Table_SourceData_N2OEFOrganicFert[[#Headers],[Climate zone type i]], 0)</f>
        <v>6.0000000000000001E-3</v>
      </c>
      <c r="F44" s="35"/>
      <c r="H44" s="8"/>
      <c r="I44" s="8"/>
      <c r="M44" s="35"/>
    </row>
    <row r="45" spans="1:13" ht="20.100000000000001" customHeight="1" x14ac:dyDescent="0.25">
      <c r="A45" s="5" t="str">
        <f>HYPERLINK("#'Acknowledgements'!A1", "Acknowledgements")</f>
        <v>Acknowledgements</v>
      </c>
      <c r="D45" s="37" t="str" cm="1">
        <f t="array" ref="D45">Common_InputFunctions.Utility_DisplayArrayInTable(Agresidue_SourceData.N2OEFOrganicFertiliser_Data(), Table_SourceData_N2OEFOrganicFert[[#Headers],[Climate zone type i]], 0)</f>
        <v>Dry climate zone</v>
      </c>
      <c r="E45" s="37" cm="1">
        <f t="array" ref="E45">Common_InputFunctions.Utility_DisplayArrayInTable(Agresidue_SourceData.N2OEFOrganicFertiliser_Data(), Table_SourceData_N2OEFOrganicFert[[#Headers],[Climate zone type i]], 0)</f>
        <v>5.0000000000000001E-3</v>
      </c>
      <c r="F45" s="35"/>
      <c r="H45" s="8"/>
      <c r="I45" s="8"/>
      <c r="M45" s="35"/>
    </row>
    <row r="46" spans="1:13" ht="20.100000000000001" customHeight="1" x14ac:dyDescent="0.25">
      <c r="A46" s="5" t="str">
        <f>HYPERLINK("#'Overview'!A1", "Overview")</f>
        <v>Overview</v>
      </c>
      <c r="H46" s="8"/>
      <c r="I46" s="8"/>
      <c r="M46" s="35"/>
    </row>
    <row r="47" spans="1:13" ht="20.100000000000001" customHeight="1" x14ac:dyDescent="0.25">
      <c r="M47" s="35"/>
    </row>
    <row r="48" spans="1:13" ht="20.100000000000001" customHeight="1" x14ac:dyDescent="0.25">
      <c r="D48" s="2" t="str" cm="1">
        <f t="array" ref="D48">Agresidue_SourceData.PastureAttributes_Title()</f>
        <v>Table A.2.1.3 Pasture attributes</v>
      </c>
      <c r="K48" s="8"/>
      <c r="L48" s="8"/>
    </row>
    <row r="49" spans="4:12" ht="20.100000000000001" customHeight="1" x14ac:dyDescent="0.25">
      <c r="D49" s="27" t="str" cm="1">
        <f t="array" ref="D49">Agresidue_SourceData.PastureAttributes_Source()</f>
        <v>VEERG 2026: Table A.2.1.3: Pasture attributes</v>
      </c>
      <c r="K49" s="8"/>
      <c r="L49" s="8"/>
    </row>
    <row r="50" spans="4:12" ht="20.100000000000001" customHeight="1" x14ac:dyDescent="0.25">
      <c r="K50" s="8"/>
      <c r="L50" s="8"/>
    </row>
    <row r="51" spans="4:12" ht="20.100000000000001" customHeight="1" x14ac:dyDescent="0.25">
      <c r="D51" s="30" t="s">
        <v>803</v>
      </c>
      <c r="E51" s="30" t="s">
        <v>852</v>
      </c>
      <c r="F51" s="30" t="s">
        <v>853</v>
      </c>
      <c r="G51" s="30" t="s">
        <v>854</v>
      </c>
      <c r="H51" s="30" t="s">
        <v>855</v>
      </c>
      <c r="I51" s="30" t="s">
        <v>856</v>
      </c>
      <c r="K51" s="8"/>
      <c r="L51" s="8"/>
    </row>
    <row r="52" spans="4:12" ht="20.100000000000001" customHeight="1" x14ac:dyDescent="0.25">
      <c r="D52" s="30" t="str" cm="1">
        <f t="array" ref="D52">Common_InputFunctions.Utility_DisplayArrayInTable(Agresidue_SourceData.PastureAttributes_Data(), Table_SourceData_PastureAttributes[[#Headers],[Pasture type]], 0)</f>
        <v>Annual grass</v>
      </c>
      <c r="E52" s="30" cm="1">
        <f t="array" ref="E52">Common_InputFunctions.Utility_DisplayArrayInTable(Agresidue_SourceData.PastureAttributes_Data(), Table_SourceData_PastureAttributes[[#Headers],[Pasture type]], 0)</f>
        <v>4.41</v>
      </c>
      <c r="F52" s="30" cm="1">
        <f t="array" ref="F52">Common_InputFunctions.Utility_DisplayArrayInTable(Agresidue_SourceData.PastureAttributes_Data(), Table_SourceData_PastureAttributes[[#Headers],[Pasture type]], 0)</f>
        <v>0.4</v>
      </c>
      <c r="G52" s="30" cm="1">
        <f t="array" ref="G52">Common_InputFunctions.Utility_DisplayArrayInTable(Agresidue_SourceData.PastureAttributes_Data(), Table_SourceData_PastureAttributes[[#Headers],[Pasture type]], 0)</f>
        <v>1.4999999999999999E-2</v>
      </c>
      <c r="H52" s="30" cm="1">
        <f t="array" ref="H52">Common_InputFunctions.Utility_DisplayArrayInTable(Agresidue_SourceData.PastureAttributes_Data(), Table_SourceData_PastureAttributes[[#Headers],[Pasture type]], 0)</f>
        <v>1.2E-2</v>
      </c>
      <c r="I52" s="30" cm="1">
        <f t="array" ref="I52">Common_InputFunctions.Utility_DisplayArrayInTable(Agresidue_SourceData.PastureAttributes_Data(), Table_SourceData_PastureAttributes[[#Headers],[Pasture type]], 0)</f>
        <v>0.8</v>
      </c>
      <c r="L52" s="8"/>
    </row>
    <row r="53" spans="4:12" ht="20.100000000000001" customHeight="1" x14ac:dyDescent="0.25">
      <c r="D53" s="30" t="str" cm="1">
        <f t="array" ref="D53">Common_InputFunctions.Utility_DisplayArrayInTable(Agresidue_SourceData.PastureAttributes_Data(), Table_SourceData_PastureAttributes[[#Headers],[Pasture type]], 0)</f>
        <v>Grass clover mixture</v>
      </c>
      <c r="E53" s="30" cm="1">
        <f t="array" ref="E53">Common_InputFunctions.Utility_DisplayArrayInTable(Agresidue_SourceData.PastureAttributes_Data(), Table_SourceData_PastureAttributes[[#Headers],[Pasture type]], 0)</f>
        <v>8.34</v>
      </c>
      <c r="F53" s="30" cm="1">
        <f t="array" ref="F53">Common_InputFunctions.Utility_DisplayArrayInTable(Agresidue_SourceData.PastureAttributes_Data(), Table_SourceData_PastureAttributes[[#Headers],[Pasture type]], 0)</f>
        <v>0.8</v>
      </c>
      <c r="G53" s="30" cm="1">
        <f t="array" ref="G53">Common_InputFunctions.Utility_DisplayArrayInTable(Agresidue_SourceData.PastureAttributes_Data(), Table_SourceData_PastureAttributes[[#Headers],[Pasture type]], 0)</f>
        <v>2.5000000000000001E-2</v>
      </c>
      <c r="H53" s="30" cm="1">
        <f t="array" ref="H53">Common_InputFunctions.Utility_DisplayArrayInTable(Agresidue_SourceData.PastureAttributes_Data(), Table_SourceData_PastureAttributes[[#Headers],[Pasture type]], 0)</f>
        <v>1.6E-2</v>
      </c>
      <c r="I53" s="30" cm="1">
        <f t="array" ref="I53">Common_InputFunctions.Utility_DisplayArrayInTable(Agresidue_SourceData.PastureAttributes_Data(), Table_SourceData_PastureAttributes[[#Headers],[Pasture type]], 0)</f>
        <v>0.8</v>
      </c>
      <c r="L53" s="8"/>
    </row>
    <row r="54" spans="4:12" ht="20.100000000000001" customHeight="1" x14ac:dyDescent="0.25">
      <c r="D54" s="30" t="str" cm="1">
        <f t="array" ref="D54">Common_InputFunctions.Utility_DisplayArrayInTable(Agresidue_SourceData.PastureAttributes_Data(), Table_SourceData_PastureAttributes[[#Headers],[Pasture type]], 0)</f>
        <v>Lucerne</v>
      </c>
      <c r="E54" s="30" cm="1">
        <f t="array" ref="E54">Common_InputFunctions.Utility_DisplayArrayInTable(Agresidue_SourceData.PastureAttributes_Data(), Table_SourceData_PastureAttributes[[#Headers],[Pasture type]], 0)</f>
        <v>8.6199999999999992</v>
      </c>
      <c r="F54" s="30" cm="1">
        <f t="array" ref="F54">Common_InputFunctions.Utility_DisplayArrayInTable(Agresidue_SourceData.PastureAttributes_Data(), Table_SourceData_PastureAttributes[[#Headers],[Pasture type]], 0)</f>
        <v>0.4</v>
      </c>
      <c r="G54" s="30" cm="1">
        <f t="array" ref="G54">Common_InputFunctions.Utility_DisplayArrayInTable(Agresidue_SourceData.PastureAttributes_Data(), Table_SourceData_PastureAttributes[[#Headers],[Pasture type]], 0)</f>
        <v>2.7E-2</v>
      </c>
      <c r="H54" s="30" cm="1">
        <f t="array" ref="H54">Common_InputFunctions.Utility_DisplayArrayInTable(Agresidue_SourceData.PastureAttributes_Data(), Table_SourceData_PastureAttributes[[#Headers],[Pasture type]], 0)</f>
        <v>1.9E-2</v>
      </c>
      <c r="I54" s="30" cm="1">
        <f t="array" ref="I54">Common_InputFunctions.Utility_DisplayArrayInTable(Agresidue_SourceData.PastureAttributes_Data(), Table_SourceData_PastureAttributes[[#Headers],[Pasture type]], 0)</f>
        <v>0.8</v>
      </c>
    </row>
    <row r="55" spans="4:12" ht="20.100000000000001" customHeight="1" x14ac:dyDescent="0.25">
      <c r="D55" s="30" t="str" cm="1">
        <f t="array" ref="D55">Common_InputFunctions.Utility_DisplayArrayInTable(Agresidue_SourceData.PastureAttributes_Data(), Table_SourceData_PastureAttributes[[#Headers],[Pasture type]], 0)</f>
        <v>Other legume</v>
      </c>
      <c r="E55" s="30" cm="1">
        <f t="array" ref="E55">Common_InputFunctions.Utility_DisplayArrayInTable(Agresidue_SourceData.PastureAttributes_Data(), Table_SourceData_PastureAttributes[[#Headers],[Pasture type]], 0)</f>
        <v>5.62</v>
      </c>
      <c r="F55" s="30" cm="1">
        <f t="array" ref="F55">Common_InputFunctions.Utility_DisplayArrayInTable(Agresidue_SourceData.PastureAttributes_Data(), Table_SourceData_PastureAttributes[[#Headers],[Pasture type]], 0)</f>
        <v>0.4</v>
      </c>
      <c r="G55" s="30" cm="1">
        <f t="array" ref="G55">Common_InputFunctions.Utility_DisplayArrayInTable(Agresidue_SourceData.PastureAttributes_Data(), Table_SourceData_PastureAttributes[[#Headers],[Pasture type]], 0)</f>
        <v>2.7E-2</v>
      </c>
      <c r="H55" s="30" cm="1">
        <f t="array" ref="H55">Common_InputFunctions.Utility_DisplayArrayInTable(Agresidue_SourceData.PastureAttributes_Data(), Table_SourceData_PastureAttributes[[#Headers],[Pasture type]], 0)</f>
        <v>2.1999999999999999E-2</v>
      </c>
      <c r="I55" s="30" cm="1">
        <f t="array" ref="I55">Common_InputFunctions.Utility_DisplayArrayInTable(Agresidue_SourceData.PastureAttributes_Data(), Table_SourceData_PastureAttributes[[#Headers],[Pasture type]], 0)</f>
        <v>0.8</v>
      </c>
    </row>
    <row r="56" spans="4:12" ht="20.100000000000001" customHeight="1" x14ac:dyDescent="0.25">
      <c r="D56" s="30" t="str" cm="1">
        <f t="array" ref="D56">Common_InputFunctions.Utility_DisplayArrayInTable(Agresidue_SourceData.PastureAttributes_Data(), Table_SourceData_PastureAttributes[[#Headers],[Pasture type]], 0)</f>
        <v>Perennial pasture</v>
      </c>
      <c r="E56" s="30" cm="1">
        <f t="array" ref="E56">Common_InputFunctions.Utility_DisplayArrayInTable(Agresidue_SourceData.PastureAttributes_Data(), Table_SourceData_PastureAttributes[[#Headers],[Pasture type]], 0)</f>
        <v>8.35</v>
      </c>
      <c r="F56" s="30" cm="1">
        <f t="array" ref="F56">Common_InputFunctions.Utility_DisplayArrayInTable(Agresidue_SourceData.PastureAttributes_Data(), Table_SourceData_PastureAttributes[[#Headers],[Pasture type]], 0)</f>
        <v>0.8</v>
      </c>
      <c r="G56" s="30" cm="1">
        <f t="array" ref="G56">Common_InputFunctions.Utility_DisplayArrayInTable(Agresidue_SourceData.PastureAttributes_Data(), Table_SourceData_PastureAttributes[[#Headers],[Pasture type]], 0)</f>
        <v>1.4999999999999999E-2</v>
      </c>
      <c r="H56" s="30" cm="1">
        <f t="array" ref="H56">Common_InputFunctions.Utility_DisplayArrayInTable(Agresidue_SourceData.PastureAttributes_Data(), Table_SourceData_PastureAttributes[[#Headers],[Pasture type]], 0)</f>
        <v>1.2E-2</v>
      </c>
      <c r="I56" s="30" cm="1">
        <f t="array" ref="I56">Common_InputFunctions.Utility_DisplayArrayInTable(Agresidue_SourceData.PastureAttributes_Data(), Table_SourceData_PastureAttributes[[#Headers],[Pasture type]], 0)</f>
        <v>0.8</v>
      </c>
    </row>
    <row r="57" spans="4:12" ht="20.100000000000001" customHeight="1" x14ac:dyDescent="0.25">
      <c r="H57" s="8"/>
    </row>
    <row r="58" spans="4:12" ht="20.100000000000001" customHeight="1" x14ac:dyDescent="0.25"/>
    <row r="59" spans="4:12" ht="20.100000000000001" customHeight="1" x14ac:dyDescent="0.25">
      <c r="D59" s="2" t="str" cm="1">
        <f t="array" ref="D59">AgResidues_SourceData.BurningOfAgriculturalResiduesEFs_Title()</f>
        <v>Table 5.31 Burning of agricultural residues - EFs</v>
      </c>
    </row>
    <row r="60" spans="4:12" ht="20.100000000000001" customHeight="1" x14ac:dyDescent="0.25">
      <c r="D60" s="27" t="str" cm="1">
        <f t="array" ref="D60">AgResidues_SourceData.BurningOfAgriculturalResiduesEFs_Source()</f>
        <v>National Inventory Report 2023 volume 2: Table 5.31: Burning of agricultural residues - EFs</v>
      </c>
    </row>
    <row r="61" spans="4:12" ht="20.100000000000001" customHeight="1" x14ac:dyDescent="0.25"/>
    <row r="62" spans="4:12" ht="20.100000000000001" customHeight="1" x14ac:dyDescent="0.25">
      <c r="D62" s="30" t="s">
        <v>857</v>
      </c>
      <c r="E62" s="30" t="s">
        <v>858</v>
      </c>
      <c r="F62" s="30" t="s">
        <v>859</v>
      </c>
    </row>
    <row r="63" spans="4:12" ht="20.100000000000001" customHeight="1" x14ac:dyDescent="0.25">
      <c r="D63" s="30" t="str" cm="1">
        <f t="array" ref="D63">Common_InputFunctions.Utility_DisplayArrayInTable(AgResidues_SourceData.BurningOfAgriculturalResiduesEFs_Data(), Table_SourceData_BurningResidueEFs[[#Headers],[Gas species]], 0)</f>
        <v>CH4</v>
      </c>
      <c r="E63" s="30" cm="1">
        <f t="array" ref="E63">Common_InputFunctions.Utility_DisplayArrayInTable(AgResidues_SourceData.BurningOfAgriculturalResiduesEFs_Data(), Table_SourceData_BurningResidueEFs[[#Headers],[Gas species]], 0)</f>
        <v>3.5000000000000001E-3</v>
      </c>
      <c r="F63" s="30" t="str" cm="1">
        <f t="array" ref="F63">Common_InputFunctions.Utility_DisplayArrayInTable(AgResidues_SourceData.BurningOfAgriculturalResiduesEFs_Data(), Table_SourceData_BurningResidueEFs[[#Headers],[Gas species]], 0)</f>
        <v>16/12</v>
      </c>
      <c r="K63" s="8"/>
      <c r="L63" s="8"/>
    </row>
    <row r="64" spans="4:12" ht="20.100000000000001" customHeight="1" x14ac:dyDescent="0.25">
      <c r="D64" s="1" t="str" cm="1">
        <f t="array" ref="D64">Common_InputFunctions.Utility_DisplayArrayInTable(AgResidues_SourceData.BurningOfAgriculturalResiduesEFs_Data(), Table_SourceData_BurningResidueEFs[[#Headers],[Gas species]], 0)</f>
        <v>N2O</v>
      </c>
      <c r="E64" s="30" cm="1">
        <f t="array" ref="E64">Common_InputFunctions.Utility_DisplayArrayInTable(AgResidues_SourceData.BurningOfAgriculturalResiduesEFs_Data(), Table_SourceData_BurningResidueEFs[[#Headers],[Gas species]], 0)</f>
        <v>7.6E-3</v>
      </c>
      <c r="F64" s="30" t="str" cm="1">
        <f t="array" ref="F64">Common_InputFunctions.Utility_DisplayArrayInTable(AgResidues_SourceData.BurningOfAgriculturalResiduesEFs_Data(), Table_SourceData_BurningResidueEFs[[#Headers],[Gas species]], 0)</f>
        <v>44/28</v>
      </c>
      <c r="K64" s="8"/>
      <c r="L64" s="8"/>
    </row>
    <row r="65" spans="4:12" ht="20.100000000000001" customHeight="1" x14ac:dyDescent="0.25">
      <c r="D65" s="1" t="str" cm="1">
        <f t="array" ref="D65">Common_InputFunctions.Utility_DisplayArrayInTable(AgResidues_SourceData.BurningOfAgriculturalResiduesEFs_Data(), Table_SourceData_BurningResidueEFs[[#Headers],[Gas species]], 0)</f>
        <v>NOx</v>
      </c>
      <c r="E65" s="30" cm="1">
        <f t="array" ref="E65">Common_InputFunctions.Utility_DisplayArrayInTable(AgResidues_SourceData.BurningOfAgriculturalResiduesEFs_Data(), Table_SourceData_BurningResidueEFs[[#Headers],[Gas species]], 0)</f>
        <v>0.21</v>
      </c>
      <c r="F65" s="30" t="str" cm="1">
        <f t="array" ref="F65">Common_InputFunctions.Utility_DisplayArrayInTable(AgResidues_SourceData.BurningOfAgriculturalResiduesEFs_Data(), Table_SourceData_BurningResidueEFs[[#Headers],[Gas species]], 0)</f>
        <v>46/14</v>
      </c>
      <c r="K65" s="8"/>
      <c r="L65" s="8"/>
    </row>
    <row r="66" spans="4:12" ht="20.100000000000001" customHeight="1" x14ac:dyDescent="0.25">
      <c r="D66" s="1" t="str" cm="1">
        <f t="array" ref="D66">Common_InputFunctions.Utility_DisplayArrayInTable(AgResidues_SourceData.BurningOfAgriculturalResiduesEFs_Data(), Table_SourceData_BurningResidueEFs[[#Headers],[Gas species]], 0)</f>
        <v>CO</v>
      </c>
      <c r="E66" s="30" cm="1">
        <f t="array" ref="E66">Common_InputFunctions.Utility_DisplayArrayInTable(AgResidues_SourceData.BurningOfAgriculturalResiduesEFs_Data(), Table_SourceData_BurningResidueEFs[[#Headers],[Gas species]], 0)</f>
        <v>7.8E-2</v>
      </c>
      <c r="F66" s="30" t="str" cm="1">
        <f t="array" ref="F66">Common_InputFunctions.Utility_DisplayArrayInTable(AgResidues_SourceData.BurningOfAgriculturalResiduesEFs_Data(), Table_SourceData_BurningResidueEFs[[#Headers],[Gas species]], 0)</f>
        <v>28/12</v>
      </c>
      <c r="K66" s="8"/>
      <c r="L66" s="8"/>
    </row>
    <row r="67" spans="4:12" ht="20.100000000000001" customHeight="1" x14ac:dyDescent="0.25">
      <c r="D67" s="1" t="str" cm="1">
        <f t="array" ref="D67">Common_InputFunctions.Utility_DisplayArrayInTable(AgResidues_SourceData.BurningOfAgriculturalResiduesEFs_Data(), Table_SourceData_BurningResidueEFs[[#Headers],[Gas species]], 0)</f>
        <v>NMVOC</v>
      </c>
      <c r="E67" s="30" cm="1">
        <f t="array" ref="E67">Common_InputFunctions.Utility_DisplayArrayInTable(AgResidues_SourceData.BurningOfAgriculturalResiduesEFs_Data(), Table_SourceData_BurningResidueEFs[[#Headers],[Gas species]], 0)</f>
        <v>9.1000000000000004E-3</v>
      </c>
      <c r="F67" s="30" t="str" cm="1">
        <f t="array" ref="F67">Common_InputFunctions.Utility_DisplayArrayInTable(AgResidues_SourceData.BurningOfAgriculturalResiduesEFs_Data(), Table_SourceData_BurningResidueEFs[[#Headers],[Gas species]], 0)</f>
        <v>14/12</v>
      </c>
      <c r="K67" s="8"/>
      <c r="L67" s="8"/>
    </row>
    <row r="68" spans="4:12" ht="20.100000000000001" customHeight="1" x14ac:dyDescent="0.25">
      <c r="K68" s="8"/>
      <c r="L68" s="8"/>
    </row>
    <row r="69" spans="4:12" ht="20.100000000000001" customHeight="1" x14ac:dyDescent="0.25">
      <c r="K69" s="8"/>
      <c r="L69" s="8"/>
    </row>
    <row r="70" spans="4:12" ht="20.100000000000001" customHeight="1" x14ac:dyDescent="0.25">
      <c r="D70" s="2" t="str" cm="1">
        <f t="array" ref="D70">Agresidue_SourceData.CropFractionRemoved_Title()</f>
        <v>Table A.2.1.2: Crop attributes - Fraction removed (FFODc)</v>
      </c>
      <c r="E70" s="8"/>
      <c r="F70" s="8"/>
      <c r="G70" s="8"/>
      <c r="K70" s="8"/>
      <c r="L70" s="8"/>
    </row>
    <row r="71" spans="4:12" ht="20.100000000000001" customHeight="1" x14ac:dyDescent="0.25">
      <c r="D71" s="27" t="str" cm="1">
        <f t="array" ref="D71">Agresidue_SourceData.CropFractionRemoved_Source()</f>
        <v>VEERG 2026: Table A.2.1.2: Crop attributes - Fraction removed (FFODc)</v>
      </c>
      <c r="E71" s="8"/>
      <c r="F71" s="8"/>
      <c r="G71" s="8"/>
      <c r="K71" s="8"/>
      <c r="L71" s="8"/>
    </row>
    <row r="72" spans="4:12" ht="20.100000000000001" customHeight="1" x14ac:dyDescent="0.25">
      <c r="D72" s="8"/>
      <c r="E72" s="8"/>
      <c r="F72" s="8"/>
      <c r="G72" s="8"/>
      <c r="K72" s="8"/>
      <c r="L72" s="8"/>
    </row>
    <row r="73" spans="4:12" ht="20.100000000000001" customHeight="1" x14ac:dyDescent="0.25">
      <c r="D73" t="s">
        <v>860</v>
      </c>
      <c r="E73" t="s">
        <v>107</v>
      </c>
      <c r="F73" t="s">
        <v>861</v>
      </c>
      <c r="G73" s="8"/>
      <c r="K73" s="8"/>
      <c r="L73" s="8"/>
    </row>
    <row r="74" spans="4:12" ht="20.100000000000001" customHeight="1" x14ac:dyDescent="0.25">
      <c r="D74" t="str" cm="1">
        <f t="array" ref="D74">Common_InputFunctions.Utility_DisplayArrayInTable(Agresidue_SourceData.CropFractionRemoved_Data(), Table76[[#Headers],[Crop type c]], 0)</f>
        <v>Rice</v>
      </c>
      <c r="E74" t="str" cm="1">
        <f t="array" ref="E74">Common_InputFunctions.Utility_DisplayArrayInTable(Agresidue_SourceData.CropFractionRemoved_Data(), Table76[[#Headers],[Crop type c]], 0)</f>
        <v>All states</v>
      </c>
      <c r="F74" cm="1">
        <f t="array" ref="F74">Common_InputFunctions.Utility_DisplayArrayInTable(Agresidue_SourceData.CropFractionRemoved_Data(), Table76[[#Headers],[Crop type c]], 0)</f>
        <v>0.06</v>
      </c>
      <c r="G74" s="8"/>
      <c r="K74" s="8"/>
      <c r="L74" s="8"/>
    </row>
    <row r="75" spans="4:12" ht="20.100000000000001" customHeight="1" x14ac:dyDescent="0.25">
      <c r="D75" s="8" t="str" cm="1">
        <f t="array" ref="D75">Common_InputFunctions.Utility_DisplayArrayInTable(Agresidue_SourceData.CropFractionRemoved_Data(), Table76[[#Headers],[Crop type c]], 0)</f>
        <v>Tubers and roots</v>
      </c>
      <c r="E75" t="str" cm="1">
        <f t="array" ref="E75">Common_InputFunctions.Utility_DisplayArrayInTable(Agresidue_SourceData.CropFractionRemoved_Data(), Table76[[#Headers],[Crop type c]], 0)</f>
        <v>All states</v>
      </c>
      <c r="F75" cm="1">
        <f t="array" ref="F75">Common_InputFunctions.Utility_DisplayArrayInTable(Agresidue_SourceData.CropFractionRemoved_Data(), Table76[[#Headers],[Crop type c]], 0)</f>
        <v>1</v>
      </c>
      <c r="G75" s="8"/>
      <c r="H75" s="8"/>
      <c r="K75" s="8"/>
      <c r="L75" s="8"/>
    </row>
    <row r="76" spans="4:12" ht="20.100000000000001" customHeight="1" x14ac:dyDescent="0.25">
      <c r="D76" s="8" t="str" cm="1">
        <f t="array" ref="D76">Common_InputFunctions.Utility_DisplayArrayInTable(Agresidue_SourceData.CropFractionRemoved_Data(), Table76[[#Headers],[Crop type c]], 0)</f>
        <v>Cotton</v>
      </c>
      <c r="E76" t="str" cm="1">
        <f t="array" ref="E76">Common_InputFunctions.Utility_DisplayArrayInTable(Agresidue_SourceData.CropFractionRemoved_Data(), Table76[[#Headers],[Crop type c]], 0)</f>
        <v>All states</v>
      </c>
      <c r="F76" cm="1">
        <f t="array" ref="F76">Common_InputFunctions.Utility_DisplayArrayInTable(Agresidue_SourceData.CropFractionRemoved_Data(), Table76[[#Headers],[Crop type c]], 0)</f>
        <v>0</v>
      </c>
      <c r="G76" s="8"/>
      <c r="H76" s="8"/>
      <c r="K76" s="8"/>
      <c r="L76" s="8"/>
    </row>
    <row r="77" spans="4:12" ht="20.100000000000001" customHeight="1" x14ac:dyDescent="0.25">
      <c r="D77" s="8" t="str" cm="1">
        <f t="array" ref="D77">Common_InputFunctions.Utility_DisplayArrayInTable(Agresidue_SourceData.CropFractionRemoved_Data(), Table76[[#Headers],[Crop type c]], 0)</f>
        <v>Hops</v>
      </c>
      <c r="E77" t="str" cm="1">
        <f t="array" ref="E77">Common_InputFunctions.Utility_DisplayArrayInTable(Agresidue_SourceData.CropFractionRemoved_Data(), Table76[[#Headers],[Crop type c]], 0)</f>
        <v>All states</v>
      </c>
      <c r="F77" cm="1">
        <f t="array" ref="F77">Common_InputFunctions.Utility_DisplayArrayInTable(Agresidue_SourceData.CropFractionRemoved_Data(), Table76[[#Headers],[Crop type c]], 0)</f>
        <v>0</v>
      </c>
      <c r="G77" s="8"/>
      <c r="H77" s="8"/>
      <c r="I77" s="8"/>
      <c r="J77" s="8"/>
      <c r="K77" s="8"/>
      <c r="L77" s="8"/>
    </row>
    <row r="78" spans="4:12" ht="20.100000000000001" customHeight="1" x14ac:dyDescent="0.25">
      <c r="D78" s="8" t="str" cm="1">
        <f t="array" ref="D78">Common_InputFunctions.Utility_DisplayArrayInTable(Agresidue_SourceData.CropFractionRemoved_Data(), Table76[[#Headers],[Crop type c]], 0)</f>
        <v>Forage crops</v>
      </c>
      <c r="E78" t="str" cm="1">
        <f t="array" ref="E78">Common_InputFunctions.Utility_DisplayArrayInTable(Agresidue_SourceData.CropFractionRemoved_Data(), Table76[[#Headers],[Crop type c]], 0)</f>
        <v>All states</v>
      </c>
      <c r="F78" cm="1">
        <f t="array" ref="F78">Common_InputFunctions.Utility_DisplayArrayInTable(Agresidue_SourceData.CropFractionRemoved_Data(), Table76[[#Headers],[Crop type c]], 0)</f>
        <v>0.8</v>
      </c>
      <c r="G78" s="8"/>
      <c r="H78" s="8"/>
      <c r="I78" s="8"/>
      <c r="J78" s="8"/>
      <c r="K78" s="8"/>
      <c r="L78" s="8"/>
    </row>
    <row r="79" spans="4:12" ht="20.100000000000001" customHeight="1" x14ac:dyDescent="0.25">
      <c r="D79" s="8" t="str" cm="1">
        <f t="array" ref="D79">Common_InputFunctions.Utility_DisplayArrayInTable(Agresidue_SourceData.CropFractionRemoved_Data(), Table76[[#Headers],[Crop type c]], 0)</f>
        <v>Sugar Cane</v>
      </c>
      <c r="E79" t="str" cm="1">
        <f t="array" ref="E79">Common_InputFunctions.Utility_DisplayArrayInTable(Agresidue_SourceData.CropFractionRemoved_Data(), Table76[[#Headers],[Crop type c]], 0)</f>
        <v>NSW</v>
      </c>
      <c r="F79" cm="1">
        <f t="array" ref="F79">Common_InputFunctions.Utility_DisplayArrayInTable(Agresidue_SourceData.CropFractionRemoved_Data(), Table76[[#Headers],[Crop type c]], 0)</f>
        <v>0</v>
      </c>
      <c r="G79" s="8"/>
      <c r="H79" s="8"/>
      <c r="I79" s="8"/>
      <c r="J79" s="8"/>
      <c r="K79" s="8"/>
      <c r="L79" s="8"/>
    </row>
    <row r="80" spans="4:12" ht="20.100000000000001" customHeight="1" x14ac:dyDescent="0.25">
      <c r="D80" s="8" t="str" cm="1">
        <f t="array" ref="D80">Common_InputFunctions.Utility_DisplayArrayInTable(Agresidue_SourceData.CropFractionRemoved_Data(), Table76[[#Headers],[Crop type c]], 0)</f>
        <v>Sugar Cane</v>
      </c>
      <c r="E80" t="str" cm="1">
        <f t="array" ref="E80">Common_InputFunctions.Utility_DisplayArrayInTable(Agresidue_SourceData.CropFractionRemoved_Data(), Table76[[#Headers],[Crop type c]], 0)</f>
        <v>QLD</v>
      </c>
      <c r="F80" cm="1">
        <f t="array" ref="F80">Common_InputFunctions.Utility_DisplayArrayInTable(Agresidue_SourceData.CropFractionRemoved_Data(), Table76[[#Headers],[Crop type c]], 0)</f>
        <v>0.03</v>
      </c>
      <c r="G80" s="8"/>
      <c r="H80" s="8"/>
      <c r="I80" s="8"/>
      <c r="J80" s="8"/>
      <c r="K80" s="8"/>
      <c r="L80" s="8"/>
    </row>
    <row r="81" spans="4:12" ht="20.100000000000001" customHeight="1" x14ac:dyDescent="0.25">
      <c r="D81" s="8" t="str" cm="1">
        <f t="array" ref="D81">Common_InputFunctions.Utility_DisplayArrayInTable(Agresidue_SourceData.CropFractionRemoved_Data(), Table76[[#Headers],[Crop type c]], 0)</f>
        <v>Sugar Cane</v>
      </c>
      <c r="E81" t="str" cm="1">
        <f t="array" ref="E81">Common_InputFunctions.Utility_DisplayArrayInTable(Agresidue_SourceData.CropFractionRemoved_Data(), Table76[[#Headers],[Crop type c]], 0)</f>
        <v>WA</v>
      </c>
      <c r="F81" cm="1">
        <f t="array" ref="F81">Common_InputFunctions.Utility_DisplayArrayInTable(Agresidue_SourceData.CropFractionRemoved_Data(), Table76[[#Headers],[Crop type c]], 0)</f>
        <v>0</v>
      </c>
      <c r="G81" s="8"/>
      <c r="H81" s="8"/>
      <c r="I81" s="8"/>
      <c r="J81" s="8"/>
      <c r="K81" s="8"/>
      <c r="L81" s="8"/>
    </row>
    <row r="82" spans="4:12" ht="20.100000000000001" customHeight="1" x14ac:dyDescent="0.25">
      <c r="D82" s="8" t="str" cm="1">
        <f t="array" ref="D82">Common_InputFunctions.Utility_DisplayArrayInTable(Agresidue_SourceData.CropFractionRemoved_Data(), Table76[[#Headers],[Crop type c]], 0)</f>
        <v>All other crop types</v>
      </c>
      <c r="E82" t="str" cm="1">
        <f t="array" ref="E82">Common_InputFunctions.Utility_DisplayArrayInTable(Agresidue_SourceData.CropFractionRemoved_Data(), Table76[[#Headers],[Crop type c]], 0)</f>
        <v>NSW</v>
      </c>
      <c r="F82" cm="1">
        <f t="array" ref="F82">Common_InputFunctions.Utility_DisplayArrayInTable(Agresidue_SourceData.CropFractionRemoved_Data(), Table76[[#Headers],[Crop type c]], 0)</f>
        <v>0.05</v>
      </c>
      <c r="G82" s="8"/>
      <c r="H82" s="8"/>
      <c r="I82" s="8"/>
      <c r="J82" s="8"/>
      <c r="K82" s="8"/>
      <c r="L82" s="8"/>
    </row>
    <row r="83" spans="4:12" ht="20.100000000000001" customHeight="1" x14ac:dyDescent="0.25">
      <c r="D83" s="8" t="str" cm="1">
        <f t="array" ref="D83">Common_InputFunctions.Utility_DisplayArrayInTable(Agresidue_SourceData.CropFractionRemoved_Data(), Table76[[#Headers],[Crop type c]], 0)</f>
        <v>All other crop types</v>
      </c>
      <c r="E83" t="str" cm="1">
        <f t="array" ref="E83">Common_InputFunctions.Utility_DisplayArrayInTable(Agresidue_SourceData.CropFractionRemoved_Data(), Table76[[#Headers],[Crop type c]], 0)</f>
        <v>VIC</v>
      </c>
      <c r="F83" cm="1">
        <f t="array" ref="F83">Common_InputFunctions.Utility_DisplayArrayInTable(Agresidue_SourceData.CropFractionRemoved_Data(), Table76[[#Headers],[Crop type c]], 0)</f>
        <v>7.0000000000000007E-2</v>
      </c>
      <c r="G83" s="8"/>
      <c r="H83" s="8"/>
      <c r="I83" s="8"/>
      <c r="J83" s="8"/>
      <c r="K83" s="8"/>
      <c r="L83" s="8"/>
    </row>
    <row r="84" spans="4:12" ht="20.100000000000001" customHeight="1" x14ac:dyDescent="0.25">
      <c r="D84" s="8" t="str" cm="1">
        <f t="array" ref="D84">Common_InputFunctions.Utility_DisplayArrayInTable(Agresidue_SourceData.CropFractionRemoved_Data(), Table76[[#Headers],[Crop type c]], 0)</f>
        <v>All other crop types</v>
      </c>
      <c r="E84" t="str" cm="1">
        <f t="array" ref="E84">Common_InputFunctions.Utility_DisplayArrayInTable(Agresidue_SourceData.CropFractionRemoved_Data(), Table76[[#Headers],[Crop type c]], 0)</f>
        <v>QLD</v>
      </c>
      <c r="F84" cm="1">
        <f t="array" ref="F84">Common_InputFunctions.Utility_DisplayArrayInTable(Agresidue_SourceData.CropFractionRemoved_Data(), Table76[[#Headers],[Crop type c]], 0)</f>
        <v>0.04</v>
      </c>
      <c r="G84" s="8"/>
      <c r="H84" s="8"/>
      <c r="I84" s="8"/>
      <c r="J84" s="8"/>
      <c r="K84" s="8"/>
      <c r="L84" s="8"/>
    </row>
    <row r="85" spans="4:12" ht="20.100000000000001" customHeight="1" x14ac:dyDescent="0.25">
      <c r="D85" s="8" t="str" cm="1">
        <f t="array" ref="D85">Common_InputFunctions.Utility_DisplayArrayInTable(Agresidue_SourceData.CropFractionRemoved_Data(), Table76[[#Headers],[Crop type c]], 0)</f>
        <v>All other crop types</v>
      </c>
      <c r="E85" t="str" cm="1">
        <f t="array" ref="E85">Common_InputFunctions.Utility_DisplayArrayInTable(Agresidue_SourceData.CropFractionRemoved_Data(), Table76[[#Headers],[Crop type c]], 0)</f>
        <v>SA</v>
      </c>
      <c r="F85" cm="1">
        <f t="array" ref="F85">Common_InputFunctions.Utility_DisplayArrayInTable(Agresidue_SourceData.CropFractionRemoved_Data(), Table76[[#Headers],[Crop type c]], 0)</f>
        <v>0.09</v>
      </c>
      <c r="G85" s="8"/>
      <c r="H85" s="8"/>
      <c r="I85" s="8"/>
      <c r="J85" s="8"/>
      <c r="K85" s="8"/>
      <c r="L85" s="8"/>
    </row>
    <row r="86" spans="4:12" ht="20.100000000000001" customHeight="1" x14ac:dyDescent="0.25">
      <c r="D86" s="8" t="str" cm="1">
        <f t="array" ref="D86">Common_InputFunctions.Utility_DisplayArrayInTable(Agresidue_SourceData.CropFractionRemoved_Data(), Table76[[#Headers],[Crop type c]], 0)</f>
        <v>All other crop types</v>
      </c>
      <c r="E86" t="str" cm="1">
        <f t="array" ref="E86">Common_InputFunctions.Utility_DisplayArrayInTable(Agresidue_SourceData.CropFractionRemoved_Data(), Table76[[#Headers],[Crop type c]], 0)</f>
        <v>WA</v>
      </c>
      <c r="F86" cm="1">
        <f t="array" ref="F86">Common_InputFunctions.Utility_DisplayArrayInTable(Agresidue_SourceData.CropFractionRemoved_Data(), Table76[[#Headers],[Crop type c]], 0)</f>
        <v>0.11</v>
      </c>
      <c r="G86" s="8"/>
      <c r="H86" s="8"/>
      <c r="I86" s="8"/>
      <c r="J86" s="8"/>
      <c r="K86" s="8"/>
      <c r="L86" s="8"/>
    </row>
    <row r="87" spans="4:12" ht="20.100000000000001" customHeight="1" x14ac:dyDescent="0.25">
      <c r="D87" s="8" t="str" cm="1">
        <f t="array" ref="D87">Common_InputFunctions.Utility_DisplayArrayInTable(Agresidue_SourceData.CropFractionRemoved_Data(), Table76[[#Headers],[Crop type c]], 0)</f>
        <v>All other crop types</v>
      </c>
      <c r="E87" t="str" cm="1">
        <f t="array" ref="E87">Common_InputFunctions.Utility_DisplayArrayInTable(Agresidue_SourceData.CropFractionRemoved_Data(), Table76[[#Headers],[Crop type c]], 0)</f>
        <v>TAS</v>
      </c>
      <c r="F87" cm="1">
        <f t="array" ref="F87">Common_InputFunctions.Utility_DisplayArrayInTable(Agresidue_SourceData.CropFractionRemoved_Data(), Table76[[#Headers],[Crop type c]], 0)</f>
        <v>0.16</v>
      </c>
      <c r="G87" s="8"/>
      <c r="H87" s="8"/>
      <c r="I87" s="8"/>
      <c r="J87" s="8"/>
      <c r="K87" s="8"/>
      <c r="L87" s="8"/>
    </row>
    <row r="88" spans="4:12" ht="20.100000000000001" customHeight="1" x14ac:dyDescent="0.25">
      <c r="D88" s="8" t="str" cm="1">
        <f t="array" ref="D88">Common_InputFunctions.Utility_DisplayArrayInTable(Agresidue_SourceData.CropFractionRemoved_Data(), Table76[[#Headers],[Crop type c]], 0)</f>
        <v>All other crop types</v>
      </c>
      <c r="E88" t="str" cm="1">
        <f t="array" ref="E88">Common_InputFunctions.Utility_DisplayArrayInTable(Agresidue_SourceData.CropFractionRemoved_Data(), Table76[[#Headers],[Crop type c]], 0)</f>
        <v>NT</v>
      </c>
      <c r="F88" cm="1">
        <f t="array" ref="F88">Common_InputFunctions.Utility_DisplayArrayInTable(Agresidue_SourceData.CropFractionRemoved_Data(), Table76[[#Headers],[Crop type c]], 0)</f>
        <v>0.01</v>
      </c>
      <c r="G88" s="8"/>
      <c r="H88" s="8"/>
      <c r="I88" s="8"/>
      <c r="J88" s="8"/>
      <c r="K88" s="8"/>
      <c r="L88" s="8"/>
    </row>
    <row r="89" spans="4:12" ht="20.100000000000001" customHeight="1" x14ac:dyDescent="0.25">
      <c r="D89" s="8" t="str" cm="1">
        <f t="array" ref="D89">Common_InputFunctions.Utility_DisplayArrayInTable(Agresidue_SourceData.CropFractionRemoved_Data(), Table76[[#Headers],[Crop type c]], 0)</f>
        <v>All other crop types</v>
      </c>
      <c r="E89" t="str" cm="1">
        <f t="array" ref="E89">Common_InputFunctions.Utility_DisplayArrayInTable(Agresidue_SourceData.CropFractionRemoved_Data(), Table76[[#Headers],[Crop type c]], 0)</f>
        <v>ACT</v>
      </c>
      <c r="F89" cm="1">
        <f t="array" ref="F89">Common_InputFunctions.Utility_DisplayArrayInTable(Agresidue_SourceData.CropFractionRemoved_Data(), Table76[[#Headers],[Crop type c]], 0)</f>
        <v>0</v>
      </c>
      <c r="G89" s="8"/>
      <c r="H89" s="8"/>
      <c r="I89" s="8"/>
      <c r="J89" s="8"/>
      <c r="K89" s="8"/>
      <c r="L89" s="8"/>
    </row>
    <row r="90" spans="4:12" ht="20.100000000000001" customHeight="1" x14ac:dyDescent="0.25">
      <c r="D90" s="8"/>
      <c r="E90" s="8"/>
      <c r="F90" s="8"/>
      <c r="G90" s="8"/>
      <c r="H90" s="8"/>
      <c r="I90" s="8"/>
      <c r="J90" s="8"/>
      <c r="K90" s="8"/>
      <c r="L90" s="8"/>
    </row>
    <row r="91" spans="4:12" ht="20.100000000000001" customHeight="1" x14ac:dyDescent="0.25">
      <c r="D91" s="36" t="str" cm="1">
        <f t="array" ref="D91">"⚠️" &amp; Agresidue_SourceData.CropFractionRemoved_Variation()</f>
        <v>⚠️VARIATION OF SOURCE DATA: Split 'All other crop types' into individual crop types for each state. Listed all states for Sugar Cane, with 'N/A' for states where it is not grown.</v>
      </c>
      <c r="E91" s="8"/>
      <c r="F91" s="8"/>
      <c r="G91" s="8"/>
      <c r="H91" s="8"/>
      <c r="I91" s="8"/>
      <c r="J91" s="8"/>
      <c r="K91" s="8"/>
      <c r="L91" s="8"/>
    </row>
    <row r="92" spans="4:12" ht="20.100000000000001" customHeight="1" x14ac:dyDescent="0.25">
      <c r="D92" t="s">
        <v>860</v>
      </c>
      <c r="E92" t="s">
        <v>107</v>
      </c>
      <c r="F92" t="s">
        <v>861</v>
      </c>
      <c r="G92" s="8"/>
      <c r="H92" s="8"/>
      <c r="I92" s="8"/>
      <c r="J92" s="8"/>
      <c r="K92" s="8"/>
      <c r="L92" s="8"/>
    </row>
    <row r="93" spans="4:12" ht="20.100000000000001" customHeight="1" x14ac:dyDescent="0.25">
      <c r="D93" t="str" cm="1">
        <f t="array" ref="D93">Common_InputFunctions.Utility_DisplayArrayInTable(Agresidue_SourceData.CropFractionRemoved_CustomisedData(), Table77[[#Headers],[Crop type c]], 0)</f>
        <v>Rice</v>
      </c>
      <c r="E93" t="str" cm="1">
        <f t="array" ref="E93">Common_InputFunctions.Utility_DisplayArrayInTable(Agresidue_SourceData.CropFractionRemoved_CustomisedData(), Table77[[#Headers],[Crop type c]], 0)</f>
        <v>NSW</v>
      </c>
      <c r="F93" cm="1">
        <f t="array" ref="F93">Common_InputFunctions.Utility_DisplayArrayInTable(Agresidue_SourceData.CropFractionRemoved_CustomisedData(), Table77[[#Headers],[Crop type c]], 0)</f>
        <v>0.06</v>
      </c>
      <c r="G93" s="8"/>
      <c r="H93" s="8"/>
      <c r="I93" s="8"/>
      <c r="J93" s="8"/>
      <c r="K93" s="8"/>
      <c r="L93" s="8"/>
    </row>
    <row r="94" spans="4:12" ht="20.100000000000001" customHeight="1" x14ac:dyDescent="0.25">
      <c r="D94" s="8" t="str" cm="1">
        <f t="array" ref="D94">Common_InputFunctions.Utility_DisplayArrayInTable(Agresidue_SourceData.CropFractionRemoved_CustomisedData(), Table77[[#Headers],[Crop type c]], 0)</f>
        <v>Rice</v>
      </c>
      <c r="E94" t="str" cm="1">
        <f t="array" ref="E94">Common_InputFunctions.Utility_DisplayArrayInTable(Agresidue_SourceData.CropFractionRemoved_CustomisedData(), Table77[[#Headers],[Crop type c]], 0)</f>
        <v>VIC</v>
      </c>
      <c r="F94" cm="1">
        <f t="array" ref="F94">Common_InputFunctions.Utility_DisplayArrayInTable(Agresidue_SourceData.CropFractionRemoved_CustomisedData(), Table77[[#Headers],[Crop type c]], 0)</f>
        <v>0.06</v>
      </c>
      <c r="G94" s="8"/>
      <c r="H94" s="8"/>
      <c r="I94" s="8"/>
      <c r="J94" s="8"/>
      <c r="K94" s="8"/>
      <c r="L94" s="8"/>
    </row>
    <row r="95" spans="4:12" ht="20.100000000000001" customHeight="1" x14ac:dyDescent="0.25">
      <c r="D95" s="8" t="str" cm="1">
        <f t="array" ref="D95">Common_InputFunctions.Utility_DisplayArrayInTable(Agresidue_SourceData.CropFractionRemoved_CustomisedData(), Table77[[#Headers],[Crop type c]], 0)</f>
        <v>Rice</v>
      </c>
      <c r="E95" t="str" cm="1">
        <f t="array" ref="E95">Common_InputFunctions.Utility_DisplayArrayInTable(Agresidue_SourceData.CropFractionRemoved_CustomisedData(), Table77[[#Headers],[Crop type c]], 0)</f>
        <v>QLD</v>
      </c>
      <c r="F95" cm="1">
        <f t="array" ref="F95">Common_InputFunctions.Utility_DisplayArrayInTable(Agresidue_SourceData.CropFractionRemoved_CustomisedData(), Table77[[#Headers],[Crop type c]], 0)</f>
        <v>0.06</v>
      </c>
      <c r="G95" s="8"/>
      <c r="H95" s="8"/>
      <c r="I95" s="8"/>
      <c r="J95" s="8"/>
      <c r="K95" s="8"/>
      <c r="L95" s="8"/>
    </row>
    <row r="96" spans="4:12" ht="20.100000000000001" customHeight="1" x14ac:dyDescent="0.25">
      <c r="D96" s="8" t="str" cm="1">
        <f t="array" ref="D96">Common_InputFunctions.Utility_DisplayArrayInTable(Agresidue_SourceData.CropFractionRemoved_CustomisedData(), Table77[[#Headers],[Crop type c]], 0)</f>
        <v>Rice</v>
      </c>
      <c r="E96" t="str" cm="1">
        <f t="array" ref="E96">Common_InputFunctions.Utility_DisplayArrayInTable(Agresidue_SourceData.CropFractionRemoved_CustomisedData(), Table77[[#Headers],[Crop type c]], 0)</f>
        <v>SA</v>
      </c>
      <c r="F96" cm="1">
        <f t="array" ref="F96">Common_InputFunctions.Utility_DisplayArrayInTable(Agresidue_SourceData.CropFractionRemoved_CustomisedData(), Table77[[#Headers],[Crop type c]], 0)</f>
        <v>0.06</v>
      </c>
      <c r="G96" s="8"/>
      <c r="H96" s="8"/>
      <c r="I96" s="8"/>
      <c r="J96" s="8"/>
      <c r="K96" s="8"/>
      <c r="L96" s="8"/>
    </row>
    <row r="97" spans="4:12" ht="20.100000000000001" customHeight="1" x14ac:dyDescent="0.25">
      <c r="D97" s="8" t="str" cm="1">
        <f t="array" ref="D97">Common_InputFunctions.Utility_DisplayArrayInTable(Agresidue_SourceData.CropFractionRemoved_CustomisedData(), Table77[[#Headers],[Crop type c]], 0)</f>
        <v>Rice</v>
      </c>
      <c r="E97" t="str" cm="1">
        <f t="array" ref="E97">Common_InputFunctions.Utility_DisplayArrayInTable(Agresidue_SourceData.CropFractionRemoved_CustomisedData(), Table77[[#Headers],[Crop type c]], 0)</f>
        <v>WA</v>
      </c>
      <c r="F97" cm="1">
        <f t="array" ref="F97">Common_InputFunctions.Utility_DisplayArrayInTable(Agresidue_SourceData.CropFractionRemoved_CustomisedData(), Table77[[#Headers],[Crop type c]], 0)</f>
        <v>0.06</v>
      </c>
      <c r="G97" s="8"/>
      <c r="H97" s="8"/>
      <c r="I97" s="8"/>
      <c r="J97" s="8"/>
      <c r="K97" s="8"/>
      <c r="L97" s="8"/>
    </row>
    <row r="98" spans="4:12" ht="20.100000000000001" customHeight="1" x14ac:dyDescent="0.25">
      <c r="D98" s="8" t="str" cm="1">
        <f t="array" ref="D98">Common_InputFunctions.Utility_DisplayArrayInTable(Agresidue_SourceData.CropFractionRemoved_CustomisedData(), Table77[[#Headers],[Crop type c]], 0)</f>
        <v>Rice</v>
      </c>
      <c r="E98" t="str" cm="1">
        <f t="array" ref="E98">Common_InputFunctions.Utility_DisplayArrayInTable(Agresidue_SourceData.CropFractionRemoved_CustomisedData(), Table77[[#Headers],[Crop type c]], 0)</f>
        <v>TAS</v>
      </c>
      <c r="F98" cm="1">
        <f t="array" ref="F98">Common_InputFunctions.Utility_DisplayArrayInTable(Agresidue_SourceData.CropFractionRemoved_CustomisedData(), Table77[[#Headers],[Crop type c]], 0)</f>
        <v>0.06</v>
      </c>
      <c r="G98" s="8"/>
      <c r="H98" s="8"/>
      <c r="I98" s="8"/>
      <c r="J98" s="8"/>
      <c r="K98" s="8"/>
      <c r="L98" s="8"/>
    </row>
    <row r="99" spans="4:12" ht="20.100000000000001" customHeight="1" x14ac:dyDescent="0.25">
      <c r="D99" s="8" t="str" cm="1">
        <f t="array" ref="D99">Common_InputFunctions.Utility_DisplayArrayInTable(Agresidue_SourceData.CropFractionRemoved_CustomisedData(), Table77[[#Headers],[Crop type c]], 0)</f>
        <v>Rice</v>
      </c>
      <c r="E99" t="str" cm="1">
        <f t="array" ref="E99">Common_InputFunctions.Utility_DisplayArrayInTable(Agresidue_SourceData.CropFractionRemoved_CustomisedData(), Table77[[#Headers],[Crop type c]], 0)</f>
        <v>NT</v>
      </c>
      <c r="F99" cm="1">
        <f t="array" ref="F99">Common_InputFunctions.Utility_DisplayArrayInTable(Agresidue_SourceData.CropFractionRemoved_CustomisedData(), Table77[[#Headers],[Crop type c]], 0)</f>
        <v>0.06</v>
      </c>
      <c r="G99" s="8"/>
      <c r="H99" s="8"/>
      <c r="I99" s="8"/>
      <c r="J99" s="8"/>
      <c r="K99" s="8"/>
      <c r="L99" s="8"/>
    </row>
    <row r="100" spans="4:12" ht="20.100000000000001" customHeight="1" x14ac:dyDescent="0.25">
      <c r="D100" s="8" t="str" cm="1">
        <f t="array" ref="D100">Common_InputFunctions.Utility_DisplayArrayInTable(Agresidue_SourceData.CropFractionRemoved_CustomisedData(), Table77[[#Headers],[Crop type c]], 0)</f>
        <v>Rice</v>
      </c>
      <c r="E100" t="str" cm="1">
        <f t="array" ref="E100">Common_InputFunctions.Utility_DisplayArrayInTable(Agresidue_SourceData.CropFractionRemoved_CustomisedData(), Table77[[#Headers],[Crop type c]], 0)</f>
        <v>ACT</v>
      </c>
      <c r="F100" cm="1">
        <f t="array" ref="F100">Common_InputFunctions.Utility_DisplayArrayInTable(Agresidue_SourceData.CropFractionRemoved_CustomisedData(), Table77[[#Headers],[Crop type c]], 0)</f>
        <v>0.06</v>
      </c>
      <c r="G100" s="8"/>
      <c r="H100" s="8"/>
      <c r="I100" s="8"/>
      <c r="J100" s="8"/>
      <c r="K100" s="8"/>
      <c r="L100" s="8"/>
    </row>
    <row r="101" spans="4:12" ht="20.100000000000001" customHeight="1" x14ac:dyDescent="0.25">
      <c r="D101" s="8" t="str" cm="1">
        <f t="array" ref="D101">Common_InputFunctions.Utility_DisplayArrayInTable(Agresidue_SourceData.CropFractionRemoved_CustomisedData(), Table77[[#Headers],[Crop type c]], 0)</f>
        <v>Tubers and roots</v>
      </c>
      <c r="E101" t="str" cm="1">
        <f t="array" ref="E101">Common_InputFunctions.Utility_DisplayArrayInTable(Agresidue_SourceData.CropFractionRemoved_CustomisedData(), Table77[[#Headers],[Crop type c]], 0)</f>
        <v>NSW</v>
      </c>
      <c r="F101" cm="1">
        <f t="array" ref="F101">Common_InputFunctions.Utility_DisplayArrayInTable(Agresidue_SourceData.CropFractionRemoved_CustomisedData(), Table77[[#Headers],[Crop type c]], 0)</f>
        <v>1</v>
      </c>
      <c r="G101" s="8"/>
      <c r="H101" s="8"/>
      <c r="I101" s="8"/>
      <c r="J101" s="8"/>
      <c r="K101" s="8"/>
      <c r="L101" s="8"/>
    </row>
    <row r="102" spans="4:12" ht="20.100000000000001" customHeight="1" x14ac:dyDescent="0.25">
      <c r="D102" s="8" t="str" cm="1">
        <f t="array" ref="D102">Common_InputFunctions.Utility_DisplayArrayInTable(Agresidue_SourceData.CropFractionRemoved_CustomisedData(), Table77[[#Headers],[Crop type c]], 0)</f>
        <v>Tubers and roots</v>
      </c>
      <c r="E102" t="str" cm="1">
        <f t="array" ref="E102">Common_InputFunctions.Utility_DisplayArrayInTable(Agresidue_SourceData.CropFractionRemoved_CustomisedData(), Table77[[#Headers],[Crop type c]], 0)</f>
        <v>VIC</v>
      </c>
      <c r="F102" cm="1">
        <f t="array" ref="F102">Common_InputFunctions.Utility_DisplayArrayInTable(Agresidue_SourceData.CropFractionRemoved_CustomisedData(), Table77[[#Headers],[Crop type c]], 0)</f>
        <v>1</v>
      </c>
      <c r="G102" s="8"/>
      <c r="H102" s="8"/>
      <c r="I102" s="8"/>
      <c r="J102" s="8"/>
      <c r="K102" s="8"/>
      <c r="L102" s="8"/>
    </row>
    <row r="103" spans="4:12" ht="20.100000000000001" customHeight="1" x14ac:dyDescent="0.25">
      <c r="D103" s="8" t="str" cm="1">
        <f t="array" ref="D103">Common_InputFunctions.Utility_DisplayArrayInTable(Agresidue_SourceData.CropFractionRemoved_CustomisedData(), Table77[[#Headers],[Crop type c]], 0)</f>
        <v>Tubers and roots</v>
      </c>
      <c r="E103" t="str" cm="1">
        <f t="array" ref="E103">Common_InputFunctions.Utility_DisplayArrayInTable(Agresidue_SourceData.CropFractionRemoved_CustomisedData(), Table77[[#Headers],[Crop type c]], 0)</f>
        <v>QLD</v>
      </c>
      <c r="F103" cm="1">
        <f t="array" ref="F103">Common_InputFunctions.Utility_DisplayArrayInTable(Agresidue_SourceData.CropFractionRemoved_CustomisedData(), Table77[[#Headers],[Crop type c]], 0)</f>
        <v>1</v>
      </c>
      <c r="G103" s="8"/>
      <c r="H103" s="8"/>
      <c r="I103" s="8"/>
      <c r="J103" s="8"/>
      <c r="K103" s="8"/>
      <c r="L103" s="8"/>
    </row>
    <row r="104" spans="4:12" ht="20.100000000000001" customHeight="1" x14ac:dyDescent="0.25">
      <c r="D104" s="8" t="str" cm="1">
        <f t="array" ref="D104">Common_InputFunctions.Utility_DisplayArrayInTable(Agresidue_SourceData.CropFractionRemoved_CustomisedData(), Table77[[#Headers],[Crop type c]], 0)</f>
        <v>Tubers and roots</v>
      </c>
      <c r="E104" t="str" cm="1">
        <f t="array" ref="E104">Common_InputFunctions.Utility_DisplayArrayInTable(Agresidue_SourceData.CropFractionRemoved_CustomisedData(), Table77[[#Headers],[Crop type c]], 0)</f>
        <v>SA</v>
      </c>
      <c r="F104" cm="1">
        <f t="array" ref="F104">Common_InputFunctions.Utility_DisplayArrayInTable(Agresidue_SourceData.CropFractionRemoved_CustomisedData(), Table77[[#Headers],[Crop type c]], 0)</f>
        <v>1</v>
      </c>
      <c r="G104" s="8"/>
      <c r="H104" s="8"/>
      <c r="I104" s="8"/>
      <c r="J104" s="8"/>
      <c r="K104" s="8"/>
      <c r="L104" s="8"/>
    </row>
    <row r="105" spans="4:12" ht="20.100000000000001" customHeight="1" x14ac:dyDescent="0.25">
      <c r="D105" s="8" t="str" cm="1">
        <f t="array" ref="D105">Common_InputFunctions.Utility_DisplayArrayInTable(Agresidue_SourceData.CropFractionRemoved_CustomisedData(), Table77[[#Headers],[Crop type c]], 0)</f>
        <v>Tubers and roots</v>
      </c>
      <c r="E105" t="str" cm="1">
        <f t="array" ref="E105">Common_InputFunctions.Utility_DisplayArrayInTable(Agresidue_SourceData.CropFractionRemoved_CustomisedData(), Table77[[#Headers],[Crop type c]], 0)</f>
        <v>WA</v>
      </c>
      <c r="F105" cm="1">
        <f t="array" ref="F105">Common_InputFunctions.Utility_DisplayArrayInTable(Agresidue_SourceData.CropFractionRemoved_CustomisedData(), Table77[[#Headers],[Crop type c]], 0)</f>
        <v>1</v>
      </c>
      <c r="G105" s="8"/>
      <c r="H105" s="8"/>
      <c r="I105" s="8"/>
      <c r="J105" s="8"/>
      <c r="K105" s="8"/>
      <c r="L105" s="8"/>
    </row>
    <row r="106" spans="4:12" ht="20.100000000000001" customHeight="1" x14ac:dyDescent="0.25">
      <c r="D106" s="8" t="str" cm="1">
        <f t="array" ref="D106">Common_InputFunctions.Utility_DisplayArrayInTable(Agresidue_SourceData.CropFractionRemoved_CustomisedData(), Table77[[#Headers],[Crop type c]], 0)</f>
        <v>Tubers and roots</v>
      </c>
      <c r="E106" t="str" cm="1">
        <f t="array" ref="E106">Common_InputFunctions.Utility_DisplayArrayInTable(Agresidue_SourceData.CropFractionRemoved_CustomisedData(), Table77[[#Headers],[Crop type c]], 0)</f>
        <v>TAS</v>
      </c>
      <c r="F106" cm="1">
        <f t="array" ref="F106">Common_InputFunctions.Utility_DisplayArrayInTable(Agresidue_SourceData.CropFractionRemoved_CustomisedData(), Table77[[#Headers],[Crop type c]], 0)</f>
        <v>1</v>
      </c>
      <c r="G106" s="8"/>
      <c r="H106" s="8"/>
      <c r="I106" s="8"/>
      <c r="J106" s="8"/>
      <c r="K106" s="8"/>
      <c r="L106" s="8"/>
    </row>
    <row r="107" spans="4:12" ht="20.100000000000001" customHeight="1" x14ac:dyDescent="0.25">
      <c r="D107" s="8" t="str" cm="1">
        <f t="array" ref="D107">Common_InputFunctions.Utility_DisplayArrayInTable(Agresidue_SourceData.CropFractionRemoved_CustomisedData(), Table77[[#Headers],[Crop type c]], 0)</f>
        <v>Tubers and roots</v>
      </c>
      <c r="E107" t="str" cm="1">
        <f t="array" ref="E107">Common_InputFunctions.Utility_DisplayArrayInTable(Agresidue_SourceData.CropFractionRemoved_CustomisedData(), Table77[[#Headers],[Crop type c]], 0)</f>
        <v>NT</v>
      </c>
      <c r="F107" cm="1">
        <f t="array" ref="F107">Common_InputFunctions.Utility_DisplayArrayInTable(Agresidue_SourceData.CropFractionRemoved_CustomisedData(), Table77[[#Headers],[Crop type c]], 0)</f>
        <v>1</v>
      </c>
      <c r="G107" s="8"/>
      <c r="H107" s="8"/>
      <c r="I107" s="8"/>
      <c r="J107" s="8"/>
      <c r="K107" s="8"/>
      <c r="L107" s="8"/>
    </row>
    <row r="108" spans="4:12" ht="20.100000000000001" customHeight="1" x14ac:dyDescent="0.25">
      <c r="D108" s="8" t="str" cm="1">
        <f t="array" ref="D108">Common_InputFunctions.Utility_DisplayArrayInTable(Agresidue_SourceData.CropFractionRemoved_CustomisedData(), Table77[[#Headers],[Crop type c]], 0)</f>
        <v>Tubers and roots</v>
      </c>
      <c r="E108" t="str" cm="1">
        <f t="array" ref="E108">Common_InputFunctions.Utility_DisplayArrayInTable(Agresidue_SourceData.CropFractionRemoved_CustomisedData(), Table77[[#Headers],[Crop type c]], 0)</f>
        <v>ACT</v>
      </c>
      <c r="F108" cm="1">
        <f t="array" ref="F108">Common_InputFunctions.Utility_DisplayArrayInTable(Agresidue_SourceData.CropFractionRemoved_CustomisedData(), Table77[[#Headers],[Crop type c]], 0)</f>
        <v>1</v>
      </c>
      <c r="G108" s="8"/>
      <c r="H108" s="8"/>
      <c r="I108" s="8"/>
      <c r="J108" s="8"/>
      <c r="K108" s="8"/>
      <c r="L108" s="8"/>
    </row>
    <row r="109" spans="4:12" ht="20.100000000000001" customHeight="1" x14ac:dyDescent="0.25">
      <c r="D109" s="8" t="str" cm="1">
        <f t="array" ref="D109">Common_InputFunctions.Utility_DisplayArrayInTable(Agresidue_SourceData.CropFractionRemoved_CustomisedData(), Table77[[#Headers],[Crop type c]], 0)</f>
        <v>Cotton</v>
      </c>
      <c r="E109" t="str" cm="1">
        <f t="array" ref="E109">Common_InputFunctions.Utility_DisplayArrayInTable(Agresidue_SourceData.CropFractionRemoved_CustomisedData(), Table77[[#Headers],[Crop type c]], 0)</f>
        <v>NSW</v>
      </c>
      <c r="F109" cm="1">
        <f t="array" ref="F109">Common_InputFunctions.Utility_DisplayArrayInTable(Agresidue_SourceData.CropFractionRemoved_CustomisedData(), Table77[[#Headers],[Crop type c]], 0)</f>
        <v>0</v>
      </c>
      <c r="G109" s="8"/>
      <c r="H109" s="8"/>
      <c r="I109" s="8"/>
      <c r="J109" s="8"/>
      <c r="K109" s="8"/>
      <c r="L109" s="8"/>
    </row>
    <row r="110" spans="4:12" ht="20.100000000000001" customHeight="1" x14ac:dyDescent="0.25">
      <c r="D110" s="8" t="str" cm="1">
        <f t="array" ref="D110">Common_InputFunctions.Utility_DisplayArrayInTable(Agresidue_SourceData.CropFractionRemoved_CustomisedData(), Table77[[#Headers],[Crop type c]], 0)</f>
        <v>Cotton</v>
      </c>
      <c r="E110" t="str" cm="1">
        <f t="array" ref="E110">Common_InputFunctions.Utility_DisplayArrayInTable(Agresidue_SourceData.CropFractionRemoved_CustomisedData(), Table77[[#Headers],[Crop type c]], 0)</f>
        <v>VIC</v>
      </c>
      <c r="F110" cm="1">
        <f t="array" ref="F110">Common_InputFunctions.Utility_DisplayArrayInTable(Agresidue_SourceData.CropFractionRemoved_CustomisedData(), Table77[[#Headers],[Crop type c]], 0)</f>
        <v>0</v>
      </c>
      <c r="G110" s="8"/>
      <c r="H110" s="8"/>
      <c r="I110" s="8"/>
      <c r="J110" s="8"/>
      <c r="K110" s="8"/>
      <c r="L110" s="8"/>
    </row>
    <row r="111" spans="4:12" ht="20.100000000000001" customHeight="1" x14ac:dyDescent="0.25">
      <c r="D111" s="8" t="str" cm="1">
        <f t="array" ref="D111">Common_InputFunctions.Utility_DisplayArrayInTable(Agresidue_SourceData.CropFractionRemoved_CustomisedData(), Table77[[#Headers],[Crop type c]], 0)</f>
        <v>Cotton</v>
      </c>
      <c r="E111" t="str" cm="1">
        <f t="array" ref="E111">Common_InputFunctions.Utility_DisplayArrayInTable(Agresidue_SourceData.CropFractionRemoved_CustomisedData(), Table77[[#Headers],[Crop type c]], 0)</f>
        <v>QLD</v>
      </c>
      <c r="F111" cm="1">
        <f t="array" ref="F111">Common_InputFunctions.Utility_DisplayArrayInTable(Agresidue_SourceData.CropFractionRemoved_CustomisedData(), Table77[[#Headers],[Crop type c]], 0)</f>
        <v>0</v>
      </c>
      <c r="G111" s="8"/>
      <c r="H111" s="8"/>
      <c r="I111" s="8"/>
      <c r="J111" s="8"/>
      <c r="K111" s="8"/>
      <c r="L111" s="8"/>
    </row>
    <row r="112" spans="4:12" ht="20.100000000000001" customHeight="1" x14ac:dyDescent="0.25">
      <c r="D112" s="8" t="str" cm="1">
        <f t="array" ref="D112">Common_InputFunctions.Utility_DisplayArrayInTable(Agresidue_SourceData.CropFractionRemoved_CustomisedData(), Table77[[#Headers],[Crop type c]], 0)</f>
        <v>Cotton</v>
      </c>
      <c r="E112" t="str" cm="1">
        <f t="array" ref="E112">Common_InputFunctions.Utility_DisplayArrayInTable(Agresidue_SourceData.CropFractionRemoved_CustomisedData(), Table77[[#Headers],[Crop type c]], 0)</f>
        <v>SA</v>
      </c>
      <c r="F112" cm="1">
        <f t="array" ref="F112">Common_InputFunctions.Utility_DisplayArrayInTable(Agresidue_SourceData.CropFractionRemoved_CustomisedData(), Table77[[#Headers],[Crop type c]], 0)</f>
        <v>0</v>
      </c>
      <c r="G112" s="8"/>
      <c r="H112" s="8"/>
      <c r="I112" s="8"/>
      <c r="J112" s="8"/>
      <c r="K112" s="8"/>
      <c r="L112" s="8"/>
    </row>
    <row r="113" spans="4:12" ht="20.100000000000001" customHeight="1" x14ac:dyDescent="0.25">
      <c r="D113" s="8" t="str" cm="1">
        <f t="array" ref="D113">Common_InputFunctions.Utility_DisplayArrayInTable(Agresidue_SourceData.CropFractionRemoved_CustomisedData(), Table77[[#Headers],[Crop type c]], 0)</f>
        <v>Cotton</v>
      </c>
      <c r="E113" t="str" cm="1">
        <f t="array" ref="E113">Common_InputFunctions.Utility_DisplayArrayInTable(Agresidue_SourceData.CropFractionRemoved_CustomisedData(), Table77[[#Headers],[Crop type c]], 0)</f>
        <v>WA</v>
      </c>
      <c r="F113" cm="1">
        <f t="array" ref="F113">Common_InputFunctions.Utility_DisplayArrayInTable(Agresidue_SourceData.CropFractionRemoved_CustomisedData(), Table77[[#Headers],[Crop type c]], 0)</f>
        <v>0</v>
      </c>
      <c r="G113" s="8"/>
      <c r="H113" s="8"/>
      <c r="I113" s="8"/>
      <c r="J113" s="8"/>
      <c r="K113" s="8"/>
      <c r="L113" s="8"/>
    </row>
    <row r="114" spans="4:12" ht="20.100000000000001" customHeight="1" x14ac:dyDescent="0.25">
      <c r="D114" s="8" t="str" cm="1">
        <f t="array" ref="D114">Common_InputFunctions.Utility_DisplayArrayInTable(Agresidue_SourceData.CropFractionRemoved_CustomisedData(), Table77[[#Headers],[Crop type c]], 0)</f>
        <v>Cotton</v>
      </c>
      <c r="E114" t="str" cm="1">
        <f t="array" ref="E114">Common_InputFunctions.Utility_DisplayArrayInTable(Agresidue_SourceData.CropFractionRemoved_CustomisedData(), Table77[[#Headers],[Crop type c]], 0)</f>
        <v>TAS</v>
      </c>
      <c r="F114" cm="1">
        <f t="array" ref="F114">Common_InputFunctions.Utility_DisplayArrayInTable(Agresidue_SourceData.CropFractionRemoved_CustomisedData(), Table77[[#Headers],[Crop type c]], 0)</f>
        <v>0</v>
      </c>
      <c r="G114" s="8"/>
      <c r="H114" s="8"/>
      <c r="I114" s="8"/>
      <c r="J114" s="8"/>
      <c r="K114" s="8"/>
      <c r="L114" s="8"/>
    </row>
    <row r="115" spans="4:12" ht="20.100000000000001" customHeight="1" x14ac:dyDescent="0.25">
      <c r="D115" s="8" t="str" cm="1">
        <f t="array" ref="D115">Common_InputFunctions.Utility_DisplayArrayInTable(Agresidue_SourceData.CropFractionRemoved_CustomisedData(), Table77[[#Headers],[Crop type c]], 0)</f>
        <v>Cotton</v>
      </c>
      <c r="E115" t="str" cm="1">
        <f t="array" ref="E115">Common_InputFunctions.Utility_DisplayArrayInTable(Agresidue_SourceData.CropFractionRemoved_CustomisedData(), Table77[[#Headers],[Crop type c]], 0)</f>
        <v>NT</v>
      </c>
      <c r="F115" cm="1">
        <f t="array" ref="F115">Common_InputFunctions.Utility_DisplayArrayInTable(Agresidue_SourceData.CropFractionRemoved_CustomisedData(), Table77[[#Headers],[Crop type c]], 0)</f>
        <v>0</v>
      </c>
      <c r="G115" s="8"/>
      <c r="H115" s="8"/>
      <c r="I115" s="8"/>
      <c r="J115" s="8"/>
      <c r="K115" s="8"/>
      <c r="L115" s="8"/>
    </row>
    <row r="116" spans="4:12" ht="20.100000000000001" customHeight="1" x14ac:dyDescent="0.25">
      <c r="D116" s="8" t="str" cm="1">
        <f t="array" ref="D116">Common_InputFunctions.Utility_DisplayArrayInTable(Agresidue_SourceData.CropFractionRemoved_CustomisedData(), Table77[[#Headers],[Crop type c]], 0)</f>
        <v>Cotton</v>
      </c>
      <c r="E116" t="str" cm="1">
        <f t="array" ref="E116">Common_InputFunctions.Utility_DisplayArrayInTable(Agresidue_SourceData.CropFractionRemoved_CustomisedData(), Table77[[#Headers],[Crop type c]], 0)</f>
        <v>ACT</v>
      </c>
      <c r="F116" cm="1">
        <f t="array" ref="F116">Common_InputFunctions.Utility_DisplayArrayInTable(Agresidue_SourceData.CropFractionRemoved_CustomisedData(), Table77[[#Headers],[Crop type c]], 0)</f>
        <v>0</v>
      </c>
      <c r="G116" s="8"/>
      <c r="H116" s="8"/>
      <c r="I116" s="8"/>
      <c r="J116" s="8"/>
      <c r="K116" s="8"/>
      <c r="L116" s="8"/>
    </row>
    <row r="117" spans="4:12" ht="20.100000000000001" customHeight="1" x14ac:dyDescent="0.25">
      <c r="D117" s="8" t="str" cm="1">
        <f t="array" ref="D117">Common_InputFunctions.Utility_DisplayArrayInTable(Agresidue_SourceData.CropFractionRemoved_CustomisedData(), Table77[[#Headers],[Crop type c]], 0)</f>
        <v>Hops</v>
      </c>
      <c r="E117" t="str" cm="1">
        <f t="array" ref="E117">Common_InputFunctions.Utility_DisplayArrayInTable(Agresidue_SourceData.CropFractionRemoved_CustomisedData(), Table77[[#Headers],[Crop type c]], 0)</f>
        <v>NSW</v>
      </c>
      <c r="F117" cm="1">
        <f t="array" ref="F117">Common_InputFunctions.Utility_DisplayArrayInTable(Agresidue_SourceData.CropFractionRemoved_CustomisedData(), Table77[[#Headers],[Crop type c]], 0)</f>
        <v>0</v>
      </c>
      <c r="G117" s="8"/>
      <c r="H117" s="8"/>
      <c r="I117" s="8"/>
      <c r="J117" s="8"/>
      <c r="K117" s="8"/>
      <c r="L117" s="8"/>
    </row>
    <row r="118" spans="4:12" ht="20.100000000000001" customHeight="1" x14ac:dyDescent="0.25">
      <c r="D118" s="8" t="str" cm="1">
        <f t="array" ref="D118">Common_InputFunctions.Utility_DisplayArrayInTable(Agresidue_SourceData.CropFractionRemoved_CustomisedData(), Table77[[#Headers],[Crop type c]], 0)</f>
        <v>Hops</v>
      </c>
      <c r="E118" t="str" cm="1">
        <f t="array" ref="E118">Common_InputFunctions.Utility_DisplayArrayInTable(Agresidue_SourceData.CropFractionRemoved_CustomisedData(), Table77[[#Headers],[Crop type c]], 0)</f>
        <v>VIC</v>
      </c>
      <c r="F118" cm="1">
        <f t="array" ref="F118">Common_InputFunctions.Utility_DisplayArrayInTable(Agresidue_SourceData.CropFractionRemoved_CustomisedData(), Table77[[#Headers],[Crop type c]], 0)</f>
        <v>0</v>
      </c>
      <c r="G118" s="8"/>
      <c r="H118" s="8"/>
      <c r="I118" s="8"/>
      <c r="J118" s="8"/>
      <c r="K118" s="8"/>
      <c r="L118" s="8"/>
    </row>
    <row r="119" spans="4:12" ht="20.100000000000001" customHeight="1" x14ac:dyDescent="0.25">
      <c r="D119" s="8" t="str" cm="1">
        <f t="array" ref="D119">Common_InputFunctions.Utility_DisplayArrayInTable(Agresidue_SourceData.CropFractionRemoved_CustomisedData(), Table77[[#Headers],[Crop type c]], 0)</f>
        <v>Hops</v>
      </c>
      <c r="E119" t="str" cm="1">
        <f t="array" ref="E119">Common_InputFunctions.Utility_DisplayArrayInTable(Agresidue_SourceData.CropFractionRemoved_CustomisedData(), Table77[[#Headers],[Crop type c]], 0)</f>
        <v>QLD</v>
      </c>
      <c r="F119" cm="1">
        <f t="array" ref="F119">Common_InputFunctions.Utility_DisplayArrayInTable(Agresidue_SourceData.CropFractionRemoved_CustomisedData(), Table77[[#Headers],[Crop type c]], 0)</f>
        <v>0</v>
      </c>
      <c r="G119" s="8"/>
      <c r="H119" s="8"/>
      <c r="I119" s="8"/>
      <c r="J119" s="8"/>
      <c r="K119" s="8"/>
      <c r="L119" s="8"/>
    </row>
    <row r="120" spans="4:12" ht="20.100000000000001" customHeight="1" x14ac:dyDescent="0.25">
      <c r="D120" s="8" t="str" cm="1">
        <f t="array" ref="D120">Common_InputFunctions.Utility_DisplayArrayInTable(Agresidue_SourceData.CropFractionRemoved_CustomisedData(), Table77[[#Headers],[Crop type c]], 0)</f>
        <v>Hops</v>
      </c>
      <c r="E120" t="str" cm="1">
        <f t="array" ref="E120">Common_InputFunctions.Utility_DisplayArrayInTable(Agresidue_SourceData.CropFractionRemoved_CustomisedData(), Table77[[#Headers],[Crop type c]], 0)</f>
        <v>SA</v>
      </c>
      <c r="F120" cm="1">
        <f t="array" ref="F120">Common_InputFunctions.Utility_DisplayArrayInTable(Agresidue_SourceData.CropFractionRemoved_CustomisedData(), Table77[[#Headers],[Crop type c]], 0)</f>
        <v>0</v>
      </c>
      <c r="G120" s="8"/>
      <c r="H120" s="8"/>
      <c r="I120" s="8"/>
      <c r="J120" s="8"/>
      <c r="K120" s="8"/>
      <c r="L120" s="8"/>
    </row>
    <row r="121" spans="4:12" ht="20.100000000000001" customHeight="1" x14ac:dyDescent="0.25">
      <c r="D121" s="8" t="str" cm="1">
        <f t="array" ref="D121">Common_InputFunctions.Utility_DisplayArrayInTable(Agresidue_SourceData.CropFractionRemoved_CustomisedData(), Table77[[#Headers],[Crop type c]], 0)</f>
        <v>Hops</v>
      </c>
      <c r="E121" t="str" cm="1">
        <f t="array" ref="E121">Common_InputFunctions.Utility_DisplayArrayInTable(Agresidue_SourceData.CropFractionRemoved_CustomisedData(), Table77[[#Headers],[Crop type c]], 0)</f>
        <v>WA</v>
      </c>
      <c r="F121" cm="1">
        <f t="array" ref="F121">Common_InputFunctions.Utility_DisplayArrayInTable(Agresidue_SourceData.CropFractionRemoved_CustomisedData(), Table77[[#Headers],[Crop type c]], 0)</f>
        <v>0</v>
      </c>
      <c r="G121" s="8"/>
      <c r="H121" s="8"/>
      <c r="I121" s="8"/>
      <c r="J121" s="8"/>
      <c r="K121" s="8"/>
      <c r="L121" s="8"/>
    </row>
    <row r="122" spans="4:12" ht="20.100000000000001" customHeight="1" x14ac:dyDescent="0.25">
      <c r="D122" s="8" t="str" cm="1">
        <f t="array" ref="D122">Common_InputFunctions.Utility_DisplayArrayInTable(Agresidue_SourceData.CropFractionRemoved_CustomisedData(), Table77[[#Headers],[Crop type c]], 0)</f>
        <v>Hops</v>
      </c>
      <c r="E122" t="str" cm="1">
        <f t="array" ref="E122">Common_InputFunctions.Utility_DisplayArrayInTable(Agresidue_SourceData.CropFractionRemoved_CustomisedData(), Table77[[#Headers],[Crop type c]], 0)</f>
        <v>TAS</v>
      </c>
      <c r="F122" cm="1">
        <f t="array" ref="F122">Common_InputFunctions.Utility_DisplayArrayInTable(Agresidue_SourceData.CropFractionRemoved_CustomisedData(), Table77[[#Headers],[Crop type c]], 0)</f>
        <v>0</v>
      </c>
      <c r="G122" s="8"/>
      <c r="H122" s="8"/>
      <c r="I122" s="8"/>
      <c r="J122" s="8"/>
      <c r="K122" s="8"/>
      <c r="L122" s="8"/>
    </row>
    <row r="123" spans="4:12" ht="20.100000000000001" customHeight="1" x14ac:dyDescent="0.25">
      <c r="D123" s="8" t="str" cm="1">
        <f t="array" ref="D123">Common_InputFunctions.Utility_DisplayArrayInTable(Agresidue_SourceData.CropFractionRemoved_CustomisedData(), Table77[[#Headers],[Crop type c]], 0)</f>
        <v>Hops</v>
      </c>
      <c r="E123" t="str" cm="1">
        <f t="array" ref="E123">Common_InputFunctions.Utility_DisplayArrayInTable(Agresidue_SourceData.CropFractionRemoved_CustomisedData(), Table77[[#Headers],[Crop type c]], 0)</f>
        <v>NT</v>
      </c>
      <c r="F123" cm="1">
        <f t="array" ref="F123">Common_InputFunctions.Utility_DisplayArrayInTable(Agresidue_SourceData.CropFractionRemoved_CustomisedData(), Table77[[#Headers],[Crop type c]], 0)</f>
        <v>0</v>
      </c>
      <c r="G123" s="8"/>
      <c r="H123" s="8"/>
      <c r="I123" s="8"/>
      <c r="J123" s="8"/>
      <c r="K123" s="8"/>
      <c r="L123" s="8"/>
    </row>
    <row r="124" spans="4:12" ht="20.100000000000001" customHeight="1" x14ac:dyDescent="0.25">
      <c r="D124" s="8" t="str" cm="1">
        <f t="array" ref="D124">Common_InputFunctions.Utility_DisplayArrayInTable(Agresidue_SourceData.CropFractionRemoved_CustomisedData(), Table77[[#Headers],[Crop type c]], 0)</f>
        <v>Hops</v>
      </c>
      <c r="E124" t="str" cm="1">
        <f t="array" ref="E124">Common_InputFunctions.Utility_DisplayArrayInTable(Agresidue_SourceData.CropFractionRemoved_CustomisedData(), Table77[[#Headers],[Crop type c]], 0)</f>
        <v>ACT</v>
      </c>
      <c r="F124" cm="1">
        <f t="array" ref="F124">Common_InputFunctions.Utility_DisplayArrayInTable(Agresidue_SourceData.CropFractionRemoved_CustomisedData(), Table77[[#Headers],[Crop type c]], 0)</f>
        <v>0</v>
      </c>
      <c r="G124" s="8"/>
      <c r="H124" s="8"/>
      <c r="I124" s="8"/>
      <c r="J124" s="8"/>
      <c r="K124" s="8"/>
      <c r="L124" s="8"/>
    </row>
    <row r="125" spans="4:12" ht="20.100000000000001" customHeight="1" x14ac:dyDescent="0.25">
      <c r="D125" s="8" t="str" cm="1">
        <f t="array" ref="D125">Common_InputFunctions.Utility_DisplayArrayInTable(Agresidue_SourceData.CropFractionRemoved_CustomisedData(), Table77[[#Headers],[Crop type c]], 0)</f>
        <v>Forage crops</v>
      </c>
      <c r="E125" t="str" cm="1">
        <f t="array" ref="E125">Common_InputFunctions.Utility_DisplayArrayInTable(Agresidue_SourceData.CropFractionRemoved_CustomisedData(), Table77[[#Headers],[Crop type c]], 0)</f>
        <v>NSW</v>
      </c>
      <c r="F125" cm="1">
        <f t="array" ref="F125">Common_InputFunctions.Utility_DisplayArrayInTable(Agresidue_SourceData.CropFractionRemoved_CustomisedData(), Table77[[#Headers],[Crop type c]], 0)</f>
        <v>0.8</v>
      </c>
      <c r="G125" s="8"/>
      <c r="H125" s="8"/>
      <c r="I125" s="8"/>
      <c r="J125" s="8"/>
      <c r="K125" s="8"/>
      <c r="L125" s="8"/>
    </row>
    <row r="126" spans="4:12" ht="20.100000000000001" customHeight="1" x14ac:dyDescent="0.25">
      <c r="D126" s="8" t="str" cm="1">
        <f t="array" ref="D126">Common_InputFunctions.Utility_DisplayArrayInTable(Agresidue_SourceData.CropFractionRemoved_CustomisedData(), Table77[[#Headers],[Crop type c]], 0)</f>
        <v>Forage crops</v>
      </c>
      <c r="E126" t="str" cm="1">
        <f t="array" ref="E126">Common_InputFunctions.Utility_DisplayArrayInTable(Agresidue_SourceData.CropFractionRemoved_CustomisedData(), Table77[[#Headers],[Crop type c]], 0)</f>
        <v>VIC</v>
      </c>
      <c r="F126" cm="1">
        <f t="array" ref="F126">Common_InputFunctions.Utility_DisplayArrayInTable(Agresidue_SourceData.CropFractionRemoved_CustomisedData(), Table77[[#Headers],[Crop type c]], 0)</f>
        <v>0.8</v>
      </c>
      <c r="G126" s="8"/>
      <c r="H126" s="8"/>
      <c r="I126" s="8"/>
      <c r="J126" s="8"/>
      <c r="K126" s="8"/>
      <c r="L126" s="8"/>
    </row>
    <row r="127" spans="4:12" ht="20.100000000000001" customHeight="1" x14ac:dyDescent="0.25">
      <c r="D127" s="8" t="str" cm="1">
        <f t="array" ref="D127">Common_InputFunctions.Utility_DisplayArrayInTable(Agresidue_SourceData.CropFractionRemoved_CustomisedData(), Table77[[#Headers],[Crop type c]], 0)</f>
        <v>Forage crops</v>
      </c>
      <c r="E127" t="str" cm="1">
        <f t="array" ref="E127">Common_InputFunctions.Utility_DisplayArrayInTable(Agresidue_SourceData.CropFractionRemoved_CustomisedData(), Table77[[#Headers],[Crop type c]], 0)</f>
        <v>QLD</v>
      </c>
      <c r="F127" cm="1">
        <f t="array" ref="F127">Common_InputFunctions.Utility_DisplayArrayInTable(Agresidue_SourceData.CropFractionRemoved_CustomisedData(), Table77[[#Headers],[Crop type c]], 0)</f>
        <v>0.8</v>
      </c>
      <c r="G127" s="8"/>
      <c r="H127" s="8"/>
      <c r="I127" s="8"/>
      <c r="J127" s="8"/>
      <c r="K127" s="8"/>
      <c r="L127" s="8"/>
    </row>
    <row r="128" spans="4:12" ht="20.100000000000001" customHeight="1" x14ac:dyDescent="0.25">
      <c r="D128" s="8" t="str" cm="1">
        <f t="array" ref="D128">Common_InputFunctions.Utility_DisplayArrayInTable(Agresidue_SourceData.CropFractionRemoved_CustomisedData(), Table77[[#Headers],[Crop type c]], 0)</f>
        <v>Forage crops</v>
      </c>
      <c r="E128" t="str" cm="1">
        <f t="array" ref="E128">Common_InputFunctions.Utility_DisplayArrayInTable(Agresidue_SourceData.CropFractionRemoved_CustomisedData(), Table77[[#Headers],[Crop type c]], 0)</f>
        <v>SA</v>
      </c>
      <c r="F128" cm="1">
        <f t="array" ref="F128">Common_InputFunctions.Utility_DisplayArrayInTable(Agresidue_SourceData.CropFractionRemoved_CustomisedData(), Table77[[#Headers],[Crop type c]], 0)</f>
        <v>0.8</v>
      </c>
      <c r="G128" s="8"/>
      <c r="H128" s="8"/>
      <c r="I128" s="8"/>
      <c r="J128" s="8"/>
      <c r="K128" s="8"/>
      <c r="L128" s="8"/>
    </row>
    <row r="129" spans="4:12" ht="20.100000000000001" customHeight="1" x14ac:dyDescent="0.25">
      <c r="D129" s="8" t="str" cm="1">
        <f t="array" ref="D129">Common_InputFunctions.Utility_DisplayArrayInTable(Agresidue_SourceData.CropFractionRemoved_CustomisedData(), Table77[[#Headers],[Crop type c]], 0)</f>
        <v>Forage crops</v>
      </c>
      <c r="E129" t="str" cm="1">
        <f t="array" ref="E129">Common_InputFunctions.Utility_DisplayArrayInTable(Agresidue_SourceData.CropFractionRemoved_CustomisedData(), Table77[[#Headers],[Crop type c]], 0)</f>
        <v>WA</v>
      </c>
      <c r="F129" cm="1">
        <f t="array" ref="F129">Common_InputFunctions.Utility_DisplayArrayInTable(Agresidue_SourceData.CropFractionRemoved_CustomisedData(), Table77[[#Headers],[Crop type c]], 0)</f>
        <v>0.8</v>
      </c>
      <c r="G129" s="8"/>
      <c r="H129" s="8"/>
      <c r="I129" s="8"/>
      <c r="J129" s="8"/>
      <c r="K129" s="8"/>
      <c r="L129" s="8"/>
    </row>
    <row r="130" spans="4:12" ht="20.100000000000001" customHeight="1" x14ac:dyDescent="0.25">
      <c r="D130" s="8" t="str" cm="1">
        <f t="array" ref="D130">Common_InputFunctions.Utility_DisplayArrayInTable(Agresidue_SourceData.CropFractionRemoved_CustomisedData(), Table77[[#Headers],[Crop type c]], 0)</f>
        <v>Forage crops</v>
      </c>
      <c r="E130" t="str" cm="1">
        <f t="array" ref="E130">Common_InputFunctions.Utility_DisplayArrayInTable(Agresidue_SourceData.CropFractionRemoved_CustomisedData(), Table77[[#Headers],[Crop type c]], 0)</f>
        <v>TAS</v>
      </c>
      <c r="F130" cm="1">
        <f t="array" ref="F130">Common_InputFunctions.Utility_DisplayArrayInTable(Agresidue_SourceData.CropFractionRemoved_CustomisedData(), Table77[[#Headers],[Crop type c]], 0)</f>
        <v>0.8</v>
      </c>
      <c r="G130" s="8"/>
      <c r="H130" s="8"/>
      <c r="I130" s="8"/>
      <c r="J130" s="8"/>
      <c r="K130" s="8"/>
      <c r="L130" s="8"/>
    </row>
    <row r="131" spans="4:12" ht="20.100000000000001" customHeight="1" x14ac:dyDescent="0.25">
      <c r="D131" s="8" t="str" cm="1">
        <f t="array" ref="D131">Common_InputFunctions.Utility_DisplayArrayInTable(Agresidue_SourceData.CropFractionRemoved_CustomisedData(), Table77[[#Headers],[Crop type c]], 0)</f>
        <v>Forage crops</v>
      </c>
      <c r="E131" t="str" cm="1">
        <f t="array" ref="E131">Common_InputFunctions.Utility_DisplayArrayInTable(Agresidue_SourceData.CropFractionRemoved_CustomisedData(), Table77[[#Headers],[Crop type c]], 0)</f>
        <v>NT</v>
      </c>
      <c r="F131" cm="1">
        <f t="array" ref="F131">Common_InputFunctions.Utility_DisplayArrayInTable(Agresidue_SourceData.CropFractionRemoved_CustomisedData(), Table77[[#Headers],[Crop type c]], 0)</f>
        <v>0.8</v>
      </c>
      <c r="G131" s="8"/>
      <c r="H131" s="8"/>
      <c r="I131" s="8"/>
      <c r="J131" s="8"/>
      <c r="K131" s="8"/>
      <c r="L131" s="8"/>
    </row>
    <row r="132" spans="4:12" ht="20.100000000000001" customHeight="1" x14ac:dyDescent="0.25">
      <c r="D132" s="8" t="str" cm="1">
        <f t="array" ref="D132">Common_InputFunctions.Utility_DisplayArrayInTable(Agresidue_SourceData.CropFractionRemoved_CustomisedData(), Table77[[#Headers],[Crop type c]], 0)</f>
        <v>Forage crops</v>
      </c>
      <c r="E132" t="str" cm="1">
        <f t="array" ref="E132">Common_InputFunctions.Utility_DisplayArrayInTable(Agresidue_SourceData.CropFractionRemoved_CustomisedData(), Table77[[#Headers],[Crop type c]], 0)</f>
        <v>ACT</v>
      </c>
      <c r="F132" cm="1">
        <f t="array" ref="F132">Common_InputFunctions.Utility_DisplayArrayInTable(Agresidue_SourceData.CropFractionRemoved_CustomisedData(), Table77[[#Headers],[Crop type c]], 0)</f>
        <v>0.8</v>
      </c>
      <c r="G132" s="8"/>
      <c r="H132" s="8"/>
      <c r="I132" s="8"/>
      <c r="J132" s="8"/>
      <c r="K132" s="8"/>
      <c r="L132" s="8"/>
    </row>
    <row r="133" spans="4:12" ht="20.100000000000001" customHeight="1" x14ac:dyDescent="0.25">
      <c r="D133" s="8" t="str" cm="1">
        <f t="array" ref="D133">Common_InputFunctions.Utility_DisplayArrayInTable(Agresidue_SourceData.CropFractionRemoved_CustomisedData(), Table77[[#Headers],[Crop type c]], 0)</f>
        <v>Sugar Cane</v>
      </c>
      <c r="E133" t="str" cm="1">
        <f t="array" ref="E133">Common_InputFunctions.Utility_DisplayArrayInTable(Agresidue_SourceData.CropFractionRemoved_CustomisedData(), Table77[[#Headers],[Crop type c]], 0)</f>
        <v>NSW</v>
      </c>
      <c r="F133" cm="1">
        <f t="array" ref="F133">Common_InputFunctions.Utility_DisplayArrayInTable(Agresidue_SourceData.CropFractionRemoved_CustomisedData(), Table77[[#Headers],[Crop type c]], 0)</f>
        <v>0</v>
      </c>
      <c r="G133" s="8"/>
      <c r="H133" s="8"/>
      <c r="I133" s="8"/>
      <c r="J133" s="8"/>
      <c r="K133" s="8"/>
      <c r="L133" s="8"/>
    </row>
    <row r="134" spans="4:12" ht="20.100000000000001" customHeight="1" x14ac:dyDescent="0.25">
      <c r="D134" s="8" t="str" cm="1">
        <f t="array" ref="D134">Common_InputFunctions.Utility_DisplayArrayInTable(Agresidue_SourceData.CropFractionRemoved_CustomisedData(), Table77[[#Headers],[Crop type c]], 0)</f>
        <v>Sugar Cane</v>
      </c>
      <c r="E134" t="str" cm="1">
        <f t="array" ref="E134">Common_InputFunctions.Utility_DisplayArrayInTable(Agresidue_SourceData.CropFractionRemoved_CustomisedData(), Table77[[#Headers],[Crop type c]], 0)</f>
        <v>VIC</v>
      </c>
      <c r="F134" t="str" cm="1">
        <f t="array" ref="F134">Common_InputFunctions.Utility_DisplayArrayInTable(Agresidue_SourceData.CropFractionRemoved_CustomisedData(), Table77[[#Headers],[Crop type c]], 0)</f>
        <v>N/A</v>
      </c>
      <c r="G134" s="8"/>
      <c r="H134" s="8"/>
      <c r="I134" s="8"/>
      <c r="J134" s="8"/>
      <c r="K134" s="8"/>
      <c r="L134" s="8"/>
    </row>
    <row r="135" spans="4:12" ht="20.100000000000001" customHeight="1" x14ac:dyDescent="0.25">
      <c r="D135" s="8" t="str" cm="1">
        <f t="array" ref="D135">Common_InputFunctions.Utility_DisplayArrayInTable(Agresidue_SourceData.CropFractionRemoved_CustomisedData(), Table77[[#Headers],[Crop type c]], 0)</f>
        <v>Sugar Cane</v>
      </c>
      <c r="E135" t="str" cm="1">
        <f t="array" ref="E135">Common_InputFunctions.Utility_DisplayArrayInTable(Agresidue_SourceData.CropFractionRemoved_CustomisedData(), Table77[[#Headers],[Crop type c]], 0)</f>
        <v>QLD</v>
      </c>
      <c r="F135" cm="1">
        <f t="array" ref="F135">Common_InputFunctions.Utility_DisplayArrayInTable(Agresidue_SourceData.CropFractionRemoved_CustomisedData(), Table77[[#Headers],[Crop type c]], 0)</f>
        <v>0.03</v>
      </c>
      <c r="G135" s="8"/>
      <c r="H135" s="8"/>
      <c r="I135" s="8"/>
      <c r="J135" s="8"/>
      <c r="K135" s="8"/>
      <c r="L135" s="8"/>
    </row>
    <row r="136" spans="4:12" ht="20.100000000000001" customHeight="1" x14ac:dyDescent="0.25">
      <c r="D136" s="8" t="str" cm="1">
        <f t="array" ref="D136">Common_InputFunctions.Utility_DisplayArrayInTable(Agresidue_SourceData.CropFractionRemoved_CustomisedData(), Table77[[#Headers],[Crop type c]], 0)</f>
        <v>Sugar Cane</v>
      </c>
      <c r="E136" t="str" cm="1">
        <f t="array" ref="E136">Common_InputFunctions.Utility_DisplayArrayInTable(Agresidue_SourceData.CropFractionRemoved_CustomisedData(), Table77[[#Headers],[Crop type c]], 0)</f>
        <v>SA</v>
      </c>
      <c r="F136" t="str" cm="1">
        <f t="array" ref="F136">Common_InputFunctions.Utility_DisplayArrayInTable(Agresidue_SourceData.CropFractionRemoved_CustomisedData(), Table77[[#Headers],[Crop type c]], 0)</f>
        <v>N/A</v>
      </c>
      <c r="G136" s="8"/>
      <c r="H136" s="8"/>
      <c r="I136" s="8"/>
      <c r="J136" s="8"/>
      <c r="K136" s="8"/>
      <c r="L136" s="8"/>
    </row>
    <row r="137" spans="4:12" ht="20.100000000000001" customHeight="1" x14ac:dyDescent="0.25">
      <c r="D137" s="8" t="str" cm="1">
        <f t="array" ref="D137">Common_InputFunctions.Utility_DisplayArrayInTable(Agresidue_SourceData.CropFractionRemoved_CustomisedData(), Table77[[#Headers],[Crop type c]], 0)</f>
        <v>Sugar Cane</v>
      </c>
      <c r="E137" t="str" cm="1">
        <f t="array" ref="E137">Common_InputFunctions.Utility_DisplayArrayInTable(Agresidue_SourceData.CropFractionRemoved_CustomisedData(), Table77[[#Headers],[Crop type c]], 0)</f>
        <v>WA</v>
      </c>
      <c r="F137" cm="1">
        <f t="array" ref="F137">Common_InputFunctions.Utility_DisplayArrayInTable(Agresidue_SourceData.CropFractionRemoved_CustomisedData(), Table77[[#Headers],[Crop type c]], 0)</f>
        <v>0</v>
      </c>
      <c r="G137" s="8"/>
      <c r="H137" s="8"/>
      <c r="I137" s="8"/>
      <c r="J137" s="8"/>
      <c r="K137" s="8"/>
      <c r="L137" s="8"/>
    </row>
    <row r="138" spans="4:12" ht="20.100000000000001" customHeight="1" x14ac:dyDescent="0.25">
      <c r="D138" s="8" t="str" cm="1">
        <f t="array" ref="D138">Common_InputFunctions.Utility_DisplayArrayInTable(Agresidue_SourceData.CropFractionRemoved_CustomisedData(), Table77[[#Headers],[Crop type c]], 0)</f>
        <v>Sugar Cane</v>
      </c>
      <c r="E138" t="str" cm="1">
        <f t="array" ref="E138">Common_InputFunctions.Utility_DisplayArrayInTable(Agresidue_SourceData.CropFractionRemoved_CustomisedData(), Table77[[#Headers],[Crop type c]], 0)</f>
        <v>TAS</v>
      </c>
      <c r="F138" t="str" cm="1">
        <f t="array" ref="F138">Common_InputFunctions.Utility_DisplayArrayInTable(Agresidue_SourceData.CropFractionRemoved_CustomisedData(), Table77[[#Headers],[Crop type c]], 0)</f>
        <v>N/A</v>
      </c>
      <c r="G138" s="8"/>
      <c r="H138" s="8"/>
      <c r="I138" s="8"/>
      <c r="J138" s="8"/>
      <c r="K138" s="8"/>
      <c r="L138" s="8"/>
    </row>
    <row r="139" spans="4:12" ht="20.100000000000001" customHeight="1" x14ac:dyDescent="0.25">
      <c r="D139" s="8" t="str" cm="1">
        <f t="array" ref="D139">Common_InputFunctions.Utility_DisplayArrayInTable(Agresidue_SourceData.CropFractionRemoved_CustomisedData(), Table77[[#Headers],[Crop type c]], 0)</f>
        <v>Sugar Cane</v>
      </c>
      <c r="E139" t="str" cm="1">
        <f t="array" ref="E139">Common_InputFunctions.Utility_DisplayArrayInTable(Agresidue_SourceData.CropFractionRemoved_CustomisedData(), Table77[[#Headers],[Crop type c]], 0)</f>
        <v>NT</v>
      </c>
      <c r="F139" t="str" cm="1">
        <f t="array" ref="F139">Common_InputFunctions.Utility_DisplayArrayInTable(Agresidue_SourceData.CropFractionRemoved_CustomisedData(), Table77[[#Headers],[Crop type c]], 0)</f>
        <v>N/A</v>
      </c>
      <c r="G139" s="8"/>
      <c r="H139" s="8"/>
      <c r="I139" s="8"/>
      <c r="J139" s="8"/>
      <c r="K139" s="8"/>
      <c r="L139" s="8"/>
    </row>
    <row r="140" spans="4:12" ht="20.100000000000001" customHeight="1" x14ac:dyDescent="0.25">
      <c r="D140" s="8" t="str" cm="1">
        <f t="array" ref="D140">Common_InputFunctions.Utility_DisplayArrayInTable(Agresidue_SourceData.CropFractionRemoved_CustomisedData(), Table77[[#Headers],[Crop type c]], 0)</f>
        <v>Sugar Cane</v>
      </c>
      <c r="E140" t="str" cm="1">
        <f t="array" ref="E140">Common_InputFunctions.Utility_DisplayArrayInTable(Agresidue_SourceData.CropFractionRemoved_CustomisedData(), Table77[[#Headers],[Crop type c]], 0)</f>
        <v>ACT</v>
      </c>
      <c r="F140" t="str" cm="1">
        <f t="array" ref="F140">Common_InputFunctions.Utility_DisplayArrayInTable(Agresidue_SourceData.CropFractionRemoved_CustomisedData(), Table77[[#Headers],[Crop type c]], 0)</f>
        <v>N/A</v>
      </c>
      <c r="G140" s="8"/>
      <c r="H140" s="8"/>
      <c r="I140" s="8"/>
      <c r="J140" s="8"/>
      <c r="K140" s="8"/>
      <c r="L140" s="8"/>
    </row>
    <row r="141" spans="4:12" ht="20.100000000000001" customHeight="1" x14ac:dyDescent="0.25">
      <c r="D141" s="8" t="str" cm="1">
        <f t="array" ref="D141">Common_InputFunctions.Utility_DisplayArrayInTable(Agresidue_SourceData.CropFractionRemoved_CustomisedData(), Table77[[#Headers],[Crop type c]], 0)</f>
        <v>Wheat</v>
      </c>
      <c r="E141" t="str" cm="1">
        <f t="array" ref="E141">Common_InputFunctions.Utility_DisplayArrayInTable(Agresidue_SourceData.CropFractionRemoved_CustomisedData(), Table77[[#Headers],[Crop type c]], 0)</f>
        <v>NSW</v>
      </c>
      <c r="F141" cm="1">
        <f t="array" ref="F141">Common_InputFunctions.Utility_DisplayArrayInTable(Agresidue_SourceData.CropFractionRemoved_CustomisedData(), Table77[[#Headers],[Crop type c]], 0)</f>
        <v>0.05</v>
      </c>
      <c r="G141" s="8"/>
      <c r="H141" s="8"/>
      <c r="I141" s="8"/>
      <c r="J141" s="8"/>
      <c r="K141" s="8"/>
      <c r="L141" s="8"/>
    </row>
    <row r="142" spans="4:12" ht="20.100000000000001" customHeight="1" x14ac:dyDescent="0.25">
      <c r="D142" s="8" t="str" cm="1">
        <f t="array" ref="D142">Common_InputFunctions.Utility_DisplayArrayInTable(Agresidue_SourceData.CropFractionRemoved_CustomisedData(), Table77[[#Headers],[Crop type c]], 0)</f>
        <v>Wheat</v>
      </c>
      <c r="E142" t="str" cm="1">
        <f t="array" ref="E142">Common_InputFunctions.Utility_DisplayArrayInTable(Agresidue_SourceData.CropFractionRemoved_CustomisedData(), Table77[[#Headers],[Crop type c]], 0)</f>
        <v>VIC</v>
      </c>
      <c r="F142" cm="1">
        <f t="array" ref="F142">Common_InputFunctions.Utility_DisplayArrayInTable(Agresidue_SourceData.CropFractionRemoved_CustomisedData(), Table77[[#Headers],[Crop type c]], 0)</f>
        <v>7.0000000000000007E-2</v>
      </c>
      <c r="G142" s="8"/>
      <c r="H142" s="8"/>
      <c r="I142" s="8"/>
      <c r="J142" s="8"/>
      <c r="K142" s="8"/>
      <c r="L142" s="8"/>
    </row>
    <row r="143" spans="4:12" ht="20.100000000000001" customHeight="1" x14ac:dyDescent="0.25">
      <c r="D143" s="8" t="str" cm="1">
        <f t="array" ref="D143">Common_InputFunctions.Utility_DisplayArrayInTable(Agresidue_SourceData.CropFractionRemoved_CustomisedData(), Table77[[#Headers],[Crop type c]], 0)</f>
        <v>Wheat</v>
      </c>
      <c r="E143" t="str" cm="1">
        <f t="array" ref="E143">Common_InputFunctions.Utility_DisplayArrayInTable(Agresidue_SourceData.CropFractionRemoved_CustomisedData(), Table77[[#Headers],[Crop type c]], 0)</f>
        <v>QLD</v>
      </c>
      <c r="F143" cm="1">
        <f t="array" ref="F143">Common_InputFunctions.Utility_DisplayArrayInTable(Agresidue_SourceData.CropFractionRemoved_CustomisedData(), Table77[[#Headers],[Crop type c]], 0)</f>
        <v>0.04</v>
      </c>
      <c r="G143" s="8"/>
      <c r="H143" s="8"/>
      <c r="I143" s="8"/>
      <c r="J143" s="8"/>
      <c r="K143" s="8"/>
      <c r="L143" s="8"/>
    </row>
    <row r="144" spans="4:12" ht="20.100000000000001" customHeight="1" x14ac:dyDescent="0.25">
      <c r="D144" s="8" t="str" cm="1">
        <f t="array" ref="D144">Common_InputFunctions.Utility_DisplayArrayInTable(Agresidue_SourceData.CropFractionRemoved_CustomisedData(), Table77[[#Headers],[Crop type c]], 0)</f>
        <v>Wheat</v>
      </c>
      <c r="E144" t="str" cm="1">
        <f t="array" ref="E144">Common_InputFunctions.Utility_DisplayArrayInTable(Agresidue_SourceData.CropFractionRemoved_CustomisedData(), Table77[[#Headers],[Crop type c]], 0)</f>
        <v>SA</v>
      </c>
      <c r="F144" cm="1">
        <f t="array" ref="F144">Common_InputFunctions.Utility_DisplayArrayInTable(Agresidue_SourceData.CropFractionRemoved_CustomisedData(), Table77[[#Headers],[Crop type c]], 0)</f>
        <v>0.09</v>
      </c>
      <c r="G144" s="8"/>
      <c r="H144" s="8"/>
      <c r="I144" s="8"/>
      <c r="J144" s="8"/>
      <c r="K144" s="8"/>
      <c r="L144" s="8"/>
    </row>
    <row r="145" spans="4:12" ht="20.100000000000001" customHeight="1" x14ac:dyDescent="0.25">
      <c r="D145" s="8" t="str" cm="1">
        <f t="array" ref="D145">Common_InputFunctions.Utility_DisplayArrayInTable(Agresidue_SourceData.CropFractionRemoved_CustomisedData(), Table77[[#Headers],[Crop type c]], 0)</f>
        <v>Wheat</v>
      </c>
      <c r="E145" t="str" cm="1">
        <f t="array" ref="E145">Common_InputFunctions.Utility_DisplayArrayInTable(Agresidue_SourceData.CropFractionRemoved_CustomisedData(), Table77[[#Headers],[Crop type c]], 0)</f>
        <v>WA</v>
      </c>
      <c r="F145" cm="1">
        <f t="array" ref="F145">Common_InputFunctions.Utility_DisplayArrayInTable(Agresidue_SourceData.CropFractionRemoved_CustomisedData(), Table77[[#Headers],[Crop type c]], 0)</f>
        <v>0.11</v>
      </c>
      <c r="G145" s="8"/>
      <c r="H145" s="8"/>
      <c r="I145" s="8"/>
      <c r="J145" s="8"/>
      <c r="K145" s="8"/>
      <c r="L145" s="8"/>
    </row>
    <row r="146" spans="4:12" ht="20.100000000000001" customHeight="1" x14ac:dyDescent="0.25">
      <c r="D146" s="8" t="str" cm="1">
        <f t="array" ref="D146">Common_InputFunctions.Utility_DisplayArrayInTable(Agresidue_SourceData.CropFractionRemoved_CustomisedData(), Table77[[#Headers],[Crop type c]], 0)</f>
        <v>Wheat</v>
      </c>
      <c r="E146" t="str" cm="1">
        <f t="array" ref="E146">Common_InputFunctions.Utility_DisplayArrayInTable(Agresidue_SourceData.CropFractionRemoved_CustomisedData(), Table77[[#Headers],[Crop type c]], 0)</f>
        <v>TAS</v>
      </c>
      <c r="F146" cm="1">
        <f t="array" ref="F146">Common_InputFunctions.Utility_DisplayArrayInTable(Agresidue_SourceData.CropFractionRemoved_CustomisedData(), Table77[[#Headers],[Crop type c]], 0)</f>
        <v>0.16</v>
      </c>
      <c r="G146" s="8"/>
      <c r="H146" s="8"/>
      <c r="I146" s="8"/>
      <c r="J146" s="8"/>
      <c r="K146" s="8"/>
      <c r="L146" s="8"/>
    </row>
    <row r="147" spans="4:12" ht="20.100000000000001" customHeight="1" x14ac:dyDescent="0.25">
      <c r="D147" s="8" t="str" cm="1">
        <f t="array" ref="D147">Common_InputFunctions.Utility_DisplayArrayInTable(Agresidue_SourceData.CropFractionRemoved_CustomisedData(), Table77[[#Headers],[Crop type c]], 0)</f>
        <v>Wheat</v>
      </c>
      <c r="E147" t="str" cm="1">
        <f t="array" ref="E147">Common_InputFunctions.Utility_DisplayArrayInTable(Agresidue_SourceData.CropFractionRemoved_CustomisedData(), Table77[[#Headers],[Crop type c]], 0)</f>
        <v>NT</v>
      </c>
      <c r="F147" cm="1">
        <f t="array" ref="F147">Common_InputFunctions.Utility_DisplayArrayInTable(Agresidue_SourceData.CropFractionRemoved_CustomisedData(), Table77[[#Headers],[Crop type c]], 0)</f>
        <v>0.01</v>
      </c>
      <c r="G147" s="8"/>
      <c r="H147" s="8"/>
      <c r="I147" s="8"/>
      <c r="J147" s="8"/>
      <c r="K147" s="8"/>
      <c r="L147" s="8"/>
    </row>
    <row r="148" spans="4:12" ht="20.100000000000001" customHeight="1" x14ac:dyDescent="0.25">
      <c r="D148" s="8" t="str" cm="1">
        <f t="array" ref="D148">Common_InputFunctions.Utility_DisplayArrayInTable(Agresidue_SourceData.CropFractionRemoved_CustomisedData(), Table77[[#Headers],[Crop type c]], 0)</f>
        <v>Wheat</v>
      </c>
      <c r="E148" t="str" cm="1">
        <f t="array" ref="E148">Common_InputFunctions.Utility_DisplayArrayInTable(Agresidue_SourceData.CropFractionRemoved_CustomisedData(), Table77[[#Headers],[Crop type c]], 0)</f>
        <v>ACT</v>
      </c>
      <c r="F148" cm="1">
        <f t="array" ref="F148">Common_InputFunctions.Utility_DisplayArrayInTable(Agresidue_SourceData.CropFractionRemoved_CustomisedData(), Table77[[#Headers],[Crop type c]], 0)</f>
        <v>0</v>
      </c>
      <c r="G148" s="8"/>
      <c r="H148" s="8"/>
      <c r="I148" s="8"/>
      <c r="J148" s="8"/>
      <c r="K148" s="8"/>
      <c r="L148" s="8"/>
    </row>
    <row r="149" spans="4:12" ht="20.100000000000001" customHeight="1" x14ac:dyDescent="0.25">
      <c r="D149" s="8" t="str" cm="1">
        <f t="array" ref="D149">Common_InputFunctions.Utility_DisplayArrayInTable(Agresidue_SourceData.CropFractionRemoved_CustomisedData(), Table77[[#Headers],[Crop type c]], 0)</f>
        <v>Barley</v>
      </c>
      <c r="E149" t="str" cm="1">
        <f t="array" ref="E149">Common_InputFunctions.Utility_DisplayArrayInTable(Agresidue_SourceData.CropFractionRemoved_CustomisedData(), Table77[[#Headers],[Crop type c]], 0)</f>
        <v>NSW</v>
      </c>
      <c r="F149" cm="1">
        <f t="array" ref="F149">Common_InputFunctions.Utility_DisplayArrayInTable(Agresidue_SourceData.CropFractionRemoved_CustomisedData(), Table77[[#Headers],[Crop type c]], 0)</f>
        <v>0.05</v>
      </c>
      <c r="G149" s="8"/>
      <c r="H149" s="8"/>
      <c r="I149" s="8"/>
      <c r="J149" s="8"/>
      <c r="K149" s="8"/>
      <c r="L149" s="8"/>
    </row>
    <row r="150" spans="4:12" ht="20.100000000000001" customHeight="1" x14ac:dyDescent="0.25">
      <c r="D150" s="8" t="str" cm="1">
        <f t="array" ref="D150">Common_InputFunctions.Utility_DisplayArrayInTable(Agresidue_SourceData.CropFractionRemoved_CustomisedData(), Table77[[#Headers],[Crop type c]], 0)</f>
        <v>Barley</v>
      </c>
      <c r="E150" t="str" cm="1">
        <f t="array" ref="E150">Common_InputFunctions.Utility_DisplayArrayInTable(Agresidue_SourceData.CropFractionRemoved_CustomisedData(), Table77[[#Headers],[Crop type c]], 0)</f>
        <v>VIC</v>
      </c>
      <c r="F150" cm="1">
        <f t="array" ref="F150">Common_InputFunctions.Utility_DisplayArrayInTable(Agresidue_SourceData.CropFractionRemoved_CustomisedData(), Table77[[#Headers],[Crop type c]], 0)</f>
        <v>7.0000000000000007E-2</v>
      </c>
      <c r="G150" s="8"/>
      <c r="H150" s="8"/>
      <c r="I150" s="8"/>
      <c r="J150" s="8"/>
      <c r="K150" s="8"/>
      <c r="L150" s="8"/>
    </row>
    <row r="151" spans="4:12" ht="20.100000000000001" customHeight="1" x14ac:dyDescent="0.25">
      <c r="D151" s="8" t="str" cm="1">
        <f t="array" ref="D151">Common_InputFunctions.Utility_DisplayArrayInTable(Agresidue_SourceData.CropFractionRemoved_CustomisedData(), Table77[[#Headers],[Crop type c]], 0)</f>
        <v>Barley</v>
      </c>
      <c r="E151" t="str" cm="1">
        <f t="array" ref="E151">Common_InputFunctions.Utility_DisplayArrayInTable(Agresidue_SourceData.CropFractionRemoved_CustomisedData(), Table77[[#Headers],[Crop type c]], 0)</f>
        <v>QLD</v>
      </c>
      <c r="F151" cm="1">
        <f t="array" ref="F151">Common_InputFunctions.Utility_DisplayArrayInTable(Agresidue_SourceData.CropFractionRemoved_CustomisedData(), Table77[[#Headers],[Crop type c]], 0)</f>
        <v>0.04</v>
      </c>
      <c r="G151" s="8"/>
      <c r="H151" s="8"/>
      <c r="I151" s="8"/>
      <c r="J151" s="8"/>
      <c r="K151" s="8"/>
      <c r="L151" s="8"/>
    </row>
    <row r="152" spans="4:12" ht="20.100000000000001" customHeight="1" x14ac:dyDescent="0.25">
      <c r="D152" s="8" t="str" cm="1">
        <f t="array" ref="D152">Common_InputFunctions.Utility_DisplayArrayInTable(Agresidue_SourceData.CropFractionRemoved_CustomisedData(), Table77[[#Headers],[Crop type c]], 0)</f>
        <v>Barley</v>
      </c>
      <c r="E152" t="str" cm="1">
        <f t="array" ref="E152">Common_InputFunctions.Utility_DisplayArrayInTable(Agresidue_SourceData.CropFractionRemoved_CustomisedData(), Table77[[#Headers],[Crop type c]], 0)</f>
        <v>SA</v>
      </c>
      <c r="F152" cm="1">
        <f t="array" ref="F152">Common_InputFunctions.Utility_DisplayArrayInTable(Agresidue_SourceData.CropFractionRemoved_CustomisedData(), Table77[[#Headers],[Crop type c]], 0)</f>
        <v>0.09</v>
      </c>
      <c r="G152" s="8"/>
      <c r="H152" s="8"/>
      <c r="I152" s="8"/>
      <c r="J152" s="8"/>
      <c r="K152" s="8"/>
      <c r="L152" s="8"/>
    </row>
    <row r="153" spans="4:12" ht="20.100000000000001" customHeight="1" x14ac:dyDescent="0.25">
      <c r="D153" s="8" t="str" cm="1">
        <f t="array" ref="D153">Common_InputFunctions.Utility_DisplayArrayInTable(Agresidue_SourceData.CropFractionRemoved_CustomisedData(), Table77[[#Headers],[Crop type c]], 0)</f>
        <v>Barley</v>
      </c>
      <c r="E153" t="str" cm="1">
        <f t="array" ref="E153">Common_InputFunctions.Utility_DisplayArrayInTable(Agresidue_SourceData.CropFractionRemoved_CustomisedData(), Table77[[#Headers],[Crop type c]], 0)</f>
        <v>WA</v>
      </c>
      <c r="F153" cm="1">
        <f t="array" ref="F153">Common_InputFunctions.Utility_DisplayArrayInTable(Agresidue_SourceData.CropFractionRemoved_CustomisedData(), Table77[[#Headers],[Crop type c]], 0)</f>
        <v>0.11</v>
      </c>
      <c r="G153" s="8"/>
      <c r="H153" s="8"/>
      <c r="I153" s="8"/>
      <c r="J153" s="8"/>
      <c r="K153" s="8"/>
      <c r="L153" s="8"/>
    </row>
    <row r="154" spans="4:12" ht="20.100000000000001" customHeight="1" x14ac:dyDescent="0.25">
      <c r="D154" s="8" t="str" cm="1">
        <f t="array" ref="D154">Common_InputFunctions.Utility_DisplayArrayInTable(Agresidue_SourceData.CropFractionRemoved_CustomisedData(), Table77[[#Headers],[Crop type c]], 0)</f>
        <v>Barley</v>
      </c>
      <c r="E154" t="str" cm="1">
        <f t="array" ref="E154">Common_InputFunctions.Utility_DisplayArrayInTable(Agresidue_SourceData.CropFractionRemoved_CustomisedData(), Table77[[#Headers],[Crop type c]], 0)</f>
        <v>TAS</v>
      </c>
      <c r="F154" cm="1">
        <f t="array" ref="F154">Common_InputFunctions.Utility_DisplayArrayInTable(Agresidue_SourceData.CropFractionRemoved_CustomisedData(), Table77[[#Headers],[Crop type c]], 0)</f>
        <v>0.16</v>
      </c>
      <c r="G154" s="8"/>
      <c r="H154" s="8"/>
      <c r="I154" s="8"/>
      <c r="J154" s="8"/>
      <c r="K154" s="8"/>
      <c r="L154" s="8"/>
    </row>
    <row r="155" spans="4:12" ht="20.100000000000001" customHeight="1" x14ac:dyDescent="0.25">
      <c r="D155" s="8" t="str" cm="1">
        <f t="array" ref="D155">Common_InputFunctions.Utility_DisplayArrayInTable(Agresidue_SourceData.CropFractionRemoved_CustomisedData(), Table77[[#Headers],[Crop type c]], 0)</f>
        <v>Barley</v>
      </c>
      <c r="E155" t="str" cm="1">
        <f t="array" ref="E155">Common_InputFunctions.Utility_DisplayArrayInTable(Agresidue_SourceData.CropFractionRemoved_CustomisedData(), Table77[[#Headers],[Crop type c]], 0)</f>
        <v>NT</v>
      </c>
      <c r="F155" cm="1">
        <f t="array" ref="F155">Common_InputFunctions.Utility_DisplayArrayInTable(Agresidue_SourceData.CropFractionRemoved_CustomisedData(), Table77[[#Headers],[Crop type c]], 0)</f>
        <v>0.01</v>
      </c>
      <c r="G155" s="8"/>
      <c r="H155" s="8"/>
      <c r="I155" s="8"/>
      <c r="J155" s="8"/>
      <c r="K155" s="8"/>
      <c r="L155" s="8"/>
    </row>
    <row r="156" spans="4:12" ht="20.100000000000001" customHeight="1" x14ac:dyDescent="0.25">
      <c r="D156" s="8" t="str" cm="1">
        <f t="array" ref="D156">Common_InputFunctions.Utility_DisplayArrayInTable(Agresidue_SourceData.CropFractionRemoved_CustomisedData(), Table77[[#Headers],[Crop type c]], 0)</f>
        <v>Barley</v>
      </c>
      <c r="E156" t="str" cm="1">
        <f t="array" ref="E156">Common_InputFunctions.Utility_DisplayArrayInTable(Agresidue_SourceData.CropFractionRemoved_CustomisedData(), Table77[[#Headers],[Crop type c]], 0)</f>
        <v>ACT</v>
      </c>
      <c r="F156" cm="1">
        <f t="array" ref="F156">Common_InputFunctions.Utility_DisplayArrayInTable(Agresidue_SourceData.CropFractionRemoved_CustomisedData(), Table77[[#Headers],[Crop type c]], 0)</f>
        <v>0</v>
      </c>
      <c r="G156" s="8"/>
      <c r="H156" s="8"/>
      <c r="I156" s="8"/>
      <c r="J156" s="8"/>
      <c r="K156" s="8"/>
      <c r="L156" s="8"/>
    </row>
    <row r="157" spans="4:12" ht="20.100000000000001" customHeight="1" x14ac:dyDescent="0.25">
      <c r="D157" s="8" t="str" cm="1">
        <f t="array" ref="D157">Common_InputFunctions.Utility_DisplayArrayInTable(Agresidue_SourceData.CropFractionRemoved_CustomisedData(), Table77[[#Headers],[Crop type c]], 0)</f>
        <v>Maize</v>
      </c>
      <c r="E157" t="str" cm="1">
        <f t="array" ref="E157">Common_InputFunctions.Utility_DisplayArrayInTable(Agresidue_SourceData.CropFractionRemoved_CustomisedData(), Table77[[#Headers],[Crop type c]], 0)</f>
        <v>NSW</v>
      </c>
      <c r="F157" cm="1">
        <f t="array" ref="F157">Common_InputFunctions.Utility_DisplayArrayInTable(Agresidue_SourceData.CropFractionRemoved_CustomisedData(), Table77[[#Headers],[Crop type c]], 0)</f>
        <v>0.05</v>
      </c>
      <c r="G157" s="8"/>
      <c r="H157" s="8"/>
      <c r="I157" s="8"/>
      <c r="J157" s="8"/>
      <c r="K157" s="8"/>
      <c r="L157" s="8"/>
    </row>
    <row r="158" spans="4:12" ht="20.100000000000001" customHeight="1" x14ac:dyDescent="0.25">
      <c r="D158" s="8" t="str" cm="1">
        <f t="array" ref="D158">Common_InputFunctions.Utility_DisplayArrayInTable(Agresidue_SourceData.CropFractionRemoved_CustomisedData(), Table77[[#Headers],[Crop type c]], 0)</f>
        <v>Maize</v>
      </c>
      <c r="E158" t="str" cm="1">
        <f t="array" ref="E158">Common_InputFunctions.Utility_DisplayArrayInTable(Agresidue_SourceData.CropFractionRemoved_CustomisedData(), Table77[[#Headers],[Crop type c]], 0)</f>
        <v>VIC</v>
      </c>
      <c r="F158" cm="1">
        <f t="array" ref="F158">Common_InputFunctions.Utility_DisplayArrayInTable(Agresidue_SourceData.CropFractionRemoved_CustomisedData(), Table77[[#Headers],[Crop type c]], 0)</f>
        <v>7.0000000000000007E-2</v>
      </c>
      <c r="G158" s="8"/>
      <c r="H158" s="8"/>
      <c r="I158" s="8"/>
      <c r="J158" s="8"/>
      <c r="K158" s="8"/>
      <c r="L158" s="8"/>
    </row>
    <row r="159" spans="4:12" ht="20.100000000000001" customHeight="1" x14ac:dyDescent="0.25">
      <c r="D159" s="8" t="str" cm="1">
        <f t="array" ref="D159">Common_InputFunctions.Utility_DisplayArrayInTable(Agresidue_SourceData.CropFractionRemoved_CustomisedData(), Table77[[#Headers],[Crop type c]], 0)</f>
        <v>Maize</v>
      </c>
      <c r="E159" t="str" cm="1">
        <f t="array" ref="E159">Common_InputFunctions.Utility_DisplayArrayInTable(Agresidue_SourceData.CropFractionRemoved_CustomisedData(), Table77[[#Headers],[Crop type c]], 0)</f>
        <v>QLD</v>
      </c>
      <c r="F159" cm="1">
        <f t="array" ref="F159">Common_InputFunctions.Utility_DisplayArrayInTable(Agresidue_SourceData.CropFractionRemoved_CustomisedData(), Table77[[#Headers],[Crop type c]], 0)</f>
        <v>0.04</v>
      </c>
      <c r="G159" s="8"/>
      <c r="H159" s="8"/>
      <c r="I159" s="8"/>
      <c r="J159" s="8"/>
      <c r="K159" s="8"/>
      <c r="L159" s="8"/>
    </row>
    <row r="160" spans="4:12" ht="20.100000000000001" customHeight="1" x14ac:dyDescent="0.25">
      <c r="D160" s="8" t="str" cm="1">
        <f t="array" ref="D160">Common_InputFunctions.Utility_DisplayArrayInTable(Agresidue_SourceData.CropFractionRemoved_CustomisedData(), Table77[[#Headers],[Crop type c]], 0)</f>
        <v>Maize</v>
      </c>
      <c r="E160" t="str" cm="1">
        <f t="array" ref="E160">Common_InputFunctions.Utility_DisplayArrayInTable(Agresidue_SourceData.CropFractionRemoved_CustomisedData(), Table77[[#Headers],[Crop type c]], 0)</f>
        <v>SA</v>
      </c>
      <c r="F160" cm="1">
        <f t="array" ref="F160">Common_InputFunctions.Utility_DisplayArrayInTable(Agresidue_SourceData.CropFractionRemoved_CustomisedData(), Table77[[#Headers],[Crop type c]], 0)</f>
        <v>0.09</v>
      </c>
      <c r="G160" s="8"/>
      <c r="H160" s="8"/>
      <c r="I160" s="8"/>
      <c r="J160" s="8"/>
      <c r="K160" s="8"/>
      <c r="L160" s="8"/>
    </row>
    <row r="161" spans="4:12" ht="20.100000000000001" customHeight="1" x14ac:dyDescent="0.25">
      <c r="D161" s="8" t="str" cm="1">
        <f t="array" ref="D161">Common_InputFunctions.Utility_DisplayArrayInTable(Agresidue_SourceData.CropFractionRemoved_CustomisedData(), Table77[[#Headers],[Crop type c]], 0)</f>
        <v>Maize</v>
      </c>
      <c r="E161" t="str" cm="1">
        <f t="array" ref="E161">Common_InputFunctions.Utility_DisplayArrayInTable(Agresidue_SourceData.CropFractionRemoved_CustomisedData(), Table77[[#Headers],[Crop type c]], 0)</f>
        <v>WA</v>
      </c>
      <c r="F161" cm="1">
        <f t="array" ref="F161">Common_InputFunctions.Utility_DisplayArrayInTable(Agresidue_SourceData.CropFractionRemoved_CustomisedData(), Table77[[#Headers],[Crop type c]], 0)</f>
        <v>0.11</v>
      </c>
      <c r="G161" s="8"/>
      <c r="H161" s="8"/>
      <c r="I161" s="8"/>
      <c r="J161" s="8"/>
      <c r="K161" s="8"/>
      <c r="L161" s="8"/>
    </row>
    <row r="162" spans="4:12" ht="20.100000000000001" customHeight="1" x14ac:dyDescent="0.25">
      <c r="D162" s="8" t="str" cm="1">
        <f t="array" ref="D162">Common_InputFunctions.Utility_DisplayArrayInTable(Agresidue_SourceData.CropFractionRemoved_CustomisedData(), Table77[[#Headers],[Crop type c]], 0)</f>
        <v>Maize</v>
      </c>
      <c r="E162" t="str" cm="1">
        <f t="array" ref="E162">Common_InputFunctions.Utility_DisplayArrayInTable(Agresidue_SourceData.CropFractionRemoved_CustomisedData(), Table77[[#Headers],[Crop type c]], 0)</f>
        <v>TAS</v>
      </c>
      <c r="F162" cm="1">
        <f t="array" ref="F162">Common_InputFunctions.Utility_DisplayArrayInTable(Agresidue_SourceData.CropFractionRemoved_CustomisedData(), Table77[[#Headers],[Crop type c]], 0)</f>
        <v>0.16</v>
      </c>
      <c r="G162" s="8"/>
      <c r="H162" s="8"/>
      <c r="I162" s="8"/>
      <c r="J162" s="8"/>
      <c r="K162" s="8"/>
      <c r="L162" s="8"/>
    </row>
    <row r="163" spans="4:12" ht="20.100000000000001" customHeight="1" x14ac:dyDescent="0.25">
      <c r="D163" s="8" t="str" cm="1">
        <f t="array" ref="D163">Common_InputFunctions.Utility_DisplayArrayInTable(Agresidue_SourceData.CropFractionRemoved_CustomisedData(), Table77[[#Headers],[Crop type c]], 0)</f>
        <v>Maize</v>
      </c>
      <c r="E163" t="str" cm="1">
        <f t="array" ref="E163">Common_InputFunctions.Utility_DisplayArrayInTable(Agresidue_SourceData.CropFractionRemoved_CustomisedData(), Table77[[#Headers],[Crop type c]], 0)</f>
        <v>NT</v>
      </c>
      <c r="F163" cm="1">
        <f t="array" ref="F163">Common_InputFunctions.Utility_DisplayArrayInTable(Agresidue_SourceData.CropFractionRemoved_CustomisedData(), Table77[[#Headers],[Crop type c]], 0)</f>
        <v>0.01</v>
      </c>
      <c r="G163" s="8"/>
      <c r="H163" s="8"/>
      <c r="I163" s="8"/>
      <c r="J163" s="8"/>
      <c r="K163" s="8"/>
      <c r="L163" s="8"/>
    </row>
    <row r="164" spans="4:12" ht="20.100000000000001" customHeight="1" x14ac:dyDescent="0.25">
      <c r="D164" s="8" t="str" cm="1">
        <f t="array" ref="D164">Common_InputFunctions.Utility_DisplayArrayInTable(Agresidue_SourceData.CropFractionRemoved_CustomisedData(), Table77[[#Headers],[Crop type c]], 0)</f>
        <v>Maize</v>
      </c>
      <c r="E164" t="str" cm="1">
        <f t="array" ref="E164">Common_InputFunctions.Utility_DisplayArrayInTable(Agresidue_SourceData.CropFractionRemoved_CustomisedData(), Table77[[#Headers],[Crop type c]], 0)</f>
        <v>ACT</v>
      </c>
      <c r="F164" cm="1">
        <f t="array" ref="F164">Common_InputFunctions.Utility_DisplayArrayInTable(Agresidue_SourceData.CropFractionRemoved_CustomisedData(), Table77[[#Headers],[Crop type c]], 0)</f>
        <v>0</v>
      </c>
      <c r="G164" s="8"/>
      <c r="H164" s="8"/>
      <c r="I164" s="8"/>
      <c r="J164" s="8"/>
      <c r="K164" s="8"/>
      <c r="L164" s="8"/>
    </row>
    <row r="165" spans="4:12" ht="20.100000000000001" customHeight="1" x14ac:dyDescent="0.25">
      <c r="D165" s="8" t="str" cm="1">
        <f t="array" ref="D165">Common_InputFunctions.Utility_DisplayArrayInTable(Agresidue_SourceData.CropFractionRemoved_CustomisedData(), Table77[[#Headers],[Crop type c]], 0)</f>
        <v>Oats</v>
      </c>
      <c r="E165" t="str" cm="1">
        <f t="array" ref="E165">Common_InputFunctions.Utility_DisplayArrayInTable(Agresidue_SourceData.CropFractionRemoved_CustomisedData(), Table77[[#Headers],[Crop type c]], 0)</f>
        <v>NSW</v>
      </c>
      <c r="F165" cm="1">
        <f t="array" ref="F165">Common_InputFunctions.Utility_DisplayArrayInTable(Agresidue_SourceData.CropFractionRemoved_CustomisedData(), Table77[[#Headers],[Crop type c]], 0)</f>
        <v>0.05</v>
      </c>
      <c r="G165" s="8"/>
      <c r="H165" s="8"/>
      <c r="I165" s="8"/>
      <c r="J165" s="8"/>
      <c r="K165" s="8"/>
      <c r="L165" s="8"/>
    </row>
    <row r="166" spans="4:12" x14ac:dyDescent="0.25">
      <c r="D166" s="8" t="str" cm="1">
        <f t="array" ref="D166">Common_InputFunctions.Utility_DisplayArrayInTable(Agresidue_SourceData.CropFractionRemoved_CustomisedData(), Table77[[#Headers],[Crop type c]], 0)</f>
        <v>Oats</v>
      </c>
      <c r="E166" t="str" cm="1">
        <f t="array" ref="E166">Common_InputFunctions.Utility_DisplayArrayInTable(Agresidue_SourceData.CropFractionRemoved_CustomisedData(), Table77[[#Headers],[Crop type c]], 0)</f>
        <v>VIC</v>
      </c>
      <c r="F166" cm="1">
        <f t="array" ref="F166">Common_InputFunctions.Utility_DisplayArrayInTable(Agresidue_SourceData.CropFractionRemoved_CustomisedData(), Table77[[#Headers],[Crop type c]], 0)</f>
        <v>7.0000000000000007E-2</v>
      </c>
      <c r="G166" s="8"/>
      <c r="H166" s="8"/>
      <c r="I166" s="8"/>
      <c r="J166" s="8"/>
      <c r="K166" s="8"/>
      <c r="L166" s="8"/>
    </row>
    <row r="167" spans="4:12" x14ac:dyDescent="0.25">
      <c r="D167" s="8" t="str" cm="1">
        <f t="array" ref="D167">Common_InputFunctions.Utility_DisplayArrayInTable(Agresidue_SourceData.CropFractionRemoved_CustomisedData(), Table77[[#Headers],[Crop type c]], 0)</f>
        <v>Oats</v>
      </c>
      <c r="E167" t="str" cm="1">
        <f t="array" ref="E167">Common_InputFunctions.Utility_DisplayArrayInTable(Agresidue_SourceData.CropFractionRemoved_CustomisedData(), Table77[[#Headers],[Crop type c]], 0)</f>
        <v>QLD</v>
      </c>
      <c r="F167" cm="1">
        <f t="array" ref="F167">Common_InputFunctions.Utility_DisplayArrayInTable(Agresidue_SourceData.CropFractionRemoved_CustomisedData(), Table77[[#Headers],[Crop type c]], 0)</f>
        <v>0.04</v>
      </c>
      <c r="G167" s="8"/>
      <c r="H167" s="8"/>
      <c r="I167" s="8"/>
      <c r="J167" s="8"/>
      <c r="K167" s="8"/>
      <c r="L167" s="8"/>
    </row>
    <row r="168" spans="4:12" x14ac:dyDescent="0.25">
      <c r="D168" s="8" t="str" cm="1">
        <f t="array" ref="D168">Common_InputFunctions.Utility_DisplayArrayInTable(Agresidue_SourceData.CropFractionRemoved_CustomisedData(), Table77[[#Headers],[Crop type c]], 0)</f>
        <v>Oats</v>
      </c>
      <c r="E168" t="str" cm="1">
        <f t="array" ref="E168">Common_InputFunctions.Utility_DisplayArrayInTable(Agresidue_SourceData.CropFractionRemoved_CustomisedData(), Table77[[#Headers],[Crop type c]], 0)</f>
        <v>SA</v>
      </c>
      <c r="F168" cm="1">
        <f t="array" ref="F168">Common_InputFunctions.Utility_DisplayArrayInTable(Agresidue_SourceData.CropFractionRemoved_CustomisedData(), Table77[[#Headers],[Crop type c]], 0)</f>
        <v>0.09</v>
      </c>
      <c r="G168" s="8"/>
      <c r="H168" s="8"/>
      <c r="I168" s="8"/>
      <c r="J168" s="8"/>
      <c r="K168" s="8"/>
      <c r="L168" s="8"/>
    </row>
    <row r="169" spans="4:12" x14ac:dyDescent="0.25">
      <c r="D169" s="8" t="str" cm="1">
        <f t="array" ref="D169">Common_InputFunctions.Utility_DisplayArrayInTable(Agresidue_SourceData.CropFractionRemoved_CustomisedData(), Table77[[#Headers],[Crop type c]], 0)</f>
        <v>Oats</v>
      </c>
      <c r="E169" t="str" cm="1">
        <f t="array" ref="E169">Common_InputFunctions.Utility_DisplayArrayInTable(Agresidue_SourceData.CropFractionRemoved_CustomisedData(), Table77[[#Headers],[Crop type c]], 0)</f>
        <v>WA</v>
      </c>
      <c r="F169" cm="1">
        <f t="array" ref="F169">Common_InputFunctions.Utility_DisplayArrayInTable(Agresidue_SourceData.CropFractionRemoved_CustomisedData(), Table77[[#Headers],[Crop type c]], 0)</f>
        <v>0.11</v>
      </c>
      <c r="G169" s="8"/>
      <c r="H169" s="8"/>
      <c r="I169" s="8"/>
      <c r="J169" s="8"/>
      <c r="K169" s="8"/>
      <c r="L169" s="8"/>
    </row>
    <row r="170" spans="4:12" x14ac:dyDescent="0.25">
      <c r="D170" s="8" t="str" cm="1">
        <f t="array" ref="D170">Common_InputFunctions.Utility_DisplayArrayInTable(Agresidue_SourceData.CropFractionRemoved_CustomisedData(), Table77[[#Headers],[Crop type c]], 0)</f>
        <v>Oats</v>
      </c>
      <c r="E170" t="str" cm="1">
        <f t="array" ref="E170">Common_InputFunctions.Utility_DisplayArrayInTable(Agresidue_SourceData.CropFractionRemoved_CustomisedData(), Table77[[#Headers],[Crop type c]], 0)</f>
        <v>TAS</v>
      </c>
      <c r="F170" cm="1">
        <f t="array" ref="F170">Common_InputFunctions.Utility_DisplayArrayInTable(Agresidue_SourceData.CropFractionRemoved_CustomisedData(), Table77[[#Headers],[Crop type c]], 0)</f>
        <v>0.16</v>
      </c>
      <c r="G170" s="8"/>
      <c r="H170" s="8"/>
      <c r="I170" s="8"/>
      <c r="J170" s="8"/>
      <c r="K170" s="8"/>
      <c r="L170" s="8"/>
    </row>
    <row r="171" spans="4:12" x14ac:dyDescent="0.25">
      <c r="D171" s="8" t="str" cm="1">
        <f t="array" ref="D171">Common_InputFunctions.Utility_DisplayArrayInTable(Agresidue_SourceData.CropFractionRemoved_CustomisedData(), Table77[[#Headers],[Crop type c]], 0)</f>
        <v>Oats</v>
      </c>
      <c r="E171" t="str" cm="1">
        <f t="array" ref="E171">Common_InputFunctions.Utility_DisplayArrayInTable(Agresidue_SourceData.CropFractionRemoved_CustomisedData(), Table77[[#Headers],[Crop type c]], 0)</f>
        <v>NT</v>
      </c>
      <c r="F171" cm="1">
        <f t="array" ref="F171">Common_InputFunctions.Utility_DisplayArrayInTable(Agresidue_SourceData.CropFractionRemoved_CustomisedData(), Table77[[#Headers],[Crop type c]], 0)</f>
        <v>0.01</v>
      </c>
      <c r="G171" s="8"/>
      <c r="H171" s="8"/>
      <c r="I171" s="8"/>
      <c r="J171" s="8"/>
      <c r="K171" s="8"/>
      <c r="L171" s="8"/>
    </row>
    <row r="172" spans="4:12" x14ac:dyDescent="0.25">
      <c r="D172" s="8" t="str" cm="1">
        <f t="array" ref="D172">Common_InputFunctions.Utility_DisplayArrayInTable(Agresidue_SourceData.CropFractionRemoved_CustomisedData(), Table77[[#Headers],[Crop type c]], 0)</f>
        <v>Oats</v>
      </c>
      <c r="E172" t="str" cm="1">
        <f t="array" ref="E172">Common_InputFunctions.Utility_DisplayArrayInTable(Agresidue_SourceData.CropFractionRemoved_CustomisedData(), Table77[[#Headers],[Crop type c]], 0)</f>
        <v>ACT</v>
      </c>
      <c r="F172" cm="1">
        <f t="array" ref="F172">Common_InputFunctions.Utility_DisplayArrayInTable(Agresidue_SourceData.CropFractionRemoved_CustomisedData(), Table77[[#Headers],[Crop type c]], 0)</f>
        <v>0</v>
      </c>
      <c r="G172" s="8"/>
      <c r="H172" s="8"/>
      <c r="I172" s="8"/>
      <c r="J172" s="8"/>
      <c r="K172" s="8"/>
      <c r="L172" s="8"/>
    </row>
    <row r="173" spans="4:12" x14ac:dyDescent="0.25">
      <c r="D173" s="8" t="str" cm="1">
        <f t="array" ref="D173">Common_InputFunctions.Utility_DisplayArrayInTable(Agresidue_SourceData.CropFractionRemoved_CustomisedData(), Table77[[#Headers],[Crop type c]], 0)</f>
        <v>Sorghum</v>
      </c>
      <c r="E173" t="str" cm="1">
        <f t="array" ref="E173">Common_InputFunctions.Utility_DisplayArrayInTable(Agresidue_SourceData.CropFractionRemoved_CustomisedData(), Table77[[#Headers],[Crop type c]], 0)</f>
        <v>NSW</v>
      </c>
      <c r="F173" cm="1">
        <f t="array" ref="F173">Common_InputFunctions.Utility_DisplayArrayInTable(Agresidue_SourceData.CropFractionRemoved_CustomisedData(), Table77[[#Headers],[Crop type c]], 0)</f>
        <v>0.05</v>
      </c>
      <c r="G173" s="8"/>
      <c r="H173" s="8"/>
      <c r="I173" s="8"/>
      <c r="J173" s="8"/>
      <c r="K173" s="8"/>
      <c r="L173" s="8"/>
    </row>
    <row r="174" spans="4:12" x14ac:dyDescent="0.25">
      <c r="D174" s="8" t="str" cm="1">
        <f t="array" ref="D174">Common_InputFunctions.Utility_DisplayArrayInTable(Agresidue_SourceData.CropFractionRemoved_CustomisedData(), Table77[[#Headers],[Crop type c]], 0)</f>
        <v>Sorghum</v>
      </c>
      <c r="E174" t="str" cm="1">
        <f t="array" ref="E174">Common_InputFunctions.Utility_DisplayArrayInTable(Agresidue_SourceData.CropFractionRemoved_CustomisedData(), Table77[[#Headers],[Crop type c]], 0)</f>
        <v>VIC</v>
      </c>
      <c r="F174" cm="1">
        <f t="array" ref="F174">Common_InputFunctions.Utility_DisplayArrayInTable(Agresidue_SourceData.CropFractionRemoved_CustomisedData(), Table77[[#Headers],[Crop type c]], 0)</f>
        <v>7.0000000000000007E-2</v>
      </c>
      <c r="G174" s="8"/>
      <c r="H174" s="8"/>
      <c r="I174" s="8"/>
      <c r="J174" s="8"/>
      <c r="K174" s="8"/>
      <c r="L174" s="8"/>
    </row>
    <row r="175" spans="4:12" x14ac:dyDescent="0.25">
      <c r="D175" s="8" t="str" cm="1">
        <f t="array" ref="D175">Common_InputFunctions.Utility_DisplayArrayInTable(Agresidue_SourceData.CropFractionRemoved_CustomisedData(), Table77[[#Headers],[Crop type c]], 0)</f>
        <v>Sorghum</v>
      </c>
      <c r="E175" t="str" cm="1">
        <f t="array" ref="E175">Common_InputFunctions.Utility_DisplayArrayInTable(Agresidue_SourceData.CropFractionRemoved_CustomisedData(), Table77[[#Headers],[Crop type c]], 0)</f>
        <v>QLD</v>
      </c>
      <c r="F175" cm="1">
        <f t="array" ref="F175">Common_InputFunctions.Utility_DisplayArrayInTable(Agresidue_SourceData.CropFractionRemoved_CustomisedData(), Table77[[#Headers],[Crop type c]], 0)</f>
        <v>0.04</v>
      </c>
      <c r="G175" s="8"/>
      <c r="H175" s="8"/>
      <c r="I175" s="8"/>
      <c r="J175" s="8"/>
      <c r="K175" s="8"/>
      <c r="L175" s="8"/>
    </row>
    <row r="176" spans="4:12" x14ac:dyDescent="0.25">
      <c r="D176" s="8" t="str" cm="1">
        <f t="array" ref="D176">Common_InputFunctions.Utility_DisplayArrayInTable(Agresidue_SourceData.CropFractionRemoved_CustomisedData(), Table77[[#Headers],[Crop type c]], 0)</f>
        <v>Sorghum</v>
      </c>
      <c r="E176" t="str" cm="1">
        <f t="array" ref="E176">Common_InputFunctions.Utility_DisplayArrayInTable(Agresidue_SourceData.CropFractionRemoved_CustomisedData(), Table77[[#Headers],[Crop type c]], 0)</f>
        <v>SA</v>
      </c>
      <c r="F176" cm="1">
        <f t="array" ref="F176">Common_InputFunctions.Utility_DisplayArrayInTable(Agresidue_SourceData.CropFractionRemoved_CustomisedData(), Table77[[#Headers],[Crop type c]], 0)</f>
        <v>0.09</v>
      </c>
      <c r="G176" s="8"/>
      <c r="H176" s="8"/>
      <c r="I176" s="8"/>
      <c r="J176" s="8"/>
      <c r="K176" s="8"/>
      <c r="L176" s="8"/>
    </row>
    <row r="177" spans="4:12" x14ac:dyDescent="0.25">
      <c r="D177" s="8" t="str" cm="1">
        <f t="array" ref="D177">Common_InputFunctions.Utility_DisplayArrayInTable(Agresidue_SourceData.CropFractionRemoved_CustomisedData(), Table77[[#Headers],[Crop type c]], 0)</f>
        <v>Sorghum</v>
      </c>
      <c r="E177" t="str" cm="1">
        <f t="array" ref="E177">Common_InputFunctions.Utility_DisplayArrayInTable(Agresidue_SourceData.CropFractionRemoved_CustomisedData(), Table77[[#Headers],[Crop type c]], 0)</f>
        <v>WA</v>
      </c>
      <c r="F177" cm="1">
        <f t="array" ref="F177">Common_InputFunctions.Utility_DisplayArrayInTable(Agresidue_SourceData.CropFractionRemoved_CustomisedData(), Table77[[#Headers],[Crop type c]], 0)</f>
        <v>0.11</v>
      </c>
      <c r="G177" s="8"/>
      <c r="H177" s="8"/>
      <c r="I177" s="8"/>
      <c r="J177" s="8"/>
      <c r="K177" s="8"/>
      <c r="L177" s="8"/>
    </row>
    <row r="178" spans="4:12" x14ac:dyDescent="0.25">
      <c r="D178" s="8" t="str" cm="1">
        <f t="array" ref="D178">Common_InputFunctions.Utility_DisplayArrayInTable(Agresidue_SourceData.CropFractionRemoved_CustomisedData(), Table77[[#Headers],[Crop type c]], 0)</f>
        <v>Sorghum</v>
      </c>
      <c r="E178" t="str" cm="1">
        <f t="array" ref="E178">Common_InputFunctions.Utility_DisplayArrayInTable(Agresidue_SourceData.CropFractionRemoved_CustomisedData(), Table77[[#Headers],[Crop type c]], 0)</f>
        <v>TAS</v>
      </c>
      <c r="F178" cm="1">
        <f t="array" ref="F178">Common_InputFunctions.Utility_DisplayArrayInTable(Agresidue_SourceData.CropFractionRemoved_CustomisedData(), Table77[[#Headers],[Crop type c]], 0)</f>
        <v>0.16</v>
      </c>
      <c r="G178" s="8"/>
      <c r="H178" s="8"/>
      <c r="I178" s="8"/>
      <c r="J178" s="8"/>
      <c r="K178" s="8"/>
      <c r="L178" s="8"/>
    </row>
    <row r="179" spans="4:12" x14ac:dyDescent="0.25">
      <c r="D179" s="8" t="str" cm="1">
        <f t="array" ref="D179">Common_InputFunctions.Utility_DisplayArrayInTable(Agresidue_SourceData.CropFractionRemoved_CustomisedData(), Table77[[#Headers],[Crop type c]], 0)</f>
        <v>Sorghum</v>
      </c>
      <c r="E179" t="str" cm="1">
        <f t="array" ref="E179">Common_InputFunctions.Utility_DisplayArrayInTable(Agresidue_SourceData.CropFractionRemoved_CustomisedData(), Table77[[#Headers],[Crop type c]], 0)</f>
        <v>NT</v>
      </c>
      <c r="F179" cm="1">
        <f t="array" ref="F179">Common_InputFunctions.Utility_DisplayArrayInTable(Agresidue_SourceData.CropFractionRemoved_CustomisedData(), Table77[[#Headers],[Crop type c]], 0)</f>
        <v>0.01</v>
      </c>
      <c r="G179" s="8"/>
      <c r="H179" s="8"/>
      <c r="I179" s="8"/>
      <c r="J179" s="8"/>
      <c r="K179" s="8"/>
      <c r="L179" s="8"/>
    </row>
    <row r="180" spans="4:12" x14ac:dyDescent="0.25">
      <c r="D180" s="8" t="str" cm="1">
        <f t="array" ref="D180">Common_InputFunctions.Utility_DisplayArrayInTable(Agresidue_SourceData.CropFractionRemoved_CustomisedData(), Table77[[#Headers],[Crop type c]], 0)</f>
        <v>Sorghum</v>
      </c>
      <c r="E180" t="str" cm="1">
        <f t="array" ref="E180">Common_InputFunctions.Utility_DisplayArrayInTable(Agresidue_SourceData.CropFractionRemoved_CustomisedData(), Table77[[#Headers],[Crop type c]], 0)</f>
        <v>ACT</v>
      </c>
      <c r="F180" cm="1">
        <f t="array" ref="F180">Common_InputFunctions.Utility_DisplayArrayInTable(Agresidue_SourceData.CropFractionRemoved_CustomisedData(), Table77[[#Headers],[Crop type c]], 0)</f>
        <v>0</v>
      </c>
      <c r="G180" s="8"/>
      <c r="H180" s="8"/>
      <c r="I180" s="8"/>
      <c r="J180" s="8"/>
      <c r="K180" s="8"/>
      <c r="L180" s="8"/>
    </row>
    <row r="181" spans="4:12" x14ac:dyDescent="0.25">
      <c r="D181" s="8" t="str" cm="1">
        <f t="array" ref="D181">Common_InputFunctions.Utility_DisplayArrayInTable(Agresidue_SourceData.CropFractionRemoved_CustomisedData(), Table77[[#Headers],[Crop type c]], 0)</f>
        <v>Triticale</v>
      </c>
      <c r="E181" t="str" cm="1">
        <f t="array" ref="E181">Common_InputFunctions.Utility_DisplayArrayInTable(Agresidue_SourceData.CropFractionRemoved_CustomisedData(), Table77[[#Headers],[Crop type c]], 0)</f>
        <v>NSW</v>
      </c>
      <c r="F181" cm="1">
        <f t="array" ref="F181">Common_InputFunctions.Utility_DisplayArrayInTable(Agresidue_SourceData.CropFractionRemoved_CustomisedData(), Table77[[#Headers],[Crop type c]], 0)</f>
        <v>0.05</v>
      </c>
      <c r="G181" s="8"/>
      <c r="H181" s="8"/>
      <c r="I181" s="8"/>
      <c r="J181" s="8"/>
      <c r="K181" s="8"/>
      <c r="L181" s="8"/>
    </row>
    <row r="182" spans="4:12" x14ac:dyDescent="0.25">
      <c r="D182" s="8" t="str" cm="1">
        <f t="array" ref="D182">Common_InputFunctions.Utility_DisplayArrayInTable(Agresidue_SourceData.CropFractionRemoved_CustomisedData(), Table77[[#Headers],[Crop type c]], 0)</f>
        <v>Triticale</v>
      </c>
      <c r="E182" t="str" cm="1">
        <f t="array" ref="E182">Common_InputFunctions.Utility_DisplayArrayInTable(Agresidue_SourceData.CropFractionRemoved_CustomisedData(), Table77[[#Headers],[Crop type c]], 0)</f>
        <v>VIC</v>
      </c>
      <c r="F182" cm="1">
        <f t="array" ref="F182">Common_InputFunctions.Utility_DisplayArrayInTable(Agresidue_SourceData.CropFractionRemoved_CustomisedData(), Table77[[#Headers],[Crop type c]], 0)</f>
        <v>7.0000000000000007E-2</v>
      </c>
      <c r="G182" s="8"/>
      <c r="H182" s="8"/>
      <c r="I182" s="8"/>
      <c r="J182" s="8"/>
      <c r="K182" s="8"/>
      <c r="L182" s="8"/>
    </row>
    <row r="183" spans="4:12" x14ac:dyDescent="0.25">
      <c r="D183" s="8" t="str" cm="1">
        <f t="array" ref="D183">Common_InputFunctions.Utility_DisplayArrayInTable(Agresidue_SourceData.CropFractionRemoved_CustomisedData(), Table77[[#Headers],[Crop type c]], 0)</f>
        <v>Triticale</v>
      </c>
      <c r="E183" t="str" cm="1">
        <f t="array" ref="E183">Common_InputFunctions.Utility_DisplayArrayInTable(Agresidue_SourceData.CropFractionRemoved_CustomisedData(), Table77[[#Headers],[Crop type c]], 0)</f>
        <v>QLD</v>
      </c>
      <c r="F183" cm="1">
        <f t="array" ref="F183">Common_InputFunctions.Utility_DisplayArrayInTable(Agresidue_SourceData.CropFractionRemoved_CustomisedData(), Table77[[#Headers],[Crop type c]], 0)</f>
        <v>0.04</v>
      </c>
      <c r="G183" s="8"/>
      <c r="H183" s="8"/>
      <c r="I183" s="8"/>
      <c r="J183" s="8"/>
      <c r="K183" s="8"/>
      <c r="L183" s="8"/>
    </row>
    <row r="184" spans="4:12" x14ac:dyDescent="0.25">
      <c r="D184" s="8" t="str" cm="1">
        <f t="array" ref="D184">Common_InputFunctions.Utility_DisplayArrayInTable(Agresidue_SourceData.CropFractionRemoved_CustomisedData(), Table77[[#Headers],[Crop type c]], 0)</f>
        <v>Triticale</v>
      </c>
      <c r="E184" t="str" cm="1">
        <f t="array" ref="E184">Common_InputFunctions.Utility_DisplayArrayInTable(Agresidue_SourceData.CropFractionRemoved_CustomisedData(), Table77[[#Headers],[Crop type c]], 0)</f>
        <v>SA</v>
      </c>
      <c r="F184" cm="1">
        <f t="array" ref="F184">Common_InputFunctions.Utility_DisplayArrayInTable(Agresidue_SourceData.CropFractionRemoved_CustomisedData(), Table77[[#Headers],[Crop type c]], 0)</f>
        <v>0.09</v>
      </c>
      <c r="G184" s="8"/>
      <c r="H184" s="8"/>
      <c r="I184" s="8"/>
      <c r="J184" s="8"/>
      <c r="K184" s="8"/>
      <c r="L184" s="8"/>
    </row>
    <row r="185" spans="4:12" x14ac:dyDescent="0.25">
      <c r="D185" s="8" t="str" cm="1">
        <f t="array" ref="D185">Common_InputFunctions.Utility_DisplayArrayInTable(Agresidue_SourceData.CropFractionRemoved_CustomisedData(), Table77[[#Headers],[Crop type c]], 0)</f>
        <v>Triticale</v>
      </c>
      <c r="E185" t="str" cm="1">
        <f t="array" ref="E185">Common_InputFunctions.Utility_DisplayArrayInTable(Agresidue_SourceData.CropFractionRemoved_CustomisedData(), Table77[[#Headers],[Crop type c]], 0)</f>
        <v>WA</v>
      </c>
      <c r="F185" cm="1">
        <f t="array" ref="F185">Common_InputFunctions.Utility_DisplayArrayInTable(Agresidue_SourceData.CropFractionRemoved_CustomisedData(), Table77[[#Headers],[Crop type c]], 0)</f>
        <v>0.11</v>
      </c>
      <c r="G185" s="8"/>
      <c r="H185" s="8"/>
      <c r="I185" s="8"/>
      <c r="J185" s="8"/>
      <c r="K185" s="8"/>
      <c r="L185" s="8"/>
    </row>
    <row r="186" spans="4:12" x14ac:dyDescent="0.25">
      <c r="D186" s="8" t="str" cm="1">
        <f t="array" ref="D186">Common_InputFunctions.Utility_DisplayArrayInTable(Agresidue_SourceData.CropFractionRemoved_CustomisedData(), Table77[[#Headers],[Crop type c]], 0)</f>
        <v>Triticale</v>
      </c>
      <c r="E186" t="str" cm="1">
        <f t="array" ref="E186">Common_InputFunctions.Utility_DisplayArrayInTable(Agresidue_SourceData.CropFractionRemoved_CustomisedData(), Table77[[#Headers],[Crop type c]], 0)</f>
        <v>TAS</v>
      </c>
      <c r="F186" cm="1">
        <f t="array" ref="F186">Common_InputFunctions.Utility_DisplayArrayInTable(Agresidue_SourceData.CropFractionRemoved_CustomisedData(), Table77[[#Headers],[Crop type c]], 0)</f>
        <v>0.16</v>
      </c>
      <c r="G186" s="8"/>
      <c r="H186" s="8"/>
      <c r="I186" s="8"/>
      <c r="J186" s="8"/>
      <c r="K186" s="8"/>
      <c r="L186" s="8"/>
    </row>
    <row r="187" spans="4:12" x14ac:dyDescent="0.25">
      <c r="D187" s="8" t="str" cm="1">
        <f t="array" ref="D187">Common_InputFunctions.Utility_DisplayArrayInTable(Agresidue_SourceData.CropFractionRemoved_CustomisedData(), Table77[[#Headers],[Crop type c]], 0)</f>
        <v>Triticale</v>
      </c>
      <c r="E187" t="str" cm="1">
        <f t="array" ref="E187">Common_InputFunctions.Utility_DisplayArrayInTable(Agresidue_SourceData.CropFractionRemoved_CustomisedData(), Table77[[#Headers],[Crop type c]], 0)</f>
        <v>NT</v>
      </c>
      <c r="F187" cm="1">
        <f t="array" ref="F187">Common_InputFunctions.Utility_DisplayArrayInTable(Agresidue_SourceData.CropFractionRemoved_CustomisedData(), Table77[[#Headers],[Crop type c]], 0)</f>
        <v>0.01</v>
      </c>
      <c r="G187" s="8"/>
      <c r="H187" s="8"/>
      <c r="I187" s="8"/>
      <c r="J187" s="8"/>
      <c r="K187" s="8"/>
      <c r="L187" s="8"/>
    </row>
    <row r="188" spans="4:12" x14ac:dyDescent="0.25">
      <c r="D188" s="8" t="str" cm="1">
        <f t="array" ref="D188">Common_InputFunctions.Utility_DisplayArrayInTable(Agresidue_SourceData.CropFractionRemoved_CustomisedData(), Table77[[#Headers],[Crop type c]], 0)</f>
        <v>Triticale</v>
      </c>
      <c r="E188" t="str" cm="1">
        <f t="array" ref="E188">Common_InputFunctions.Utility_DisplayArrayInTable(Agresidue_SourceData.CropFractionRemoved_CustomisedData(), Table77[[#Headers],[Crop type c]], 0)</f>
        <v>ACT</v>
      </c>
      <c r="F188" cm="1">
        <f t="array" ref="F188">Common_InputFunctions.Utility_DisplayArrayInTable(Agresidue_SourceData.CropFractionRemoved_CustomisedData(), Table77[[#Headers],[Crop type c]], 0)</f>
        <v>0</v>
      </c>
      <c r="G188" s="8"/>
      <c r="H188" s="8"/>
      <c r="I188" s="8"/>
      <c r="J188" s="8"/>
      <c r="K188" s="8"/>
      <c r="L188" s="8"/>
    </row>
    <row r="189" spans="4:12" x14ac:dyDescent="0.25">
      <c r="D189" s="8" t="str" cm="1">
        <f t="array" ref="D189">Common_InputFunctions.Utility_DisplayArrayInTable(Agresidue_SourceData.CropFractionRemoved_CustomisedData(), Table77[[#Headers],[Crop type c]], 0)</f>
        <v>Other cereals</v>
      </c>
      <c r="E189" t="str" cm="1">
        <f t="array" ref="E189">Common_InputFunctions.Utility_DisplayArrayInTable(Agresidue_SourceData.CropFractionRemoved_CustomisedData(), Table77[[#Headers],[Crop type c]], 0)</f>
        <v>NSW</v>
      </c>
      <c r="F189" cm="1">
        <f t="array" ref="F189">Common_InputFunctions.Utility_DisplayArrayInTable(Agresidue_SourceData.CropFractionRemoved_CustomisedData(), Table77[[#Headers],[Crop type c]], 0)</f>
        <v>0.05</v>
      </c>
      <c r="G189" s="8"/>
      <c r="H189" s="8"/>
      <c r="I189" s="8"/>
      <c r="J189" s="8"/>
      <c r="K189" s="8"/>
      <c r="L189" s="8"/>
    </row>
    <row r="190" spans="4:12" x14ac:dyDescent="0.25">
      <c r="D190" s="8" t="str" cm="1">
        <f t="array" ref="D190">Common_InputFunctions.Utility_DisplayArrayInTable(Agresidue_SourceData.CropFractionRemoved_CustomisedData(), Table77[[#Headers],[Crop type c]], 0)</f>
        <v>Other cereals</v>
      </c>
      <c r="E190" t="str" cm="1">
        <f t="array" ref="E190">Common_InputFunctions.Utility_DisplayArrayInTable(Agresidue_SourceData.CropFractionRemoved_CustomisedData(), Table77[[#Headers],[Crop type c]], 0)</f>
        <v>VIC</v>
      </c>
      <c r="F190" cm="1">
        <f t="array" ref="F190">Common_InputFunctions.Utility_DisplayArrayInTable(Agresidue_SourceData.CropFractionRemoved_CustomisedData(), Table77[[#Headers],[Crop type c]], 0)</f>
        <v>7.0000000000000007E-2</v>
      </c>
      <c r="G190" s="8"/>
      <c r="H190" s="8"/>
      <c r="I190" s="8"/>
      <c r="J190" s="8"/>
      <c r="K190" s="8"/>
      <c r="L190" s="8"/>
    </row>
    <row r="191" spans="4:12" x14ac:dyDescent="0.25">
      <c r="D191" s="8" t="str" cm="1">
        <f t="array" ref="D191">Common_InputFunctions.Utility_DisplayArrayInTable(Agresidue_SourceData.CropFractionRemoved_CustomisedData(), Table77[[#Headers],[Crop type c]], 0)</f>
        <v>Other cereals</v>
      </c>
      <c r="E191" t="str" cm="1">
        <f t="array" ref="E191">Common_InputFunctions.Utility_DisplayArrayInTable(Agresidue_SourceData.CropFractionRemoved_CustomisedData(), Table77[[#Headers],[Crop type c]], 0)</f>
        <v>QLD</v>
      </c>
      <c r="F191" cm="1">
        <f t="array" ref="F191">Common_InputFunctions.Utility_DisplayArrayInTable(Agresidue_SourceData.CropFractionRemoved_CustomisedData(), Table77[[#Headers],[Crop type c]], 0)</f>
        <v>0.04</v>
      </c>
      <c r="G191" s="8"/>
      <c r="H191" s="8"/>
      <c r="I191" s="8"/>
      <c r="J191" s="8"/>
      <c r="K191" s="8"/>
      <c r="L191" s="8"/>
    </row>
    <row r="192" spans="4:12" x14ac:dyDescent="0.25">
      <c r="D192" s="8" t="str" cm="1">
        <f t="array" ref="D192">Common_InputFunctions.Utility_DisplayArrayInTable(Agresidue_SourceData.CropFractionRemoved_CustomisedData(), Table77[[#Headers],[Crop type c]], 0)</f>
        <v>Other cereals</v>
      </c>
      <c r="E192" t="str" cm="1">
        <f t="array" ref="E192">Common_InputFunctions.Utility_DisplayArrayInTable(Agresidue_SourceData.CropFractionRemoved_CustomisedData(), Table77[[#Headers],[Crop type c]], 0)</f>
        <v>SA</v>
      </c>
      <c r="F192" cm="1">
        <f t="array" ref="F192">Common_InputFunctions.Utility_DisplayArrayInTable(Agresidue_SourceData.CropFractionRemoved_CustomisedData(), Table77[[#Headers],[Crop type c]], 0)</f>
        <v>0.09</v>
      </c>
      <c r="G192" s="8"/>
      <c r="H192" s="8"/>
      <c r="I192" s="8"/>
      <c r="J192" s="8"/>
      <c r="K192" s="8"/>
      <c r="L192" s="8"/>
    </row>
    <row r="193" spans="4:12" x14ac:dyDescent="0.25">
      <c r="D193" s="8" t="str" cm="1">
        <f t="array" ref="D193">Common_InputFunctions.Utility_DisplayArrayInTable(Agresidue_SourceData.CropFractionRemoved_CustomisedData(), Table77[[#Headers],[Crop type c]], 0)</f>
        <v>Other cereals</v>
      </c>
      <c r="E193" t="str" cm="1">
        <f t="array" ref="E193">Common_InputFunctions.Utility_DisplayArrayInTable(Agresidue_SourceData.CropFractionRemoved_CustomisedData(), Table77[[#Headers],[Crop type c]], 0)</f>
        <v>WA</v>
      </c>
      <c r="F193" cm="1">
        <f t="array" ref="F193">Common_InputFunctions.Utility_DisplayArrayInTable(Agresidue_SourceData.CropFractionRemoved_CustomisedData(), Table77[[#Headers],[Crop type c]], 0)</f>
        <v>0.11</v>
      </c>
      <c r="G193" s="8"/>
      <c r="H193" s="8"/>
      <c r="I193" s="8"/>
      <c r="J193" s="8"/>
      <c r="K193" s="8"/>
      <c r="L193" s="8"/>
    </row>
    <row r="194" spans="4:12" x14ac:dyDescent="0.25">
      <c r="D194" s="8" t="str" cm="1">
        <f t="array" ref="D194">Common_InputFunctions.Utility_DisplayArrayInTable(Agresidue_SourceData.CropFractionRemoved_CustomisedData(), Table77[[#Headers],[Crop type c]], 0)</f>
        <v>Other cereals</v>
      </c>
      <c r="E194" t="str" cm="1">
        <f t="array" ref="E194">Common_InputFunctions.Utility_DisplayArrayInTable(Agresidue_SourceData.CropFractionRemoved_CustomisedData(), Table77[[#Headers],[Crop type c]], 0)</f>
        <v>TAS</v>
      </c>
      <c r="F194" cm="1">
        <f t="array" ref="F194">Common_InputFunctions.Utility_DisplayArrayInTable(Agresidue_SourceData.CropFractionRemoved_CustomisedData(), Table77[[#Headers],[Crop type c]], 0)</f>
        <v>0.16</v>
      </c>
      <c r="G194" s="8"/>
      <c r="H194" s="8"/>
      <c r="I194" s="8"/>
      <c r="J194" s="8"/>
      <c r="K194" s="8"/>
      <c r="L194" s="8"/>
    </row>
    <row r="195" spans="4:12" x14ac:dyDescent="0.25">
      <c r="D195" s="8" t="str" cm="1">
        <f t="array" ref="D195">Common_InputFunctions.Utility_DisplayArrayInTable(Agresidue_SourceData.CropFractionRemoved_CustomisedData(), Table77[[#Headers],[Crop type c]], 0)</f>
        <v>Other cereals</v>
      </c>
      <c r="E195" t="str" cm="1">
        <f t="array" ref="E195">Common_InputFunctions.Utility_DisplayArrayInTable(Agresidue_SourceData.CropFractionRemoved_CustomisedData(), Table77[[#Headers],[Crop type c]], 0)</f>
        <v>NT</v>
      </c>
      <c r="F195" cm="1">
        <f t="array" ref="F195">Common_InputFunctions.Utility_DisplayArrayInTable(Agresidue_SourceData.CropFractionRemoved_CustomisedData(), Table77[[#Headers],[Crop type c]], 0)</f>
        <v>0.01</v>
      </c>
      <c r="G195" s="8"/>
      <c r="H195" s="8"/>
      <c r="I195" s="8"/>
      <c r="J195" s="8"/>
      <c r="K195" s="8"/>
      <c r="L195" s="8"/>
    </row>
    <row r="196" spans="4:12" x14ac:dyDescent="0.25">
      <c r="D196" s="8" t="str" cm="1">
        <f t="array" ref="D196">Common_InputFunctions.Utility_DisplayArrayInTable(Agresidue_SourceData.CropFractionRemoved_CustomisedData(), Table77[[#Headers],[Crop type c]], 0)</f>
        <v>Other cereals</v>
      </c>
      <c r="E196" t="str" cm="1">
        <f t="array" ref="E196">Common_InputFunctions.Utility_DisplayArrayInTable(Agresidue_SourceData.CropFractionRemoved_CustomisedData(), Table77[[#Headers],[Crop type c]], 0)</f>
        <v>ACT</v>
      </c>
      <c r="F196" cm="1">
        <f t="array" ref="F196">Common_InputFunctions.Utility_DisplayArrayInTable(Agresidue_SourceData.CropFractionRemoved_CustomisedData(), Table77[[#Headers],[Crop type c]], 0)</f>
        <v>0</v>
      </c>
      <c r="G196" s="8"/>
      <c r="H196" s="8"/>
      <c r="I196" s="8"/>
      <c r="J196" s="8"/>
      <c r="K196" s="8"/>
      <c r="L196" s="8"/>
    </row>
    <row r="197" spans="4:12" x14ac:dyDescent="0.25">
      <c r="D197" s="8" t="str" cm="1">
        <f t="array" ref="D197">Common_InputFunctions.Utility_DisplayArrayInTable(Agresidue_SourceData.CropFractionRemoved_CustomisedData(), Table77[[#Headers],[Crop type c]], 0)</f>
        <v>Pulses</v>
      </c>
      <c r="E197" t="str" cm="1">
        <f t="array" ref="E197">Common_InputFunctions.Utility_DisplayArrayInTable(Agresidue_SourceData.CropFractionRemoved_CustomisedData(), Table77[[#Headers],[Crop type c]], 0)</f>
        <v>NSW</v>
      </c>
      <c r="F197" cm="1">
        <f t="array" ref="F197">Common_InputFunctions.Utility_DisplayArrayInTable(Agresidue_SourceData.CropFractionRemoved_CustomisedData(), Table77[[#Headers],[Crop type c]], 0)</f>
        <v>0.05</v>
      </c>
      <c r="G197" s="8"/>
      <c r="H197" s="8"/>
      <c r="I197" s="8"/>
      <c r="J197" s="8"/>
      <c r="K197" s="8"/>
      <c r="L197" s="8"/>
    </row>
    <row r="198" spans="4:12" x14ac:dyDescent="0.25">
      <c r="D198" s="8" t="str" cm="1">
        <f t="array" ref="D198">Common_InputFunctions.Utility_DisplayArrayInTable(Agresidue_SourceData.CropFractionRemoved_CustomisedData(), Table77[[#Headers],[Crop type c]], 0)</f>
        <v>Pulses</v>
      </c>
      <c r="E198" t="str" cm="1">
        <f t="array" ref="E198">Common_InputFunctions.Utility_DisplayArrayInTable(Agresidue_SourceData.CropFractionRemoved_CustomisedData(), Table77[[#Headers],[Crop type c]], 0)</f>
        <v>VIC</v>
      </c>
      <c r="F198" cm="1">
        <f t="array" ref="F198">Common_InputFunctions.Utility_DisplayArrayInTable(Agresidue_SourceData.CropFractionRemoved_CustomisedData(), Table77[[#Headers],[Crop type c]], 0)</f>
        <v>7.0000000000000007E-2</v>
      </c>
      <c r="G198" s="8"/>
      <c r="H198" s="8"/>
      <c r="I198" s="8"/>
      <c r="J198" s="8"/>
      <c r="K198" s="8"/>
      <c r="L198" s="8"/>
    </row>
    <row r="199" spans="4:12" x14ac:dyDescent="0.25">
      <c r="D199" s="8" t="str" cm="1">
        <f t="array" ref="D199">Common_InputFunctions.Utility_DisplayArrayInTable(Agresidue_SourceData.CropFractionRemoved_CustomisedData(), Table77[[#Headers],[Crop type c]], 0)</f>
        <v>Pulses</v>
      </c>
      <c r="E199" t="str" cm="1">
        <f t="array" ref="E199">Common_InputFunctions.Utility_DisplayArrayInTable(Agresidue_SourceData.CropFractionRemoved_CustomisedData(), Table77[[#Headers],[Crop type c]], 0)</f>
        <v>QLD</v>
      </c>
      <c r="F199" cm="1">
        <f t="array" ref="F199">Common_InputFunctions.Utility_DisplayArrayInTable(Agresidue_SourceData.CropFractionRemoved_CustomisedData(), Table77[[#Headers],[Crop type c]], 0)</f>
        <v>0.04</v>
      </c>
      <c r="G199" s="8"/>
      <c r="H199" s="8"/>
      <c r="I199" s="8"/>
      <c r="J199" s="8"/>
      <c r="K199" s="8"/>
      <c r="L199" s="8"/>
    </row>
    <row r="200" spans="4:12" x14ac:dyDescent="0.25">
      <c r="D200" s="8" t="str" cm="1">
        <f t="array" ref="D200">Common_InputFunctions.Utility_DisplayArrayInTable(Agresidue_SourceData.CropFractionRemoved_CustomisedData(), Table77[[#Headers],[Crop type c]], 0)</f>
        <v>Pulses</v>
      </c>
      <c r="E200" t="str" cm="1">
        <f t="array" ref="E200">Common_InputFunctions.Utility_DisplayArrayInTable(Agresidue_SourceData.CropFractionRemoved_CustomisedData(), Table77[[#Headers],[Crop type c]], 0)</f>
        <v>SA</v>
      </c>
      <c r="F200" cm="1">
        <f t="array" ref="F200">Common_InputFunctions.Utility_DisplayArrayInTable(Agresidue_SourceData.CropFractionRemoved_CustomisedData(), Table77[[#Headers],[Crop type c]], 0)</f>
        <v>0.09</v>
      </c>
      <c r="G200" s="8"/>
      <c r="H200" s="8"/>
      <c r="I200" s="8"/>
      <c r="J200" s="8"/>
      <c r="K200" s="8"/>
      <c r="L200" s="8"/>
    </row>
    <row r="201" spans="4:12" x14ac:dyDescent="0.25">
      <c r="D201" s="8" t="str" cm="1">
        <f t="array" ref="D201">Common_InputFunctions.Utility_DisplayArrayInTable(Agresidue_SourceData.CropFractionRemoved_CustomisedData(), Table77[[#Headers],[Crop type c]], 0)</f>
        <v>Pulses</v>
      </c>
      <c r="E201" t="str" cm="1">
        <f t="array" ref="E201">Common_InputFunctions.Utility_DisplayArrayInTable(Agresidue_SourceData.CropFractionRemoved_CustomisedData(), Table77[[#Headers],[Crop type c]], 0)</f>
        <v>WA</v>
      </c>
      <c r="F201" cm="1">
        <f t="array" ref="F201">Common_InputFunctions.Utility_DisplayArrayInTable(Agresidue_SourceData.CropFractionRemoved_CustomisedData(), Table77[[#Headers],[Crop type c]], 0)</f>
        <v>0.11</v>
      </c>
      <c r="G201" s="8"/>
      <c r="H201" s="8"/>
      <c r="I201" s="8"/>
      <c r="J201" s="8"/>
      <c r="K201" s="8"/>
      <c r="L201" s="8"/>
    </row>
    <row r="202" spans="4:12" x14ac:dyDescent="0.25">
      <c r="D202" s="8" t="str" cm="1">
        <f t="array" ref="D202">Common_InputFunctions.Utility_DisplayArrayInTable(Agresidue_SourceData.CropFractionRemoved_CustomisedData(), Table77[[#Headers],[Crop type c]], 0)</f>
        <v>Pulses</v>
      </c>
      <c r="E202" t="str" cm="1">
        <f t="array" ref="E202">Common_InputFunctions.Utility_DisplayArrayInTable(Agresidue_SourceData.CropFractionRemoved_CustomisedData(), Table77[[#Headers],[Crop type c]], 0)</f>
        <v>TAS</v>
      </c>
      <c r="F202" cm="1">
        <f t="array" ref="F202">Common_InputFunctions.Utility_DisplayArrayInTable(Agresidue_SourceData.CropFractionRemoved_CustomisedData(), Table77[[#Headers],[Crop type c]], 0)</f>
        <v>0.16</v>
      </c>
      <c r="G202" s="8"/>
      <c r="H202" s="8"/>
      <c r="I202" s="8"/>
      <c r="J202" s="8"/>
      <c r="K202" s="8"/>
      <c r="L202" s="8"/>
    </row>
    <row r="203" spans="4:12" x14ac:dyDescent="0.25">
      <c r="D203" s="8" t="str" cm="1">
        <f t="array" ref="D203">Common_InputFunctions.Utility_DisplayArrayInTable(Agresidue_SourceData.CropFractionRemoved_CustomisedData(), Table77[[#Headers],[Crop type c]], 0)</f>
        <v>Pulses</v>
      </c>
      <c r="E203" t="str" cm="1">
        <f t="array" ref="E203">Common_InputFunctions.Utility_DisplayArrayInTable(Agresidue_SourceData.CropFractionRemoved_CustomisedData(), Table77[[#Headers],[Crop type c]], 0)</f>
        <v>NT</v>
      </c>
      <c r="F203" cm="1">
        <f t="array" ref="F203">Common_InputFunctions.Utility_DisplayArrayInTable(Agresidue_SourceData.CropFractionRemoved_CustomisedData(), Table77[[#Headers],[Crop type c]], 0)</f>
        <v>0.01</v>
      </c>
      <c r="G203" s="8"/>
      <c r="H203" s="8"/>
      <c r="I203" s="8"/>
      <c r="J203" s="8"/>
      <c r="K203" s="8"/>
      <c r="L203" s="8"/>
    </row>
    <row r="204" spans="4:12" x14ac:dyDescent="0.25">
      <c r="D204" s="8" t="str" cm="1">
        <f t="array" ref="D204">Common_InputFunctions.Utility_DisplayArrayInTable(Agresidue_SourceData.CropFractionRemoved_CustomisedData(), Table77[[#Headers],[Crop type c]], 0)</f>
        <v>Pulses</v>
      </c>
      <c r="E204" t="str" cm="1">
        <f t="array" ref="E204">Common_InputFunctions.Utility_DisplayArrayInTable(Agresidue_SourceData.CropFractionRemoved_CustomisedData(), Table77[[#Headers],[Crop type c]], 0)</f>
        <v>ACT</v>
      </c>
      <c r="F204" cm="1">
        <f t="array" ref="F204">Common_InputFunctions.Utility_DisplayArrayInTable(Agresidue_SourceData.CropFractionRemoved_CustomisedData(), Table77[[#Headers],[Crop type c]], 0)</f>
        <v>0</v>
      </c>
      <c r="G204" s="8"/>
      <c r="H204" s="8"/>
      <c r="I204" s="8"/>
      <c r="J204" s="8"/>
      <c r="K204" s="8"/>
      <c r="L204" s="8"/>
    </row>
    <row r="205" spans="4:12" x14ac:dyDescent="0.25">
      <c r="D205" s="8" t="str" cm="1">
        <f t="array" ref="D205">Common_InputFunctions.Utility_DisplayArrayInTable(Agresidue_SourceData.CropFractionRemoved_CustomisedData(), Table77[[#Headers],[Crop type c]], 0)</f>
        <v>Peanuts</v>
      </c>
      <c r="E205" t="str" cm="1">
        <f t="array" ref="E205">Common_InputFunctions.Utility_DisplayArrayInTable(Agresidue_SourceData.CropFractionRemoved_CustomisedData(), Table77[[#Headers],[Crop type c]], 0)</f>
        <v>NSW</v>
      </c>
      <c r="F205" cm="1">
        <f t="array" ref="F205">Common_InputFunctions.Utility_DisplayArrayInTable(Agresidue_SourceData.CropFractionRemoved_CustomisedData(), Table77[[#Headers],[Crop type c]], 0)</f>
        <v>0.05</v>
      </c>
      <c r="G205" s="8"/>
      <c r="H205" s="8"/>
      <c r="I205" s="8"/>
      <c r="J205" s="8"/>
      <c r="K205" s="8"/>
      <c r="L205" s="8"/>
    </row>
    <row r="206" spans="4:12" x14ac:dyDescent="0.25">
      <c r="D206" s="8" t="str" cm="1">
        <f t="array" ref="D206">Common_InputFunctions.Utility_DisplayArrayInTable(Agresidue_SourceData.CropFractionRemoved_CustomisedData(), Table77[[#Headers],[Crop type c]], 0)</f>
        <v>Peanuts</v>
      </c>
      <c r="E206" t="str" cm="1">
        <f t="array" ref="E206">Common_InputFunctions.Utility_DisplayArrayInTable(Agresidue_SourceData.CropFractionRemoved_CustomisedData(), Table77[[#Headers],[Crop type c]], 0)</f>
        <v>VIC</v>
      </c>
      <c r="F206" cm="1">
        <f t="array" ref="F206">Common_InputFunctions.Utility_DisplayArrayInTable(Agresidue_SourceData.CropFractionRemoved_CustomisedData(), Table77[[#Headers],[Crop type c]], 0)</f>
        <v>7.0000000000000007E-2</v>
      </c>
      <c r="G206" s="8"/>
      <c r="H206" s="8"/>
      <c r="I206" s="8"/>
      <c r="J206" s="8"/>
      <c r="K206" s="8"/>
      <c r="L206" s="8"/>
    </row>
    <row r="207" spans="4:12" x14ac:dyDescent="0.25">
      <c r="D207" s="8" t="str" cm="1">
        <f t="array" ref="D207">Common_InputFunctions.Utility_DisplayArrayInTable(Agresidue_SourceData.CropFractionRemoved_CustomisedData(), Table77[[#Headers],[Crop type c]], 0)</f>
        <v>Peanuts</v>
      </c>
      <c r="E207" t="str" cm="1">
        <f t="array" ref="E207">Common_InputFunctions.Utility_DisplayArrayInTable(Agresidue_SourceData.CropFractionRemoved_CustomisedData(), Table77[[#Headers],[Crop type c]], 0)</f>
        <v>QLD</v>
      </c>
      <c r="F207" cm="1">
        <f t="array" ref="F207">Common_InputFunctions.Utility_DisplayArrayInTable(Agresidue_SourceData.CropFractionRemoved_CustomisedData(), Table77[[#Headers],[Crop type c]], 0)</f>
        <v>0.04</v>
      </c>
      <c r="G207" s="8"/>
      <c r="H207" s="8"/>
      <c r="I207" s="8"/>
      <c r="J207" s="8"/>
      <c r="K207" s="8"/>
      <c r="L207" s="8"/>
    </row>
    <row r="208" spans="4:12" x14ac:dyDescent="0.25">
      <c r="D208" s="8" t="str" cm="1">
        <f t="array" ref="D208">Common_InputFunctions.Utility_DisplayArrayInTable(Agresidue_SourceData.CropFractionRemoved_CustomisedData(), Table77[[#Headers],[Crop type c]], 0)</f>
        <v>Peanuts</v>
      </c>
      <c r="E208" t="str" cm="1">
        <f t="array" ref="E208">Common_InputFunctions.Utility_DisplayArrayInTable(Agresidue_SourceData.CropFractionRemoved_CustomisedData(), Table77[[#Headers],[Crop type c]], 0)</f>
        <v>SA</v>
      </c>
      <c r="F208" cm="1">
        <f t="array" ref="F208">Common_InputFunctions.Utility_DisplayArrayInTable(Agresidue_SourceData.CropFractionRemoved_CustomisedData(), Table77[[#Headers],[Crop type c]], 0)</f>
        <v>0.09</v>
      </c>
      <c r="G208" s="8"/>
      <c r="H208" s="8"/>
      <c r="I208" s="8"/>
      <c r="J208" s="8"/>
      <c r="K208" s="8"/>
      <c r="L208" s="8"/>
    </row>
    <row r="209" spans="4:12" x14ac:dyDescent="0.25">
      <c r="D209" s="8" t="str" cm="1">
        <f t="array" ref="D209">Common_InputFunctions.Utility_DisplayArrayInTable(Agresidue_SourceData.CropFractionRemoved_CustomisedData(), Table77[[#Headers],[Crop type c]], 0)</f>
        <v>Peanuts</v>
      </c>
      <c r="E209" t="str" cm="1">
        <f t="array" ref="E209">Common_InputFunctions.Utility_DisplayArrayInTable(Agresidue_SourceData.CropFractionRemoved_CustomisedData(), Table77[[#Headers],[Crop type c]], 0)</f>
        <v>WA</v>
      </c>
      <c r="F209" cm="1">
        <f t="array" ref="F209">Common_InputFunctions.Utility_DisplayArrayInTable(Agresidue_SourceData.CropFractionRemoved_CustomisedData(), Table77[[#Headers],[Crop type c]], 0)</f>
        <v>0.11</v>
      </c>
      <c r="G209" s="8"/>
      <c r="H209" s="8"/>
      <c r="I209" s="8"/>
      <c r="J209" s="8"/>
      <c r="K209" s="8"/>
      <c r="L209" s="8"/>
    </row>
    <row r="210" spans="4:12" x14ac:dyDescent="0.25">
      <c r="D210" s="8" t="str" cm="1">
        <f t="array" ref="D210">Common_InputFunctions.Utility_DisplayArrayInTable(Agresidue_SourceData.CropFractionRemoved_CustomisedData(), Table77[[#Headers],[Crop type c]], 0)</f>
        <v>Peanuts</v>
      </c>
      <c r="E210" t="str" cm="1">
        <f t="array" ref="E210">Common_InputFunctions.Utility_DisplayArrayInTable(Agresidue_SourceData.CropFractionRemoved_CustomisedData(), Table77[[#Headers],[Crop type c]], 0)</f>
        <v>TAS</v>
      </c>
      <c r="F210" cm="1">
        <f t="array" ref="F210">Common_InputFunctions.Utility_DisplayArrayInTable(Agresidue_SourceData.CropFractionRemoved_CustomisedData(), Table77[[#Headers],[Crop type c]], 0)</f>
        <v>0.16</v>
      </c>
      <c r="G210" s="8"/>
      <c r="H210" s="8"/>
      <c r="I210" s="8"/>
      <c r="J210" s="8"/>
      <c r="K210" s="8"/>
      <c r="L210" s="8"/>
    </row>
    <row r="211" spans="4:12" x14ac:dyDescent="0.25">
      <c r="D211" s="8" t="str" cm="1">
        <f t="array" ref="D211">Common_InputFunctions.Utility_DisplayArrayInTable(Agresidue_SourceData.CropFractionRemoved_CustomisedData(), Table77[[#Headers],[Crop type c]], 0)</f>
        <v>Peanuts</v>
      </c>
      <c r="E211" t="str" cm="1">
        <f t="array" ref="E211">Common_InputFunctions.Utility_DisplayArrayInTable(Agresidue_SourceData.CropFractionRemoved_CustomisedData(), Table77[[#Headers],[Crop type c]], 0)</f>
        <v>NT</v>
      </c>
      <c r="F211" cm="1">
        <f t="array" ref="F211">Common_InputFunctions.Utility_DisplayArrayInTable(Agresidue_SourceData.CropFractionRemoved_CustomisedData(), Table77[[#Headers],[Crop type c]], 0)</f>
        <v>0.01</v>
      </c>
      <c r="G211" s="8"/>
      <c r="H211" s="8"/>
      <c r="I211" s="8"/>
      <c r="J211" s="8"/>
      <c r="K211" s="8"/>
      <c r="L211" s="8"/>
    </row>
    <row r="212" spans="4:12" x14ac:dyDescent="0.25">
      <c r="D212" s="8" t="str" cm="1">
        <f t="array" ref="D212">Common_InputFunctions.Utility_DisplayArrayInTable(Agresidue_SourceData.CropFractionRemoved_CustomisedData(), Table77[[#Headers],[Crop type c]], 0)</f>
        <v>Peanuts</v>
      </c>
      <c r="E212" t="str" cm="1">
        <f t="array" ref="E212">Common_InputFunctions.Utility_DisplayArrayInTable(Agresidue_SourceData.CropFractionRemoved_CustomisedData(), Table77[[#Headers],[Crop type c]], 0)</f>
        <v>ACT</v>
      </c>
      <c r="F212" cm="1">
        <f t="array" ref="F212">Common_InputFunctions.Utility_DisplayArrayInTable(Agresidue_SourceData.CropFractionRemoved_CustomisedData(), Table77[[#Headers],[Crop type c]], 0)</f>
        <v>0</v>
      </c>
      <c r="G212" s="8"/>
      <c r="H212" s="8"/>
      <c r="I212" s="8"/>
      <c r="J212" s="8"/>
      <c r="K212" s="8"/>
      <c r="L212" s="8"/>
    </row>
    <row r="213" spans="4:12" x14ac:dyDescent="0.25">
      <c r="D213" s="8" t="str" cm="1">
        <f t="array" ref="D213">Common_InputFunctions.Utility_DisplayArrayInTable(Agresidue_SourceData.CropFractionRemoved_CustomisedData(), Table77[[#Headers],[Crop type c]], 0)</f>
        <v>Oilseeds</v>
      </c>
      <c r="E213" t="str" cm="1">
        <f t="array" ref="E213">Common_InputFunctions.Utility_DisplayArrayInTable(Agresidue_SourceData.CropFractionRemoved_CustomisedData(), Table77[[#Headers],[Crop type c]], 0)</f>
        <v>NSW</v>
      </c>
      <c r="F213" cm="1">
        <f t="array" ref="F213">Common_InputFunctions.Utility_DisplayArrayInTable(Agresidue_SourceData.CropFractionRemoved_CustomisedData(), Table77[[#Headers],[Crop type c]], 0)</f>
        <v>0.05</v>
      </c>
      <c r="G213" s="8"/>
      <c r="H213" s="8"/>
      <c r="I213" s="8"/>
      <c r="J213" s="8"/>
      <c r="K213" s="8"/>
      <c r="L213" s="8"/>
    </row>
    <row r="214" spans="4:12" x14ac:dyDescent="0.25">
      <c r="D214" s="8" t="str" cm="1">
        <f t="array" ref="D214">Common_InputFunctions.Utility_DisplayArrayInTable(Agresidue_SourceData.CropFractionRemoved_CustomisedData(), Table77[[#Headers],[Crop type c]], 0)</f>
        <v>Oilseeds</v>
      </c>
      <c r="E214" t="str" cm="1">
        <f t="array" ref="E214">Common_InputFunctions.Utility_DisplayArrayInTable(Agresidue_SourceData.CropFractionRemoved_CustomisedData(), Table77[[#Headers],[Crop type c]], 0)</f>
        <v>VIC</v>
      </c>
      <c r="F214" cm="1">
        <f t="array" ref="F214">Common_InputFunctions.Utility_DisplayArrayInTable(Agresidue_SourceData.CropFractionRemoved_CustomisedData(), Table77[[#Headers],[Crop type c]], 0)</f>
        <v>7.0000000000000007E-2</v>
      </c>
      <c r="G214" s="8"/>
      <c r="H214" s="8"/>
      <c r="I214" s="8"/>
      <c r="J214" s="8"/>
    </row>
    <row r="215" spans="4:12" x14ac:dyDescent="0.25">
      <c r="D215" s="8" t="str" cm="1">
        <f t="array" ref="D215">Common_InputFunctions.Utility_DisplayArrayInTable(Agresidue_SourceData.CropFractionRemoved_CustomisedData(), Table77[[#Headers],[Crop type c]], 0)</f>
        <v>Oilseeds</v>
      </c>
      <c r="E215" t="str" cm="1">
        <f t="array" ref="E215">Common_InputFunctions.Utility_DisplayArrayInTable(Agresidue_SourceData.CropFractionRemoved_CustomisedData(), Table77[[#Headers],[Crop type c]], 0)</f>
        <v>QLD</v>
      </c>
      <c r="F215" cm="1">
        <f t="array" ref="F215">Common_InputFunctions.Utility_DisplayArrayInTable(Agresidue_SourceData.CropFractionRemoved_CustomisedData(), Table77[[#Headers],[Crop type c]], 0)</f>
        <v>0.04</v>
      </c>
      <c r="G215" s="8"/>
      <c r="H215" s="8"/>
      <c r="I215" s="8"/>
      <c r="J215" s="8"/>
    </row>
    <row r="216" spans="4:12" x14ac:dyDescent="0.25">
      <c r="D216" s="8" t="str" cm="1">
        <f t="array" ref="D216">Common_InputFunctions.Utility_DisplayArrayInTable(Agresidue_SourceData.CropFractionRemoved_CustomisedData(), Table77[[#Headers],[Crop type c]], 0)</f>
        <v>Oilseeds</v>
      </c>
      <c r="E216" t="str" cm="1">
        <f t="array" ref="E216">Common_InputFunctions.Utility_DisplayArrayInTable(Agresidue_SourceData.CropFractionRemoved_CustomisedData(), Table77[[#Headers],[Crop type c]], 0)</f>
        <v>SA</v>
      </c>
      <c r="F216" cm="1">
        <f t="array" ref="F216">Common_InputFunctions.Utility_DisplayArrayInTable(Agresidue_SourceData.CropFractionRemoved_CustomisedData(), Table77[[#Headers],[Crop type c]], 0)</f>
        <v>0.09</v>
      </c>
      <c r="G216" s="8"/>
      <c r="H216" s="8"/>
      <c r="I216" s="8"/>
      <c r="J216" s="8"/>
    </row>
    <row r="217" spans="4:12" x14ac:dyDescent="0.25">
      <c r="D217" s="8" t="str" cm="1">
        <f t="array" ref="D217">Common_InputFunctions.Utility_DisplayArrayInTable(Agresidue_SourceData.CropFractionRemoved_CustomisedData(), Table77[[#Headers],[Crop type c]], 0)</f>
        <v>Oilseeds</v>
      </c>
      <c r="E217" t="str" cm="1">
        <f t="array" ref="E217">Common_InputFunctions.Utility_DisplayArrayInTable(Agresidue_SourceData.CropFractionRemoved_CustomisedData(), Table77[[#Headers],[Crop type c]], 0)</f>
        <v>WA</v>
      </c>
      <c r="F217" cm="1">
        <f t="array" ref="F217">Common_InputFunctions.Utility_DisplayArrayInTable(Agresidue_SourceData.CropFractionRemoved_CustomisedData(), Table77[[#Headers],[Crop type c]], 0)</f>
        <v>0.11</v>
      </c>
      <c r="G217" s="8"/>
      <c r="H217" s="8"/>
      <c r="I217" s="8"/>
      <c r="J217" s="8"/>
    </row>
    <row r="218" spans="4:12" x14ac:dyDescent="0.25">
      <c r="D218" s="8" t="str" cm="1">
        <f t="array" ref="D218">Common_InputFunctions.Utility_DisplayArrayInTable(Agresidue_SourceData.CropFractionRemoved_CustomisedData(), Table77[[#Headers],[Crop type c]], 0)</f>
        <v>Oilseeds</v>
      </c>
      <c r="E218" t="str" cm="1">
        <f t="array" ref="E218">Common_InputFunctions.Utility_DisplayArrayInTable(Agresidue_SourceData.CropFractionRemoved_CustomisedData(), Table77[[#Headers],[Crop type c]], 0)</f>
        <v>TAS</v>
      </c>
      <c r="F218" cm="1">
        <f t="array" ref="F218">Common_InputFunctions.Utility_DisplayArrayInTable(Agresidue_SourceData.CropFractionRemoved_CustomisedData(), Table77[[#Headers],[Crop type c]], 0)</f>
        <v>0.16</v>
      </c>
      <c r="G218" s="8"/>
      <c r="H218" s="8"/>
      <c r="I218" s="8"/>
      <c r="J218" s="8"/>
    </row>
    <row r="219" spans="4:12" x14ac:dyDescent="0.25">
      <c r="D219" s="8" t="str" cm="1">
        <f t="array" ref="D219">Common_InputFunctions.Utility_DisplayArrayInTable(Agresidue_SourceData.CropFractionRemoved_CustomisedData(), Table77[[#Headers],[Crop type c]], 0)</f>
        <v>Oilseeds</v>
      </c>
      <c r="E219" t="str" cm="1">
        <f t="array" ref="E219">Common_InputFunctions.Utility_DisplayArrayInTable(Agresidue_SourceData.CropFractionRemoved_CustomisedData(), Table77[[#Headers],[Crop type c]], 0)</f>
        <v>NT</v>
      </c>
      <c r="F219" cm="1">
        <f t="array" ref="F219">Common_InputFunctions.Utility_DisplayArrayInTable(Agresidue_SourceData.CropFractionRemoved_CustomisedData(), Table77[[#Headers],[Crop type c]], 0)</f>
        <v>0.01</v>
      </c>
      <c r="G219" s="8"/>
      <c r="H219" s="8"/>
      <c r="I219" s="8"/>
      <c r="J219" s="8"/>
    </row>
    <row r="220" spans="4:12" x14ac:dyDescent="0.25">
      <c r="D220" s="8" t="str" cm="1">
        <f t="array" ref="D220">Common_InputFunctions.Utility_DisplayArrayInTable(Agresidue_SourceData.CropFractionRemoved_CustomisedData(), Table77[[#Headers],[Crop type c]], 0)</f>
        <v>Oilseeds</v>
      </c>
      <c r="E220" t="str" cm="1">
        <f t="array" ref="E220">Common_InputFunctions.Utility_DisplayArrayInTable(Agresidue_SourceData.CropFractionRemoved_CustomisedData(), Table77[[#Headers],[Crop type c]], 0)</f>
        <v>ACT</v>
      </c>
      <c r="F220" cm="1">
        <f t="array" ref="F220">Common_InputFunctions.Utility_DisplayArrayInTable(Agresidue_SourceData.CropFractionRemoved_CustomisedData(), Table77[[#Headers],[Crop type c]], 0)</f>
        <v>0</v>
      </c>
      <c r="G220" s="8"/>
      <c r="H220" s="8"/>
      <c r="I220" s="8"/>
      <c r="J220" s="8"/>
    </row>
    <row r="221" spans="4:12" x14ac:dyDescent="0.25">
      <c r="D221" s="8" t="str" cm="1">
        <f t="array" ref="D221">Common_InputFunctions.Utility_DisplayArrayInTable(Agresidue_SourceData.CropFractionRemoved_CustomisedData(), Table77[[#Headers],[Crop type c]], 0)</f>
        <v>Other annual crops</v>
      </c>
      <c r="E221" t="str" cm="1">
        <f t="array" ref="E221">Common_InputFunctions.Utility_DisplayArrayInTable(Agresidue_SourceData.CropFractionRemoved_CustomisedData(), Table77[[#Headers],[Crop type c]], 0)</f>
        <v>NSW</v>
      </c>
      <c r="F221" cm="1">
        <f t="array" ref="F221">Common_InputFunctions.Utility_DisplayArrayInTable(Agresidue_SourceData.CropFractionRemoved_CustomisedData(), Table77[[#Headers],[Crop type c]], 0)</f>
        <v>0.05</v>
      </c>
      <c r="G221" s="8"/>
      <c r="H221" s="8"/>
      <c r="I221" s="8"/>
      <c r="J221" s="8"/>
    </row>
    <row r="222" spans="4:12" x14ac:dyDescent="0.25">
      <c r="D222" s="8" t="str" cm="1">
        <f t="array" ref="D222">Common_InputFunctions.Utility_DisplayArrayInTable(Agresidue_SourceData.CropFractionRemoved_CustomisedData(), Table77[[#Headers],[Crop type c]], 0)</f>
        <v>Other annual crops</v>
      </c>
      <c r="E222" t="str" cm="1">
        <f t="array" ref="E222">Common_InputFunctions.Utility_DisplayArrayInTable(Agresidue_SourceData.CropFractionRemoved_CustomisedData(), Table77[[#Headers],[Crop type c]], 0)</f>
        <v>VIC</v>
      </c>
      <c r="F222" cm="1">
        <f t="array" ref="F222">Common_InputFunctions.Utility_DisplayArrayInTable(Agresidue_SourceData.CropFractionRemoved_CustomisedData(), Table77[[#Headers],[Crop type c]], 0)</f>
        <v>7.0000000000000007E-2</v>
      </c>
      <c r="G222" s="8"/>
      <c r="H222" s="8"/>
      <c r="I222" s="8"/>
      <c r="J222" s="8"/>
    </row>
    <row r="223" spans="4:12" x14ac:dyDescent="0.25">
      <c r="D223" s="8" t="str" cm="1">
        <f t="array" ref="D223">Common_InputFunctions.Utility_DisplayArrayInTable(Agresidue_SourceData.CropFractionRemoved_CustomisedData(), Table77[[#Headers],[Crop type c]], 0)</f>
        <v>Other annual crops</v>
      </c>
      <c r="E223" t="str" cm="1">
        <f t="array" ref="E223">Common_InputFunctions.Utility_DisplayArrayInTable(Agresidue_SourceData.CropFractionRemoved_CustomisedData(), Table77[[#Headers],[Crop type c]], 0)</f>
        <v>QLD</v>
      </c>
      <c r="F223" cm="1">
        <f t="array" ref="F223">Common_InputFunctions.Utility_DisplayArrayInTable(Agresidue_SourceData.CropFractionRemoved_CustomisedData(), Table77[[#Headers],[Crop type c]], 0)</f>
        <v>0.04</v>
      </c>
      <c r="G223" s="8"/>
      <c r="H223" s="8"/>
      <c r="I223" s="8"/>
      <c r="J223" s="8"/>
    </row>
    <row r="224" spans="4:12" x14ac:dyDescent="0.25">
      <c r="D224" s="8" t="str" cm="1">
        <f t="array" ref="D224">Common_InputFunctions.Utility_DisplayArrayInTable(Agresidue_SourceData.CropFractionRemoved_CustomisedData(), Table77[[#Headers],[Crop type c]], 0)</f>
        <v>Other annual crops</v>
      </c>
      <c r="E224" t="str" cm="1">
        <f t="array" ref="E224">Common_InputFunctions.Utility_DisplayArrayInTable(Agresidue_SourceData.CropFractionRemoved_CustomisedData(), Table77[[#Headers],[Crop type c]], 0)</f>
        <v>SA</v>
      </c>
      <c r="F224" cm="1">
        <f t="array" ref="F224">Common_InputFunctions.Utility_DisplayArrayInTable(Agresidue_SourceData.CropFractionRemoved_CustomisedData(), Table77[[#Headers],[Crop type c]], 0)</f>
        <v>0.09</v>
      </c>
      <c r="G224" s="8"/>
      <c r="H224" s="8"/>
      <c r="I224" s="8"/>
      <c r="J224" s="8"/>
    </row>
    <row r="225" spans="4:10" x14ac:dyDescent="0.25">
      <c r="D225" s="8" t="str" cm="1">
        <f t="array" ref="D225">Common_InputFunctions.Utility_DisplayArrayInTable(Agresidue_SourceData.CropFractionRemoved_CustomisedData(), Table77[[#Headers],[Crop type c]], 0)</f>
        <v>Other annual crops</v>
      </c>
      <c r="E225" t="str" cm="1">
        <f t="array" ref="E225">Common_InputFunctions.Utility_DisplayArrayInTable(Agresidue_SourceData.CropFractionRemoved_CustomisedData(), Table77[[#Headers],[Crop type c]], 0)</f>
        <v>WA</v>
      </c>
      <c r="F225" cm="1">
        <f t="array" ref="F225">Common_InputFunctions.Utility_DisplayArrayInTable(Agresidue_SourceData.CropFractionRemoved_CustomisedData(), Table77[[#Headers],[Crop type c]], 0)</f>
        <v>0.11</v>
      </c>
      <c r="G225" s="8"/>
      <c r="H225" s="8"/>
      <c r="I225" s="8"/>
      <c r="J225" s="8"/>
    </row>
    <row r="226" spans="4:10" x14ac:dyDescent="0.25">
      <c r="D226" s="8" t="str" cm="1">
        <f t="array" ref="D226">Common_InputFunctions.Utility_DisplayArrayInTable(Agresidue_SourceData.CropFractionRemoved_CustomisedData(), Table77[[#Headers],[Crop type c]], 0)</f>
        <v>Other annual crops</v>
      </c>
      <c r="E226" t="str" cm="1">
        <f t="array" ref="E226">Common_InputFunctions.Utility_DisplayArrayInTable(Agresidue_SourceData.CropFractionRemoved_CustomisedData(), Table77[[#Headers],[Crop type c]], 0)</f>
        <v>TAS</v>
      </c>
      <c r="F226" cm="1">
        <f t="array" ref="F226">Common_InputFunctions.Utility_DisplayArrayInTable(Agresidue_SourceData.CropFractionRemoved_CustomisedData(), Table77[[#Headers],[Crop type c]], 0)</f>
        <v>0.16</v>
      </c>
      <c r="G226" s="8"/>
      <c r="H226" s="8"/>
      <c r="I226" s="8"/>
      <c r="J226" s="8"/>
    </row>
    <row r="227" spans="4:10" x14ac:dyDescent="0.25">
      <c r="D227" s="8" t="str" cm="1">
        <f t="array" ref="D227">Common_InputFunctions.Utility_DisplayArrayInTable(Agresidue_SourceData.CropFractionRemoved_CustomisedData(), Table77[[#Headers],[Crop type c]], 0)</f>
        <v>Other annual crops</v>
      </c>
      <c r="E227" t="str" cm="1">
        <f t="array" ref="E227">Common_InputFunctions.Utility_DisplayArrayInTable(Agresidue_SourceData.CropFractionRemoved_CustomisedData(), Table77[[#Headers],[Crop type c]], 0)</f>
        <v>NT</v>
      </c>
      <c r="F227" cm="1">
        <f t="array" ref="F227">Common_InputFunctions.Utility_DisplayArrayInTable(Agresidue_SourceData.CropFractionRemoved_CustomisedData(), Table77[[#Headers],[Crop type c]], 0)</f>
        <v>0.01</v>
      </c>
      <c r="G227" s="8"/>
      <c r="H227" s="8"/>
      <c r="I227" s="8"/>
      <c r="J227" s="8"/>
    </row>
    <row r="228" spans="4:10" x14ac:dyDescent="0.25">
      <c r="D228" s="8" t="str" cm="1">
        <f t="array" ref="D228">Common_InputFunctions.Utility_DisplayArrayInTable(Agresidue_SourceData.CropFractionRemoved_CustomisedData(), Table77[[#Headers],[Crop type c]], 0)</f>
        <v>Other annual crops</v>
      </c>
      <c r="E228" t="str" cm="1">
        <f t="array" ref="E228">Common_InputFunctions.Utility_DisplayArrayInTable(Agresidue_SourceData.CropFractionRemoved_CustomisedData(), Table77[[#Headers],[Crop type c]], 0)</f>
        <v>ACT</v>
      </c>
      <c r="F228" cm="1">
        <f t="array" ref="F228">Common_InputFunctions.Utility_DisplayArrayInTable(Agresidue_SourceData.CropFractionRemoved_CustomisedData(), Table77[[#Headers],[Crop type c]], 0)</f>
        <v>0</v>
      </c>
      <c r="G228" s="8"/>
      <c r="H228" s="8"/>
    </row>
    <row r="229" spans="4:10" x14ac:dyDescent="0.25">
      <c r="D229" s="8" t="str" cm="1">
        <f t="array" ref="D229">Common_InputFunctions.Utility_DisplayArrayInTable(Agresidue_SourceData.CropFractionRemoved_CustomisedData(), Table77[[#Headers],[Crop type c]], 0)</f>
        <v>Other perennial crops</v>
      </c>
      <c r="E229" t="str" cm="1">
        <f t="array" ref="E229">Common_InputFunctions.Utility_DisplayArrayInTable(Agresidue_SourceData.CropFractionRemoved_CustomisedData(), Table77[[#Headers],[Crop type c]], 0)</f>
        <v>NSW</v>
      </c>
      <c r="F229" cm="1">
        <f t="array" ref="F229">Common_InputFunctions.Utility_DisplayArrayInTable(Agresidue_SourceData.CropFractionRemoved_CustomisedData(), Table77[[#Headers],[Crop type c]], 0)</f>
        <v>0.05</v>
      </c>
      <c r="G229" s="8"/>
    </row>
    <row r="230" spans="4:10" x14ac:dyDescent="0.25">
      <c r="D230" s="8" t="str" cm="1">
        <f t="array" ref="D230">Common_InputFunctions.Utility_DisplayArrayInTable(Agresidue_SourceData.CropFractionRemoved_CustomisedData(), Table77[[#Headers],[Crop type c]], 0)</f>
        <v>Other perennial crops</v>
      </c>
      <c r="E230" t="str" cm="1">
        <f t="array" ref="E230">Common_InputFunctions.Utility_DisplayArrayInTable(Agresidue_SourceData.CropFractionRemoved_CustomisedData(), Table77[[#Headers],[Crop type c]], 0)</f>
        <v>VIC</v>
      </c>
      <c r="F230" cm="1">
        <f t="array" ref="F230">Common_InputFunctions.Utility_DisplayArrayInTable(Agresidue_SourceData.CropFractionRemoved_CustomisedData(), Table77[[#Headers],[Crop type c]], 0)</f>
        <v>7.0000000000000007E-2</v>
      </c>
      <c r="G230" s="8"/>
    </row>
    <row r="231" spans="4:10" x14ac:dyDescent="0.25">
      <c r="D231" s="8" t="str" cm="1">
        <f t="array" ref="D231">Common_InputFunctions.Utility_DisplayArrayInTable(Agresidue_SourceData.CropFractionRemoved_CustomisedData(), Table77[[#Headers],[Crop type c]], 0)</f>
        <v>Other perennial crops</v>
      </c>
      <c r="E231" t="str" cm="1">
        <f t="array" ref="E231">Common_InputFunctions.Utility_DisplayArrayInTable(Agresidue_SourceData.CropFractionRemoved_CustomisedData(), Table77[[#Headers],[Crop type c]], 0)</f>
        <v>QLD</v>
      </c>
      <c r="F231" cm="1">
        <f t="array" ref="F231">Common_InputFunctions.Utility_DisplayArrayInTable(Agresidue_SourceData.CropFractionRemoved_CustomisedData(), Table77[[#Headers],[Crop type c]], 0)</f>
        <v>0.04</v>
      </c>
      <c r="G231" s="8"/>
    </row>
    <row r="232" spans="4:10" x14ac:dyDescent="0.25">
      <c r="D232" s="8" t="str" cm="1">
        <f t="array" ref="D232">Common_InputFunctions.Utility_DisplayArrayInTable(Agresidue_SourceData.CropFractionRemoved_CustomisedData(), Table77[[#Headers],[Crop type c]], 0)</f>
        <v>Other perennial crops</v>
      </c>
      <c r="E232" t="str" cm="1">
        <f t="array" ref="E232">Common_InputFunctions.Utility_DisplayArrayInTable(Agresidue_SourceData.CropFractionRemoved_CustomisedData(), Table77[[#Headers],[Crop type c]], 0)</f>
        <v>SA</v>
      </c>
      <c r="F232" cm="1">
        <f t="array" ref="F232">Common_InputFunctions.Utility_DisplayArrayInTable(Agresidue_SourceData.CropFractionRemoved_CustomisedData(), Table77[[#Headers],[Crop type c]], 0)</f>
        <v>0.09</v>
      </c>
      <c r="G232" s="8"/>
    </row>
    <row r="233" spans="4:10" x14ac:dyDescent="0.25">
      <c r="D233" s="8" t="str" cm="1">
        <f t="array" ref="D233">Common_InputFunctions.Utility_DisplayArrayInTable(Agresidue_SourceData.CropFractionRemoved_CustomisedData(), Table77[[#Headers],[Crop type c]], 0)</f>
        <v>Other perennial crops</v>
      </c>
      <c r="E233" t="str" cm="1">
        <f t="array" ref="E233">Common_InputFunctions.Utility_DisplayArrayInTable(Agresidue_SourceData.CropFractionRemoved_CustomisedData(), Table77[[#Headers],[Crop type c]], 0)</f>
        <v>WA</v>
      </c>
      <c r="F233" cm="1">
        <f t="array" ref="F233">Common_InputFunctions.Utility_DisplayArrayInTable(Agresidue_SourceData.CropFractionRemoved_CustomisedData(), Table77[[#Headers],[Crop type c]], 0)</f>
        <v>0.11</v>
      </c>
      <c r="G233" s="8"/>
    </row>
    <row r="234" spans="4:10" x14ac:dyDescent="0.25">
      <c r="D234" s="8" t="str" cm="1">
        <f t="array" ref="D234">Common_InputFunctions.Utility_DisplayArrayInTable(Agresidue_SourceData.CropFractionRemoved_CustomisedData(), Table77[[#Headers],[Crop type c]], 0)</f>
        <v>Other perennial crops</v>
      </c>
      <c r="E234" t="str" cm="1">
        <f t="array" ref="E234">Common_InputFunctions.Utility_DisplayArrayInTable(Agresidue_SourceData.CropFractionRemoved_CustomisedData(), Table77[[#Headers],[Crop type c]], 0)</f>
        <v>TAS</v>
      </c>
      <c r="F234" cm="1">
        <f t="array" ref="F234">Common_InputFunctions.Utility_DisplayArrayInTable(Agresidue_SourceData.CropFractionRemoved_CustomisedData(), Table77[[#Headers],[Crop type c]], 0)</f>
        <v>0.16</v>
      </c>
      <c r="G234" s="8"/>
    </row>
    <row r="235" spans="4:10" x14ac:dyDescent="0.25">
      <c r="D235" s="8" t="str" cm="1">
        <f t="array" ref="D235">Common_InputFunctions.Utility_DisplayArrayInTable(Agresidue_SourceData.CropFractionRemoved_CustomisedData(), Table77[[#Headers],[Crop type c]], 0)</f>
        <v>Other perennial crops</v>
      </c>
      <c r="E235" t="str" cm="1">
        <f t="array" ref="E235">Common_InputFunctions.Utility_DisplayArrayInTable(Agresidue_SourceData.CropFractionRemoved_CustomisedData(), Table77[[#Headers],[Crop type c]], 0)</f>
        <v>NT</v>
      </c>
      <c r="F235" cm="1">
        <f t="array" ref="F235">Common_InputFunctions.Utility_DisplayArrayInTable(Agresidue_SourceData.CropFractionRemoved_CustomisedData(), Table77[[#Headers],[Crop type c]], 0)</f>
        <v>0.01</v>
      </c>
      <c r="G235" s="8"/>
    </row>
  </sheetData>
  <pageMargins left="0.7" right="0.7" top="0.75" bottom="0.75" header="0.3" footer="0.3"/>
  <pageSetup paperSize="9" orientation="portrait" r:id="rId1"/>
  <tableParts count="8">
    <tablePart r:id="rId2"/>
    <tablePart r:id="rId3"/>
    <tablePart r:id="rId4"/>
    <tablePart r:id="rId5"/>
    <tablePart r:id="rId6"/>
    <tablePart r:id="rId7"/>
    <tablePart r:id="rId8"/>
    <tablePart r:id="rId9"/>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A3AD4-DC2B-432E-9492-CC562C1E1F9F}">
  <dimension ref="A1:M65"/>
  <sheetViews>
    <sheetView showGridLines="0" topLeftCell="A12" workbookViewId="0">
      <selection activeCell="A46" sqref="A46"/>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16" t="e" vm="1">
        <v>#VALUE!</v>
      </c>
      <c r="C1" s="31" t="s">
        <v>862</v>
      </c>
      <c r="D1" s="31"/>
      <c r="E1" s="31"/>
      <c r="F1" s="31"/>
      <c r="G1" s="31"/>
      <c r="H1" s="31"/>
      <c r="I1" s="31"/>
      <c r="J1" s="31"/>
      <c r="K1" s="31"/>
      <c r="L1" s="31"/>
      <c r="M1" s="31"/>
    </row>
    <row r="2" spans="1:13" ht="20.100000000000001" customHeight="1" x14ac:dyDescent="0.25">
      <c r="C2" s="3"/>
      <c r="D2" s="3"/>
      <c r="E2" s="3"/>
      <c r="F2" s="3"/>
      <c r="G2" s="3"/>
      <c r="H2" s="3"/>
      <c r="I2" s="3"/>
      <c r="J2" s="3"/>
      <c r="K2" s="3"/>
      <c r="L2" s="3"/>
      <c r="M2" s="3"/>
    </row>
    <row r="3" spans="1:13" ht="20.100000000000001" customHeight="1" x14ac:dyDescent="0.25">
      <c r="A3" s="5" t="str">
        <f>HYPERLINK("#'Home'!A1", "Home")</f>
        <v>Home</v>
      </c>
      <c r="C3" s="33"/>
      <c r="D3" s="33"/>
      <c r="E3" s="33"/>
      <c r="F3" s="33"/>
      <c r="G3" s="33"/>
      <c r="H3" s="33"/>
      <c r="I3" s="33"/>
      <c r="J3" s="33"/>
      <c r="K3" s="33"/>
      <c r="L3" s="33"/>
      <c r="M3" s="33"/>
    </row>
    <row r="4" spans="1:13" ht="20.100000000000001" customHeight="1" x14ac:dyDescent="0.25">
      <c r="A4" s="5" t="str">
        <f>HYPERLINK("#'Results'!A1", "Results")</f>
        <v>Results</v>
      </c>
    </row>
    <row r="5" spans="1:13" ht="20.100000000000001" customHeight="1" x14ac:dyDescent="0.25"/>
    <row r="6" spans="1:13" ht="20.100000000000001" customHeight="1" x14ac:dyDescent="0.25">
      <c r="D6" s="2" t="str" cm="1">
        <f t="array" ref="D6">CommonLivestock_SourceData.SourceData_Livestock_Common_SymbolsMMS_Title()</f>
        <v>Table 5.12 Additional symbols used in algorithms for manure related emissions</v>
      </c>
      <c r="E6" s="35"/>
      <c r="F6" s="35"/>
      <c r="G6" s="35"/>
      <c r="H6" s="35"/>
    </row>
    <row r="7" spans="1:13" ht="20.100000000000001" customHeight="1" x14ac:dyDescent="0.25">
      <c r="A7" s="7" t="s">
        <v>0</v>
      </c>
      <c r="D7" s="35" t="str" cm="1">
        <f t="array" ref="D7">CommonLivestock_SourceData.SourceData_Livestock_Common_SymbolsMMS_Vairable()</f>
        <v>MMS</v>
      </c>
      <c r="E7" s="35"/>
      <c r="F7" s="35"/>
      <c r="G7" s="35"/>
      <c r="H7" s="35"/>
    </row>
    <row r="8" spans="1:13" ht="20.100000000000001" customHeight="1" x14ac:dyDescent="0.25">
      <c r="A8" s="5" t="str">
        <f>HYPERLINK("#'Input - Enterprise'!A1", "Enterprise")</f>
        <v>Enterprise</v>
      </c>
      <c r="D8" s="27" t="str" cm="1">
        <f t="array" ref="D8">CommonLivestock_SourceData.SourceData_Livestock_Common_SymbolsMMS_Source()</f>
        <v>National Inventory Report 2023 Volume 1: Table 5.12</v>
      </c>
      <c r="E8" s="35"/>
      <c r="F8" s="35"/>
      <c r="G8" s="35"/>
      <c r="H8" s="35"/>
    </row>
    <row r="9" spans="1:13" ht="20.100000000000001" customHeight="1" x14ac:dyDescent="0.25">
      <c r="A9" s="5" t="str">
        <f>HYPERLINK("#'Input - Site'!A1", "Site")</f>
        <v>Site</v>
      </c>
      <c r="D9" s="37" t="s">
        <v>863</v>
      </c>
      <c r="E9" s="30" t="s">
        <v>237</v>
      </c>
      <c r="F9" s="30" t="s">
        <v>864</v>
      </c>
      <c r="G9" s="35"/>
    </row>
    <row r="10" spans="1:13" ht="20.100000000000001" customHeight="1" x14ac:dyDescent="0.25">
      <c r="A10" s="5" t="str">
        <f>HYPERLINK("#'Input - Pasture Beef'!A1", "Pasture Beef")</f>
        <v>Pasture Beef</v>
      </c>
      <c r="D10" s="37" t="str" cm="1">
        <f t="array" ref="D10">Common_InputFunctions.Utility_DisplayArrayInTable(CommonLivestock_SourceData.SourceData_Livestock_Common_SymbolsMMS_Data(), Table_Data_MMSSymbols[[#Headers],[Symbol]], 0)</f>
        <v>1</v>
      </c>
      <c r="E10" s="37" t="str" cm="1">
        <f t="array" ref="E10">Common_InputFunctions.Utility_DisplayArrayInTable(CommonLivestock_SourceData.SourceData_Livestock_Common_SymbolsMMS_Data(), Table_Data_MMSSymbols[[#Headers],[Symbol]], 0)</f>
        <v>Anaerobic lagoon</v>
      </c>
      <c r="F10" s="37" t="str" cm="1">
        <f t="array" ref="F10">Common_InputFunctions.Utility_DisplayArrayInTable(CommonLivestock_SourceData.SourceData_Livestock_Common_SymbolsMMS_Data(), Table_Data_MMSSymbols[[#Headers],[Symbol]], 0)</f>
        <v>Anaerobic lagoon (m=1)</v>
      </c>
      <c r="G10" s="35"/>
    </row>
    <row r="11" spans="1:13" ht="20.100000000000001" customHeight="1" x14ac:dyDescent="0.25">
      <c r="A11" s="5" t="str">
        <f>HYPERLINK("#'Input - Pasture Beef (Enteric)'!A1", "Pasture Beef (Enteric)")</f>
        <v>Pasture Beef (Enteric)</v>
      </c>
      <c r="D11" s="37" t="str" cm="1">
        <f t="array" ref="D11">Common_InputFunctions.Utility_DisplayArrayInTable(CommonLivestock_SourceData.SourceData_Livestock_Common_SymbolsMMS_Data(), Table_Data_MMSSymbols[[#Headers],[Symbol]], 0)</f>
        <v>2</v>
      </c>
      <c r="E11" s="37" t="str" cm="1">
        <f t="array" ref="E11">Common_InputFunctions.Utility_DisplayArrayInTable(CommonLivestock_SourceData.SourceData_Livestock_Common_SymbolsMMS_Data(), Table_Data_MMSSymbols[[#Headers],[Symbol]], 0)</f>
        <v>Liquid systems</v>
      </c>
      <c r="F11" s="37" t="str" cm="1">
        <f t="array" ref="F11">Common_InputFunctions.Utility_DisplayArrayInTable(CommonLivestock_SourceData.SourceData_Livestock_Common_SymbolsMMS_Data(), Table_Data_MMSSymbols[[#Headers],[Symbol]], 0)</f>
        <v>Liquid systems (m=2)</v>
      </c>
      <c r="G11" s="35"/>
    </row>
    <row r="12" spans="1:13" ht="20.100000000000001" customHeight="1" x14ac:dyDescent="0.25">
      <c r="A12" s="5" t="str">
        <f>HYPERLINK("#'Input - Pasture'!A1", "Pasture")</f>
        <v>Pasture</v>
      </c>
      <c r="D12" s="30" t="str" cm="1">
        <f t="array" ref="D12">Common_InputFunctions.Utility_DisplayArrayInTable(CommonLivestock_SourceData.SourceData_Livestock_Common_SymbolsMMS_Data(), Table_Data_MMSSymbols[[#Headers],[Symbol]], 0)</f>
        <v>3</v>
      </c>
      <c r="E12" s="30" t="str" cm="1">
        <f t="array" ref="E12">Common_InputFunctions.Utility_DisplayArrayInTable(CommonLivestock_SourceData.SourceData_Livestock_Common_SymbolsMMS_Data(), Table_Data_MMSSymbols[[#Headers],[Symbol]], 0)</f>
        <v>Daily spread</v>
      </c>
      <c r="F12" s="30" t="str" cm="1">
        <f t="array" ref="F12">Common_InputFunctions.Utility_DisplayArrayInTable(CommonLivestock_SourceData.SourceData_Livestock_Common_SymbolsMMS_Data(), Table_Data_MMSSymbols[[#Headers],[Symbol]], 0)</f>
        <v>Daily spread (m=3)</v>
      </c>
      <c r="G12" s="35"/>
    </row>
    <row r="13" spans="1:13" ht="20.100000000000001" customHeight="1" x14ac:dyDescent="0.25">
      <c r="A13" s="5" t="str">
        <f>HYPERLINK("#'Input - Fertiliser'!A1", "Fertiliser")</f>
        <v>Fertiliser</v>
      </c>
      <c r="D13" s="30" t="str" cm="1">
        <f t="array" ref="D13">Common_InputFunctions.Utility_DisplayArrayInTable(CommonLivestock_SourceData.SourceData_Livestock_Common_SymbolsMMS_Data(), Table_Data_MMSSymbols[[#Headers],[Symbol]], 0)</f>
        <v>3a</v>
      </c>
      <c r="E13" s="30" t="str" cm="1">
        <f t="array" ref="E13">Common_InputFunctions.Utility_DisplayArrayInTable(CommonLivestock_SourceData.SourceData_Livestock_Common_SymbolsMMS_Data(), Table_Data_MMSSymbols[[#Headers],[Symbol]], 0)</f>
        <v>Sump and dispersal system</v>
      </c>
      <c r="F13" s="30" t="str" cm="1">
        <f t="array" ref="F13">Common_InputFunctions.Utility_DisplayArrayInTable(CommonLivestock_SourceData.SourceData_Livestock_Common_SymbolsMMS_Data(), Table_Data_MMSSymbols[[#Headers],[Symbol]], 0)</f>
        <v>Sump and dispersal system (m=3a)</v>
      </c>
      <c r="G13" s="35"/>
    </row>
    <row r="14" spans="1:13" ht="20.100000000000001" customHeight="1" x14ac:dyDescent="0.25">
      <c r="A14" s="5" t="str">
        <f>HYPERLINK("#'Input - Fuel'!A1", "Fuel")</f>
        <v>Fuel</v>
      </c>
      <c r="D14" s="30" t="str" cm="1">
        <f t="array" ref="D14">Common_InputFunctions.Utility_DisplayArrayInTable(CommonLivestock_SourceData.SourceData_Livestock_Common_SymbolsMMS_Data(), Table_Data_MMSSymbols[[#Headers],[Symbol]], 0)</f>
        <v>3b</v>
      </c>
      <c r="E14" s="30" t="str" cm="1">
        <f t="array" ref="E14">Common_InputFunctions.Utility_DisplayArrayInTable(CommonLivestock_SourceData.SourceData_Livestock_Common_SymbolsMMS_Data(), Table_Data_MMSSymbols[[#Headers],[Symbol]], 0)</f>
        <v>Drains to paddock</v>
      </c>
      <c r="F14" s="30" t="str" cm="1">
        <f t="array" ref="F14">Common_InputFunctions.Utility_DisplayArrayInTable(CommonLivestock_SourceData.SourceData_Livestock_Common_SymbolsMMS_Data(), Table_Data_MMSSymbols[[#Headers],[Symbol]], 0)</f>
        <v>Drains to paddock (m=3b)</v>
      </c>
      <c r="G14" s="35"/>
    </row>
    <row r="15" spans="1:13" ht="20.100000000000001" customHeight="1" x14ac:dyDescent="0.25">
      <c r="A15" s="5" t="str">
        <f>HYPERLINK("#'Input - Electricity'!A1", "Electricity")</f>
        <v>Electricity</v>
      </c>
      <c r="D15" s="30" t="str" cm="1">
        <f t="array" ref="D15">Common_InputFunctions.Utility_DisplayArrayInTable(CommonLivestock_SourceData.SourceData_Livestock_Common_SymbolsMMS_Data(), Table_Data_MMSSymbols[[#Headers],[Symbol]], 0)</f>
        <v>4</v>
      </c>
      <c r="E15" s="30" t="str" cm="1">
        <f t="array" ref="E15">Common_InputFunctions.Utility_DisplayArrayInTable(CommonLivestock_SourceData.SourceData_Livestock_Common_SymbolsMMS_Data(), Table_Data_MMSSymbols[[#Headers],[Symbol]], 0)</f>
        <v>Solid storage</v>
      </c>
      <c r="F15" s="30" t="str" cm="1">
        <f t="array" ref="F15">Common_InputFunctions.Utility_DisplayArrayInTable(CommonLivestock_SourceData.SourceData_Livestock_Common_SymbolsMMS_Data(), Table_Data_MMSSymbols[[#Headers],[Symbol]], 0)</f>
        <v>Solid storage (m=4)</v>
      </c>
      <c r="G15" s="35"/>
    </row>
    <row r="16" spans="1:13" ht="20.100000000000001" customHeight="1" x14ac:dyDescent="0.25">
      <c r="D16" s="30" t="str" cm="1">
        <f t="array" ref="D16">Common_InputFunctions.Utility_DisplayArrayInTable(CommonLivestock_SourceData.SourceData_Livestock_Common_SymbolsMMS_Data(), Table_Data_MMSSymbols[[#Headers],[Symbol]], 0)</f>
        <v>5</v>
      </c>
      <c r="E16" s="30" t="str" cm="1">
        <f t="array" ref="E16">Common_InputFunctions.Utility_DisplayArrayInTable(CommonLivestock_SourceData.SourceData_Livestock_Common_SymbolsMMS_Data(), Table_Data_MMSSymbols[[#Headers],[Symbol]], 0)</f>
        <v>Drylot (feed pad)</v>
      </c>
      <c r="F16" s="30" t="str" cm="1">
        <f t="array" ref="F16">Common_InputFunctions.Utility_DisplayArrayInTable(CommonLivestock_SourceData.SourceData_Livestock_Common_SymbolsMMS_Data(), Table_Data_MMSSymbols[[#Headers],[Symbol]], 0)</f>
        <v>Drylot (feed pad) (m=5)</v>
      </c>
      <c r="G16" s="35"/>
    </row>
    <row r="17" spans="1:8" ht="20.100000000000001" customHeight="1" x14ac:dyDescent="0.25">
      <c r="D17" s="30" t="str" cm="1">
        <f t="array" ref="D17">Common_InputFunctions.Utility_DisplayArrayInTable(CommonLivestock_SourceData.SourceData_Livestock_Common_SymbolsMMS_Data(), Table_Data_MMSSymbols[[#Headers],[Symbol]], 0)</f>
        <v>6</v>
      </c>
      <c r="E17" s="30" t="str" cm="1">
        <f t="array" ref="E17">Common_InputFunctions.Utility_DisplayArrayInTable(CommonLivestock_SourceData.SourceData_Livestock_Common_SymbolsMMS_Data(), Table_Data_MMSSymbols[[#Headers],[Symbol]], 0)</f>
        <v>Composting (passive windrow)</v>
      </c>
      <c r="F17" s="30" t="str" cm="1">
        <f t="array" ref="F17">Common_InputFunctions.Utility_DisplayArrayInTable(CommonLivestock_SourceData.SourceData_Livestock_Common_SymbolsMMS_Data(), Table_Data_MMSSymbols[[#Headers],[Symbol]], 0)</f>
        <v>Composting (passive windrow) (m=6)</v>
      </c>
      <c r="G17" s="35"/>
    </row>
    <row r="18" spans="1:8" ht="20.100000000000001" customHeight="1" x14ac:dyDescent="0.25">
      <c r="A18" s="6" t="s">
        <v>2</v>
      </c>
      <c r="D18" s="30" t="str" cm="1">
        <f t="array" ref="D18">Common_InputFunctions.Utility_DisplayArrayInTable(CommonLivestock_SourceData.SourceData_Livestock_Common_SymbolsMMS_Data(), Table_Data_MMSSymbols[[#Headers],[Symbol]], 0)</f>
        <v>7</v>
      </c>
      <c r="E18" s="30" t="str" cm="1">
        <f t="array" ref="E18">Common_InputFunctions.Utility_DisplayArrayInTable(CommonLivestock_SourceData.SourceData_Livestock_Common_SymbolsMMS_Data(), Table_Data_MMSSymbols[[#Headers],[Symbol]], 0)</f>
        <v>Digester / covered lagoons</v>
      </c>
      <c r="F18" s="30" t="str" cm="1">
        <f t="array" ref="F18">Common_InputFunctions.Utility_DisplayArrayInTable(CommonLivestock_SourceData.SourceData_Livestock_Common_SymbolsMMS_Data(), Table_Data_MMSSymbols[[#Headers],[Symbol]], 0)</f>
        <v>Digester / covered lagoons (m=7)</v>
      </c>
      <c r="G18" s="35"/>
    </row>
    <row r="19" spans="1:8" ht="20.100000000000001" customHeight="1" x14ac:dyDescent="0.25">
      <c r="A19" s="5" t="str">
        <f>HYPERLINK("#'3.2.1.1-2 Enteric Methane'!A1", "3.2.1.1-2 Enteric methane")</f>
        <v>3.2.1.1-2 Enteric methane</v>
      </c>
      <c r="D19" s="30" t="str" cm="1">
        <f t="array" ref="D19">Common_InputFunctions.Utility_DisplayArrayInTable(CommonLivestock_SourceData.SourceData_Livestock_Common_SymbolsMMS_Data(), Table_Data_MMSSymbols[[#Headers],[Symbol]], 0)</f>
        <v>8</v>
      </c>
      <c r="E19" s="30" t="str" cm="1">
        <f t="array" ref="E19">Common_InputFunctions.Utility_DisplayArrayInTable(CommonLivestock_SourceData.SourceData_Livestock_Common_SymbolsMMS_Data(), Table_Data_MMSSymbols[[#Headers],[Symbol]], 0)</f>
        <v>Deep litter</v>
      </c>
      <c r="F19" s="30" t="str" cm="1">
        <f t="array" ref="F19">Common_InputFunctions.Utility_DisplayArrayInTable(CommonLivestock_SourceData.SourceData_Livestock_Common_SymbolsMMS_Data(), Table_Data_MMSSymbols[[#Headers],[Symbol]], 0)</f>
        <v>Deep litter (m=8)</v>
      </c>
      <c r="G19" s="35"/>
    </row>
    <row r="20" spans="1:8" ht="20.100000000000001" customHeight="1" x14ac:dyDescent="0.25">
      <c r="A20" s="5" t="str">
        <f>HYPERLINK("#'4.2.1.1-2 Methane'!A1", "4.2.1.1-2 Manure methane")</f>
        <v>4.2.1.1-2 Manure methane</v>
      </c>
      <c r="D20" s="30" t="str" cm="1">
        <f t="array" ref="D20">Common_InputFunctions.Utility_DisplayArrayInTable(CommonLivestock_SourceData.SourceData_Livestock_Common_SymbolsMMS_Data(), Table_Data_MMSSymbols[[#Headers],[Symbol]], 0)</f>
        <v>9</v>
      </c>
      <c r="E20" s="30" t="str" cm="1">
        <f t="array" ref="E20">Common_InputFunctions.Utility_DisplayArrayInTable(CommonLivestock_SourceData.SourceData_Livestock_Common_SymbolsMMS_Data(), Table_Data_MMSSymbols[[#Headers],[Symbol]], 0)</f>
        <v>Pit storage</v>
      </c>
      <c r="F20" s="30" t="str" cm="1">
        <f t="array" ref="F20">Common_InputFunctions.Utility_DisplayArrayInTable(CommonLivestock_SourceData.SourceData_Livestock_Common_SymbolsMMS_Data(), Table_Data_MMSSymbols[[#Headers],[Symbol]], 0)</f>
        <v>Pit storage (m=9)</v>
      </c>
      <c r="G20" s="35"/>
    </row>
    <row r="21" spans="1:8" ht="20.100000000000001" customHeight="1" x14ac:dyDescent="0.25">
      <c r="A21" s="5" t="str">
        <f>HYPERLINK("#'4.2.1.3-4 Soil direct N20'!A1", "4.2.1.3-4 Soil direct N2O")</f>
        <v>4.2.1.3-4 Soil direct N2O</v>
      </c>
      <c r="D21" s="30" t="str" cm="1">
        <f t="array" ref="D21">Common_InputFunctions.Utility_DisplayArrayInTable(CommonLivestock_SourceData.SourceData_Livestock_Common_SymbolsMMS_Data(), Table_Data_MMSSymbols[[#Headers],[Symbol]], 0)</f>
        <v>10</v>
      </c>
      <c r="E21" s="30" t="str" cm="1">
        <f t="array" ref="E21">Common_InputFunctions.Utility_DisplayArrayInTable(CommonLivestock_SourceData.SourceData_Livestock_Common_SymbolsMMS_Data(), Table_Data_MMSSymbols[[#Headers],[Symbol]], 0)</f>
        <v>Poultry manure with bedding</v>
      </c>
      <c r="F21" s="30" t="str" cm="1">
        <f t="array" ref="F21">Common_InputFunctions.Utility_DisplayArrayInTable(CommonLivestock_SourceData.SourceData_Livestock_Common_SymbolsMMS_Data(), Table_Data_MMSSymbols[[#Headers],[Symbol]], 0)</f>
        <v>Poultry manure with bedding (m=10)</v>
      </c>
      <c r="G21" s="35"/>
    </row>
    <row r="22" spans="1:8" ht="20.100000000000001" customHeight="1" x14ac:dyDescent="0.25">
      <c r="A22" s="5" t="str">
        <f>HYPERLINK("#'4.2.1.5-6 Soil Atmos Dep'!A1", "4.2.1.5-6 Soil atm. deposition")</f>
        <v>4.2.1.5-6 Soil atm. deposition</v>
      </c>
      <c r="D22" s="30" t="str" cm="1">
        <f t="array" ref="D22">Common_InputFunctions.Utility_DisplayArrayInTable(CommonLivestock_SourceData.SourceData_Livestock_Common_SymbolsMMS_Data(), Table_Data_MMSSymbols[[#Headers],[Symbol]], 0)</f>
        <v>11</v>
      </c>
      <c r="E22" s="30" t="str" cm="1">
        <f t="array" ref="E22">Common_InputFunctions.Utility_DisplayArrayInTable(CommonLivestock_SourceData.SourceData_Livestock_Common_SymbolsMMS_Data(), Table_Data_MMSSymbols[[#Headers],[Symbol]], 0)</f>
        <v>Poultry manure without bedding</v>
      </c>
      <c r="F22" s="30" t="str" cm="1">
        <f t="array" ref="F22">Common_InputFunctions.Utility_DisplayArrayInTable(CommonLivestock_SourceData.SourceData_Livestock_Common_SymbolsMMS_Data(), Table_Data_MMSSymbols[[#Headers],[Symbol]], 0)</f>
        <v>Poultry manure without bedding (m=11)</v>
      </c>
      <c r="G22" s="35"/>
    </row>
    <row r="23" spans="1:8" ht="20.100000000000001" customHeight="1" x14ac:dyDescent="0.25">
      <c r="A23" s="5" t="str">
        <f>HYPERLINK("#'4.2.1.7-8 Soil leach runoff'!A1", "4.2.1.7-8 Soil leach &amp; runoff")</f>
        <v>4.2.1.7-8 Soil leach &amp; runoff</v>
      </c>
      <c r="D23" s="30" t="str" cm="1">
        <f t="array" ref="D23">Common_InputFunctions.Utility_DisplayArrayInTable(CommonLivestock_SourceData.SourceData_Livestock_Common_SymbolsMMS_Data(), Table_Data_MMSSymbols[[#Headers],[Symbol]], 0)</f>
        <v>11a</v>
      </c>
      <c r="E23" s="30" t="str" cm="1">
        <f t="array" ref="E23">Common_InputFunctions.Utility_DisplayArrayInTable(CommonLivestock_SourceData.SourceData_Livestock_Common_SymbolsMMS_Data(), Table_Data_MMSSymbols[[#Headers],[Symbol]], 0)</f>
        <v>Belt manure removal</v>
      </c>
      <c r="F23" s="30" t="str" cm="1">
        <f t="array" ref="F23">Common_InputFunctions.Utility_DisplayArrayInTable(CommonLivestock_SourceData.SourceData_Livestock_Common_SymbolsMMS_Data(), Table_Data_MMSSymbols[[#Headers],[Symbol]], 0)</f>
        <v>Belt manure removal (m=11a)</v>
      </c>
      <c r="G23" s="35"/>
    </row>
    <row r="24" spans="1:8" ht="20.100000000000001" customHeight="1" x14ac:dyDescent="0.25">
      <c r="A24" s="5" t="str">
        <f>HYPERLINK("#'5.1.1.1-2 Inorganic fert N2O'!A1", "5.1.1.1-2 Inorganic fert N2O")</f>
        <v>5.1.1.1-2 Inorganic fert N2O</v>
      </c>
      <c r="D24" s="30" t="str" cm="1">
        <f t="array" ref="D24">Common_InputFunctions.Utility_DisplayArrayInTable(CommonLivestock_SourceData.SourceData_Livestock_Common_SymbolsMMS_Data(), Table_Data_MMSSymbols[[#Headers],[Symbol]], 0)</f>
        <v>11b</v>
      </c>
      <c r="E24" s="30" t="str" cm="1">
        <f t="array" ref="E24">Common_InputFunctions.Utility_DisplayArrayInTable(CommonLivestock_SourceData.SourceData_Livestock_Common_SymbolsMMS_Data(), Table_Data_MMSSymbols[[#Headers],[Symbol]], 0)</f>
        <v>Manure stored in house</v>
      </c>
      <c r="F24" s="30" t="str" cm="1">
        <f t="array" ref="F24">Common_InputFunctions.Utility_DisplayArrayInTable(CommonLivestock_SourceData.SourceData_Livestock_Common_SymbolsMMS_Data(), Table_Data_MMSSymbols[[#Headers],[Symbol]], 0)</f>
        <v>Manure stored in house (m=11b)</v>
      </c>
      <c r="G24" s="35"/>
    </row>
    <row r="25" spans="1:8" ht="20.100000000000001" customHeight="1" x14ac:dyDescent="0.25">
      <c r="A25" s="5" t="str">
        <f>HYPERLINK("#'5.1.1.3-4 Inorganic fert CO2'!A1", "5.1.1.3-4 Inorganic fert CO2")</f>
        <v>5.1.1.3-4 Inorganic fert CO2</v>
      </c>
      <c r="D25" s="30" t="str" cm="1">
        <f t="array" ref="D25">Common_InputFunctions.Utility_DisplayArrayInTable(CommonLivestock_SourceData.SourceData_Livestock_Common_SymbolsMMS_Data(), Table_Data_MMSSymbols[[#Headers],[Symbol]], 0)</f>
        <v>12</v>
      </c>
      <c r="E25" s="30" t="str" cm="1">
        <f t="array" ref="E25">Common_InputFunctions.Utility_DisplayArrayInTable(CommonLivestock_SourceData.SourceData_Livestock_Common_SymbolsMMS_Data(), Table_Data_MMSSymbols[[#Headers],[Symbol]], 0)</f>
        <v>Direct processing</v>
      </c>
      <c r="F25" s="30" t="str" cm="1">
        <f t="array" ref="F25">Common_InputFunctions.Utility_DisplayArrayInTable(CommonLivestock_SourceData.SourceData_Livestock_Common_SymbolsMMS_Data(), Table_Data_MMSSymbols[[#Headers],[Symbol]], 0)</f>
        <v>Direct processing (m=12)</v>
      </c>
      <c r="G25" s="35"/>
    </row>
    <row r="26" spans="1:8" ht="20.100000000000001" customHeight="1" x14ac:dyDescent="0.25">
      <c r="A26" s="5" t="str">
        <f>HYPERLINK("#'5.2.1.1-2 Organic Fert N2O'!A1", "5.2.1.1-2 Organic fert N2O")</f>
        <v>5.2.1.1-2 Organic fert N2O</v>
      </c>
      <c r="D26" s="30" t="str" cm="1">
        <f t="array" ref="D26">Common_InputFunctions.Utility_DisplayArrayInTable(CommonLivestock_SourceData.SourceData_Livestock_Common_SymbolsMMS_Data(), Table_Data_MMSSymbols[[#Headers],[Symbol]], 0)</f>
        <v>13</v>
      </c>
      <c r="E26" s="30" t="str" cm="1">
        <f t="array" ref="E26">Common_InputFunctions.Utility_DisplayArrayInTable(CommonLivestock_SourceData.SourceData_Livestock_Common_SymbolsMMS_Data(), Table_Data_MMSSymbols[[#Headers],[Symbol]], 0)</f>
        <v>Direct application</v>
      </c>
      <c r="F26" s="30" t="str" cm="1">
        <f t="array" ref="F26">Common_InputFunctions.Utility_DisplayArrayInTable(CommonLivestock_SourceData.SourceData_Livestock_Common_SymbolsMMS_Data(), Table_Data_MMSSymbols[[#Headers],[Symbol]], 0)</f>
        <v>Direct application (m=13)</v>
      </c>
      <c r="G26" s="35"/>
    </row>
    <row r="27" spans="1:8" ht="20.100000000000001" customHeight="1" x14ac:dyDescent="0.25">
      <c r="A27" s="5" t="str">
        <f>HYPERLINK("#'5.3.1.1-2 Lime CO2'!A1", "5.3.1.1-2 Lime CO2")</f>
        <v>5.3.1.1-2 Lime CO2</v>
      </c>
      <c r="D27" s="30" t="str" cm="1">
        <f t="array" ref="D27">Common_InputFunctions.Utility_DisplayArrayInTable(CommonLivestock_SourceData.SourceData_Livestock_Common_SymbolsMMS_Data(), Table_Data_MMSSymbols[[#Headers],[Symbol]], 0)</f>
        <v>14</v>
      </c>
      <c r="E27" s="30" t="str" cm="1">
        <f t="array" ref="E27">Common_InputFunctions.Utility_DisplayArrayInTable(CommonLivestock_SourceData.SourceData_Livestock_Common_SymbolsMMS_Data(), Table_Data_MMSSymbols[[#Headers],[Symbol]], 0)</f>
        <v>Pasture range and paddock</v>
      </c>
      <c r="F27" s="30" t="str" cm="1">
        <f t="array" ref="F27">Common_InputFunctions.Utility_DisplayArrayInTable(CommonLivestock_SourceData.SourceData_Livestock_Common_SymbolsMMS_Data(), Table_Data_MMSSymbols[[#Headers],[Symbol]], 0)</f>
        <v>Pasture range and paddock (m=14)</v>
      </c>
      <c r="G27" s="35"/>
    </row>
    <row r="28" spans="1:8" ht="20.100000000000001" customHeight="1" x14ac:dyDescent="0.25">
      <c r="A28" s="5" t="str">
        <f>HYPERLINK("#'5.4.1.1-4 Atmos deposition'!A1", "5.4.1.1-4 Atmos. deposition")</f>
        <v>5.4.1.1-4 Atmos. deposition</v>
      </c>
      <c r="G28" s="35"/>
      <c r="H28" s="35"/>
    </row>
    <row r="29" spans="1:8" ht="20.100000000000001" customHeight="1" x14ac:dyDescent="0.25">
      <c r="A29" s="5" t="str">
        <f>HYPERLINK("#'5.5.1.1-2 Leaching and runoff'!A1", "5.5.1.1-2 Leaching &amp; runoff")</f>
        <v>5.5.1.1-2 Leaching &amp; runoff</v>
      </c>
      <c r="D29" s="2" t="str" cm="1">
        <f t="array" ref="D29">CommonLivestock_SourceData.SourceData_Livestock_Product_BeefCattle_Title()</f>
        <v>Beef cattle products for scope 3</v>
      </c>
    </row>
    <row r="30" spans="1:8" ht="20.100000000000001" customHeight="1" x14ac:dyDescent="0.25">
      <c r="A30" s="5" t="str">
        <f>HYPERLINK("#'6.2.1.1-2 Pasture residue N2O'!A1", "6.2.1.1-2 Pasture residue N2O")</f>
        <v>6.2.1.1-2 Pasture residue N2O</v>
      </c>
      <c r="D30" s="27" t="str" cm="1">
        <f t="array" ref="D30">CommonLivestock_SourceData.SourceData_Livestock_Product_BeefCattle_Source()</f>
        <v>Lifecycles. (2026). Greenhouse Gas Emission Intensities for Material Inputs to Australian Agriculture, Fisheries and Forestry. Version 48. doi 10.5281/zenodo.19656580</v>
      </c>
    </row>
    <row r="31" spans="1:8" ht="20.100000000000001" customHeight="1" x14ac:dyDescent="0.25">
      <c r="A31" s="5" t="str">
        <f>HYPERLINK("#'6.3.1.1-2 Leach runoff pasture'!A1", "6.3.1.1-2 Leach &amp; runoff (pasture)")</f>
        <v>6.3.1.1-2 Leach &amp; runoff (pasture)</v>
      </c>
      <c r="D31" s="30" t="s">
        <v>153</v>
      </c>
      <c r="E31" s="30" t="s">
        <v>865</v>
      </c>
      <c r="F31" s="1" t="s">
        <v>866</v>
      </c>
    </row>
    <row r="32" spans="1:8" ht="20.100000000000001" customHeight="1" x14ac:dyDescent="0.25">
      <c r="A32" s="5" t="str">
        <f>HYPERLINK("#'8.1.1.1-2 Transport fuel'!A1", "8.1.1.1-2 Transport fuel")</f>
        <v>8.1.1.1-2 Transport fuel</v>
      </c>
      <c r="D32" s="30" t="str" cm="1">
        <f t="array" ref="D32">Common_InputFunctions.Utility_DisplayArrayInTable(CommonLivestock_SourceData.SourceData_Livestock_Product_BeefCattle_Data(),Table_SourceData_LivestockProduct_Beefcattle[[#Headers],[Product]],0)</f>
        <v>Cattle, for manufacturing beef</v>
      </c>
      <c r="E32" s="30" t="str" cm="1">
        <f t="array" ref="E32">Common_InputFunctions.Utility_DisplayArrayInTable(CommonLivestock_SourceData.SourceData_Livestock_Product_BeefCattle_Data(),Table_SourceData_LivestockProduct_Beefcattle[[#Headers],[Product]],0)</f>
        <v>Australia</v>
      </c>
    </row>
    <row r="33" spans="1:6" ht="20.100000000000001" customHeight="1" x14ac:dyDescent="0.25">
      <c r="A33" s="5" t="str">
        <f>HYPERLINK("#'8.2.1.1-2 Stationary fuel'!A1", "8.2.1.1-2 Stationary fuel")</f>
        <v>8.2.1.1-2 Stationary fuel</v>
      </c>
      <c r="D33" s="1" t="str" cm="1">
        <f t="array" ref="D33">Common_InputFunctions.Utility_DisplayArrayInTable(CommonLivestock_SourceData.SourceData_Livestock_Product_BeefCattle_Data(),Table_SourceData_LivestockProduct_Beefcattle[[#Headers],[Product]],0)</f>
        <v>Cattle, for prime beef</v>
      </c>
      <c r="E33" s="30" t="str" cm="1">
        <f t="array" ref="E33">Common_InputFunctions.Utility_DisplayArrayInTable(CommonLivestock_SourceData.SourceData_Livestock_Product_BeefCattle_Data(),Table_SourceData_LivestockProduct_Beefcattle[[#Headers],[Product]],0)</f>
        <v>NSW</v>
      </c>
    </row>
    <row r="34" spans="1:6" ht="20.100000000000001" customHeight="1" x14ac:dyDescent="0.25">
      <c r="A34" s="5" t="str">
        <f>HYPERLINK("#'14.1.1-2 Purchased electricity'!A1", "14.1.1-2 Purchased electricity")</f>
        <v>14.1.1-2 Purchased electricity</v>
      </c>
      <c r="D34" s="1" t="str" cm="1">
        <f t="array" ref="D34">Common_InputFunctions.Utility_DisplayArrayInTable(CommonLivestock_SourceData.SourceData_Livestock_Product_BeefCattle_Data(),Table_SourceData_LivestockProduct_Beefcattle[[#Headers],[Product]],0)</f>
        <v>Cattle, weaners</v>
      </c>
      <c r="E34" s="30" t="str" cm="1">
        <f t="array" ref="E34">Common_InputFunctions.Utility_DisplayArrayInTable(CommonLivestock_SourceData.SourceData_Livestock_Product_BeefCattle_Data(),Table_SourceData_LivestockProduct_Beefcattle[[#Headers],[Product]],0)</f>
        <v>NT</v>
      </c>
    </row>
    <row r="35" spans="1:6" ht="20.100000000000001" customHeight="1" x14ac:dyDescent="0.25">
      <c r="D35" s="1" t="str" cm="1">
        <f t="array" ref="D35">Common_InputFunctions.Utility_DisplayArrayInTable(CommonLivestock_SourceData.SourceData_Livestock_Product_BeefCattle_Data(),Table_SourceData_LivestockProduct_Beefcattle[[#Headers],[Product]],0)</f>
        <v/>
      </c>
      <c r="E35" s="30" t="str" cm="1">
        <f t="array" ref="E35">Common_InputFunctions.Utility_DisplayArrayInTable(CommonLivestock_SourceData.SourceData_Livestock_Product_BeefCattle_Data(),Table_SourceData_LivestockProduct_Beefcattle[[#Headers],[Product]],0)</f>
        <v>QLD</v>
      </c>
    </row>
    <row r="36" spans="1:6" ht="20.100000000000001" customHeight="1" x14ac:dyDescent="0.25">
      <c r="D36" s="1" t="str" cm="1">
        <f t="array" ref="D36">Common_InputFunctions.Utility_DisplayArrayInTable(CommonLivestock_SourceData.SourceData_Livestock_Product_BeefCattle_Data(),Table_SourceData_LivestockProduct_Beefcattle[[#Headers],[Product]],0)</f>
        <v/>
      </c>
      <c r="E36" s="30" t="str" cm="1">
        <f t="array" ref="E36">Common_InputFunctions.Utility_DisplayArrayInTable(CommonLivestock_SourceData.SourceData_Livestock_Product_BeefCattle_Data(),Table_SourceData_LivestockProduct_Beefcattle[[#Headers],[Product]],0)</f>
        <v>SA</v>
      </c>
    </row>
    <row r="37" spans="1:6" ht="20.100000000000001" customHeight="1" x14ac:dyDescent="0.25">
      <c r="A37" s="251" t="s">
        <v>1</v>
      </c>
      <c r="D37" s="1" t="str" cm="1">
        <f t="array" ref="D37">Common_InputFunctions.Utility_DisplayArrayInTable(CommonLivestock_SourceData.SourceData_Livestock_Product_BeefCattle_Data(),Table_SourceData_LivestockProduct_Beefcattle[[#Headers],[Product]],0)</f>
        <v/>
      </c>
      <c r="E37" s="30" t="str" cm="1">
        <f t="array" ref="E37">Common_InputFunctions.Utility_DisplayArrayInTable(CommonLivestock_SourceData.SourceData_Livestock_Product_BeefCattle_Data(),Table_SourceData_LivestockProduct_Beefcattle[[#Headers],[Product]],0)</f>
        <v>TAS</v>
      </c>
    </row>
    <row r="38" spans="1:6" ht="20.100000000000001" customHeight="1" x14ac:dyDescent="0.25">
      <c r="A38" s="5" t="str">
        <f>HYPERLINK("#'Constants - Pasture Beef'!A1", "Constants - Pasture Beef")</f>
        <v>Constants - Pasture Beef</v>
      </c>
      <c r="D38" s="1" t="str" cm="1">
        <f t="array" ref="D38">Common_InputFunctions.Utility_DisplayArrayInTable(CommonLivestock_SourceData.SourceData_Livestock_Product_BeefCattle_Data(),Table_SourceData_LivestockProduct_Beefcattle[[#Headers],[Product]],0)</f>
        <v/>
      </c>
      <c r="E38" s="30" t="str" cm="1">
        <f t="array" ref="E38">Common_InputFunctions.Utility_DisplayArrayInTable(CommonLivestock_SourceData.SourceData_Livestock_Product_BeefCattle_Data(),Table_SourceData_LivestockProduct_Beefcattle[[#Headers],[Product]],0)</f>
        <v>VIC</v>
      </c>
    </row>
    <row r="39" spans="1:6" ht="20.100000000000001" customHeight="1" x14ac:dyDescent="0.25">
      <c r="A39" s="5" t="str">
        <f>HYPERLINK("#'Constants - Ag Residue'!A1", "Constants - Ag residue")</f>
        <v>Constants - Ag residue</v>
      </c>
      <c r="D39" s="1" t="str" cm="1">
        <f t="array" ref="D39">Common_InputFunctions.Utility_DisplayArrayInTable(CommonLivestock_SourceData.SourceData_Livestock_Product_BeefCattle_Data(),Table_SourceData_LivestockProduct_Beefcattle[[#Headers],[Product]],0)</f>
        <v/>
      </c>
      <c r="E39" s="30" t="str" cm="1">
        <f t="array" ref="E39">Common_InputFunctions.Utility_DisplayArrayInTable(CommonLivestock_SourceData.SourceData_Livestock_Product_BeefCattle_Data(),Table_SourceData_LivestockProduct_Beefcattle[[#Headers],[Product]],0)</f>
        <v>WA</v>
      </c>
    </row>
    <row r="40" spans="1:6" ht="20.100000000000001" customHeight="1" x14ac:dyDescent="0.25">
      <c r="A40" s="126" t="str">
        <f>HYPERLINK("#'Constants - Common Livestock'!A1", "Constants - Common Livestock")</f>
        <v>Constants - Common Livestock</v>
      </c>
    </row>
    <row r="41" spans="1:6" ht="20.100000000000001" customHeight="1" x14ac:dyDescent="0.25">
      <c r="A41" s="5" t="str">
        <f>HYPERLINK("#'Constants - Electricity'!A1", "Constants - Electricity")</f>
        <v>Constants - Electricity</v>
      </c>
      <c r="D41" s="2" t="str" cm="1">
        <f t="array" ref="D41">CommonLivestock_SourceData.SourceData_Livestock_Product_Sheep_Title()</f>
        <v>Sheep products for scope 3</v>
      </c>
    </row>
    <row r="42" spans="1:6" ht="20.100000000000001" customHeight="1" x14ac:dyDescent="0.25">
      <c r="A42" s="5" t="str">
        <f>HYPERLINK("#'Constants - Fertiliser'!A1", "Constants - Fertiliser")</f>
        <v>Constants - Fertiliser</v>
      </c>
      <c r="D42" s="27" t="str" cm="1">
        <f t="array" ref="D42">CommonLivestock_SourceData.SourceData_Livestock_Product_Sheep_Source()</f>
        <v>Lifecycles. (2026). Greenhouse Gas Emission Intensities for Material Inputs to Australian Agriculture, Fisheries and Forestry. Version 48. doi 10.5281/zenodo.19656580</v>
      </c>
    </row>
    <row r="43" spans="1:6" ht="20.100000000000001" customHeight="1" x14ac:dyDescent="0.25">
      <c r="A43" s="5" t="str">
        <f>HYPERLINK("#'Constants - Fuel'!A1", "Constants - Fuel")</f>
        <v>Constants - Fuel</v>
      </c>
      <c r="D43" s="30" t="s">
        <v>153</v>
      </c>
      <c r="E43" s="30" t="s">
        <v>865</v>
      </c>
      <c r="F43" s="1" t="s">
        <v>867</v>
      </c>
    </row>
    <row r="44" spans="1:6" ht="20.100000000000001" customHeight="1" x14ac:dyDescent="0.25">
      <c r="A44" s="5" t="str">
        <f>HYPERLINK("#'Constants - Common'!A1", "Constants - Common")</f>
        <v>Constants - Common</v>
      </c>
      <c r="D44" s="30" t="str" cm="1">
        <f t="array" ref="D44">Common_InputFunctions.Utility_DisplayArrayInTable(CommonLivestock_SourceData.SourceData_Livestock_Product_Sheep_Data(),Table_SourceData_LivestockProduct_Sheep[[#Headers],[Product]],0)</f>
        <v>Sheep, for mutton</v>
      </c>
      <c r="E44" s="30" t="str" cm="1">
        <f t="array" ref="E44">Common_InputFunctions.Utility_DisplayArrayInTable(CommonLivestock_SourceData.SourceData_Livestock_Product_Sheep_Data(),Table_SourceData_LivestockProduct_Sheep[[#Headers],[Product]],0)</f>
        <v>Australia</v>
      </c>
    </row>
    <row r="45" spans="1:6" ht="20.100000000000001" customHeight="1" x14ac:dyDescent="0.25">
      <c r="A45" s="5" t="str">
        <f>HYPERLINK("#'Acknowledgements'!A1", "Acknowledgements")</f>
        <v>Acknowledgements</v>
      </c>
      <c r="D45" s="30" t="str" cm="1">
        <f t="array" ref="D45">Common_InputFunctions.Utility_DisplayArrayInTable(CommonLivestock_SourceData.SourceData_Livestock_Product_Sheep_Data(),Table_SourceData_LivestockProduct_Sheep[[#Headers],[Product]],0)</f>
        <v>Sheep, for prime lamb</v>
      </c>
      <c r="E45" s="30" t="str" cm="1">
        <f t="array" ref="E45">Common_InputFunctions.Utility_DisplayArrayInTable(CommonLivestock_SourceData.SourceData_Livestock_Product_Sheep_Data(),Table_SourceData_LivestockProduct_Sheep[[#Headers],[Product]],0)</f>
        <v>NSW</v>
      </c>
    </row>
    <row r="46" spans="1:6" ht="20.100000000000001" customHeight="1" x14ac:dyDescent="0.25">
      <c r="A46" s="5" t="str">
        <f>HYPERLINK("#'Overview'!A1", "Overview")</f>
        <v>Overview</v>
      </c>
      <c r="D46" s="30" t="str" cm="1">
        <f t="array" ref="D46">Common_InputFunctions.Utility_DisplayArrayInTable(CommonLivestock_SourceData.SourceData_Livestock_Product_Sheep_Data(),Table_SourceData_LivestockProduct_Sheep[[#Headers],[Product]],0)</f>
        <v/>
      </c>
      <c r="E46" s="30" t="str" cm="1">
        <f t="array" ref="E46">Common_InputFunctions.Utility_DisplayArrayInTable(CommonLivestock_SourceData.SourceData_Livestock_Product_Sheep_Data(),Table_SourceData_LivestockProduct_Sheep[[#Headers],[Product]],0)</f>
        <v>QLD</v>
      </c>
    </row>
    <row r="47" spans="1:6" ht="20.100000000000001" customHeight="1" x14ac:dyDescent="0.25">
      <c r="D47" s="30" t="str" cm="1">
        <f t="array" ref="D47">Common_InputFunctions.Utility_DisplayArrayInTable(CommonLivestock_SourceData.SourceData_Livestock_Product_Sheep_Data(),Table_SourceData_LivestockProduct_Sheep[[#Headers],[Product]],0)</f>
        <v/>
      </c>
      <c r="E47" s="30" t="str" cm="1">
        <f t="array" ref="E47">Common_InputFunctions.Utility_DisplayArrayInTable(CommonLivestock_SourceData.SourceData_Livestock_Product_Sheep_Data(),Table_SourceData_LivestockProduct_Sheep[[#Headers],[Product]],0)</f>
        <v>SA</v>
      </c>
    </row>
    <row r="48" spans="1:6" ht="20.100000000000001" customHeight="1" x14ac:dyDescent="0.25">
      <c r="D48" s="30" t="str" cm="1">
        <f t="array" ref="D48">Common_InputFunctions.Utility_DisplayArrayInTable(CommonLivestock_SourceData.SourceData_Livestock_Product_Sheep_Data(),Table_SourceData_LivestockProduct_Sheep[[#Headers],[Product]],0)</f>
        <v/>
      </c>
      <c r="E48" s="30" t="str" cm="1">
        <f t="array" ref="E48">Common_InputFunctions.Utility_DisplayArrayInTable(CommonLivestock_SourceData.SourceData_Livestock_Product_Sheep_Data(),Table_SourceData_LivestockProduct_Sheep[[#Headers],[Product]],0)</f>
        <v>TAS</v>
      </c>
    </row>
    <row r="49" spans="4:6" ht="20.100000000000001" customHeight="1" x14ac:dyDescent="0.25">
      <c r="D49" s="30" t="str" cm="1">
        <f t="array" ref="D49">Common_InputFunctions.Utility_DisplayArrayInTable(CommonLivestock_SourceData.SourceData_Livestock_Product_Sheep_Data(),Table_SourceData_LivestockProduct_Sheep[[#Headers],[Product]],0)</f>
        <v/>
      </c>
      <c r="E49" s="30" t="str" cm="1">
        <f t="array" ref="E49">Common_InputFunctions.Utility_DisplayArrayInTable(CommonLivestock_SourceData.SourceData_Livestock_Product_Sheep_Data(),Table_SourceData_LivestockProduct_Sheep[[#Headers],[Product]],0)</f>
        <v>VIC</v>
      </c>
    </row>
    <row r="50" spans="4:6" ht="20.100000000000001" customHeight="1" x14ac:dyDescent="0.25">
      <c r="D50" s="30" t="str" cm="1">
        <f t="array" ref="D50">Common_InputFunctions.Utility_DisplayArrayInTable(CommonLivestock_SourceData.SourceData_Livestock_Product_Sheep_Data(),Table_SourceData_LivestockProduct_Sheep[[#Headers],[Product]],0)</f>
        <v/>
      </c>
      <c r="E50" s="30" t="str" cm="1">
        <f t="array" ref="E50">Common_InputFunctions.Utility_DisplayArrayInTable(CommonLivestock_SourceData.SourceData_Livestock_Product_Sheep_Data(),Table_SourceData_LivestockProduct_Sheep[[#Headers],[Product]],0)</f>
        <v>WA</v>
      </c>
    </row>
    <row r="51" spans="4:6" ht="20.100000000000001" customHeight="1" x14ac:dyDescent="0.25"/>
    <row r="52" spans="4:6" ht="20.100000000000001" customHeight="1" x14ac:dyDescent="0.25">
      <c r="D52" s="2" t="str" cm="1">
        <f t="array" ref="D52">CommonLivestock_SourceData.SourceData_Livestock_Product_Chickens_Title()</f>
        <v>Chickens products for scope 3</v>
      </c>
    </row>
    <row r="53" spans="4:6" ht="20.100000000000001" customHeight="1" x14ac:dyDescent="0.25">
      <c r="D53" s="27" t="str" cm="1">
        <f t="array" ref="D53">CommonLivestock_SourceData.SourceData_Livestock_Product_Chickens_Source()</f>
        <v>Lifecycles. (2026). Greenhouse Gas Emission Intensities for Material Inputs to Australian Agriculture, Fisheries and Forestry. Version 48. doi 10.5281/zenodo.19656580</v>
      </c>
    </row>
    <row r="54" spans="4:6" ht="20.100000000000001" customHeight="1" x14ac:dyDescent="0.25">
      <c r="D54" s="30" t="s">
        <v>153</v>
      </c>
      <c r="E54" s="30" t="s">
        <v>865</v>
      </c>
      <c r="F54" s="1" t="s">
        <v>868</v>
      </c>
    </row>
    <row r="55" spans="4:6" ht="20.100000000000001" customHeight="1" x14ac:dyDescent="0.25">
      <c r="D55" s="30" t="str" cm="1">
        <f t="array" ref="D55">Common_InputFunctions.Utility_DisplayArrayInTable(CommonLivestock_SourceData.SourceData_Livestock_Product_Chickens_Data(),Table_SourceData_LivestockProduct_Chickens[[#Headers],[Product]],0)</f>
        <v>Chickens</v>
      </c>
      <c r="E55" s="30" t="str" cm="1">
        <f t="array" ref="E55">Common_InputFunctions.Utility_DisplayArrayInTable(CommonLivestock_SourceData.SourceData_Livestock_Product_Chickens_Data(),Table_SourceData_LivestockProduct_Chickens[[#Headers],[Product]],0)</f>
        <v>Australia</v>
      </c>
    </row>
    <row r="56" spans="4:6" ht="20.100000000000001" customHeight="1" x14ac:dyDescent="0.25"/>
    <row r="57" spans="4:6" ht="20.100000000000001" customHeight="1" x14ac:dyDescent="0.25">
      <c r="D57" s="2" t="str" cm="1">
        <f t="array" ref="D57">CommonLivestock_SourceData.SourceData_Livestock_Product_Dairycattle_Title()</f>
        <v>Dairy cattle products for scope 3</v>
      </c>
    </row>
    <row r="58" spans="4:6" ht="20.100000000000001" customHeight="1" x14ac:dyDescent="0.25">
      <c r="D58" s="27" t="str" cm="1">
        <f t="array" ref="D58">CommonLivestock_SourceData.SourceData_Livestock_Product_Dairycattle_Source()</f>
        <v>Lifecycles. (2026). Greenhouse Gas Emission Intensities for Material Inputs to Australian Agriculture, Fisheries and Forestry. Version 48. doi 10.5281/zenodo.19656580</v>
      </c>
    </row>
    <row r="59" spans="4:6" ht="20.100000000000001" customHeight="1" x14ac:dyDescent="0.25">
      <c r="D59" s="30" t="s">
        <v>153</v>
      </c>
      <c r="E59" s="30" t="s">
        <v>865</v>
      </c>
      <c r="F59" s="1" t="s">
        <v>869</v>
      </c>
    </row>
    <row r="60" spans="4:6" ht="20.100000000000001" customHeight="1" x14ac:dyDescent="0.25">
      <c r="D60" s="30" t="str" cm="1">
        <f t="array" ref="D60">Common_InputFunctions.Utility_DisplayArrayInTable(CommonLivestock_SourceData.SourceData_Livestock_Product_Dairycattle_Data(),Table_SourceData_LivestockProduct_Dairycattle[[#Headers],[Product]],0)</f>
        <v>Dairy cows</v>
      </c>
      <c r="E60" s="30" t="str" cm="1">
        <f t="array" ref="E60">Common_InputFunctions.Utility_DisplayArrayInTable(CommonLivestock_SourceData.SourceData_Livestock_Product_Dairycattle_Data(),Table_SourceData_LivestockProduct_Dairycattle[[#Headers],[Product]],0)</f>
        <v>VIC</v>
      </c>
    </row>
    <row r="61" spans="4:6" ht="20.100000000000001" customHeight="1" x14ac:dyDescent="0.25"/>
    <row r="62" spans="4:6" ht="20.100000000000001" customHeight="1" x14ac:dyDescent="0.25">
      <c r="D62" s="2" t="str" cm="1">
        <f t="array" ref="D62">CommonLivestock_SourceData.SourceData_Livestock_Product_Pigs_Title()</f>
        <v>Pigs products for scope 3</v>
      </c>
    </row>
    <row r="63" spans="4:6" ht="20.100000000000001" customHeight="1" x14ac:dyDescent="0.25">
      <c r="D63" s="27" t="str" cm="1">
        <f t="array" ref="D63">CommonLivestock_SourceData.SourceData_Livestock_Product_Pigs_Source()</f>
        <v>Lifecycles. (2026). Greenhouse Gas Emission Intensities for Material Inputs to Australian Agriculture, Fisheries and Forestry. Version 48. doi 10.5281/zenodo.19656580</v>
      </c>
    </row>
    <row r="64" spans="4:6" x14ac:dyDescent="0.25">
      <c r="D64" s="30" t="s">
        <v>153</v>
      </c>
      <c r="E64" s="30" t="s">
        <v>865</v>
      </c>
      <c r="F64" s="1" t="s">
        <v>870</v>
      </c>
    </row>
    <row r="65" spans="4:5" x14ac:dyDescent="0.25">
      <c r="D65" s="30" t="str" cm="1">
        <f t="array" ref="D65">Common_InputFunctions.Utility_DisplayArrayInTable(CommonLivestock_SourceData.SourceData_Livestock_Product_Pigs_Data(),Table_SourceData_LivestockProduct_Pigs[[#Headers],[Product]],0)</f>
        <v>Pigs</v>
      </c>
      <c r="E65" s="30" t="str" cm="1">
        <f t="array" ref="E65">Common_InputFunctions.Utility_DisplayArrayInTable(CommonLivestock_SourceData.SourceData_Livestock_Product_Pigs_Data(),Table_SourceData_LivestockProduct_Pigs[[#Headers],[Product]],0)</f>
        <v>Australia</v>
      </c>
    </row>
  </sheetData>
  <pageMargins left="0.7" right="0.7" top="0.75" bottom="0.75" header="0.3" footer="0.3"/>
  <pageSetup paperSize="9" orientation="portrait" r:id="rId1"/>
  <tableParts count="6">
    <tablePart r:id="rId2"/>
    <tablePart r:id="rId3"/>
    <tablePart r:id="rId4"/>
    <tablePart r:id="rId5"/>
    <tablePart r:id="rId6"/>
    <tablePart r:id="rId7"/>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E249B-2684-4DEA-99C3-9D1A0FE2AD3C}">
  <dimension ref="A1:AI165"/>
  <sheetViews>
    <sheetView showGridLines="0" topLeftCell="A7" zoomScaleNormal="100" workbookViewId="0">
      <selection activeCell="A46" sqref="A46"/>
    </sheetView>
  </sheetViews>
  <sheetFormatPr defaultRowHeight="15.75" x14ac:dyDescent="0.25"/>
  <cols>
    <col min="1" max="1" width="30.7109375" customWidth="1"/>
    <col min="2" max="2" width="4.7109375" customWidth="1"/>
    <col min="3" max="3" width="4.7109375" style="1" customWidth="1"/>
    <col min="4" max="4" width="39.140625" style="1" customWidth="1"/>
    <col min="5" max="5" width="30.7109375" style="1" customWidth="1"/>
    <col min="6" max="6" width="29.5703125" style="1" customWidth="1"/>
    <col min="7" max="8" width="43.42578125" style="1" customWidth="1"/>
    <col min="9" max="9" width="43.5703125" style="1" customWidth="1"/>
    <col min="10" max="10" width="37.5703125" style="1" customWidth="1"/>
    <col min="11" max="11" width="33.5703125" style="1" customWidth="1"/>
    <col min="12" max="31" width="20.7109375" style="1" customWidth="1"/>
    <col min="32" max="32" width="4.7109375" style="1" customWidth="1"/>
  </cols>
  <sheetData>
    <row r="1" spans="1:35" s="31" customFormat="1" ht="30" customHeight="1" x14ac:dyDescent="0.35">
      <c r="A1" s="16" t="e" vm="1">
        <v>#VALUE!</v>
      </c>
      <c r="C1" s="31" t="s">
        <v>694</v>
      </c>
      <c r="AG1"/>
      <c r="AH1"/>
      <c r="AI1"/>
    </row>
    <row r="2" spans="1:35" s="3" customFormat="1" ht="20.100000000000001" customHeight="1" x14ac:dyDescent="0.25">
      <c r="A2"/>
      <c r="AG2"/>
      <c r="AH2"/>
      <c r="AI2"/>
    </row>
    <row r="3" spans="1:35" ht="20.100000000000001" customHeight="1" x14ac:dyDescent="0.25">
      <c r="A3" s="5" t="str">
        <f>HYPERLINK("#'Home'!A1", "Home")</f>
        <v>Home</v>
      </c>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row>
    <row r="4" spans="1:35" ht="20.100000000000001" customHeight="1" x14ac:dyDescent="0.25">
      <c r="A4" s="5" t="str">
        <f>HYPERLINK("#'Results'!A1", "Results")</f>
        <v>Results</v>
      </c>
    </row>
    <row r="5" spans="1:35" ht="20.100000000000001" customHeight="1" x14ac:dyDescent="0.25">
      <c r="D5" s="2" t="str" cm="1">
        <f t="array" ref="D5">Electricity_SourceData.Electricity_Scope2Scope3LocationBased_Title()</f>
        <v>Electricity scope 2 and scope 3 location-based emission factors</v>
      </c>
    </row>
    <row r="6" spans="1:35" ht="20.100000000000001" customHeight="1" x14ac:dyDescent="0.25">
      <c r="D6" s="27" t="str" cm="1">
        <f t="array" ref="D6">Electricity_SourceData.Electricity_Scope2Scope3LocationBased_Source()</f>
        <v>Australian National Greenhouse Accounts Factors 2025 - Table 1</v>
      </c>
      <c r="E6" s="8"/>
      <c r="F6" s="8"/>
    </row>
    <row r="7" spans="1:35" ht="20.100000000000001" customHeight="1" x14ac:dyDescent="0.25">
      <c r="A7" s="7" t="s">
        <v>0</v>
      </c>
      <c r="D7" s="36" t="str" cm="1">
        <f t="array" ref="D7">"⚠️" &amp; Electricity_SourceData.Electricity_Scope2Scope3LocationBased_Variation()</f>
        <v>⚠️VARIATION OF SOURCE DATA: NSW and ACT split into separate rows.</v>
      </c>
      <c r="E7" s="8"/>
      <c r="F7" s="8"/>
    </row>
    <row r="8" spans="1:35" ht="20.100000000000001" customHeight="1" x14ac:dyDescent="0.25">
      <c r="A8" s="5" t="str">
        <f>HYPERLINK("#'Input - Enterprise'!A1", "Enterprise")</f>
        <v>Enterprise</v>
      </c>
      <c r="D8" s="8"/>
      <c r="E8" s="8"/>
      <c r="F8" s="8"/>
    </row>
    <row r="9" spans="1:35" ht="20.100000000000001" customHeight="1" x14ac:dyDescent="0.25">
      <c r="A9" s="5" t="str">
        <f>HYPERLINK("#'Input - Site'!A1", "Site")</f>
        <v>Site</v>
      </c>
      <c r="D9" s="195" t="s">
        <v>695</v>
      </c>
      <c r="E9" s="195" t="s">
        <v>696</v>
      </c>
      <c r="F9" s="195" t="s">
        <v>697</v>
      </c>
    </row>
    <row r="10" spans="1:35" ht="20.100000000000001" customHeight="1" x14ac:dyDescent="0.25">
      <c r="A10" s="5" t="str">
        <f>HYPERLINK("#'Input - Pasture Beef'!A1", "Pasture Beef")</f>
        <v>Pasture Beef</v>
      </c>
      <c r="D10" t="str" cm="1">
        <f t="array" ref="D10">Common_InputFunctions.Utility_DisplayArrayInTable(Electricity_SourceData.Electricity_Scope2Scope3LocationBased_Data(), Table_SourceData_ElectricityEFs[[#Headers],[State, Territory or grid description]], 0)</f>
        <v>New South Wales</v>
      </c>
      <c r="E10" cm="1">
        <f t="array" ref="E10">Common_InputFunctions.Utility_DisplayArrayInTable(Electricity_SourceData.Electricity_Scope2Scope3LocationBased_Data(), Table_SourceData_ElectricityEFs[[#Headers],[State, Territory or grid description]], 0)</f>
        <v>0.64</v>
      </c>
      <c r="F10" cm="1">
        <f t="array" ref="F10">Common_InputFunctions.Utility_DisplayArrayInTable(Electricity_SourceData.Electricity_Scope2Scope3LocationBased_Data(), Table_SourceData_ElectricityEFs[[#Headers],[State, Territory or grid description]], 0)</f>
        <v>0.03</v>
      </c>
    </row>
    <row r="11" spans="1:35" ht="20.100000000000001" customHeight="1" x14ac:dyDescent="0.25">
      <c r="A11" s="5" t="str">
        <f>HYPERLINK("#'Input - Pasture Beef (Enteric)'!A1", "Pasture Beef (Enteric)")</f>
        <v>Pasture Beef (Enteric)</v>
      </c>
      <c r="D11" t="str" cm="1">
        <f t="array" ref="D11">Common_InputFunctions.Utility_DisplayArrayInTable(Electricity_SourceData.Electricity_Scope2Scope3LocationBased_Data(), Table_SourceData_ElectricityEFs[[#Headers],[State, Territory or grid description]], 0)</f>
        <v>ACT</v>
      </c>
      <c r="E11" cm="1">
        <f t="array" ref="E11">Common_InputFunctions.Utility_DisplayArrayInTable(Electricity_SourceData.Electricity_Scope2Scope3LocationBased_Data(), Table_SourceData_ElectricityEFs[[#Headers],[State, Territory or grid description]], 0)</f>
        <v>0.64</v>
      </c>
      <c r="F11" cm="1">
        <f t="array" ref="F11">Common_InputFunctions.Utility_DisplayArrayInTable(Electricity_SourceData.Electricity_Scope2Scope3LocationBased_Data(), Table_SourceData_ElectricityEFs[[#Headers],[State, Territory or grid description]], 0)</f>
        <v>0.03</v>
      </c>
    </row>
    <row r="12" spans="1:35" ht="20.100000000000001" customHeight="1" x14ac:dyDescent="0.25">
      <c r="A12" s="5" t="str">
        <f>HYPERLINK("#'Input - Pasture'!A1", "Pasture")</f>
        <v>Pasture</v>
      </c>
      <c r="D12" t="str" cm="1">
        <f t="array" ref="D12">Common_InputFunctions.Utility_DisplayArrayInTable(Electricity_SourceData.Electricity_Scope2Scope3LocationBased_Data(), Table_SourceData_ElectricityEFs[[#Headers],[State, Territory or grid description]], 0)</f>
        <v>Victoria</v>
      </c>
      <c r="E12" cm="1">
        <f t="array" ref="E12">Common_InputFunctions.Utility_DisplayArrayInTable(Electricity_SourceData.Electricity_Scope2Scope3LocationBased_Data(), Table_SourceData_ElectricityEFs[[#Headers],[State, Territory or grid description]], 0)</f>
        <v>0.78</v>
      </c>
      <c r="F12" cm="1">
        <f t="array" ref="F12">Common_InputFunctions.Utility_DisplayArrayInTable(Electricity_SourceData.Electricity_Scope2Scope3LocationBased_Data(), Table_SourceData_ElectricityEFs[[#Headers],[State, Territory or grid description]], 0)</f>
        <v>0.09</v>
      </c>
    </row>
    <row r="13" spans="1:35" ht="20.100000000000001" customHeight="1" x14ac:dyDescent="0.25">
      <c r="A13" s="5" t="str">
        <f>HYPERLINK("#'Input - Fertiliser'!A1", "Fertiliser")</f>
        <v>Fertiliser</v>
      </c>
      <c r="D13" t="str" cm="1">
        <f t="array" ref="D13">Common_InputFunctions.Utility_DisplayArrayInTable(Electricity_SourceData.Electricity_Scope2Scope3LocationBased_Data(), Table_SourceData_ElectricityEFs[[#Headers],[State, Territory or grid description]], 0)</f>
        <v>Queensland</v>
      </c>
      <c r="E13" cm="1">
        <f t="array" ref="E13">Common_InputFunctions.Utility_DisplayArrayInTable(Electricity_SourceData.Electricity_Scope2Scope3LocationBased_Data(), Table_SourceData_ElectricityEFs[[#Headers],[State, Territory or grid description]], 0)</f>
        <v>0.67</v>
      </c>
      <c r="F13" cm="1">
        <f t="array" ref="F13">Common_InputFunctions.Utility_DisplayArrayInTable(Electricity_SourceData.Electricity_Scope2Scope3LocationBased_Data(), Table_SourceData_ElectricityEFs[[#Headers],[State, Territory or grid description]], 0)</f>
        <v>0.09</v>
      </c>
    </row>
    <row r="14" spans="1:35" ht="20.100000000000001" customHeight="1" x14ac:dyDescent="0.25">
      <c r="A14" s="5" t="str">
        <f>HYPERLINK("#'Input - Fuel'!A1", "Fuel")</f>
        <v>Fuel</v>
      </c>
      <c r="D14" t="str" cm="1">
        <f t="array" ref="D14">Common_InputFunctions.Utility_DisplayArrayInTable(Electricity_SourceData.Electricity_Scope2Scope3LocationBased_Data(), Table_SourceData_ElectricityEFs[[#Headers],[State, Territory or grid description]], 0)</f>
        <v>South Australia</v>
      </c>
      <c r="E14" cm="1">
        <f t="array" ref="E14">Common_InputFunctions.Utility_DisplayArrayInTable(Electricity_SourceData.Electricity_Scope2Scope3LocationBased_Data(), Table_SourceData_ElectricityEFs[[#Headers],[State, Territory or grid description]], 0)</f>
        <v>0.22</v>
      </c>
      <c r="F14" cm="1">
        <f t="array" ref="F14">Common_InputFunctions.Utility_DisplayArrayInTable(Electricity_SourceData.Electricity_Scope2Scope3LocationBased_Data(), Table_SourceData_ElectricityEFs[[#Headers],[State, Territory or grid description]], 0)</f>
        <v>0.04</v>
      </c>
    </row>
    <row r="15" spans="1:35" ht="20.100000000000001" customHeight="1" x14ac:dyDescent="0.25">
      <c r="A15" s="5" t="str">
        <f>HYPERLINK("#'Input - Electricity'!A1", "Electricity")</f>
        <v>Electricity</v>
      </c>
      <c r="D15" t="str" cm="1">
        <f t="array" ref="D15">Common_InputFunctions.Utility_DisplayArrayInTable(Electricity_SourceData.Electricity_Scope2Scope3LocationBased_Data(), Table_SourceData_ElectricityEFs[[#Headers],[State, Territory or grid description]], 0)</f>
        <v>Western Australia - South West Interconnected System (SWIS)</v>
      </c>
      <c r="E15" cm="1">
        <f t="array" ref="E15">Common_InputFunctions.Utility_DisplayArrayInTable(Electricity_SourceData.Electricity_Scope2Scope3LocationBased_Data(), Table_SourceData_ElectricityEFs[[#Headers],[State, Territory or grid description]], 0)</f>
        <v>0.5</v>
      </c>
      <c r="F15" cm="1">
        <f t="array" ref="F15">Common_InputFunctions.Utility_DisplayArrayInTable(Electricity_SourceData.Electricity_Scope2Scope3LocationBased_Data(), Table_SourceData_ElectricityEFs[[#Headers],[State, Territory or grid description]], 0)</f>
        <v>0.06</v>
      </c>
    </row>
    <row r="16" spans="1:35" ht="20.100000000000001" customHeight="1" x14ac:dyDescent="0.25">
      <c r="D16" t="str" cm="1">
        <f t="array" ref="D16">Common_InputFunctions.Utility_DisplayArrayInTable(Electricity_SourceData.Electricity_Scope2Scope3LocationBased_Data(), Table_SourceData_ElectricityEFs[[#Headers],[State, Territory or grid description]], 0)</f>
        <v>Western Australia - North Western Interconnected System (NWIS)</v>
      </c>
      <c r="E16" cm="1">
        <f t="array" ref="E16">Common_InputFunctions.Utility_DisplayArrayInTable(Electricity_SourceData.Electricity_Scope2Scope3LocationBased_Data(), Table_SourceData_ElectricityEFs[[#Headers],[State, Territory or grid description]], 0)</f>
        <v>0.56000000000000005</v>
      </c>
      <c r="F16" cm="1">
        <f t="array" ref="F16">Common_InputFunctions.Utility_DisplayArrayInTable(Electricity_SourceData.Electricity_Scope2Scope3LocationBased_Data(), Table_SourceData_ElectricityEFs[[#Headers],[State, Territory or grid description]], 0)</f>
        <v>0.09</v>
      </c>
    </row>
    <row r="17" spans="1:8" ht="20.100000000000001" customHeight="1" x14ac:dyDescent="0.25">
      <c r="D17" t="str" cm="1">
        <f t="array" ref="D17">Common_InputFunctions.Utility_DisplayArrayInTable(Electricity_SourceData.Electricity_Scope2Scope3LocationBased_Data(), Table_SourceData_ElectricityEFs[[#Headers],[State, Territory or grid description]], 0)</f>
        <v>Tasmania</v>
      </c>
      <c r="E17" cm="1">
        <f t="array" ref="E17">Common_InputFunctions.Utility_DisplayArrayInTable(Electricity_SourceData.Electricity_Scope2Scope3LocationBased_Data(), Table_SourceData_ElectricityEFs[[#Headers],[State, Territory or grid description]], 0)</f>
        <v>0.2</v>
      </c>
      <c r="F17" cm="1">
        <f t="array" ref="F17">Common_InputFunctions.Utility_DisplayArrayInTable(Electricity_SourceData.Electricity_Scope2Scope3LocationBased_Data(), Table_SourceData_ElectricityEFs[[#Headers],[State, Territory or grid description]], 0)</f>
        <v>0.03</v>
      </c>
    </row>
    <row r="18" spans="1:8" ht="20.100000000000001" customHeight="1" x14ac:dyDescent="0.25">
      <c r="A18" s="6" t="s">
        <v>2</v>
      </c>
      <c r="D18" t="str" cm="1">
        <f t="array" ref="D18">Common_InputFunctions.Utility_DisplayArrayInTable(Electricity_SourceData.Electricity_Scope2Scope3LocationBased_Data(), Table_SourceData_ElectricityEFs[[#Headers],[State, Territory or grid description]], 0)</f>
        <v>Northern Territory - Darwin Katherine Interconnected System (DKIS)</v>
      </c>
      <c r="E18" cm="1">
        <f t="array" ref="E18">Common_InputFunctions.Utility_DisplayArrayInTable(Electricity_SourceData.Electricity_Scope2Scope3LocationBased_Data(), Table_SourceData_ElectricityEFs[[#Headers],[State, Territory or grid description]], 0)</f>
        <v>0.56000000000000005</v>
      </c>
      <c r="F18" cm="1">
        <f t="array" ref="F18">Common_InputFunctions.Utility_DisplayArrayInTable(Electricity_SourceData.Electricity_Scope2Scope3LocationBased_Data(), Table_SourceData_ElectricityEFs[[#Headers],[State, Territory or grid description]], 0)</f>
        <v>0.09</v>
      </c>
    </row>
    <row r="19" spans="1:8" ht="20.100000000000001" customHeight="1" x14ac:dyDescent="0.25">
      <c r="A19" s="5" t="str">
        <f>HYPERLINK("#'3.2.1.1-2 Enteric Methane'!A1", "3.2.1.1-2 Enteric methane")</f>
        <v>3.2.1.1-2 Enteric methane</v>
      </c>
      <c r="D19" t="str" cm="1">
        <f t="array" ref="D19">Common_InputFunctions.Utility_DisplayArrayInTable(Electricity_SourceData.Electricity_Scope2Scope3LocationBased_Data(), Table_SourceData_ElectricityEFs[[#Headers],[State, Territory or grid description]], 0)</f>
        <v>National</v>
      </c>
      <c r="E19" cm="1">
        <f t="array" ref="E19">Common_InputFunctions.Utility_DisplayArrayInTable(Electricity_SourceData.Electricity_Scope2Scope3LocationBased_Data(), Table_SourceData_ElectricityEFs[[#Headers],[State, Territory or grid description]], 0)</f>
        <v>0.62</v>
      </c>
      <c r="F19" cm="1">
        <f t="array" ref="F19">Common_InputFunctions.Utility_DisplayArrayInTable(Electricity_SourceData.Electricity_Scope2Scope3LocationBased_Data(), Table_SourceData_ElectricityEFs[[#Headers],[State, Territory or grid description]], 0)</f>
        <v>7.0000000000000007E-2</v>
      </c>
    </row>
    <row r="20" spans="1:8" ht="20.100000000000001" customHeight="1" x14ac:dyDescent="0.25">
      <c r="A20" s="5" t="str">
        <f>HYPERLINK("#'4.2.1.1-2 Methane'!A1", "4.2.1.1-2 Manure methane")</f>
        <v>4.2.1.1-2 Manure methane</v>
      </c>
    </row>
    <row r="21" spans="1:8" ht="20.100000000000001" customHeight="1" x14ac:dyDescent="0.25">
      <c r="A21" s="5" t="str">
        <f>HYPERLINK("#'4.2.1.3-4 Soil direct N20'!A1", "4.2.1.3-4 Soil direct N2O")</f>
        <v>4.2.1.3-4 Soil direct N2O</v>
      </c>
      <c r="D21" s="2" t="str" cm="1">
        <f t="array" ref="D21">Electricity_SourceData.Electricity_Scope2Scope3MarketBased_Title()</f>
        <v>Electricity scope 2 and scope 3 market-based emission factors</v>
      </c>
    </row>
    <row r="22" spans="1:8" ht="20.100000000000001" customHeight="1" x14ac:dyDescent="0.25">
      <c r="A22" s="5" t="str">
        <f>HYPERLINK("#'4.2.1.5-6 Soil Atmos Dep'!A1", "4.2.1.5-6 Soil atm. deposition")</f>
        <v>4.2.1.5-6 Soil atm. deposition</v>
      </c>
      <c r="D22" s="27" t="str" cm="1">
        <f t="array" ref="D22">Electricity_SourceData.Electricity_Scope2Scope3MarketBased_Source()</f>
        <v>Australian National Greenhouse Accounts Factors 2025 - Table 2a</v>
      </c>
    </row>
    <row r="23" spans="1:8" ht="20.100000000000001" customHeight="1" x14ac:dyDescent="0.25">
      <c r="A23" s="5" t="str">
        <f>HYPERLINK("#'4.2.1.7-8 Soil leach runoff'!A1", "4.2.1.7-8 Soil leach &amp; runoff")</f>
        <v>4.2.1.7-8 Soil leach &amp; runoff</v>
      </c>
    </row>
    <row r="24" spans="1:8" ht="20.100000000000001" customHeight="1" x14ac:dyDescent="0.25">
      <c r="A24" s="5" t="str">
        <f>HYPERLINK("#'5.1.1.1-2 Inorganic fert N2O'!A1", "5.1.1.1-2 Inorganic fert N2O")</f>
        <v>5.1.1.1-2 Inorganic fert N2O</v>
      </c>
      <c r="D24" s="186" t="s">
        <v>695</v>
      </c>
      <c r="E24" s="186" t="s">
        <v>698</v>
      </c>
      <c r="F24" s="186" t="s">
        <v>699</v>
      </c>
      <c r="G24" s="186" t="s">
        <v>700</v>
      </c>
      <c r="H24" s="186" t="s">
        <v>701</v>
      </c>
    </row>
    <row r="25" spans="1:8" ht="20.100000000000001" customHeight="1" x14ac:dyDescent="0.25">
      <c r="A25" s="5" t="str">
        <f>HYPERLINK("#'5.1.1.3-4 Inorganic fert CO2'!A1", "5.1.1.3-4 Inorganic fert CO2")</f>
        <v>5.1.1.3-4 Inorganic fert CO2</v>
      </c>
      <c r="D25" t="str" cm="1">
        <f t="array" ref="D25">Common_InputFunctions.Utility_DisplayArrayInTable(Electricity_SourceData.Electricity_Scope2Scope3MarketBased_Data(), Table_SourceData_ElectricityEFsMarketBased[[#Headers],[State, Territory or grid description]], 0)</f>
        <v>National</v>
      </c>
      <c r="E25" cm="1">
        <f t="array" ref="E25">Common_InputFunctions.Utility_DisplayArrayInTable(Electricity_SourceData.Electricity_Scope2Scope3MarketBased_Data(), Table_SourceData_ElectricityEFsMarketBased[[#Headers],[State, Territory or grid description]], 0)</f>
        <v>0.81</v>
      </c>
      <c r="F25" cm="1">
        <f t="array" ref="F25">Common_InputFunctions.Utility_DisplayArrayInTable(Electricity_SourceData.Electricity_Scope2Scope3MarketBased_Data(), Table_SourceData_ElectricityEFsMarketBased[[#Headers],[State, Territory or grid description]], 0)</f>
        <v>226</v>
      </c>
      <c r="G25" cm="1">
        <f t="array" ref="G25">Common_InputFunctions.Utility_DisplayArrayInTable(Electricity_SourceData.Electricity_Scope2Scope3MarketBased_Data(), Table_SourceData_ElectricityEFsMarketBased[[#Headers],[State, Territory or grid description]], 0)</f>
        <v>0.1</v>
      </c>
      <c r="H25" cm="1">
        <f t="array" ref="H25">Common_InputFunctions.Utility_DisplayArrayInTable(Electricity_SourceData.Electricity_Scope2Scope3MarketBased_Data(), Table_SourceData_ElectricityEFsMarketBased[[#Headers],[State, Territory or grid description]], 0)</f>
        <v>29</v>
      </c>
    </row>
    <row r="26" spans="1:8" ht="20.100000000000001" customHeight="1" x14ac:dyDescent="0.25">
      <c r="A26" s="5" t="str">
        <f>HYPERLINK("#'5.2.1.1-2 Organic Fert N2O'!A1", "5.2.1.1-2 Organic fert N2O")</f>
        <v>5.2.1.1-2 Organic fert N2O</v>
      </c>
    </row>
    <row r="27" spans="1:8" ht="20.100000000000001" customHeight="1" x14ac:dyDescent="0.25">
      <c r="A27" s="5" t="str">
        <f>HYPERLINK("#'5.3.1.1-2 Lime CO2'!A1", "5.3.1.1-2 Lime CO2")</f>
        <v>5.3.1.1-2 Lime CO2</v>
      </c>
    </row>
    <row r="28" spans="1:8" ht="20.100000000000001" customHeight="1" x14ac:dyDescent="0.25">
      <c r="A28" s="5" t="str">
        <f>HYPERLINK("#'5.4.1.1-4 Atmos deposition'!A1", "5.4.1.1-4 Atmos. deposition")</f>
        <v>5.4.1.1-4 Atmos. deposition</v>
      </c>
    </row>
    <row r="29" spans="1:8" ht="20.100000000000001" customHeight="1" x14ac:dyDescent="0.25">
      <c r="A29" s="5" t="str">
        <f>HYPERLINK("#'5.5.1.1-2 Leaching and runoff'!A1", "5.5.1.1-2 Leaching &amp; runoff")</f>
        <v>5.5.1.1-2 Leaching &amp; runoff</v>
      </c>
    </row>
    <row r="30" spans="1:8" ht="20.100000000000001" customHeight="1" x14ac:dyDescent="0.25">
      <c r="A30" s="5" t="str">
        <f>HYPERLINK("#'6.2.1.1-2 Pasture residue N2O'!A1", "6.2.1.1-2 Pasture residue N2O")</f>
        <v>6.2.1.1-2 Pasture residue N2O</v>
      </c>
    </row>
    <row r="31" spans="1:8" ht="20.100000000000001" customHeight="1" x14ac:dyDescent="0.25">
      <c r="A31" s="5" t="str">
        <f>HYPERLINK("#'6.3.1.1-2 Leach runoff pasture'!A1", "6.3.1.1-2 Leach &amp; runoff (pasture)")</f>
        <v>6.3.1.1-2 Leach &amp; runoff (pasture)</v>
      </c>
    </row>
    <row r="32" spans="1:8" ht="20.100000000000001" customHeight="1" x14ac:dyDescent="0.25">
      <c r="A32" s="5" t="str">
        <f>HYPERLINK("#'8.1.1.1-2 Transport fuel'!A1", "8.1.1.1-2 Transport fuel")</f>
        <v>8.1.1.1-2 Transport fuel</v>
      </c>
    </row>
    <row r="33" spans="1:1" ht="20.100000000000001" customHeight="1" x14ac:dyDescent="0.25">
      <c r="A33" s="5" t="str">
        <f>HYPERLINK("#'8.2.1.1-2 Stationary fuel'!A1", "8.2.1.1-2 Stationary fuel")</f>
        <v>8.2.1.1-2 Stationary fuel</v>
      </c>
    </row>
    <row r="34" spans="1:1" ht="20.100000000000001" customHeight="1" x14ac:dyDescent="0.25">
      <c r="A34" s="5" t="str">
        <f>HYPERLINK("#'14.1.1-2 Purchased electricity'!A1", "14.1.1-2 Purchased electricity")</f>
        <v>14.1.1-2 Purchased electricity</v>
      </c>
    </row>
    <row r="35" spans="1:1" ht="20.100000000000001" customHeight="1" x14ac:dyDescent="0.25"/>
    <row r="36" spans="1:1" ht="20.100000000000001" customHeight="1" x14ac:dyDescent="0.25"/>
    <row r="37" spans="1:1" ht="20.100000000000001" customHeight="1" x14ac:dyDescent="0.25">
      <c r="A37" s="251" t="s">
        <v>1</v>
      </c>
    </row>
    <row r="38" spans="1:1" ht="20.100000000000001" customHeight="1" x14ac:dyDescent="0.25">
      <c r="A38" s="5" t="str">
        <f>HYPERLINK("#'Constants - Pasture Beef'!A1", "Constants - Pasture Beef")</f>
        <v>Constants - Pasture Beef</v>
      </c>
    </row>
    <row r="39" spans="1:1" ht="20.100000000000001" customHeight="1" x14ac:dyDescent="0.25">
      <c r="A39" s="5" t="str">
        <f>HYPERLINK("#'Constants - Ag Residue'!A1", "Constants - Ag residue")</f>
        <v>Constants - Ag residue</v>
      </c>
    </row>
    <row r="40" spans="1:1" ht="20.100000000000001" customHeight="1" x14ac:dyDescent="0.25">
      <c r="A40" s="5" t="str">
        <f>HYPERLINK("#'Constants - Common Livestock'!A1", "Constants - Common Livestock")</f>
        <v>Constants - Common Livestock</v>
      </c>
    </row>
    <row r="41" spans="1:1" ht="20.100000000000001" customHeight="1" x14ac:dyDescent="0.25">
      <c r="A41" s="126" t="str">
        <f>HYPERLINK("#'Constants - Electricity'!A1", "Constants - Electricity")</f>
        <v>Constants - Electricity</v>
      </c>
    </row>
    <row r="42" spans="1:1" ht="20.100000000000001" customHeight="1" x14ac:dyDescent="0.25">
      <c r="A42" s="5" t="str">
        <f>HYPERLINK("#'Constants - Fertiliser'!A1", "Constants - Fertiliser")</f>
        <v>Constants - Fertiliser</v>
      </c>
    </row>
    <row r="43" spans="1:1" ht="20.100000000000001" customHeight="1" x14ac:dyDescent="0.25">
      <c r="A43" s="5" t="str">
        <f>HYPERLINK("#'Constants - Fuel'!A1", "Constants - Fuel")</f>
        <v>Constants - Fuel</v>
      </c>
    </row>
    <row r="44" spans="1:1" ht="20.100000000000001" customHeight="1" x14ac:dyDescent="0.25">
      <c r="A44" s="5" t="str">
        <f>HYPERLINK("#'Constants - Common'!A1", "Constants - Common")</f>
        <v>Constants - Common</v>
      </c>
    </row>
    <row r="45" spans="1:1" ht="20.100000000000001" customHeight="1" x14ac:dyDescent="0.25">
      <c r="A45" s="5" t="str">
        <f>HYPERLINK("#'Acknowledgements'!A1", "Acknowledgements")</f>
        <v>Acknowledgements</v>
      </c>
    </row>
    <row r="46" spans="1:1" ht="20.100000000000001" customHeight="1" x14ac:dyDescent="0.25">
      <c r="A46" s="5" t="str">
        <f>HYPERLINK("#'Overview'!A1", "Overview")</f>
        <v>Overview</v>
      </c>
    </row>
    <row r="47" spans="1:1" ht="20.100000000000001" customHeight="1" x14ac:dyDescent="0.25"/>
    <row r="48" spans="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tableParts count="2">
    <tablePart r:id="rId1"/>
    <tablePart r:id="rId2"/>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BF2638-C9E1-4756-AA9B-79B0930405B6}">
  <dimension ref="A1:AI165"/>
  <sheetViews>
    <sheetView showGridLines="0" topLeftCell="E17" zoomScaleNormal="100" workbookViewId="0">
      <selection activeCell="A46" sqref="A46"/>
    </sheetView>
  </sheetViews>
  <sheetFormatPr defaultRowHeight="15.75" x14ac:dyDescent="0.25"/>
  <cols>
    <col min="1" max="1" width="30.7109375" customWidth="1"/>
    <col min="2" max="2" width="4.7109375" customWidth="1"/>
    <col min="3" max="3" width="4.7109375" style="1" customWidth="1"/>
    <col min="4" max="9" width="20.7109375" style="1" customWidth="1"/>
    <col min="10" max="10" width="26.28515625" style="1" customWidth="1"/>
    <col min="11" max="31" width="20.7109375" style="1" customWidth="1"/>
    <col min="32" max="32" width="4.7109375" style="1" customWidth="1"/>
  </cols>
  <sheetData>
    <row r="1" spans="1:35" s="31" customFormat="1" ht="30" customHeight="1" x14ac:dyDescent="0.35">
      <c r="A1" s="16" t="e" vm="1">
        <v>#VALUE!</v>
      </c>
      <c r="C1" s="31" t="s">
        <v>624</v>
      </c>
      <c r="AG1"/>
      <c r="AH1"/>
      <c r="AI1"/>
    </row>
    <row r="2" spans="1:35" s="3" customFormat="1" ht="20.100000000000001" customHeight="1" x14ac:dyDescent="0.25">
      <c r="A2"/>
      <c r="AG2"/>
      <c r="AH2"/>
      <c r="AI2"/>
    </row>
    <row r="3" spans="1:35" ht="20.100000000000001" customHeight="1" x14ac:dyDescent="0.25">
      <c r="A3" s="5" t="str">
        <f>HYPERLINK("#'Home'!A1", "Home")</f>
        <v>Home</v>
      </c>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row>
    <row r="4" spans="1:35" ht="20.100000000000001" customHeight="1" x14ac:dyDescent="0.25">
      <c r="A4" s="5" t="str">
        <f>HYPERLINK("#'Results'!A1", "Results")</f>
        <v>Results</v>
      </c>
    </row>
    <row r="5" spans="1:35" ht="20.100000000000001" customHeight="1" x14ac:dyDescent="0.25">
      <c r="D5" s="2" t="str" cm="1">
        <f t="array" ref="D5">Fertiliser_SourceData.Fertiliser_ChemicalCompoundElements_Title()</f>
        <v>Common inorganic fertilisers</v>
      </c>
      <c r="E5" s="177"/>
      <c r="F5" s="177"/>
      <c r="G5" s="177"/>
      <c r="H5" s="177"/>
      <c r="I5" s="177"/>
      <c r="J5" s="177"/>
    </row>
    <row r="6" spans="1:35" ht="20.100000000000001" customHeight="1" x14ac:dyDescent="0.25">
      <c r="D6" s="27" t="str" cm="1">
        <f t="array" ref="D6">Fertiliser_SourceData.Fertiliser_ChemicalCompoundElements_Source()</f>
        <v>Table A.2.2.3: Fraction of nitrogen in common inorganic fertilisers (kgN/kg) (FNorganic,f) AND Table A.2.2.4: Fraction of urea in common inorganic fertilisers (kg urea/kg) (FUf)</v>
      </c>
    </row>
    <row r="7" spans="1:35" ht="20.100000000000001" customHeight="1" x14ac:dyDescent="0.25">
      <c r="A7" s="7" t="s">
        <v>0</v>
      </c>
      <c r="D7" s="36" t="str" cm="1">
        <f t="array" ref="D7:D18">Fertiliser_SourceData.Fertiliser_ChemicalCompoundElements_Variation()</f>
        <v>VARIATION ON SOURCE</v>
      </c>
    </row>
    <row r="8" spans="1:35" ht="20.100000000000001" customHeight="1" x14ac:dyDescent="0.25">
      <c r="A8" s="5" t="str">
        <f>HYPERLINK("#'Input - Enterprise'!A1", "Enterprise")</f>
        <v>Enterprise</v>
      </c>
      <c r="D8" s="36" t="str">
        <v>Added 'Basis' column to allow cross-referencing with table Table A.2.2.6: Fraction of inorganic fertiliser f that volatilises as NH3 and NOx ((kg NH3-N + NOx-N)/kg N) (FracGASFf)</v>
      </c>
    </row>
    <row r="9" spans="1:35" ht="20.100000000000001" customHeight="1" x14ac:dyDescent="0.25">
      <c r="A9" s="5" t="str">
        <f>HYPERLINK("#'Input - Site'!A1", "Site")</f>
        <v>Site</v>
      </c>
      <c r="D9" s="36" t="str">
        <v>Added extra fertiliser types and generic chemical compounds to allow for custom NPKS blends</v>
      </c>
    </row>
    <row r="10" spans="1:35" ht="20.100000000000001" customHeight="1" x14ac:dyDescent="0.25">
      <c r="A10" s="5" t="str">
        <f>HYPERLINK("#'Input - Pasture Beef'!A1", "Pasture Beef")</f>
        <v>Pasture Beef</v>
      </c>
      <c r="D10" s="36" t="str">
        <v>Added extra 'Scope 3 definition' column to allow mapping with scope 3 data</v>
      </c>
    </row>
    <row r="11" spans="1:35" ht="20.100000000000001" customHeight="1" x14ac:dyDescent="0.25">
      <c r="A11" s="5" t="str">
        <f>HYPERLINK("#'Input - Pasture Beef (Enteric)'!A1", "Pasture Beef (Enteric)")</f>
        <v>Pasture Beef (Enteric)</v>
      </c>
      <c r="D11" s="36" t="str">
        <v>Added 'Source' column</v>
      </c>
    </row>
    <row r="12" spans="1:35" ht="20.100000000000001" customHeight="1" x14ac:dyDescent="0.25">
      <c r="A12" s="5" t="str">
        <f>HYPERLINK("#'Input - Pasture'!A1", "Pasture")</f>
        <v>Pasture</v>
      </c>
      <c r="D12" s="36" t="str">
        <v>Combined data from Table A.2.2.3 and Table A.2.2.4 into one table to aid lookup.</v>
      </c>
    </row>
    <row r="13" spans="1:35" ht="20.100000000000001" customHeight="1" x14ac:dyDescent="0.25">
      <c r="A13" s="5" t="str">
        <f>HYPERLINK("#'Input - Fertiliser'!A1", "Fertiliser")</f>
        <v>Fertiliser</v>
      </c>
      <c r="D13" s="36" t="str">
        <v>Excluded 'References' column</v>
      </c>
    </row>
    <row r="14" spans="1:35" ht="20.100000000000001" customHeight="1" x14ac:dyDescent="0.25">
      <c r="A14" s="5" t="str">
        <f>HYPERLINK("#'Input - Fuel'!A1", "Fuel")</f>
        <v>Fuel</v>
      </c>
      <c r="D14" s="36" t="str">
        <v>Excluded 'Ammonium sulfate' as it is a duplicate of 'Sulphate of ammonia (SOA)'</v>
      </c>
    </row>
    <row r="15" spans="1:35" ht="20.100000000000001" customHeight="1" x14ac:dyDescent="0.25">
      <c r="A15" s="5" t="str">
        <f>HYPERLINK("#'Input - Electricity'!A1", "Electricity")</f>
        <v>Electricity</v>
      </c>
      <c r="D15" s="36" t="str">
        <v>Excluded 'Calcium nitrate' as no scope 3 value available.</v>
      </c>
    </row>
    <row r="16" spans="1:35" ht="20.100000000000001" customHeight="1" x14ac:dyDescent="0.25">
      <c r="D16" s="36" t="str">
        <v>Set 'Nitrogen - Generic' basis as 'Urea-based fertilisers, as urea is the most commonly used form of nitrogen in Australian fertilisers</v>
      </c>
    </row>
    <row r="17" spans="1:22" ht="20.100000000000001" customHeight="1" x14ac:dyDescent="0.25">
      <c r="D17" s="36" t="str">
        <v>Set 'Urea-ammonium nitrate' basis as 'Urea-based fertiliser'</v>
      </c>
      <c r="K17" s="2" t="str" cm="1">
        <f t="array" ref="K17">Fertiliser_SourceData.Fertiliser_FractionNCommonFertilisers_Title()</f>
        <v>Fraction of nitrogen in common inorganic fertilisers (kgN/kg) (FNorganic,f)</v>
      </c>
      <c r="Q17" s="2" t="str" cm="1">
        <f t="array" ref="Q17">Fertiliser_SourceData.Fertiliser_FractionUreaCommonFertilisers_Title()</f>
        <v>Fraction of urea in common inorganic fertilisers (kg urea/kg) (FUf)</v>
      </c>
      <c r="V17" s="2" t="str" cm="1">
        <f t="array" ref="V17">Fertiliser_SourceData.Fertiliser_UreaAmmoniaSourceRegions_Title()</f>
        <v>Source regions for urea and ammonia</v>
      </c>
    </row>
    <row r="18" spans="1:22" ht="20.100000000000001" customHeight="1" x14ac:dyDescent="0.25">
      <c r="A18" s="6" t="s">
        <v>2</v>
      </c>
      <c r="D18" s="36" t="str">
        <v>Ammonia has an FN value of 0.8235 based on (14/17)x100, where 14 is the mass of nitrogen in ammonia and 17 is the molar mass of ammonia.</v>
      </c>
      <c r="K18" s="27" t="str" cm="1">
        <f t="array" ref="K18">Fertiliser_SourceData.Fertiliser_FractionNCommonFertilisers_Source()</f>
        <v>VEERG 2026: Table A.2.2.3</v>
      </c>
      <c r="Q18" s="27" t="str" cm="1">
        <f t="array" ref="Q18">Fertiliser_SourceData.Fertiliser_FractionUreaCommonFertilisers_Source()</f>
        <v>VEERG 2026: Table A.2.2.4</v>
      </c>
      <c r="V18" s="27" t="str" cm="1">
        <f t="array" ref="V18">Fertiliser_SourceData.Fertiliser_UreaAmmoniaSourceRegions_Source()</f>
        <v>Lifecycles. (2026). Greenhouse Gas Emission Intensities for Material Inputs to Australian Agriculture, Fisheries and Forestry. Version 48. doi 10.5281/zenodo.19656580</v>
      </c>
    </row>
    <row r="19" spans="1:22" ht="20.100000000000001" customHeight="1" x14ac:dyDescent="0.25">
      <c r="A19" s="5" t="str">
        <f>HYPERLINK("#'3.2.1.1-2 Enteric Methane'!A1", "3.2.1.1-2 Enteric methane")</f>
        <v>3.2.1.1-2 Enteric methane</v>
      </c>
      <c r="D19" t="s">
        <v>543</v>
      </c>
      <c r="E19" t="s">
        <v>625</v>
      </c>
      <c r="F19" t="s">
        <v>626</v>
      </c>
      <c r="G19" t="s">
        <v>600</v>
      </c>
      <c r="H19" t="s">
        <v>627</v>
      </c>
      <c r="I19" t="s">
        <v>628</v>
      </c>
      <c r="K19" s="30" t="s">
        <v>543</v>
      </c>
      <c r="L19" s="30" t="s">
        <v>625</v>
      </c>
      <c r="Q19" s="30" t="s">
        <v>543</v>
      </c>
      <c r="R19" s="30" t="s">
        <v>625</v>
      </c>
      <c r="V19" s="30" t="s">
        <v>628</v>
      </c>
    </row>
    <row r="20" spans="1:22" ht="20.100000000000001" customHeight="1" x14ac:dyDescent="0.25">
      <c r="A20" s="5" t="str">
        <f>HYPERLINK("#'4.2.1.1-2 Methane'!A1", "4.2.1.1-2 Manure methane")</f>
        <v>4.2.1.1-2 Manure methane</v>
      </c>
      <c r="D20" s="186" t="str" cm="1">
        <f t="array" ref="D20">Common_InputFunctions.Utility_DisplayArrayInTable(Fertiliser_SourceData.Fertiliser_ChemicalCompoundElements_Data(),Table_Fertiliser_ChemicalCompounds[[#Headers],[Fertiliser type f]], 0)</f>
        <v>Monoammonium phosphate (MAP)</v>
      </c>
      <c r="E20" s="186" cm="1">
        <f t="array" ref="E20">Common_InputFunctions.Utility_DisplayArrayInTable(Fertiliser_SourceData.Fertiliser_ChemicalCompoundElements_Data(),Table_Fertiliser_ChemicalCompounds[[#Headers],[Fertiliser type f]], 0)</f>
        <v>0.1</v>
      </c>
      <c r="F20" s="186" cm="1">
        <f t="array" ref="F20">Common_InputFunctions.Utility_DisplayArrayInTable(Fertiliser_SourceData.Fertiliser_ChemicalCompoundElements_Data(),Table_Fertiliser_ChemicalCompounds[[#Headers],[Fertiliser type f]], 0)</f>
        <v>0</v>
      </c>
      <c r="G20" s="186" t="str" cm="1">
        <f t="array" ref="G20">Common_InputFunctions.Utility_DisplayArrayInTable(Fertiliser_SourceData.Fertiliser_ChemicalCompoundElements_Data(),Table_Fertiliser_ChemicalCompounds[[#Headers],[Fertiliser type f]], 0)</f>
        <v>Ammonium-based fertilisers</v>
      </c>
      <c r="H20" s="186" t="str" cm="1">
        <f t="array" ref="H20">Common_InputFunctions.Utility_DisplayArrayInTable(Fertiliser_SourceData.Fertiliser_ChemicalCompoundElements_Data(),Table_Fertiliser_ChemicalCompounds[[#Headers],[Fertiliser type f]], 0)</f>
        <v>Monoammonium phosphate (MAP)</v>
      </c>
      <c r="I20" s="186" t="str" cm="1">
        <f t="array" ref="I20">Common_InputFunctions.Utility_DisplayArrayInTable(Fertiliser_SourceData.Fertiliser_ChemicalCompoundElements_Data(),Table_Fertiliser_ChemicalCompounds[[#Headers],[Fertiliser type f]], 0)</f>
        <v>VEERG</v>
      </c>
      <c r="K20" s="30" t="str" cm="1">
        <f t="array" ref="K20">Common_InputFunctions.Utility_DisplayArrayInTable(Fertiliser_SourceData.Fertiliser_FractionNCommonFertilisers_Data(), Table2[[#Headers],[Fertiliser type f]], 0)</f>
        <v>Monoammonium phosphate (MAP)</v>
      </c>
      <c r="L20" s="30" cm="1">
        <f t="array" ref="L20">Common_InputFunctions.Utility_DisplayArrayInTable(Fertiliser_SourceData.Fertiliser_FractionNCommonFertilisers_Data(), Table2[[#Headers],[Fertiliser type f]], 0)</f>
        <v>0.1</v>
      </c>
      <c r="Q20" s="30" t="str" cm="1">
        <f t="array" ref="Q20">Common_InputFunctions.Utility_DisplayArrayInTable(Fertiliser_SourceData.Fertiliser_FractionUreaCommonFertilisers_Data(), Table28[[#Headers],[Fertiliser type f]], 0)</f>
        <v>Monoammonium phosphate (MAP)</v>
      </c>
      <c r="R20" s="30" cm="1">
        <f t="array" ref="R20">Common_InputFunctions.Utility_DisplayArrayInTable(Fertiliser_SourceData.Fertiliser_FractionUreaCommonFertilisers_Data(), Table28[[#Headers],[Fertiliser type f]], 0)</f>
        <v>0</v>
      </c>
      <c r="V20" s="30" t="str" cm="1">
        <f t="array" ref="V20">Common_InputFunctions.Utility_DisplayArrayInTable(Fertiliser_SourceData.Fertiliser_UreaAmmoniaSourceRegions_Data(),Table_SourceData_Fertiliser_UreaAmmoniaSources[[#Headers],[Source]],0)</f>
        <v>Global</v>
      </c>
    </row>
    <row r="21" spans="1:22" ht="20.100000000000001" customHeight="1" x14ac:dyDescent="0.25">
      <c r="A21" s="5" t="str">
        <f>HYPERLINK("#'4.2.1.3-4 Soil direct N20'!A1", "4.2.1.3-4 Soil direct N2O")</f>
        <v>4.2.1.3-4 Soil direct N2O</v>
      </c>
      <c r="D21" s="186" t="str" cm="1">
        <f t="array" ref="D21">Common_InputFunctions.Utility_DisplayArrayInTable(Fertiliser_SourceData.Fertiliser_ChemicalCompoundElements_Data(),Table_Fertiliser_ChemicalCompounds[[#Headers],[Fertiliser type f]], 0)</f>
        <v>Diammonium phosphate (DAP)</v>
      </c>
      <c r="E21" s="186" cm="1">
        <f t="array" ref="E21">Common_InputFunctions.Utility_DisplayArrayInTable(Fertiliser_SourceData.Fertiliser_ChemicalCompoundElements_Data(),Table_Fertiliser_ChemicalCompounds[[#Headers],[Fertiliser type f]], 0)</f>
        <v>0.18</v>
      </c>
      <c r="F21" s="186" cm="1">
        <f t="array" ref="F21">Common_InputFunctions.Utility_DisplayArrayInTable(Fertiliser_SourceData.Fertiliser_ChemicalCompoundElements_Data(),Table_Fertiliser_ChemicalCompounds[[#Headers],[Fertiliser type f]], 0)</f>
        <v>0</v>
      </c>
      <c r="G21" s="186" t="str" cm="1">
        <f t="array" ref="G21">Common_InputFunctions.Utility_DisplayArrayInTable(Fertiliser_SourceData.Fertiliser_ChemicalCompoundElements_Data(),Table_Fertiliser_ChemicalCompounds[[#Headers],[Fertiliser type f]], 0)</f>
        <v>Ammonium-based fertilisers</v>
      </c>
      <c r="H21" s="186" t="str" cm="1">
        <f t="array" ref="H21">Common_InputFunctions.Utility_DisplayArrayInTable(Fertiliser_SourceData.Fertiliser_ChemicalCompoundElements_Data(),Table_Fertiliser_ChemicalCompounds[[#Headers],[Fertiliser type f]], 0)</f>
        <v>Diammonium phosphate (DAP)</v>
      </c>
      <c r="I21" s="186" t="str" cm="1">
        <f t="array" ref="I21">Common_InputFunctions.Utility_DisplayArrayInTable(Fertiliser_SourceData.Fertiliser_ChemicalCompoundElements_Data(),Table_Fertiliser_ChemicalCompounds[[#Headers],[Fertiliser type f]], 0)</f>
        <v>VEERG</v>
      </c>
      <c r="K21" s="30" t="str" cm="1">
        <f t="array" ref="K21">Common_InputFunctions.Utility_DisplayArrayInTable(Fertiliser_SourceData.Fertiliser_FractionNCommonFertilisers_Data(), Table2[[#Headers],[Fertiliser type f]], 0)</f>
        <v>Diammonium phosphate (DAP)</v>
      </c>
      <c r="L21" s="30" cm="1">
        <f t="array" ref="L21">Common_InputFunctions.Utility_DisplayArrayInTable(Fertiliser_SourceData.Fertiliser_FractionNCommonFertilisers_Data(), Table2[[#Headers],[Fertiliser type f]], 0)</f>
        <v>0.18</v>
      </c>
      <c r="Q21" s="30" t="str" cm="1">
        <f t="array" ref="Q21">Common_InputFunctions.Utility_DisplayArrayInTable(Fertiliser_SourceData.Fertiliser_FractionUreaCommonFertilisers_Data(), Table28[[#Headers],[Fertiliser type f]], 0)</f>
        <v>Diammonium phosphate (DAP)</v>
      </c>
      <c r="R21" s="30" cm="1">
        <f t="array" ref="R21">Common_InputFunctions.Utility_DisplayArrayInTable(Fertiliser_SourceData.Fertiliser_FractionUreaCommonFertilisers_Data(), Table28[[#Headers],[Fertiliser type f]], 0)</f>
        <v>0</v>
      </c>
      <c r="V21" s="30" t="str" cm="1">
        <f t="array" ref="V21">Common_InputFunctions.Utility_DisplayArrayInTable(Fertiliser_SourceData.Fertiliser_UreaAmmoniaSourceRegions_Data(),Table_SourceData_Fertiliser_UreaAmmoniaSources[[#Headers],[Source]],0)</f>
        <v>Canada</v>
      </c>
    </row>
    <row r="22" spans="1:22" ht="20.100000000000001" customHeight="1" x14ac:dyDescent="0.25">
      <c r="A22" s="5" t="str">
        <f>HYPERLINK("#'4.2.1.5-6 Soil Atmos Dep'!A1", "4.2.1.5-6 Soil atm. deposition")</f>
        <v>4.2.1.5-6 Soil atm. deposition</v>
      </c>
      <c r="D22" s="186" t="str" cm="1">
        <f t="array" ref="D22">Common_InputFunctions.Utility_DisplayArrayInTable(Fertiliser_SourceData.Fertiliser_ChemicalCompoundElements_Data(),Table_Fertiliser_ChemicalCompounds[[#Headers],[Fertiliser type f]], 0)</f>
        <v>Urea</v>
      </c>
      <c r="E22" s="186" cm="1">
        <f t="array" ref="E22">Common_InputFunctions.Utility_DisplayArrayInTable(Fertiliser_SourceData.Fertiliser_ChemicalCompoundElements_Data(),Table_Fertiliser_ChemicalCompounds[[#Headers],[Fertiliser type f]], 0)</f>
        <v>0.46</v>
      </c>
      <c r="F22" s="186" cm="1">
        <f t="array" ref="F22">Common_InputFunctions.Utility_DisplayArrayInTable(Fertiliser_SourceData.Fertiliser_ChemicalCompoundElements_Data(),Table_Fertiliser_ChemicalCompounds[[#Headers],[Fertiliser type f]], 0)</f>
        <v>1</v>
      </c>
      <c r="G22" s="186" t="str" cm="1">
        <f t="array" ref="G22">Common_InputFunctions.Utility_DisplayArrayInTable(Fertiliser_SourceData.Fertiliser_ChemicalCompoundElements_Data(),Table_Fertiliser_ChemicalCompounds[[#Headers],[Fertiliser type f]], 0)</f>
        <v>Urea-based fertilisers</v>
      </c>
      <c r="H22" s="186" t="str" cm="1">
        <f t="array" ref="H22">Common_InputFunctions.Utility_DisplayArrayInTable(Fertiliser_SourceData.Fertiliser_ChemicalCompoundElements_Data(),Table_Fertiliser_ChemicalCompounds[[#Headers],[Fertiliser type f]], 0)</f>
        <v>Urea</v>
      </c>
      <c r="I22" s="186" t="str" cm="1">
        <f t="array" ref="I22">Common_InputFunctions.Utility_DisplayArrayInTable(Fertiliser_SourceData.Fertiliser_ChemicalCompoundElements_Data(),Table_Fertiliser_ChemicalCompounds[[#Headers],[Fertiliser type f]], 0)</f>
        <v>VEERG</v>
      </c>
      <c r="K22" s="30" t="str" cm="1">
        <f t="array" ref="K22">Common_InputFunctions.Utility_DisplayArrayInTable(Fertiliser_SourceData.Fertiliser_FractionNCommonFertilisers_Data(), Table2[[#Headers],[Fertiliser type f]], 0)</f>
        <v>Urea</v>
      </c>
      <c r="L22" s="30" cm="1">
        <f t="array" ref="L22">Common_InputFunctions.Utility_DisplayArrayInTable(Fertiliser_SourceData.Fertiliser_FractionNCommonFertilisers_Data(), Table2[[#Headers],[Fertiliser type f]], 0)</f>
        <v>0.46</v>
      </c>
      <c r="Q22" s="30" t="str" cm="1">
        <f t="array" ref="Q22">Common_InputFunctions.Utility_DisplayArrayInTable(Fertiliser_SourceData.Fertiliser_FractionUreaCommonFertilisers_Data(), Table28[[#Headers],[Fertiliser type f]], 0)</f>
        <v>Urea</v>
      </c>
      <c r="R22" s="30" cm="1">
        <f t="array" ref="R22">Common_InputFunctions.Utility_DisplayArrayInTable(Fertiliser_SourceData.Fertiliser_FractionUreaCommonFertilisers_Data(), Table28[[#Headers],[Fertiliser type f]], 0)</f>
        <v>1</v>
      </c>
      <c r="V22" s="30" t="str" cm="1">
        <f t="array" ref="V22">Common_InputFunctions.Utility_DisplayArrayInTable(Fertiliser_SourceData.Fertiliser_UreaAmmoniaSourceRegions_Data(),Table_SourceData_Fertiliser_UreaAmmoniaSources[[#Headers],[Source]],0)</f>
        <v>China</v>
      </c>
    </row>
    <row r="23" spans="1:22" ht="20.100000000000001" customHeight="1" x14ac:dyDescent="0.25">
      <c r="A23" s="5" t="str">
        <f>HYPERLINK("#'4.2.1.7-8 Soil leach runoff'!A1", "4.2.1.7-8 Soil leach &amp; runoff")</f>
        <v>4.2.1.7-8 Soil leach &amp; runoff</v>
      </c>
      <c r="D23" s="186" t="str" cm="1">
        <f t="array" ref="D23">Common_InputFunctions.Utility_DisplayArrayInTable(Fertiliser_SourceData.Fertiliser_ChemicalCompoundElements_Data(),Table_Fertiliser_ChemicalCompounds[[#Headers],[Fertiliser type f]], 0)</f>
        <v>Sulphate of ammonia (SOA)</v>
      </c>
      <c r="E23" s="186" cm="1">
        <f t="array" ref="E23">Common_InputFunctions.Utility_DisplayArrayInTable(Fertiliser_SourceData.Fertiliser_ChemicalCompoundElements_Data(),Table_Fertiliser_ChemicalCompounds[[#Headers],[Fertiliser type f]], 0)</f>
        <v>0.21</v>
      </c>
      <c r="F23" s="186" cm="1">
        <f t="array" ref="F23">Common_InputFunctions.Utility_DisplayArrayInTable(Fertiliser_SourceData.Fertiliser_ChemicalCompoundElements_Data(),Table_Fertiliser_ChemicalCompounds[[#Headers],[Fertiliser type f]], 0)</f>
        <v>0</v>
      </c>
      <c r="G23" s="186" t="str" cm="1">
        <f t="array" ref="G23">Common_InputFunctions.Utility_DisplayArrayInTable(Fertiliser_SourceData.Fertiliser_ChemicalCompoundElements_Data(),Table_Fertiliser_ChemicalCompounds[[#Headers],[Fertiliser type f]], 0)</f>
        <v>Ammonium-based fertilisers</v>
      </c>
      <c r="H23" s="186" t="str" cm="1">
        <f t="array" ref="H23">Common_InputFunctions.Utility_DisplayArrayInTable(Fertiliser_SourceData.Fertiliser_ChemicalCompoundElements_Data(),Table_Fertiliser_ChemicalCompounds[[#Headers],[Fertiliser type f]], 0)</f>
        <v>Sulphate of ammonia (SOA)</v>
      </c>
      <c r="I23" s="186" t="str" cm="1">
        <f t="array" ref="I23">Common_InputFunctions.Utility_DisplayArrayInTable(Fertiliser_SourceData.Fertiliser_ChemicalCompoundElements_Data(),Table_Fertiliser_ChemicalCompounds[[#Headers],[Fertiliser type f]], 0)</f>
        <v>VEERG</v>
      </c>
      <c r="K23" s="30" t="str" cm="1">
        <f t="array" ref="K23">Common_InputFunctions.Utility_DisplayArrayInTable(Fertiliser_SourceData.Fertiliser_FractionNCommonFertilisers_Data(), Table2[[#Headers],[Fertiliser type f]], 0)</f>
        <v>Sulphate of ammonia (SOA)</v>
      </c>
      <c r="L23" s="30" cm="1">
        <f t="array" ref="L23">Common_InputFunctions.Utility_DisplayArrayInTable(Fertiliser_SourceData.Fertiliser_FractionNCommonFertilisers_Data(), Table2[[#Headers],[Fertiliser type f]], 0)</f>
        <v>0.21</v>
      </c>
      <c r="Q23" s="30" t="str" cm="1">
        <f t="array" ref="Q23">Common_InputFunctions.Utility_DisplayArrayInTable(Fertiliser_SourceData.Fertiliser_FractionUreaCommonFertilisers_Data(), Table28[[#Headers],[Fertiliser type f]], 0)</f>
        <v>Sulphate of ammonia (SOA)</v>
      </c>
      <c r="R23" s="30" cm="1">
        <f t="array" ref="R23">Common_InputFunctions.Utility_DisplayArrayInTable(Fertiliser_SourceData.Fertiliser_FractionUreaCommonFertilisers_Data(), Table28[[#Headers],[Fertiliser type f]], 0)</f>
        <v>0</v>
      </c>
      <c r="V23" s="30" t="str" cm="1">
        <f t="array" ref="V23">Common_InputFunctions.Utility_DisplayArrayInTable(Fertiliser_SourceData.Fertiliser_UreaAmmoniaSourceRegions_Data(),Table_SourceData_Fertiliser_UreaAmmoniaSources[[#Headers],[Source]],0)</f>
        <v>Yemen</v>
      </c>
    </row>
    <row r="24" spans="1:22" ht="20.100000000000001" customHeight="1" x14ac:dyDescent="0.25">
      <c r="A24" s="5" t="str">
        <f>HYPERLINK("#'5.1.1.1-2 Inorganic fert N2O'!A1", "5.1.1.1-2 Inorganic fert N2O")</f>
        <v>5.1.1.1-2 Inorganic fert N2O</v>
      </c>
      <c r="D24" s="186" t="str" cm="1">
        <f t="array" ref="D24">Common_InputFunctions.Utility_DisplayArrayInTable(Fertiliser_SourceData.Fertiliser_ChemicalCompoundElements_Data(),Table_Fertiliser_ChemicalCompounds[[#Headers],[Fertiliser type f]], 0)</f>
        <v>Urea-ammonium nitrate (UAN)</v>
      </c>
      <c r="E24" s="186" cm="1">
        <f t="array" ref="E24">Common_InputFunctions.Utility_DisplayArrayInTable(Fertiliser_SourceData.Fertiliser_ChemicalCompoundElements_Data(),Table_Fertiliser_ChemicalCompounds[[#Headers],[Fertiliser type f]], 0)</f>
        <v>0.32</v>
      </c>
      <c r="F24" s="186" cm="1">
        <f t="array" ref="F24">Common_InputFunctions.Utility_DisplayArrayInTable(Fertiliser_SourceData.Fertiliser_ChemicalCompoundElements_Data(),Table_Fertiliser_ChemicalCompounds[[#Headers],[Fertiliser type f]], 0)</f>
        <v>0.35</v>
      </c>
      <c r="G24" s="186" t="str" cm="1">
        <f t="array" ref="G24">Common_InputFunctions.Utility_DisplayArrayInTable(Fertiliser_SourceData.Fertiliser_ChemicalCompoundElements_Data(),Table_Fertiliser_ChemicalCompounds[[#Headers],[Fertiliser type f]], 0)</f>
        <v>Urea-based fertilisers</v>
      </c>
      <c r="H24" s="186" t="str" cm="1">
        <f t="array" ref="H24">Common_InputFunctions.Utility_DisplayArrayInTable(Fertiliser_SourceData.Fertiliser_ChemicalCompoundElements_Data(),Table_Fertiliser_ChemicalCompounds[[#Headers],[Fertiliser type f]], 0)</f>
        <v>Urea-ammonium nitrate (UAN)</v>
      </c>
      <c r="I24" s="186" t="str" cm="1">
        <f t="array" ref="I24">Common_InputFunctions.Utility_DisplayArrayInTable(Fertiliser_SourceData.Fertiliser_ChemicalCompoundElements_Data(),Table_Fertiliser_ChemicalCompounds[[#Headers],[Fertiliser type f]], 0)</f>
        <v>VEERG</v>
      </c>
      <c r="K24" s="30" t="str" cm="1">
        <f t="array" ref="K24">Common_InputFunctions.Utility_DisplayArrayInTable(Fertiliser_SourceData.Fertiliser_FractionNCommonFertilisers_Data(), Table2[[#Headers],[Fertiliser type f]], 0)</f>
        <v>Urea-ammonium nitrate (UAN)</v>
      </c>
      <c r="L24" s="30" cm="1">
        <f t="array" ref="L24">Common_InputFunctions.Utility_DisplayArrayInTable(Fertiliser_SourceData.Fertiliser_FractionNCommonFertilisers_Data(), Table2[[#Headers],[Fertiliser type f]], 0)</f>
        <v>0.32</v>
      </c>
      <c r="Q24" s="30" t="str" cm="1">
        <f t="array" ref="Q24">Common_InputFunctions.Utility_DisplayArrayInTable(Fertiliser_SourceData.Fertiliser_FractionUreaCommonFertilisers_Data(), Table28[[#Headers],[Fertiliser type f]], 0)</f>
        <v>Urea-ammonium nitrate (UAN)</v>
      </c>
      <c r="R24" s="30" cm="1">
        <f t="array" ref="R24">Common_InputFunctions.Utility_DisplayArrayInTable(Fertiliser_SourceData.Fertiliser_FractionUreaCommonFertilisers_Data(), Table28[[#Headers],[Fertiliser type f]], 0)</f>
        <v>0.35</v>
      </c>
    </row>
    <row r="25" spans="1:22" ht="20.100000000000001" customHeight="1" x14ac:dyDescent="0.25">
      <c r="A25" s="5" t="str">
        <f>HYPERLINK("#'5.1.1.3-4 Inorganic fert CO2'!A1", "5.1.1.3-4 Inorganic fert CO2")</f>
        <v>5.1.1.3-4 Inorganic fert CO2</v>
      </c>
      <c r="D25" s="186" t="str" cm="1">
        <f t="array" ref="D25">Common_InputFunctions.Utility_DisplayArrayInTable(Fertiliser_SourceData.Fertiliser_ChemicalCompoundElements_Data(),Table_Fertiliser_ChemicalCompounds[[#Headers],[Fertiliser type f]], 0)</f>
        <v>Ammonium nitrate (AN)</v>
      </c>
      <c r="E25" s="186" cm="1">
        <f t="array" ref="E25">Common_InputFunctions.Utility_DisplayArrayInTable(Fertiliser_SourceData.Fertiliser_ChemicalCompoundElements_Data(),Table_Fertiliser_ChemicalCompounds[[#Headers],[Fertiliser type f]], 0)</f>
        <v>0.33700000000000002</v>
      </c>
      <c r="F25" s="186" cm="1">
        <f t="array" ref="F25">Common_InputFunctions.Utility_DisplayArrayInTable(Fertiliser_SourceData.Fertiliser_ChemicalCompoundElements_Data(),Table_Fertiliser_ChemicalCompounds[[#Headers],[Fertiliser type f]], 0)</f>
        <v>0</v>
      </c>
      <c r="G25" s="186" t="str" cm="1">
        <f t="array" ref="G25">Common_InputFunctions.Utility_DisplayArrayInTable(Fertiliser_SourceData.Fertiliser_ChemicalCompoundElements_Data(),Table_Fertiliser_ChemicalCompounds[[#Headers],[Fertiliser type f]], 0)</f>
        <v>Ammonium-nitrate based fertilisers</v>
      </c>
      <c r="H25" s="186" t="str" cm="1">
        <f t="array" ref="H25">Common_InputFunctions.Utility_DisplayArrayInTable(Fertiliser_SourceData.Fertiliser_ChemicalCompoundElements_Data(),Table_Fertiliser_ChemicalCompounds[[#Headers],[Fertiliser type f]], 0)</f>
        <v>Ammonium nitrate (AN)</v>
      </c>
      <c r="I25" s="186" t="str" cm="1">
        <f t="array" ref="I25">Common_InputFunctions.Utility_DisplayArrayInTable(Fertiliser_SourceData.Fertiliser_ChemicalCompoundElements_Data(),Table_Fertiliser_ChemicalCompounds[[#Headers],[Fertiliser type f]], 0)</f>
        <v>VEERG</v>
      </c>
      <c r="K25" s="30" t="str" cm="1">
        <f t="array" ref="K25">Common_InputFunctions.Utility_DisplayArrayInTable(Fertiliser_SourceData.Fertiliser_FractionNCommonFertilisers_Data(), Table2[[#Headers],[Fertiliser type f]], 0)</f>
        <v>Ammonium nitrate (AN)</v>
      </c>
      <c r="L25" s="30" cm="1">
        <f t="array" ref="L25">Common_InputFunctions.Utility_DisplayArrayInTable(Fertiliser_SourceData.Fertiliser_FractionNCommonFertilisers_Data(), Table2[[#Headers],[Fertiliser type f]], 0)</f>
        <v>0.33700000000000002</v>
      </c>
      <c r="Q25" s="30" t="str" cm="1">
        <f t="array" ref="Q25">Common_InputFunctions.Utility_DisplayArrayInTable(Fertiliser_SourceData.Fertiliser_FractionUreaCommonFertilisers_Data(), Table28[[#Headers],[Fertiliser type f]], 0)</f>
        <v>Ammonium nitrate (AN)</v>
      </c>
      <c r="R25" s="30" cm="1">
        <f t="array" ref="R25">Common_InputFunctions.Utility_DisplayArrayInTable(Fertiliser_SourceData.Fertiliser_FractionUreaCommonFertilisers_Data(), Table28[[#Headers],[Fertiliser type f]], 0)</f>
        <v>0</v>
      </c>
    </row>
    <row r="26" spans="1:22" ht="20.100000000000001" customHeight="1" x14ac:dyDescent="0.25">
      <c r="A26" s="5" t="str">
        <f>HYPERLINK("#'5.2.1.1-2 Organic Fert N2O'!A1", "5.2.1.1-2 Organic fert N2O")</f>
        <v>5.2.1.1-2 Organic fert N2O</v>
      </c>
      <c r="D26" s="186" t="str" cm="1">
        <f t="array" ref="D26">Common_InputFunctions.Utility_DisplayArrayInTable(Fertiliser_SourceData.Fertiliser_ChemicalCompoundElements_Data(),Table_Fertiliser_ChemicalCompounds[[#Headers],[Fertiliser type f]], 0)</f>
        <v>Calcium ammonium nitrate (CAN)</v>
      </c>
      <c r="E26" s="186" cm="1">
        <f t="array" ref="E26">Common_InputFunctions.Utility_DisplayArrayInTable(Fertiliser_SourceData.Fertiliser_ChemicalCompoundElements_Data(),Table_Fertiliser_ChemicalCompounds[[#Headers],[Fertiliser type f]], 0)</f>
        <v>0.27</v>
      </c>
      <c r="F26" s="186" cm="1">
        <f t="array" ref="F26">Common_InputFunctions.Utility_DisplayArrayInTable(Fertiliser_SourceData.Fertiliser_ChemicalCompoundElements_Data(),Table_Fertiliser_ChemicalCompounds[[#Headers],[Fertiliser type f]], 0)</f>
        <v>0</v>
      </c>
      <c r="G26" s="186" t="str" cm="1">
        <f t="array" ref="G26">Common_InputFunctions.Utility_DisplayArrayInTable(Fertiliser_SourceData.Fertiliser_ChemicalCompoundElements_Data(),Table_Fertiliser_ChemicalCompounds[[#Headers],[Fertiliser type f]], 0)</f>
        <v>Ammonium-nitrate based fertilisers</v>
      </c>
      <c r="H26" s="186" t="str" cm="1">
        <f t="array" ref="H26">Common_InputFunctions.Utility_DisplayArrayInTable(Fertiliser_SourceData.Fertiliser_ChemicalCompoundElements_Data(),Table_Fertiliser_ChemicalCompounds[[#Headers],[Fertiliser type f]], 0)</f>
        <v>Calcium ammonium nitrate (CAN)</v>
      </c>
      <c r="I26" s="186" t="str" cm="1">
        <f t="array" ref="I26">Common_InputFunctions.Utility_DisplayArrayInTable(Fertiliser_SourceData.Fertiliser_ChemicalCompoundElements_Data(),Table_Fertiliser_ChemicalCompounds[[#Headers],[Fertiliser type f]], 0)</f>
        <v>VEERG</v>
      </c>
      <c r="K26" s="30" t="str" cm="1">
        <f t="array" ref="K26">Common_InputFunctions.Utility_DisplayArrayInTable(Fertiliser_SourceData.Fertiliser_FractionNCommonFertilisers_Data(), Table2[[#Headers],[Fertiliser type f]], 0)</f>
        <v>Calcium ammonium nitrate (CAN)</v>
      </c>
      <c r="L26" s="30" cm="1">
        <f t="array" ref="L26">Common_InputFunctions.Utility_DisplayArrayInTable(Fertiliser_SourceData.Fertiliser_FractionNCommonFertilisers_Data(), Table2[[#Headers],[Fertiliser type f]], 0)</f>
        <v>0.27</v>
      </c>
      <c r="Q26" s="30" t="str" cm="1">
        <f t="array" ref="Q26">Common_InputFunctions.Utility_DisplayArrayInTable(Fertiliser_SourceData.Fertiliser_FractionUreaCommonFertilisers_Data(), Table28[[#Headers],[Fertiliser type f]], 0)</f>
        <v>Calcium ammonium nitrate (CAN)</v>
      </c>
      <c r="R26" s="30" cm="1">
        <f t="array" ref="R26">Common_InputFunctions.Utility_DisplayArrayInTable(Fertiliser_SourceData.Fertiliser_FractionUreaCommonFertilisers_Data(), Table28[[#Headers],[Fertiliser type f]], 0)</f>
        <v>0</v>
      </c>
    </row>
    <row r="27" spans="1:22" ht="20.100000000000001" customHeight="1" x14ac:dyDescent="0.25">
      <c r="A27" s="5" t="str">
        <f>HYPERLINK("#'5.3.1.1-2 Lime CO2'!A1", "5.3.1.1-2 Lime CO2")</f>
        <v>5.3.1.1-2 Lime CO2</v>
      </c>
      <c r="D27" s="186" t="str" cm="1">
        <f t="array" ref="D27">Common_InputFunctions.Utility_DisplayArrayInTable(Fertiliser_SourceData.Fertiliser_ChemicalCompoundElements_Data(),Table_Fertiliser_ChemicalCompounds[[#Headers],[Fertiliser type f]], 0)</f>
        <v>Nitrogen - Ammoniacal</v>
      </c>
      <c r="E27" s="186" cm="1">
        <f t="array" ref="E27">Common_InputFunctions.Utility_DisplayArrayInTable(Fertiliser_SourceData.Fertiliser_ChemicalCompoundElements_Data(),Table_Fertiliser_ChemicalCompounds[[#Headers],[Fertiliser type f]], 0)</f>
        <v>1</v>
      </c>
      <c r="F27" s="186" cm="1">
        <f t="array" ref="F27">Common_InputFunctions.Utility_DisplayArrayInTable(Fertiliser_SourceData.Fertiliser_ChemicalCompoundElements_Data(),Table_Fertiliser_ChemicalCompounds[[#Headers],[Fertiliser type f]], 0)</f>
        <v>0</v>
      </c>
      <c r="G27" s="186" t="str" cm="1">
        <f t="array" ref="G27">Common_InputFunctions.Utility_DisplayArrayInTable(Fertiliser_SourceData.Fertiliser_ChemicalCompoundElements_Data(),Table_Fertiliser_ChemicalCompounds[[#Headers],[Fertiliser type f]], 0)</f>
        <v>Ammonium-based fertilisers</v>
      </c>
      <c r="H27" s="186" t="str" cm="1">
        <f t="array" ref="H27">Common_InputFunctions.Utility_DisplayArrayInTable(Fertiliser_SourceData.Fertiliser_ChemicalCompoundElements_Data(),Table_Fertiliser_ChemicalCompounds[[#Headers],[Fertiliser type f]], 0)</f>
        <v>Nitrogen - Ammoniacal</v>
      </c>
      <c r="I27" s="186" t="str" cm="1">
        <f t="array" ref="I27">Common_InputFunctions.Utility_DisplayArrayInTable(Fertiliser_SourceData.Fertiliser_ChemicalCompoundElements_Data(),Table_Fertiliser_ChemicalCompounds[[#Headers],[Fertiliser type f]], 0)</f>
        <v>LifeCycles</v>
      </c>
      <c r="K27" s="30" t="str" cm="1">
        <f t="array" ref="K27">Common_InputFunctions.Utility_DisplayArrayInTable(Fertiliser_SourceData.Fertiliser_FractionNCommonFertilisers_Data(), Table2[[#Headers],[Fertiliser type f]], 0)</f>
        <v>Ammonium Sulfate</v>
      </c>
      <c r="L27" s="30" cm="1">
        <f t="array" ref="L27">Common_InputFunctions.Utility_DisplayArrayInTable(Fertiliser_SourceData.Fertiliser_FractionNCommonFertilisers_Data(), Table2[[#Headers],[Fertiliser type f]], 0)</f>
        <v>0.21</v>
      </c>
      <c r="Q27" s="30" t="str" cm="1">
        <f t="array" ref="Q27">Common_InputFunctions.Utility_DisplayArrayInTable(Fertiliser_SourceData.Fertiliser_FractionUreaCommonFertilisers_Data(), Table28[[#Headers],[Fertiliser type f]], 0)</f>
        <v>Ammonium Sulfate</v>
      </c>
      <c r="R27" s="30" cm="1">
        <f t="array" ref="R27">Common_InputFunctions.Utility_DisplayArrayInTable(Fertiliser_SourceData.Fertiliser_FractionUreaCommonFertilisers_Data(), Table28[[#Headers],[Fertiliser type f]], 0)</f>
        <v>0</v>
      </c>
    </row>
    <row r="28" spans="1:22" ht="20.100000000000001" customHeight="1" x14ac:dyDescent="0.25">
      <c r="A28" s="5" t="str">
        <f>HYPERLINK("#'5.4.1.1-4 Atmos deposition'!A1", "5.4.1.1-4 Atmos. deposition")</f>
        <v>5.4.1.1-4 Atmos. deposition</v>
      </c>
      <c r="D28" s="186" t="str" cm="1">
        <f t="array" ref="D28">Common_InputFunctions.Utility_DisplayArrayInTable(Fertiliser_SourceData.Fertiliser_ChemicalCompoundElements_Data(),Table_Fertiliser_ChemicalCompounds[[#Headers],[Fertiliser type f]], 0)</f>
        <v>Nitrogen - Nitrate</v>
      </c>
      <c r="E28" s="186" cm="1">
        <f t="array" ref="E28">Common_InputFunctions.Utility_DisplayArrayInTable(Fertiliser_SourceData.Fertiliser_ChemicalCompoundElements_Data(),Table_Fertiliser_ChemicalCompounds[[#Headers],[Fertiliser type f]], 0)</f>
        <v>1</v>
      </c>
      <c r="F28" s="186" cm="1">
        <f t="array" ref="F28">Common_InputFunctions.Utility_DisplayArrayInTable(Fertiliser_SourceData.Fertiliser_ChemicalCompoundElements_Data(),Table_Fertiliser_ChemicalCompounds[[#Headers],[Fertiliser type f]], 0)</f>
        <v>0</v>
      </c>
      <c r="G28" s="186" t="str" cm="1">
        <f t="array" ref="G28">Common_InputFunctions.Utility_DisplayArrayInTable(Fertiliser_SourceData.Fertiliser_ChemicalCompoundElements_Data(),Table_Fertiliser_ChemicalCompounds[[#Headers],[Fertiliser type f]], 0)</f>
        <v>Nitrate-based fertilisers</v>
      </c>
      <c r="H28" s="186" t="str" cm="1">
        <f t="array" ref="H28">Common_InputFunctions.Utility_DisplayArrayInTable(Fertiliser_SourceData.Fertiliser_ChemicalCompoundElements_Data(),Table_Fertiliser_ChemicalCompounds[[#Headers],[Fertiliser type f]], 0)</f>
        <v>Nitrogen from Nitrate</v>
      </c>
      <c r="I28" s="186" t="str" cm="1">
        <f t="array" ref="I28">Common_InputFunctions.Utility_DisplayArrayInTable(Fertiliser_SourceData.Fertiliser_ChemicalCompoundElements_Data(),Table_Fertiliser_ChemicalCompounds[[#Headers],[Fertiliser type f]], 0)</f>
        <v>LifeCycles</v>
      </c>
      <c r="K28" s="30" t="str" cm="1">
        <f t="array" ref="K28">Common_InputFunctions.Utility_DisplayArrayInTable(Fertiliser_SourceData.Fertiliser_FractionNCommonFertilisers_Data(), Table2[[#Headers],[Fertiliser type f]], 0)</f>
        <v>Calcium Nitrate</v>
      </c>
      <c r="L28" s="30" cm="1">
        <f t="array" ref="L28">Common_InputFunctions.Utility_DisplayArrayInTable(Fertiliser_SourceData.Fertiliser_FractionNCommonFertilisers_Data(), Table2[[#Headers],[Fertiliser type f]], 0)</f>
        <v>0.155</v>
      </c>
      <c r="Q28" s="30" t="str" cm="1">
        <f t="array" ref="Q28">Common_InputFunctions.Utility_DisplayArrayInTable(Fertiliser_SourceData.Fertiliser_FractionUreaCommonFertilisers_Data(), Table28[[#Headers],[Fertiliser type f]], 0)</f>
        <v>Calcium Nitrate</v>
      </c>
      <c r="R28" s="30" cm="1">
        <f t="array" ref="R28">Common_InputFunctions.Utility_DisplayArrayInTable(Fertiliser_SourceData.Fertiliser_FractionUreaCommonFertilisers_Data(), Table28[[#Headers],[Fertiliser type f]], 0)</f>
        <v>0</v>
      </c>
    </row>
    <row r="29" spans="1:22" ht="20.100000000000001" customHeight="1" x14ac:dyDescent="0.25">
      <c r="A29" s="5" t="str">
        <f>HYPERLINK("#'5.5.1.1-2 Leaching and runoff'!A1", "5.5.1.1-2 Leaching &amp; runoff")</f>
        <v>5.5.1.1-2 Leaching &amp; runoff</v>
      </c>
      <c r="D29" s="186" t="str" cm="1">
        <f t="array" ref="D29">Common_InputFunctions.Utility_DisplayArrayInTable(Fertiliser_SourceData.Fertiliser_ChemicalCompoundElements_Data(),Table_Fertiliser_ChemicalCompounds[[#Headers],[Fertiliser type f]], 0)</f>
        <v>Nitrogen - Generic</v>
      </c>
      <c r="E29" s="186" cm="1">
        <f t="array" ref="E29">Common_InputFunctions.Utility_DisplayArrayInTable(Fertiliser_SourceData.Fertiliser_ChemicalCompoundElements_Data(),Table_Fertiliser_ChemicalCompounds[[#Headers],[Fertiliser type f]], 0)</f>
        <v>1</v>
      </c>
      <c r="F29" s="186" cm="1">
        <f t="array" ref="F29">Common_InputFunctions.Utility_DisplayArrayInTable(Fertiliser_SourceData.Fertiliser_ChemicalCompoundElements_Data(),Table_Fertiliser_ChemicalCompounds[[#Headers],[Fertiliser type f]], 0)</f>
        <v>0</v>
      </c>
      <c r="G29" s="186" t="str" cm="1">
        <f t="array" ref="G29">Common_InputFunctions.Utility_DisplayArrayInTable(Fertiliser_SourceData.Fertiliser_ChemicalCompoundElements_Data(),Table_Fertiliser_ChemicalCompounds[[#Headers],[Fertiliser type f]], 0)</f>
        <v>Urea-based fertilisers</v>
      </c>
      <c r="H29" s="186" t="str" cm="1">
        <f t="array" ref="H29">Common_InputFunctions.Utility_DisplayArrayInTable(Fertiliser_SourceData.Fertiliser_ChemicalCompoundElements_Data(),Table_Fertiliser_ChemicalCompounds[[#Headers],[Fertiliser type f]], 0)</f>
        <v>Nitrogen from fertiliser</v>
      </c>
      <c r="I29" s="186" t="str" cm="1">
        <f t="array" ref="I29">Common_InputFunctions.Utility_DisplayArrayInTable(Fertiliser_SourceData.Fertiliser_ChemicalCompoundElements_Data(),Table_Fertiliser_ChemicalCompounds[[#Headers],[Fertiliser type f]], 0)</f>
        <v>LifeCycles</v>
      </c>
    </row>
    <row r="30" spans="1:22" ht="20.100000000000001" customHeight="1" x14ac:dyDescent="0.25">
      <c r="A30" s="5" t="str">
        <f>HYPERLINK("#'6.2.1.1-2 Pasture residue N2O'!A1", "6.2.1.1-2 Pasture residue N2O")</f>
        <v>6.2.1.1-2 Pasture residue N2O</v>
      </c>
      <c r="D30" s="186" t="str" cm="1">
        <f t="array" ref="D30">Common_InputFunctions.Utility_DisplayArrayInTable(Fertiliser_SourceData.Fertiliser_ChemicalCompoundElements_Data(),Table_Fertiliser_ChemicalCompounds[[#Headers],[Fertiliser type f]], 0)</f>
        <v>Phosphorus - Generic</v>
      </c>
      <c r="E30" s="186" cm="1">
        <f t="array" ref="E30">Common_InputFunctions.Utility_DisplayArrayInTable(Fertiliser_SourceData.Fertiliser_ChemicalCompoundElements_Data(),Table_Fertiliser_ChemicalCompounds[[#Headers],[Fertiliser type f]], 0)</f>
        <v>0</v>
      </c>
      <c r="F30" s="186" cm="1">
        <f t="array" ref="F30">Common_InputFunctions.Utility_DisplayArrayInTable(Fertiliser_SourceData.Fertiliser_ChemicalCompoundElements_Data(),Table_Fertiliser_ChemicalCompounds[[#Headers],[Fertiliser type f]], 0)</f>
        <v>0</v>
      </c>
      <c r="G30" s="186" t="str" cm="1">
        <f t="array" ref="G30">Common_InputFunctions.Utility_DisplayArrayInTable(Fertiliser_SourceData.Fertiliser_ChemicalCompoundElements_Data(),Table_Fertiliser_ChemicalCompounds[[#Headers],[Fertiliser type f]], 0)</f>
        <v>Other fertilisers</v>
      </c>
      <c r="H30" s="186" t="str" cm="1">
        <f t="array" ref="H30">Common_InputFunctions.Utility_DisplayArrayInTable(Fertiliser_SourceData.Fertiliser_ChemicalCompoundElements_Data(),Table_Fertiliser_ChemicalCompounds[[#Headers],[Fertiliser type f]], 0)</f>
        <v>Phosphorus from fertiliser</v>
      </c>
      <c r="I30" s="186" t="str" cm="1">
        <f t="array" ref="I30">Common_InputFunctions.Utility_DisplayArrayInTable(Fertiliser_SourceData.Fertiliser_ChemicalCompoundElements_Data(),Table_Fertiliser_ChemicalCompounds[[#Headers],[Fertiliser type f]], 0)</f>
        <v>LifeCycles</v>
      </c>
    </row>
    <row r="31" spans="1:22" ht="20.100000000000001" customHeight="1" x14ac:dyDescent="0.25">
      <c r="A31" s="5" t="str">
        <f>HYPERLINK("#'6.3.1.1-2 Leach runoff pasture'!A1", "6.3.1.1-2 Leach &amp; runoff (pasture)")</f>
        <v>6.3.1.1-2 Leach &amp; runoff (pasture)</v>
      </c>
      <c r="D31" s="186" t="str" cm="1">
        <f t="array" ref="D31">Common_InputFunctions.Utility_DisplayArrayInTable(Fertiliser_SourceData.Fertiliser_ChemicalCompoundElements_Data(),Table_Fertiliser_ChemicalCompounds[[#Headers],[Fertiliser type f]], 0)</f>
        <v>Potassium - Generic</v>
      </c>
      <c r="E31" s="186" cm="1">
        <f t="array" ref="E31">Common_InputFunctions.Utility_DisplayArrayInTable(Fertiliser_SourceData.Fertiliser_ChemicalCompoundElements_Data(),Table_Fertiliser_ChemicalCompounds[[#Headers],[Fertiliser type f]], 0)</f>
        <v>0</v>
      </c>
      <c r="F31" s="186" cm="1">
        <f t="array" ref="F31">Common_InputFunctions.Utility_DisplayArrayInTable(Fertiliser_SourceData.Fertiliser_ChemicalCompoundElements_Data(),Table_Fertiliser_ChemicalCompounds[[#Headers],[Fertiliser type f]], 0)</f>
        <v>0</v>
      </c>
      <c r="G31" s="186" t="str" cm="1">
        <f t="array" ref="G31">Common_InputFunctions.Utility_DisplayArrayInTable(Fertiliser_SourceData.Fertiliser_ChemicalCompoundElements_Data(),Table_Fertiliser_ChemicalCompounds[[#Headers],[Fertiliser type f]], 0)</f>
        <v>Other fertilisers</v>
      </c>
      <c r="H31" s="186" t="str" cm="1">
        <f t="array" ref="H31">Common_InputFunctions.Utility_DisplayArrayInTable(Fertiliser_SourceData.Fertiliser_ChemicalCompoundElements_Data(),Table_Fertiliser_ChemicalCompounds[[#Headers],[Fertiliser type f]], 0)</f>
        <v>Potassium from fertiliser</v>
      </c>
      <c r="I31" s="186" t="str" cm="1">
        <f t="array" ref="I31">Common_InputFunctions.Utility_DisplayArrayInTable(Fertiliser_SourceData.Fertiliser_ChemicalCompoundElements_Data(),Table_Fertiliser_ChemicalCompounds[[#Headers],[Fertiliser type f]], 0)</f>
        <v>LifeCycles</v>
      </c>
    </row>
    <row r="32" spans="1:22" ht="20.100000000000001" customHeight="1" x14ac:dyDescent="0.25">
      <c r="A32" s="5" t="str">
        <f>HYPERLINK("#'8.1.1.1-2 Transport fuel'!A1", "8.1.1.1-2 Transport fuel")</f>
        <v>8.1.1.1-2 Transport fuel</v>
      </c>
      <c r="D32" s="186" t="str" cm="1">
        <f t="array" ref="D32">Common_InputFunctions.Utility_DisplayArrayInTable(Fertiliser_SourceData.Fertiliser_ChemicalCompoundElements_Data(),Table_Fertiliser_ChemicalCompounds[[#Headers],[Fertiliser type f]], 0)</f>
        <v>Sulfur - Generic</v>
      </c>
      <c r="E32" s="186" cm="1">
        <f t="array" ref="E32">Common_InputFunctions.Utility_DisplayArrayInTable(Fertiliser_SourceData.Fertiliser_ChemicalCompoundElements_Data(),Table_Fertiliser_ChemicalCompounds[[#Headers],[Fertiliser type f]], 0)</f>
        <v>0</v>
      </c>
      <c r="F32" s="186" cm="1">
        <f t="array" ref="F32">Common_InputFunctions.Utility_DisplayArrayInTable(Fertiliser_SourceData.Fertiliser_ChemicalCompoundElements_Data(),Table_Fertiliser_ChemicalCompounds[[#Headers],[Fertiliser type f]], 0)</f>
        <v>0</v>
      </c>
      <c r="G32" s="186" t="str" cm="1">
        <f t="array" ref="G32">Common_InputFunctions.Utility_DisplayArrayInTable(Fertiliser_SourceData.Fertiliser_ChemicalCompoundElements_Data(),Table_Fertiliser_ChemicalCompounds[[#Headers],[Fertiliser type f]], 0)</f>
        <v>Other fertilisers</v>
      </c>
      <c r="H32" s="186" t="str" cm="1">
        <f t="array" ref="H32">Common_InputFunctions.Utility_DisplayArrayInTable(Fertiliser_SourceData.Fertiliser_ChemicalCompoundElements_Data(),Table_Fertiliser_ChemicalCompounds[[#Headers],[Fertiliser type f]], 0)</f>
        <v>Sulfur from fertiliser</v>
      </c>
      <c r="I32" s="186" t="str" cm="1">
        <f t="array" ref="I32">Common_InputFunctions.Utility_DisplayArrayInTable(Fertiliser_SourceData.Fertiliser_ChemicalCompoundElements_Data(),Table_Fertiliser_ChemicalCompounds[[#Headers],[Fertiliser type f]], 0)</f>
        <v>LifeCycles</v>
      </c>
    </row>
    <row r="33" spans="1:10" ht="20.100000000000001" customHeight="1" x14ac:dyDescent="0.25">
      <c r="A33" s="5" t="str">
        <f>HYPERLINK("#'8.2.1.1-2 Stationary fuel'!A1", "8.2.1.1-2 Stationary fuel")</f>
        <v>8.2.1.1-2 Stationary fuel</v>
      </c>
      <c r="D33" s="186" t="str" cm="1">
        <f t="array" ref="D33">Common_InputFunctions.Utility_DisplayArrayInTable(Fertiliser_SourceData.Fertiliser_ChemicalCompoundElements_Data(),Table_Fertiliser_ChemicalCompounds[[#Headers],[Fertiliser type f]], 0)</f>
        <v>Zinc - Generic</v>
      </c>
      <c r="E33" s="186" cm="1">
        <f t="array" ref="E33">Common_InputFunctions.Utility_DisplayArrayInTable(Fertiliser_SourceData.Fertiliser_ChemicalCompoundElements_Data(),Table_Fertiliser_ChemicalCompounds[[#Headers],[Fertiliser type f]], 0)</f>
        <v>0</v>
      </c>
      <c r="F33" s="186" cm="1">
        <f t="array" ref="F33">Common_InputFunctions.Utility_DisplayArrayInTable(Fertiliser_SourceData.Fertiliser_ChemicalCompoundElements_Data(),Table_Fertiliser_ChemicalCompounds[[#Headers],[Fertiliser type f]], 0)</f>
        <v>0</v>
      </c>
      <c r="G33" s="186" t="str" cm="1">
        <f t="array" ref="G33">Common_InputFunctions.Utility_DisplayArrayInTable(Fertiliser_SourceData.Fertiliser_ChemicalCompoundElements_Data(),Table_Fertiliser_ChemicalCompounds[[#Headers],[Fertiliser type f]], 0)</f>
        <v>Other fertilisers</v>
      </c>
      <c r="H33" s="186" t="str" cm="1">
        <f t="array" ref="H33">Common_InputFunctions.Utility_DisplayArrayInTable(Fertiliser_SourceData.Fertiliser_ChemicalCompoundElements_Data(),Table_Fertiliser_ChemicalCompounds[[#Headers],[Fertiliser type f]], 0)</f>
        <v>Zinc from fertiliser</v>
      </c>
      <c r="I33" s="186" t="str" cm="1">
        <f t="array" ref="I33">Common_InputFunctions.Utility_DisplayArrayInTable(Fertiliser_SourceData.Fertiliser_ChemicalCompoundElements_Data(),Table_Fertiliser_ChemicalCompounds[[#Headers],[Fertiliser type f]], 0)</f>
        <v>LifeCycles</v>
      </c>
    </row>
    <row r="34" spans="1:10" ht="20.100000000000001" customHeight="1" x14ac:dyDescent="0.25">
      <c r="A34" s="5" t="str">
        <f>HYPERLINK("#'14.1.1-2 Purchased electricity'!A1", "14.1.1-2 Purchased electricity")</f>
        <v>14.1.1-2 Purchased electricity</v>
      </c>
      <c r="D34" s="186" t="str" cm="1">
        <f t="array" ref="D34">Common_InputFunctions.Utility_DisplayArrayInTable(Fertiliser_SourceData.Fertiliser_ChemicalCompoundElements_Data(),Table_Fertiliser_ChemicalCompounds[[#Headers],[Fertiliser type f]], 0)</f>
        <v>Muriate of potash (MOP)</v>
      </c>
      <c r="E34" s="186" cm="1">
        <f t="array" ref="E34">Common_InputFunctions.Utility_DisplayArrayInTable(Fertiliser_SourceData.Fertiliser_ChemicalCompoundElements_Data(),Table_Fertiliser_ChemicalCompounds[[#Headers],[Fertiliser type f]], 0)</f>
        <v>0</v>
      </c>
      <c r="F34" s="186" cm="1">
        <f t="array" ref="F34">Common_InputFunctions.Utility_DisplayArrayInTable(Fertiliser_SourceData.Fertiliser_ChemicalCompoundElements_Data(),Table_Fertiliser_ChemicalCompounds[[#Headers],[Fertiliser type f]], 0)</f>
        <v>0</v>
      </c>
      <c r="G34" s="186" t="str" cm="1">
        <f t="array" ref="G34">Common_InputFunctions.Utility_DisplayArrayInTable(Fertiliser_SourceData.Fertiliser_ChemicalCompoundElements_Data(),Table_Fertiliser_ChemicalCompounds[[#Headers],[Fertiliser type f]], 0)</f>
        <v>Other fertilisers</v>
      </c>
      <c r="H34" s="186" t="str" cm="1">
        <f t="array" ref="H34">Common_InputFunctions.Utility_DisplayArrayInTable(Fertiliser_SourceData.Fertiliser_ChemicalCompoundElements_Data(),Table_Fertiliser_ChemicalCompounds[[#Headers],[Fertiliser type f]], 0)</f>
        <v>Muriate of potash (MOP)</v>
      </c>
      <c r="I34" s="186" t="str" cm="1">
        <f t="array" ref="I34">Common_InputFunctions.Utility_DisplayArrayInTable(Fertiliser_SourceData.Fertiliser_ChemicalCompoundElements_Data(),Table_Fertiliser_ChemicalCompounds[[#Headers],[Fertiliser type f]], 0)</f>
        <v>LifeCycles</v>
      </c>
    </row>
    <row r="35" spans="1:10" ht="20.100000000000001" customHeight="1" x14ac:dyDescent="0.25">
      <c r="D35" s="186" t="str" cm="1">
        <f t="array" ref="D35">Common_InputFunctions.Utility_DisplayArrayInTable(Fertiliser_SourceData.Fertiliser_ChemicalCompoundElements_Data(),Table_Fertiliser_ChemicalCompounds[[#Headers],[Fertiliser type f]], 0)</f>
        <v>Double superphosphate</v>
      </c>
      <c r="E35" s="186" cm="1">
        <f t="array" ref="E35">Common_InputFunctions.Utility_DisplayArrayInTable(Fertiliser_SourceData.Fertiliser_ChemicalCompoundElements_Data(),Table_Fertiliser_ChemicalCompounds[[#Headers],[Fertiliser type f]], 0)</f>
        <v>0</v>
      </c>
      <c r="F35" s="186" cm="1">
        <f t="array" ref="F35">Common_InputFunctions.Utility_DisplayArrayInTable(Fertiliser_SourceData.Fertiliser_ChemicalCompoundElements_Data(),Table_Fertiliser_ChemicalCompounds[[#Headers],[Fertiliser type f]], 0)</f>
        <v>0</v>
      </c>
      <c r="G35" s="186" t="str" cm="1">
        <f t="array" ref="G35">Common_InputFunctions.Utility_DisplayArrayInTable(Fertiliser_SourceData.Fertiliser_ChemicalCompoundElements_Data(),Table_Fertiliser_ChemicalCompounds[[#Headers],[Fertiliser type f]], 0)</f>
        <v>Other fertilisers</v>
      </c>
      <c r="H35" s="186" t="str" cm="1">
        <f t="array" ref="H35">Common_InputFunctions.Utility_DisplayArrayInTable(Fertiliser_SourceData.Fertiliser_ChemicalCompoundElements_Data(),Table_Fertiliser_ChemicalCompounds[[#Headers],[Fertiliser type f]], 0)</f>
        <v>Double superphosphate</v>
      </c>
      <c r="I35" s="186" t="str" cm="1">
        <f t="array" ref="I35">Common_InputFunctions.Utility_DisplayArrayInTable(Fertiliser_SourceData.Fertiliser_ChemicalCompoundElements_Data(),Table_Fertiliser_ChemicalCompounds[[#Headers],[Fertiliser type f]], 0)</f>
        <v>LifeCycles</v>
      </c>
    </row>
    <row r="36" spans="1:10" ht="20.100000000000001" customHeight="1" x14ac:dyDescent="0.25">
      <c r="D36" s="186" t="str" cm="1">
        <f t="array" ref="D36">Common_InputFunctions.Utility_DisplayArrayInTable(Fertiliser_SourceData.Fertiliser_ChemicalCompoundElements_Data(),Table_Fertiliser_ChemicalCompounds[[#Headers],[Fertiliser type f]], 0)</f>
        <v>Single superphosphate (SSP)</v>
      </c>
      <c r="E36" s="186" cm="1">
        <f t="array" ref="E36">Common_InputFunctions.Utility_DisplayArrayInTable(Fertiliser_SourceData.Fertiliser_ChemicalCompoundElements_Data(),Table_Fertiliser_ChemicalCompounds[[#Headers],[Fertiliser type f]], 0)</f>
        <v>0</v>
      </c>
      <c r="F36" s="186" cm="1">
        <f t="array" ref="F36">Common_InputFunctions.Utility_DisplayArrayInTable(Fertiliser_SourceData.Fertiliser_ChemicalCompoundElements_Data(),Table_Fertiliser_ChemicalCompounds[[#Headers],[Fertiliser type f]], 0)</f>
        <v>0</v>
      </c>
      <c r="G36" s="186" t="str" cm="1">
        <f t="array" ref="G36">Common_InputFunctions.Utility_DisplayArrayInTable(Fertiliser_SourceData.Fertiliser_ChemicalCompoundElements_Data(),Table_Fertiliser_ChemicalCompounds[[#Headers],[Fertiliser type f]], 0)</f>
        <v>Other fertilisers</v>
      </c>
      <c r="H36" s="186" t="str" cm="1">
        <f t="array" ref="H36">Common_InputFunctions.Utility_DisplayArrayInTable(Fertiliser_SourceData.Fertiliser_ChemicalCompoundElements_Data(),Table_Fertiliser_ChemicalCompounds[[#Headers],[Fertiliser type f]], 0)</f>
        <v>Single superphosphate (SSP)</v>
      </c>
      <c r="I36" s="186" t="str" cm="1">
        <f t="array" ref="I36">Common_InputFunctions.Utility_DisplayArrayInTable(Fertiliser_SourceData.Fertiliser_ChemicalCompoundElements_Data(),Table_Fertiliser_ChemicalCompounds[[#Headers],[Fertiliser type f]], 0)</f>
        <v>LifeCycles</v>
      </c>
    </row>
    <row r="37" spans="1:10" ht="20.100000000000001" customHeight="1" x14ac:dyDescent="0.25">
      <c r="A37" s="251" t="s">
        <v>1</v>
      </c>
      <c r="D37" s="186" t="str" cm="1">
        <f t="array" ref="D37">Common_InputFunctions.Utility_DisplayArrayInTable(Fertiliser_SourceData.Fertiliser_ChemicalCompoundElements_Data(),Table_Fertiliser_ChemicalCompounds[[#Headers],[Fertiliser type f]], 0)</f>
        <v>Ammonia</v>
      </c>
      <c r="E37" s="186" cm="1">
        <f t="array" ref="E37">Common_InputFunctions.Utility_DisplayArrayInTable(Fertiliser_SourceData.Fertiliser_ChemicalCompoundElements_Data(),Table_Fertiliser_ChemicalCompounds[[#Headers],[Fertiliser type f]], 0)</f>
        <v>0.82350000000000001</v>
      </c>
      <c r="F37" s="186" cm="1">
        <f t="array" ref="F37">Common_InputFunctions.Utility_DisplayArrayInTable(Fertiliser_SourceData.Fertiliser_ChemicalCompoundElements_Data(),Table_Fertiliser_ChemicalCompounds[[#Headers],[Fertiliser type f]], 0)</f>
        <v>0</v>
      </c>
      <c r="G37" s="186" t="str" cm="1">
        <f t="array" ref="G37">Common_InputFunctions.Utility_DisplayArrayInTable(Fertiliser_SourceData.Fertiliser_ChemicalCompoundElements_Data(),Table_Fertiliser_ChemicalCompounds[[#Headers],[Fertiliser type f]], 0)</f>
        <v>Ammonium-based fertilisers</v>
      </c>
      <c r="H37" s="186" t="str" cm="1">
        <f t="array" ref="H37">Common_InputFunctions.Utility_DisplayArrayInTable(Fertiliser_SourceData.Fertiliser_ChemicalCompoundElements_Data(),Table_Fertiliser_ChemicalCompounds[[#Headers],[Fertiliser type f]], 0)</f>
        <v>Ammonia</v>
      </c>
      <c r="I37" s="186" t="str" cm="1">
        <f t="array" ref="I37">Common_InputFunctions.Utility_DisplayArrayInTable(Fertiliser_SourceData.Fertiliser_ChemicalCompoundElements_Data(),Table_Fertiliser_ChemicalCompounds[[#Headers],[Fertiliser type f]], 0)</f>
        <v>LifeCycles</v>
      </c>
    </row>
    <row r="38" spans="1:10" ht="20.100000000000001" customHeight="1" x14ac:dyDescent="0.25">
      <c r="A38" s="5" t="str">
        <f>HYPERLINK("#'Constants - Pasture Beef'!A1", "Constants - Pasture Beef")</f>
        <v>Constants - Pasture Beef</v>
      </c>
      <c r="D38" s="30" t="str" cm="1">
        <f t="array" ref="D38">Common_InputFunctions.Utility_DisplayArrayInTable(Fertiliser_SourceData.Fertiliser_ChemicalCompoundElements_Data(),Table_Fertiliser_ChemicalCompounds[[#Headers],[Fertiliser type f]], 0)</f>
        <v>Calcium nitrate</v>
      </c>
      <c r="E38" s="30" cm="1">
        <f t="array" ref="E38">Common_InputFunctions.Utility_DisplayArrayInTable(Fertiliser_SourceData.Fertiliser_ChemicalCompoundElements_Data(),Table_Fertiliser_ChemicalCompounds[[#Headers],[Fertiliser type f]], 0)</f>
        <v>0.155</v>
      </c>
      <c r="F38" s="30" cm="1">
        <f t="array" ref="F38">Common_InputFunctions.Utility_DisplayArrayInTable(Fertiliser_SourceData.Fertiliser_ChemicalCompoundElements_Data(),Table_Fertiliser_ChemicalCompounds[[#Headers],[Fertiliser type f]], 0)</f>
        <v>0</v>
      </c>
      <c r="G38" s="30" t="str" cm="1">
        <f t="array" ref="G38">Common_InputFunctions.Utility_DisplayArrayInTable(Fertiliser_SourceData.Fertiliser_ChemicalCompoundElements_Data(),Table_Fertiliser_ChemicalCompounds[[#Headers],[Fertiliser type f]], 0)</f>
        <v>Nitrate-based fertilisers</v>
      </c>
      <c r="H38" s="30" t="str" cm="1">
        <f t="array" ref="H38">Common_InputFunctions.Utility_DisplayArrayInTable(Fertiliser_SourceData.Fertiliser_ChemicalCompoundElements_Data(),Table_Fertiliser_ChemicalCompounds[[#Headers],[Fertiliser type f]], 0)</f>
        <v>Calcium nitrate</v>
      </c>
      <c r="I38" s="30" t="str" cm="1">
        <f t="array" ref="I38">Common_InputFunctions.Utility_DisplayArrayInTable(Fertiliser_SourceData.Fertiliser_ChemicalCompoundElements_Data(),Table_Fertiliser_ChemicalCompounds[[#Headers],[Fertiliser type f]], 0)</f>
        <v>VEERG</v>
      </c>
    </row>
    <row r="39" spans="1:10" ht="20.100000000000001" customHeight="1" x14ac:dyDescent="0.25">
      <c r="A39" s="5" t="str">
        <f>HYPERLINK("#'Constants - Ag Residue'!A1", "Constants - Ag residue")</f>
        <v>Constants - Ag residue</v>
      </c>
    </row>
    <row r="40" spans="1:10" ht="20.100000000000001" customHeight="1" x14ac:dyDescent="0.25">
      <c r="A40" s="5" t="str">
        <f>HYPERLINK("#'Constants - Common Livestock'!A1", "Constants - Common Livestock")</f>
        <v>Constants - Common Livestock</v>
      </c>
      <c r="D40" s="2" t="s">
        <v>629</v>
      </c>
      <c r="F40" s="2" t="s">
        <v>630</v>
      </c>
      <c r="H40" s="2" t="s">
        <v>306</v>
      </c>
      <c r="J40" s="2" t="s">
        <v>631</v>
      </c>
    </row>
    <row r="41" spans="1:10" ht="20.100000000000001" customHeight="1" x14ac:dyDescent="0.25">
      <c r="A41" s="5" t="str">
        <f>HYPERLINK("#'Constants - Electricity'!A1", "Constants - Electricity")</f>
        <v>Constants - Electricity</v>
      </c>
      <c r="D41" s="30" t="s">
        <v>311</v>
      </c>
      <c r="F41" s="30" t="s">
        <v>311</v>
      </c>
      <c r="H41" s="30" t="s">
        <v>74</v>
      </c>
      <c r="J41" s="30" t="s">
        <v>632</v>
      </c>
    </row>
    <row r="42" spans="1:10" ht="20.100000000000001" customHeight="1" x14ac:dyDescent="0.25">
      <c r="A42" s="126" t="str">
        <f>HYPERLINK("#'Constants - Fertiliser'!A1", "Constants - Fertiliser")</f>
        <v>Constants - Fertiliser</v>
      </c>
      <c r="D42" s="30" t="s">
        <v>240</v>
      </c>
      <c r="F42" s="30" t="s">
        <v>240</v>
      </c>
      <c r="H42" s="30" t="s">
        <v>313</v>
      </c>
      <c r="J42" s="30" t="s">
        <v>633</v>
      </c>
    </row>
    <row r="43" spans="1:10" ht="20.100000000000001" customHeight="1" x14ac:dyDescent="0.25">
      <c r="A43" s="5" t="str">
        <f>HYPERLINK("#'Constants - Fuel'!A1", "Constants - Fuel")</f>
        <v>Constants - Fuel</v>
      </c>
      <c r="D43" s="1" t="s">
        <v>469</v>
      </c>
      <c r="F43" s="1" t="s">
        <v>471</v>
      </c>
      <c r="H43" s="30" t="s">
        <v>317</v>
      </c>
      <c r="J43" s="1" t="s">
        <v>537</v>
      </c>
    </row>
    <row r="44" spans="1:10" ht="20.100000000000001" customHeight="1" x14ac:dyDescent="0.25">
      <c r="A44" s="5" t="str">
        <f>HYPERLINK("#'Constants - Common'!A1", "Constants - Common")</f>
        <v>Constants - Common</v>
      </c>
      <c r="F44" s="1" t="s">
        <v>634</v>
      </c>
      <c r="H44" s="1" t="s">
        <v>241</v>
      </c>
      <c r="J44" s="1" t="s">
        <v>635</v>
      </c>
    </row>
    <row r="45" spans="1:10" ht="20.100000000000001" customHeight="1" x14ac:dyDescent="0.25">
      <c r="A45" s="5" t="str">
        <f>HYPERLINK("#'Acknowledgements'!A1", "Acknowledgements")</f>
        <v>Acknowledgements</v>
      </c>
      <c r="F45" s="1" t="s">
        <v>636</v>
      </c>
      <c r="H45" s="1" t="s">
        <v>325</v>
      </c>
      <c r="J45" s="1" t="s">
        <v>536</v>
      </c>
    </row>
    <row r="46" spans="1:10" ht="20.100000000000001" customHeight="1" x14ac:dyDescent="0.25">
      <c r="A46" s="5" t="str">
        <f>HYPERLINK("#'Overview'!A1", "Overview")</f>
        <v>Overview</v>
      </c>
      <c r="H46" s="1" t="s">
        <v>327</v>
      </c>
      <c r="J46" s="1" t="s">
        <v>538</v>
      </c>
    </row>
    <row r="47" spans="1:10" ht="20.100000000000001" customHeight="1" x14ac:dyDescent="0.25"/>
    <row r="48" spans="1:10" ht="20.100000000000001" customHeight="1" x14ac:dyDescent="0.25">
      <c r="D48" s="2" t="str" cm="1">
        <f t="array" ref="D48">Fertiliser_SourceData.Fertiliser_FracGASF_Title()</f>
        <v>Fraction of inorganic fertiliser that volatilises as NH3 and NOx</v>
      </c>
      <c r="G48" s="177"/>
    </row>
    <row r="49" spans="4:8" ht="20.100000000000001" customHeight="1" x14ac:dyDescent="0.25">
      <c r="D49" s="27" t="str" cm="1">
        <f t="array" ref="D49">Fertiliser_SourceData.Fertiliser_FracGASF_Source()</f>
        <v>Table A.2.2.6: Fraction of inorganic fertiliser f that volatilises as NH3 and NOx ((kg NH3â€“N + NOxâ€“N)/kg N) (FracGASFf)</v>
      </c>
      <c r="G49" s="177"/>
    </row>
    <row r="50" spans="4:8" ht="20.100000000000001" customHeight="1" x14ac:dyDescent="0.25">
      <c r="D50" s="30" t="s">
        <v>543</v>
      </c>
      <c r="E50" s="30" t="s">
        <v>637</v>
      </c>
      <c r="G50" s="177"/>
    </row>
    <row r="51" spans="4:8" ht="20.100000000000001" customHeight="1" x14ac:dyDescent="0.25">
      <c r="D51" s="30" t="str" cm="1">
        <f t="array" ref="D51">Common_InputFunctions.Utility_DisplayArrayInTable(Fertiliser_SourceData.Fertiliser_FracGASF_Data(), Table_SourceData_Fertiliser_FracGASF[[#Headers],[Fertiliser type f]], 0)</f>
        <v>Urea-based fertilisers</v>
      </c>
      <c r="E51" s="30" cm="1">
        <f t="array" ref="E51">Common_InputFunctions.Utility_DisplayArrayInTable(Fertiliser_SourceData.Fertiliser_FracGASF_Data(), Table_SourceData_Fertiliser_FracGASF[[#Headers],[Fertiliser type f]], 0)</f>
        <v>0.15</v>
      </c>
      <c r="G51" s="177"/>
    </row>
    <row r="52" spans="4:8" ht="20.100000000000001" customHeight="1" x14ac:dyDescent="0.25">
      <c r="D52" s="1" t="str" cm="1">
        <f t="array" ref="D52">Common_InputFunctions.Utility_DisplayArrayInTable(Fertiliser_SourceData.Fertiliser_FracGASF_Data(), Table_SourceData_Fertiliser_FracGASF[[#Headers],[Fertiliser type f]], 0)</f>
        <v>Ammonium-based fertilisers</v>
      </c>
      <c r="E52" s="30" cm="1">
        <f t="array" ref="E52">Common_InputFunctions.Utility_DisplayArrayInTable(Fertiliser_SourceData.Fertiliser_FracGASF_Data(), Table_SourceData_Fertiliser_FracGASF[[#Headers],[Fertiliser type f]], 0)</f>
        <v>0.08</v>
      </c>
      <c r="G52" s="177"/>
    </row>
    <row r="53" spans="4:8" ht="20.100000000000001" customHeight="1" x14ac:dyDescent="0.25">
      <c r="D53" s="1" t="str" cm="1">
        <f t="array" ref="D53">Common_InputFunctions.Utility_DisplayArrayInTable(Fertiliser_SourceData.Fertiliser_FracGASF_Data(), Table_SourceData_Fertiliser_FracGASF[[#Headers],[Fertiliser type f]], 0)</f>
        <v>Nitrate-based fertilisers</v>
      </c>
      <c r="E53" s="30" cm="1">
        <f t="array" ref="E53">Common_InputFunctions.Utility_DisplayArrayInTable(Fertiliser_SourceData.Fertiliser_FracGASF_Data(), Table_SourceData_Fertiliser_FracGASF[[#Headers],[Fertiliser type f]], 0)</f>
        <v>0.01</v>
      </c>
      <c r="G53" s="177"/>
    </row>
    <row r="54" spans="4:8" ht="20.100000000000001" customHeight="1" x14ac:dyDescent="0.25">
      <c r="D54" s="1" t="str" cm="1">
        <f t="array" ref="D54">Common_InputFunctions.Utility_DisplayArrayInTable(Fertiliser_SourceData.Fertiliser_FracGASF_Data(), Table_SourceData_Fertiliser_FracGASF[[#Headers],[Fertiliser type f]], 0)</f>
        <v>Ammonium-nitrate based fertilisers</v>
      </c>
      <c r="E54" s="30" cm="1">
        <f t="array" ref="E54">Common_InputFunctions.Utility_DisplayArrayInTable(Fertiliser_SourceData.Fertiliser_FracGASF_Data(), Table_SourceData_Fertiliser_FracGASF[[#Headers],[Fertiliser type f]], 0)</f>
        <v>0.05</v>
      </c>
      <c r="G54" s="177"/>
      <c r="H54" s="177"/>
    </row>
    <row r="55" spans="4:8" ht="20.100000000000001" customHeight="1" x14ac:dyDescent="0.25">
      <c r="D55" s="1" t="str" cm="1">
        <f t="array" ref="D55">Common_InputFunctions.Utility_DisplayArrayInTable(Fertiliser_SourceData.Fertiliser_FracGASF_Data(), Table_SourceData_Fertiliser_FracGASF[[#Headers],[Fertiliser type f]], 0)</f>
        <v>Other fertilisers</v>
      </c>
      <c r="E55" s="30" cm="1">
        <f t="array" ref="E55">Common_InputFunctions.Utility_DisplayArrayInTable(Fertiliser_SourceData.Fertiliser_FracGASF_Data(), Table_SourceData_Fertiliser_FracGASF[[#Headers],[Fertiliser type f]], 0)</f>
        <v>0.11</v>
      </c>
      <c r="G55" s="177"/>
      <c r="H55" s="177"/>
    </row>
    <row r="56" spans="4:8" ht="20.100000000000001" customHeight="1" x14ac:dyDescent="0.25"/>
    <row r="57" spans="4:8" ht="20.100000000000001" customHeight="1" x14ac:dyDescent="0.25"/>
    <row r="58" spans="4:8" ht="20.100000000000001" customHeight="1" x14ac:dyDescent="0.25">
      <c r="D58" s="2" t="str" cm="1">
        <f t="array" ref="D58">Fertiliser_SourceData.Fertiliser_EFUreaCO2_Title()</f>
        <v>Emission factor for carbon emissions from urea application</v>
      </c>
    </row>
    <row r="59" spans="4:8" ht="20.100000000000001" customHeight="1" x14ac:dyDescent="0.25">
      <c r="D59" s="27" t="str" cm="1">
        <f t="array" ref="D59">Fertiliser_SourceData.Fertiliser_EFUreaCO2_Source()</f>
        <v>VEERG 2026: 5.1.2.2 Constant Parameters</v>
      </c>
    </row>
    <row r="60" spans="4:8" ht="20.100000000000001" customHeight="1" x14ac:dyDescent="0.25">
      <c r="D60" s="88" t="str" cm="1">
        <f t="array" ref="D60">Fertiliser_SourceData.Fertiliser_EFUreaCO2_Variable()</f>
        <v>EFureaCO2</v>
      </c>
      <c r="E60" s="1" cm="1">
        <f t="array" ref="E60">Fertiliser_SourceData.Fertiliser_EFUreaCO2_Data()</f>
        <v>0.2</v>
      </c>
      <c r="F60" s="15" t="str" cm="1">
        <f t="array" ref="F60">Fertiliser_SourceData.Fertiliser_EFUreaCO2_Unit()</f>
        <v>kg C/kg urea</v>
      </c>
    </row>
    <row r="61" spans="4:8" ht="20.100000000000001" customHeight="1" x14ac:dyDescent="0.25"/>
    <row r="62" spans="4:8" ht="20.100000000000001" customHeight="1" x14ac:dyDescent="0.25"/>
    <row r="63" spans="4:8" ht="20.100000000000001" customHeight="1" x14ac:dyDescent="0.25">
      <c r="D63" s="2" t="str" cm="1">
        <f t="array" ref="D63">Fertiliser_SourceData.Fertiliser_LimeDolomiteGypsumConstants_Title()</f>
        <v>Constants for lime, dolomite and gypsum</v>
      </c>
    </row>
    <row r="64" spans="4:8" ht="20.100000000000001" customHeight="1" x14ac:dyDescent="0.25">
      <c r="D64" s="27" t="str" cm="1">
        <f t="array" ref="D64">Fertiliser_SourceData.Fertiliser_LimeDolomiteGypsumConstants_Source()</f>
        <v>VEERG 2026: 5.3.2.3 Constant Parameters</v>
      </c>
    </row>
    <row r="65" spans="4:6" ht="20.100000000000001" customHeight="1" x14ac:dyDescent="0.25">
      <c r="D65" s="30" t="s">
        <v>589</v>
      </c>
      <c r="E65" s="30" t="s">
        <v>638</v>
      </c>
      <c r="F65" s="30" t="s">
        <v>639</v>
      </c>
    </row>
    <row r="66" spans="4:6" ht="20.100000000000001" customHeight="1" x14ac:dyDescent="0.25">
      <c r="D66" s="30" t="str" cm="1">
        <f t="array" ref="D66">Common_InputFunctions.Utility_DisplayArrayInTable(Fertiliser_SourceData.Fertiliser_LimeDolomiteGypsumConstants_Data(), Table_SourceData_Fertiliser_LimeDolomiteConstants[[#Headers],[Element]], 0)</f>
        <v>Lime (Calcium carbonate)</v>
      </c>
      <c r="E66" s="30" cm="1">
        <f t="array" ref="E66">Common_InputFunctions.Utility_DisplayArrayInTable(Fertiliser_SourceData.Fertiliser_LimeDolomiteGypsumConstants_Data(), Table_SourceData_Fertiliser_LimeDolomiteConstants[[#Headers],[Element]], 0)</f>
        <v>0.9</v>
      </c>
      <c r="F66" s="30" cm="1">
        <f t="array" ref="F66">Common_InputFunctions.Utility_DisplayArrayInTable(Fertiliser_SourceData.Fertiliser_LimeDolomiteGypsumConstants_Data(), Table_SourceData_Fertiliser_LimeDolomiteConstants[[#Headers],[Element]], 0)</f>
        <v>0.12</v>
      </c>
    </row>
    <row r="67" spans="4:6" ht="20.100000000000001" customHeight="1" x14ac:dyDescent="0.25">
      <c r="D67" s="1" t="str" cm="1">
        <f t="array" ref="D67">Common_InputFunctions.Utility_DisplayArrayInTable(Fertiliser_SourceData.Fertiliser_LimeDolomiteGypsumConstants_Data(), Table_SourceData_Fertiliser_LimeDolomiteConstants[[#Headers],[Element]], 0)</f>
        <v>Dolomite (Magnesium carbonate)</v>
      </c>
      <c r="E67" s="30" cm="1">
        <f t="array" ref="E67">Common_InputFunctions.Utility_DisplayArrayInTable(Fertiliser_SourceData.Fertiliser_LimeDolomiteGypsumConstants_Data(), Table_SourceData_Fertiliser_LimeDolomiteConstants[[#Headers],[Element]], 0)</f>
        <v>0.95</v>
      </c>
      <c r="F67" s="30" cm="1">
        <f t="array" ref="F67">Common_InputFunctions.Utility_DisplayArrayInTable(Fertiliser_SourceData.Fertiliser_LimeDolomiteGypsumConstants_Data(), Table_SourceData_Fertiliser_LimeDolomiteConstants[[#Headers],[Element]], 0)</f>
        <v>0.13</v>
      </c>
    </row>
    <row r="68" spans="4:6" ht="20.100000000000001" customHeight="1" x14ac:dyDescent="0.25">
      <c r="D68" s="1" t="str" cm="1">
        <f t="array" ref="D68">Common_InputFunctions.Utility_DisplayArrayInTable(Fertiliser_SourceData.Fertiliser_LimeDolomiteGypsumConstants_Data(), Table_SourceData_Fertiliser_LimeDolomiteConstants[[#Headers],[Element]], 0)</f>
        <v>Gypsum</v>
      </c>
      <c r="E68" s="30" cm="1">
        <f t="array" ref="E68">Common_InputFunctions.Utility_DisplayArrayInTable(Fertiliser_SourceData.Fertiliser_LimeDolomiteGypsumConstants_Data(), Table_SourceData_Fertiliser_LimeDolomiteConstants[[#Headers],[Element]], 0)</f>
        <v>0</v>
      </c>
      <c r="F68" s="30" cm="1">
        <f t="array" ref="F68">Common_InputFunctions.Utility_DisplayArrayInTable(Fertiliser_SourceData.Fertiliser_LimeDolomiteGypsumConstants_Data(), Table_SourceData_Fertiliser_LimeDolomiteConstants[[#Headers],[Element]], 0)</f>
        <v>0</v>
      </c>
    </row>
    <row r="69" spans="4:6" ht="20.100000000000001" customHeight="1" x14ac:dyDescent="0.25"/>
    <row r="70" spans="4:6" ht="20.100000000000001" customHeight="1" x14ac:dyDescent="0.25"/>
    <row r="71" spans="4:6" ht="20.100000000000001" customHeight="1" x14ac:dyDescent="0.25">
      <c r="D71" s="2" t="str" cm="1">
        <f t="array" ref="D71">Fertiliser_SourceData.Fertiliser_FracGASMSoil_Title()</f>
        <v>Fraction of organic fertiliser that volatilises as NH3 and NOx</v>
      </c>
    </row>
    <row r="72" spans="4:6" ht="20.100000000000001" customHeight="1" x14ac:dyDescent="0.25">
      <c r="D72" s="27" t="str" cm="1">
        <f t="array" ref="D72">Fertiliser_SourceData.Fertiliser_FracGASMSoil_Source()</f>
        <v>VEERG 2026: 5.4.2.3 Constant Parameters</v>
      </c>
    </row>
    <row r="73" spans="4:6" ht="20.100000000000001" customHeight="1" x14ac:dyDescent="0.25">
      <c r="D73" s="88" t="str" cm="1">
        <f t="array" ref="D73">Fertiliser_SourceData.Fertiliser_FracGASMSoil_Variable()</f>
        <v>FracGASMsoil</v>
      </c>
      <c r="E73" s="1" cm="1">
        <f t="array" ref="E73">Fertiliser_SourceData.Fertiliser_FracGASMSoil_Data()</f>
        <v>0.21</v>
      </c>
      <c r="F73" s="15" t="str" cm="1">
        <f t="array" ref="F73">Fertiliser_SourceData.Fertiliser_FracGASMSoil_Unit()</f>
        <v>(kg NH3-N + NOx-N)/kg N</v>
      </c>
    </row>
    <row r="74" spans="4:6" ht="20.100000000000001" customHeight="1" x14ac:dyDescent="0.25"/>
    <row r="75" spans="4:6" ht="20.100000000000001" customHeight="1" x14ac:dyDescent="0.25"/>
    <row r="76" spans="4:6" ht="20.100000000000001" customHeight="1" x14ac:dyDescent="0.25">
      <c r="D76" s="2" t="str" cm="1">
        <f t="array" ref="D76">Fertiliser_SourceData.Fertiliser_FracLEACH_Title()</f>
        <v>Fraction of nitrogen that is lost through leaching and runoff</v>
      </c>
    </row>
    <row r="77" spans="4:6" ht="20.100000000000001" customHeight="1" x14ac:dyDescent="0.25">
      <c r="D77" s="27" t="str" cm="1">
        <f t="array" ref="D77">Fertiliser_SourceData.Fertiliser_FracLEACH_Source()</f>
        <v>VEERG 2026: 5.5.2.3 Constant Parameters</v>
      </c>
    </row>
    <row r="78" spans="4:6" ht="20.100000000000001" customHeight="1" x14ac:dyDescent="0.25">
      <c r="D78" s="88" t="str" cm="1">
        <f t="array" ref="D78">Fertiliser_SourceData.Fertiliser_FracLEACH_Variable()</f>
        <v>FracLEACH</v>
      </c>
      <c r="E78" s="1" cm="1">
        <f t="array" ref="E78">Fertiliser_SourceData.Fertiliser_FracLEACH_Data()</f>
        <v>0.24</v>
      </c>
      <c r="F78" s="15" t="str" cm="1">
        <f t="array" ref="F78">Fertiliser_SourceData.Fertiliser_FracLEACH_Unit()</f>
        <v>fraction</v>
      </c>
    </row>
    <row r="79" spans="4:6" ht="20.100000000000001" customHeight="1" x14ac:dyDescent="0.25"/>
    <row r="80" spans="4:6" ht="20.100000000000001" customHeight="1" x14ac:dyDescent="0.25"/>
    <row r="81" spans="4:31" ht="20.100000000000001" customHeight="1" x14ac:dyDescent="0.25">
      <c r="D81" s="2" t="str" cm="1">
        <f t="array" ref="D81">Fertiliser_SourceData.Fertiliser_EFLeach_Title()</f>
        <v>Emission factor for nitrogen leaching and runoff</v>
      </c>
    </row>
    <row r="82" spans="4:31" ht="20.100000000000001" customHeight="1" x14ac:dyDescent="0.25">
      <c r="D82" s="27" t="str" cm="1">
        <f t="array" ref="D82">Fertiliser_SourceData.Fertiliser_EFLeach_Source()</f>
        <v>VEERG 2026: 5.5.2.3 Constant Parameters</v>
      </c>
    </row>
    <row r="83" spans="4:31" ht="20.100000000000001" customHeight="1" x14ac:dyDescent="0.25">
      <c r="D83" s="88" t="str" cm="1">
        <f t="array" ref="D83">Fertiliser_SourceData.Fertiliser_EFLeach_Variable()</f>
        <v>EFLeach</v>
      </c>
      <c r="E83" s="1" cm="1">
        <f t="array" ref="E83">Fertiliser_SourceData.Fertiliser_EFLeach_Data()</f>
        <v>1.0999999999999999E-2</v>
      </c>
      <c r="F83" s="15" t="str" cm="1">
        <f t="array" ref="F83">Fertiliser_SourceData.Fertiliser_EFLeach_Unit()</f>
        <v>kg N2O-N / kg N</v>
      </c>
    </row>
    <row r="84" spans="4:31" ht="20.100000000000001" customHeight="1" x14ac:dyDescent="0.25"/>
    <row r="85" spans="4:31" ht="20.100000000000001" customHeight="1" x14ac:dyDescent="0.25"/>
    <row r="86" spans="4:31" ht="20.100000000000001" customHeight="1" x14ac:dyDescent="0.25">
      <c r="N86" s="1" t="s">
        <v>640</v>
      </c>
    </row>
    <row r="87" spans="4:31" ht="20.100000000000001" customHeight="1" x14ac:dyDescent="0.25">
      <c r="D87" s="2" t="s">
        <v>641</v>
      </c>
      <c r="E87" s="177"/>
      <c r="F87" s="177"/>
      <c r="G87" s="177"/>
      <c r="H87" s="177"/>
      <c r="I87" s="177"/>
      <c r="J87" s="177"/>
      <c r="K87" s="177"/>
      <c r="L87" s="177"/>
      <c r="N87" s="177" t="s">
        <v>640</v>
      </c>
      <c r="O87" s="177"/>
      <c r="P87" s="177"/>
      <c r="Q87" s="177"/>
      <c r="R87" s="177"/>
      <c r="S87" s="177"/>
      <c r="T87" s="177"/>
      <c r="U87" s="177"/>
    </row>
    <row r="88" spans="4:31" ht="20.100000000000001" customHeight="1" x14ac:dyDescent="0.25">
      <c r="D88" s="177"/>
    </row>
    <row r="89" spans="4:31" ht="20.100000000000001" customHeight="1" x14ac:dyDescent="0.25">
      <c r="D89" s="187" t="s">
        <v>642</v>
      </c>
      <c r="E89" s="30" t="s">
        <v>643</v>
      </c>
      <c r="F89" s="30" t="s">
        <v>644</v>
      </c>
      <c r="G89" s="142" t="s">
        <v>645</v>
      </c>
      <c r="H89" s="142" t="s">
        <v>130</v>
      </c>
      <c r="I89" s="142" t="s">
        <v>646</v>
      </c>
      <c r="J89" s="142" t="s">
        <v>497</v>
      </c>
      <c r="K89" s="142" t="s">
        <v>498</v>
      </c>
      <c r="L89" s="142" t="s">
        <v>484</v>
      </c>
      <c r="M89" s="142" t="s">
        <v>485</v>
      </c>
      <c r="N89" s="142" t="s">
        <v>486</v>
      </c>
      <c r="O89" s="30" t="s">
        <v>487</v>
      </c>
      <c r="P89" s="30" t="s">
        <v>488</v>
      </c>
      <c r="Q89" s="30" t="s">
        <v>489</v>
      </c>
      <c r="R89" s="142" t="s">
        <v>490</v>
      </c>
      <c r="S89" s="142" t="s">
        <v>491</v>
      </c>
      <c r="T89" s="30" t="s">
        <v>492</v>
      </c>
      <c r="U89" s="142" t="s">
        <v>493</v>
      </c>
      <c r="V89" s="142" t="s">
        <v>494</v>
      </c>
      <c r="W89" s="142" t="s">
        <v>495</v>
      </c>
      <c r="X89" s="142" t="s">
        <v>647</v>
      </c>
      <c r="Y89" s="142" t="s">
        <v>648</v>
      </c>
      <c r="Z89" s="30" t="s">
        <v>649</v>
      </c>
      <c r="AA89" s="30" t="s">
        <v>650</v>
      </c>
      <c r="AB89" s="30" t="s">
        <v>651</v>
      </c>
      <c r="AC89" s="30" t="s">
        <v>652</v>
      </c>
      <c r="AD89" s="30" t="s">
        <v>653</v>
      </c>
      <c r="AE89" s="30" t="s">
        <v>654</v>
      </c>
    </row>
    <row r="90" spans="4:31" ht="20.100000000000001" customHeight="1" x14ac:dyDescent="0.25">
      <c r="D90" s="186" t="str" cm="1">
        <f t="array" ref="D90">Common_InputFunctions.Utility_DisplayArrayInTable(Fertiliser_SourceData.Fertiliser_Products_Data1(),FertiliserProducts[[#Headers],[Include or Exclude]], -1)</f>
        <v>Include</v>
      </c>
      <c r="E90" s="186" t="str" cm="1">
        <f t="array" ref="E90">Common_InputFunctions.Utility_DisplayArrayInTable(Fertiliser_SourceData.Fertiliser_Products_Data1(),FertiliserProducts[[#Headers],[Include or Exclude]], 0)</f>
        <v/>
      </c>
      <c r="F90" s="186" t="str" cm="1">
        <f t="array" ref="F90">Common_InputFunctions.Utility_DisplayArrayInTable(Fertiliser_SourceData.Fertiliser_Products_Data1(),FertiliserProducts[[#Headers],[Include or Exclude]], 0)</f>
        <v>Campbells fertilisers Australia</v>
      </c>
      <c r="G90" s="186" t="str" cm="1">
        <f t="array" ref="G90">Common_InputFunctions.Utility_DisplayArrayInTable(Fertiliser_SourceData.Fertiliser_Products_Data1(),FertiliserProducts[[#Headers],[Include or Exclude]], 0)</f>
        <v>Aqua Finish</v>
      </c>
      <c r="H90" s="186" t="str" cm="1">
        <f t="array" ref="H90">Common_InputFunctions.Utility_DisplayArrayInTable(Fertiliser_SourceData.Fertiliser_Products_Data1(),FertiliserProducts[[#Headers],[Include or Exclude]], 0,4)</f>
        <v>L</v>
      </c>
      <c r="I90" s="186" cm="1">
        <f t="array" ref="I90">Common_InputFunctions.Utility_DisplayArrayInTable(Fertiliser_SourceData.Fertiliser_Products_Data1(),FertiliserProducts[[#Headers],[Include or Exclude]], 0,4)</f>
        <v>1.26</v>
      </c>
      <c r="J90" s="186" t="str" cm="1">
        <f t="array" ref="J90">Common_InputFunctions.Utility_DisplayArrayInTable(Fertiliser_SourceData.Fertiliser_Products_Data1(),FertiliserProducts[[#Headers],[Include or Exclude]], 0,4)</f>
        <v/>
      </c>
      <c r="K90" s="186" t="str" cm="1">
        <f t="array" ref="K90">Common_InputFunctions.Utility_DisplayArrayInTable(Fertiliser_SourceData.Fertiliser_Products_Data1(),FertiliserProducts[[#Headers],[Include or Exclude]], 0,4)</f>
        <v/>
      </c>
      <c r="L90" s="186" t="str" cm="1">
        <f t="array" ref="L90">Common_InputFunctions.Utility_DisplayArrayInTable(Fertiliser_SourceData.Fertiliser_Products_Data1(),FertiliserProducts[[#Headers],[Include or Exclude]], 0,4)</f>
        <v>Potassium - Generic</v>
      </c>
      <c r="M90" s="186" cm="1">
        <f t="array" ref="M90">Common_InputFunctions.Utility_DisplayArrayInTable(Fertiliser_SourceData.Fertiliser_Products_Data1(),FertiliserProducts[[#Headers],[Include or Exclude]], 0,4)</f>
        <v>0.22500000000000001</v>
      </c>
      <c r="N90" s="186" t="str" cm="1">
        <f t="array" ref="N90">Common_InputFunctions.Utility_DisplayArrayInTable(Fertiliser_SourceData.Fertiliser_Products_Data1(),FertiliserProducts[[#Headers],[Include or Exclude]], 0,4)</f>
        <v>Phosphorus - Generic</v>
      </c>
      <c r="O90" s="186" cm="1">
        <f t="array" ref="O90">Common_InputFunctions.Utility_DisplayArrayInTable(Fertiliser_SourceData.Fertiliser_Products_Data1(),FertiliserProducts[[#Headers],[Include or Exclude]], 0,4)</f>
        <v>0.04</v>
      </c>
      <c r="P90" s="186" t="str" cm="1">
        <f t="array" ref="P90">Common_InputFunctions.Utility_DisplayArrayInTable(Fertiliser_SourceData.Fertiliser_Products_Data1(),FertiliserProducts[[#Headers],[Include or Exclude]], 0,4)</f>
        <v>Nitrogen - Generic</v>
      </c>
      <c r="Q90" s="186" cm="1">
        <f t="array" ref="Q90">Common_InputFunctions.Utility_DisplayArrayInTable(Fertiliser_SourceData.Fertiliser_Products_Data1(),FertiliserProducts[[#Headers],[Include or Exclude]], 0,4)</f>
        <v>2.5999999999999999E-2</v>
      </c>
      <c r="R90" s="186" t="str" cm="1">
        <f t="array" ref="R90">Common_InputFunctions.Utility_DisplayArrayInTable(Fertiliser_SourceData.Fertiliser_Products_Data1(),FertiliserProducts[[#Headers],[Include or Exclude]], 0,4)</f>
        <v/>
      </c>
      <c r="S90" s="186" t="str" cm="1">
        <f t="array" ref="S90">Common_InputFunctions.Utility_DisplayArrayInTable(Fertiliser_SourceData.Fertiliser_Products_Data1(),FertiliserProducts[[#Headers],[Include or Exclude]], 0,4)</f>
        <v/>
      </c>
      <c r="T90" s="186" t="str" cm="1">
        <f t="array" ref="T90">Common_InputFunctions.Utility_DisplayArrayInTable(Fertiliser_SourceData.Fertiliser_Products_Data1(),FertiliserProducts[[#Headers],[Include or Exclude]], 0,4)</f>
        <v/>
      </c>
      <c r="U90" s="186" t="str" cm="1">
        <f t="array" ref="U90">Common_InputFunctions.Utility_DisplayArrayInTable(Fertiliser_SourceData.Fertiliser_Products_Data1(),FertiliserProducts[[#Headers],[Include or Exclude]], 0,4)</f>
        <v/>
      </c>
      <c r="V90" s="186" t="str" cm="1">
        <f t="array" ref="V90">Common_InputFunctions.Utility_DisplayArrayInTable(Fertiliser_SourceData.Fertiliser_Products_Data1(),FertiliserProducts[[#Headers],[Include or Exclude]], 0,4)</f>
        <v/>
      </c>
      <c r="W90" s="186" t="str" cm="1">
        <f t="array" ref="W90">Common_InputFunctions.Utility_DisplayArrayInTable(Fertiliser_SourceData.Fertiliser_Products_Data1(),FertiliserProducts[[#Headers],[Include or Exclude]], 0,4)</f>
        <v/>
      </c>
      <c r="X90" s="186" t="str" cm="1">
        <f t="array" ref="X90">Common_InputFunctions.Utility_DisplayArrayInTable(Fertiliser_SourceData.Fertiliser_Products_Data1(),FertiliserProducts[[#Headers],[Include or Exclude]], 0,4)</f>
        <v/>
      </c>
      <c r="Y90" s="186" t="str" cm="1">
        <f t="array" ref="Y90">Common_InputFunctions.Utility_DisplayArrayInTable(Fertiliser_SourceData.Fertiliser_Products_Data1(),FertiliserProducts[[#Headers],[Include or Exclude]], 0,4)</f>
        <v/>
      </c>
      <c r="Z90" s="186" t="str" cm="1">
        <f t="array" ref="Z90">Common_InputFunctions.Utility_DisplayArrayInTable(Fertiliser_SourceData.Fertiliser_Products_Data1(),FertiliserProducts[[#Headers],[Include or Exclude]], 0,4)</f>
        <v/>
      </c>
      <c r="AA90" s="186" t="str" cm="1">
        <f t="array" ref="AA90">Common_InputFunctions.Utility_DisplayArrayInTable(Fertiliser_SourceData.Fertiliser_Products_Data1(),FertiliserProducts[[#Headers],[Include or Exclude]], 0,4)</f>
        <v/>
      </c>
      <c r="AB90" s="186" t="str" cm="1">
        <f t="array" ref="AB90">Common_InputFunctions.Utility_DisplayArrayInTable(Fertiliser_SourceData.Fertiliser_Products_Data1(),FertiliserProducts[[#Headers],[Include or Exclude]], 0,4)</f>
        <v/>
      </c>
      <c r="AC90" s="186" t="str" cm="1">
        <f t="array" ref="AC90">Common_InputFunctions.Utility_DisplayArrayInTable(Fertiliser_SourceData.Fertiliser_Products_Data1(),FertiliserProducts[[#Headers],[Include or Exclude]], 0,4)</f>
        <v/>
      </c>
      <c r="AD90" s="186" t="str" cm="1">
        <f t="array" ref="AD90">Common_InputFunctions.Utility_DisplayArrayInTable(Fertiliser_SourceData.Fertiliser_Products_Data1(),FertiliserProducts[[#Headers],[Include or Exclude]], 0,4)</f>
        <v/>
      </c>
      <c r="AE90" s="186" t="str" cm="1">
        <f t="array" ref="AE90">Common_InputFunctions.Utility_DisplayArrayInTable(Fertiliser_SourceData.Fertiliser_Products_Data1(),FertiliserProducts[[#Headers],[Include or Exclude]], 0,4)</f>
        <v/>
      </c>
    </row>
    <row r="91" spans="4:31" ht="20.100000000000001" customHeight="1" x14ac:dyDescent="0.25">
      <c r="D91" s="186" t="str" cm="1">
        <f t="array" ref="D91">Common_InputFunctions.Utility_DisplayArrayInTable(Fertiliser_SourceData.Fertiliser_Products_Data1(),FertiliserProducts[[#Headers],[Include or Exclude]], -1)</f>
        <v>Include</v>
      </c>
      <c r="E91" s="186" t="str" cm="1">
        <f t="array" ref="E91">Common_InputFunctions.Utility_DisplayArrayInTable(Fertiliser_SourceData.Fertiliser_Products_Data1(),FertiliserProducts[[#Headers],[Include or Exclude]], 0)</f>
        <v/>
      </c>
      <c r="F91" s="186" t="str" cm="1">
        <f t="array" ref="F91">Common_InputFunctions.Utility_DisplayArrayInTable(Fertiliser_SourceData.Fertiliser_Products_Data1(),FertiliserProducts[[#Headers],[Include or Exclude]], 0)</f>
        <v>Campbells fertilisers Australia</v>
      </c>
      <c r="G91" s="186" t="str" cm="1">
        <f t="array" ref="G91">Common_InputFunctions.Utility_DisplayArrayInTable(Fertiliser_SourceData.Fertiliser_Products_Data1(),FertiliserProducts[[#Headers],[Include or Exclude]], 0)</f>
        <v>Aqua Grow</v>
      </c>
      <c r="H91" s="186" t="str" cm="1">
        <f t="array" ref="H91">Common_InputFunctions.Utility_DisplayArrayInTable(Fertiliser_SourceData.Fertiliser_Products_Data1(),FertiliserProducts[[#Headers],[Include or Exclude]], 0,4)</f>
        <v>L</v>
      </c>
      <c r="I91" s="186" cm="1">
        <f t="array" ref="I91">Common_InputFunctions.Utility_DisplayArrayInTable(Fertiliser_SourceData.Fertiliser_Products_Data1(),FertiliserProducts[[#Headers],[Include or Exclude]], 0,4)</f>
        <v>1.26</v>
      </c>
      <c r="J91" s="186" t="str" cm="1">
        <f t="array" ref="J91">Common_InputFunctions.Utility_DisplayArrayInTable(Fertiliser_SourceData.Fertiliser_Products_Data1(),FertiliserProducts[[#Headers],[Include or Exclude]], 0,4)</f>
        <v/>
      </c>
      <c r="K91" s="186" t="str" cm="1">
        <f t="array" ref="K91">Common_InputFunctions.Utility_DisplayArrayInTable(Fertiliser_SourceData.Fertiliser_Products_Data1(),FertiliserProducts[[#Headers],[Include or Exclude]], 0,4)</f>
        <v/>
      </c>
      <c r="L91" s="186" t="str" cm="1">
        <f t="array" ref="L91">Common_InputFunctions.Utility_DisplayArrayInTable(Fertiliser_SourceData.Fertiliser_Products_Data1(),FertiliserProducts[[#Headers],[Include or Exclude]], 0,4)</f>
        <v>Potassium - Generic</v>
      </c>
      <c r="M91" s="186" cm="1">
        <f t="array" ref="M91">Common_InputFunctions.Utility_DisplayArrayInTable(Fertiliser_SourceData.Fertiliser_Products_Data1(),FertiliserProducts[[#Headers],[Include or Exclude]], 0,4)</f>
        <v>0.105</v>
      </c>
      <c r="N91" s="186" t="str" cm="1">
        <f t="array" ref="N91">Common_InputFunctions.Utility_DisplayArrayInTable(Fertiliser_SourceData.Fertiliser_Products_Data1(),FertiliserProducts[[#Headers],[Include or Exclude]], 0,4)</f>
        <v>Nitrogen - Generic</v>
      </c>
      <c r="O91" s="186" cm="1">
        <f t="array" ref="O91">Common_InputFunctions.Utility_DisplayArrayInTable(Fertiliser_SourceData.Fertiliser_Products_Data1(),FertiliserProducts[[#Headers],[Include or Exclude]], 0,4)</f>
        <v>9.6000000000000002E-2</v>
      </c>
      <c r="P91" s="186" t="str" cm="1">
        <f t="array" ref="P91">Common_InputFunctions.Utility_DisplayArrayInTable(Fertiliser_SourceData.Fertiliser_Products_Data1(),FertiliserProducts[[#Headers],[Include or Exclude]], 0,4)</f>
        <v>Phosphorus - Generic</v>
      </c>
      <c r="Q91" s="186" cm="1">
        <f t="array" ref="Q91">Common_InputFunctions.Utility_DisplayArrayInTable(Fertiliser_SourceData.Fertiliser_Products_Data1(),FertiliserProducts[[#Headers],[Include or Exclude]], 0,4)</f>
        <v>0.05</v>
      </c>
      <c r="R91" s="186" t="str" cm="1">
        <f t="array" ref="R91">Common_InputFunctions.Utility_DisplayArrayInTable(Fertiliser_SourceData.Fertiliser_Products_Data1(),FertiliserProducts[[#Headers],[Include or Exclude]], 0,4)</f>
        <v/>
      </c>
      <c r="S91" s="186" t="str" cm="1">
        <f t="array" ref="S91">Common_InputFunctions.Utility_DisplayArrayInTable(Fertiliser_SourceData.Fertiliser_Products_Data1(),FertiliserProducts[[#Headers],[Include or Exclude]], 0,4)</f>
        <v/>
      </c>
      <c r="T91" s="186" t="str" cm="1">
        <f t="array" ref="T91">Common_InputFunctions.Utility_DisplayArrayInTable(Fertiliser_SourceData.Fertiliser_Products_Data1(),FertiliserProducts[[#Headers],[Include or Exclude]], 0,4)</f>
        <v/>
      </c>
      <c r="U91" s="186" t="str" cm="1">
        <f t="array" ref="U91">Common_InputFunctions.Utility_DisplayArrayInTable(Fertiliser_SourceData.Fertiliser_Products_Data1(),FertiliserProducts[[#Headers],[Include or Exclude]], 0,4)</f>
        <v/>
      </c>
      <c r="V91" s="186" t="str" cm="1">
        <f t="array" ref="V91">Common_InputFunctions.Utility_DisplayArrayInTable(Fertiliser_SourceData.Fertiliser_Products_Data1(),FertiliserProducts[[#Headers],[Include or Exclude]], 0,4)</f>
        <v/>
      </c>
      <c r="W91" s="186" t="str" cm="1">
        <f t="array" ref="W91">Common_InputFunctions.Utility_DisplayArrayInTable(Fertiliser_SourceData.Fertiliser_Products_Data1(),FertiliserProducts[[#Headers],[Include or Exclude]], 0,4)</f>
        <v/>
      </c>
      <c r="X91" s="186" t="str" cm="1">
        <f t="array" ref="X91">Common_InputFunctions.Utility_DisplayArrayInTable(Fertiliser_SourceData.Fertiliser_Products_Data1(),FertiliserProducts[[#Headers],[Include or Exclude]], 0,4)</f>
        <v/>
      </c>
      <c r="Y91" s="186" t="str" cm="1">
        <f t="array" ref="Y91">Common_InputFunctions.Utility_DisplayArrayInTable(Fertiliser_SourceData.Fertiliser_Products_Data1(),FertiliserProducts[[#Headers],[Include or Exclude]], 0,4)</f>
        <v/>
      </c>
      <c r="Z91" s="186" t="str" cm="1">
        <f t="array" ref="Z91">Common_InputFunctions.Utility_DisplayArrayInTable(Fertiliser_SourceData.Fertiliser_Products_Data1(),FertiliserProducts[[#Headers],[Include or Exclude]], 0,4)</f>
        <v/>
      </c>
      <c r="AA91" s="186" t="str" cm="1">
        <f t="array" ref="AA91">Common_InputFunctions.Utility_DisplayArrayInTable(Fertiliser_SourceData.Fertiliser_Products_Data1(),FertiliserProducts[[#Headers],[Include or Exclude]], 0,4)</f>
        <v/>
      </c>
      <c r="AB91" s="186" t="str" cm="1">
        <f t="array" ref="AB91">Common_InputFunctions.Utility_DisplayArrayInTable(Fertiliser_SourceData.Fertiliser_Products_Data1(),FertiliserProducts[[#Headers],[Include or Exclude]], 0,4)</f>
        <v/>
      </c>
      <c r="AC91" s="186" t="str" cm="1">
        <f t="array" ref="AC91">Common_InputFunctions.Utility_DisplayArrayInTable(Fertiliser_SourceData.Fertiliser_Products_Data1(),FertiliserProducts[[#Headers],[Include or Exclude]], 0,4)</f>
        <v/>
      </c>
      <c r="AD91" s="186" t="str" cm="1">
        <f t="array" ref="AD91">Common_InputFunctions.Utility_DisplayArrayInTable(Fertiliser_SourceData.Fertiliser_Products_Data1(),FertiliserProducts[[#Headers],[Include or Exclude]], 0,4)</f>
        <v/>
      </c>
      <c r="AE91" s="186" t="str" cm="1">
        <f t="array" ref="AE91">Common_InputFunctions.Utility_DisplayArrayInTable(Fertiliser_SourceData.Fertiliser_Products_Data1(),FertiliserProducts[[#Headers],[Include or Exclude]], 0,4)</f>
        <v/>
      </c>
    </row>
    <row r="92" spans="4:31" ht="20.100000000000001" customHeight="1" x14ac:dyDescent="0.25">
      <c r="D92" s="186" t="str" cm="1">
        <f t="array" ref="D92">Common_InputFunctions.Utility_DisplayArrayInTable(Fertiliser_SourceData.Fertiliser_Products_Data1(),FertiliserProducts[[#Headers],[Include or Exclude]], -1)</f>
        <v>Include</v>
      </c>
      <c r="E92" s="186" t="str" cm="1">
        <f t="array" ref="E92">Common_InputFunctions.Utility_DisplayArrayInTable(Fertiliser_SourceData.Fertiliser_Products_Data1(),FertiliserProducts[[#Headers],[Include or Exclude]], 0)</f>
        <v/>
      </c>
      <c r="F92" s="186" t="str" cm="1">
        <f t="array" ref="F92">Common_InputFunctions.Utility_DisplayArrayInTable(Fertiliser_SourceData.Fertiliser_Products_Data1(),FertiliserProducts[[#Headers],[Include or Exclude]], 0)</f>
        <v>Campbells fertilisers Australia</v>
      </c>
      <c r="G92" s="186" t="str" cm="1">
        <f t="array" ref="G92">Common_InputFunctions.Utility_DisplayArrayInTable(Fertiliser_SourceData.Fertiliser_Products_Data1(),FertiliserProducts[[#Headers],[Include or Exclude]], 0)</f>
        <v>Aqua Nitro AN</v>
      </c>
      <c r="H92" s="186" t="str" cm="1">
        <f t="array" ref="H92">Common_InputFunctions.Utility_DisplayArrayInTable(Fertiliser_SourceData.Fertiliser_Products_Data1(),FertiliserProducts[[#Headers],[Include or Exclude]], 0,4)</f>
        <v>L</v>
      </c>
      <c r="I92" s="186" cm="1">
        <f t="array" ref="I92">Common_InputFunctions.Utility_DisplayArrayInTable(Fertiliser_SourceData.Fertiliser_Products_Data1(),FertiliserProducts[[#Headers],[Include or Exclude]], 0,4)</f>
        <v>1.24</v>
      </c>
      <c r="J92" s="186" t="str" cm="1">
        <f t="array" ref="J92">Common_InputFunctions.Utility_DisplayArrayInTable(Fertiliser_SourceData.Fertiliser_Products_Data1(),FertiliserProducts[[#Headers],[Include or Exclude]], 0,4)</f>
        <v/>
      </c>
      <c r="K92" s="186" t="str" cm="1">
        <f t="array" ref="K92">Common_InputFunctions.Utility_DisplayArrayInTable(Fertiliser_SourceData.Fertiliser_Products_Data1(),FertiliserProducts[[#Headers],[Include or Exclude]], 0,4)</f>
        <v/>
      </c>
      <c r="L92" s="186" t="str" cm="1">
        <f t="array" ref="L92">Common_InputFunctions.Utility_DisplayArrayInTable(Fertiliser_SourceData.Fertiliser_Products_Data1(),FertiliserProducts[[#Headers],[Include or Exclude]], 0,4)</f>
        <v>Nitrogen - Ammoniacal</v>
      </c>
      <c r="M92" s="186" cm="1">
        <f t="array" ref="M92">Common_InputFunctions.Utility_DisplayArrayInTable(Fertiliser_SourceData.Fertiliser_Products_Data1(),FertiliserProducts[[#Headers],[Include or Exclude]], 0,4)</f>
        <v>0.223</v>
      </c>
      <c r="N92" s="186" t="str" cm="1">
        <f t="array" ref="N92">Common_InputFunctions.Utility_DisplayArrayInTable(Fertiliser_SourceData.Fertiliser_Products_Data1(),FertiliserProducts[[#Headers],[Include or Exclude]], 0,4)</f>
        <v/>
      </c>
      <c r="O92" s="186" t="str" cm="1">
        <f t="array" ref="O92">Common_InputFunctions.Utility_DisplayArrayInTable(Fertiliser_SourceData.Fertiliser_Products_Data1(),FertiliserProducts[[#Headers],[Include or Exclude]], 0,4)</f>
        <v/>
      </c>
      <c r="P92" s="186" t="str" cm="1">
        <f t="array" ref="P92">Common_InputFunctions.Utility_DisplayArrayInTable(Fertiliser_SourceData.Fertiliser_Products_Data1(),FertiliserProducts[[#Headers],[Include or Exclude]], 0,4)</f>
        <v/>
      </c>
      <c r="Q92" s="186" t="str" cm="1">
        <f t="array" ref="Q92">Common_InputFunctions.Utility_DisplayArrayInTable(Fertiliser_SourceData.Fertiliser_Products_Data1(),FertiliserProducts[[#Headers],[Include or Exclude]], 0,4)</f>
        <v/>
      </c>
      <c r="R92" s="186" t="str" cm="1">
        <f t="array" ref="R92">Common_InputFunctions.Utility_DisplayArrayInTable(Fertiliser_SourceData.Fertiliser_Products_Data1(),FertiliserProducts[[#Headers],[Include or Exclude]], 0,4)</f>
        <v/>
      </c>
      <c r="S92" s="186" t="str" cm="1">
        <f t="array" ref="S92">Common_InputFunctions.Utility_DisplayArrayInTable(Fertiliser_SourceData.Fertiliser_Products_Data1(),FertiliserProducts[[#Headers],[Include or Exclude]], 0,4)</f>
        <v/>
      </c>
      <c r="T92" s="186" t="str" cm="1">
        <f t="array" ref="T92">Common_InputFunctions.Utility_DisplayArrayInTable(Fertiliser_SourceData.Fertiliser_Products_Data1(),FertiliserProducts[[#Headers],[Include or Exclude]], 0,4)</f>
        <v/>
      </c>
      <c r="U92" s="186" t="str" cm="1">
        <f t="array" ref="U92">Common_InputFunctions.Utility_DisplayArrayInTable(Fertiliser_SourceData.Fertiliser_Products_Data1(),FertiliserProducts[[#Headers],[Include or Exclude]], 0,4)</f>
        <v/>
      </c>
      <c r="V92" s="186" t="str" cm="1">
        <f t="array" ref="V92">Common_InputFunctions.Utility_DisplayArrayInTable(Fertiliser_SourceData.Fertiliser_Products_Data1(),FertiliserProducts[[#Headers],[Include or Exclude]], 0,4)</f>
        <v/>
      </c>
      <c r="W92" s="186" t="str" cm="1">
        <f t="array" ref="W92">Common_InputFunctions.Utility_DisplayArrayInTable(Fertiliser_SourceData.Fertiliser_Products_Data1(),FertiliserProducts[[#Headers],[Include or Exclude]], 0,4)</f>
        <v/>
      </c>
      <c r="X92" s="186" t="str" cm="1">
        <f t="array" ref="X92">Common_InputFunctions.Utility_DisplayArrayInTable(Fertiliser_SourceData.Fertiliser_Products_Data1(),FertiliserProducts[[#Headers],[Include or Exclude]], 0,4)</f>
        <v/>
      </c>
      <c r="Y92" s="186" t="str" cm="1">
        <f t="array" ref="Y92">Common_InputFunctions.Utility_DisplayArrayInTable(Fertiliser_SourceData.Fertiliser_Products_Data1(),FertiliserProducts[[#Headers],[Include or Exclude]], 0,4)</f>
        <v/>
      </c>
      <c r="Z92" s="186" t="str" cm="1">
        <f t="array" ref="Z92">Common_InputFunctions.Utility_DisplayArrayInTable(Fertiliser_SourceData.Fertiliser_Products_Data1(),FertiliserProducts[[#Headers],[Include or Exclude]], 0,4)</f>
        <v/>
      </c>
      <c r="AA92" s="186" t="str" cm="1">
        <f t="array" ref="AA92">Common_InputFunctions.Utility_DisplayArrayInTable(Fertiliser_SourceData.Fertiliser_Products_Data1(),FertiliserProducts[[#Headers],[Include or Exclude]], 0,4)</f>
        <v/>
      </c>
      <c r="AB92" s="186" t="str" cm="1">
        <f t="array" ref="AB92">Common_InputFunctions.Utility_DisplayArrayInTable(Fertiliser_SourceData.Fertiliser_Products_Data1(),FertiliserProducts[[#Headers],[Include or Exclude]], 0,4)</f>
        <v/>
      </c>
      <c r="AC92" s="186" t="str" cm="1">
        <f t="array" ref="AC92">Common_InputFunctions.Utility_DisplayArrayInTable(Fertiliser_SourceData.Fertiliser_Products_Data1(),FertiliserProducts[[#Headers],[Include or Exclude]], 0,4)</f>
        <v/>
      </c>
      <c r="AD92" s="186" t="str" cm="1">
        <f t="array" ref="AD92">Common_InputFunctions.Utility_DisplayArrayInTable(Fertiliser_SourceData.Fertiliser_Products_Data1(),FertiliserProducts[[#Headers],[Include or Exclude]], 0,4)</f>
        <v/>
      </c>
      <c r="AE92" s="186" t="str" cm="1">
        <f t="array" ref="AE92">Common_InputFunctions.Utility_DisplayArrayInTable(Fertiliser_SourceData.Fertiliser_Products_Data1(),FertiliserProducts[[#Headers],[Include or Exclude]], 0,4)</f>
        <v/>
      </c>
    </row>
    <row r="93" spans="4:31" ht="20.100000000000001" customHeight="1" x14ac:dyDescent="0.25">
      <c r="D93" s="186" t="str" cm="1">
        <f t="array" ref="D93">Common_InputFunctions.Utility_DisplayArrayInTable(Fertiliser_SourceData.Fertiliser_Products_Data1(),FertiliserProducts[[#Headers],[Include or Exclude]], -1)</f>
        <v>Include</v>
      </c>
      <c r="E93" s="186" t="str" cm="1">
        <f t="array" ref="E93">Common_InputFunctions.Utility_DisplayArrayInTable(Fertiliser_SourceData.Fertiliser_Products_Data1(),FertiliserProducts[[#Headers],[Include or Exclude]], 0)</f>
        <v>Use Lime EF for calcium</v>
      </c>
      <c r="F93" s="186" t="str" cm="1">
        <f t="array" ref="F93">Common_InputFunctions.Utility_DisplayArrayInTable(Fertiliser_SourceData.Fertiliser_Products_Data1(),FertiliserProducts[[#Headers],[Include or Exclude]], 0)</f>
        <v>Campbells fertilisers Australia</v>
      </c>
      <c r="G93" s="186" t="str" cm="1">
        <f t="array" ref="G93">Common_InputFunctions.Utility_DisplayArrayInTable(Fertiliser_SourceData.Fertiliser_Products_Data1(),FertiliserProducts[[#Headers],[Include or Exclude]], 0)</f>
        <v>Aqua NitroCal</v>
      </c>
      <c r="H93" s="186" t="str" cm="1">
        <f t="array" ref="H93">Common_InputFunctions.Utility_DisplayArrayInTable(Fertiliser_SourceData.Fertiliser_Products_Data1(),FertiliserProducts[[#Headers],[Include or Exclude]], 0,4)</f>
        <v>L</v>
      </c>
      <c r="I93" s="186" cm="1">
        <f t="array" ref="I93">Common_InputFunctions.Utility_DisplayArrayInTable(Fertiliser_SourceData.Fertiliser_Products_Data1(),FertiliserProducts[[#Headers],[Include or Exclude]], 0,4)</f>
        <v>1.5</v>
      </c>
      <c r="J93" s="186" t="str" cm="1">
        <f t="array" ref="J93">Common_InputFunctions.Utility_DisplayArrayInTable(Fertiliser_SourceData.Fertiliser_Products_Data1(),FertiliserProducts[[#Headers],[Include or Exclude]], 0,4)</f>
        <v/>
      </c>
      <c r="K93" s="186" t="str" cm="1">
        <f t="array" ref="K93">Common_InputFunctions.Utility_DisplayArrayInTable(Fertiliser_SourceData.Fertiliser_Products_Data1(),FertiliserProducts[[#Headers],[Include or Exclude]], 0,4)</f>
        <v/>
      </c>
      <c r="L93" s="186" t="str" cm="1">
        <f t="array" ref="L93">Common_InputFunctions.Utility_DisplayArrayInTable(Fertiliser_SourceData.Fertiliser_Products_Data1(),FertiliserProducts[[#Headers],[Include or Exclude]], 0,4)</f>
        <v>Calcium - Generic</v>
      </c>
      <c r="M93" s="186" cm="1">
        <f t="array" ref="M93">Common_InputFunctions.Utility_DisplayArrayInTable(Fertiliser_SourceData.Fertiliser_Products_Data1(),FertiliserProducts[[#Headers],[Include or Exclude]], 0,4)</f>
        <v>0.16200000000000001</v>
      </c>
      <c r="N93" s="186" t="str" cm="1">
        <f t="array" ref="N93">Common_InputFunctions.Utility_DisplayArrayInTable(Fertiliser_SourceData.Fertiliser_Products_Data1(),FertiliserProducts[[#Headers],[Include or Exclude]], 0,4)</f>
        <v>Nitrogen - Nitrate</v>
      </c>
      <c r="O93" s="186" cm="1">
        <f t="array" ref="O93">Common_InputFunctions.Utility_DisplayArrayInTable(Fertiliser_SourceData.Fertiliser_Products_Data1(),FertiliserProducts[[#Headers],[Include or Exclude]], 0,4)</f>
        <v>0.13200000000000001</v>
      </c>
      <c r="P93" s="186" t="str" cm="1">
        <f t="array" ref="P93">Common_InputFunctions.Utility_DisplayArrayInTable(Fertiliser_SourceData.Fertiliser_Products_Data1(),FertiliserProducts[[#Headers],[Include or Exclude]], 0,4)</f>
        <v/>
      </c>
      <c r="Q93" s="186" t="str" cm="1">
        <f t="array" ref="Q93">Common_InputFunctions.Utility_DisplayArrayInTable(Fertiliser_SourceData.Fertiliser_Products_Data1(),FertiliserProducts[[#Headers],[Include or Exclude]], 0,4)</f>
        <v/>
      </c>
      <c r="R93" s="186" t="str" cm="1">
        <f t="array" ref="R93">Common_InputFunctions.Utility_DisplayArrayInTable(Fertiliser_SourceData.Fertiliser_Products_Data1(),FertiliserProducts[[#Headers],[Include or Exclude]], 0,4)</f>
        <v/>
      </c>
      <c r="S93" s="186" t="str" cm="1">
        <f t="array" ref="S93">Common_InputFunctions.Utility_DisplayArrayInTable(Fertiliser_SourceData.Fertiliser_Products_Data1(),FertiliserProducts[[#Headers],[Include or Exclude]], 0,4)</f>
        <v/>
      </c>
      <c r="T93" s="186" t="str" cm="1">
        <f t="array" ref="T93">Common_InputFunctions.Utility_DisplayArrayInTable(Fertiliser_SourceData.Fertiliser_Products_Data1(),FertiliserProducts[[#Headers],[Include or Exclude]], 0,4)</f>
        <v/>
      </c>
      <c r="U93" s="186" t="str" cm="1">
        <f t="array" ref="U93">Common_InputFunctions.Utility_DisplayArrayInTable(Fertiliser_SourceData.Fertiliser_Products_Data1(),FertiliserProducts[[#Headers],[Include or Exclude]], 0,4)</f>
        <v/>
      </c>
      <c r="V93" s="186" t="str" cm="1">
        <f t="array" ref="V93">Common_InputFunctions.Utility_DisplayArrayInTable(Fertiliser_SourceData.Fertiliser_Products_Data1(),FertiliserProducts[[#Headers],[Include or Exclude]], 0,4)</f>
        <v/>
      </c>
      <c r="W93" s="186" t="str" cm="1">
        <f t="array" ref="W93">Common_InputFunctions.Utility_DisplayArrayInTable(Fertiliser_SourceData.Fertiliser_Products_Data1(),FertiliserProducts[[#Headers],[Include or Exclude]], 0,4)</f>
        <v/>
      </c>
      <c r="X93" s="186" t="str" cm="1">
        <f t="array" ref="X93">Common_InputFunctions.Utility_DisplayArrayInTable(Fertiliser_SourceData.Fertiliser_Products_Data1(),FertiliserProducts[[#Headers],[Include or Exclude]], 0,4)</f>
        <v/>
      </c>
      <c r="Y93" s="186" t="str" cm="1">
        <f t="array" ref="Y93">Common_InputFunctions.Utility_DisplayArrayInTable(Fertiliser_SourceData.Fertiliser_Products_Data1(),FertiliserProducts[[#Headers],[Include or Exclude]], 0,4)</f>
        <v/>
      </c>
      <c r="Z93" s="186" t="str" cm="1">
        <f t="array" ref="Z93">Common_InputFunctions.Utility_DisplayArrayInTable(Fertiliser_SourceData.Fertiliser_Products_Data1(),FertiliserProducts[[#Headers],[Include or Exclude]], 0,4)</f>
        <v/>
      </c>
      <c r="AA93" s="186" t="str" cm="1">
        <f t="array" ref="AA93">Common_InputFunctions.Utility_DisplayArrayInTable(Fertiliser_SourceData.Fertiliser_Products_Data1(),FertiliserProducts[[#Headers],[Include or Exclude]], 0,4)</f>
        <v/>
      </c>
      <c r="AB93" s="186" t="str" cm="1">
        <f t="array" ref="AB93">Common_InputFunctions.Utility_DisplayArrayInTable(Fertiliser_SourceData.Fertiliser_Products_Data1(),FertiliserProducts[[#Headers],[Include or Exclude]], 0,4)</f>
        <v/>
      </c>
      <c r="AC93" s="186" t="str" cm="1">
        <f t="array" ref="AC93">Common_InputFunctions.Utility_DisplayArrayInTable(Fertiliser_SourceData.Fertiliser_Products_Data1(),FertiliserProducts[[#Headers],[Include or Exclude]], 0,4)</f>
        <v/>
      </c>
      <c r="AD93" s="186" t="str" cm="1">
        <f t="array" ref="AD93">Common_InputFunctions.Utility_DisplayArrayInTable(Fertiliser_SourceData.Fertiliser_Products_Data1(),FertiliserProducts[[#Headers],[Include or Exclude]], 0,4)</f>
        <v/>
      </c>
      <c r="AE93" s="186" t="str" cm="1">
        <f t="array" ref="AE93">Common_InputFunctions.Utility_DisplayArrayInTable(Fertiliser_SourceData.Fertiliser_Products_Data1(),FertiliserProducts[[#Headers],[Include or Exclude]], 0,4)</f>
        <v/>
      </c>
    </row>
    <row r="94" spans="4:31" ht="20.100000000000001" customHeight="1" x14ac:dyDescent="0.25">
      <c r="D94" s="186" t="str" cm="1">
        <f t="array" ref="D94">Common_InputFunctions.Utility_DisplayArrayInTable(Fertiliser_SourceData.Fertiliser_Products_Data1(),FertiliserProducts[[#Headers],[Include or Exclude]], -1)</f>
        <v>Include</v>
      </c>
      <c r="E94" s="186" t="str" cm="1">
        <f t="array" ref="E94">Common_InputFunctions.Utility_DisplayArrayInTable(Fertiliser_SourceData.Fertiliser_Products_Data1(),FertiliserProducts[[#Headers],[Include or Exclude]], 0)</f>
        <v>Use Lime EF for calcium</v>
      </c>
      <c r="F94" s="186" t="str" cm="1">
        <f t="array" ref="F94">Common_InputFunctions.Utility_DisplayArrayInTable(Fertiliser_SourceData.Fertiliser_Products_Data1(),FertiliserProducts[[#Headers],[Include or Exclude]], 0)</f>
        <v>Campbells fertilisers Australia</v>
      </c>
      <c r="G94" s="186" t="str" cm="1">
        <f t="array" ref="G94">Common_InputFunctions.Utility_DisplayArrayInTable(Fertiliser_SourceData.Fertiliser_Products_Data1(),FertiliserProducts[[#Headers],[Include or Exclude]], 0)</f>
        <v>Aqua NitroCal (VI)</v>
      </c>
      <c r="H94" s="186" t="str" cm="1">
        <f t="array" ref="H94">Common_InputFunctions.Utility_DisplayArrayInTable(Fertiliser_SourceData.Fertiliser_Products_Data1(),FertiliserProducts[[#Headers],[Include or Exclude]], 0,4)</f>
        <v>L</v>
      </c>
      <c r="I94" s="186" cm="1">
        <f t="array" ref="I94">Common_InputFunctions.Utility_DisplayArrayInTable(Fertiliser_SourceData.Fertiliser_Products_Data1(),FertiliserProducts[[#Headers],[Include or Exclude]], 0,4)</f>
        <v>1.5</v>
      </c>
      <c r="J94" s="186" t="str" cm="1">
        <f t="array" ref="J94">Common_InputFunctions.Utility_DisplayArrayInTable(Fertiliser_SourceData.Fertiliser_Products_Data1(),FertiliserProducts[[#Headers],[Include or Exclude]], 0,4)</f>
        <v/>
      </c>
      <c r="K94" s="186" t="str" cm="1">
        <f t="array" ref="K94">Common_InputFunctions.Utility_DisplayArrayInTable(Fertiliser_SourceData.Fertiliser_Products_Data1(),FertiliserProducts[[#Headers],[Include or Exclude]], 0,4)</f>
        <v/>
      </c>
      <c r="L94" s="186" t="str" cm="1">
        <f t="array" ref="L94">Common_InputFunctions.Utility_DisplayArrayInTable(Fertiliser_SourceData.Fertiliser_Products_Data1(),FertiliserProducts[[#Headers],[Include or Exclude]], 0,4)</f>
        <v>Calcium - Generic</v>
      </c>
      <c r="M94" s="186" cm="1">
        <f t="array" ref="M94">Common_InputFunctions.Utility_DisplayArrayInTable(Fertiliser_SourceData.Fertiliser_Products_Data1(),FertiliserProducts[[#Headers],[Include or Exclude]], 0,4)</f>
        <v>0.187</v>
      </c>
      <c r="N94" s="186" t="str" cm="1">
        <f t="array" ref="N94">Common_InputFunctions.Utility_DisplayArrayInTable(Fertiliser_SourceData.Fertiliser_Products_Data1(),FertiliserProducts[[#Headers],[Include or Exclude]], 0,4)</f>
        <v>Nitrogen - Nitrate</v>
      </c>
      <c r="O94" s="186" cm="1">
        <f t="array" ref="O94">Common_InputFunctions.Utility_DisplayArrayInTable(Fertiliser_SourceData.Fertiliser_Products_Data1(),FertiliserProducts[[#Headers],[Include or Exclude]], 0,4)</f>
        <v>0.13200000000000001</v>
      </c>
      <c r="P94" s="186" t="str" cm="1">
        <f t="array" ref="P94">Common_InputFunctions.Utility_DisplayArrayInTable(Fertiliser_SourceData.Fertiliser_Products_Data1(),FertiliserProducts[[#Headers],[Include or Exclude]], 0,4)</f>
        <v/>
      </c>
      <c r="Q94" s="186" t="str" cm="1">
        <f t="array" ref="Q94">Common_InputFunctions.Utility_DisplayArrayInTable(Fertiliser_SourceData.Fertiliser_Products_Data1(),FertiliserProducts[[#Headers],[Include or Exclude]], 0,4)</f>
        <v/>
      </c>
      <c r="R94" s="186" t="str" cm="1">
        <f t="array" ref="R94">Common_InputFunctions.Utility_DisplayArrayInTable(Fertiliser_SourceData.Fertiliser_Products_Data1(),FertiliserProducts[[#Headers],[Include or Exclude]], 0,4)</f>
        <v/>
      </c>
      <c r="S94" s="186" t="str" cm="1">
        <f t="array" ref="S94">Common_InputFunctions.Utility_DisplayArrayInTable(Fertiliser_SourceData.Fertiliser_Products_Data1(),FertiliserProducts[[#Headers],[Include or Exclude]], 0,4)</f>
        <v/>
      </c>
      <c r="T94" s="186" t="str" cm="1">
        <f t="array" ref="T94">Common_InputFunctions.Utility_DisplayArrayInTable(Fertiliser_SourceData.Fertiliser_Products_Data1(),FertiliserProducts[[#Headers],[Include or Exclude]], 0,4)</f>
        <v/>
      </c>
      <c r="U94" s="186" t="str" cm="1">
        <f t="array" ref="U94">Common_InputFunctions.Utility_DisplayArrayInTable(Fertiliser_SourceData.Fertiliser_Products_Data1(),FertiliserProducts[[#Headers],[Include or Exclude]], 0,4)</f>
        <v/>
      </c>
      <c r="V94" s="186" t="str" cm="1">
        <f t="array" ref="V94">Common_InputFunctions.Utility_DisplayArrayInTable(Fertiliser_SourceData.Fertiliser_Products_Data1(),FertiliserProducts[[#Headers],[Include or Exclude]], 0,4)</f>
        <v/>
      </c>
      <c r="W94" s="186" t="str" cm="1">
        <f t="array" ref="W94">Common_InputFunctions.Utility_DisplayArrayInTable(Fertiliser_SourceData.Fertiliser_Products_Data1(),FertiliserProducts[[#Headers],[Include or Exclude]], 0,4)</f>
        <v/>
      </c>
      <c r="X94" s="186" t="str" cm="1">
        <f t="array" ref="X94">Common_InputFunctions.Utility_DisplayArrayInTable(Fertiliser_SourceData.Fertiliser_Products_Data1(),FertiliserProducts[[#Headers],[Include or Exclude]], 0,4)</f>
        <v/>
      </c>
      <c r="Y94" s="186" t="str" cm="1">
        <f t="array" ref="Y94">Common_InputFunctions.Utility_DisplayArrayInTable(Fertiliser_SourceData.Fertiliser_Products_Data1(),FertiliserProducts[[#Headers],[Include or Exclude]], 0,4)</f>
        <v/>
      </c>
      <c r="Z94" s="186" t="str" cm="1">
        <f t="array" ref="Z94">Common_InputFunctions.Utility_DisplayArrayInTable(Fertiliser_SourceData.Fertiliser_Products_Data1(),FertiliserProducts[[#Headers],[Include or Exclude]], 0,4)</f>
        <v/>
      </c>
      <c r="AA94" s="186" t="str" cm="1">
        <f t="array" ref="AA94">Common_InputFunctions.Utility_DisplayArrayInTable(Fertiliser_SourceData.Fertiliser_Products_Data1(),FertiliserProducts[[#Headers],[Include or Exclude]], 0,4)</f>
        <v/>
      </c>
      <c r="AB94" s="186" t="str" cm="1">
        <f t="array" ref="AB94">Common_InputFunctions.Utility_DisplayArrayInTable(Fertiliser_SourceData.Fertiliser_Products_Data1(),FertiliserProducts[[#Headers],[Include or Exclude]], 0,4)</f>
        <v/>
      </c>
      <c r="AC94" s="186" t="str" cm="1">
        <f t="array" ref="AC94">Common_InputFunctions.Utility_DisplayArrayInTable(Fertiliser_SourceData.Fertiliser_Products_Data1(),FertiliserProducts[[#Headers],[Include or Exclude]], 0,4)</f>
        <v/>
      </c>
      <c r="AD94" s="186" t="str" cm="1">
        <f t="array" ref="AD94">Common_InputFunctions.Utility_DisplayArrayInTable(Fertiliser_SourceData.Fertiliser_Products_Data1(),FertiliserProducts[[#Headers],[Include or Exclude]], 0,4)</f>
        <v/>
      </c>
      <c r="AE94" s="186" t="str" cm="1">
        <f t="array" ref="AE94">Common_InputFunctions.Utility_DisplayArrayInTable(Fertiliser_SourceData.Fertiliser_Products_Data1(),FertiliserProducts[[#Headers],[Include or Exclude]], 0,4)</f>
        <v/>
      </c>
    </row>
    <row r="95" spans="4:31" ht="20.100000000000001" customHeight="1" x14ac:dyDescent="0.25">
      <c r="D95" s="186" t="str" cm="1">
        <f t="array" ref="D95">Common_InputFunctions.Utility_DisplayArrayInTable(Fertiliser_SourceData.Fertiliser_Products_Data1(),FertiliserProducts[[#Headers],[Include or Exclude]], -1)</f>
        <v>Include</v>
      </c>
      <c r="E95" s="186" t="str" cm="1">
        <f t="array" ref="E95">Common_InputFunctions.Utility_DisplayArrayInTable(Fertiliser_SourceData.Fertiliser_Products_Data1(),FertiliserProducts[[#Headers],[Include or Exclude]], 0)</f>
        <v>Use Lime EF for calcium</v>
      </c>
      <c r="F95" s="186" t="str" cm="1">
        <f t="array" ref="F95">Common_InputFunctions.Utility_DisplayArrayInTable(Fertiliser_SourceData.Fertiliser_Products_Data1(),FertiliserProducts[[#Headers],[Include or Exclude]], 0)</f>
        <v>Campbells fertilisers Australia</v>
      </c>
      <c r="G95" s="186" t="str" cm="1">
        <f t="array" ref="G95">Common_InputFunctions.Utility_DisplayArrayInTable(Fertiliser_SourceData.Fertiliser_Products_Data1(),FertiliserProducts[[#Headers],[Include or Exclude]], 0)</f>
        <v>Aqua NitroCal Ultimate</v>
      </c>
      <c r="H95" s="186" t="str" cm="1">
        <f t="array" ref="H95">Common_InputFunctions.Utility_DisplayArrayInTable(Fertiliser_SourceData.Fertiliser_Products_Data1(),FertiliserProducts[[#Headers],[Include or Exclude]], 0,4)</f>
        <v>L</v>
      </c>
      <c r="I95" s="186" cm="1">
        <f t="array" ref="I95">Common_InputFunctions.Utility_DisplayArrayInTable(Fertiliser_SourceData.Fertiliser_Products_Data1(),FertiliserProducts[[#Headers],[Include or Exclude]], 0,4)</f>
        <v>1.5</v>
      </c>
      <c r="J95" s="186" t="str" cm="1">
        <f t="array" ref="J95">Common_InputFunctions.Utility_DisplayArrayInTable(Fertiliser_SourceData.Fertiliser_Products_Data1(),FertiliserProducts[[#Headers],[Include or Exclude]], 0,4)</f>
        <v/>
      </c>
      <c r="K95" s="186" t="str" cm="1">
        <f t="array" ref="K95">Common_InputFunctions.Utility_DisplayArrayInTable(Fertiliser_SourceData.Fertiliser_Products_Data1(),FertiliserProducts[[#Headers],[Include or Exclude]], 0,4)</f>
        <v/>
      </c>
      <c r="L95" s="186" t="str" cm="1">
        <f t="array" ref="L95">Common_InputFunctions.Utility_DisplayArrayInTable(Fertiliser_SourceData.Fertiliser_Products_Data1(),FertiliserProducts[[#Headers],[Include or Exclude]], 0,4)</f>
        <v>Calcium - Generic</v>
      </c>
      <c r="M95" s="186" cm="1">
        <f t="array" ref="M95">Common_InputFunctions.Utility_DisplayArrayInTable(Fertiliser_SourceData.Fertiliser_Products_Data1(),FertiliserProducts[[#Headers],[Include or Exclude]], 0,4)</f>
        <v>0.183</v>
      </c>
      <c r="N95" s="186" t="str" cm="1">
        <f t="array" ref="N95">Common_InputFunctions.Utility_DisplayArrayInTable(Fertiliser_SourceData.Fertiliser_Products_Data1(),FertiliserProducts[[#Headers],[Include or Exclude]], 0,4)</f>
        <v>Nitrogen  - Nitrate</v>
      </c>
      <c r="O95" s="186" cm="1">
        <f t="array" ref="O95">Common_InputFunctions.Utility_DisplayArrayInTable(Fertiliser_SourceData.Fertiliser_Products_Data1(),FertiliserProducts[[#Headers],[Include or Exclude]], 0,4)</f>
        <v>0.13200000000000001</v>
      </c>
      <c r="P95" s="186" t="str" cm="1">
        <f t="array" ref="P95">Common_InputFunctions.Utility_DisplayArrayInTable(Fertiliser_SourceData.Fertiliser_Products_Data1(),FertiliserProducts[[#Headers],[Include or Exclude]], 0,4)</f>
        <v/>
      </c>
      <c r="Q95" s="186" t="str" cm="1">
        <f t="array" ref="Q95">Common_InputFunctions.Utility_DisplayArrayInTable(Fertiliser_SourceData.Fertiliser_Products_Data1(),FertiliserProducts[[#Headers],[Include or Exclude]], 0,4)</f>
        <v/>
      </c>
      <c r="R95" s="186" t="str" cm="1">
        <f t="array" ref="R95">Common_InputFunctions.Utility_DisplayArrayInTable(Fertiliser_SourceData.Fertiliser_Products_Data1(),FertiliserProducts[[#Headers],[Include or Exclude]], 0,4)</f>
        <v/>
      </c>
      <c r="S95" s="186" t="str" cm="1">
        <f t="array" ref="S95">Common_InputFunctions.Utility_DisplayArrayInTable(Fertiliser_SourceData.Fertiliser_Products_Data1(),FertiliserProducts[[#Headers],[Include or Exclude]], 0,4)</f>
        <v/>
      </c>
      <c r="T95" s="186" t="str" cm="1">
        <f t="array" ref="T95">Common_InputFunctions.Utility_DisplayArrayInTable(Fertiliser_SourceData.Fertiliser_Products_Data1(),FertiliserProducts[[#Headers],[Include or Exclude]], 0,4)</f>
        <v/>
      </c>
      <c r="U95" s="186" t="str" cm="1">
        <f t="array" ref="U95">Common_InputFunctions.Utility_DisplayArrayInTable(Fertiliser_SourceData.Fertiliser_Products_Data1(),FertiliserProducts[[#Headers],[Include or Exclude]], 0,4)</f>
        <v/>
      </c>
      <c r="V95" s="186" t="str" cm="1">
        <f t="array" ref="V95">Common_InputFunctions.Utility_DisplayArrayInTable(Fertiliser_SourceData.Fertiliser_Products_Data1(),FertiliserProducts[[#Headers],[Include or Exclude]], 0,4)</f>
        <v/>
      </c>
      <c r="W95" s="186" t="str" cm="1">
        <f t="array" ref="W95">Common_InputFunctions.Utility_DisplayArrayInTable(Fertiliser_SourceData.Fertiliser_Products_Data1(),FertiliserProducts[[#Headers],[Include or Exclude]], 0,4)</f>
        <v/>
      </c>
      <c r="X95" s="186" t="str" cm="1">
        <f t="array" ref="X95">Common_InputFunctions.Utility_DisplayArrayInTable(Fertiliser_SourceData.Fertiliser_Products_Data1(),FertiliserProducts[[#Headers],[Include or Exclude]], 0,4)</f>
        <v/>
      </c>
      <c r="Y95" s="186" t="str" cm="1">
        <f t="array" ref="Y95">Common_InputFunctions.Utility_DisplayArrayInTable(Fertiliser_SourceData.Fertiliser_Products_Data1(),FertiliserProducts[[#Headers],[Include or Exclude]], 0,4)</f>
        <v/>
      </c>
      <c r="Z95" s="186" t="str" cm="1">
        <f t="array" ref="Z95">Common_InputFunctions.Utility_DisplayArrayInTable(Fertiliser_SourceData.Fertiliser_Products_Data1(),FertiliserProducts[[#Headers],[Include or Exclude]], 0,4)</f>
        <v/>
      </c>
      <c r="AA95" s="186" t="str" cm="1">
        <f t="array" ref="AA95">Common_InputFunctions.Utility_DisplayArrayInTable(Fertiliser_SourceData.Fertiliser_Products_Data1(),FertiliserProducts[[#Headers],[Include or Exclude]], 0,4)</f>
        <v/>
      </c>
      <c r="AB95" s="186" t="str" cm="1">
        <f t="array" ref="AB95">Common_InputFunctions.Utility_DisplayArrayInTable(Fertiliser_SourceData.Fertiliser_Products_Data1(),FertiliserProducts[[#Headers],[Include or Exclude]], 0,4)</f>
        <v/>
      </c>
      <c r="AC95" s="186" t="str" cm="1">
        <f t="array" ref="AC95">Common_InputFunctions.Utility_DisplayArrayInTable(Fertiliser_SourceData.Fertiliser_Products_Data1(),FertiliserProducts[[#Headers],[Include or Exclude]], 0,4)</f>
        <v/>
      </c>
      <c r="AD95" s="186" t="str" cm="1">
        <f t="array" ref="AD95">Common_InputFunctions.Utility_DisplayArrayInTable(Fertiliser_SourceData.Fertiliser_Products_Data1(),FertiliserProducts[[#Headers],[Include or Exclude]], 0,4)</f>
        <v/>
      </c>
      <c r="AE95" s="186" t="str" cm="1">
        <f t="array" ref="AE95">Common_InputFunctions.Utility_DisplayArrayInTable(Fertiliser_SourceData.Fertiliser_Products_Data1(),FertiliserProducts[[#Headers],[Include or Exclude]], 0,4)</f>
        <v/>
      </c>
    </row>
    <row r="96" spans="4:31" ht="20.100000000000001" customHeight="1" x14ac:dyDescent="0.25">
      <c r="D96" s="186" t="str" cm="1">
        <f t="array" ref="D96">Common_InputFunctions.Utility_DisplayArrayInTable(Fertiliser_SourceData.Fertiliser_Products_Data1(),FertiliserProducts[[#Headers],[Include or Exclude]], -1)</f>
        <v>Include</v>
      </c>
      <c r="E96" s="186" t="str" cm="1">
        <f t="array" ref="E96">Common_InputFunctions.Utility_DisplayArrayInTable(Fertiliser_SourceData.Fertiliser_Products_Data1(),FertiliserProducts[[#Headers],[Include or Exclude]], 0)</f>
        <v/>
      </c>
      <c r="F96" s="186" t="str" cm="1">
        <f t="array" ref="F96">Common_InputFunctions.Utility_DisplayArrayInTable(Fertiliser_SourceData.Fertiliser_Products_Data1(),FertiliserProducts[[#Headers],[Include or Exclude]], 0)</f>
        <v>Campbells fertilisers Australia</v>
      </c>
      <c r="G96" s="186" t="str" cm="1">
        <f t="array" ref="G96">Common_InputFunctions.Utility_DisplayArrayInTable(Fertiliser_SourceData.Fertiliser_Products_Data1(),FertiliserProducts[[#Headers],[Include or Exclude]], 0)</f>
        <v>Aqua Start</v>
      </c>
      <c r="H96" s="186" t="str" cm="1">
        <f t="array" ref="H96">Common_InputFunctions.Utility_DisplayArrayInTable(Fertiliser_SourceData.Fertiliser_Products_Data1(),FertiliserProducts[[#Headers],[Include or Exclude]], 0,4)</f>
        <v>L</v>
      </c>
      <c r="I96" s="186" cm="1">
        <f t="array" ref="I96">Common_InputFunctions.Utility_DisplayArrayInTable(Fertiliser_SourceData.Fertiliser_Products_Data1(),FertiliserProducts[[#Headers],[Include or Exclude]], 0,4)</f>
        <v>1.25</v>
      </c>
      <c r="J96" s="186" t="str" cm="1">
        <f t="array" ref="J96">Common_InputFunctions.Utility_DisplayArrayInTable(Fertiliser_SourceData.Fertiliser_Products_Data1(),FertiliserProducts[[#Headers],[Include or Exclude]], 0,4)</f>
        <v/>
      </c>
      <c r="K96" s="186" t="str" cm="1">
        <f t="array" ref="K96">Common_InputFunctions.Utility_DisplayArrayInTable(Fertiliser_SourceData.Fertiliser_Products_Data1(),FertiliserProducts[[#Headers],[Include or Exclude]], 0,4)</f>
        <v/>
      </c>
      <c r="L96" s="186" t="str" cm="1">
        <f t="array" ref="L96">Common_InputFunctions.Utility_DisplayArrayInTable(Fertiliser_SourceData.Fertiliser_Products_Data1(),FertiliserProducts[[#Headers],[Include or Exclude]], 0,4)</f>
        <v>Nitrogen - Generic</v>
      </c>
      <c r="M96" s="186" cm="1">
        <f t="array" ref="M96">Common_InputFunctions.Utility_DisplayArrayInTable(Fertiliser_SourceData.Fertiliser_Products_Data1(),FertiliserProducts[[#Headers],[Include or Exclude]], 0,4)</f>
        <v>0.10299999999999999</v>
      </c>
      <c r="N96" s="186" t="str" cm="1">
        <f t="array" ref="N96">Common_InputFunctions.Utility_DisplayArrayInTable(Fertiliser_SourceData.Fertiliser_Products_Data1(),FertiliserProducts[[#Headers],[Include or Exclude]], 0,4)</f>
        <v>Phosphorus - Generic</v>
      </c>
      <c r="O96" s="186" cm="1">
        <f t="array" ref="O96">Common_InputFunctions.Utility_DisplayArrayInTable(Fertiliser_SourceData.Fertiliser_Products_Data1(),FertiliserProducts[[#Headers],[Include or Exclude]], 0,4)</f>
        <v>0.1</v>
      </c>
      <c r="P96" s="186" t="str" cm="1">
        <f t="array" ref="P96">Common_InputFunctions.Utility_DisplayArrayInTable(Fertiliser_SourceData.Fertiliser_Products_Data1(),FertiliserProducts[[#Headers],[Include or Exclude]], 0,4)</f>
        <v>Potassium - Generic</v>
      </c>
      <c r="Q96" s="186" cm="1">
        <f t="array" ref="Q96">Common_InputFunctions.Utility_DisplayArrayInTable(Fertiliser_SourceData.Fertiliser_Products_Data1(),FertiliserProducts[[#Headers],[Include or Exclude]], 0,4)</f>
        <v>3.4000000000000002E-2</v>
      </c>
      <c r="R96" s="186" t="str" cm="1">
        <f t="array" ref="R96">Common_InputFunctions.Utility_DisplayArrayInTable(Fertiliser_SourceData.Fertiliser_Products_Data1(),FertiliserProducts[[#Headers],[Include or Exclude]], 0,4)</f>
        <v/>
      </c>
      <c r="S96" s="186" t="str" cm="1">
        <f t="array" ref="S96">Common_InputFunctions.Utility_DisplayArrayInTable(Fertiliser_SourceData.Fertiliser_Products_Data1(),FertiliserProducts[[#Headers],[Include or Exclude]], 0,4)</f>
        <v/>
      </c>
      <c r="T96" s="186" t="str" cm="1">
        <f t="array" ref="T96">Common_InputFunctions.Utility_DisplayArrayInTable(Fertiliser_SourceData.Fertiliser_Products_Data1(),FertiliserProducts[[#Headers],[Include or Exclude]], 0,4)</f>
        <v/>
      </c>
      <c r="U96" s="186" t="str" cm="1">
        <f t="array" ref="U96">Common_InputFunctions.Utility_DisplayArrayInTable(Fertiliser_SourceData.Fertiliser_Products_Data1(),FertiliserProducts[[#Headers],[Include or Exclude]], 0,4)</f>
        <v/>
      </c>
      <c r="V96" s="186" t="str" cm="1">
        <f t="array" ref="V96">Common_InputFunctions.Utility_DisplayArrayInTable(Fertiliser_SourceData.Fertiliser_Products_Data1(),FertiliserProducts[[#Headers],[Include or Exclude]], 0,4)</f>
        <v/>
      </c>
      <c r="W96" s="186" t="str" cm="1">
        <f t="array" ref="W96">Common_InputFunctions.Utility_DisplayArrayInTable(Fertiliser_SourceData.Fertiliser_Products_Data1(),FertiliserProducts[[#Headers],[Include or Exclude]], 0,4)</f>
        <v/>
      </c>
      <c r="X96" s="186" t="str" cm="1">
        <f t="array" ref="X96">Common_InputFunctions.Utility_DisplayArrayInTable(Fertiliser_SourceData.Fertiliser_Products_Data1(),FertiliserProducts[[#Headers],[Include or Exclude]], 0,4)</f>
        <v/>
      </c>
      <c r="Y96" s="186" t="str" cm="1">
        <f t="array" ref="Y96">Common_InputFunctions.Utility_DisplayArrayInTable(Fertiliser_SourceData.Fertiliser_Products_Data1(),FertiliserProducts[[#Headers],[Include or Exclude]], 0,4)</f>
        <v/>
      </c>
      <c r="Z96" s="186" t="str" cm="1">
        <f t="array" ref="Z96">Common_InputFunctions.Utility_DisplayArrayInTable(Fertiliser_SourceData.Fertiliser_Products_Data1(),FertiliserProducts[[#Headers],[Include or Exclude]], 0,4)</f>
        <v/>
      </c>
      <c r="AA96" s="186" t="str" cm="1">
        <f t="array" ref="AA96">Common_InputFunctions.Utility_DisplayArrayInTable(Fertiliser_SourceData.Fertiliser_Products_Data1(),FertiliserProducts[[#Headers],[Include or Exclude]], 0,4)</f>
        <v/>
      </c>
      <c r="AB96" s="186" t="str" cm="1">
        <f t="array" ref="AB96">Common_InputFunctions.Utility_DisplayArrayInTable(Fertiliser_SourceData.Fertiliser_Products_Data1(),FertiliserProducts[[#Headers],[Include or Exclude]], 0,4)</f>
        <v/>
      </c>
      <c r="AC96" s="186" t="str" cm="1">
        <f t="array" ref="AC96">Common_InputFunctions.Utility_DisplayArrayInTable(Fertiliser_SourceData.Fertiliser_Products_Data1(),FertiliserProducts[[#Headers],[Include or Exclude]], 0,4)</f>
        <v/>
      </c>
      <c r="AD96" s="186" t="str" cm="1">
        <f t="array" ref="AD96">Common_InputFunctions.Utility_DisplayArrayInTable(Fertiliser_SourceData.Fertiliser_Products_Data1(),FertiliserProducts[[#Headers],[Include or Exclude]], 0,4)</f>
        <v/>
      </c>
      <c r="AE96" s="186" t="str" cm="1">
        <f t="array" ref="AE96">Common_InputFunctions.Utility_DisplayArrayInTable(Fertiliser_SourceData.Fertiliser_Products_Data1(),FertiliserProducts[[#Headers],[Include or Exclude]], 0,4)</f>
        <v/>
      </c>
    </row>
    <row r="97" spans="4:31" ht="20.100000000000001" customHeight="1" x14ac:dyDescent="0.25">
      <c r="D97" s="186" t="str" cm="1">
        <f t="array" ref="D97">Common_InputFunctions.Utility_DisplayArrayInTable(Fertiliser_SourceData.Fertiliser_Products_Data1(),FertiliserProducts[[#Headers],[Include or Exclude]], -1)</f>
        <v>Include</v>
      </c>
      <c r="E97" s="186" t="str" cm="1">
        <f t="array" ref="E97">Common_InputFunctions.Utility_DisplayArrayInTable(Fertiliser_SourceData.Fertiliser_Products_Data1(),FertiliserProducts[[#Headers],[Include or Exclude]], 0)</f>
        <v/>
      </c>
      <c r="F97" s="186" t="str" cm="1">
        <f t="array" ref="F97">Common_InputFunctions.Utility_DisplayArrayInTable(Fertiliser_SourceData.Fertiliser_Products_Data1(),FertiliserProducts[[#Headers],[Include or Exclude]], 0)</f>
        <v>Campbells fertilisers Australia</v>
      </c>
      <c r="G97" s="186" t="str" cm="1">
        <f t="array" ref="G97">Common_InputFunctions.Utility_DisplayArrayInTable(Fertiliser_SourceData.Fertiliser_Products_Data1(),FertiliserProducts[[#Headers],[Include or Exclude]], 0)</f>
        <v>Aqua Thio-Complete</v>
      </c>
      <c r="H97" s="186" t="str" cm="1">
        <f t="array" ref="H97">Common_InputFunctions.Utility_DisplayArrayInTable(Fertiliser_SourceData.Fertiliser_Products_Data1(),FertiliserProducts[[#Headers],[Include or Exclude]], 0,4)</f>
        <v>L</v>
      </c>
      <c r="I97" s="186" cm="1">
        <f t="array" ref="I97">Common_InputFunctions.Utility_DisplayArrayInTable(Fertiliser_SourceData.Fertiliser_Products_Data1(),FertiliserProducts[[#Headers],[Include or Exclude]], 0,4)</f>
        <v>1.43</v>
      </c>
      <c r="J97" s="186" t="str" cm="1">
        <f t="array" ref="J97">Common_InputFunctions.Utility_DisplayArrayInTable(Fertiliser_SourceData.Fertiliser_Products_Data1(),FertiliserProducts[[#Headers],[Include or Exclude]], 0,4)</f>
        <v/>
      </c>
      <c r="K97" s="186" t="str" cm="1">
        <f t="array" ref="K97">Common_InputFunctions.Utility_DisplayArrayInTable(Fertiliser_SourceData.Fertiliser_Products_Data1(),FertiliserProducts[[#Headers],[Include or Exclude]], 0,4)</f>
        <v/>
      </c>
      <c r="L97" s="186" t="str" cm="1">
        <f t="array" ref="L97">Common_InputFunctions.Utility_DisplayArrayInTable(Fertiliser_SourceData.Fertiliser_Products_Data1(),FertiliserProducts[[#Headers],[Include or Exclude]], 0,4)</f>
        <v>Potassium - Generic</v>
      </c>
      <c r="M97" s="186" cm="1">
        <f t="array" ref="M97">Common_InputFunctions.Utility_DisplayArrayInTable(Fertiliser_SourceData.Fertiliser_Products_Data1(),FertiliserProducts[[#Headers],[Include or Exclude]], 0,4)</f>
        <v>0.22500000000000001</v>
      </c>
      <c r="N97" s="186" t="str" cm="1">
        <f t="array" ref="N97">Common_InputFunctions.Utility_DisplayArrayInTable(Fertiliser_SourceData.Fertiliser_Products_Data1(),FertiliserProducts[[#Headers],[Include or Exclude]], 0,4)</f>
        <v>Phosphorus - Generic</v>
      </c>
      <c r="O97" s="186" cm="1">
        <f t="array" ref="O97">Common_InputFunctions.Utility_DisplayArrayInTable(Fertiliser_SourceData.Fertiliser_Products_Data1(),FertiliserProducts[[#Headers],[Include or Exclude]], 0,4)</f>
        <v>3.7999999999999999E-2</v>
      </c>
      <c r="P97" s="186" t="str" cm="1">
        <f t="array" ref="P97">Common_InputFunctions.Utility_DisplayArrayInTable(Fertiliser_SourceData.Fertiliser_Products_Data1(),FertiliserProducts[[#Headers],[Include or Exclude]], 0,4)</f>
        <v>Nitrogen - Generic</v>
      </c>
      <c r="Q97" s="186" cm="1">
        <f t="array" ref="Q97">Common_InputFunctions.Utility_DisplayArrayInTable(Fertiliser_SourceData.Fertiliser_Products_Data1(),FertiliserProducts[[#Headers],[Include or Exclude]], 0,4)</f>
        <v>2.5000000000000001E-2</v>
      </c>
      <c r="R97" s="186" t="str" cm="1">
        <f t="array" ref="R97">Common_InputFunctions.Utility_DisplayArrayInTable(Fertiliser_SourceData.Fertiliser_Products_Data1(),FertiliserProducts[[#Headers],[Include or Exclude]], 0,4)</f>
        <v/>
      </c>
      <c r="S97" s="186" t="str" cm="1">
        <f t="array" ref="S97">Common_InputFunctions.Utility_DisplayArrayInTable(Fertiliser_SourceData.Fertiliser_Products_Data1(),FertiliserProducts[[#Headers],[Include or Exclude]], 0,4)</f>
        <v/>
      </c>
      <c r="T97" s="186" t="str" cm="1">
        <f t="array" ref="T97">Common_InputFunctions.Utility_DisplayArrayInTable(Fertiliser_SourceData.Fertiliser_Products_Data1(),FertiliserProducts[[#Headers],[Include or Exclude]], 0,4)</f>
        <v/>
      </c>
      <c r="U97" s="186" t="str" cm="1">
        <f t="array" ref="U97">Common_InputFunctions.Utility_DisplayArrayInTable(Fertiliser_SourceData.Fertiliser_Products_Data1(),FertiliserProducts[[#Headers],[Include or Exclude]], 0,4)</f>
        <v/>
      </c>
      <c r="V97" s="186" t="str" cm="1">
        <f t="array" ref="V97">Common_InputFunctions.Utility_DisplayArrayInTable(Fertiliser_SourceData.Fertiliser_Products_Data1(),FertiliserProducts[[#Headers],[Include or Exclude]], 0,4)</f>
        <v/>
      </c>
      <c r="W97" s="186" t="str" cm="1">
        <f t="array" ref="W97">Common_InputFunctions.Utility_DisplayArrayInTable(Fertiliser_SourceData.Fertiliser_Products_Data1(),FertiliserProducts[[#Headers],[Include or Exclude]], 0,4)</f>
        <v/>
      </c>
      <c r="X97" s="186" t="str" cm="1">
        <f t="array" ref="X97">Common_InputFunctions.Utility_DisplayArrayInTable(Fertiliser_SourceData.Fertiliser_Products_Data1(),FertiliserProducts[[#Headers],[Include or Exclude]], 0,4)</f>
        <v/>
      </c>
      <c r="Y97" s="186" t="str" cm="1">
        <f t="array" ref="Y97">Common_InputFunctions.Utility_DisplayArrayInTable(Fertiliser_SourceData.Fertiliser_Products_Data1(),FertiliserProducts[[#Headers],[Include or Exclude]], 0,4)</f>
        <v/>
      </c>
      <c r="Z97" s="186" t="str" cm="1">
        <f t="array" ref="Z97">Common_InputFunctions.Utility_DisplayArrayInTable(Fertiliser_SourceData.Fertiliser_Products_Data1(),FertiliserProducts[[#Headers],[Include or Exclude]], 0,4)</f>
        <v/>
      </c>
      <c r="AA97" s="186" t="str" cm="1">
        <f t="array" ref="AA97">Common_InputFunctions.Utility_DisplayArrayInTable(Fertiliser_SourceData.Fertiliser_Products_Data1(),FertiliserProducts[[#Headers],[Include or Exclude]], 0,4)</f>
        <v/>
      </c>
      <c r="AB97" s="186" t="str" cm="1">
        <f t="array" ref="AB97">Common_InputFunctions.Utility_DisplayArrayInTable(Fertiliser_SourceData.Fertiliser_Products_Data1(),FertiliserProducts[[#Headers],[Include or Exclude]], 0,4)</f>
        <v/>
      </c>
      <c r="AC97" s="186" t="str" cm="1">
        <f t="array" ref="AC97">Common_InputFunctions.Utility_DisplayArrayInTable(Fertiliser_SourceData.Fertiliser_Products_Data1(),FertiliserProducts[[#Headers],[Include or Exclude]], 0,4)</f>
        <v/>
      </c>
      <c r="AD97" s="186" t="str" cm="1">
        <f t="array" ref="AD97">Common_InputFunctions.Utility_DisplayArrayInTable(Fertiliser_SourceData.Fertiliser_Products_Data1(),FertiliserProducts[[#Headers],[Include or Exclude]], 0,4)</f>
        <v/>
      </c>
      <c r="AE97" s="186" t="str" cm="1">
        <f t="array" ref="AE97">Common_InputFunctions.Utility_DisplayArrayInTable(Fertiliser_SourceData.Fertiliser_Products_Data1(),FertiliserProducts[[#Headers],[Include or Exclude]], 0,4)</f>
        <v/>
      </c>
    </row>
    <row r="98" spans="4:31" ht="20.100000000000001" customHeight="1" x14ac:dyDescent="0.25">
      <c r="D98" s="186" t="str" cm="1">
        <f t="array" ref="D98">Common_InputFunctions.Utility_DisplayArrayInTable(Fertiliser_SourceData.Fertiliser_Products_Data1(),FertiliserProducts[[#Headers],[Include or Exclude]], -1)</f>
        <v>Include</v>
      </c>
      <c r="E98" s="186" t="str" cm="1">
        <f t="array" ref="E98">Common_InputFunctions.Utility_DisplayArrayInTable(Fertiliser_SourceData.Fertiliser_Products_Data1(),FertiliserProducts[[#Headers],[Include or Exclude]], 0)</f>
        <v/>
      </c>
      <c r="F98" s="186" t="str" cm="1">
        <f t="array" ref="F98">Common_InputFunctions.Utility_DisplayArrayInTable(Fertiliser_SourceData.Fertiliser_Products_Data1(),FertiliserProducts[[#Headers],[Include or Exclude]], 0)</f>
        <v>Campbells fertilisers Australia</v>
      </c>
      <c r="G98" s="186" t="str" cm="1">
        <f t="array" ref="G98">Common_InputFunctions.Utility_DisplayArrayInTable(Fertiliser_SourceData.Fertiliser_Products_Data1(),FertiliserProducts[[#Headers],[Include or Exclude]], 0)</f>
        <v>Aqua Thio-Emerge</v>
      </c>
      <c r="H98" s="186" t="str" cm="1">
        <f t="array" ref="H98">Common_InputFunctions.Utility_DisplayArrayInTable(Fertiliser_SourceData.Fertiliser_Products_Data1(),FertiliserProducts[[#Headers],[Include or Exclude]], 0,4)</f>
        <v>L</v>
      </c>
      <c r="I98" s="186" cm="1">
        <f t="array" ref="I98">Common_InputFunctions.Utility_DisplayArrayInTable(Fertiliser_SourceData.Fertiliser_Products_Data1(),FertiliserProducts[[#Headers],[Include or Exclude]], 0,4)</f>
        <v>1.29</v>
      </c>
      <c r="J98" s="186" t="str" cm="1">
        <f t="array" ref="J98">Common_InputFunctions.Utility_DisplayArrayInTable(Fertiliser_SourceData.Fertiliser_Products_Data1(),FertiliserProducts[[#Headers],[Include or Exclude]], 0,4)</f>
        <v/>
      </c>
      <c r="K98" s="186" t="str" cm="1">
        <f t="array" ref="K98">Common_InputFunctions.Utility_DisplayArrayInTable(Fertiliser_SourceData.Fertiliser_Products_Data1(),FertiliserProducts[[#Headers],[Include or Exclude]], 0,4)</f>
        <v/>
      </c>
      <c r="L98" s="186" t="str" cm="1">
        <f t="array" ref="L98">Common_InputFunctions.Utility_DisplayArrayInTable(Fertiliser_SourceData.Fertiliser_Products_Data1(),FertiliserProducts[[#Headers],[Include or Exclude]], 0,4)</f>
        <v>Nitrogen - Generic</v>
      </c>
      <c r="M98" s="186" cm="1">
        <f t="array" ref="M98">Common_InputFunctions.Utility_DisplayArrayInTable(Fertiliser_SourceData.Fertiliser_Products_Data1(),FertiliserProducts[[#Headers],[Include or Exclude]], 0,4)</f>
        <v>0.105</v>
      </c>
      <c r="N98" s="186" t="str" cm="1">
        <f t="array" ref="N98">Common_InputFunctions.Utility_DisplayArrayInTable(Fertiliser_SourceData.Fertiliser_Products_Data1(),FertiliserProducts[[#Headers],[Include or Exclude]], 0,4)</f>
        <v>Phosphorus - Generic</v>
      </c>
      <c r="O98" s="186" cm="1">
        <f t="array" ref="O98">Common_InputFunctions.Utility_DisplayArrayInTable(Fertiliser_SourceData.Fertiliser_Products_Data1(),FertiliserProducts[[#Headers],[Include or Exclude]], 0,4)</f>
        <v>9.4E-2</v>
      </c>
      <c r="P98" s="186" t="str" cm="1">
        <f t="array" ref="P98">Common_InputFunctions.Utility_DisplayArrayInTable(Fertiliser_SourceData.Fertiliser_Products_Data1(),FertiliserProducts[[#Headers],[Include or Exclude]], 0,4)</f>
        <v>Potassium - Generic</v>
      </c>
      <c r="Q98" s="186" cm="1">
        <f t="array" ref="Q98">Common_InputFunctions.Utility_DisplayArrayInTable(Fertiliser_SourceData.Fertiliser_Products_Data1(),FertiliserProducts[[#Headers],[Include or Exclude]], 0,4)</f>
        <v>0.04</v>
      </c>
      <c r="R98" s="186" t="str" cm="1">
        <f t="array" ref="R98">Common_InputFunctions.Utility_DisplayArrayInTable(Fertiliser_SourceData.Fertiliser_Products_Data1(),FertiliserProducts[[#Headers],[Include or Exclude]], 0,4)</f>
        <v>Sulfur - Generic</v>
      </c>
      <c r="S98" s="186" cm="1">
        <f t="array" ref="S98">Common_InputFunctions.Utility_DisplayArrayInTable(Fertiliser_SourceData.Fertiliser_Products_Data1(),FertiliserProducts[[#Headers],[Include or Exclude]], 0,4)</f>
        <v>0.03</v>
      </c>
      <c r="T98" s="186" t="str" cm="1">
        <f t="array" ref="T98">Common_InputFunctions.Utility_DisplayArrayInTable(Fertiliser_SourceData.Fertiliser_Products_Data1(),FertiliserProducts[[#Headers],[Include or Exclude]], 0,4)</f>
        <v/>
      </c>
      <c r="U98" s="186" t="str" cm="1">
        <f t="array" ref="U98">Common_InputFunctions.Utility_DisplayArrayInTable(Fertiliser_SourceData.Fertiliser_Products_Data1(),FertiliserProducts[[#Headers],[Include or Exclude]], 0,4)</f>
        <v/>
      </c>
      <c r="V98" s="186" t="str" cm="1">
        <f t="array" ref="V98">Common_InputFunctions.Utility_DisplayArrayInTable(Fertiliser_SourceData.Fertiliser_Products_Data1(),FertiliserProducts[[#Headers],[Include or Exclude]], 0,4)</f>
        <v/>
      </c>
      <c r="W98" s="186" t="str" cm="1">
        <f t="array" ref="W98">Common_InputFunctions.Utility_DisplayArrayInTable(Fertiliser_SourceData.Fertiliser_Products_Data1(),FertiliserProducts[[#Headers],[Include or Exclude]], 0,4)</f>
        <v/>
      </c>
      <c r="X98" s="186" t="str" cm="1">
        <f t="array" ref="X98">Common_InputFunctions.Utility_DisplayArrayInTable(Fertiliser_SourceData.Fertiliser_Products_Data1(),FertiliserProducts[[#Headers],[Include or Exclude]], 0,4)</f>
        <v/>
      </c>
      <c r="Y98" s="186" t="str" cm="1">
        <f t="array" ref="Y98">Common_InputFunctions.Utility_DisplayArrayInTable(Fertiliser_SourceData.Fertiliser_Products_Data1(),FertiliserProducts[[#Headers],[Include or Exclude]], 0,4)</f>
        <v/>
      </c>
      <c r="Z98" s="186" t="str" cm="1">
        <f t="array" ref="Z98">Common_InputFunctions.Utility_DisplayArrayInTable(Fertiliser_SourceData.Fertiliser_Products_Data1(),FertiliserProducts[[#Headers],[Include or Exclude]], 0,4)</f>
        <v/>
      </c>
      <c r="AA98" s="186" t="str" cm="1">
        <f t="array" ref="AA98">Common_InputFunctions.Utility_DisplayArrayInTable(Fertiliser_SourceData.Fertiliser_Products_Data1(),FertiliserProducts[[#Headers],[Include or Exclude]], 0,4)</f>
        <v/>
      </c>
      <c r="AB98" s="186" t="str" cm="1">
        <f t="array" ref="AB98">Common_InputFunctions.Utility_DisplayArrayInTable(Fertiliser_SourceData.Fertiliser_Products_Data1(),FertiliserProducts[[#Headers],[Include or Exclude]], 0,4)</f>
        <v/>
      </c>
      <c r="AC98" s="186" t="str" cm="1">
        <f t="array" ref="AC98">Common_InputFunctions.Utility_DisplayArrayInTable(Fertiliser_SourceData.Fertiliser_Products_Data1(),FertiliserProducts[[#Headers],[Include or Exclude]], 0,4)</f>
        <v/>
      </c>
      <c r="AD98" s="186" t="str" cm="1">
        <f t="array" ref="AD98">Common_InputFunctions.Utility_DisplayArrayInTable(Fertiliser_SourceData.Fertiliser_Products_Data1(),FertiliserProducts[[#Headers],[Include or Exclude]], 0,4)</f>
        <v/>
      </c>
      <c r="AE98" s="186" t="str" cm="1">
        <f t="array" ref="AE98">Common_InputFunctions.Utility_DisplayArrayInTable(Fertiliser_SourceData.Fertiliser_Products_Data1(),FertiliserProducts[[#Headers],[Include or Exclude]], 0,4)</f>
        <v/>
      </c>
    </row>
    <row r="99" spans="4:31" ht="20.100000000000001" customHeight="1" x14ac:dyDescent="0.25">
      <c r="D99" s="186" t="str" cm="1">
        <f t="array" ref="D99">Common_InputFunctions.Utility_DisplayArrayInTable(Fertiliser_SourceData.Fertiliser_Products_Data1(),FertiliserProducts[[#Headers],[Include or Exclude]], -1)</f>
        <v>Exclude - Not relevant</v>
      </c>
      <c r="E99" s="186" t="str" cm="1">
        <f t="array" ref="E99">Common_InputFunctions.Utility_DisplayArrayInTable(Fertiliser_SourceData.Fertiliser_Products_Data1(),FertiliserProducts[[#Headers],[Include or Exclude]], 0)</f>
        <v/>
      </c>
      <c r="F99" s="186" t="str" cm="1">
        <f t="array" ref="F99">Common_InputFunctions.Utility_DisplayArrayInTable(Fertiliser_SourceData.Fertiliser_Products_Data1(),FertiliserProducts[[#Headers],[Include or Exclude]], 0)</f>
        <v>Campbells fertilisers Australia</v>
      </c>
      <c r="G99" s="186" t="str" cm="1">
        <f t="array" ref="G99">Common_InputFunctions.Utility_DisplayArrayInTable(Fertiliser_SourceData.Fertiliser_Products_Data1(),FertiliserProducts[[#Headers],[Include or Exclude]], 0)</f>
        <v>Aqua Thio-Flourish</v>
      </c>
      <c r="H99" s="186" t="str" cm="1">
        <f t="array" ref="H99">Common_InputFunctions.Utility_DisplayArrayInTable(Fertiliser_SourceData.Fertiliser_Products_Data1(),FertiliserProducts[[#Headers],[Include or Exclude]], 0,4)</f>
        <v>L</v>
      </c>
      <c r="I99" s="186" cm="1">
        <f t="array" ref="I99">Common_InputFunctions.Utility_DisplayArrayInTable(Fertiliser_SourceData.Fertiliser_Products_Data1(),FertiliserProducts[[#Headers],[Include or Exclude]], 0,4)</f>
        <v>1.32</v>
      </c>
      <c r="J99" s="186" t="str" cm="1">
        <f t="array" ref="J99">Common_InputFunctions.Utility_DisplayArrayInTable(Fertiliser_SourceData.Fertiliser_Products_Data1(),FertiliserProducts[[#Headers],[Include or Exclude]], 0,4)</f>
        <v/>
      </c>
      <c r="K99" s="186" t="str" cm="1">
        <f t="array" ref="K99">Common_InputFunctions.Utility_DisplayArrayInTable(Fertiliser_SourceData.Fertiliser_Products_Data1(),FertiliserProducts[[#Headers],[Include or Exclude]], 0,4)</f>
        <v/>
      </c>
      <c r="L99" s="186" t="str" cm="1">
        <f t="array" ref="L99">Common_InputFunctions.Utility_DisplayArrayInTable(Fertiliser_SourceData.Fertiliser_Products_Data1(),FertiliserProducts[[#Headers],[Include or Exclude]], 0,4)</f>
        <v>Potassium - Generic</v>
      </c>
      <c r="M99" s="186" cm="1">
        <f t="array" ref="M99">Common_InputFunctions.Utility_DisplayArrayInTable(Fertiliser_SourceData.Fertiliser_Products_Data1(),FertiliserProducts[[#Headers],[Include or Exclude]], 0,4)</f>
        <v>0.108</v>
      </c>
      <c r="N99" s="186" t="str" cm="1">
        <f t="array" ref="N99">Common_InputFunctions.Utility_DisplayArrayInTable(Fertiliser_SourceData.Fertiliser_Products_Data1(),FertiliserProducts[[#Headers],[Include or Exclude]], 0,4)</f>
        <v>Nitrogen - Generic</v>
      </c>
      <c r="O99" s="186" cm="1">
        <f t="array" ref="O99">Common_InputFunctions.Utility_DisplayArrayInTable(Fertiliser_SourceData.Fertiliser_Products_Data1(),FertiliserProducts[[#Headers],[Include or Exclude]], 0,4)</f>
        <v>9.5000000000000001E-2</v>
      </c>
      <c r="P99" s="186" t="str" cm="1">
        <f t="array" ref="P99">Common_InputFunctions.Utility_DisplayArrayInTable(Fertiliser_SourceData.Fertiliser_Products_Data1(),FertiliserProducts[[#Headers],[Include or Exclude]], 0,4)</f>
        <v>Sulfur - Generic</v>
      </c>
      <c r="Q99" s="186" cm="1">
        <f t="array" ref="Q99">Common_InputFunctions.Utility_DisplayArrayInTable(Fertiliser_SourceData.Fertiliser_Products_Data1(),FertiliserProducts[[#Headers],[Include or Exclude]], 0,4)</f>
        <v>8.1000000000000003E-2</v>
      </c>
      <c r="R99" s="186" t="str" cm="1">
        <f t="array" ref="R99">Common_InputFunctions.Utility_DisplayArrayInTable(Fertiliser_SourceData.Fertiliser_Products_Data1(),FertiliserProducts[[#Headers],[Include or Exclude]], 0,4)</f>
        <v>Phosphorus - Generic</v>
      </c>
      <c r="S99" s="186" cm="1">
        <f t="array" ref="S99">Common_InputFunctions.Utility_DisplayArrayInTable(Fertiliser_SourceData.Fertiliser_Products_Data1(),FertiliserProducts[[#Headers],[Include or Exclude]], 0,4)</f>
        <v>4.7E-2</v>
      </c>
      <c r="T99" s="186" t="str" cm="1">
        <f t="array" ref="T99">Common_InputFunctions.Utility_DisplayArrayInTable(Fertiliser_SourceData.Fertiliser_Products_Data1(),FertiliserProducts[[#Headers],[Include or Exclude]], 0,4)</f>
        <v/>
      </c>
      <c r="U99" s="186" t="str" cm="1">
        <f t="array" ref="U99">Common_InputFunctions.Utility_DisplayArrayInTable(Fertiliser_SourceData.Fertiliser_Products_Data1(),FertiliserProducts[[#Headers],[Include or Exclude]], 0,4)</f>
        <v/>
      </c>
      <c r="V99" s="186" t="str" cm="1">
        <f t="array" ref="V99">Common_InputFunctions.Utility_DisplayArrayInTable(Fertiliser_SourceData.Fertiliser_Products_Data1(),FertiliserProducts[[#Headers],[Include or Exclude]], 0,4)</f>
        <v/>
      </c>
      <c r="W99" s="186" t="str" cm="1">
        <f t="array" ref="W99">Common_InputFunctions.Utility_DisplayArrayInTable(Fertiliser_SourceData.Fertiliser_Products_Data1(),FertiliserProducts[[#Headers],[Include or Exclude]], 0,4)</f>
        <v/>
      </c>
      <c r="X99" s="186" t="str" cm="1">
        <f t="array" ref="X99">Common_InputFunctions.Utility_DisplayArrayInTable(Fertiliser_SourceData.Fertiliser_Products_Data1(),FertiliserProducts[[#Headers],[Include or Exclude]], 0,4)</f>
        <v/>
      </c>
      <c r="Y99" s="186" t="str" cm="1">
        <f t="array" ref="Y99">Common_InputFunctions.Utility_DisplayArrayInTable(Fertiliser_SourceData.Fertiliser_Products_Data1(),FertiliserProducts[[#Headers],[Include or Exclude]], 0,4)</f>
        <v/>
      </c>
      <c r="Z99" s="186" t="str" cm="1">
        <f t="array" ref="Z99">Common_InputFunctions.Utility_DisplayArrayInTable(Fertiliser_SourceData.Fertiliser_Products_Data1(),FertiliserProducts[[#Headers],[Include or Exclude]], 0,4)</f>
        <v/>
      </c>
      <c r="AA99" s="186" t="str" cm="1">
        <f t="array" ref="AA99">Common_InputFunctions.Utility_DisplayArrayInTable(Fertiliser_SourceData.Fertiliser_Products_Data1(),FertiliserProducts[[#Headers],[Include or Exclude]], 0,4)</f>
        <v/>
      </c>
      <c r="AB99" s="186" t="str" cm="1">
        <f t="array" ref="AB99">Common_InputFunctions.Utility_DisplayArrayInTable(Fertiliser_SourceData.Fertiliser_Products_Data1(),FertiliserProducts[[#Headers],[Include or Exclude]], 0,4)</f>
        <v/>
      </c>
      <c r="AC99" s="186" t="str" cm="1">
        <f t="array" ref="AC99">Common_InputFunctions.Utility_DisplayArrayInTable(Fertiliser_SourceData.Fertiliser_Products_Data1(),FertiliserProducts[[#Headers],[Include or Exclude]], 0,4)</f>
        <v/>
      </c>
      <c r="AD99" s="186" t="str" cm="1">
        <f t="array" ref="AD99">Common_InputFunctions.Utility_DisplayArrayInTable(Fertiliser_SourceData.Fertiliser_Products_Data1(),FertiliserProducts[[#Headers],[Include or Exclude]], 0,4)</f>
        <v/>
      </c>
      <c r="AE99" s="186" t="str" cm="1">
        <f t="array" ref="AE99">Common_InputFunctions.Utility_DisplayArrayInTable(Fertiliser_SourceData.Fertiliser_Products_Data1(),FertiliserProducts[[#Headers],[Include or Exclude]], 0,4)</f>
        <v/>
      </c>
    </row>
    <row r="100" spans="4:31" ht="20.100000000000001" customHeight="1" x14ac:dyDescent="0.25">
      <c r="D100" s="186" t="str" cm="1">
        <f t="array" ref="D100">Common_InputFunctions.Utility_DisplayArrayInTable(Fertiliser_SourceData.Fertiliser_Products_Data1(),FertiliserProducts[[#Headers],[Include or Exclude]], -1)</f>
        <v>Exclude - Not relevant</v>
      </c>
      <c r="E100" s="186" t="str" cm="1">
        <f t="array" ref="E100">Common_InputFunctions.Utility_DisplayArrayInTable(Fertiliser_SourceData.Fertiliser_Products_Data1(),FertiliserProducts[[#Headers],[Include or Exclude]], 0)</f>
        <v/>
      </c>
      <c r="F100" s="186" t="str" cm="1">
        <f t="array" ref="F100">Common_InputFunctions.Utility_DisplayArrayInTable(Fertiliser_SourceData.Fertiliser_Products_Data1(),FertiliserProducts[[#Headers],[Include or Exclude]], 0)</f>
        <v>Campbells fertilisers Australia</v>
      </c>
      <c r="G100" s="186" t="str" cm="1">
        <f t="array" ref="G100">Common_InputFunctions.Utility_DisplayArrayInTable(Fertiliser_SourceData.Fertiliser_Products_Data1(),FertiliserProducts[[#Headers],[Include or Exclude]], 0)</f>
        <v>Asco Fol Plus</v>
      </c>
      <c r="H100" s="186" t="str" cm="1">
        <f t="array" ref="H100">Common_InputFunctions.Utility_DisplayArrayInTable(Fertiliser_SourceData.Fertiliser_Products_Data1(),FertiliserProducts[[#Headers],[Include or Exclude]], 0,4)</f>
        <v/>
      </c>
      <c r="I100" s="186" t="str" cm="1">
        <f t="array" ref="I100">Common_InputFunctions.Utility_DisplayArrayInTable(Fertiliser_SourceData.Fertiliser_Products_Data1(),FertiliserProducts[[#Headers],[Include or Exclude]], 0,4)</f>
        <v/>
      </c>
      <c r="J100" s="186" t="str" cm="1">
        <f t="array" ref="J100">Common_InputFunctions.Utility_DisplayArrayInTable(Fertiliser_SourceData.Fertiliser_Products_Data1(),FertiliserProducts[[#Headers],[Include or Exclude]], 0,4)</f>
        <v/>
      </c>
      <c r="K100" s="186" t="str" cm="1">
        <f t="array" ref="K100">Common_InputFunctions.Utility_DisplayArrayInTable(Fertiliser_SourceData.Fertiliser_Products_Data1(),FertiliserProducts[[#Headers],[Include or Exclude]], 0,4)</f>
        <v/>
      </c>
      <c r="L100" s="186" t="str" cm="1">
        <f t="array" ref="L100">Common_InputFunctions.Utility_DisplayArrayInTable(Fertiliser_SourceData.Fertiliser_Products_Data1(),FertiliserProducts[[#Headers],[Include or Exclude]], 0,4)</f>
        <v/>
      </c>
      <c r="M100" s="186" t="str" cm="1">
        <f t="array" ref="M100">Common_InputFunctions.Utility_DisplayArrayInTable(Fertiliser_SourceData.Fertiliser_Products_Data1(),FertiliserProducts[[#Headers],[Include or Exclude]], 0,4)</f>
        <v/>
      </c>
      <c r="N100" s="186" t="str" cm="1">
        <f t="array" ref="N100">Common_InputFunctions.Utility_DisplayArrayInTable(Fertiliser_SourceData.Fertiliser_Products_Data1(),FertiliserProducts[[#Headers],[Include or Exclude]], 0,4)</f>
        <v/>
      </c>
      <c r="O100" s="186" t="str" cm="1">
        <f t="array" ref="O100">Common_InputFunctions.Utility_DisplayArrayInTable(Fertiliser_SourceData.Fertiliser_Products_Data1(),FertiliserProducts[[#Headers],[Include or Exclude]], 0,4)</f>
        <v/>
      </c>
      <c r="P100" s="186" t="str" cm="1">
        <f t="array" ref="P100">Common_InputFunctions.Utility_DisplayArrayInTable(Fertiliser_SourceData.Fertiliser_Products_Data1(),FertiliserProducts[[#Headers],[Include or Exclude]], 0,4)</f>
        <v/>
      </c>
      <c r="Q100" s="186" t="str" cm="1">
        <f t="array" ref="Q100">Common_InputFunctions.Utility_DisplayArrayInTable(Fertiliser_SourceData.Fertiliser_Products_Data1(),FertiliserProducts[[#Headers],[Include or Exclude]], 0,4)</f>
        <v/>
      </c>
      <c r="R100" s="186" t="str" cm="1">
        <f t="array" ref="R100">Common_InputFunctions.Utility_DisplayArrayInTable(Fertiliser_SourceData.Fertiliser_Products_Data1(),FertiliserProducts[[#Headers],[Include or Exclude]], 0,4)</f>
        <v/>
      </c>
      <c r="S100" s="186" t="str" cm="1">
        <f t="array" ref="S100">Common_InputFunctions.Utility_DisplayArrayInTable(Fertiliser_SourceData.Fertiliser_Products_Data1(),FertiliserProducts[[#Headers],[Include or Exclude]], 0,4)</f>
        <v/>
      </c>
      <c r="T100" s="186" t="str" cm="1">
        <f t="array" ref="T100">Common_InputFunctions.Utility_DisplayArrayInTable(Fertiliser_SourceData.Fertiliser_Products_Data1(),FertiliserProducts[[#Headers],[Include or Exclude]], 0,4)</f>
        <v/>
      </c>
      <c r="U100" s="186" t="str" cm="1">
        <f t="array" ref="U100">Common_InputFunctions.Utility_DisplayArrayInTable(Fertiliser_SourceData.Fertiliser_Products_Data1(),FertiliserProducts[[#Headers],[Include or Exclude]], 0,4)</f>
        <v/>
      </c>
      <c r="V100" s="186" t="str" cm="1">
        <f t="array" ref="V100">Common_InputFunctions.Utility_DisplayArrayInTable(Fertiliser_SourceData.Fertiliser_Products_Data1(),FertiliserProducts[[#Headers],[Include or Exclude]], 0,4)</f>
        <v/>
      </c>
      <c r="W100" s="186" t="str" cm="1">
        <f t="array" ref="W100">Common_InputFunctions.Utility_DisplayArrayInTable(Fertiliser_SourceData.Fertiliser_Products_Data1(),FertiliserProducts[[#Headers],[Include or Exclude]], 0,4)</f>
        <v/>
      </c>
      <c r="X100" s="186" t="str" cm="1">
        <f t="array" ref="X100">Common_InputFunctions.Utility_DisplayArrayInTable(Fertiliser_SourceData.Fertiliser_Products_Data1(),FertiliserProducts[[#Headers],[Include or Exclude]], 0,4)</f>
        <v/>
      </c>
      <c r="Y100" s="186" t="str" cm="1">
        <f t="array" ref="Y100">Common_InputFunctions.Utility_DisplayArrayInTable(Fertiliser_SourceData.Fertiliser_Products_Data1(),FertiliserProducts[[#Headers],[Include or Exclude]], 0,4)</f>
        <v/>
      </c>
      <c r="Z100" s="186" t="str" cm="1">
        <f t="array" ref="Z100">Common_InputFunctions.Utility_DisplayArrayInTable(Fertiliser_SourceData.Fertiliser_Products_Data1(),FertiliserProducts[[#Headers],[Include or Exclude]], 0,4)</f>
        <v/>
      </c>
      <c r="AA100" s="186" t="str" cm="1">
        <f t="array" ref="AA100">Common_InputFunctions.Utility_DisplayArrayInTable(Fertiliser_SourceData.Fertiliser_Products_Data1(),FertiliserProducts[[#Headers],[Include or Exclude]], 0,4)</f>
        <v/>
      </c>
      <c r="AB100" s="186" t="str" cm="1">
        <f t="array" ref="AB100">Common_InputFunctions.Utility_DisplayArrayInTable(Fertiliser_SourceData.Fertiliser_Products_Data1(),FertiliserProducts[[#Headers],[Include or Exclude]], 0,4)</f>
        <v/>
      </c>
      <c r="AC100" s="186" t="str" cm="1">
        <f t="array" ref="AC100">Common_InputFunctions.Utility_DisplayArrayInTable(Fertiliser_SourceData.Fertiliser_Products_Data1(),FertiliserProducts[[#Headers],[Include or Exclude]], 0,4)</f>
        <v/>
      </c>
      <c r="AD100" s="186" t="str" cm="1">
        <f t="array" ref="AD100">Common_InputFunctions.Utility_DisplayArrayInTable(Fertiliser_SourceData.Fertiliser_Products_Data1(),FertiliserProducts[[#Headers],[Include or Exclude]], 0,4)</f>
        <v/>
      </c>
      <c r="AE100" s="186" t="str" cm="1">
        <f t="array" ref="AE100">Common_InputFunctions.Utility_DisplayArrayInTable(Fertiliser_SourceData.Fertiliser_Products_Data1(),FertiliserProducts[[#Headers],[Include or Exclude]], 0,4)</f>
        <v/>
      </c>
    </row>
    <row r="101" spans="4:31" ht="20.100000000000001" customHeight="1" x14ac:dyDescent="0.25">
      <c r="D101" s="186" t="str" cm="1">
        <f t="array" ref="D101">Common_InputFunctions.Utility_DisplayArrayInTable(Fertiliser_SourceData.Fertiliser_Products_Data1(),FertiliserProducts[[#Headers],[Include or Exclude]], -1)</f>
        <v>Exclude - Not relevant</v>
      </c>
      <c r="E101" s="186" t="str" cm="1">
        <f t="array" ref="E101">Common_InputFunctions.Utility_DisplayArrayInTable(Fertiliser_SourceData.Fertiliser_Products_Data1(),FertiliserProducts[[#Headers],[Include or Exclude]], 0)</f>
        <v/>
      </c>
      <c r="F101" s="186" t="str" cm="1">
        <f t="array" ref="F101">Common_InputFunctions.Utility_DisplayArrayInTable(Fertiliser_SourceData.Fertiliser_Products_Data1(),FertiliserProducts[[#Headers],[Include or Exclude]], 0)</f>
        <v>Campbells fertilisers Australia</v>
      </c>
      <c r="G101" s="186" t="str" cm="1">
        <f t="array" ref="G101">Common_InputFunctions.Utility_DisplayArrayInTable(Fertiliser_SourceData.Fertiliser_Products_Data1(),FertiliserProducts[[#Headers],[Include or Exclude]], 0)</f>
        <v>Asco Plus</v>
      </c>
      <c r="H101" s="186" t="str" cm="1">
        <f t="array" ref="H101">Common_InputFunctions.Utility_DisplayArrayInTable(Fertiliser_SourceData.Fertiliser_Products_Data1(),FertiliserProducts[[#Headers],[Include or Exclude]], 0,4)</f>
        <v/>
      </c>
      <c r="I101" s="186" t="str" cm="1">
        <f t="array" ref="I101">Common_InputFunctions.Utility_DisplayArrayInTable(Fertiliser_SourceData.Fertiliser_Products_Data1(),FertiliserProducts[[#Headers],[Include or Exclude]], 0,4)</f>
        <v/>
      </c>
      <c r="J101" s="186" t="str" cm="1">
        <f t="array" ref="J101">Common_InputFunctions.Utility_DisplayArrayInTable(Fertiliser_SourceData.Fertiliser_Products_Data1(),FertiliserProducts[[#Headers],[Include or Exclude]], 0,4)</f>
        <v/>
      </c>
      <c r="K101" s="186" t="str" cm="1">
        <f t="array" ref="K101">Common_InputFunctions.Utility_DisplayArrayInTable(Fertiliser_SourceData.Fertiliser_Products_Data1(),FertiliserProducts[[#Headers],[Include or Exclude]], 0,4)</f>
        <v/>
      </c>
      <c r="L101" s="186" t="str" cm="1">
        <f t="array" ref="L101">Common_InputFunctions.Utility_DisplayArrayInTable(Fertiliser_SourceData.Fertiliser_Products_Data1(),FertiliserProducts[[#Headers],[Include or Exclude]], 0,4)</f>
        <v/>
      </c>
      <c r="M101" s="186" t="str" cm="1">
        <f t="array" ref="M101">Common_InputFunctions.Utility_DisplayArrayInTable(Fertiliser_SourceData.Fertiliser_Products_Data1(),FertiliserProducts[[#Headers],[Include or Exclude]], 0,4)</f>
        <v/>
      </c>
      <c r="N101" s="186" t="str" cm="1">
        <f t="array" ref="N101">Common_InputFunctions.Utility_DisplayArrayInTable(Fertiliser_SourceData.Fertiliser_Products_Data1(),FertiliserProducts[[#Headers],[Include or Exclude]], 0,4)</f>
        <v/>
      </c>
      <c r="O101" s="186" t="str" cm="1">
        <f t="array" ref="O101">Common_InputFunctions.Utility_DisplayArrayInTable(Fertiliser_SourceData.Fertiliser_Products_Data1(),FertiliserProducts[[#Headers],[Include or Exclude]], 0,4)</f>
        <v/>
      </c>
      <c r="P101" s="186" t="str" cm="1">
        <f t="array" ref="P101">Common_InputFunctions.Utility_DisplayArrayInTable(Fertiliser_SourceData.Fertiliser_Products_Data1(),FertiliserProducts[[#Headers],[Include or Exclude]], 0,4)</f>
        <v/>
      </c>
      <c r="Q101" s="186" t="str" cm="1">
        <f t="array" ref="Q101">Common_InputFunctions.Utility_DisplayArrayInTable(Fertiliser_SourceData.Fertiliser_Products_Data1(),FertiliserProducts[[#Headers],[Include or Exclude]], 0,4)</f>
        <v/>
      </c>
      <c r="R101" s="186" t="str" cm="1">
        <f t="array" ref="R101">Common_InputFunctions.Utility_DisplayArrayInTable(Fertiliser_SourceData.Fertiliser_Products_Data1(),FertiliserProducts[[#Headers],[Include or Exclude]], 0,4)</f>
        <v/>
      </c>
      <c r="S101" s="186" t="str" cm="1">
        <f t="array" ref="S101">Common_InputFunctions.Utility_DisplayArrayInTable(Fertiliser_SourceData.Fertiliser_Products_Data1(),FertiliserProducts[[#Headers],[Include or Exclude]], 0,4)</f>
        <v/>
      </c>
      <c r="T101" s="186" t="str" cm="1">
        <f t="array" ref="T101">Common_InputFunctions.Utility_DisplayArrayInTable(Fertiliser_SourceData.Fertiliser_Products_Data1(),FertiliserProducts[[#Headers],[Include or Exclude]], 0,4)</f>
        <v/>
      </c>
      <c r="U101" s="186" t="str" cm="1">
        <f t="array" ref="U101">Common_InputFunctions.Utility_DisplayArrayInTable(Fertiliser_SourceData.Fertiliser_Products_Data1(),FertiliserProducts[[#Headers],[Include or Exclude]], 0,4)</f>
        <v/>
      </c>
      <c r="V101" s="186" t="str" cm="1">
        <f t="array" ref="V101">Common_InputFunctions.Utility_DisplayArrayInTable(Fertiliser_SourceData.Fertiliser_Products_Data1(),FertiliserProducts[[#Headers],[Include or Exclude]], 0,4)</f>
        <v/>
      </c>
      <c r="W101" s="186" t="str" cm="1">
        <f t="array" ref="W101">Common_InputFunctions.Utility_DisplayArrayInTable(Fertiliser_SourceData.Fertiliser_Products_Data1(),FertiliserProducts[[#Headers],[Include or Exclude]], 0,4)</f>
        <v/>
      </c>
      <c r="X101" s="186" t="str" cm="1">
        <f t="array" ref="X101">Common_InputFunctions.Utility_DisplayArrayInTable(Fertiliser_SourceData.Fertiliser_Products_Data1(),FertiliserProducts[[#Headers],[Include or Exclude]], 0,4)</f>
        <v/>
      </c>
      <c r="Y101" s="186" t="str" cm="1">
        <f t="array" ref="Y101">Common_InputFunctions.Utility_DisplayArrayInTable(Fertiliser_SourceData.Fertiliser_Products_Data1(),FertiliserProducts[[#Headers],[Include or Exclude]], 0,4)</f>
        <v/>
      </c>
      <c r="Z101" s="186" t="str" cm="1">
        <f t="array" ref="Z101">Common_InputFunctions.Utility_DisplayArrayInTable(Fertiliser_SourceData.Fertiliser_Products_Data1(),FertiliserProducts[[#Headers],[Include or Exclude]], 0,4)</f>
        <v/>
      </c>
      <c r="AA101" s="186" t="str" cm="1">
        <f t="array" ref="AA101">Common_InputFunctions.Utility_DisplayArrayInTable(Fertiliser_SourceData.Fertiliser_Products_Data1(),FertiliserProducts[[#Headers],[Include or Exclude]], 0,4)</f>
        <v/>
      </c>
      <c r="AB101" s="186" t="str" cm="1">
        <f t="array" ref="AB101">Common_InputFunctions.Utility_DisplayArrayInTable(Fertiliser_SourceData.Fertiliser_Products_Data1(),FertiliserProducts[[#Headers],[Include or Exclude]], 0,4)</f>
        <v/>
      </c>
      <c r="AC101" s="186" t="str" cm="1">
        <f t="array" ref="AC101">Common_InputFunctions.Utility_DisplayArrayInTable(Fertiliser_SourceData.Fertiliser_Products_Data1(),FertiliserProducts[[#Headers],[Include or Exclude]], 0,4)</f>
        <v/>
      </c>
      <c r="AD101" s="186" t="str" cm="1">
        <f t="array" ref="AD101">Common_InputFunctions.Utility_DisplayArrayInTable(Fertiliser_SourceData.Fertiliser_Products_Data1(),FertiliserProducts[[#Headers],[Include or Exclude]], 0,4)</f>
        <v/>
      </c>
      <c r="AE101" s="186" t="str" cm="1">
        <f t="array" ref="AE101">Common_InputFunctions.Utility_DisplayArrayInTable(Fertiliser_SourceData.Fertiliser_Products_Data1(),FertiliserProducts[[#Headers],[Include or Exclude]], 0,4)</f>
        <v/>
      </c>
    </row>
    <row r="102" spans="4:31" ht="20.100000000000001" customHeight="1" x14ac:dyDescent="0.25">
      <c r="D102" s="186" t="str" cm="1">
        <f t="array" ref="D102">Common_InputFunctions.Utility_DisplayArrayInTable(Fertiliser_SourceData.Fertiliser_Products_Data1(),FertiliserProducts[[#Headers],[Include or Exclude]], -1)</f>
        <v>Exclude - Not relevant</v>
      </c>
      <c r="E102" s="186" t="str" cm="1">
        <f t="array" ref="E102">Common_InputFunctions.Utility_DisplayArrayInTable(Fertiliser_SourceData.Fertiliser_Products_Data1(),FertiliserProducts[[#Headers],[Include or Exclude]], 0)</f>
        <v/>
      </c>
      <c r="F102" s="186" t="str" cm="1">
        <f t="array" ref="F102">Common_InputFunctions.Utility_DisplayArrayInTable(Fertiliser_SourceData.Fertiliser_Products_Data1(),FertiliserProducts[[#Headers],[Include or Exclude]], 0)</f>
        <v>Campbells fertilisers Australia</v>
      </c>
      <c r="G102" s="186" t="str" cm="1">
        <f t="array" ref="G102">Common_InputFunctions.Utility_DisplayArrayInTable(Fertiliser_SourceData.Fertiliser_Products_Data1(),FertiliserProducts[[#Headers],[Include or Exclude]], 0)</f>
        <v>Asco Rhizo Plus</v>
      </c>
      <c r="H102" s="186" t="str" cm="1">
        <f t="array" ref="H102">Common_InputFunctions.Utility_DisplayArrayInTable(Fertiliser_SourceData.Fertiliser_Products_Data1(),FertiliserProducts[[#Headers],[Include or Exclude]], 0,4)</f>
        <v/>
      </c>
      <c r="I102" s="186" t="str" cm="1">
        <f t="array" ref="I102">Common_InputFunctions.Utility_DisplayArrayInTable(Fertiliser_SourceData.Fertiliser_Products_Data1(),FertiliserProducts[[#Headers],[Include or Exclude]], 0,4)</f>
        <v/>
      </c>
      <c r="J102" s="186" t="str" cm="1">
        <f t="array" ref="J102">Common_InputFunctions.Utility_DisplayArrayInTable(Fertiliser_SourceData.Fertiliser_Products_Data1(),FertiliserProducts[[#Headers],[Include or Exclude]], 0,4)</f>
        <v/>
      </c>
      <c r="K102" s="186" t="str" cm="1">
        <f t="array" ref="K102">Common_InputFunctions.Utility_DisplayArrayInTable(Fertiliser_SourceData.Fertiliser_Products_Data1(),FertiliserProducts[[#Headers],[Include or Exclude]], 0,4)</f>
        <v/>
      </c>
      <c r="L102" s="186" t="str" cm="1">
        <f t="array" ref="L102">Common_InputFunctions.Utility_DisplayArrayInTable(Fertiliser_SourceData.Fertiliser_Products_Data1(),FertiliserProducts[[#Headers],[Include or Exclude]], 0,4)</f>
        <v/>
      </c>
      <c r="M102" s="186" t="str" cm="1">
        <f t="array" ref="M102">Common_InputFunctions.Utility_DisplayArrayInTable(Fertiliser_SourceData.Fertiliser_Products_Data1(),FertiliserProducts[[#Headers],[Include or Exclude]], 0,4)</f>
        <v/>
      </c>
      <c r="N102" s="186" t="str" cm="1">
        <f t="array" ref="N102">Common_InputFunctions.Utility_DisplayArrayInTable(Fertiliser_SourceData.Fertiliser_Products_Data1(),FertiliserProducts[[#Headers],[Include or Exclude]], 0,4)</f>
        <v/>
      </c>
      <c r="O102" s="186" t="str" cm="1">
        <f t="array" ref="O102">Common_InputFunctions.Utility_DisplayArrayInTable(Fertiliser_SourceData.Fertiliser_Products_Data1(),FertiliserProducts[[#Headers],[Include or Exclude]], 0,4)</f>
        <v/>
      </c>
      <c r="P102" s="186" t="str" cm="1">
        <f t="array" ref="P102">Common_InputFunctions.Utility_DisplayArrayInTable(Fertiliser_SourceData.Fertiliser_Products_Data1(),FertiliserProducts[[#Headers],[Include or Exclude]], 0,4)</f>
        <v/>
      </c>
      <c r="Q102" s="186" t="str" cm="1">
        <f t="array" ref="Q102">Common_InputFunctions.Utility_DisplayArrayInTable(Fertiliser_SourceData.Fertiliser_Products_Data1(),FertiliserProducts[[#Headers],[Include or Exclude]], 0,4)</f>
        <v/>
      </c>
      <c r="R102" s="186" t="str" cm="1">
        <f t="array" ref="R102">Common_InputFunctions.Utility_DisplayArrayInTable(Fertiliser_SourceData.Fertiliser_Products_Data1(),FertiliserProducts[[#Headers],[Include or Exclude]], 0,4)</f>
        <v/>
      </c>
      <c r="S102" s="186" t="str" cm="1">
        <f t="array" ref="S102">Common_InputFunctions.Utility_DisplayArrayInTable(Fertiliser_SourceData.Fertiliser_Products_Data1(),FertiliserProducts[[#Headers],[Include or Exclude]], 0,4)</f>
        <v/>
      </c>
      <c r="T102" s="186" t="str" cm="1">
        <f t="array" ref="T102">Common_InputFunctions.Utility_DisplayArrayInTable(Fertiliser_SourceData.Fertiliser_Products_Data1(),FertiliserProducts[[#Headers],[Include or Exclude]], 0,4)</f>
        <v/>
      </c>
      <c r="U102" s="186" t="str" cm="1">
        <f t="array" ref="U102">Common_InputFunctions.Utility_DisplayArrayInTable(Fertiliser_SourceData.Fertiliser_Products_Data1(),FertiliserProducts[[#Headers],[Include or Exclude]], 0,4)</f>
        <v/>
      </c>
      <c r="V102" s="186" t="str" cm="1">
        <f t="array" ref="V102">Common_InputFunctions.Utility_DisplayArrayInTable(Fertiliser_SourceData.Fertiliser_Products_Data1(),FertiliserProducts[[#Headers],[Include or Exclude]], 0,4)</f>
        <v/>
      </c>
      <c r="W102" s="186" t="str" cm="1">
        <f t="array" ref="W102">Common_InputFunctions.Utility_DisplayArrayInTable(Fertiliser_SourceData.Fertiliser_Products_Data1(),FertiliserProducts[[#Headers],[Include or Exclude]], 0,4)</f>
        <v/>
      </c>
      <c r="X102" s="186" t="str" cm="1">
        <f t="array" ref="X102">Common_InputFunctions.Utility_DisplayArrayInTable(Fertiliser_SourceData.Fertiliser_Products_Data1(),FertiliserProducts[[#Headers],[Include or Exclude]], 0,4)</f>
        <v/>
      </c>
      <c r="Y102" s="186" t="str" cm="1">
        <f t="array" ref="Y102">Common_InputFunctions.Utility_DisplayArrayInTable(Fertiliser_SourceData.Fertiliser_Products_Data1(),FertiliserProducts[[#Headers],[Include or Exclude]], 0,4)</f>
        <v/>
      </c>
      <c r="Z102" s="186" t="str" cm="1">
        <f t="array" ref="Z102">Common_InputFunctions.Utility_DisplayArrayInTable(Fertiliser_SourceData.Fertiliser_Products_Data1(),FertiliserProducts[[#Headers],[Include or Exclude]], 0,4)</f>
        <v/>
      </c>
      <c r="AA102" s="186" t="str" cm="1">
        <f t="array" ref="AA102">Common_InputFunctions.Utility_DisplayArrayInTable(Fertiliser_SourceData.Fertiliser_Products_Data1(),FertiliserProducts[[#Headers],[Include or Exclude]], 0,4)</f>
        <v/>
      </c>
      <c r="AB102" s="186" t="str" cm="1">
        <f t="array" ref="AB102">Common_InputFunctions.Utility_DisplayArrayInTable(Fertiliser_SourceData.Fertiliser_Products_Data1(),FertiliserProducts[[#Headers],[Include or Exclude]], 0,4)</f>
        <v/>
      </c>
      <c r="AC102" s="186" t="str" cm="1">
        <f t="array" ref="AC102">Common_InputFunctions.Utility_DisplayArrayInTable(Fertiliser_SourceData.Fertiliser_Products_Data1(),FertiliserProducts[[#Headers],[Include or Exclude]], 0,4)</f>
        <v/>
      </c>
      <c r="AD102" s="186" t="str" cm="1">
        <f t="array" ref="AD102">Common_InputFunctions.Utility_DisplayArrayInTable(Fertiliser_SourceData.Fertiliser_Products_Data1(),FertiliserProducts[[#Headers],[Include or Exclude]], 0,4)</f>
        <v/>
      </c>
      <c r="AE102" s="186" t="str" cm="1">
        <f t="array" ref="AE102">Common_InputFunctions.Utility_DisplayArrayInTable(Fertiliser_SourceData.Fertiliser_Products_Data1(),FertiliserProducts[[#Headers],[Include or Exclude]], 0,4)</f>
        <v/>
      </c>
    </row>
    <row r="103" spans="4:31" ht="20.100000000000001" customHeight="1" x14ac:dyDescent="0.25">
      <c r="D103" s="186" t="str" cm="1">
        <f t="array" ref="D103">Common_InputFunctions.Utility_DisplayArrayInTable(Fertiliser_SourceData.Fertiliser_Products_Data1(),FertiliserProducts[[#Headers],[Include or Exclude]], -1)</f>
        <v>Include - Absent ingredients &lt; 2%</v>
      </c>
      <c r="E103" s="186" t="str" cm="1">
        <f t="array" ref="E103">Common_InputFunctions.Utility_DisplayArrayInTable(Fertiliser_SourceData.Fertiliser_Products_Data1(),FertiliserProducts[[#Headers],[Include or Exclude]], 0)</f>
        <v/>
      </c>
      <c r="F103" s="186" t="str" cm="1">
        <f t="array" ref="F103">Common_InputFunctions.Utility_DisplayArrayInTable(Fertiliser_SourceData.Fertiliser_Products_Data1(),FertiliserProducts[[#Headers],[Include or Exclude]], 0)</f>
        <v>Campbells fertilisers Australia</v>
      </c>
      <c r="G103" s="186" t="str" cm="1">
        <f t="array" ref="G103">Common_InputFunctions.Utility_DisplayArrayInTable(Fertiliser_SourceData.Fertiliser_Products_Data1(),FertiliserProducts[[#Headers],[Include or Exclude]], 0)</f>
        <v>Benefit PZ</v>
      </c>
      <c r="H103" s="186" t="str" cm="1">
        <f t="array" ref="H103">Common_InputFunctions.Utility_DisplayArrayInTable(Fertiliser_SourceData.Fertiliser_Products_Data1(),FertiliserProducts[[#Headers],[Include or Exclude]], 0,4)</f>
        <v/>
      </c>
      <c r="I103" s="186" t="str" cm="1">
        <f t="array" ref="I103">Common_InputFunctions.Utility_DisplayArrayInTable(Fertiliser_SourceData.Fertiliser_Products_Data1(),FertiliserProducts[[#Headers],[Include or Exclude]], 0,4)</f>
        <v/>
      </c>
      <c r="J103" s="186" t="str" cm="1">
        <f t="array" ref="J103">Common_InputFunctions.Utility_DisplayArrayInTable(Fertiliser_SourceData.Fertiliser_Products_Data1(),FertiliserProducts[[#Headers],[Include or Exclude]], 0,4)</f>
        <v/>
      </c>
      <c r="K103" s="186" t="str" cm="1">
        <f t="array" ref="K103">Common_InputFunctions.Utility_DisplayArrayInTable(Fertiliser_SourceData.Fertiliser_Products_Data1(),FertiliserProducts[[#Headers],[Include or Exclude]], 0,4)</f>
        <v/>
      </c>
      <c r="L103" s="186" t="str" cm="1">
        <f t="array" ref="L103">Common_InputFunctions.Utility_DisplayArrayInTable(Fertiliser_SourceData.Fertiliser_Products_Data1(),FertiliserProducts[[#Headers],[Include or Exclude]], 0,4)</f>
        <v/>
      </c>
      <c r="M103" s="186" t="str" cm="1">
        <f t="array" ref="M103">Common_InputFunctions.Utility_DisplayArrayInTable(Fertiliser_SourceData.Fertiliser_Products_Data1(),FertiliserProducts[[#Headers],[Include or Exclude]], 0,4)</f>
        <v/>
      </c>
      <c r="N103" s="186" t="str" cm="1">
        <f t="array" ref="N103">Common_InputFunctions.Utility_DisplayArrayInTable(Fertiliser_SourceData.Fertiliser_Products_Data1(),FertiliserProducts[[#Headers],[Include or Exclude]], 0,4)</f>
        <v/>
      </c>
      <c r="O103" s="186" t="str" cm="1">
        <f t="array" ref="O103">Common_InputFunctions.Utility_DisplayArrayInTable(Fertiliser_SourceData.Fertiliser_Products_Data1(),FertiliserProducts[[#Headers],[Include or Exclude]], 0,4)</f>
        <v/>
      </c>
      <c r="P103" s="186" t="str" cm="1">
        <f t="array" ref="P103">Common_InputFunctions.Utility_DisplayArrayInTable(Fertiliser_SourceData.Fertiliser_Products_Data1(),FertiliserProducts[[#Headers],[Include or Exclude]], 0,4)</f>
        <v/>
      </c>
      <c r="Q103" s="186" t="str" cm="1">
        <f t="array" ref="Q103">Common_InputFunctions.Utility_DisplayArrayInTable(Fertiliser_SourceData.Fertiliser_Products_Data1(),FertiliserProducts[[#Headers],[Include or Exclude]], 0,4)</f>
        <v/>
      </c>
      <c r="R103" s="186" t="str" cm="1">
        <f t="array" ref="R103">Common_InputFunctions.Utility_DisplayArrayInTable(Fertiliser_SourceData.Fertiliser_Products_Data1(),FertiliserProducts[[#Headers],[Include or Exclude]], 0,4)</f>
        <v/>
      </c>
      <c r="S103" s="186" t="str" cm="1">
        <f t="array" ref="S103">Common_InputFunctions.Utility_DisplayArrayInTable(Fertiliser_SourceData.Fertiliser_Products_Data1(),FertiliserProducts[[#Headers],[Include or Exclude]], 0,4)</f>
        <v/>
      </c>
      <c r="T103" s="186" t="str" cm="1">
        <f t="array" ref="T103">Common_InputFunctions.Utility_DisplayArrayInTable(Fertiliser_SourceData.Fertiliser_Products_Data1(),FertiliserProducts[[#Headers],[Include or Exclude]], 0,4)</f>
        <v/>
      </c>
      <c r="U103" s="186" t="str" cm="1">
        <f t="array" ref="U103">Common_InputFunctions.Utility_DisplayArrayInTable(Fertiliser_SourceData.Fertiliser_Products_Data1(),FertiliserProducts[[#Headers],[Include or Exclude]], 0,4)</f>
        <v/>
      </c>
      <c r="V103" s="186" t="str" cm="1">
        <f t="array" ref="V103">Common_InputFunctions.Utility_DisplayArrayInTable(Fertiliser_SourceData.Fertiliser_Products_Data1(),FertiliserProducts[[#Headers],[Include or Exclude]], 0,4)</f>
        <v/>
      </c>
      <c r="W103" s="186" t="str" cm="1">
        <f t="array" ref="W103">Common_InputFunctions.Utility_DisplayArrayInTable(Fertiliser_SourceData.Fertiliser_Products_Data1(),FertiliserProducts[[#Headers],[Include or Exclude]], 0,4)</f>
        <v/>
      </c>
      <c r="X103" s="186" t="str" cm="1">
        <f t="array" ref="X103">Common_InputFunctions.Utility_DisplayArrayInTable(Fertiliser_SourceData.Fertiliser_Products_Data1(),FertiliserProducts[[#Headers],[Include or Exclude]], 0,4)</f>
        <v/>
      </c>
      <c r="Y103" s="186" t="str" cm="1">
        <f t="array" ref="Y103">Common_InputFunctions.Utility_DisplayArrayInTable(Fertiliser_SourceData.Fertiliser_Products_Data1(),FertiliserProducts[[#Headers],[Include or Exclude]], 0,4)</f>
        <v/>
      </c>
      <c r="Z103" s="186" t="str" cm="1">
        <f t="array" ref="Z103">Common_InputFunctions.Utility_DisplayArrayInTable(Fertiliser_SourceData.Fertiliser_Products_Data1(),FertiliserProducts[[#Headers],[Include or Exclude]], 0,4)</f>
        <v/>
      </c>
      <c r="AA103" s="186" t="str" cm="1">
        <f t="array" ref="AA103">Common_InputFunctions.Utility_DisplayArrayInTable(Fertiliser_SourceData.Fertiliser_Products_Data1(),FertiliserProducts[[#Headers],[Include or Exclude]], 0,4)</f>
        <v/>
      </c>
      <c r="AB103" s="186" t="str" cm="1">
        <f t="array" ref="AB103">Common_InputFunctions.Utility_DisplayArrayInTable(Fertiliser_SourceData.Fertiliser_Products_Data1(),FertiliserProducts[[#Headers],[Include or Exclude]], 0,4)</f>
        <v/>
      </c>
      <c r="AC103" s="186" t="str" cm="1">
        <f t="array" ref="AC103">Common_InputFunctions.Utility_DisplayArrayInTable(Fertiliser_SourceData.Fertiliser_Products_Data1(),FertiliserProducts[[#Headers],[Include or Exclude]], 0,4)</f>
        <v/>
      </c>
      <c r="AD103" s="186" t="str" cm="1">
        <f t="array" ref="AD103">Common_InputFunctions.Utility_DisplayArrayInTable(Fertiliser_SourceData.Fertiliser_Products_Data1(),FertiliserProducts[[#Headers],[Include or Exclude]], 0,4)</f>
        <v/>
      </c>
      <c r="AE103" s="186" t="str" cm="1">
        <f t="array" ref="AE103">Common_InputFunctions.Utility_DisplayArrayInTable(Fertiliser_SourceData.Fertiliser_Products_Data1(),FertiliserProducts[[#Headers],[Include or Exclude]], 0,4)</f>
        <v/>
      </c>
    </row>
    <row r="104" spans="4:31" ht="20.100000000000001" customHeight="1" x14ac:dyDescent="0.25">
      <c r="D104" s="186" t="str" cm="1">
        <f t="array" ref="D104">Common_InputFunctions.Utility_DisplayArrayInTable(Fertiliser_SourceData.Fertiliser_Products_Data1(),FertiliserProducts[[#Headers],[Include or Exclude]], -1)</f>
        <v>Exclude - Not relevant</v>
      </c>
      <c r="E104" s="186" t="str" cm="1">
        <f t="array" ref="E104">Common_InputFunctions.Utility_DisplayArrayInTable(Fertiliser_SourceData.Fertiliser_Products_Data1(),FertiliserProducts[[#Headers],[Include or Exclude]], 0)</f>
        <v>Amount of urea calculated from urea nitrogen amount</v>
      </c>
      <c r="F104" s="186" t="str" cm="1">
        <f t="array" ref="F104">Common_InputFunctions.Utility_DisplayArrayInTable(Fertiliser_SourceData.Fertiliser_Products_Data1(),FertiliserProducts[[#Headers],[Include or Exclude]], 0)</f>
        <v>Campbells fertilisers Australia</v>
      </c>
      <c r="G104" s="186" t="str" cm="1">
        <f t="array" ref="G104">Common_InputFunctions.Utility_DisplayArrayInTable(Fertiliser_SourceData.Fertiliser_Products_Data1(),FertiliserProducts[[#Headers],[Include or Exclude]], 0)</f>
        <v>Boost-It</v>
      </c>
      <c r="H104" s="186" t="str" cm="1">
        <f t="array" ref="H104">Common_InputFunctions.Utility_DisplayArrayInTable(Fertiliser_SourceData.Fertiliser_Products_Data1(),FertiliserProducts[[#Headers],[Include or Exclude]], 0,4)</f>
        <v>kg</v>
      </c>
      <c r="I104" s="186" cm="1">
        <f t="array" ref="I104">Common_InputFunctions.Utility_DisplayArrayInTable(Fertiliser_SourceData.Fertiliser_Products_Data1(),FertiliserProducts[[#Headers],[Include or Exclude]], 0,4)</f>
        <v>1</v>
      </c>
      <c r="J104" s="186" t="str" cm="1">
        <f t="array" ref="J104">Common_InputFunctions.Utility_DisplayArrayInTable(Fertiliser_SourceData.Fertiliser_Products_Data1(),FertiliserProducts[[#Headers],[Include or Exclude]], 0,4)</f>
        <v/>
      </c>
      <c r="K104" s="186" t="str" cm="1">
        <f t="array" ref="K104">Common_InputFunctions.Utility_DisplayArrayInTable(Fertiliser_SourceData.Fertiliser_Products_Data1(),FertiliserProducts[[#Headers],[Include or Exclude]], 0,4)</f>
        <v/>
      </c>
      <c r="L104" s="186" t="str" cm="1">
        <f t="array" ref="L104">Common_InputFunctions.Utility_DisplayArrayInTable(Fertiliser_SourceData.Fertiliser_Products_Data1(),FertiliserProducts[[#Headers],[Include or Exclude]], 0,4)</f>
        <v>Urea</v>
      </c>
      <c r="M104" s="186" cm="1">
        <f t="array" ref="M104">Common_InputFunctions.Utility_DisplayArrayInTable(Fertiliser_SourceData.Fertiliser_Products_Data1(),FertiliserProducts[[#Headers],[Include or Exclude]], 0,4)</f>
        <v>0.52173913000000005</v>
      </c>
      <c r="N104" s="186" t="str" cm="1">
        <f t="array" ref="N104">Common_InputFunctions.Utility_DisplayArrayInTable(Fertiliser_SourceData.Fertiliser_Products_Data1(),FertiliserProducts[[#Headers],[Include or Exclude]], 0,4)</f>
        <v>Potassium - Generic</v>
      </c>
      <c r="O104" s="186" cm="1">
        <f t="array" ref="O104">Common_InputFunctions.Utility_DisplayArrayInTable(Fertiliser_SourceData.Fertiliser_Products_Data1(),FertiliserProducts[[#Headers],[Include or Exclude]], 0,4)</f>
        <v>0.08</v>
      </c>
      <c r="P104" s="186" t="str" cm="1">
        <f t="array" ref="P104">Common_InputFunctions.Utility_DisplayArrayInTable(Fertiliser_SourceData.Fertiliser_Products_Data1(),FertiliserProducts[[#Headers],[Include or Exclude]], 0,4)</f>
        <v>Sulfur - Generic</v>
      </c>
      <c r="Q104" s="186" cm="1">
        <f t="array" ref="Q104">Common_InputFunctions.Utility_DisplayArrayInTable(Fertiliser_SourceData.Fertiliser_Products_Data1(),FertiliserProducts[[#Headers],[Include or Exclude]], 0,4)</f>
        <v>5.2999999999999999E-2</v>
      </c>
      <c r="R104" s="186" t="str" cm="1">
        <f t="array" ref="R104">Common_InputFunctions.Utility_DisplayArrayInTable(Fertiliser_SourceData.Fertiliser_Products_Data1(),FertiliserProducts[[#Headers],[Include or Exclude]], 0,4)</f>
        <v>Phosphorus - Generic</v>
      </c>
      <c r="S104" s="186" cm="1">
        <f t="array" ref="S104">Common_InputFunctions.Utility_DisplayArrayInTable(Fertiliser_SourceData.Fertiliser_Products_Data1(),FertiliserProducts[[#Headers],[Include or Exclude]], 0,4)</f>
        <v>5.1999999999999998E-2</v>
      </c>
      <c r="T104" s="186" t="str" cm="1">
        <f t="array" ref="T104">Common_InputFunctions.Utility_DisplayArrayInTable(Fertiliser_SourceData.Fertiliser_Products_Data1(),FertiliserProducts[[#Headers],[Include or Exclude]], 0,4)</f>
        <v>Magnesium</v>
      </c>
      <c r="U104" s="186" cm="1">
        <f t="array" ref="U104">Common_InputFunctions.Utility_DisplayArrayInTable(Fertiliser_SourceData.Fertiliser_Products_Data1(),FertiliserProducts[[#Headers],[Include or Exclude]], 0,4)</f>
        <v>1.2999999999999999E-2</v>
      </c>
      <c r="V104" s="186" t="str" cm="1">
        <f t="array" ref="V104">Common_InputFunctions.Utility_DisplayArrayInTable(Fertiliser_SourceData.Fertiliser_Products_Data1(),FertiliserProducts[[#Headers],[Include or Exclude]], 0,4)</f>
        <v>Zinc</v>
      </c>
      <c r="W104" s="186" cm="1">
        <f t="array" ref="W104">Common_InputFunctions.Utility_DisplayArrayInTable(Fertiliser_SourceData.Fertiliser_Products_Data1(),FertiliserProducts[[#Headers],[Include or Exclude]], 0,4)</f>
        <v>2E-3</v>
      </c>
      <c r="X104" s="186" t="str" cm="1">
        <f t="array" ref="X104">Common_InputFunctions.Utility_DisplayArrayInTable(Fertiliser_SourceData.Fertiliser_Products_Data1(),FertiliserProducts[[#Headers],[Include or Exclude]], 0,4)</f>
        <v>Manganese</v>
      </c>
      <c r="Y104" s="186" cm="1">
        <f t="array" ref="Y104">Common_InputFunctions.Utility_DisplayArrayInTable(Fertiliser_SourceData.Fertiliser_Products_Data1(),FertiliserProducts[[#Headers],[Include or Exclude]], 0,4)</f>
        <v>3.5000000000000001E-3</v>
      </c>
      <c r="Z104" s="186" t="str" cm="1">
        <f t="array" ref="Z104">Common_InputFunctions.Utility_DisplayArrayInTable(Fertiliser_SourceData.Fertiliser_Products_Data1(),FertiliserProducts[[#Headers],[Include or Exclude]], 0,4)</f>
        <v>Iron</v>
      </c>
      <c r="AA104" s="186" cm="1">
        <f t="array" ref="AA104">Common_InputFunctions.Utility_DisplayArrayInTable(Fertiliser_SourceData.Fertiliser_Products_Data1(),FertiliserProducts[[#Headers],[Include or Exclude]], 0,4)</f>
        <v>1.2999999999999999E-3</v>
      </c>
      <c r="AB104" s="186" t="str" cm="1">
        <f t="array" ref="AB104">Common_InputFunctions.Utility_DisplayArrayInTable(Fertiliser_SourceData.Fertiliser_Products_Data1(),FertiliserProducts[[#Headers],[Include or Exclude]], 0,4)</f>
        <v>Copper</v>
      </c>
      <c r="AC104" s="186" cm="1">
        <f t="array" ref="AC104">Common_InputFunctions.Utility_DisplayArrayInTable(Fertiliser_SourceData.Fertiliser_Products_Data1(),FertiliserProducts[[#Headers],[Include or Exclude]], 0,4)</f>
        <v>6.9999999999999999E-4</v>
      </c>
      <c r="AD104" s="186" t="str" cm="1">
        <f t="array" ref="AD104">Common_InputFunctions.Utility_DisplayArrayInTable(Fertiliser_SourceData.Fertiliser_Products_Data1(),FertiliserProducts[[#Headers],[Include or Exclude]], 0,4)</f>
        <v>Boron</v>
      </c>
      <c r="AE104" s="186" cm="1">
        <f t="array" ref="AE104">Common_InputFunctions.Utility_DisplayArrayInTable(Fertiliser_SourceData.Fertiliser_Products_Data1(),FertiliserProducts[[#Headers],[Include or Exclude]], 0,4)</f>
        <v>6.9999999999999999E-4</v>
      </c>
    </row>
    <row r="105" spans="4:31" ht="20.100000000000001" customHeight="1" x14ac:dyDescent="0.25">
      <c r="D105" s="186" t="str" cm="1">
        <f t="array" ref="D105">Common_InputFunctions.Utility_DisplayArrayInTable(Fertiliser_SourceData.Fertiliser_Products_Data1(),FertiliserProducts[[#Headers],[Include or Exclude]], -1)</f>
        <v>Exclude - Not relevant</v>
      </c>
      <c r="E105" s="186" t="str" cm="1">
        <f t="array" ref="E105">Common_InputFunctions.Utility_DisplayArrayInTable(Fertiliser_SourceData.Fertiliser_Products_Data1(),FertiliserProducts[[#Headers],[Include or Exclude]], 0)</f>
        <v/>
      </c>
      <c r="F105" s="186" t="str" cm="1">
        <f t="array" ref="F105">Common_InputFunctions.Utility_DisplayArrayInTable(Fertiliser_SourceData.Fertiliser_Products_Data1(),FertiliserProducts[[#Headers],[Include or Exclude]], 0)</f>
        <v>Campbells fertilisers Australia</v>
      </c>
      <c r="G105" s="186" t="str" cm="1">
        <f t="array" ref="G105">Common_InputFunctions.Utility_DisplayArrayInTable(Fertiliser_SourceData.Fertiliser_Products_Data1(),FertiliserProducts[[#Headers],[Include or Exclude]], 0)</f>
        <v>Boroplus</v>
      </c>
      <c r="H105" s="186" t="str" cm="1">
        <f t="array" ref="H105">Common_InputFunctions.Utility_DisplayArrayInTable(Fertiliser_SourceData.Fertiliser_Products_Data1(),FertiliserProducts[[#Headers],[Include or Exclude]], 0,4)</f>
        <v/>
      </c>
      <c r="I105" s="186" t="str" cm="1">
        <f t="array" ref="I105">Common_InputFunctions.Utility_DisplayArrayInTable(Fertiliser_SourceData.Fertiliser_Products_Data1(),FertiliserProducts[[#Headers],[Include or Exclude]], 0,4)</f>
        <v/>
      </c>
      <c r="J105" s="186" t="str" cm="1">
        <f t="array" ref="J105">Common_InputFunctions.Utility_DisplayArrayInTable(Fertiliser_SourceData.Fertiliser_Products_Data1(),FertiliserProducts[[#Headers],[Include or Exclude]], 0,4)</f>
        <v/>
      </c>
      <c r="K105" s="186" t="str" cm="1">
        <f t="array" ref="K105">Common_InputFunctions.Utility_DisplayArrayInTable(Fertiliser_SourceData.Fertiliser_Products_Data1(),FertiliserProducts[[#Headers],[Include or Exclude]], 0,4)</f>
        <v/>
      </c>
      <c r="L105" s="186" t="str" cm="1">
        <f t="array" ref="L105">Common_InputFunctions.Utility_DisplayArrayInTable(Fertiliser_SourceData.Fertiliser_Products_Data1(),FertiliserProducts[[#Headers],[Include or Exclude]], 0,4)</f>
        <v/>
      </c>
      <c r="M105" s="186" t="str" cm="1">
        <f t="array" ref="M105">Common_InputFunctions.Utility_DisplayArrayInTable(Fertiliser_SourceData.Fertiliser_Products_Data1(),FertiliserProducts[[#Headers],[Include or Exclude]], 0,4)</f>
        <v/>
      </c>
      <c r="N105" s="186" t="str" cm="1">
        <f t="array" ref="N105">Common_InputFunctions.Utility_DisplayArrayInTable(Fertiliser_SourceData.Fertiliser_Products_Data1(),FertiliserProducts[[#Headers],[Include or Exclude]], 0,4)</f>
        <v/>
      </c>
      <c r="O105" s="186" t="str" cm="1">
        <f t="array" ref="O105">Common_InputFunctions.Utility_DisplayArrayInTable(Fertiliser_SourceData.Fertiliser_Products_Data1(),FertiliserProducts[[#Headers],[Include or Exclude]], 0,4)</f>
        <v/>
      </c>
      <c r="P105" s="186" t="str" cm="1">
        <f t="array" ref="P105">Common_InputFunctions.Utility_DisplayArrayInTable(Fertiliser_SourceData.Fertiliser_Products_Data1(),FertiliserProducts[[#Headers],[Include or Exclude]], 0,4)</f>
        <v/>
      </c>
      <c r="Q105" s="186" t="str" cm="1">
        <f t="array" ref="Q105">Common_InputFunctions.Utility_DisplayArrayInTable(Fertiliser_SourceData.Fertiliser_Products_Data1(),FertiliserProducts[[#Headers],[Include or Exclude]], 0,4)</f>
        <v/>
      </c>
      <c r="R105" s="186" t="str" cm="1">
        <f t="array" ref="R105">Common_InputFunctions.Utility_DisplayArrayInTable(Fertiliser_SourceData.Fertiliser_Products_Data1(),FertiliserProducts[[#Headers],[Include or Exclude]], 0,4)</f>
        <v/>
      </c>
      <c r="S105" s="186" t="str" cm="1">
        <f t="array" ref="S105">Common_InputFunctions.Utility_DisplayArrayInTable(Fertiliser_SourceData.Fertiliser_Products_Data1(),FertiliserProducts[[#Headers],[Include or Exclude]], 0,4)</f>
        <v/>
      </c>
      <c r="T105" s="186" t="str" cm="1">
        <f t="array" ref="T105">Common_InputFunctions.Utility_DisplayArrayInTable(Fertiliser_SourceData.Fertiliser_Products_Data1(),FertiliserProducts[[#Headers],[Include or Exclude]], 0,4)</f>
        <v/>
      </c>
      <c r="U105" s="186" t="str" cm="1">
        <f t="array" ref="U105">Common_InputFunctions.Utility_DisplayArrayInTable(Fertiliser_SourceData.Fertiliser_Products_Data1(),FertiliserProducts[[#Headers],[Include or Exclude]], 0,4)</f>
        <v/>
      </c>
      <c r="V105" s="186" t="str" cm="1">
        <f t="array" ref="V105">Common_InputFunctions.Utility_DisplayArrayInTable(Fertiliser_SourceData.Fertiliser_Products_Data1(),FertiliserProducts[[#Headers],[Include or Exclude]], 0,4)</f>
        <v/>
      </c>
      <c r="W105" s="186" t="str" cm="1">
        <f t="array" ref="W105">Common_InputFunctions.Utility_DisplayArrayInTable(Fertiliser_SourceData.Fertiliser_Products_Data1(),FertiliserProducts[[#Headers],[Include or Exclude]], 0,4)</f>
        <v/>
      </c>
      <c r="X105" s="186" t="str" cm="1">
        <f t="array" ref="X105">Common_InputFunctions.Utility_DisplayArrayInTable(Fertiliser_SourceData.Fertiliser_Products_Data1(),FertiliserProducts[[#Headers],[Include or Exclude]], 0,4)</f>
        <v/>
      </c>
      <c r="Y105" s="186" t="str" cm="1">
        <f t="array" ref="Y105">Common_InputFunctions.Utility_DisplayArrayInTable(Fertiliser_SourceData.Fertiliser_Products_Data1(),FertiliserProducts[[#Headers],[Include or Exclude]], 0,4)</f>
        <v/>
      </c>
      <c r="Z105" s="186" t="str" cm="1">
        <f t="array" ref="Z105">Common_InputFunctions.Utility_DisplayArrayInTable(Fertiliser_SourceData.Fertiliser_Products_Data1(),FertiliserProducts[[#Headers],[Include or Exclude]], 0,4)</f>
        <v/>
      </c>
      <c r="AA105" s="186" t="str" cm="1">
        <f t="array" ref="AA105">Common_InputFunctions.Utility_DisplayArrayInTable(Fertiliser_SourceData.Fertiliser_Products_Data1(),FertiliserProducts[[#Headers],[Include or Exclude]], 0,4)</f>
        <v/>
      </c>
      <c r="AB105" s="186" t="str" cm="1">
        <f t="array" ref="AB105">Common_InputFunctions.Utility_DisplayArrayInTable(Fertiliser_SourceData.Fertiliser_Products_Data1(),FertiliserProducts[[#Headers],[Include or Exclude]], 0,4)</f>
        <v/>
      </c>
      <c r="AC105" s="186" t="str" cm="1">
        <f t="array" ref="AC105">Common_InputFunctions.Utility_DisplayArrayInTable(Fertiliser_SourceData.Fertiliser_Products_Data1(),FertiliserProducts[[#Headers],[Include or Exclude]], 0,4)</f>
        <v/>
      </c>
      <c r="AD105" s="186" t="str" cm="1">
        <f t="array" ref="AD105">Common_InputFunctions.Utility_DisplayArrayInTable(Fertiliser_SourceData.Fertiliser_Products_Data1(),FertiliserProducts[[#Headers],[Include or Exclude]], 0,4)</f>
        <v/>
      </c>
      <c r="AE105" s="186" t="str" cm="1">
        <f t="array" ref="AE105">Common_InputFunctions.Utility_DisplayArrayInTable(Fertiliser_SourceData.Fertiliser_Products_Data1(),FertiliserProducts[[#Headers],[Include or Exclude]], 0,4)</f>
        <v/>
      </c>
    </row>
    <row r="106" spans="4:31" ht="20.100000000000001" customHeight="1" x14ac:dyDescent="0.25">
      <c r="D106" s="186" t="str" cm="1">
        <f t="array" ref="D106">Common_InputFunctions.Utility_DisplayArrayInTable(Fertiliser_SourceData.Fertiliser_Products_Data1(),FertiliserProducts[[#Headers],[Include or Exclude]], -1)</f>
        <v>Exclude - Not relevant</v>
      </c>
      <c r="E106" s="186" t="str" cm="1">
        <f t="array" ref="E106">Common_InputFunctions.Utility_DisplayArrayInTable(Fertiliser_SourceData.Fertiliser_Products_Data1(),FertiliserProducts[[#Headers],[Include or Exclude]], 0)</f>
        <v/>
      </c>
      <c r="F106" s="186" t="str" cm="1">
        <f t="array" ref="F106">Common_InputFunctions.Utility_DisplayArrayInTable(Fertiliser_SourceData.Fertiliser_Products_Data1(),FertiliserProducts[[#Headers],[Include or Exclude]], 0)</f>
        <v>Campbells fertilisers Australia</v>
      </c>
      <c r="G106" s="186" t="str" cm="1">
        <f t="array" ref="G106">Common_InputFunctions.Utility_DisplayArrayInTable(Fertiliser_SourceData.Fertiliser_Products_Data1(),FertiliserProducts[[#Headers],[Include or Exclude]], 0)</f>
        <v>Brevisol Range</v>
      </c>
      <c r="H106" s="186" t="str" cm="1">
        <f t="array" ref="H106">Common_InputFunctions.Utility_DisplayArrayInTable(Fertiliser_SourceData.Fertiliser_Products_Data1(),FertiliserProducts[[#Headers],[Include or Exclude]], 0,4)</f>
        <v/>
      </c>
      <c r="I106" s="186" t="str" cm="1">
        <f t="array" ref="I106">Common_InputFunctions.Utility_DisplayArrayInTable(Fertiliser_SourceData.Fertiliser_Products_Data1(),FertiliserProducts[[#Headers],[Include or Exclude]], 0,4)</f>
        <v/>
      </c>
      <c r="J106" s="186" t="str" cm="1">
        <f t="array" ref="J106">Common_InputFunctions.Utility_DisplayArrayInTable(Fertiliser_SourceData.Fertiliser_Products_Data1(),FertiliserProducts[[#Headers],[Include or Exclude]], 0,4)</f>
        <v/>
      </c>
      <c r="K106" s="186" t="str" cm="1">
        <f t="array" ref="K106">Common_InputFunctions.Utility_DisplayArrayInTable(Fertiliser_SourceData.Fertiliser_Products_Data1(),FertiliserProducts[[#Headers],[Include or Exclude]], 0,4)</f>
        <v/>
      </c>
      <c r="L106" s="186" t="str" cm="1">
        <f t="array" ref="L106">Common_InputFunctions.Utility_DisplayArrayInTable(Fertiliser_SourceData.Fertiliser_Products_Data1(),FertiliserProducts[[#Headers],[Include or Exclude]], 0,4)</f>
        <v/>
      </c>
      <c r="M106" s="186" t="str" cm="1">
        <f t="array" ref="M106">Common_InputFunctions.Utility_DisplayArrayInTable(Fertiliser_SourceData.Fertiliser_Products_Data1(),FertiliserProducts[[#Headers],[Include or Exclude]], 0,4)</f>
        <v/>
      </c>
      <c r="N106" s="186" t="str" cm="1">
        <f t="array" ref="N106">Common_InputFunctions.Utility_DisplayArrayInTable(Fertiliser_SourceData.Fertiliser_Products_Data1(),FertiliserProducts[[#Headers],[Include or Exclude]], 0,4)</f>
        <v/>
      </c>
      <c r="O106" s="186" t="str" cm="1">
        <f t="array" ref="O106">Common_InputFunctions.Utility_DisplayArrayInTable(Fertiliser_SourceData.Fertiliser_Products_Data1(),FertiliserProducts[[#Headers],[Include or Exclude]], 0,4)</f>
        <v/>
      </c>
      <c r="P106" s="186" t="str" cm="1">
        <f t="array" ref="P106">Common_InputFunctions.Utility_DisplayArrayInTable(Fertiliser_SourceData.Fertiliser_Products_Data1(),FertiliserProducts[[#Headers],[Include or Exclude]], 0,4)</f>
        <v/>
      </c>
      <c r="Q106" s="186" t="str" cm="1">
        <f t="array" ref="Q106">Common_InputFunctions.Utility_DisplayArrayInTable(Fertiliser_SourceData.Fertiliser_Products_Data1(),FertiliserProducts[[#Headers],[Include or Exclude]], 0,4)</f>
        <v/>
      </c>
      <c r="R106" s="186" t="str" cm="1">
        <f t="array" ref="R106">Common_InputFunctions.Utility_DisplayArrayInTable(Fertiliser_SourceData.Fertiliser_Products_Data1(),FertiliserProducts[[#Headers],[Include or Exclude]], 0,4)</f>
        <v/>
      </c>
      <c r="S106" s="186" t="str" cm="1">
        <f t="array" ref="S106">Common_InputFunctions.Utility_DisplayArrayInTable(Fertiliser_SourceData.Fertiliser_Products_Data1(),FertiliserProducts[[#Headers],[Include or Exclude]], 0,4)</f>
        <v/>
      </c>
      <c r="T106" s="186" t="str" cm="1">
        <f t="array" ref="T106">Common_InputFunctions.Utility_DisplayArrayInTable(Fertiliser_SourceData.Fertiliser_Products_Data1(),FertiliserProducts[[#Headers],[Include or Exclude]], 0,4)</f>
        <v/>
      </c>
      <c r="U106" s="186" t="str" cm="1">
        <f t="array" ref="U106">Common_InputFunctions.Utility_DisplayArrayInTable(Fertiliser_SourceData.Fertiliser_Products_Data1(),FertiliserProducts[[#Headers],[Include or Exclude]], 0,4)</f>
        <v/>
      </c>
      <c r="V106" s="186" t="str" cm="1">
        <f t="array" ref="V106">Common_InputFunctions.Utility_DisplayArrayInTable(Fertiliser_SourceData.Fertiliser_Products_Data1(),FertiliserProducts[[#Headers],[Include or Exclude]], 0,4)</f>
        <v/>
      </c>
      <c r="W106" s="186" t="str" cm="1">
        <f t="array" ref="W106">Common_InputFunctions.Utility_DisplayArrayInTable(Fertiliser_SourceData.Fertiliser_Products_Data1(),FertiliserProducts[[#Headers],[Include or Exclude]], 0,4)</f>
        <v/>
      </c>
      <c r="X106" s="186" t="str" cm="1">
        <f t="array" ref="X106">Common_InputFunctions.Utility_DisplayArrayInTable(Fertiliser_SourceData.Fertiliser_Products_Data1(),FertiliserProducts[[#Headers],[Include or Exclude]], 0,4)</f>
        <v/>
      </c>
      <c r="Y106" s="186" t="str" cm="1">
        <f t="array" ref="Y106">Common_InputFunctions.Utility_DisplayArrayInTable(Fertiliser_SourceData.Fertiliser_Products_Data1(),FertiliserProducts[[#Headers],[Include or Exclude]], 0,4)</f>
        <v/>
      </c>
      <c r="Z106" s="186" t="str" cm="1">
        <f t="array" ref="Z106">Common_InputFunctions.Utility_DisplayArrayInTable(Fertiliser_SourceData.Fertiliser_Products_Data1(),FertiliserProducts[[#Headers],[Include or Exclude]], 0,4)</f>
        <v/>
      </c>
      <c r="AA106" s="186" t="str" cm="1">
        <f t="array" ref="AA106">Common_InputFunctions.Utility_DisplayArrayInTable(Fertiliser_SourceData.Fertiliser_Products_Data1(),FertiliserProducts[[#Headers],[Include or Exclude]], 0,4)</f>
        <v/>
      </c>
      <c r="AB106" s="186" t="str" cm="1">
        <f t="array" ref="AB106">Common_InputFunctions.Utility_DisplayArrayInTable(Fertiliser_SourceData.Fertiliser_Products_Data1(),FertiliserProducts[[#Headers],[Include or Exclude]], 0,4)</f>
        <v/>
      </c>
      <c r="AC106" s="186" t="str" cm="1">
        <f t="array" ref="AC106">Common_InputFunctions.Utility_DisplayArrayInTable(Fertiliser_SourceData.Fertiliser_Products_Data1(),FertiliserProducts[[#Headers],[Include or Exclude]], 0,4)</f>
        <v/>
      </c>
      <c r="AD106" s="186" t="str" cm="1">
        <f t="array" ref="AD106">Common_InputFunctions.Utility_DisplayArrayInTable(Fertiliser_SourceData.Fertiliser_Products_Data1(),FertiliserProducts[[#Headers],[Include or Exclude]], 0,4)</f>
        <v/>
      </c>
      <c r="AE106" s="186" t="str" cm="1">
        <f t="array" ref="AE106">Common_InputFunctions.Utility_DisplayArrayInTable(Fertiliser_SourceData.Fertiliser_Products_Data1(),FertiliserProducts[[#Headers],[Include or Exclude]], 0,4)</f>
        <v/>
      </c>
    </row>
    <row r="107" spans="4:31" ht="20.100000000000001" customHeight="1" x14ac:dyDescent="0.25">
      <c r="D107" s="186" t="str" cm="1">
        <f t="array" ref="D107">Common_InputFunctions.Utility_DisplayArrayInTable(Fertiliser_SourceData.Fertiliser_Products_Data1(),FertiliserProducts[[#Headers],[Include or Exclude]], -1)</f>
        <v>Include</v>
      </c>
      <c r="E107" s="186" t="str" cm="1">
        <f t="array" ref="E107">Common_InputFunctions.Utility_DisplayArrayInTable(Fertiliser_SourceData.Fertiliser_Products_Data1(),FertiliserProducts[[#Headers],[Include or Exclude]], 0)</f>
        <v/>
      </c>
      <c r="F107" s="186" t="str" cm="1">
        <f t="array" ref="F107">Common_InputFunctions.Utility_DisplayArrayInTable(Fertiliser_SourceData.Fertiliser_Products_Data1(),FertiliserProducts[[#Headers],[Include or Exclude]], 0)</f>
        <v>Campbells fertilisers Australia</v>
      </c>
      <c r="G107" s="186" t="str" cm="1">
        <f t="array" ref="G107">Common_InputFunctions.Utility_DisplayArrayInTable(Fertiliser_SourceData.Fertiliser_Products_Data1(),FertiliserProducts[[#Headers],[Include or Exclude]], 0)</f>
        <v>Brexil Line</v>
      </c>
      <c r="H107" s="186" t="str" cm="1">
        <f t="array" ref="H107">Common_InputFunctions.Utility_DisplayArrayInTable(Fertiliser_SourceData.Fertiliser_Products_Data1(),FertiliserProducts[[#Headers],[Include or Exclude]], 0,4)</f>
        <v/>
      </c>
      <c r="I107" s="186" t="str" cm="1">
        <f t="array" ref="I107">Common_InputFunctions.Utility_DisplayArrayInTable(Fertiliser_SourceData.Fertiliser_Products_Data1(),FertiliserProducts[[#Headers],[Include or Exclude]], 0,4)</f>
        <v/>
      </c>
      <c r="J107" s="186" t="str" cm="1">
        <f t="array" ref="J107">Common_InputFunctions.Utility_DisplayArrayInTable(Fertiliser_SourceData.Fertiliser_Products_Data1(),FertiliserProducts[[#Headers],[Include or Exclude]], 0,4)</f>
        <v/>
      </c>
      <c r="K107" s="186" t="str" cm="1">
        <f t="array" ref="K107">Common_InputFunctions.Utility_DisplayArrayInTable(Fertiliser_SourceData.Fertiliser_Products_Data1(),FertiliserProducts[[#Headers],[Include or Exclude]], 0,4)</f>
        <v/>
      </c>
      <c r="L107" s="186" t="str" cm="1">
        <f t="array" ref="L107">Common_InputFunctions.Utility_DisplayArrayInTable(Fertiliser_SourceData.Fertiliser_Products_Data1(),FertiliserProducts[[#Headers],[Include or Exclude]], 0,4)</f>
        <v/>
      </c>
      <c r="M107" s="186" t="str" cm="1">
        <f t="array" ref="M107">Common_InputFunctions.Utility_DisplayArrayInTable(Fertiliser_SourceData.Fertiliser_Products_Data1(),FertiliserProducts[[#Headers],[Include or Exclude]], 0,4)</f>
        <v/>
      </c>
      <c r="N107" s="186" t="str" cm="1">
        <f t="array" ref="N107">Common_InputFunctions.Utility_DisplayArrayInTable(Fertiliser_SourceData.Fertiliser_Products_Data1(),FertiliserProducts[[#Headers],[Include or Exclude]], 0,4)</f>
        <v/>
      </c>
      <c r="O107" s="186" t="str" cm="1">
        <f t="array" ref="O107">Common_InputFunctions.Utility_DisplayArrayInTable(Fertiliser_SourceData.Fertiliser_Products_Data1(),FertiliserProducts[[#Headers],[Include or Exclude]], 0,4)</f>
        <v/>
      </c>
      <c r="P107" s="186" t="str" cm="1">
        <f t="array" ref="P107">Common_InputFunctions.Utility_DisplayArrayInTable(Fertiliser_SourceData.Fertiliser_Products_Data1(),FertiliserProducts[[#Headers],[Include or Exclude]], 0,4)</f>
        <v/>
      </c>
      <c r="Q107" s="186" t="str" cm="1">
        <f t="array" ref="Q107">Common_InputFunctions.Utility_DisplayArrayInTable(Fertiliser_SourceData.Fertiliser_Products_Data1(),FertiliserProducts[[#Headers],[Include or Exclude]], 0,4)</f>
        <v/>
      </c>
      <c r="R107" s="186" t="str" cm="1">
        <f t="array" ref="R107">Common_InputFunctions.Utility_DisplayArrayInTable(Fertiliser_SourceData.Fertiliser_Products_Data1(),FertiliserProducts[[#Headers],[Include or Exclude]], 0,4)</f>
        <v/>
      </c>
      <c r="S107" s="186" t="str" cm="1">
        <f t="array" ref="S107">Common_InputFunctions.Utility_DisplayArrayInTable(Fertiliser_SourceData.Fertiliser_Products_Data1(),FertiliserProducts[[#Headers],[Include or Exclude]], 0,4)</f>
        <v/>
      </c>
      <c r="T107" s="186" t="str" cm="1">
        <f t="array" ref="T107">Common_InputFunctions.Utility_DisplayArrayInTable(Fertiliser_SourceData.Fertiliser_Products_Data1(),FertiliserProducts[[#Headers],[Include or Exclude]], 0,4)</f>
        <v/>
      </c>
      <c r="U107" s="186" t="str" cm="1">
        <f t="array" ref="U107">Common_InputFunctions.Utility_DisplayArrayInTable(Fertiliser_SourceData.Fertiliser_Products_Data1(),FertiliserProducts[[#Headers],[Include or Exclude]], 0,4)</f>
        <v/>
      </c>
      <c r="V107" s="186" t="str" cm="1">
        <f t="array" ref="V107">Common_InputFunctions.Utility_DisplayArrayInTable(Fertiliser_SourceData.Fertiliser_Products_Data1(),FertiliserProducts[[#Headers],[Include or Exclude]], 0,4)</f>
        <v/>
      </c>
      <c r="W107" s="186" t="str" cm="1">
        <f t="array" ref="W107">Common_InputFunctions.Utility_DisplayArrayInTable(Fertiliser_SourceData.Fertiliser_Products_Data1(),FertiliserProducts[[#Headers],[Include or Exclude]], 0,4)</f>
        <v/>
      </c>
      <c r="X107" s="186" t="str" cm="1">
        <f t="array" ref="X107">Common_InputFunctions.Utility_DisplayArrayInTable(Fertiliser_SourceData.Fertiliser_Products_Data1(),FertiliserProducts[[#Headers],[Include or Exclude]], 0,4)</f>
        <v/>
      </c>
      <c r="Y107" s="186" t="str" cm="1">
        <f t="array" ref="Y107">Common_InputFunctions.Utility_DisplayArrayInTable(Fertiliser_SourceData.Fertiliser_Products_Data1(),FertiliserProducts[[#Headers],[Include or Exclude]], 0,4)</f>
        <v/>
      </c>
      <c r="Z107" s="186" t="str" cm="1">
        <f t="array" ref="Z107">Common_InputFunctions.Utility_DisplayArrayInTable(Fertiliser_SourceData.Fertiliser_Products_Data1(),FertiliserProducts[[#Headers],[Include or Exclude]], 0,4)</f>
        <v/>
      </c>
      <c r="AA107" s="186" t="str" cm="1">
        <f t="array" ref="AA107">Common_InputFunctions.Utility_DisplayArrayInTable(Fertiliser_SourceData.Fertiliser_Products_Data1(),FertiliserProducts[[#Headers],[Include or Exclude]], 0,4)</f>
        <v/>
      </c>
      <c r="AB107" s="186" t="str" cm="1">
        <f t="array" ref="AB107">Common_InputFunctions.Utility_DisplayArrayInTable(Fertiliser_SourceData.Fertiliser_Products_Data1(),FertiliserProducts[[#Headers],[Include or Exclude]], 0,4)</f>
        <v/>
      </c>
      <c r="AC107" s="186" t="str" cm="1">
        <f t="array" ref="AC107">Common_InputFunctions.Utility_DisplayArrayInTable(Fertiliser_SourceData.Fertiliser_Products_Data1(),FertiliserProducts[[#Headers],[Include or Exclude]], 0,4)</f>
        <v/>
      </c>
      <c r="AD107" s="186" t="str" cm="1">
        <f t="array" ref="AD107">Common_InputFunctions.Utility_DisplayArrayInTable(Fertiliser_SourceData.Fertiliser_Products_Data1(),FertiliserProducts[[#Headers],[Include or Exclude]], 0,4)</f>
        <v/>
      </c>
      <c r="AE107" s="186" t="str" cm="1">
        <f t="array" ref="AE107">Common_InputFunctions.Utility_DisplayArrayInTable(Fertiliser_SourceData.Fertiliser_Products_Data1(),FertiliserProducts[[#Headers],[Include or Exclude]], 0,4)</f>
        <v/>
      </c>
    </row>
    <row r="108" spans="4:31" ht="20.100000000000001" customHeight="1" x14ac:dyDescent="0.25">
      <c r="D108" s="186" t="str" cm="1">
        <f t="array" ref="D108">Common_InputFunctions.Utility_DisplayArrayInTable(Fertiliser_SourceData.Fertiliser_Products_Data1(),FertiliserProducts[[#Headers],[Include or Exclude]], -1)</f>
        <v>Exclude - Absent ingredients &gt; 2%</v>
      </c>
      <c r="E108" s="186" t="str" cm="1">
        <f t="array" ref="E108">Common_InputFunctions.Utility_DisplayArrayInTable(Fertiliser_SourceData.Fertiliser_Products_Data1(),FertiliserProducts[[#Headers],[Include or Exclude]], 0)</f>
        <v/>
      </c>
      <c r="F108" s="186" t="str" cm="1">
        <f t="array" ref="F108">Common_InputFunctions.Utility_DisplayArrayInTable(Fertiliser_SourceData.Fertiliser_Products_Data1(),FertiliserProducts[[#Headers],[Include or Exclude]], 0)</f>
        <v>Campbells fertilisers Australia</v>
      </c>
      <c r="G108" s="186" t="str" cm="1">
        <f t="array" ref="G108">Common_InputFunctions.Utility_DisplayArrayInTable(Fertiliser_SourceData.Fertiliser_Products_Data1(),FertiliserProducts[[#Headers],[Include or Exclude]], 0)</f>
        <v>Bronze</v>
      </c>
      <c r="H108" s="186" t="str" cm="1">
        <f t="array" ref="H108">Common_InputFunctions.Utility_DisplayArrayInTable(Fertiliser_SourceData.Fertiliser_Products_Data1(),FertiliserProducts[[#Headers],[Include or Exclude]], 0,4)</f>
        <v>kg</v>
      </c>
      <c r="I108" s="186" t="str" cm="1">
        <f t="array" ref="I108">Common_InputFunctions.Utility_DisplayArrayInTable(Fertiliser_SourceData.Fertiliser_Products_Data1(),FertiliserProducts[[#Headers],[Include or Exclude]], 0,4)</f>
        <v/>
      </c>
      <c r="J108" s="186" t="str" cm="1">
        <f t="array" ref="J108">Common_InputFunctions.Utility_DisplayArrayInTable(Fertiliser_SourceData.Fertiliser_Products_Data1(),FertiliserProducts[[#Headers],[Include or Exclude]], 0,4)</f>
        <v/>
      </c>
      <c r="K108" s="186" t="str" cm="1">
        <f t="array" ref="K108">Common_InputFunctions.Utility_DisplayArrayInTable(Fertiliser_SourceData.Fertiliser_Products_Data1(),FertiliserProducts[[#Headers],[Include or Exclude]], 0,4)</f>
        <v/>
      </c>
      <c r="L108" s="186" t="str" cm="1">
        <f t="array" ref="L108">Common_InputFunctions.Utility_DisplayArrayInTable(Fertiliser_SourceData.Fertiliser_Products_Data1(),FertiliserProducts[[#Headers],[Include or Exclude]], 0,4)</f>
        <v>Muriate of Potash (MOP)</v>
      </c>
      <c r="M108" s="186" cm="1">
        <f t="array" ref="M108">Common_InputFunctions.Utility_DisplayArrayInTable(Fertiliser_SourceData.Fertiliser_Products_Data1(),FertiliserProducts[[#Headers],[Include or Exclude]], 0,4)</f>
        <v>0.23200000000000001</v>
      </c>
      <c r="N108" s="186" t="str" cm="1">
        <f t="array" ref="N108">Common_InputFunctions.Utility_DisplayArrayInTable(Fertiliser_SourceData.Fertiliser_Products_Data1(),FertiliserProducts[[#Headers],[Include or Exclude]], 0,4)</f>
        <v>Nitrogen - Generic</v>
      </c>
      <c r="O108" s="186" cm="1">
        <f t="array" ref="O108">Common_InputFunctions.Utility_DisplayArrayInTable(Fertiliser_SourceData.Fertiliser_Products_Data1(),FertiliserProducts[[#Headers],[Include or Exclude]], 0,4)</f>
        <v>0.17</v>
      </c>
      <c r="P108" s="186" t="str" cm="1">
        <f t="array" ref="P108">Common_InputFunctions.Utility_DisplayArrayInTable(Fertiliser_SourceData.Fertiliser_Products_Data1(),FertiliserProducts[[#Headers],[Include or Exclude]], 0,4)</f>
        <v>Sulfur - Generic</v>
      </c>
      <c r="Q108" s="186" cm="1">
        <f t="array" ref="Q108">Common_InputFunctions.Utility_DisplayArrayInTable(Fertiliser_SourceData.Fertiliser_Products_Data1(),FertiliserProducts[[#Headers],[Include or Exclude]], 0,4)</f>
        <v>5.0000000000000001E-3</v>
      </c>
      <c r="R108" s="186" t="str" cm="1">
        <f t="array" ref="R108">Common_InputFunctions.Utility_DisplayArrayInTable(Fertiliser_SourceData.Fertiliser_Products_Data1(),FertiliserProducts[[#Headers],[Include or Exclude]], 0,4)</f>
        <v>Magnesium</v>
      </c>
      <c r="S108" s="186" cm="1">
        <f t="array" ref="S108">Common_InputFunctions.Utility_DisplayArrayInTable(Fertiliser_SourceData.Fertiliser_Products_Data1(),FertiliserProducts[[#Headers],[Include or Exclude]], 0,4)</f>
        <v>2.3999999999999998E-3</v>
      </c>
      <c r="T108" s="186" t="str" cm="1">
        <f t="array" ref="T108">Common_InputFunctions.Utility_DisplayArrayInTable(Fertiliser_SourceData.Fertiliser_Products_Data1(),FertiliserProducts[[#Headers],[Include or Exclude]], 0,4)</f>
        <v>Phosphorus - Generic</v>
      </c>
      <c r="U108" s="186" cm="1">
        <f t="array" ref="U108">Common_InputFunctions.Utility_DisplayArrayInTable(Fertiliser_SourceData.Fertiliser_Products_Data1(),FertiliserProducts[[#Headers],[Include or Exclude]], 0,4)</f>
        <v>4.0000000000000002E-4</v>
      </c>
      <c r="V108" s="186" t="str" cm="1">
        <f t="array" ref="V108">Common_InputFunctions.Utility_DisplayArrayInTable(Fertiliser_SourceData.Fertiliser_Products_Data1(),FertiliserProducts[[#Headers],[Include or Exclude]], 0,4)</f>
        <v/>
      </c>
      <c r="W108" s="186" t="str" cm="1">
        <f t="array" ref="W108">Common_InputFunctions.Utility_DisplayArrayInTable(Fertiliser_SourceData.Fertiliser_Products_Data1(),FertiliserProducts[[#Headers],[Include or Exclude]], 0,4)</f>
        <v/>
      </c>
      <c r="X108" s="186" t="str" cm="1">
        <f t="array" ref="X108">Common_InputFunctions.Utility_DisplayArrayInTable(Fertiliser_SourceData.Fertiliser_Products_Data1(),FertiliserProducts[[#Headers],[Include or Exclude]], 0,4)</f>
        <v/>
      </c>
      <c r="Y108" s="186" t="str" cm="1">
        <f t="array" ref="Y108">Common_InputFunctions.Utility_DisplayArrayInTable(Fertiliser_SourceData.Fertiliser_Products_Data1(),FertiliserProducts[[#Headers],[Include or Exclude]], 0,4)</f>
        <v/>
      </c>
      <c r="Z108" s="186" t="str" cm="1">
        <f t="array" ref="Z108">Common_InputFunctions.Utility_DisplayArrayInTable(Fertiliser_SourceData.Fertiliser_Products_Data1(),FertiliserProducts[[#Headers],[Include or Exclude]], 0,4)</f>
        <v/>
      </c>
      <c r="AA108" s="186" t="str" cm="1">
        <f t="array" ref="AA108">Common_InputFunctions.Utility_DisplayArrayInTable(Fertiliser_SourceData.Fertiliser_Products_Data1(),FertiliserProducts[[#Headers],[Include or Exclude]], 0,4)</f>
        <v/>
      </c>
      <c r="AB108" s="186" t="str" cm="1">
        <f t="array" ref="AB108">Common_InputFunctions.Utility_DisplayArrayInTable(Fertiliser_SourceData.Fertiliser_Products_Data1(),FertiliserProducts[[#Headers],[Include or Exclude]], 0,4)</f>
        <v/>
      </c>
      <c r="AC108" s="186" t="str" cm="1">
        <f t="array" ref="AC108">Common_InputFunctions.Utility_DisplayArrayInTable(Fertiliser_SourceData.Fertiliser_Products_Data1(),FertiliserProducts[[#Headers],[Include or Exclude]], 0,4)</f>
        <v/>
      </c>
      <c r="AD108" s="186" t="str" cm="1">
        <f t="array" ref="AD108">Common_InputFunctions.Utility_DisplayArrayInTable(Fertiliser_SourceData.Fertiliser_Products_Data1(),FertiliserProducts[[#Headers],[Include or Exclude]], 0,4)</f>
        <v/>
      </c>
      <c r="AE108" s="186" t="str" cm="1">
        <f t="array" ref="AE108">Common_InputFunctions.Utility_DisplayArrayInTable(Fertiliser_SourceData.Fertiliser_Products_Data1(),FertiliserProducts[[#Headers],[Include or Exclude]], 0,4)</f>
        <v/>
      </c>
    </row>
    <row r="109" spans="4:31" ht="20.100000000000001" customHeight="1" x14ac:dyDescent="0.25">
      <c r="D109" s="186" t="str" cm="1">
        <f t="array" ref="D109">Common_InputFunctions.Utility_DisplayArrayInTable(Fertiliser_SourceData.Fertiliser_Products_Data1(),FertiliserProducts[[#Headers],[Include or Exclude]], -1)</f>
        <v>Exclude - Not relevant</v>
      </c>
      <c r="E109" s="186" t="str" cm="1">
        <f t="array" ref="E109">Common_InputFunctions.Utility_DisplayArrayInTable(Fertiliser_SourceData.Fertiliser_Products_Data1(),FertiliserProducts[[#Headers],[Include or Exclude]], 0)</f>
        <v/>
      </c>
      <c r="F109" s="186" t="str" cm="1">
        <f t="array" ref="F109">Common_InputFunctions.Utility_DisplayArrayInTable(Fertiliser_SourceData.Fertiliser_Products_Data1(),FertiliserProducts[[#Headers],[Include or Exclude]], 0)</f>
        <v>Campbells fertilisers Australia</v>
      </c>
      <c r="G109" s="186" t="str" cm="1">
        <f t="array" ref="G109">Common_InputFunctions.Utility_DisplayArrayInTable(Fertiliser_SourceData.Fertiliser_Products_Data1(),FertiliserProducts[[#Headers],[Include or Exclude]], 0)</f>
        <v>Bud-Wiser Dry</v>
      </c>
      <c r="H109" s="186" t="str" cm="1">
        <f t="array" ref="H109">Common_InputFunctions.Utility_DisplayArrayInTable(Fertiliser_SourceData.Fertiliser_Products_Data1(),FertiliserProducts[[#Headers],[Include or Exclude]], 0,4)</f>
        <v>kg</v>
      </c>
      <c r="I109" s="186" t="str" cm="1">
        <f t="array" ref="I109">Common_InputFunctions.Utility_DisplayArrayInTable(Fertiliser_SourceData.Fertiliser_Products_Data1(),FertiliserProducts[[#Headers],[Include or Exclude]], 0,4)</f>
        <v/>
      </c>
      <c r="J109" s="186" t="str" cm="1">
        <f t="array" ref="J109">Common_InputFunctions.Utility_DisplayArrayInTable(Fertiliser_SourceData.Fertiliser_Products_Data1(),FertiliserProducts[[#Headers],[Include or Exclude]], 0,4)</f>
        <v/>
      </c>
      <c r="K109" s="186" t="str" cm="1">
        <f t="array" ref="K109">Common_InputFunctions.Utility_DisplayArrayInTable(Fertiliser_SourceData.Fertiliser_Products_Data1(),FertiliserProducts[[#Headers],[Include or Exclude]], 0,4)</f>
        <v/>
      </c>
      <c r="L109" s="186" t="str" cm="1">
        <f t="array" ref="L109">Common_InputFunctions.Utility_DisplayArrayInTable(Fertiliser_SourceData.Fertiliser_Products_Data1(),FertiliserProducts[[#Headers],[Include or Exclude]], 0,4)</f>
        <v>Sulfur - Generic</v>
      </c>
      <c r="M109" s="186" cm="1">
        <f t="array" ref="M109">Common_InputFunctions.Utility_DisplayArrayInTable(Fertiliser_SourceData.Fertiliser_Products_Data1(),FertiliserProducts[[#Headers],[Include or Exclude]], 0,4)</f>
        <v>9.4E-2</v>
      </c>
      <c r="N109" s="186" t="str" cm="1">
        <f t="array" ref="N109">Common_InputFunctions.Utility_DisplayArrayInTable(Fertiliser_SourceData.Fertiliser_Products_Data1(),FertiliserProducts[[#Headers],[Include or Exclude]], 0,4)</f>
        <v>Magnesium</v>
      </c>
      <c r="O109" s="186" cm="1">
        <f t="array" ref="O109">Common_InputFunctions.Utility_DisplayArrayInTable(Fertiliser_SourceData.Fertiliser_Products_Data1(),FertiliserProducts[[#Headers],[Include or Exclude]], 0,4)</f>
        <v>0.06</v>
      </c>
      <c r="P109" s="186" t="str" cm="1">
        <f t="array" ref="P109">Common_InputFunctions.Utility_DisplayArrayInTable(Fertiliser_SourceData.Fertiliser_Products_Data1(),FertiliserProducts[[#Headers],[Include or Exclude]], 0,4)</f>
        <v>Boron</v>
      </c>
      <c r="Q109" s="186" cm="1">
        <f t="array" ref="Q109">Common_InputFunctions.Utility_DisplayArrayInTable(Fertiliser_SourceData.Fertiliser_Products_Data1(),FertiliserProducts[[#Headers],[Include or Exclude]], 0,4)</f>
        <v>4.4999999999999998E-2</v>
      </c>
      <c r="R109" s="186" t="str" cm="1">
        <f t="array" ref="R109">Common_InputFunctions.Utility_DisplayArrayInTable(Fertiliser_SourceData.Fertiliser_Products_Data1(),FertiliserProducts[[#Headers],[Include or Exclude]], 0,4)</f>
        <v>Zinc</v>
      </c>
      <c r="S109" s="186" cm="1">
        <f t="array" ref="S109">Common_InputFunctions.Utility_DisplayArrayInTable(Fertiliser_SourceData.Fertiliser_Products_Data1(),FertiliserProducts[[#Headers],[Include or Exclude]], 0,4)</f>
        <v>2.7E-2</v>
      </c>
      <c r="T109" s="186" t="str" cm="1">
        <f t="array" ref="T109">Common_InputFunctions.Utility_DisplayArrayInTable(Fertiliser_SourceData.Fertiliser_Products_Data1(),FertiliserProducts[[#Headers],[Include or Exclude]], 0,4)</f>
        <v/>
      </c>
      <c r="U109" s="186" t="str" cm="1">
        <f t="array" ref="U109">Common_InputFunctions.Utility_DisplayArrayInTable(Fertiliser_SourceData.Fertiliser_Products_Data1(),FertiliserProducts[[#Headers],[Include or Exclude]], 0,4)</f>
        <v/>
      </c>
      <c r="V109" s="186" t="str" cm="1">
        <f t="array" ref="V109">Common_InputFunctions.Utility_DisplayArrayInTable(Fertiliser_SourceData.Fertiliser_Products_Data1(),FertiliserProducts[[#Headers],[Include or Exclude]], 0,4)</f>
        <v/>
      </c>
      <c r="W109" s="186" t="str" cm="1">
        <f t="array" ref="W109">Common_InputFunctions.Utility_DisplayArrayInTable(Fertiliser_SourceData.Fertiliser_Products_Data1(),FertiliserProducts[[#Headers],[Include or Exclude]], 0,4)</f>
        <v/>
      </c>
      <c r="X109" s="186" t="str" cm="1">
        <f t="array" ref="X109">Common_InputFunctions.Utility_DisplayArrayInTable(Fertiliser_SourceData.Fertiliser_Products_Data1(),FertiliserProducts[[#Headers],[Include or Exclude]], 0,4)</f>
        <v/>
      </c>
      <c r="Y109" s="186" t="str" cm="1">
        <f t="array" ref="Y109">Common_InputFunctions.Utility_DisplayArrayInTable(Fertiliser_SourceData.Fertiliser_Products_Data1(),FertiliserProducts[[#Headers],[Include or Exclude]], 0,4)</f>
        <v/>
      </c>
      <c r="Z109" s="186" t="str" cm="1">
        <f t="array" ref="Z109">Common_InputFunctions.Utility_DisplayArrayInTable(Fertiliser_SourceData.Fertiliser_Products_Data1(),FertiliserProducts[[#Headers],[Include or Exclude]], 0,4)</f>
        <v/>
      </c>
      <c r="AA109" s="186" t="str" cm="1">
        <f t="array" ref="AA109">Common_InputFunctions.Utility_DisplayArrayInTable(Fertiliser_SourceData.Fertiliser_Products_Data1(),FertiliserProducts[[#Headers],[Include or Exclude]], 0,4)</f>
        <v/>
      </c>
      <c r="AB109" s="186" t="str" cm="1">
        <f t="array" ref="AB109">Common_InputFunctions.Utility_DisplayArrayInTable(Fertiliser_SourceData.Fertiliser_Products_Data1(),FertiliserProducts[[#Headers],[Include or Exclude]], 0,4)</f>
        <v/>
      </c>
      <c r="AC109" s="186" t="str" cm="1">
        <f t="array" ref="AC109">Common_InputFunctions.Utility_DisplayArrayInTable(Fertiliser_SourceData.Fertiliser_Products_Data1(),FertiliserProducts[[#Headers],[Include or Exclude]], 0,4)</f>
        <v/>
      </c>
      <c r="AD109" s="186" t="str" cm="1">
        <f t="array" ref="AD109">Common_InputFunctions.Utility_DisplayArrayInTable(Fertiliser_SourceData.Fertiliser_Products_Data1(),FertiliserProducts[[#Headers],[Include or Exclude]], 0,4)</f>
        <v/>
      </c>
      <c r="AE109" s="186" t="str" cm="1">
        <f t="array" ref="AE109">Common_InputFunctions.Utility_DisplayArrayInTable(Fertiliser_SourceData.Fertiliser_Products_Data1(),FertiliserProducts[[#Headers],[Include or Exclude]], 0,4)</f>
        <v/>
      </c>
    </row>
    <row r="110" spans="4:31" ht="20.100000000000001" customHeight="1" x14ac:dyDescent="0.25">
      <c r="D110" s="186" t="str" cm="1">
        <f t="array" ref="D110">Common_InputFunctions.Utility_DisplayArrayInTable(Fertiliser_SourceData.Fertiliser_Products_Data1(),FertiliserProducts[[#Headers],[Include or Exclude]], -1)</f>
        <v>Exclude - Not relevant</v>
      </c>
      <c r="E110" s="186" t="str" cm="1">
        <f t="array" ref="E110">Common_InputFunctions.Utility_DisplayArrayInTable(Fertiliser_SourceData.Fertiliser_Products_Data1(),FertiliserProducts[[#Headers],[Include or Exclude]], 0)</f>
        <v/>
      </c>
      <c r="F110" s="186" t="str" cm="1">
        <f t="array" ref="F110">Common_InputFunctions.Utility_DisplayArrayInTable(Fertiliser_SourceData.Fertiliser_Products_Data1(),FertiliserProducts[[#Headers],[Include or Exclude]], 0)</f>
        <v>Campbells fertilisers Australia</v>
      </c>
      <c r="G110" s="186" t="str" cm="1">
        <f t="array" ref="G110">Common_InputFunctions.Utility_DisplayArrayInTable(Fertiliser_SourceData.Fertiliser_Products_Data1(),FertiliserProducts[[#Headers],[Include or Exclude]], 0)</f>
        <v>Calbit C</v>
      </c>
      <c r="H110" s="186" t="str" cm="1">
        <f t="array" ref="H110">Common_InputFunctions.Utility_DisplayArrayInTable(Fertiliser_SourceData.Fertiliser_Products_Data1(),FertiliserProducts[[#Headers],[Include or Exclude]], 0,4)</f>
        <v>L</v>
      </c>
      <c r="I110" s="186" t="str" cm="1">
        <f t="array" ref="I110">Common_InputFunctions.Utility_DisplayArrayInTable(Fertiliser_SourceData.Fertiliser_Products_Data1(),FertiliserProducts[[#Headers],[Include or Exclude]], 0,4)</f>
        <v/>
      </c>
      <c r="J110" s="186" t="str" cm="1">
        <f t="array" ref="J110">Common_InputFunctions.Utility_DisplayArrayInTable(Fertiliser_SourceData.Fertiliser_Products_Data1(),FertiliserProducts[[#Headers],[Include or Exclude]], 0,4)</f>
        <v/>
      </c>
      <c r="K110" s="186" t="str" cm="1">
        <f t="array" ref="K110">Common_InputFunctions.Utility_DisplayArrayInTable(Fertiliser_SourceData.Fertiliser_Products_Data1(),FertiliserProducts[[#Headers],[Include or Exclude]], 0,4)</f>
        <v/>
      </c>
      <c r="L110" s="186" t="str" cm="1">
        <f t="array" ref="L110">Common_InputFunctions.Utility_DisplayArrayInTable(Fertiliser_SourceData.Fertiliser_Products_Data1(),FertiliserProducts[[#Headers],[Include or Exclude]], 0,4)</f>
        <v/>
      </c>
      <c r="M110" s="186" t="str" cm="1">
        <f t="array" ref="M110">Common_InputFunctions.Utility_DisplayArrayInTable(Fertiliser_SourceData.Fertiliser_Products_Data1(),FertiliserProducts[[#Headers],[Include or Exclude]], 0,4)</f>
        <v/>
      </c>
      <c r="N110" s="186" t="str" cm="1">
        <f t="array" ref="N110">Common_InputFunctions.Utility_DisplayArrayInTable(Fertiliser_SourceData.Fertiliser_Products_Data1(),FertiliserProducts[[#Headers],[Include or Exclude]], 0,4)</f>
        <v/>
      </c>
      <c r="O110" s="186" t="str" cm="1">
        <f t="array" ref="O110">Common_InputFunctions.Utility_DisplayArrayInTable(Fertiliser_SourceData.Fertiliser_Products_Data1(),FertiliserProducts[[#Headers],[Include or Exclude]], 0,4)</f>
        <v/>
      </c>
      <c r="P110" s="186" t="str" cm="1">
        <f t="array" ref="P110">Common_InputFunctions.Utility_DisplayArrayInTable(Fertiliser_SourceData.Fertiliser_Products_Data1(),FertiliserProducts[[#Headers],[Include or Exclude]], 0,4)</f>
        <v/>
      </c>
      <c r="Q110" s="186" t="str" cm="1">
        <f t="array" ref="Q110">Common_InputFunctions.Utility_DisplayArrayInTable(Fertiliser_SourceData.Fertiliser_Products_Data1(),FertiliserProducts[[#Headers],[Include or Exclude]], 0,4)</f>
        <v/>
      </c>
      <c r="R110" s="186" t="str" cm="1">
        <f t="array" ref="R110">Common_InputFunctions.Utility_DisplayArrayInTable(Fertiliser_SourceData.Fertiliser_Products_Data1(),FertiliserProducts[[#Headers],[Include or Exclude]], 0,4)</f>
        <v/>
      </c>
      <c r="S110" s="186" t="str" cm="1">
        <f t="array" ref="S110">Common_InputFunctions.Utility_DisplayArrayInTable(Fertiliser_SourceData.Fertiliser_Products_Data1(),FertiliserProducts[[#Headers],[Include or Exclude]], 0,4)</f>
        <v/>
      </c>
      <c r="T110" s="186" t="str" cm="1">
        <f t="array" ref="T110">Common_InputFunctions.Utility_DisplayArrayInTable(Fertiliser_SourceData.Fertiliser_Products_Data1(),FertiliserProducts[[#Headers],[Include or Exclude]], 0,4)</f>
        <v/>
      </c>
      <c r="U110" s="186" t="str" cm="1">
        <f t="array" ref="U110">Common_InputFunctions.Utility_DisplayArrayInTable(Fertiliser_SourceData.Fertiliser_Products_Data1(),FertiliserProducts[[#Headers],[Include or Exclude]], 0,4)</f>
        <v/>
      </c>
      <c r="V110" s="186" t="str" cm="1">
        <f t="array" ref="V110">Common_InputFunctions.Utility_DisplayArrayInTable(Fertiliser_SourceData.Fertiliser_Products_Data1(),FertiliserProducts[[#Headers],[Include or Exclude]], 0,4)</f>
        <v/>
      </c>
      <c r="W110" s="186" t="str" cm="1">
        <f t="array" ref="W110">Common_InputFunctions.Utility_DisplayArrayInTable(Fertiliser_SourceData.Fertiliser_Products_Data1(),FertiliserProducts[[#Headers],[Include or Exclude]], 0,4)</f>
        <v/>
      </c>
      <c r="X110" s="186" t="str" cm="1">
        <f t="array" ref="X110">Common_InputFunctions.Utility_DisplayArrayInTable(Fertiliser_SourceData.Fertiliser_Products_Data1(),FertiliserProducts[[#Headers],[Include or Exclude]], 0,4)</f>
        <v/>
      </c>
      <c r="Y110" s="186" t="str" cm="1">
        <f t="array" ref="Y110">Common_InputFunctions.Utility_DisplayArrayInTable(Fertiliser_SourceData.Fertiliser_Products_Data1(),FertiliserProducts[[#Headers],[Include or Exclude]], 0,4)</f>
        <v/>
      </c>
      <c r="Z110" s="186" t="str" cm="1">
        <f t="array" ref="Z110">Common_InputFunctions.Utility_DisplayArrayInTable(Fertiliser_SourceData.Fertiliser_Products_Data1(),FertiliserProducts[[#Headers],[Include or Exclude]], 0,4)</f>
        <v/>
      </c>
      <c r="AA110" s="186" t="str" cm="1">
        <f t="array" ref="AA110">Common_InputFunctions.Utility_DisplayArrayInTable(Fertiliser_SourceData.Fertiliser_Products_Data1(),FertiliserProducts[[#Headers],[Include or Exclude]], 0,4)</f>
        <v/>
      </c>
      <c r="AB110" s="186" t="str" cm="1">
        <f t="array" ref="AB110">Common_InputFunctions.Utility_DisplayArrayInTable(Fertiliser_SourceData.Fertiliser_Products_Data1(),FertiliserProducts[[#Headers],[Include or Exclude]], 0,4)</f>
        <v/>
      </c>
      <c r="AC110" s="186" t="str" cm="1">
        <f t="array" ref="AC110">Common_InputFunctions.Utility_DisplayArrayInTable(Fertiliser_SourceData.Fertiliser_Products_Data1(),FertiliserProducts[[#Headers],[Include or Exclude]], 0,4)</f>
        <v/>
      </c>
      <c r="AD110" s="186" t="str" cm="1">
        <f t="array" ref="AD110">Common_InputFunctions.Utility_DisplayArrayInTable(Fertiliser_SourceData.Fertiliser_Products_Data1(),FertiliserProducts[[#Headers],[Include or Exclude]], 0,4)</f>
        <v/>
      </c>
      <c r="AE110" s="186" t="str" cm="1">
        <f t="array" ref="AE110">Common_InputFunctions.Utility_DisplayArrayInTable(Fertiliser_SourceData.Fertiliser_Products_Data1(),FertiliserProducts[[#Headers],[Include or Exclude]], 0,4)</f>
        <v/>
      </c>
    </row>
    <row r="111" spans="4:31" ht="20.100000000000001" customHeight="1" x14ac:dyDescent="0.25">
      <c r="D111" s="186" t="str" cm="1">
        <f t="array" ref="D111">Common_InputFunctions.Utility_DisplayArrayInTable(Fertiliser_SourceData.Fertiliser_Products_Data1(),FertiliserProducts[[#Headers],[Include or Exclude]], -1)</f>
        <v>Include</v>
      </c>
      <c r="E111" s="186" t="str" cm="1">
        <f t="array" ref="E111">Common_InputFunctions.Utility_DisplayArrayInTable(Fertiliser_SourceData.Fertiliser_Products_Data1(),FertiliserProducts[[#Headers],[Include or Exclude]], 0)</f>
        <v/>
      </c>
      <c r="F111" s="186" t="str" cm="1">
        <f t="array" ref="F111">Common_InputFunctions.Utility_DisplayArrayInTable(Fertiliser_SourceData.Fertiliser_Products_Data1(),FertiliserProducts[[#Headers],[Include or Exclude]], 0)</f>
        <v>Campbells fertilisers Australia</v>
      </c>
      <c r="G111" s="186" t="str" cm="1">
        <f t="array" ref="G111">Common_InputFunctions.Utility_DisplayArrayInTable(Fertiliser_SourceData.Fertiliser_Products_Data1(),FertiliserProducts[[#Headers],[Include or Exclude]], 0)</f>
        <v>Calcium 175</v>
      </c>
      <c r="H111" s="186" t="str" cm="1">
        <f t="array" ref="H111">Common_InputFunctions.Utility_DisplayArrayInTable(Fertiliser_SourceData.Fertiliser_Products_Data1(),FertiliserProducts[[#Headers],[Include or Exclude]], 0,4)</f>
        <v>L</v>
      </c>
      <c r="I111" s="186" t="str" cm="1">
        <f t="array" ref="I111">Common_InputFunctions.Utility_DisplayArrayInTable(Fertiliser_SourceData.Fertiliser_Products_Data1(),FertiliserProducts[[#Headers],[Include or Exclude]], 0,4)</f>
        <v/>
      </c>
      <c r="J111" s="186" t="str" cm="1">
        <f t="array" ref="J111">Common_InputFunctions.Utility_DisplayArrayInTable(Fertiliser_SourceData.Fertiliser_Products_Data1(),FertiliserProducts[[#Headers],[Include or Exclude]], 0,4)</f>
        <v/>
      </c>
      <c r="K111" s="186" t="str" cm="1">
        <f t="array" ref="K111">Common_InputFunctions.Utility_DisplayArrayInTable(Fertiliser_SourceData.Fertiliser_Products_Data1(),FertiliserProducts[[#Headers],[Include or Exclude]], 0,4)</f>
        <v/>
      </c>
      <c r="L111" s="186" t="str" cm="1">
        <f t="array" ref="L111">Common_InputFunctions.Utility_DisplayArrayInTable(Fertiliser_SourceData.Fertiliser_Products_Data1(),FertiliserProducts[[#Headers],[Include or Exclude]], 0,4)</f>
        <v/>
      </c>
      <c r="M111" s="186" t="str" cm="1">
        <f t="array" ref="M111">Common_InputFunctions.Utility_DisplayArrayInTable(Fertiliser_SourceData.Fertiliser_Products_Data1(),FertiliserProducts[[#Headers],[Include or Exclude]], 0,4)</f>
        <v/>
      </c>
      <c r="N111" s="186" t="str" cm="1">
        <f t="array" ref="N111">Common_InputFunctions.Utility_DisplayArrayInTable(Fertiliser_SourceData.Fertiliser_Products_Data1(),FertiliserProducts[[#Headers],[Include or Exclude]], 0,4)</f>
        <v/>
      </c>
      <c r="O111" s="186" t="str" cm="1">
        <f t="array" ref="O111">Common_InputFunctions.Utility_DisplayArrayInTable(Fertiliser_SourceData.Fertiliser_Products_Data1(),FertiliserProducts[[#Headers],[Include or Exclude]], 0,4)</f>
        <v/>
      </c>
      <c r="P111" s="186" t="str" cm="1">
        <f t="array" ref="P111">Common_InputFunctions.Utility_DisplayArrayInTable(Fertiliser_SourceData.Fertiliser_Products_Data1(),FertiliserProducts[[#Headers],[Include or Exclude]], 0,4)</f>
        <v/>
      </c>
      <c r="Q111" s="186" t="str" cm="1">
        <f t="array" ref="Q111">Common_InputFunctions.Utility_DisplayArrayInTable(Fertiliser_SourceData.Fertiliser_Products_Data1(),FertiliserProducts[[#Headers],[Include or Exclude]], 0,4)</f>
        <v/>
      </c>
      <c r="R111" s="186" t="str" cm="1">
        <f t="array" ref="R111">Common_InputFunctions.Utility_DisplayArrayInTable(Fertiliser_SourceData.Fertiliser_Products_Data1(),FertiliserProducts[[#Headers],[Include or Exclude]], 0,4)</f>
        <v/>
      </c>
      <c r="S111" s="186" t="str" cm="1">
        <f t="array" ref="S111">Common_InputFunctions.Utility_DisplayArrayInTable(Fertiliser_SourceData.Fertiliser_Products_Data1(),FertiliserProducts[[#Headers],[Include or Exclude]], 0,4)</f>
        <v/>
      </c>
      <c r="T111" s="186" t="str" cm="1">
        <f t="array" ref="T111">Common_InputFunctions.Utility_DisplayArrayInTable(Fertiliser_SourceData.Fertiliser_Products_Data1(),FertiliserProducts[[#Headers],[Include or Exclude]], 0,4)</f>
        <v/>
      </c>
      <c r="U111" s="186" t="str" cm="1">
        <f t="array" ref="U111">Common_InputFunctions.Utility_DisplayArrayInTable(Fertiliser_SourceData.Fertiliser_Products_Data1(),FertiliserProducts[[#Headers],[Include or Exclude]], 0,4)</f>
        <v/>
      </c>
      <c r="V111" s="186" t="str" cm="1">
        <f t="array" ref="V111">Common_InputFunctions.Utility_DisplayArrayInTable(Fertiliser_SourceData.Fertiliser_Products_Data1(),FertiliserProducts[[#Headers],[Include or Exclude]], 0,4)</f>
        <v/>
      </c>
      <c r="W111" s="186" t="str" cm="1">
        <f t="array" ref="W111">Common_InputFunctions.Utility_DisplayArrayInTable(Fertiliser_SourceData.Fertiliser_Products_Data1(),FertiliserProducts[[#Headers],[Include or Exclude]], 0,4)</f>
        <v/>
      </c>
      <c r="X111" s="186" t="str" cm="1">
        <f t="array" ref="X111">Common_InputFunctions.Utility_DisplayArrayInTable(Fertiliser_SourceData.Fertiliser_Products_Data1(),FertiliserProducts[[#Headers],[Include or Exclude]], 0,4)</f>
        <v/>
      </c>
      <c r="Y111" s="186" t="str" cm="1">
        <f t="array" ref="Y111">Common_InputFunctions.Utility_DisplayArrayInTable(Fertiliser_SourceData.Fertiliser_Products_Data1(),FertiliserProducts[[#Headers],[Include or Exclude]], 0,4)</f>
        <v/>
      </c>
      <c r="Z111" s="186" t="str" cm="1">
        <f t="array" ref="Z111">Common_InputFunctions.Utility_DisplayArrayInTable(Fertiliser_SourceData.Fertiliser_Products_Data1(),FertiliserProducts[[#Headers],[Include or Exclude]], 0,4)</f>
        <v/>
      </c>
      <c r="AA111" s="186" t="str" cm="1">
        <f t="array" ref="AA111">Common_InputFunctions.Utility_DisplayArrayInTable(Fertiliser_SourceData.Fertiliser_Products_Data1(),FertiliserProducts[[#Headers],[Include or Exclude]], 0,4)</f>
        <v/>
      </c>
      <c r="AB111" s="186" t="str" cm="1">
        <f t="array" ref="AB111">Common_InputFunctions.Utility_DisplayArrayInTable(Fertiliser_SourceData.Fertiliser_Products_Data1(),FertiliserProducts[[#Headers],[Include or Exclude]], 0,4)</f>
        <v/>
      </c>
      <c r="AC111" s="186" t="str" cm="1">
        <f t="array" ref="AC111">Common_InputFunctions.Utility_DisplayArrayInTable(Fertiliser_SourceData.Fertiliser_Products_Data1(),FertiliserProducts[[#Headers],[Include or Exclude]], 0,4)</f>
        <v/>
      </c>
      <c r="AD111" s="186" t="str" cm="1">
        <f t="array" ref="AD111">Common_InputFunctions.Utility_DisplayArrayInTable(Fertiliser_SourceData.Fertiliser_Products_Data1(),FertiliserProducts[[#Headers],[Include or Exclude]], 0,4)</f>
        <v/>
      </c>
      <c r="AE111" s="186" t="str" cm="1">
        <f t="array" ref="AE111">Common_InputFunctions.Utility_DisplayArrayInTable(Fertiliser_SourceData.Fertiliser_Products_Data1(),FertiliserProducts[[#Headers],[Include or Exclude]], 0,4)</f>
        <v/>
      </c>
    </row>
    <row r="112" spans="4:31" ht="20.100000000000001" customHeight="1" x14ac:dyDescent="0.25">
      <c r="D112" s="186" t="str" cm="1">
        <f t="array" ref="D112">Common_InputFunctions.Utility_DisplayArrayInTable(Fertiliser_SourceData.Fertiliser_Products_Data1(),FertiliserProducts[[#Headers],[Include or Exclude]], -1)</f>
        <v/>
      </c>
      <c r="E112" s="186" t="str" cm="1">
        <f t="array" ref="E112">Common_InputFunctions.Utility_DisplayArrayInTable(Fertiliser_SourceData.Fertiliser_Products_Data1(),FertiliserProducts[[#Headers],[Include or Exclude]], 0)</f>
        <v>Use Lime EF for calcium</v>
      </c>
      <c r="F112" s="186" t="str" cm="1">
        <f t="array" ref="F112">Common_InputFunctions.Utility_DisplayArrayInTable(Fertiliser_SourceData.Fertiliser_Products_Data1(),FertiliserProducts[[#Headers],[Include or Exclude]], 0)</f>
        <v>Campbells fertilisers Australia</v>
      </c>
      <c r="G112" s="186" t="str" cm="1">
        <f t="array" ref="G112">Common_InputFunctions.Utility_DisplayArrayInTable(Fertiliser_SourceData.Fertiliser_Products_Data1(),FertiliserProducts[[#Headers],[Include or Exclude]], 0)</f>
        <v>CalPhos</v>
      </c>
      <c r="H112" s="186" t="str" cm="1">
        <f t="array" ref="H112">Common_InputFunctions.Utility_DisplayArrayInTable(Fertiliser_SourceData.Fertiliser_Products_Data1(),FertiliserProducts[[#Headers],[Include or Exclude]], 0,4)</f>
        <v>L</v>
      </c>
      <c r="I112" s="186" cm="1">
        <f t="array" ref="I112">Common_InputFunctions.Utility_DisplayArrayInTable(Fertiliser_SourceData.Fertiliser_Products_Data1(),FertiliserProducts[[#Headers],[Include or Exclude]], 0,4)</f>
        <v>1.2849999999999999</v>
      </c>
      <c r="J112" s="186" t="str" cm="1">
        <f t="array" ref="J112">Common_InputFunctions.Utility_DisplayArrayInTable(Fertiliser_SourceData.Fertiliser_Products_Data1(),FertiliserProducts[[#Headers],[Include or Exclude]], 0,4)</f>
        <v/>
      </c>
      <c r="K112" s="186" t="str" cm="1">
        <f t="array" ref="K112">Common_InputFunctions.Utility_DisplayArrayInTable(Fertiliser_SourceData.Fertiliser_Products_Data1(),FertiliserProducts[[#Headers],[Include or Exclude]], 0,4)</f>
        <v/>
      </c>
      <c r="L112" s="186" t="str" cm="1">
        <f t="array" ref="L112">Common_InputFunctions.Utility_DisplayArrayInTable(Fertiliser_SourceData.Fertiliser_Products_Data1(),FertiliserProducts[[#Headers],[Include or Exclude]], 0,4)</f>
        <v>Phosphorus - Generic</v>
      </c>
      <c r="M112" s="186" cm="1">
        <f t="array" ref="M112">Common_InputFunctions.Utility_DisplayArrayInTable(Fertiliser_SourceData.Fertiliser_Products_Data1(),FertiliserProducts[[#Headers],[Include or Exclude]], 0,4)</f>
        <v>0.13500000000000001</v>
      </c>
      <c r="N112" s="186" t="str" cm="1">
        <f t="array" ref="N112">Common_InputFunctions.Utility_DisplayArrayInTable(Fertiliser_SourceData.Fertiliser_Products_Data1(),FertiliserProducts[[#Headers],[Include or Exclude]], 0,4)</f>
        <v>Calcium - Generic</v>
      </c>
      <c r="O112" s="186" cm="1">
        <f t="array" ref="O112">Common_InputFunctions.Utility_DisplayArrayInTable(Fertiliser_SourceData.Fertiliser_Products_Data1(),FertiliserProducts[[#Headers],[Include or Exclude]], 0,4)</f>
        <v>0.04</v>
      </c>
      <c r="P112" s="186" t="str" cm="1">
        <f t="array" ref="P112">Common_InputFunctions.Utility_DisplayArrayInTable(Fertiliser_SourceData.Fertiliser_Products_Data1(),FertiliserProducts[[#Headers],[Include or Exclude]], 0,4)</f>
        <v/>
      </c>
      <c r="Q112" s="186" t="str" cm="1">
        <f t="array" ref="Q112">Common_InputFunctions.Utility_DisplayArrayInTable(Fertiliser_SourceData.Fertiliser_Products_Data1(),FertiliserProducts[[#Headers],[Include or Exclude]], 0,4)</f>
        <v/>
      </c>
      <c r="R112" s="186" t="str" cm="1">
        <f t="array" ref="R112">Common_InputFunctions.Utility_DisplayArrayInTable(Fertiliser_SourceData.Fertiliser_Products_Data1(),FertiliserProducts[[#Headers],[Include or Exclude]], 0,4)</f>
        <v/>
      </c>
      <c r="S112" s="186" t="str" cm="1">
        <f t="array" ref="S112">Common_InputFunctions.Utility_DisplayArrayInTable(Fertiliser_SourceData.Fertiliser_Products_Data1(),FertiliserProducts[[#Headers],[Include or Exclude]], 0,4)</f>
        <v/>
      </c>
      <c r="T112" s="186" t="str" cm="1">
        <f t="array" ref="T112">Common_InputFunctions.Utility_DisplayArrayInTable(Fertiliser_SourceData.Fertiliser_Products_Data1(),FertiliserProducts[[#Headers],[Include or Exclude]], 0,4)</f>
        <v/>
      </c>
      <c r="U112" s="186" t="str" cm="1">
        <f t="array" ref="U112">Common_InputFunctions.Utility_DisplayArrayInTable(Fertiliser_SourceData.Fertiliser_Products_Data1(),FertiliserProducts[[#Headers],[Include or Exclude]], 0,4)</f>
        <v/>
      </c>
      <c r="V112" s="186" t="str" cm="1">
        <f t="array" ref="V112">Common_InputFunctions.Utility_DisplayArrayInTable(Fertiliser_SourceData.Fertiliser_Products_Data1(),FertiliserProducts[[#Headers],[Include or Exclude]], 0,4)</f>
        <v/>
      </c>
      <c r="W112" s="186" t="str" cm="1">
        <f t="array" ref="W112">Common_InputFunctions.Utility_DisplayArrayInTable(Fertiliser_SourceData.Fertiliser_Products_Data1(),FertiliserProducts[[#Headers],[Include or Exclude]], 0,4)</f>
        <v/>
      </c>
      <c r="X112" s="186" t="str" cm="1">
        <f t="array" ref="X112">Common_InputFunctions.Utility_DisplayArrayInTable(Fertiliser_SourceData.Fertiliser_Products_Data1(),FertiliserProducts[[#Headers],[Include or Exclude]], 0,4)</f>
        <v/>
      </c>
      <c r="Y112" s="186" t="str" cm="1">
        <f t="array" ref="Y112">Common_InputFunctions.Utility_DisplayArrayInTable(Fertiliser_SourceData.Fertiliser_Products_Data1(),FertiliserProducts[[#Headers],[Include or Exclude]], 0,4)</f>
        <v/>
      </c>
      <c r="Z112" s="186" t="str" cm="1">
        <f t="array" ref="Z112">Common_InputFunctions.Utility_DisplayArrayInTable(Fertiliser_SourceData.Fertiliser_Products_Data1(),FertiliserProducts[[#Headers],[Include or Exclude]], 0,4)</f>
        <v/>
      </c>
      <c r="AA112" s="186" t="str" cm="1">
        <f t="array" ref="AA112">Common_InputFunctions.Utility_DisplayArrayInTable(Fertiliser_SourceData.Fertiliser_Products_Data1(),FertiliserProducts[[#Headers],[Include or Exclude]], 0,4)</f>
        <v/>
      </c>
      <c r="AB112" s="186" t="str" cm="1">
        <f t="array" ref="AB112">Common_InputFunctions.Utility_DisplayArrayInTable(Fertiliser_SourceData.Fertiliser_Products_Data1(),FertiliserProducts[[#Headers],[Include or Exclude]], 0,4)</f>
        <v/>
      </c>
      <c r="AC112" s="186" t="str" cm="1">
        <f t="array" ref="AC112">Common_InputFunctions.Utility_DisplayArrayInTable(Fertiliser_SourceData.Fertiliser_Products_Data1(),FertiliserProducts[[#Headers],[Include or Exclude]], 0,4)</f>
        <v/>
      </c>
      <c r="AD112" s="186" t="str" cm="1">
        <f t="array" ref="AD112">Common_InputFunctions.Utility_DisplayArrayInTable(Fertiliser_SourceData.Fertiliser_Products_Data1(),FertiliserProducts[[#Headers],[Include or Exclude]], 0,4)</f>
        <v/>
      </c>
      <c r="AE112" s="186" t="str" cm="1">
        <f t="array" ref="AE112">Common_InputFunctions.Utility_DisplayArrayInTable(Fertiliser_SourceData.Fertiliser_Products_Data1(),FertiliserProducts[[#Headers],[Include or Exclude]], 0,4)</f>
        <v/>
      </c>
    </row>
    <row r="113" spans="4:31" ht="20.100000000000001" customHeight="1" x14ac:dyDescent="0.25">
      <c r="D113" s="186" t="str" cm="1">
        <f t="array" ref="D113">Common_InputFunctions.Utility_DisplayArrayInTable(Fertiliser_SourceData.Fertiliser_Products_Data1(),FertiliserProducts[[#Headers],[Include or Exclude]], -1)</f>
        <v/>
      </c>
      <c r="E113" s="186" t="str" cm="1">
        <f t="array" ref="E113">Common_InputFunctions.Utility_DisplayArrayInTable(Fertiliser_SourceData.Fertiliser_Products_Data1(),FertiliserProducts[[#Headers],[Include or Exclude]], 0)</f>
        <v/>
      </c>
      <c r="F113" s="186" t="str" cm="1">
        <f t="array" ref="F113">Common_InputFunctions.Utility_DisplayArrayInTable(Fertiliser_SourceData.Fertiliser_Products_Data1(),FertiliserProducts[[#Headers],[Include or Exclude]], 0)</f>
        <v/>
      </c>
      <c r="G113" s="186" t="str" cm="1">
        <f t="array" ref="G113">Common_InputFunctions.Utility_DisplayArrayInTable(Fertiliser_SourceData.Fertiliser_Products_Data1(),FertiliserProducts[[#Headers],[Include or Exclude]], 0)</f>
        <v/>
      </c>
      <c r="H113" s="186" t="str" cm="1">
        <f t="array" ref="H113">Common_InputFunctions.Utility_DisplayArrayInTable(Fertiliser_SourceData.Fertiliser_Products_Data1(),FertiliserProducts[[#Headers],[Include or Exclude]], 0,4)</f>
        <v/>
      </c>
      <c r="I113" s="186" t="str" cm="1">
        <f t="array" ref="I113">Common_InputFunctions.Utility_DisplayArrayInTable(Fertiliser_SourceData.Fertiliser_Products_Data1(),FertiliserProducts[[#Headers],[Include or Exclude]], 0,4)</f>
        <v/>
      </c>
      <c r="J113" s="186" t="str" cm="1">
        <f t="array" ref="J113">Common_InputFunctions.Utility_DisplayArrayInTable(Fertiliser_SourceData.Fertiliser_Products_Data1(),FertiliserProducts[[#Headers],[Include or Exclude]], 0,4)</f>
        <v/>
      </c>
      <c r="K113" s="186" t="str" cm="1">
        <f t="array" ref="K113">Common_InputFunctions.Utility_DisplayArrayInTable(Fertiliser_SourceData.Fertiliser_Products_Data1(),FertiliserProducts[[#Headers],[Include or Exclude]], 0,4)</f>
        <v/>
      </c>
      <c r="L113" s="186" t="str" cm="1">
        <f t="array" ref="L113">Common_InputFunctions.Utility_DisplayArrayInTable(Fertiliser_SourceData.Fertiliser_Products_Data1(),FertiliserProducts[[#Headers],[Include or Exclude]], 0,4)</f>
        <v/>
      </c>
      <c r="M113" s="186" t="str" cm="1">
        <f t="array" ref="M113">Common_InputFunctions.Utility_DisplayArrayInTable(Fertiliser_SourceData.Fertiliser_Products_Data1(),FertiliserProducts[[#Headers],[Include or Exclude]], 0,4)</f>
        <v/>
      </c>
      <c r="N113" s="186" t="str" cm="1">
        <f t="array" ref="N113">Common_InputFunctions.Utility_DisplayArrayInTable(Fertiliser_SourceData.Fertiliser_Products_Data1(),FertiliserProducts[[#Headers],[Include or Exclude]], 0,4)</f>
        <v/>
      </c>
      <c r="O113" s="186" t="str" cm="1">
        <f t="array" ref="O113">Common_InputFunctions.Utility_DisplayArrayInTable(Fertiliser_SourceData.Fertiliser_Products_Data1(),FertiliserProducts[[#Headers],[Include or Exclude]], 0,4)</f>
        <v/>
      </c>
      <c r="P113" s="186" t="str" cm="1">
        <f t="array" ref="P113">Common_InputFunctions.Utility_DisplayArrayInTable(Fertiliser_SourceData.Fertiliser_Products_Data1(),FertiliserProducts[[#Headers],[Include or Exclude]], 0,4)</f>
        <v/>
      </c>
      <c r="Q113" s="186" t="str" cm="1">
        <f t="array" ref="Q113">Common_InputFunctions.Utility_DisplayArrayInTable(Fertiliser_SourceData.Fertiliser_Products_Data1(),FertiliserProducts[[#Headers],[Include or Exclude]], 0,4)</f>
        <v/>
      </c>
      <c r="R113" s="186" t="str" cm="1">
        <f t="array" ref="R113">Common_InputFunctions.Utility_DisplayArrayInTable(Fertiliser_SourceData.Fertiliser_Products_Data1(),FertiliserProducts[[#Headers],[Include or Exclude]], 0,4)</f>
        <v/>
      </c>
      <c r="S113" s="186" t="str" cm="1">
        <f t="array" ref="S113">Common_InputFunctions.Utility_DisplayArrayInTable(Fertiliser_SourceData.Fertiliser_Products_Data1(),FertiliserProducts[[#Headers],[Include or Exclude]], 0,4)</f>
        <v/>
      </c>
      <c r="T113" s="186" t="str" cm="1">
        <f t="array" ref="T113">Common_InputFunctions.Utility_DisplayArrayInTable(Fertiliser_SourceData.Fertiliser_Products_Data1(),FertiliserProducts[[#Headers],[Include or Exclude]], 0,4)</f>
        <v/>
      </c>
      <c r="U113" s="186" t="str" cm="1">
        <f t="array" ref="U113">Common_InputFunctions.Utility_DisplayArrayInTable(Fertiliser_SourceData.Fertiliser_Products_Data1(),FertiliserProducts[[#Headers],[Include or Exclude]], 0,4)</f>
        <v/>
      </c>
      <c r="V113" s="186" t="str" cm="1">
        <f t="array" ref="V113">Common_InputFunctions.Utility_DisplayArrayInTable(Fertiliser_SourceData.Fertiliser_Products_Data1(),FertiliserProducts[[#Headers],[Include or Exclude]], 0,4)</f>
        <v/>
      </c>
      <c r="W113" s="186" t="str" cm="1">
        <f t="array" ref="W113">Common_InputFunctions.Utility_DisplayArrayInTable(Fertiliser_SourceData.Fertiliser_Products_Data1(),FertiliserProducts[[#Headers],[Include or Exclude]], 0,4)</f>
        <v/>
      </c>
      <c r="X113" s="186" t="str" cm="1">
        <f t="array" ref="X113">Common_InputFunctions.Utility_DisplayArrayInTable(Fertiliser_SourceData.Fertiliser_Products_Data1(),FertiliserProducts[[#Headers],[Include or Exclude]], 0,4)</f>
        <v/>
      </c>
      <c r="Y113" s="186" t="str" cm="1">
        <f t="array" ref="Y113">Common_InputFunctions.Utility_DisplayArrayInTable(Fertiliser_SourceData.Fertiliser_Products_Data1(),FertiliserProducts[[#Headers],[Include or Exclude]], 0,4)</f>
        <v/>
      </c>
      <c r="Z113" s="186" t="str" cm="1">
        <f t="array" ref="Z113">Common_InputFunctions.Utility_DisplayArrayInTable(Fertiliser_SourceData.Fertiliser_Products_Data1(),FertiliserProducts[[#Headers],[Include or Exclude]], 0,4)</f>
        <v/>
      </c>
      <c r="AA113" s="186" t="str" cm="1">
        <f t="array" ref="AA113">Common_InputFunctions.Utility_DisplayArrayInTable(Fertiliser_SourceData.Fertiliser_Products_Data1(),FertiliserProducts[[#Headers],[Include or Exclude]], 0,4)</f>
        <v/>
      </c>
      <c r="AB113" s="186" t="str" cm="1">
        <f t="array" ref="AB113">Common_InputFunctions.Utility_DisplayArrayInTable(Fertiliser_SourceData.Fertiliser_Products_Data1(),FertiliserProducts[[#Headers],[Include or Exclude]], 0,4)</f>
        <v/>
      </c>
      <c r="AC113" s="186" t="str" cm="1">
        <f t="array" ref="AC113">Common_InputFunctions.Utility_DisplayArrayInTable(Fertiliser_SourceData.Fertiliser_Products_Data1(),FertiliserProducts[[#Headers],[Include or Exclude]], 0,4)</f>
        <v/>
      </c>
      <c r="AD113" s="186" t="str" cm="1">
        <f t="array" ref="AD113">Common_InputFunctions.Utility_DisplayArrayInTable(Fertiliser_SourceData.Fertiliser_Products_Data1(),FertiliserProducts[[#Headers],[Include or Exclude]], 0,4)</f>
        <v/>
      </c>
      <c r="AE113" s="186" t="str" cm="1">
        <f t="array" ref="AE113">Common_InputFunctions.Utility_DisplayArrayInTable(Fertiliser_SourceData.Fertiliser_Products_Data1(),FertiliserProducts[[#Headers],[Include or Exclude]], 0,4)</f>
        <v/>
      </c>
    </row>
    <row r="114" spans="4:31" ht="20.100000000000001" customHeight="1" x14ac:dyDescent="0.25">
      <c r="D114" s="186" t="str" cm="1">
        <f t="array" ref="D114">Common_InputFunctions.Utility_DisplayArrayInTable(Fertiliser_SourceData.Fertiliser_Products_Data1(),FertiliserProducts[[#Headers],[Include or Exclude]], -1)</f>
        <v/>
      </c>
      <c r="E114" s="186" t="str" cm="1">
        <f t="array" ref="E114">Common_InputFunctions.Utility_DisplayArrayInTable(Fertiliser_SourceData.Fertiliser_Products_Data1(),FertiliserProducts[[#Headers],[Include or Exclude]], 0)</f>
        <v/>
      </c>
      <c r="F114" s="186" t="str" cm="1">
        <f t="array" ref="F114">Common_InputFunctions.Utility_DisplayArrayInTable(Fertiliser_SourceData.Fertiliser_Products_Data1(),FertiliserProducts[[#Headers],[Include or Exclude]], 0)</f>
        <v/>
      </c>
      <c r="G114" s="186" t="str" cm="1">
        <f t="array" ref="G114">Common_InputFunctions.Utility_DisplayArrayInTable(Fertiliser_SourceData.Fertiliser_Products_Data1(),FertiliserProducts[[#Headers],[Include or Exclude]], 0)</f>
        <v/>
      </c>
      <c r="H114" s="186" t="str" cm="1">
        <f t="array" ref="H114">Common_InputFunctions.Utility_DisplayArrayInTable(Fertiliser_SourceData.Fertiliser_Products_Data1(),FertiliserProducts[[#Headers],[Include or Exclude]], 0,4)</f>
        <v/>
      </c>
      <c r="I114" s="186" t="str" cm="1">
        <f t="array" ref="I114">Common_InputFunctions.Utility_DisplayArrayInTable(Fertiliser_SourceData.Fertiliser_Products_Data1(),FertiliserProducts[[#Headers],[Include or Exclude]], 0,4)</f>
        <v/>
      </c>
      <c r="J114" s="186" t="str" cm="1">
        <f t="array" ref="J114">Common_InputFunctions.Utility_DisplayArrayInTable(Fertiliser_SourceData.Fertiliser_Products_Data1(),FertiliserProducts[[#Headers],[Include or Exclude]], 0,4)</f>
        <v/>
      </c>
      <c r="K114" s="186" t="str" cm="1">
        <f t="array" ref="K114">Common_InputFunctions.Utility_DisplayArrayInTable(Fertiliser_SourceData.Fertiliser_Products_Data1(),FertiliserProducts[[#Headers],[Include or Exclude]], 0,4)</f>
        <v/>
      </c>
      <c r="L114" s="186" t="str" cm="1">
        <f t="array" ref="L114">Common_InputFunctions.Utility_DisplayArrayInTable(Fertiliser_SourceData.Fertiliser_Products_Data1(),FertiliserProducts[[#Headers],[Include or Exclude]], 0,4)</f>
        <v/>
      </c>
      <c r="M114" s="186" t="str" cm="1">
        <f t="array" ref="M114">Common_InputFunctions.Utility_DisplayArrayInTable(Fertiliser_SourceData.Fertiliser_Products_Data1(),FertiliserProducts[[#Headers],[Include or Exclude]], 0,4)</f>
        <v/>
      </c>
      <c r="N114" s="186" t="str" cm="1">
        <f t="array" ref="N114">Common_InputFunctions.Utility_DisplayArrayInTable(Fertiliser_SourceData.Fertiliser_Products_Data1(),FertiliserProducts[[#Headers],[Include or Exclude]], 0,4)</f>
        <v/>
      </c>
      <c r="O114" s="186" t="str" cm="1">
        <f t="array" ref="O114">Common_InputFunctions.Utility_DisplayArrayInTable(Fertiliser_SourceData.Fertiliser_Products_Data1(),FertiliserProducts[[#Headers],[Include or Exclude]], 0,4)</f>
        <v/>
      </c>
      <c r="P114" s="186" t="str" cm="1">
        <f t="array" ref="P114">Common_InputFunctions.Utility_DisplayArrayInTable(Fertiliser_SourceData.Fertiliser_Products_Data1(),FertiliserProducts[[#Headers],[Include or Exclude]], 0,4)</f>
        <v/>
      </c>
      <c r="Q114" s="186" t="str" cm="1">
        <f t="array" ref="Q114">Common_InputFunctions.Utility_DisplayArrayInTable(Fertiliser_SourceData.Fertiliser_Products_Data1(),FertiliserProducts[[#Headers],[Include or Exclude]], 0,4)</f>
        <v/>
      </c>
      <c r="R114" s="186" t="str" cm="1">
        <f t="array" ref="R114">Common_InputFunctions.Utility_DisplayArrayInTable(Fertiliser_SourceData.Fertiliser_Products_Data1(),FertiliserProducts[[#Headers],[Include or Exclude]], 0,4)</f>
        <v/>
      </c>
      <c r="S114" s="186" t="str" cm="1">
        <f t="array" ref="S114">Common_InputFunctions.Utility_DisplayArrayInTable(Fertiliser_SourceData.Fertiliser_Products_Data1(),FertiliserProducts[[#Headers],[Include or Exclude]], 0,4)</f>
        <v/>
      </c>
      <c r="T114" s="186" t="str" cm="1">
        <f t="array" ref="T114">Common_InputFunctions.Utility_DisplayArrayInTable(Fertiliser_SourceData.Fertiliser_Products_Data1(),FertiliserProducts[[#Headers],[Include or Exclude]], 0,4)</f>
        <v/>
      </c>
      <c r="U114" s="186" t="str" cm="1">
        <f t="array" ref="U114">Common_InputFunctions.Utility_DisplayArrayInTable(Fertiliser_SourceData.Fertiliser_Products_Data1(),FertiliserProducts[[#Headers],[Include or Exclude]], 0,4)</f>
        <v/>
      </c>
      <c r="V114" s="186" t="str" cm="1">
        <f t="array" ref="V114">Common_InputFunctions.Utility_DisplayArrayInTable(Fertiliser_SourceData.Fertiliser_Products_Data1(),FertiliserProducts[[#Headers],[Include or Exclude]], 0,4)</f>
        <v/>
      </c>
      <c r="W114" s="186" t="str" cm="1">
        <f t="array" ref="W114">Common_InputFunctions.Utility_DisplayArrayInTable(Fertiliser_SourceData.Fertiliser_Products_Data1(),FertiliserProducts[[#Headers],[Include or Exclude]], 0,4)</f>
        <v/>
      </c>
      <c r="X114" s="186" t="str" cm="1">
        <f t="array" ref="X114">Common_InputFunctions.Utility_DisplayArrayInTable(Fertiliser_SourceData.Fertiliser_Products_Data1(),FertiliserProducts[[#Headers],[Include or Exclude]], 0,4)</f>
        <v/>
      </c>
      <c r="Y114" s="186" t="str" cm="1">
        <f t="array" ref="Y114">Common_InputFunctions.Utility_DisplayArrayInTable(Fertiliser_SourceData.Fertiliser_Products_Data1(),FertiliserProducts[[#Headers],[Include or Exclude]], 0,4)</f>
        <v/>
      </c>
      <c r="Z114" s="186" t="str" cm="1">
        <f t="array" ref="Z114">Common_InputFunctions.Utility_DisplayArrayInTable(Fertiliser_SourceData.Fertiliser_Products_Data1(),FertiliserProducts[[#Headers],[Include or Exclude]], 0,4)</f>
        <v/>
      </c>
      <c r="AA114" s="186" t="str" cm="1">
        <f t="array" ref="AA114">Common_InputFunctions.Utility_DisplayArrayInTable(Fertiliser_SourceData.Fertiliser_Products_Data1(),FertiliserProducts[[#Headers],[Include or Exclude]], 0,4)</f>
        <v/>
      </c>
      <c r="AB114" s="186" t="str" cm="1">
        <f t="array" ref="AB114">Common_InputFunctions.Utility_DisplayArrayInTable(Fertiliser_SourceData.Fertiliser_Products_Data1(),FertiliserProducts[[#Headers],[Include or Exclude]], 0,4)</f>
        <v/>
      </c>
      <c r="AC114" s="186" t="str" cm="1">
        <f t="array" ref="AC114">Common_InputFunctions.Utility_DisplayArrayInTable(Fertiliser_SourceData.Fertiliser_Products_Data1(),FertiliserProducts[[#Headers],[Include or Exclude]], 0,4)</f>
        <v/>
      </c>
      <c r="AD114" s="186" t="str" cm="1">
        <f t="array" ref="AD114">Common_InputFunctions.Utility_DisplayArrayInTable(Fertiliser_SourceData.Fertiliser_Products_Data1(),FertiliserProducts[[#Headers],[Include or Exclude]], 0,4)</f>
        <v/>
      </c>
      <c r="AE114" s="186" t="str" cm="1">
        <f t="array" ref="AE114">Common_InputFunctions.Utility_DisplayArrayInTable(Fertiliser_SourceData.Fertiliser_Products_Data1(),FertiliserProducts[[#Headers],[Include or Exclude]], 0,4)</f>
        <v/>
      </c>
    </row>
    <row r="115" spans="4:31" ht="20.100000000000001" customHeight="1" x14ac:dyDescent="0.25">
      <c r="D115" s="186" t="str" cm="1">
        <f t="array" ref="D115">Common_InputFunctions.Utility_DisplayArrayInTable(Fertiliser_SourceData.Fertiliser_Products_Data1(),FertiliserProducts[[#Headers],[Include or Exclude]], -1)</f>
        <v/>
      </c>
      <c r="E115" s="186" t="str" cm="1">
        <f t="array" ref="E115">Common_InputFunctions.Utility_DisplayArrayInTable(Fertiliser_SourceData.Fertiliser_Products_Data1(),FertiliserProducts[[#Headers],[Include or Exclude]], 0)</f>
        <v/>
      </c>
      <c r="F115" s="186" t="str" cm="1">
        <f t="array" ref="F115">Common_InputFunctions.Utility_DisplayArrayInTable(Fertiliser_SourceData.Fertiliser_Products_Data1(),FertiliserProducts[[#Headers],[Include or Exclude]], 0)</f>
        <v/>
      </c>
      <c r="G115" s="186" t="str" cm="1">
        <f t="array" ref="G115">Common_InputFunctions.Utility_DisplayArrayInTable(Fertiliser_SourceData.Fertiliser_Products_Data1(),FertiliserProducts[[#Headers],[Include or Exclude]], 0)</f>
        <v/>
      </c>
      <c r="H115" s="186" t="str" cm="1">
        <f t="array" ref="H115">Common_InputFunctions.Utility_DisplayArrayInTable(Fertiliser_SourceData.Fertiliser_Products_Data1(),FertiliserProducts[[#Headers],[Include or Exclude]], 0,4)</f>
        <v/>
      </c>
      <c r="I115" s="186" t="str" cm="1">
        <f t="array" ref="I115">Common_InputFunctions.Utility_DisplayArrayInTable(Fertiliser_SourceData.Fertiliser_Products_Data1(),FertiliserProducts[[#Headers],[Include or Exclude]], 0,4)</f>
        <v/>
      </c>
      <c r="J115" s="186" t="str" cm="1">
        <f t="array" ref="J115">Common_InputFunctions.Utility_DisplayArrayInTable(Fertiliser_SourceData.Fertiliser_Products_Data1(),FertiliserProducts[[#Headers],[Include or Exclude]], 0,4)</f>
        <v/>
      </c>
      <c r="K115" s="186" t="str" cm="1">
        <f t="array" ref="K115">Common_InputFunctions.Utility_DisplayArrayInTable(Fertiliser_SourceData.Fertiliser_Products_Data1(),FertiliserProducts[[#Headers],[Include or Exclude]], 0,4)</f>
        <v/>
      </c>
      <c r="L115" s="186" t="str" cm="1">
        <f t="array" ref="L115">Common_InputFunctions.Utility_DisplayArrayInTable(Fertiliser_SourceData.Fertiliser_Products_Data1(),FertiliserProducts[[#Headers],[Include or Exclude]], 0,4)</f>
        <v/>
      </c>
      <c r="M115" s="186" t="str" cm="1">
        <f t="array" ref="M115">Common_InputFunctions.Utility_DisplayArrayInTable(Fertiliser_SourceData.Fertiliser_Products_Data1(),FertiliserProducts[[#Headers],[Include or Exclude]], 0,4)</f>
        <v/>
      </c>
      <c r="N115" s="186" t="str" cm="1">
        <f t="array" ref="N115">Common_InputFunctions.Utility_DisplayArrayInTable(Fertiliser_SourceData.Fertiliser_Products_Data1(),FertiliserProducts[[#Headers],[Include or Exclude]], 0,4)</f>
        <v/>
      </c>
      <c r="O115" s="186" t="str" cm="1">
        <f t="array" ref="O115">Common_InputFunctions.Utility_DisplayArrayInTable(Fertiliser_SourceData.Fertiliser_Products_Data1(),FertiliserProducts[[#Headers],[Include or Exclude]], 0,4)</f>
        <v/>
      </c>
      <c r="P115" s="186" t="str" cm="1">
        <f t="array" ref="P115">Common_InputFunctions.Utility_DisplayArrayInTable(Fertiliser_SourceData.Fertiliser_Products_Data1(),FertiliserProducts[[#Headers],[Include or Exclude]], 0,4)</f>
        <v/>
      </c>
      <c r="Q115" s="186" t="str" cm="1">
        <f t="array" ref="Q115">Common_InputFunctions.Utility_DisplayArrayInTable(Fertiliser_SourceData.Fertiliser_Products_Data1(),FertiliserProducts[[#Headers],[Include or Exclude]], 0,4)</f>
        <v/>
      </c>
      <c r="R115" s="186" t="str" cm="1">
        <f t="array" ref="R115">Common_InputFunctions.Utility_DisplayArrayInTable(Fertiliser_SourceData.Fertiliser_Products_Data1(),FertiliserProducts[[#Headers],[Include or Exclude]], 0,4)</f>
        <v/>
      </c>
      <c r="S115" s="186" t="str" cm="1">
        <f t="array" ref="S115">Common_InputFunctions.Utility_DisplayArrayInTable(Fertiliser_SourceData.Fertiliser_Products_Data1(),FertiliserProducts[[#Headers],[Include or Exclude]], 0,4)</f>
        <v/>
      </c>
      <c r="T115" s="186" t="str" cm="1">
        <f t="array" ref="T115">Common_InputFunctions.Utility_DisplayArrayInTable(Fertiliser_SourceData.Fertiliser_Products_Data1(),FertiliserProducts[[#Headers],[Include or Exclude]], 0,4)</f>
        <v/>
      </c>
      <c r="U115" s="186" t="str" cm="1">
        <f t="array" ref="U115">Common_InputFunctions.Utility_DisplayArrayInTable(Fertiliser_SourceData.Fertiliser_Products_Data1(),FertiliserProducts[[#Headers],[Include or Exclude]], 0,4)</f>
        <v/>
      </c>
      <c r="V115" s="186" t="str" cm="1">
        <f t="array" ref="V115">Common_InputFunctions.Utility_DisplayArrayInTable(Fertiliser_SourceData.Fertiliser_Products_Data1(),FertiliserProducts[[#Headers],[Include or Exclude]], 0,4)</f>
        <v/>
      </c>
      <c r="W115" s="186" t="str" cm="1">
        <f t="array" ref="W115">Common_InputFunctions.Utility_DisplayArrayInTable(Fertiliser_SourceData.Fertiliser_Products_Data1(),FertiliserProducts[[#Headers],[Include or Exclude]], 0,4)</f>
        <v/>
      </c>
      <c r="X115" s="186" t="str" cm="1">
        <f t="array" ref="X115">Common_InputFunctions.Utility_DisplayArrayInTable(Fertiliser_SourceData.Fertiliser_Products_Data1(),FertiliserProducts[[#Headers],[Include or Exclude]], 0,4)</f>
        <v/>
      </c>
      <c r="Y115" s="186" t="str" cm="1">
        <f t="array" ref="Y115">Common_InputFunctions.Utility_DisplayArrayInTable(Fertiliser_SourceData.Fertiliser_Products_Data1(),FertiliserProducts[[#Headers],[Include or Exclude]], 0,4)</f>
        <v/>
      </c>
      <c r="Z115" s="186" t="str" cm="1">
        <f t="array" ref="Z115">Common_InputFunctions.Utility_DisplayArrayInTable(Fertiliser_SourceData.Fertiliser_Products_Data1(),FertiliserProducts[[#Headers],[Include or Exclude]], 0,4)</f>
        <v/>
      </c>
      <c r="AA115" s="186" t="str" cm="1">
        <f t="array" ref="AA115">Common_InputFunctions.Utility_DisplayArrayInTable(Fertiliser_SourceData.Fertiliser_Products_Data1(),FertiliserProducts[[#Headers],[Include or Exclude]], 0,4)</f>
        <v/>
      </c>
      <c r="AB115" s="186" t="str" cm="1">
        <f t="array" ref="AB115">Common_InputFunctions.Utility_DisplayArrayInTable(Fertiliser_SourceData.Fertiliser_Products_Data1(),FertiliserProducts[[#Headers],[Include or Exclude]], 0,4)</f>
        <v/>
      </c>
      <c r="AC115" s="186" t="str" cm="1">
        <f t="array" ref="AC115">Common_InputFunctions.Utility_DisplayArrayInTable(Fertiliser_SourceData.Fertiliser_Products_Data1(),FertiliserProducts[[#Headers],[Include or Exclude]], 0,4)</f>
        <v/>
      </c>
      <c r="AD115" s="186" t="str" cm="1">
        <f t="array" ref="AD115">Common_InputFunctions.Utility_DisplayArrayInTable(Fertiliser_SourceData.Fertiliser_Products_Data1(),FertiliserProducts[[#Headers],[Include or Exclude]], 0,4)</f>
        <v/>
      </c>
      <c r="AE115" s="186" t="str" cm="1">
        <f t="array" ref="AE115">Common_InputFunctions.Utility_DisplayArrayInTable(Fertiliser_SourceData.Fertiliser_Products_Data1(),FertiliserProducts[[#Headers],[Include or Exclude]], 0,4)</f>
        <v/>
      </c>
    </row>
    <row r="116" spans="4:31" ht="20.100000000000001" customHeight="1" x14ac:dyDescent="0.25">
      <c r="D116" s="186" t="str" cm="1">
        <f t="array" ref="D116">Common_InputFunctions.Utility_DisplayArrayInTable(Fertiliser_SourceData.Fertiliser_Products_Data1(),FertiliserProducts[[#Headers],[Include or Exclude]], -1)</f>
        <v/>
      </c>
      <c r="E116" s="186" t="str" cm="1">
        <f t="array" ref="E116">Common_InputFunctions.Utility_DisplayArrayInTable(Fertiliser_SourceData.Fertiliser_Products_Data1(),FertiliserProducts[[#Headers],[Include or Exclude]], 0)</f>
        <v/>
      </c>
      <c r="F116" s="186" t="str" cm="1">
        <f t="array" ref="F116">Common_InputFunctions.Utility_DisplayArrayInTable(Fertiliser_SourceData.Fertiliser_Products_Data1(),FertiliserProducts[[#Headers],[Include or Exclude]], 0)</f>
        <v/>
      </c>
      <c r="G116" s="186" t="str" cm="1">
        <f t="array" ref="G116">Common_InputFunctions.Utility_DisplayArrayInTable(Fertiliser_SourceData.Fertiliser_Products_Data1(),FertiliserProducts[[#Headers],[Include or Exclude]], 0)</f>
        <v/>
      </c>
      <c r="H116" s="186" t="str" cm="1">
        <f t="array" ref="H116">Common_InputFunctions.Utility_DisplayArrayInTable(Fertiliser_SourceData.Fertiliser_Products_Data1(),FertiliserProducts[[#Headers],[Include or Exclude]], 0,4)</f>
        <v/>
      </c>
      <c r="I116" s="186" t="str" cm="1">
        <f t="array" ref="I116">Common_InputFunctions.Utility_DisplayArrayInTable(Fertiliser_SourceData.Fertiliser_Products_Data1(),FertiliserProducts[[#Headers],[Include or Exclude]], 0,4)</f>
        <v/>
      </c>
      <c r="J116" s="186" t="str" cm="1">
        <f t="array" ref="J116">Common_InputFunctions.Utility_DisplayArrayInTable(Fertiliser_SourceData.Fertiliser_Products_Data1(),FertiliserProducts[[#Headers],[Include or Exclude]], 0,4)</f>
        <v/>
      </c>
      <c r="K116" s="186" t="str" cm="1">
        <f t="array" ref="K116">Common_InputFunctions.Utility_DisplayArrayInTable(Fertiliser_SourceData.Fertiliser_Products_Data1(),FertiliserProducts[[#Headers],[Include or Exclude]], 0,4)</f>
        <v/>
      </c>
      <c r="L116" s="186" t="str" cm="1">
        <f t="array" ref="L116">Common_InputFunctions.Utility_DisplayArrayInTable(Fertiliser_SourceData.Fertiliser_Products_Data1(),FertiliserProducts[[#Headers],[Include or Exclude]], 0,4)</f>
        <v/>
      </c>
      <c r="M116" s="186" t="str" cm="1">
        <f t="array" ref="M116">Common_InputFunctions.Utility_DisplayArrayInTable(Fertiliser_SourceData.Fertiliser_Products_Data1(),FertiliserProducts[[#Headers],[Include or Exclude]], 0,4)</f>
        <v/>
      </c>
      <c r="N116" s="186" t="str" cm="1">
        <f t="array" ref="N116">Common_InputFunctions.Utility_DisplayArrayInTable(Fertiliser_SourceData.Fertiliser_Products_Data1(),FertiliserProducts[[#Headers],[Include or Exclude]], 0,4)</f>
        <v/>
      </c>
      <c r="O116" s="186" t="str" cm="1">
        <f t="array" ref="O116">Common_InputFunctions.Utility_DisplayArrayInTable(Fertiliser_SourceData.Fertiliser_Products_Data1(),FertiliserProducts[[#Headers],[Include or Exclude]], 0,4)</f>
        <v/>
      </c>
      <c r="P116" s="186" t="str" cm="1">
        <f t="array" ref="P116">Common_InputFunctions.Utility_DisplayArrayInTable(Fertiliser_SourceData.Fertiliser_Products_Data1(),FertiliserProducts[[#Headers],[Include or Exclude]], 0,4)</f>
        <v/>
      </c>
      <c r="Q116" s="186" t="str" cm="1">
        <f t="array" ref="Q116">Common_InputFunctions.Utility_DisplayArrayInTable(Fertiliser_SourceData.Fertiliser_Products_Data1(),FertiliserProducts[[#Headers],[Include or Exclude]], 0,4)</f>
        <v/>
      </c>
      <c r="R116" s="186" t="str" cm="1">
        <f t="array" ref="R116">Common_InputFunctions.Utility_DisplayArrayInTable(Fertiliser_SourceData.Fertiliser_Products_Data1(),FertiliserProducts[[#Headers],[Include or Exclude]], 0,4)</f>
        <v/>
      </c>
      <c r="S116" s="186" t="str" cm="1">
        <f t="array" ref="S116">Common_InputFunctions.Utility_DisplayArrayInTable(Fertiliser_SourceData.Fertiliser_Products_Data1(),FertiliserProducts[[#Headers],[Include or Exclude]], 0,4)</f>
        <v/>
      </c>
      <c r="T116" s="186" t="str" cm="1">
        <f t="array" ref="T116">Common_InputFunctions.Utility_DisplayArrayInTable(Fertiliser_SourceData.Fertiliser_Products_Data1(),FertiliserProducts[[#Headers],[Include or Exclude]], 0,4)</f>
        <v/>
      </c>
      <c r="U116" s="186" t="str" cm="1">
        <f t="array" ref="U116">Common_InputFunctions.Utility_DisplayArrayInTable(Fertiliser_SourceData.Fertiliser_Products_Data1(),FertiliserProducts[[#Headers],[Include or Exclude]], 0,4)</f>
        <v/>
      </c>
      <c r="V116" s="186" t="str" cm="1">
        <f t="array" ref="V116">Common_InputFunctions.Utility_DisplayArrayInTable(Fertiliser_SourceData.Fertiliser_Products_Data1(),FertiliserProducts[[#Headers],[Include or Exclude]], 0,4)</f>
        <v/>
      </c>
      <c r="W116" s="186" t="str" cm="1">
        <f t="array" ref="W116">Common_InputFunctions.Utility_DisplayArrayInTable(Fertiliser_SourceData.Fertiliser_Products_Data1(),FertiliserProducts[[#Headers],[Include or Exclude]], 0,4)</f>
        <v/>
      </c>
      <c r="X116" s="186" t="str" cm="1">
        <f t="array" ref="X116">Common_InputFunctions.Utility_DisplayArrayInTable(Fertiliser_SourceData.Fertiliser_Products_Data1(),FertiliserProducts[[#Headers],[Include or Exclude]], 0,4)</f>
        <v/>
      </c>
      <c r="Y116" s="186" t="str" cm="1">
        <f t="array" ref="Y116">Common_InputFunctions.Utility_DisplayArrayInTable(Fertiliser_SourceData.Fertiliser_Products_Data1(),FertiliserProducts[[#Headers],[Include or Exclude]], 0,4)</f>
        <v/>
      </c>
      <c r="Z116" s="186" t="str" cm="1">
        <f t="array" ref="Z116">Common_InputFunctions.Utility_DisplayArrayInTable(Fertiliser_SourceData.Fertiliser_Products_Data1(),FertiliserProducts[[#Headers],[Include or Exclude]], 0,4)</f>
        <v/>
      </c>
      <c r="AA116" s="186" t="str" cm="1">
        <f t="array" ref="AA116">Common_InputFunctions.Utility_DisplayArrayInTable(Fertiliser_SourceData.Fertiliser_Products_Data1(),FertiliserProducts[[#Headers],[Include or Exclude]], 0,4)</f>
        <v/>
      </c>
      <c r="AB116" s="186" t="str" cm="1">
        <f t="array" ref="AB116">Common_InputFunctions.Utility_DisplayArrayInTable(Fertiliser_SourceData.Fertiliser_Products_Data1(),FertiliserProducts[[#Headers],[Include or Exclude]], 0,4)</f>
        <v/>
      </c>
      <c r="AC116" s="186" t="str" cm="1">
        <f t="array" ref="AC116">Common_InputFunctions.Utility_DisplayArrayInTable(Fertiliser_SourceData.Fertiliser_Products_Data1(),FertiliserProducts[[#Headers],[Include or Exclude]], 0,4)</f>
        <v/>
      </c>
      <c r="AD116" s="186" t="str" cm="1">
        <f t="array" ref="AD116">Common_InputFunctions.Utility_DisplayArrayInTable(Fertiliser_SourceData.Fertiliser_Products_Data1(),FertiliserProducts[[#Headers],[Include or Exclude]], 0,4)</f>
        <v/>
      </c>
      <c r="AE116" s="186" t="str" cm="1">
        <f t="array" ref="AE116">Common_InputFunctions.Utility_DisplayArrayInTable(Fertiliser_SourceData.Fertiliser_Products_Data1(),FertiliserProducts[[#Headers],[Include or Exclude]], 0,4)</f>
        <v/>
      </c>
    </row>
    <row r="117" spans="4:31" ht="20.100000000000001" customHeight="1" x14ac:dyDescent="0.25">
      <c r="D117" s="186" t="str" cm="1">
        <f t="array" ref="D117">Common_InputFunctions.Utility_DisplayArrayInTable(Fertiliser_SourceData.Fertiliser_Products_Data1(),FertiliserProducts[[#Headers],[Include or Exclude]], -1)</f>
        <v/>
      </c>
      <c r="E117" s="186" t="str" cm="1">
        <f t="array" ref="E117">Common_InputFunctions.Utility_DisplayArrayInTable(Fertiliser_SourceData.Fertiliser_Products_Data1(),FertiliserProducts[[#Headers],[Include or Exclude]], 0)</f>
        <v/>
      </c>
      <c r="F117" s="186" t="str" cm="1">
        <f t="array" ref="F117">Common_InputFunctions.Utility_DisplayArrayInTable(Fertiliser_SourceData.Fertiliser_Products_Data1(),FertiliserProducts[[#Headers],[Include or Exclude]], 0)</f>
        <v/>
      </c>
      <c r="G117" s="186" t="str" cm="1">
        <f t="array" ref="G117">Common_InputFunctions.Utility_DisplayArrayInTable(Fertiliser_SourceData.Fertiliser_Products_Data1(),FertiliserProducts[[#Headers],[Include or Exclude]], 0)</f>
        <v/>
      </c>
      <c r="H117" s="186" t="str" cm="1">
        <f t="array" ref="H117">Common_InputFunctions.Utility_DisplayArrayInTable(Fertiliser_SourceData.Fertiliser_Products_Data1(),FertiliserProducts[[#Headers],[Include or Exclude]], 0,4)</f>
        <v/>
      </c>
      <c r="I117" s="186" t="str" cm="1">
        <f t="array" ref="I117">Common_InputFunctions.Utility_DisplayArrayInTable(Fertiliser_SourceData.Fertiliser_Products_Data1(),FertiliserProducts[[#Headers],[Include or Exclude]], 0,4)</f>
        <v/>
      </c>
      <c r="J117" s="186" t="str" cm="1">
        <f t="array" ref="J117">Common_InputFunctions.Utility_DisplayArrayInTable(Fertiliser_SourceData.Fertiliser_Products_Data1(),FertiliserProducts[[#Headers],[Include or Exclude]], 0,4)</f>
        <v/>
      </c>
      <c r="K117" s="186" t="str" cm="1">
        <f t="array" ref="K117">Common_InputFunctions.Utility_DisplayArrayInTable(Fertiliser_SourceData.Fertiliser_Products_Data1(),FertiliserProducts[[#Headers],[Include or Exclude]], 0,4)</f>
        <v/>
      </c>
      <c r="L117" s="186" t="str" cm="1">
        <f t="array" ref="L117">Common_InputFunctions.Utility_DisplayArrayInTable(Fertiliser_SourceData.Fertiliser_Products_Data1(),FertiliserProducts[[#Headers],[Include or Exclude]], 0,4)</f>
        <v/>
      </c>
      <c r="M117" s="186" t="str" cm="1">
        <f t="array" ref="M117">Common_InputFunctions.Utility_DisplayArrayInTable(Fertiliser_SourceData.Fertiliser_Products_Data1(),FertiliserProducts[[#Headers],[Include or Exclude]], 0,4)</f>
        <v/>
      </c>
      <c r="N117" s="186" t="str" cm="1">
        <f t="array" ref="N117">Common_InputFunctions.Utility_DisplayArrayInTable(Fertiliser_SourceData.Fertiliser_Products_Data1(),FertiliserProducts[[#Headers],[Include or Exclude]], 0,4)</f>
        <v/>
      </c>
      <c r="O117" s="186" t="str" cm="1">
        <f t="array" ref="O117">Common_InputFunctions.Utility_DisplayArrayInTable(Fertiliser_SourceData.Fertiliser_Products_Data1(),FertiliserProducts[[#Headers],[Include or Exclude]], 0,4)</f>
        <v/>
      </c>
      <c r="P117" s="186" t="str" cm="1">
        <f t="array" ref="P117">Common_InputFunctions.Utility_DisplayArrayInTable(Fertiliser_SourceData.Fertiliser_Products_Data1(),FertiliserProducts[[#Headers],[Include or Exclude]], 0,4)</f>
        <v/>
      </c>
      <c r="Q117" s="186" t="str" cm="1">
        <f t="array" ref="Q117">Common_InputFunctions.Utility_DisplayArrayInTable(Fertiliser_SourceData.Fertiliser_Products_Data1(),FertiliserProducts[[#Headers],[Include or Exclude]], 0,4)</f>
        <v/>
      </c>
      <c r="R117" s="186" t="str" cm="1">
        <f t="array" ref="R117">Common_InputFunctions.Utility_DisplayArrayInTable(Fertiliser_SourceData.Fertiliser_Products_Data1(),FertiliserProducts[[#Headers],[Include or Exclude]], 0,4)</f>
        <v/>
      </c>
      <c r="S117" s="186" t="str" cm="1">
        <f t="array" ref="S117">Common_InputFunctions.Utility_DisplayArrayInTable(Fertiliser_SourceData.Fertiliser_Products_Data1(),FertiliserProducts[[#Headers],[Include or Exclude]], 0,4)</f>
        <v/>
      </c>
      <c r="T117" s="186" t="str" cm="1">
        <f t="array" ref="T117">Common_InputFunctions.Utility_DisplayArrayInTable(Fertiliser_SourceData.Fertiliser_Products_Data1(),FertiliserProducts[[#Headers],[Include or Exclude]], 0,4)</f>
        <v/>
      </c>
      <c r="U117" s="186" t="str" cm="1">
        <f t="array" ref="U117">Common_InputFunctions.Utility_DisplayArrayInTable(Fertiliser_SourceData.Fertiliser_Products_Data1(),FertiliserProducts[[#Headers],[Include or Exclude]], 0,4)</f>
        <v/>
      </c>
      <c r="V117" s="186" t="str" cm="1">
        <f t="array" ref="V117">Common_InputFunctions.Utility_DisplayArrayInTable(Fertiliser_SourceData.Fertiliser_Products_Data1(),FertiliserProducts[[#Headers],[Include or Exclude]], 0,4)</f>
        <v/>
      </c>
      <c r="W117" s="186" t="str" cm="1">
        <f t="array" ref="W117">Common_InputFunctions.Utility_DisplayArrayInTable(Fertiliser_SourceData.Fertiliser_Products_Data1(),FertiliserProducts[[#Headers],[Include or Exclude]], 0,4)</f>
        <v/>
      </c>
      <c r="X117" s="186" t="str" cm="1">
        <f t="array" ref="X117">Common_InputFunctions.Utility_DisplayArrayInTable(Fertiliser_SourceData.Fertiliser_Products_Data1(),FertiliserProducts[[#Headers],[Include or Exclude]], 0,4)</f>
        <v/>
      </c>
      <c r="Y117" s="186" t="str" cm="1">
        <f t="array" ref="Y117">Common_InputFunctions.Utility_DisplayArrayInTable(Fertiliser_SourceData.Fertiliser_Products_Data1(),FertiliserProducts[[#Headers],[Include or Exclude]], 0,4)</f>
        <v/>
      </c>
      <c r="Z117" s="186" t="str" cm="1">
        <f t="array" ref="Z117">Common_InputFunctions.Utility_DisplayArrayInTable(Fertiliser_SourceData.Fertiliser_Products_Data1(),FertiliserProducts[[#Headers],[Include or Exclude]], 0,4)</f>
        <v/>
      </c>
      <c r="AA117" s="186" t="str" cm="1">
        <f t="array" ref="AA117">Common_InputFunctions.Utility_DisplayArrayInTable(Fertiliser_SourceData.Fertiliser_Products_Data1(),FertiliserProducts[[#Headers],[Include or Exclude]], 0,4)</f>
        <v/>
      </c>
      <c r="AB117" s="186" t="str" cm="1">
        <f t="array" ref="AB117">Common_InputFunctions.Utility_DisplayArrayInTable(Fertiliser_SourceData.Fertiliser_Products_Data1(),FertiliserProducts[[#Headers],[Include or Exclude]], 0,4)</f>
        <v/>
      </c>
      <c r="AC117" s="186" t="str" cm="1">
        <f t="array" ref="AC117">Common_InputFunctions.Utility_DisplayArrayInTable(Fertiliser_SourceData.Fertiliser_Products_Data1(),FertiliserProducts[[#Headers],[Include or Exclude]], 0,4)</f>
        <v/>
      </c>
      <c r="AD117" s="186" t="str" cm="1">
        <f t="array" ref="AD117">Common_InputFunctions.Utility_DisplayArrayInTable(Fertiliser_SourceData.Fertiliser_Products_Data1(),FertiliserProducts[[#Headers],[Include or Exclude]], 0,4)</f>
        <v/>
      </c>
      <c r="AE117" s="186" t="str" cm="1">
        <f t="array" ref="AE117">Common_InputFunctions.Utility_DisplayArrayInTable(Fertiliser_SourceData.Fertiliser_Products_Data1(),FertiliserProducts[[#Headers],[Include or Exclude]], 0,4)</f>
        <v/>
      </c>
    </row>
    <row r="118" spans="4:31" ht="20.100000000000001" customHeight="1" x14ac:dyDescent="0.25">
      <c r="D118" s="186" t="str" cm="1">
        <f t="array" ref="D118">Common_InputFunctions.Utility_DisplayArrayInTable(Fertiliser_SourceData.Fertiliser_Products_Data1(),FertiliserProducts[[#Headers],[Include or Exclude]], -1)</f>
        <v/>
      </c>
      <c r="E118" s="186" t="str" cm="1">
        <f t="array" ref="E118">Common_InputFunctions.Utility_DisplayArrayInTable(Fertiliser_SourceData.Fertiliser_Products_Data1(),FertiliserProducts[[#Headers],[Include or Exclude]], 0)</f>
        <v/>
      </c>
      <c r="F118" s="186" t="str" cm="1">
        <f t="array" ref="F118">Common_InputFunctions.Utility_DisplayArrayInTable(Fertiliser_SourceData.Fertiliser_Products_Data1(),FertiliserProducts[[#Headers],[Include or Exclude]], 0)</f>
        <v/>
      </c>
      <c r="G118" s="186" t="str" cm="1">
        <f t="array" ref="G118">Common_InputFunctions.Utility_DisplayArrayInTable(Fertiliser_SourceData.Fertiliser_Products_Data1(),FertiliserProducts[[#Headers],[Include or Exclude]], 0)</f>
        <v/>
      </c>
      <c r="H118" s="186" t="str" cm="1">
        <f t="array" ref="H118">Common_InputFunctions.Utility_DisplayArrayInTable(Fertiliser_SourceData.Fertiliser_Products_Data1(),FertiliserProducts[[#Headers],[Include or Exclude]], 0,4)</f>
        <v/>
      </c>
      <c r="I118" s="186" t="str" cm="1">
        <f t="array" ref="I118">Common_InputFunctions.Utility_DisplayArrayInTable(Fertiliser_SourceData.Fertiliser_Products_Data1(),FertiliserProducts[[#Headers],[Include or Exclude]], 0,4)</f>
        <v/>
      </c>
      <c r="J118" s="186" t="str" cm="1">
        <f t="array" ref="J118">Common_InputFunctions.Utility_DisplayArrayInTable(Fertiliser_SourceData.Fertiliser_Products_Data1(),FertiliserProducts[[#Headers],[Include or Exclude]], 0,4)</f>
        <v/>
      </c>
      <c r="K118" s="186" t="str" cm="1">
        <f t="array" ref="K118">Common_InputFunctions.Utility_DisplayArrayInTable(Fertiliser_SourceData.Fertiliser_Products_Data1(),FertiliserProducts[[#Headers],[Include or Exclude]], 0,4)</f>
        <v/>
      </c>
      <c r="L118" s="186" t="str" cm="1">
        <f t="array" ref="L118">Common_InputFunctions.Utility_DisplayArrayInTable(Fertiliser_SourceData.Fertiliser_Products_Data1(),FertiliserProducts[[#Headers],[Include or Exclude]], 0,4)</f>
        <v/>
      </c>
      <c r="M118" s="186" t="str" cm="1">
        <f t="array" ref="M118">Common_InputFunctions.Utility_DisplayArrayInTable(Fertiliser_SourceData.Fertiliser_Products_Data1(),FertiliserProducts[[#Headers],[Include or Exclude]], 0,4)</f>
        <v/>
      </c>
      <c r="N118" s="186" t="str" cm="1">
        <f t="array" ref="N118">Common_InputFunctions.Utility_DisplayArrayInTable(Fertiliser_SourceData.Fertiliser_Products_Data1(),FertiliserProducts[[#Headers],[Include or Exclude]], 0,4)</f>
        <v/>
      </c>
      <c r="O118" s="186" t="str" cm="1">
        <f t="array" ref="O118">Common_InputFunctions.Utility_DisplayArrayInTable(Fertiliser_SourceData.Fertiliser_Products_Data1(),FertiliserProducts[[#Headers],[Include or Exclude]], 0,4)</f>
        <v/>
      </c>
      <c r="P118" s="186" t="str" cm="1">
        <f t="array" ref="P118">Common_InputFunctions.Utility_DisplayArrayInTable(Fertiliser_SourceData.Fertiliser_Products_Data1(),FertiliserProducts[[#Headers],[Include or Exclude]], 0,4)</f>
        <v/>
      </c>
      <c r="Q118" s="186" t="str" cm="1">
        <f t="array" ref="Q118">Common_InputFunctions.Utility_DisplayArrayInTable(Fertiliser_SourceData.Fertiliser_Products_Data1(),FertiliserProducts[[#Headers],[Include or Exclude]], 0,4)</f>
        <v/>
      </c>
      <c r="R118" s="186" t="str" cm="1">
        <f t="array" ref="R118">Common_InputFunctions.Utility_DisplayArrayInTable(Fertiliser_SourceData.Fertiliser_Products_Data1(),FertiliserProducts[[#Headers],[Include or Exclude]], 0,4)</f>
        <v/>
      </c>
      <c r="S118" s="186" t="str" cm="1">
        <f t="array" ref="S118">Common_InputFunctions.Utility_DisplayArrayInTable(Fertiliser_SourceData.Fertiliser_Products_Data1(),FertiliserProducts[[#Headers],[Include or Exclude]], 0,4)</f>
        <v/>
      </c>
      <c r="T118" s="186" t="str" cm="1">
        <f t="array" ref="T118">Common_InputFunctions.Utility_DisplayArrayInTable(Fertiliser_SourceData.Fertiliser_Products_Data1(),FertiliserProducts[[#Headers],[Include or Exclude]], 0,4)</f>
        <v/>
      </c>
      <c r="U118" s="186" t="str" cm="1">
        <f t="array" ref="U118">Common_InputFunctions.Utility_DisplayArrayInTable(Fertiliser_SourceData.Fertiliser_Products_Data1(),FertiliserProducts[[#Headers],[Include or Exclude]], 0,4)</f>
        <v/>
      </c>
      <c r="V118" s="186" t="str" cm="1">
        <f t="array" ref="V118">Common_InputFunctions.Utility_DisplayArrayInTable(Fertiliser_SourceData.Fertiliser_Products_Data1(),FertiliserProducts[[#Headers],[Include or Exclude]], 0,4)</f>
        <v/>
      </c>
      <c r="W118" s="186" t="str" cm="1">
        <f t="array" ref="W118">Common_InputFunctions.Utility_DisplayArrayInTable(Fertiliser_SourceData.Fertiliser_Products_Data1(),FertiliserProducts[[#Headers],[Include or Exclude]], 0,4)</f>
        <v/>
      </c>
      <c r="X118" s="186" t="str" cm="1">
        <f t="array" ref="X118">Common_InputFunctions.Utility_DisplayArrayInTable(Fertiliser_SourceData.Fertiliser_Products_Data1(),FertiliserProducts[[#Headers],[Include or Exclude]], 0,4)</f>
        <v/>
      </c>
      <c r="Y118" s="186" t="str" cm="1">
        <f t="array" ref="Y118">Common_InputFunctions.Utility_DisplayArrayInTable(Fertiliser_SourceData.Fertiliser_Products_Data1(),FertiliserProducts[[#Headers],[Include or Exclude]], 0,4)</f>
        <v/>
      </c>
      <c r="Z118" s="186" t="str" cm="1">
        <f t="array" ref="Z118">Common_InputFunctions.Utility_DisplayArrayInTable(Fertiliser_SourceData.Fertiliser_Products_Data1(),FertiliserProducts[[#Headers],[Include or Exclude]], 0,4)</f>
        <v/>
      </c>
      <c r="AA118" s="186" t="str" cm="1">
        <f t="array" ref="AA118">Common_InputFunctions.Utility_DisplayArrayInTable(Fertiliser_SourceData.Fertiliser_Products_Data1(),FertiliserProducts[[#Headers],[Include or Exclude]], 0,4)</f>
        <v/>
      </c>
      <c r="AB118" s="186" t="str" cm="1">
        <f t="array" ref="AB118">Common_InputFunctions.Utility_DisplayArrayInTable(Fertiliser_SourceData.Fertiliser_Products_Data1(),FertiliserProducts[[#Headers],[Include or Exclude]], 0,4)</f>
        <v/>
      </c>
      <c r="AC118" s="186" t="str" cm="1">
        <f t="array" ref="AC118">Common_InputFunctions.Utility_DisplayArrayInTable(Fertiliser_SourceData.Fertiliser_Products_Data1(),FertiliserProducts[[#Headers],[Include or Exclude]], 0,4)</f>
        <v/>
      </c>
      <c r="AD118" s="186" t="str" cm="1">
        <f t="array" ref="AD118">Common_InputFunctions.Utility_DisplayArrayInTable(Fertiliser_SourceData.Fertiliser_Products_Data1(),FertiliserProducts[[#Headers],[Include or Exclude]], 0,4)</f>
        <v/>
      </c>
      <c r="AE118" s="186" t="str" cm="1">
        <f t="array" ref="AE118">Common_InputFunctions.Utility_DisplayArrayInTable(Fertiliser_SourceData.Fertiliser_Products_Data1(),FertiliserProducts[[#Headers],[Include or Exclude]], 0,4)</f>
        <v/>
      </c>
    </row>
    <row r="119" spans="4:31" ht="20.100000000000001" customHeight="1" x14ac:dyDescent="0.25">
      <c r="D119" s="186" t="str" cm="1">
        <f t="array" ref="D119">Common_InputFunctions.Utility_DisplayArrayInTable(Fertiliser_SourceData.Fertiliser_Products_Data1(),FertiliserProducts[[#Headers],[Include or Exclude]], -1)</f>
        <v/>
      </c>
      <c r="E119" s="186" t="str" cm="1">
        <f t="array" ref="E119">Common_InputFunctions.Utility_DisplayArrayInTable(Fertiliser_SourceData.Fertiliser_Products_Data1(),FertiliserProducts[[#Headers],[Include or Exclude]], 0)</f>
        <v/>
      </c>
      <c r="F119" s="186" t="str" cm="1">
        <f t="array" ref="F119">Common_InputFunctions.Utility_DisplayArrayInTable(Fertiliser_SourceData.Fertiliser_Products_Data1(),FertiliserProducts[[#Headers],[Include or Exclude]], 0)</f>
        <v/>
      </c>
      <c r="G119" s="186" t="str" cm="1">
        <f t="array" ref="G119">Common_InputFunctions.Utility_DisplayArrayInTable(Fertiliser_SourceData.Fertiliser_Products_Data1(),FertiliserProducts[[#Headers],[Include or Exclude]], 0)</f>
        <v/>
      </c>
      <c r="H119" s="186" t="str" cm="1">
        <f t="array" ref="H119">Common_InputFunctions.Utility_DisplayArrayInTable(Fertiliser_SourceData.Fertiliser_Products_Data1(),FertiliserProducts[[#Headers],[Include or Exclude]], 0,4)</f>
        <v/>
      </c>
      <c r="I119" s="186" t="str" cm="1">
        <f t="array" ref="I119">Common_InputFunctions.Utility_DisplayArrayInTable(Fertiliser_SourceData.Fertiliser_Products_Data1(),FertiliserProducts[[#Headers],[Include or Exclude]], 0,4)</f>
        <v/>
      </c>
      <c r="J119" s="186" t="str" cm="1">
        <f t="array" ref="J119">Common_InputFunctions.Utility_DisplayArrayInTable(Fertiliser_SourceData.Fertiliser_Products_Data1(),FertiliserProducts[[#Headers],[Include or Exclude]], 0,4)</f>
        <v/>
      </c>
      <c r="K119" s="186" t="str" cm="1">
        <f t="array" ref="K119">Common_InputFunctions.Utility_DisplayArrayInTable(Fertiliser_SourceData.Fertiliser_Products_Data1(),FertiliserProducts[[#Headers],[Include or Exclude]], 0,4)</f>
        <v/>
      </c>
      <c r="L119" s="186" t="str" cm="1">
        <f t="array" ref="L119">Common_InputFunctions.Utility_DisplayArrayInTable(Fertiliser_SourceData.Fertiliser_Products_Data1(),FertiliserProducts[[#Headers],[Include or Exclude]], 0,4)</f>
        <v/>
      </c>
      <c r="M119" s="186" t="str" cm="1">
        <f t="array" ref="M119">Common_InputFunctions.Utility_DisplayArrayInTable(Fertiliser_SourceData.Fertiliser_Products_Data1(),FertiliserProducts[[#Headers],[Include or Exclude]], 0,4)</f>
        <v/>
      </c>
      <c r="N119" s="186" t="str" cm="1">
        <f t="array" ref="N119">Common_InputFunctions.Utility_DisplayArrayInTable(Fertiliser_SourceData.Fertiliser_Products_Data1(),FertiliserProducts[[#Headers],[Include or Exclude]], 0,4)</f>
        <v/>
      </c>
      <c r="O119" s="186" t="str" cm="1">
        <f t="array" ref="O119">Common_InputFunctions.Utility_DisplayArrayInTable(Fertiliser_SourceData.Fertiliser_Products_Data1(),FertiliserProducts[[#Headers],[Include or Exclude]], 0,4)</f>
        <v/>
      </c>
      <c r="P119" s="186" t="str" cm="1">
        <f t="array" ref="P119">Common_InputFunctions.Utility_DisplayArrayInTable(Fertiliser_SourceData.Fertiliser_Products_Data1(),FertiliserProducts[[#Headers],[Include or Exclude]], 0,4)</f>
        <v/>
      </c>
      <c r="Q119" s="186" t="str" cm="1">
        <f t="array" ref="Q119">Common_InputFunctions.Utility_DisplayArrayInTable(Fertiliser_SourceData.Fertiliser_Products_Data1(),FertiliserProducts[[#Headers],[Include or Exclude]], 0,4)</f>
        <v/>
      </c>
      <c r="R119" s="186" t="str" cm="1">
        <f t="array" ref="R119">Common_InputFunctions.Utility_DisplayArrayInTable(Fertiliser_SourceData.Fertiliser_Products_Data1(),FertiliserProducts[[#Headers],[Include or Exclude]], 0,4)</f>
        <v/>
      </c>
      <c r="S119" s="186" t="str" cm="1">
        <f t="array" ref="S119">Common_InputFunctions.Utility_DisplayArrayInTable(Fertiliser_SourceData.Fertiliser_Products_Data1(),FertiliserProducts[[#Headers],[Include or Exclude]], 0,4)</f>
        <v/>
      </c>
      <c r="T119" s="186" t="str" cm="1">
        <f t="array" ref="T119">Common_InputFunctions.Utility_DisplayArrayInTable(Fertiliser_SourceData.Fertiliser_Products_Data1(),FertiliserProducts[[#Headers],[Include or Exclude]], 0,4)</f>
        <v/>
      </c>
      <c r="U119" s="186" t="str" cm="1">
        <f t="array" ref="U119">Common_InputFunctions.Utility_DisplayArrayInTable(Fertiliser_SourceData.Fertiliser_Products_Data1(),FertiliserProducts[[#Headers],[Include or Exclude]], 0,4)</f>
        <v/>
      </c>
      <c r="V119" s="186" t="str" cm="1">
        <f t="array" ref="V119">Common_InputFunctions.Utility_DisplayArrayInTable(Fertiliser_SourceData.Fertiliser_Products_Data1(),FertiliserProducts[[#Headers],[Include or Exclude]], 0,4)</f>
        <v/>
      </c>
      <c r="W119" s="186" t="str" cm="1">
        <f t="array" ref="W119">Common_InputFunctions.Utility_DisplayArrayInTable(Fertiliser_SourceData.Fertiliser_Products_Data1(),FertiliserProducts[[#Headers],[Include or Exclude]], 0,4)</f>
        <v/>
      </c>
      <c r="X119" s="186" t="str" cm="1">
        <f t="array" ref="X119">Common_InputFunctions.Utility_DisplayArrayInTable(Fertiliser_SourceData.Fertiliser_Products_Data1(),FertiliserProducts[[#Headers],[Include or Exclude]], 0,4)</f>
        <v/>
      </c>
      <c r="Y119" s="186" t="str" cm="1">
        <f t="array" ref="Y119">Common_InputFunctions.Utility_DisplayArrayInTable(Fertiliser_SourceData.Fertiliser_Products_Data1(),FertiliserProducts[[#Headers],[Include or Exclude]], 0,4)</f>
        <v/>
      </c>
      <c r="Z119" s="186" t="str" cm="1">
        <f t="array" ref="Z119">Common_InputFunctions.Utility_DisplayArrayInTable(Fertiliser_SourceData.Fertiliser_Products_Data1(),FertiliserProducts[[#Headers],[Include or Exclude]], 0,4)</f>
        <v/>
      </c>
      <c r="AA119" s="186" t="str" cm="1">
        <f t="array" ref="AA119">Common_InputFunctions.Utility_DisplayArrayInTable(Fertiliser_SourceData.Fertiliser_Products_Data1(),FertiliserProducts[[#Headers],[Include or Exclude]], 0,4)</f>
        <v/>
      </c>
      <c r="AB119" s="186" t="str" cm="1">
        <f t="array" ref="AB119">Common_InputFunctions.Utility_DisplayArrayInTable(Fertiliser_SourceData.Fertiliser_Products_Data1(),FertiliserProducts[[#Headers],[Include or Exclude]], 0,4)</f>
        <v/>
      </c>
      <c r="AC119" s="186" t="str" cm="1">
        <f t="array" ref="AC119">Common_InputFunctions.Utility_DisplayArrayInTable(Fertiliser_SourceData.Fertiliser_Products_Data1(),FertiliserProducts[[#Headers],[Include or Exclude]], 0,4)</f>
        <v/>
      </c>
      <c r="AD119" s="186" t="str" cm="1">
        <f t="array" ref="AD119">Common_InputFunctions.Utility_DisplayArrayInTable(Fertiliser_SourceData.Fertiliser_Products_Data1(),FertiliserProducts[[#Headers],[Include or Exclude]], 0,4)</f>
        <v/>
      </c>
      <c r="AE119" s="186" t="str" cm="1">
        <f t="array" ref="AE119">Common_InputFunctions.Utility_DisplayArrayInTable(Fertiliser_SourceData.Fertiliser_Products_Data1(),FertiliserProducts[[#Headers],[Include or Exclude]], 0,4)</f>
        <v/>
      </c>
    </row>
    <row r="120" spans="4:31" ht="20.100000000000001" customHeight="1" x14ac:dyDescent="0.25">
      <c r="D120" s="186" t="str" cm="1">
        <f t="array" ref="D120">Common_InputFunctions.Utility_DisplayArrayInTable(Fertiliser_SourceData.Fertiliser_Products_Data1(),FertiliserProducts[[#Headers],[Include or Exclude]], -1)</f>
        <v/>
      </c>
      <c r="E120" s="186" t="str" cm="1">
        <f t="array" ref="E120">Common_InputFunctions.Utility_DisplayArrayInTable(Fertiliser_SourceData.Fertiliser_Products_Data1(),FertiliserProducts[[#Headers],[Include or Exclude]], 0)</f>
        <v/>
      </c>
      <c r="F120" s="186" t="str" cm="1">
        <f t="array" ref="F120">Common_InputFunctions.Utility_DisplayArrayInTable(Fertiliser_SourceData.Fertiliser_Products_Data1(),FertiliserProducts[[#Headers],[Include or Exclude]], 0)</f>
        <v/>
      </c>
      <c r="G120" s="186" t="str" cm="1">
        <f t="array" ref="G120">Common_InputFunctions.Utility_DisplayArrayInTable(Fertiliser_SourceData.Fertiliser_Products_Data1(),FertiliserProducts[[#Headers],[Include or Exclude]], 0)</f>
        <v/>
      </c>
      <c r="H120" s="186" t="str" cm="1">
        <f t="array" ref="H120">Common_InputFunctions.Utility_DisplayArrayInTable(Fertiliser_SourceData.Fertiliser_Products_Data1(),FertiliserProducts[[#Headers],[Include or Exclude]], 0,4)</f>
        <v/>
      </c>
      <c r="I120" s="186" t="str" cm="1">
        <f t="array" ref="I120">Common_InputFunctions.Utility_DisplayArrayInTable(Fertiliser_SourceData.Fertiliser_Products_Data1(),FertiliserProducts[[#Headers],[Include or Exclude]], 0,4)</f>
        <v/>
      </c>
      <c r="J120" s="186" t="str" cm="1">
        <f t="array" ref="J120">Common_InputFunctions.Utility_DisplayArrayInTable(Fertiliser_SourceData.Fertiliser_Products_Data1(),FertiliserProducts[[#Headers],[Include or Exclude]], 0,4)</f>
        <v/>
      </c>
      <c r="K120" s="186" t="str" cm="1">
        <f t="array" ref="K120">Common_InputFunctions.Utility_DisplayArrayInTable(Fertiliser_SourceData.Fertiliser_Products_Data1(),FertiliserProducts[[#Headers],[Include or Exclude]], 0,4)</f>
        <v/>
      </c>
      <c r="L120" s="186" t="str" cm="1">
        <f t="array" ref="L120">Common_InputFunctions.Utility_DisplayArrayInTable(Fertiliser_SourceData.Fertiliser_Products_Data1(),FertiliserProducts[[#Headers],[Include or Exclude]], 0,4)</f>
        <v/>
      </c>
      <c r="M120" s="186" t="str" cm="1">
        <f t="array" ref="M120">Common_InputFunctions.Utility_DisplayArrayInTable(Fertiliser_SourceData.Fertiliser_Products_Data1(),FertiliserProducts[[#Headers],[Include or Exclude]], 0,4)</f>
        <v/>
      </c>
      <c r="N120" s="186" t="str" cm="1">
        <f t="array" ref="N120">Common_InputFunctions.Utility_DisplayArrayInTable(Fertiliser_SourceData.Fertiliser_Products_Data1(),FertiliserProducts[[#Headers],[Include or Exclude]], 0,4)</f>
        <v/>
      </c>
      <c r="O120" s="186" t="str" cm="1">
        <f t="array" ref="O120">Common_InputFunctions.Utility_DisplayArrayInTable(Fertiliser_SourceData.Fertiliser_Products_Data1(),FertiliserProducts[[#Headers],[Include or Exclude]], 0,4)</f>
        <v/>
      </c>
      <c r="P120" s="186" t="str" cm="1">
        <f t="array" ref="P120">Common_InputFunctions.Utility_DisplayArrayInTable(Fertiliser_SourceData.Fertiliser_Products_Data1(),FertiliserProducts[[#Headers],[Include or Exclude]], 0,4)</f>
        <v/>
      </c>
      <c r="Q120" s="186" t="str" cm="1">
        <f t="array" ref="Q120">Common_InputFunctions.Utility_DisplayArrayInTable(Fertiliser_SourceData.Fertiliser_Products_Data1(),FertiliserProducts[[#Headers],[Include or Exclude]], 0,4)</f>
        <v/>
      </c>
      <c r="R120" s="186" t="str" cm="1">
        <f t="array" ref="R120">Common_InputFunctions.Utility_DisplayArrayInTable(Fertiliser_SourceData.Fertiliser_Products_Data1(),FertiliserProducts[[#Headers],[Include or Exclude]], 0,4)</f>
        <v/>
      </c>
      <c r="S120" s="186" t="str" cm="1">
        <f t="array" ref="S120">Common_InputFunctions.Utility_DisplayArrayInTable(Fertiliser_SourceData.Fertiliser_Products_Data1(),FertiliserProducts[[#Headers],[Include or Exclude]], 0,4)</f>
        <v/>
      </c>
      <c r="T120" s="186" t="str" cm="1">
        <f t="array" ref="T120">Common_InputFunctions.Utility_DisplayArrayInTable(Fertiliser_SourceData.Fertiliser_Products_Data1(),FertiliserProducts[[#Headers],[Include or Exclude]], 0,4)</f>
        <v/>
      </c>
      <c r="U120" s="186" t="str" cm="1">
        <f t="array" ref="U120">Common_InputFunctions.Utility_DisplayArrayInTable(Fertiliser_SourceData.Fertiliser_Products_Data1(),FertiliserProducts[[#Headers],[Include or Exclude]], 0,4)</f>
        <v/>
      </c>
      <c r="V120" s="186" t="str" cm="1">
        <f t="array" ref="V120">Common_InputFunctions.Utility_DisplayArrayInTable(Fertiliser_SourceData.Fertiliser_Products_Data1(),FertiliserProducts[[#Headers],[Include or Exclude]], 0,4)</f>
        <v/>
      </c>
      <c r="W120" s="186" t="str" cm="1">
        <f t="array" ref="W120">Common_InputFunctions.Utility_DisplayArrayInTable(Fertiliser_SourceData.Fertiliser_Products_Data1(),FertiliserProducts[[#Headers],[Include or Exclude]], 0,4)</f>
        <v/>
      </c>
      <c r="X120" s="186" t="str" cm="1">
        <f t="array" ref="X120">Common_InputFunctions.Utility_DisplayArrayInTable(Fertiliser_SourceData.Fertiliser_Products_Data1(),FertiliserProducts[[#Headers],[Include or Exclude]], 0,4)</f>
        <v/>
      </c>
      <c r="Y120" s="186" t="str" cm="1">
        <f t="array" ref="Y120">Common_InputFunctions.Utility_DisplayArrayInTable(Fertiliser_SourceData.Fertiliser_Products_Data1(),FertiliserProducts[[#Headers],[Include or Exclude]], 0,4)</f>
        <v/>
      </c>
      <c r="Z120" s="186" t="str" cm="1">
        <f t="array" ref="Z120">Common_InputFunctions.Utility_DisplayArrayInTable(Fertiliser_SourceData.Fertiliser_Products_Data1(),FertiliserProducts[[#Headers],[Include or Exclude]], 0,4)</f>
        <v/>
      </c>
      <c r="AA120" s="186" t="str" cm="1">
        <f t="array" ref="AA120">Common_InputFunctions.Utility_DisplayArrayInTable(Fertiliser_SourceData.Fertiliser_Products_Data1(),FertiliserProducts[[#Headers],[Include or Exclude]], 0,4)</f>
        <v/>
      </c>
      <c r="AB120" s="186" t="str" cm="1">
        <f t="array" ref="AB120">Common_InputFunctions.Utility_DisplayArrayInTable(Fertiliser_SourceData.Fertiliser_Products_Data1(),FertiliserProducts[[#Headers],[Include or Exclude]], 0,4)</f>
        <v/>
      </c>
      <c r="AC120" s="186" t="str" cm="1">
        <f t="array" ref="AC120">Common_InputFunctions.Utility_DisplayArrayInTable(Fertiliser_SourceData.Fertiliser_Products_Data1(),FertiliserProducts[[#Headers],[Include or Exclude]], 0,4)</f>
        <v/>
      </c>
      <c r="AD120" s="186" t="str" cm="1">
        <f t="array" ref="AD120">Common_InputFunctions.Utility_DisplayArrayInTable(Fertiliser_SourceData.Fertiliser_Products_Data1(),FertiliserProducts[[#Headers],[Include or Exclude]], 0,4)</f>
        <v/>
      </c>
      <c r="AE120" s="186" t="str" cm="1">
        <f t="array" ref="AE120">Common_InputFunctions.Utility_DisplayArrayInTable(Fertiliser_SourceData.Fertiliser_Products_Data1(),FertiliserProducts[[#Headers],[Include or Exclude]], 0,4)</f>
        <v/>
      </c>
    </row>
    <row r="121" spans="4:31" ht="20.100000000000001" customHeight="1" x14ac:dyDescent="0.25">
      <c r="D121" s="186" t="str" cm="1">
        <f t="array" ref="D121">Common_InputFunctions.Utility_DisplayArrayInTable(Fertiliser_SourceData.Fertiliser_Products_Data1(),FertiliserProducts[[#Headers],[Include or Exclude]], -1)</f>
        <v/>
      </c>
      <c r="E121" s="186" t="str" cm="1">
        <f t="array" ref="E121">Common_InputFunctions.Utility_DisplayArrayInTable(Fertiliser_SourceData.Fertiliser_Products_Data1(),FertiliserProducts[[#Headers],[Include or Exclude]], 0)</f>
        <v/>
      </c>
      <c r="F121" s="186" t="str" cm="1">
        <f t="array" ref="F121">Common_InputFunctions.Utility_DisplayArrayInTable(Fertiliser_SourceData.Fertiliser_Products_Data1(),FertiliserProducts[[#Headers],[Include or Exclude]], 0)</f>
        <v/>
      </c>
      <c r="G121" s="186" t="str" cm="1">
        <f t="array" ref="G121">Common_InputFunctions.Utility_DisplayArrayInTable(Fertiliser_SourceData.Fertiliser_Products_Data1(),FertiliserProducts[[#Headers],[Include or Exclude]], 0)</f>
        <v/>
      </c>
      <c r="H121" s="186" t="str" cm="1">
        <f t="array" ref="H121">Common_InputFunctions.Utility_DisplayArrayInTable(Fertiliser_SourceData.Fertiliser_Products_Data1(),FertiliserProducts[[#Headers],[Include or Exclude]], 0,4)</f>
        <v/>
      </c>
      <c r="I121" s="186" t="str" cm="1">
        <f t="array" ref="I121">Common_InputFunctions.Utility_DisplayArrayInTable(Fertiliser_SourceData.Fertiliser_Products_Data1(),FertiliserProducts[[#Headers],[Include or Exclude]], 0,4)</f>
        <v/>
      </c>
      <c r="J121" s="186" t="str" cm="1">
        <f t="array" ref="J121">Common_InputFunctions.Utility_DisplayArrayInTable(Fertiliser_SourceData.Fertiliser_Products_Data1(),FertiliserProducts[[#Headers],[Include or Exclude]], 0,4)</f>
        <v/>
      </c>
      <c r="K121" s="186" t="str" cm="1">
        <f t="array" ref="K121">Common_InputFunctions.Utility_DisplayArrayInTable(Fertiliser_SourceData.Fertiliser_Products_Data1(),FertiliserProducts[[#Headers],[Include or Exclude]], 0,4)</f>
        <v/>
      </c>
      <c r="L121" s="186" t="str" cm="1">
        <f t="array" ref="L121">Common_InputFunctions.Utility_DisplayArrayInTable(Fertiliser_SourceData.Fertiliser_Products_Data1(),FertiliserProducts[[#Headers],[Include or Exclude]], 0,4)</f>
        <v/>
      </c>
      <c r="M121" s="186" t="str" cm="1">
        <f t="array" ref="M121">Common_InputFunctions.Utility_DisplayArrayInTable(Fertiliser_SourceData.Fertiliser_Products_Data1(),FertiliserProducts[[#Headers],[Include or Exclude]], 0,4)</f>
        <v/>
      </c>
      <c r="N121" s="186" t="str" cm="1">
        <f t="array" ref="N121">Common_InputFunctions.Utility_DisplayArrayInTable(Fertiliser_SourceData.Fertiliser_Products_Data1(),FertiliserProducts[[#Headers],[Include or Exclude]], 0,4)</f>
        <v/>
      </c>
      <c r="O121" s="186" t="str" cm="1">
        <f t="array" ref="O121">Common_InputFunctions.Utility_DisplayArrayInTable(Fertiliser_SourceData.Fertiliser_Products_Data1(),FertiliserProducts[[#Headers],[Include or Exclude]], 0,4)</f>
        <v/>
      </c>
      <c r="P121" s="186" t="str" cm="1">
        <f t="array" ref="P121">Common_InputFunctions.Utility_DisplayArrayInTable(Fertiliser_SourceData.Fertiliser_Products_Data1(),FertiliserProducts[[#Headers],[Include or Exclude]], 0,4)</f>
        <v/>
      </c>
      <c r="Q121" s="186" t="str" cm="1">
        <f t="array" ref="Q121">Common_InputFunctions.Utility_DisplayArrayInTable(Fertiliser_SourceData.Fertiliser_Products_Data1(),FertiliserProducts[[#Headers],[Include or Exclude]], 0,4)</f>
        <v/>
      </c>
      <c r="R121" s="186" t="str" cm="1">
        <f t="array" ref="R121">Common_InputFunctions.Utility_DisplayArrayInTable(Fertiliser_SourceData.Fertiliser_Products_Data1(),FertiliserProducts[[#Headers],[Include or Exclude]], 0,4)</f>
        <v/>
      </c>
      <c r="S121" s="186" t="str" cm="1">
        <f t="array" ref="S121">Common_InputFunctions.Utility_DisplayArrayInTable(Fertiliser_SourceData.Fertiliser_Products_Data1(),FertiliserProducts[[#Headers],[Include or Exclude]], 0,4)</f>
        <v/>
      </c>
      <c r="T121" s="186" t="str" cm="1">
        <f t="array" ref="T121">Common_InputFunctions.Utility_DisplayArrayInTable(Fertiliser_SourceData.Fertiliser_Products_Data1(),FertiliserProducts[[#Headers],[Include or Exclude]], 0,4)</f>
        <v/>
      </c>
      <c r="U121" s="186" t="str" cm="1">
        <f t="array" ref="U121">Common_InputFunctions.Utility_DisplayArrayInTable(Fertiliser_SourceData.Fertiliser_Products_Data1(),FertiliserProducts[[#Headers],[Include or Exclude]], 0,4)</f>
        <v/>
      </c>
      <c r="V121" s="186" t="str" cm="1">
        <f t="array" ref="V121">Common_InputFunctions.Utility_DisplayArrayInTable(Fertiliser_SourceData.Fertiliser_Products_Data1(),FertiliserProducts[[#Headers],[Include or Exclude]], 0,4)</f>
        <v/>
      </c>
      <c r="W121" s="186" t="str" cm="1">
        <f t="array" ref="W121">Common_InputFunctions.Utility_DisplayArrayInTable(Fertiliser_SourceData.Fertiliser_Products_Data1(),FertiliserProducts[[#Headers],[Include or Exclude]], 0,4)</f>
        <v/>
      </c>
      <c r="X121" s="186" t="str" cm="1">
        <f t="array" ref="X121">Common_InputFunctions.Utility_DisplayArrayInTable(Fertiliser_SourceData.Fertiliser_Products_Data1(),FertiliserProducts[[#Headers],[Include or Exclude]], 0,4)</f>
        <v/>
      </c>
      <c r="Y121" s="186" t="str" cm="1">
        <f t="array" ref="Y121">Common_InputFunctions.Utility_DisplayArrayInTable(Fertiliser_SourceData.Fertiliser_Products_Data1(),FertiliserProducts[[#Headers],[Include or Exclude]], 0,4)</f>
        <v/>
      </c>
      <c r="Z121" s="186" t="str" cm="1">
        <f t="array" ref="Z121">Common_InputFunctions.Utility_DisplayArrayInTable(Fertiliser_SourceData.Fertiliser_Products_Data1(),FertiliserProducts[[#Headers],[Include or Exclude]], 0,4)</f>
        <v/>
      </c>
      <c r="AA121" s="186" t="str" cm="1">
        <f t="array" ref="AA121">Common_InputFunctions.Utility_DisplayArrayInTable(Fertiliser_SourceData.Fertiliser_Products_Data1(),FertiliserProducts[[#Headers],[Include or Exclude]], 0,4)</f>
        <v/>
      </c>
      <c r="AB121" s="186" t="str" cm="1">
        <f t="array" ref="AB121">Common_InputFunctions.Utility_DisplayArrayInTable(Fertiliser_SourceData.Fertiliser_Products_Data1(),FertiliserProducts[[#Headers],[Include or Exclude]], 0,4)</f>
        <v/>
      </c>
      <c r="AC121" s="186" t="str" cm="1">
        <f t="array" ref="AC121">Common_InputFunctions.Utility_DisplayArrayInTable(Fertiliser_SourceData.Fertiliser_Products_Data1(),FertiliserProducts[[#Headers],[Include or Exclude]], 0,4)</f>
        <v/>
      </c>
      <c r="AD121" s="186" t="str" cm="1">
        <f t="array" ref="AD121">Common_InputFunctions.Utility_DisplayArrayInTable(Fertiliser_SourceData.Fertiliser_Products_Data1(),FertiliserProducts[[#Headers],[Include or Exclude]], 0,4)</f>
        <v/>
      </c>
      <c r="AE121" s="186" t="str" cm="1">
        <f t="array" ref="AE121">Common_InputFunctions.Utility_DisplayArrayInTable(Fertiliser_SourceData.Fertiliser_Products_Data1(),FertiliserProducts[[#Headers],[Include or Exclude]], 0,4)</f>
        <v/>
      </c>
    </row>
    <row r="122" spans="4:31" ht="20.100000000000001" customHeight="1" x14ac:dyDescent="0.25">
      <c r="D122" s="186" t="str" cm="1">
        <f t="array" ref="D122">Common_InputFunctions.Utility_DisplayArrayInTable(Fertiliser_SourceData.Fertiliser_Products_Data1(),FertiliserProducts[[#Headers],[Include or Exclude]], -1)</f>
        <v/>
      </c>
      <c r="E122" s="186" t="str" cm="1">
        <f t="array" ref="E122">Common_InputFunctions.Utility_DisplayArrayInTable(Fertiliser_SourceData.Fertiliser_Products_Data1(),FertiliserProducts[[#Headers],[Include or Exclude]], 0)</f>
        <v/>
      </c>
      <c r="F122" s="186" t="str" cm="1">
        <f t="array" ref="F122">Common_InputFunctions.Utility_DisplayArrayInTable(Fertiliser_SourceData.Fertiliser_Products_Data1(),FertiliserProducts[[#Headers],[Include or Exclude]], 0)</f>
        <v/>
      </c>
      <c r="G122" s="186" t="str" cm="1">
        <f t="array" ref="G122">Common_InputFunctions.Utility_DisplayArrayInTable(Fertiliser_SourceData.Fertiliser_Products_Data1(),FertiliserProducts[[#Headers],[Include or Exclude]], 0)</f>
        <v/>
      </c>
      <c r="H122" s="186" t="str" cm="1">
        <f t="array" ref="H122">Common_InputFunctions.Utility_DisplayArrayInTable(Fertiliser_SourceData.Fertiliser_Products_Data1(),FertiliserProducts[[#Headers],[Include or Exclude]], 0,4)</f>
        <v/>
      </c>
      <c r="I122" s="186" t="str" cm="1">
        <f t="array" ref="I122">Common_InputFunctions.Utility_DisplayArrayInTable(Fertiliser_SourceData.Fertiliser_Products_Data1(),FertiliserProducts[[#Headers],[Include or Exclude]], 0,4)</f>
        <v/>
      </c>
      <c r="J122" s="186" t="str" cm="1">
        <f t="array" ref="J122">Common_InputFunctions.Utility_DisplayArrayInTable(Fertiliser_SourceData.Fertiliser_Products_Data1(),FertiliserProducts[[#Headers],[Include or Exclude]], 0,4)</f>
        <v/>
      </c>
      <c r="K122" s="186" t="str" cm="1">
        <f t="array" ref="K122">Common_InputFunctions.Utility_DisplayArrayInTable(Fertiliser_SourceData.Fertiliser_Products_Data1(),FertiliserProducts[[#Headers],[Include or Exclude]], 0,4)</f>
        <v/>
      </c>
      <c r="L122" s="186" t="str" cm="1">
        <f t="array" ref="L122">Common_InputFunctions.Utility_DisplayArrayInTable(Fertiliser_SourceData.Fertiliser_Products_Data1(),FertiliserProducts[[#Headers],[Include or Exclude]], 0,4)</f>
        <v/>
      </c>
      <c r="M122" s="186" t="str" cm="1">
        <f t="array" ref="M122">Common_InputFunctions.Utility_DisplayArrayInTable(Fertiliser_SourceData.Fertiliser_Products_Data1(),FertiliserProducts[[#Headers],[Include or Exclude]], 0,4)</f>
        <v/>
      </c>
      <c r="N122" s="186" t="str" cm="1">
        <f t="array" ref="N122">Common_InputFunctions.Utility_DisplayArrayInTable(Fertiliser_SourceData.Fertiliser_Products_Data1(),FertiliserProducts[[#Headers],[Include or Exclude]], 0,4)</f>
        <v/>
      </c>
      <c r="O122" s="186" t="str" cm="1">
        <f t="array" ref="O122">Common_InputFunctions.Utility_DisplayArrayInTable(Fertiliser_SourceData.Fertiliser_Products_Data1(),FertiliserProducts[[#Headers],[Include or Exclude]], 0,4)</f>
        <v/>
      </c>
      <c r="P122" s="186" t="str" cm="1">
        <f t="array" ref="P122">Common_InputFunctions.Utility_DisplayArrayInTable(Fertiliser_SourceData.Fertiliser_Products_Data1(),FertiliserProducts[[#Headers],[Include or Exclude]], 0,4)</f>
        <v/>
      </c>
      <c r="Q122" s="186" t="str" cm="1">
        <f t="array" ref="Q122">Common_InputFunctions.Utility_DisplayArrayInTable(Fertiliser_SourceData.Fertiliser_Products_Data1(),FertiliserProducts[[#Headers],[Include or Exclude]], 0,4)</f>
        <v/>
      </c>
      <c r="R122" s="186" t="str" cm="1">
        <f t="array" ref="R122">Common_InputFunctions.Utility_DisplayArrayInTable(Fertiliser_SourceData.Fertiliser_Products_Data1(),FertiliserProducts[[#Headers],[Include or Exclude]], 0,4)</f>
        <v/>
      </c>
      <c r="S122" s="186" t="str" cm="1">
        <f t="array" ref="S122">Common_InputFunctions.Utility_DisplayArrayInTable(Fertiliser_SourceData.Fertiliser_Products_Data1(),FertiliserProducts[[#Headers],[Include or Exclude]], 0,4)</f>
        <v/>
      </c>
      <c r="T122" s="186" t="str" cm="1">
        <f t="array" ref="T122">Common_InputFunctions.Utility_DisplayArrayInTable(Fertiliser_SourceData.Fertiliser_Products_Data1(),FertiliserProducts[[#Headers],[Include or Exclude]], 0,4)</f>
        <v/>
      </c>
      <c r="U122" s="186" t="str" cm="1">
        <f t="array" ref="U122">Common_InputFunctions.Utility_DisplayArrayInTable(Fertiliser_SourceData.Fertiliser_Products_Data1(),FertiliserProducts[[#Headers],[Include or Exclude]], 0,4)</f>
        <v/>
      </c>
      <c r="V122" s="186" t="str" cm="1">
        <f t="array" ref="V122">Common_InputFunctions.Utility_DisplayArrayInTable(Fertiliser_SourceData.Fertiliser_Products_Data1(),FertiliserProducts[[#Headers],[Include or Exclude]], 0,4)</f>
        <v/>
      </c>
      <c r="W122" s="186" t="str" cm="1">
        <f t="array" ref="W122">Common_InputFunctions.Utility_DisplayArrayInTable(Fertiliser_SourceData.Fertiliser_Products_Data1(),FertiliserProducts[[#Headers],[Include or Exclude]], 0,4)</f>
        <v/>
      </c>
      <c r="X122" s="186" t="str" cm="1">
        <f t="array" ref="X122">Common_InputFunctions.Utility_DisplayArrayInTable(Fertiliser_SourceData.Fertiliser_Products_Data1(),FertiliserProducts[[#Headers],[Include or Exclude]], 0,4)</f>
        <v/>
      </c>
      <c r="Y122" s="186" t="str" cm="1">
        <f t="array" ref="Y122">Common_InputFunctions.Utility_DisplayArrayInTable(Fertiliser_SourceData.Fertiliser_Products_Data1(),FertiliserProducts[[#Headers],[Include or Exclude]], 0,4)</f>
        <v/>
      </c>
      <c r="Z122" s="186" t="str" cm="1">
        <f t="array" ref="Z122">Common_InputFunctions.Utility_DisplayArrayInTable(Fertiliser_SourceData.Fertiliser_Products_Data1(),FertiliserProducts[[#Headers],[Include or Exclude]], 0,4)</f>
        <v/>
      </c>
      <c r="AA122" s="186" t="str" cm="1">
        <f t="array" ref="AA122">Common_InputFunctions.Utility_DisplayArrayInTable(Fertiliser_SourceData.Fertiliser_Products_Data1(),FertiliserProducts[[#Headers],[Include or Exclude]], 0,4)</f>
        <v/>
      </c>
      <c r="AB122" s="186" t="str" cm="1">
        <f t="array" ref="AB122">Common_InputFunctions.Utility_DisplayArrayInTable(Fertiliser_SourceData.Fertiliser_Products_Data1(),FertiliserProducts[[#Headers],[Include or Exclude]], 0,4)</f>
        <v/>
      </c>
      <c r="AC122" s="186" t="str" cm="1">
        <f t="array" ref="AC122">Common_InputFunctions.Utility_DisplayArrayInTable(Fertiliser_SourceData.Fertiliser_Products_Data1(),FertiliserProducts[[#Headers],[Include or Exclude]], 0,4)</f>
        <v/>
      </c>
      <c r="AD122" s="186" t="str" cm="1">
        <f t="array" ref="AD122">Common_InputFunctions.Utility_DisplayArrayInTable(Fertiliser_SourceData.Fertiliser_Products_Data1(),FertiliserProducts[[#Headers],[Include or Exclude]], 0,4)</f>
        <v/>
      </c>
      <c r="AE122" s="186" t="str" cm="1">
        <f t="array" ref="AE122">Common_InputFunctions.Utility_DisplayArrayInTable(Fertiliser_SourceData.Fertiliser_Products_Data1(),FertiliserProducts[[#Headers],[Include or Exclude]], 0,4)</f>
        <v/>
      </c>
    </row>
    <row r="123" spans="4:31" ht="20.100000000000001" customHeight="1" x14ac:dyDescent="0.25">
      <c r="D123" s="186" t="str" cm="1">
        <f t="array" ref="D123">Common_InputFunctions.Utility_DisplayArrayInTable(Fertiliser_SourceData.Fertiliser_Products_Data1(),FertiliserProducts[[#Headers],[Include or Exclude]], -1)</f>
        <v/>
      </c>
      <c r="E123" s="186" t="str" cm="1">
        <f t="array" ref="E123">Common_InputFunctions.Utility_DisplayArrayInTable(Fertiliser_SourceData.Fertiliser_Products_Data1(),FertiliserProducts[[#Headers],[Include or Exclude]], 0)</f>
        <v/>
      </c>
      <c r="F123" s="186" t="str" cm="1">
        <f t="array" ref="F123">Common_InputFunctions.Utility_DisplayArrayInTable(Fertiliser_SourceData.Fertiliser_Products_Data1(),FertiliserProducts[[#Headers],[Include or Exclude]], 0)</f>
        <v/>
      </c>
      <c r="G123" s="186" t="str" cm="1">
        <f t="array" ref="G123">Common_InputFunctions.Utility_DisplayArrayInTable(Fertiliser_SourceData.Fertiliser_Products_Data1(),FertiliserProducts[[#Headers],[Include or Exclude]], 0)</f>
        <v/>
      </c>
      <c r="H123" s="186" t="str" cm="1">
        <f t="array" ref="H123">Common_InputFunctions.Utility_DisplayArrayInTable(Fertiliser_SourceData.Fertiliser_Products_Data1(),FertiliserProducts[[#Headers],[Include or Exclude]], 0,4)</f>
        <v/>
      </c>
      <c r="I123" s="186" t="str" cm="1">
        <f t="array" ref="I123">Common_InputFunctions.Utility_DisplayArrayInTable(Fertiliser_SourceData.Fertiliser_Products_Data1(),FertiliserProducts[[#Headers],[Include or Exclude]], 0,4)</f>
        <v/>
      </c>
      <c r="J123" s="186" t="str" cm="1">
        <f t="array" ref="J123">Common_InputFunctions.Utility_DisplayArrayInTable(Fertiliser_SourceData.Fertiliser_Products_Data1(),FertiliserProducts[[#Headers],[Include or Exclude]], 0,4)</f>
        <v/>
      </c>
      <c r="K123" s="186" t="str" cm="1">
        <f t="array" ref="K123">Common_InputFunctions.Utility_DisplayArrayInTable(Fertiliser_SourceData.Fertiliser_Products_Data1(),FertiliserProducts[[#Headers],[Include or Exclude]], 0,4)</f>
        <v/>
      </c>
      <c r="L123" s="186" t="str" cm="1">
        <f t="array" ref="L123">Common_InputFunctions.Utility_DisplayArrayInTable(Fertiliser_SourceData.Fertiliser_Products_Data1(),FertiliserProducts[[#Headers],[Include or Exclude]], 0,4)</f>
        <v/>
      </c>
      <c r="M123" s="186" t="str" cm="1">
        <f t="array" ref="M123">Common_InputFunctions.Utility_DisplayArrayInTable(Fertiliser_SourceData.Fertiliser_Products_Data1(),FertiliserProducts[[#Headers],[Include or Exclude]], 0,4)</f>
        <v/>
      </c>
      <c r="N123" s="186" t="str" cm="1">
        <f t="array" ref="N123">Common_InputFunctions.Utility_DisplayArrayInTable(Fertiliser_SourceData.Fertiliser_Products_Data1(),FertiliserProducts[[#Headers],[Include or Exclude]], 0,4)</f>
        <v/>
      </c>
      <c r="O123" s="186" t="str" cm="1">
        <f t="array" ref="O123">Common_InputFunctions.Utility_DisplayArrayInTable(Fertiliser_SourceData.Fertiliser_Products_Data1(),FertiliserProducts[[#Headers],[Include or Exclude]], 0,4)</f>
        <v/>
      </c>
      <c r="P123" s="186" t="str" cm="1">
        <f t="array" ref="P123">Common_InputFunctions.Utility_DisplayArrayInTable(Fertiliser_SourceData.Fertiliser_Products_Data1(),FertiliserProducts[[#Headers],[Include or Exclude]], 0,4)</f>
        <v/>
      </c>
      <c r="Q123" s="186" t="str" cm="1">
        <f t="array" ref="Q123">Common_InputFunctions.Utility_DisplayArrayInTable(Fertiliser_SourceData.Fertiliser_Products_Data1(),FertiliserProducts[[#Headers],[Include or Exclude]], 0,4)</f>
        <v/>
      </c>
      <c r="R123" s="186" t="str" cm="1">
        <f t="array" ref="R123">Common_InputFunctions.Utility_DisplayArrayInTable(Fertiliser_SourceData.Fertiliser_Products_Data1(),FertiliserProducts[[#Headers],[Include or Exclude]], 0,4)</f>
        <v/>
      </c>
      <c r="S123" s="186" t="str" cm="1">
        <f t="array" ref="S123">Common_InputFunctions.Utility_DisplayArrayInTable(Fertiliser_SourceData.Fertiliser_Products_Data1(),FertiliserProducts[[#Headers],[Include or Exclude]], 0,4)</f>
        <v/>
      </c>
      <c r="T123" s="186" t="str" cm="1">
        <f t="array" ref="T123">Common_InputFunctions.Utility_DisplayArrayInTable(Fertiliser_SourceData.Fertiliser_Products_Data1(),FertiliserProducts[[#Headers],[Include or Exclude]], 0,4)</f>
        <v/>
      </c>
      <c r="U123" s="186" t="str" cm="1">
        <f t="array" ref="U123">Common_InputFunctions.Utility_DisplayArrayInTable(Fertiliser_SourceData.Fertiliser_Products_Data1(),FertiliserProducts[[#Headers],[Include or Exclude]], 0,4)</f>
        <v/>
      </c>
      <c r="V123" s="186" t="str" cm="1">
        <f t="array" ref="V123">Common_InputFunctions.Utility_DisplayArrayInTable(Fertiliser_SourceData.Fertiliser_Products_Data1(),FertiliserProducts[[#Headers],[Include or Exclude]], 0,4)</f>
        <v/>
      </c>
      <c r="W123" s="186" t="str" cm="1">
        <f t="array" ref="W123">Common_InputFunctions.Utility_DisplayArrayInTable(Fertiliser_SourceData.Fertiliser_Products_Data1(),FertiliserProducts[[#Headers],[Include or Exclude]], 0,4)</f>
        <v/>
      </c>
      <c r="X123" s="186" t="str" cm="1">
        <f t="array" ref="X123">Common_InputFunctions.Utility_DisplayArrayInTable(Fertiliser_SourceData.Fertiliser_Products_Data1(),FertiliserProducts[[#Headers],[Include or Exclude]], 0,4)</f>
        <v/>
      </c>
      <c r="Y123" s="186" t="str" cm="1">
        <f t="array" ref="Y123">Common_InputFunctions.Utility_DisplayArrayInTable(Fertiliser_SourceData.Fertiliser_Products_Data1(),FertiliserProducts[[#Headers],[Include or Exclude]], 0,4)</f>
        <v/>
      </c>
      <c r="Z123" s="186" t="str" cm="1">
        <f t="array" ref="Z123">Common_InputFunctions.Utility_DisplayArrayInTable(Fertiliser_SourceData.Fertiliser_Products_Data1(),FertiliserProducts[[#Headers],[Include or Exclude]], 0,4)</f>
        <v/>
      </c>
      <c r="AA123" s="186" t="str" cm="1">
        <f t="array" ref="AA123">Common_InputFunctions.Utility_DisplayArrayInTable(Fertiliser_SourceData.Fertiliser_Products_Data1(),FertiliserProducts[[#Headers],[Include or Exclude]], 0,4)</f>
        <v/>
      </c>
      <c r="AB123" s="186" t="str" cm="1">
        <f t="array" ref="AB123">Common_InputFunctions.Utility_DisplayArrayInTable(Fertiliser_SourceData.Fertiliser_Products_Data1(),FertiliserProducts[[#Headers],[Include or Exclude]], 0,4)</f>
        <v/>
      </c>
      <c r="AC123" s="186" t="str" cm="1">
        <f t="array" ref="AC123">Common_InputFunctions.Utility_DisplayArrayInTable(Fertiliser_SourceData.Fertiliser_Products_Data1(),FertiliserProducts[[#Headers],[Include or Exclude]], 0,4)</f>
        <v/>
      </c>
      <c r="AD123" s="186" t="str" cm="1">
        <f t="array" ref="AD123">Common_InputFunctions.Utility_DisplayArrayInTable(Fertiliser_SourceData.Fertiliser_Products_Data1(),FertiliserProducts[[#Headers],[Include or Exclude]], 0,4)</f>
        <v/>
      </c>
      <c r="AE123" s="186" t="str" cm="1">
        <f t="array" ref="AE123">Common_InputFunctions.Utility_DisplayArrayInTable(Fertiliser_SourceData.Fertiliser_Products_Data1(),FertiliserProducts[[#Headers],[Include or Exclude]], 0,4)</f>
        <v/>
      </c>
    </row>
    <row r="124" spans="4:31" ht="20.100000000000001" customHeight="1" x14ac:dyDescent="0.25">
      <c r="D124" s="186" t="str" cm="1">
        <f t="array" ref="D124">Common_InputFunctions.Utility_DisplayArrayInTable(Fertiliser_SourceData.Fertiliser_Products_Data1(),FertiliserProducts[[#Headers],[Include or Exclude]], -1)</f>
        <v/>
      </c>
      <c r="E124" s="186" t="str" cm="1">
        <f t="array" ref="E124">Common_InputFunctions.Utility_DisplayArrayInTable(Fertiliser_SourceData.Fertiliser_Products_Data1(),FertiliserProducts[[#Headers],[Include or Exclude]], 0)</f>
        <v/>
      </c>
      <c r="F124" s="186" t="str" cm="1">
        <f t="array" ref="F124">Common_InputFunctions.Utility_DisplayArrayInTable(Fertiliser_SourceData.Fertiliser_Products_Data1(),FertiliserProducts[[#Headers],[Include or Exclude]], 0)</f>
        <v/>
      </c>
      <c r="G124" s="186" t="str" cm="1">
        <f t="array" ref="G124">Common_InputFunctions.Utility_DisplayArrayInTable(Fertiliser_SourceData.Fertiliser_Products_Data1(),FertiliserProducts[[#Headers],[Include or Exclude]], 0)</f>
        <v/>
      </c>
      <c r="H124" s="186" t="str" cm="1">
        <f t="array" ref="H124">Common_InputFunctions.Utility_DisplayArrayInTable(Fertiliser_SourceData.Fertiliser_Products_Data1(),FertiliserProducts[[#Headers],[Include or Exclude]], 0,4)</f>
        <v/>
      </c>
      <c r="I124" s="186" t="str" cm="1">
        <f t="array" ref="I124">Common_InputFunctions.Utility_DisplayArrayInTable(Fertiliser_SourceData.Fertiliser_Products_Data1(),FertiliserProducts[[#Headers],[Include or Exclude]], 0,4)</f>
        <v/>
      </c>
      <c r="J124" s="186" t="str" cm="1">
        <f t="array" ref="J124">Common_InputFunctions.Utility_DisplayArrayInTable(Fertiliser_SourceData.Fertiliser_Products_Data1(),FertiliserProducts[[#Headers],[Include or Exclude]], 0,4)</f>
        <v/>
      </c>
      <c r="K124" s="186" t="str" cm="1">
        <f t="array" ref="K124">Common_InputFunctions.Utility_DisplayArrayInTable(Fertiliser_SourceData.Fertiliser_Products_Data1(),FertiliserProducts[[#Headers],[Include or Exclude]], 0,4)</f>
        <v/>
      </c>
      <c r="L124" s="186" t="str" cm="1">
        <f t="array" ref="L124">Common_InputFunctions.Utility_DisplayArrayInTable(Fertiliser_SourceData.Fertiliser_Products_Data1(),FertiliserProducts[[#Headers],[Include or Exclude]], 0,4)</f>
        <v/>
      </c>
      <c r="M124" s="186" t="str" cm="1">
        <f t="array" ref="M124">Common_InputFunctions.Utility_DisplayArrayInTable(Fertiliser_SourceData.Fertiliser_Products_Data1(),FertiliserProducts[[#Headers],[Include or Exclude]], 0,4)</f>
        <v/>
      </c>
      <c r="N124" s="186" t="str" cm="1">
        <f t="array" ref="N124">Common_InputFunctions.Utility_DisplayArrayInTable(Fertiliser_SourceData.Fertiliser_Products_Data1(),FertiliserProducts[[#Headers],[Include or Exclude]], 0,4)</f>
        <v/>
      </c>
      <c r="O124" s="186" t="str" cm="1">
        <f t="array" ref="O124">Common_InputFunctions.Utility_DisplayArrayInTable(Fertiliser_SourceData.Fertiliser_Products_Data1(),FertiliserProducts[[#Headers],[Include or Exclude]], 0,4)</f>
        <v/>
      </c>
      <c r="P124" s="186" t="str" cm="1">
        <f t="array" ref="P124">Common_InputFunctions.Utility_DisplayArrayInTable(Fertiliser_SourceData.Fertiliser_Products_Data1(),FertiliserProducts[[#Headers],[Include or Exclude]], 0,4)</f>
        <v/>
      </c>
      <c r="Q124" s="186" t="str" cm="1">
        <f t="array" ref="Q124">Common_InputFunctions.Utility_DisplayArrayInTable(Fertiliser_SourceData.Fertiliser_Products_Data1(),FertiliserProducts[[#Headers],[Include or Exclude]], 0,4)</f>
        <v/>
      </c>
      <c r="R124" s="186" t="str" cm="1">
        <f t="array" ref="R124">Common_InputFunctions.Utility_DisplayArrayInTable(Fertiliser_SourceData.Fertiliser_Products_Data1(),FertiliserProducts[[#Headers],[Include or Exclude]], 0,4)</f>
        <v/>
      </c>
      <c r="S124" s="186" t="str" cm="1">
        <f t="array" ref="S124">Common_InputFunctions.Utility_DisplayArrayInTable(Fertiliser_SourceData.Fertiliser_Products_Data1(),FertiliserProducts[[#Headers],[Include or Exclude]], 0,4)</f>
        <v/>
      </c>
      <c r="T124" s="186" t="str" cm="1">
        <f t="array" ref="T124">Common_InputFunctions.Utility_DisplayArrayInTable(Fertiliser_SourceData.Fertiliser_Products_Data1(),FertiliserProducts[[#Headers],[Include or Exclude]], 0,4)</f>
        <v/>
      </c>
      <c r="U124" s="186" t="str" cm="1">
        <f t="array" ref="U124">Common_InputFunctions.Utility_DisplayArrayInTable(Fertiliser_SourceData.Fertiliser_Products_Data1(),FertiliserProducts[[#Headers],[Include or Exclude]], 0,4)</f>
        <v/>
      </c>
      <c r="V124" s="186" t="str" cm="1">
        <f t="array" ref="V124">Common_InputFunctions.Utility_DisplayArrayInTable(Fertiliser_SourceData.Fertiliser_Products_Data1(),FertiliserProducts[[#Headers],[Include or Exclude]], 0,4)</f>
        <v/>
      </c>
      <c r="W124" s="186" t="str" cm="1">
        <f t="array" ref="W124">Common_InputFunctions.Utility_DisplayArrayInTable(Fertiliser_SourceData.Fertiliser_Products_Data1(),FertiliserProducts[[#Headers],[Include or Exclude]], 0,4)</f>
        <v/>
      </c>
      <c r="X124" s="186" t="str" cm="1">
        <f t="array" ref="X124">Common_InputFunctions.Utility_DisplayArrayInTable(Fertiliser_SourceData.Fertiliser_Products_Data1(),FertiliserProducts[[#Headers],[Include or Exclude]], 0,4)</f>
        <v/>
      </c>
      <c r="Y124" s="186" t="str" cm="1">
        <f t="array" ref="Y124">Common_InputFunctions.Utility_DisplayArrayInTable(Fertiliser_SourceData.Fertiliser_Products_Data1(),FertiliserProducts[[#Headers],[Include or Exclude]], 0,4)</f>
        <v/>
      </c>
      <c r="Z124" s="186" t="str" cm="1">
        <f t="array" ref="Z124">Common_InputFunctions.Utility_DisplayArrayInTable(Fertiliser_SourceData.Fertiliser_Products_Data1(),FertiliserProducts[[#Headers],[Include or Exclude]], 0,4)</f>
        <v/>
      </c>
      <c r="AA124" s="186" t="str" cm="1">
        <f t="array" ref="AA124">Common_InputFunctions.Utility_DisplayArrayInTable(Fertiliser_SourceData.Fertiliser_Products_Data1(),FertiliserProducts[[#Headers],[Include or Exclude]], 0,4)</f>
        <v/>
      </c>
      <c r="AB124" s="186" t="str" cm="1">
        <f t="array" ref="AB124">Common_InputFunctions.Utility_DisplayArrayInTable(Fertiliser_SourceData.Fertiliser_Products_Data1(),FertiliserProducts[[#Headers],[Include or Exclude]], 0,4)</f>
        <v/>
      </c>
      <c r="AC124" s="186" t="str" cm="1">
        <f t="array" ref="AC124">Common_InputFunctions.Utility_DisplayArrayInTable(Fertiliser_SourceData.Fertiliser_Products_Data1(),FertiliserProducts[[#Headers],[Include or Exclude]], 0,4)</f>
        <v/>
      </c>
      <c r="AD124" s="186" t="str" cm="1">
        <f t="array" ref="AD124">Common_InputFunctions.Utility_DisplayArrayInTable(Fertiliser_SourceData.Fertiliser_Products_Data1(),FertiliserProducts[[#Headers],[Include or Exclude]], 0,4)</f>
        <v/>
      </c>
      <c r="AE124" s="186" t="str" cm="1">
        <f t="array" ref="AE124">Common_InputFunctions.Utility_DisplayArrayInTable(Fertiliser_SourceData.Fertiliser_Products_Data1(),FertiliserProducts[[#Headers],[Include or Exclude]], 0,4)</f>
        <v/>
      </c>
    </row>
    <row r="125" spans="4:31" ht="20.100000000000001" customHeight="1" x14ac:dyDescent="0.25">
      <c r="D125" s="186" t="str" cm="1">
        <f t="array" ref="D125">Common_InputFunctions.Utility_DisplayArrayInTable(Fertiliser_SourceData.Fertiliser_Products_Data1(),FertiliserProducts[[#Headers],[Include or Exclude]], -1)</f>
        <v/>
      </c>
      <c r="E125" s="186" t="str" cm="1">
        <f t="array" ref="E125">Common_InputFunctions.Utility_DisplayArrayInTable(Fertiliser_SourceData.Fertiliser_Products_Data1(),FertiliserProducts[[#Headers],[Include or Exclude]], 0)</f>
        <v/>
      </c>
      <c r="F125" s="186" t="str" cm="1">
        <f t="array" ref="F125">Common_InputFunctions.Utility_DisplayArrayInTable(Fertiliser_SourceData.Fertiliser_Products_Data1(),FertiliserProducts[[#Headers],[Include or Exclude]], 0)</f>
        <v/>
      </c>
      <c r="G125" s="186" t="str" cm="1">
        <f t="array" ref="G125">Common_InputFunctions.Utility_DisplayArrayInTable(Fertiliser_SourceData.Fertiliser_Products_Data1(),FertiliserProducts[[#Headers],[Include or Exclude]], 0)</f>
        <v/>
      </c>
      <c r="H125" s="186" t="str" cm="1">
        <f t="array" ref="H125">Common_InputFunctions.Utility_DisplayArrayInTable(Fertiliser_SourceData.Fertiliser_Products_Data1(),FertiliserProducts[[#Headers],[Include or Exclude]], 0,4)</f>
        <v/>
      </c>
      <c r="I125" s="186" t="str" cm="1">
        <f t="array" ref="I125">Common_InputFunctions.Utility_DisplayArrayInTable(Fertiliser_SourceData.Fertiliser_Products_Data1(),FertiliserProducts[[#Headers],[Include or Exclude]], 0,4)</f>
        <v/>
      </c>
      <c r="J125" s="186" t="str" cm="1">
        <f t="array" ref="J125">Common_InputFunctions.Utility_DisplayArrayInTable(Fertiliser_SourceData.Fertiliser_Products_Data1(),FertiliserProducts[[#Headers],[Include or Exclude]], 0,4)</f>
        <v/>
      </c>
      <c r="K125" s="186" t="str" cm="1">
        <f t="array" ref="K125">Common_InputFunctions.Utility_DisplayArrayInTable(Fertiliser_SourceData.Fertiliser_Products_Data1(),FertiliserProducts[[#Headers],[Include or Exclude]], 0,4)</f>
        <v/>
      </c>
      <c r="L125" s="186" t="str" cm="1">
        <f t="array" ref="L125">Common_InputFunctions.Utility_DisplayArrayInTable(Fertiliser_SourceData.Fertiliser_Products_Data1(),FertiliserProducts[[#Headers],[Include or Exclude]], 0,4)</f>
        <v/>
      </c>
      <c r="M125" s="186" t="str" cm="1">
        <f t="array" ref="M125">Common_InputFunctions.Utility_DisplayArrayInTable(Fertiliser_SourceData.Fertiliser_Products_Data1(),FertiliserProducts[[#Headers],[Include or Exclude]], 0,4)</f>
        <v/>
      </c>
      <c r="N125" s="186" t="str" cm="1">
        <f t="array" ref="N125">Common_InputFunctions.Utility_DisplayArrayInTable(Fertiliser_SourceData.Fertiliser_Products_Data1(),FertiliserProducts[[#Headers],[Include or Exclude]], 0,4)</f>
        <v/>
      </c>
      <c r="O125" s="186" t="str" cm="1">
        <f t="array" ref="O125">Common_InputFunctions.Utility_DisplayArrayInTable(Fertiliser_SourceData.Fertiliser_Products_Data1(),FertiliserProducts[[#Headers],[Include or Exclude]], 0,4)</f>
        <v/>
      </c>
      <c r="P125" s="186" t="str" cm="1">
        <f t="array" ref="P125">Common_InputFunctions.Utility_DisplayArrayInTable(Fertiliser_SourceData.Fertiliser_Products_Data1(),FertiliserProducts[[#Headers],[Include or Exclude]], 0,4)</f>
        <v/>
      </c>
      <c r="Q125" s="186" t="str" cm="1">
        <f t="array" ref="Q125">Common_InputFunctions.Utility_DisplayArrayInTable(Fertiliser_SourceData.Fertiliser_Products_Data1(),FertiliserProducts[[#Headers],[Include or Exclude]], 0,4)</f>
        <v/>
      </c>
      <c r="R125" s="186" t="str" cm="1">
        <f t="array" ref="R125">Common_InputFunctions.Utility_DisplayArrayInTable(Fertiliser_SourceData.Fertiliser_Products_Data1(),FertiliserProducts[[#Headers],[Include or Exclude]], 0,4)</f>
        <v/>
      </c>
      <c r="S125" s="186" t="str" cm="1">
        <f t="array" ref="S125">Common_InputFunctions.Utility_DisplayArrayInTable(Fertiliser_SourceData.Fertiliser_Products_Data1(),FertiliserProducts[[#Headers],[Include or Exclude]], 0,4)</f>
        <v/>
      </c>
      <c r="T125" s="186" t="str" cm="1">
        <f t="array" ref="T125">Common_InputFunctions.Utility_DisplayArrayInTable(Fertiliser_SourceData.Fertiliser_Products_Data1(),FertiliserProducts[[#Headers],[Include or Exclude]], 0,4)</f>
        <v/>
      </c>
      <c r="U125" s="186" t="str" cm="1">
        <f t="array" ref="U125">Common_InputFunctions.Utility_DisplayArrayInTable(Fertiliser_SourceData.Fertiliser_Products_Data1(),FertiliserProducts[[#Headers],[Include or Exclude]], 0,4)</f>
        <v/>
      </c>
      <c r="V125" s="186" t="str" cm="1">
        <f t="array" ref="V125">Common_InputFunctions.Utility_DisplayArrayInTable(Fertiliser_SourceData.Fertiliser_Products_Data1(),FertiliserProducts[[#Headers],[Include or Exclude]], 0,4)</f>
        <v/>
      </c>
      <c r="W125" s="186" t="str" cm="1">
        <f t="array" ref="W125">Common_InputFunctions.Utility_DisplayArrayInTable(Fertiliser_SourceData.Fertiliser_Products_Data1(),FertiliserProducts[[#Headers],[Include or Exclude]], 0,4)</f>
        <v/>
      </c>
      <c r="X125" s="186" t="str" cm="1">
        <f t="array" ref="X125">Common_InputFunctions.Utility_DisplayArrayInTable(Fertiliser_SourceData.Fertiliser_Products_Data1(),FertiliserProducts[[#Headers],[Include or Exclude]], 0,4)</f>
        <v/>
      </c>
      <c r="Y125" s="186" t="str" cm="1">
        <f t="array" ref="Y125">Common_InputFunctions.Utility_DisplayArrayInTable(Fertiliser_SourceData.Fertiliser_Products_Data1(),FertiliserProducts[[#Headers],[Include or Exclude]], 0,4)</f>
        <v/>
      </c>
      <c r="Z125" s="186" t="str" cm="1">
        <f t="array" ref="Z125">Common_InputFunctions.Utility_DisplayArrayInTable(Fertiliser_SourceData.Fertiliser_Products_Data1(),FertiliserProducts[[#Headers],[Include or Exclude]], 0,4)</f>
        <v/>
      </c>
      <c r="AA125" s="186" t="str" cm="1">
        <f t="array" ref="AA125">Common_InputFunctions.Utility_DisplayArrayInTable(Fertiliser_SourceData.Fertiliser_Products_Data1(),FertiliserProducts[[#Headers],[Include or Exclude]], 0,4)</f>
        <v/>
      </c>
      <c r="AB125" s="186" t="str" cm="1">
        <f t="array" ref="AB125">Common_InputFunctions.Utility_DisplayArrayInTable(Fertiliser_SourceData.Fertiliser_Products_Data1(),FertiliserProducts[[#Headers],[Include or Exclude]], 0,4)</f>
        <v/>
      </c>
      <c r="AC125" s="186" t="str" cm="1">
        <f t="array" ref="AC125">Common_InputFunctions.Utility_DisplayArrayInTable(Fertiliser_SourceData.Fertiliser_Products_Data1(),FertiliserProducts[[#Headers],[Include or Exclude]], 0,4)</f>
        <v/>
      </c>
      <c r="AD125" s="186" t="str" cm="1">
        <f t="array" ref="AD125">Common_InputFunctions.Utility_DisplayArrayInTable(Fertiliser_SourceData.Fertiliser_Products_Data1(),FertiliserProducts[[#Headers],[Include or Exclude]], 0,4)</f>
        <v/>
      </c>
      <c r="AE125" s="186" t="str" cm="1">
        <f t="array" ref="AE125">Common_InputFunctions.Utility_DisplayArrayInTable(Fertiliser_SourceData.Fertiliser_Products_Data1(),FertiliserProducts[[#Headers],[Include or Exclude]], 0,4)</f>
        <v/>
      </c>
    </row>
    <row r="126" spans="4:31" ht="20.100000000000001" customHeight="1" x14ac:dyDescent="0.25">
      <c r="D126" s="186" t="str" cm="1">
        <f t="array" ref="D126">Common_InputFunctions.Utility_DisplayArrayInTable(Fertiliser_SourceData.Fertiliser_Products_Data1(),FertiliserProducts[[#Headers],[Include or Exclude]], -1)</f>
        <v/>
      </c>
      <c r="E126" s="186" t="str" cm="1">
        <f t="array" ref="E126">Common_InputFunctions.Utility_DisplayArrayInTable(Fertiliser_SourceData.Fertiliser_Products_Data1(),FertiliserProducts[[#Headers],[Include or Exclude]], 0)</f>
        <v/>
      </c>
      <c r="F126" s="186" t="str" cm="1">
        <f t="array" ref="F126">Common_InputFunctions.Utility_DisplayArrayInTable(Fertiliser_SourceData.Fertiliser_Products_Data1(),FertiliserProducts[[#Headers],[Include or Exclude]], 0)</f>
        <v/>
      </c>
      <c r="G126" s="186" t="str" cm="1">
        <f t="array" ref="G126">Common_InputFunctions.Utility_DisplayArrayInTable(Fertiliser_SourceData.Fertiliser_Products_Data1(),FertiliserProducts[[#Headers],[Include or Exclude]], 0)</f>
        <v/>
      </c>
      <c r="H126" s="186" t="str" cm="1">
        <f t="array" ref="H126">Common_InputFunctions.Utility_DisplayArrayInTable(Fertiliser_SourceData.Fertiliser_Products_Data1(),FertiliserProducts[[#Headers],[Include or Exclude]], 0,4)</f>
        <v/>
      </c>
      <c r="I126" s="186" t="str" cm="1">
        <f t="array" ref="I126">Common_InputFunctions.Utility_DisplayArrayInTable(Fertiliser_SourceData.Fertiliser_Products_Data1(),FertiliserProducts[[#Headers],[Include or Exclude]], 0,4)</f>
        <v/>
      </c>
      <c r="J126" s="186" t="str" cm="1">
        <f t="array" ref="J126">Common_InputFunctions.Utility_DisplayArrayInTable(Fertiliser_SourceData.Fertiliser_Products_Data1(),FertiliserProducts[[#Headers],[Include or Exclude]], 0,4)</f>
        <v/>
      </c>
      <c r="K126" s="186" t="str" cm="1">
        <f t="array" ref="K126">Common_InputFunctions.Utility_DisplayArrayInTable(Fertiliser_SourceData.Fertiliser_Products_Data1(),FertiliserProducts[[#Headers],[Include or Exclude]], 0,4)</f>
        <v/>
      </c>
      <c r="L126" s="186" t="str" cm="1">
        <f t="array" ref="L126">Common_InputFunctions.Utility_DisplayArrayInTable(Fertiliser_SourceData.Fertiliser_Products_Data1(),FertiliserProducts[[#Headers],[Include or Exclude]], 0,4)</f>
        <v/>
      </c>
      <c r="M126" s="186" t="str" cm="1">
        <f t="array" ref="M126">Common_InputFunctions.Utility_DisplayArrayInTable(Fertiliser_SourceData.Fertiliser_Products_Data1(),FertiliserProducts[[#Headers],[Include or Exclude]], 0,4)</f>
        <v/>
      </c>
      <c r="N126" s="186" t="str" cm="1">
        <f t="array" ref="N126">Common_InputFunctions.Utility_DisplayArrayInTable(Fertiliser_SourceData.Fertiliser_Products_Data1(),FertiliserProducts[[#Headers],[Include or Exclude]], 0,4)</f>
        <v/>
      </c>
      <c r="O126" s="186" t="str" cm="1">
        <f t="array" ref="O126">Common_InputFunctions.Utility_DisplayArrayInTable(Fertiliser_SourceData.Fertiliser_Products_Data1(),FertiliserProducts[[#Headers],[Include or Exclude]], 0,4)</f>
        <v/>
      </c>
      <c r="P126" s="186" t="str" cm="1">
        <f t="array" ref="P126">Common_InputFunctions.Utility_DisplayArrayInTable(Fertiliser_SourceData.Fertiliser_Products_Data1(),FertiliserProducts[[#Headers],[Include or Exclude]], 0,4)</f>
        <v/>
      </c>
      <c r="Q126" s="186" t="str" cm="1">
        <f t="array" ref="Q126">Common_InputFunctions.Utility_DisplayArrayInTable(Fertiliser_SourceData.Fertiliser_Products_Data1(),FertiliserProducts[[#Headers],[Include or Exclude]], 0,4)</f>
        <v/>
      </c>
      <c r="R126" s="186" t="str" cm="1">
        <f t="array" ref="R126">Common_InputFunctions.Utility_DisplayArrayInTable(Fertiliser_SourceData.Fertiliser_Products_Data1(),FertiliserProducts[[#Headers],[Include or Exclude]], 0,4)</f>
        <v/>
      </c>
      <c r="S126" s="186" t="str" cm="1">
        <f t="array" ref="S126">Common_InputFunctions.Utility_DisplayArrayInTable(Fertiliser_SourceData.Fertiliser_Products_Data1(),FertiliserProducts[[#Headers],[Include or Exclude]], 0,4)</f>
        <v/>
      </c>
      <c r="T126" s="186" t="str" cm="1">
        <f t="array" ref="T126">Common_InputFunctions.Utility_DisplayArrayInTable(Fertiliser_SourceData.Fertiliser_Products_Data1(),FertiliserProducts[[#Headers],[Include or Exclude]], 0,4)</f>
        <v/>
      </c>
      <c r="U126" s="186" t="str" cm="1">
        <f t="array" ref="U126">Common_InputFunctions.Utility_DisplayArrayInTable(Fertiliser_SourceData.Fertiliser_Products_Data1(),FertiliserProducts[[#Headers],[Include or Exclude]], 0,4)</f>
        <v/>
      </c>
      <c r="V126" s="186" t="str" cm="1">
        <f t="array" ref="V126">Common_InputFunctions.Utility_DisplayArrayInTable(Fertiliser_SourceData.Fertiliser_Products_Data1(),FertiliserProducts[[#Headers],[Include or Exclude]], 0,4)</f>
        <v/>
      </c>
      <c r="W126" s="186" t="str" cm="1">
        <f t="array" ref="W126">Common_InputFunctions.Utility_DisplayArrayInTable(Fertiliser_SourceData.Fertiliser_Products_Data1(),FertiliserProducts[[#Headers],[Include or Exclude]], 0,4)</f>
        <v/>
      </c>
      <c r="X126" s="186" t="str" cm="1">
        <f t="array" ref="X126">Common_InputFunctions.Utility_DisplayArrayInTable(Fertiliser_SourceData.Fertiliser_Products_Data1(),FertiliserProducts[[#Headers],[Include or Exclude]], 0,4)</f>
        <v/>
      </c>
      <c r="Y126" s="186" t="str" cm="1">
        <f t="array" ref="Y126">Common_InputFunctions.Utility_DisplayArrayInTable(Fertiliser_SourceData.Fertiliser_Products_Data1(),FertiliserProducts[[#Headers],[Include or Exclude]], 0,4)</f>
        <v/>
      </c>
      <c r="Z126" s="186" t="str" cm="1">
        <f t="array" ref="Z126">Common_InputFunctions.Utility_DisplayArrayInTable(Fertiliser_SourceData.Fertiliser_Products_Data1(),FertiliserProducts[[#Headers],[Include or Exclude]], 0,4)</f>
        <v/>
      </c>
      <c r="AA126" s="186" t="str" cm="1">
        <f t="array" ref="AA126">Common_InputFunctions.Utility_DisplayArrayInTable(Fertiliser_SourceData.Fertiliser_Products_Data1(),FertiliserProducts[[#Headers],[Include or Exclude]], 0,4)</f>
        <v/>
      </c>
      <c r="AB126" s="186" t="str" cm="1">
        <f t="array" ref="AB126">Common_InputFunctions.Utility_DisplayArrayInTable(Fertiliser_SourceData.Fertiliser_Products_Data1(),FertiliserProducts[[#Headers],[Include or Exclude]], 0,4)</f>
        <v/>
      </c>
      <c r="AC126" s="186" t="str" cm="1">
        <f t="array" ref="AC126">Common_InputFunctions.Utility_DisplayArrayInTable(Fertiliser_SourceData.Fertiliser_Products_Data1(),FertiliserProducts[[#Headers],[Include or Exclude]], 0,4)</f>
        <v/>
      </c>
      <c r="AD126" s="186" t="str" cm="1">
        <f t="array" ref="AD126">Common_InputFunctions.Utility_DisplayArrayInTable(Fertiliser_SourceData.Fertiliser_Products_Data1(),FertiliserProducts[[#Headers],[Include or Exclude]], 0,4)</f>
        <v/>
      </c>
      <c r="AE126" s="186" t="str" cm="1">
        <f t="array" ref="AE126">Common_InputFunctions.Utility_DisplayArrayInTable(Fertiliser_SourceData.Fertiliser_Products_Data1(),FertiliserProducts[[#Headers],[Include or Exclude]], 0,4)</f>
        <v/>
      </c>
    </row>
    <row r="127" spans="4:31" ht="20.100000000000001" customHeight="1" x14ac:dyDescent="0.25">
      <c r="D127" s="186" t="str" cm="1">
        <f t="array" ref="D127">Common_InputFunctions.Utility_DisplayArrayInTable(Fertiliser_SourceData.Fertiliser_Products_Data1(),FertiliserProducts[[#Headers],[Include or Exclude]], -1)</f>
        <v/>
      </c>
      <c r="E127" s="186" t="str" cm="1">
        <f t="array" ref="E127">Common_InputFunctions.Utility_DisplayArrayInTable(Fertiliser_SourceData.Fertiliser_Products_Data1(),FertiliserProducts[[#Headers],[Include or Exclude]], 0)</f>
        <v/>
      </c>
      <c r="F127" s="186" t="str" cm="1">
        <f t="array" ref="F127">Common_InputFunctions.Utility_DisplayArrayInTable(Fertiliser_SourceData.Fertiliser_Products_Data1(),FertiliserProducts[[#Headers],[Include or Exclude]], 0)</f>
        <v/>
      </c>
      <c r="G127" s="186" t="str" cm="1">
        <f t="array" ref="G127">Common_InputFunctions.Utility_DisplayArrayInTable(Fertiliser_SourceData.Fertiliser_Products_Data1(),FertiliserProducts[[#Headers],[Include or Exclude]], 0)</f>
        <v/>
      </c>
      <c r="H127" s="186" t="str" cm="1">
        <f t="array" ref="H127">Common_InputFunctions.Utility_DisplayArrayInTable(Fertiliser_SourceData.Fertiliser_Products_Data1(),FertiliserProducts[[#Headers],[Include or Exclude]], 0,4)</f>
        <v/>
      </c>
      <c r="I127" s="186" t="str" cm="1">
        <f t="array" ref="I127">Common_InputFunctions.Utility_DisplayArrayInTable(Fertiliser_SourceData.Fertiliser_Products_Data1(),FertiliserProducts[[#Headers],[Include or Exclude]], 0,4)</f>
        <v/>
      </c>
      <c r="J127" s="186" t="str" cm="1">
        <f t="array" ref="J127">Common_InputFunctions.Utility_DisplayArrayInTable(Fertiliser_SourceData.Fertiliser_Products_Data1(),FertiliserProducts[[#Headers],[Include or Exclude]], 0,4)</f>
        <v/>
      </c>
      <c r="K127" s="186" t="str" cm="1">
        <f t="array" ref="K127">Common_InputFunctions.Utility_DisplayArrayInTable(Fertiliser_SourceData.Fertiliser_Products_Data1(),FertiliserProducts[[#Headers],[Include or Exclude]], 0,4)</f>
        <v/>
      </c>
      <c r="L127" s="186" t="str" cm="1">
        <f t="array" ref="L127">Common_InputFunctions.Utility_DisplayArrayInTable(Fertiliser_SourceData.Fertiliser_Products_Data1(),FertiliserProducts[[#Headers],[Include or Exclude]], 0,4)</f>
        <v/>
      </c>
      <c r="M127" s="186" t="str" cm="1">
        <f t="array" ref="M127">Common_InputFunctions.Utility_DisplayArrayInTable(Fertiliser_SourceData.Fertiliser_Products_Data1(),FertiliserProducts[[#Headers],[Include or Exclude]], 0,4)</f>
        <v/>
      </c>
      <c r="N127" s="186" t="str" cm="1">
        <f t="array" ref="N127">Common_InputFunctions.Utility_DisplayArrayInTable(Fertiliser_SourceData.Fertiliser_Products_Data1(),FertiliserProducts[[#Headers],[Include or Exclude]], 0,4)</f>
        <v/>
      </c>
      <c r="O127" s="186" t="str" cm="1">
        <f t="array" ref="O127">Common_InputFunctions.Utility_DisplayArrayInTable(Fertiliser_SourceData.Fertiliser_Products_Data1(),FertiliserProducts[[#Headers],[Include or Exclude]], 0,4)</f>
        <v/>
      </c>
      <c r="P127" s="186" t="str" cm="1">
        <f t="array" ref="P127">Common_InputFunctions.Utility_DisplayArrayInTable(Fertiliser_SourceData.Fertiliser_Products_Data1(),FertiliserProducts[[#Headers],[Include or Exclude]], 0,4)</f>
        <v/>
      </c>
      <c r="Q127" s="186" t="str" cm="1">
        <f t="array" ref="Q127">Common_InputFunctions.Utility_DisplayArrayInTable(Fertiliser_SourceData.Fertiliser_Products_Data1(),FertiliserProducts[[#Headers],[Include or Exclude]], 0,4)</f>
        <v/>
      </c>
      <c r="R127" s="186" t="str" cm="1">
        <f t="array" ref="R127">Common_InputFunctions.Utility_DisplayArrayInTable(Fertiliser_SourceData.Fertiliser_Products_Data1(),FertiliserProducts[[#Headers],[Include or Exclude]], 0,4)</f>
        <v/>
      </c>
      <c r="S127" s="186" t="str" cm="1">
        <f t="array" ref="S127">Common_InputFunctions.Utility_DisplayArrayInTable(Fertiliser_SourceData.Fertiliser_Products_Data1(),FertiliserProducts[[#Headers],[Include or Exclude]], 0,4)</f>
        <v/>
      </c>
      <c r="T127" s="186" t="str" cm="1">
        <f t="array" ref="T127">Common_InputFunctions.Utility_DisplayArrayInTable(Fertiliser_SourceData.Fertiliser_Products_Data1(),FertiliserProducts[[#Headers],[Include or Exclude]], 0,4)</f>
        <v/>
      </c>
      <c r="U127" s="186" t="str" cm="1">
        <f t="array" ref="U127">Common_InputFunctions.Utility_DisplayArrayInTable(Fertiliser_SourceData.Fertiliser_Products_Data1(),FertiliserProducts[[#Headers],[Include or Exclude]], 0,4)</f>
        <v/>
      </c>
      <c r="V127" s="186" t="str" cm="1">
        <f t="array" ref="V127">Common_InputFunctions.Utility_DisplayArrayInTable(Fertiliser_SourceData.Fertiliser_Products_Data1(),FertiliserProducts[[#Headers],[Include or Exclude]], 0,4)</f>
        <v/>
      </c>
      <c r="W127" s="186" t="str" cm="1">
        <f t="array" ref="W127">Common_InputFunctions.Utility_DisplayArrayInTable(Fertiliser_SourceData.Fertiliser_Products_Data1(),FertiliserProducts[[#Headers],[Include or Exclude]], 0,4)</f>
        <v/>
      </c>
      <c r="X127" s="186" t="str" cm="1">
        <f t="array" ref="X127">Common_InputFunctions.Utility_DisplayArrayInTable(Fertiliser_SourceData.Fertiliser_Products_Data1(),FertiliserProducts[[#Headers],[Include or Exclude]], 0,4)</f>
        <v/>
      </c>
      <c r="Y127" s="186" t="str" cm="1">
        <f t="array" ref="Y127">Common_InputFunctions.Utility_DisplayArrayInTable(Fertiliser_SourceData.Fertiliser_Products_Data1(),FertiliserProducts[[#Headers],[Include or Exclude]], 0,4)</f>
        <v/>
      </c>
      <c r="Z127" s="186" t="str" cm="1">
        <f t="array" ref="Z127">Common_InputFunctions.Utility_DisplayArrayInTable(Fertiliser_SourceData.Fertiliser_Products_Data1(),FertiliserProducts[[#Headers],[Include or Exclude]], 0,4)</f>
        <v/>
      </c>
      <c r="AA127" s="186" t="str" cm="1">
        <f t="array" ref="AA127">Common_InputFunctions.Utility_DisplayArrayInTable(Fertiliser_SourceData.Fertiliser_Products_Data1(),FertiliserProducts[[#Headers],[Include or Exclude]], 0,4)</f>
        <v/>
      </c>
      <c r="AB127" s="186" t="str" cm="1">
        <f t="array" ref="AB127">Common_InputFunctions.Utility_DisplayArrayInTable(Fertiliser_SourceData.Fertiliser_Products_Data1(),FertiliserProducts[[#Headers],[Include or Exclude]], 0,4)</f>
        <v/>
      </c>
      <c r="AC127" s="186" t="str" cm="1">
        <f t="array" ref="AC127">Common_InputFunctions.Utility_DisplayArrayInTable(Fertiliser_SourceData.Fertiliser_Products_Data1(),FertiliserProducts[[#Headers],[Include or Exclude]], 0,4)</f>
        <v/>
      </c>
      <c r="AD127" s="186" t="str" cm="1">
        <f t="array" ref="AD127">Common_InputFunctions.Utility_DisplayArrayInTable(Fertiliser_SourceData.Fertiliser_Products_Data1(),FertiliserProducts[[#Headers],[Include or Exclude]], 0,4)</f>
        <v/>
      </c>
      <c r="AE127" s="186" t="str" cm="1">
        <f t="array" ref="AE127">Common_InputFunctions.Utility_DisplayArrayInTable(Fertiliser_SourceData.Fertiliser_Products_Data1(),FertiliserProducts[[#Headers],[Include or Exclude]], 0,4)</f>
        <v/>
      </c>
    </row>
    <row r="128" spans="4:31" ht="20.100000000000001" customHeight="1" x14ac:dyDescent="0.25">
      <c r="D128" s="186" t="str" cm="1">
        <f t="array" ref="D128">Common_InputFunctions.Utility_DisplayArrayInTable(Fertiliser_SourceData.Fertiliser_Products_Data1(),FertiliserProducts[[#Headers],[Include or Exclude]], -1)</f>
        <v/>
      </c>
      <c r="E128" s="186" t="str" cm="1">
        <f t="array" ref="E128">Common_InputFunctions.Utility_DisplayArrayInTable(Fertiliser_SourceData.Fertiliser_Products_Data1(),FertiliserProducts[[#Headers],[Include or Exclude]], 0)</f>
        <v/>
      </c>
      <c r="F128" s="186" t="str" cm="1">
        <f t="array" ref="F128">Common_InputFunctions.Utility_DisplayArrayInTable(Fertiliser_SourceData.Fertiliser_Products_Data1(),FertiliserProducts[[#Headers],[Include or Exclude]], 0)</f>
        <v/>
      </c>
      <c r="G128" s="186" t="str" cm="1">
        <f t="array" ref="G128">Common_InputFunctions.Utility_DisplayArrayInTable(Fertiliser_SourceData.Fertiliser_Products_Data1(),FertiliserProducts[[#Headers],[Include or Exclude]], 0)</f>
        <v/>
      </c>
      <c r="H128" s="186" t="str" cm="1">
        <f t="array" ref="H128">Common_InputFunctions.Utility_DisplayArrayInTable(Fertiliser_SourceData.Fertiliser_Products_Data1(),FertiliserProducts[[#Headers],[Include or Exclude]], 0,4)</f>
        <v/>
      </c>
      <c r="I128" s="186" t="str" cm="1">
        <f t="array" ref="I128">Common_InputFunctions.Utility_DisplayArrayInTable(Fertiliser_SourceData.Fertiliser_Products_Data1(),FertiliserProducts[[#Headers],[Include or Exclude]], 0,4)</f>
        <v/>
      </c>
      <c r="J128" s="186" t="str" cm="1">
        <f t="array" ref="J128">Common_InputFunctions.Utility_DisplayArrayInTable(Fertiliser_SourceData.Fertiliser_Products_Data1(),FertiliserProducts[[#Headers],[Include or Exclude]], 0,4)</f>
        <v/>
      </c>
      <c r="K128" s="186" t="str" cm="1">
        <f t="array" ref="K128">Common_InputFunctions.Utility_DisplayArrayInTable(Fertiliser_SourceData.Fertiliser_Products_Data1(),FertiliserProducts[[#Headers],[Include or Exclude]], 0,4)</f>
        <v/>
      </c>
      <c r="L128" s="186" t="str" cm="1">
        <f t="array" ref="L128">Common_InputFunctions.Utility_DisplayArrayInTable(Fertiliser_SourceData.Fertiliser_Products_Data1(),FertiliserProducts[[#Headers],[Include or Exclude]], 0,4)</f>
        <v/>
      </c>
      <c r="M128" s="186" t="str" cm="1">
        <f t="array" ref="M128">Common_InputFunctions.Utility_DisplayArrayInTable(Fertiliser_SourceData.Fertiliser_Products_Data1(),FertiliserProducts[[#Headers],[Include or Exclude]], 0,4)</f>
        <v/>
      </c>
      <c r="N128" s="186" t="str" cm="1">
        <f t="array" ref="N128">Common_InputFunctions.Utility_DisplayArrayInTable(Fertiliser_SourceData.Fertiliser_Products_Data1(),FertiliserProducts[[#Headers],[Include or Exclude]], 0,4)</f>
        <v/>
      </c>
      <c r="O128" s="186" t="str" cm="1">
        <f t="array" ref="O128">Common_InputFunctions.Utility_DisplayArrayInTable(Fertiliser_SourceData.Fertiliser_Products_Data1(),FertiliserProducts[[#Headers],[Include or Exclude]], 0,4)</f>
        <v/>
      </c>
      <c r="P128" s="186" t="str" cm="1">
        <f t="array" ref="P128">Common_InputFunctions.Utility_DisplayArrayInTable(Fertiliser_SourceData.Fertiliser_Products_Data1(),FertiliserProducts[[#Headers],[Include or Exclude]], 0,4)</f>
        <v/>
      </c>
      <c r="Q128" s="186" t="str" cm="1">
        <f t="array" ref="Q128">Common_InputFunctions.Utility_DisplayArrayInTable(Fertiliser_SourceData.Fertiliser_Products_Data1(),FertiliserProducts[[#Headers],[Include or Exclude]], 0,4)</f>
        <v/>
      </c>
      <c r="R128" s="186" t="str" cm="1">
        <f t="array" ref="R128">Common_InputFunctions.Utility_DisplayArrayInTable(Fertiliser_SourceData.Fertiliser_Products_Data1(),FertiliserProducts[[#Headers],[Include or Exclude]], 0,4)</f>
        <v/>
      </c>
      <c r="S128" s="186" t="str" cm="1">
        <f t="array" ref="S128">Common_InputFunctions.Utility_DisplayArrayInTable(Fertiliser_SourceData.Fertiliser_Products_Data1(),FertiliserProducts[[#Headers],[Include or Exclude]], 0,4)</f>
        <v/>
      </c>
      <c r="T128" s="186" t="str" cm="1">
        <f t="array" ref="T128">Common_InputFunctions.Utility_DisplayArrayInTable(Fertiliser_SourceData.Fertiliser_Products_Data1(),FertiliserProducts[[#Headers],[Include or Exclude]], 0,4)</f>
        <v/>
      </c>
      <c r="U128" s="186" t="str" cm="1">
        <f t="array" ref="U128">Common_InputFunctions.Utility_DisplayArrayInTable(Fertiliser_SourceData.Fertiliser_Products_Data1(),FertiliserProducts[[#Headers],[Include or Exclude]], 0,4)</f>
        <v/>
      </c>
      <c r="V128" s="186" t="str" cm="1">
        <f t="array" ref="V128">Common_InputFunctions.Utility_DisplayArrayInTable(Fertiliser_SourceData.Fertiliser_Products_Data1(),FertiliserProducts[[#Headers],[Include or Exclude]], 0,4)</f>
        <v/>
      </c>
      <c r="W128" s="186" t="str" cm="1">
        <f t="array" ref="W128">Common_InputFunctions.Utility_DisplayArrayInTable(Fertiliser_SourceData.Fertiliser_Products_Data1(),FertiliserProducts[[#Headers],[Include or Exclude]], 0,4)</f>
        <v/>
      </c>
      <c r="X128" s="186" t="str" cm="1">
        <f t="array" ref="X128">Common_InputFunctions.Utility_DisplayArrayInTable(Fertiliser_SourceData.Fertiliser_Products_Data1(),FertiliserProducts[[#Headers],[Include or Exclude]], 0,4)</f>
        <v/>
      </c>
      <c r="Y128" s="186" t="str" cm="1">
        <f t="array" ref="Y128">Common_InputFunctions.Utility_DisplayArrayInTable(Fertiliser_SourceData.Fertiliser_Products_Data1(),FertiliserProducts[[#Headers],[Include or Exclude]], 0,4)</f>
        <v/>
      </c>
      <c r="Z128" s="186" t="str" cm="1">
        <f t="array" ref="Z128">Common_InputFunctions.Utility_DisplayArrayInTable(Fertiliser_SourceData.Fertiliser_Products_Data1(),FertiliserProducts[[#Headers],[Include or Exclude]], 0,4)</f>
        <v/>
      </c>
      <c r="AA128" s="186" t="str" cm="1">
        <f t="array" ref="AA128">Common_InputFunctions.Utility_DisplayArrayInTable(Fertiliser_SourceData.Fertiliser_Products_Data1(),FertiliserProducts[[#Headers],[Include or Exclude]], 0,4)</f>
        <v/>
      </c>
      <c r="AB128" s="186" t="str" cm="1">
        <f t="array" ref="AB128">Common_InputFunctions.Utility_DisplayArrayInTable(Fertiliser_SourceData.Fertiliser_Products_Data1(),FertiliserProducts[[#Headers],[Include or Exclude]], 0,4)</f>
        <v/>
      </c>
      <c r="AC128" s="186" t="str" cm="1">
        <f t="array" ref="AC128">Common_InputFunctions.Utility_DisplayArrayInTable(Fertiliser_SourceData.Fertiliser_Products_Data1(),FertiliserProducts[[#Headers],[Include or Exclude]], 0,4)</f>
        <v/>
      </c>
      <c r="AD128" s="186" t="str" cm="1">
        <f t="array" ref="AD128">Common_InputFunctions.Utility_DisplayArrayInTable(Fertiliser_SourceData.Fertiliser_Products_Data1(),FertiliserProducts[[#Headers],[Include or Exclude]], 0,4)</f>
        <v/>
      </c>
      <c r="AE128" s="186" t="str" cm="1">
        <f t="array" ref="AE128">Common_InputFunctions.Utility_DisplayArrayInTable(Fertiliser_SourceData.Fertiliser_Products_Data1(),FertiliserProducts[[#Headers],[Include or Exclude]], 0,4)</f>
        <v/>
      </c>
    </row>
    <row r="129" spans="4:31" ht="20.100000000000001" customHeight="1" x14ac:dyDescent="0.25">
      <c r="D129" s="186" t="str" cm="1">
        <f t="array" ref="D129">Common_InputFunctions.Utility_DisplayArrayInTable(Fertiliser_SourceData.Fertiliser_Products_Data1(),FertiliserProducts[[#Headers],[Include or Exclude]], -1)</f>
        <v/>
      </c>
      <c r="E129" s="186" t="str" cm="1">
        <f t="array" ref="E129">Common_InputFunctions.Utility_DisplayArrayInTable(Fertiliser_SourceData.Fertiliser_Products_Data1(),FertiliserProducts[[#Headers],[Include or Exclude]], 0)</f>
        <v/>
      </c>
      <c r="F129" s="186" t="str" cm="1">
        <f t="array" ref="F129">Common_InputFunctions.Utility_DisplayArrayInTable(Fertiliser_SourceData.Fertiliser_Products_Data1(),FertiliserProducts[[#Headers],[Include or Exclude]], 0)</f>
        <v/>
      </c>
      <c r="G129" s="186" t="str" cm="1">
        <f t="array" ref="G129">Common_InputFunctions.Utility_DisplayArrayInTable(Fertiliser_SourceData.Fertiliser_Products_Data1(),FertiliserProducts[[#Headers],[Include or Exclude]], 0)</f>
        <v/>
      </c>
      <c r="H129" s="186" t="str" cm="1">
        <f t="array" ref="H129">Common_InputFunctions.Utility_DisplayArrayInTable(Fertiliser_SourceData.Fertiliser_Products_Data1(),FertiliserProducts[[#Headers],[Include or Exclude]], 0,4)</f>
        <v/>
      </c>
      <c r="I129" s="186" t="str" cm="1">
        <f t="array" ref="I129">Common_InputFunctions.Utility_DisplayArrayInTable(Fertiliser_SourceData.Fertiliser_Products_Data1(),FertiliserProducts[[#Headers],[Include or Exclude]], 0,4)</f>
        <v/>
      </c>
      <c r="J129" s="186" t="str" cm="1">
        <f t="array" ref="J129">Common_InputFunctions.Utility_DisplayArrayInTable(Fertiliser_SourceData.Fertiliser_Products_Data1(),FertiliserProducts[[#Headers],[Include or Exclude]], 0,4)</f>
        <v/>
      </c>
      <c r="K129" s="186" t="str" cm="1">
        <f t="array" ref="K129">Common_InputFunctions.Utility_DisplayArrayInTable(Fertiliser_SourceData.Fertiliser_Products_Data1(),FertiliserProducts[[#Headers],[Include or Exclude]], 0,4)</f>
        <v/>
      </c>
      <c r="L129" s="186" t="str" cm="1">
        <f t="array" ref="L129">Common_InputFunctions.Utility_DisplayArrayInTable(Fertiliser_SourceData.Fertiliser_Products_Data1(),FertiliserProducts[[#Headers],[Include or Exclude]], 0,4)</f>
        <v/>
      </c>
      <c r="M129" s="186" t="str" cm="1">
        <f t="array" ref="M129">Common_InputFunctions.Utility_DisplayArrayInTable(Fertiliser_SourceData.Fertiliser_Products_Data1(),FertiliserProducts[[#Headers],[Include or Exclude]], 0,4)</f>
        <v/>
      </c>
      <c r="N129" s="186" t="str" cm="1">
        <f t="array" ref="N129">Common_InputFunctions.Utility_DisplayArrayInTable(Fertiliser_SourceData.Fertiliser_Products_Data1(),FertiliserProducts[[#Headers],[Include or Exclude]], 0,4)</f>
        <v/>
      </c>
      <c r="O129" s="186" t="str" cm="1">
        <f t="array" ref="O129">Common_InputFunctions.Utility_DisplayArrayInTable(Fertiliser_SourceData.Fertiliser_Products_Data1(),FertiliserProducts[[#Headers],[Include or Exclude]], 0,4)</f>
        <v/>
      </c>
      <c r="P129" s="186" t="str" cm="1">
        <f t="array" ref="P129">Common_InputFunctions.Utility_DisplayArrayInTable(Fertiliser_SourceData.Fertiliser_Products_Data1(),FertiliserProducts[[#Headers],[Include or Exclude]], 0,4)</f>
        <v/>
      </c>
      <c r="Q129" s="186" t="str" cm="1">
        <f t="array" ref="Q129">Common_InputFunctions.Utility_DisplayArrayInTable(Fertiliser_SourceData.Fertiliser_Products_Data1(),FertiliserProducts[[#Headers],[Include or Exclude]], 0,4)</f>
        <v/>
      </c>
      <c r="R129" s="186" t="str" cm="1">
        <f t="array" ref="R129">Common_InputFunctions.Utility_DisplayArrayInTable(Fertiliser_SourceData.Fertiliser_Products_Data1(),FertiliserProducts[[#Headers],[Include or Exclude]], 0,4)</f>
        <v/>
      </c>
      <c r="S129" s="186" t="str" cm="1">
        <f t="array" ref="S129">Common_InputFunctions.Utility_DisplayArrayInTable(Fertiliser_SourceData.Fertiliser_Products_Data1(),FertiliserProducts[[#Headers],[Include or Exclude]], 0,4)</f>
        <v/>
      </c>
      <c r="T129" s="186" t="str" cm="1">
        <f t="array" ref="T129">Common_InputFunctions.Utility_DisplayArrayInTable(Fertiliser_SourceData.Fertiliser_Products_Data1(),FertiliserProducts[[#Headers],[Include or Exclude]], 0,4)</f>
        <v/>
      </c>
      <c r="U129" s="186" t="str" cm="1">
        <f t="array" ref="U129">Common_InputFunctions.Utility_DisplayArrayInTable(Fertiliser_SourceData.Fertiliser_Products_Data1(),FertiliserProducts[[#Headers],[Include or Exclude]], 0,4)</f>
        <v/>
      </c>
      <c r="V129" s="186" t="str" cm="1">
        <f t="array" ref="V129">Common_InputFunctions.Utility_DisplayArrayInTable(Fertiliser_SourceData.Fertiliser_Products_Data1(),FertiliserProducts[[#Headers],[Include or Exclude]], 0,4)</f>
        <v/>
      </c>
      <c r="W129" s="186" t="str" cm="1">
        <f t="array" ref="W129">Common_InputFunctions.Utility_DisplayArrayInTable(Fertiliser_SourceData.Fertiliser_Products_Data1(),FertiliserProducts[[#Headers],[Include or Exclude]], 0,4)</f>
        <v/>
      </c>
      <c r="X129" s="186" t="str" cm="1">
        <f t="array" ref="X129">Common_InputFunctions.Utility_DisplayArrayInTable(Fertiliser_SourceData.Fertiliser_Products_Data1(),FertiliserProducts[[#Headers],[Include or Exclude]], 0,4)</f>
        <v/>
      </c>
      <c r="Y129" s="186" t="str" cm="1">
        <f t="array" ref="Y129">Common_InputFunctions.Utility_DisplayArrayInTable(Fertiliser_SourceData.Fertiliser_Products_Data1(),FertiliserProducts[[#Headers],[Include or Exclude]], 0,4)</f>
        <v/>
      </c>
      <c r="Z129" s="186" t="str" cm="1">
        <f t="array" ref="Z129">Common_InputFunctions.Utility_DisplayArrayInTable(Fertiliser_SourceData.Fertiliser_Products_Data1(),FertiliserProducts[[#Headers],[Include or Exclude]], 0,4)</f>
        <v/>
      </c>
      <c r="AA129" s="186" t="str" cm="1">
        <f t="array" ref="AA129">Common_InputFunctions.Utility_DisplayArrayInTable(Fertiliser_SourceData.Fertiliser_Products_Data1(),FertiliserProducts[[#Headers],[Include or Exclude]], 0,4)</f>
        <v/>
      </c>
      <c r="AB129" s="186" t="str" cm="1">
        <f t="array" ref="AB129">Common_InputFunctions.Utility_DisplayArrayInTable(Fertiliser_SourceData.Fertiliser_Products_Data1(),FertiliserProducts[[#Headers],[Include or Exclude]], 0,4)</f>
        <v/>
      </c>
      <c r="AC129" s="186" t="str" cm="1">
        <f t="array" ref="AC129">Common_InputFunctions.Utility_DisplayArrayInTable(Fertiliser_SourceData.Fertiliser_Products_Data1(),FertiliserProducts[[#Headers],[Include or Exclude]], 0,4)</f>
        <v/>
      </c>
      <c r="AD129" s="186" t="str" cm="1">
        <f t="array" ref="AD129">Common_InputFunctions.Utility_DisplayArrayInTable(Fertiliser_SourceData.Fertiliser_Products_Data1(),FertiliserProducts[[#Headers],[Include or Exclude]], 0,4)</f>
        <v/>
      </c>
      <c r="AE129" s="186" t="str" cm="1">
        <f t="array" ref="AE129">Common_InputFunctions.Utility_DisplayArrayInTable(Fertiliser_SourceData.Fertiliser_Products_Data1(),FertiliserProducts[[#Headers],[Include or Exclude]], 0,4)</f>
        <v/>
      </c>
    </row>
    <row r="130" spans="4:31" ht="20.100000000000001" customHeight="1" x14ac:dyDescent="0.25">
      <c r="D130" s="186" t="str" cm="1">
        <f t="array" ref="D130">Common_InputFunctions.Utility_DisplayArrayInTable(Fertiliser_SourceData.Fertiliser_Products_Data1(),FertiliserProducts[[#Headers],[Include or Exclude]], -1)</f>
        <v/>
      </c>
      <c r="E130" s="186" t="str" cm="1">
        <f t="array" ref="E130">Common_InputFunctions.Utility_DisplayArrayInTable(Fertiliser_SourceData.Fertiliser_Products_Data1(),FertiliserProducts[[#Headers],[Include or Exclude]], 0)</f>
        <v/>
      </c>
      <c r="F130" s="186" t="str" cm="1">
        <f t="array" ref="F130">Common_InputFunctions.Utility_DisplayArrayInTable(Fertiliser_SourceData.Fertiliser_Products_Data1(),FertiliserProducts[[#Headers],[Include or Exclude]], 0)</f>
        <v/>
      </c>
      <c r="G130" s="186" t="str" cm="1">
        <f t="array" ref="G130">Common_InputFunctions.Utility_DisplayArrayInTable(Fertiliser_SourceData.Fertiliser_Products_Data1(),FertiliserProducts[[#Headers],[Include or Exclude]], 0)</f>
        <v/>
      </c>
      <c r="H130" s="186" t="str" cm="1">
        <f t="array" ref="H130">Common_InputFunctions.Utility_DisplayArrayInTable(Fertiliser_SourceData.Fertiliser_Products_Data1(),FertiliserProducts[[#Headers],[Include or Exclude]], 0,4)</f>
        <v/>
      </c>
      <c r="I130" s="186" t="str" cm="1">
        <f t="array" ref="I130">Common_InputFunctions.Utility_DisplayArrayInTable(Fertiliser_SourceData.Fertiliser_Products_Data1(),FertiliserProducts[[#Headers],[Include or Exclude]], 0,4)</f>
        <v/>
      </c>
      <c r="J130" s="186" t="str" cm="1">
        <f t="array" ref="J130">Common_InputFunctions.Utility_DisplayArrayInTable(Fertiliser_SourceData.Fertiliser_Products_Data1(),FertiliserProducts[[#Headers],[Include or Exclude]], 0,4)</f>
        <v/>
      </c>
      <c r="K130" s="186" t="str" cm="1">
        <f t="array" ref="K130">Common_InputFunctions.Utility_DisplayArrayInTable(Fertiliser_SourceData.Fertiliser_Products_Data1(),FertiliserProducts[[#Headers],[Include or Exclude]], 0,4)</f>
        <v/>
      </c>
      <c r="L130" s="186" t="str" cm="1">
        <f t="array" ref="L130">Common_InputFunctions.Utility_DisplayArrayInTable(Fertiliser_SourceData.Fertiliser_Products_Data1(),FertiliserProducts[[#Headers],[Include or Exclude]], 0,4)</f>
        <v/>
      </c>
      <c r="M130" s="186" t="str" cm="1">
        <f t="array" ref="M130">Common_InputFunctions.Utility_DisplayArrayInTable(Fertiliser_SourceData.Fertiliser_Products_Data1(),FertiliserProducts[[#Headers],[Include or Exclude]], 0,4)</f>
        <v/>
      </c>
      <c r="N130" s="186" t="str" cm="1">
        <f t="array" ref="N130">Common_InputFunctions.Utility_DisplayArrayInTable(Fertiliser_SourceData.Fertiliser_Products_Data1(),FertiliserProducts[[#Headers],[Include or Exclude]], 0,4)</f>
        <v/>
      </c>
      <c r="O130" s="186" t="str" cm="1">
        <f t="array" ref="O130">Common_InputFunctions.Utility_DisplayArrayInTable(Fertiliser_SourceData.Fertiliser_Products_Data1(),FertiliserProducts[[#Headers],[Include or Exclude]], 0,4)</f>
        <v/>
      </c>
      <c r="P130" s="186" t="str" cm="1">
        <f t="array" ref="P130">Common_InputFunctions.Utility_DisplayArrayInTable(Fertiliser_SourceData.Fertiliser_Products_Data1(),FertiliserProducts[[#Headers],[Include or Exclude]], 0,4)</f>
        <v/>
      </c>
      <c r="Q130" s="186" t="str" cm="1">
        <f t="array" ref="Q130">Common_InputFunctions.Utility_DisplayArrayInTable(Fertiliser_SourceData.Fertiliser_Products_Data1(),FertiliserProducts[[#Headers],[Include or Exclude]], 0,4)</f>
        <v/>
      </c>
      <c r="R130" s="186" t="str" cm="1">
        <f t="array" ref="R130">Common_InputFunctions.Utility_DisplayArrayInTable(Fertiliser_SourceData.Fertiliser_Products_Data1(),FertiliserProducts[[#Headers],[Include or Exclude]], 0,4)</f>
        <v/>
      </c>
      <c r="S130" s="186" t="str" cm="1">
        <f t="array" ref="S130">Common_InputFunctions.Utility_DisplayArrayInTable(Fertiliser_SourceData.Fertiliser_Products_Data1(),FertiliserProducts[[#Headers],[Include or Exclude]], 0,4)</f>
        <v/>
      </c>
      <c r="T130" s="186" t="str" cm="1">
        <f t="array" ref="T130">Common_InputFunctions.Utility_DisplayArrayInTable(Fertiliser_SourceData.Fertiliser_Products_Data1(),FertiliserProducts[[#Headers],[Include or Exclude]], 0,4)</f>
        <v/>
      </c>
      <c r="U130" s="186" t="str" cm="1">
        <f t="array" ref="U130">Common_InputFunctions.Utility_DisplayArrayInTable(Fertiliser_SourceData.Fertiliser_Products_Data1(),FertiliserProducts[[#Headers],[Include or Exclude]], 0,4)</f>
        <v/>
      </c>
      <c r="V130" s="186" t="str" cm="1">
        <f t="array" ref="V130">Common_InputFunctions.Utility_DisplayArrayInTable(Fertiliser_SourceData.Fertiliser_Products_Data1(),FertiliserProducts[[#Headers],[Include or Exclude]], 0,4)</f>
        <v/>
      </c>
      <c r="W130" s="186" t="str" cm="1">
        <f t="array" ref="W130">Common_InputFunctions.Utility_DisplayArrayInTable(Fertiliser_SourceData.Fertiliser_Products_Data1(),FertiliserProducts[[#Headers],[Include or Exclude]], 0,4)</f>
        <v/>
      </c>
      <c r="X130" s="186" t="str" cm="1">
        <f t="array" ref="X130">Common_InputFunctions.Utility_DisplayArrayInTable(Fertiliser_SourceData.Fertiliser_Products_Data1(),FertiliserProducts[[#Headers],[Include or Exclude]], 0,4)</f>
        <v/>
      </c>
      <c r="Y130" s="186" t="str" cm="1">
        <f t="array" ref="Y130">Common_InputFunctions.Utility_DisplayArrayInTable(Fertiliser_SourceData.Fertiliser_Products_Data1(),FertiliserProducts[[#Headers],[Include or Exclude]], 0,4)</f>
        <v/>
      </c>
      <c r="Z130" s="186" t="str" cm="1">
        <f t="array" ref="Z130">Common_InputFunctions.Utility_DisplayArrayInTable(Fertiliser_SourceData.Fertiliser_Products_Data1(),FertiliserProducts[[#Headers],[Include or Exclude]], 0,4)</f>
        <v/>
      </c>
      <c r="AA130" s="186" t="str" cm="1">
        <f t="array" ref="AA130">Common_InputFunctions.Utility_DisplayArrayInTable(Fertiliser_SourceData.Fertiliser_Products_Data1(),FertiliserProducts[[#Headers],[Include or Exclude]], 0,4)</f>
        <v/>
      </c>
      <c r="AB130" s="186" t="str" cm="1">
        <f t="array" ref="AB130">Common_InputFunctions.Utility_DisplayArrayInTable(Fertiliser_SourceData.Fertiliser_Products_Data1(),FertiliserProducts[[#Headers],[Include or Exclude]], 0,4)</f>
        <v/>
      </c>
      <c r="AC130" s="186" t="str" cm="1">
        <f t="array" ref="AC130">Common_InputFunctions.Utility_DisplayArrayInTable(Fertiliser_SourceData.Fertiliser_Products_Data1(),FertiliserProducts[[#Headers],[Include or Exclude]], 0,4)</f>
        <v/>
      </c>
      <c r="AD130" s="186" t="str" cm="1">
        <f t="array" ref="AD130">Common_InputFunctions.Utility_DisplayArrayInTable(Fertiliser_SourceData.Fertiliser_Products_Data1(),FertiliserProducts[[#Headers],[Include or Exclude]], 0,4)</f>
        <v/>
      </c>
      <c r="AE130" s="186" t="str" cm="1">
        <f t="array" ref="AE130">Common_InputFunctions.Utility_DisplayArrayInTable(Fertiliser_SourceData.Fertiliser_Products_Data1(),FertiliserProducts[[#Headers],[Include or Exclude]], 0,4)</f>
        <v/>
      </c>
    </row>
    <row r="131" spans="4:31" ht="20.100000000000001" customHeight="1" x14ac:dyDescent="0.25">
      <c r="D131" s="186" t="str" cm="1">
        <f t="array" ref="D131">Common_InputFunctions.Utility_DisplayArrayInTable(Fertiliser_SourceData.Fertiliser_Products_Data1(),FertiliserProducts[[#Headers],[Include or Exclude]], -1)</f>
        <v/>
      </c>
      <c r="E131" s="186" t="str" cm="1">
        <f t="array" ref="E131">Common_InputFunctions.Utility_DisplayArrayInTable(Fertiliser_SourceData.Fertiliser_Products_Data1(),FertiliserProducts[[#Headers],[Include or Exclude]], 0)</f>
        <v/>
      </c>
      <c r="F131" s="186" t="str" cm="1">
        <f t="array" ref="F131">Common_InputFunctions.Utility_DisplayArrayInTable(Fertiliser_SourceData.Fertiliser_Products_Data1(),FertiliserProducts[[#Headers],[Include or Exclude]], 0)</f>
        <v/>
      </c>
      <c r="G131" s="186" t="str" cm="1">
        <f t="array" ref="G131">Common_InputFunctions.Utility_DisplayArrayInTable(Fertiliser_SourceData.Fertiliser_Products_Data1(),FertiliserProducts[[#Headers],[Include or Exclude]], 0)</f>
        <v/>
      </c>
      <c r="H131" s="186" t="str" cm="1">
        <f t="array" ref="H131">Common_InputFunctions.Utility_DisplayArrayInTable(Fertiliser_SourceData.Fertiliser_Products_Data1(),FertiliserProducts[[#Headers],[Include or Exclude]], 0,4)</f>
        <v/>
      </c>
      <c r="I131" s="186" t="str" cm="1">
        <f t="array" ref="I131">Common_InputFunctions.Utility_DisplayArrayInTable(Fertiliser_SourceData.Fertiliser_Products_Data1(),FertiliserProducts[[#Headers],[Include or Exclude]], 0,4)</f>
        <v/>
      </c>
      <c r="J131" s="186" t="str" cm="1">
        <f t="array" ref="J131">Common_InputFunctions.Utility_DisplayArrayInTable(Fertiliser_SourceData.Fertiliser_Products_Data1(),FertiliserProducts[[#Headers],[Include or Exclude]], 0,4)</f>
        <v/>
      </c>
      <c r="K131" s="186" t="str" cm="1">
        <f t="array" ref="K131">Common_InputFunctions.Utility_DisplayArrayInTable(Fertiliser_SourceData.Fertiliser_Products_Data1(),FertiliserProducts[[#Headers],[Include or Exclude]], 0,4)</f>
        <v/>
      </c>
      <c r="L131" s="186" t="str" cm="1">
        <f t="array" ref="L131">Common_InputFunctions.Utility_DisplayArrayInTable(Fertiliser_SourceData.Fertiliser_Products_Data1(),FertiliserProducts[[#Headers],[Include or Exclude]], 0,4)</f>
        <v/>
      </c>
      <c r="M131" s="186" t="str" cm="1">
        <f t="array" ref="M131">Common_InputFunctions.Utility_DisplayArrayInTable(Fertiliser_SourceData.Fertiliser_Products_Data1(),FertiliserProducts[[#Headers],[Include or Exclude]], 0,4)</f>
        <v/>
      </c>
      <c r="N131" s="186" t="str" cm="1">
        <f t="array" ref="N131">Common_InputFunctions.Utility_DisplayArrayInTable(Fertiliser_SourceData.Fertiliser_Products_Data1(),FertiliserProducts[[#Headers],[Include or Exclude]], 0,4)</f>
        <v/>
      </c>
      <c r="O131" s="186" t="str" cm="1">
        <f t="array" ref="O131">Common_InputFunctions.Utility_DisplayArrayInTable(Fertiliser_SourceData.Fertiliser_Products_Data1(),FertiliserProducts[[#Headers],[Include or Exclude]], 0,4)</f>
        <v/>
      </c>
      <c r="P131" s="186" t="str" cm="1">
        <f t="array" ref="P131">Common_InputFunctions.Utility_DisplayArrayInTable(Fertiliser_SourceData.Fertiliser_Products_Data1(),FertiliserProducts[[#Headers],[Include or Exclude]], 0,4)</f>
        <v/>
      </c>
      <c r="Q131" s="186" t="str" cm="1">
        <f t="array" ref="Q131">Common_InputFunctions.Utility_DisplayArrayInTable(Fertiliser_SourceData.Fertiliser_Products_Data1(),FertiliserProducts[[#Headers],[Include or Exclude]], 0,4)</f>
        <v/>
      </c>
      <c r="R131" s="186" t="str" cm="1">
        <f t="array" ref="R131">Common_InputFunctions.Utility_DisplayArrayInTable(Fertiliser_SourceData.Fertiliser_Products_Data1(),FertiliserProducts[[#Headers],[Include or Exclude]], 0,4)</f>
        <v/>
      </c>
      <c r="S131" s="186" t="str" cm="1">
        <f t="array" ref="S131">Common_InputFunctions.Utility_DisplayArrayInTable(Fertiliser_SourceData.Fertiliser_Products_Data1(),FertiliserProducts[[#Headers],[Include or Exclude]], 0,4)</f>
        <v/>
      </c>
      <c r="T131" s="186" t="str" cm="1">
        <f t="array" ref="T131">Common_InputFunctions.Utility_DisplayArrayInTable(Fertiliser_SourceData.Fertiliser_Products_Data1(),FertiliserProducts[[#Headers],[Include or Exclude]], 0,4)</f>
        <v/>
      </c>
      <c r="U131" s="186" t="str" cm="1">
        <f t="array" ref="U131">Common_InputFunctions.Utility_DisplayArrayInTable(Fertiliser_SourceData.Fertiliser_Products_Data1(),FertiliserProducts[[#Headers],[Include or Exclude]], 0,4)</f>
        <v/>
      </c>
      <c r="V131" s="186" t="str" cm="1">
        <f t="array" ref="V131">Common_InputFunctions.Utility_DisplayArrayInTable(Fertiliser_SourceData.Fertiliser_Products_Data1(),FertiliserProducts[[#Headers],[Include or Exclude]], 0,4)</f>
        <v/>
      </c>
      <c r="W131" s="186" t="str" cm="1">
        <f t="array" ref="W131">Common_InputFunctions.Utility_DisplayArrayInTable(Fertiliser_SourceData.Fertiliser_Products_Data1(),FertiliserProducts[[#Headers],[Include or Exclude]], 0,4)</f>
        <v/>
      </c>
      <c r="X131" s="186" t="str" cm="1">
        <f t="array" ref="X131">Common_InputFunctions.Utility_DisplayArrayInTable(Fertiliser_SourceData.Fertiliser_Products_Data1(),FertiliserProducts[[#Headers],[Include or Exclude]], 0,4)</f>
        <v/>
      </c>
      <c r="Y131" s="186" t="str" cm="1">
        <f t="array" ref="Y131">Common_InputFunctions.Utility_DisplayArrayInTable(Fertiliser_SourceData.Fertiliser_Products_Data1(),FertiliserProducts[[#Headers],[Include or Exclude]], 0,4)</f>
        <v/>
      </c>
      <c r="Z131" s="186" t="str" cm="1">
        <f t="array" ref="Z131">Common_InputFunctions.Utility_DisplayArrayInTable(Fertiliser_SourceData.Fertiliser_Products_Data1(),FertiliserProducts[[#Headers],[Include or Exclude]], 0,4)</f>
        <v/>
      </c>
      <c r="AA131" s="186" t="str" cm="1">
        <f t="array" ref="AA131">Common_InputFunctions.Utility_DisplayArrayInTable(Fertiliser_SourceData.Fertiliser_Products_Data1(),FertiliserProducts[[#Headers],[Include or Exclude]], 0,4)</f>
        <v/>
      </c>
      <c r="AB131" s="186" t="str" cm="1">
        <f t="array" ref="AB131">Common_InputFunctions.Utility_DisplayArrayInTable(Fertiliser_SourceData.Fertiliser_Products_Data1(),FertiliserProducts[[#Headers],[Include or Exclude]], 0,4)</f>
        <v/>
      </c>
      <c r="AC131" s="186" t="str" cm="1">
        <f t="array" ref="AC131">Common_InputFunctions.Utility_DisplayArrayInTable(Fertiliser_SourceData.Fertiliser_Products_Data1(),FertiliserProducts[[#Headers],[Include or Exclude]], 0,4)</f>
        <v/>
      </c>
      <c r="AD131" s="186" t="str" cm="1">
        <f t="array" ref="AD131">Common_InputFunctions.Utility_DisplayArrayInTable(Fertiliser_SourceData.Fertiliser_Products_Data1(),FertiliserProducts[[#Headers],[Include or Exclude]], 0,4)</f>
        <v/>
      </c>
      <c r="AE131" s="186" t="str" cm="1">
        <f t="array" ref="AE131">Common_InputFunctions.Utility_DisplayArrayInTable(Fertiliser_SourceData.Fertiliser_Products_Data1(),FertiliserProducts[[#Headers],[Include or Exclude]], 0,4)</f>
        <v/>
      </c>
    </row>
    <row r="132" spans="4:31" ht="20.100000000000001" customHeight="1" x14ac:dyDescent="0.25">
      <c r="D132" s="186" t="str" cm="1">
        <f t="array" ref="D132">Common_InputFunctions.Utility_DisplayArrayInTable(Fertiliser_SourceData.Fertiliser_Products_Data1(),FertiliserProducts[[#Headers],[Include or Exclude]], -1)</f>
        <v/>
      </c>
      <c r="E132" s="186" t="str" cm="1">
        <f t="array" ref="E132">Common_InputFunctions.Utility_DisplayArrayInTable(Fertiliser_SourceData.Fertiliser_Products_Data1(),FertiliserProducts[[#Headers],[Include or Exclude]], 0)</f>
        <v/>
      </c>
      <c r="F132" s="186" t="str" cm="1">
        <f t="array" ref="F132">Common_InputFunctions.Utility_DisplayArrayInTable(Fertiliser_SourceData.Fertiliser_Products_Data1(),FertiliserProducts[[#Headers],[Include or Exclude]], 0)</f>
        <v/>
      </c>
      <c r="G132" s="186" t="str" cm="1">
        <f t="array" ref="G132">Common_InputFunctions.Utility_DisplayArrayInTable(Fertiliser_SourceData.Fertiliser_Products_Data1(),FertiliserProducts[[#Headers],[Include or Exclude]], 0)</f>
        <v/>
      </c>
      <c r="H132" s="186" t="str" cm="1">
        <f t="array" ref="H132">Common_InputFunctions.Utility_DisplayArrayInTable(Fertiliser_SourceData.Fertiliser_Products_Data1(),FertiliserProducts[[#Headers],[Include or Exclude]], 0,4)</f>
        <v/>
      </c>
      <c r="I132" s="186" t="str" cm="1">
        <f t="array" ref="I132">Common_InputFunctions.Utility_DisplayArrayInTable(Fertiliser_SourceData.Fertiliser_Products_Data1(),FertiliserProducts[[#Headers],[Include or Exclude]], 0,4)</f>
        <v/>
      </c>
      <c r="J132" s="186" t="str" cm="1">
        <f t="array" ref="J132">Common_InputFunctions.Utility_DisplayArrayInTable(Fertiliser_SourceData.Fertiliser_Products_Data1(),FertiliserProducts[[#Headers],[Include or Exclude]], 0,4)</f>
        <v/>
      </c>
      <c r="K132" s="186" t="str" cm="1">
        <f t="array" ref="K132">Common_InputFunctions.Utility_DisplayArrayInTable(Fertiliser_SourceData.Fertiliser_Products_Data1(),FertiliserProducts[[#Headers],[Include or Exclude]], 0,4)</f>
        <v/>
      </c>
      <c r="L132" s="186" t="str" cm="1">
        <f t="array" ref="L132">Common_InputFunctions.Utility_DisplayArrayInTable(Fertiliser_SourceData.Fertiliser_Products_Data1(),FertiliserProducts[[#Headers],[Include or Exclude]], 0,4)</f>
        <v/>
      </c>
      <c r="M132" s="186" t="str" cm="1">
        <f t="array" ref="M132">Common_InputFunctions.Utility_DisplayArrayInTable(Fertiliser_SourceData.Fertiliser_Products_Data1(),FertiliserProducts[[#Headers],[Include or Exclude]], 0,4)</f>
        <v/>
      </c>
      <c r="N132" s="186" t="str" cm="1">
        <f t="array" ref="N132">Common_InputFunctions.Utility_DisplayArrayInTable(Fertiliser_SourceData.Fertiliser_Products_Data1(),FertiliserProducts[[#Headers],[Include or Exclude]], 0,4)</f>
        <v/>
      </c>
      <c r="O132" s="186" t="str" cm="1">
        <f t="array" ref="O132">Common_InputFunctions.Utility_DisplayArrayInTable(Fertiliser_SourceData.Fertiliser_Products_Data1(),FertiliserProducts[[#Headers],[Include or Exclude]], 0,4)</f>
        <v/>
      </c>
      <c r="P132" s="186" t="str" cm="1">
        <f t="array" ref="P132">Common_InputFunctions.Utility_DisplayArrayInTable(Fertiliser_SourceData.Fertiliser_Products_Data1(),FertiliserProducts[[#Headers],[Include or Exclude]], 0,4)</f>
        <v/>
      </c>
      <c r="Q132" s="186" t="str" cm="1">
        <f t="array" ref="Q132">Common_InputFunctions.Utility_DisplayArrayInTable(Fertiliser_SourceData.Fertiliser_Products_Data1(),FertiliserProducts[[#Headers],[Include or Exclude]], 0,4)</f>
        <v/>
      </c>
      <c r="R132" s="186" t="str" cm="1">
        <f t="array" ref="R132">Common_InputFunctions.Utility_DisplayArrayInTable(Fertiliser_SourceData.Fertiliser_Products_Data1(),FertiliserProducts[[#Headers],[Include or Exclude]], 0,4)</f>
        <v/>
      </c>
      <c r="S132" s="186" t="str" cm="1">
        <f t="array" ref="S132">Common_InputFunctions.Utility_DisplayArrayInTable(Fertiliser_SourceData.Fertiliser_Products_Data1(),FertiliserProducts[[#Headers],[Include or Exclude]], 0,4)</f>
        <v/>
      </c>
      <c r="T132" s="186" t="str" cm="1">
        <f t="array" ref="T132">Common_InputFunctions.Utility_DisplayArrayInTable(Fertiliser_SourceData.Fertiliser_Products_Data1(),FertiliserProducts[[#Headers],[Include or Exclude]], 0,4)</f>
        <v/>
      </c>
      <c r="U132" s="186" t="str" cm="1">
        <f t="array" ref="U132">Common_InputFunctions.Utility_DisplayArrayInTable(Fertiliser_SourceData.Fertiliser_Products_Data1(),FertiliserProducts[[#Headers],[Include or Exclude]], 0,4)</f>
        <v/>
      </c>
      <c r="V132" s="186" t="str" cm="1">
        <f t="array" ref="V132">Common_InputFunctions.Utility_DisplayArrayInTable(Fertiliser_SourceData.Fertiliser_Products_Data1(),FertiliserProducts[[#Headers],[Include or Exclude]], 0,4)</f>
        <v/>
      </c>
      <c r="W132" s="186" t="str" cm="1">
        <f t="array" ref="W132">Common_InputFunctions.Utility_DisplayArrayInTable(Fertiliser_SourceData.Fertiliser_Products_Data1(),FertiliserProducts[[#Headers],[Include or Exclude]], 0,4)</f>
        <v/>
      </c>
      <c r="X132" s="186" t="str" cm="1">
        <f t="array" ref="X132">Common_InputFunctions.Utility_DisplayArrayInTable(Fertiliser_SourceData.Fertiliser_Products_Data1(),FertiliserProducts[[#Headers],[Include or Exclude]], 0,4)</f>
        <v/>
      </c>
      <c r="Y132" s="186" t="str" cm="1">
        <f t="array" ref="Y132">Common_InputFunctions.Utility_DisplayArrayInTable(Fertiliser_SourceData.Fertiliser_Products_Data1(),FertiliserProducts[[#Headers],[Include or Exclude]], 0,4)</f>
        <v/>
      </c>
      <c r="Z132" s="186" t="str" cm="1">
        <f t="array" ref="Z132">Common_InputFunctions.Utility_DisplayArrayInTable(Fertiliser_SourceData.Fertiliser_Products_Data1(),FertiliserProducts[[#Headers],[Include or Exclude]], 0,4)</f>
        <v/>
      </c>
      <c r="AA132" s="186" t="str" cm="1">
        <f t="array" ref="AA132">Common_InputFunctions.Utility_DisplayArrayInTable(Fertiliser_SourceData.Fertiliser_Products_Data1(),FertiliserProducts[[#Headers],[Include or Exclude]], 0,4)</f>
        <v/>
      </c>
      <c r="AB132" s="186" t="str" cm="1">
        <f t="array" ref="AB132">Common_InputFunctions.Utility_DisplayArrayInTable(Fertiliser_SourceData.Fertiliser_Products_Data1(),FertiliserProducts[[#Headers],[Include or Exclude]], 0,4)</f>
        <v/>
      </c>
      <c r="AC132" s="186" t="str" cm="1">
        <f t="array" ref="AC132">Common_InputFunctions.Utility_DisplayArrayInTable(Fertiliser_SourceData.Fertiliser_Products_Data1(),FertiliserProducts[[#Headers],[Include or Exclude]], 0,4)</f>
        <v/>
      </c>
      <c r="AD132" s="186" t="str" cm="1">
        <f t="array" ref="AD132">Common_InputFunctions.Utility_DisplayArrayInTable(Fertiliser_SourceData.Fertiliser_Products_Data1(),FertiliserProducts[[#Headers],[Include or Exclude]], 0,4)</f>
        <v/>
      </c>
      <c r="AE132" s="186" t="str" cm="1">
        <f t="array" ref="AE132">Common_InputFunctions.Utility_DisplayArrayInTable(Fertiliser_SourceData.Fertiliser_Products_Data1(),FertiliserProducts[[#Headers],[Include or Exclude]], 0,4)</f>
        <v/>
      </c>
    </row>
    <row r="133" spans="4:31" ht="20.100000000000001" customHeight="1" x14ac:dyDescent="0.25">
      <c r="D133" s="186" t="str" cm="1">
        <f t="array" ref="D133">Common_InputFunctions.Utility_DisplayArrayInTable(Fertiliser_SourceData.Fertiliser_Products_Data1(),FertiliserProducts[[#Headers],[Include or Exclude]], -1)</f>
        <v/>
      </c>
      <c r="E133" s="186" t="str" cm="1">
        <f t="array" ref="E133">Common_InputFunctions.Utility_DisplayArrayInTable(Fertiliser_SourceData.Fertiliser_Products_Data1(),FertiliserProducts[[#Headers],[Include or Exclude]], 0)</f>
        <v/>
      </c>
      <c r="F133" s="186" t="str" cm="1">
        <f t="array" ref="F133">Common_InputFunctions.Utility_DisplayArrayInTable(Fertiliser_SourceData.Fertiliser_Products_Data1(),FertiliserProducts[[#Headers],[Include or Exclude]], 0)</f>
        <v/>
      </c>
      <c r="G133" s="186" t="str" cm="1">
        <f t="array" ref="G133">Common_InputFunctions.Utility_DisplayArrayInTable(Fertiliser_SourceData.Fertiliser_Products_Data1(),FertiliserProducts[[#Headers],[Include or Exclude]], 0)</f>
        <v/>
      </c>
      <c r="H133" s="186" t="str" cm="1">
        <f t="array" ref="H133">Common_InputFunctions.Utility_DisplayArrayInTable(Fertiliser_SourceData.Fertiliser_Products_Data1(),FertiliserProducts[[#Headers],[Include or Exclude]], 0,4)</f>
        <v/>
      </c>
      <c r="I133" s="186" t="str" cm="1">
        <f t="array" ref="I133">Common_InputFunctions.Utility_DisplayArrayInTable(Fertiliser_SourceData.Fertiliser_Products_Data1(),FertiliserProducts[[#Headers],[Include or Exclude]], 0,4)</f>
        <v/>
      </c>
      <c r="J133" s="186" t="str" cm="1">
        <f t="array" ref="J133">Common_InputFunctions.Utility_DisplayArrayInTable(Fertiliser_SourceData.Fertiliser_Products_Data1(),FertiliserProducts[[#Headers],[Include or Exclude]], 0,4)</f>
        <v/>
      </c>
      <c r="K133" s="186" t="str" cm="1">
        <f t="array" ref="K133">Common_InputFunctions.Utility_DisplayArrayInTable(Fertiliser_SourceData.Fertiliser_Products_Data1(),FertiliserProducts[[#Headers],[Include or Exclude]], 0,4)</f>
        <v/>
      </c>
      <c r="L133" s="186" t="str" cm="1">
        <f t="array" ref="L133">Common_InputFunctions.Utility_DisplayArrayInTable(Fertiliser_SourceData.Fertiliser_Products_Data1(),FertiliserProducts[[#Headers],[Include or Exclude]], 0,4)</f>
        <v/>
      </c>
      <c r="M133" s="186" t="str" cm="1">
        <f t="array" ref="M133">Common_InputFunctions.Utility_DisplayArrayInTable(Fertiliser_SourceData.Fertiliser_Products_Data1(),FertiliserProducts[[#Headers],[Include or Exclude]], 0,4)</f>
        <v/>
      </c>
      <c r="N133" s="186" t="str" cm="1">
        <f t="array" ref="N133">Common_InputFunctions.Utility_DisplayArrayInTable(Fertiliser_SourceData.Fertiliser_Products_Data1(),FertiliserProducts[[#Headers],[Include or Exclude]], 0,4)</f>
        <v/>
      </c>
      <c r="O133" s="186" t="str" cm="1">
        <f t="array" ref="O133">Common_InputFunctions.Utility_DisplayArrayInTable(Fertiliser_SourceData.Fertiliser_Products_Data1(),FertiliserProducts[[#Headers],[Include or Exclude]], 0,4)</f>
        <v/>
      </c>
      <c r="P133" s="186" t="str" cm="1">
        <f t="array" ref="P133">Common_InputFunctions.Utility_DisplayArrayInTable(Fertiliser_SourceData.Fertiliser_Products_Data1(),FertiliserProducts[[#Headers],[Include or Exclude]], 0,4)</f>
        <v/>
      </c>
      <c r="Q133" s="186" t="str" cm="1">
        <f t="array" ref="Q133">Common_InputFunctions.Utility_DisplayArrayInTable(Fertiliser_SourceData.Fertiliser_Products_Data1(),FertiliserProducts[[#Headers],[Include or Exclude]], 0,4)</f>
        <v/>
      </c>
      <c r="R133" s="186" t="str" cm="1">
        <f t="array" ref="R133">Common_InputFunctions.Utility_DisplayArrayInTable(Fertiliser_SourceData.Fertiliser_Products_Data1(),FertiliserProducts[[#Headers],[Include or Exclude]], 0,4)</f>
        <v/>
      </c>
      <c r="S133" s="186" t="str" cm="1">
        <f t="array" ref="S133">Common_InputFunctions.Utility_DisplayArrayInTable(Fertiliser_SourceData.Fertiliser_Products_Data1(),FertiliserProducts[[#Headers],[Include or Exclude]], 0,4)</f>
        <v/>
      </c>
      <c r="T133" s="186" t="str" cm="1">
        <f t="array" ref="T133">Common_InputFunctions.Utility_DisplayArrayInTable(Fertiliser_SourceData.Fertiliser_Products_Data1(),FertiliserProducts[[#Headers],[Include or Exclude]], 0,4)</f>
        <v/>
      </c>
      <c r="U133" s="186" t="str" cm="1">
        <f t="array" ref="U133">Common_InputFunctions.Utility_DisplayArrayInTable(Fertiliser_SourceData.Fertiliser_Products_Data1(),FertiliserProducts[[#Headers],[Include or Exclude]], 0,4)</f>
        <v/>
      </c>
      <c r="V133" s="186" t="str" cm="1">
        <f t="array" ref="V133">Common_InputFunctions.Utility_DisplayArrayInTable(Fertiliser_SourceData.Fertiliser_Products_Data1(),FertiliserProducts[[#Headers],[Include or Exclude]], 0,4)</f>
        <v/>
      </c>
      <c r="W133" s="186" t="str" cm="1">
        <f t="array" ref="W133">Common_InputFunctions.Utility_DisplayArrayInTable(Fertiliser_SourceData.Fertiliser_Products_Data1(),FertiliserProducts[[#Headers],[Include or Exclude]], 0,4)</f>
        <v/>
      </c>
      <c r="X133" s="186" t="str" cm="1">
        <f t="array" ref="X133">Common_InputFunctions.Utility_DisplayArrayInTable(Fertiliser_SourceData.Fertiliser_Products_Data1(),FertiliserProducts[[#Headers],[Include or Exclude]], 0,4)</f>
        <v/>
      </c>
      <c r="Y133" s="186" t="str" cm="1">
        <f t="array" ref="Y133">Common_InputFunctions.Utility_DisplayArrayInTable(Fertiliser_SourceData.Fertiliser_Products_Data1(),FertiliserProducts[[#Headers],[Include or Exclude]], 0,4)</f>
        <v/>
      </c>
      <c r="Z133" s="186" t="str" cm="1">
        <f t="array" ref="Z133">Common_InputFunctions.Utility_DisplayArrayInTable(Fertiliser_SourceData.Fertiliser_Products_Data1(),FertiliserProducts[[#Headers],[Include or Exclude]], 0,4)</f>
        <v/>
      </c>
      <c r="AA133" s="186" t="str" cm="1">
        <f t="array" ref="AA133">Common_InputFunctions.Utility_DisplayArrayInTable(Fertiliser_SourceData.Fertiliser_Products_Data1(),FertiliserProducts[[#Headers],[Include or Exclude]], 0,4)</f>
        <v/>
      </c>
      <c r="AB133" s="186" t="str" cm="1">
        <f t="array" ref="AB133">Common_InputFunctions.Utility_DisplayArrayInTable(Fertiliser_SourceData.Fertiliser_Products_Data1(),FertiliserProducts[[#Headers],[Include or Exclude]], 0,4)</f>
        <v/>
      </c>
      <c r="AC133" s="186" t="str" cm="1">
        <f t="array" ref="AC133">Common_InputFunctions.Utility_DisplayArrayInTable(Fertiliser_SourceData.Fertiliser_Products_Data1(),FertiliserProducts[[#Headers],[Include or Exclude]], 0,4)</f>
        <v/>
      </c>
      <c r="AD133" s="186" t="str" cm="1">
        <f t="array" ref="AD133">Common_InputFunctions.Utility_DisplayArrayInTable(Fertiliser_SourceData.Fertiliser_Products_Data1(),FertiliserProducts[[#Headers],[Include or Exclude]], 0,4)</f>
        <v/>
      </c>
      <c r="AE133" s="186" t="str" cm="1">
        <f t="array" ref="AE133">Common_InputFunctions.Utility_DisplayArrayInTable(Fertiliser_SourceData.Fertiliser_Products_Data1(),FertiliserProducts[[#Headers],[Include or Exclude]], 0,4)</f>
        <v/>
      </c>
    </row>
    <row r="134" spans="4:31" ht="20.100000000000001" customHeight="1" x14ac:dyDescent="0.25">
      <c r="D134" s="186" t="str" cm="1">
        <f t="array" ref="D134">Common_InputFunctions.Utility_DisplayArrayInTable(Fertiliser_SourceData.Fertiliser_Products_Data1(),FertiliserProducts[[#Headers],[Include or Exclude]], -1)</f>
        <v/>
      </c>
      <c r="E134" s="186" t="str" cm="1">
        <f t="array" ref="E134">Common_InputFunctions.Utility_DisplayArrayInTable(Fertiliser_SourceData.Fertiliser_Products_Data1(),FertiliserProducts[[#Headers],[Include or Exclude]], 0)</f>
        <v/>
      </c>
      <c r="F134" s="186" t="str" cm="1">
        <f t="array" ref="F134">Common_InputFunctions.Utility_DisplayArrayInTable(Fertiliser_SourceData.Fertiliser_Products_Data1(),FertiliserProducts[[#Headers],[Include or Exclude]], 0)</f>
        <v/>
      </c>
      <c r="G134" s="186" t="str" cm="1">
        <f t="array" ref="G134">Common_InputFunctions.Utility_DisplayArrayInTable(Fertiliser_SourceData.Fertiliser_Products_Data1(),FertiliserProducts[[#Headers],[Include or Exclude]], 0)</f>
        <v/>
      </c>
      <c r="H134" s="186" t="str" cm="1">
        <f t="array" ref="H134">Common_InputFunctions.Utility_DisplayArrayInTable(Fertiliser_SourceData.Fertiliser_Products_Data1(),FertiliserProducts[[#Headers],[Include or Exclude]], 0,4)</f>
        <v/>
      </c>
      <c r="I134" s="186" t="str" cm="1">
        <f t="array" ref="I134">Common_InputFunctions.Utility_DisplayArrayInTable(Fertiliser_SourceData.Fertiliser_Products_Data1(),FertiliserProducts[[#Headers],[Include or Exclude]], 0,4)</f>
        <v/>
      </c>
      <c r="J134" s="186" t="str" cm="1">
        <f t="array" ref="J134">Common_InputFunctions.Utility_DisplayArrayInTable(Fertiliser_SourceData.Fertiliser_Products_Data1(),FertiliserProducts[[#Headers],[Include or Exclude]], 0,4)</f>
        <v/>
      </c>
      <c r="K134" s="186" t="str" cm="1">
        <f t="array" ref="K134">Common_InputFunctions.Utility_DisplayArrayInTable(Fertiliser_SourceData.Fertiliser_Products_Data1(),FertiliserProducts[[#Headers],[Include or Exclude]], 0,4)</f>
        <v/>
      </c>
      <c r="L134" s="186" t="str" cm="1">
        <f t="array" ref="L134">Common_InputFunctions.Utility_DisplayArrayInTable(Fertiliser_SourceData.Fertiliser_Products_Data1(),FertiliserProducts[[#Headers],[Include or Exclude]], 0,4)</f>
        <v/>
      </c>
      <c r="M134" s="186" t="str" cm="1">
        <f t="array" ref="M134">Common_InputFunctions.Utility_DisplayArrayInTable(Fertiliser_SourceData.Fertiliser_Products_Data1(),FertiliserProducts[[#Headers],[Include or Exclude]], 0,4)</f>
        <v/>
      </c>
      <c r="N134" s="186" t="str" cm="1">
        <f t="array" ref="N134">Common_InputFunctions.Utility_DisplayArrayInTable(Fertiliser_SourceData.Fertiliser_Products_Data1(),FertiliserProducts[[#Headers],[Include or Exclude]], 0,4)</f>
        <v/>
      </c>
      <c r="O134" s="186" t="str" cm="1">
        <f t="array" ref="O134">Common_InputFunctions.Utility_DisplayArrayInTable(Fertiliser_SourceData.Fertiliser_Products_Data1(),FertiliserProducts[[#Headers],[Include or Exclude]], 0,4)</f>
        <v/>
      </c>
      <c r="P134" s="186" t="str" cm="1">
        <f t="array" ref="P134">Common_InputFunctions.Utility_DisplayArrayInTable(Fertiliser_SourceData.Fertiliser_Products_Data1(),FertiliserProducts[[#Headers],[Include or Exclude]], 0,4)</f>
        <v/>
      </c>
      <c r="Q134" s="186" t="str" cm="1">
        <f t="array" ref="Q134">Common_InputFunctions.Utility_DisplayArrayInTable(Fertiliser_SourceData.Fertiliser_Products_Data1(),FertiliserProducts[[#Headers],[Include or Exclude]], 0,4)</f>
        <v/>
      </c>
      <c r="R134" s="186" t="str" cm="1">
        <f t="array" ref="R134">Common_InputFunctions.Utility_DisplayArrayInTable(Fertiliser_SourceData.Fertiliser_Products_Data1(),FertiliserProducts[[#Headers],[Include or Exclude]], 0,4)</f>
        <v/>
      </c>
      <c r="S134" s="186" t="str" cm="1">
        <f t="array" ref="S134">Common_InputFunctions.Utility_DisplayArrayInTable(Fertiliser_SourceData.Fertiliser_Products_Data1(),FertiliserProducts[[#Headers],[Include or Exclude]], 0,4)</f>
        <v/>
      </c>
      <c r="T134" s="186" t="str" cm="1">
        <f t="array" ref="T134">Common_InputFunctions.Utility_DisplayArrayInTable(Fertiliser_SourceData.Fertiliser_Products_Data1(),FertiliserProducts[[#Headers],[Include or Exclude]], 0,4)</f>
        <v/>
      </c>
      <c r="U134" s="186" t="str" cm="1">
        <f t="array" ref="U134">Common_InputFunctions.Utility_DisplayArrayInTable(Fertiliser_SourceData.Fertiliser_Products_Data1(),FertiliserProducts[[#Headers],[Include or Exclude]], 0,4)</f>
        <v/>
      </c>
      <c r="V134" s="186" t="str" cm="1">
        <f t="array" ref="V134">Common_InputFunctions.Utility_DisplayArrayInTable(Fertiliser_SourceData.Fertiliser_Products_Data1(),FertiliserProducts[[#Headers],[Include or Exclude]], 0,4)</f>
        <v/>
      </c>
      <c r="W134" s="186" t="str" cm="1">
        <f t="array" ref="W134">Common_InputFunctions.Utility_DisplayArrayInTable(Fertiliser_SourceData.Fertiliser_Products_Data1(),FertiliserProducts[[#Headers],[Include or Exclude]], 0,4)</f>
        <v/>
      </c>
      <c r="X134" s="186" t="str" cm="1">
        <f t="array" ref="X134">Common_InputFunctions.Utility_DisplayArrayInTable(Fertiliser_SourceData.Fertiliser_Products_Data1(),FertiliserProducts[[#Headers],[Include or Exclude]], 0,4)</f>
        <v/>
      </c>
      <c r="Y134" s="186" t="str" cm="1">
        <f t="array" ref="Y134">Common_InputFunctions.Utility_DisplayArrayInTable(Fertiliser_SourceData.Fertiliser_Products_Data1(),FertiliserProducts[[#Headers],[Include or Exclude]], 0,4)</f>
        <v/>
      </c>
      <c r="Z134" s="186" t="str" cm="1">
        <f t="array" ref="Z134">Common_InputFunctions.Utility_DisplayArrayInTable(Fertiliser_SourceData.Fertiliser_Products_Data1(),FertiliserProducts[[#Headers],[Include or Exclude]], 0,4)</f>
        <v/>
      </c>
      <c r="AA134" s="186" t="str" cm="1">
        <f t="array" ref="AA134">Common_InputFunctions.Utility_DisplayArrayInTable(Fertiliser_SourceData.Fertiliser_Products_Data1(),FertiliserProducts[[#Headers],[Include or Exclude]], 0,4)</f>
        <v/>
      </c>
      <c r="AB134" s="186" t="str" cm="1">
        <f t="array" ref="AB134">Common_InputFunctions.Utility_DisplayArrayInTable(Fertiliser_SourceData.Fertiliser_Products_Data1(),FertiliserProducts[[#Headers],[Include or Exclude]], 0,4)</f>
        <v/>
      </c>
      <c r="AC134" s="186" t="str" cm="1">
        <f t="array" ref="AC134">Common_InputFunctions.Utility_DisplayArrayInTable(Fertiliser_SourceData.Fertiliser_Products_Data1(),FertiliserProducts[[#Headers],[Include or Exclude]], 0,4)</f>
        <v/>
      </c>
      <c r="AD134" s="186" t="str" cm="1">
        <f t="array" ref="AD134">Common_InputFunctions.Utility_DisplayArrayInTable(Fertiliser_SourceData.Fertiliser_Products_Data1(),FertiliserProducts[[#Headers],[Include or Exclude]], 0,4)</f>
        <v/>
      </c>
      <c r="AE134" s="186" t="str" cm="1">
        <f t="array" ref="AE134">Common_InputFunctions.Utility_DisplayArrayInTable(Fertiliser_SourceData.Fertiliser_Products_Data1(),FertiliserProducts[[#Headers],[Include or Exclude]], 0,4)</f>
        <v/>
      </c>
    </row>
    <row r="135" spans="4:31" ht="20.100000000000001" customHeight="1" x14ac:dyDescent="0.25">
      <c r="D135" s="186" t="str" cm="1">
        <f t="array" ref="D135">Common_InputFunctions.Utility_DisplayArrayInTable(Fertiliser_SourceData.Fertiliser_Products_Data1(),FertiliserProducts[[#Headers],[Include or Exclude]], -1)</f>
        <v/>
      </c>
      <c r="E135" s="186" t="str" cm="1">
        <f t="array" ref="E135">Common_InputFunctions.Utility_DisplayArrayInTable(Fertiliser_SourceData.Fertiliser_Products_Data1(),FertiliserProducts[[#Headers],[Include or Exclude]], 0)</f>
        <v/>
      </c>
      <c r="F135" s="186" t="str" cm="1">
        <f t="array" ref="F135">Common_InputFunctions.Utility_DisplayArrayInTable(Fertiliser_SourceData.Fertiliser_Products_Data1(),FertiliserProducts[[#Headers],[Include or Exclude]], 0)</f>
        <v/>
      </c>
      <c r="G135" s="186" t="str" cm="1">
        <f t="array" ref="G135">Common_InputFunctions.Utility_DisplayArrayInTable(Fertiliser_SourceData.Fertiliser_Products_Data1(),FertiliserProducts[[#Headers],[Include or Exclude]], 0)</f>
        <v/>
      </c>
      <c r="H135" s="186" t="str" cm="1">
        <f t="array" ref="H135">Common_InputFunctions.Utility_DisplayArrayInTable(Fertiliser_SourceData.Fertiliser_Products_Data1(),FertiliserProducts[[#Headers],[Include or Exclude]], 0,4)</f>
        <v/>
      </c>
      <c r="I135" s="186" t="str" cm="1">
        <f t="array" ref="I135">Common_InputFunctions.Utility_DisplayArrayInTable(Fertiliser_SourceData.Fertiliser_Products_Data1(),FertiliserProducts[[#Headers],[Include or Exclude]], 0,4)</f>
        <v/>
      </c>
      <c r="J135" s="186" t="str" cm="1">
        <f t="array" ref="J135">Common_InputFunctions.Utility_DisplayArrayInTable(Fertiliser_SourceData.Fertiliser_Products_Data1(),FertiliserProducts[[#Headers],[Include or Exclude]], 0,4)</f>
        <v/>
      </c>
      <c r="K135" s="186" t="str" cm="1">
        <f t="array" ref="K135">Common_InputFunctions.Utility_DisplayArrayInTable(Fertiliser_SourceData.Fertiliser_Products_Data1(),FertiliserProducts[[#Headers],[Include or Exclude]], 0,4)</f>
        <v/>
      </c>
      <c r="L135" s="186" t="str" cm="1">
        <f t="array" ref="L135">Common_InputFunctions.Utility_DisplayArrayInTable(Fertiliser_SourceData.Fertiliser_Products_Data1(),FertiliserProducts[[#Headers],[Include or Exclude]], 0,4)</f>
        <v/>
      </c>
      <c r="M135" s="186" t="str" cm="1">
        <f t="array" ref="M135">Common_InputFunctions.Utility_DisplayArrayInTable(Fertiliser_SourceData.Fertiliser_Products_Data1(),FertiliserProducts[[#Headers],[Include or Exclude]], 0,4)</f>
        <v/>
      </c>
      <c r="N135" s="186" t="str" cm="1">
        <f t="array" ref="N135">Common_InputFunctions.Utility_DisplayArrayInTable(Fertiliser_SourceData.Fertiliser_Products_Data1(),FertiliserProducts[[#Headers],[Include or Exclude]], 0,4)</f>
        <v/>
      </c>
      <c r="O135" s="186" t="str" cm="1">
        <f t="array" ref="O135">Common_InputFunctions.Utility_DisplayArrayInTable(Fertiliser_SourceData.Fertiliser_Products_Data1(),FertiliserProducts[[#Headers],[Include or Exclude]], 0,4)</f>
        <v/>
      </c>
      <c r="P135" s="186" t="str" cm="1">
        <f t="array" ref="P135">Common_InputFunctions.Utility_DisplayArrayInTable(Fertiliser_SourceData.Fertiliser_Products_Data1(),FertiliserProducts[[#Headers],[Include or Exclude]], 0,4)</f>
        <v/>
      </c>
      <c r="Q135" s="186" t="str" cm="1">
        <f t="array" ref="Q135">Common_InputFunctions.Utility_DisplayArrayInTable(Fertiliser_SourceData.Fertiliser_Products_Data1(),FertiliserProducts[[#Headers],[Include or Exclude]], 0,4)</f>
        <v/>
      </c>
      <c r="R135" s="186" t="str" cm="1">
        <f t="array" ref="R135">Common_InputFunctions.Utility_DisplayArrayInTable(Fertiliser_SourceData.Fertiliser_Products_Data1(),FertiliserProducts[[#Headers],[Include or Exclude]], 0,4)</f>
        <v/>
      </c>
      <c r="S135" s="186" t="str" cm="1">
        <f t="array" ref="S135">Common_InputFunctions.Utility_DisplayArrayInTable(Fertiliser_SourceData.Fertiliser_Products_Data1(),FertiliserProducts[[#Headers],[Include or Exclude]], 0,4)</f>
        <v/>
      </c>
      <c r="T135" s="186" t="str" cm="1">
        <f t="array" ref="T135">Common_InputFunctions.Utility_DisplayArrayInTable(Fertiliser_SourceData.Fertiliser_Products_Data1(),FertiliserProducts[[#Headers],[Include or Exclude]], 0,4)</f>
        <v/>
      </c>
      <c r="U135" s="186" t="str" cm="1">
        <f t="array" ref="U135">Common_InputFunctions.Utility_DisplayArrayInTable(Fertiliser_SourceData.Fertiliser_Products_Data1(),FertiliserProducts[[#Headers],[Include or Exclude]], 0,4)</f>
        <v/>
      </c>
      <c r="V135" s="186" t="str" cm="1">
        <f t="array" ref="V135">Common_InputFunctions.Utility_DisplayArrayInTable(Fertiliser_SourceData.Fertiliser_Products_Data1(),FertiliserProducts[[#Headers],[Include or Exclude]], 0,4)</f>
        <v/>
      </c>
      <c r="W135" s="186" t="str" cm="1">
        <f t="array" ref="W135">Common_InputFunctions.Utility_DisplayArrayInTable(Fertiliser_SourceData.Fertiliser_Products_Data1(),FertiliserProducts[[#Headers],[Include or Exclude]], 0,4)</f>
        <v/>
      </c>
      <c r="X135" s="186" t="str" cm="1">
        <f t="array" ref="X135">Common_InputFunctions.Utility_DisplayArrayInTable(Fertiliser_SourceData.Fertiliser_Products_Data1(),FertiliserProducts[[#Headers],[Include or Exclude]], 0,4)</f>
        <v/>
      </c>
      <c r="Y135" s="186" t="str" cm="1">
        <f t="array" ref="Y135">Common_InputFunctions.Utility_DisplayArrayInTable(Fertiliser_SourceData.Fertiliser_Products_Data1(),FertiliserProducts[[#Headers],[Include or Exclude]], 0,4)</f>
        <v/>
      </c>
      <c r="Z135" s="186" t="str" cm="1">
        <f t="array" ref="Z135">Common_InputFunctions.Utility_DisplayArrayInTable(Fertiliser_SourceData.Fertiliser_Products_Data1(),FertiliserProducts[[#Headers],[Include or Exclude]], 0,4)</f>
        <v/>
      </c>
      <c r="AA135" s="186" t="str" cm="1">
        <f t="array" ref="AA135">Common_InputFunctions.Utility_DisplayArrayInTable(Fertiliser_SourceData.Fertiliser_Products_Data1(),FertiliserProducts[[#Headers],[Include or Exclude]], 0,4)</f>
        <v/>
      </c>
      <c r="AB135" s="186" t="str" cm="1">
        <f t="array" ref="AB135">Common_InputFunctions.Utility_DisplayArrayInTable(Fertiliser_SourceData.Fertiliser_Products_Data1(),FertiliserProducts[[#Headers],[Include or Exclude]], 0,4)</f>
        <v/>
      </c>
      <c r="AC135" s="186" t="str" cm="1">
        <f t="array" ref="AC135">Common_InputFunctions.Utility_DisplayArrayInTable(Fertiliser_SourceData.Fertiliser_Products_Data1(),FertiliserProducts[[#Headers],[Include or Exclude]], 0,4)</f>
        <v/>
      </c>
      <c r="AD135" s="186" t="str" cm="1">
        <f t="array" ref="AD135">Common_InputFunctions.Utility_DisplayArrayInTable(Fertiliser_SourceData.Fertiliser_Products_Data1(),FertiliserProducts[[#Headers],[Include or Exclude]], 0,4)</f>
        <v/>
      </c>
      <c r="AE135" s="186" t="str" cm="1">
        <f t="array" ref="AE135">Common_InputFunctions.Utility_DisplayArrayInTable(Fertiliser_SourceData.Fertiliser_Products_Data1(),FertiliserProducts[[#Headers],[Include or Exclude]], 0,4)</f>
        <v/>
      </c>
    </row>
    <row r="136" spans="4:31" ht="20.100000000000001" customHeight="1" x14ac:dyDescent="0.25">
      <c r="D136" s="186" t="str" cm="1">
        <f t="array" ref="D136">Common_InputFunctions.Utility_DisplayArrayInTable(Fertiliser_SourceData.Fertiliser_Products_Data1(),FertiliserProducts[[#Headers],[Include or Exclude]], -1)</f>
        <v/>
      </c>
      <c r="E136" s="186" t="str" cm="1">
        <f t="array" ref="E136">Common_InputFunctions.Utility_DisplayArrayInTable(Fertiliser_SourceData.Fertiliser_Products_Data1(),FertiliserProducts[[#Headers],[Include or Exclude]], 0)</f>
        <v/>
      </c>
      <c r="F136" s="186" t="str" cm="1">
        <f t="array" ref="F136">Common_InputFunctions.Utility_DisplayArrayInTable(Fertiliser_SourceData.Fertiliser_Products_Data1(),FertiliserProducts[[#Headers],[Include or Exclude]], 0)</f>
        <v/>
      </c>
      <c r="G136" s="186" t="str" cm="1">
        <f t="array" ref="G136">Common_InputFunctions.Utility_DisplayArrayInTable(Fertiliser_SourceData.Fertiliser_Products_Data1(),FertiliserProducts[[#Headers],[Include or Exclude]], 0)</f>
        <v/>
      </c>
      <c r="H136" s="186" t="str" cm="1">
        <f t="array" ref="H136">Common_InputFunctions.Utility_DisplayArrayInTable(Fertiliser_SourceData.Fertiliser_Products_Data1(),FertiliserProducts[[#Headers],[Include or Exclude]], 0,4)</f>
        <v/>
      </c>
      <c r="I136" s="186" t="str" cm="1">
        <f t="array" ref="I136">Common_InputFunctions.Utility_DisplayArrayInTable(Fertiliser_SourceData.Fertiliser_Products_Data1(),FertiliserProducts[[#Headers],[Include or Exclude]], 0,4)</f>
        <v/>
      </c>
      <c r="J136" s="186" t="str" cm="1">
        <f t="array" ref="J136">Common_InputFunctions.Utility_DisplayArrayInTable(Fertiliser_SourceData.Fertiliser_Products_Data1(),FertiliserProducts[[#Headers],[Include or Exclude]], 0,4)</f>
        <v/>
      </c>
      <c r="K136" s="186" t="str" cm="1">
        <f t="array" ref="K136">Common_InputFunctions.Utility_DisplayArrayInTable(Fertiliser_SourceData.Fertiliser_Products_Data1(),FertiliserProducts[[#Headers],[Include or Exclude]], 0,4)</f>
        <v/>
      </c>
      <c r="L136" s="186" t="str" cm="1">
        <f t="array" ref="L136">Common_InputFunctions.Utility_DisplayArrayInTable(Fertiliser_SourceData.Fertiliser_Products_Data1(),FertiliserProducts[[#Headers],[Include or Exclude]], 0,4)</f>
        <v/>
      </c>
      <c r="M136" s="186" t="str" cm="1">
        <f t="array" ref="M136">Common_InputFunctions.Utility_DisplayArrayInTable(Fertiliser_SourceData.Fertiliser_Products_Data1(),FertiliserProducts[[#Headers],[Include or Exclude]], 0,4)</f>
        <v/>
      </c>
      <c r="N136" s="186" t="str" cm="1">
        <f t="array" ref="N136">Common_InputFunctions.Utility_DisplayArrayInTable(Fertiliser_SourceData.Fertiliser_Products_Data1(),FertiliserProducts[[#Headers],[Include or Exclude]], 0,4)</f>
        <v/>
      </c>
      <c r="O136" s="186" t="str" cm="1">
        <f t="array" ref="O136">Common_InputFunctions.Utility_DisplayArrayInTable(Fertiliser_SourceData.Fertiliser_Products_Data1(),FertiliserProducts[[#Headers],[Include or Exclude]], 0,4)</f>
        <v/>
      </c>
      <c r="P136" s="186" t="str" cm="1">
        <f t="array" ref="P136">Common_InputFunctions.Utility_DisplayArrayInTable(Fertiliser_SourceData.Fertiliser_Products_Data1(),FertiliserProducts[[#Headers],[Include or Exclude]], 0,4)</f>
        <v/>
      </c>
      <c r="Q136" s="186" t="str" cm="1">
        <f t="array" ref="Q136">Common_InputFunctions.Utility_DisplayArrayInTable(Fertiliser_SourceData.Fertiliser_Products_Data1(),FertiliserProducts[[#Headers],[Include or Exclude]], 0,4)</f>
        <v/>
      </c>
      <c r="R136" s="186" t="str" cm="1">
        <f t="array" ref="R136">Common_InputFunctions.Utility_DisplayArrayInTable(Fertiliser_SourceData.Fertiliser_Products_Data1(),FertiliserProducts[[#Headers],[Include or Exclude]], 0,4)</f>
        <v/>
      </c>
      <c r="S136" s="186" t="str" cm="1">
        <f t="array" ref="S136">Common_InputFunctions.Utility_DisplayArrayInTable(Fertiliser_SourceData.Fertiliser_Products_Data1(),FertiliserProducts[[#Headers],[Include or Exclude]], 0,4)</f>
        <v/>
      </c>
      <c r="T136" s="186" t="str" cm="1">
        <f t="array" ref="T136">Common_InputFunctions.Utility_DisplayArrayInTable(Fertiliser_SourceData.Fertiliser_Products_Data1(),FertiliserProducts[[#Headers],[Include or Exclude]], 0,4)</f>
        <v/>
      </c>
      <c r="U136" s="186" t="str" cm="1">
        <f t="array" ref="U136">Common_InputFunctions.Utility_DisplayArrayInTable(Fertiliser_SourceData.Fertiliser_Products_Data1(),FertiliserProducts[[#Headers],[Include or Exclude]], 0,4)</f>
        <v/>
      </c>
      <c r="V136" s="186" t="str" cm="1">
        <f t="array" ref="V136">Common_InputFunctions.Utility_DisplayArrayInTable(Fertiliser_SourceData.Fertiliser_Products_Data1(),FertiliserProducts[[#Headers],[Include or Exclude]], 0,4)</f>
        <v/>
      </c>
      <c r="W136" s="186" t="str" cm="1">
        <f t="array" ref="W136">Common_InputFunctions.Utility_DisplayArrayInTable(Fertiliser_SourceData.Fertiliser_Products_Data1(),FertiliserProducts[[#Headers],[Include or Exclude]], 0,4)</f>
        <v/>
      </c>
      <c r="X136" s="186" t="str" cm="1">
        <f t="array" ref="X136">Common_InputFunctions.Utility_DisplayArrayInTable(Fertiliser_SourceData.Fertiliser_Products_Data1(),FertiliserProducts[[#Headers],[Include or Exclude]], 0,4)</f>
        <v/>
      </c>
      <c r="Y136" s="186" t="str" cm="1">
        <f t="array" ref="Y136">Common_InputFunctions.Utility_DisplayArrayInTable(Fertiliser_SourceData.Fertiliser_Products_Data1(),FertiliserProducts[[#Headers],[Include or Exclude]], 0,4)</f>
        <v/>
      </c>
      <c r="Z136" s="186" t="str" cm="1">
        <f t="array" ref="Z136">Common_InputFunctions.Utility_DisplayArrayInTable(Fertiliser_SourceData.Fertiliser_Products_Data1(),FertiliserProducts[[#Headers],[Include or Exclude]], 0,4)</f>
        <v/>
      </c>
      <c r="AA136" s="186" t="str" cm="1">
        <f t="array" ref="AA136">Common_InputFunctions.Utility_DisplayArrayInTable(Fertiliser_SourceData.Fertiliser_Products_Data1(),FertiliserProducts[[#Headers],[Include or Exclude]], 0,4)</f>
        <v/>
      </c>
      <c r="AB136" s="186" t="str" cm="1">
        <f t="array" ref="AB136">Common_InputFunctions.Utility_DisplayArrayInTable(Fertiliser_SourceData.Fertiliser_Products_Data1(),FertiliserProducts[[#Headers],[Include or Exclude]], 0,4)</f>
        <v/>
      </c>
      <c r="AC136" s="186" t="str" cm="1">
        <f t="array" ref="AC136">Common_InputFunctions.Utility_DisplayArrayInTable(Fertiliser_SourceData.Fertiliser_Products_Data1(),FertiliserProducts[[#Headers],[Include or Exclude]], 0,4)</f>
        <v/>
      </c>
      <c r="AD136" s="186" t="str" cm="1">
        <f t="array" ref="AD136">Common_InputFunctions.Utility_DisplayArrayInTable(Fertiliser_SourceData.Fertiliser_Products_Data1(),FertiliserProducts[[#Headers],[Include or Exclude]], 0,4)</f>
        <v/>
      </c>
      <c r="AE136" s="186" t="str" cm="1">
        <f t="array" ref="AE136">Common_InputFunctions.Utility_DisplayArrayInTable(Fertiliser_SourceData.Fertiliser_Products_Data1(),FertiliserProducts[[#Headers],[Include or Exclude]], 0,4)</f>
        <v/>
      </c>
    </row>
    <row r="137" spans="4:31" ht="20.100000000000001" customHeight="1" x14ac:dyDescent="0.25">
      <c r="D137" s="186" t="str" cm="1">
        <f t="array" ref="D137">Common_InputFunctions.Utility_DisplayArrayInTable(Fertiliser_SourceData.Fertiliser_Products_Data1(),FertiliserProducts[[#Headers],[Include or Exclude]], -1)</f>
        <v/>
      </c>
      <c r="E137" s="186" t="str" cm="1">
        <f t="array" ref="E137">Common_InputFunctions.Utility_DisplayArrayInTable(Fertiliser_SourceData.Fertiliser_Products_Data1(),FertiliserProducts[[#Headers],[Include or Exclude]], 0)</f>
        <v/>
      </c>
      <c r="F137" s="186" t="str" cm="1">
        <f t="array" ref="F137">Common_InputFunctions.Utility_DisplayArrayInTable(Fertiliser_SourceData.Fertiliser_Products_Data1(),FertiliserProducts[[#Headers],[Include or Exclude]], 0)</f>
        <v/>
      </c>
      <c r="G137" s="186" t="str" cm="1">
        <f t="array" ref="G137">Common_InputFunctions.Utility_DisplayArrayInTable(Fertiliser_SourceData.Fertiliser_Products_Data1(),FertiliserProducts[[#Headers],[Include or Exclude]], 0)</f>
        <v/>
      </c>
      <c r="H137" s="186" t="str" cm="1">
        <f t="array" ref="H137">Common_InputFunctions.Utility_DisplayArrayInTable(Fertiliser_SourceData.Fertiliser_Products_Data1(),FertiliserProducts[[#Headers],[Include or Exclude]], 0,4)</f>
        <v/>
      </c>
      <c r="I137" s="186" t="str" cm="1">
        <f t="array" ref="I137">Common_InputFunctions.Utility_DisplayArrayInTable(Fertiliser_SourceData.Fertiliser_Products_Data1(),FertiliserProducts[[#Headers],[Include or Exclude]], 0,4)</f>
        <v/>
      </c>
      <c r="J137" s="186" t="str" cm="1">
        <f t="array" ref="J137">Common_InputFunctions.Utility_DisplayArrayInTable(Fertiliser_SourceData.Fertiliser_Products_Data1(),FertiliserProducts[[#Headers],[Include or Exclude]], 0,4)</f>
        <v/>
      </c>
      <c r="K137" s="186" t="str" cm="1">
        <f t="array" ref="K137">Common_InputFunctions.Utility_DisplayArrayInTable(Fertiliser_SourceData.Fertiliser_Products_Data1(),FertiliserProducts[[#Headers],[Include or Exclude]], 0,4)</f>
        <v/>
      </c>
      <c r="L137" s="186" t="str" cm="1">
        <f t="array" ref="L137">Common_InputFunctions.Utility_DisplayArrayInTable(Fertiliser_SourceData.Fertiliser_Products_Data1(),FertiliserProducts[[#Headers],[Include or Exclude]], 0,4)</f>
        <v/>
      </c>
      <c r="M137" s="186" t="str" cm="1">
        <f t="array" ref="M137">Common_InputFunctions.Utility_DisplayArrayInTable(Fertiliser_SourceData.Fertiliser_Products_Data1(),FertiliserProducts[[#Headers],[Include or Exclude]], 0,4)</f>
        <v/>
      </c>
      <c r="N137" s="186" t="str" cm="1">
        <f t="array" ref="N137">Common_InputFunctions.Utility_DisplayArrayInTable(Fertiliser_SourceData.Fertiliser_Products_Data1(),FertiliserProducts[[#Headers],[Include or Exclude]], 0,4)</f>
        <v/>
      </c>
      <c r="O137" s="186" t="str" cm="1">
        <f t="array" ref="O137">Common_InputFunctions.Utility_DisplayArrayInTable(Fertiliser_SourceData.Fertiliser_Products_Data1(),FertiliserProducts[[#Headers],[Include or Exclude]], 0,4)</f>
        <v/>
      </c>
      <c r="P137" s="186" t="str" cm="1">
        <f t="array" ref="P137">Common_InputFunctions.Utility_DisplayArrayInTable(Fertiliser_SourceData.Fertiliser_Products_Data1(),FertiliserProducts[[#Headers],[Include or Exclude]], 0,4)</f>
        <v/>
      </c>
      <c r="Q137" s="186" t="str" cm="1">
        <f t="array" ref="Q137">Common_InputFunctions.Utility_DisplayArrayInTable(Fertiliser_SourceData.Fertiliser_Products_Data1(),FertiliserProducts[[#Headers],[Include or Exclude]], 0,4)</f>
        <v/>
      </c>
      <c r="R137" s="186" t="str" cm="1">
        <f t="array" ref="R137">Common_InputFunctions.Utility_DisplayArrayInTable(Fertiliser_SourceData.Fertiliser_Products_Data1(),FertiliserProducts[[#Headers],[Include or Exclude]], 0,4)</f>
        <v/>
      </c>
      <c r="S137" s="186" t="str" cm="1">
        <f t="array" ref="S137">Common_InputFunctions.Utility_DisplayArrayInTable(Fertiliser_SourceData.Fertiliser_Products_Data1(),FertiliserProducts[[#Headers],[Include or Exclude]], 0,4)</f>
        <v/>
      </c>
      <c r="T137" s="186" t="str" cm="1">
        <f t="array" ref="T137">Common_InputFunctions.Utility_DisplayArrayInTable(Fertiliser_SourceData.Fertiliser_Products_Data1(),FertiliserProducts[[#Headers],[Include or Exclude]], 0,4)</f>
        <v/>
      </c>
      <c r="U137" s="186" t="str" cm="1">
        <f t="array" ref="U137">Common_InputFunctions.Utility_DisplayArrayInTable(Fertiliser_SourceData.Fertiliser_Products_Data1(),FertiliserProducts[[#Headers],[Include or Exclude]], 0,4)</f>
        <v/>
      </c>
      <c r="V137" s="186" t="str" cm="1">
        <f t="array" ref="V137">Common_InputFunctions.Utility_DisplayArrayInTable(Fertiliser_SourceData.Fertiliser_Products_Data1(),FertiliserProducts[[#Headers],[Include or Exclude]], 0,4)</f>
        <v/>
      </c>
      <c r="W137" s="186" t="str" cm="1">
        <f t="array" ref="W137">Common_InputFunctions.Utility_DisplayArrayInTable(Fertiliser_SourceData.Fertiliser_Products_Data1(),FertiliserProducts[[#Headers],[Include or Exclude]], 0,4)</f>
        <v/>
      </c>
      <c r="X137" s="186" t="str" cm="1">
        <f t="array" ref="X137">Common_InputFunctions.Utility_DisplayArrayInTable(Fertiliser_SourceData.Fertiliser_Products_Data1(),FertiliserProducts[[#Headers],[Include or Exclude]], 0,4)</f>
        <v/>
      </c>
      <c r="Y137" s="186" t="str" cm="1">
        <f t="array" ref="Y137">Common_InputFunctions.Utility_DisplayArrayInTable(Fertiliser_SourceData.Fertiliser_Products_Data1(),FertiliserProducts[[#Headers],[Include or Exclude]], 0,4)</f>
        <v/>
      </c>
      <c r="Z137" s="186" t="str" cm="1">
        <f t="array" ref="Z137">Common_InputFunctions.Utility_DisplayArrayInTable(Fertiliser_SourceData.Fertiliser_Products_Data1(),FertiliserProducts[[#Headers],[Include or Exclude]], 0,4)</f>
        <v/>
      </c>
      <c r="AA137" s="186" t="str" cm="1">
        <f t="array" ref="AA137">Common_InputFunctions.Utility_DisplayArrayInTable(Fertiliser_SourceData.Fertiliser_Products_Data1(),FertiliserProducts[[#Headers],[Include or Exclude]], 0,4)</f>
        <v/>
      </c>
      <c r="AB137" s="186" t="str" cm="1">
        <f t="array" ref="AB137">Common_InputFunctions.Utility_DisplayArrayInTable(Fertiliser_SourceData.Fertiliser_Products_Data1(),FertiliserProducts[[#Headers],[Include or Exclude]], 0,4)</f>
        <v/>
      </c>
      <c r="AC137" s="186" t="str" cm="1">
        <f t="array" ref="AC137">Common_InputFunctions.Utility_DisplayArrayInTable(Fertiliser_SourceData.Fertiliser_Products_Data1(),FertiliserProducts[[#Headers],[Include or Exclude]], 0,4)</f>
        <v/>
      </c>
      <c r="AD137" s="186" t="str" cm="1">
        <f t="array" ref="AD137">Common_InputFunctions.Utility_DisplayArrayInTable(Fertiliser_SourceData.Fertiliser_Products_Data1(),FertiliserProducts[[#Headers],[Include or Exclude]], 0,4)</f>
        <v/>
      </c>
      <c r="AE137" s="186" t="str" cm="1">
        <f t="array" ref="AE137">Common_InputFunctions.Utility_DisplayArrayInTable(Fertiliser_SourceData.Fertiliser_Products_Data1(),FertiliserProducts[[#Headers],[Include or Exclude]], 0,4)</f>
        <v/>
      </c>
    </row>
    <row r="138" spans="4:31" ht="20.100000000000001" customHeight="1" x14ac:dyDescent="0.25">
      <c r="D138" s="186" t="str" cm="1">
        <f t="array" ref="D138">Common_InputFunctions.Utility_DisplayArrayInTable(Fertiliser_SourceData.Fertiliser_Products_Data1(),FertiliserProducts[[#Headers],[Include or Exclude]], -1)</f>
        <v/>
      </c>
      <c r="E138" s="186" t="str" cm="1">
        <f t="array" ref="E138">Common_InputFunctions.Utility_DisplayArrayInTable(Fertiliser_SourceData.Fertiliser_Products_Data1(),FertiliserProducts[[#Headers],[Include or Exclude]], 0)</f>
        <v/>
      </c>
      <c r="F138" s="186" t="str" cm="1">
        <f t="array" ref="F138">Common_InputFunctions.Utility_DisplayArrayInTable(Fertiliser_SourceData.Fertiliser_Products_Data1(),FertiliserProducts[[#Headers],[Include or Exclude]], 0)</f>
        <v/>
      </c>
      <c r="G138" s="186" t="str" cm="1">
        <f t="array" ref="G138">Common_InputFunctions.Utility_DisplayArrayInTable(Fertiliser_SourceData.Fertiliser_Products_Data1(),FertiliserProducts[[#Headers],[Include or Exclude]], 0)</f>
        <v/>
      </c>
      <c r="H138" s="186" t="str" cm="1">
        <f t="array" ref="H138">Common_InputFunctions.Utility_DisplayArrayInTable(Fertiliser_SourceData.Fertiliser_Products_Data1(),FertiliserProducts[[#Headers],[Include or Exclude]], 0,4)</f>
        <v/>
      </c>
      <c r="I138" s="186" t="str" cm="1">
        <f t="array" ref="I138">Common_InputFunctions.Utility_DisplayArrayInTable(Fertiliser_SourceData.Fertiliser_Products_Data1(),FertiliserProducts[[#Headers],[Include or Exclude]], 0,4)</f>
        <v/>
      </c>
      <c r="J138" s="186" t="str" cm="1">
        <f t="array" ref="J138">Common_InputFunctions.Utility_DisplayArrayInTable(Fertiliser_SourceData.Fertiliser_Products_Data1(),FertiliserProducts[[#Headers],[Include or Exclude]], 0,4)</f>
        <v/>
      </c>
      <c r="K138" s="186" t="str" cm="1">
        <f t="array" ref="K138">Common_InputFunctions.Utility_DisplayArrayInTable(Fertiliser_SourceData.Fertiliser_Products_Data1(),FertiliserProducts[[#Headers],[Include or Exclude]], 0,4)</f>
        <v/>
      </c>
      <c r="L138" s="186" t="str" cm="1">
        <f t="array" ref="L138">Common_InputFunctions.Utility_DisplayArrayInTable(Fertiliser_SourceData.Fertiliser_Products_Data1(),FertiliserProducts[[#Headers],[Include or Exclude]], 0,4)</f>
        <v/>
      </c>
      <c r="M138" s="186" t="str" cm="1">
        <f t="array" ref="M138">Common_InputFunctions.Utility_DisplayArrayInTable(Fertiliser_SourceData.Fertiliser_Products_Data1(),FertiliserProducts[[#Headers],[Include or Exclude]], 0,4)</f>
        <v/>
      </c>
      <c r="N138" s="186" t="str" cm="1">
        <f t="array" ref="N138">Common_InputFunctions.Utility_DisplayArrayInTable(Fertiliser_SourceData.Fertiliser_Products_Data1(),FertiliserProducts[[#Headers],[Include or Exclude]], 0,4)</f>
        <v/>
      </c>
      <c r="O138" s="186" t="str" cm="1">
        <f t="array" ref="O138">Common_InputFunctions.Utility_DisplayArrayInTable(Fertiliser_SourceData.Fertiliser_Products_Data1(),FertiliserProducts[[#Headers],[Include or Exclude]], 0,4)</f>
        <v/>
      </c>
      <c r="P138" s="186" t="str" cm="1">
        <f t="array" ref="P138">Common_InputFunctions.Utility_DisplayArrayInTable(Fertiliser_SourceData.Fertiliser_Products_Data1(),FertiliserProducts[[#Headers],[Include or Exclude]], 0,4)</f>
        <v/>
      </c>
      <c r="Q138" s="186" t="str" cm="1">
        <f t="array" ref="Q138">Common_InputFunctions.Utility_DisplayArrayInTable(Fertiliser_SourceData.Fertiliser_Products_Data1(),FertiliserProducts[[#Headers],[Include or Exclude]], 0,4)</f>
        <v/>
      </c>
      <c r="R138" s="186" t="str" cm="1">
        <f t="array" ref="R138">Common_InputFunctions.Utility_DisplayArrayInTable(Fertiliser_SourceData.Fertiliser_Products_Data1(),FertiliserProducts[[#Headers],[Include or Exclude]], 0,4)</f>
        <v/>
      </c>
      <c r="S138" s="186" t="str" cm="1">
        <f t="array" ref="S138">Common_InputFunctions.Utility_DisplayArrayInTable(Fertiliser_SourceData.Fertiliser_Products_Data1(),FertiliserProducts[[#Headers],[Include or Exclude]], 0,4)</f>
        <v/>
      </c>
      <c r="T138" s="186" t="str" cm="1">
        <f t="array" ref="T138">Common_InputFunctions.Utility_DisplayArrayInTable(Fertiliser_SourceData.Fertiliser_Products_Data1(),FertiliserProducts[[#Headers],[Include or Exclude]], 0,4)</f>
        <v/>
      </c>
      <c r="U138" s="186" t="str" cm="1">
        <f t="array" ref="U138">Common_InputFunctions.Utility_DisplayArrayInTable(Fertiliser_SourceData.Fertiliser_Products_Data1(),FertiliserProducts[[#Headers],[Include or Exclude]], 0,4)</f>
        <v/>
      </c>
      <c r="V138" s="186" t="str" cm="1">
        <f t="array" ref="V138">Common_InputFunctions.Utility_DisplayArrayInTable(Fertiliser_SourceData.Fertiliser_Products_Data1(),FertiliserProducts[[#Headers],[Include or Exclude]], 0,4)</f>
        <v/>
      </c>
      <c r="W138" s="186" t="str" cm="1">
        <f t="array" ref="W138">Common_InputFunctions.Utility_DisplayArrayInTable(Fertiliser_SourceData.Fertiliser_Products_Data1(),FertiliserProducts[[#Headers],[Include or Exclude]], 0,4)</f>
        <v/>
      </c>
      <c r="X138" s="186" t="str" cm="1">
        <f t="array" ref="X138">Common_InputFunctions.Utility_DisplayArrayInTable(Fertiliser_SourceData.Fertiliser_Products_Data1(),FertiliserProducts[[#Headers],[Include or Exclude]], 0,4)</f>
        <v/>
      </c>
      <c r="Y138" s="186" t="str" cm="1">
        <f t="array" ref="Y138">Common_InputFunctions.Utility_DisplayArrayInTable(Fertiliser_SourceData.Fertiliser_Products_Data1(),FertiliserProducts[[#Headers],[Include or Exclude]], 0,4)</f>
        <v/>
      </c>
      <c r="Z138" s="186" t="str" cm="1">
        <f t="array" ref="Z138">Common_InputFunctions.Utility_DisplayArrayInTable(Fertiliser_SourceData.Fertiliser_Products_Data1(),FertiliserProducts[[#Headers],[Include or Exclude]], 0,4)</f>
        <v/>
      </c>
      <c r="AA138" s="186" t="str" cm="1">
        <f t="array" ref="AA138">Common_InputFunctions.Utility_DisplayArrayInTable(Fertiliser_SourceData.Fertiliser_Products_Data1(),FertiliserProducts[[#Headers],[Include or Exclude]], 0,4)</f>
        <v/>
      </c>
      <c r="AB138" s="186" t="str" cm="1">
        <f t="array" ref="AB138">Common_InputFunctions.Utility_DisplayArrayInTable(Fertiliser_SourceData.Fertiliser_Products_Data1(),FertiliserProducts[[#Headers],[Include or Exclude]], 0,4)</f>
        <v/>
      </c>
      <c r="AC138" s="186" t="str" cm="1">
        <f t="array" ref="AC138">Common_InputFunctions.Utility_DisplayArrayInTable(Fertiliser_SourceData.Fertiliser_Products_Data1(),FertiliserProducts[[#Headers],[Include or Exclude]], 0,4)</f>
        <v/>
      </c>
      <c r="AD138" s="186" t="str" cm="1">
        <f t="array" ref="AD138">Common_InputFunctions.Utility_DisplayArrayInTable(Fertiliser_SourceData.Fertiliser_Products_Data1(),FertiliserProducts[[#Headers],[Include or Exclude]], 0,4)</f>
        <v/>
      </c>
      <c r="AE138" s="186" t="str" cm="1">
        <f t="array" ref="AE138">Common_InputFunctions.Utility_DisplayArrayInTable(Fertiliser_SourceData.Fertiliser_Products_Data1(),FertiliserProducts[[#Headers],[Include or Exclude]], 0,4)</f>
        <v/>
      </c>
    </row>
    <row r="139" spans="4:31" ht="20.100000000000001" customHeight="1" x14ac:dyDescent="0.25">
      <c r="D139" s="186" t="str" cm="1">
        <f t="array" ref="D139">Common_InputFunctions.Utility_DisplayArrayInTable(Fertiliser_SourceData.Fertiliser_Products_Data1(),FertiliserProducts[[#Headers],[Include or Exclude]], -1)</f>
        <v/>
      </c>
      <c r="E139" s="186" t="str" cm="1">
        <f t="array" ref="E139">Common_InputFunctions.Utility_DisplayArrayInTable(Fertiliser_SourceData.Fertiliser_Products_Data1(),FertiliserProducts[[#Headers],[Include or Exclude]], 0)</f>
        <v/>
      </c>
      <c r="F139" s="186" t="str" cm="1">
        <f t="array" ref="F139">Common_InputFunctions.Utility_DisplayArrayInTable(Fertiliser_SourceData.Fertiliser_Products_Data1(),FertiliserProducts[[#Headers],[Include or Exclude]], 0)</f>
        <v/>
      </c>
      <c r="G139" s="186" t="str" cm="1">
        <f t="array" ref="G139">Common_InputFunctions.Utility_DisplayArrayInTable(Fertiliser_SourceData.Fertiliser_Products_Data1(),FertiliserProducts[[#Headers],[Include or Exclude]], 0)</f>
        <v/>
      </c>
      <c r="H139" s="186" t="str" cm="1">
        <f t="array" ref="H139">Common_InputFunctions.Utility_DisplayArrayInTable(Fertiliser_SourceData.Fertiliser_Products_Data1(),FertiliserProducts[[#Headers],[Include or Exclude]], 0,4)</f>
        <v/>
      </c>
      <c r="I139" s="186" t="str" cm="1">
        <f t="array" ref="I139">Common_InputFunctions.Utility_DisplayArrayInTable(Fertiliser_SourceData.Fertiliser_Products_Data1(),FertiliserProducts[[#Headers],[Include or Exclude]], 0,4)</f>
        <v/>
      </c>
      <c r="J139" s="186" t="str" cm="1">
        <f t="array" ref="J139">Common_InputFunctions.Utility_DisplayArrayInTable(Fertiliser_SourceData.Fertiliser_Products_Data1(),FertiliserProducts[[#Headers],[Include or Exclude]], 0,4)</f>
        <v/>
      </c>
      <c r="K139" s="186" t="str" cm="1">
        <f t="array" ref="K139">Common_InputFunctions.Utility_DisplayArrayInTable(Fertiliser_SourceData.Fertiliser_Products_Data1(),FertiliserProducts[[#Headers],[Include or Exclude]], 0,4)</f>
        <v/>
      </c>
      <c r="L139" s="186" t="str" cm="1">
        <f t="array" ref="L139">Common_InputFunctions.Utility_DisplayArrayInTable(Fertiliser_SourceData.Fertiliser_Products_Data1(),FertiliserProducts[[#Headers],[Include or Exclude]], 0,4)</f>
        <v/>
      </c>
      <c r="M139" s="186" t="str" cm="1">
        <f t="array" ref="M139">Common_InputFunctions.Utility_DisplayArrayInTable(Fertiliser_SourceData.Fertiliser_Products_Data1(),FertiliserProducts[[#Headers],[Include or Exclude]], 0,4)</f>
        <v/>
      </c>
      <c r="N139" s="186" t="str" cm="1">
        <f t="array" ref="N139">Common_InputFunctions.Utility_DisplayArrayInTable(Fertiliser_SourceData.Fertiliser_Products_Data1(),FertiliserProducts[[#Headers],[Include or Exclude]], 0,4)</f>
        <v/>
      </c>
      <c r="O139" s="186" t="str" cm="1">
        <f t="array" ref="O139">Common_InputFunctions.Utility_DisplayArrayInTable(Fertiliser_SourceData.Fertiliser_Products_Data1(),FertiliserProducts[[#Headers],[Include or Exclude]], 0,4)</f>
        <v/>
      </c>
      <c r="P139" s="186" t="str" cm="1">
        <f t="array" ref="P139">Common_InputFunctions.Utility_DisplayArrayInTable(Fertiliser_SourceData.Fertiliser_Products_Data1(),FertiliserProducts[[#Headers],[Include or Exclude]], 0,4)</f>
        <v/>
      </c>
      <c r="Q139" s="186" t="str" cm="1">
        <f t="array" ref="Q139">Common_InputFunctions.Utility_DisplayArrayInTable(Fertiliser_SourceData.Fertiliser_Products_Data1(),FertiliserProducts[[#Headers],[Include or Exclude]], 0,4)</f>
        <v/>
      </c>
      <c r="R139" s="186" t="str" cm="1">
        <f t="array" ref="R139">Common_InputFunctions.Utility_DisplayArrayInTable(Fertiliser_SourceData.Fertiliser_Products_Data1(),FertiliserProducts[[#Headers],[Include or Exclude]], 0,4)</f>
        <v/>
      </c>
      <c r="S139" s="186" t="str" cm="1">
        <f t="array" ref="S139">Common_InputFunctions.Utility_DisplayArrayInTable(Fertiliser_SourceData.Fertiliser_Products_Data1(),FertiliserProducts[[#Headers],[Include or Exclude]], 0,4)</f>
        <v/>
      </c>
      <c r="T139" s="186" t="str" cm="1">
        <f t="array" ref="T139">Common_InputFunctions.Utility_DisplayArrayInTable(Fertiliser_SourceData.Fertiliser_Products_Data1(),FertiliserProducts[[#Headers],[Include or Exclude]], 0,4)</f>
        <v/>
      </c>
      <c r="U139" s="186" t="str" cm="1">
        <f t="array" ref="U139">Common_InputFunctions.Utility_DisplayArrayInTable(Fertiliser_SourceData.Fertiliser_Products_Data1(),FertiliserProducts[[#Headers],[Include or Exclude]], 0,4)</f>
        <v/>
      </c>
      <c r="V139" s="186" t="str" cm="1">
        <f t="array" ref="V139">Common_InputFunctions.Utility_DisplayArrayInTable(Fertiliser_SourceData.Fertiliser_Products_Data1(),FertiliserProducts[[#Headers],[Include or Exclude]], 0,4)</f>
        <v/>
      </c>
      <c r="W139" s="186" t="str" cm="1">
        <f t="array" ref="W139">Common_InputFunctions.Utility_DisplayArrayInTable(Fertiliser_SourceData.Fertiliser_Products_Data1(),FertiliserProducts[[#Headers],[Include or Exclude]], 0,4)</f>
        <v/>
      </c>
      <c r="X139" s="186" t="str" cm="1">
        <f t="array" ref="X139">Common_InputFunctions.Utility_DisplayArrayInTable(Fertiliser_SourceData.Fertiliser_Products_Data1(),FertiliserProducts[[#Headers],[Include or Exclude]], 0,4)</f>
        <v/>
      </c>
      <c r="Y139" s="186" t="str" cm="1">
        <f t="array" ref="Y139">Common_InputFunctions.Utility_DisplayArrayInTable(Fertiliser_SourceData.Fertiliser_Products_Data1(),FertiliserProducts[[#Headers],[Include or Exclude]], 0,4)</f>
        <v/>
      </c>
      <c r="Z139" s="186" t="str" cm="1">
        <f t="array" ref="Z139">Common_InputFunctions.Utility_DisplayArrayInTable(Fertiliser_SourceData.Fertiliser_Products_Data1(),FertiliserProducts[[#Headers],[Include or Exclude]], 0,4)</f>
        <v/>
      </c>
      <c r="AA139" s="186" t="str" cm="1">
        <f t="array" ref="AA139">Common_InputFunctions.Utility_DisplayArrayInTable(Fertiliser_SourceData.Fertiliser_Products_Data1(),FertiliserProducts[[#Headers],[Include or Exclude]], 0,4)</f>
        <v/>
      </c>
      <c r="AB139" s="186" t="str" cm="1">
        <f t="array" ref="AB139">Common_InputFunctions.Utility_DisplayArrayInTable(Fertiliser_SourceData.Fertiliser_Products_Data1(),FertiliserProducts[[#Headers],[Include or Exclude]], 0,4)</f>
        <v/>
      </c>
      <c r="AC139" s="186" t="str" cm="1">
        <f t="array" ref="AC139">Common_InputFunctions.Utility_DisplayArrayInTable(Fertiliser_SourceData.Fertiliser_Products_Data1(),FertiliserProducts[[#Headers],[Include or Exclude]], 0,4)</f>
        <v/>
      </c>
      <c r="AD139" s="186" t="str" cm="1">
        <f t="array" ref="AD139">Common_InputFunctions.Utility_DisplayArrayInTable(Fertiliser_SourceData.Fertiliser_Products_Data1(),FertiliserProducts[[#Headers],[Include or Exclude]], 0,4)</f>
        <v/>
      </c>
      <c r="AE139" s="186" t="str" cm="1">
        <f t="array" ref="AE139">Common_InputFunctions.Utility_DisplayArrayInTable(Fertiliser_SourceData.Fertiliser_Products_Data1(),FertiliserProducts[[#Headers],[Include or Exclude]], 0,4)</f>
        <v/>
      </c>
    </row>
    <row r="140" spans="4:31" ht="20.100000000000001" customHeight="1" x14ac:dyDescent="0.25">
      <c r="D140" s="186" t="str" cm="1">
        <f t="array" ref="D140">Common_InputFunctions.Utility_DisplayArrayInTable(Fertiliser_SourceData.Fertiliser_Products_Data1(),FertiliserProducts[[#Headers],[Include or Exclude]], -1)</f>
        <v/>
      </c>
      <c r="E140" s="186" t="str" cm="1">
        <f t="array" ref="E140">Common_InputFunctions.Utility_DisplayArrayInTable(Fertiliser_SourceData.Fertiliser_Products_Data1(),FertiliserProducts[[#Headers],[Include or Exclude]], 0)</f>
        <v/>
      </c>
      <c r="F140" s="186" t="str" cm="1">
        <f t="array" ref="F140">Common_InputFunctions.Utility_DisplayArrayInTable(Fertiliser_SourceData.Fertiliser_Products_Data1(),FertiliserProducts[[#Headers],[Include or Exclude]], 0)</f>
        <v/>
      </c>
      <c r="G140" s="186" t="str" cm="1">
        <f t="array" ref="G140">Common_InputFunctions.Utility_DisplayArrayInTable(Fertiliser_SourceData.Fertiliser_Products_Data1(),FertiliserProducts[[#Headers],[Include or Exclude]], 0)</f>
        <v/>
      </c>
      <c r="H140" s="186" t="str" cm="1">
        <f t="array" ref="H140">Common_InputFunctions.Utility_DisplayArrayInTable(Fertiliser_SourceData.Fertiliser_Products_Data1(),FertiliserProducts[[#Headers],[Include or Exclude]], 0,4)</f>
        <v/>
      </c>
      <c r="I140" s="186" t="str" cm="1">
        <f t="array" ref="I140">Common_InputFunctions.Utility_DisplayArrayInTable(Fertiliser_SourceData.Fertiliser_Products_Data1(),FertiliserProducts[[#Headers],[Include or Exclude]], 0,4)</f>
        <v/>
      </c>
      <c r="J140" s="186" t="str" cm="1">
        <f t="array" ref="J140">Common_InputFunctions.Utility_DisplayArrayInTable(Fertiliser_SourceData.Fertiliser_Products_Data1(),FertiliserProducts[[#Headers],[Include or Exclude]], 0,4)</f>
        <v/>
      </c>
      <c r="K140" s="186" t="str" cm="1">
        <f t="array" ref="K140">Common_InputFunctions.Utility_DisplayArrayInTable(Fertiliser_SourceData.Fertiliser_Products_Data1(),FertiliserProducts[[#Headers],[Include or Exclude]], 0,4)</f>
        <v/>
      </c>
      <c r="L140" s="186" t="str" cm="1">
        <f t="array" ref="L140">Common_InputFunctions.Utility_DisplayArrayInTable(Fertiliser_SourceData.Fertiliser_Products_Data1(),FertiliserProducts[[#Headers],[Include or Exclude]], 0,4)</f>
        <v/>
      </c>
      <c r="M140" s="186" t="str" cm="1">
        <f t="array" ref="M140">Common_InputFunctions.Utility_DisplayArrayInTable(Fertiliser_SourceData.Fertiliser_Products_Data1(),FertiliserProducts[[#Headers],[Include or Exclude]], 0,4)</f>
        <v/>
      </c>
      <c r="N140" s="186" t="str" cm="1">
        <f t="array" ref="N140">Common_InputFunctions.Utility_DisplayArrayInTable(Fertiliser_SourceData.Fertiliser_Products_Data1(),FertiliserProducts[[#Headers],[Include or Exclude]], 0,4)</f>
        <v/>
      </c>
      <c r="O140" s="186" t="str" cm="1">
        <f t="array" ref="O140">Common_InputFunctions.Utility_DisplayArrayInTable(Fertiliser_SourceData.Fertiliser_Products_Data1(),FertiliserProducts[[#Headers],[Include or Exclude]], 0,4)</f>
        <v/>
      </c>
      <c r="P140" s="186" t="str" cm="1">
        <f t="array" ref="P140">Common_InputFunctions.Utility_DisplayArrayInTable(Fertiliser_SourceData.Fertiliser_Products_Data1(),FertiliserProducts[[#Headers],[Include or Exclude]], 0,4)</f>
        <v/>
      </c>
      <c r="Q140" s="186" t="str" cm="1">
        <f t="array" ref="Q140">Common_InputFunctions.Utility_DisplayArrayInTable(Fertiliser_SourceData.Fertiliser_Products_Data1(),FertiliserProducts[[#Headers],[Include or Exclude]], 0,4)</f>
        <v/>
      </c>
      <c r="R140" s="186" t="str" cm="1">
        <f t="array" ref="R140">Common_InputFunctions.Utility_DisplayArrayInTable(Fertiliser_SourceData.Fertiliser_Products_Data1(),FertiliserProducts[[#Headers],[Include or Exclude]], 0,4)</f>
        <v/>
      </c>
      <c r="S140" s="186" t="str" cm="1">
        <f t="array" ref="S140">Common_InputFunctions.Utility_DisplayArrayInTable(Fertiliser_SourceData.Fertiliser_Products_Data1(),FertiliserProducts[[#Headers],[Include or Exclude]], 0,4)</f>
        <v/>
      </c>
      <c r="T140" s="186" t="str" cm="1">
        <f t="array" ref="T140">Common_InputFunctions.Utility_DisplayArrayInTable(Fertiliser_SourceData.Fertiliser_Products_Data1(),FertiliserProducts[[#Headers],[Include or Exclude]], 0,4)</f>
        <v/>
      </c>
      <c r="U140" s="186" t="str" cm="1">
        <f t="array" ref="U140">Common_InputFunctions.Utility_DisplayArrayInTable(Fertiliser_SourceData.Fertiliser_Products_Data1(),FertiliserProducts[[#Headers],[Include or Exclude]], 0,4)</f>
        <v/>
      </c>
      <c r="V140" s="186" t="str" cm="1">
        <f t="array" ref="V140">Common_InputFunctions.Utility_DisplayArrayInTable(Fertiliser_SourceData.Fertiliser_Products_Data1(),FertiliserProducts[[#Headers],[Include or Exclude]], 0,4)</f>
        <v/>
      </c>
      <c r="W140" s="186" t="str" cm="1">
        <f t="array" ref="W140">Common_InputFunctions.Utility_DisplayArrayInTable(Fertiliser_SourceData.Fertiliser_Products_Data1(),FertiliserProducts[[#Headers],[Include or Exclude]], 0,4)</f>
        <v/>
      </c>
      <c r="X140" s="186" t="str" cm="1">
        <f t="array" ref="X140">Common_InputFunctions.Utility_DisplayArrayInTable(Fertiliser_SourceData.Fertiliser_Products_Data1(),FertiliserProducts[[#Headers],[Include or Exclude]], 0,4)</f>
        <v/>
      </c>
      <c r="Y140" s="186" t="str" cm="1">
        <f t="array" ref="Y140">Common_InputFunctions.Utility_DisplayArrayInTable(Fertiliser_SourceData.Fertiliser_Products_Data1(),FertiliserProducts[[#Headers],[Include or Exclude]], 0,4)</f>
        <v/>
      </c>
      <c r="Z140" s="186" t="str" cm="1">
        <f t="array" ref="Z140">Common_InputFunctions.Utility_DisplayArrayInTable(Fertiliser_SourceData.Fertiliser_Products_Data1(),FertiliserProducts[[#Headers],[Include or Exclude]], 0,4)</f>
        <v/>
      </c>
      <c r="AA140" s="186" t="str" cm="1">
        <f t="array" ref="AA140">Common_InputFunctions.Utility_DisplayArrayInTable(Fertiliser_SourceData.Fertiliser_Products_Data1(),FertiliserProducts[[#Headers],[Include or Exclude]], 0,4)</f>
        <v/>
      </c>
      <c r="AB140" s="186" t="str" cm="1">
        <f t="array" ref="AB140">Common_InputFunctions.Utility_DisplayArrayInTable(Fertiliser_SourceData.Fertiliser_Products_Data1(),FertiliserProducts[[#Headers],[Include or Exclude]], 0,4)</f>
        <v/>
      </c>
      <c r="AC140" s="186" t="str" cm="1">
        <f t="array" ref="AC140">Common_InputFunctions.Utility_DisplayArrayInTable(Fertiliser_SourceData.Fertiliser_Products_Data1(),FertiliserProducts[[#Headers],[Include or Exclude]], 0,4)</f>
        <v/>
      </c>
      <c r="AD140" s="186" t="str" cm="1">
        <f t="array" ref="AD140">Common_InputFunctions.Utility_DisplayArrayInTable(Fertiliser_SourceData.Fertiliser_Products_Data1(),FertiliserProducts[[#Headers],[Include or Exclude]], 0,4)</f>
        <v/>
      </c>
      <c r="AE140" s="186" t="str" cm="1">
        <f t="array" ref="AE140">Common_InputFunctions.Utility_DisplayArrayInTable(Fertiliser_SourceData.Fertiliser_Products_Data1(),FertiliserProducts[[#Headers],[Include or Exclude]], 0,4)</f>
        <v/>
      </c>
    </row>
    <row r="141" spans="4:31" ht="20.100000000000001" customHeight="1" x14ac:dyDescent="0.25">
      <c r="D141" s="186" t="str" cm="1">
        <f t="array" ref="D141">Common_InputFunctions.Utility_DisplayArrayInTable(Fertiliser_SourceData.Fertiliser_Products_Data1(),FertiliserProducts[[#Headers],[Include or Exclude]], -1)</f>
        <v/>
      </c>
      <c r="E141" s="186" t="str" cm="1">
        <f t="array" ref="E141">Common_InputFunctions.Utility_DisplayArrayInTable(Fertiliser_SourceData.Fertiliser_Products_Data1(),FertiliserProducts[[#Headers],[Include or Exclude]], 0)</f>
        <v/>
      </c>
      <c r="F141" s="186" t="str" cm="1">
        <f t="array" ref="F141">Common_InputFunctions.Utility_DisplayArrayInTable(Fertiliser_SourceData.Fertiliser_Products_Data1(),FertiliserProducts[[#Headers],[Include or Exclude]], 0)</f>
        <v/>
      </c>
      <c r="G141" s="186" t="str" cm="1">
        <f t="array" ref="G141">Common_InputFunctions.Utility_DisplayArrayInTable(Fertiliser_SourceData.Fertiliser_Products_Data1(),FertiliserProducts[[#Headers],[Include or Exclude]], 0)</f>
        <v/>
      </c>
      <c r="H141" s="186" t="str" cm="1">
        <f t="array" ref="H141">Common_InputFunctions.Utility_DisplayArrayInTable(Fertiliser_SourceData.Fertiliser_Products_Data1(),FertiliserProducts[[#Headers],[Include or Exclude]], 0,4)</f>
        <v/>
      </c>
      <c r="I141" s="186" t="str" cm="1">
        <f t="array" ref="I141">Common_InputFunctions.Utility_DisplayArrayInTable(Fertiliser_SourceData.Fertiliser_Products_Data1(),FertiliserProducts[[#Headers],[Include or Exclude]], 0,4)</f>
        <v/>
      </c>
      <c r="J141" s="186" t="str" cm="1">
        <f t="array" ref="J141">Common_InputFunctions.Utility_DisplayArrayInTable(Fertiliser_SourceData.Fertiliser_Products_Data1(),FertiliserProducts[[#Headers],[Include or Exclude]], 0,4)</f>
        <v/>
      </c>
      <c r="K141" s="186" t="str" cm="1">
        <f t="array" ref="K141">Common_InputFunctions.Utility_DisplayArrayInTable(Fertiliser_SourceData.Fertiliser_Products_Data1(),FertiliserProducts[[#Headers],[Include or Exclude]], 0,4)</f>
        <v/>
      </c>
      <c r="L141" s="186" t="str" cm="1">
        <f t="array" ref="L141">Common_InputFunctions.Utility_DisplayArrayInTable(Fertiliser_SourceData.Fertiliser_Products_Data1(),FertiliserProducts[[#Headers],[Include or Exclude]], 0,4)</f>
        <v/>
      </c>
      <c r="M141" s="186" t="str" cm="1">
        <f t="array" ref="M141">Common_InputFunctions.Utility_DisplayArrayInTable(Fertiliser_SourceData.Fertiliser_Products_Data1(),FertiliserProducts[[#Headers],[Include or Exclude]], 0,4)</f>
        <v/>
      </c>
      <c r="N141" s="186" t="str" cm="1">
        <f t="array" ref="N141">Common_InputFunctions.Utility_DisplayArrayInTable(Fertiliser_SourceData.Fertiliser_Products_Data1(),FertiliserProducts[[#Headers],[Include or Exclude]], 0,4)</f>
        <v/>
      </c>
      <c r="O141" s="186" t="str" cm="1">
        <f t="array" ref="O141">Common_InputFunctions.Utility_DisplayArrayInTable(Fertiliser_SourceData.Fertiliser_Products_Data1(),FertiliserProducts[[#Headers],[Include or Exclude]], 0,4)</f>
        <v/>
      </c>
      <c r="P141" s="186" t="str" cm="1">
        <f t="array" ref="P141">Common_InputFunctions.Utility_DisplayArrayInTable(Fertiliser_SourceData.Fertiliser_Products_Data1(),FertiliserProducts[[#Headers],[Include or Exclude]], 0,4)</f>
        <v/>
      </c>
      <c r="Q141" s="186" t="str" cm="1">
        <f t="array" ref="Q141">Common_InputFunctions.Utility_DisplayArrayInTable(Fertiliser_SourceData.Fertiliser_Products_Data1(),FertiliserProducts[[#Headers],[Include or Exclude]], 0,4)</f>
        <v/>
      </c>
      <c r="R141" s="186" t="str" cm="1">
        <f t="array" ref="R141">Common_InputFunctions.Utility_DisplayArrayInTable(Fertiliser_SourceData.Fertiliser_Products_Data1(),FertiliserProducts[[#Headers],[Include or Exclude]], 0,4)</f>
        <v/>
      </c>
      <c r="S141" s="186" t="str" cm="1">
        <f t="array" ref="S141">Common_InputFunctions.Utility_DisplayArrayInTable(Fertiliser_SourceData.Fertiliser_Products_Data1(),FertiliserProducts[[#Headers],[Include or Exclude]], 0,4)</f>
        <v/>
      </c>
      <c r="T141" s="186" t="str" cm="1">
        <f t="array" ref="T141">Common_InputFunctions.Utility_DisplayArrayInTable(Fertiliser_SourceData.Fertiliser_Products_Data1(),FertiliserProducts[[#Headers],[Include or Exclude]], 0,4)</f>
        <v/>
      </c>
      <c r="U141" s="186" t="str" cm="1">
        <f t="array" ref="U141">Common_InputFunctions.Utility_DisplayArrayInTable(Fertiliser_SourceData.Fertiliser_Products_Data1(),FertiliserProducts[[#Headers],[Include or Exclude]], 0,4)</f>
        <v/>
      </c>
      <c r="V141" s="186" t="str" cm="1">
        <f t="array" ref="V141">Common_InputFunctions.Utility_DisplayArrayInTable(Fertiliser_SourceData.Fertiliser_Products_Data1(),FertiliserProducts[[#Headers],[Include or Exclude]], 0,4)</f>
        <v/>
      </c>
      <c r="W141" s="186" t="str" cm="1">
        <f t="array" ref="W141">Common_InputFunctions.Utility_DisplayArrayInTable(Fertiliser_SourceData.Fertiliser_Products_Data1(),FertiliserProducts[[#Headers],[Include or Exclude]], 0,4)</f>
        <v/>
      </c>
      <c r="X141" s="186" t="str" cm="1">
        <f t="array" ref="X141">Common_InputFunctions.Utility_DisplayArrayInTable(Fertiliser_SourceData.Fertiliser_Products_Data1(),FertiliserProducts[[#Headers],[Include or Exclude]], 0,4)</f>
        <v/>
      </c>
      <c r="Y141" s="186" t="str" cm="1">
        <f t="array" ref="Y141">Common_InputFunctions.Utility_DisplayArrayInTable(Fertiliser_SourceData.Fertiliser_Products_Data1(),FertiliserProducts[[#Headers],[Include or Exclude]], 0,4)</f>
        <v/>
      </c>
      <c r="Z141" s="186" t="str" cm="1">
        <f t="array" ref="Z141">Common_InputFunctions.Utility_DisplayArrayInTable(Fertiliser_SourceData.Fertiliser_Products_Data1(),FertiliserProducts[[#Headers],[Include or Exclude]], 0,4)</f>
        <v/>
      </c>
      <c r="AA141" s="186" t="str" cm="1">
        <f t="array" ref="AA141">Common_InputFunctions.Utility_DisplayArrayInTable(Fertiliser_SourceData.Fertiliser_Products_Data1(),FertiliserProducts[[#Headers],[Include or Exclude]], 0,4)</f>
        <v/>
      </c>
      <c r="AB141" s="186" t="str" cm="1">
        <f t="array" ref="AB141">Common_InputFunctions.Utility_DisplayArrayInTable(Fertiliser_SourceData.Fertiliser_Products_Data1(),FertiliserProducts[[#Headers],[Include or Exclude]], 0,4)</f>
        <v/>
      </c>
      <c r="AC141" s="186" t="str" cm="1">
        <f t="array" ref="AC141">Common_InputFunctions.Utility_DisplayArrayInTable(Fertiliser_SourceData.Fertiliser_Products_Data1(),FertiliserProducts[[#Headers],[Include or Exclude]], 0,4)</f>
        <v/>
      </c>
      <c r="AD141" s="186" t="str" cm="1">
        <f t="array" ref="AD141">Common_InputFunctions.Utility_DisplayArrayInTable(Fertiliser_SourceData.Fertiliser_Products_Data1(),FertiliserProducts[[#Headers],[Include or Exclude]], 0,4)</f>
        <v/>
      </c>
      <c r="AE141" s="186" t="str" cm="1">
        <f t="array" ref="AE141">Common_InputFunctions.Utility_DisplayArrayInTable(Fertiliser_SourceData.Fertiliser_Products_Data1(),FertiliserProducts[[#Headers],[Include or Exclude]], 0,4)</f>
        <v/>
      </c>
    </row>
    <row r="142" spans="4:31" ht="20.100000000000001" customHeight="1" x14ac:dyDescent="0.25">
      <c r="D142" s="186" t="str" cm="1">
        <f t="array" ref="D142">Common_InputFunctions.Utility_DisplayArrayInTable(Fertiliser_SourceData.Fertiliser_Products_Data1(),FertiliserProducts[[#Headers],[Include or Exclude]], -1)</f>
        <v/>
      </c>
      <c r="E142" s="186" t="str" cm="1">
        <f t="array" ref="E142">Common_InputFunctions.Utility_DisplayArrayInTable(Fertiliser_SourceData.Fertiliser_Products_Data1(),FertiliserProducts[[#Headers],[Include or Exclude]], 0)</f>
        <v/>
      </c>
      <c r="F142" s="186" t="str" cm="1">
        <f t="array" ref="F142">Common_InputFunctions.Utility_DisplayArrayInTable(Fertiliser_SourceData.Fertiliser_Products_Data1(),FertiliserProducts[[#Headers],[Include or Exclude]], 0)</f>
        <v/>
      </c>
      <c r="G142" s="186" t="str" cm="1">
        <f t="array" ref="G142">Common_InputFunctions.Utility_DisplayArrayInTable(Fertiliser_SourceData.Fertiliser_Products_Data1(),FertiliserProducts[[#Headers],[Include or Exclude]], 0)</f>
        <v/>
      </c>
      <c r="H142" s="186" t="str" cm="1">
        <f t="array" ref="H142">Common_InputFunctions.Utility_DisplayArrayInTable(Fertiliser_SourceData.Fertiliser_Products_Data1(),FertiliserProducts[[#Headers],[Include or Exclude]], 0,4)</f>
        <v/>
      </c>
      <c r="I142" s="186" t="str" cm="1">
        <f t="array" ref="I142">Common_InputFunctions.Utility_DisplayArrayInTable(Fertiliser_SourceData.Fertiliser_Products_Data1(),FertiliserProducts[[#Headers],[Include or Exclude]], 0,4)</f>
        <v/>
      </c>
      <c r="J142" s="186" t="str" cm="1">
        <f t="array" ref="J142">Common_InputFunctions.Utility_DisplayArrayInTable(Fertiliser_SourceData.Fertiliser_Products_Data1(),FertiliserProducts[[#Headers],[Include or Exclude]], 0,4)</f>
        <v/>
      </c>
      <c r="K142" s="186" t="str" cm="1">
        <f t="array" ref="K142">Common_InputFunctions.Utility_DisplayArrayInTable(Fertiliser_SourceData.Fertiliser_Products_Data1(),FertiliserProducts[[#Headers],[Include or Exclude]], 0,4)</f>
        <v/>
      </c>
      <c r="L142" s="186" t="str" cm="1">
        <f t="array" ref="L142">Common_InputFunctions.Utility_DisplayArrayInTable(Fertiliser_SourceData.Fertiliser_Products_Data1(),FertiliserProducts[[#Headers],[Include or Exclude]], 0,4)</f>
        <v/>
      </c>
      <c r="M142" s="186" t="str" cm="1">
        <f t="array" ref="M142">Common_InputFunctions.Utility_DisplayArrayInTable(Fertiliser_SourceData.Fertiliser_Products_Data1(),FertiliserProducts[[#Headers],[Include or Exclude]], 0,4)</f>
        <v/>
      </c>
      <c r="N142" s="186" t="str" cm="1">
        <f t="array" ref="N142">Common_InputFunctions.Utility_DisplayArrayInTable(Fertiliser_SourceData.Fertiliser_Products_Data1(),FertiliserProducts[[#Headers],[Include or Exclude]], 0,4)</f>
        <v/>
      </c>
      <c r="O142" s="186" t="str" cm="1">
        <f t="array" ref="O142">Common_InputFunctions.Utility_DisplayArrayInTable(Fertiliser_SourceData.Fertiliser_Products_Data1(),FertiliserProducts[[#Headers],[Include or Exclude]], 0,4)</f>
        <v/>
      </c>
      <c r="P142" s="186" t="str" cm="1">
        <f t="array" ref="P142">Common_InputFunctions.Utility_DisplayArrayInTable(Fertiliser_SourceData.Fertiliser_Products_Data1(),FertiliserProducts[[#Headers],[Include or Exclude]], 0,4)</f>
        <v/>
      </c>
      <c r="Q142" s="186" t="str" cm="1">
        <f t="array" ref="Q142">Common_InputFunctions.Utility_DisplayArrayInTable(Fertiliser_SourceData.Fertiliser_Products_Data1(),FertiliserProducts[[#Headers],[Include or Exclude]], 0,4)</f>
        <v/>
      </c>
      <c r="R142" s="186" t="str" cm="1">
        <f t="array" ref="R142">Common_InputFunctions.Utility_DisplayArrayInTable(Fertiliser_SourceData.Fertiliser_Products_Data1(),FertiliserProducts[[#Headers],[Include or Exclude]], 0,4)</f>
        <v/>
      </c>
      <c r="S142" s="186" t="str" cm="1">
        <f t="array" ref="S142">Common_InputFunctions.Utility_DisplayArrayInTable(Fertiliser_SourceData.Fertiliser_Products_Data1(),FertiliserProducts[[#Headers],[Include or Exclude]], 0,4)</f>
        <v/>
      </c>
      <c r="T142" s="186" t="str" cm="1">
        <f t="array" ref="T142">Common_InputFunctions.Utility_DisplayArrayInTable(Fertiliser_SourceData.Fertiliser_Products_Data1(),FertiliserProducts[[#Headers],[Include or Exclude]], 0,4)</f>
        <v/>
      </c>
      <c r="U142" s="186" t="str" cm="1">
        <f t="array" ref="U142">Common_InputFunctions.Utility_DisplayArrayInTable(Fertiliser_SourceData.Fertiliser_Products_Data1(),FertiliserProducts[[#Headers],[Include or Exclude]], 0,4)</f>
        <v/>
      </c>
      <c r="V142" s="186" t="str" cm="1">
        <f t="array" ref="V142">Common_InputFunctions.Utility_DisplayArrayInTable(Fertiliser_SourceData.Fertiliser_Products_Data1(),FertiliserProducts[[#Headers],[Include or Exclude]], 0,4)</f>
        <v/>
      </c>
      <c r="W142" s="186" t="str" cm="1">
        <f t="array" ref="W142">Common_InputFunctions.Utility_DisplayArrayInTable(Fertiliser_SourceData.Fertiliser_Products_Data1(),FertiliserProducts[[#Headers],[Include or Exclude]], 0,4)</f>
        <v/>
      </c>
      <c r="X142" s="186" t="str" cm="1">
        <f t="array" ref="X142">Common_InputFunctions.Utility_DisplayArrayInTable(Fertiliser_SourceData.Fertiliser_Products_Data1(),FertiliserProducts[[#Headers],[Include or Exclude]], 0,4)</f>
        <v/>
      </c>
      <c r="Y142" s="186" t="str" cm="1">
        <f t="array" ref="Y142">Common_InputFunctions.Utility_DisplayArrayInTable(Fertiliser_SourceData.Fertiliser_Products_Data1(),FertiliserProducts[[#Headers],[Include or Exclude]], 0,4)</f>
        <v/>
      </c>
      <c r="Z142" s="186" t="str" cm="1">
        <f t="array" ref="Z142">Common_InputFunctions.Utility_DisplayArrayInTable(Fertiliser_SourceData.Fertiliser_Products_Data1(),FertiliserProducts[[#Headers],[Include or Exclude]], 0,4)</f>
        <v/>
      </c>
      <c r="AA142" s="186" t="str" cm="1">
        <f t="array" ref="AA142">Common_InputFunctions.Utility_DisplayArrayInTable(Fertiliser_SourceData.Fertiliser_Products_Data1(),FertiliserProducts[[#Headers],[Include or Exclude]], 0,4)</f>
        <v/>
      </c>
      <c r="AB142" s="186" t="str" cm="1">
        <f t="array" ref="AB142">Common_InputFunctions.Utility_DisplayArrayInTable(Fertiliser_SourceData.Fertiliser_Products_Data1(),FertiliserProducts[[#Headers],[Include or Exclude]], 0,4)</f>
        <v/>
      </c>
      <c r="AC142" s="186" t="str" cm="1">
        <f t="array" ref="AC142">Common_InputFunctions.Utility_DisplayArrayInTable(Fertiliser_SourceData.Fertiliser_Products_Data1(),FertiliserProducts[[#Headers],[Include or Exclude]], 0,4)</f>
        <v/>
      </c>
      <c r="AD142" s="186" t="str" cm="1">
        <f t="array" ref="AD142">Common_InputFunctions.Utility_DisplayArrayInTable(Fertiliser_SourceData.Fertiliser_Products_Data1(),FertiliserProducts[[#Headers],[Include or Exclude]], 0,4)</f>
        <v/>
      </c>
      <c r="AE142" s="186" t="str" cm="1">
        <f t="array" ref="AE142">Common_InputFunctions.Utility_DisplayArrayInTable(Fertiliser_SourceData.Fertiliser_Products_Data1(),FertiliserProducts[[#Headers],[Include or Exclude]], 0,4)</f>
        <v/>
      </c>
    </row>
    <row r="143" spans="4:31" ht="20.100000000000001" customHeight="1" x14ac:dyDescent="0.25">
      <c r="D143" s="186" t="str" cm="1">
        <f t="array" ref="D143">Common_InputFunctions.Utility_DisplayArrayInTable(Fertiliser_SourceData.Fertiliser_Products_Data1(),FertiliserProducts[[#Headers],[Include or Exclude]], -1)</f>
        <v/>
      </c>
      <c r="E143" s="186" t="str" cm="1">
        <f t="array" ref="E143">Common_InputFunctions.Utility_DisplayArrayInTable(Fertiliser_SourceData.Fertiliser_Products_Data1(),FertiliserProducts[[#Headers],[Include or Exclude]], 0)</f>
        <v/>
      </c>
      <c r="F143" s="186" t="str" cm="1">
        <f t="array" ref="F143">Common_InputFunctions.Utility_DisplayArrayInTable(Fertiliser_SourceData.Fertiliser_Products_Data1(),FertiliserProducts[[#Headers],[Include or Exclude]], 0)</f>
        <v/>
      </c>
      <c r="G143" s="186" t="str" cm="1">
        <f t="array" ref="G143">Common_InputFunctions.Utility_DisplayArrayInTable(Fertiliser_SourceData.Fertiliser_Products_Data1(),FertiliserProducts[[#Headers],[Include or Exclude]], 0)</f>
        <v/>
      </c>
      <c r="H143" s="186" t="str" cm="1">
        <f t="array" ref="H143">Common_InputFunctions.Utility_DisplayArrayInTable(Fertiliser_SourceData.Fertiliser_Products_Data1(),FertiliserProducts[[#Headers],[Include or Exclude]], 0,4)</f>
        <v/>
      </c>
      <c r="I143" s="186" t="str" cm="1">
        <f t="array" ref="I143">Common_InputFunctions.Utility_DisplayArrayInTable(Fertiliser_SourceData.Fertiliser_Products_Data1(),FertiliserProducts[[#Headers],[Include or Exclude]], 0,4)</f>
        <v/>
      </c>
      <c r="J143" s="186" t="str" cm="1">
        <f t="array" ref="J143">Common_InputFunctions.Utility_DisplayArrayInTable(Fertiliser_SourceData.Fertiliser_Products_Data1(),FertiliserProducts[[#Headers],[Include or Exclude]], 0,4)</f>
        <v/>
      </c>
      <c r="K143" s="186" t="str" cm="1">
        <f t="array" ref="K143">Common_InputFunctions.Utility_DisplayArrayInTable(Fertiliser_SourceData.Fertiliser_Products_Data1(),FertiliserProducts[[#Headers],[Include or Exclude]], 0,4)</f>
        <v/>
      </c>
      <c r="L143" s="186" t="str" cm="1">
        <f t="array" ref="L143">Common_InputFunctions.Utility_DisplayArrayInTable(Fertiliser_SourceData.Fertiliser_Products_Data1(),FertiliserProducts[[#Headers],[Include or Exclude]], 0,4)</f>
        <v/>
      </c>
      <c r="M143" s="186" t="str" cm="1">
        <f t="array" ref="M143">Common_InputFunctions.Utility_DisplayArrayInTable(Fertiliser_SourceData.Fertiliser_Products_Data1(),FertiliserProducts[[#Headers],[Include or Exclude]], 0,4)</f>
        <v/>
      </c>
      <c r="N143" s="186" t="str" cm="1">
        <f t="array" ref="N143">Common_InputFunctions.Utility_DisplayArrayInTable(Fertiliser_SourceData.Fertiliser_Products_Data1(),FertiliserProducts[[#Headers],[Include or Exclude]], 0,4)</f>
        <v/>
      </c>
      <c r="O143" s="186" t="str" cm="1">
        <f t="array" ref="O143">Common_InputFunctions.Utility_DisplayArrayInTable(Fertiliser_SourceData.Fertiliser_Products_Data1(),FertiliserProducts[[#Headers],[Include or Exclude]], 0,4)</f>
        <v/>
      </c>
      <c r="P143" s="186" t="str" cm="1">
        <f t="array" ref="P143">Common_InputFunctions.Utility_DisplayArrayInTable(Fertiliser_SourceData.Fertiliser_Products_Data1(),FertiliserProducts[[#Headers],[Include or Exclude]], 0,4)</f>
        <v/>
      </c>
      <c r="Q143" s="186" t="str" cm="1">
        <f t="array" ref="Q143">Common_InputFunctions.Utility_DisplayArrayInTable(Fertiliser_SourceData.Fertiliser_Products_Data1(),FertiliserProducts[[#Headers],[Include or Exclude]], 0,4)</f>
        <v/>
      </c>
      <c r="R143" s="186" t="str" cm="1">
        <f t="array" ref="R143">Common_InputFunctions.Utility_DisplayArrayInTable(Fertiliser_SourceData.Fertiliser_Products_Data1(),FertiliserProducts[[#Headers],[Include or Exclude]], 0,4)</f>
        <v/>
      </c>
      <c r="S143" s="186" t="str" cm="1">
        <f t="array" ref="S143">Common_InputFunctions.Utility_DisplayArrayInTable(Fertiliser_SourceData.Fertiliser_Products_Data1(),FertiliserProducts[[#Headers],[Include or Exclude]], 0,4)</f>
        <v/>
      </c>
      <c r="T143" s="186" t="str" cm="1">
        <f t="array" ref="T143">Common_InputFunctions.Utility_DisplayArrayInTable(Fertiliser_SourceData.Fertiliser_Products_Data1(),FertiliserProducts[[#Headers],[Include or Exclude]], 0,4)</f>
        <v/>
      </c>
      <c r="U143" s="186" t="str" cm="1">
        <f t="array" ref="U143">Common_InputFunctions.Utility_DisplayArrayInTable(Fertiliser_SourceData.Fertiliser_Products_Data1(),FertiliserProducts[[#Headers],[Include or Exclude]], 0,4)</f>
        <v/>
      </c>
      <c r="V143" s="186" t="str" cm="1">
        <f t="array" ref="V143">Common_InputFunctions.Utility_DisplayArrayInTable(Fertiliser_SourceData.Fertiliser_Products_Data1(),FertiliserProducts[[#Headers],[Include or Exclude]], 0,4)</f>
        <v/>
      </c>
      <c r="W143" s="186" t="str" cm="1">
        <f t="array" ref="W143">Common_InputFunctions.Utility_DisplayArrayInTable(Fertiliser_SourceData.Fertiliser_Products_Data1(),FertiliserProducts[[#Headers],[Include or Exclude]], 0,4)</f>
        <v/>
      </c>
      <c r="X143" s="186" t="str" cm="1">
        <f t="array" ref="X143">Common_InputFunctions.Utility_DisplayArrayInTable(Fertiliser_SourceData.Fertiliser_Products_Data1(),FertiliserProducts[[#Headers],[Include or Exclude]], 0,4)</f>
        <v/>
      </c>
      <c r="Y143" s="186" t="str" cm="1">
        <f t="array" ref="Y143">Common_InputFunctions.Utility_DisplayArrayInTable(Fertiliser_SourceData.Fertiliser_Products_Data1(),FertiliserProducts[[#Headers],[Include or Exclude]], 0,4)</f>
        <v/>
      </c>
      <c r="Z143" s="186" t="str" cm="1">
        <f t="array" ref="Z143">Common_InputFunctions.Utility_DisplayArrayInTable(Fertiliser_SourceData.Fertiliser_Products_Data1(),FertiliserProducts[[#Headers],[Include or Exclude]], 0,4)</f>
        <v/>
      </c>
      <c r="AA143" s="186" t="str" cm="1">
        <f t="array" ref="AA143">Common_InputFunctions.Utility_DisplayArrayInTable(Fertiliser_SourceData.Fertiliser_Products_Data1(),FertiliserProducts[[#Headers],[Include or Exclude]], 0,4)</f>
        <v/>
      </c>
      <c r="AB143" s="186" t="str" cm="1">
        <f t="array" ref="AB143">Common_InputFunctions.Utility_DisplayArrayInTable(Fertiliser_SourceData.Fertiliser_Products_Data1(),FertiliserProducts[[#Headers],[Include or Exclude]], 0,4)</f>
        <v/>
      </c>
      <c r="AC143" s="186" t="str" cm="1">
        <f t="array" ref="AC143">Common_InputFunctions.Utility_DisplayArrayInTable(Fertiliser_SourceData.Fertiliser_Products_Data1(),FertiliserProducts[[#Headers],[Include or Exclude]], 0,4)</f>
        <v/>
      </c>
      <c r="AD143" s="186" t="str" cm="1">
        <f t="array" ref="AD143">Common_InputFunctions.Utility_DisplayArrayInTable(Fertiliser_SourceData.Fertiliser_Products_Data1(),FertiliserProducts[[#Headers],[Include or Exclude]], 0,4)</f>
        <v/>
      </c>
      <c r="AE143" s="186" t="str" cm="1">
        <f t="array" ref="AE143">Common_InputFunctions.Utility_DisplayArrayInTable(Fertiliser_SourceData.Fertiliser_Products_Data1(),FertiliserProducts[[#Headers],[Include or Exclude]], 0,4)</f>
        <v/>
      </c>
    </row>
    <row r="144" spans="4:31" ht="20.100000000000001" customHeight="1" x14ac:dyDescent="0.25">
      <c r="D144" s="186" t="str" cm="1">
        <f t="array" ref="D144">Common_InputFunctions.Utility_DisplayArrayInTable(Fertiliser_SourceData.Fertiliser_Products_Data1(),FertiliserProducts[[#Headers],[Include or Exclude]], -1)</f>
        <v/>
      </c>
      <c r="E144" s="186" t="str" cm="1">
        <f t="array" ref="E144">Common_InputFunctions.Utility_DisplayArrayInTable(Fertiliser_SourceData.Fertiliser_Products_Data1(),FertiliserProducts[[#Headers],[Include or Exclude]], 0)</f>
        <v/>
      </c>
      <c r="F144" s="186" t="str" cm="1">
        <f t="array" ref="F144">Common_InputFunctions.Utility_DisplayArrayInTable(Fertiliser_SourceData.Fertiliser_Products_Data1(),FertiliserProducts[[#Headers],[Include or Exclude]], 0)</f>
        <v/>
      </c>
      <c r="G144" s="186" t="str" cm="1">
        <f t="array" ref="G144">Common_InputFunctions.Utility_DisplayArrayInTable(Fertiliser_SourceData.Fertiliser_Products_Data1(),FertiliserProducts[[#Headers],[Include or Exclude]], 0)</f>
        <v/>
      </c>
      <c r="H144" s="186" t="str" cm="1">
        <f t="array" ref="H144">Common_InputFunctions.Utility_DisplayArrayInTable(Fertiliser_SourceData.Fertiliser_Products_Data1(),FertiliserProducts[[#Headers],[Include or Exclude]], 0,4)</f>
        <v/>
      </c>
      <c r="I144" s="186" t="str" cm="1">
        <f t="array" ref="I144">Common_InputFunctions.Utility_DisplayArrayInTable(Fertiliser_SourceData.Fertiliser_Products_Data1(),FertiliserProducts[[#Headers],[Include or Exclude]], 0,4)</f>
        <v/>
      </c>
      <c r="J144" s="186" t="str" cm="1">
        <f t="array" ref="J144">Common_InputFunctions.Utility_DisplayArrayInTable(Fertiliser_SourceData.Fertiliser_Products_Data1(),FertiliserProducts[[#Headers],[Include or Exclude]], 0,4)</f>
        <v/>
      </c>
      <c r="K144" s="186" t="str" cm="1">
        <f t="array" ref="K144">Common_InputFunctions.Utility_DisplayArrayInTable(Fertiliser_SourceData.Fertiliser_Products_Data1(),FertiliserProducts[[#Headers],[Include or Exclude]], 0,4)</f>
        <v/>
      </c>
      <c r="L144" s="186" t="str" cm="1">
        <f t="array" ref="L144">Common_InputFunctions.Utility_DisplayArrayInTable(Fertiliser_SourceData.Fertiliser_Products_Data1(),FertiliserProducts[[#Headers],[Include or Exclude]], 0,4)</f>
        <v/>
      </c>
      <c r="M144" s="186" t="str" cm="1">
        <f t="array" ref="M144">Common_InputFunctions.Utility_DisplayArrayInTable(Fertiliser_SourceData.Fertiliser_Products_Data1(),FertiliserProducts[[#Headers],[Include or Exclude]], 0,4)</f>
        <v/>
      </c>
      <c r="N144" s="186" t="str" cm="1">
        <f t="array" ref="N144">Common_InputFunctions.Utility_DisplayArrayInTable(Fertiliser_SourceData.Fertiliser_Products_Data1(),FertiliserProducts[[#Headers],[Include or Exclude]], 0,4)</f>
        <v/>
      </c>
      <c r="O144" s="186" t="str" cm="1">
        <f t="array" ref="O144">Common_InputFunctions.Utility_DisplayArrayInTable(Fertiliser_SourceData.Fertiliser_Products_Data1(),FertiliserProducts[[#Headers],[Include or Exclude]], 0,4)</f>
        <v/>
      </c>
      <c r="P144" s="186" t="str" cm="1">
        <f t="array" ref="P144">Common_InputFunctions.Utility_DisplayArrayInTable(Fertiliser_SourceData.Fertiliser_Products_Data1(),FertiliserProducts[[#Headers],[Include or Exclude]], 0,4)</f>
        <v/>
      </c>
      <c r="Q144" s="186" t="str" cm="1">
        <f t="array" ref="Q144">Common_InputFunctions.Utility_DisplayArrayInTable(Fertiliser_SourceData.Fertiliser_Products_Data1(),FertiliserProducts[[#Headers],[Include or Exclude]], 0,4)</f>
        <v/>
      </c>
      <c r="R144" s="186" t="str" cm="1">
        <f t="array" ref="R144">Common_InputFunctions.Utility_DisplayArrayInTable(Fertiliser_SourceData.Fertiliser_Products_Data1(),FertiliserProducts[[#Headers],[Include or Exclude]], 0,4)</f>
        <v/>
      </c>
      <c r="S144" s="186" t="str" cm="1">
        <f t="array" ref="S144">Common_InputFunctions.Utility_DisplayArrayInTable(Fertiliser_SourceData.Fertiliser_Products_Data1(),FertiliserProducts[[#Headers],[Include or Exclude]], 0,4)</f>
        <v/>
      </c>
      <c r="T144" s="186" t="str" cm="1">
        <f t="array" ref="T144">Common_InputFunctions.Utility_DisplayArrayInTable(Fertiliser_SourceData.Fertiliser_Products_Data1(),FertiliserProducts[[#Headers],[Include or Exclude]], 0,4)</f>
        <v/>
      </c>
      <c r="U144" s="186" t="str" cm="1">
        <f t="array" ref="U144">Common_InputFunctions.Utility_DisplayArrayInTable(Fertiliser_SourceData.Fertiliser_Products_Data1(),FertiliserProducts[[#Headers],[Include or Exclude]], 0,4)</f>
        <v/>
      </c>
      <c r="V144" s="186" t="str" cm="1">
        <f t="array" ref="V144">Common_InputFunctions.Utility_DisplayArrayInTable(Fertiliser_SourceData.Fertiliser_Products_Data1(),FertiliserProducts[[#Headers],[Include or Exclude]], 0,4)</f>
        <v/>
      </c>
      <c r="W144" s="186" t="str" cm="1">
        <f t="array" ref="W144">Common_InputFunctions.Utility_DisplayArrayInTable(Fertiliser_SourceData.Fertiliser_Products_Data1(),FertiliserProducts[[#Headers],[Include or Exclude]], 0,4)</f>
        <v/>
      </c>
      <c r="X144" s="186" t="str" cm="1">
        <f t="array" ref="X144">Common_InputFunctions.Utility_DisplayArrayInTable(Fertiliser_SourceData.Fertiliser_Products_Data1(),FertiliserProducts[[#Headers],[Include or Exclude]], 0,4)</f>
        <v/>
      </c>
      <c r="Y144" s="186" t="str" cm="1">
        <f t="array" ref="Y144">Common_InputFunctions.Utility_DisplayArrayInTable(Fertiliser_SourceData.Fertiliser_Products_Data1(),FertiliserProducts[[#Headers],[Include or Exclude]], 0,4)</f>
        <v/>
      </c>
      <c r="Z144" s="186" t="str" cm="1">
        <f t="array" ref="Z144">Common_InputFunctions.Utility_DisplayArrayInTable(Fertiliser_SourceData.Fertiliser_Products_Data1(),FertiliserProducts[[#Headers],[Include or Exclude]], 0,4)</f>
        <v/>
      </c>
      <c r="AA144" s="186" t="str" cm="1">
        <f t="array" ref="AA144">Common_InputFunctions.Utility_DisplayArrayInTable(Fertiliser_SourceData.Fertiliser_Products_Data1(),FertiliserProducts[[#Headers],[Include or Exclude]], 0,4)</f>
        <v/>
      </c>
      <c r="AB144" s="186" t="str" cm="1">
        <f t="array" ref="AB144">Common_InputFunctions.Utility_DisplayArrayInTable(Fertiliser_SourceData.Fertiliser_Products_Data1(),FertiliserProducts[[#Headers],[Include or Exclude]], 0,4)</f>
        <v/>
      </c>
      <c r="AC144" s="186" t="str" cm="1">
        <f t="array" ref="AC144">Common_InputFunctions.Utility_DisplayArrayInTable(Fertiliser_SourceData.Fertiliser_Products_Data1(),FertiliserProducts[[#Headers],[Include or Exclude]], 0,4)</f>
        <v/>
      </c>
      <c r="AD144" s="186" t="str" cm="1">
        <f t="array" ref="AD144">Common_InputFunctions.Utility_DisplayArrayInTable(Fertiliser_SourceData.Fertiliser_Products_Data1(),FertiliserProducts[[#Headers],[Include or Exclude]], 0,4)</f>
        <v/>
      </c>
      <c r="AE144" s="186" t="str" cm="1">
        <f t="array" ref="AE144">Common_InputFunctions.Utility_DisplayArrayInTable(Fertiliser_SourceData.Fertiliser_Products_Data1(),FertiliserProducts[[#Headers],[Include or Exclude]], 0,4)</f>
        <v/>
      </c>
    </row>
    <row r="145" spans="4:31" ht="20.100000000000001" customHeight="1" x14ac:dyDescent="0.25">
      <c r="D145" s="186" t="str" cm="1">
        <f t="array" ref="D145">Common_InputFunctions.Utility_DisplayArrayInTable(Fertiliser_SourceData.Fertiliser_Products_Data1(),FertiliserProducts[[#Headers],[Include or Exclude]], -1)</f>
        <v/>
      </c>
      <c r="E145" s="186" t="str" cm="1">
        <f t="array" ref="E145">Common_InputFunctions.Utility_DisplayArrayInTable(Fertiliser_SourceData.Fertiliser_Products_Data1(),FertiliserProducts[[#Headers],[Include or Exclude]], 0)</f>
        <v/>
      </c>
      <c r="F145" s="186" t="str" cm="1">
        <f t="array" ref="F145">Common_InputFunctions.Utility_DisplayArrayInTable(Fertiliser_SourceData.Fertiliser_Products_Data1(),FertiliserProducts[[#Headers],[Include or Exclude]], 0)</f>
        <v/>
      </c>
      <c r="G145" s="186" t="str" cm="1">
        <f t="array" ref="G145">Common_InputFunctions.Utility_DisplayArrayInTable(Fertiliser_SourceData.Fertiliser_Products_Data1(),FertiliserProducts[[#Headers],[Include or Exclude]], 0)</f>
        <v/>
      </c>
      <c r="H145" s="186" t="str" cm="1">
        <f t="array" ref="H145">Common_InputFunctions.Utility_DisplayArrayInTable(Fertiliser_SourceData.Fertiliser_Products_Data1(),FertiliserProducts[[#Headers],[Include or Exclude]], 0,4)</f>
        <v/>
      </c>
      <c r="I145" s="186" t="str" cm="1">
        <f t="array" ref="I145">Common_InputFunctions.Utility_DisplayArrayInTable(Fertiliser_SourceData.Fertiliser_Products_Data1(),FertiliserProducts[[#Headers],[Include or Exclude]], 0,4)</f>
        <v/>
      </c>
      <c r="J145" s="186" t="str" cm="1">
        <f t="array" ref="J145">Common_InputFunctions.Utility_DisplayArrayInTable(Fertiliser_SourceData.Fertiliser_Products_Data1(),FertiliserProducts[[#Headers],[Include or Exclude]], 0,4)</f>
        <v/>
      </c>
      <c r="K145" s="186" t="str" cm="1">
        <f t="array" ref="K145">Common_InputFunctions.Utility_DisplayArrayInTable(Fertiliser_SourceData.Fertiliser_Products_Data1(),FertiliserProducts[[#Headers],[Include or Exclude]], 0,4)</f>
        <v/>
      </c>
      <c r="L145" s="186" t="str" cm="1">
        <f t="array" ref="L145">Common_InputFunctions.Utility_DisplayArrayInTable(Fertiliser_SourceData.Fertiliser_Products_Data1(),FertiliserProducts[[#Headers],[Include or Exclude]], 0,4)</f>
        <v/>
      </c>
      <c r="M145" s="186" t="str" cm="1">
        <f t="array" ref="M145">Common_InputFunctions.Utility_DisplayArrayInTable(Fertiliser_SourceData.Fertiliser_Products_Data1(),FertiliserProducts[[#Headers],[Include or Exclude]], 0,4)</f>
        <v/>
      </c>
      <c r="N145" s="186" t="str" cm="1">
        <f t="array" ref="N145">Common_InputFunctions.Utility_DisplayArrayInTable(Fertiliser_SourceData.Fertiliser_Products_Data1(),FertiliserProducts[[#Headers],[Include or Exclude]], 0,4)</f>
        <v/>
      </c>
      <c r="O145" s="186" t="str" cm="1">
        <f t="array" ref="O145">Common_InputFunctions.Utility_DisplayArrayInTable(Fertiliser_SourceData.Fertiliser_Products_Data1(),FertiliserProducts[[#Headers],[Include or Exclude]], 0,4)</f>
        <v/>
      </c>
      <c r="P145" s="186" t="str" cm="1">
        <f t="array" ref="P145">Common_InputFunctions.Utility_DisplayArrayInTable(Fertiliser_SourceData.Fertiliser_Products_Data1(),FertiliserProducts[[#Headers],[Include or Exclude]], 0,4)</f>
        <v/>
      </c>
      <c r="Q145" s="186" t="str" cm="1">
        <f t="array" ref="Q145">Common_InputFunctions.Utility_DisplayArrayInTable(Fertiliser_SourceData.Fertiliser_Products_Data1(),FertiliserProducts[[#Headers],[Include or Exclude]], 0,4)</f>
        <v/>
      </c>
      <c r="R145" s="186" t="str" cm="1">
        <f t="array" ref="R145">Common_InputFunctions.Utility_DisplayArrayInTable(Fertiliser_SourceData.Fertiliser_Products_Data1(),FertiliserProducts[[#Headers],[Include or Exclude]], 0,4)</f>
        <v/>
      </c>
      <c r="S145" s="186" t="str" cm="1">
        <f t="array" ref="S145">Common_InputFunctions.Utility_DisplayArrayInTable(Fertiliser_SourceData.Fertiliser_Products_Data1(),FertiliserProducts[[#Headers],[Include or Exclude]], 0,4)</f>
        <v/>
      </c>
      <c r="T145" s="186" t="str" cm="1">
        <f t="array" ref="T145">Common_InputFunctions.Utility_DisplayArrayInTable(Fertiliser_SourceData.Fertiliser_Products_Data1(),FertiliserProducts[[#Headers],[Include or Exclude]], 0,4)</f>
        <v/>
      </c>
      <c r="U145" s="186" t="str" cm="1">
        <f t="array" ref="U145">Common_InputFunctions.Utility_DisplayArrayInTable(Fertiliser_SourceData.Fertiliser_Products_Data1(),FertiliserProducts[[#Headers],[Include or Exclude]], 0,4)</f>
        <v/>
      </c>
      <c r="V145" s="186" t="str" cm="1">
        <f t="array" ref="V145">Common_InputFunctions.Utility_DisplayArrayInTable(Fertiliser_SourceData.Fertiliser_Products_Data1(),FertiliserProducts[[#Headers],[Include or Exclude]], 0,4)</f>
        <v/>
      </c>
      <c r="W145" s="186" t="str" cm="1">
        <f t="array" ref="W145">Common_InputFunctions.Utility_DisplayArrayInTable(Fertiliser_SourceData.Fertiliser_Products_Data1(),FertiliserProducts[[#Headers],[Include or Exclude]], 0,4)</f>
        <v/>
      </c>
      <c r="X145" s="186" t="str" cm="1">
        <f t="array" ref="X145">Common_InputFunctions.Utility_DisplayArrayInTable(Fertiliser_SourceData.Fertiliser_Products_Data1(),FertiliserProducts[[#Headers],[Include or Exclude]], 0,4)</f>
        <v/>
      </c>
      <c r="Y145" s="186" t="str" cm="1">
        <f t="array" ref="Y145">Common_InputFunctions.Utility_DisplayArrayInTable(Fertiliser_SourceData.Fertiliser_Products_Data1(),FertiliserProducts[[#Headers],[Include or Exclude]], 0,4)</f>
        <v/>
      </c>
      <c r="Z145" s="186" t="str" cm="1">
        <f t="array" ref="Z145">Common_InputFunctions.Utility_DisplayArrayInTable(Fertiliser_SourceData.Fertiliser_Products_Data1(),FertiliserProducts[[#Headers],[Include or Exclude]], 0,4)</f>
        <v/>
      </c>
      <c r="AA145" s="186" t="str" cm="1">
        <f t="array" ref="AA145">Common_InputFunctions.Utility_DisplayArrayInTable(Fertiliser_SourceData.Fertiliser_Products_Data1(),FertiliserProducts[[#Headers],[Include or Exclude]], 0,4)</f>
        <v/>
      </c>
      <c r="AB145" s="186" t="str" cm="1">
        <f t="array" ref="AB145">Common_InputFunctions.Utility_DisplayArrayInTable(Fertiliser_SourceData.Fertiliser_Products_Data1(),FertiliserProducts[[#Headers],[Include or Exclude]], 0,4)</f>
        <v/>
      </c>
      <c r="AC145" s="186" t="str" cm="1">
        <f t="array" ref="AC145">Common_InputFunctions.Utility_DisplayArrayInTable(Fertiliser_SourceData.Fertiliser_Products_Data1(),FertiliserProducts[[#Headers],[Include or Exclude]], 0,4)</f>
        <v/>
      </c>
      <c r="AD145" s="186" t="str" cm="1">
        <f t="array" ref="AD145">Common_InputFunctions.Utility_DisplayArrayInTable(Fertiliser_SourceData.Fertiliser_Products_Data1(),FertiliserProducts[[#Headers],[Include or Exclude]], 0,4)</f>
        <v/>
      </c>
      <c r="AE145" s="186" t="str" cm="1">
        <f t="array" ref="AE145">Common_InputFunctions.Utility_DisplayArrayInTable(Fertiliser_SourceData.Fertiliser_Products_Data1(),FertiliserProducts[[#Headers],[Include or Exclude]], 0,4)</f>
        <v/>
      </c>
    </row>
    <row r="146" spans="4:31" ht="20.100000000000001" customHeight="1" x14ac:dyDescent="0.25">
      <c r="D146" s="186" t="str" cm="1">
        <f t="array" ref="D146">Common_InputFunctions.Utility_DisplayArrayInTable(Fertiliser_SourceData.Fertiliser_Products_Data1(),FertiliserProducts[[#Headers],[Include or Exclude]], -1)</f>
        <v/>
      </c>
      <c r="E146" s="186" t="str" cm="1">
        <f t="array" ref="E146">Common_InputFunctions.Utility_DisplayArrayInTable(Fertiliser_SourceData.Fertiliser_Products_Data1(),FertiliserProducts[[#Headers],[Include or Exclude]], 0)</f>
        <v/>
      </c>
      <c r="F146" s="186" t="str" cm="1">
        <f t="array" ref="F146">Common_InputFunctions.Utility_DisplayArrayInTable(Fertiliser_SourceData.Fertiliser_Products_Data1(),FertiliserProducts[[#Headers],[Include or Exclude]], 0)</f>
        <v/>
      </c>
      <c r="G146" s="186" t="str" cm="1">
        <f t="array" ref="G146">Common_InputFunctions.Utility_DisplayArrayInTable(Fertiliser_SourceData.Fertiliser_Products_Data1(),FertiliserProducts[[#Headers],[Include or Exclude]], 0)</f>
        <v/>
      </c>
      <c r="H146" s="186" t="str" cm="1">
        <f t="array" ref="H146">Common_InputFunctions.Utility_DisplayArrayInTable(Fertiliser_SourceData.Fertiliser_Products_Data1(),FertiliserProducts[[#Headers],[Include or Exclude]], 0,4)</f>
        <v/>
      </c>
      <c r="I146" s="186" t="str" cm="1">
        <f t="array" ref="I146">Common_InputFunctions.Utility_DisplayArrayInTable(Fertiliser_SourceData.Fertiliser_Products_Data1(),FertiliserProducts[[#Headers],[Include or Exclude]], 0,4)</f>
        <v/>
      </c>
      <c r="J146" s="186" t="str" cm="1">
        <f t="array" ref="J146">Common_InputFunctions.Utility_DisplayArrayInTable(Fertiliser_SourceData.Fertiliser_Products_Data1(),FertiliserProducts[[#Headers],[Include or Exclude]], 0,4)</f>
        <v/>
      </c>
      <c r="K146" s="186" t="str" cm="1">
        <f t="array" ref="K146">Common_InputFunctions.Utility_DisplayArrayInTable(Fertiliser_SourceData.Fertiliser_Products_Data1(),FertiliserProducts[[#Headers],[Include or Exclude]], 0,4)</f>
        <v/>
      </c>
      <c r="L146" s="186" t="str" cm="1">
        <f t="array" ref="L146">Common_InputFunctions.Utility_DisplayArrayInTable(Fertiliser_SourceData.Fertiliser_Products_Data1(),FertiliserProducts[[#Headers],[Include or Exclude]], 0,4)</f>
        <v/>
      </c>
      <c r="M146" s="186" t="str" cm="1">
        <f t="array" ref="M146">Common_InputFunctions.Utility_DisplayArrayInTable(Fertiliser_SourceData.Fertiliser_Products_Data1(),FertiliserProducts[[#Headers],[Include or Exclude]], 0,4)</f>
        <v/>
      </c>
      <c r="N146" s="186" t="str" cm="1">
        <f t="array" ref="N146">Common_InputFunctions.Utility_DisplayArrayInTable(Fertiliser_SourceData.Fertiliser_Products_Data1(),FertiliserProducts[[#Headers],[Include or Exclude]], 0,4)</f>
        <v/>
      </c>
      <c r="O146" s="186" t="str" cm="1">
        <f t="array" ref="O146">Common_InputFunctions.Utility_DisplayArrayInTable(Fertiliser_SourceData.Fertiliser_Products_Data1(),FertiliserProducts[[#Headers],[Include or Exclude]], 0,4)</f>
        <v/>
      </c>
      <c r="P146" s="186" t="str" cm="1">
        <f t="array" ref="P146">Common_InputFunctions.Utility_DisplayArrayInTable(Fertiliser_SourceData.Fertiliser_Products_Data1(),FertiliserProducts[[#Headers],[Include or Exclude]], 0,4)</f>
        <v/>
      </c>
      <c r="Q146" s="186" t="str" cm="1">
        <f t="array" ref="Q146">Common_InputFunctions.Utility_DisplayArrayInTable(Fertiliser_SourceData.Fertiliser_Products_Data1(),FertiliserProducts[[#Headers],[Include or Exclude]], 0,4)</f>
        <v/>
      </c>
      <c r="R146" s="186" t="str" cm="1">
        <f t="array" ref="R146">Common_InputFunctions.Utility_DisplayArrayInTable(Fertiliser_SourceData.Fertiliser_Products_Data1(),FertiliserProducts[[#Headers],[Include or Exclude]], 0,4)</f>
        <v/>
      </c>
      <c r="S146" s="186" t="str" cm="1">
        <f t="array" ref="S146">Common_InputFunctions.Utility_DisplayArrayInTable(Fertiliser_SourceData.Fertiliser_Products_Data1(),FertiliserProducts[[#Headers],[Include or Exclude]], 0,4)</f>
        <v/>
      </c>
      <c r="T146" s="186" t="str" cm="1">
        <f t="array" ref="T146">Common_InputFunctions.Utility_DisplayArrayInTable(Fertiliser_SourceData.Fertiliser_Products_Data1(),FertiliserProducts[[#Headers],[Include or Exclude]], 0,4)</f>
        <v/>
      </c>
      <c r="U146" s="186" t="str" cm="1">
        <f t="array" ref="U146">Common_InputFunctions.Utility_DisplayArrayInTable(Fertiliser_SourceData.Fertiliser_Products_Data1(),FertiliserProducts[[#Headers],[Include or Exclude]], 0,4)</f>
        <v/>
      </c>
      <c r="V146" s="186" t="str" cm="1">
        <f t="array" ref="V146">Common_InputFunctions.Utility_DisplayArrayInTable(Fertiliser_SourceData.Fertiliser_Products_Data1(),FertiliserProducts[[#Headers],[Include or Exclude]], 0,4)</f>
        <v/>
      </c>
      <c r="W146" s="186" t="str" cm="1">
        <f t="array" ref="W146">Common_InputFunctions.Utility_DisplayArrayInTable(Fertiliser_SourceData.Fertiliser_Products_Data1(),FertiliserProducts[[#Headers],[Include or Exclude]], 0,4)</f>
        <v/>
      </c>
      <c r="X146" s="186" t="str" cm="1">
        <f t="array" ref="X146">Common_InputFunctions.Utility_DisplayArrayInTable(Fertiliser_SourceData.Fertiliser_Products_Data1(),FertiliserProducts[[#Headers],[Include or Exclude]], 0,4)</f>
        <v/>
      </c>
      <c r="Y146" s="186" t="str" cm="1">
        <f t="array" ref="Y146">Common_InputFunctions.Utility_DisplayArrayInTable(Fertiliser_SourceData.Fertiliser_Products_Data1(),FertiliserProducts[[#Headers],[Include or Exclude]], 0,4)</f>
        <v/>
      </c>
      <c r="Z146" s="186" t="str" cm="1">
        <f t="array" ref="Z146">Common_InputFunctions.Utility_DisplayArrayInTable(Fertiliser_SourceData.Fertiliser_Products_Data1(),FertiliserProducts[[#Headers],[Include or Exclude]], 0,4)</f>
        <v/>
      </c>
      <c r="AA146" s="186" t="str" cm="1">
        <f t="array" ref="AA146">Common_InputFunctions.Utility_DisplayArrayInTable(Fertiliser_SourceData.Fertiliser_Products_Data1(),FertiliserProducts[[#Headers],[Include or Exclude]], 0,4)</f>
        <v/>
      </c>
      <c r="AB146" s="186" t="str" cm="1">
        <f t="array" ref="AB146">Common_InputFunctions.Utility_DisplayArrayInTable(Fertiliser_SourceData.Fertiliser_Products_Data1(),FertiliserProducts[[#Headers],[Include or Exclude]], 0,4)</f>
        <v/>
      </c>
      <c r="AC146" s="186" t="str" cm="1">
        <f t="array" ref="AC146">Common_InputFunctions.Utility_DisplayArrayInTable(Fertiliser_SourceData.Fertiliser_Products_Data1(),FertiliserProducts[[#Headers],[Include or Exclude]], 0,4)</f>
        <v/>
      </c>
      <c r="AD146" s="186" t="str" cm="1">
        <f t="array" ref="AD146">Common_InputFunctions.Utility_DisplayArrayInTable(Fertiliser_SourceData.Fertiliser_Products_Data1(),FertiliserProducts[[#Headers],[Include or Exclude]], 0,4)</f>
        <v/>
      </c>
      <c r="AE146" s="186" t="str" cm="1">
        <f t="array" ref="AE146">Common_InputFunctions.Utility_DisplayArrayInTable(Fertiliser_SourceData.Fertiliser_Products_Data1(),FertiliserProducts[[#Headers],[Include or Exclude]], 0,4)</f>
        <v/>
      </c>
    </row>
    <row r="147" spans="4:31" ht="20.100000000000001" customHeight="1" x14ac:dyDescent="0.25">
      <c r="D147" s="186" t="str" cm="1">
        <f t="array" ref="D147">Common_InputFunctions.Utility_DisplayArrayInTable(Fertiliser_SourceData.Fertiliser_Products_Data1(),FertiliserProducts[[#Headers],[Include or Exclude]], -1)</f>
        <v/>
      </c>
      <c r="E147" s="186" t="str" cm="1">
        <f t="array" ref="E147">Common_InputFunctions.Utility_DisplayArrayInTable(Fertiliser_SourceData.Fertiliser_Products_Data1(),FertiliserProducts[[#Headers],[Include or Exclude]], 0)</f>
        <v/>
      </c>
      <c r="F147" s="186" t="str" cm="1">
        <f t="array" ref="F147">Common_InputFunctions.Utility_DisplayArrayInTable(Fertiliser_SourceData.Fertiliser_Products_Data1(),FertiliserProducts[[#Headers],[Include or Exclude]], 0)</f>
        <v/>
      </c>
      <c r="G147" s="186" t="str" cm="1">
        <f t="array" ref="G147">Common_InputFunctions.Utility_DisplayArrayInTable(Fertiliser_SourceData.Fertiliser_Products_Data1(),FertiliserProducts[[#Headers],[Include or Exclude]], 0)</f>
        <v/>
      </c>
      <c r="H147" s="186" t="str" cm="1">
        <f t="array" ref="H147">Common_InputFunctions.Utility_DisplayArrayInTable(Fertiliser_SourceData.Fertiliser_Products_Data1(),FertiliserProducts[[#Headers],[Include or Exclude]], 0,4)</f>
        <v/>
      </c>
      <c r="I147" s="186" t="str" cm="1">
        <f t="array" ref="I147">Common_InputFunctions.Utility_DisplayArrayInTable(Fertiliser_SourceData.Fertiliser_Products_Data1(),FertiliserProducts[[#Headers],[Include or Exclude]], 0,4)</f>
        <v/>
      </c>
      <c r="J147" s="186" t="str" cm="1">
        <f t="array" ref="J147">Common_InputFunctions.Utility_DisplayArrayInTable(Fertiliser_SourceData.Fertiliser_Products_Data1(),FertiliserProducts[[#Headers],[Include or Exclude]], 0,4)</f>
        <v/>
      </c>
      <c r="K147" s="186" t="str" cm="1">
        <f t="array" ref="K147">Common_InputFunctions.Utility_DisplayArrayInTable(Fertiliser_SourceData.Fertiliser_Products_Data1(),FertiliserProducts[[#Headers],[Include or Exclude]], 0,4)</f>
        <v/>
      </c>
      <c r="L147" s="186" t="str" cm="1">
        <f t="array" ref="L147">Common_InputFunctions.Utility_DisplayArrayInTable(Fertiliser_SourceData.Fertiliser_Products_Data1(),FertiliserProducts[[#Headers],[Include or Exclude]], 0,4)</f>
        <v/>
      </c>
      <c r="M147" s="186" t="str" cm="1">
        <f t="array" ref="M147">Common_InputFunctions.Utility_DisplayArrayInTable(Fertiliser_SourceData.Fertiliser_Products_Data1(),FertiliserProducts[[#Headers],[Include or Exclude]], 0,4)</f>
        <v/>
      </c>
      <c r="N147" s="186" t="str" cm="1">
        <f t="array" ref="N147">Common_InputFunctions.Utility_DisplayArrayInTable(Fertiliser_SourceData.Fertiliser_Products_Data1(),FertiliserProducts[[#Headers],[Include or Exclude]], 0,4)</f>
        <v/>
      </c>
      <c r="O147" s="186" t="str" cm="1">
        <f t="array" ref="O147">Common_InputFunctions.Utility_DisplayArrayInTable(Fertiliser_SourceData.Fertiliser_Products_Data1(),FertiliserProducts[[#Headers],[Include or Exclude]], 0,4)</f>
        <v/>
      </c>
      <c r="P147" s="186" t="str" cm="1">
        <f t="array" ref="P147">Common_InputFunctions.Utility_DisplayArrayInTable(Fertiliser_SourceData.Fertiliser_Products_Data1(),FertiliserProducts[[#Headers],[Include or Exclude]], 0,4)</f>
        <v/>
      </c>
      <c r="Q147" s="186" t="str" cm="1">
        <f t="array" ref="Q147">Common_InputFunctions.Utility_DisplayArrayInTable(Fertiliser_SourceData.Fertiliser_Products_Data1(),FertiliserProducts[[#Headers],[Include or Exclude]], 0,4)</f>
        <v/>
      </c>
      <c r="R147" s="186" t="str" cm="1">
        <f t="array" ref="R147">Common_InputFunctions.Utility_DisplayArrayInTable(Fertiliser_SourceData.Fertiliser_Products_Data1(),FertiliserProducts[[#Headers],[Include or Exclude]], 0,4)</f>
        <v/>
      </c>
      <c r="S147" s="186" t="str" cm="1">
        <f t="array" ref="S147">Common_InputFunctions.Utility_DisplayArrayInTable(Fertiliser_SourceData.Fertiliser_Products_Data1(),FertiliserProducts[[#Headers],[Include or Exclude]], 0,4)</f>
        <v/>
      </c>
      <c r="T147" s="186" t="str" cm="1">
        <f t="array" ref="T147">Common_InputFunctions.Utility_DisplayArrayInTable(Fertiliser_SourceData.Fertiliser_Products_Data1(),FertiliserProducts[[#Headers],[Include or Exclude]], 0,4)</f>
        <v/>
      </c>
      <c r="U147" s="186" t="str" cm="1">
        <f t="array" ref="U147">Common_InputFunctions.Utility_DisplayArrayInTable(Fertiliser_SourceData.Fertiliser_Products_Data1(),FertiliserProducts[[#Headers],[Include or Exclude]], 0,4)</f>
        <v/>
      </c>
      <c r="V147" s="186" t="str" cm="1">
        <f t="array" ref="V147">Common_InputFunctions.Utility_DisplayArrayInTable(Fertiliser_SourceData.Fertiliser_Products_Data1(),FertiliserProducts[[#Headers],[Include or Exclude]], 0,4)</f>
        <v/>
      </c>
      <c r="W147" s="186" t="str" cm="1">
        <f t="array" ref="W147">Common_InputFunctions.Utility_DisplayArrayInTable(Fertiliser_SourceData.Fertiliser_Products_Data1(),FertiliserProducts[[#Headers],[Include or Exclude]], 0,4)</f>
        <v/>
      </c>
      <c r="X147" s="186" t="str" cm="1">
        <f t="array" ref="X147">Common_InputFunctions.Utility_DisplayArrayInTable(Fertiliser_SourceData.Fertiliser_Products_Data1(),FertiliserProducts[[#Headers],[Include or Exclude]], 0,4)</f>
        <v/>
      </c>
      <c r="Y147" s="186" t="str" cm="1">
        <f t="array" ref="Y147">Common_InputFunctions.Utility_DisplayArrayInTable(Fertiliser_SourceData.Fertiliser_Products_Data1(),FertiliserProducts[[#Headers],[Include or Exclude]], 0,4)</f>
        <v/>
      </c>
      <c r="Z147" s="186" t="str" cm="1">
        <f t="array" ref="Z147">Common_InputFunctions.Utility_DisplayArrayInTable(Fertiliser_SourceData.Fertiliser_Products_Data1(),FertiliserProducts[[#Headers],[Include or Exclude]], 0,4)</f>
        <v/>
      </c>
      <c r="AA147" s="186" t="str" cm="1">
        <f t="array" ref="AA147">Common_InputFunctions.Utility_DisplayArrayInTable(Fertiliser_SourceData.Fertiliser_Products_Data1(),FertiliserProducts[[#Headers],[Include or Exclude]], 0,4)</f>
        <v/>
      </c>
      <c r="AB147" s="186" t="str" cm="1">
        <f t="array" ref="AB147">Common_InputFunctions.Utility_DisplayArrayInTable(Fertiliser_SourceData.Fertiliser_Products_Data1(),FertiliserProducts[[#Headers],[Include or Exclude]], 0,4)</f>
        <v/>
      </c>
      <c r="AC147" s="186" t="str" cm="1">
        <f t="array" ref="AC147">Common_InputFunctions.Utility_DisplayArrayInTable(Fertiliser_SourceData.Fertiliser_Products_Data1(),FertiliserProducts[[#Headers],[Include or Exclude]], 0,4)</f>
        <v/>
      </c>
      <c r="AD147" s="186" t="str" cm="1">
        <f t="array" ref="AD147">Common_InputFunctions.Utility_DisplayArrayInTable(Fertiliser_SourceData.Fertiliser_Products_Data1(),FertiliserProducts[[#Headers],[Include or Exclude]], 0,4)</f>
        <v/>
      </c>
      <c r="AE147" s="186" t="str" cm="1">
        <f t="array" ref="AE147">Common_InputFunctions.Utility_DisplayArrayInTable(Fertiliser_SourceData.Fertiliser_Products_Data1(),FertiliserProducts[[#Headers],[Include or Exclude]], 0,4)</f>
        <v/>
      </c>
    </row>
    <row r="148" spans="4:31" ht="20.100000000000001" customHeight="1" x14ac:dyDescent="0.25">
      <c r="D148" s="186" t="str" cm="1">
        <f t="array" ref="D148">Common_InputFunctions.Utility_DisplayArrayInTable(Fertiliser_SourceData.Fertiliser_Products_Data1(),FertiliserProducts[[#Headers],[Include or Exclude]], -1)</f>
        <v/>
      </c>
      <c r="E148" s="186" t="str" cm="1">
        <f t="array" ref="E148">Common_InputFunctions.Utility_DisplayArrayInTable(Fertiliser_SourceData.Fertiliser_Products_Data1(),FertiliserProducts[[#Headers],[Include or Exclude]], 0)</f>
        <v/>
      </c>
      <c r="F148" s="186" t="str" cm="1">
        <f t="array" ref="F148">Common_InputFunctions.Utility_DisplayArrayInTable(Fertiliser_SourceData.Fertiliser_Products_Data1(),FertiliserProducts[[#Headers],[Include or Exclude]], 0)</f>
        <v/>
      </c>
      <c r="G148" s="186" t="str" cm="1">
        <f t="array" ref="G148">Common_InputFunctions.Utility_DisplayArrayInTable(Fertiliser_SourceData.Fertiliser_Products_Data1(),FertiliserProducts[[#Headers],[Include or Exclude]], 0)</f>
        <v/>
      </c>
      <c r="H148" s="186" t="str" cm="1">
        <f t="array" ref="H148">Common_InputFunctions.Utility_DisplayArrayInTable(Fertiliser_SourceData.Fertiliser_Products_Data1(),FertiliserProducts[[#Headers],[Include or Exclude]], 0,4)</f>
        <v/>
      </c>
      <c r="I148" s="186" t="str" cm="1">
        <f t="array" ref="I148">Common_InputFunctions.Utility_DisplayArrayInTable(Fertiliser_SourceData.Fertiliser_Products_Data1(),FertiliserProducts[[#Headers],[Include or Exclude]], 0,4)</f>
        <v/>
      </c>
      <c r="J148" s="186" t="str" cm="1">
        <f t="array" ref="J148">Common_InputFunctions.Utility_DisplayArrayInTable(Fertiliser_SourceData.Fertiliser_Products_Data1(),FertiliserProducts[[#Headers],[Include or Exclude]], 0,4)</f>
        <v/>
      </c>
      <c r="K148" s="186" t="str" cm="1">
        <f t="array" ref="K148">Common_InputFunctions.Utility_DisplayArrayInTable(Fertiliser_SourceData.Fertiliser_Products_Data1(),FertiliserProducts[[#Headers],[Include or Exclude]], 0,4)</f>
        <v/>
      </c>
      <c r="L148" s="186" t="str" cm="1">
        <f t="array" ref="L148">Common_InputFunctions.Utility_DisplayArrayInTable(Fertiliser_SourceData.Fertiliser_Products_Data1(),FertiliserProducts[[#Headers],[Include or Exclude]], 0,4)</f>
        <v/>
      </c>
      <c r="M148" s="186" t="str" cm="1">
        <f t="array" ref="M148">Common_InputFunctions.Utility_DisplayArrayInTable(Fertiliser_SourceData.Fertiliser_Products_Data1(),FertiliserProducts[[#Headers],[Include or Exclude]], 0,4)</f>
        <v/>
      </c>
      <c r="N148" s="186" t="str" cm="1">
        <f t="array" ref="N148">Common_InputFunctions.Utility_DisplayArrayInTable(Fertiliser_SourceData.Fertiliser_Products_Data1(),FertiliserProducts[[#Headers],[Include or Exclude]], 0,4)</f>
        <v/>
      </c>
      <c r="O148" s="186" t="str" cm="1">
        <f t="array" ref="O148">Common_InputFunctions.Utility_DisplayArrayInTable(Fertiliser_SourceData.Fertiliser_Products_Data1(),FertiliserProducts[[#Headers],[Include or Exclude]], 0,4)</f>
        <v/>
      </c>
      <c r="P148" s="186" t="str" cm="1">
        <f t="array" ref="P148">Common_InputFunctions.Utility_DisplayArrayInTable(Fertiliser_SourceData.Fertiliser_Products_Data1(),FertiliserProducts[[#Headers],[Include or Exclude]], 0,4)</f>
        <v/>
      </c>
      <c r="Q148" s="186" t="str" cm="1">
        <f t="array" ref="Q148">Common_InputFunctions.Utility_DisplayArrayInTable(Fertiliser_SourceData.Fertiliser_Products_Data1(),FertiliserProducts[[#Headers],[Include or Exclude]], 0,4)</f>
        <v/>
      </c>
      <c r="R148" s="186" t="str" cm="1">
        <f t="array" ref="R148">Common_InputFunctions.Utility_DisplayArrayInTable(Fertiliser_SourceData.Fertiliser_Products_Data1(),FertiliserProducts[[#Headers],[Include or Exclude]], 0,4)</f>
        <v/>
      </c>
      <c r="S148" s="186" t="str" cm="1">
        <f t="array" ref="S148">Common_InputFunctions.Utility_DisplayArrayInTable(Fertiliser_SourceData.Fertiliser_Products_Data1(),FertiliserProducts[[#Headers],[Include or Exclude]], 0,4)</f>
        <v/>
      </c>
      <c r="T148" s="186" t="str" cm="1">
        <f t="array" ref="T148">Common_InputFunctions.Utility_DisplayArrayInTable(Fertiliser_SourceData.Fertiliser_Products_Data1(),FertiliserProducts[[#Headers],[Include or Exclude]], 0,4)</f>
        <v/>
      </c>
      <c r="U148" s="186" t="str" cm="1">
        <f t="array" ref="U148">Common_InputFunctions.Utility_DisplayArrayInTable(Fertiliser_SourceData.Fertiliser_Products_Data1(),FertiliserProducts[[#Headers],[Include or Exclude]], 0,4)</f>
        <v/>
      </c>
      <c r="V148" s="186" t="str" cm="1">
        <f t="array" ref="V148">Common_InputFunctions.Utility_DisplayArrayInTable(Fertiliser_SourceData.Fertiliser_Products_Data1(),FertiliserProducts[[#Headers],[Include or Exclude]], 0,4)</f>
        <v/>
      </c>
      <c r="W148" s="186" t="str" cm="1">
        <f t="array" ref="W148">Common_InputFunctions.Utility_DisplayArrayInTable(Fertiliser_SourceData.Fertiliser_Products_Data1(),FertiliserProducts[[#Headers],[Include or Exclude]], 0,4)</f>
        <v/>
      </c>
      <c r="X148" s="186" t="str" cm="1">
        <f t="array" ref="X148">Common_InputFunctions.Utility_DisplayArrayInTable(Fertiliser_SourceData.Fertiliser_Products_Data1(),FertiliserProducts[[#Headers],[Include or Exclude]], 0,4)</f>
        <v/>
      </c>
      <c r="Y148" s="186" t="str" cm="1">
        <f t="array" ref="Y148">Common_InputFunctions.Utility_DisplayArrayInTable(Fertiliser_SourceData.Fertiliser_Products_Data1(),FertiliserProducts[[#Headers],[Include or Exclude]], 0,4)</f>
        <v/>
      </c>
      <c r="Z148" s="186" t="str" cm="1">
        <f t="array" ref="Z148">Common_InputFunctions.Utility_DisplayArrayInTable(Fertiliser_SourceData.Fertiliser_Products_Data1(),FertiliserProducts[[#Headers],[Include or Exclude]], 0,4)</f>
        <v/>
      </c>
      <c r="AA148" s="186" t="str" cm="1">
        <f t="array" ref="AA148">Common_InputFunctions.Utility_DisplayArrayInTable(Fertiliser_SourceData.Fertiliser_Products_Data1(),FertiliserProducts[[#Headers],[Include or Exclude]], 0,4)</f>
        <v/>
      </c>
      <c r="AB148" s="186" t="str" cm="1">
        <f t="array" ref="AB148">Common_InputFunctions.Utility_DisplayArrayInTable(Fertiliser_SourceData.Fertiliser_Products_Data1(),FertiliserProducts[[#Headers],[Include or Exclude]], 0,4)</f>
        <v/>
      </c>
      <c r="AC148" s="186" t="str" cm="1">
        <f t="array" ref="AC148">Common_InputFunctions.Utility_DisplayArrayInTable(Fertiliser_SourceData.Fertiliser_Products_Data1(),FertiliserProducts[[#Headers],[Include or Exclude]], 0,4)</f>
        <v/>
      </c>
      <c r="AD148" s="186" t="str" cm="1">
        <f t="array" ref="AD148">Common_InputFunctions.Utility_DisplayArrayInTable(Fertiliser_SourceData.Fertiliser_Products_Data1(),FertiliserProducts[[#Headers],[Include or Exclude]], 0,4)</f>
        <v/>
      </c>
      <c r="AE148" s="186" t="str" cm="1">
        <f t="array" ref="AE148">Common_InputFunctions.Utility_DisplayArrayInTable(Fertiliser_SourceData.Fertiliser_Products_Data1(),FertiliserProducts[[#Headers],[Include or Exclude]], 0,4)</f>
        <v/>
      </c>
    </row>
    <row r="149" spans="4:31" ht="20.100000000000001" customHeight="1" x14ac:dyDescent="0.25">
      <c r="D149" s="186" t="str" cm="1">
        <f t="array" ref="D149">Common_InputFunctions.Utility_DisplayArrayInTable(Fertiliser_SourceData.Fertiliser_Products_Data1(),FertiliserProducts[[#Headers],[Include or Exclude]], -1)</f>
        <v/>
      </c>
      <c r="E149" s="186" t="str" cm="1">
        <f t="array" ref="E149">Common_InputFunctions.Utility_DisplayArrayInTable(Fertiliser_SourceData.Fertiliser_Products_Data1(),FertiliserProducts[[#Headers],[Include or Exclude]], 0)</f>
        <v/>
      </c>
      <c r="F149" s="186" t="str" cm="1">
        <f t="array" ref="F149">Common_InputFunctions.Utility_DisplayArrayInTable(Fertiliser_SourceData.Fertiliser_Products_Data1(),FertiliserProducts[[#Headers],[Include or Exclude]], 0)</f>
        <v/>
      </c>
      <c r="G149" s="186" t="str" cm="1">
        <f t="array" ref="G149">Common_InputFunctions.Utility_DisplayArrayInTable(Fertiliser_SourceData.Fertiliser_Products_Data1(),FertiliserProducts[[#Headers],[Include or Exclude]], 0)</f>
        <v/>
      </c>
      <c r="H149" s="186" t="str" cm="1">
        <f t="array" ref="H149">Common_InputFunctions.Utility_DisplayArrayInTable(Fertiliser_SourceData.Fertiliser_Products_Data1(),FertiliserProducts[[#Headers],[Include or Exclude]], 0,4)</f>
        <v/>
      </c>
      <c r="I149" s="186" t="str" cm="1">
        <f t="array" ref="I149">Common_InputFunctions.Utility_DisplayArrayInTable(Fertiliser_SourceData.Fertiliser_Products_Data1(),FertiliserProducts[[#Headers],[Include or Exclude]], 0,4)</f>
        <v/>
      </c>
      <c r="J149" s="186" t="str" cm="1">
        <f t="array" ref="J149">Common_InputFunctions.Utility_DisplayArrayInTable(Fertiliser_SourceData.Fertiliser_Products_Data1(),FertiliserProducts[[#Headers],[Include or Exclude]], 0,4)</f>
        <v/>
      </c>
      <c r="K149" s="186" t="str" cm="1">
        <f t="array" ref="K149">Common_InputFunctions.Utility_DisplayArrayInTable(Fertiliser_SourceData.Fertiliser_Products_Data1(),FertiliserProducts[[#Headers],[Include or Exclude]], 0,4)</f>
        <v/>
      </c>
      <c r="L149" s="186" t="str" cm="1">
        <f t="array" ref="L149">Common_InputFunctions.Utility_DisplayArrayInTable(Fertiliser_SourceData.Fertiliser_Products_Data1(),FertiliserProducts[[#Headers],[Include or Exclude]], 0,4)</f>
        <v/>
      </c>
      <c r="M149" s="186" t="str" cm="1">
        <f t="array" ref="M149">Common_InputFunctions.Utility_DisplayArrayInTable(Fertiliser_SourceData.Fertiliser_Products_Data1(),FertiliserProducts[[#Headers],[Include or Exclude]], 0,4)</f>
        <v/>
      </c>
      <c r="N149" s="186" t="str" cm="1">
        <f t="array" ref="N149">Common_InputFunctions.Utility_DisplayArrayInTable(Fertiliser_SourceData.Fertiliser_Products_Data1(),FertiliserProducts[[#Headers],[Include or Exclude]], 0,4)</f>
        <v/>
      </c>
      <c r="O149" s="186" t="str" cm="1">
        <f t="array" ref="O149">Common_InputFunctions.Utility_DisplayArrayInTable(Fertiliser_SourceData.Fertiliser_Products_Data1(),FertiliserProducts[[#Headers],[Include or Exclude]], 0,4)</f>
        <v/>
      </c>
      <c r="P149" s="186" t="str" cm="1">
        <f t="array" ref="P149">Common_InputFunctions.Utility_DisplayArrayInTable(Fertiliser_SourceData.Fertiliser_Products_Data1(),FertiliserProducts[[#Headers],[Include or Exclude]], 0,4)</f>
        <v/>
      </c>
      <c r="Q149" s="186" t="str" cm="1">
        <f t="array" ref="Q149">Common_InputFunctions.Utility_DisplayArrayInTable(Fertiliser_SourceData.Fertiliser_Products_Data1(),FertiliserProducts[[#Headers],[Include or Exclude]], 0,4)</f>
        <v/>
      </c>
      <c r="R149" s="186" t="str" cm="1">
        <f t="array" ref="R149">Common_InputFunctions.Utility_DisplayArrayInTable(Fertiliser_SourceData.Fertiliser_Products_Data1(),FertiliserProducts[[#Headers],[Include or Exclude]], 0,4)</f>
        <v/>
      </c>
      <c r="S149" s="186" t="str" cm="1">
        <f t="array" ref="S149">Common_InputFunctions.Utility_DisplayArrayInTable(Fertiliser_SourceData.Fertiliser_Products_Data1(),FertiliserProducts[[#Headers],[Include or Exclude]], 0,4)</f>
        <v/>
      </c>
      <c r="T149" s="186" t="str" cm="1">
        <f t="array" ref="T149">Common_InputFunctions.Utility_DisplayArrayInTable(Fertiliser_SourceData.Fertiliser_Products_Data1(),FertiliserProducts[[#Headers],[Include or Exclude]], 0,4)</f>
        <v/>
      </c>
      <c r="U149" s="186" t="str" cm="1">
        <f t="array" ref="U149">Common_InputFunctions.Utility_DisplayArrayInTable(Fertiliser_SourceData.Fertiliser_Products_Data1(),FertiliserProducts[[#Headers],[Include or Exclude]], 0,4)</f>
        <v/>
      </c>
      <c r="V149" s="186" t="str" cm="1">
        <f t="array" ref="V149">Common_InputFunctions.Utility_DisplayArrayInTable(Fertiliser_SourceData.Fertiliser_Products_Data1(),FertiliserProducts[[#Headers],[Include or Exclude]], 0,4)</f>
        <v/>
      </c>
      <c r="W149" s="186" t="str" cm="1">
        <f t="array" ref="W149">Common_InputFunctions.Utility_DisplayArrayInTable(Fertiliser_SourceData.Fertiliser_Products_Data1(),FertiliserProducts[[#Headers],[Include or Exclude]], 0,4)</f>
        <v/>
      </c>
      <c r="X149" s="186" t="str" cm="1">
        <f t="array" ref="X149">Common_InputFunctions.Utility_DisplayArrayInTable(Fertiliser_SourceData.Fertiliser_Products_Data1(),FertiliserProducts[[#Headers],[Include or Exclude]], 0,4)</f>
        <v/>
      </c>
      <c r="Y149" s="186" t="str" cm="1">
        <f t="array" ref="Y149">Common_InputFunctions.Utility_DisplayArrayInTable(Fertiliser_SourceData.Fertiliser_Products_Data1(),FertiliserProducts[[#Headers],[Include or Exclude]], 0,4)</f>
        <v/>
      </c>
      <c r="Z149" s="186" t="str" cm="1">
        <f t="array" ref="Z149">Common_InputFunctions.Utility_DisplayArrayInTable(Fertiliser_SourceData.Fertiliser_Products_Data1(),FertiliserProducts[[#Headers],[Include or Exclude]], 0,4)</f>
        <v/>
      </c>
      <c r="AA149" s="186" t="str" cm="1">
        <f t="array" ref="AA149">Common_InputFunctions.Utility_DisplayArrayInTable(Fertiliser_SourceData.Fertiliser_Products_Data1(),FertiliserProducts[[#Headers],[Include or Exclude]], 0,4)</f>
        <v/>
      </c>
      <c r="AB149" s="186" t="str" cm="1">
        <f t="array" ref="AB149">Common_InputFunctions.Utility_DisplayArrayInTable(Fertiliser_SourceData.Fertiliser_Products_Data1(),FertiliserProducts[[#Headers],[Include or Exclude]], 0,4)</f>
        <v/>
      </c>
      <c r="AC149" s="186" t="str" cm="1">
        <f t="array" ref="AC149">Common_InputFunctions.Utility_DisplayArrayInTable(Fertiliser_SourceData.Fertiliser_Products_Data1(),FertiliserProducts[[#Headers],[Include or Exclude]], 0,4)</f>
        <v/>
      </c>
      <c r="AD149" s="186" t="str" cm="1">
        <f t="array" ref="AD149">Common_InputFunctions.Utility_DisplayArrayInTable(Fertiliser_SourceData.Fertiliser_Products_Data1(),FertiliserProducts[[#Headers],[Include or Exclude]], 0,4)</f>
        <v/>
      </c>
      <c r="AE149" s="186" t="str" cm="1">
        <f t="array" ref="AE149">Common_InputFunctions.Utility_DisplayArrayInTable(Fertiliser_SourceData.Fertiliser_Products_Data1(),FertiliserProducts[[#Headers],[Include or Exclude]], 0,4)</f>
        <v/>
      </c>
    </row>
    <row r="150" spans="4:31" ht="20.100000000000001" customHeight="1" x14ac:dyDescent="0.25">
      <c r="D150" s="186" t="str" cm="1">
        <f t="array" ref="D150">Common_InputFunctions.Utility_DisplayArrayInTable(Fertiliser_SourceData.Fertiliser_Products_Data1(),FertiliserProducts[[#Headers],[Include or Exclude]], -1)</f>
        <v/>
      </c>
      <c r="E150" s="186" t="str" cm="1">
        <f t="array" ref="E150">Common_InputFunctions.Utility_DisplayArrayInTable(Fertiliser_SourceData.Fertiliser_Products_Data1(),FertiliserProducts[[#Headers],[Include or Exclude]], 0)</f>
        <v/>
      </c>
      <c r="F150" s="186" t="str" cm="1">
        <f t="array" ref="F150">Common_InputFunctions.Utility_DisplayArrayInTable(Fertiliser_SourceData.Fertiliser_Products_Data1(),FertiliserProducts[[#Headers],[Include or Exclude]], 0)</f>
        <v/>
      </c>
      <c r="G150" s="186" t="str" cm="1">
        <f t="array" ref="G150">Common_InputFunctions.Utility_DisplayArrayInTable(Fertiliser_SourceData.Fertiliser_Products_Data1(),FertiliserProducts[[#Headers],[Include or Exclude]], 0)</f>
        <v/>
      </c>
      <c r="H150" s="186" t="str" cm="1">
        <f t="array" ref="H150">Common_InputFunctions.Utility_DisplayArrayInTable(Fertiliser_SourceData.Fertiliser_Products_Data1(),FertiliserProducts[[#Headers],[Include or Exclude]], 0,4)</f>
        <v/>
      </c>
      <c r="I150" s="186" t="str" cm="1">
        <f t="array" ref="I150">Common_InputFunctions.Utility_DisplayArrayInTable(Fertiliser_SourceData.Fertiliser_Products_Data1(),FertiliserProducts[[#Headers],[Include or Exclude]], 0,4)</f>
        <v/>
      </c>
      <c r="J150" s="186" t="str" cm="1">
        <f t="array" ref="J150">Common_InputFunctions.Utility_DisplayArrayInTable(Fertiliser_SourceData.Fertiliser_Products_Data1(),FertiliserProducts[[#Headers],[Include or Exclude]], 0,4)</f>
        <v/>
      </c>
      <c r="K150" s="186" t="str" cm="1">
        <f t="array" ref="K150">Common_InputFunctions.Utility_DisplayArrayInTable(Fertiliser_SourceData.Fertiliser_Products_Data1(),FertiliserProducts[[#Headers],[Include or Exclude]], 0,4)</f>
        <v/>
      </c>
      <c r="L150" s="186" t="str" cm="1">
        <f t="array" ref="L150">Common_InputFunctions.Utility_DisplayArrayInTable(Fertiliser_SourceData.Fertiliser_Products_Data1(),FertiliserProducts[[#Headers],[Include or Exclude]], 0,4)</f>
        <v/>
      </c>
      <c r="M150" s="186" t="str" cm="1">
        <f t="array" ref="M150">Common_InputFunctions.Utility_DisplayArrayInTable(Fertiliser_SourceData.Fertiliser_Products_Data1(),FertiliserProducts[[#Headers],[Include or Exclude]], 0,4)</f>
        <v/>
      </c>
      <c r="N150" s="186" t="str" cm="1">
        <f t="array" ref="N150">Common_InputFunctions.Utility_DisplayArrayInTable(Fertiliser_SourceData.Fertiliser_Products_Data1(),FertiliserProducts[[#Headers],[Include or Exclude]], 0,4)</f>
        <v/>
      </c>
      <c r="O150" s="186" t="str" cm="1">
        <f t="array" ref="O150">Common_InputFunctions.Utility_DisplayArrayInTable(Fertiliser_SourceData.Fertiliser_Products_Data1(),FertiliserProducts[[#Headers],[Include or Exclude]], 0,4)</f>
        <v/>
      </c>
      <c r="P150" s="186" t="str" cm="1">
        <f t="array" ref="P150">Common_InputFunctions.Utility_DisplayArrayInTable(Fertiliser_SourceData.Fertiliser_Products_Data1(),FertiliserProducts[[#Headers],[Include or Exclude]], 0,4)</f>
        <v/>
      </c>
      <c r="Q150" s="186" t="str" cm="1">
        <f t="array" ref="Q150">Common_InputFunctions.Utility_DisplayArrayInTable(Fertiliser_SourceData.Fertiliser_Products_Data1(),FertiliserProducts[[#Headers],[Include or Exclude]], 0,4)</f>
        <v/>
      </c>
      <c r="R150" s="186" t="str" cm="1">
        <f t="array" ref="R150">Common_InputFunctions.Utility_DisplayArrayInTable(Fertiliser_SourceData.Fertiliser_Products_Data1(),FertiliserProducts[[#Headers],[Include or Exclude]], 0,4)</f>
        <v/>
      </c>
      <c r="S150" s="186" t="str" cm="1">
        <f t="array" ref="S150">Common_InputFunctions.Utility_DisplayArrayInTable(Fertiliser_SourceData.Fertiliser_Products_Data1(),FertiliserProducts[[#Headers],[Include or Exclude]], 0,4)</f>
        <v/>
      </c>
      <c r="T150" s="186" t="str" cm="1">
        <f t="array" ref="T150">Common_InputFunctions.Utility_DisplayArrayInTable(Fertiliser_SourceData.Fertiliser_Products_Data1(),FertiliserProducts[[#Headers],[Include or Exclude]], 0,4)</f>
        <v/>
      </c>
      <c r="U150" s="186" t="str" cm="1">
        <f t="array" ref="U150">Common_InputFunctions.Utility_DisplayArrayInTable(Fertiliser_SourceData.Fertiliser_Products_Data1(),FertiliserProducts[[#Headers],[Include or Exclude]], 0,4)</f>
        <v/>
      </c>
      <c r="V150" s="186" t="str" cm="1">
        <f t="array" ref="V150">Common_InputFunctions.Utility_DisplayArrayInTable(Fertiliser_SourceData.Fertiliser_Products_Data1(),FertiliserProducts[[#Headers],[Include or Exclude]], 0,4)</f>
        <v/>
      </c>
      <c r="W150" s="186" t="str" cm="1">
        <f t="array" ref="W150">Common_InputFunctions.Utility_DisplayArrayInTable(Fertiliser_SourceData.Fertiliser_Products_Data1(),FertiliserProducts[[#Headers],[Include or Exclude]], 0,4)</f>
        <v/>
      </c>
      <c r="X150" s="186" t="str" cm="1">
        <f t="array" ref="X150">Common_InputFunctions.Utility_DisplayArrayInTable(Fertiliser_SourceData.Fertiliser_Products_Data1(),FertiliserProducts[[#Headers],[Include or Exclude]], 0,4)</f>
        <v/>
      </c>
      <c r="Y150" s="186" t="str" cm="1">
        <f t="array" ref="Y150">Common_InputFunctions.Utility_DisplayArrayInTable(Fertiliser_SourceData.Fertiliser_Products_Data1(),FertiliserProducts[[#Headers],[Include or Exclude]], 0,4)</f>
        <v/>
      </c>
      <c r="Z150" s="186" t="str" cm="1">
        <f t="array" ref="Z150">Common_InputFunctions.Utility_DisplayArrayInTable(Fertiliser_SourceData.Fertiliser_Products_Data1(),FertiliserProducts[[#Headers],[Include or Exclude]], 0,4)</f>
        <v/>
      </c>
      <c r="AA150" s="186" t="str" cm="1">
        <f t="array" ref="AA150">Common_InputFunctions.Utility_DisplayArrayInTable(Fertiliser_SourceData.Fertiliser_Products_Data1(),FertiliserProducts[[#Headers],[Include or Exclude]], 0,4)</f>
        <v/>
      </c>
      <c r="AB150" s="186" t="str" cm="1">
        <f t="array" ref="AB150">Common_InputFunctions.Utility_DisplayArrayInTable(Fertiliser_SourceData.Fertiliser_Products_Data1(),FertiliserProducts[[#Headers],[Include or Exclude]], 0,4)</f>
        <v/>
      </c>
      <c r="AC150" s="186" t="str" cm="1">
        <f t="array" ref="AC150">Common_InputFunctions.Utility_DisplayArrayInTable(Fertiliser_SourceData.Fertiliser_Products_Data1(),FertiliserProducts[[#Headers],[Include or Exclude]], 0,4)</f>
        <v/>
      </c>
      <c r="AD150" s="186" t="str" cm="1">
        <f t="array" ref="AD150">Common_InputFunctions.Utility_DisplayArrayInTable(Fertiliser_SourceData.Fertiliser_Products_Data1(),FertiliserProducts[[#Headers],[Include or Exclude]], 0,4)</f>
        <v/>
      </c>
      <c r="AE150" s="186" t="str" cm="1">
        <f t="array" ref="AE150">Common_InputFunctions.Utility_DisplayArrayInTable(Fertiliser_SourceData.Fertiliser_Products_Data1(),FertiliserProducts[[#Headers],[Include or Exclude]], 0,4)</f>
        <v/>
      </c>
    </row>
    <row r="151" spans="4:31" ht="20.100000000000001" customHeight="1" x14ac:dyDescent="0.25">
      <c r="D151" s="186" t="str" cm="1">
        <f t="array" ref="D151">Common_InputFunctions.Utility_DisplayArrayInTable(Fertiliser_SourceData.Fertiliser_Products_Data1(),FertiliserProducts[[#Headers],[Include or Exclude]], -1)</f>
        <v/>
      </c>
      <c r="E151" s="186" t="str" cm="1">
        <f t="array" ref="E151">Common_InputFunctions.Utility_DisplayArrayInTable(Fertiliser_SourceData.Fertiliser_Products_Data1(),FertiliserProducts[[#Headers],[Include or Exclude]], 0)</f>
        <v/>
      </c>
      <c r="F151" s="186" t="str" cm="1">
        <f t="array" ref="F151">Common_InputFunctions.Utility_DisplayArrayInTable(Fertiliser_SourceData.Fertiliser_Products_Data1(),FertiliserProducts[[#Headers],[Include or Exclude]], 0)</f>
        <v/>
      </c>
      <c r="G151" s="186" t="str" cm="1">
        <f t="array" ref="G151">Common_InputFunctions.Utility_DisplayArrayInTable(Fertiliser_SourceData.Fertiliser_Products_Data1(),FertiliserProducts[[#Headers],[Include or Exclude]], 0)</f>
        <v/>
      </c>
      <c r="H151" s="186" t="str" cm="1">
        <f t="array" ref="H151">Common_InputFunctions.Utility_DisplayArrayInTable(Fertiliser_SourceData.Fertiliser_Products_Data1(),FertiliserProducts[[#Headers],[Include or Exclude]], 0,4)</f>
        <v/>
      </c>
      <c r="I151" s="186" t="str" cm="1">
        <f t="array" ref="I151">Common_InputFunctions.Utility_DisplayArrayInTable(Fertiliser_SourceData.Fertiliser_Products_Data1(),FertiliserProducts[[#Headers],[Include or Exclude]], 0,4)</f>
        <v/>
      </c>
      <c r="J151" s="186" t="str" cm="1">
        <f t="array" ref="J151">Common_InputFunctions.Utility_DisplayArrayInTable(Fertiliser_SourceData.Fertiliser_Products_Data1(),FertiliserProducts[[#Headers],[Include or Exclude]], 0,4)</f>
        <v/>
      </c>
      <c r="K151" s="186" t="str" cm="1">
        <f t="array" ref="K151">Common_InputFunctions.Utility_DisplayArrayInTable(Fertiliser_SourceData.Fertiliser_Products_Data1(),FertiliserProducts[[#Headers],[Include or Exclude]], 0,4)</f>
        <v/>
      </c>
      <c r="L151" s="186" t="str" cm="1">
        <f t="array" ref="L151">Common_InputFunctions.Utility_DisplayArrayInTable(Fertiliser_SourceData.Fertiliser_Products_Data1(),FertiliserProducts[[#Headers],[Include or Exclude]], 0,4)</f>
        <v/>
      </c>
      <c r="M151" s="186" t="str" cm="1">
        <f t="array" ref="M151">Common_InputFunctions.Utility_DisplayArrayInTable(Fertiliser_SourceData.Fertiliser_Products_Data1(),FertiliserProducts[[#Headers],[Include or Exclude]], 0,4)</f>
        <v/>
      </c>
      <c r="N151" s="186" t="str" cm="1">
        <f t="array" ref="N151">Common_InputFunctions.Utility_DisplayArrayInTable(Fertiliser_SourceData.Fertiliser_Products_Data1(),FertiliserProducts[[#Headers],[Include or Exclude]], 0,4)</f>
        <v/>
      </c>
      <c r="O151" s="186" t="str" cm="1">
        <f t="array" ref="O151">Common_InputFunctions.Utility_DisplayArrayInTable(Fertiliser_SourceData.Fertiliser_Products_Data1(),FertiliserProducts[[#Headers],[Include or Exclude]], 0,4)</f>
        <v/>
      </c>
      <c r="P151" s="186" t="str" cm="1">
        <f t="array" ref="P151">Common_InputFunctions.Utility_DisplayArrayInTable(Fertiliser_SourceData.Fertiliser_Products_Data1(),FertiliserProducts[[#Headers],[Include or Exclude]], 0,4)</f>
        <v/>
      </c>
      <c r="Q151" s="186" t="str" cm="1">
        <f t="array" ref="Q151">Common_InputFunctions.Utility_DisplayArrayInTable(Fertiliser_SourceData.Fertiliser_Products_Data1(),FertiliserProducts[[#Headers],[Include or Exclude]], 0,4)</f>
        <v/>
      </c>
      <c r="R151" s="186" t="str" cm="1">
        <f t="array" ref="R151">Common_InputFunctions.Utility_DisplayArrayInTable(Fertiliser_SourceData.Fertiliser_Products_Data1(),FertiliserProducts[[#Headers],[Include or Exclude]], 0,4)</f>
        <v/>
      </c>
      <c r="S151" s="186" t="str" cm="1">
        <f t="array" ref="S151">Common_InputFunctions.Utility_DisplayArrayInTable(Fertiliser_SourceData.Fertiliser_Products_Data1(),FertiliserProducts[[#Headers],[Include or Exclude]], 0,4)</f>
        <v/>
      </c>
      <c r="T151" s="186" t="str" cm="1">
        <f t="array" ref="T151">Common_InputFunctions.Utility_DisplayArrayInTable(Fertiliser_SourceData.Fertiliser_Products_Data1(),FertiliserProducts[[#Headers],[Include or Exclude]], 0,4)</f>
        <v/>
      </c>
      <c r="U151" s="186" t="str" cm="1">
        <f t="array" ref="U151">Common_InputFunctions.Utility_DisplayArrayInTable(Fertiliser_SourceData.Fertiliser_Products_Data1(),FertiliserProducts[[#Headers],[Include or Exclude]], 0,4)</f>
        <v/>
      </c>
      <c r="V151" s="186" t="str" cm="1">
        <f t="array" ref="V151">Common_InputFunctions.Utility_DisplayArrayInTable(Fertiliser_SourceData.Fertiliser_Products_Data1(),FertiliserProducts[[#Headers],[Include or Exclude]], 0,4)</f>
        <v/>
      </c>
      <c r="W151" s="186" t="str" cm="1">
        <f t="array" ref="W151">Common_InputFunctions.Utility_DisplayArrayInTable(Fertiliser_SourceData.Fertiliser_Products_Data1(),FertiliserProducts[[#Headers],[Include or Exclude]], 0,4)</f>
        <v/>
      </c>
      <c r="X151" s="186" t="str" cm="1">
        <f t="array" ref="X151">Common_InputFunctions.Utility_DisplayArrayInTable(Fertiliser_SourceData.Fertiliser_Products_Data1(),FertiliserProducts[[#Headers],[Include or Exclude]], 0,4)</f>
        <v/>
      </c>
      <c r="Y151" s="186" t="str" cm="1">
        <f t="array" ref="Y151">Common_InputFunctions.Utility_DisplayArrayInTable(Fertiliser_SourceData.Fertiliser_Products_Data1(),FertiliserProducts[[#Headers],[Include or Exclude]], 0,4)</f>
        <v/>
      </c>
      <c r="Z151" s="186" t="str" cm="1">
        <f t="array" ref="Z151">Common_InputFunctions.Utility_DisplayArrayInTable(Fertiliser_SourceData.Fertiliser_Products_Data1(),FertiliserProducts[[#Headers],[Include or Exclude]], 0,4)</f>
        <v/>
      </c>
      <c r="AA151" s="186" t="str" cm="1">
        <f t="array" ref="AA151">Common_InputFunctions.Utility_DisplayArrayInTable(Fertiliser_SourceData.Fertiliser_Products_Data1(),FertiliserProducts[[#Headers],[Include or Exclude]], 0,4)</f>
        <v/>
      </c>
      <c r="AB151" s="186" t="str" cm="1">
        <f t="array" ref="AB151">Common_InputFunctions.Utility_DisplayArrayInTable(Fertiliser_SourceData.Fertiliser_Products_Data1(),FertiliserProducts[[#Headers],[Include or Exclude]], 0,4)</f>
        <v/>
      </c>
      <c r="AC151" s="186" t="str" cm="1">
        <f t="array" ref="AC151">Common_InputFunctions.Utility_DisplayArrayInTable(Fertiliser_SourceData.Fertiliser_Products_Data1(),FertiliserProducts[[#Headers],[Include or Exclude]], 0,4)</f>
        <v/>
      </c>
      <c r="AD151" s="186" t="str" cm="1">
        <f t="array" ref="AD151">Common_InputFunctions.Utility_DisplayArrayInTable(Fertiliser_SourceData.Fertiliser_Products_Data1(),FertiliserProducts[[#Headers],[Include or Exclude]], 0,4)</f>
        <v/>
      </c>
      <c r="AE151" s="186" t="str" cm="1">
        <f t="array" ref="AE151">Common_InputFunctions.Utility_DisplayArrayInTable(Fertiliser_SourceData.Fertiliser_Products_Data1(),FertiliserProducts[[#Headers],[Include or Exclude]], 0,4)</f>
        <v/>
      </c>
    </row>
    <row r="152" spans="4:31" ht="20.100000000000001" customHeight="1" x14ac:dyDescent="0.25">
      <c r="D152" s="186" t="str" cm="1">
        <f t="array" ref="D152">Common_InputFunctions.Utility_DisplayArrayInTable(Fertiliser_SourceData.Fertiliser_Products_Data1(),FertiliserProducts[[#Headers],[Include or Exclude]], -1)</f>
        <v/>
      </c>
      <c r="E152" s="186" t="str" cm="1">
        <f t="array" ref="E152">Common_InputFunctions.Utility_DisplayArrayInTable(Fertiliser_SourceData.Fertiliser_Products_Data1(),FertiliserProducts[[#Headers],[Include or Exclude]], 0)</f>
        <v/>
      </c>
      <c r="F152" s="186" t="str" cm="1">
        <f t="array" ref="F152">Common_InputFunctions.Utility_DisplayArrayInTable(Fertiliser_SourceData.Fertiliser_Products_Data1(),FertiliserProducts[[#Headers],[Include or Exclude]], 0)</f>
        <v/>
      </c>
      <c r="G152" s="186" t="str" cm="1">
        <f t="array" ref="G152">Common_InputFunctions.Utility_DisplayArrayInTable(Fertiliser_SourceData.Fertiliser_Products_Data1(),FertiliserProducts[[#Headers],[Include or Exclude]], 0)</f>
        <v/>
      </c>
      <c r="H152" s="186" t="str" cm="1">
        <f t="array" ref="H152">Common_InputFunctions.Utility_DisplayArrayInTable(Fertiliser_SourceData.Fertiliser_Products_Data1(),FertiliserProducts[[#Headers],[Include or Exclude]], 0,4)</f>
        <v/>
      </c>
      <c r="I152" s="186" t="str" cm="1">
        <f t="array" ref="I152">Common_InputFunctions.Utility_DisplayArrayInTable(Fertiliser_SourceData.Fertiliser_Products_Data1(),FertiliserProducts[[#Headers],[Include or Exclude]], 0,4)</f>
        <v/>
      </c>
      <c r="J152" s="186" t="str" cm="1">
        <f t="array" ref="J152">Common_InputFunctions.Utility_DisplayArrayInTable(Fertiliser_SourceData.Fertiliser_Products_Data1(),FertiliserProducts[[#Headers],[Include or Exclude]], 0,4)</f>
        <v/>
      </c>
      <c r="K152" s="186" t="str" cm="1">
        <f t="array" ref="K152">Common_InputFunctions.Utility_DisplayArrayInTable(Fertiliser_SourceData.Fertiliser_Products_Data1(),FertiliserProducts[[#Headers],[Include or Exclude]], 0,4)</f>
        <v/>
      </c>
      <c r="L152" s="186" t="str" cm="1">
        <f t="array" ref="L152">Common_InputFunctions.Utility_DisplayArrayInTable(Fertiliser_SourceData.Fertiliser_Products_Data1(),FertiliserProducts[[#Headers],[Include or Exclude]], 0,4)</f>
        <v/>
      </c>
      <c r="M152" s="186" t="str" cm="1">
        <f t="array" ref="M152">Common_InputFunctions.Utility_DisplayArrayInTable(Fertiliser_SourceData.Fertiliser_Products_Data1(),FertiliserProducts[[#Headers],[Include or Exclude]], 0,4)</f>
        <v/>
      </c>
      <c r="N152" s="186" t="str" cm="1">
        <f t="array" ref="N152">Common_InputFunctions.Utility_DisplayArrayInTable(Fertiliser_SourceData.Fertiliser_Products_Data1(),FertiliserProducts[[#Headers],[Include or Exclude]], 0,4)</f>
        <v/>
      </c>
      <c r="O152" s="186" t="str" cm="1">
        <f t="array" ref="O152">Common_InputFunctions.Utility_DisplayArrayInTable(Fertiliser_SourceData.Fertiliser_Products_Data1(),FertiliserProducts[[#Headers],[Include or Exclude]], 0,4)</f>
        <v/>
      </c>
      <c r="P152" s="186" t="str" cm="1">
        <f t="array" ref="P152">Common_InputFunctions.Utility_DisplayArrayInTable(Fertiliser_SourceData.Fertiliser_Products_Data1(),FertiliserProducts[[#Headers],[Include or Exclude]], 0,4)</f>
        <v/>
      </c>
      <c r="Q152" s="186" t="str" cm="1">
        <f t="array" ref="Q152">Common_InputFunctions.Utility_DisplayArrayInTable(Fertiliser_SourceData.Fertiliser_Products_Data1(),FertiliserProducts[[#Headers],[Include or Exclude]], 0,4)</f>
        <v/>
      </c>
      <c r="R152" s="186" t="str" cm="1">
        <f t="array" ref="R152">Common_InputFunctions.Utility_DisplayArrayInTable(Fertiliser_SourceData.Fertiliser_Products_Data1(),FertiliserProducts[[#Headers],[Include or Exclude]], 0,4)</f>
        <v/>
      </c>
      <c r="S152" s="186" t="str" cm="1">
        <f t="array" ref="S152">Common_InputFunctions.Utility_DisplayArrayInTable(Fertiliser_SourceData.Fertiliser_Products_Data1(),FertiliserProducts[[#Headers],[Include or Exclude]], 0,4)</f>
        <v/>
      </c>
      <c r="T152" s="186" t="str" cm="1">
        <f t="array" ref="T152">Common_InputFunctions.Utility_DisplayArrayInTable(Fertiliser_SourceData.Fertiliser_Products_Data1(),FertiliserProducts[[#Headers],[Include or Exclude]], 0,4)</f>
        <v/>
      </c>
      <c r="U152" s="186" t="str" cm="1">
        <f t="array" ref="U152">Common_InputFunctions.Utility_DisplayArrayInTable(Fertiliser_SourceData.Fertiliser_Products_Data1(),FertiliserProducts[[#Headers],[Include or Exclude]], 0,4)</f>
        <v/>
      </c>
      <c r="V152" s="186" t="str" cm="1">
        <f t="array" ref="V152">Common_InputFunctions.Utility_DisplayArrayInTable(Fertiliser_SourceData.Fertiliser_Products_Data1(),FertiliserProducts[[#Headers],[Include or Exclude]], 0,4)</f>
        <v/>
      </c>
      <c r="W152" s="186" t="str" cm="1">
        <f t="array" ref="W152">Common_InputFunctions.Utility_DisplayArrayInTable(Fertiliser_SourceData.Fertiliser_Products_Data1(),FertiliserProducts[[#Headers],[Include or Exclude]], 0,4)</f>
        <v/>
      </c>
      <c r="X152" s="186" t="str" cm="1">
        <f t="array" ref="X152">Common_InputFunctions.Utility_DisplayArrayInTable(Fertiliser_SourceData.Fertiliser_Products_Data1(),FertiliserProducts[[#Headers],[Include or Exclude]], 0,4)</f>
        <v/>
      </c>
      <c r="Y152" s="186" t="str" cm="1">
        <f t="array" ref="Y152">Common_InputFunctions.Utility_DisplayArrayInTable(Fertiliser_SourceData.Fertiliser_Products_Data1(),FertiliserProducts[[#Headers],[Include or Exclude]], 0,4)</f>
        <v/>
      </c>
      <c r="Z152" s="186" t="str" cm="1">
        <f t="array" ref="Z152">Common_InputFunctions.Utility_DisplayArrayInTable(Fertiliser_SourceData.Fertiliser_Products_Data1(),FertiliserProducts[[#Headers],[Include or Exclude]], 0,4)</f>
        <v/>
      </c>
      <c r="AA152" s="186" t="str" cm="1">
        <f t="array" ref="AA152">Common_InputFunctions.Utility_DisplayArrayInTable(Fertiliser_SourceData.Fertiliser_Products_Data1(),FertiliserProducts[[#Headers],[Include or Exclude]], 0,4)</f>
        <v/>
      </c>
      <c r="AB152" s="186" t="str" cm="1">
        <f t="array" ref="AB152">Common_InputFunctions.Utility_DisplayArrayInTable(Fertiliser_SourceData.Fertiliser_Products_Data1(),FertiliserProducts[[#Headers],[Include or Exclude]], 0,4)</f>
        <v/>
      </c>
      <c r="AC152" s="186" t="str" cm="1">
        <f t="array" ref="AC152">Common_InputFunctions.Utility_DisplayArrayInTable(Fertiliser_SourceData.Fertiliser_Products_Data1(),FertiliserProducts[[#Headers],[Include or Exclude]], 0,4)</f>
        <v/>
      </c>
      <c r="AD152" s="186" t="str" cm="1">
        <f t="array" ref="AD152">Common_InputFunctions.Utility_DisplayArrayInTable(Fertiliser_SourceData.Fertiliser_Products_Data1(),FertiliserProducts[[#Headers],[Include or Exclude]], 0,4)</f>
        <v/>
      </c>
      <c r="AE152" s="186" t="str" cm="1">
        <f t="array" ref="AE152">Common_InputFunctions.Utility_DisplayArrayInTable(Fertiliser_SourceData.Fertiliser_Products_Data1(),FertiliserProducts[[#Headers],[Include or Exclude]], 0,4)</f>
        <v/>
      </c>
    </row>
    <row r="153" spans="4:31" ht="20.100000000000001" customHeight="1" x14ac:dyDescent="0.25">
      <c r="D153" s="186" t="str" cm="1">
        <f t="array" ref="D153">Common_InputFunctions.Utility_DisplayArrayInTable(Fertiliser_SourceData.Fertiliser_Products_Data1(),FertiliserProducts[[#Headers],[Include or Exclude]], -1)</f>
        <v/>
      </c>
      <c r="E153" s="186" t="str" cm="1">
        <f t="array" ref="E153">Common_InputFunctions.Utility_DisplayArrayInTable(Fertiliser_SourceData.Fertiliser_Products_Data1(),FertiliserProducts[[#Headers],[Include or Exclude]], 0)</f>
        <v/>
      </c>
      <c r="F153" s="186" t="str" cm="1">
        <f t="array" ref="F153">Common_InputFunctions.Utility_DisplayArrayInTable(Fertiliser_SourceData.Fertiliser_Products_Data1(),FertiliserProducts[[#Headers],[Include or Exclude]], 0)</f>
        <v/>
      </c>
      <c r="G153" s="186" t="str" cm="1">
        <f t="array" ref="G153">Common_InputFunctions.Utility_DisplayArrayInTable(Fertiliser_SourceData.Fertiliser_Products_Data1(),FertiliserProducts[[#Headers],[Include or Exclude]], 0)</f>
        <v/>
      </c>
      <c r="H153" s="186" t="str" cm="1">
        <f t="array" ref="H153">Common_InputFunctions.Utility_DisplayArrayInTable(Fertiliser_SourceData.Fertiliser_Products_Data1(),FertiliserProducts[[#Headers],[Include or Exclude]], 0,4)</f>
        <v/>
      </c>
      <c r="I153" s="186" t="str" cm="1">
        <f t="array" ref="I153">Common_InputFunctions.Utility_DisplayArrayInTable(Fertiliser_SourceData.Fertiliser_Products_Data1(),FertiliserProducts[[#Headers],[Include or Exclude]], 0,4)</f>
        <v/>
      </c>
      <c r="J153" s="186" t="str" cm="1">
        <f t="array" ref="J153">Common_InputFunctions.Utility_DisplayArrayInTable(Fertiliser_SourceData.Fertiliser_Products_Data1(),FertiliserProducts[[#Headers],[Include or Exclude]], 0,4)</f>
        <v/>
      </c>
      <c r="K153" s="186" t="str" cm="1">
        <f t="array" ref="K153">Common_InputFunctions.Utility_DisplayArrayInTable(Fertiliser_SourceData.Fertiliser_Products_Data1(),FertiliserProducts[[#Headers],[Include or Exclude]], 0,4)</f>
        <v/>
      </c>
      <c r="L153" s="186" t="str" cm="1">
        <f t="array" ref="L153">Common_InputFunctions.Utility_DisplayArrayInTable(Fertiliser_SourceData.Fertiliser_Products_Data1(),FertiliserProducts[[#Headers],[Include or Exclude]], 0,4)</f>
        <v/>
      </c>
      <c r="M153" s="186" t="str" cm="1">
        <f t="array" ref="M153">Common_InputFunctions.Utility_DisplayArrayInTable(Fertiliser_SourceData.Fertiliser_Products_Data1(),FertiliserProducts[[#Headers],[Include or Exclude]], 0,4)</f>
        <v/>
      </c>
      <c r="N153" s="186" t="str" cm="1">
        <f t="array" ref="N153">Common_InputFunctions.Utility_DisplayArrayInTable(Fertiliser_SourceData.Fertiliser_Products_Data1(),FertiliserProducts[[#Headers],[Include or Exclude]], 0,4)</f>
        <v/>
      </c>
      <c r="O153" s="186" t="str" cm="1">
        <f t="array" ref="O153">Common_InputFunctions.Utility_DisplayArrayInTable(Fertiliser_SourceData.Fertiliser_Products_Data1(),FertiliserProducts[[#Headers],[Include or Exclude]], 0,4)</f>
        <v/>
      </c>
      <c r="P153" s="186" t="str" cm="1">
        <f t="array" ref="P153">Common_InputFunctions.Utility_DisplayArrayInTable(Fertiliser_SourceData.Fertiliser_Products_Data1(),FertiliserProducts[[#Headers],[Include or Exclude]], 0,4)</f>
        <v/>
      </c>
      <c r="Q153" s="186" t="str" cm="1">
        <f t="array" ref="Q153">Common_InputFunctions.Utility_DisplayArrayInTable(Fertiliser_SourceData.Fertiliser_Products_Data1(),FertiliserProducts[[#Headers],[Include or Exclude]], 0,4)</f>
        <v/>
      </c>
      <c r="R153" s="186" t="str" cm="1">
        <f t="array" ref="R153">Common_InputFunctions.Utility_DisplayArrayInTable(Fertiliser_SourceData.Fertiliser_Products_Data1(),FertiliserProducts[[#Headers],[Include or Exclude]], 0,4)</f>
        <v/>
      </c>
      <c r="S153" s="186" t="str" cm="1">
        <f t="array" ref="S153">Common_InputFunctions.Utility_DisplayArrayInTable(Fertiliser_SourceData.Fertiliser_Products_Data1(),FertiliserProducts[[#Headers],[Include or Exclude]], 0,4)</f>
        <v/>
      </c>
      <c r="T153" s="186" t="str" cm="1">
        <f t="array" ref="T153">Common_InputFunctions.Utility_DisplayArrayInTable(Fertiliser_SourceData.Fertiliser_Products_Data1(),FertiliserProducts[[#Headers],[Include or Exclude]], 0,4)</f>
        <v/>
      </c>
      <c r="U153" s="186" t="str" cm="1">
        <f t="array" ref="U153">Common_InputFunctions.Utility_DisplayArrayInTable(Fertiliser_SourceData.Fertiliser_Products_Data1(),FertiliserProducts[[#Headers],[Include or Exclude]], 0,4)</f>
        <v/>
      </c>
      <c r="V153" s="186" t="str" cm="1">
        <f t="array" ref="V153">Common_InputFunctions.Utility_DisplayArrayInTable(Fertiliser_SourceData.Fertiliser_Products_Data1(),FertiliserProducts[[#Headers],[Include or Exclude]], 0,4)</f>
        <v/>
      </c>
      <c r="W153" s="186" t="str" cm="1">
        <f t="array" ref="W153">Common_InputFunctions.Utility_DisplayArrayInTable(Fertiliser_SourceData.Fertiliser_Products_Data1(),FertiliserProducts[[#Headers],[Include or Exclude]], 0,4)</f>
        <v/>
      </c>
      <c r="X153" s="186" t="str" cm="1">
        <f t="array" ref="X153">Common_InputFunctions.Utility_DisplayArrayInTable(Fertiliser_SourceData.Fertiliser_Products_Data1(),FertiliserProducts[[#Headers],[Include or Exclude]], 0,4)</f>
        <v/>
      </c>
      <c r="Y153" s="186" t="str" cm="1">
        <f t="array" ref="Y153">Common_InputFunctions.Utility_DisplayArrayInTable(Fertiliser_SourceData.Fertiliser_Products_Data1(),FertiliserProducts[[#Headers],[Include or Exclude]], 0,4)</f>
        <v/>
      </c>
      <c r="Z153" s="186" t="str" cm="1">
        <f t="array" ref="Z153">Common_InputFunctions.Utility_DisplayArrayInTable(Fertiliser_SourceData.Fertiliser_Products_Data1(),FertiliserProducts[[#Headers],[Include or Exclude]], 0,4)</f>
        <v/>
      </c>
      <c r="AA153" s="186" t="str" cm="1">
        <f t="array" ref="AA153">Common_InputFunctions.Utility_DisplayArrayInTable(Fertiliser_SourceData.Fertiliser_Products_Data1(),FertiliserProducts[[#Headers],[Include or Exclude]], 0,4)</f>
        <v/>
      </c>
      <c r="AB153" s="186" t="str" cm="1">
        <f t="array" ref="AB153">Common_InputFunctions.Utility_DisplayArrayInTable(Fertiliser_SourceData.Fertiliser_Products_Data1(),FertiliserProducts[[#Headers],[Include or Exclude]], 0,4)</f>
        <v/>
      </c>
      <c r="AC153" s="186" t="str" cm="1">
        <f t="array" ref="AC153">Common_InputFunctions.Utility_DisplayArrayInTable(Fertiliser_SourceData.Fertiliser_Products_Data1(),FertiliserProducts[[#Headers],[Include or Exclude]], 0,4)</f>
        <v/>
      </c>
      <c r="AD153" s="186" t="str" cm="1">
        <f t="array" ref="AD153">Common_InputFunctions.Utility_DisplayArrayInTable(Fertiliser_SourceData.Fertiliser_Products_Data1(),FertiliserProducts[[#Headers],[Include or Exclude]], 0,4)</f>
        <v/>
      </c>
      <c r="AE153" s="186" t="str" cm="1">
        <f t="array" ref="AE153">Common_InputFunctions.Utility_DisplayArrayInTable(Fertiliser_SourceData.Fertiliser_Products_Data1(),FertiliserProducts[[#Headers],[Include or Exclude]], 0,4)</f>
        <v/>
      </c>
    </row>
    <row r="154" spans="4:31" ht="20.100000000000001" customHeight="1" x14ac:dyDescent="0.25"/>
    <row r="155" spans="4:31" ht="20.100000000000001" customHeight="1" x14ac:dyDescent="0.25"/>
    <row r="156" spans="4:31" ht="20.100000000000001" customHeight="1" x14ac:dyDescent="0.25"/>
    <row r="157" spans="4:31" ht="20.100000000000001" customHeight="1" x14ac:dyDescent="0.25"/>
    <row r="158" spans="4:31" ht="20.100000000000001" customHeight="1" x14ac:dyDescent="0.25"/>
    <row r="159" spans="4:31" ht="20.100000000000001" customHeight="1" x14ac:dyDescent="0.25"/>
    <row r="160" spans="4:31"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tableParts count="11">
    <tablePart r:id="rId2"/>
    <tablePart r:id="rId3"/>
    <tablePart r:id="rId4"/>
    <tablePart r:id="rId5"/>
    <tablePart r:id="rId6"/>
    <tablePart r:id="rId7"/>
    <tablePart r:id="rId8"/>
    <tablePart r:id="rId9"/>
    <tablePart r:id="rId10"/>
    <tablePart r:id="rId11"/>
    <tablePart r:id="rId12"/>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8D3D2B-3356-4C38-A12B-FDD68EB3BAAC}">
  <dimension ref="A1:AI165"/>
  <sheetViews>
    <sheetView showGridLines="0" topLeftCell="A138" zoomScaleNormal="100" workbookViewId="0">
      <selection activeCell="A46" sqref="A46"/>
    </sheetView>
  </sheetViews>
  <sheetFormatPr defaultRowHeight="15.75" x14ac:dyDescent="0.25"/>
  <cols>
    <col min="1" max="1" width="30.7109375" customWidth="1"/>
    <col min="2" max="2" width="4.7109375" customWidth="1"/>
    <col min="3" max="3" width="4.7109375" style="1" customWidth="1"/>
    <col min="4" max="4" width="39.140625" style="1" customWidth="1"/>
    <col min="5" max="5" width="20.7109375" style="1" customWidth="1"/>
    <col min="6" max="6" width="21.5703125" style="1" customWidth="1"/>
    <col min="7" max="8" width="43.42578125" style="1" customWidth="1"/>
    <col min="9" max="9" width="43.5703125" style="1" customWidth="1"/>
    <col min="10" max="10" width="37.5703125" style="1" customWidth="1"/>
    <col min="11" max="11" width="33.5703125" style="1" customWidth="1"/>
    <col min="12" max="31" width="20.7109375" style="1" customWidth="1"/>
    <col min="32" max="32" width="4.7109375" style="1" customWidth="1"/>
  </cols>
  <sheetData>
    <row r="1" spans="1:35" s="31" customFormat="1" ht="30" customHeight="1" x14ac:dyDescent="0.35">
      <c r="A1" s="16" t="e" vm="1">
        <v>#VALUE!</v>
      </c>
      <c r="C1" s="31" t="s">
        <v>757</v>
      </c>
      <c r="AG1"/>
      <c r="AH1"/>
      <c r="AI1"/>
    </row>
    <row r="2" spans="1:35" s="3" customFormat="1" ht="20.100000000000001" customHeight="1" x14ac:dyDescent="0.25">
      <c r="A2"/>
      <c r="AG2"/>
      <c r="AH2"/>
      <c r="AI2"/>
    </row>
    <row r="3" spans="1:35" ht="20.100000000000001" customHeight="1" x14ac:dyDescent="0.25">
      <c r="A3" s="5" t="str">
        <f>HYPERLINK("#'Home'!A1", "Home")</f>
        <v>Home</v>
      </c>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row>
    <row r="4" spans="1:35" ht="20.100000000000001" customHeight="1" x14ac:dyDescent="0.25">
      <c r="A4" s="5" t="str">
        <f>HYPERLINK("#'Results'!A1", "Results")</f>
        <v>Results</v>
      </c>
    </row>
    <row r="5" spans="1:35" ht="20.100000000000001" customHeight="1" x14ac:dyDescent="0.25">
      <c r="D5" s="2" t="str" cm="1">
        <f t="array" ref="D5">Fuel_SourceData.Fuel_Scope1Scope3EmissionFactorsTransport_Title()</f>
        <v>Fuel scope 1 and 3 emission factors - Transport</v>
      </c>
      <c r="E5" s="177"/>
      <c r="F5" s="177"/>
      <c r="G5" s="177"/>
      <c r="H5" s="177"/>
      <c r="I5" s="177"/>
      <c r="J5" s="177"/>
      <c r="K5" s="177"/>
      <c r="L5" s="177"/>
    </row>
    <row r="6" spans="1:35" ht="20.100000000000001" customHeight="1" x14ac:dyDescent="0.25">
      <c r="D6" s="1" t="str" cm="1">
        <f t="array" ref="D6">Fuel_SourceData.Fuel_Scope1Scope3EmissionFactorsTransport_Description()</f>
        <v>Direct (scope 1) and indirect (scope 3) emission factors for the consumption of transport fuels in different transport equipment</v>
      </c>
      <c r="E6" s="177"/>
      <c r="F6" s="177"/>
      <c r="G6" s="177"/>
      <c r="H6" s="177"/>
      <c r="I6" s="177"/>
      <c r="J6" s="177"/>
      <c r="K6" s="177"/>
      <c r="L6" s="177"/>
    </row>
    <row r="7" spans="1:35" ht="20.100000000000001" customHeight="1" x14ac:dyDescent="0.25">
      <c r="A7" s="7" t="s">
        <v>0</v>
      </c>
      <c r="D7" s="27" t="str" cm="1">
        <f t="array" ref="D7">Fuel_SourceData.Fuel_Scope1Scope3EmissionFactorsTransport_Source()</f>
        <v>Australian National Greenhouse Accounts Factors 2025 - Table 9</v>
      </c>
      <c r="E7" s="177"/>
      <c r="F7" s="177"/>
      <c r="G7" s="177"/>
      <c r="H7" s="177"/>
      <c r="I7" s="177"/>
      <c r="J7" s="177"/>
      <c r="K7" s="177"/>
      <c r="L7" s="177"/>
    </row>
    <row r="8" spans="1:35" ht="20.100000000000001" customHeight="1" x14ac:dyDescent="0.25">
      <c r="A8" s="5" t="str">
        <f>HYPERLINK("#'Input - Enterprise'!A1", "Enterprise")</f>
        <v>Enterprise</v>
      </c>
      <c r="D8" s="36" t="str" cm="1">
        <f t="array" ref="D8">"⚠️" &amp; Fuel_SourceData.Fuel_Scope1Scope3EmissionFactorsTransport_Variation()</f>
        <v>⚠️VARIATION OF SOURCE DATA: 'NE' values returned as zero for calculations.</v>
      </c>
      <c r="E8" s="177"/>
      <c r="F8" s="177"/>
      <c r="G8" s="177"/>
      <c r="H8" s="177"/>
      <c r="I8" s="177"/>
      <c r="J8" s="177"/>
      <c r="K8" s="177"/>
      <c r="L8" s="177"/>
    </row>
    <row r="9" spans="1:35" ht="20.100000000000001" customHeight="1" x14ac:dyDescent="0.25">
      <c r="A9" s="5" t="str">
        <f>HYPERLINK("#'Input - Site'!A1", "Site")</f>
        <v>Site</v>
      </c>
      <c r="D9" s="226" t="s">
        <v>758</v>
      </c>
      <c r="E9" s="226" t="s">
        <v>759</v>
      </c>
      <c r="F9" s="226" t="s">
        <v>760</v>
      </c>
      <c r="G9" s="226" t="s">
        <v>761</v>
      </c>
      <c r="H9" s="226" t="s">
        <v>762</v>
      </c>
      <c r="I9" s="226" t="s">
        <v>763</v>
      </c>
      <c r="J9" s="226" t="s">
        <v>764</v>
      </c>
      <c r="K9" s="226" t="s">
        <v>765</v>
      </c>
      <c r="L9" s="226" t="s">
        <v>766</v>
      </c>
    </row>
    <row r="10" spans="1:35" ht="20.100000000000001" customHeight="1" x14ac:dyDescent="0.25">
      <c r="A10" s="5" t="str">
        <f>HYPERLINK("#'Input - Pasture Beef'!A1", "Pasture Beef")</f>
        <v>Pasture Beef</v>
      </c>
      <c r="D10" s="227" t="str" cm="1">
        <f t="array" ref="D10">Common_InputFunctions.Utility_DisplayArrayInTable(Fuel_SourceData.Fuel_Scope1Scope3EmissionFactorsTransport_Data(), Table_Fuel_EFs_Transport[[#Headers],[Transport type]], 0)</f>
        <v>Cars and light commercial vehicles</v>
      </c>
      <c r="E10" s="227" t="str" cm="1">
        <f t="array" ref="E10">Common_InputFunctions.Utility_DisplayArrayInTable(Fuel_SourceData.Fuel_Scope1Scope3EmissionFactorsTransport_Data(), Table_Fuel_EFs_Transport[[#Headers],[Transport type]], 0)</f>
        <v>Gasoline</v>
      </c>
      <c r="F10" s="227" cm="1">
        <f t="array" ref="F10">Common_InputFunctions.Utility_DisplayArrayInTable(Fuel_SourceData.Fuel_Scope1Scope3EmissionFactorsTransport_Data(), Table_Fuel_EFs_Transport[[#Headers],[Transport type]], 0)</f>
        <v>34.200000000000003</v>
      </c>
      <c r="G10" s="227" t="str" cm="1">
        <f t="array" ref="G10">Common_InputFunctions.Utility_DisplayArrayInTable(Fuel_SourceData.Fuel_Scope1Scope3EmissionFactorsTransport_Data(), Table_Fuel_EFs_Transport[[#Headers],[Transport type]], 0)</f>
        <v>kl</v>
      </c>
      <c r="H10" s="227" cm="1">
        <f t="array" ref="H10">Common_InputFunctions.Utility_DisplayArrayInTable(Fuel_SourceData.Fuel_Scope1Scope3EmissionFactorsTransport_Data(), Table_Fuel_EFs_Transport[[#Headers],[Transport type]], 0)</f>
        <v>67.400000000000006</v>
      </c>
      <c r="I10" s="227" cm="1">
        <f t="array" ref="I10">Common_InputFunctions.Utility_DisplayArrayInTable(Fuel_SourceData.Fuel_Scope1Scope3EmissionFactorsTransport_Data(), Table_Fuel_EFs_Transport[[#Headers],[Transport type]], 0)</f>
        <v>0.02</v>
      </c>
      <c r="J10" s="227" cm="1">
        <f t="array" ref="J10">Common_InputFunctions.Utility_DisplayArrayInTable(Fuel_SourceData.Fuel_Scope1Scope3EmissionFactorsTransport_Data(), Table_Fuel_EFs_Transport[[#Headers],[Transport type]], 0)</f>
        <v>0.2</v>
      </c>
      <c r="K10" s="227" cm="1">
        <f t="array" ref="K10">Common_InputFunctions.Utility_DisplayArrayInTable(Fuel_SourceData.Fuel_Scope1Scope3EmissionFactorsTransport_Data(), Table_Fuel_EFs_Transport[[#Headers],[Transport type]], 0)</f>
        <v>67.62</v>
      </c>
      <c r="L10" s="227" cm="1">
        <f t="array" ref="L10">Common_InputFunctions.Utility_DisplayArrayInTable(Fuel_SourceData.Fuel_Scope1Scope3EmissionFactorsTransport_Data(), Table_Fuel_EFs_Transport[[#Headers],[Transport type]], 0)</f>
        <v>17.2</v>
      </c>
    </row>
    <row r="11" spans="1:35" ht="20.100000000000001" customHeight="1" x14ac:dyDescent="0.25">
      <c r="A11" s="5" t="str">
        <f>HYPERLINK("#'Input - Pasture Beef (Enteric)'!A1", "Pasture Beef (Enteric)")</f>
        <v>Pasture Beef (Enteric)</v>
      </c>
      <c r="D11" s="227" t="str" cm="1">
        <f t="array" ref="D11">Common_InputFunctions.Utility_DisplayArrayInTable(Fuel_SourceData.Fuel_Scope1Scope3EmissionFactorsTransport_Data(), Table_Fuel_EFs_Transport[[#Headers],[Transport type]], 0)</f>
        <v>Cars and light commercial vehicles</v>
      </c>
      <c r="E11" s="227" t="str" cm="1">
        <f t="array" ref="E11">Common_InputFunctions.Utility_DisplayArrayInTable(Fuel_SourceData.Fuel_Scope1Scope3EmissionFactorsTransport_Data(), Table_Fuel_EFs_Transport[[#Headers],[Transport type]], 0)</f>
        <v>Diesel oil</v>
      </c>
      <c r="F11" s="227" cm="1">
        <f t="array" ref="F11">Common_InputFunctions.Utility_DisplayArrayInTable(Fuel_SourceData.Fuel_Scope1Scope3EmissionFactorsTransport_Data(), Table_Fuel_EFs_Transport[[#Headers],[Transport type]], 0)</f>
        <v>38.6</v>
      </c>
      <c r="G11" s="227" t="str" cm="1">
        <f t="array" ref="G11">Common_InputFunctions.Utility_DisplayArrayInTable(Fuel_SourceData.Fuel_Scope1Scope3EmissionFactorsTransport_Data(), Table_Fuel_EFs_Transport[[#Headers],[Transport type]], 0)</f>
        <v>kl</v>
      </c>
      <c r="H11" s="227" cm="1">
        <f t="array" ref="H11">Common_InputFunctions.Utility_DisplayArrayInTable(Fuel_SourceData.Fuel_Scope1Scope3EmissionFactorsTransport_Data(), Table_Fuel_EFs_Transport[[#Headers],[Transport type]], 0)</f>
        <v>69.900000000000006</v>
      </c>
      <c r="I11" s="227" cm="1">
        <f t="array" ref="I11">Common_InputFunctions.Utility_DisplayArrayInTable(Fuel_SourceData.Fuel_Scope1Scope3EmissionFactorsTransport_Data(), Table_Fuel_EFs_Transport[[#Headers],[Transport type]], 0)</f>
        <v>0.01</v>
      </c>
      <c r="J11" s="227" cm="1">
        <f t="array" ref="J11">Common_InputFunctions.Utility_DisplayArrayInTable(Fuel_SourceData.Fuel_Scope1Scope3EmissionFactorsTransport_Data(), Table_Fuel_EFs_Transport[[#Headers],[Transport type]], 0)</f>
        <v>0.5</v>
      </c>
      <c r="K11" s="227" cm="1">
        <f t="array" ref="K11">Common_InputFunctions.Utility_DisplayArrayInTable(Fuel_SourceData.Fuel_Scope1Scope3EmissionFactorsTransport_Data(), Table_Fuel_EFs_Transport[[#Headers],[Transport type]], 0)</f>
        <v>70.41</v>
      </c>
      <c r="L11" s="227" cm="1">
        <f t="array" ref="L11">Common_InputFunctions.Utility_DisplayArrayInTable(Fuel_SourceData.Fuel_Scope1Scope3EmissionFactorsTransport_Data(), Table_Fuel_EFs_Transport[[#Headers],[Transport type]], 0)</f>
        <v>17.3</v>
      </c>
    </row>
    <row r="12" spans="1:35" ht="20.100000000000001" customHeight="1" x14ac:dyDescent="0.25">
      <c r="A12" s="5" t="str">
        <f>HYPERLINK("#'Input - Pasture'!A1", "Pasture")</f>
        <v>Pasture</v>
      </c>
      <c r="D12" s="227" t="str" cm="1">
        <f t="array" ref="D12">Common_InputFunctions.Utility_DisplayArrayInTable(Fuel_SourceData.Fuel_Scope1Scope3EmissionFactorsTransport_Data(), Table_Fuel_EFs_Transport[[#Headers],[Transport type]], 0)</f>
        <v>Cars and light commercial vehicles</v>
      </c>
      <c r="E12" s="227" t="str" cm="1">
        <f t="array" ref="E12">Common_InputFunctions.Utility_DisplayArrayInTable(Fuel_SourceData.Fuel_Scope1Scope3EmissionFactorsTransport_Data(), Table_Fuel_EFs_Transport[[#Headers],[Transport type]], 0)</f>
        <v>Liquefied petroleum gas (LPG)</v>
      </c>
      <c r="F12" s="227" cm="1">
        <f t="array" ref="F12">Common_InputFunctions.Utility_DisplayArrayInTable(Fuel_SourceData.Fuel_Scope1Scope3EmissionFactorsTransport_Data(), Table_Fuel_EFs_Transport[[#Headers],[Transport type]], 0)</f>
        <v>26.2</v>
      </c>
      <c r="G12" s="227" t="str" cm="1">
        <f t="array" ref="G12">Common_InputFunctions.Utility_DisplayArrayInTable(Fuel_SourceData.Fuel_Scope1Scope3EmissionFactorsTransport_Data(), Table_Fuel_EFs_Transport[[#Headers],[Transport type]], 0)</f>
        <v>kl</v>
      </c>
      <c r="H12" s="227" cm="1">
        <f t="array" ref="H12">Common_InputFunctions.Utility_DisplayArrayInTable(Fuel_SourceData.Fuel_Scope1Scope3EmissionFactorsTransport_Data(), Table_Fuel_EFs_Transport[[#Headers],[Transport type]], 0)</f>
        <v>60.2</v>
      </c>
      <c r="I12" s="227" cm="1">
        <f t="array" ref="I12">Common_InputFunctions.Utility_DisplayArrayInTable(Fuel_SourceData.Fuel_Scope1Scope3EmissionFactorsTransport_Data(), Table_Fuel_EFs_Transport[[#Headers],[Transport type]], 0)</f>
        <v>0.5</v>
      </c>
      <c r="J12" s="227" cm="1">
        <f t="array" ref="J12">Common_InputFunctions.Utility_DisplayArrayInTable(Fuel_SourceData.Fuel_Scope1Scope3EmissionFactorsTransport_Data(), Table_Fuel_EFs_Transport[[#Headers],[Transport type]], 0)</f>
        <v>0.3</v>
      </c>
      <c r="K12" s="227" cm="1">
        <f t="array" ref="K12">Common_InputFunctions.Utility_DisplayArrayInTable(Fuel_SourceData.Fuel_Scope1Scope3EmissionFactorsTransport_Data(), Table_Fuel_EFs_Transport[[#Headers],[Transport type]], 0)</f>
        <v>61</v>
      </c>
      <c r="L12" s="227" cm="1">
        <f t="array" ref="L12">Common_InputFunctions.Utility_DisplayArrayInTable(Fuel_SourceData.Fuel_Scope1Scope3EmissionFactorsTransport_Data(), Table_Fuel_EFs_Transport[[#Headers],[Transport type]], 0)</f>
        <v>20.2</v>
      </c>
    </row>
    <row r="13" spans="1:35" ht="20.100000000000001" customHeight="1" x14ac:dyDescent="0.25">
      <c r="A13" s="5" t="str">
        <f>HYPERLINK("#'Input - Fertiliser'!A1", "Fertiliser")</f>
        <v>Fertiliser</v>
      </c>
      <c r="D13" s="227" t="str" cm="1">
        <f t="array" ref="D13">Common_InputFunctions.Utility_DisplayArrayInTable(Fuel_SourceData.Fuel_Scope1Scope3EmissionFactorsTransport_Data(), Table_Fuel_EFs_Transport[[#Headers],[Transport type]], 0)</f>
        <v>Cars and light commercial vehicles</v>
      </c>
      <c r="E13" s="227" t="str" cm="1">
        <f t="array" ref="E13">Common_InputFunctions.Utility_DisplayArrayInTable(Fuel_SourceData.Fuel_Scope1Scope3EmissionFactorsTransport_Data(), Table_Fuel_EFs_Transport[[#Headers],[Transport type]], 0)</f>
        <v>Fuel oil</v>
      </c>
      <c r="F13" s="227" cm="1">
        <f t="array" ref="F13">Common_InputFunctions.Utility_DisplayArrayInTable(Fuel_SourceData.Fuel_Scope1Scope3EmissionFactorsTransport_Data(), Table_Fuel_EFs_Transport[[#Headers],[Transport type]], 0)</f>
        <v>39.700000000000003</v>
      </c>
      <c r="G13" s="227" t="str" cm="1">
        <f t="array" ref="G13">Common_InputFunctions.Utility_DisplayArrayInTable(Fuel_SourceData.Fuel_Scope1Scope3EmissionFactorsTransport_Data(), Table_Fuel_EFs_Transport[[#Headers],[Transport type]], 0)</f>
        <v>kl</v>
      </c>
      <c r="H13" s="227" cm="1">
        <f t="array" ref="H13">Common_InputFunctions.Utility_DisplayArrayInTable(Fuel_SourceData.Fuel_Scope1Scope3EmissionFactorsTransport_Data(), Table_Fuel_EFs_Transport[[#Headers],[Transport type]], 0)</f>
        <v>73.599999999999994</v>
      </c>
      <c r="I13" s="227" cm="1">
        <f t="array" ref="I13">Common_InputFunctions.Utility_DisplayArrayInTable(Fuel_SourceData.Fuel_Scope1Scope3EmissionFactorsTransport_Data(), Table_Fuel_EFs_Transport[[#Headers],[Transport type]], 0)</f>
        <v>0.08</v>
      </c>
      <c r="J13" s="227" cm="1">
        <f t="array" ref="J13">Common_InputFunctions.Utility_DisplayArrayInTable(Fuel_SourceData.Fuel_Scope1Scope3EmissionFactorsTransport_Data(), Table_Fuel_EFs_Transport[[#Headers],[Transport type]], 0)</f>
        <v>0.5</v>
      </c>
      <c r="K13" s="227" cm="1">
        <f t="array" ref="K13">Common_InputFunctions.Utility_DisplayArrayInTable(Fuel_SourceData.Fuel_Scope1Scope3EmissionFactorsTransport_Data(), Table_Fuel_EFs_Transport[[#Headers],[Transport type]], 0)</f>
        <v>74.180000000000007</v>
      </c>
      <c r="L13" s="227" cm="1">
        <f t="array" ref="L13">Common_InputFunctions.Utility_DisplayArrayInTable(Fuel_SourceData.Fuel_Scope1Scope3EmissionFactorsTransport_Data(), Table_Fuel_EFs_Transport[[#Headers],[Transport type]], 0)</f>
        <v>18</v>
      </c>
    </row>
    <row r="14" spans="1:35" ht="20.100000000000001" customHeight="1" x14ac:dyDescent="0.25">
      <c r="A14" s="5" t="str">
        <f>HYPERLINK("#'Input - Fuel'!A1", "Fuel")</f>
        <v>Fuel</v>
      </c>
      <c r="D14" s="227" t="str" cm="1">
        <f t="array" ref="D14">Common_InputFunctions.Utility_DisplayArrayInTable(Fuel_SourceData.Fuel_Scope1Scope3EmissionFactorsTransport_Data(), Table_Fuel_EFs_Transport[[#Headers],[Transport type]], 0)</f>
        <v>Cars and light commercial vehicles</v>
      </c>
      <c r="E14" s="227" t="str" cm="1">
        <f t="array" ref="E14">Common_InputFunctions.Utility_DisplayArrayInTable(Fuel_SourceData.Fuel_Scope1Scope3EmissionFactorsTransport_Data(), Table_Fuel_EFs_Transport[[#Headers],[Transport type]], 0)</f>
        <v>Ethanol</v>
      </c>
      <c r="F14" s="227" cm="1">
        <f t="array" ref="F14">Common_InputFunctions.Utility_DisplayArrayInTable(Fuel_SourceData.Fuel_Scope1Scope3EmissionFactorsTransport_Data(), Table_Fuel_EFs_Transport[[#Headers],[Transport type]], 0)</f>
        <v>23.4</v>
      </c>
      <c r="G14" s="227" t="str" cm="1">
        <f t="array" ref="G14">Common_InputFunctions.Utility_DisplayArrayInTable(Fuel_SourceData.Fuel_Scope1Scope3EmissionFactorsTransport_Data(), Table_Fuel_EFs_Transport[[#Headers],[Transport type]], 0)</f>
        <v>kl</v>
      </c>
      <c r="H14" s="227" cm="1">
        <f t="array" ref="H14">Common_InputFunctions.Utility_DisplayArrayInTable(Fuel_SourceData.Fuel_Scope1Scope3EmissionFactorsTransport_Data(), Table_Fuel_EFs_Transport[[#Headers],[Transport type]], 0)</f>
        <v>0</v>
      </c>
      <c r="I14" s="227" cm="1">
        <f t="array" ref="I14">Common_InputFunctions.Utility_DisplayArrayInTable(Fuel_SourceData.Fuel_Scope1Scope3EmissionFactorsTransport_Data(), Table_Fuel_EFs_Transport[[#Headers],[Transport type]], 0)</f>
        <v>0.2</v>
      </c>
      <c r="J14" s="227" cm="1">
        <f t="array" ref="J14">Common_InputFunctions.Utility_DisplayArrayInTable(Fuel_SourceData.Fuel_Scope1Scope3EmissionFactorsTransport_Data(), Table_Fuel_EFs_Transport[[#Headers],[Transport type]], 0)</f>
        <v>0.2</v>
      </c>
      <c r="K14" s="227" cm="1">
        <f t="array" ref="K14">Common_InputFunctions.Utility_DisplayArrayInTable(Fuel_SourceData.Fuel_Scope1Scope3EmissionFactorsTransport_Data(), Table_Fuel_EFs_Transport[[#Headers],[Transport type]], 0)</f>
        <v>0.4</v>
      </c>
      <c r="L14" s="227" t="str" cm="1">
        <f t="array" ref="L14">Common_InputFunctions.Utility_DisplayArrayInTable(Fuel_SourceData.Fuel_Scope1Scope3EmissionFactorsTransport_Data(), Table_Fuel_EFs_Transport[[#Headers],[Transport type]], 0)</f>
        <v>NE</v>
      </c>
    </row>
    <row r="15" spans="1:35" ht="20.100000000000001" customHeight="1" x14ac:dyDescent="0.25">
      <c r="A15" s="5" t="str">
        <f>HYPERLINK("#'Input - Electricity'!A1", "Electricity")</f>
        <v>Electricity</v>
      </c>
      <c r="D15" s="227" t="str" cm="1">
        <f t="array" ref="D15">Common_InputFunctions.Utility_DisplayArrayInTable(Fuel_SourceData.Fuel_Scope1Scope3EmissionFactorsTransport_Data(), Table_Fuel_EFs_Transport[[#Headers],[Transport type]], 0)</f>
        <v>Cars and light commercial vehicles</v>
      </c>
      <c r="E15" s="227" t="str" cm="1">
        <f t="array" ref="E15">Common_InputFunctions.Utility_DisplayArrayInTable(Fuel_SourceData.Fuel_Scope1Scope3EmissionFactorsTransport_Data(), Table_Fuel_EFs_Transport[[#Headers],[Transport type]], 0)</f>
        <v>Biodiesel</v>
      </c>
      <c r="F15" s="227" cm="1">
        <f t="array" ref="F15">Common_InputFunctions.Utility_DisplayArrayInTable(Fuel_SourceData.Fuel_Scope1Scope3EmissionFactorsTransport_Data(), Table_Fuel_EFs_Transport[[#Headers],[Transport type]], 0)</f>
        <v>34.6</v>
      </c>
      <c r="G15" s="227" t="str" cm="1">
        <f t="array" ref="G15">Common_InputFunctions.Utility_DisplayArrayInTable(Fuel_SourceData.Fuel_Scope1Scope3EmissionFactorsTransport_Data(), Table_Fuel_EFs_Transport[[#Headers],[Transport type]], 0)</f>
        <v>kl</v>
      </c>
      <c r="H15" s="227" cm="1">
        <f t="array" ref="H15">Common_InputFunctions.Utility_DisplayArrayInTable(Fuel_SourceData.Fuel_Scope1Scope3EmissionFactorsTransport_Data(), Table_Fuel_EFs_Transport[[#Headers],[Transport type]], 0)</f>
        <v>0</v>
      </c>
      <c r="I15" s="227" cm="1">
        <f t="array" ref="I15">Common_InputFunctions.Utility_DisplayArrayInTable(Fuel_SourceData.Fuel_Scope1Scope3EmissionFactorsTransport_Data(), Table_Fuel_EFs_Transport[[#Headers],[Transport type]], 0)</f>
        <v>0.8</v>
      </c>
      <c r="J15" s="227" cm="1">
        <f t="array" ref="J15">Common_InputFunctions.Utility_DisplayArrayInTable(Fuel_SourceData.Fuel_Scope1Scope3EmissionFactorsTransport_Data(), Table_Fuel_EFs_Transport[[#Headers],[Transport type]], 0)</f>
        <v>1.7</v>
      </c>
      <c r="K15" s="227" cm="1">
        <f t="array" ref="K15">Common_InputFunctions.Utility_DisplayArrayInTable(Fuel_SourceData.Fuel_Scope1Scope3EmissionFactorsTransport_Data(), Table_Fuel_EFs_Transport[[#Headers],[Transport type]], 0)</f>
        <v>2.5</v>
      </c>
      <c r="L15" s="227" t="str" cm="1">
        <f t="array" ref="L15">Common_InputFunctions.Utility_DisplayArrayInTable(Fuel_SourceData.Fuel_Scope1Scope3EmissionFactorsTransport_Data(), Table_Fuel_EFs_Transport[[#Headers],[Transport type]], 0)</f>
        <v>NE</v>
      </c>
    </row>
    <row r="16" spans="1:35" ht="20.100000000000001" customHeight="1" x14ac:dyDescent="0.25">
      <c r="D16" s="227" t="str" cm="1">
        <f t="array" ref="D16">Common_InputFunctions.Utility_DisplayArrayInTable(Fuel_SourceData.Fuel_Scope1Scope3EmissionFactorsTransport_Data(), Table_Fuel_EFs_Transport[[#Headers],[Transport type]], 0)</f>
        <v>Cars and light commercial vehicles</v>
      </c>
      <c r="E16" s="227" t="str" cm="1">
        <f t="array" ref="E16">Common_InputFunctions.Utility_DisplayArrayInTable(Fuel_SourceData.Fuel_Scope1Scope3EmissionFactorsTransport_Data(), Table_Fuel_EFs_Transport[[#Headers],[Transport type]], 0)</f>
        <v>Renewable diesel</v>
      </c>
      <c r="F16" s="227" cm="1">
        <f t="array" ref="F16">Common_InputFunctions.Utility_DisplayArrayInTable(Fuel_SourceData.Fuel_Scope1Scope3EmissionFactorsTransport_Data(), Table_Fuel_EFs_Transport[[#Headers],[Transport type]], 0)</f>
        <v>38.6</v>
      </c>
      <c r="G16" s="227" t="str" cm="1">
        <f t="array" ref="G16">Common_InputFunctions.Utility_DisplayArrayInTable(Fuel_SourceData.Fuel_Scope1Scope3EmissionFactorsTransport_Data(), Table_Fuel_EFs_Transport[[#Headers],[Transport type]], 0)</f>
        <v>kl</v>
      </c>
      <c r="H16" s="227" cm="1">
        <f t="array" ref="H16">Common_InputFunctions.Utility_DisplayArrayInTable(Fuel_SourceData.Fuel_Scope1Scope3EmissionFactorsTransport_Data(), Table_Fuel_EFs_Transport[[#Headers],[Transport type]], 0)</f>
        <v>0</v>
      </c>
      <c r="I16" s="227" cm="1">
        <f t="array" ref="I16">Common_InputFunctions.Utility_DisplayArrayInTable(Fuel_SourceData.Fuel_Scope1Scope3EmissionFactorsTransport_Data(), Table_Fuel_EFs_Transport[[#Headers],[Transport type]], 0)</f>
        <v>0.01</v>
      </c>
      <c r="J16" s="227" cm="1">
        <f t="array" ref="J16">Common_InputFunctions.Utility_DisplayArrayInTable(Fuel_SourceData.Fuel_Scope1Scope3EmissionFactorsTransport_Data(), Table_Fuel_EFs_Transport[[#Headers],[Transport type]], 0)</f>
        <v>0.5</v>
      </c>
      <c r="K16" s="227" cm="1">
        <f t="array" ref="K16">Common_InputFunctions.Utility_DisplayArrayInTable(Fuel_SourceData.Fuel_Scope1Scope3EmissionFactorsTransport_Data(), Table_Fuel_EFs_Transport[[#Headers],[Transport type]], 0)</f>
        <v>0.51</v>
      </c>
      <c r="L16" s="227" t="str" cm="1">
        <f t="array" ref="L16">Common_InputFunctions.Utility_DisplayArrayInTable(Fuel_SourceData.Fuel_Scope1Scope3EmissionFactorsTransport_Data(), Table_Fuel_EFs_Transport[[#Headers],[Transport type]], 0)</f>
        <v>NE</v>
      </c>
    </row>
    <row r="17" spans="1:12" ht="20.100000000000001" customHeight="1" x14ac:dyDescent="0.25">
      <c r="D17" s="227" t="str" cm="1">
        <f t="array" ref="D17">Common_InputFunctions.Utility_DisplayArrayInTable(Fuel_SourceData.Fuel_Scope1Scope3EmissionFactorsTransport_Data(), Table_Fuel_EFs_Transport[[#Headers],[Transport type]], 0)</f>
        <v>Cars and light commercial vehicles</v>
      </c>
      <c r="E17" s="227" t="str" cm="1">
        <f t="array" ref="E17">Common_InputFunctions.Utility_DisplayArrayInTable(Fuel_SourceData.Fuel_Scope1Scope3EmissionFactorsTransport_Data(), Table_Fuel_EFs_Transport[[#Headers],[Transport type]], 0)</f>
        <v>Other biofuels</v>
      </c>
      <c r="F17" s="227" cm="1">
        <f t="array" ref="F17">Common_InputFunctions.Utility_DisplayArrayInTable(Fuel_SourceData.Fuel_Scope1Scope3EmissionFactorsTransport_Data(), Table_Fuel_EFs_Transport[[#Headers],[Transport type]], 0)</f>
        <v>23.4</v>
      </c>
      <c r="G17" s="227" t="str" cm="1">
        <f t="array" ref="G17">Common_InputFunctions.Utility_DisplayArrayInTable(Fuel_SourceData.Fuel_Scope1Scope3EmissionFactorsTransport_Data(), Table_Fuel_EFs_Transport[[#Headers],[Transport type]], 0)</f>
        <v>kl</v>
      </c>
      <c r="H17" s="227" cm="1">
        <f t="array" ref="H17">Common_InputFunctions.Utility_DisplayArrayInTable(Fuel_SourceData.Fuel_Scope1Scope3EmissionFactorsTransport_Data(), Table_Fuel_EFs_Transport[[#Headers],[Transport type]], 0)</f>
        <v>0</v>
      </c>
      <c r="I17" s="227" cm="1">
        <f t="array" ref="I17">Common_InputFunctions.Utility_DisplayArrayInTable(Fuel_SourceData.Fuel_Scope1Scope3EmissionFactorsTransport_Data(), Table_Fuel_EFs_Transport[[#Headers],[Transport type]], 0)</f>
        <v>0.8</v>
      </c>
      <c r="J17" s="227" cm="1">
        <f t="array" ref="J17">Common_InputFunctions.Utility_DisplayArrayInTable(Fuel_SourceData.Fuel_Scope1Scope3EmissionFactorsTransport_Data(), Table_Fuel_EFs_Transport[[#Headers],[Transport type]], 0)</f>
        <v>1.7</v>
      </c>
      <c r="K17" s="227" cm="1">
        <f t="array" ref="K17">Common_InputFunctions.Utility_DisplayArrayInTable(Fuel_SourceData.Fuel_Scope1Scope3EmissionFactorsTransport_Data(), Table_Fuel_EFs_Transport[[#Headers],[Transport type]], 0)</f>
        <v>2.5</v>
      </c>
      <c r="L17" s="227" t="str" cm="1">
        <f t="array" ref="L17">Common_InputFunctions.Utility_DisplayArrayInTable(Fuel_SourceData.Fuel_Scope1Scope3EmissionFactorsTransport_Data(), Table_Fuel_EFs_Transport[[#Headers],[Transport type]], 0)</f>
        <v>NE</v>
      </c>
    </row>
    <row r="18" spans="1:12" ht="20.100000000000001" customHeight="1" x14ac:dyDescent="0.25">
      <c r="A18" s="6" t="s">
        <v>2</v>
      </c>
      <c r="D18" s="227" t="str" cm="1">
        <f t="array" ref="D18">Common_InputFunctions.Utility_DisplayArrayInTable(Fuel_SourceData.Fuel_Scope1Scope3EmissionFactorsTransport_Data(), Table_Fuel_EFs_Transport[[#Headers],[Transport type]], 0)</f>
        <v>Light duty vehicles</v>
      </c>
      <c r="E18" s="227" t="str" cm="1">
        <f t="array" ref="E18">Common_InputFunctions.Utility_DisplayArrayInTable(Fuel_SourceData.Fuel_Scope1Scope3EmissionFactorsTransport_Data(), Table_Fuel_EFs_Transport[[#Headers],[Transport type]], 0)</f>
        <v>Compressed natural gas</v>
      </c>
      <c r="F18" s="227" cm="1">
        <f t="array" ref="F18">Common_InputFunctions.Utility_DisplayArrayInTable(Fuel_SourceData.Fuel_Scope1Scope3EmissionFactorsTransport_Data(), Table_Fuel_EFs_Transport[[#Headers],[Transport type]], 0)</f>
        <v>3.9300000000000002E-2</v>
      </c>
      <c r="G18" s="227" t="str" cm="1">
        <f t="array" ref="G18">Common_InputFunctions.Utility_DisplayArrayInTable(Fuel_SourceData.Fuel_Scope1Scope3EmissionFactorsTransport_Data(), Table_Fuel_EFs_Transport[[#Headers],[Transport type]], 0)</f>
        <v>m3</v>
      </c>
      <c r="H18" s="227" cm="1">
        <f t="array" ref="H18">Common_InputFunctions.Utility_DisplayArrayInTable(Fuel_SourceData.Fuel_Scope1Scope3EmissionFactorsTransport_Data(), Table_Fuel_EFs_Transport[[#Headers],[Transport type]], 0)</f>
        <v>51.4</v>
      </c>
      <c r="I18" s="227" cm="1">
        <f t="array" ref="I18">Common_InputFunctions.Utility_DisplayArrayInTable(Fuel_SourceData.Fuel_Scope1Scope3EmissionFactorsTransport_Data(), Table_Fuel_EFs_Transport[[#Headers],[Transport type]], 0)</f>
        <v>7.3</v>
      </c>
      <c r="J18" s="227" cm="1">
        <f t="array" ref="J18">Common_InputFunctions.Utility_DisplayArrayInTable(Fuel_SourceData.Fuel_Scope1Scope3EmissionFactorsTransport_Data(), Table_Fuel_EFs_Transport[[#Headers],[Transport type]], 0)</f>
        <v>0.3</v>
      </c>
      <c r="K18" s="227" cm="1">
        <f t="array" ref="K18">Common_InputFunctions.Utility_DisplayArrayInTable(Fuel_SourceData.Fuel_Scope1Scope3EmissionFactorsTransport_Data(), Table_Fuel_EFs_Transport[[#Headers],[Transport type]], 0)</f>
        <v>59</v>
      </c>
      <c r="L18" s="227" cm="1">
        <f t="array" ref="L18">Common_InputFunctions.Utility_DisplayArrayInTable(Fuel_SourceData.Fuel_Scope1Scope3EmissionFactorsTransport_Data(), Table_Fuel_EFs_Transport[[#Headers],[Transport type]], 0)</f>
        <v>18</v>
      </c>
    </row>
    <row r="19" spans="1:12" ht="20.100000000000001" customHeight="1" x14ac:dyDescent="0.25">
      <c r="A19" s="5" t="str">
        <f>HYPERLINK("#'3.2.1.1-2 Enteric Methane'!A1", "3.2.1.1-2 Enteric methane")</f>
        <v>3.2.1.1-2 Enteric methane</v>
      </c>
      <c r="D19" s="227" t="str" cm="1">
        <f t="array" ref="D19">Common_InputFunctions.Utility_DisplayArrayInTable(Fuel_SourceData.Fuel_Scope1Scope3EmissionFactorsTransport_Data(), Table_Fuel_EFs_Transport[[#Headers],[Transport type]], 0)</f>
        <v>Light duty vehicles</v>
      </c>
      <c r="E19" s="227" t="str" cm="1">
        <f t="array" ref="E19">Common_InputFunctions.Utility_DisplayArrayInTable(Fuel_SourceData.Fuel_Scope1Scope3EmissionFactorsTransport_Data(), Table_Fuel_EFs_Transport[[#Headers],[Transport type]], 0)</f>
        <v>Liquefied natural gas</v>
      </c>
      <c r="F19" s="227" cm="1">
        <f t="array" ref="F19">Common_InputFunctions.Utility_DisplayArrayInTable(Fuel_SourceData.Fuel_Scope1Scope3EmissionFactorsTransport_Data(), Table_Fuel_EFs_Transport[[#Headers],[Transport type]], 0)</f>
        <v>25.3</v>
      </c>
      <c r="G19" s="227" t="str" cm="1">
        <f t="array" ref="G19">Common_InputFunctions.Utility_DisplayArrayInTable(Fuel_SourceData.Fuel_Scope1Scope3EmissionFactorsTransport_Data(), Table_Fuel_EFs_Transport[[#Headers],[Transport type]], 0)</f>
        <v>kl</v>
      </c>
      <c r="H19" s="227" cm="1">
        <f t="array" ref="H19">Common_InputFunctions.Utility_DisplayArrayInTable(Fuel_SourceData.Fuel_Scope1Scope3EmissionFactorsTransport_Data(), Table_Fuel_EFs_Transport[[#Headers],[Transport type]], 0)</f>
        <v>51.4</v>
      </c>
      <c r="I19" s="227" cm="1">
        <f t="array" ref="I19">Common_InputFunctions.Utility_DisplayArrayInTable(Fuel_SourceData.Fuel_Scope1Scope3EmissionFactorsTransport_Data(), Table_Fuel_EFs_Transport[[#Headers],[Transport type]], 0)</f>
        <v>7.3</v>
      </c>
      <c r="J19" s="227" cm="1">
        <f t="array" ref="J19">Common_InputFunctions.Utility_DisplayArrayInTable(Fuel_SourceData.Fuel_Scope1Scope3EmissionFactorsTransport_Data(), Table_Fuel_EFs_Transport[[#Headers],[Transport type]], 0)</f>
        <v>0.3</v>
      </c>
      <c r="K19" s="227" cm="1">
        <f t="array" ref="K19">Common_InputFunctions.Utility_DisplayArrayInTable(Fuel_SourceData.Fuel_Scope1Scope3EmissionFactorsTransport_Data(), Table_Fuel_EFs_Transport[[#Headers],[Transport type]], 0)</f>
        <v>59</v>
      </c>
      <c r="L19" s="227" cm="1">
        <f t="array" ref="L19">Common_InputFunctions.Utility_DisplayArrayInTable(Fuel_SourceData.Fuel_Scope1Scope3EmissionFactorsTransport_Data(), Table_Fuel_EFs_Transport[[#Headers],[Transport type]], 0)</f>
        <v>18</v>
      </c>
    </row>
    <row r="20" spans="1:12" ht="20.100000000000001" customHeight="1" x14ac:dyDescent="0.25">
      <c r="A20" s="5" t="str">
        <f>HYPERLINK("#'4.2.1.1-2 Methane'!A1", "4.2.1.1-2 Manure methane")</f>
        <v>4.2.1.1-2 Manure methane</v>
      </c>
      <c r="D20" s="227" t="str" cm="1">
        <f t="array" ref="D20">Common_InputFunctions.Utility_DisplayArrayInTable(Fuel_SourceData.Fuel_Scope1Scope3EmissionFactorsTransport_Data(), Table_Fuel_EFs_Transport[[#Headers],[Transport type]], 0)</f>
        <v>Heavy duty vehicles</v>
      </c>
      <c r="E20" s="227" t="str" cm="1">
        <f t="array" ref="E20">Common_InputFunctions.Utility_DisplayArrayInTable(Fuel_SourceData.Fuel_Scope1Scope3EmissionFactorsTransport_Data(), Table_Fuel_EFs_Transport[[#Headers],[Transport type]], 0)</f>
        <v>Compressed natural gas</v>
      </c>
      <c r="F20" s="227" cm="1">
        <f t="array" ref="F20">Common_InputFunctions.Utility_DisplayArrayInTable(Fuel_SourceData.Fuel_Scope1Scope3EmissionFactorsTransport_Data(), Table_Fuel_EFs_Transport[[#Headers],[Transport type]], 0)</f>
        <v>3.9300000000000002E-2</v>
      </c>
      <c r="G20" s="227" t="str" cm="1">
        <f t="array" ref="G20">Common_InputFunctions.Utility_DisplayArrayInTable(Fuel_SourceData.Fuel_Scope1Scope3EmissionFactorsTransport_Data(), Table_Fuel_EFs_Transport[[#Headers],[Transport type]], 0)</f>
        <v>m3</v>
      </c>
      <c r="H20" s="227" cm="1">
        <f t="array" ref="H20">Common_InputFunctions.Utility_DisplayArrayInTable(Fuel_SourceData.Fuel_Scope1Scope3EmissionFactorsTransport_Data(), Table_Fuel_EFs_Transport[[#Headers],[Transport type]], 0)</f>
        <v>51.4</v>
      </c>
      <c r="I20" s="227" cm="1">
        <f t="array" ref="I20">Common_InputFunctions.Utility_DisplayArrayInTable(Fuel_SourceData.Fuel_Scope1Scope3EmissionFactorsTransport_Data(), Table_Fuel_EFs_Transport[[#Headers],[Transport type]], 0)</f>
        <v>2.8</v>
      </c>
      <c r="J20" s="227" cm="1">
        <f t="array" ref="J20">Common_InputFunctions.Utility_DisplayArrayInTable(Fuel_SourceData.Fuel_Scope1Scope3EmissionFactorsTransport_Data(), Table_Fuel_EFs_Transport[[#Headers],[Transport type]], 0)</f>
        <v>0.3</v>
      </c>
      <c r="K20" s="227" cm="1">
        <f t="array" ref="K20">Common_InputFunctions.Utility_DisplayArrayInTable(Fuel_SourceData.Fuel_Scope1Scope3EmissionFactorsTransport_Data(), Table_Fuel_EFs_Transport[[#Headers],[Transport type]], 0)</f>
        <v>54.5</v>
      </c>
      <c r="L20" s="227" cm="1">
        <f t="array" ref="L20">Common_InputFunctions.Utility_DisplayArrayInTable(Fuel_SourceData.Fuel_Scope1Scope3EmissionFactorsTransport_Data(), Table_Fuel_EFs_Transport[[#Headers],[Transport type]], 0)</f>
        <v>18</v>
      </c>
    </row>
    <row r="21" spans="1:12" ht="20.100000000000001" customHeight="1" x14ac:dyDescent="0.25">
      <c r="A21" s="5" t="str">
        <f>HYPERLINK("#'4.2.1.3-4 Soil direct N20'!A1", "4.2.1.3-4 Soil direct N2O")</f>
        <v>4.2.1.3-4 Soil direct N2O</v>
      </c>
      <c r="D21" s="227" t="str" cm="1">
        <f t="array" ref="D21">Common_InputFunctions.Utility_DisplayArrayInTable(Fuel_SourceData.Fuel_Scope1Scope3EmissionFactorsTransport_Data(), Table_Fuel_EFs_Transport[[#Headers],[Transport type]], 0)</f>
        <v>Heavy duty vehicles</v>
      </c>
      <c r="E21" s="227" t="str" cm="1">
        <f t="array" ref="E21">Common_InputFunctions.Utility_DisplayArrayInTable(Fuel_SourceData.Fuel_Scope1Scope3EmissionFactorsTransport_Data(), Table_Fuel_EFs_Transport[[#Headers],[Transport type]], 0)</f>
        <v>Liquefied natural gas</v>
      </c>
      <c r="F21" s="227" cm="1">
        <f t="array" ref="F21">Common_InputFunctions.Utility_DisplayArrayInTable(Fuel_SourceData.Fuel_Scope1Scope3EmissionFactorsTransport_Data(), Table_Fuel_EFs_Transport[[#Headers],[Transport type]], 0)</f>
        <v>25.3</v>
      </c>
      <c r="G21" s="227" t="str" cm="1">
        <f t="array" ref="G21">Common_InputFunctions.Utility_DisplayArrayInTable(Fuel_SourceData.Fuel_Scope1Scope3EmissionFactorsTransport_Data(), Table_Fuel_EFs_Transport[[#Headers],[Transport type]], 0)</f>
        <v>kl</v>
      </c>
      <c r="H21" s="227" cm="1">
        <f t="array" ref="H21">Common_InputFunctions.Utility_DisplayArrayInTable(Fuel_SourceData.Fuel_Scope1Scope3EmissionFactorsTransport_Data(), Table_Fuel_EFs_Transport[[#Headers],[Transport type]], 0)</f>
        <v>51.4</v>
      </c>
      <c r="I21" s="227" cm="1">
        <f t="array" ref="I21">Common_InputFunctions.Utility_DisplayArrayInTable(Fuel_SourceData.Fuel_Scope1Scope3EmissionFactorsTransport_Data(), Table_Fuel_EFs_Transport[[#Headers],[Transport type]], 0)</f>
        <v>2.8</v>
      </c>
      <c r="J21" s="227" cm="1">
        <f t="array" ref="J21">Common_InputFunctions.Utility_DisplayArrayInTable(Fuel_SourceData.Fuel_Scope1Scope3EmissionFactorsTransport_Data(), Table_Fuel_EFs_Transport[[#Headers],[Transport type]], 0)</f>
        <v>0.3</v>
      </c>
      <c r="K21" s="227" cm="1">
        <f t="array" ref="K21">Common_InputFunctions.Utility_DisplayArrayInTable(Fuel_SourceData.Fuel_Scope1Scope3EmissionFactorsTransport_Data(), Table_Fuel_EFs_Transport[[#Headers],[Transport type]], 0)</f>
        <v>54.5</v>
      </c>
      <c r="L21" s="227" cm="1">
        <f t="array" ref="L21">Common_InputFunctions.Utility_DisplayArrayInTable(Fuel_SourceData.Fuel_Scope1Scope3EmissionFactorsTransport_Data(), Table_Fuel_EFs_Transport[[#Headers],[Transport type]], 0)</f>
        <v>18</v>
      </c>
    </row>
    <row r="22" spans="1:12" ht="20.100000000000001" customHeight="1" x14ac:dyDescent="0.25">
      <c r="A22" s="5" t="str">
        <f>HYPERLINK("#'4.2.1.5-6 Soil Atmos Dep'!A1", "4.2.1.5-6 Soil atm. deposition")</f>
        <v>4.2.1.5-6 Soil atm. deposition</v>
      </c>
      <c r="D22" s="227" t="str" cm="1">
        <f t="array" ref="D22">Common_InputFunctions.Utility_DisplayArrayInTable(Fuel_SourceData.Fuel_Scope1Scope3EmissionFactorsTransport_Data(), Table_Fuel_EFs_Transport[[#Headers],[Transport type]], 0)</f>
        <v>Heavy duty vehicles</v>
      </c>
      <c r="E22" s="227" t="str" cm="1">
        <f t="array" ref="E22">Common_InputFunctions.Utility_DisplayArrayInTable(Fuel_SourceData.Fuel_Scope1Scope3EmissionFactorsTransport_Data(), Table_Fuel_EFs_Transport[[#Headers],[Transport type]], 0)</f>
        <v>Diesel oil - Euro iv or higher</v>
      </c>
      <c r="F22" s="227" cm="1">
        <f t="array" ref="F22">Common_InputFunctions.Utility_DisplayArrayInTable(Fuel_SourceData.Fuel_Scope1Scope3EmissionFactorsTransport_Data(), Table_Fuel_EFs_Transport[[#Headers],[Transport type]], 0)</f>
        <v>38.6</v>
      </c>
      <c r="G22" s="227" t="str" cm="1">
        <f t="array" ref="G22">Common_InputFunctions.Utility_DisplayArrayInTable(Fuel_SourceData.Fuel_Scope1Scope3EmissionFactorsTransport_Data(), Table_Fuel_EFs_Transport[[#Headers],[Transport type]], 0)</f>
        <v>kl</v>
      </c>
      <c r="H22" s="227" cm="1">
        <f t="array" ref="H22">Common_InputFunctions.Utility_DisplayArrayInTable(Fuel_SourceData.Fuel_Scope1Scope3EmissionFactorsTransport_Data(), Table_Fuel_EFs_Transport[[#Headers],[Transport type]], 0)</f>
        <v>69.900000000000006</v>
      </c>
      <c r="I22" s="227" cm="1">
        <f t="array" ref="I22">Common_InputFunctions.Utility_DisplayArrayInTable(Fuel_SourceData.Fuel_Scope1Scope3EmissionFactorsTransport_Data(), Table_Fuel_EFs_Transport[[#Headers],[Transport type]], 0)</f>
        <v>7.0000000000000007E-2</v>
      </c>
      <c r="J22" s="227" cm="1">
        <f t="array" ref="J22">Common_InputFunctions.Utility_DisplayArrayInTable(Fuel_SourceData.Fuel_Scope1Scope3EmissionFactorsTransport_Data(), Table_Fuel_EFs_Transport[[#Headers],[Transport type]], 0)</f>
        <v>0.4</v>
      </c>
      <c r="K22" s="227" cm="1">
        <f t="array" ref="K22">Common_InputFunctions.Utility_DisplayArrayInTable(Fuel_SourceData.Fuel_Scope1Scope3EmissionFactorsTransport_Data(), Table_Fuel_EFs_Transport[[#Headers],[Transport type]], 0)</f>
        <v>70.37</v>
      </c>
      <c r="L22" s="227" cm="1">
        <f t="array" ref="L22">Common_InputFunctions.Utility_DisplayArrayInTable(Fuel_SourceData.Fuel_Scope1Scope3EmissionFactorsTransport_Data(), Table_Fuel_EFs_Transport[[#Headers],[Transport type]], 0)</f>
        <v>17.3</v>
      </c>
    </row>
    <row r="23" spans="1:12" ht="20.100000000000001" customHeight="1" x14ac:dyDescent="0.25">
      <c r="A23" s="5" t="str">
        <f>HYPERLINK("#'4.2.1.7-8 Soil leach runoff'!A1", "4.2.1.7-8 Soil leach &amp; runoff")</f>
        <v>4.2.1.7-8 Soil leach &amp; runoff</v>
      </c>
      <c r="D23" s="227" t="str" cm="1">
        <f t="array" ref="D23">Common_InputFunctions.Utility_DisplayArrayInTable(Fuel_SourceData.Fuel_Scope1Scope3EmissionFactorsTransport_Data(), Table_Fuel_EFs_Transport[[#Headers],[Transport type]], 0)</f>
        <v>Heavy duty vehicles</v>
      </c>
      <c r="E23" s="227" t="str" cm="1">
        <f t="array" ref="E23">Common_InputFunctions.Utility_DisplayArrayInTable(Fuel_SourceData.Fuel_Scope1Scope3EmissionFactorsTransport_Data(), Table_Fuel_EFs_Transport[[#Headers],[Transport type]], 0)</f>
        <v>Diesel oil - Euro iii</v>
      </c>
      <c r="F23" s="227" cm="1">
        <f t="array" ref="F23">Common_InputFunctions.Utility_DisplayArrayInTable(Fuel_SourceData.Fuel_Scope1Scope3EmissionFactorsTransport_Data(), Table_Fuel_EFs_Transport[[#Headers],[Transport type]], 0)</f>
        <v>38.6</v>
      </c>
      <c r="G23" s="227" t="str" cm="1">
        <f t="array" ref="G23">Common_InputFunctions.Utility_DisplayArrayInTable(Fuel_SourceData.Fuel_Scope1Scope3EmissionFactorsTransport_Data(), Table_Fuel_EFs_Transport[[#Headers],[Transport type]], 0)</f>
        <v>kl</v>
      </c>
      <c r="H23" s="227" cm="1">
        <f t="array" ref="H23">Common_InputFunctions.Utility_DisplayArrayInTable(Fuel_SourceData.Fuel_Scope1Scope3EmissionFactorsTransport_Data(), Table_Fuel_EFs_Transport[[#Headers],[Transport type]], 0)</f>
        <v>69.900000000000006</v>
      </c>
      <c r="I23" s="227" cm="1">
        <f t="array" ref="I23">Common_InputFunctions.Utility_DisplayArrayInTable(Fuel_SourceData.Fuel_Scope1Scope3EmissionFactorsTransport_Data(), Table_Fuel_EFs_Transport[[#Headers],[Transport type]], 0)</f>
        <v>0.1</v>
      </c>
      <c r="J23" s="227" cm="1">
        <f t="array" ref="J23">Common_InputFunctions.Utility_DisplayArrayInTable(Fuel_SourceData.Fuel_Scope1Scope3EmissionFactorsTransport_Data(), Table_Fuel_EFs_Transport[[#Headers],[Transport type]], 0)</f>
        <v>0.4</v>
      </c>
      <c r="K23" s="227" cm="1">
        <f t="array" ref="K23">Common_InputFunctions.Utility_DisplayArrayInTable(Fuel_SourceData.Fuel_Scope1Scope3EmissionFactorsTransport_Data(), Table_Fuel_EFs_Transport[[#Headers],[Transport type]], 0)</f>
        <v>70.400000000000006</v>
      </c>
      <c r="L23" s="227" cm="1">
        <f t="array" ref="L23">Common_InputFunctions.Utility_DisplayArrayInTable(Fuel_SourceData.Fuel_Scope1Scope3EmissionFactorsTransport_Data(), Table_Fuel_EFs_Transport[[#Headers],[Transport type]], 0)</f>
        <v>17.3</v>
      </c>
    </row>
    <row r="24" spans="1:12" ht="20.100000000000001" customHeight="1" x14ac:dyDescent="0.25">
      <c r="A24" s="5" t="str">
        <f>HYPERLINK("#'5.1.1.1-2 Inorganic fert N2O'!A1", "5.1.1.1-2 Inorganic fert N2O")</f>
        <v>5.1.1.1-2 Inorganic fert N2O</v>
      </c>
      <c r="D24" s="227" t="str" cm="1">
        <f t="array" ref="D24">Common_InputFunctions.Utility_DisplayArrayInTable(Fuel_SourceData.Fuel_Scope1Scope3EmissionFactorsTransport_Data(), Table_Fuel_EFs_Transport[[#Headers],[Transport type]], 0)</f>
        <v>Heavy duty vehicles</v>
      </c>
      <c r="E24" s="227" t="str" cm="1">
        <f t="array" ref="E24">Common_InputFunctions.Utility_DisplayArrayInTable(Fuel_SourceData.Fuel_Scope1Scope3EmissionFactorsTransport_Data(), Table_Fuel_EFs_Transport[[#Headers],[Transport type]], 0)</f>
        <v>Diesel oil - Euro i</v>
      </c>
      <c r="F24" s="227" cm="1">
        <f t="array" ref="F24">Common_InputFunctions.Utility_DisplayArrayInTable(Fuel_SourceData.Fuel_Scope1Scope3EmissionFactorsTransport_Data(), Table_Fuel_EFs_Transport[[#Headers],[Transport type]], 0)</f>
        <v>38.6</v>
      </c>
      <c r="G24" s="227" t="str" cm="1">
        <f t="array" ref="G24">Common_InputFunctions.Utility_DisplayArrayInTable(Fuel_SourceData.Fuel_Scope1Scope3EmissionFactorsTransport_Data(), Table_Fuel_EFs_Transport[[#Headers],[Transport type]], 0)</f>
        <v>kl</v>
      </c>
      <c r="H24" s="227" cm="1">
        <f t="array" ref="H24">Common_InputFunctions.Utility_DisplayArrayInTable(Fuel_SourceData.Fuel_Scope1Scope3EmissionFactorsTransport_Data(), Table_Fuel_EFs_Transport[[#Headers],[Transport type]], 0)</f>
        <v>69.900000000000006</v>
      </c>
      <c r="I24" s="227" cm="1">
        <f t="array" ref="I24">Common_InputFunctions.Utility_DisplayArrayInTable(Fuel_SourceData.Fuel_Scope1Scope3EmissionFactorsTransport_Data(), Table_Fuel_EFs_Transport[[#Headers],[Transport type]], 0)</f>
        <v>0.2</v>
      </c>
      <c r="J24" s="227" cm="1">
        <f t="array" ref="J24">Common_InputFunctions.Utility_DisplayArrayInTable(Fuel_SourceData.Fuel_Scope1Scope3EmissionFactorsTransport_Data(), Table_Fuel_EFs_Transport[[#Headers],[Transport type]], 0)</f>
        <v>0.4</v>
      </c>
      <c r="K24" s="227" cm="1">
        <f t="array" ref="K24">Common_InputFunctions.Utility_DisplayArrayInTable(Fuel_SourceData.Fuel_Scope1Scope3EmissionFactorsTransport_Data(), Table_Fuel_EFs_Transport[[#Headers],[Transport type]], 0)</f>
        <v>70.5</v>
      </c>
      <c r="L24" s="227" cm="1">
        <f t="array" ref="L24">Common_InputFunctions.Utility_DisplayArrayInTable(Fuel_SourceData.Fuel_Scope1Scope3EmissionFactorsTransport_Data(), Table_Fuel_EFs_Transport[[#Headers],[Transport type]], 0)</f>
        <v>17.3</v>
      </c>
    </row>
    <row r="25" spans="1:12" ht="20.100000000000001" customHeight="1" x14ac:dyDescent="0.25">
      <c r="A25" s="5" t="str">
        <f>HYPERLINK("#'5.1.1.3-4 Inorganic fert CO2'!A1", "5.1.1.3-4 Inorganic fert CO2")</f>
        <v>5.1.1.3-4 Inorganic fert CO2</v>
      </c>
      <c r="D25" s="227" t="str" cm="1">
        <f t="array" ref="D25">Common_InputFunctions.Utility_DisplayArrayInTable(Fuel_SourceData.Fuel_Scope1Scope3EmissionFactorsTransport_Data(), Table_Fuel_EFs_Transport[[#Headers],[Transport type]], 0)</f>
        <v>Heavy duty vehicles</v>
      </c>
      <c r="E25" s="227" t="str" cm="1">
        <f t="array" ref="E25">Common_InputFunctions.Utility_DisplayArrayInTable(Fuel_SourceData.Fuel_Scope1Scope3EmissionFactorsTransport_Data(), Table_Fuel_EFs_Transport[[#Headers],[Transport type]], 0)</f>
        <v>Renewable diesel – Euro iv or higher</v>
      </c>
      <c r="F25" s="227" cm="1">
        <f t="array" ref="F25">Common_InputFunctions.Utility_DisplayArrayInTable(Fuel_SourceData.Fuel_Scope1Scope3EmissionFactorsTransport_Data(), Table_Fuel_EFs_Transport[[#Headers],[Transport type]], 0)</f>
        <v>38.6</v>
      </c>
      <c r="G25" s="227" t="str" cm="1">
        <f t="array" ref="G25">Common_InputFunctions.Utility_DisplayArrayInTable(Fuel_SourceData.Fuel_Scope1Scope3EmissionFactorsTransport_Data(), Table_Fuel_EFs_Transport[[#Headers],[Transport type]], 0)</f>
        <v>kl</v>
      </c>
      <c r="H25" s="227" cm="1">
        <f t="array" ref="H25">Common_InputFunctions.Utility_DisplayArrayInTable(Fuel_SourceData.Fuel_Scope1Scope3EmissionFactorsTransport_Data(), Table_Fuel_EFs_Transport[[#Headers],[Transport type]], 0)</f>
        <v>0</v>
      </c>
      <c r="I25" s="227" cm="1">
        <f t="array" ref="I25">Common_InputFunctions.Utility_DisplayArrayInTable(Fuel_SourceData.Fuel_Scope1Scope3EmissionFactorsTransport_Data(), Table_Fuel_EFs_Transport[[#Headers],[Transport type]], 0)</f>
        <v>7.0000000000000007E-2</v>
      </c>
      <c r="J25" s="227" cm="1">
        <f t="array" ref="J25">Common_InputFunctions.Utility_DisplayArrayInTable(Fuel_SourceData.Fuel_Scope1Scope3EmissionFactorsTransport_Data(), Table_Fuel_EFs_Transport[[#Headers],[Transport type]], 0)</f>
        <v>0.4</v>
      </c>
      <c r="K25" s="227" cm="1">
        <f t="array" ref="K25">Common_InputFunctions.Utility_DisplayArrayInTable(Fuel_SourceData.Fuel_Scope1Scope3EmissionFactorsTransport_Data(), Table_Fuel_EFs_Transport[[#Headers],[Transport type]], 0)</f>
        <v>0.47</v>
      </c>
      <c r="L25" s="227" t="str" cm="1">
        <f t="array" ref="L25">Common_InputFunctions.Utility_DisplayArrayInTable(Fuel_SourceData.Fuel_Scope1Scope3EmissionFactorsTransport_Data(), Table_Fuel_EFs_Transport[[#Headers],[Transport type]], 0)</f>
        <v>NE</v>
      </c>
    </row>
    <row r="26" spans="1:12" ht="20.100000000000001" customHeight="1" x14ac:dyDescent="0.25">
      <c r="A26" s="5" t="str">
        <f>HYPERLINK("#'5.2.1.1-2 Organic Fert N2O'!A1", "5.2.1.1-2 Organic fert N2O")</f>
        <v>5.2.1.1-2 Organic fert N2O</v>
      </c>
      <c r="D26" s="227" t="str" cm="1">
        <f t="array" ref="D26">Common_InputFunctions.Utility_DisplayArrayInTable(Fuel_SourceData.Fuel_Scope1Scope3EmissionFactorsTransport_Data(), Table_Fuel_EFs_Transport[[#Headers],[Transport type]], 0)</f>
        <v>Heavy duty vehicles</v>
      </c>
      <c r="E26" s="227" t="str" cm="1">
        <f t="array" ref="E26">Common_InputFunctions.Utility_DisplayArrayInTable(Fuel_SourceData.Fuel_Scope1Scope3EmissionFactorsTransport_Data(), Table_Fuel_EFs_Transport[[#Headers],[Transport type]], 0)</f>
        <v>Renewable diesel – Euro iii</v>
      </c>
      <c r="F26" s="227" cm="1">
        <f t="array" ref="F26">Common_InputFunctions.Utility_DisplayArrayInTable(Fuel_SourceData.Fuel_Scope1Scope3EmissionFactorsTransport_Data(), Table_Fuel_EFs_Transport[[#Headers],[Transport type]], 0)</f>
        <v>38.6</v>
      </c>
      <c r="G26" s="227" t="str" cm="1">
        <f t="array" ref="G26">Common_InputFunctions.Utility_DisplayArrayInTable(Fuel_SourceData.Fuel_Scope1Scope3EmissionFactorsTransport_Data(), Table_Fuel_EFs_Transport[[#Headers],[Transport type]], 0)</f>
        <v>kl</v>
      </c>
      <c r="H26" s="227" cm="1">
        <f t="array" ref="H26">Common_InputFunctions.Utility_DisplayArrayInTable(Fuel_SourceData.Fuel_Scope1Scope3EmissionFactorsTransport_Data(), Table_Fuel_EFs_Transport[[#Headers],[Transport type]], 0)</f>
        <v>0</v>
      </c>
      <c r="I26" s="227" cm="1">
        <f t="array" ref="I26">Common_InputFunctions.Utility_DisplayArrayInTable(Fuel_SourceData.Fuel_Scope1Scope3EmissionFactorsTransport_Data(), Table_Fuel_EFs_Transport[[#Headers],[Transport type]], 0)</f>
        <v>0.1</v>
      </c>
      <c r="J26" s="227" cm="1">
        <f t="array" ref="J26">Common_InputFunctions.Utility_DisplayArrayInTable(Fuel_SourceData.Fuel_Scope1Scope3EmissionFactorsTransport_Data(), Table_Fuel_EFs_Transport[[#Headers],[Transport type]], 0)</f>
        <v>0.4</v>
      </c>
      <c r="K26" s="227" cm="1">
        <f t="array" ref="K26">Common_InputFunctions.Utility_DisplayArrayInTable(Fuel_SourceData.Fuel_Scope1Scope3EmissionFactorsTransport_Data(), Table_Fuel_EFs_Transport[[#Headers],[Transport type]], 0)</f>
        <v>0.5</v>
      </c>
      <c r="L26" s="227" t="str" cm="1">
        <f t="array" ref="L26">Common_InputFunctions.Utility_DisplayArrayInTable(Fuel_SourceData.Fuel_Scope1Scope3EmissionFactorsTransport_Data(), Table_Fuel_EFs_Transport[[#Headers],[Transport type]], 0)</f>
        <v>NE</v>
      </c>
    </row>
    <row r="27" spans="1:12" ht="20.100000000000001" customHeight="1" x14ac:dyDescent="0.25">
      <c r="A27" s="5" t="str">
        <f>HYPERLINK("#'5.3.1.1-2 Lime CO2'!A1", "5.3.1.1-2 Lime CO2")</f>
        <v>5.3.1.1-2 Lime CO2</v>
      </c>
      <c r="D27" s="227" t="str" cm="1">
        <f t="array" ref="D27">Common_InputFunctions.Utility_DisplayArrayInTable(Fuel_SourceData.Fuel_Scope1Scope3EmissionFactorsTransport_Data(), Table_Fuel_EFs_Transport[[#Headers],[Transport type]], 0)</f>
        <v>Heavy duty vehicles</v>
      </c>
      <c r="E27" s="227" t="str" cm="1">
        <f t="array" ref="E27">Common_InputFunctions.Utility_DisplayArrayInTable(Fuel_SourceData.Fuel_Scope1Scope3EmissionFactorsTransport_Data(), Table_Fuel_EFs_Transport[[#Headers],[Transport type]], 0)</f>
        <v>Renewable diesel – Euro i</v>
      </c>
      <c r="F27" s="227" cm="1">
        <f t="array" ref="F27">Common_InputFunctions.Utility_DisplayArrayInTable(Fuel_SourceData.Fuel_Scope1Scope3EmissionFactorsTransport_Data(), Table_Fuel_EFs_Transport[[#Headers],[Transport type]], 0)</f>
        <v>38.6</v>
      </c>
      <c r="G27" s="227" t="str" cm="1">
        <f t="array" ref="G27">Common_InputFunctions.Utility_DisplayArrayInTable(Fuel_SourceData.Fuel_Scope1Scope3EmissionFactorsTransport_Data(), Table_Fuel_EFs_Transport[[#Headers],[Transport type]], 0)</f>
        <v>kl</v>
      </c>
      <c r="H27" s="227" cm="1">
        <f t="array" ref="H27">Common_InputFunctions.Utility_DisplayArrayInTable(Fuel_SourceData.Fuel_Scope1Scope3EmissionFactorsTransport_Data(), Table_Fuel_EFs_Transport[[#Headers],[Transport type]], 0)</f>
        <v>0</v>
      </c>
      <c r="I27" s="227" cm="1">
        <f t="array" ref="I27">Common_InputFunctions.Utility_DisplayArrayInTable(Fuel_SourceData.Fuel_Scope1Scope3EmissionFactorsTransport_Data(), Table_Fuel_EFs_Transport[[#Headers],[Transport type]], 0)</f>
        <v>0.2</v>
      </c>
      <c r="J27" s="227" cm="1">
        <f t="array" ref="J27">Common_InputFunctions.Utility_DisplayArrayInTable(Fuel_SourceData.Fuel_Scope1Scope3EmissionFactorsTransport_Data(), Table_Fuel_EFs_Transport[[#Headers],[Transport type]], 0)</f>
        <v>0.4</v>
      </c>
      <c r="K27" s="227" cm="1">
        <f t="array" ref="K27">Common_InputFunctions.Utility_DisplayArrayInTable(Fuel_SourceData.Fuel_Scope1Scope3EmissionFactorsTransport_Data(), Table_Fuel_EFs_Transport[[#Headers],[Transport type]], 0)</f>
        <v>0.6</v>
      </c>
      <c r="L27" s="227" t="str" cm="1">
        <f t="array" ref="L27">Common_InputFunctions.Utility_DisplayArrayInTable(Fuel_SourceData.Fuel_Scope1Scope3EmissionFactorsTransport_Data(), Table_Fuel_EFs_Transport[[#Headers],[Transport type]], 0)</f>
        <v>NE</v>
      </c>
    </row>
    <row r="28" spans="1:12" ht="20.100000000000001" customHeight="1" x14ac:dyDescent="0.25">
      <c r="A28" s="5" t="str">
        <f>HYPERLINK("#'5.4.1.1-4 Atmos deposition'!A1", "5.4.1.1-4 Atmos. deposition")</f>
        <v>5.4.1.1-4 Atmos. deposition</v>
      </c>
      <c r="D28" s="227" t="str" cm="1">
        <f t="array" ref="D28">Common_InputFunctions.Utility_DisplayArrayInTable(Fuel_SourceData.Fuel_Scope1Scope3EmissionFactorsTransport_Data(), Table_Fuel_EFs_Transport[[#Headers],[Transport type]], 0)</f>
        <v>Aviation</v>
      </c>
      <c r="E28" s="227" t="str" cm="1">
        <f t="array" ref="E28">Common_InputFunctions.Utility_DisplayArrayInTable(Fuel_SourceData.Fuel_Scope1Scope3EmissionFactorsTransport_Data(), Table_Fuel_EFs_Transport[[#Headers],[Transport type]], 0)</f>
        <v>Gasoline for use as fuel in an aircraft</v>
      </c>
      <c r="F28" s="227" cm="1">
        <f t="array" ref="F28">Common_InputFunctions.Utility_DisplayArrayInTable(Fuel_SourceData.Fuel_Scope1Scope3EmissionFactorsTransport_Data(), Table_Fuel_EFs_Transport[[#Headers],[Transport type]], 0)</f>
        <v>33.1</v>
      </c>
      <c r="G28" s="227" t="str" cm="1">
        <f t="array" ref="G28">Common_InputFunctions.Utility_DisplayArrayInTable(Fuel_SourceData.Fuel_Scope1Scope3EmissionFactorsTransport_Data(), Table_Fuel_EFs_Transport[[#Headers],[Transport type]], 0)</f>
        <v>kl</v>
      </c>
      <c r="H28" s="227" cm="1">
        <f t="array" ref="H28">Common_InputFunctions.Utility_DisplayArrayInTable(Fuel_SourceData.Fuel_Scope1Scope3EmissionFactorsTransport_Data(), Table_Fuel_EFs_Transport[[#Headers],[Transport type]], 0)</f>
        <v>67</v>
      </c>
      <c r="I28" s="227" cm="1">
        <f t="array" ref="I28">Common_InputFunctions.Utility_DisplayArrayInTable(Fuel_SourceData.Fuel_Scope1Scope3EmissionFactorsTransport_Data(), Table_Fuel_EFs_Transport[[#Headers],[Transport type]], 0)</f>
        <v>0.06</v>
      </c>
      <c r="J28" s="227" cm="1">
        <f t="array" ref="J28">Common_InputFunctions.Utility_DisplayArrayInTable(Fuel_SourceData.Fuel_Scope1Scope3EmissionFactorsTransport_Data(), Table_Fuel_EFs_Transport[[#Headers],[Transport type]], 0)</f>
        <v>0.6</v>
      </c>
      <c r="K28" s="227" cm="1">
        <f t="array" ref="K28">Common_InputFunctions.Utility_DisplayArrayInTable(Fuel_SourceData.Fuel_Scope1Scope3EmissionFactorsTransport_Data(), Table_Fuel_EFs_Transport[[#Headers],[Transport type]], 0)</f>
        <v>67.66</v>
      </c>
      <c r="L28" s="227" cm="1">
        <f t="array" ref="L28">Common_InputFunctions.Utility_DisplayArrayInTable(Fuel_SourceData.Fuel_Scope1Scope3EmissionFactorsTransport_Data(), Table_Fuel_EFs_Transport[[#Headers],[Transport type]], 0)</f>
        <v>18</v>
      </c>
    </row>
    <row r="29" spans="1:12" ht="20.100000000000001" customHeight="1" x14ac:dyDescent="0.25">
      <c r="A29" s="5" t="str">
        <f>HYPERLINK("#'5.5.1.1-2 Leaching and runoff'!A1", "5.5.1.1-2 Leaching &amp; runoff")</f>
        <v>5.5.1.1-2 Leaching &amp; runoff</v>
      </c>
      <c r="D29" s="227" t="str" cm="1">
        <f t="array" ref="D29">Common_InputFunctions.Utility_DisplayArrayInTable(Fuel_SourceData.Fuel_Scope1Scope3EmissionFactorsTransport_Data(), Table_Fuel_EFs_Transport[[#Headers],[Transport type]], 0)</f>
        <v>Aviation</v>
      </c>
      <c r="E29" s="227" t="str" cm="1">
        <f t="array" ref="E29">Common_InputFunctions.Utility_DisplayArrayInTable(Fuel_SourceData.Fuel_Scope1Scope3EmissionFactorsTransport_Data(), Table_Fuel_EFs_Transport[[#Headers],[Transport type]], 0)</f>
        <v>Kerosene for use as fuel in an aircraft</v>
      </c>
      <c r="F29" s="227" cm="1">
        <f t="array" ref="F29">Common_InputFunctions.Utility_DisplayArrayInTable(Fuel_SourceData.Fuel_Scope1Scope3EmissionFactorsTransport_Data(), Table_Fuel_EFs_Transport[[#Headers],[Transport type]], 0)</f>
        <v>36.799999999999997</v>
      </c>
      <c r="G29" s="227" t="str" cm="1">
        <f t="array" ref="G29">Common_InputFunctions.Utility_DisplayArrayInTable(Fuel_SourceData.Fuel_Scope1Scope3EmissionFactorsTransport_Data(), Table_Fuel_EFs_Transport[[#Headers],[Transport type]], 0)</f>
        <v>kl</v>
      </c>
      <c r="H29" s="227" cm="1">
        <f t="array" ref="H29">Common_InputFunctions.Utility_DisplayArrayInTable(Fuel_SourceData.Fuel_Scope1Scope3EmissionFactorsTransport_Data(), Table_Fuel_EFs_Transport[[#Headers],[Transport type]], 0)</f>
        <v>69.599999999999994</v>
      </c>
      <c r="I29" s="227" cm="1">
        <f t="array" ref="I29">Common_InputFunctions.Utility_DisplayArrayInTable(Fuel_SourceData.Fuel_Scope1Scope3EmissionFactorsTransport_Data(), Table_Fuel_EFs_Transport[[#Headers],[Transport type]], 0)</f>
        <v>0.01</v>
      </c>
      <c r="J29" s="227" cm="1">
        <f t="array" ref="J29">Common_InputFunctions.Utility_DisplayArrayInTable(Fuel_SourceData.Fuel_Scope1Scope3EmissionFactorsTransport_Data(), Table_Fuel_EFs_Transport[[#Headers],[Transport type]], 0)</f>
        <v>0.6</v>
      </c>
      <c r="K29" s="227" cm="1">
        <f t="array" ref="K29">Common_InputFunctions.Utility_DisplayArrayInTable(Fuel_SourceData.Fuel_Scope1Scope3EmissionFactorsTransport_Data(), Table_Fuel_EFs_Transport[[#Headers],[Transport type]], 0)</f>
        <v>70.209999999999994</v>
      </c>
      <c r="L29" s="227" cm="1">
        <f t="array" ref="L29">Common_InputFunctions.Utility_DisplayArrayInTable(Fuel_SourceData.Fuel_Scope1Scope3EmissionFactorsTransport_Data(), Table_Fuel_EFs_Transport[[#Headers],[Transport type]], 0)</f>
        <v>18</v>
      </c>
    </row>
    <row r="30" spans="1:12" ht="20.100000000000001" customHeight="1" x14ac:dyDescent="0.25">
      <c r="A30" s="5" t="str">
        <f>HYPERLINK("#'6.2.1.1-2 Pasture residue N2O'!A1", "6.2.1.1-2 Pasture residue N2O")</f>
        <v>6.2.1.1-2 Pasture residue N2O</v>
      </c>
      <c r="D30" s="227" t="str" cm="1">
        <f t="array" ref="D30">Common_InputFunctions.Utility_DisplayArrayInTable(Fuel_SourceData.Fuel_Scope1Scope3EmissionFactorsTransport_Data(), Table_Fuel_EFs_Transport[[#Headers],[Transport type]], 0)</f>
        <v>Aviation</v>
      </c>
      <c r="E30" s="227" t="str" cm="1">
        <f t="array" ref="E30">Common_InputFunctions.Utility_DisplayArrayInTable(Fuel_SourceData.Fuel_Scope1Scope3EmissionFactorsTransport_Data(), Table_Fuel_EFs_Transport[[#Headers],[Transport type]], 0)</f>
        <v>Renewable aviation kerosene</v>
      </c>
      <c r="F30" s="227" cm="1">
        <f t="array" ref="F30">Common_InputFunctions.Utility_DisplayArrayInTable(Fuel_SourceData.Fuel_Scope1Scope3EmissionFactorsTransport_Data(), Table_Fuel_EFs_Transport[[#Headers],[Transport type]], 0)</f>
        <v>36.799999999999997</v>
      </c>
      <c r="G30" s="227" t="str" cm="1">
        <f t="array" ref="G30">Common_InputFunctions.Utility_DisplayArrayInTable(Fuel_SourceData.Fuel_Scope1Scope3EmissionFactorsTransport_Data(), Table_Fuel_EFs_Transport[[#Headers],[Transport type]], 0)</f>
        <v>kl</v>
      </c>
      <c r="H30" s="227" cm="1">
        <f t="array" ref="H30">Common_InputFunctions.Utility_DisplayArrayInTable(Fuel_SourceData.Fuel_Scope1Scope3EmissionFactorsTransport_Data(), Table_Fuel_EFs_Transport[[#Headers],[Transport type]], 0)</f>
        <v>0</v>
      </c>
      <c r="I30" s="227" cm="1">
        <f t="array" ref="I30">Common_InputFunctions.Utility_DisplayArrayInTable(Fuel_SourceData.Fuel_Scope1Scope3EmissionFactorsTransport_Data(), Table_Fuel_EFs_Transport[[#Headers],[Transport type]], 0)</f>
        <v>0.01</v>
      </c>
      <c r="J30" s="227" cm="1">
        <f t="array" ref="J30">Common_InputFunctions.Utility_DisplayArrayInTable(Fuel_SourceData.Fuel_Scope1Scope3EmissionFactorsTransport_Data(), Table_Fuel_EFs_Transport[[#Headers],[Transport type]], 0)</f>
        <v>0.6</v>
      </c>
      <c r="K30" s="227" cm="1">
        <f t="array" ref="K30">Common_InputFunctions.Utility_DisplayArrayInTable(Fuel_SourceData.Fuel_Scope1Scope3EmissionFactorsTransport_Data(), Table_Fuel_EFs_Transport[[#Headers],[Transport type]], 0)</f>
        <v>0.61</v>
      </c>
      <c r="L30" s="227" t="str" cm="1">
        <f t="array" ref="L30">Common_InputFunctions.Utility_DisplayArrayInTable(Fuel_SourceData.Fuel_Scope1Scope3EmissionFactorsTransport_Data(), Table_Fuel_EFs_Transport[[#Headers],[Transport type]], 0)</f>
        <v>NE</v>
      </c>
    </row>
    <row r="31" spans="1:12" ht="20.100000000000001" customHeight="1" x14ac:dyDescent="0.25">
      <c r="A31" s="5" t="str">
        <f>HYPERLINK("#'6.3.1.1-2 Leach runoff pasture'!A1", "6.3.1.1-2 Leach &amp; runoff (pasture)")</f>
        <v>6.3.1.1-2 Leach &amp; runoff (pasture)</v>
      </c>
      <c r="D31" s="227" t="str" cm="1">
        <f t="array" ref="D31">Common_InputFunctions.Utility_DisplayArrayInTable(Fuel_SourceData.Fuel_Scope1Scope3EmissionFactorsTransport_Data(), Table_Fuel_EFs_Transport[[#Headers],[Transport type]], 0)</f>
        <v>Vessels</v>
      </c>
      <c r="E31" s="227" t="str" cm="1">
        <f t="array" ref="E31">Common_InputFunctions.Utility_DisplayArrayInTable(Fuel_SourceData.Fuel_Scope1Scope3EmissionFactorsTransport_Data(), Table_Fuel_EFs_Transport[[#Headers],[Transport type]], 0)</f>
        <v>Gasoline</v>
      </c>
      <c r="F31" s="227" cm="1">
        <f t="array" ref="F31">Common_InputFunctions.Utility_DisplayArrayInTable(Fuel_SourceData.Fuel_Scope1Scope3EmissionFactorsTransport_Data(), Table_Fuel_EFs_Transport[[#Headers],[Transport type]], 0)</f>
        <v>34.200000000000003</v>
      </c>
      <c r="G31" s="227" t="str" cm="1">
        <f t="array" ref="G31">Common_InputFunctions.Utility_DisplayArrayInTable(Fuel_SourceData.Fuel_Scope1Scope3EmissionFactorsTransport_Data(), Table_Fuel_EFs_Transport[[#Headers],[Transport type]], 0)</f>
        <v>kL</v>
      </c>
      <c r="H31" s="227" cm="1">
        <f t="array" ref="H31">Common_InputFunctions.Utility_DisplayArrayInTable(Fuel_SourceData.Fuel_Scope1Scope3EmissionFactorsTransport_Data(), Table_Fuel_EFs_Transport[[#Headers],[Transport type]], 0)</f>
        <v>67.400000000000006</v>
      </c>
      <c r="I31" s="227" cm="1">
        <f t="array" ref="I31">Common_InputFunctions.Utility_DisplayArrayInTable(Fuel_SourceData.Fuel_Scope1Scope3EmissionFactorsTransport_Data(), Table_Fuel_EFs_Transport[[#Headers],[Transport type]], 0)</f>
        <v>10.1</v>
      </c>
      <c r="J31" s="227" cm="1">
        <f t="array" ref="J31">Common_InputFunctions.Utility_DisplayArrayInTable(Fuel_SourceData.Fuel_Scope1Scope3EmissionFactorsTransport_Data(), Table_Fuel_EFs_Transport[[#Headers],[Transport type]], 0)</f>
        <v>0.3</v>
      </c>
      <c r="K31" s="227" t="str" cm="1">
        <f t="array" ref="K31">Common_InputFunctions.Utility_DisplayArrayInTable(Fuel_SourceData.Fuel_Scope1Scope3EmissionFactorsTransport_Data(), Table_Fuel_EFs_Transport[[#Headers],[Transport type]], 0)</f>
        <v/>
      </c>
      <c r="L31" s="227" cm="1">
        <f t="array" ref="L31">Common_InputFunctions.Utility_DisplayArrayInTable(Fuel_SourceData.Fuel_Scope1Scope3EmissionFactorsTransport_Data(), Table_Fuel_EFs_Transport[[#Headers],[Transport type]], 0)</f>
        <v>17.2</v>
      </c>
    </row>
    <row r="32" spans="1:12" ht="20.100000000000001" customHeight="1" x14ac:dyDescent="0.25">
      <c r="A32" s="5" t="str">
        <f>HYPERLINK("#'8.1.1.1-2 Transport fuel'!A1", "8.1.1.1-2 Transport fuel")</f>
        <v>8.1.1.1-2 Transport fuel</v>
      </c>
      <c r="D32" s="228" t="str" cm="1">
        <f t="array" ref="D32">Common_InputFunctions.Utility_DisplayArrayInTable(Fuel_SourceData.Fuel_Scope1Scope3EmissionFactorsTransport_Data(), Table_Fuel_EFs_Transport[[#Headers],[Transport type]], 0)</f>
        <v>Vessels</v>
      </c>
      <c r="E32" s="228" t="str" cm="1">
        <f t="array" ref="E32">Common_InputFunctions.Utility_DisplayArrayInTable(Fuel_SourceData.Fuel_Scope1Scope3EmissionFactorsTransport_Data(), Table_Fuel_EFs_Transport[[#Headers],[Transport type]], 0)</f>
        <v>Diesel oil</v>
      </c>
      <c r="F32" s="228" cm="1">
        <f t="array" ref="F32">Common_InputFunctions.Utility_DisplayArrayInTable(Fuel_SourceData.Fuel_Scope1Scope3EmissionFactorsTransport_Data(), Table_Fuel_EFs_Transport[[#Headers],[Transport type]], 0)</f>
        <v>38.6</v>
      </c>
      <c r="G32" s="228" t="str" cm="1">
        <f t="array" ref="G32">Common_InputFunctions.Utility_DisplayArrayInTable(Fuel_SourceData.Fuel_Scope1Scope3EmissionFactorsTransport_Data(), Table_Fuel_EFs_Transport[[#Headers],[Transport type]], 0)</f>
        <v>kL</v>
      </c>
      <c r="H32" s="228" cm="1">
        <f t="array" ref="H32">Common_InputFunctions.Utility_DisplayArrayInTable(Fuel_SourceData.Fuel_Scope1Scope3EmissionFactorsTransport_Data(), Table_Fuel_EFs_Transport[[#Headers],[Transport type]], 0)</f>
        <v>69.900000000000006</v>
      </c>
      <c r="I32" s="228" cm="1">
        <f t="array" ref="I32">Common_InputFunctions.Utility_DisplayArrayInTable(Fuel_SourceData.Fuel_Scope1Scope3EmissionFactorsTransport_Data(), Table_Fuel_EFs_Transport[[#Headers],[Transport type]], 0)</f>
        <v>0.2</v>
      </c>
      <c r="J32" s="228" cm="1">
        <f t="array" ref="J32">Common_InputFunctions.Utility_DisplayArrayInTable(Fuel_SourceData.Fuel_Scope1Scope3EmissionFactorsTransport_Data(), Table_Fuel_EFs_Transport[[#Headers],[Transport type]], 0)</f>
        <v>0.5</v>
      </c>
      <c r="K32" s="228" t="str" cm="1">
        <f t="array" ref="K32">Common_InputFunctions.Utility_DisplayArrayInTable(Fuel_SourceData.Fuel_Scope1Scope3EmissionFactorsTransport_Data(), Table_Fuel_EFs_Transport[[#Headers],[Transport type]], 0)</f>
        <v/>
      </c>
      <c r="L32" s="228" cm="1">
        <f t="array" ref="L32">Common_InputFunctions.Utility_DisplayArrayInTable(Fuel_SourceData.Fuel_Scope1Scope3EmissionFactorsTransport_Data(), Table_Fuel_EFs_Transport[[#Headers],[Transport type]], 0)</f>
        <v>17.3</v>
      </c>
    </row>
    <row r="33" spans="1:12" ht="20.100000000000001" customHeight="1" x14ac:dyDescent="0.25">
      <c r="A33" s="5" t="str">
        <f>HYPERLINK("#'8.2.1.1-2 Stationary fuel'!A1", "8.2.1.1-2 Stationary fuel")</f>
        <v>8.2.1.1-2 Stationary fuel</v>
      </c>
      <c r="D33" s="228" t="str" cm="1">
        <f t="array" ref="D33">Common_InputFunctions.Utility_DisplayArrayInTable(Fuel_SourceData.Fuel_Scope1Scope3EmissionFactorsTransport_Data(), Table_Fuel_EFs_Transport[[#Headers],[Transport type]], 0)</f>
        <v>Vessels</v>
      </c>
      <c r="E33" s="228" t="str" cm="1">
        <f t="array" ref="E33">Common_InputFunctions.Utility_DisplayArrayInTable(Fuel_SourceData.Fuel_Scope1Scope3EmissionFactorsTransport_Data(), Table_Fuel_EFs_Transport[[#Headers],[Transport type]], 0)</f>
        <v>Fuel Oil</v>
      </c>
      <c r="F33" s="228" cm="1">
        <f t="array" ref="F33">Common_InputFunctions.Utility_DisplayArrayInTable(Fuel_SourceData.Fuel_Scope1Scope3EmissionFactorsTransport_Data(), Table_Fuel_EFs_Transport[[#Headers],[Transport type]], 0)</f>
        <v>39.700000000000003</v>
      </c>
      <c r="G33" s="228" t="str" cm="1">
        <f t="array" ref="G33">Common_InputFunctions.Utility_DisplayArrayInTable(Fuel_SourceData.Fuel_Scope1Scope3EmissionFactorsTransport_Data(), Table_Fuel_EFs_Transport[[#Headers],[Transport type]], 0)</f>
        <v>kL</v>
      </c>
      <c r="H33" s="228" cm="1">
        <f t="array" ref="H33">Common_InputFunctions.Utility_DisplayArrayInTable(Fuel_SourceData.Fuel_Scope1Scope3EmissionFactorsTransport_Data(), Table_Fuel_EFs_Transport[[#Headers],[Transport type]], 0)</f>
        <v>73.599999999999994</v>
      </c>
      <c r="I33" s="228" cm="1">
        <f t="array" ref="I33">Common_InputFunctions.Utility_DisplayArrayInTable(Fuel_SourceData.Fuel_Scope1Scope3EmissionFactorsTransport_Data(), Table_Fuel_EFs_Transport[[#Headers],[Transport type]], 0)</f>
        <v>0.2</v>
      </c>
      <c r="J33" s="228" cm="1">
        <f t="array" ref="J33">Common_InputFunctions.Utility_DisplayArrayInTable(Fuel_SourceData.Fuel_Scope1Scope3EmissionFactorsTransport_Data(), Table_Fuel_EFs_Transport[[#Headers],[Transport type]], 0)</f>
        <v>0.5</v>
      </c>
      <c r="K33" s="228" t="str" cm="1">
        <f t="array" ref="K33">Common_InputFunctions.Utility_DisplayArrayInTable(Fuel_SourceData.Fuel_Scope1Scope3EmissionFactorsTransport_Data(), Table_Fuel_EFs_Transport[[#Headers],[Transport type]], 0)</f>
        <v/>
      </c>
      <c r="L33" s="228" cm="1">
        <f t="array" ref="L33">Common_InputFunctions.Utility_DisplayArrayInTable(Fuel_SourceData.Fuel_Scope1Scope3EmissionFactorsTransport_Data(), Table_Fuel_EFs_Transport[[#Headers],[Transport type]], 0)</f>
        <v>18</v>
      </c>
    </row>
    <row r="34" spans="1:12" ht="20.100000000000001" customHeight="1" x14ac:dyDescent="0.25">
      <c r="A34" s="5" t="str">
        <f>HYPERLINK("#'14.1.1-2 Purchased electricity'!A1", "14.1.1-2 Purchased electricity")</f>
        <v>14.1.1-2 Purchased electricity</v>
      </c>
      <c r="D34" s="228" t="str" cm="1">
        <f t="array" ref="D34">Common_InputFunctions.Utility_DisplayArrayInTable(Fuel_SourceData.Fuel_Scope1Scope3EmissionFactorsTransport_Data(), Table_Fuel_EFs_Transport[[#Headers],[Transport type]], 0)</f>
        <v>Off-road Agriculture and forestry equipment</v>
      </c>
      <c r="E34" s="228" t="str" cm="1">
        <f t="array" ref="E34">Common_InputFunctions.Utility_DisplayArrayInTable(Fuel_SourceData.Fuel_Scope1Scope3EmissionFactorsTransport_Data(), Table_Fuel_EFs_Transport[[#Headers],[Transport type]], 0)</f>
        <v>Diesel oil</v>
      </c>
      <c r="F34" s="228" cm="1">
        <f t="array" ref="F34">Common_InputFunctions.Utility_DisplayArrayInTable(Fuel_SourceData.Fuel_Scope1Scope3EmissionFactorsTransport_Data(), Table_Fuel_EFs_Transport[[#Headers],[Transport type]], 0)</f>
        <v>38.6</v>
      </c>
      <c r="G34" s="228" t="str" cm="1">
        <f t="array" ref="G34">Common_InputFunctions.Utility_DisplayArrayInTable(Fuel_SourceData.Fuel_Scope1Scope3EmissionFactorsTransport_Data(), Table_Fuel_EFs_Transport[[#Headers],[Transport type]], 0)</f>
        <v>kL</v>
      </c>
      <c r="H34" s="228" cm="1">
        <f t="array" ref="H34">Common_InputFunctions.Utility_DisplayArrayInTable(Fuel_SourceData.Fuel_Scope1Scope3EmissionFactorsTransport_Data(), Table_Fuel_EFs_Transport[[#Headers],[Transport type]], 0)</f>
        <v>69.900000000000006</v>
      </c>
      <c r="I34" s="228" cm="1">
        <f t="array" ref="I34">Common_InputFunctions.Utility_DisplayArrayInTable(Fuel_SourceData.Fuel_Scope1Scope3EmissionFactorsTransport_Data(), Table_Fuel_EFs_Transport[[#Headers],[Transport type]], 0)</f>
        <v>0.3</v>
      </c>
      <c r="J34" s="228" cm="1">
        <f t="array" ref="J34">Common_InputFunctions.Utility_DisplayArrayInTable(Fuel_SourceData.Fuel_Scope1Scope3EmissionFactorsTransport_Data(), Table_Fuel_EFs_Transport[[#Headers],[Transport type]], 0)</f>
        <v>0.5</v>
      </c>
      <c r="K34" s="228" t="str" cm="1">
        <f t="array" ref="K34">Common_InputFunctions.Utility_DisplayArrayInTable(Fuel_SourceData.Fuel_Scope1Scope3EmissionFactorsTransport_Data(), Table_Fuel_EFs_Transport[[#Headers],[Transport type]], 0)</f>
        <v/>
      </c>
      <c r="L34" s="228" cm="1">
        <f t="array" ref="L34">Common_InputFunctions.Utility_DisplayArrayInTable(Fuel_SourceData.Fuel_Scope1Scope3EmissionFactorsTransport_Data(), Table_Fuel_EFs_Transport[[#Headers],[Transport type]], 0)</f>
        <v>17.3</v>
      </c>
    </row>
    <row r="35" spans="1:12" ht="20.100000000000001" customHeight="1" x14ac:dyDescent="0.25"/>
    <row r="36" spans="1:12" ht="20.100000000000001" customHeight="1" x14ac:dyDescent="0.25"/>
    <row r="37" spans="1:12" ht="20.100000000000001" customHeight="1" x14ac:dyDescent="0.25">
      <c r="A37" s="251" t="s">
        <v>1</v>
      </c>
      <c r="D37" s="2" t="str" cm="1">
        <f t="array" ref="D37">Fuel_SourceData.Fuel_Scope1Scope3EmissionFactorsTransportOffRoad_Title()</f>
        <v>Fuel scope 1 and 3 emission factors - Off-road equipment and vessels</v>
      </c>
    </row>
    <row r="38" spans="1:12" ht="20.100000000000001" customHeight="1" x14ac:dyDescent="0.25">
      <c r="A38" s="5" t="str">
        <f>HYPERLINK("#'Constants - Pasture Beef'!A1", "Constants - Pasture Beef")</f>
        <v>Constants - Pasture Beef</v>
      </c>
      <c r="D38" s="27" t="str" cm="1">
        <f t="array" ref="D38">Fuel_SourceData.Fuel_Scope1Scope3EmissionFactorsTransportOffRoad_Source()</f>
        <v>VEERG 2026: Table A.4.2.1</v>
      </c>
    </row>
    <row r="39" spans="1:12" ht="20.100000000000001" customHeight="1" x14ac:dyDescent="0.25">
      <c r="A39" s="5" t="str">
        <f>HYPERLINK("#'Constants - Ag Residue'!A1", "Constants - Ag residue")</f>
        <v>Constants - Ag residue</v>
      </c>
      <c r="D39" s="30" t="s">
        <v>767</v>
      </c>
      <c r="E39" s="30" t="s">
        <v>768</v>
      </c>
      <c r="F39" s="30" t="s">
        <v>769</v>
      </c>
      <c r="G39" s="30" t="s">
        <v>770</v>
      </c>
      <c r="H39" s="30" t="s">
        <v>771</v>
      </c>
      <c r="I39" s="30" t="s">
        <v>772</v>
      </c>
      <c r="J39" s="30" t="s">
        <v>773</v>
      </c>
    </row>
    <row r="40" spans="1:12" ht="20.100000000000001" customHeight="1" x14ac:dyDescent="0.25">
      <c r="A40" s="5" t="str">
        <f>HYPERLINK("#'Constants - Common Livestock'!A1", "Constants - Common Livestock")</f>
        <v>Constants - Common Livestock</v>
      </c>
      <c r="D40" s="30" t="str" cm="1">
        <f t="array" ref="D40">Common_InputFunctions.Utility_DisplayArrayInTable(Fuel_SourceData.Fuel_Scope1Scope3EmissionFactorsTransportOffRoad_Data(), Table_SourceData_Fuel_TransportOffroad[[#Headers],[Transport type t]],0)</f>
        <v>Vessel</v>
      </c>
      <c r="E40" s="30" t="str" cm="1">
        <f t="array" ref="E40">Common_InputFunctions.Utility_DisplayArrayInTable(Fuel_SourceData.Fuel_Scope1Scope3EmissionFactorsTransportOffRoad_Data(), Table_SourceData_Fuel_TransportOffroad[[#Headers],[Transport type t]],0)</f>
        <v>Petrol</v>
      </c>
      <c r="F40" s="30" cm="1">
        <f t="array" ref="F40">Common_InputFunctions.Utility_DisplayArrayInTable(Fuel_SourceData.Fuel_Scope1Scope3EmissionFactorsTransportOffRoad_Data(), Table_SourceData_Fuel_TransportOffroad[[#Headers],[Transport type t]],0)</f>
        <v>34.200000000000003</v>
      </c>
      <c r="G40" s="30" cm="1">
        <f t="array" ref="G40">Common_InputFunctions.Utility_DisplayArrayInTable(Fuel_SourceData.Fuel_Scope1Scope3EmissionFactorsTransportOffRoad_Data(), Table_SourceData_Fuel_TransportOffroad[[#Headers],[Transport type t]],0)</f>
        <v>67.400000000000006</v>
      </c>
      <c r="H40" s="30" cm="1">
        <f t="array" ref="H40">Common_InputFunctions.Utility_DisplayArrayInTable(Fuel_SourceData.Fuel_Scope1Scope3EmissionFactorsTransportOffRoad_Data(), Table_SourceData_Fuel_TransportOffroad[[#Headers],[Transport type t]],0)</f>
        <v>10.1</v>
      </c>
      <c r="I40" s="30" cm="1">
        <f t="array" ref="I40">Common_InputFunctions.Utility_DisplayArrayInTable(Fuel_SourceData.Fuel_Scope1Scope3EmissionFactorsTransportOffRoad_Data(), Table_SourceData_Fuel_TransportOffroad[[#Headers],[Transport type t]],0)</f>
        <v>0.3</v>
      </c>
      <c r="J40" s="30" cm="1">
        <f t="array" ref="J40">Common_InputFunctions.Utility_DisplayArrayInTable(Fuel_SourceData.Fuel_Scope1Scope3EmissionFactorsTransportOffRoad_Data(), Table_SourceData_Fuel_TransportOffroad[[#Headers],[Transport type t]],0)</f>
        <v>17.2</v>
      </c>
    </row>
    <row r="41" spans="1:12" ht="20.100000000000001" customHeight="1" x14ac:dyDescent="0.25">
      <c r="A41" s="5" t="str">
        <f>HYPERLINK("#'Constants - Electricity'!A1", "Constants - Electricity")</f>
        <v>Constants - Electricity</v>
      </c>
      <c r="D41" s="1" t="str" cm="1">
        <f t="array" ref="D41">Common_InputFunctions.Utility_DisplayArrayInTable(Fuel_SourceData.Fuel_Scope1Scope3EmissionFactorsTransportOffRoad_Data(), Table_SourceData_Fuel_TransportOffroad[[#Headers],[Transport type t]],0)</f>
        <v>Vessel</v>
      </c>
      <c r="E41" s="30" t="str" cm="1">
        <f t="array" ref="E41">Common_InputFunctions.Utility_DisplayArrayInTable(Fuel_SourceData.Fuel_Scope1Scope3EmissionFactorsTransportOffRoad_Data(), Table_SourceData_Fuel_TransportOffroad[[#Headers],[Transport type t]],0)</f>
        <v>Diesel</v>
      </c>
      <c r="F41" s="30" cm="1">
        <f t="array" ref="F41">Common_InputFunctions.Utility_DisplayArrayInTable(Fuel_SourceData.Fuel_Scope1Scope3EmissionFactorsTransportOffRoad_Data(), Table_SourceData_Fuel_TransportOffroad[[#Headers],[Transport type t]],0)</f>
        <v>38.6</v>
      </c>
      <c r="G41" s="30" cm="1">
        <f t="array" ref="G41">Common_InputFunctions.Utility_DisplayArrayInTable(Fuel_SourceData.Fuel_Scope1Scope3EmissionFactorsTransportOffRoad_Data(), Table_SourceData_Fuel_TransportOffroad[[#Headers],[Transport type t]],0)</f>
        <v>69.900000000000006</v>
      </c>
      <c r="H41" s="30" cm="1">
        <f t="array" ref="H41">Common_InputFunctions.Utility_DisplayArrayInTable(Fuel_SourceData.Fuel_Scope1Scope3EmissionFactorsTransportOffRoad_Data(), Table_SourceData_Fuel_TransportOffroad[[#Headers],[Transport type t]],0)</f>
        <v>0.2</v>
      </c>
      <c r="I41" s="30" cm="1">
        <f t="array" ref="I41">Common_InputFunctions.Utility_DisplayArrayInTable(Fuel_SourceData.Fuel_Scope1Scope3EmissionFactorsTransportOffRoad_Data(), Table_SourceData_Fuel_TransportOffroad[[#Headers],[Transport type t]],0)</f>
        <v>0.5</v>
      </c>
      <c r="J41" s="30" cm="1">
        <f t="array" ref="J41">Common_InputFunctions.Utility_DisplayArrayInTable(Fuel_SourceData.Fuel_Scope1Scope3EmissionFactorsTransportOffRoad_Data(), Table_SourceData_Fuel_TransportOffroad[[#Headers],[Transport type t]],0)</f>
        <v>17.3</v>
      </c>
    </row>
    <row r="42" spans="1:12" ht="20.100000000000001" customHeight="1" x14ac:dyDescent="0.25">
      <c r="A42" s="5" t="str">
        <f>HYPERLINK("#'Constants - Fertiliser'!A1", "Constants - Fertiliser")</f>
        <v>Constants - Fertiliser</v>
      </c>
      <c r="D42" s="1" t="str" cm="1">
        <f t="array" ref="D42">Common_InputFunctions.Utility_DisplayArrayInTable(Fuel_SourceData.Fuel_Scope1Scope3EmissionFactorsTransportOffRoad_Data(), Table_SourceData_Fuel_TransportOffroad[[#Headers],[Transport type t]],0)</f>
        <v>Vessel</v>
      </c>
      <c r="E42" s="30" t="str" cm="1">
        <f t="array" ref="E42">Common_InputFunctions.Utility_DisplayArrayInTable(Fuel_SourceData.Fuel_Scope1Scope3EmissionFactorsTransportOffRoad_Data(), Table_SourceData_Fuel_TransportOffroad[[#Headers],[Transport type t]],0)</f>
        <v>Fuel Oil</v>
      </c>
      <c r="F42" s="30" cm="1">
        <f t="array" ref="F42">Common_InputFunctions.Utility_DisplayArrayInTable(Fuel_SourceData.Fuel_Scope1Scope3EmissionFactorsTransportOffRoad_Data(), Table_SourceData_Fuel_TransportOffroad[[#Headers],[Transport type t]],0)</f>
        <v>39.700000000000003</v>
      </c>
      <c r="G42" s="30" cm="1">
        <f t="array" ref="G42">Common_InputFunctions.Utility_DisplayArrayInTable(Fuel_SourceData.Fuel_Scope1Scope3EmissionFactorsTransportOffRoad_Data(), Table_SourceData_Fuel_TransportOffroad[[#Headers],[Transport type t]],0)</f>
        <v>73.599999999999994</v>
      </c>
      <c r="H42" s="30" cm="1">
        <f t="array" ref="H42">Common_InputFunctions.Utility_DisplayArrayInTable(Fuel_SourceData.Fuel_Scope1Scope3EmissionFactorsTransportOffRoad_Data(), Table_SourceData_Fuel_TransportOffroad[[#Headers],[Transport type t]],0)</f>
        <v>0.2</v>
      </c>
      <c r="I42" s="30" cm="1">
        <f t="array" ref="I42">Common_InputFunctions.Utility_DisplayArrayInTable(Fuel_SourceData.Fuel_Scope1Scope3EmissionFactorsTransportOffRoad_Data(), Table_SourceData_Fuel_TransportOffroad[[#Headers],[Transport type t]],0)</f>
        <v>0.5</v>
      </c>
      <c r="J42" s="30" cm="1">
        <f t="array" ref="J42">Common_InputFunctions.Utility_DisplayArrayInTable(Fuel_SourceData.Fuel_Scope1Scope3EmissionFactorsTransportOffRoad_Data(), Table_SourceData_Fuel_TransportOffroad[[#Headers],[Transport type t]],0)</f>
        <v>18</v>
      </c>
    </row>
    <row r="43" spans="1:12" ht="20.100000000000001" customHeight="1" x14ac:dyDescent="0.25">
      <c r="A43" s="126" t="str">
        <f>HYPERLINK("#'Constants - Fuel'!A1", "Constants - Fuel")</f>
        <v>Constants - Fuel</v>
      </c>
      <c r="D43" s="1" t="str" cm="1">
        <f t="array" ref="D43">Common_InputFunctions.Utility_DisplayArrayInTable(Fuel_SourceData.Fuel_Scope1Scope3EmissionFactorsTransportOffRoad_Data(), Table_SourceData_Fuel_TransportOffroad[[#Headers],[Transport type t]],0)</f>
        <v>Off-road Agriculture and forestry equipment</v>
      </c>
      <c r="E43" s="30" t="str" cm="1">
        <f t="array" ref="E43">Common_InputFunctions.Utility_DisplayArrayInTable(Fuel_SourceData.Fuel_Scope1Scope3EmissionFactorsTransportOffRoad_Data(), Table_SourceData_Fuel_TransportOffroad[[#Headers],[Transport type t]],0)</f>
        <v>Diesel</v>
      </c>
      <c r="F43" s="30" cm="1">
        <f t="array" ref="F43">Common_InputFunctions.Utility_DisplayArrayInTable(Fuel_SourceData.Fuel_Scope1Scope3EmissionFactorsTransportOffRoad_Data(), Table_SourceData_Fuel_TransportOffroad[[#Headers],[Transport type t]],0)</f>
        <v>38.6</v>
      </c>
      <c r="G43" s="30" cm="1">
        <f t="array" ref="G43">Common_InputFunctions.Utility_DisplayArrayInTable(Fuel_SourceData.Fuel_Scope1Scope3EmissionFactorsTransportOffRoad_Data(), Table_SourceData_Fuel_TransportOffroad[[#Headers],[Transport type t]],0)</f>
        <v>69.900000000000006</v>
      </c>
      <c r="H43" s="30" cm="1">
        <f t="array" ref="H43">Common_InputFunctions.Utility_DisplayArrayInTable(Fuel_SourceData.Fuel_Scope1Scope3EmissionFactorsTransportOffRoad_Data(), Table_SourceData_Fuel_TransportOffroad[[#Headers],[Transport type t]],0)</f>
        <v>0.3</v>
      </c>
      <c r="I43" s="30" cm="1">
        <f t="array" ref="I43">Common_InputFunctions.Utility_DisplayArrayInTable(Fuel_SourceData.Fuel_Scope1Scope3EmissionFactorsTransportOffRoad_Data(), Table_SourceData_Fuel_TransportOffroad[[#Headers],[Transport type t]],0)</f>
        <v>0.5</v>
      </c>
      <c r="J43" s="30" cm="1">
        <f t="array" ref="J43">Common_InputFunctions.Utility_DisplayArrayInTable(Fuel_SourceData.Fuel_Scope1Scope3EmissionFactorsTransportOffRoad_Data(), Table_SourceData_Fuel_TransportOffroad[[#Headers],[Transport type t]],0)</f>
        <v>17.3</v>
      </c>
    </row>
    <row r="44" spans="1:12" ht="20.100000000000001" customHeight="1" x14ac:dyDescent="0.25">
      <c r="A44" s="5" t="str">
        <f>HYPERLINK("#'Constants - Common'!A1", "Constants - Common")</f>
        <v>Constants - Common</v>
      </c>
    </row>
    <row r="45" spans="1:12" ht="20.100000000000001" customHeight="1" x14ac:dyDescent="0.25">
      <c r="A45" s="5" t="str">
        <f>HYPERLINK("#'Acknowledgements'!A1", "Acknowledgements")</f>
        <v>Acknowledgements</v>
      </c>
    </row>
    <row r="46" spans="1:12" ht="20.100000000000001" customHeight="1" x14ac:dyDescent="0.25">
      <c r="A46" s="5" t="str">
        <f>HYPERLINK("#'Overview'!A1", "Overview")</f>
        <v>Overview</v>
      </c>
    </row>
    <row r="47" spans="1:12" ht="20.100000000000001" customHeight="1" x14ac:dyDescent="0.25"/>
    <row r="48" spans="1:12" ht="20.100000000000001" customHeight="1" x14ac:dyDescent="0.25"/>
    <row r="49" spans="4:12" ht="20.100000000000001" customHeight="1" x14ac:dyDescent="0.25">
      <c r="D49" s="2" t="str" cm="1">
        <f t="array" ref="D49">Fuel_SourceData.Fuel_Scope1Scope3EmissionFactorsStationaryLiquid_Title()</f>
        <v>Fuel scope 1 and 3 emission factors - Stationary liquid fuels</v>
      </c>
      <c r="E49" s="177"/>
      <c r="F49" s="177"/>
      <c r="G49" s="177"/>
      <c r="H49" s="177"/>
      <c r="I49" s="177"/>
      <c r="J49" s="177"/>
      <c r="K49" s="177"/>
      <c r="L49" s="177"/>
    </row>
    <row r="50" spans="4:12" ht="20.100000000000001" customHeight="1" x14ac:dyDescent="0.25">
      <c r="D50" s="1" t="str" cm="1">
        <f t="array" ref="D50">Fuel_SourceData.Fuel_Scope1Scope3EmissionFactorsStationaryLiquid_Description()</f>
        <v>Direct (Scope 1) and indirect (scope 3) emission factors for the consumption of liquid fuels, including certain petroleum based products for stationary energy purposes.</v>
      </c>
      <c r="E50" s="177"/>
      <c r="F50" s="177"/>
      <c r="G50" s="177"/>
      <c r="H50" s="177"/>
      <c r="I50" s="177"/>
      <c r="J50" s="177"/>
      <c r="K50" s="177"/>
      <c r="L50" s="177"/>
    </row>
    <row r="51" spans="4:12" ht="20.100000000000001" customHeight="1" x14ac:dyDescent="0.25">
      <c r="D51" s="27" t="str" cm="1">
        <f t="array" ref="D51">Fuel_SourceData.Fuel_Scope1Scope3EmissionFactorsStationaryLiquid_Source()</f>
        <v>Australian National Greenhouse Accounts Factors 2025 - Table 8</v>
      </c>
      <c r="E51" s="177"/>
      <c r="F51" s="177"/>
      <c r="G51" s="177"/>
      <c r="H51" s="177"/>
      <c r="I51" s="177"/>
      <c r="J51" s="177"/>
      <c r="K51" s="177"/>
      <c r="L51" s="177"/>
    </row>
    <row r="52" spans="4:12" ht="20.100000000000001" customHeight="1" x14ac:dyDescent="0.25">
      <c r="D52" s="36" t="str" cm="1">
        <f t="array" ref="D52">"⚠️" &amp; Fuel_SourceData.Fuel_Scope1Scope3EmissionFactorsStationaryLiquid_Variation()</f>
        <v>⚠️VARIATION OF SOURCE DATA: 'NE' values returned as zero for calculations.</v>
      </c>
      <c r="E52" s="177"/>
      <c r="F52" s="177"/>
      <c r="G52" s="177"/>
      <c r="H52" s="177"/>
      <c r="I52" s="177"/>
      <c r="J52" s="177"/>
      <c r="K52" s="177"/>
      <c r="L52" s="177"/>
    </row>
    <row r="53" spans="4:12" ht="20.100000000000001" customHeight="1" x14ac:dyDescent="0.25">
      <c r="D53" s="195" t="s">
        <v>759</v>
      </c>
      <c r="E53" s="226" t="s">
        <v>760</v>
      </c>
      <c r="F53" s="195" t="s">
        <v>761</v>
      </c>
      <c r="G53" s="226" t="s">
        <v>762</v>
      </c>
      <c r="H53" s="226" t="s">
        <v>763</v>
      </c>
      <c r="I53" s="226" t="s">
        <v>764</v>
      </c>
      <c r="J53" s="226" t="s">
        <v>765</v>
      </c>
      <c r="K53" s="226" t="s">
        <v>766</v>
      </c>
      <c r="L53" s="177"/>
    </row>
    <row r="54" spans="4:12" ht="20.100000000000001" customHeight="1" x14ac:dyDescent="0.25">
      <c r="D54" s="229" t="str" cm="1">
        <f t="array" ref="D54">Common_InputFunctions.Utility_DisplayArrayInTable(Fuel_SourceData.Fuel_Scope1Scope3EmissionFactorsStationaryLiquid_Data(), Table_Fuel_EFs_StationaryLiquid[[#Headers],[Fuel combusted]],0)</f>
        <v>Petroleum based oils (other than petroleum based oil used as fuel), e.g. lubricants</v>
      </c>
      <c r="E54" s="229" cm="1">
        <f t="array" ref="E54">Common_InputFunctions.Utility_DisplayArrayInTable(Fuel_SourceData.Fuel_Scope1Scope3EmissionFactorsStationaryLiquid_Data(), Table_Fuel_EFs_StationaryLiquid[[#Headers],[Fuel combusted]],0)</f>
        <v>38.799999999999997</v>
      </c>
      <c r="F54" s="229" t="str" cm="1">
        <f t="array" ref="F54">Common_InputFunctions.Utility_DisplayArrayInTable(Fuel_SourceData.Fuel_Scope1Scope3EmissionFactorsStationaryLiquid_Data(), Table_Fuel_EFs_StationaryLiquid[[#Headers],[Fuel combusted]],0)</f>
        <v>kl</v>
      </c>
      <c r="G54" s="229" cm="1">
        <f t="array" ref="G54">Common_InputFunctions.Utility_DisplayArrayInTable(Fuel_SourceData.Fuel_Scope1Scope3EmissionFactorsStationaryLiquid_Data(), Table_Fuel_EFs_StationaryLiquid[[#Headers],[Fuel combusted]],0)</f>
        <v>13.9</v>
      </c>
      <c r="H54" s="229" cm="1">
        <f t="array" ref="H54">Common_InputFunctions.Utility_DisplayArrayInTable(Fuel_SourceData.Fuel_Scope1Scope3EmissionFactorsStationaryLiquid_Data(), Table_Fuel_EFs_StationaryLiquid[[#Headers],[Fuel combusted]],0)</f>
        <v>0</v>
      </c>
      <c r="I54" s="229" cm="1">
        <f t="array" ref="I54">Common_InputFunctions.Utility_DisplayArrayInTable(Fuel_SourceData.Fuel_Scope1Scope3EmissionFactorsStationaryLiquid_Data(), Table_Fuel_EFs_StationaryLiquid[[#Headers],[Fuel combusted]],0)</f>
        <v>0</v>
      </c>
      <c r="J54" s="229" cm="1">
        <f t="array" ref="J54">Common_InputFunctions.Utility_DisplayArrayInTable(Fuel_SourceData.Fuel_Scope1Scope3EmissionFactorsStationaryLiquid_Data(), Table_Fuel_EFs_StationaryLiquid[[#Headers],[Fuel combusted]],0)</f>
        <v>13.9</v>
      </c>
      <c r="K54" s="229" cm="1">
        <f t="array" ref="K54">Common_InputFunctions.Utility_DisplayArrayInTable(Fuel_SourceData.Fuel_Scope1Scope3EmissionFactorsStationaryLiquid_Data(), Table_Fuel_EFs_StationaryLiquid[[#Headers],[Fuel combusted]],0)</f>
        <v>18</v>
      </c>
      <c r="L54" s="177"/>
    </row>
    <row r="55" spans="4:12" ht="20.100000000000001" customHeight="1" x14ac:dyDescent="0.25">
      <c r="D55" s="229" t="str" cm="1">
        <f t="array" ref="D55">Common_InputFunctions.Utility_DisplayArrayInTable(Fuel_SourceData.Fuel_Scope1Scope3EmissionFactorsStationaryLiquid_Data(), Table_Fuel_EFs_StationaryLiquid[[#Headers],[Fuel combusted]],0)</f>
        <v>Petroleum based greases</v>
      </c>
      <c r="E55" s="229" cm="1">
        <f t="array" ref="E55">Common_InputFunctions.Utility_DisplayArrayInTable(Fuel_SourceData.Fuel_Scope1Scope3EmissionFactorsStationaryLiquid_Data(), Table_Fuel_EFs_StationaryLiquid[[#Headers],[Fuel combusted]],0)</f>
        <v>38.799999999999997</v>
      </c>
      <c r="F55" s="229" t="str" cm="1">
        <f t="array" ref="F55">Common_InputFunctions.Utility_DisplayArrayInTable(Fuel_SourceData.Fuel_Scope1Scope3EmissionFactorsStationaryLiquid_Data(), Table_Fuel_EFs_StationaryLiquid[[#Headers],[Fuel combusted]],0)</f>
        <v>kl</v>
      </c>
      <c r="G55" s="229" cm="1">
        <f t="array" ref="G55">Common_InputFunctions.Utility_DisplayArrayInTable(Fuel_SourceData.Fuel_Scope1Scope3EmissionFactorsStationaryLiquid_Data(), Table_Fuel_EFs_StationaryLiquid[[#Headers],[Fuel combusted]],0)</f>
        <v>3.5</v>
      </c>
      <c r="H55" s="229" cm="1">
        <f t="array" ref="H55">Common_InputFunctions.Utility_DisplayArrayInTable(Fuel_SourceData.Fuel_Scope1Scope3EmissionFactorsStationaryLiquid_Data(), Table_Fuel_EFs_StationaryLiquid[[#Headers],[Fuel combusted]],0)</f>
        <v>0</v>
      </c>
      <c r="I55" s="229" cm="1">
        <f t="array" ref="I55">Common_InputFunctions.Utility_DisplayArrayInTable(Fuel_SourceData.Fuel_Scope1Scope3EmissionFactorsStationaryLiquid_Data(), Table_Fuel_EFs_StationaryLiquid[[#Headers],[Fuel combusted]],0)</f>
        <v>0</v>
      </c>
      <c r="J55" s="229" cm="1">
        <f t="array" ref="J55">Common_InputFunctions.Utility_DisplayArrayInTable(Fuel_SourceData.Fuel_Scope1Scope3EmissionFactorsStationaryLiquid_Data(), Table_Fuel_EFs_StationaryLiquid[[#Headers],[Fuel combusted]],0)</f>
        <v>3.5</v>
      </c>
      <c r="K55" s="229" cm="1">
        <f t="array" ref="K55">Common_InputFunctions.Utility_DisplayArrayInTable(Fuel_SourceData.Fuel_Scope1Scope3EmissionFactorsStationaryLiquid_Data(), Table_Fuel_EFs_StationaryLiquid[[#Headers],[Fuel combusted]],0)</f>
        <v>18</v>
      </c>
      <c r="L55" s="177"/>
    </row>
    <row r="56" spans="4:12" ht="20.100000000000001" customHeight="1" x14ac:dyDescent="0.25">
      <c r="D56" s="229" t="str" cm="1">
        <f t="array" ref="D56">Common_InputFunctions.Utility_DisplayArrayInTable(Fuel_SourceData.Fuel_Scope1Scope3EmissionFactorsStationaryLiquid_Data(), Table_Fuel_EFs_StationaryLiquid[[#Headers],[Fuel combusted]],0)</f>
        <v>Crude oil including crude oil condensates</v>
      </c>
      <c r="E56" s="229" cm="1">
        <f t="array" ref="E56">Common_InputFunctions.Utility_DisplayArrayInTable(Fuel_SourceData.Fuel_Scope1Scope3EmissionFactorsStationaryLiquid_Data(), Table_Fuel_EFs_StationaryLiquid[[#Headers],[Fuel combusted]],0)</f>
        <v>45.3</v>
      </c>
      <c r="F56" s="229" t="str" cm="1">
        <f t="array" ref="F56">Common_InputFunctions.Utility_DisplayArrayInTable(Fuel_SourceData.Fuel_Scope1Scope3EmissionFactorsStationaryLiquid_Data(), Table_Fuel_EFs_StationaryLiquid[[#Headers],[Fuel combusted]],0)</f>
        <v>t</v>
      </c>
      <c r="G56" s="229" cm="1">
        <f t="array" ref="G56">Common_InputFunctions.Utility_DisplayArrayInTable(Fuel_SourceData.Fuel_Scope1Scope3EmissionFactorsStationaryLiquid_Data(), Table_Fuel_EFs_StationaryLiquid[[#Headers],[Fuel combusted]],0)</f>
        <v>69.599999999999994</v>
      </c>
      <c r="H56" s="229" cm="1">
        <f t="array" ref="H56">Common_InputFunctions.Utility_DisplayArrayInTable(Fuel_SourceData.Fuel_Scope1Scope3EmissionFactorsStationaryLiquid_Data(), Table_Fuel_EFs_StationaryLiquid[[#Headers],[Fuel combusted]],0)</f>
        <v>0.08</v>
      </c>
      <c r="I56" s="229" cm="1">
        <f t="array" ref="I56">Common_InputFunctions.Utility_DisplayArrayInTable(Fuel_SourceData.Fuel_Scope1Scope3EmissionFactorsStationaryLiquid_Data(), Table_Fuel_EFs_StationaryLiquid[[#Headers],[Fuel combusted]],0)</f>
        <v>0.2</v>
      </c>
      <c r="J56" s="229" cm="1">
        <f t="array" ref="J56">Common_InputFunctions.Utility_DisplayArrayInTable(Fuel_SourceData.Fuel_Scope1Scope3EmissionFactorsStationaryLiquid_Data(), Table_Fuel_EFs_StationaryLiquid[[#Headers],[Fuel combusted]],0)</f>
        <v>69.88</v>
      </c>
      <c r="K56" s="229" t="str" cm="1">
        <f t="array" ref="K56">Common_InputFunctions.Utility_DisplayArrayInTable(Fuel_SourceData.Fuel_Scope1Scope3EmissionFactorsStationaryLiquid_Data(), Table_Fuel_EFs_StationaryLiquid[[#Headers],[Fuel combusted]],0)</f>
        <v>NE</v>
      </c>
      <c r="L56" s="177"/>
    </row>
    <row r="57" spans="4:12" ht="20.100000000000001" customHeight="1" x14ac:dyDescent="0.25">
      <c r="D57" s="229" t="str" cm="1">
        <f t="array" ref="D57">Common_InputFunctions.Utility_DisplayArrayInTable(Fuel_SourceData.Fuel_Scope1Scope3EmissionFactorsStationaryLiquid_Data(), Table_Fuel_EFs_StationaryLiquid[[#Headers],[Fuel combusted]],0)</f>
        <v>Other natural gas liquids</v>
      </c>
      <c r="E57" s="229" cm="1">
        <f t="array" ref="E57">Common_InputFunctions.Utility_DisplayArrayInTable(Fuel_SourceData.Fuel_Scope1Scope3EmissionFactorsStationaryLiquid_Data(), Table_Fuel_EFs_StationaryLiquid[[#Headers],[Fuel combusted]],0)</f>
        <v>46.5</v>
      </c>
      <c r="F57" s="229" t="str" cm="1">
        <f t="array" ref="F57">Common_InputFunctions.Utility_DisplayArrayInTable(Fuel_SourceData.Fuel_Scope1Scope3EmissionFactorsStationaryLiquid_Data(), Table_Fuel_EFs_StationaryLiquid[[#Headers],[Fuel combusted]],0)</f>
        <v>t</v>
      </c>
      <c r="G57" s="229" cm="1">
        <f t="array" ref="G57">Common_InputFunctions.Utility_DisplayArrayInTable(Fuel_SourceData.Fuel_Scope1Scope3EmissionFactorsStationaryLiquid_Data(), Table_Fuel_EFs_StationaryLiquid[[#Headers],[Fuel combusted]],0)</f>
        <v>61</v>
      </c>
      <c r="H57" s="229" cm="1">
        <f t="array" ref="H57">Common_InputFunctions.Utility_DisplayArrayInTable(Fuel_SourceData.Fuel_Scope1Scope3EmissionFactorsStationaryLiquid_Data(), Table_Fuel_EFs_StationaryLiquid[[#Headers],[Fuel combusted]],0)</f>
        <v>0.08</v>
      </c>
      <c r="I57" s="229" cm="1">
        <f t="array" ref="I57">Common_InputFunctions.Utility_DisplayArrayInTable(Fuel_SourceData.Fuel_Scope1Scope3EmissionFactorsStationaryLiquid_Data(), Table_Fuel_EFs_StationaryLiquid[[#Headers],[Fuel combusted]],0)</f>
        <v>0.2</v>
      </c>
      <c r="J57" s="229" cm="1">
        <f t="array" ref="J57">Common_InputFunctions.Utility_DisplayArrayInTable(Fuel_SourceData.Fuel_Scope1Scope3EmissionFactorsStationaryLiquid_Data(), Table_Fuel_EFs_StationaryLiquid[[#Headers],[Fuel combusted]],0)</f>
        <v>61.28</v>
      </c>
      <c r="K57" s="229" t="str" cm="1">
        <f t="array" ref="K57">Common_InputFunctions.Utility_DisplayArrayInTable(Fuel_SourceData.Fuel_Scope1Scope3EmissionFactorsStationaryLiquid_Data(), Table_Fuel_EFs_StationaryLiquid[[#Headers],[Fuel combusted]],0)</f>
        <v>NE</v>
      </c>
      <c r="L57" s="177"/>
    </row>
    <row r="58" spans="4:12" ht="20.100000000000001" customHeight="1" x14ac:dyDescent="0.25">
      <c r="D58" s="229" t="str" cm="1">
        <f t="array" ref="D58">Common_InputFunctions.Utility_DisplayArrayInTable(Fuel_SourceData.Fuel_Scope1Scope3EmissionFactorsStationaryLiquid_Data(), Table_Fuel_EFs_StationaryLiquid[[#Headers],[Fuel combusted]],0)</f>
        <v>Automotive gasoline / petrol (other than for use as fuel in an aircraft)</v>
      </c>
      <c r="E58" s="229" cm="1">
        <f t="array" ref="E58">Common_InputFunctions.Utility_DisplayArrayInTable(Fuel_SourceData.Fuel_Scope1Scope3EmissionFactorsStationaryLiquid_Data(), Table_Fuel_EFs_StationaryLiquid[[#Headers],[Fuel combusted]],0)</f>
        <v>34.200000000000003</v>
      </c>
      <c r="F58" s="229" t="str" cm="1">
        <f t="array" ref="F58">Common_InputFunctions.Utility_DisplayArrayInTable(Fuel_SourceData.Fuel_Scope1Scope3EmissionFactorsStationaryLiquid_Data(), Table_Fuel_EFs_StationaryLiquid[[#Headers],[Fuel combusted]],0)</f>
        <v>kL</v>
      </c>
      <c r="G58" s="229" cm="1">
        <f t="array" ref="G58">Common_InputFunctions.Utility_DisplayArrayInTable(Fuel_SourceData.Fuel_Scope1Scope3EmissionFactorsStationaryLiquid_Data(), Table_Fuel_EFs_StationaryLiquid[[#Headers],[Fuel combusted]],0)</f>
        <v>67.400000000000006</v>
      </c>
      <c r="H58" s="229" cm="1">
        <f t="array" ref="H58">Common_InputFunctions.Utility_DisplayArrayInTable(Fuel_SourceData.Fuel_Scope1Scope3EmissionFactorsStationaryLiquid_Data(), Table_Fuel_EFs_StationaryLiquid[[#Headers],[Fuel combusted]],0)</f>
        <v>0.2</v>
      </c>
      <c r="I58" s="229" cm="1">
        <f t="array" ref="I58">Common_InputFunctions.Utility_DisplayArrayInTable(Fuel_SourceData.Fuel_Scope1Scope3EmissionFactorsStationaryLiquid_Data(), Table_Fuel_EFs_StationaryLiquid[[#Headers],[Fuel combusted]],0)</f>
        <v>0.2</v>
      </c>
      <c r="J58" s="229" cm="1">
        <f t="array" ref="J58">Common_InputFunctions.Utility_DisplayArrayInTable(Fuel_SourceData.Fuel_Scope1Scope3EmissionFactorsStationaryLiquid_Data(), Table_Fuel_EFs_StationaryLiquid[[#Headers],[Fuel combusted]],0)</f>
        <v>67.8</v>
      </c>
      <c r="K58" s="229" cm="1">
        <f t="array" ref="K58">Common_InputFunctions.Utility_DisplayArrayInTable(Fuel_SourceData.Fuel_Scope1Scope3EmissionFactorsStationaryLiquid_Data(), Table_Fuel_EFs_StationaryLiquid[[#Headers],[Fuel combusted]],0)</f>
        <v>17.2</v>
      </c>
      <c r="L58" s="177"/>
    </row>
    <row r="59" spans="4:12" ht="20.100000000000001" customHeight="1" x14ac:dyDescent="0.25">
      <c r="D59" s="229" t="str" cm="1">
        <f t="array" ref="D59">Common_InputFunctions.Utility_DisplayArrayInTable(Fuel_SourceData.Fuel_Scope1Scope3EmissionFactorsStationaryLiquid_Data(), Table_Fuel_EFs_StationaryLiquid[[#Headers],[Fuel combusted]],0)</f>
        <v>Aviation gasoline</v>
      </c>
      <c r="E59" s="229" cm="1">
        <f t="array" ref="E59">Common_InputFunctions.Utility_DisplayArrayInTable(Fuel_SourceData.Fuel_Scope1Scope3EmissionFactorsStationaryLiquid_Data(), Table_Fuel_EFs_StationaryLiquid[[#Headers],[Fuel combusted]],0)</f>
        <v>33.1</v>
      </c>
      <c r="F59" s="229" t="str" cm="1">
        <f t="array" ref="F59">Common_InputFunctions.Utility_DisplayArrayInTable(Fuel_SourceData.Fuel_Scope1Scope3EmissionFactorsStationaryLiquid_Data(), Table_Fuel_EFs_StationaryLiquid[[#Headers],[Fuel combusted]],0)</f>
        <v>kL</v>
      </c>
      <c r="G59" s="229" cm="1">
        <f t="array" ref="G59">Common_InputFunctions.Utility_DisplayArrayInTable(Fuel_SourceData.Fuel_Scope1Scope3EmissionFactorsStationaryLiquid_Data(), Table_Fuel_EFs_StationaryLiquid[[#Headers],[Fuel combusted]],0)</f>
        <v>67</v>
      </c>
      <c r="H59" s="229" cm="1">
        <f t="array" ref="H59">Common_InputFunctions.Utility_DisplayArrayInTable(Fuel_SourceData.Fuel_Scope1Scope3EmissionFactorsStationaryLiquid_Data(), Table_Fuel_EFs_StationaryLiquid[[#Headers],[Fuel combusted]],0)</f>
        <v>0.2</v>
      </c>
      <c r="I59" s="229" cm="1">
        <f t="array" ref="I59">Common_InputFunctions.Utility_DisplayArrayInTable(Fuel_SourceData.Fuel_Scope1Scope3EmissionFactorsStationaryLiquid_Data(), Table_Fuel_EFs_StationaryLiquid[[#Headers],[Fuel combusted]],0)</f>
        <v>0.2</v>
      </c>
      <c r="J59" s="229" cm="1">
        <f t="array" ref="J59">Common_InputFunctions.Utility_DisplayArrayInTable(Fuel_SourceData.Fuel_Scope1Scope3EmissionFactorsStationaryLiquid_Data(), Table_Fuel_EFs_StationaryLiquid[[#Headers],[Fuel combusted]],0)</f>
        <v>67.400000000000006</v>
      </c>
      <c r="K59" s="229" cm="1">
        <f t="array" ref="K59">Common_InputFunctions.Utility_DisplayArrayInTable(Fuel_SourceData.Fuel_Scope1Scope3EmissionFactorsStationaryLiquid_Data(), Table_Fuel_EFs_StationaryLiquid[[#Headers],[Fuel combusted]],0)</f>
        <v>18</v>
      </c>
      <c r="L59" s="177"/>
    </row>
    <row r="60" spans="4:12" ht="20.100000000000001" customHeight="1" x14ac:dyDescent="0.25">
      <c r="D60" s="229" t="str" cm="1">
        <f t="array" ref="D60">Common_InputFunctions.Utility_DisplayArrayInTable(Fuel_SourceData.Fuel_Scope1Scope3EmissionFactorsStationaryLiquid_Data(), Table_Fuel_EFs_StationaryLiquid[[#Headers],[Fuel combusted]],0)</f>
        <v>Kerosene (other than for use as fuel in an aircraft)</v>
      </c>
      <c r="E60" s="229" cm="1">
        <f t="array" ref="E60">Common_InputFunctions.Utility_DisplayArrayInTable(Fuel_SourceData.Fuel_Scope1Scope3EmissionFactorsStationaryLiquid_Data(), Table_Fuel_EFs_StationaryLiquid[[#Headers],[Fuel combusted]],0)</f>
        <v>37.5</v>
      </c>
      <c r="F60" s="229" t="str" cm="1">
        <f t="array" ref="F60">Common_InputFunctions.Utility_DisplayArrayInTable(Fuel_SourceData.Fuel_Scope1Scope3EmissionFactorsStationaryLiquid_Data(), Table_Fuel_EFs_StationaryLiquid[[#Headers],[Fuel combusted]],0)</f>
        <v>kL</v>
      </c>
      <c r="G60" s="229" cm="1">
        <f t="array" ref="G60">Common_InputFunctions.Utility_DisplayArrayInTable(Fuel_SourceData.Fuel_Scope1Scope3EmissionFactorsStationaryLiquid_Data(), Table_Fuel_EFs_StationaryLiquid[[#Headers],[Fuel combusted]],0)</f>
        <v>68.900000000000006</v>
      </c>
      <c r="H60" s="229" cm="1">
        <f t="array" ref="H60">Common_InputFunctions.Utility_DisplayArrayInTable(Fuel_SourceData.Fuel_Scope1Scope3EmissionFactorsStationaryLiquid_Data(), Table_Fuel_EFs_StationaryLiquid[[#Headers],[Fuel combusted]],0)</f>
        <v>0.01</v>
      </c>
      <c r="I60" s="229" cm="1">
        <f t="array" ref="I60">Common_InputFunctions.Utility_DisplayArrayInTable(Fuel_SourceData.Fuel_Scope1Scope3EmissionFactorsStationaryLiquid_Data(), Table_Fuel_EFs_StationaryLiquid[[#Headers],[Fuel combusted]],0)</f>
        <v>0.2</v>
      </c>
      <c r="J60" s="229" cm="1">
        <f t="array" ref="J60">Common_InputFunctions.Utility_DisplayArrayInTable(Fuel_SourceData.Fuel_Scope1Scope3EmissionFactorsStationaryLiquid_Data(), Table_Fuel_EFs_StationaryLiquid[[#Headers],[Fuel combusted]],0)</f>
        <v>69.11</v>
      </c>
      <c r="K60" s="229" cm="1">
        <f t="array" ref="K60">Common_InputFunctions.Utility_DisplayArrayInTable(Fuel_SourceData.Fuel_Scope1Scope3EmissionFactorsStationaryLiquid_Data(), Table_Fuel_EFs_StationaryLiquid[[#Headers],[Fuel combusted]],0)</f>
        <v>18</v>
      </c>
      <c r="L60" s="177"/>
    </row>
    <row r="61" spans="4:12" ht="20.100000000000001" customHeight="1" x14ac:dyDescent="0.25">
      <c r="D61" s="229" t="str" cm="1">
        <f t="array" ref="D61">Common_InputFunctions.Utility_DisplayArrayInTable(Fuel_SourceData.Fuel_Scope1Scope3EmissionFactorsStationaryLiquid_Data(), Table_Fuel_EFs_StationaryLiquid[[#Headers],[Fuel combusted]],0)</f>
        <v>Aviation turbine fuel / kerosene</v>
      </c>
      <c r="E61" s="229" cm="1">
        <f t="array" ref="E61">Common_InputFunctions.Utility_DisplayArrayInTable(Fuel_SourceData.Fuel_Scope1Scope3EmissionFactorsStationaryLiquid_Data(), Table_Fuel_EFs_StationaryLiquid[[#Headers],[Fuel combusted]],0)</f>
        <v>36.799999999999997</v>
      </c>
      <c r="F61" s="229" t="str" cm="1">
        <f t="array" ref="F61">Common_InputFunctions.Utility_DisplayArrayInTable(Fuel_SourceData.Fuel_Scope1Scope3EmissionFactorsStationaryLiquid_Data(), Table_Fuel_EFs_StationaryLiquid[[#Headers],[Fuel combusted]],0)</f>
        <v>kL</v>
      </c>
      <c r="G61" s="229" cm="1">
        <f t="array" ref="G61">Common_InputFunctions.Utility_DisplayArrayInTable(Fuel_SourceData.Fuel_Scope1Scope3EmissionFactorsStationaryLiquid_Data(), Table_Fuel_EFs_StationaryLiquid[[#Headers],[Fuel combusted]],0)</f>
        <v>69.599999999999994</v>
      </c>
      <c r="H61" s="229" cm="1">
        <f t="array" ref="H61">Common_InputFunctions.Utility_DisplayArrayInTable(Fuel_SourceData.Fuel_Scope1Scope3EmissionFactorsStationaryLiquid_Data(), Table_Fuel_EFs_StationaryLiquid[[#Headers],[Fuel combusted]],0)</f>
        <v>0.02</v>
      </c>
      <c r="I61" s="229" cm="1">
        <f t="array" ref="I61">Common_InputFunctions.Utility_DisplayArrayInTable(Fuel_SourceData.Fuel_Scope1Scope3EmissionFactorsStationaryLiquid_Data(), Table_Fuel_EFs_StationaryLiquid[[#Headers],[Fuel combusted]],0)</f>
        <v>0.2</v>
      </c>
      <c r="J61" s="229" cm="1">
        <f t="array" ref="J61">Common_InputFunctions.Utility_DisplayArrayInTable(Fuel_SourceData.Fuel_Scope1Scope3EmissionFactorsStationaryLiquid_Data(), Table_Fuel_EFs_StationaryLiquid[[#Headers],[Fuel combusted]],0)</f>
        <v>69.819999999999993</v>
      </c>
      <c r="K61" s="229" cm="1">
        <f t="array" ref="K61">Common_InputFunctions.Utility_DisplayArrayInTable(Fuel_SourceData.Fuel_Scope1Scope3EmissionFactorsStationaryLiquid_Data(), Table_Fuel_EFs_StationaryLiquid[[#Headers],[Fuel combusted]],0)</f>
        <v>18</v>
      </c>
      <c r="L61" s="177"/>
    </row>
    <row r="62" spans="4:12" ht="20.100000000000001" customHeight="1" x14ac:dyDescent="0.25">
      <c r="D62" s="229" t="str" cm="1">
        <f t="array" ref="D62">Common_InputFunctions.Utility_DisplayArrayInTable(Fuel_SourceData.Fuel_Scope1Scope3EmissionFactorsStationaryLiquid_Data(), Table_Fuel_EFs_StationaryLiquid[[#Headers],[Fuel combusted]],0)</f>
        <v>Heating oil</v>
      </c>
      <c r="E62" s="229" cm="1">
        <f t="array" ref="E62">Common_InputFunctions.Utility_DisplayArrayInTable(Fuel_SourceData.Fuel_Scope1Scope3EmissionFactorsStationaryLiquid_Data(), Table_Fuel_EFs_StationaryLiquid[[#Headers],[Fuel combusted]],0)</f>
        <v>37.299999999999997</v>
      </c>
      <c r="F62" s="229" t="str" cm="1">
        <f t="array" ref="F62">Common_InputFunctions.Utility_DisplayArrayInTable(Fuel_SourceData.Fuel_Scope1Scope3EmissionFactorsStationaryLiquid_Data(), Table_Fuel_EFs_StationaryLiquid[[#Headers],[Fuel combusted]],0)</f>
        <v>kL</v>
      </c>
      <c r="G62" s="229" cm="1">
        <f t="array" ref="G62">Common_InputFunctions.Utility_DisplayArrayInTable(Fuel_SourceData.Fuel_Scope1Scope3EmissionFactorsStationaryLiquid_Data(), Table_Fuel_EFs_StationaryLiquid[[#Headers],[Fuel combusted]],0)</f>
        <v>69.5</v>
      </c>
      <c r="H62" s="229" cm="1">
        <f t="array" ref="H62">Common_InputFunctions.Utility_DisplayArrayInTable(Fuel_SourceData.Fuel_Scope1Scope3EmissionFactorsStationaryLiquid_Data(), Table_Fuel_EFs_StationaryLiquid[[#Headers],[Fuel combusted]],0)</f>
        <v>0.03</v>
      </c>
      <c r="I62" s="229" cm="1">
        <f t="array" ref="I62">Common_InputFunctions.Utility_DisplayArrayInTable(Fuel_SourceData.Fuel_Scope1Scope3EmissionFactorsStationaryLiquid_Data(), Table_Fuel_EFs_StationaryLiquid[[#Headers],[Fuel combusted]],0)</f>
        <v>0.2</v>
      </c>
      <c r="J62" s="229" cm="1">
        <f t="array" ref="J62">Common_InputFunctions.Utility_DisplayArrayInTable(Fuel_SourceData.Fuel_Scope1Scope3EmissionFactorsStationaryLiquid_Data(), Table_Fuel_EFs_StationaryLiquid[[#Headers],[Fuel combusted]],0)</f>
        <v>69.73</v>
      </c>
      <c r="K62" s="229" cm="1">
        <f t="array" ref="K62">Common_InputFunctions.Utility_DisplayArrayInTable(Fuel_SourceData.Fuel_Scope1Scope3EmissionFactorsStationaryLiquid_Data(), Table_Fuel_EFs_StationaryLiquid[[#Headers],[Fuel combusted]],0)</f>
        <v>18</v>
      </c>
      <c r="L62" s="177"/>
    </row>
    <row r="63" spans="4:12" ht="20.100000000000001" customHeight="1" x14ac:dyDescent="0.25">
      <c r="D63" s="229" t="str" cm="1">
        <f t="array" ref="D63">Common_InputFunctions.Utility_DisplayArrayInTable(Fuel_SourceData.Fuel_Scope1Scope3EmissionFactorsStationaryLiquid_Data(), Table_Fuel_EFs_StationaryLiquid[[#Headers],[Fuel combusted]],0)</f>
        <v>Diesel oil</v>
      </c>
      <c r="E63" s="229" cm="1">
        <f t="array" ref="E63">Common_InputFunctions.Utility_DisplayArrayInTable(Fuel_SourceData.Fuel_Scope1Scope3EmissionFactorsStationaryLiquid_Data(), Table_Fuel_EFs_StationaryLiquid[[#Headers],[Fuel combusted]],0)</f>
        <v>38.6</v>
      </c>
      <c r="F63" s="229" t="str" cm="1">
        <f t="array" ref="F63">Common_InputFunctions.Utility_DisplayArrayInTable(Fuel_SourceData.Fuel_Scope1Scope3EmissionFactorsStationaryLiquid_Data(), Table_Fuel_EFs_StationaryLiquid[[#Headers],[Fuel combusted]],0)</f>
        <v>kL</v>
      </c>
      <c r="G63" s="229" cm="1">
        <f t="array" ref="G63">Common_InputFunctions.Utility_DisplayArrayInTable(Fuel_SourceData.Fuel_Scope1Scope3EmissionFactorsStationaryLiquid_Data(), Table_Fuel_EFs_StationaryLiquid[[#Headers],[Fuel combusted]],0)</f>
        <v>69.900000000000006</v>
      </c>
      <c r="H63" s="229" cm="1">
        <f t="array" ref="H63">Common_InputFunctions.Utility_DisplayArrayInTable(Fuel_SourceData.Fuel_Scope1Scope3EmissionFactorsStationaryLiquid_Data(), Table_Fuel_EFs_StationaryLiquid[[#Headers],[Fuel combusted]],0)</f>
        <v>0.1</v>
      </c>
      <c r="I63" s="229" cm="1">
        <f t="array" ref="I63">Common_InputFunctions.Utility_DisplayArrayInTable(Fuel_SourceData.Fuel_Scope1Scope3EmissionFactorsStationaryLiquid_Data(), Table_Fuel_EFs_StationaryLiquid[[#Headers],[Fuel combusted]],0)</f>
        <v>0.2</v>
      </c>
      <c r="J63" s="229" cm="1">
        <f t="array" ref="J63">Common_InputFunctions.Utility_DisplayArrayInTable(Fuel_SourceData.Fuel_Scope1Scope3EmissionFactorsStationaryLiquid_Data(), Table_Fuel_EFs_StationaryLiquid[[#Headers],[Fuel combusted]],0)</f>
        <v>70.2</v>
      </c>
      <c r="K63" s="229" cm="1">
        <f t="array" ref="K63">Common_InputFunctions.Utility_DisplayArrayInTable(Fuel_SourceData.Fuel_Scope1Scope3EmissionFactorsStationaryLiquid_Data(), Table_Fuel_EFs_StationaryLiquid[[#Headers],[Fuel combusted]],0)</f>
        <v>17.3</v>
      </c>
      <c r="L63" s="177"/>
    </row>
    <row r="64" spans="4:12" ht="20.100000000000001" customHeight="1" x14ac:dyDescent="0.25">
      <c r="D64" s="229" t="str" cm="1">
        <f t="array" ref="D64">Common_InputFunctions.Utility_DisplayArrayInTable(Fuel_SourceData.Fuel_Scope1Scope3EmissionFactorsStationaryLiquid_Data(), Table_Fuel_EFs_StationaryLiquid[[#Headers],[Fuel combusted]],0)</f>
        <v>Fuel oil</v>
      </c>
      <c r="E64" s="229" cm="1">
        <f t="array" ref="E64">Common_InputFunctions.Utility_DisplayArrayInTable(Fuel_SourceData.Fuel_Scope1Scope3EmissionFactorsStationaryLiquid_Data(), Table_Fuel_EFs_StationaryLiquid[[#Headers],[Fuel combusted]],0)</f>
        <v>39.700000000000003</v>
      </c>
      <c r="F64" s="229" t="str" cm="1">
        <f t="array" ref="F64">Common_InputFunctions.Utility_DisplayArrayInTable(Fuel_SourceData.Fuel_Scope1Scope3EmissionFactorsStationaryLiquid_Data(), Table_Fuel_EFs_StationaryLiquid[[#Headers],[Fuel combusted]],0)</f>
        <v>kL</v>
      </c>
      <c r="G64" s="229" cm="1">
        <f t="array" ref="G64">Common_InputFunctions.Utility_DisplayArrayInTable(Fuel_SourceData.Fuel_Scope1Scope3EmissionFactorsStationaryLiquid_Data(), Table_Fuel_EFs_StationaryLiquid[[#Headers],[Fuel combusted]],0)</f>
        <v>73.599999999999994</v>
      </c>
      <c r="H64" s="229" cm="1">
        <f t="array" ref="H64">Common_InputFunctions.Utility_DisplayArrayInTable(Fuel_SourceData.Fuel_Scope1Scope3EmissionFactorsStationaryLiquid_Data(), Table_Fuel_EFs_StationaryLiquid[[#Headers],[Fuel combusted]],0)</f>
        <v>0.04</v>
      </c>
      <c r="I64" s="229" cm="1">
        <f t="array" ref="I64">Common_InputFunctions.Utility_DisplayArrayInTable(Fuel_SourceData.Fuel_Scope1Scope3EmissionFactorsStationaryLiquid_Data(), Table_Fuel_EFs_StationaryLiquid[[#Headers],[Fuel combusted]],0)</f>
        <v>0.2</v>
      </c>
      <c r="J64" s="229" cm="1">
        <f t="array" ref="J64">Common_InputFunctions.Utility_DisplayArrayInTable(Fuel_SourceData.Fuel_Scope1Scope3EmissionFactorsStationaryLiquid_Data(), Table_Fuel_EFs_StationaryLiquid[[#Headers],[Fuel combusted]],0)</f>
        <v>73.84</v>
      </c>
      <c r="K64" s="229" cm="1">
        <f t="array" ref="K64">Common_InputFunctions.Utility_DisplayArrayInTable(Fuel_SourceData.Fuel_Scope1Scope3EmissionFactorsStationaryLiquid_Data(), Table_Fuel_EFs_StationaryLiquid[[#Headers],[Fuel combusted]],0)</f>
        <v>18</v>
      </c>
      <c r="L64" s="177"/>
    </row>
    <row r="65" spans="4:13" ht="20.100000000000001" customHeight="1" x14ac:dyDescent="0.25">
      <c r="D65" s="229" t="str" cm="1">
        <f t="array" ref="D65">Common_InputFunctions.Utility_DisplayArrayInTable(Fuel_SourceData.Fuel_Scope1Scope3EmissionFactorsStationaryLiquid_Data(), Table_Fuel_EFs_StationaryLiquid[[#Headers],[Fuel combusted]],0)</f>
        <v>Liquefied aromatic hydrocarbons</v>
      </c>
      <c r="E65" s="229" cm="1">
        <f t="array" ref="E65">Common_InputFunctions.Utility_DisplayArrayInTable(Fuel_SourceData.Fuel_Scope1Scope3EmissionFactorsStationaryLiquid_Data(), Table_Fuel_EFs_StationaryLiquid[[#Headers],[Fuel combusted]],0)</f>
        <v>34.4</v>
      </c>
      <c r="F65" s="229" t="str" cm="1">
        <f t="array" ref="F65">Common_InputFunctions.Utility_DisplayArrayInTable(Fuel_SourceData.Fuel_Scope1Scope3EmissionFactorsStationaryLiquid_Data(), Table_Fuel_EFs_StationaryLiquid[[#Headers],[Fuel combusted]],0)</f>
        <v>kL</v>
      </c>
      <c r="G65" s="229" cm="1">
        <f t="array" ref="G65">Common_InputFunctions.Utility_DisplayArrayInTable(Fuel_SourceData.Fuel_Scope1Scope3EmissionFactorsStationaryLiquid_Data(), Table_Fuel_EFs_StationaryLiquid[[#Headers],[Fuel combusted]],0)</f>
        <v>69.7</v>
      </c>
      <c r="H65" s="229" cm="1">
        <f t="array" ref="H65">Common_InputFunctions.Utility_DisplayArrayInTable(Fuel_SourceData.Fuel_Scope1Scope3EmissionFactorsStationaryLiquid_Data(), Table_Fuel_EFs_StationaryLiquid[[#Headers],[Fuel combusted]],0)</f>
        <v>0.03</v>
      </c>
      <c r="I65" s="229" cm="1">
        <f t="array" ref="I65">Common_InputFunctions.Utility_DisplayArrayInTable(Fuel_SourceData.Fuel_Scope1Scope3EmissionFactorsStationaryLiquid_Data(), Table_Fuel_EFs_StationaryLiquid[[#Headers],[Fuel combusted]],0)</f>
        <v>0.2</v>
      </c>
      <c r="J65" s="229" cm="1">
        <f t="array" ref="J65">Common_InputFunctions.Utility_DisplayArrayInTable(Fuel_SourceData.Fuel_Scope1Scope3EmissionFactorsStationaryLiquid_Data(), Table_Fuel_EFs_StationaryLiquid[[#Headers],[Fuel combusted]],0)</f>
        <v>69.930000000000007</v>
      </c>
      <c r="K65" s="229" cm="1">
        <f t="array" ref="K65">Common_InputFunctions.Utility_DisplayArrayInTable(Fuel_SourceData.Fuel_Scope1Scope3EmissionFactorsStationaryLiquid_Data(), Table_Fuel_EFs_StationaryLiquid[[#Headers],[Fuel combusted]],0)</f>
        <v>18</v>
      </c>
      <c r="L65" s="177"/>
    </row>
    <row r="66" spans="4:13" ht="20.100000000000001" customHeight="1" x14ac:dyDescent="0.25">
      <c r="D66" s="229" t="str" cm="1">
        <f t="array" ref="D66">Common_InputFunctions.Utility_DisplayArrayInTable(Fuel_SourceData.Fuel_Scope1Scope3EmissionFactorsStationaryLiquid_Data(), Table_Fuel_EFs_StationaryLiquid[[#Headers],[Fuel combusted]],0)</f>
        <v>Solvents: mineral turpentine or white spirits</v>
      </c>
      <c r="E66" s="229" cm="1">
        <f t="array" ref="E66">Common_InputFunctions.Utility_DisplayArrayInTable(Fuel_SourceData.Fuel_Scope1Scope3EmissionFactorsStationaryLiquid_Data(), Table_Fuel_EFs_StationaryLiquid[[#Headers],[Fuel combusted]],0)</f>
        <v>34.4</v>
      </c>
      <c r="F66" s="229" t="str" cm="1">
        <f t="array" ref="F66">Common_InputFunctions.Utility_DisplayArrayInTable(Fuel_SourceData.Fuel_Scope1Scope3EmissionFactorsStationaryLiquid_Data(), Table_Fuel_EFs_StationaryLiquid[[#Headers],[Fuel combusted]],0)</f>
        <v>kL</v>
      </c>
      <c r="G66" s="229" cm="1">
        <f t="array" ref="G66">Common_InputFunctions.Utility_DisplayArrayInTable(Fuel_SourceData.Fuel_Scope1Scope3EmissionFactorsStationaryLiquid_Data(), Table_Fuel_EFs_StationaryLiquid[[#Headers],[Fuel combusted]],0)</f>
        <v>69.7</v>
      </c>
      <c r="H66" s="229" cm="1">
        <f t="array" ref="H66">Common_InputFunctions.Utility_DisplayArrayInTable(Fuel_SourceData.Fuel_Scope1Scope3EmissionFactorsStationaryLiquid_Data(), Table_Fuel_EFs_StationaryLiquid[[#Headers],[Fuel combusted]],0)</f>
        <v>0.03</v>
      </c>
      <c r="I66" s="229" cm="1">
        <f t="array" ref="I66">Common_InputFunctions.Utility_DisplayArrayInTable(Fuel_SourceData.Fuel_Scope1Scope3EmissionFactorsStationaryLiquid_Data(), Table_Fuel_EFs_StationaryLiquid[[#Headers],[Fuel combusted]],0)</f>
        <v>0.2</v>
      </c>
      <c r="J66" s="229" cm="1">
        <f t="array" ref="J66">Common_InputFunctions.Utility_DisplayArrayInTable(Fuel_SourceData.Fuel_Scope1Scope3EmissionFactorsStationaryLiquid_Data(), Table_Fuel_EFs_StationaryLiquid[[#Headers],[Fuel combusted]],0)</f>
        <v>69.930000000000007</v>
      </c>
      <c r="K66" s="229" cm="1">
        <f t="array" ref="K66">Common_InputFunctions.Utility_DisplayArrayInTable(Fuel_SourceData.Fuel_Scope1Scope3EmissionFactorsStationaryLiquid_Data(), Table_Fuel_EFs_StationaryLiquid[[#Headers],[Fuel combusted]],0)</f>
        <v>18</v>
      </c>
      <c r="L66" s="177"/>
    </row>
    <row r="67" spans="4:13" ht="20.100000000000001" customHeight="1" x14ac:dyDescent="0.25">
      <c r="D67" s="229" t="str" cm="1">
        <f t="array" ref="D67">Common_InputFunctions.Utility_DisplayArrayInTable(Fuel_SourceData.Fuel_Scope1Scope3EmissionFactorsStationaryLiquid_Data(), Table_Fuel_EFs_StationaryLiquid[[#Headers],[Fuel combusted]],0)</f>
        <v>Liquefied petroleum gas (LPG)</v>
      </c>
      <c r="E67" s="229" cm="1">
        <f t="array" ref="E67">Common_InputFunctions.Utility_DisplayArrayInTable(Fuel_SourceData.Fuel_Scope1Scope3EmissionFactorsStationaryLiquid_Data(), Table_Fuel_EFs_StationaryLiquid[[#Headers],[Fuel combusted]],0)</f>
        <v>25.7</v>
      </c>
      <c r="F67" s="229" t="str" cm="1">
        <f t="array" ref="F67">Common_InputFunctions.Utility_DisplayArrayInTable(Fuel_SourceData.Fuel_Scope1Scope3EmissionFactorsStationaryLiquid_Data(), Table_Fuel_EFs_StationaryLiquid[[#Headers],[Fuel combusted]],0)</f>
        <v>kL</v>
      </c>
      <c r="G67" s="229" cm="1">
        <f t="array" ref="G67">Common_InputFunctions.Utility_DisplayArrayInTable(Fuel_SourceData.Fuel_Scope1Scope3EmissionFactorsStationaryLiquid_Data(), Table_Fuel_EFs_StationaryLiquid[[#Headers],[Fuel combusted]],0)</f>
        <v>60.2</v>
      </c>
      <c r="H67" s="229" cm="1">
        <f t="array" ref="H67">Common_InputFunctions.Utility_DisplayArrayInTable(Fuel_SourceData.Fuel_Scope1Scope3EmissionFactorsStationaryLiquid_Data(), Table_Fuel_EFs_StationaryLiquid[[#Headers],[Fuel combusted]],0)</f>
        <v>0.2</v>
      </c>
      <c r="I67" s="229" cm="1">
        <f t="array" ref="I67">Common_InputFunctions.Utility_DisplayArrayInTable(Fuel_SourceData.Fuel_Scope1Scope3EmissionFactorsStationaryLiquid_Data(), Table_Fuel_EFs_StationaryLiquid[[#Headers],[Fuel combusted]],0)</f>
        <v>0.2</v>
      </c>
      <c r="J67" s="229" cm="1">
        <f t="array" ref="J67">Common_InputFunctions.Utility_DisplayArrayInTable(Fuel_SourceData.Fuel_Scope1Scope3EmissionFactorsStationaryLiquid_Data(), Table_Fuel_EFs_StationaryLiquid[[#Headers],[Fuel combusted]],0)</f>
        <v>60.6</v>
      </c>
      <c r="K67" s="229" cm="1">
        <f t="array" ref="K67">Common_InputFunctions.Utility_DisplayArrayInTable(Fuel_SourceData.Fuel_Scope1Scope3EmissionFactorsStationaryLiquid_Data(), Table_Fuel_EFs_StationaryLiquid[[#Headers],[Fuel combusted]],0)</f>
        <v>20.2</v>
      </c>
      <c r="L67" s="177"/>
    </row>
    <row r="68" spans="4:13" ht="20.100000000000001" customHeight="1" x14ac:dyDescent="0.25">
      <c r="D68" s="229" t="str" cm="1">
        <f t="array" ref="D68">Common_InputFunctions.Utility_DisplayArrayInTable(Fuel_SourceData.Fuel_Scope1Scope3EmissionFactorsStationaryLiquid_Data(), Table_Fuel_EFs_StationaryLiquid[[#Headers],[Fuel combusted]],0)</f>
        <v>Naphtha</v>
      </c>
      <c r="E68" s="229" cm="1">
        <f t="array" ref="E68">Common_InputFunctions.Utility_DisplayArrayInTable(Fuel_SourceData.Fuel_Scope1Scope3EmissionFactorsStationaryLiquid_Data(), Table_Fuel_EFs_StationaryLiquid[[#Headers],[Fuel combusted]],0)</f>
        <v>31.4</v>
      </c>
      <c r="F68" s="229" t="str" cm="1">
        <f t="array" ref="F68">Common_InputFunctions.Utility_DisplayArrayInTable(Fuel_SourceData.Fuel_Scope1Scope3EmissionFactorsStationaryLiquid_Data(), Table_Fuel_EFs_StationaryLiquid[[#Headers],[Fuel combusted]],0)</f>
        <v>kL</v>
      </c>
      <c r="G68" s="229" cm="1">
        <f t="array" ref="G68">Common_InputFunctions.Utility_DisplayArrayInTable(Fuel_SourceData.Fuel_Scope1Scope3EmissionFactorsStationaryLiquid_Data(), Table_Fuel_EFs_StationaryLiquid[[#Headers],[Fuel combusted]],0)</f>
        <v>69.8</v>
      </c>
      <c r="H68" s="229" cm="1">
        <f t="array" ref="H68">Common_InputFunctions.Utility_DisplayArrayInTable(Fuel_SourceData.Fuel_Scope1Scope3EmissionFactorsStationaryLiquid_Data(), Table_Fuel_EFs_StationaryLiquid[[#Headers],[Fuel combusted]],0)</f>
        <v>0.01</v>
      </c>
      <c r="I68" s="229" cm="1">
        <f t="array" ref="I68">Common_InputFunctions.Utility_DisplayArrayInTable(Fuel_SourceData.Fuel_Scope1Scope3EmissionFactorsStationaryLiquid_Data(), Table_Fuel_EFs_StationaryLiquid[[#Headers],[Fuel combusted]],0)</f>
        <v>0.01</v>
      </c>
      <c r="J68" s="229" cm="1">
        <f t="array" ref="J68">Common_InputFunctions.Utility_DisplayArrayInTable(Fuel_SourceData.Fuel_Scope1Scope3EmissionFactorsStationaryLiquid_Data(), Table_Fuel_EFs_StationaryLiquid[[#Headers],[Fuel combusted]],0)</f>
        <v>69.819999999999993</v>
      </c>
      <c r="K68" s="229" cm="1">
        <f t="array" ref="K68">Common_InputFunctions.Utility_DisplayArrayInTable(Fuel_SourceData.Fuel_Scope1Scope3EmissionFactorsStationaryLiquid_Data(), Table_Fuel_EFs_StationaryLiquid[[#Headers],[Fuel combusted]],0)</f>
        <v>18</v>
      </c>
      <c r="L68" s="177"/>
    </row>
    <row r="69" spans="4:13" ht="20.100000000000001" customHeight="1" x14ac:dyDescent="0.25">
      <c r="D69" s="229" t="str" cm="1">
        <f t="array" ref="D69">Common_InputFunctions.Utility_DisplayArrayInTable(Fuel_SourceData.Fuel_Scope1Scope3EmissionFactorsStationaryLiquid_Data(), Table_Fuel_EFs_StationaryLiquid[[#Headers],[Fuel combusted]],0)</f>
        <v>Petroleum coke</v>
      </c>
      <c r="E69" s="229" cm="1">
        <f t="array" ref="E69">Common_InputFunctions.Utility_DisplayArrayInTable(Fuel_SourceData.Fuel_Scope1Scope3EmissionFactorsStationaryLiquid_Data(), Table_Fuel_EFs_StationaryLiquid[[#Headers],[Fuel combusted]],0)</f>
        <v>34.200000000000003</v>
      </c>
      <c r="F69" s="229" t="str" cm="1">
        <f t="array" ref="F69">Common_InputFunctions.Utility_DisplayArrayInTable(Fuel_SourceData.Fuel_Scope1Scope3EmissionFactorsStationaryLiquid_Data(), Table_Fuel_EFs_StationaryLiquid[[#Headers],[Fuel combusted]],0)</f>
        <v>t</v>
      </c>
      <c r="G69" s="229" cm="1">
        <f t="array" ref="G69">Common_InputFunctions.Utility_DisplayArrayInTable(Fuel_SourceData.Fuel_Scope1Scope3EmissionFactorsStationaryLiquid_Data(), Table_Fuel_EFs_StationaryLiquid[[#Headers],[Fuel combusted]],0)</f>
        <v>92.6</v>
      </c>
      <c r="H69" s="229" cm="1">
        <f t="array" ref="H69">Common_InputFunctions.Utility_DisplayArrayInTable(Fuel_SourceData.Fuel_Scope1Scope3EmissionFactorsStationaryLiquid_Data(), Table_Fuel_EFs_StationaryLiquid[[#Headers],[Fuel combusted]],0)</f>
        <v>0.08</v>
      </c>
      <c r="I69" s="229" cm="1">
        <f t="array" ref="I69">Common_InputFunctions.Utility_DisplayArrayInTable(Fuel_SourceData.Fuel_Scope1Scope3EmissionFactorsStationaryLiquid_Data(), Table_Fuel_EFs_StationaryLiquid[[#Headers],[Fuel combusted]],0)</f>
        <v>0.2</v>
      </c>
      <c r="J69" s="229" cm="1">
        <f t="array" ref="J69">Common_InputFunctions.Utility_DisplayArrayInTable(Fuel_SourceData.Fuel_Scope1Scope3EmissionFactorsStationaryLiquid_Data(), Table_Fuel_EFs_StationaryLiquid[[#Headers],[Fuel combusted]],0)</f>
        <v>92.88</v>
      </c>
      <c r="K69" s="229" cm="1">
        <f t="array" ref="K69">Common_InputFunctions.Utility_DisplayArrayInTable(Fuel_SourceData.Fuel_Scope1Scope3EmissionFactorsStationaryLiquid_Data(), Table_Fuel_EFs_StationaryLiquid[[#Headers],[Fuel combusted]],0)</f>
        <v>18</v>
      </c>
      <c r="L69" s="177"/>
    </row>
    <row r="70" spans="4:13" ht="20.100000000000001" customHeight="1" x14ac:dyDescent="0.25">
      <c r="D70" s="229" t="str" cm="1">
        <f t="array" ref="D70">Common_InputFunctions.Utility_DisplayArrayInTable(Fuel_SourceData.Fuel_Scope1Scope3EmissionFactorsStationaryLiquid_Data(), Table_Fuel_EFs_StationaryLiquid[[#Headers],[Fuel combusted]],0)</f>
        <v>Refinery gas and liquids</v>
      </c>
      <c r="E70" s="229" cm="1">
        <f t="array" ref="E70">Common_InputFunctions.Utility_DisplayArrayInTable(Fuel_SourceData.Fuel_Scope1Scope3EmissionFactorsStationaryLiquid_Data(), Table_Fuel_EFs_StationaryLiquid[[#Headers],[Fuel combusted]],0)</f>
        <v>42.9</v>
      </c>
      <c r="F70" s="229" t="str" cm="1">
        <f t="array" ref="F70">Common_InputFunctions.Utility_DisplayArrayInTable(Fuel_SourceData.Fuel_Scope1Scope3EmissionFactorsStationaryLiquid_Data(), Table_Fuel_EFs_StationaryLiquid[[#Headers],[Fuel combusted]],0)</f>
        <v>t</v>
      </c>
      <c r="G70" s="229" cm="1">
        <f t="array" ref="G70">Common_InputFunctions.Utility_DisplayArrayInTable(Fuel_SourceData.Fuel_Scope1Scope3EmissionFactorsStationaryLiquid_Data(), Table_Fuel_EFs_StationaryLiquid[[#Headers],[Fuel combusted]],0)</f>
        <v>54.7</v>
      </c>
      <c r="H70" s="229" cm="1">
        <f t="array" ref="H70">Common_InputFunctions.Utility_DisplayArrayInTable(Fuel_SourceData.Fuel_Scope1Scope3EmissionFactorsStationaryLiquid_Data(), Table_Fuel_EFs_StationaryLiquid[[#Headers],[Fuel combusted]],0)</f>
        <v>0.03</v>
      </c>
      <c r="I70" s="229" cm="1">
        <f t="array" ref="I70">Common_InputFunctions.Utility_DisplayArrayInTable(Fuel_SourceData.Fuel_Scope1Scope3EmissionFactorsStationaryLiquid_Data(), Table_Fuel_EFs_StationaryLiquid[[#Headers],[Fuel combusted]],0)</f>
        <v>0.03</v>
      </c>
      <c r="J70" s="229" cm="1">
        <f t="array" ref="J70">Common_InputFunctions.Utility_DisplayArrayInTable(Fuel_SourceData.Fuel_Scope1Scope3EmissionFactorsStationaryLiquid_Data(), Table_Fuel_EFs_StationaryLiquid[[#Headers],[Fuel combusted]],0)</f>
        <v>54.76</v>
      </c>
      <c r="K70" s="229" cm="1">
        <f t="array" ref="K70">Common_InputFunctions.Utility_DisplayArrayInTable(Fuel_SourceData.Fuel_Scope1Scope3EmissionFactorsStationaryLiquid_Data(), Table_Fuel_EFs_StationaryLiquid[[#Headers],[Fuel combusted]],0)</f>
        <v>18</v>
      </c>
      <c r="L70" s="177"/>
    </row>
    <row r="71" spans="4:13" ht="20.100000000000001" customHeight="1" x14ac:dyDescent="0.25">
      <c r="D71" s="229" t="str" cm="1">
        <f t="array" ref="D71">Common_InputFunctions.Utility_DisplayArrayInTable(Fuel_SourceData.Fuel_Scope1Scope3EmissionFactorsStationaryLiquid_Data(), Table_Fuel_EFs_StationaryLiquid[[#Headers],[Fuel combusted]],0)</f>
        <v>Refinery coke</v>
      </c>
      <c r="E71" s="229" cm="1">
        <f t="array" ref="E71">Common_InputFunctions.Utility_DisplayArrayInTable(Fuel_SourceData.Fuel_Scope1Scope3EmissionFactorsStationaryLiquid_Data(), Table_Fuel_EFs_StationaryLiquid[[#Headers],[Fuel combusted]],0)</f>
        <v>34.200000000000003</v>
      </c>
      <c r="F71" s="229" t="str" cm="1">
        <f t="array" ref="F71">Common_InputFunctions.Utility_DisplayArrayInTable(Fuel_SourceData.Fuel_Scope1Scope3EmissionFactorsStationaryLiquid_Data(), Table_Fuel_EFs_StationaryLiquid[[#Headers],[Fuel combusted]],0)</f>
        <v>t</v>
      </c>
      <c r="G71" s="229" cm="1">
        <f t="array" ref="G71">Common_InputFunctions.Utility_DisplayArrayInTable(Fuel_SourceData.Fuel_Scope1Scope3EmissionFactorsStationaryLiquid_Data(), Table_Fuel_EFs_StationaryLiquid[[#Headers],[Fuel combusted]],0)</f>
        <v>92.6</v>
      </c>
      <c r="H71" s="229" cm="1">
        <f t="array" ref="H71">Common_InputFunctions.Utility_DisplayArrayInTable(Fuel_SourceData.Fuel_Scope1Scope3EmissionFactorsStationaryLiquid_Data(), Table_Fuel_EFs_StationaryLiquid[[#Headers],[Fuel combusted]],0)</f>
        <v>0.08</v>
      </c>
      <c r="I71" s="229" cm="1">
        <f t="array" ref="I71">Common_InputFunctions.Utility_DisplayArrayInTable(Fuel_SourceData.Fuel_Scope1Scope3EmissionFactorsStationaryLiquid_Data(), Table_Fuel_EFs_StationaryLiquid[[#Headers],[Fuel combusted]],0)</f>
        <v>0.2</v>
      </c>
      <c r="J71" s="229" cm="1">
        <f t="array" ref="J71">Common_InputFunctions.Utility_DisplayArrayInTable(Fuel_SourceData.Fuel_Scope1Scope3EmissionFactorsStationaryLiquid_Data(), Table_Fuel_EFs_StationaryLiquid[[#Headers],[Fuel combusted]],0)</f>
        <v>92.88</v>
      </c>
      <c r="K71" s="229" cm="1">
        <f t="array" ref="K71">Common_InputFunctions.Utility_DisplayArrayInTable(Fuel_SourceData.Fuel_Scope1Scope3EmissionFactorsStationaryLiquid_Data(), Table_Fuel_EFs_StationaryLiquid[[#Headers],[Fuel combusted]],0)</f>
        <v>18</v>
      </c>
      <c r="L71" s="177"/>
    </row>
    <row r="72" spans="4:13" ht="20.100000000000001" customHeight="1" x14ac:dyDescent="0.25">
      <c r="D72" s="229" t="str" cm="1">
        <f t="array" ref="D72">Common_InputFunctions.Utility_DisplayArrayInTable(Fuel_SourceData.Fuel_Scope1Scope3EmissionFactorsStationaryLiquid_Data(), Table_Fuel_EFs_StationaryLiquid[[#Headers],[Fuel combusted]],0)</f>
        <v>Petroleum based products other than mentioned in the items above</v>
      </c>
      <c r="E72" s="229" cm="1">
        <f t="array" ref="E72">Common_InputFunctions.Utility_DisplayArrayInTable(Fuel_SourceData.Fuel_Scope1Scope3EmissionFactorsStationaryLiquid_Data(), Table_Fuel_EFs_StationaryLiquid[[#Headers],[Fuel combusted]],0)</f>
        <v>34.4</v>
      </c>
      <c r="F72" s="229" t="str" cm="1">
        <f t="array" ref="F72">Common_InputFunctions.Utility_DisplayArrayInTable(Fuel_SourceData.Fuel_Scope1Scope3EmissionFactorsStationaryLiquid_Data(), Table_Fuel_EFs_StationaryLiquid[[#Headers],[Fuel combusted]],0)</f>
        <v>kL</v>
      </c>
      <c r="G72" s="229" cm="1">
        <f t="array" ref="G72">Common_InputFunctions.Utility_DisplayArrayInTable(Fuel_SourceData.Fuel_Scope1Scope3EmissionFactorsStationaryLiquid_Data(), Table_Fuel_EFs_StationaryLiquid[[#Headers],[Fuel combusted]],0)</f>
        <v>69.8</v>
      </c>
      <c r="H72" s="229" cm="1">
        <f t="array" ref="H72">Common_InputFunctions.Utility_DisplayArrayInTable(Fuel_SourceData.Fuel_Scope1Scope3EmissionFactorsStationaryLiquid_Data(), Table_Fuel_EFs_StationaryLiquid[[#Headers],[Fuel combusted]],0)</f>
        <v>0.02</v>
      </c>
      <c r="I72" s="229" cm="1">
        <f t="array" ref="I72">Common_InputFunctions.Utility_DisplayArrayInTable(Fuel_SourceData.Fuel_Scope1Scope3EmissionFactorsStationaryLiquid_Data(), Table_Fuel_EFs_StationaryLiquid[[#Headers],[Fuel combusted]],0)</f>
        <v>0.1</v>
      </c>
      <c r="J72" s="229" cm="1">
        <f t="array" ref="J72">Common_InputFunctions.Utility_DisplayArrayInTable(Fuel_SourceData.Fuel_Scope1Scope3EmissionFactorsStationaryLiquid_Data(), Table_Fuel_EFs_StationaryLiquid[[#Headers],[Fuel combusted]],0)</f>
        <v>69.92</v>
      </c>
      <c r="K72" s="229" cm="1">
        <f t="array" ref="K72">Common_InputFunctions.Utility_DisplayArrayInTable(Fuel_SourceData.Fuel_Scope1Scope3EmissionFactorsStationaryLiquid_Data(), Table_Fuel_EFs_StationaryLiquid[[#Headers],[Fuel combusted]],0)</f>
        <v>18</v>
      </c>
      <c r="L72" s="177"/>
    </row>
    <row r="73" spans="4:13" ht="20.100000000000001" customHeight="1" x14ac:dyDescent="0.25">
      <c r="D73" s="229" t="str" cm="1">
        <f t="array" ref="D73">Common_InputFunctions.Utility_DisplayArrayInTable(Fuel_SourceData.Fuel_Scope1Scope3EmissionFactorsStationaryLiquid_Data(), Table_Fuel_EFs_StationaryLiquid[[#Headers],[Fuel combusted]],0)</f>
        <v>Biodiesel</v>
      </c>
      <c r="E73" s="229" cm="1">
        <f t="array" ref="E73">Common_InputFunctions.Utility_DisplayArrayInTable(Fuel_SourceData.Fuel_Scope1Scope3EmissionFactorsStationaryLiquid_Data(), Table_Fuel_EFs_StationaryLiquid[[#Headers],[Fuel combusted]],0)</f>
        <v>34.6</v>
      </c>
      <c r="F73" s="229" t="str" cm="1">
        <f t="array" ref="F73">Common_InputFunctions.Utility_DisplayArrayInTable(Fuel_SourceData.Fuel_Scope1Scope3EmissionFactorsStationaryLiquid_Data(), Table_Fuel_EFs_StationaryLiquid[[#Headers],[Fuel combusted]],0)</f>
        <v>kL</v>
      </c>
      <c r="G73" s="229" cm="1">
        <f t="array" ref="G73">Common_InputFunctions.Utility_DisplayArrayInTable(Fuel_SourceData.Fuel_Scope1Scope3EmissionFactorsStationaryLiquid_Data(), Table_Fuel_EFs_StationaryLiquid[[#Headers],[Fuel combusted]],0)</f>
        <v>0</v>
      </c>
      <c r="H73" s="229" cm="1">
        <f t="array" ref="H73">Common_InputFunctions.Utility_DisplayArrayInTable(Fuel_SourceData.Fuel_Scope1Scope3EmissionFactorsStationaryLiquid_Data(), Table_Fuel_EFs_StationaryLiquid[[#Headers],[Fuel combusted]],0)</f>
        <v>0.08</v>
      </c>
      <c r="I73" s="229" cm="1">
        <f t="array" ref="I73">Common_InputFunctions.Utility_DisplayArrayInTable(Fuel_SourceData.Fuel_Scope1Scope3EmissionFactorsStationaryLiquid_Data(), Table_Fuel_EFs_StationaryLiquid[[#Headers],[Fuel combusted]],0)</f>
        <v>0.2</v>
      </c>
      <c r="J73" s="229" cm="1">
        <f t="array" ref="J73">Common_InputFunctions.Utility_DisplayArrayInTable(Fuel_SourceData.Fuel_Scope1Scope3EmissionFactorsStationaryLiquid_Data(), Table_Fuel_EFs_StationaryLiquid[[#Headers],[Fuel combusted]],0)</f>
        <v>0.28000000000000003</v>
      </c>
      <c r="K73" s="229" t="str" cm="1">
        <f t="array" ref="K73">Common_InputFunctions.Utility_DisplayArrayInTable(Fuel_SourceData.Fuel_Scope1Scope3EmissionFactorsStationaryLiquid_Data(), Table_Fuel_EFs_StationaryLiquid[[#Headers],[Fuel combusted]],0)</f>
        <v>NE</v>
      </c>
      <c r="L73" s="177"/>
    </row>
    <row r="74" spans="4:13" ht="20.100000000000001" customHeight="1" x14ac:dyDescent="0.25">
      <c r="D74" s="229" t="str" cm="1">
        <f t="array" ref="D74">Common_InputFunctions.Utility_DisplayArrayInTable(Fuel_SourceData.Fuel_Scope1Scope3EmissionFactorsStationaryLiquid_Data(), Table_Fuel_EFs_StationaryLiquid[[#Headers],[Fuel combusted]],0)</f>
        <v>Ethanol for use as a fuel in an internal combustion engine</v>
      </c>
      <c r="E74" s="229" cm="1">
        <f t="array" ref="E74">Common_InputFunctions.Utility_DisplayArrayInTable(Fuel_SourceData.Fuel_Scope1Scope3EmissionFactorsStationaryLiquid_Data(), Table_Fuel_EFs_StationaryLiquid[[#Headers],[Fuel combusted]],0)</f>
        <v>23.4</v>
      </c>
      <c r="F74" s="229" t="str" cm="1">
        <f t="array" ref="F74">Common_InputFunctions.Utility_DisplayArrayInTable(Fuel_SourceData.Fuel_Scope1Scope3EmissionFactorsStationaryLiquid_Data(), Table_Fuel_EFs_StationaryLiquid[[#Headers],[Fuel combusted]],0)</f>
        <v>kL</v>
      </c>
      <c r="G74" s="229" cm="1">
        <f t="array" ref="G74">Common_InputFunctions.Utility_DisplayArrayInTable(Fuel_SourceData.Fuel_Scope1Scope3EmissionFactorsStationaryLiquid_Data(), Table_Fuel_EFs_StationaryLiquid[[#Headers],[Fuel combusted]],0)</f>
        <v>0</v>
      </c>
      <c r="H74" s="229" cm="1">
        <f t="array" ref="H74">Common_InputFunctions.Utility_DisplayArrayInTable(Fuel_SourceData.Fuel_Scope1Scope3EmissionFactorsStationaryLiquid_Data(), Table_Fuel_EFs_StationaryLiquid[[#Headers],[Fuel combusted]],0)</f>
        <v>0.08</v>
      </c>
      <c r="I74" s="229" cm="1">
        <f t="array" ref="I74">Common_InputFunctions.Utility_DisplayArrayInTable(Fuel_SourceData.Fuel_Scope1Scope3EmissionFactorsStationaryLiquid_Data(), Table_Fuel_EFs_StationaryLiquid[[#Headers],[Fuel combusted]],0)</f>
        <v>0.2</v>
      </c>
      <c r="J74" s="229" cm="1">
        <f t="array" ref="J74">Common_InputFunctions.Utility_DisplayArrayInTable(Fuel_SourceData.Fuel_Scope1Scope3EmissionFactorsStationaryLiquid_Data(), Table_Fuel_EFs_StationaryLiquid[[#Headers],[Fuel combusted]],0)</f>
        <v>0.28000000000000003</v>
      </c>
      <c r="K74" s="229" t="str" cm="1">
        <f t="array" ref="K74">Common_InputFunctions.Utility_DisplayArrayInTable(Fuel_SourceData.Fuel_Scope1Scope3EmissionFactorsStationaryLiquid_Data(), Table_Fuel_EFs_StationaryLiquid[[#Headers],[Fuel combusted]],0)</f>
        <v>NE</v>
      </c>
      <c r="L74" s="177"/>
    </row>
    <row r="75" spans="4:13" ht="20.100000000000001" customHeight="1" x14ac:dyDescent="0.25">
      <c r="D75" s="229" t="str" cm="1">
        <f t="array" ref="D75">Common_InputFunctions.Utility_DisplayArrayInTable(Fuel_SourceData.Fuel_Scope1Scope3EmissionFactorsStationaryLiquid_Data(), Table_Fuel_EFs_StationaryLiquid[[#Headers],[Fuel combusted]],0)</f>
        <v>Biofuels other than those mentioned in the items above and below</v>
      </c>
      <c r="E75" s="229" cm="1">
        <f t="array" ref="E75">Common_InputFunctions.Utility_DisplayArrayInTable(Fuel_SourceData.Fuel_Scope1Scope3EmissionFactorsStationaryLiquid_Data(), Table_Fuel_EFs_StationaryLiquid[[#Headers],[Fuel combusted]],0)</f>
        <v>23.4</v>
      </c>
      <c r="F75" s="229" t="str" cm="1">
        <f t="array" ref="F75">Common_InputFunctions.Utility_DisplayArrayInTable(Fuel_SourceData.Fuel_Scope1Scope3EmissionFactorsStationaryLiquid_Data(), Table_Fuel_EFs_StationaryLiquid[[#Headers],[Fuel combusted]],0)</f>
        <v>kL</v>
      </c>
      <c r="G75" s="229" cm="1">
        <f t="array" ref="G75">Common_InputFunctions.Utility_DisplayArrayInTable(Fuel_SourceData.Fuel_Scope1Scope3EmissionFactorsStationaryLiquid_Data(), Table_Fuel_EFs_StationaryLiquid[[#Headers],[Fuel combusted]],0)</f>
        <v>0</v>
      </c>
      <c r="H75" s="229" cm="1">
        <f t="array" ref="H75">Common_InputFunctions.Utility_DisplayArrayInTable(Fuel_SourceData.Fuel_Scope1Scope3EmissionFactorsStationaryLiquid_Data(), Table_Fuel_EFs_StationaryLiquid[[#Headers],[Fuel combusted]],0)</f>
        <v>0.08</v>
      </c>
      <c r="I75" s="229" cm="1">
        <f t="array" ref="I75">Common_InputFunctions.Utility_DisplayArrayInTable(Fuel_SourceData.Fuel_Scope1Scope3EmissionFactorsStationaryLiquid_Data(), Table_Fuel_EFs_StationaryLiquid[[#Headers],[Fuel combusted]],0)</f>
        <v>0.2</v>
      </c>
      <c r="J75" s="229" cm="1">
        <f t="array" ref="J75">Common_InputFunctions.Utility_DisplayArrayInTable(Fuel_SourceData.Fuel_Scope1Scope3EmissionFactorsStationaryLiquid_Data(), Table_Fuel_EFs_StationaryLiquid[[#Headers],[Fuel combusted]],0)</f>
        <v>0.28000000000000003</v>
      </c>
      <c r="K75" s="229" t="str" cm="1">
        <f t="array" ref="K75">Common_InputFunctions.Utility_DisplayArrayInTable(Fuel_SourceData.Fuel_Scope1Scope3EmissionFactorsStationaryLiquid_Data(), Table_Fuel_EFs_StationaryLiquid[[#Headers],[Fuel combusted]],0)</f>
        <v>NE</v>
      </c>
      <c r="L75" s="177"/>
    </row>
    <row r="76" spans="4:13" ht="20.100000000000001" customHeight="1" x14ac:dyDescent="0.25">
      <c r="D76" s="229" t="str" cm="1">
        <f t="array" ref="D76">Common_InputFunctions.Utility_DisplayArrayInTable(Fuel_SourceData.Fuel_Scope1Scope3EmissionFactorsStationaryLiquid_Data(), Table_Fuel_EFs_StationaryLiquid[[#Headers],[Fuel combusted]],0)</f>
        <v>Renewable aviation kerosene</v>
      </c>
      <c r="E76" s="229" cm="1">
        <f t="array" ref="E76">Common_InputFunctions.Utility_DisplayArrayInTable(Fuel_SourceData.Fuel_Scope1Scope3EmissionFactorsStationaryLiquid_Data(), Table_Fuel_EFs_StationaryLiquid[[#Headers],[Fuel combusted]],0)</f>
        <v>36.799999999999997</v>
      </c>
      <c r="F76" s="229" t="str" cm="1">
        <f t="array" ref="F76">Common_InputFunctions.Utility_DisplayArrayInTable(Fuel_SourceData.Fuel_Scope1Scope3EmissionFactorsStationaryLiquid_Data(), Table_Fuel_EFs_StationaryLiquid[[#Headers],[Fuel combusted]],0)</f>
        <v>kL</v>
      </c>
      <c r="G76" s="229" cm="1">
        <f t="array" ref="G76">Common_InputFunctions.Utility_DisplayArrayInTable(Fuel_SourceData.Fuel_Scope1Scope3EmissionFactorsStationaryLiquid_Data(), Table_Fuel_EFs_StationaryLiquid[[#Headers],[Fuel combusted]],0)</f>
        <v>0</v>
      </c>
      <c r="H76" s="229" cm="1">
        <f t="array" ref="H76">Common_InputFunctions.Utility_DisplayArrayInTable(Fuel_SourceData.Fuel_Scope1Scope3EmissionFactorsStationaryLiquid_Data(), Table_Fuel_EFs_StationaryLiquid[[#Headers],[Fuel combusted]],0)</f>
        <v>0.02</v>
      </c>
      <c r="I76" s="229" cm="1">
        <f t="array" ref="I76">Common_InputFunctions.Utility_DisplayArrayInTable(Fuel_SourceData.Fuel_Scope1Scope3EmissionFactorsStationaryLiquid_Data(), Table_Fuel_EFs_StationaryLiquid[[#Headers],[Fuel combusted]],0)</f>
        <v>0.2</v>
      </c>
      <c r="J76" s="229" cm="1">
        <f t="array" ref="J76">Common_InputFunctions.Utility_DisplayArrayInTable(Fuel_SourceData.Fuel_Scope1Scope3EmissionFactorsStationaryLiquid_Data(), Table_Fuel_EFs_StationaryLiquid[[#Headers],[Fuel combusted]],0)</f>
        <v>0.22</v>
      </c>
      <c r="K76" s="229" t="str" cm="1">
        <f t="array" ref="K76">Common_InputFunctions.Utility_DisplayArrayInTable(Fuel_SourceData.Fuel_Scope1Scope3EmissionFactorsStationaryLiquid_Data(), Table_Fuel_EFs_StationaryLiquid[[#Headers],[Fuel combusted]],0)</f>
        <v>NE</v>
      </c>
      <c r="L76" s="177"/>
    </row>
    <row r="77" spans="4:13" ht="20.100000000000001" customHeight="1" x14ac:dyDescent="0.25">
      <c r="D77" s="229" t="str" cm="1">
        <f t="array" ref="D77">Common_InputFunctions.Utility_DisplayArrayInTable(Fuel_SourceData.Fuel_Scope1Scope3EmissionFactorsStationaryLiquid_Data(), Table_Fuel_EFs_StationaryLiquid[[#Headers],[Fuel combusted]],0)</f>
        <v>Renewable diesel</v>
      </c>
      <c r="E77" s="229" cm="1">
        <f t="array" ref="E77">Common_InputFunctions.Utility_DisplayArrayInTable(Fuel_SourceData.Fuel_Scope1Scope3EmissionFactorsStationaryLiquid_Data(), Table_Fuel_EFs_StationaryLiquid[[#Headers],[Fuel combusted]],0)</f>
        <v>38.6</v>
      </c>
      <c r="F77" s="229" t="str" cm="1">
        <f t="array" ref="F77">Common_InputFunctions.Utility_DisplayArrayInTable(Fuel_SourceData.Fuel_Scope1Scope3EmissionFactorsStationaryLiquid_Data(), Table_Fuel_EFs_StationaryLiquid[[#Headers],[Fuel combusted]],0)</f>
        <v>kL</v>
      </c>
      <c r="G77" s="229" cm="1">
        <f t="array" ref="G77">Common_InputFunctions.Utility_DisplayArrayInTable(Fuel_SourceData.Fuel_Scope1Scope3EmissionFactorsStationaryLiquid_Data(), Table_Fuel_EFs_StationaryLiquid[[#Headers],[Fuel combusted]],0)</f>
        <v>0</v>
      </c>
      <c r="H77" s="229" cm="1">
        <f t="array" ref="H77">Common_InputFunctions.Utility_DisplayArrayInTable(Fuel_SourceData.Fuel_Scope1Scope3EmissionFactorsStationaryLiquid_Data(), Table_Fuel_EFs_StationaryLiquid[[#Headers],[Fuel combusted]],0)</f>
        <v>0.1</v>
      </c>
      <c r="I77" s="229" cm="1">
        <f t="array" ref="I77">Common_InputFunctions.Utility_DisplayArrayInTable(Fuel_SourceData.Fuel_Scope1Scope3EmissionFactorsStationaryLiquid_Data(), Table_Fuel_EFs_StationaryLiquid[[#Headers],[Fuel combusted]],0)</f>
        <v>0.2</v>
      </c>
      <c r="J77" s="229" cm="1">
        <f t="array" ref="J77">Common_InputFunctions.Utility_DisplayArrayInTable(Fuel_SourceData.Fuel_Scope1Scope3EmissionFactorsStationaryLiquid_Data(), Table_Fuel_EFs_StationaryLiquid[[#Headers],[Fuel combusted]],0)</f>
        <v>0.3</v>
      </c>
      <c r="K77" s="229" t="str" cm="1">
        <f t="array" ref="K77">Common_InputFunctions.Utility_DisplayArrayInTable(Fuel_SourceData.Fuel_Scope1Scope3EmissionFactorsStationaryLiquid_Data(), Table_Fuel_EFs_StationaryLiquid[[#Headers],[Fuel combusted]],0)</f>
        <v>NE</v>
      </c>
      <c r="L77" s="177"/>
    </row>
    <row r="78" spans="4:13" ht="20.100000000000001" customHeight="1" x14ac:dyDescent="0.25">
      <c r="D78" s="177"/>
      <c r="E78" s="177"/>
      <c r="F78" s="177"/>
      <c r="G78" s="177"/>
      <c r="H78" s="177"/>
      <c r="I78" s="177"/>
      <c r="J78" s="177"/>
      <c r="K78" s="177"/>
      <c r="L78" s="177"/>
    </row>
    <row r="79" spans="4:13" ht="20.100000000000001" customHeight="1" x14ac:dyDescent="0.25">
      <c r="D79" s="177"/>
      <c r="E79" s="177"/>
      <c r="F79" s="177"/>
      <c r="G79" s="177"/>
      <c r="H79" s="177"/>
      <c r="I79" s="177"/>
      <c r="J79" s="177"/>
      <c r="K79" s="177"/>
      <c r="L79" s="177"/>
      <c r="M79" s="177"/>
    </row>
    <row r="80" spans="4:13" ht="20.100000000000001" customHeight="1" x14ac:dyDescent="0.25">
      <c r="D80" s="177"/>
      <c r="E80" s="177"/>
      <c r="F80" s="177"/>
      <c r="G80" s="177"/>
      <c r="H80" s="177"/>
      <c r="I80" s="177"/>
      <c r="J80" s="177"/>
      <c r="K80" s="177"/>
      <c r="L80" s="177"/>
      <c r="M80" s="177"/>
    </row>
    <row r="81" spans="4:12" ht="20.100000000000001" customHeight="1" x14ac:dyDescent="0.25">
      <c r="D81" s="2" t="str" cm="1">
        <f t="array" ref="D81">Fuel_SourceData.Fuel_Scope1EmissionFactorsStationaryGaseous_Title()</f>
        <v>Fuel scope 1 emission factors - Stationary gaseous fuels</v>
      </c>
      <c r="E81" s="177"/>
      <c r="F81" s="177"/>
      <c r="G81" s="177"/>
      <c r="H81" s="177"/>
      <c r="I81" s="177"/>
      <c r="J81" s="177"/>
      <c r="K81" s="177"/>
      <c r="L81" s="177"/>
    </row>
    <row r="82" spans="4:12" ht="20.100000000000001" customHeight="1" x14ac:dyDescent="0.25">
      <c r="D82" s="1" t="str" cm="1">
        <f t="array" ref="D82">Fuel_SourceData.Fuel_Scope1EmissionFactorsStationaryGaseous_Description()</f>
        <v xml:space="preserve">Direct (Scope 1) emission factors for the consumption of gaseous fuels including liquefied natural gas  </v>
      </c>
      <c r="E82" s="177"/>
      <c r="F82" s="177"/>
      <c r="G82" s="177"/>
      <c r="H82" s="177"/>
      <c r="I82" s="177"/>
      <c r="J82" s="177"/>
      <c r="K82" s="177"/>
      <c r="L82" s="177"/>
    </row>
    <row r="83" spans="4:12" ht="20.100000000000001" customHeight="1" x14ac:dyDescent="0.25">
      <c r="D83" s="27" t="str" cm="1">
        <f t="array" ref="D83">Fuel_SourceData.Fuel_Scope1EmissionFactorsStationaryGaseous_Source()</f>
        <v>Australian National Greenhouse Accounts Factors 2025 - Table 5</v>
      </c>
      <c r="E83" s="177"/>
      <c r="F83" s="177"/>
      <c r="G83" s="177"/>
      <c r="H83" s="177"/>
      <c r="I83" s="177"/>
      <c r="J83" s="177"/>
      <c r="K83" s="177"/>
      <c r="L83" s="177"/>
    </row>
    <row r="84" spans="4:12" ht="20.100000000000001" customHeight="1" x14ac:dyDescent="0.25">
      <c r="D84" s="36" t="str" cm="1">
        <f t="array" ref="D84">"⚠️" &amp; Fuel_SourceData.Fuel_Scope1EmissionFactorsStationaryGaseous_Variation()</f>
        <v>⚠️VARIATION OF SOURCE DATA: 'Natural gas distributed in a pipeline - Gigajoules' and 'Town gas - Gigajoules' were added, each with an energy content factor of 1 GJ per unit of fuel. This is for users who have fuel consumption data in GJ rather than m3.</v>
      </c>
      <c r="E84" s="177"/>
      <c r="F84" s="177"/>
      <c r="G84" s="177"/>
      <c r="H84" s="177"/>
      <c r="I84" s="177"/>
      <c r="J84" s="177"/>
      <c r="K84" s="177"/>
      <c r="L84" s="177"/>
    </row>
    <row r="85" spans="4:12" ht="20.100000000000001" customHeight="1" x14ac:dyDescent="0.25">
      <c r="D85" s="177"/>
      <c r="E85" s="177"/>
      <c r="F85" s="177"/>
      <c r="G85" s="177"/>
      <c r="H85" s="177"/>
      <c r="I85" s="177"/>
      <c r="J85" s="177"/>
      <c r="K85" s="177"/>
      <c r="L85" s="177"/>
    </row>
    <row r="86" spans="4:12" ht="20.100000000000001" customHeight="1" x14ac:dyDescent="0.25">
      <c r="D86" s="195" t="s">
        <v>759</v>
      </c>
      <c r="E86" s="226" t="s">
        <v>760</v>
      </c>
      <c r="F86" s="195" t="s">
        <v>761</v>
      </c>
      <c r="G86" s="226" t="s">
        <v>762</v>
      </c>
      <c r="H86" s="226" t="s">
        <v>763</v>
      </c>
      <c r="I86" s="226" t="s">
        <v>764</v>
      </c>
      <c r="J86" s="226" t="s">
        <v>765</v>
      </c>
      <c r="K86" s="177"/>
      <c r="L86" s="177"/>
    </row>
    <row r="87" spans="4:12" ht="20.100000000000001" customHeight="1" x14ac:dyDescent="0.25">
      <c r="D87" s="229" t="str" cm="1">
        <f t="array" ref="D87">Common_InputFunctions.Utility_DisplayArrayInTable(Fuel_SourceData.Fuel_Scope1EmissionFactorsStationaryGaseous_Data(), Table_Fuel_EFs_StationaryGaseous[[#Headers],[Fuel combusted]],0)</f>
        <v>Natural gas distributed in a pipeline</v>
      </c>
      <c r="E87" s="229" cm="1">
        <f t="array" ref="E87">Common_InputFunctions.Utility_DisplayArrayInTable(Fuel_SourceData.Fuel_Scope1EmissionFactorsStationaryGaseous_Data(), Table_Fuel_EFs_StationaryGaseous[[#Headers],[Fuel combusted]],0)</f>
        <v>3.9300000000000002E-2</v>
      </c>
      <c r="F87" s="229" t="str" cm="1">
        <f t="array" ref="F87">Common_InputFunctions.Utility_DisplayArrayInTable(Fuel_SourceData.Fuel_Scope1EmissionFactorsStationaryGaseous_Data(), Table_Fuel_EFs_StationaryGaseous[[#Headers],[Fuel combusted]],0)</f>
        <v>m3</v>
      </c>
      <c r="G87" s="229" cm="1">
        <f t="array" ref="G87">Common_InputFunctions.Utility_DisplayArrayInTable(Fuel_SourceData.Fuel_Scope1EmissionFactorsStationaryGaseous_Data(), Table_Fuel_EFs_StationaryGaseous[[#Headers],[Fuel combusted]],0)</f>
        <v>51.4</v>
      </c>
      <c r="H87" s="229" cm="1">
        <f t="array" ref="H87">Common_InputFunctions.Utility_DisplayArrayInTable(Fuel_SourceData.Fuel_Scope1EmissionFactorsStationaryGaseous_Data(), Table_Fuel_EFs_StationaryGaseous[[#Headers],[Fuel combusted]],0)</f>
        <v>0.1</v>
      </c>
      <c r="I87" s="229" cm="1">
        <f t="array" ref="I87">Common_InputFunctions.Utility_DisplayArrayInTable(Fuel_SourceData.Fuel_Scope1EmissionFactorsStationaryGaseous_Data(), Table_Fuel_EFs_StationaryGaseous[[#Headers],[Fuel combusted]],0)</f>
        <v>0.03</v>
      </c>
      <c r="J87" s="229" cm="1">
        <f t="array" ref="J87">Common_InputFunctions.Utility_DisplayArrayInTable(Fuel_SourceData.Fuel_Scope1EmissionFactorsStationaryGaseous_Data(), Table_Fuel_EFs_StationaryGaseous[[#Headers],[Fuel combusted]],0)</f>
        <v>51.53</v>
      </c>
      <c r="K87" s="177"/>
      <c r="L87" s="177"/>
    </row>
    <row r="88" spans="4:12" ht="20.100000000000001" customHeight="1" x14ac:dyDescent="0.25">
      <c r="D88" s="229" t="str" cm="1">
        <f t="array" ref="D88">Common_InputFunctions.Utility_DisplayArrayInTable(Fuel_SourceData.Fuel_Scope1EmissionFactorsStationaryGaseous_Data(), Table_Fuel_EFs_StationaryGaseous[[#Headers],[Fuel combusted]],0)</f>
        <v>Coal seam methane that is captured for combustion</v>
      </c>
      <c r="E88" s="229" cm="1">
        <f t="array" ref="E88">Common_InputFunctions.Utility_DisplayArrayInTable(Fuel_SourceData.Fuel_Scope1EmissionFactorsStationaryGaseous_Data(), Table_Fuel_EFs_StationaryGaseous[[#Headers],[Fuel combusted]],0)</f>
        <v>3.7699999999999997E-2</v>
      </c>
      <c r="F88" s="229" t="str" cm="1">
        <f t="array" ref="F88">Common_InputFunctions.Utility_DisplayArrayInTable(Fuel_SourceData.Fuel_Scope1EmissionFactorsStationaryGaseous_Data(), Table_Fuel_EFs_StationaryGaseous[[#Headers],[Fuel combusted]],0)</f>
        <v>m3</v>
      </c>
      <c r="G88" s="229" cm="1">
        <f t="array" ref="G88">Common_InputFunctions.Utility_DisplayArrayInTable(Fuel_SourceData.Fuel_Scope1EmissionFactorsStationaryGaseous_Data(), Table_Fuel_EFs_StationaryGaseous[[#Headers],[Fuel combusted]],0)</f>
        <v>51.4</v>
      </c>
      <c r="H88" s="229" cm="1">
        <f t="array" ref="H88">Common_InputFunctions.Utility_DisplayArrayInTable(Fuel_SourceData.Fuel_Scope1EmissionFactorsStationaryGaseous_Data(), Table_Fuel_EFs_StationaryGaseous[[#Headers],[Fuel combusted]],0)</f>
        <v>0.2</v>
      </c>
      <c r="I88" s="229" cm="1">
        <f t="array" ref="I88">Common_InputFunctions.Utility_DisplayArrayInTable(Fuel_SourceData.Fuel_Scope1EmissionFactorsStationaryGaseous_Data(), Table_Fuel_EFs_StationaryGaseous[[#Headers],[Fuel combusted]],0)</f>
        <v>0.03</v>
      </c>
      <c r="J88" s="229" cm="1">
        <f t="array" ref="J88">Common_InputFunctions.Utility_DisplayArrayInTable(Fuel_SourceData.Fuel_Scope1EmissionFactorsStationaryGaseous_Data(), Table_Fuel_EFs_StationaryGaseous[[#Headers],[Fuel combusted]],0)</f>
        <v>51.63</v>
      </c>
      <c r="K88" s="177"/>
      <c r="L88" s="177"/>
    </row>
    <row r="89" spans="4:12" ht="20.100000000000001" customHeight="1" x14ac:dyDescent="0.25">
      <c r="D89" s="229" t="str" cm="1">
        <f t="array" ref="D89">Common_InputFunctions.Utility_DisplayArrayInTable(Fuel_SourceData.Fuel_Scope1EmissionFactorsStationaryGaseous_Data(), Table_Fuel_EFs_StationaryGaseous[[#Headers],[Fuel combusted]],0)</f>
        <v>Coal mine waste gas that is captured for combustion</v>
      </c>
      <c r="E89" s="229" cm="1">
        <f t="array" ref="E89">Common_InputFunctions.Utility_DisplayArrayInTable(Fuel_SourceData.Fuel_Scope1EmissionFactorsStationaryGaseous_Data(), Table_Fuel_EFs_StationaryGaseous[[#Headers],[Fuel combusted]],0)</f>
        <v>3.7699999999999997E-2</v>
      </c>
      <c r="F89" s="229" t="str" cm="1">
        <f t="array" ref="F89">Common_InputFunctions.Utility_DisplayArrayInTable(Fuel_SourceData.Fuel_Scope1EmissionFactorsStationaryGaseous_Data(), Table_Fuel_EFs_StationaryGaseous[[#Headers],[Fuel combusted]],0)</f>
        <v>m3</v>
      </c>
      <c r="G89" s="229" cm="1">
        <f t="array" ref="G89">Common_InputFunctions.Utility_DisplayArrayInTable(Fuel_SourceData.Fuel_Scope1EmissionFactorsStationaryGaseous_Data(), Table_Fuel_EFs_StationaryGaseous[[#Headers],[Fuel combusted]],0)</f>
        <v>51.9</v>
      </c>
      <c r="H89" s="229" cm="1">
        <f t="array" ref="H89">Common_InputFunctions.Utility_DisplayArrayInTable(Fuel_SourceData.Fuel_Scope1EmissionFactorsStationaryGaseous_Data(), Table_Fuel_EFs_StationaryGaseous[[#Headers],[Fuel combusted]],0)</f>
        <v>4.5999999999999996</v>
      </c>
      <c r="I89" s="229" cm="1">
        <f t="array" ref="I89">Common_InputFunctions.Utility_DisplayArrayInTable(Fuel_SourceData.Fuel_Scope1EmissionFactorsStationaryGaseous_Data(), Table_Fuel_EFs_StationaryGaseous[[#Headers],[Fuel combusted]],0)</f>
        <v>0.3</v>
      </c>
      <c r="J89" s="229" cm="1">
        <f t="array" ref="J89">Common_InputFunctions.Utility_DisplayArrayInTable(Fuel_SourceData.Fuel_Scope1EmissionFactorsStationaryGaseous_Data(), Table_Fuel_EFs_StationaryGaseous[[#Headers],[Fuel combusted]],0)</f>
        <v>56.8</v>
      </c>
      <c r="K89" s="177"/>
      <c r="L89" s="177"/>
    </row>
    <row r="90" spans="4:12" ht="20.100000000000001" customHeight="1" x14ac:dyDescent="0.25">
      <c r="D90" s="229" t="str" cm="1">
        <f t="array" ref="D90">Common_InputFunctions.Utility_DisplayArrayInTable(Fuel_SourceData.Fuel_Scope1EmissionFactorsStationaryGaseous_Data(), Table_Fuel_EFs_StationaryGaseous[[#Headers],[Fuel combusted]],0)</f>
        <v>Compressed natural gas(reverting to standard conditions)</v>
      </c>
      <c r="E90" s="229" cm="1">
        <f t="array" ref="E90">Common_InputFunctions.Utility_DisplayArrayInTable(Fuel_SourceData.Fuel_Scope1EmissionFactorsStationaryGaseous_Data(), Table_Fuel_EFs_StationaryGaseous[[#Headers],[Fuel combusted]],0)</f>
        <v>3.9300000000000002E-2</v>
      </c>
      <c r="F90" s="229" t="str" cm="1">
        <f t="array" ref="F90">Common_InputFunctions.Utility_DisplayArrayInTable(Fuel_SourceData.Fuel_Scope1EmissionFactorsStationaryGaseous_Data(), Table_Fuel_EFs_StationaryGaseous[[#Headers],[Fuel combusted]],0)</f>
        <v>m3</v>
      </c>
      <c r="G90" s="229" cm="1">
        <f t="array" ref="G90">Common_InputFunctions.Utility_DisplayArrayInTable(Fuel_SourceData.Fuel_Scope1EmissionFactorsStationaryGaseous_Data(), Table_Fuel_EFs_StationaryGaseous[[#Headers],[Fuel combusted]],0)</f>
        <v>51.4</v>
      </c>
      <c r="H90" s="229" cm="1">
        <f t="array" ref="H90">Common_InputFunctions.Utility_DisplayArrayInTable(Fuel_SourceData.Fuel_Scope1EmissionFactorsStationaryGaseous_Data(), Table_Fuel_EFs_StationaryGaseous[[#Headers],[Fuel combusted]],0)</f>
        <v>0.1</v>
      </c>
      <c r="I90" s="229" cm="1">
        <f t="array" ref="I90">Common_InputFunctions.Utility_DisplayArrayInTable(Fuel_SourceData.Fuel_Scope1EmissionFactorsStationaryGaseous_Data(), Table_Fuel_EFs_StationaryGaseous[[#Headers],[Fuel combusted]],0)</f>
        <v>0.03</v>
      </c>
      <c r="J90" s="229" cm="1">
        <f t="array" ref="J90">Common_InputFunctions.Utility_DisplayArrayInTable(Fuel_SourceData.Fuel_Scope1EmissionFactorsStationaryGaseous_Data(), Table_Fuel_EFs_StationaryGaseous[[#Headers],[Fuel combusted]],0)</f>
        <v>51.53</v>
      </c>
      <c r="K90" s="177"/>
      <c r="L90" s="177"/>
    </row>
    <row r="91" spans="4:12" ht="20.100000000000001" customHeight="1" x14ac:dyDescent="0.25">
      <c r="D91" s="229" t="str" cm="1">
        <f t="array" ref="D91">Common_InputFunctions.Utility_DisplayArrayInTable(Fuel_SourceData.Fuel_Scope1EmissionFactorsStationaryGaseous_Data(), Table_Fuel_EFs_StationaryGaseous[[#Headers],[Fuel combusted]],0)</f>
        <v>Unprocessed natural gas</v>
      </c>
      <c r="E91" s="229" cm="1">
        <f t="array" ref="E91">Common_InputFunctions.Utility_DisplayArrayInTable(Fuel_SourceData.Fuel_Scope1EmissionFactorsStationaryGaseous_Data(), Table_Fuel_EFs_StationaryGaseous[[#Headers],[Fuel combusted]],0)</f>
        <v>3.9300000000000002E-2</v>
      </c>
      <c r="F91" s="229" t="str" cm="1">
        <f t="array" ref="F91">Common_InputFunctions.Utility_DisplayArrayInTable(Fuel_SourceData.Fuel_Scope1EmissionFactorsStationaryGaseous_Data(), Table_Fuel_EFs_StationaryGaseous[[#Headers],[Fuel combusted]],0)</f>
        <v>m3</v>
      </c>
      <c r="G91" s="229" cm="1">
        <f t="array" ref="G91">Common_InputFunctions.Utility_DisplayArrayInTable(Fuel_SourceData.Fuel_Scope1EmissionFactorsStationaryGaseous_Data(), Table_Fuel_EFs_StationaryGaseous[[#Headers],[Fuel combusted]],0)</f>
        <v>51.4</v>
      </c>
      <c r="H91" s="229" cm="1">
        <f t="array" ref="H91">Common_InputFunctions.Utility_DisplayArrayInTable(Fuel_SourceData.Fuel_Scope1EmissionFactorsStationaryGaseous_Data(), Table_Fuel_EFs_StationaryGaseous[[#Headers],[Fuel combusted]],0)</f>
        <v>0.1</v>
      </c>
      <c r="I91" s="229" cm="1">
        <f t="array" ref="I91">Common_InputFunctions.Utility_DisplayArrayInTable(Fuel_SourceData.Fuel_Scope1EmissionFactorsStationaryGaseous_Data(), Table_Fuel_EFs_StationaryGaseous[[#Headers],[Fuel combusted]],0)</f>
        <v>0.03</v>
      </c>
      <c r="J91" s="229" cm="1">
        <f t="array" ref="J91">Common_InputFunctions.Utility_DisplayArrayInTable(Fuel_SourceData.Fuel_Scope1EmissionFactorsStationaryGaseous_Data(), Table_Fuel_EFs_StationaryGaseous[[#Headers],[Fuel combusted]],0)</f>
        <v>51.53</v>
      </c>
      <c r="K91" s="177"/>
      <c r="L91" s="177"/>
    </row>
    <row r="92" spans="4:12" ht="20.100000000000001" customHeight="1" x14ac:dyDescent="0.25">
      <c r="D92" s="229" t="str" cm="1">
        <f t="array" ref="D92">Common_InputFunctions.Utility_DisplayArrayInTable(Fuel_SourceData.Fuel_Scope1EmissionFactorsStationaryGaseous_Data(), Table_Fuel_EFs_StationaryGaseous[[#Headers],[Fuel combusted]],0)</f>
        <v>Ethane</v>
      </c>
      <c r="E92" s="229" cm="1">
        <f t="array" ref="E92">Common_InputFunctions.Utility_DisplayArrayInTable(Fuel_SourceData.Fuel_Scope1EmissionFactorsStationaryGaseous_Data(), Table_Fuel_EFs_StationaryGaseous[[#Headers],[Fuel combusted]],0)</f>
        <v>6.2899999999999998E-2</v>
      </c>
      <c r="F92" s="229" t="str" cm="1">
        <f t="array" ref="F92">Common_InputFunctions.Utility_DisplayArrayInTable(Fuel_SourceData.Fuel_Scope1EmissionFactorsStationaryGaseous_Data(), Table_Fuel_EFs_StationaryGaseous[[#Headers],[Fuel combusted]],0)</f>
        <v>m3</v>
      </c>
      <c r="G92" s="229" cm="1">
        <f t="array" ref="G92">Common_InputFunctions.Utility_DisplayArrayInTable(Fuel_SourceData.Fuel_Scope1EmissionFactorsStationaryGaseous_Data(), Table_Fuel_EFs_StationaryGaseous[[#Headers],[Fuel combusted]],0)</f>
        <v>56.5</v>
      </c>
      <c r="H92" s="229" cm="1">
        <f t="array" ref="H92">Common_InputFunctions.Utility_DisplayArrayInTable(Fuel_SourceData.Fuel_Scope1EmissionFactorsStationaryGaseous_Data(), Table_Fuel_EFs_StationaryGaseous[[#Headers],[Fuel combusted]],0)</f>
        <v>0.03</v>
      </c>
      <c r="I92" s="229" cm="1">
        <f t="array" ref="I92">Common_InputFunctions.Utility_DisplayArrayInTable(Fuel_SourceData.Fuel_Scope1EmissionFactorsStationaryGaseous_Data(), Table_Fuel_EFs_StationaryGaseous[[#Headers],[Fuel combusted]],0)</f>
        <v>0.03</v>
      </c>
      <c r="J92" s="229" cm="1">
        <f t="array" ref="J92">Common_InputFunctions.Utility_DisplayArrayInTable(Fuel_SourceData.Fuel_Scope1EmissionFactorsStationaryGaseous_Data(), Table_Fuel_EFs_StationaryGaseous[[#Headers],[Fuel combusted]],0)</f>
        <v>56.56</v>
      </c>
      <c r="K92" s="177"/>
      <c r="L92" s="177"/>
    </row>
    <row r="93" spans="4:12" ht="20.100000000000001" customHeight="1" x14ac:dyDescent="0.25">
      <c r="D93" s="229" t="str" cm="1">
        <f t="array" ref="D93">Common_InputFunctions.Utility_DisplayArrayInTable(Fuel_SourceData.Fuel_Scope1EmissionFactorsStationaryGaseous_Data(), Table_Fuel_EFs_StationaryGaseous[[#Headers],[Fuel combusted]],0)</f>
        <v>Coke oven gas</v>
      </c>
      <c r="E93" s="229" cm="1">
        <f t="array" ref="E93">Common_InputFunctions.Utility_DisplayArrayInTable(Fuel_SourceData.Fuel_Scope1EmissionFactorsStationaryGaseous_Data(), Table_Fuel_EFs_StationaryGaseous[[#Headers],[Fuel combusted]],0)</f>
        <v>1.8100000000000002E-2</v>
      </c>
      <c r="F93" s="229" t="str" cm="1">
        <f t="array" ref="F93">Common_InputFunctions.Utility_DisplayArrayInTable(Fuel_SourceData.Fuel_Scope1EmissionFactorsStationaryGaseous_Data(), Table_Fuel_EFs_StationaryGaseous[[#Headers],[Fuel combusted]],0)</f>
        <v>m3</v>
      </c>
      <c r="G93" s="229" cm="1">
        <f t="array" ref="G93">Common_InputFunctions.Utility_DisplayArrayInTable(Fuel_SourceData.Fuel_Scope1EmissionFactorsStationaryGaseous_Data(), Table_Fuel_EFs_StationaryGaseous[[#Headers],[Fuel combusted]],0)</f>
        <v>37</v>
      </c>
      <c r="H93" s="229" cm="1">
        <f t="array" ref="H93">Common_InputFunctions.Utility_DisplayArrayInTable(Fuel_SourceData.Fuel_Scope1EmissionFactorsStationaryGaseous_Data(), Table_Fuel_EFs_StationaryGaseous[[#Headers],[Fuel combusted]],0)</f>
        <v>0.03</v>
      </c>
      <c r="I93" s="229" cm="1">
        <f t="array" ref="I93">Common_InputFunctions.Utility_DisplayArrayInTable(Fuel_SourceData.Fuel_Scope1EmissionFactorsStationaryGaseous_Data(), Table_Fuel_EFs_StationaryGaseous[[#Headers],[Fuel combusted]],0)</f>
        <v>0.05</v>
      </c>
      <c r="J93" s="229" cm="1">
        <f t="array" ref="J93">Common_InputFunctions.Utility_DisplayArrayInTable(Fuel_SourceData.Fuel_Scope1EmissionFactorsStationaryGaseous_Data(), Table_Fuel_EFs_StationaryGaseous[[#Headers],[Fuel combusted]],0)</f>
        <v>37.08</v>
      </c>
      <c r="K93" s="177"/>
      <c r="L93" s="177"/>
    </row>
    <row r="94" spans="4:12" ht="20.100000000000001" customHeight="1" x14ac:dyDescent="0.25">
      <c r="D94" s="229" t="str" cm="1">
        <f t="array" ref="D94">Common_InputFunctions.Utility_DisplayArrayInTable(Fuel_SourceData.Fuel_Scope1EmissionFactorsStationaryGaseous_Data(), Table_Fuel_EFs_StationaryGaseous[[#Headers],[Fuel combusted]],0)</f>
        <v>Blast furnace gas</v>
      </c>
      <c r="E94" s="229" cm="1">
        <f t="array" ref="E94">Common_InputFunctions.Utility_DisplayArrayInTable(Fuel_SourceData.Fuel_Scope1EmissionFactorsStationaryGaseous_Data(), Table_Fuel_EFs_StationaryGaseous[[#Headers],[Fuel combusted]],0)</f>
        <v>4.0000000000000001E-3</v>
      </c>
      <c r="F94" s="229" t="str" cm="1">
        <f t="array" ref="F94">Common_InputFunctions.Utility_DisplayArrayInTable(Fuel_SourceData.Fuel_Scope1EmissionFactorsStationaryGaseous_Data(), Table_Fuel_EFs_StationaryGaseous[[#Headers],[Fuel combusted]],0)</f>
        <v>m3</v>
      </c>
      <c r="G94" s="229" cm="1">
        <f t="array" ref="G94">Common_InputFunctions.Utility_DisplayArrayInTable(Fuel_SourceData.Fuel_Scope1EmissionFactorsStationaryGaseous_Data(), Table_Fuel_EFs_StationaryGaseous[[#Headers],[Fuel combusted]],0)</f>
        <v>234</v>
      </c>
      <c r="H94" s="229" cm="1">
        <f t="array" ref="H94">Common_InputFunctions.Utility_DisplayArrayInTable(Fuel_SourceData.Fuel_Scope1EmissionFactorsStationaryGaseous_Data(), Table_Fuel_EFs_StationaryGaseous[[#Headers],[Fuel combusted]],0)</f>
        <v>0.03</v>
      </c>
      <c r="I94" s="229" cm="1">
        <f t="array" ref="I94">Common_InputFunctions.Utility_DisplayArrayInTable(Fuel_SourceData.Fuel_Scope1EmissionFactorsStationaryGaseous_Data(), Table_Fuel_EFs_StationaryGaseous[[#Headers],[Fuel combusted]],0)</f>
        <v>0.02</v>
      </c>
      <c r="J94" s="229" cm="1">
        <f t="array" ref="J94">Common_InputFunctions.Utility_DisplayArrayInTable(Fuel_SourceData.Fuel_Scope1EmissionFactorsStationaryGaseous_Data(), Table_Fuel_EFs_StationaryGaseous[[#Headers],[Fuel combusted]],0)</f>
        <v>234.05</v>
      </c>
      <c r="K94" s="177"/>
      <c r="L94" s="177"/>
    </row>
    <row r="95" spans="4:12" ht="20.100000000000001" customHeight="1" x14ac:dyDescent="0.25">
      <c r="D95" s="229" t="str" cm="1">
        <f t="array" ref="D95">Common_InputFunctions.Utility_DisplayArrayInTable(Fuel_SourceData.Fuel_Scope1EmissionFactorsStationaryGaseous_Data(), Table_Fuel_EFs_StationaryGaseous[[#Headers],[Fuel combusted]],0)</f>
        <v>Town gas</v>
      </c>
      <c r="E95" s="229" cm="1">
        <f t="array" ref="E95">Common_InputFunctions.Utility_DisplayArrayInTable(Fuel_SourceData.Fuel_Scope1EmissionFactorsStationaryGaseous_Data(), Table_Fuel_EFs_StationaryGaseous[[#Headers],[Fuel combusted]],0)</f>
        <v>3.9E-2</v>
      </c>
      <c r="F95" s="229" t="str" cm="1">
        <f t="array" ref="F95">Common_InputFunctions.Utility_DisplayArrayInTable(Fuel_SourceData.Fuel_Scope1EmissionFactorsStationaryGaseous_Data(), Table_Fuel_EFs_StationaryGaseous[[#Headers],[Fuel combusted]],0)</f>
        <v>m3</v>
      </c>
      <c r="G95" s="229" cm="1">
        <f t="array" ref="G95">Common_InputFunctions.Utility_DisplayArrayInTable(Fuel_SourceData.Fuel_Scope1EmissionFactorsStationaryGaseous_Data(), Table_Fuel_EFs_StationaryGaseous[[#Headers],[Fuel combusted]],0)</f>
        <v>60.2</v>
      </c>
      <c r="H95" s="229" cm="1">
        <f t="array" ref="H95">Common_InputFunctions.Utility_DisplayArrayInTable(Fuel_SourceData.Fuel_Scope1EmissionFactorsStationaryGaseous_Data(), Table_Fuel_EFs_StationaryGaseous[[#Headers],[Fuel combusted]],0)</f>
        <v>0.04</v>
      </c>
      <c r="I95" s="229" cm="1">
        <f t="array" ref="I95">Common_InputFunctions.Utility_DisplayArrayInTable(Fuel_SourceData.Fuel_Scope1EmissionFactorsStationaryGaseous_Data(), Table_Fuel_EFs_StationaryGaseous[[#Headers],[Fuel combusted]],0)</f>
        <v>0.03</v>
      </c>
      <c r="J95" s="229" cm="1">
        <f t="array" ref="J95">Common_InputFunctions.Utility_DisplayArrayInTable(Fuel_SourceData.Fuel_Scope1EmissionFactorsStationaryGaseous_Data(), Table_Fuel_EFs_StationaryGaseous[[#Headers],[Fuel combusted]],0)</f>
        <v>60.27</v>
      </c>
      <c r="K95" s="177"/>
      <c r="L95" s="177"/>
    </row>
    <row r="96" spans="4:12" ht="20.100000000000001" customHeight="1" x14ac:dyDescent="0.25">
      <c r="D96" s="229" t="str" cm="1">
        <f t="array" ref="D96">Common_InputFunctions.Utility_DisplayArrayInTable(Fuel_SourceData.Fuel_Scope1EmissionFactorsStationaryGaseous_Data(), Table_Fuel_EFs_StationaryGaseous[[#Headers],[Fuel combusted]],0)</f>
        <v>Liquefied natural gas</v>
      </c>
      <c r="E96" s="229" cm="1">
        <f t="array" ref="E96">Common_InputFunctions.Utility_DisplayArrayInTable(Fuel_SourceData.Fuel_Scope1EmissionFactorsStationaryGaseous_Data(), Table_Fuel_EFs_StationaryGaseous[[#Headers],[Fuel combusted]],0)</f>
        <v>25.3</v>
      </c>
      <c r="F96" s="229" t="str" cm="1">
        <f t="array" ref="F96">Common_InputFunctions.Utility_DisplayArrayInTable(Fuel_SourceData.Fuel_Scope1EmissionFactorsStationaryGaseous_Data(), Table_Fuel_EFs_StationaryGaseous[[#Headers],[Fuel combusted]],0)</f>
        <v>kL</v>
      </c>
      <c r="G96" s="229" cm="1">
        <f t="array" ref="G96">Common_InputFunctions.Utility_DisplayArrayInTable(Fuel_SourceData.Fuel_Scope1EmissionFactorsStationaryGaseous_Data(), Table_Fuel_EFs_StationaryGaseous[[#Headers],[Fuel combusted]],0)</f>
        <v>51.4</v>
      </c>
      <c r="H96" s="229" cm="1">
        <f t="array" ref="H96">Common_InputFunctions.Utility_DisplayArrayInTable(Fuel_SourceData.Fuel_Scope1EmissionFactorsStationaryGaseous_Data(), Table_Fuel_EFs_StationaryGaseous[[#Headers],[Fuel combusted]],0)</f>
        <v>0.1</v>
      </c>
      <c r="I96" s="229" cm="1">
        <f t="array" ref="I96">Common_InputFunctions.Utility_DisplayArrayInTable(Fuel_SourceData.Fuel_Scope1EmissionFactorsStationaryGaseous_Data(), Table_Fuel_EFs_StationaryGaseous[[#Headers],[Fuel combusted]],0)</f>
        <v>0.03</v>
      </c>
      <c r="J96" s="229" cm="1">
        <f t="array" ref="J96">Common_InputFunctions.Utility_DisplayArrayInTable(Fuel_SourceData.Fuel_Scope1EmissionFactorsStationaryGaseous_Data(), Table_Fuel_EFs_StationaryGaseous[[#Headers],[Fuel combusted]],0)</f>
        <v>51.53</v>
      </c>
      <c r="K96" s="177"/>
      <c r="L96" s="177"/>
    </row>
    <row r="97" spans="4:13" ht="20.100000000000001" customHeight="1" x14ac:dyDescent="0.25">
      <c r="D97" s="229" t="str" cm="1">
        <f t="array" ref="D97">Common_InputFunctions.Utility_DisplayArrayInTable(Fuel_SourceData.Fuel_Scope1EmissionFactorsStationaryGaseous_Data(), Table_Fuel_EFs_StationaryGaseous[[#Headers],[Fuel combusted]],0)</f>
        <v>Gaseous fossil fuels other than those mentioned in the items above</v>
      </c>
      <c r="E97" s="229" cm="1">
        <f t="array" ref="E97">Common_InputFunctions.Utility_DisplayArrayInTable(Fuel_SourceData.Fuel_Scope1EmissionFactorsStationaryGaseous_Data(), Table_Fuel_EFs_StationaryGaseous[[#Headers],[Fuel combusted]],0)</f>
        <v>3.9E-2</v>
      </c>
      <c r="F97" s="229" t="str" cm="1">
        <f t="array" ref="F97">Common_InputFunctions.Utility_DisplayArrayInTable(Fuel_SourceData.Fuel_Scope1EmissionFactorsStationaryGaseous_Data(), Table_Fuel_EFs_StationaryGaseous[[#Headers],[Fuel combusted]],0)</f>
        <v>m3</v>
      </c>
      <c r="G97" s="229" cm="1">
        <f t="array" ref="G97">Common_InputFunctions.Utility_DisplayArrayInTable(Fuel_SourceData.Fuel_Scope1EmissionFactorsStationaryGaseous_Data(), Table_Fuel_EFs_StationaryGaseous[[#Headers],[Fuel combusted]],0)</f>
        <v>51.4</v>
      </c>
      <c r="H97" s="229" cm="1">
        <f t="array" ref="H97">Common_InputFunctions.Utility_DisplayArrayInTable(Fuel_SourceData.Fuel_Scope1EmissionFactorsStationaryGaseous_Data(), Table_Fuel_EFs_StationaryGaseous[[#Headers],[Fuel combusted]],0)</f>
        <v>0.1</v>
      </c>
      <c r="I97" s="229" cm="1">
        <f t="array" ref="I97">Common_InputFunctions.Utility_DisplayArrayInTable(Fuel_SourceData.Fuel_Scope1EmissionFactorsStationaryGaseous_Data(), Table_Fuel_EFs_StationaryGaseous[[#Headers],[Fuel combusted]],0)</f>
        <v>0.03</v>
      </c>
      <c r="J97" s="229" cm="1">
        <f t="array" ref="J97">Common_InputFunctions.Utility_DisplayArrayInTable(Fuel_SourceData.Fuel_Scope1EmissionFactorsStationaryGaseous_Data(), Table_Fuel_EFs_StationaryGaseous[[#Headers],[Fuel combusted]],0)</f>
        <v>51.53</v>
      </c>
      <c r="K97" s="177"/>
      <c r="L97" s="177"/>
    </row>
    <row r="98" spans="4:13" ht="20.100000000000001" customHeight="1" x14ac:dyDescent="0.25">
      <c r="D98" s="229" t="str" cm="1">
        <f t="array" ref="D98">Common_InputFunctions.Utility_DisplayArrayInTable(Fuel_SourceData.Fuel_Scope1EmissionFactorsStationaryGaseous_Data(), Table_Fuel_EFs_StationaryGaseous[[#Headers],[Fuel combusted]],0)</f>
        <v>Landfill biogas that is captured for combustion (methane only)</v>
      </c>
      <c r="E98" s="229" cm="1">
        <f t="array" ref="E98">Common_InputFunctions.Utility_DisplayArrayInTable(Fuel_SourceData.Fuel_Scope1EmissionFactorsStationaryGaseous_Data(), Table_Fuel_EFs_StationaryGaseous[[#Headers],[Fuel combusted]],0)</f>
        <v>3.7699999999999997E-2</v>
      </c>
      <c r="F98" s="229" t="str" cm="1">
        <f t="array" ref="F98">Common_InputFunctions.Utility_DisplayArrayInTable(Fuel_SourceData.Fuel_Scope1EmissionFactorsStationaryGaseous_Data(), Table_Fuel_EFs_StationaryGaseous[[#Headers],[Fuel combusted]],0)</f>
        <v>m3</v>
      </c>
      <c r="G98" s="229" cm="1">
        <f t="array" ref="G98">Common_InputFunctions.Utility_DisplayArrayInTable(Fuel_SourceData.Fuel_Scope1EmissionFactorsStationaryGaseous_Data(), Table_Fuel_EFs_StationaryGaseous[[#Headers],[Fuel combusted]],0)</f>
        <v>0</v>
      </c>
      <c r="H98" s="229" cm="1">
        <f t="array" ref="H98">Common_InputFunctions.Utility_DisplayArrayInTable(Fuel_SourceData.Fuel_Scope1EmissionFactorsStationaryGaseous_Data(), Table_Fuel_EFs_StationaryGaseous[[#Headers],[Fuel combusted]],0)</f>
        <v>6.4</v>
      </c>
      <c r="I98" s="229" cm="1">
        <f t="array" ref="I98">Common_InputFunctions.Utility_DisplayArrayInTable(Fuel_SourceData.Fuel_Scope1EmissionFactorsStationaryGaseous_Data(), Table_Fuel_EFs_StationaryGaseous[[#Headers],[Fuel combusted]],0)</f>
        <v>0.03</v>
      </c>
      <c r="J98" s="229" cm="1">
        <f t="array" ref="J98">Common_InputFunctions.Utility_DisplayArrayInTable(Fuel_SourceData.Fuel_Scope1EmissionFactorsStationaryGaseous_Data(), Table_Fuel_EFs_StationaryGaseous[[#Headers],[Fuel combusted]],0)</f>
        <v>6.43</v>
      </c>
      <c r="K98" s="177"/>
      <c r="L98" s="177"/>
    </row>
    <row r="99" spans="4:13" ht="20.100000000000001" customHeight="1" x14ac:dyDescent="0.25">
      <c r="D99" s="229" t="str" cm="1">
        <f t="array" ref="D99">Common_InputFunctions.Utility_DisplayArrayInTable(Fuel_SourceData.Fuel_Scope1EmissionFactorsStationaryGaseous_Data(), Table_Fuel_EFs_StationaryGaseous[[#Headers],[Fuel combusted]],0)</f>
        <v>Sludge biogas that is captured for combustion (methane only)</v>
      </c>
      <c r="E99" s="229" cm="1">
        <f t="array" ref="E99">Common_InputFunctions.Utility_DisplayArrayInTable(Fuel_SourceData.Fuel_Scope1EmissionFactorsStationaryGaseous_Data(), Table_Fuel_EFs_StationaryGaseous[[#Headers],[Fuel combusted]],0)</f>
        <v>3.7699999999999997E-2</v>
      </c>
      <c r="F99" s="229" t="str" cm="1">
        <f t="array" ref="F99">Common_InputFunctions.Utility_DisplayArrayInTable(Fuel_SourceData.Fuel_Scope1EmissionFactorsStationaryGaseous_Data(), Table_Fuel_EFs_StationaryGaseous[[#Headers],[Fuel combusted]],0)</f>
        <v>m3</v>
      </c>
      <c r="G99" s="229" cm="1">
        <f t="array" ref="G99">Common_InputFunctions.Utility_DisplayArrayInTable(Fuel_SourceData.Fuel_Scope1EmissionFactorsStationaryGaseous_Data(), Table_Fuel_EFs_StationaryGaseous[[#Headers],[Fuel combusted]],0)</f>
        <v>0</v>
      </c>
      <c r="H99" s="229" cm="1">
        <f t="array" ref="H99">Common_InputFunctions.Utility_DisplayArrayInTable(Fuel_SourceData.Fuel_Scope1EmissionFactorsStationaryGaseous_Data(), Table_Fuel_EFs_StationaryGaseous[[#Headers],[Fuel combusted]],0)</f>
        <v>6.4</v>
      </c>
      <c r="I99" s="229" cm="1">
        <f t="array" ref="I99">Common_InputFunctions.Utility_DisplayArrayInTable(Fuel_SourceData.Fuel_Scope1EmissionFactorsStationaryGaseous_Data(), Table_Fuel_EFs_StationaryGaseous[[#Headers],[Fuel combusted]],0)</f>
        <v>0.03</v>
      </c>
      <c r="J99" s="229" cm="1">
        <f t="array" ref="J99">Common_InputFunctions.Utility_DisplayArrayInTable(Fuel_SourceData.Fuel_Scope1EmissionFactorsStationaryGaseous_Data(), Table_Fuel_EFs_StationaryGaseous[[#Headers],[Fuel combusted]],0)</f>
        <v>6.43</v>
      </c>
      <c r="K99" s="177"/>
      <c r="L99" s="177"/>
    </row>
    <row r="100" spans="4:13" ht="20.100000000000001" customHeight="1" x14ac:dyDescent="0.25">
      <c r="D100" s="229" t="str" cm="1">
        <f t="array" ref="D100">Common_InputFunctions.Utility_DisplayArrayInTable(Fuel_SourceData.Fuel_Scope1EmissionFactorsStationaryGaseous_Data(), Table_Fuel_EFs_StationaryGaseous[[#Headers],[Fuel combusted]],0)</f>
        <v>A biogas that is captured for combustion, other than those mentioned in the items above</v>
      </c>
      <c r="E100" s="229" cm="1">
        <f t="array" ref="E100">Common_InputFunctions.Utility_DisplayArrayInTable(Fuel_SourceData.Fuel_Scope1EmissionFactorsStationaryGaseous_Data(), Table_Fuel_EFs_StationaryGaseous[[#Headers],[Fuel combusted]],0)</f>
        <v>3.6999999999999998E-2</v>
      </c>
      <c r="F100" s="229" t="str" cm="1">
        <f t="array" ref="F100">Common_InputFunctions.Utility_DisplayArrayInTable(Fuel_SourceData.Fuel_Scope1EmissionFactorsStationaryGaseous_Data(), Table_Fuel_EFs_StationaryGaseous[[#Headers],[Fuel combusted]],0)</f>
        <v>m3</v>
      </c>
      <c r="G100" s="229" cm="1">
        <f t="array" ref="G100">Common_InputFunctions.Utility_DisplayArrayInTable(Fuel_SourceData.Fuel_Scope1EmissionFactorsStationaryGaseous_Data(), Table_Fuel_EFs_StationaryGaseous[[#Headers],[Fuel combusted]],0)</f>
        <v>0</v>
      </c>
      <c r="H100" s="229" cm="1">
        <f t="array" ref="H100">Common_InputFunctions.Utility_DisplayArrayInTable(Fuel_SourceData.Fuel_Scope1EmissionFactorsStationaryGaseous_Data(), Table_Fuel_EFs_StationaryGaseous[[#Headers],[Fuel combusted]],0)</f>
        <v>6.4</v>
      </c>
      <c r="I100" s="229" cm="1">
        <f t="array" ref="I100">Common_InputFunctions.Utility_DisplayArrayInTable(Fuel_SourceData.Fuel_Scope1EmissionFactorsStationaryGaseous_Data(), Table_Fuel_EFs_StationaryGaseous[[#Headers],[Fuel combusted]],0)</f>
        <v>0.03</v>
      </c>
      <c r="J100" s="229" cm="1">
        <f t="array" ref="J100">Common_InputFunctions.Utility_DisplayArrayInTable(Fuel_SourceData.Fuel_Scope1EmissionFactorsStationaryGaseous_Data(), Table_Fuel_EFs_StationaryGaseous[[#Headers],[Fuel combusted]],0)</f>
        <v>6.43</v>
      </c>
      <c r="K100" s="177"/>
      <c r="L100" s="177"/>
    </row>
    <row r="101" spans="4:13" ht="20.100000000000001" customHeight="1" x14ac:dyDescent="0.25">
      <c r="D101" s="229" t="str" cm="1">
        <f t="array" ref="D101">Common_InputFunctions.Utility_DisplayArrayInTable(Fuel_SourceData.Fuel_Scope1EmissionFactorsStationaryGaseous_Data(), Table_Fuel_EFs_StationaryGaseous[[#Headers],[Fuel combusted]],0)</f>
        <v>Biomethane</v>
      </c>
      <c r="E101" s="229" cm="1">
        <f t="array" ref="E101">Common_InputFunctions.Utility_DisplayArrayInTable(Fuel_SourceData.Fuel_Scope1EmissionFactorsStationaryGaseous_Data(), Table_Fuel_EFs_StationaryGaseous[[#Headers],[Fuel combusted]],0)</f>
        <v>3.9300000000000002E-2</v>
      </c>
      <c r="F101" s="229" t="str" cm="1">
        <f t="array" ref="F101">Common_InputFunctions.Utility_DisplayArrayInTable(Fuel_SourceData.Fuel_Scope1EmissionFactorsStationaryGaseous_Data(), Table_Fuel_EFs_StationaryGaseous[[#Headers],[Fuel combusted]],0)</f>
        <v>m3</v>
      </c>
      <c r="G101" s="229" cm="1">
        <f t="array" ref="G101">Common_InputFunctions.Utility_DisplayArrayInTable(Fuel_SourceData.Fuel_Scope1EmissionFactorsStationaryGaseous_Data(), Table_Fuel_EFs_StationaryGaseous[[#Headers],[Fuel combusted]],0)</f>
        <v>0</v>
      </c>
      <c r="H101" s="229" cm="1">
        <f t="array" ref="H101">Common_InputFunctions.Utility_DisplayArrayInTable(Fuel_SourceData.Fuel_Scope1EmissionFactorsStationaryGaseous_Data(), Table_Fuel_EFs_StationaryGaseous[[#Headers],[Fuel combusted]],0)</f>
        <v>0.1</v>
      </c>
      <c r="I101" s="229" cm="1">
        <f t="array" ref="I101">Common_InputFunctions.Utility_DisplayArrayInTable(Fuel_SourceData.Fuel_Scope1EmissionFactorsStationaryGaseous_Data(), Table_Fuel_EFs_StationaryGaseous[[#Headers],[Fuel combusted]],0)</f>
        <v>0.03</v>
      </c>
      <c r="J101" s="229" cm="1">
        <f t="array" ref="J101">Common_InputFunctions.Utility_DisplayArrayInTable(Fuel_SourceData.Fuel_Scope1EmissionFactorsStationaryGaseous_Data(), Table_Fuel_EFs_StationaryGaseous[[#Headers],[Fuel combusted]],0)</f>
        <v>0.13</v>
      </c>
      <c r="K101" s="177"/>
      <c r="L101" s="177"/>
    </row>
    <row r="102" spans="4:13" ht="20.100000000000001" customHeight="1" x14ac:dyDescent="0.25">
      <c r="D102" s="229" t="str" cm="1">
        <f t="array" ref="D102">Common_InputFunctions.Utility_DisplayArrayInTable(Fuel_SourceData.Fuel_Scope1EmissionFactorsStationaryGaseous_Data(), Table_Fuel_EFs_StationaryGaseous[[#Headers],[Fuel combusted]],0)</f>
        <v>Hydrogen</v>
      </c>
      <c r="E102" s="229" cm="1">
        <f t="array" ref="E102">Common_InputFunctions.Utility_DisplayArrayInTable(Fuel_SourceData.Fuel_Scope1EmissionFactorsStationaryGaseous_Data(), Table_Fuel_EFs_StationaryGaseous[[#Headers],[Fuel combusted]],0)</f>
        <v>1.2200000000000001E-2</v>
      </c>
      <c r="F102" s="229" t="str" cm="1">
        <f t="array" ref="F102">Common_InputFunctions.Utility_DisplayArrayInTable(Fuel_SourceData.Fuel_Scope1EmissionFactorsStationaryGaseous_Data(), Table_Fuel_EFs_StationaryGaseous[[#Headers],[Fuel combusted]],0)</f>
        <v>m3</v>
      </c>
      <c r="G102" s="229" cm="1">
        <f t="array" ref="G102">Common_InputFunctions.Utility_DisplayArrayInTable(Fuel_SourceData.Fuel_Scope1EmissionFactorsStationaryGaseous_Data(), Table_Fuel_EFs_StationaryGaseous[[#Headers],[Fuel combusted]],0)</f>
        <v>0</v>
      </c>
      <c r="H102" s="229" cm="1">
        <f t="array" ref="H102">Common_InputFunctions.Utility_DisplayArrayInTable(Fuel_SourceData.Fuel_Scope1EmissionFactorsStationaryGaseous_Data(), Table_Fuel_EFs_StationaryGaseous[[#Headers],[Fuel combusted]],0)</f>
        <v>0</v>
      </c>
      <c r="I102" s="229" cm="1">
        <f t="array" ref="I102">Common_InputFunctions.Utility_DisplayArrayInTable(Fuel_SourceData.Fuel_Scope1EmissionFactorsStationaryGaseous_Data(), Table_Fuel_EFs_StationaryGaseous[[#Headers],[Fuel combusted]],0)</f>
        <v>0.5</v>
      </c>
      <c r="J102" s="229" cm="1">
        <f t="array" ref="J102">Common_InputFunctions.Utility_DisplayArrayInTable(Fuel_SourceData.Fuel_Scope1EmissionFactorsStationaryGaseous_Data(), Table_Fuel_EFs_StationaryGaseous[[#Headers],[Fuel combusted]],0)</f>
        <v>0.5</v>
      </c>
      <c r="K102" s="177"/>
      <c r="L102" s="177"/>
    </row>
    <row r="103" spans="4:13" ht="20.100000000000001" customHeight="1" x14ac:dyDescent="0.25">
      <c r="D103" s="229" t="str" cm="1">
        <f t="array" ref="D103">Common_InputFunctions.Utility_DisplayArrayInTable(Fuel_SourceData.Fuel_Scope1EmissionFactorsStationaryGaseous_Data(), Table_Fuel_EFs_StationaryGaseous[[#Headers],[Fuel combusted]],0)</f>
        <v>Natural gas distributed in a pipeline - Gigajoules</v>
      </c>
      <c r="E103" s="229" cm="1">
        <f t="array" ref="E103">Common_InputFunctions.Utility_DisplayArrayInTable(Fuel_SourceData.Fuel_Scope1EmissionFactorsStationaryGaseous_Data(), Table_Fuel_EFs_StationaryGaseous[[#Headers],[Fuel combusted]],0)</f>
        <v>1</v>
      </c>
      <c r="F103" s="229" t="str" cm="1">
        <f t="array" ref="F103">Common_InputFunctions.Utility_DisplayArrayInTable(Fuel_SourceData.Fuel_Scope1EmissionFactorsStationaryGaseous_Data(), Table_Fuel_EFs_StationaryGaseous[[#Headers],[Fuel combusted]],0)</f>
        <v>GJ</v>
      </c>
      <c r="G103" s="229" cm="1">
        <f t="array" ref="G103">Common_InputFunctions.Utility_DisplayArrayInTable(Fuel_SourceData.Fuel_Scope1EmissionFactorsStationaryGaseous_Data(), Table_Fuel_EFs_StationaryGaseous[[#Headers],[Fuel combusted]],0)</f>
        <v>51.4</v>
      </c>
      <c r="H103" s="229" cm="1">
        <f t="array" ref="H103">Common_InputFunctions.Utility_DisplayArrayInTable(Fuel_SourceData.Fuel_Scope1EmissionFactorsStationaryGaseous_Data(), Table_Fuel_EFs_StationaryGaseous[[#Headers],[Fuel combusted]],0)</f>
        <v>0.1</v>
      </c>
      <c r="I103" s="229" cm="1">
        <f t="array" ref="I103">Common_InputFunctions.Utility_DisplayArrayInTable(Fuel_SourceData.Fuel_Scope1EmissionFactorsStationaryGaseous_Data(), Table_Fuel_EFs_StationaryGaseous[[#Headers],[Fuel combusted]],0)</f>
        <v>0.03</v>
      </c>
      <c r="J103" s="229" cm="1">
        <f t="array" ref="J103">Common_InputFunctions.Utility_DisplayArrayInTable(Fuel_SourceData.Fuel_Scope1EmissionFactorsStationaryGaseous_Data(), Table_Fuel_EFs_StationaryGaseous[[#Headers],[Fuel combusted]],0)</f>
        <v>51.53</v>
      </c>
      <c r="K103" s="177"/>
      <c r="L103" s="177"/>
    </row>
    <row r="104" spans="4:13" ht="20.100000000000001" customHeight="1" x14ac:dyDescent="0.25">
      <c r="D104" s="229" t="str" cm="1">
        <f t="array" ref="D104">Common_InputFunctions.Utility_DisplayArrayInTable(Fuel_SourceData.Fuel_Scope1EmissionFactorsStationaryGaseous_Data(), Table_Fuel_EFs_StationaryGaseous[[#Headers],[Fuel combusted]],0)</f>
        <v>Town gas - Gigajoules</v>
      </c>
      <c r="E104" s="229" cm="1">
        <f t="array" ref="E104">Common_InputFunctions.Utility_DisplayArrayInTable(Fuel_SourceData.Fuel_Scope1EmissionFactorsStationaryGaseous_Data(), Table_Fuel_EFs_StationaryGaseous[[#Headers],[Fuel combusted]],0)</f>
        <v>1</v>
      </c>
      <c r="F104" s="229" t="str" cm="1">
        <f t="array" ref="F104">Common_InputFunctions.Utility_DisplayArrayInTable(Fuel_SourceData.Fuel_Scope1EmissionFactorsStationaryGaseous_Data(), Table_Fuel_EFs_StationaryGaseous[[#Headers],[Fuel combusted]],0)</f>
        <v>GJ</v>
      </c>
      <c r="G104" s="229" cm="1">
        <f t="array" ref="G104">Common_InputFunctions.Utility_DisplayArrayInTable(Fuel_SourceData.Fuel_Scope1EmissionFactorsStationaryGaseous_Data(), Table_Fuel_EFs_StationaryGaseous[[#Headers],[Fuel combusted]],0)</f>
        <v>60.2</v>
      </c>
      <c r="H104" s="229" cm="1">
        <f t="array" ref="H104">Common_InputFunctions.Utility_DisplayArrayInTable(Fuel_SourceData.Fuel_Scope1EmissionFactorsStationaryGaseous_Data(), Table_Fuel_EFs_StationaryGaseous[[#Headers],[Fuel combusted]],0)</f>
        <v>0.04</v>
      </c>
      <c r="I104" s="229" cm="1">
        <f t="array" ref="I104">Common_InputFunctions.Utility_DisplayArrayInTable(Fuel_SourceData.Fuel_Scope1EmissionFactorsStationaryGaseous_Data(), Table_Fuel_EFs_StationaryGaseous[[#Headers],[Fuel combusted]],0)</f>
        <v>0.03</v>
      </c>
      <c r="J104" s="229" cm="1">
        <f t="array" ref="J104">Common_InputFunctions.Utility_DisplayArrayInTable(Fuel_SourceData.Fuel_Scope1EmissionFactorsStationaryGaseous_Data(), Table_Fuel_EFs_StationaryGaseous[[#Headers],[Fuel combusted]],0)</f>
        <v>60.27</v>
      </c>
      <c r="K104" s="177"/>
      <c r="L104" s="177"/>
    </row>
    <row r="105" spans="4:13" ht="20.100000000000001" customHeight="1" x14ac:dyDescent="0.25">
      <c r="D105" s="177"/>
      <c r="E105" s="177"/>
      <c r="F105" s="177"/>
      <c r="G105" s="177"/>
      <c r="H105" s="177"/>
      <c r="I105" s="177"/>
      <c r="J105" s="177"/>
      <c r="K105" s="177"/>
      <c r="L105" s="177"/>
      <c r="M105" s="177"/>
    </row>
    <row r="106" spans="4:13" ht="20.100000000000001" customHeight="1" x14ac:dyDescent="0.25">
      <c r="D106" s="177"/>
      <c r="E106" s="177"/>
      <c r="F106" s="177"/>
      <c r="G106" s="177"/>
      <c r="H106" s="177"/>
      <c r="I106" s="177"/>
      <c r="J106" s="177"/>
      <c r="K106" s="177"/>
      <c r="L106" s="177"/>
      <c r="M106" s="177"/>
    </row>
    <row r="107" spans="4:13" ht="20.100000000000001" customHeight="1" x14ac:dyDescent="0.25">
      <c r="D107" s="2" t="str" cm="1">
        <f t="array" ref="D107">Fuel_SourceData.Fuel_Scope3EmissionFactorsStationaryGaseous_Title()</f>
        <v>Fuel scope 3 emission factors - Stationary gaseous fuels</v>
      </c>
      <c r="E107" s="177"/>
      <c r="F107" s="177"/>
      <c r="G107" s="177"/>
      <c r="H107" s="177"/>
      <c r="I107" s="177"/>
      <c r="J107" s="177"/>
      <c r="K107" s="177"/>
      <c r="L107" s="177"/>
    </row>
    <row r="108" spans="4:13" ht="20.100000000000001" customHeight="1" x14ac:dyDescent="0.25">
      <c r="D108" s="1" t="str" cm="1">
        <f t="array" ref="D108">Fuel_SourceData.Fuel_Scope3EmissionFactorsStationaryGaseous_Description()</f>
        <v>Indirect (Scope 3) emission factors for the consumption of natural gas.</v>
      </c>
      <c r="E108" s="177"/>
      <c r="F108" s="177"/>
      <c r="G108" s="177"/>
      <c r="H108" s="177"/>
      <c r="I108" s="177"/>
      <c r="J108" s="177"/>
      <c r="K108" s="177"/>
      <c r="L108" s="177"/>
    </row>
    <row r="109" spans="4:13" ht="20.100000000000001" customHeight="1" x14ac:dyDescent="0.25">
      <c r="D109" s="27" t="str" cm="1">
        <f t="array" ref="D109">Fuel_SourceData.Fuel_Scope3EmissionFactorsStationaryGaseous_Source()</f>
        <v>Australian National Greenhouse Accounts Factors 2025 - Table 6</v>
      </c>
      <c r="E109" s="177"/>
      <c r="F109" s="177"/>
      <c r="G109" s="177"/>
      <c r="H109" s="177"/>
      <c r="I109" s="177"/>
      <c r="J109" s="177"/>
      <c r="K109" s="177"/>
      <c r="L109" s="177"/>
    </row>
    <row r="110" spans="4:13" ht="20.100000000000001" customHeight="1" x14ac:dyDescent="0.25">
      <c r="D110" s="36" t="str" cm="1">
        <f t="array" ref="D110">"⚠️"&amp;Fuel_SourceData.Fuel_Scope3EmissionFactorsStationaryGaseous_Variation()</f>
        <v>⚠️VARIATION OF SOURCE DATA: NSW and ACT split into separate rows. 'C' Values for Tasmania and Northern Territory replaced with those for Victoria and Western Australia respectively. (See appendices)</v>
      </c>
      <c r="E110" s="177"/>
      <c r="F110" s="177"/>
      <c r="G110" s="177"/>
      <c r="H110" s="177"/>
      <c r="I110" s="177"/>
      <c r="J110" s="177"/>
      <c r="K110" s="177"/>
      <c r="L110" s="177"/>
    </row>
    <row r="111" spans="4:13" ht="20.100000000000001" customHeight="1" x14ac:dyDescent="0.25">
      <c r="D111" s="177"/>
      <c r="E111" s="177"/>
      <c r="F111" s="177"/>
      <c r="G111" s="177"/>
      <c r="H111" s="177"/>
      <c r="I111" s="177"/>
      <c r="J111" s="177"/>
      <c r="K111" s="177"/>
      <c r="L111" s="177"/>
    </row>
    <row r="112" spans="4:13" ht="20.100000000000001" customHeight="1" x14ac:dyDescent="0.25">
      <c r="D112" s="195" t="s">
        <v>774</v>
      </c>
      <c r="E112" s="226" t="s">
        <v>708</v>
      </c>
      <c r="F112" s="226" t="s">
        <v>775</v>
      </c>
      <c r="G112" s="177"/>
      <c r="H112" s="88" t="s">
        <v>776</v>
      </c>
      <c r="I112" s="177"/>
      <c r="J112" s="177"/>
      <c r="K112" s="177"/>
      <c r="L112" s="177"/>
    </row>
    <row r="113" spans="4:13" ht="20.100000000000001" customHeight="1" x14ac:dyDescent="0.25">
      <c r="D113" s="230" t="str" cm="1">
        <f t="array" ref="D113">Common_InputFunctions.Utility_DisplayArrayInTable(Fuel_SourceData.Fuel_Scope3EmissionFactorsStationaryGaseous_Data(), Table_Fuel_EFs_StationaryGaseous34[[#Headers],[State or territory]],0)</f>
        <v>New South Wales</v>
      </c>
      <c r="E113" s="230" cm="1">
        <f t="array" ref="E113">Common_InputFunctions.Utility_DisplayArrayInTable(Fuel_SourceData.Fuel_Scope3EmissionFactorsStationaryGaseous_Data(), Table_Fuel_EFs_StationaryGaseous34[[#Headers],[State or territory]],0)</f>
        <v>13.1</v>
      </c>
      <c r="F113" s="230" cm="1">
        <f t="array" ref="F113">Common_InputFunctions.Utility_DisplayArrayInTable(Fuel_SourceData.Fuel_Scope3EmissionFactorsStationaryGaseous_Data(), Table_Fuel_EFs_StationaryGaseous34[[#Headers],[State or territory]],0)</f>
        <v>14</v>
      </c>
      <c r="G113" s="231" t="str" cm="1">
        <f t="array" ref="G113:H124">Fuel_SourceData.Fuel_Scope3EmissionFactorsStationaryGaseous_Appendices()</f>
        <v>-</v>
      </c>
      <c r="H113" s="1" t="str">
        <v>As Scope 3 factors are calculated at the point where natural gas is delivered to end users, it is necessary to calculate consumption at each of the load centres.</v>
      </c>
      <c r="I113" s="177"/>
      <c r="J113" s="177"/>
      <c r="K113" s="177"/>
      <c r="L113" s="177"/>
    </row>
    <row r="114" spans="4:13" ht="20.100000000000001" customHeight="1" x14ac:dyDescent="0.25">
      <c r="D114" s="230" t="str" cm="1">
        <f t="array" ref="D114">Common_InputFunctions.Utility_DisplayArrayInTable(Fuel_SourceData.Fuel_Scope3EmissionFactorsStationaryGaseous_Data(), Table_Fuel_EFs_StationaryGaseous34[[#Headers],[State or territory]],0)</f>
        <v>ACT</v>
      </c>
      <c r="E114" s="230" cm="1">
        <f t="array" ref="E114">Common_InputFunctions.Utility_DisplayArrayInTable(Fuel_SourceData.Fuel_Scope3EmissionFactorsStationaryGaseous_Data(), Table_Fuel_EFs_StationaryGaseous34[[#Headers],[State or territory]],0)</f>
        <v>13.1</v>
      </c>
      <c r="F114" s="230" cm="1">
        <f t="array" ref="F114">Common_InputFunctions.Utility_DisplayArrayInTable(Fuel_SourceData.Fuel_Scope3EmissionFactorsStationaryGaseous_Data(), Table_Fuel_EFs_StationaryGaseous34[[#Headers],[State or territory]],0)</f>
        <v>14</v>
      </c>
      <c r="G114" s="231" t="str">
        <v/>
      </c>
      <c r="H114" s="1" t="str">
        <v>Gas reaches end users either from the metro distribution networks or direct from the high - pressure distribution pipelines.</v>
      </c>
      <c r="I114" s="177"/>
      <c r="J114" s="177"/>
      <c r="K114" s="177"/>
      <c r="L114" s="177"/>
    </row>
    <row r="115" spans="4:13" ht="20.100000000000001" customHeight="1" x14ac:dyDescent="0.25">
      <c r="D115" s="230" t="str" cm="1">
        <f t="array" ref="D115">Common_InputFunctions.Utility_DisplayArrayInTable(Fuel_SourceData.Fuel_Scope3EmissionFactorsStationaryGaseous_Data(), Table_Fuel_EFs_StationaryGaseous34[[#Headers],[State or territory]],0)</f>
        <v>Victoria</v>
      </c>
      <c r="E115" s="230" cm="1">
        <f t="array" ref="E115">Common_InputFunctions.Utility_DisplayArrayInTable(Fuel_SourceData.Fuel_Scope3EmissionFactorsStationaryGaseous_Data(), Table_Fuel_EFs_StationaryGaseous34[[#Headers],[State or territory]],0)</f>
        <v>4</v>
      </c>
      <c r="F115" s="230" cm="1">
        <f t="array" ref="F115">Common_InputFunctions.Utility_DisplayArrayInTable(Fuel_SourceData.Fuel_Scope3EmissionFactorsStationaryGaseous_Data(), Table_Fuel_EFs_StationaryGaseous34[[#Headers],[State or territory]],0)</f>
        <v>4</v>
      </c>
      <c r="G115" s="231" t="str">
        <v/>
      </c>
      <c r="H115" s="1" t="str">
        <v>Households and commercial users tend to be served by the former, and electricity generators and large industrial plants from the latter.</v>
      </c>
      <c r="I115" s="177"/>
      <c r="J115" s="177"/>
      <c r="K115" s="177"/>
      <c r="L115" s="177"/>
    </row>
    <row r="116" spans="4:13" ht="20.100000000000001" customHeight="1" x14ac:dyDescent="0.25">
      <c r="D116" s="230" t="str" cm="1">
        <f t="array" ref="D116">Common_InputFunctions.Utility_DisplayArrayInTable(Fuel_SourceData.Fuel_Scope3EmissionFactorsStationaryGaseous_Data(), Table_Fuel_EFs_StationaryGaseous34[[#Headers],[State or territory]],0)</f>
        <v>Queensland</v>
      </c>
      <c r="E116" s="230" cm="1">
        <f t="array" ref="E116">Common_InputFunctions.Utility_DisplayArrayInTable(Fuel_SourceData.Fuel_Scope3EmissionFactorsStationaryGaseous_Data(), Table_Fuel_EFs_StationaryGaseous34[[#Headers],[State or territory]],0)</f>
        <v>8.8000000000000007</v>
      </c>
      <c r="F116" s="230" cm="1">
        <f t="array" ref="F116">Common_InputFunctions.Utility_DisplayArrayInTable(Fuel_SourceData.Fuel_Scope3EmissionFactorsStationaryGaseous_Data(), Table_Fuel_EFs_StationaryGaseous34[[#Headers],[State or territory]],0)</f>
        <v>7.9</v>
      </c>
      <c r="G116" s="231" t="str">
        <v>-</v>
      </c>
      <c r="H116" s="1" t="str">
        <v>Metro is defined as located on or east of the dividing range in NSW, including Canberra and Queanbeyan, Melbourne, Brisbane, Adelaide or Perth.</v>
      </c>
      <c r="I116" s="177"/>
      <c r="J116" s="177"/>
      <c r="K116" s="177"/>
      <c r="L116" s="177"/>
    </row>
    <row r="117" spans="4:13" ht="20.100000000000001" customHeight="1" x14ac:dyDescent="0.25">
      <c r="D117" s="230" t="str" cm="1">
        <f t="array" ref="D117">Common_InputFunctions.Utility_DisplayArrayInTable(Fuel_SourceData.Fuel_Scope3EmissionFactorsStationaryGaseous_Data(), Table_Fuel_EFs_StationaryGaseous34[[#Headers],[State or territory]],0)</f>
        <v>South Australia</v>
      </c>
      <c r="E117" s="230" cm="1">
        <f t="array" ref="E117">Common_InputFunctions.Utility_DisplayArrayInTable(Fuel_SourceData.Fuel_Scope3EmissionFactorsStationaryGaseous_Data(), Table_Fuel_EFs_StationaryGaseous34[[#Headers],[State or territory]],0)</f>
        <v>10.7</v>
      </c>
      <c r="F117" s="230" cm="1">
        <f t="array" ref="F117">Common_InputFunctions.Utility_DisplayArrayInTable(Fuel_SourceData.Fuel_Scope3EmissionFactorsStationaryGaseous_Data(), Table_Fuel_EFs_StationaryGaseous34[[#Headers],[State or territory]],0)</f>
        <v>10.6</v>
      </c>
      <c r="G117" s="231" t="str">
        <v/>
      </c>
      <c r="H117" s="1" t="str">
        <v>Otherwise, the non - metro factor should be used.</v>
      </c>
      <c r="I117" s="177"/>
      <c r="J117" s="177"/>
      <c r="K117" s="177"/>
      <c r="L117" s="177"/>
    </row>
    <row r="118" spans="4:13" ht="20.100000000000001" customHeight="1" x14ac:dyDescent="0.25">
      <c r="D118" s="230" t="str" cm="1">
        <f t="array" ref="D118">Common_InputFunctions.Utility_DisplayArrayInTable(Fuel_SourceData.Fuel_Scope3EmissionFactorsStationaryGaseous_Data(), Table_Fuel_EFs_StationaryGaseous34[[#Headers],[State or territory]],0)</f>
        <v>Western Australia</v>
      </c>
      <c r="E118" s="230" cm="1">
        <f t="array" ref="E118">Common_InputFunctions.Utility_DisplayArrayInTable(Fuel_SourceData.Fuel_Scope3EmissionFactorsStationaryGaseous_Data(), Table_Fuel_EFs_StationaryGaseous34[[#Headers],[State or territory]],0)</f>
        <v>4.0999999999999996</v>
      </c>
      <c r="F118" s="230" cm="1">
        <f t="array" ref="F118">Common_InputFunctions.Utility_DisplayArrayInTable(Fuel_SourceData.Fuel_Scope3EmissionFactorsStationaryGaseous_Data(), Table_Fuel_EFs_StationaryGaseous34[[#Headers],[State or territory]],0)</f>
        <v>4</v>
      </c>
      <c r="G118" s="231" t="str">
        <v>-</v>
      </c>
      <c r="H118" s="1" t="str">
        <v>Factors are calculated for all natural gas distributed in a pipeline which may include coal seam methane.</v>
      </c>
      <c r="I118" s="177"/>
      <c r="J118" s="177"/>
      <c r="K118" s="177"/>
      <c r="L118" s="177"/>
    </row>
    <row r="119" spans="4:13" ht="20.100000000000001" customHeight="1" x14ac:dyDescent="0.25">
      <c r="D119" s="230" t="str" cm="1">
        <f t="array" ref="D119">Common_InputFunctions.Utility_DisplayArrayInTable(Fuel_SourceData.Fuel_Scope3EmissionFactorsStationaryGaseous_Data(), Table_Fuel_EFs_StationaryGaseous34[[#Headers],[State or territory]],0)</f>
        <v>Tasmania</v>
      </c>
      <c r="E119" s="230" cm="1">
        <f t="array" ref="E119">Common_InputFunctions.Utility_DisplayArrayInTable(Fuel_SourceData.Fuel_Scope3EmissionFactorsStationaryGaseous_Data(), Table_Fuel_EFs_StationaryGaseous34[[#Headers],[State or territory]],0)</f>
        <v>4</v>
      </c>
      <c r="F119" s="230" cm="1">
        <f t="array" ref="F119">Common_InputFunctions.Utility_DisplayArrayInTable(Fuel_SourceData.Fuel_Scope3EmissionFactorsStationaryGaseous_Data(), Table_Fuel_EFs_StationaryGaseous34[[#Headers],[State or territory]],0)</f>
        <v>4</v>
      </c>
      <c r="G119" s="231" t="str">
        <v>-</v>
      </c>
      <c r="H119" s="1" t="str">
        <v>Table 6 is not applicable to ethane. See Table 7 Indirect (Scope 3) emissions from the consumption of ethane.</v>
      </c>
      <c r="I119" s="177"/>
      <c r="J119" s="177"/>
      <c r="K119" s="177"/>
      <c r="L119" s="177"/>
    </row>
    <row r="120" spans="4:13" ht="20.100000000000001" customHeight="1" x14ac:dyDescent="0.25">
      <c r="D120" s="230" t="str" cm="1">
        <f t="array" ref="D120">Common_InputFunctions.Utility_DisplayArrayInTable(Fuel_SourceData.Fuel_Scope3EmissionFactorsStationaryGaseous_Data(), Table_Fuel_EFs_StationaryGaseous34[[#Headers],[State or territory]],0)</f>
        <v>Northern Territory</v>
      </c>
      <c r="E120" s="230" cm="1">
        <f t="array" ref="E120">Common_InputFunctions.Utility_DisplayArrayInTable(Fuel_SourceData.Fuel_Scope3EmissionFactorsStationaryGaseous_Data(), Table_Fuel_EFs_StationaryGaseous34[[#Headers],[State or territory]],0)</f>
        <v>4.0999999999999996</v>
      </c>
      <c r="F120" s="230" cm="1">
        <f t="array" ref="F120">Common_InputFunctions.Utility_DisplayArrayInTable(Fuel_SourceData.Fuel_Scope3EmissionFactorsStationaryGaseous_Data(), Table_Fuel_EFs_StationaryGaseous34[[#Headers],[State or territory]],0)</f>
        <v>4</v>
      </c>
      <c r="G120" s="231" t="str">
        <v>-</v>
      </c>
      <c r="H120" s="1" t="str">
        <v>C = Confidential. Scope 3 emission factors for Tasmania and the Northern Territory are not available due to confidentiality constraints that arise</v>
      </c>
      <c r="I120" s="177"/>
      <c r="J120" s="177"/>
      <c r="K120" s="177"/>
      <c r="L120" s="177"/>
    </row>
    <row r="121" spans="4:13" ht="20.100000000000001" customHeight="1" x14ac:dyDescent="0.25">
      <c r="D121" s="8"/>
      <c r="E121" s="8"/>
      <c r="F121" s="8"/>
      <c r="G121" s="231" t="str">
        <v/>
      </c>
      <c r="H121" s="1" t="str">
        <v>from the use of a limited number of NGER data inputs. It is suggested that for Tasmania the use of the Victorian emission factors is appropriate,</v>
      </c>
      <c r="I121" s="177"/>
      <c r="J121" s="177"/>
      <c r="K121" s="177"/>
      <c r="L121" s="177"/>
    </row>
    <row r="122" spans="4:13" ht="20.100000000000001" customHeight="1" x14ac:dyDescent="0.25">
      <c r="D122" s="177"/>
      <c r="F122" s="232"/>
      <c r="G122" s="231" t="str">
        <v/>
      </c>
      <c r="H122" s="1" t="str">
        <v>while for Northern Territory the use of the Western Australian emission factors is appropriate.</v>
      </c>
      <c r="I122" s="177"/>
      <c r="J122" s="177"/>
      <c r="K122" s="177"/>
      <c r="L122" s="177"/>
    </row>
    <row r="123" spans="4:13" ht="20.100000000000001" customHeight="1" x14ac:dyDescent="0.25">
      <c r="D123" s="233"/>
      <c r="F123" s="232"/>
      <c r="G123" s="231" t="str">
        <v>-</v>
      </c>
      <c r="H123" s="1" t="str">
        <v>Scope 3 emission factors do not include fugitive emission leakage from low pressure natural gas distribution pipeline networks while those from high pressure</v>
      </c>
      <c r="I123" s="177"/>
      <c r="J123" s="177"/>
      <c r="K123" s="177"/>
      <c r="L123" s="177"/>
    </row>
    <row r="124" spans="4:13" ht="20.100000000000001" customHeight="1" x14ac:dyDescent="0.25">
      <c r="D124" s="233"/>
      <c r="F124" s="232"/>
      <c r="G124" s="177" t="str">
        <v/>
      </c>
      <c r="H124" s="1" t="str">
        <v>gas networks are considered negligible.</v>
      </c>
      <c r="I124" s="177"/>
      <c r="J124" s="177"/>
      <c r="K124" s="177"/>
      <c r="L124" s="177"/>
    </row>
    <row r="125" spans="4:13" ht="20.100000000000001" customHeight="1" x14ac:dyDescent="0.25">
      <c r="D125" s="233"/>
      <c r="F125" s="232"/>
      <c r="G125" s="177"/>
      <c r="H125" s="177"/>
      <c r="I125" s="177"/>
      <c r="J125" s="177"/>
      <c r="K125" s="177"/>
      <c r="L125" s="177"/>
    </row>
    <row r="126" spans="4:13" ht="20.100000000000001" customHeight="1" x14ac:dyDescent="0.25">
      <c r="D126" s="177"/>
      <c r="E126" s="177"/>
      <c r="F126" s="177"/>
      <c r="G126" s="177"/>
      <c r="H126" s="177"/>
      <c r="I126" s="177"/>
      <c r="J126" s="177"/>
      <c r="K126" s="177"/>
      <c r="L126" s="177"/>
      <c r="M126" s="177"/>
    </row>
    <row r="127" spans="4:13" ht="20.100000000000001" customHeight="1" x14ac:dyDescent="0.25">
      <c r="D127" s="177"/>
      <c r="E127" s="177"/>
      <c r="F127" s="177"/>
      <c r="G127" s="177"/>
      <c r="H127" s="177"/>
      <c r="I127" s="177"/>
      <c r="J127" s="177"/>
      <c r="K127" s="177"/>
      <c r="L127" s="177"/>
      <c r="M127" s="177"/>
    </row>
    <row r="128" spans="4:13" ht="20.100000000000001" customHeight="1" x14ac:dyDescent="0.25">
      <c r="D128" s="177"/>
      <c r="E128" s="177"/>
      <c r="F128" s="177"/>
      <c r="G128" s="177"/>
      <c r="H128" s="177"/>
      <c r="I128" s="177"/>
      <c r="J128" s="177"/>
      <c r="K128" s="177"/>
      <c r="L128" s="177"/>
      <c r="M128" s="177"/>
    </row>
    <row r="129" spans="4:33" ht="20.100000000000001" customHeight="1" x14ac:dyDescent="0.25">
      <c r="D129" s="234"/>
      <c r="E129" s="177"/>
      <c r="F129" s="177"/>
      <c r="G129" s="177"/>
      <c r="H129" s="177"/>
      <c r="I129" s="177"/>
      <c r="J129" s="177"/>
      <c r="K129" s="177"/>
      <c r="L129" s="177"/>
    </row>
    <row r="130" spans="4:33" ht="20.100000000000001" customHeight="1" x14ac:dyDescent="0.25">
      <c r="D130" s="235" t="s">
        <v>777</v>
      </c>
      <c r="E130" s="235" t="s">
        <v>717</v>
      </c>
      <c r="F130" s="235" t="s">
        <v>778</v>
      </c>
      <c r="G130" s="235" t="s">
        <v>720</v>
      </c>
      <c r="H130" s="235" t="s">
        <v>722</v>
      </c>
      <c r="I130" s="235" t="s">
        <v>723</v>
      </c>
      <c r="J130" s="177"/>
      <c r="K130" s="177"/>
      <c r="L130" s="177"/>
    </row>
    <row r="131" spans="4:33" ht="20.100000000000001" customHeight="1" x14ac:dyDescent="0.25">
      <c r="D131" s="236" t="str">
        <f>$D$143</f>
        <v>Petrol</v>
      </c>
      <c r="E131" s="236" t="str">
        <f>$D$143</f>
        <v>Petrol</v>
      </c>
      <c r="F131" s="236" t="str">
        <f>$D$150</f>
        <v>Avgas</v>
      </c>
      <c r="G131" s="236" t="str">
        <f>$D$143</f>
        <v>Petrol</v>
      </c>
      <c r="H131" s="236" t="str">
        <f>$D$144</f>
        <v>Diesel</v>
      </c>
      <c r="I131" s="236" t="str">
        <f>$D$143</f>
        <v>Petrol</v>
      </c>
      <c r="J131" s="177"/>
      <c r="K131" s="177"/>
      <c r="L131" s="177"/>
    </row>
    <row r="132" spans="4:33" ht="20.100000000000001" customHeight="1" x14ac:dyDescent="0.25">
      <c r="D132" s="236" t="str">
        <f>$D$144</f>
        <v>Diesel</v>
      </c>
      <c r="E132" s="236" t="str">
        <f>$D$144</f>
        <v>Diesel</v>
      </c>
      <c r="F132" s="236" t="str">
        <f>$D$151</f>
        <v>Jet A1, Jet B</v>
      </c>
      <c r="G132" s="236" t="str">
        <f>$D$144</f>
        <v>Diesel</v>
      </c>
      <c r="H132" s="236"/>
      <c r="I132" s="236" t="str">
        <f>$D$144</f>
        <v>Diesel</v>
      </c>
      <c r="J132" s="177"/>
      <c r="K132" s="177"/>
      <c r="L132" s="177"/>
    </row>
    <row r="133" spans="4:33" ht="20.100000000000001" customHeight="1" x14ac:dyDescent="0.25">
      <c r="D133" s="236" t="str">
        <f>$D$145</f>
        <v>Liquefied petroleum gas (LPG)</v>
      </c>
      <c r="E133" s="236" t="str">
        <f>$D$145</f>
        <v>Liquefied petroleum gas (LPG)</v>
      </c>
      <c r="F133" s="236" t="str">
        <f>$D$152</f>
        <v>Renewable aviation kerosene</v>
      </c>
      <c r="G133" s="236" t="str">
        <f>$D$145</f>
        <v>Liquefied petroleum gas (LPG)</v>
      </c>
      <c r="H133" s="236"/>
      <c r="I133" s="236" t="s">
        <v>724</v>
      </c>
      <c r="J133" s="177"/>
      <c r="K133" s="177"/>
      <c r="L133" s="177"/>
    </row>
    <row r="134" spans="4:33" ht="20.100000000000001" customHeight="1" x14ac:dyDescent="0.25">
      <c r="D134" s="236" t="str">
        <f>$D$146</f>
        <v>Biodiesel</v>
      </c>
      <c r="E134" s="236" t="str">
        <f>$D$146</f>
        <v>Biodiesel</v>
      </c>
      <c r="F134" s="235"/>
      <c r="G134" s="236" t="str">
        <f>$D$160</f>
        <v>Fuel oil</v>
      </c>
      <c r="H134" s="236"/>
      <c r="I134" s="236"/>
      <c r="J134" s="177"/>
      <c r="K134" s="177"/>
      <c r="L134" s="177"/>
    </row>
    <row r="135" spans="4:33" ht="20.100000000000001" customHeight="1" x14ac:dyDescent="0.25">
      <c r="D135" s="236" t="str">
        <f>$D$147</f>
        <v>Ethanol</v>
      </c>
      <c r="E135" s="236" t="str">
        <f>$D$147</f>
        <v>Ethanol</v>
      </c>
      <c r="F135" s="235"/>
      <c r="G135" s="236" t="str">
        <f>$D$147</f>
        <v>Ethanol</v>
      </c>
      <c r="H135" s="236"/>
      <c r="I135" s="236"/>
      <c r="J135" s="177"/>
      <c r="K135" s="177"/>
      <c r="L135" s="177"/>
    </row>
    <row r="136" spans="4:33" ht="20.100000000000001" customHeight="1" x14ac:dyDescent="0.25">
      <c r="D136" s="236" t="str">
        <f>$D$148</f>
        <v>Other biofuels</v>
      </c>
      <c r="E136" s="236" t="str">
        <f>$D$148</f>
        <v>Other biofuels</v>
      </c>
      <c r="F136" s="235"/>
      <c r="G136" s="236" t="str">
        <f>$D$146</f>
        <v>Biodiesel</v>
      </c>
      <c r="H136" s="236"/>
      <c r="I136" s="236"/>
      <c r="J136" s="177"/>
      <c r="K136" s="177"/>
      <c r="L136" s="177"/>
    </row>
    <row r="137" spans="4:33" ht="20.100000000000001" customHeight="1" x14ac:dyDescent="0.25">
      <c r="D137" s="236" t="str">
        <f>$D$149</f>
        <v>Renewable diesel</v>
      </c>
      <c r="E137" s="236" t="str">
        <f>$D$149</f>
        <v>Renewable diesel</v>
      </c>
      <c r="F137" s="235"/>
      <c r="G137" s="236" t="str">
        <f>$D$149</f>
        <v>Renewable diesel</v>
      </c>
      <c r="H137" s="236"/>
      <c r="I137" s="236"/>
      <c r="J137" s="177"/>
      <c r="K137" s="177"/>
      <c r="L137" s="177"/>
    </row>
    <row r="138" spans="4:33" ht="20.100000000000001" customHeight="1" x14ac:dyDescent="0.25">
      <c r="D138" s="235"/>
      <c r="E138" s="237" t="str">
        <f>$D$161</f>
        <v>Natural gas (via pipeline) in GJ</v>
      </c>
      <c r="F138" s="237"/>
      <c r="G138" s="236" t="str">
        <f>$D$148</f>
        <v>Other biofuels</v>
      </c>
      <c r="H138" s="236"/>
      <c r="I138" s="236"/>
      <c r="J138" s="177"/>
      <c r="K138" s="177"/>
      <c r="L138" s="177"/>
    </row>
    <row r="139" spans="4:33" ht="20.100000000000001" customHeight="1" x14ac:dyDescent="0.25">
      <c r="D139" s="237"/>
      <c r="E139" s="237" t="str">
        <f>$D$162</f>
        <v>Town gas in GJ</v>
      </c>
      <c r="F139" s="237"/>
      <c r="G139" s="237"/>
      <c r="H139" s="237"/>
      <c r="I139" s="237"/>
      <c r="J139" s="177"/>
      <c r="K139" s="177"/>
      <c r="L139" s="177"/>
    </row>
    <row r="140" spans="4:33" ht="20.100000000000001" customHeight="1" x14ac:dyDescent="0.25">
      <c r="D140" s="177"/>
      <c r="E140" s="177"/>
      <c r="F140" s="177"/>
      <c r="G140" s="177"/>
      <c r="H140" s="177"/>
      <c r="I140" s="177"/>
      <c r="J140" s="177"/>
      <c r="K140" s="177"/>
      <c r="L140" s="177"/>
    </row>
    <row r="141" spans="4:33" ht="20.100000000000001" customHeight="1" x14ac:dyDescent="0.25">
      <c r="D141" s="177"/>
      <c r="E141" s="177"/>
      <c r="F141" s="177"/>
      <c r="G141" s="177"/>
      <c r="H141" s="177"/>
      <c r="I141" s="177"/>
      <c r="J141" s="177"/>
      <c r="K141" s="177"/>
      <c r="L141" s="177"/>
    </row>
    <row r="142" spans="4:33" ht="20.100000000000001" customHeight="1" x14ac:dyDescent="0.25">
      <c r="D142" t="s">
        <v>779</v>
      </c>
      <c r="E142" t="s">
        <v>130</v>
      </c>
      <c r="F142" t="s">
        <v>780</v>
      </c>
      <c r="G142" s="177"/>
      <c r="H142" s="177"/>
      <c r="I142" s="177"/>
      <c r="J142" s="177"/>
      <c r="K142" s="177"/>
      <c r="L142" s="177"/>
      <c r="M142" s="177"/>
      <c r="AG142" s="1"/>
    </row>
    <row r="143" spans="4:33" ht="20.100000000000001" customHeight="1" x14ac:dyDescent="0.25">
      <c r="D143" s="236" t="s">
        <v>719</v>
      </c>
      <c r="E143" t="s">
        <v>781</v>
      </c>
      <c r="F143" t="s">
        <v>782</v>
      </c>
      <c r="G143" s="177"/>
      <c r="H143" s="177"/>
      <c r="I143" s="177"/>
      <c r="J143" s="177"/>
      <c r="K143" s="177"/>
      <c r="L143" s="177"/>
      <c r="M143" s="177"/>
      <c r="AG143" s="1"/>
    </row>
    <row r="144" spans="4:33" ht="20.100000000000001" customHeight="1" x14ac:dyDescent="0.25">
      <c r="D144" s="236" t="s">
        <v>721</v>
      </c>
      <c r="E144" t="s">
        <v>781</v>
      </c>
      <c r="F144" t="s">
        <v>782</v>
      </c>
      <c r="G144" s="177"/>
      <c r="H144" s="177"/>
      <c r="I144" s="177"/>
      <c r="J144" s="177"/>
      <c r="K144" s="177"/>
      <c r="L144" s="177"/>
      <c r="M144" s="177"/>
      <c r="AG144" s="1"/>
    </row>
    <row r="145" spans="4:33" ht="20.100000000000001" customHeight="1" x14ac:dyDescent="0.25">
      <c r="D145" s="236" t="s">
        <v>783</v>
      </c>
      <c r="E145" t="s">
        <v>781</v>
      </c>
      <c r="F145" t="s">
        <v>782</v>
      </c>
      <c r="G145" s="177"/>
      <c r="H145" s="177"/>
      <c r="I145" s="177"/>
      <c r="J145" s="177"/>
      <c r="K145" s="177"/>
      <c r="L145" s="177"/>
      <c r="M145" s="177"/>
      <c r="AG145" s="1"/>
    </row>
    <row r="146" spans="4:33" ht="20.100000000000001" customHeight="1" x14ac:dyDescent="0.25">
      <c r="D146" s="236" t="s">
        <v>784</v>
      </c>
      <c r="E146" t="s">
        <v>781</v>
      </c>
      <c r="F146" t="s">
        <v>782</v>
      </c>
      <c r="G146" s="177"/>
      <c r="H146" s="177"/>
      <c r="I146" s="177"/>
      <c r="J146" s="177"/>
      <c r="K146" s="177"/>
      <c r="L146" s="177"/>
      <c r="M146" s="177"/>
      <c r="AG146" s="1"/>
    </row>
    <row r="147" spans="4:33" ht="20.100000000000001" customHeight="1" x14ac:dyDescent="0.25">
      <c r="D147" s="236" t="s">
        <v>785</v>
      </c>
      <c r="E147" t="s">
        <v>781</v>
      </c>
      <c r="F147" t="s">
        <v>782</v>
      </c>
      <c r="G147" s="177"/>
      <c r="H147" s="177"/>
      <c r="I147" s="177"/>
      <c r="J147" s="177"/>
      <c r="K147" s="177"/>
      <c r="L147" s="177"/>
      <c r="M147" s="177"/>
      <c r="AG147" s="1"/>
    </row>
    <row r="148" spans="4:33" ht="20.100000000000001" customHeight="1" x14ac:dyDescent="0.25">
      <c r="D148" s="236" t="s">
        <v>786</v>
      </c>
      <c r="E148" t="s">
        <v>781</v>
      </c>
      <c r="F148" t="s">
        <v>782</v>
      </c>
      <c r="G148" s="177"/>
      <c r="H148" s="177"/>
      <c r="I148" s="177"/>
      <c r="J148" s="177"/>
      <c r="K148" s="177"/>
      <c r="L148" s="177"/>
      <c r="M148" s="177"/>
      <c r="AG148" s="1"/>
    </row>
    <row r="149" spans="4:33" ht="20.100000000000001" customHeight="1" x14ac:dyDescent="0.25">
      <c r="D149" s="236" t="s">
        <v>787</v>
      </c>
      <c r="E149" t="s">
        <v>781</v>
      </c>
      <c r="F149" t="s">
        <v>782</v>
      </c>
      <c r="G149" s="177"/>
      <c r="H149" s="177"/>
      <c r="I149" s="177"/>
      <c r="J149" s="177"/>
      <c r="K149" s="177"/>
      <c r="L149" s="177"/>
      <c r="M149" s="177"/>
      <c r="AG149" s="1"/>
    </row>
    <row r="150" spans="4:33" ht="20.100000000000001" customHeight="1" x14ac:dyDescent="0.25">
      <c r="D150" s="236" t="s">
        <v>788</v>
      </c>
      <c r="E150" t="s">
        <v>781</v>
      </c>
      <c r="F150" t="s">
        <v>782</v>
      </c>
      <c r="G150" s="177"/>
      <c r="H150" s="177"/>
      <c r="I150" s="177"/>
      <c r="J150" s="177"/>
      <c r="K150" s="177"/>
      <c r="L150" s="177"/>
      <c r="M150" s="177"/>
      <c r="AG150" s="1"/>
    </row>
    <row r="151" spans="4:33" ht="20.100000000000001" customHeight="1" x14ac:dyDescent="0.25">
      <c r="D151" s="236" t="s">
        <v>789</v>
      </c>
      <c r="E151" t="s">
        <v>781</v>
      </c>
      <c r="F151" t="s">
        <v>782</v>
      </c>
      <c r="G151" s="177"/>
      <c r="H151" s="177"/>
      <c r="I151" s="177"/>
      <c r="J151" s="177"/>
      <c r="K151" s="177"/>
      <c r="L151" s="177"/>
      <c r="M151" s="177"/>
      <c r="AG151" s="1"/>
    </row>
    <row r="152" spans="4:33" ht="20.100000000000001" customHeight="1" x14ac:dyDescent="0.25">
      <c r="D152" s="238" t="s">
        <v>790</v>
      </c>
      <c r="E152" s="8" t="s">
        <v>781</v>
      </c>
      <c r="F152" t="s">
        <v>782</v>
      </c>
      <c r="G152" s="177"/>
      <c r="H152" s="177"/>
      <c r="I152" s="177"/>
      <c r="J152" s="177"/>
      <c r="K152" s="177"/>
      <c r="L152" s="177"/>
      <c r="M152" s="177"/>
      <c r="AG152" s="1"/>
    </row>
    <row r="153" spans="4:33" ht="20.100000000000001" customHeight="1" x14ac:dyDescent="0.25">
      <c r="D153" s="238" t="s">
        <v>791</v>
      </c>
      <c r="E153" s="8" t="s">
        <v>781</v>
      </c>
      <c r="F153" t="s">
        <v>782</v>
      </c>
      <c r="G153" s="177"/>
      <c r="H153" s="177"/>
      <c r="I153" s="177"/>
      <c r="J153" s="177"/>
      <c r="K153" s="177"/>
      <c r="L153" s="177"/>
      <c r="M153" s="177"/>
      <c r="AG153" s="1"/>
    </row>
    <row r="154" spans="4:33" ht="20.100000000000001" customHeight="1" x14ac:dyDescent="0.25">
      <c r="D154" s="238" t="s">
        <v>792</v>
      </c>
      <c r="E154" s="8" t="s">
        <v>781</v>
      </c>
      <c r="F154" t="s">
        <v>782</v>
      </c>
      <c r="G154" s="177"/>
      <c r="H154" s="177"/>
      <c r="I154" s="177"/>
      <c r="J154" s="177"/>
      <c r="K154" s="177"/>
      <c r="L154" s="177"/>
      <c r="M154" s="177"/>
      <c r="AG154" s="1"/>
    </row>
    <row r="155" spans="4:33" ht="20.100000000000001" customHeight="1" x14ac:dyDescent="0.25">
      <c r="D155" s="238" t="s">
        <v>793</v>
      </c>
      <c r="E155" s="8" t="s">
        <v>781</v>
      </c>
      <c r="F155" t="s">
        <v>782</v>
      </c>
      <c r="G155" s="177"/>
      <c r="H155" s="177"/>
      <c r="I155" s="177"/>
      <c r="J155" s="177"/>
      <c r="K155" s="177"/>
      <c r="L155" s="177"/>
      <c r="M155" s="177"/>
      <c r="AG155" s="1"/>
    </row>
    <row r="156" spans="4:33" ht="20.100000000000001" customHeight="1" x14ac:dyDescent="0.25">
      <c r="D156" s="238" t="s">
        <v>794</v>
      </c>
      <c r="E156" s="8" t="s">
        <v>781</v>
      </c>
      <c r="F156" t="s">
        <v>782</v>
      </c>
      <c r="G156" s="177"/>
      <c r="H156" s="177"/>
      <c r="I156" s="177"/>
      <c r="J156" s="177"/>
      <c r="K156" s="177"/>
      <c r="L156" s="177"/>
      <c r="M156" s="177"/>
      <c r="AG156" s="1"/>
    </row>
    <row r="157" spans="4:33" ht="20.100000000000001" customHeight="1" x14ac:dyDescent="0.25">
      <c r="D157" s="238" t="s">
        <v>795</v>
      </c>
      <c r="E157" s="8" t="s">
        <v>781</v>
      </c>
      <c r="F157" t="s">
        <v>782</v>
      </c>
      <c r="G157" s="177"/>
      <c r="H157" s="177"/>
      <c r="I157" s="177"/>
      <c r="J157" s="177"/>
      <c r="K157" s="177"/>
      <c r="L157" s="177"/>
      <c r="M157" s="177"/>
      <c r="AG157" s="1"/>
    </row>
    <row r="158" spans="4:33" ht="20.100000000000001" customHeight="1" x14ac:dyDescent="0.25">
      <c r="D158" s="238" t="s">
        <v>796</v>
      </c>
      <c r="E158" s="8" t="s">
        <v>781</v>
      </c>
      <c r="F158" t="s">
        <v>782</v>
      </c>
      <c r="G158" s="177"/>
      <c r="H158" s="177"/>
      <c r="I158" s="177"/>
      <c r="J158" s="177"/>
      <c r="K158" s="177"/>
      <c r="L158" s="177"/>
      <c r="M158" s="177"/>
      <c r="AG158" s="1"/>
    </row>
    <row r="159" spans="4:33" ht="20.100000000000001" customHeight="1" x14ac:dyDescent="0.25">
      <c r="D159" s="238" t="s">
        <v>797</v>
      </c>
      <c r="E159" s="8" t="s">
        <v>781</v>
      </c>
      <c r="F159" t="s">
        <v>782</v>
      </c>
      <c r="G159" s="177"/>
      <c r="H159" s="177"/>
      <c r="I159" s="177"/>
      <c r="J159" s="177"/>
      <c r="K159" s="177"/>
      <c r="L159" s="177"/>
      <c r="M159" s="177"/>
      <c r="AG159" s="1"/>
    </row>
    <row r="160" spans="4:33" ht="20.100000000000001" customHeight="1" x14ac:dyDescent="0.25">
      <c r="D160" s="238" t="s">
        <v>724</v>
      </c>
      <c r="E160" s="8" t="s">
        <v>781</v>
      </c>
      <c r="F160" t="s">
        <v>782</v>
      </c>
      <c r="G160" s="177"/>
      <c r="H160" s="177"/>
      <c r="I160" s="177"/>
      <c r="J160" s="177"/>
      <c r="K160" s="177"/>
      <c r="L160" s="177"/>
      <c r="M160" s="177"/>
      <c r="AG160" s="1"/>
    </row>
    <row r="161" spans="4:33" ht="20.100000000000001" customHeight="1" x14ac:dyDescent="0.25">
      <c r="D161" s="237" t="s">
        <v>798</v>
      </c>
      <c r="E161" s="177" t="s">
        <v>799</v>
      </c>
      <c r="F161" s="177" t="s">
        <v>799</v>
      </c>
      <c r="G161" s="177"/>
      <c r="H161" s="177"/>
      <c r="I161" s="177"/>
      <c r="J161" s="177"/>
      <c r="K161" s="177"/>
      <c r="L161" s="177"/>
      <c r="M161" s="177"/>
      <c r="AG161" s="1"/>
    </row>
    <row r="162" spans="4:33" ht="20.100000000000001" customHeight="1" x14ac:dyDescent="0.25">
      <c r="D162" s="177" t="s">
        <v>718</v>
      </c>
      <c r="E162" s="177" t="s">
        <v>799</v>
      </c>
      <c r="F162" s="177" t="s">
        <v>799</v>
      </c>
      <c r="G162" s="177"/>
      <c r="H162" s="177"/>
      <c r="I162" s="177"/>
      <c r="J162" s="177"/>
      <c r="K162" s="177"/>
      <c r="L162" s="177"/>
      <c r="M162" s="177"/>
      <c r="AG162" s="1"/>
    </row>
    <row r="163" spans="4:33" ht="20.100000000000001" customHeight="1" x14ac:dyDescent="0.25"/>
    <row r="164" spans="4:33" ht="20.100000000000001" customHeight="1" x14ac:dyDescent="0.25"/>
    <row r="165" spans="4:33" ht="20.100000000000001" customHeight="1" x14ac:dyDescent="0.25"/>
  </sheetData>
  <pageMargins left="0.7" right="0.7" top="0.75" bottom="0.75" header="0.3" footer="0.3"/>
  <tableParts count="7">
    <tablePart r:id="rId1"/>
    <tablePart r:id="rId2"/>
    <tablePart r:id="rId3"/>
    <tablePart r:id="rId4"/>
    <tablePart r:id="rId5"/>
    <tablePart r:id="rId6"/>
    <tablePart r:id="rId7"/>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772F5-D62F-448B-BE59-D05AA2138B09}">
  <dimension ref="A1:BY259"/>
  <sheetViews>
    <sheetView showGridLines="0" topLeftCell="A29" zoomScale="85" zoomScaleNormal="85" workbookViewId="0">
      <selection activeCell="A46" sqref="A46"/>
    </sheetView>
  </sheetViews>
  <sheetFormatPr defaultColWidth="9.140625" defaultRowHeight="15.75" x14ac:dyDescent="0.25"/>
  <cols>
    <col min="1" max="1" width="30.7109375" style="32" customWidth="1"/>
    <col min="2" max="2" width="2.7109375" style="32"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32" customWidth="1"/>
    <col min="34" max="39" width="21.85546875" style="32" customWidth="1"/>
    <col min="40" max="44" width="20.7109375" style="32" customWidth="1"/>
    <col min="45" max="65" width="9.140625" style="32"/>
    <col min="66" max="16384" width="9.140625" style="35"/>
  </cols>
  <sheetData>
    <row r="1" spans="1:65" s="31" customFormat="1" ht="30" customHeight="1" x14ac:dyDescent="0.35">
      <c r="A1" s="16" t="e" vm="1">
        <v>#VALUE!</v>
      </c>
      <c r="C1" s="31" t="s">
        <v>31</v>
      </c>
    </row>
    <row r="2" spans="1:65" s="3" customFormat="1" ht="20.100000000000001" customHeight="1" x14ac:dyDescent="0.25">
      <c r="A2"/>
    </row>
    <row r="3" spans="1:65" ht="20.100000000000001" customHeight="1" x14ac:dyDescent="0.25">
      <c r="A3" s="5" t="str">
        <f>HYPERLINK("#'Home'!A1", "Home")</f>
        <v>Home</v>
      </c>
      <c r="C3" s="33"/>
      <c r="D3" s="33"/>
      <c r="E3" s="33"/>
      <c r="F3" s="33"/>
      <c r="G3" s="33"/>
      <c r="H3" s="33"/>
      <c r="I3" s="33"/>
      <c r="J3" s="33"/>
      <c r="K3" s="33"/>
      <c r="L3" s="33"/>
      <c r="M3" s="33"/>
      <c r="N3" s="33"/>
      <c r="O3" s="33"/>
      <c r="P3" s="33"/>
      <c r="Q3" s="33"/>
      <c r="R3" s="33"/>
      <c r="S3" s="33"/>
      <c r="T3" s="33"/>
      <c r="U3" s="33"/>
      <c r="V3" s="34"/>
      <c r="W3" s="34"/>
    </row>
    <row r="4" spans="1:65" ht="20.100000000000001" customHeight="1" x14ac:dyDescent="0.25">
      <c r="A4" s="5" t="str">
        <f>HYPERLINK("#'Results'!A1", "Results")</f>
        <v>Results</v>
      </c>
      <c r="BM4" s="35"/>
    </row>
    <row r="5" spans="1:65" ht="20.100000000000001" customHeight="1" x14ac:dyDescent="0.25">
      <c r="A5"/>
      <c r="D5" s="2" t="str" cm="1">
        <f t="array" ref="D5">Common_SourceData.Common_SourceData_AustralianStatesTerritories_Title()</f>
        <v>Australian states and territories</v>
      </c>
      <c r="BM5" s="35"/>
    </row>
    <row r="6" spans="1:65" ht="20.100000000000001" customHeight="1" x14ac:dyDescent="0.25">
      <c r="A6"/>
      <c r="D6" s="30" t="s">
        <v>32</v>
      </c>
      <c r="E6" s="30" t="s">
        <v>33</v>
      </c>
      <c r="F6" s="30" t="s">
        <v>34</v>
      </c>
    </row>
    <row r="7" spans="1:65" ht="20.100000000000001" customHeight="1" x14ac:dyDescent="0.25">
      <c r="A7" s="7" t="s">
        <v>0</v>
      </c>
      <c r="D7" s="30" t="str" cm="1">
        <f t="array" ref="D7">Common_InputFunctions.Utility_DisplayArrayInTable(Common_SourceData.Common_SourceData_AustralianStatesTerritories_Data(),Table_AustralianStates[[#Headers],[State/Territory]],0)</f>
        <v>New South Wales</v>
      </c>
      <c r="E7" s="30" t="str" cm="1">
        <f t="array" ref="E7">Common_InputFunctions.Utility_DisplayArrayInTable(Common_SourceData.Common_SourceData_AustralianStatesTerritories_Data(),Table_AustralianStates[[#Headers],[State/Territory]],0)</f>
        <v>New South Wales</v>
      </c>
      <c r="F7" s="30" t="str" cm="1">
        <f t="array" ref="F7">Common_InputFunctions.Utility_DisplayArrayInTable(Common_SourceData.Common_SourceData_AustralianStatesTerritories_Data(),Table_AustralianStates[[#Headers],[State/Territory]],0)</f>
        <v>NSW</v>
      </c>
    </row>
    <row r="8" spans="1:65" ht="20.100000000000001" customHeight="1" x14ac:dyDescent="0.25">
      <c r="A8" s="5" t="str">
        <f>HYPERLINK("#'Input - Enterprise'!A1", "Enterprise")</f>
        <v>Enterprise</v>
      </c>
      <c r="D8" s="30" t="str" cm="1">
        <f t="array" ref="D8">Common_InputFunctions.Utility_DisplayArrayInTable(Common_SourceData.Common_SourceData_AustralianStatesTerritories_Data(),Table_AustralianStates[[#Headers],[State/Territory]],0)</f>
        <v>Australian Capital Territory</v>
      </c>
      <c r="E8" s="30" t="str" cm="1">
        <f t="array" ref="E8">Common_InputFunctions.Utility_DisplayArrayInTable(Common_SourceData.Common_SourceData_AustralianStatesTerritories_Data(),Table_AustralianStates[[#Headers],[State/Territory]],0)</f>
        <v>ACT</v>
      </c>
      <c r="F8" s="30" t="str" cm="1">
        <f t="array" ref="F8">Common_InputFunctions.Utility_DisplayArrayInTable(Common_SourceData.Common_SourceData_AustralianStatesTerritories_Data(),Table_AustralianStates[[#Headers],[State/Territory]],0)</f>
        <v>ACT</v>
      </c>
    </row>
    <row r="9" spans="1:65" ht="20.100000000000001" customHeight="1" x14ac:dyDescent="0.25">
      <c r="A9" s="5" t="str">
        <f>HYPERLINK("#'Input - Site'!A1", "Site")</f>
        <v>Site</v>
      </c>
      <c r="D9" s="30" t="str" cm="1">
        <f t="array" ref="D9">Common_InputFunctions.Utility_DisplayArrayInTable(Common_SourceData.Common_SourceData_AustralianStatesTerritories_Data(),Table_AustralianStates[[#Headers],[State/Territory]],0)</f>
        <v>Victoria</v>
      </c>
      <c r="E9" s="30" t="str" cm="1">
        <f t="array" ref="E9">Common_InputFunctions.Utility_DisplayArrayInTable(Common_SourceData.Common_SourceData_AustralianStatesTerritories_Data(),Table_AustralianStates[[#Headers],[State/Territory]],0)</f>
        <v>Victoria</v>
      </c>
      <c r="F9" s="30" t="str" cm="1">
        <f t="array" ref="F9">Common_InputFunctions.Utility_DisplayArrayInTable(Common_SourceData.Common_SourceData_AustralianStatesTerritories_Data(),Table_AustralianStates[[#Headers],[State/Territory]],0)</f>
        <v>VIC</v>
      </c>
    </row>
    <row r="10" spans="1:65" ht="20.100000000000001" customHeight="1" x14ac:dyDescent="0.25">
      <c r="A10" s="5" t="str">
        <f>HYPERLINK("#'Input - Pasture Beef'!A1", "Pasture Beef")</f>
        <v>Pasture Beef</v>
      </c>
      <c r="D10" s="30" t="str" cm="1">
        <f t="array" ref="D10">Common_InputFunctions.Utility_DisplayArrayInTable(Common_SourceData.Common_SourceData_AustralianStatesTerritories_Data(),Table_AustralianStates[[#Headers],[State/Territory]],0)</f>
        <v>Queensland</v>
      </c>
      <c r="E10" s="30" t="str" cm="1">
        <f t="array" ref="E10">Common_InputFunctions.Utility_DisplayArrayInTable(Common_SourceData.Common_SourceData_AustralianStatesTerritories_Data(),Table_AustralianStates[[#Headers],[State/Territory]],0)</f>
        <v>Queensland</v>
      </c>
      <c r="F10" s="30" t="str" cm="1">
        <f t="array" ref="F10">Common_InputFunctions.Utility_DisplayArrayInTable(Common_SourceData.Common_SourceData_AustralianStatesTerritories_Data(),Table_AustralianStates[[#Headers],[State/Territory]],0)</f>
        <v>QLD</v>
      </c>
    </row>
    <row r="11" spans="1:65" ht="20.100000000000001" customHeight="1" x14ac:dyDescent="0.25">
      <c r="A11" s="5" t="str">
        <f>HYPERLINK("#'Input - Pasture Beef (Enteric)'!A1", "Pasture Beef (Enteric)")</f>
        <v>Pasture Beef (Enteric)</v>
      </c>
      <c r="D11" s="30" t="str" cm="1">
        <f t="array" ref="D11">Common_InputFunctions.Utility_DisplayArrayInTable(Common_SourceData.Common_SourceData_AustralianStatesTerritories_Data(),Table_AustralianStates[[#Headers],[State/Territory]],0)</f>
        <v>South Australia</v>
      </c>
      <c r="E11" s="30" t="str" cm="1">
        <f t="array" ref="E11">Common_InputFunctions.Utility_DisplayArrayInTable(Common_SourceData.Common_SourceData_AustralianStatesTerritories_Data(),Table_AustralianStates[[#Headers],[State/Territory]],0)</f>
        <v>South Australia</v>
      </c>
      <c r="F11" s="30" t="str" cm="1">
        <f t="array" ref="F11">Common_InputFunctions.Utility_DisplayArrayInTable(Common_SourceData.Common_SourceData_AustralianStatesTerritories_Data(),Table_AustralianStates[[#Headers],[State/Territory]],0)</f>
        <v>SA</v>
      </c>
      <c r="BM11" s="35"/>
    </row>
    <row r="12" spans="1:65" ht="20.100000000000001" customHeight="1" x14ac:dyDescent="0.25">
      <c r="A12" s="5" t="str">
        <f>HYPERLINK("#'Input - Pasture'!A1", "Pasture")</f>
        <v>Pasture</v>
      </c>
      <c r="D12" s="30" t="str" cm="1">
        <f t="array" ref="D12">Common_InputFunctions.Utility_DisplayArrayInTable(Common_SourceData.Common_SourceData_AustralianStatesTerritories_Data(),Table_AustralianStates[[#Headers],[State/Territory]],0)</f>
        <v>Western Australia</v>
      </c>
      <c r="E12" s="30" t="str" cm="1">
        <f t="array" ref="E12">Common_InputFunctions.Utility_DisplayArrayInTable(Common_SourceData.Common_SourceData_AustralianStatesTerritories_Data(),Table_AustralianStates[[#Headers],[State/Territory]],0)</f>
        <v>Western Australia</v>
      </c>
      <c r="F12" s="30" t="str" cm="1">
        <f t="array" ref="F12">Common_InputFunctions.Utility_DisplayArrayInTable(Common_SourceData.Common_SourceData_AustralianStatesTerritories_Data(),Table_AustralianStates[[#Headers],[State/Territory]],0)</f>
        <v>WA</v>
      </c>
      <c r="BM12" s="35"/>
    </row>
    <row r="13" spans="1:65" ht="20.100000000000001" customHeight="1" x14ac:dyDescent="0.25">
      <c r="A13" s="5" t="str">
        <f>HYPERLINK("#'Input - Fertiliser'!A1", "Fertiliser")</f>
        <v>Fertiliser</v>
      </c>
      <c r="D13" s="30" t="str" cm="1">
        <f t="array" ref="D13">Common_InputFunctions.Utility_DisplayArrayInTable(Common_SourceData.Common_SourceData_AustralianStatesTerritories_Data(),Table_AustralianStates[[#Headers],[State/Territory]],0)</f>
        <v>Tasmania</v>
      </c>
      <c r="E13" s="30" t="str" cm="1">
        <f t="array" ref="E13">Common_InputFunctions.Utility_DisplayArrayInTable(Common_SourceData.Common_SourceData_AustralianStatesTerritories_Data(),Table_AustralianStates[[#Headers],[State/Territory]],0)</f>
        <v>Tasmania</v>
      </c>
      <c r="F13" s="30" t="str" cm="1">
        <f t="array" ref="F13">Common_InputFunctions.Utility_DisplayArrayInTable(Common_SourceData.Common_SourceData_AustralianStatesTerritories_Data(),Table_AustralianStates[[#Headers],[State/Territory]],0)</f>
        <v>TAS</v>
      </c>
    </row>
    <row r="14" spans="1:65" ht="20.100000000000001" customHeight="1" x14ac:dyDescent="0.25">
      <c r="A14" s="5" t="str">
        <f>HYPERLINK("#'Input - Fuel'!A1", "Fuel")</f>
        <v>Fuel</v>
      </c>
      <c r="D14" s="30" t="str" cm="1">
        <f t="array" ref="D14">Common_InputFunctions.Utility_DisplayArrayInTable(Common_SourceData.Common_SourceData_AustralianStatesTerritories_Data(),Table_AustralianStates[[#Headers],[State/Territory]],0)</f>
        <v>Northern Territory</v>
      </c>
      <c r="E14" s="30" t="str" cm="1">
        <f t="array" ref="E14">Common_InputFunctions.Utility_DisplayArrayInTable(Common_SourceData.Common_SourceData_AustralianStatesTerritories_Data(),Table_AustralianStates[[#Headers],[State/Territory]],0)</f>
        <v>Northern Territory</v>
      </c>
      <c r="F14" s="30" t="str" cm="1">
        <f t="array" ref="F14">Common_InputFunctions.Utility_DisplayArrayInTable(Common_SourceData.Common_SourceData_AustralianStatesTerritories_Data(),Table_AustralianStates[[#Headers],[State/Territory]],0)</f>
        <v>NT</v>
      </c>
    </row>
    <row r="15" spans="1:65" ht="20.100000000000001" customHeight="1" x14ac:dyDescent="0.25">
      <c r="A15" s="5" t="str">
        <f>HYPERLINK("#'Input - Electricity'!A1", "Electricity")</f>
        <v>Electricity</v>
      </c>
    </row>
    <row r="16" spans="1:65" ht="20.100000000000001" customHeight="1" x14ac:dyDescent="0.25">
      <c r="A16"/>
    </row>
    <row r="17" spans="1:4" ht="20.100000000000001" customHeight="1" x14ac:dyDescent="0.25">
      <c r="A17"/>
    </row>
    <row r="18" spans="1:4" ht="20.100000000000001" customHeight="1" x14ac:dyDescent="0.25">
      <c r="A18" s="6" t="s">
        <v>2</v>
      </c>
      <c r="D18" s="2" t="str" cm="1">
        <f t="array" ref="D18">Common_SourceData.Common_SourceData_WASA4Areas_Title()</f>
        <v>ABS Statistcal Areas Level 4 - Western Australia</v>
      </c>
    </row>
    <row r="19" spans="1:4" ht="20.100000000000001" customHeight="1" x14ac:dyDescent="0.25">
      <c r="A19" s="5" t="str">
        <f>HYPERLINK("#'3.2.1.1-2 Enteric Methane'!A1", "3.2.1.1-2 Enteric methane")</f>
        <v>3.2.1.1-2 Enteric methane</v>
      </c>
      <c r="D19" s="27" t="str" cm="1">
        <f t="array" ref="D19">Common_SourceData.Common_SourceData_WASA4Areas_Source()</f>
        <v>Australian Bureau of Statistics (ABS) - Statistical Areas Level 2 - 2021 - Shapefile</v>
      </c>
    </row>
    <row r="20" spans="1:4" ht="20.100000000000001" customHeight="1" x14ac:dyDescent="0.25">
      <c r="A20" s="5" t="str">
        <f>HYPERLINK("#'4.2.1.1-2 Methane'!A1", "4.2.1.1-2 Manure methane")</f>
        <v>4.2.1.1-2 Manure methane</v>
      </c>
      <c r="D20" s="30" t="s">
        <v>35</v>
      </c>
    </row>
    <row r="21" spans="1:4" ht="20.100000000000001" customHeight="1" x14ac:dyDescent="0.25">
      <c r="A21" s="5" t="str">
        <f>HYPERLINK("#'4.2.1.3-4 Soil direct N20'!A1", "4.2.1.3-4 Soil direct N2O")</f>
        <v>4.2.1.3-4 Soil direct N2O</v>
      </c>
      <c r="D21" s="30" t="str" cm="1">
        <f t="array" ref="D21">Common_InputFunctions.Utility_DisplayArrayInTable(Common_SourceData.Common_SourceData_WASA4Areas_Data(), Table_WASA4Areas[[#Headers],[SA 4 Name]], 0)</f>
        <v>Bunbury</v>
      </c>
    </row>
    <row r="22" spans="1:4" ht="20.100000000000001" customHeight="1" x14ac:dyDescent="0.25">
      <c r="A22" s="5" t="str">
        <f>HYPERLINK("#'4.2.1.5-6 Soil Atmos Dep'!A1", "4.2.1.5-6 Soil atm. deposition")</f>
        <v>4.2.1.5-6 Soil atm. deposition</v>
      </c>
      <c r="D22" s="30" t="str" cm="1">
        <f t="array" ref="D22">Common_InputFunctions.Utility_DisplayArrayInTable(Common_SourceData.Common_SourceData_WASA4Areas_Data(), Table_WASA4Areas[[#Headers],[SA 4 Name]], 0)</f>
        <v>Mandurah</v>
      </c>
    </row>
    <row r="23" spans="1:4" ht="20.100000000000001" customHeight="1" x14ac:dyDescent="0.25">
      <c r="A23" s="5" t="str">
        <f>HYPERLINK("#'4.2.1.7-8 Soil leach runoff'!A1", "4.2.1.7-8 Soil leach &amp; runoff")</f>
        <v>4.2.1.7-8 Soil leach &amp; runoff</v>
      </c>
      <c r="D23" s="30" t="str" cm="1">
        <f t="array" ref="D23">Common_InputFunctions.Utility_DisplayArrayInTable(Common_SourceData.Common_SourceData_WASA4Areas_Data(), Table_WASA4Areas[[#Headers],[SA 4 Name]], 0)</f>
        <v>Perth - Inner</v>
      </c>
    </row>
    <row r="24" spans="1:4" ht="20.100000000000001" customHeight="1" x14ac:dyDescent="0.25">
      <c r="A24" s="5" t="str">
        <f>HYPERLINK("#'5.1.1.1-2 Inorganic fert N2O'!A1", "5.1.1.1-2 Inorganic fert N2O")</f>
        <v>5.1.1.1-2 Inorganic fert N2O</v>
      </c>
      <c r="D24" s="30" t="str" cm="1">
        <f t="array" ref="D24">Common_InputFunctions.Utility_DisplayArrayInTable(Common_SourceData.Common_SourceData_WASA4Areas_Data(), Table_WASA4Areas[[#Headers],[SA 4 Name]], 0)</f>
        <v>Perth - North East</v>
      </c>
    </row>
    <row r="25" spans="1:4" ht="20.100000000000001" customHeight="1" x14ac:dyDescent="0.25">
      <c r="A25" s="5" t="str">
        <f>HYPERLINK("#'5.1.1.3-4 Inorganic fert CO2'!A1", "5.1.1.3-4 Inorganic fert CO2")</f>
        <v>5.1.1.3-4 Inorganic fert CO2</v>
      </c>
      <c r="D25" s="30" t="str" cm="1">
        <f t="array" ref="D25">Common_InputFunctions.Utility_DisplayArrayInTable(Common_SourceData.Common_SourceData_WASA4Areas_Data(), Table_WASA4Areas[[#Headers],[SA 4 Name]], 0)</f>
        <v>Perth - North West</v>
      </c>
    </row>
    <row r="26" spans="1:4" ht="20.100000000000001" customHeight="1" x14ac:dyDescent="0.25">
      <c r="A26" s="5" t="str">
        <f>HYPERLINK("#'5.2.1.1-2 Organic Fert N2O'!A1", "5.2.1.1-2 Organic fert N2O")</f>
        <v>5.2.1.1-2 Organic fert N2O</v>
      </c>
      <c r="D26" s="30" t="str" cm="1">
        <f t="array" ref="D26">Common_InputFunctions.Utility_DisplayArrayInTable(Common_SourceData.Common_SourceData_WASA4Areas_Data(), Table_WASA4Areas[[#Headers],[SA 4 Name]], 0)</f>
        <v>Perth - South East</v>
      </c>
    </row>
    <row r="27" spans="1:4" ht="20.100000000000001" customHeight="1" x14ac:dyDescent="0.25">
      <c r="A27" s="5" t="str">
        <f>HYPERLINK("#'5.3.1.1-2 Lime CO2'!A1", "5.3.1.1-2 Lime CO2")</f>
        <v>5.3.1.1-2 Lime CO2</v>
      </c>
      <c r="D27" s="30" t="str" cm="1">
        <f t="array" ref="D27">Common_InputFunctions.Utility_DisplayArrayInTable(Common_SourceData.Common_SourceData_WASA4Areas_Data(), Table_WASA4Areas[[#Headers],[SA 4 Name]], 0)</f>
        <v>Perth - South West</v>
      </c>
    </row>
    <row r="28" spans="1:4" ht="20.100000000000001" customHeight="1" x14ac:dyDescent="0.25">
      <c r="A28" s="5" t="str">
        <f>HYPERLINK("#'5.4.1.1-4 Atmos deposition'!A1", "5.4.1.1-4 Atmos. deposition")</f>
        <v>5.4.1.1-4 Atmos. deposition</v>
      </c>
      <c r="D28" s="30" t="str" cm="1">
        <f t="array" ref="D28">Common_InputFunctions.Utility_DisplayArrayInTable(Common_SourceData.Common_SourceData_WASA4Areas_Data(), Table_WASA4Areas[[#Headers],[SA 4 Name]], 0)</f>
        <v>Western Australia - Wheat Belt</v>
      </c>
    </row>
    <row r="29" spans="1:4" ht="20.100000000000001" customHeight="1" x14ac:dyDescent="0.25">
      <c r="A29" s="5" t="str">
        <f>HYPERLINK("#'5.5.1.1-2 Leaching and runoff'!A1", "5.5.1.1-2 Leaching &amp; runoff")</f>
        <v>5.5.1.1-2 Leaching &amp; runoff</v>
      </c>
      <c r="D29" s="30" t="str" cm="1">
        <f t="array" ref="D29">Common_InputFunctions.Utility_DisplayArrayInTable(Common_SourceData.Common_SourceData_WASA4Areas_Data(), Table_WASA4Areas[[#Headers],[SA 4 Name]], 0)</f>
        <v>Western Australia - Outback (North)</v>
      </c>
    </row>
    <row r="30" spans="1:4" ht="20.100000000000001" customHeight="1" x14ac:dyDescent="0.25">
      <c r="A30" s="5" t="str">
        <f>HYPERLINK("#'6.2.1.1-2 Pasture residue N2O'!A1", "6.2.1.1-2 Pasture residue N2O")</f>
        <v>6.2.1.1-2 Pasture residue N2O</v>
      </c>
      <c r="D30" s="30" t="str" cm="1">
        <f t="array" ref="D30">Common_InputFunctions.Utility_DisplayArrayInTable(Common_SourceData.Common_SourceData_WASA4Areas_Data(), Table_WASA4Areas[[#Headers],[SA 4 Name]], 0)</f>
        <v>Western Australia - Outback (South)</v>
      </c>
    </row>
    <row r="31" spans="1:4" ht="20.100000000000001" customHeight="1" x14ac:dyDescent="0.25">
      <c r="A31" s="5" t="str">
        <f>HYPERLINK("#'6.3.1.1-2 Leach runoff pasture'!A1", "6.3.1.1-2 Leach &amp; runoff (pasture)")</f>
        <v>6.3.1.1-2 Leach &amp; runoff (pasture)</v>
      </c>
    </row>
    <row r="32" spans="1:4" ht="20.100000000000001" customHeight="1" x14ac:dyDescent="0.25">
      <c r="A32" s="5" t="str">
        <f>HYPERLINK("#'8.1.1.1-2 Transport fuel'!A1", "8.1.1.1-2 Transport fuel")</f>
        <v>8.1.1.1-2 Transport fuel</v>
      </c>
    </row>
    <row r="33" spans="1:8" ht="20.100000000000001" customHeight="1" x14ac:dyDescent="0.25">
      <c r="A33" s="5" t="str">
        <f>HYPERLINK("#'8.2.1.1-2 Stationary fuel'!A1", "8.2.1.1-2 Stationary fuel")</f>
        <v>8.2.1.1-2 Stationary fuel</v>
      </c>
    </row>
    <row r="34" spans="1:8" ht="20.100000000000001" customHeight="1" x14ac:dyDescent="0.25">
      <c r="A34" s="5" t="str">
        <f>HYPERLINK("#'14.1.1-2 Purchased electricity'!A1", "14.1.1-2 Purchased electricity")</f>
        <v>14.1.1-2 Purchased electricity</v>
      </c>
      <c r="D34" s="2" t="str" cm="1">
        <f t="array" ref="D34">Common_SourceData.Common_SourceData_GWP_Title()</f>
        <v>Global warming potential for greenhouse gases</v>
      </c>
    </row>
    <row r="35" spans="1:8" ht="20.100000000000001" customHeight="1" x14ac:dyDescent="0.25">
      <c r="A35"/>
      <c r="D35" s="27" t="str" cm="1">
        <f t="array" ref="D35">Common_SourceData.Common_SourceData_GWP_Source()</f>
        <v>XXXXXXX</v>
      </c>
    </row>
    <row r="36" spans="1:8" ht="20.100000000000001" customHeight="1" x14ac:dyDescent="0.25">
      <c r="A36"/>
      <c r="D36" s="30" t="s">
        <v>36</v>
      </c>
      <c r="E36" s="30" t="s">
        <v>37</v>
      </c>
    </row>
    <row r="37" spans="1:8" ht="20.100000000000001" customHeight="1" x14ac:dyDescent="0.25">
      <c r="A37" s="251" t="s">
        <v>1</v>
      </c>
      <c r="D37" s="30" t="str" cm="1">
        <f t="array" ref="D37">Common_InputFunctions.Utility_DisplayArrayInTable(Common_SourceData.Common_SourceData_GWP_Data(), Table_GWPData[[#Headers],[Gas]], 0)</f>
        <v>CO2</v>
      </c>
      <c r="E37" s="30" cm="1">
        <f t="array" ref="E37">Common_InputFunctions.Utility_DisplayArrayInTable(Common_SourceData.Common_SourceData_GWP_Data(), Table_GWPData[[#Headers],[Gas]], 0)</f>
        <v>1</v>
      </c>
    </row>
    <row r="38" spans="1:8" ht="20.100000000000001" customHeight="1" x14ac:dyDescent="0.25">
      <c r="A38" s="5" t="str">
        <f>HYPERLINK("#'Constants - Pasture Beef'!A1", "Constants - Pasture Beef")</f>
        <v>Constants - Pasture Beef</v>
      </c>
      <c r="D38" s="30" t="str" cm="1">
        <f t="array" ref="D38">Common_InputFunctions.Utility_DisplayArrayInTable(Common_SourceData.Common_SourceData_GWP_Data(), Table_GWPData[[#Headers],[Gas]], 0)</f>
        <v>CH4</v>
      </c>
      <c r="E38" s="30" cm="1">
        <f t="array" ref="E38">Common_InputFunctions.Utility_DisplayArrayInTable(Common_SourceData.Common_SourceData_GWP_Data(), Table_GWPData[[#Headers],[Gas]], 0)</f>
        <v>28</v>
      </c>
    </row>
    <row r="39" spans="1:8" ht="20.100000000000001" customHeight="1" x14ac:dyDescent="0.25">
      <c r="A39" s="5" t="str">
        <f>HYPERLINK("#'Constants - Ag Residue'!A1", "Constants - Ag residue")</f>
        <v>Constants - Ag residue</v>
      </c>
      <c r="D39" s="30" t="str" cm="1">
        <f t="array" ref="D39">Common_InputFunctions.Utility_DisplayArrayInTable(Common_SourceData.Common_SourceData_GWP_Data(), Table_GWPData[[#Headers],[Gas]], 0)</f>
        <v>N2O</v>
      </c>
      <c r="E39" s="30" cm="1">
        <f t="array" ref="E39">Common_InputFunctions.Utility_DisplayArrayInTable(Common_SourceData.Common_SourceData_GWP_Data(), Table_GWPData[[#Headers],[Gas]], 0)</f>
        <v>265</v>
      </c>
    </row>
    <row r="40" spans="1:8" ht="20.100000000000001" customHeight="1" x14ac:dyDescent="0.25">
      <c r="A40" s="5" t="str">
        <f>HYPERLINK("#'Constants - Common Livestock'!A1", "Constants - Common Livestock")</f>
        <v>Constants - Common Livestock</v>
      </c>
      <c r="D40" s="30" t="str" cm="1">
        <f t="array" ref="D40">Common_InputFunctions.Utility_DisplayArrayInTable(Common_SourceData.Common_SourceData_GWP_Data(), Table_GWPData[[#Headers],[Gas]], 0)</f>
        <v>CF4</v>
      </c>
      <c r="E40" s="30" cm="1">
        <f t="array" ref="E40">Common_InputFunctions.Utility_DisplayArrayInTable(Common_SourceData.Common_SourceData_GWP_Data(), Table_GWPData[[#Headers],[Gas]], 0)</f>
        <v>6630</v>
      </c>
    </row>
    <row r="41" spans="1:8" ht="20.100000000000001" customHeight="1" x14ac:dyDescent="0.25">
      <c r="A41" s="5" t="str">
        <f>HYPERLINK("#'Constants - Electricity'!A1", "Constants - Electricity")</f>
        <v>Constants - Electricity</v>
      </c>
      <c r="D41" s="30" t="str" cm="1">
        <f t="array" ref="D41">Common_InputFunctions.Utility_DisplayArrayInTable(Common_SourceData.Common_SourceData_GWP_Data(), Table_GWPData[[#Headers],[Gas]], 0)</f>
        <v>C2F6</v>
      </c>
      <c r="E41" s="30" cm="1">
        <f t="array" ref="E41">Common_InputFunctions.Utility_DisplayArrayInTable(Common_SourceData.Common_SourceData_GWP_Data(), Table_GWPData[[#Headers],[Gas]], 0)</f>
        <v>12200</v>
      </c>
    </row>
    <row r="42" spans="1:8" ht="20.100000000000001" customHeight="1" x14ac:dyDescent="0.25">
      <c r="A42" s="5" t="str">
        <f>HYPERLINK("#'Constants - Fertiliser'!A1", "Constants - Fertiliser")</f>
        <v>Constants - Fertiliser</v>
      </c>
      <c r="D42" s="30" t="str" cm="1">
        <f t="array" ref="D42">Common_InputFunctions.Utility_DisplayArrayInTable(Common_SourceData.Common_SourceData_GWP_Data(), Table_GWPData[[#Headers],[Gas]], 0)</f>
        <v>SF6</v>
      </c>
      <c r="E42" s="30" cm="1">
        <f t="array" ref="E42">Common_InputFunctions.Utility_DisplayArrayInTable(Common_SourceData.Common_SourceData_GWP_Data(), Table_GWPData[[#Headers],[Gas]], 0)</f>
        <v>22800</v>
      </c>
    </row>
    <row r="43" spans="1:8" ht="20.100000000000001" customHeight="1" x14ac:dyDescent="0.25">
      <c r="A43" s="5" t="str">
        <f>HYPERLINK("#'Constants - Fuel'!A1", "Constants - Fuel")</f>
        <v>Constants - Fuel</v>
      </c>
      <c r="D43" s="30" t="str" cm="1">
        <f t="array" ref="D43">Common_InputFunctions.Utility_DisplayArrayInTable(Common_SourceData.Common_SourceData_GWP_Data(), Table_GWPData[[#Headers],[Gas]], 0)</f>
        <v>NF3</v>
      </c>
      <c r="E43" s="30" cm="1">
        <f t="array" ref="E43">Common_InputFunctions.Utility_DisplayArrayInTable(Common_SourceData.Common_SourceData_GWP_Data(), Table_GWPData[[#Headers],[Gas]], 0)</f>
        <v>17200</v>
      </c>
    </row>
    <row r="44" spans="1:8" ht="20.100000000000001" customHeight="1" x14ac:dyDescent="0.25">
      <c r="A44" s="126" t="str">
        <f>HYPERLINK("#'Constants - Common'!A1", "Constants - Common")</f>
        <v>Constants - Common</v>
      </c>
    </row>
    <row r="45" spans="1:8" ht="20.100000000000001" customHeight="1" x14ac:dyDescent="0.25">
      <c r="A45" s="5" t="str">
        <f>HYPERLINK("#'Acknowledgements'!A1", "Acknowledgements")</f>
        <v>Acknowledgements</v>
      </c>
      <c r="D45" s="2" t="str" cm="1">
        <f t="array" ref="D45">Common_SourceData.Common_SourceData_ConvertGasElementalToMolecular_Title()</f>
        <v>Factor to convert elemental mass of gas to molecular mass</v>
      </c>
    </row>
    <row r="46" spans="1:8" ht="20.100000000000001" customHeight="1" x14ac:dyDescent="0.25">
      <c r="A46" s="5" t="str">
        <f>HYPERLINK("#'Overview'!A1", "Overview")</f>
        <v>Overview</v>
      </c>
      <c r="D46" s="27" t="str" cm="1">
        <f t="array" ref="D46">Common_SourceData.Common_SourceData_ConvertGasElementalToMolecular_Source()</f>
        <v>XXXXXXX</v>
      </c>
    </row>
    <row r="47" spans="1:8" ht="20.100000000000001" customHeight="1" x14ac:dyDescent="0.25">
      <c r="A47"/>
      <c r="D47" s="30" t="s">
        <v>36</v>
      </c>
      <c r="E47" s="30" t="s">
        <v>38</v>
      </c>
      <c r="F47" s="30" t="s">
        <v>39</v>
      </c>
      <c r="G47" s="30" t="s">
        <v>40</v>
      </c>
      <c r="H47" s="30" t="s">
        <v>41</v>
      </c>
    </row>
    <row r="48" spans="1:8" ht="20.100000000000001" customHeight="1" x14ac:dyDescent="0.25">
      <c r="A48"/>
      <c r="D48" s="30" t="str" cm="1">
        <f t="array" ref="D48">Common_InputFunctions.Utility_DisplayArrayInTable(Common_SourceData.Common_SourceData_ConvertGasElementalToMolecular_Data(),Table_GasToMolecularConversionFactor[[#Headers],[Gas]], 0)</f>
        <v>CO2</v>
      </c>
      <c r="E48" s="30" t="str" cm="1">
        <f t="array" ref="E48">Common_InputFunctions.Utility_DisplayArrayInTable(Common_SourceData.Common_SourceData_ConvertGasElementalToMolecular_Data(),Table_GasToMolecularConversionFactor[[#Headers],[Gas]], 0)</f>
        <v>44/12</v>
      </c>
      <c r="F48" s="30" cm="1">
        <f t="array" ref="F48">Common_InputFunctions.Utility_DisplayArrayInTable(Common_SourceData.Common_SourceData_ConvertGasElementalToMolecular_Data(),Table_GasToMolecularConversionFactor[[#Headers],[Gas]], 0)</f>
        <v>44</v>
      </c>
      <c r="G48" s="30" cm="1">
        <f t="array" ref="G48">Common_InputFunctions.Utility_DisplayArrayInTable(Common_SourceData.Common_SourceData_ConvertGasElementalToMolecular_Data(),Table_GasToMolecularConversionFactor[[#Headers],[Gas]], 0)</f>
        <v>12</v>
      </c>
      <c r="H48" s="30">
        <f>Table_GasToMolecularConversionFactor[[#This Row],[Conversion factor 1]]/Table_GasToMolecularConversionFactor[[#This Row],[Conversion factor 2]]</f>
        <v>3.6666666666666665</v>
      </c>
    </row>
    <row r="49" spans="1:8" ht="20.100000000000001" customHeight="1" x14ac:dyDescent="0.25">
      <c r="A49"/>
      <c r="D49" s="30" t="str" cm="1">
        <f t="array" ref="D49">Common_InputFunctions.Utility_DisplayArrayInTable(Common_SourceData.Common_SourceData_ConvertGasElementalToMolecular_Data(),Table_GasToMolecularConversionFactor[[#Headers],[Gas]], 0)</f>
        <v>CH4</v>
      </c>
      <c r="E49" s="30" t="str" cm="1">
        <f t="array" ref="E49">Common_InputFunctions.Utility_DisplayArrayInTable(Common_SourceData.Common_SourceData_ConvertGasElementalToMolecular_Data(),Table_GasToMolecularConversionFactor[[#Headers],[Gas]], 0)</f>
        <v>16/12</v>
      </c>
      <c r="F49" s="30" cm="1">
        <f t="array" ref="F49">Common_InputFunctions.Utility_DisplayArrayInTable(Common_SourceData.Common_SourceData_ConvertGasElementalToMolecular_Data(),Table_GasToMolecularConversionFactor[[#Headers],[Gas]], 0)</f>
        <v>16</v>
      </c>
      <c r="G49" s="30" cm="1">
        <f t="array" ref="G49">Common_InputFunctions.Utility_DisplayArrayInTable(Common_SourceData.Common_SourceData_ConvertGasElementalToMolecular_Data(),Table_GasToMolecularConversionFactor[[#Headers],[Gas]], 0)</f>
        <v>12</v>
      </c>
      <c r="H49" s="30">
        <f>Table_GasToMolecularConversionFactor[[#This Row],[Conversion factor 1]]/Table_GasToMolecularConversionFactor[[#This Row],[Conversion factor 2]]</f>
        <v>1.3333333333333333</v>
      </c>
    </row>
    <row r="50" spans="1:8" ht="20.100000000000001" customHeight="1" x14ac:dyDescent="0.25">
      <c r="A50"/>
      <c r="D50" s="30" t="str" cm="1">
        <f t="array" ref="D50">Common_InputFunctions.Utility_DisplayArrayInTable(Common_SourceData.Common_SourceData_ConvertGasElementalToMolecular_Data(),Table_GasToMolecularConversionFactor[[#Headers],[Gas]], 0)</f>
        <v>N2O</v>
      </c>
      <c r="E50" s="30" t="str" cm="1">
        <f t="array" ref="E50">Common_InputFunctions.Utility_DisplayArrayInTable(Common_SourceData.Common_SourceData_ConvertGasElementalToMolecular_Data(),Table_GasToMolecularConversionFactor[[#Headers],[Gas]], 0)</f>
        <v>44/28</v>
      </c>
      <c r="F50" s="30" cm="1">
        <f t="array" ref="F50">Common_InputFunctions.Utility_DisplayArrayInTable(Common_SourceData.Common_SourceData_ConvertGasElementalToMolecular_Data(),Table_GasToMolecularConversionFactor[[#Headers],[Gas]], 0)</f>
        <v>44</v>
      </c>
      <c r="G50" s="30" cm="1">
        <f t="array" ref="G50">Common_InputFunctions.Utility_DisplayArrayInTable(Common_SourceData.Common_SourceData_ConvertGasElementalToMolecular_Data(),Table_GasToMolecularConversionFactor[[#Headers],[Gas]], 0)</f>
        <v>28</v>
      </c>
      <c r="H50" s="30">
        <f>Table_GasToMolecularConversionFactor[[#This Row],[Conversion factor 1]]/Table_GasToMolecularConversionFactor[[#This Row],[Conversion factor 2]]</f>
        <v>1.5714285714285714</v>
      </c>
    </row>
    <row r="51" spans="1:8" ht="20.100000000000001" customHeight="1" x14ac:dyDescent="0.25">
      <c r="A51"/>
      <c r="D51" s="30" t="str" cm="1">
        <f t="array" ref="D51">Common_InputFunctions.Utility_DisplayArrayInTable(Common_SourceData.Common_SourceData_ConvertGasElementalToMolecular_Data(),Table_GasToMolecularConversionFactor[[#Headers],[Gas]], 0)</f>
        <v>Nox</v>
      </c>
      <c r="E51" s="30" t="str" cm="1">
        <f t="array" ref="E51">Common_InputFunctions.Utility_DisplayArrayInTable(Common_SourceData.Common_SourceData_ConvertGasElementalToMolecular_Data(),Table_GasToMolecularConversionFactor[[#Headers],[Gas]], 0)</f>
        <v>46/14</v>
      </c>
      <c r="F51" s="30" cm="1">
        <f t="array" ref="F51">Common_InputFunctions.Utility_DisplayArrayInTable(Common_SourceData.Common_SourceData_ConvertGasElementalToMolecular_Data(),Table_GasToMolecularConversionFactor[[#Headers],[Gas]], 0)</f>
        <v>46</v>
      </c>
      <c r="G51" s="30" cm="1">
        <f t="array" ref="G51">Common_InputFunctions.Utility_DisplayArrayInTable(Common_SourceData.Common_SourceData_ConvertGasElementalToMolecular_Data(),Table_GasToMolecularConversionFactor[[#Headers],[Gas]], 0)</f>
        <v>14</v>
      </c>
      <c r="H51" s="30">
        <f>Table_GasToMolecularConversionFactor[[#This Row],[Conversion factor 1]]/Table_GasToMolecularConversionFactor[[#This Row],[Conversion factor 2]]</f>
        <v>3.2857142857142856</v>
      </c>
    </row>
    <row r="52" spans="1:8" ht="20.100000000000001" customHeight="1" x14ac:dyDescent="0.25">
      <c r="A52"/>
      <c r="D52" s="30" t="str" cm="1">
        <f t="array" ref="D52">Common_InputFunctions.Utility_DisplayArrayInTable(Common_SourceData.Common_SourceData_ConvertGasElementalToMolecular_Data(),Table_GasToMolecularConversionFactor[[#Headers],[Gas]], 0)</f>
        <v>CO</v>
      </c>
      <c r="E52" s="30" t="str" cm="1">
        <f t="array" ref="E52">Common_InputFunctions.Utility_DisplayArrayInTable(Common_SourceData.Common_SourceData_ConvertGasElementalToMolecular_Data(),Table_GasToMolecularConversionFactor[[#Headers],[Gas]], 0)</f>
        <v>28/12</v>
      </c>
      <c r="F52" s="30" cm="1">
        <f t="array" ref="F52">Common_InputFunctions.Utility_DisplayArrayInTable(Common_SourceData.Common_SourceData_ConvertGasElementalToMolecular_Data(),Table_GasToMolecularConversionFactor[[#Headers],[Gas]], 0)</f>
        <v>28</v>
      </c>
      <c r="G52" s="30" cm="1">
        <f t="array" ref="G52">Common_InputFunctions.Utility_DisplayArrayInTable(Common_SourceData.Common_SourceData_ConvertGasElementalToMolecular_Data(),Table_GasToMolecularConversionFactor[[#Headers],[Gas]], 0)</f>
        <v>12</v>
      </c>
      <c r="H52" s="30">
        <f>Table_GasToMolecularConversionFactor[[#This Row],[Conversion factor 1]]/Table_GasToMolecularConversionFactor[[#This Row],[Conversion factor 2]]</f>
        <v>2.3333333333333335</v>
      </c>
    </row>
    <row r="53" spans="1:8" ht="20.100000000000001" customHeight="1" x14ac:dyDescent="0.25">
      <c r="A53"/>
      <c r="D53" s="30" t="str" cm="1">
        <f t="array" ref="D53">Common_InputFunctions.Utility_DisplayArrayInTable(Common_SourceData.Common_SourceData_ConvertGasElementalToMolecular_Data(),Table_GasToMolecularConversionFactor[[#Headers],[Gas]], 0)</f>
        <v>CO2 Lime</v>
      </c>
      <c r="E53" s="30" t="str" cm="1">
        <f t="array" ref="E53">Common_InputFunctions.Utility_DisplayArrayInTable(Common_SourceData.Common_SourceData_ConvertGasElementalToMolecular_Data(),Table_GasToMolecularConversionFactor[[#Headers],[Gas]], 0)</f>
        <v>44/12</v>
      </c>
      <c r="F53" s="30" cm="1">
        <f t="array" ref="F53">Common_InputFunctions.Utility_DisplayArrayInTable(Common_SourceData.Common_SourceData_ConvertGasElementalToMolecular_Data(),Table_GasToMolecularConversionFactor[[#Headers],[Gas]], 0)</f>
        <v>44</v>
      </c>
      <c r="G53" s="30" cm="1">
        <f t="array" ref="G53">Common_InputFunctions.Utility_DisplayArrayInTable(Common_SourceData.Common_SourceData_ConvertGasElementalToMolecular_Data(),Table_GasToMolecularConversionFactor[[#Headers],[Gas]], 0)</f>
        <v>12</v>
      </c>
      <c r="H53" s="30">
        <f>Table_GasToMolecularConversionFactor[[#This Row],[Conversion factor 1]]/Table_GasToMolecularConversionFactor[[#This Row],[Conversion factor 2]]</f>
        <v>3.6666666666666665</v>
      </c>
    </row>
    <row r="54" spans="1:8" ht="20.100000000000001" customHeight="1" x14ac:dyDescent="0.25">
      <c r="A54"/>
      <c r="D54" s="30" t="str" cm="1">
        <f t="array" ref="D54">Common_InputFunctions.Utility_DisplayArrayInTable(Common_SourceData.Common_SourceData_ConvertGasElementalToMolecular_Data(),Table_GasToMolecularConversionFactor[[#Headers],[Gas]], 0)</f>
        <v>NMVOC</v>
      </c>
      <c r="E54" s="30" t="str" cm="1">
        <f t="array" ref="E54">Common_InputFunctions.Utility_DisplayArrayInTable(Common_SourceData.Common_SourceData_ConvertGasElementalToMolecular_Data(),Table_GasToMolecularConversionFactor[[#Headers],[Gas]], 0)</f>
        <v>14/12</v>
      </c>
      <c r="F54" s="30" cm="1">
        <f t="array" ref="F54">Common_InputFunctions.Utility_DisplayArrayInTable(Common_SourceData.Common_SourceData_ConvertGasElementalToMolecular_Data(),Table_GasToMolecularConversionFactor[[#Headers],[Gas]], 0)</f>
        <v>14</v>
      </c>
      <c r="G54" s="30" cm="1">
        <f t="array" ref="G54">Common_InputFunctions.Utility_DisplayArrayInTable(Common_SourceData.Common_SourceData_ConvertGasElementalToMolecular_Data(),Table_GasToMolecularConversionFactor[[#Headers],[Gas]], 0)</f>
        <v>12</v>
      </c>
      <c r="H54" s="30">
        <f>Table_GasToMolecularConversionFactor[[#This Row],[Conversion factor 1]]/Table_GasToMolecularConversionFactor[[#This Row],[Conversion factor 2]]</f>
        <v>1.1666666666666667</v>
      </c>
    </row>
    <row r="55" spans="1:8" ht="20.100000000000001" customHeight="1" x14ac:dyDescent="0.25">
      <c r="A55"/>
    </row>
    <row r="56" spans="1:8" ht="20.100000000000001" customHeight="1" x14ac:dyDescent="0.25">
      <c r="A56"/>
    </row>
    <row r="57" spans="1:8" ht="20.100000000000001" customHeight="1" x14ac:dyDescent="0.25">
      <c r="A57"/>
      <c r="D57" s="2" t="str" cm="1">
        <f t="array" ref="D57">Common_SourceData.Common_SourceData_WetAndDryZones_Title()</f>
        <v>VEERG Australian wet and dry zones</v>
      </c>
    </row>
    <row r="58" spans="1:8" ht="20.100000000000001" customHeight="1" x14ac:dyDescent="0.25">
      <c r="A58"/>
      <c r="D58" s="27" t="str" cm="1">
        <f t="array" ref="D58">Common_SourceData.Common_SourceData_WetAndDryZones_Source()</f>
        <v>VEERG 2026: Table 1.2: Translating climate zones to wet and dry zones</v>
      </c>
    </row>
    <row r="59" spans="1:8" ht="20.100000000000001" customHeight="1" x14ac:dyDescent="0.25">
      <c r="A59"/>
      <c r="D59" s="36" t="str" cm="1">
        <f t="array" ref="D59:D61">"⚠️" &amp; Common_SourceData.Common_SourceData_WetAndDryZones_Variation()</f>
        <v>⚠️VARIATION OF SOURCE DATA:</v>
      </c>
    </row>
    <row r="60" spans="1:8" ht="20.100000000000001" customHeight="1" x14ac:dyDescent="0.25">
      <c r="A60"/>
      <c r="D60" s="36" t="str">
        <v>⚠️Added warm / cool temperate moist / dry - low frost and high temp classes to accommodate climate scenarios excluded by VEERG criteria.</v>
      </c>
    </row>
    <row r="61" spans="1:8" ht="20.100000000000001" customHeight="1" x14ac:dyDescent="0.25">
      <c r="A61"/>
      <c r="D61" s="36" t="str">
        <v>⚠️Fixed typo - Changed 'Fry' to 'Dry'.</v>
      </c>
    </row>
    <row r="62" spans="1:8" ht="20.100000000000001" customHeight="1" x14ac:dyDescent="0.25">
      <c r="A62"/>
    </row>
    <row r="63" spans="1:8" ht="20.100000000000001" customHeight="1" x14ac:dyDescent="0.25">
      <c r="A63"/>
      <c r="D63" s="30" t="s">
        <v>42</v>
      </c>
      <c r="E63" s="30" t="s">
        <v>43</v>
      </c>
    </row>
    <row r="64" spans="1:8" ht="20.100000000000001" customHeight="1" x14ac:dyDescent="0.25">
      <c r="A64"/>
      <c r="D64" s="30" t="str" cm="1">
        <f t="array" ref="D64">Common_InputFunctions.Utility_DisplayArrayInTable(Common_SourceData.Common_SourceData_WetAndDryZones_Data(), Table_SourceData_WetDryZones[[#Headers],[Climate zone]], 0)</f>
        <v>Tropical montane</v>
      </c>
      <c r="E64" s="30" t="str" cm="1">
        <f t="array" ref="E64">Common_InputFunctions.Utility_DisplayArrayInTable(Common_SourceData.Common_SourceData_WetAndDryZones_Data(), Table_SourceData_WetDryZones[[#Headers],[Climate zone]], 0)</f>
        <v>Wet climate zone</v>
      </c>
    </row>
    <row r="65" spans="1:5" ht="20.100000000000001" customHeight="1" x14ac:dyDescent="0.25">
      <c r="A65"/>
      <c r="D65" s="30" t="str" cm="1">
        <f t="array" ref="D65">Common_InputFunctions.Utility_DisplayArrayInTable(Common_SourceData.Common_SourceData_WetAndDryZones_Data(), Table_SourceData_WetDryZones[[#Headers],[Climate zone]], 0)</f>
        <v>Tropical wet</v>
      </c>
      <c r="E65" s="30" t="str" cm="1">
        <f t="array" ref="E65">Common_InputFunctions.Utility_DisplayArrayInTable(Common_SourceData.Common_SourceData_WetAndDryZones_Data(), Table_SourceData_WetDryZones[[#Headers],[Climate zone]], 0)</f>
        <v>Wet climate zone</v>
      </c>
    </row>
    <row r="66" spans="1:5" ht="20.100000000000001" customHeight="1" x14ac:dyDescent="0.25">
      <c r="A66"/>
      <c r="D66" s="30" t="str" cm="1">
        <f t="array" ref="D66">Common_InputFunctions.Utility_DisplayArrayInTable(Common_SourceData.Common_SourceData_WetAndDryZones_Data(), Table_SourceData_WetDryZones[[#Headers],[Climate zone]], 0)</f>
        <v>Tropical moist</v>
      </c>
      <c r="E66" s="30" t="str" cm="1">
        <f t="array" ref="E66">Common_InputFunctions.Utility_DisplayArrayInTable(Common_SourceData.Common_SourceData_WetAndDryZones_Data(), Table_SourceData_WetDryZones[[#Headers],[Climate zone]], 0)</f>
        <v>Wet climate zone</v>
      </c>
    </row>
    <row r="67" spans="1:5" ht="20.100000000000001" customHeight="1" x14ac:dyDescent="0.25">
      <c r="A67"/>
      <c r="D67" s="30" t="str" cm="1">
        <f t="array" ref="D67">Common_InputFunctions.Utility_DisplayArrayInTable(Common_SourceData.Common_SourceData_WetAndDryZones_Data(), Table_SourceData_WetDryZones[[#Headers],[Climate zone]], 0)</f>
        <v>Tropical dry</v>
      </c>
      <c r="E67" s="30" t="str" cm="1">
        <f t="array" ref="E67">Common_InputFunctions.Utility_DisplayArrayInTable(Common_SourceData.Common_SourceData_WetAndDryZones_Data(), Table_SourceData_WetDryZones[[#Headers],[Climate zone]], 0)</f>
        <v>Dry climate zone</v>
      </c>
    </row>
    <row r="68" spans="1:5" ht="20.100000000000001" customHeight="1" x14ac:dyDescent="0.25">
      <c r="A68"/>
      <c r="D68" s="30" t="str" cm="1">
        <f t="array" ref="D68">Common_InputFunctions.Utility_DisplayArrayInTable(Common_SourceData.Common_SourceData_WetAndDryZones_Data(), Table_SourceData_WetDryZones[[#Headers],[Climate zone]], 0)</f>
        <v>Warm temperate moist</v>
      </c>
      <c r="E68" s="30" t="str" cm="1">
        <f t="array" ref="E68">Common_InputFunctions.Utility_DisplayArrayInTable(Common_SourceData.Common_SourceData_WetAndDryZones_Data(), Table_SourceData_WetDryZones[[#Headers],[Climate zone]], 0)</f>
        <v>Wet climate zone</v>
      </c>
    </row>
    <row r="69" spans="1:5" ht="20.100000000000001" customHeight="1" x14ac:dyDescent="0.25">
      <c r="A69"/>
      <c r="D69" s="30" t="str" cm="1">
        <f t="array" ref="D69">Common_InputFunctions.Utility_DisplayArrayInTable(Common_SourceData.Common_SourceData_WetAndDryZones_Data(), Table_SourceData_WetDryZones[[#Headers],[Climate zone]], 0)</f>
        <v>Warm temperate dry</v>
      </c>
      <c r="E69" s="30" t="str" cm="1">
        <f t="array" ref="E69">Common_InputFunctions.Utility_DisplayArrayInTable(Common_SourceData.Common_SourceData_WetAndDryZones_Data(), Table_SourceData_WetDryZones[[#Headers],[Climate zone]], 0)</f>
        <v>Dry climate zone</v>
      </c>
    </row>
    <row r="70" spans="1:5" ht="20.100000000000001" customHeight="1" x14ac:dyDescent="0.25">
      <c r="A70"/>
      <c r="D70" s="30" t="str" cm="1">
        <f t="array" ref="D70">Common_InputFunctions.Utility_DisplayArrayInTable(Common_SourceData.Common_SourceData_WetAndDryZones_Data(), Table_SourceData_WetDryZones[[#Headers],[Climate zone]], 0)</f>
        <v>Cool temperate moist</v>
      </c>
      <c r="E70" s="30" t="str" cm="1">
        <f t="array" ref="E70">Common_InputFunctions.Utility_DisplayArrayInTable(Common_SourceData.Common_SourceData_WetAndDryZones_Data(), Table_SourceData_WetDryZones[[#Headers],[Climate zone]], 0)</f>
        <v>Wet climate zone</v>
      </c>
    </row>
    <row r="71" spans="1:5" ht="20.100000000000001" customHeight="1" x14ac:dyDescent="0.25">
      <c r="A71"/>
      <c r="D71" s="30" t="str" cm="1">
        <f t="array" ref="D71">Common_InputFunctions.Utility_DisplayArrayInTable(Common_SourceData.Common_SourceData_WetAndDryZones_Data(), Table_SourceData_WetDryZones[[#Headers],[Climate zone]], 0)</f>
        <v>Cool temperate dry</v>
      </c>
      <c r="E71" s="30" t="str" cm="1">
        <f t="array" ref="E71">Common_InputFunctions.Utility_DisplayArrayInTable(Common_SourceData.Common_SourceData_WetAndDryZones_Data(), Table_SourceData_WetDryZones[[#Headers],[Climate zone]], 0)</f>
        <v>Dry climate zone</v>
      </c>
    </row>
    <row r="72" spans="1:5" ht="20.100000000000001" customHeight="1" x14ac:dyDescent="0.25">
      <c r="A72"/>
      <c r="D72" s="30" t="str" cm="1">
        <f t="array" ref="D72">Common_InputFunctions.Utility_DisplayArrayInTable(Common_SourceData.Common_SourceData_WetAndDryZones_Data(), Table_SourceData_WetDryZones[[#Headers],[Climate zone]], 0)</f>
        <v>Warm temperate moist - low frost</v>
      </c>
      <c r="E72" s="30" t="str" cm="1">
        <f t="array" ref="E72">Common_InputFunctions.Utility_DisplayArrayInTable(Common_SourceData.Common_SourceData_WetAndDryZones_Data(), Table_SourceData_WetDryZones[[#Headers],[Climate zone]], 0)</f>
        <v>Wet climate zone</v>
      </c>
    </row>
    <row r="73" spans="1:5" ht="20.100000000000001" customHeight="1" x14ac:dyDescent="0.25">
      <c r="A73"/>
      <c r="D73" s="30" t="str" cm="1">
        <f t="array" ref="D73">Common_InputFunctions.Utility_DisplayArrayInTable(Common_SourceData.Common_SourceData_WetAndDryZones_Data(), Table_SourceData_WetDryZones[[#Headers],[Climate zone]], 0)</f>
        <v>Warm temperate dry - low frost</v>
      </c>
      <c r="E73" s="30" t="str" cm="1">
        <f t="array" ref="E73">Common_InputFunctions.Utility_DisplayArrayInTable(Common_SourceData.Common_SourceData_WetAndDryZones_Data(), Table_SourceData_WetDryZones[[#Headers],[Climate zone]], 0)</f>
        <v>Dry climate zone</v>
      </c>
    </row>
    <row r="74" spans="1:5" ht="20.100000000000001" customHeight="1" x14ac:dyDescent="0.25">
      <c r="A74"/>
      <c r="D74" s="30" t="str" cm="1">
        <f t="array" ref="D74">Common_InputFunctions.Utility_DisplayArrayInTable(Common_SourceData.Common_SourceData_WetAndDryZones_Data(), Table_SourceData_WetDryZones[[#Headers],[Climate zone]], 0)</f>
        <v>Warm temperate moist - high temp</v>
      </c>
      <c r="E74" s="30" t="str" cm="1">
        <f t="array" ref="E74">Common_InputFunctions.Utility_DisplayArrayInTable(Common_SourceData.Common_SourceData_WetAndDryZones_Data(), Table_SourceData_WetDryZones[[#Headers],[Climate zone]], 0)</f>
        <v>Wet climate zone</v>
      </c>
    </row>
    <row r="75" spans="1:5" ht="20.100000000000001" customHeight="1" x14ac:dyDescent="0.25">
      <c r="A75"/>
      <c r="D75" s="30" t="str" cm="1">
        <f t="array" ref="D75">Common_InputFunctions.Utility_DisplayArrayInTable(Common_SourceData.Common_SourceData_WetAndDryZones_Data(), Table_SourceData_WetDryZones[[#Headers],[Climate zone]], 0)</f>
        <v>Warm temperate dry - high temp</v>
      </c>
      <c r="E75" s="30" t="str" cm="1">
        <f t="array" ref="E75">Common_InputFunctions.Utility_DisplayArrayInTable(Common_SourceData.Common_SourceData_WetAndDryZones_Data(), Table_SourceData_WetDryZones[[#Headers],[Climate zone]], 0)</f>
        <v>Dry climate zone</v>
      </c>
    </row>
    <row r="76" spans="1:5" ht="20.100000000000001" customHeight="1" x14ac:dyDescent="0.25">
      <c r="A76"/>
      <c r="D76" s="30" t="str" cm="1">
        <f t="array" ref="D76">Common_InputFunctions.Utility_DisplayArrayInTable(Common_SourceData.Common_SourceData_WetAndDryZones_Data(), Table_SourceData_WetDryZones[[#Headers],[Climate zone]], 0)</f>
        <v>Cool temperate moist - low frost</v>
      </c>
      <c r="E76" s="30" t="str" cm="1">
        <f t="array" ref="E76">Common_InputFunctions.Utility_DisplayArrayInTable(Common_SourceData.Common_SourceData_WetAndDryZones_Data(), Table_SourceData_WetDryZones[[#Headers],[Climate zone]], 0)</f>
        <v>Wet climate zone</v>
      </c>
    </row>
    <row r="77" spans="1:5" ht="20.100000000000001" customHeight="1" x14ac:dyDescent="0.25">
      <c r="A77"/>
      <c r="D77" s="30" t="str" cm="1">
        <f t="array" ref="D77">Common_InputFunctions.Utility_DisplayArrayInTable(Common_SourceData.Common_SourceData_WetAndDryZones_Data(), Table_SourceData_WetDryZones[[#Headers],[Climate zone]], 0)</f>
        <v>Cool temperate dry - low frost</v>
      </c>
      <c r="E77" s="30" t="str" cm="1">
        <f t="array" ref="E77">Common_InputFunctions.Utility_DisplayArrayInTable(Common_SourceData.Common_SourceData_WetAndDryZones_Data(), Table_SourceData_WetDryZones[[#Headers],[Climate zone]], 0)</f>
        <v>Dry climate zone</v>
      </c>
    </row>
    <row r="78" spans="1:5" ht="20.100000000000001" customHeight="1" x14ac:dyDescent="0.25">
      <c r="A78"/>
    </row>
    <row r="79" spans="1:5" ht="20.100000000000001" customHeight="1" x14ac:dyDescent="0.25">
      <c r="A79"/>
    </row>
    <row r="80" spans="1:5" ht="20.100000000000001" customHeight="1" x14ac:dyDescent="0.25">
      <c r="A80"/>
    </row>
    <row r="81" spans="1:20" ht="20.100000000000001" customHeight="1" x14ac:dyDescent="0.25">
      <c r="A81"/>
      <c r="D81" s="2" t="str" cm="1">
        <f t="array" ref="D81">Common_SourceData.Common_SourceData_ClimateZones_Title()</f>
        <v>VEERG Australian climate zones</v>
      </c>
    </row>
    <row r="82" spans="1:20" ht="20.100000000000001" customHeight="1" x14ac:dyDescent="0.25">
      <c r="A82"/>
      <c r="D82" s="27" t="str" cm="1">
        <f t="array" ref="D82">Common_SourceData.Common_SourceData_ClimateZones_Source()</f>
        <v>VEERG 2026: Table 1.3: Climate and Rainfall zone classifications and definitions</v>
      </c>
    </row>
    <row r="83" spans="1:20" ht="20.100000000000001" customHeight="1" x14ac:dyDescent="0.25">
      <c r="A83"/>
      <c r="D83" s="36" t="str" cm="1">
        <f t="array" ref="D83:D87">"⚠️" &amp; Common_SourceData.Common_SourceData_ClimateZones_Variation()</f>
        <v>⚠️VARIATION OF SOURCE DATA:</v>
      </c>
    </row>
    <row r="84" spans="1:20" ht="20.100000000000001" customHeight="1" x14ac:dyDescent="0.25">
      <c r="A84"/>
      <c r="D84" s="36" t="str">
        <v>⚠️Added warm / cool temperate moist / dry - low frost and high temp classes to accommodate climate scenarios excluded by VEERG criteria.</v>
      </c>
    </row>
    <row r="85" spans="1:20" ht="20.100000000000001" customHeight="1" x14ac:dyDescent="0.25">
      <c r="A85"/>
      <c r="D85" s="36" t="str">
        <v>⚠️Fixed typo in MAT value for warm temperate dry - changed 10 to 11.</v>
      </c>
    </row>
    <row r="86" spans="1:20" ht="20.100000000000001" customHeight="1" x14ac:dyDescent="0.25">
      <c r="A86"/>
      <c r="D86" s="36" t="str">
        <v>⚠️Added min and max columns for MAT, MAP, frost days per year, elevation, MAP:PET to calculate zones from real climate data.</v>
      </c>
    </row>
    <row r="87" spans="1:20" ht="20.100000000000001" customHeight="1" x14ac:dyDescent="0.25">
      <c r="A87"/>
      <c r="D87" s="36" t="str">
        <v>⚠️GAF accepts rainfall as a proxy for precipitation.</v>
      </c>
    </row>
    <row r="88" spans="1:20" ht="20.100000000000001" customHeight="1" x14ac:dyDescent="0.25">
      <c r="A88"/>
    </row>
    <row r="89" spans="1:20" ht="20.100000000000001" customHeight="1" x14ac:dyDescent="0.25">
      <c r="A89"/>
      <c r="D89" s="30" t="s">
        <v>42</v>
      </c>
      <c r="E89" s="30" t="s">
        <v>44</v>
      </c>
      <c r="F89" s="30" t="s">
        <v>45</v>
      </c>
      <c r="G89" s="30" t="s">
        <v>46</v>
      </c>
      <c r="H89" s="30" t="s">
        <v>47</v>
      </c>
      <c r="I89" s="30" t="s">
        <v>48</v>
      </c>
      <c r="J89" s="30" t="s">
        <v>49</v>
      </c>
      <c r="K89" s="30" t="s">
        <v>50</v>
      </c>
      <c r="L89" s="30" t="s">
        <v>51</v>
      </c>
      <c r="M89" s="30" t="s">
        <v>52</v>
      </c>
      <c r="N89" s="30" t="s">
        <v>53</v>
      </c>
      <c r="O89" s="30" t="s">
        <v>54</v>
      </c>
      <c r="P89" s="30" t="s">
        <v>55</v>
      </c>
      <c r="Q89" s="30" t="s">
        <v>56</v>
      </c>
      <c r="R89" s="30" t="s">
        <v>57</v>
      </c>
      <c r="S89" s="30" t="s">
        <v>58</v>
      </c>
      <c r="T89" s="30"/>
    </row>
    <row r="90" spans="1:20" ht="20.100000000000001" customHeight="1" x14ac:dyDescent="0.25">
      <c r="A90"/>
      <c r="D90" s="30" t="str" cm="1">
        <f t="array" ref="D90">Common_InputFunctions.Utility_DisplayArrayInTable(Common_SourceData.Common_SourceData_ClimateZones_Data(), Table_SourceData_ClimateZones[[#Headers],[Climate zone]], 0)</f>
        <v>Tropical montane</v>
      </c>
      <c r="E90" s="30" t="str" cm="1">
        <f t="array" ref="E90">Common_InputFunctions.Utility_DisplayArrayInTable(Common_SourceData.Common_SourceData_ClimateZones_Data(), Table_SourceData_ClimateZones[[#Headers],[Climate zone]], 0)</f>
        <v>&gt; 18 C</v>
      </c>
      <c r="F90" s="30" t="str" cm="1">
        <f t="array" ref="F90">Common_InputFunctions.Utility_DisplayArrayInTable(Common_SourceData.Common_SourceData_ClimateZones_Data(), Table_SourceData_ClimateZones[[#Headers],[Climate zone]], 0)</f>
        <v>Any</v>
      </c>
      <c r="G90" s="30" t="str" cm="1">
        <f t="array" ref="G90">Common_InputFunctions.Utility_DisplayArrayInTable(Common_SourceData.Common_SourceData_ClimateZones_Data(), Table_SourceData_ClimateZones[[#Headers],[Climate zone]], 0)</f>
        <v>≤ 7</v>
      </c>
      <c r="H90" s="30" t="str" cm="1">
        <f t="array" ref="H90">Common_InputFunctions.Utility_DisplayArrayInTable(Common_SourceData.Common_SourceData_ClimateZones_Data(), Table_SourceData_ClimateZones[[#Headers],[Climate zone]], 0)</f>
        <v>&gt; 1000 m</v>
      </c>
      <c r="I90" s="30" t="str" cm="1">
        <f t="array" ref="I90">Common_InputFunctions.Utility_DisplayArrayInTable(Common_SourceData.Common_SourceData_ClimateZones_Data(), Table_SourceData_ClimateZones[[#Headers],[Climate zone]], 0)</f>
        <v>Any</v>
      </c>
      <c r="J90" s="30" cm="1">
        <f t="array" ref="J90">Common_InputFunctions.Utility_DisplayArrayInTable(Common_SourceData.Common_SourceData_ClimateZones_Data(), Table_SourceData_ClimateZones[[#Headers],[Climate zone]], 0)</f>
        <v>18.001000000000001</v>
      </c>
      <c r="K90" s="30" cm="1">
        <f t="array" ref="K90">Common_InputFunctions.Utility_DisplayArrayInTable(Common_SourceData.Common_SourceData_ClimateZones_Data(), Table_SourceData_ClimateZones[[#Headers],[Climate zone]], 0)</f>
        <v>999999</v>
      </c>
      <c r="L90" s="30" cm="1">
        <f t="array" ref="L90">Common_InputFunctions.Utility_DisplayArrayInTable(Common_SourceData.Common_SourceData_ClimateZones_Data(), Table_SourceData_ClimateZones[[#Headers],[Climate zone]], 0)</f>
        <v>-999999</v>
      </c>
      <c r="M90" s="30" cm="1">
        <f t="array" ref="M90">Common_InputFunctions.Utility_DisplayArrayInTable(Common_SourceData.Common_SourceData_ClimateZones_Data(), Table_SourceData_ClimateZones[[#Headers],[Climate zone]], 0)</f>
        <v>999999</v>
      </c>
      <c r="N90" s="30" cm="1">
        <f t="array" ref="N90">Common_InputFunctions.Utility_DisplayArrayInTable(Common_SourceData.Common_SourceData_ClimateZones_Data(), Table_SourceData_ClimateZones[[#Headers],[Climate zone]], 0)</f>
        <v>-999999</v>
      </c>
      <c r="O90" s="30" cm="1">
        <f t="array" ref="O90">Common_InputFunctions.Utility_DisplayArrayInTable(Common_SourceData.Common_SourceData_ClimateZones_Data(), Table_SourceData_ClimateZones[[#Headers],[Climate zone]], 0)</f>
        <v>7</v>
      </c>
      <c r="P90" s="30" cm="1">
        <f t="array" ref="P90">Common_InputFunctions.Utility_DisplayArrayInTable(Common_SourceData.Common_SourceData_ClimateZones_Data(), Table_SourceData_ClimateZones[[#Headers],[Climate zone]], 0)</f>
        <v>1000</v>
      </c>
      <c r="Q90" s="30" cm="1">
        <f t="array" ref="Q90">Common_InputFunctions.Utility_DisplayArrayInTable(Common_SourceData.Common_SourceData_ClimateZones_Data(), Table_SourceData_ClimateZones[[#Headers],[Climate zone]], 0)</f>
        <v>999999</v>
      </c>
      <c r="R90" s="30" cm="1">
        <f t="array" ref="R90">Common_InputFunctions.Utility_DisplayArrayInTable(Common_SourceData.Common_SourceData_ClimateZones_Data(), Table_SourceData_ClimateZones[[#Headers],[Climate zone]], 0)</f>
        <v>-999999</v>
      </c>
      <c r="S90" s="30" cm="1">
        <f t="array" ref="S90">Common_InputFunctions.Utility_DisplayArrayInTable(Common_SourceData.Common_SourceData_ClimateZones_Data(), Table_SourceData_ClimateZones[[#Headers],[Climate zone]], 0)</f>
        <v>999999</v>
      </c>
      <c r="T90" s="30"/>
    </row>
    <row r="91" spans="1:20" ht="20.100000000000001" customHeight="1" x14ac:dyDescent="0.25">
      <c r="A91"/>
      <c r="D91" s="30" t="str" cm="1">
        <f t="array" ref="D91">Common_InputFunctions.Utility_DisplayArrayInTable(Common_SourceData.Common_SourceData_ClimateZones_Data(), Table_SourceData_ClimateZones[[#Headers],[Climate zone]], 0)</f>
        <v>Tropical wet</v>
      </c>
      <c r="E91" s="30" t="str" cm="1">
        <f t="array" ref="E91">Common_InputFunctions.Utility_DisplayArrayInTable(Common_SourceData.Common_SourceData_ClimateZones_Data(), Table_SourceData_ClimateZones[[#Headers],[Climate zone]], 0)</f>
        <v>&gt; 18 C</v>
      </c>
      <c r="F91" s="30" t="str" cm="1">
        <f t="array" ref="F91">Common_InputFunctions.Utility_DisplayArrayInTable(Common_SourceData.Common_SourceData_ClimateZones_Data(), Table_SourceData_ClimateZones[[#Headers],[Climate zone]], 0)</f>
        <v>&gt; 2000 mm</v>
      </c>
      <c r="G91" s="30" t="str" cm="1">
        <f t="array" ref="G91">Common_InputFunctions.Utility_DisplayArrayInTable(Common_SourceData.Common_SourceData_ClimateZones_Data(), Table_SourceData_ClimateZones[[#Headers],[Climate zone]], 0)</f>
        <v>≤ 7</v>
      </c>
      <c r="H91" s="30" t="str" cm="1">
        <f t="array" ref="H91">Common_InputFunctions.Utility_DisplayArrayInTable(Common_SourceData.Common_SourceData_ClimateZones_Data(), Table_SourceData_ClimateZones[[#Headers],[Climate zone]], 0)</f>
        <v>≤ 1000 m</v>
      </c>
      <c r="I91" s="30" t="str" cm="1">
        <f t="array" ref="I91">Common_InputFunctions.Utility_DisplayArrayInTable(Common_SourceData.Common_SourceData_ClimateZones_Data(), Table_SourceData_ClimateZones[[#Headers],[Climate zone]], 0)</f>
        <v>Any</v>
      </c>
      <c r="J91" s="30" cm="1">
        <f t="array" ref="J91">Common_InputFunctions.Utility_DisplayArrayInTable(Common_SourceData.Common_SourceData_ClimateZones_Data(), Table_SourceData_ClimateZones[[#Headers],[Climate zone]], 0)</f>
        <v>18.001000000000001</v>
      </c>
      <c r="K91" s="30" cm="1">
        <f t="array" ref="K91">Common_InputFunctions.Utility_DisplayArrayInTable(Common_SourceData.Common_SourceData_ClimateZones_Data(), Table_SourceData_ClimateZones[[#Headers],[Climate zone]], 0)</f>
        <v>999999</v>
      </c>
      <c r="L91" s="30" cm="1">
        <f t="array" ref="L91">Common_InputFunctions.Utility_DisplayArrayInTable(Common_SourceData.Common_SourceData_ClimateZones_Data(), Table_SourceData_ClimateZones[[#Headers],[Climate zone]], 0)</f>
        <v>2000.001</v>
      </c>
      <c r="M91" s="30" cm="1">
        <f t="array" ref="M91">Common_InputFunctions.Utility_DisplayArrayInTable(Common_SourceData.Common_SourceData_ClimateZones_Data(), Table_SourceData_ClimateZones[[#Headers],[Climate zone]], 0)</f>
        <v>999999</v>
      </c>
      <c r="N91" s="30" cm="1">
        <f t="array" ref="N91">Common_InputFunctions.Utility_DisplayArrayInTable(Common_SourceData.Common_SourceData_ClimateZones_Data(), Table_SourceData_ClimateZones[[#Headers],[Climate zone]], 0)</f>
        <v>-999999</v>
      </c>
      <c r="O91" s="30" cm="1">
        <f t="array" ref="O91">Common_InputFunctions.Utility_DisplayArrayInTable(Common_SourceData.Common_SourceData_ClimateZones_Data(), Table_SourceData_ClimateZones[[#Headers],[Climate zone]], 0)</f>
        <v>7</v>
      </c>
      <c r="P91" s="30" cm="1">
        <f t="array" ref="P91">Common_InputFunctions.Utility_DisplayArrayInTable(Common_SourceData.Common_SourceData_ClimateZones_Data(), Table_SourceData_ClimateZones[[#Headers],[Climate zone]], 0)</f>
        <v>-999999</v>
      </c>
      <c r="Q91" s="30" cm="1">
        <f t="array" ref="Q91">Common_InputFunctions.Utility_DisplayArrayInTable(Common_SourceData.Common_SourceData_ClimateZones_Data(), Table_SourceData_ClimateZones[[#Headers],[Climate zone]], 0)</f>
        <v>999.99900000000002</v>
      </c>
      <c r="R91" s="30" cm="1">
        <f t="array" ref="R91">Common_InputFunctions.Utility_DisplayArrayInTable(Common_SourceData.Common_SourceData_ClimateZones_Data(), Table_SourceData_ClimateZones[[#Headers],[Climate zone]], 0)</f>
        <v>-999999</v>
      </c>
      <c r="S91" s="30" cm="1">
        <f t="array" ref="S91">Common_InputFunctions.Utility_DisplayArrayInTable(Common_SourceData.Common_SourceData_ClimateZones_Data(), Table_SourceData_ClimateZones[[#Headers],[Climate zone]], 0)</f>
        <v>999999</v>
      </c>
      <c r="T91" s="30"/>
    </row>
    <row r="92" spans="1:20" ht="20.100000000000001" customHeight="1" x14ac:dyDescent="0.25">
      <c r="A92"/>
      <c r="D92" s="30" t="str" cm="1">
        <f t="array" ref="D92">Common_InputFunctions.Utility_DisplayArrayInTable(Common_SourceData.Common_SourceData_ClimateZones_Data(), Table_SourceData_ClimateZones[[#Headers],[Climate zone]], 0)</f>
        <v>Tropical moist</v>
      </c>
      <c r="E92" s="30" t="str" cm="1">
        <f t="array" ref="E92">Common_InputFunctions.Utility_DisplayArrayInTable(Common_SourceData.Common_SourceData_ClimateZones_Data(), Table_SourceData_ClimateZones[[#Headers],[Climate zone]], 0)</f>
        <v>&gt; 18 C</v>
      </c>
      <c r="F92" s="30" t="str" cm="1">
        <f t="array" ref="F92">Common_InputFunctions.Utility_DisplayArrayInTable(Common_SourceData.Common_SourceData_ClimateZones_Data(), Table_SourceData_ClimateZones[[#Headers],[Climate zone]], 0)</f>
        <v>&gt; 1000 mm - ≤ 2000 mm</v>
      </c>
      <c r="G92" s="30" t="str" cm="1">
        <f t="array" ref="G92">Common_InputFunctions.Utility_DisplayArrayInTable(Common_SourceData.Common_SourceData_ClimateZones_Data(), Table_SourceData_ClimateZones[[#Headers],[Climate zone]], 0)</f>
        <v>≤ 7</v>
      </c>
      <c r="H92" s="30" t="str" cm="1">
        <f t="array" ref="H92">Common_InputFunctions.Utility_DisplayArrayInTable(Common_SourceData.Common_SourceData_ClimateZones_Data(), Table_SourceData_ClimateZones[[#Headers],[Climate zone]], 0)</f>
        <v>≤ 1000 m</v>
      </c>
      <c r="I92" s="30" t="str" cm="1">
        <f t="array" ref="I92">Common_InputFunctions.Utility_DisplayArrayInTable(Common_SourceData.Common_SourceData_ClimateZones_Data(), Table_SourceData_ClimateZones[[#Headers],[Climate zone]], 0)</f>
        <v>Any</v>
      </c>
      <c r="J92" s="30" cm="1">
        <f t="array" ref="J92">Common_InputFunctions.Utility_DisplayArrayInTable(Common_SourceData.Common_SourceData_ClimateZones_Data(), Table_SourceData_ClimateZones[[#Headers],[Climate zone]], 0)</f>
        <v>18.001000000000001</v>
      </c>
      <c r="K92" s="30" cm="1">
        <f t="array" ref="K92">Common_InputFunctions.Utility_DisplayArrayInTable(Common_SourceData.Common_SourceData_ClimateZones_Data(), Table_SourceData_ClimateZones[[#Headers],[Climate zone]], 0)</f>
        <v>999999</v>
      </c>
      <c r="L92" s="30" cm="1">
        <f t="array" ref="L92">Common_InputFunctions.Utility_DisplayArrayInTable(Common_SourceData.Common_SourceData_ClimateZones_Data(), Table_SourceData_ClimateZones[[#Headers],[Climate zone]], 0)</f>
        <v>1000.001</v>
      </c>
      <c r="M92" s="30" cm="1">
        <f t="array" ref="M92">Common_InputFunctions.Utility_DisplayArrayInTable(Common_SourceData.Common_SourceData_ClimateZones_Data(), Table_SourceData_ClimateZones[[#Headers],[Climate zone]], 0)</f>
        <v>2000</v>
      </c>
      <c r="N92" s="30" cm="1">
        <f t="array" ref="N92">Common_InputFunctions.Utility_DisplayArrayInTable(Common_SourceData.Common_SourceData_ClimateZones_Data(), Table_SourceData_ClimateZones[[#Headers],[Climate zone]], 0)</f>
        <v>-999999</v>
      </c>
      <c r="O92" s="30" cm="1">
        <f t="array" ref="O92">Common_InputFunctions.Utility_DisplayArrayInTable(Common_SourceData.Common_SourceData_ClimateZones_Data(), Table_SourceData_ClimateZones[[#Headers],[Climate zone]], 0)</f>
        <v>7</v>
      </c>
      <c r="P92" s="30" cm="1">
        <f t="array" ref="P92">Common_InputFunctions.Utility_DisplayArrayInTable(Common_SourceData.Common_SourceData_ClimateZones_Data(), Table_SourceData_ClimateZones[[#Headers],[Climate zone]], 0)</f>
        <v>-999999</v>
      </c>
      <c r="Q92" s="30" cm="1">
        <f t="array" ref="Q92">Common_InputFunctions.Utility_DisplayArrayInTable(Common_SourceData.Common_SourceData_ClimateZones_Data(), Table_SourceData_ClimateZones[[#Headers],[Climate zone]], 0)</f>
        <v>999.99900000000002</v>
      </c>
      <c r="R92" s="30" cm="1">
        <f t="array" ref="R92">Common_InputFunctions.Utility_DisplayArrayInTable(Common_SourceData.Common_SourceData_ClimateZones_Data(), Table_SourceData_ClimateZones[[#Headers],[Climate zone]], 0)</f>
        <v>-999999</v>
      </c>
      <c r="S92" s="30" cm="1">
        <f t="array" ref="S92">Common_InputFunctions.Utility_DisplayArrayInTable(Common_SourceData.Common_SourceData_ClimateZones_Data(), Table_SourceData_ClimateZones[[#Headers],[Climate zone]], 0)</f>
        <v>999999</v>
      </c>
      <c r="T92" s="30"/>
    </row>
    <row r="93" spans="1:20" ht="20.100000000000001" customHeight="1" x14ac:dyDescent="0.25">
      <c r="A93"/>
      <c r="D93" s="30" t="str" cm="1">
        <f t="array" ref="D93">Common_InputFunctions.Utility_DisplayArrayInTable(Common_SourceData.Common_SourceData_ClimateZones_Data(), Table_SourceData_ClimateZones[[#Headers],[Climate zone]], 0)</f>
        <v>Tropical dry</v>
      </c>
      <c r="E93" s="30" t="str" cm="1">
        <f t="array" ref="E93">Common_InputFunctions.Utility_DisplayArrayInTable(Common_SourceData.Common_SourceData_ClimateZones_Data(), Table_SourceData_ClimateZones[[#Headers],[Climate zone]], 0)</f>
        <v>&gt; 18 C</v>
      </c>
      <c r="F93" s="30" t="str" cm="1">
        <f t="array" ref="F93">Common_InputFunctions.Utility_DisplayArrayInTable(Common_SourceData.Common_SourceData_ClimateZones_Data(), Table_SourceData_ClimateZones[[#Headers],[Climate zone]], 0)</f>
        <v>≤ 1000 mm</v>
      </c>
      <c r="G93" s="30" t="str" cm="1">
        <f t="array" ref="G93">Common_InputFunctions.Utility_DisplayArrayInTable(Common_SourceData.Common_SourceData_ClimateZones_Data(), Table_SourceData_ClimateZones[[#Headers],[Climate zone]], 0)</f>
        <v>≤ 7</v>
      </c>
      <c r="H93" s="30" t="str" cm="1">
        <f t="array" ref="H93">Common_InputFunctions.Utility_DisplayArrayInTable(Common_SourceData.Common_SourceData_ClimateZones_Data(), Table_SourceData_ClimateZones[[#Headers],[Climate zone]], 0)</f>
        <v>≤ 1000 m</v>
      </c>
      <c r="I93" s="30" t="str" cm="1">
        <f t="array" ref="I93">Common_InputFunctions.Utility_DisplayArrayInTable(Common_SourceData.Common_SourceData_ClimateZones_Data(), Table_SourceData_ClimateZones[[#Headers],[Climate zone]], 0)</f>
        <v>Any</v>
      </c>
      <c r="J93" s="30" cm="1">
        <f t="array" ref="J93">Common_InputFunctions.Utility_DisplayArrayInTable(Common_SourceData.Common_SourceData_ClimateZones_Data(), Table_SourceData_ClimateZones[[#Headers],[Climate zone]], 0)</f>
        <v>18.001000000000001</v>
      </c>
      <c r="K93" s="30" cm="1">
        <f t="array" ref="K93">Common_InputFunctions.Utility_DisplayArrayInTable(Common_SourceData.Common_SourceData_ClimateZones_Data(), Table_SourceData_ClimateZones[[#Headers],[Climate zone]], 0)</f>
        <v>999999</v>
      </c>
      <c r="L93" s="30" cm="1">
        <f t="array" ref="L93">Common_InputFunctions.Utility_DisplayArrayInTable(Common_SourceData.Common_SourceData_ClimateZones_Data(), Table_SourceData_ClimateZones[[#Headers],[Climate zone]], 0)</f>
        <v>-999999</v>
      </c>
      <c r="M93" s="30" cm="1">
        <f t="array" ref="M93">Common_InputFunctions.Utility_DisplayArrayInTable(Common_SourceData.Common_SourceData_ClimateZones_Data(), Table_SourceData_ClimateZones[[#Headers],[Climate zone]], 0)</f>
        <v>1000</v>
      </c>
      <c r="N93" s="30" cm="1">
        <f t="array" ref="N93">Common_InputFunctions.Utility_DisplayArrayInTable(Common_SourceData.Common_SourceData_ClimateZones_Data(), Table_SourceData_ClimateZones[[#Headers],[Climate zone]], 0)</f>
        <v>-999999</v>
      </c>
      <c r="O93" s="30" cm="1">
        <f t="array" ref="O93">Common_InputFunctions.Utility_DisplayArrayInTable(Common_SourceData.Common_SourceData_ClimateZones_Data(), Table_SourceData_ClimateZones[[#Headers],[Climate zone]], 0)</f>
        <v>7</v>
      </c>
      <c r="P93" s="30" cm="1">
        <f t="array" ref="P93">Common_InputFunctions.Utility_DisplayArrayInTable(Common_SourceData.Common_SourceData_ClimateZones_Data(), Table_SourceData_ClimateZones[[#Headers],[Climate zone]], 0)</f>
        <v>-999999</v>
      </c>
      <c r="Q93" s="30" cm="1">
        <f t="array" ref="Q93">Common_InputFunctions.Utility_DisplayArrayInTable(Common_SourceData.Common_SourceData_ClimateZones_Data(), Table_SourceData_ClimateZones[[#Headers],[Climate zone]], 0)</f>
        <v>999.99900000000002</v>
      </c>
      <c r="R93" s="30" cm="1">
        <f t="array" ref="R93">Common_InputFunctions.Utility_DisplayArrayInTable(Common_SourceData.Common_SourceData_ClimateZones_Data(), Table_SourceData_ClimateZones[[#Headers],[Climate zone]], 0)</f>
        <v>-999999</v>
      </c>
      <c r="S93" s="30" cm="1">
        <f t="array" ref="S93">Common_InputFunctions.Utility_DisplayArrayInTable(Common_SourceData.Common_SourceData_ClimateZones_Data(), Table_SourceData_ClimateZones[[#Headers],[Climate zone]], 0)</f>
        <v>999999</v>
      </c>
      <c r="T93" s="30"/>
    </row>
    <row r="94" spans="1:20" ht="20.100000000000001" customHeight="1" x14ac:dyDescent="0.25">
      <c r="A94"/>
      <c r="D94" s="30" t="str" cm="1">
        <f t="array" ref="D94">Common_InputFunctions.Utility_DisplayArrayInTable(Common_SourceData.Common_SourceData_ClimateZones_Data(), Table_SourceData_ClimateZones[[#Headers],[Climate zone]], 0)</f>
        <v>Warm temperate moist</v>
      </c>
      <c r="E94" s="30" t="str" cm="1">
        <f t="array" ref="E94">Common_InputFunctions.Utility_DisplayArrayInTable(Common_SourceData.Common_SourceData_ClimateZones_Data(), Table_SourceData_ClimateZones[[#Headers],[Climate zone]], 0)</f>
        <v>&gt; 10 C</v>
      </c>
      <c r="F94" s="30" t="str" cm="1">
        <f t="array" ref="F94">Common_InputFunctions.Utility_DisplayArrayInTable(Common_SourceData.Common_SourceData_ClimateZones_Data(), Table_SourceData_ClimateZones[[#Headers],[Climate zone]], 0)</f>
        <v>Any</v>
      </c>
      <c r="G94" s="30" t="str" cm="1">
        <f t="array" ref="G94">Common_InputFunctions.Utility_DisplayArrayInTable(Common_SourceData.Common_SourceData_ClimateZones_Data(), Table_SourceData_ClimateZones[[#Headers],[Climate zone]], 0)</f>
        <v>Any</v>
      </c>
      <c r="H94" s="30" t="str" cm="1">
        <f t="array" ref="H94">Common_InputFunctions.Utility_DisplayArrayInTable(Common_SourceData.Common_SourceData_ClimateZones_Data(), Table_SourceData_ClimateZones[[#Headers],[Climate zone]], 0)</f>
        <v>Any</v>
      </c>
      <c r="I94" s="30" t="str" cm="1">
        <f t="array" ref="I94">Common_InputFunctions.Utility_DisplayArrayInTable(Common_SourceData.Common_SourceData_ClimateZones_Data(), Table_SourceData_ClimateZones[[#Headers],[Climate zone]], 0)</f>
        <v>&gt; 1</v>
      </c>
      <c r="J94" s="30" cm="1">
        <f t="array" ref="J94">Common_InputFunctions.Utility_DisplayArrayInTable(Common_SourceData.Common_SourceData_ClimateZones_Data(), Table_SourceData_ClimateZones[[#Headers],[Climate zone]], 0)</f>
        <v>10.000999999999999</v>
      </c>
      <c r="K94" s="30" cm="1">
        <f t="array" ref="K94">Common_InputFunctions.Utility_DisplayArrayInTable(Common_SourceData.Common_SourceData_ClimateZones_Data(), Table_SourceData_ClimateZones[[#Headers],[Climate zone]], 0)</f>
        <v>999999</v>
      </c>
      <c r="L94" s="30" cm="1">
        <f t="array" ref="L94">Common_InputFunctions.Utility_DisplayArrayInTable(Common_SourceData.Common_SourceData_ClimateZones_Data(), Table_SourceData_ClimateZones[[#Headers],[Climate zone]], 0)</f>
        <v>-999999</v>
      </c>
      <c r="M94" s="30" cm="1">
        <f t="array" ref="M94">Common_InputFunctions.Utility_DisplayArrayInTable(Common_SourceData.Common_SourceData_ClimateZones_Data(), Table_SourceData_ClimateZones[[#Headers],[Climate zone]], 0)</f>
        <v>999999</v>
      </c>
      <c r="N94" s="30" cm="1">
        <f t="array" ref="N94">Common_InputFunctions.Utility_DisplayArrayInTable(Common_SourceData.Common_SourceData_ClimateZones_Data(), Table_SourceData_ClimateZones[[#Headers],[Climate zone]], 0)</f>
        <v>-999999</v>
      </c>
      <c r="O94" s="30" cm="1">
        <f t="array" ref="O94">Common_InputFunctions.Utility_DisplayArrayInTable(Common_SourceData.Common_SourceData_ClimateZones_Data(), Table_SourceData_ClimateZones[[#Headers],[Climate zone]], 0)</f>
        <v>999999</v>
      </c>
      <c r="P94" s="30" cm="1">
        <f t="array" ref="P94">Common_InputFunctions.Utility_DisplayArrayInTable(Common_SourceData.Common_SourceData_ClimateZones_Data(), Table_SourceData_ClimateZones[[#Headers],[Climate zone]], 0)</f>
        <v>-999999</v>
      </c>
      <c r="Q94" s="30" cm="1">
        <f t="array" ref="Q94">Common_InputFunctions.Utility_DisplayArrayInTable(Common_SourceData.Common_SourceData_ClimateZones_Data(), Table_SourceData_ClimateZones[[#Headers],[Climate zone]], 0)</f>
        <v>999999</v>
      </c>
      <c r="R94" s="30" cm="1">
        <f t="array" ref="R94">Common_InputFunctions.Utility_DisplayArrayInTable(Common_SourceData.Common_SourceData_ClimateZones_Data(), Table_SourceData_ClimateZones[[#Headers],[Climate zone]], 0)</f>
        <v>1.0009999999999999</v>
      </c>
      <c r="S94" s="30" cm="1">
        <f t="array" ref="S94">Common_InputFunctions.Utility_DisplayArrayInTable(Common_SourceData.Common_SourceData_ClimateZones_Data(), Table_SourceData_ClimateZones[[#Headers],[Climate zone]], 0)</f>
        <v>999999</v>
      </c>
      <c r="T94" s="30"/>
    </row>
    <row r="95" spans="1:20" ht="20.100000000000001" customHeight="1" x14ac:dyDescent="0.25">
      <c r="A95"/>
      <c r="D95" s="30" t="str" cm="1">
        <f t="array" ref="D95">Common_InputFunctions.Utility_DisplayArrayInTable(Common_SourceData.Common_SourceData_ClimateZones_Data(), Table_SourceData_ClimateZones[[#Headers],[Climate zone]], 0)</f>
        <v>Warm temperate dry</v>
      </c>
      <c r="E95" s="30" t="str" cm="1">
        <f t="array" ref="E95">Common_InputFunctions.Utility_DisplayArrayInTable(Common_SourceData.Common_SourceData_ClimateZones_Data(), Table_SourceData_ClimateZones[[#Headers],[Climate zone]], 0)</f>
        <v>&gt; 10 C</v>
      </c>
      <c r="F95" s="30" t="str" cm="1">
        <f t="array" ref="F95">Common_InputFunctions.Utility_DisplayArrayInTable(Common_SourceData.Common_SourceData_ClimateZones_Data(), Table_SourceData_ClimateZones[[#Headers],[Climate zone]], 0)</f>
        <v>Any</v>
      </c>
      <c r="G95" s="30" t="str" cm="1">
        <f t="array" ref="G95">Common_InputFunctions.Utility_DisplayArrayInTable(Common_SourceData.Common_SourceData_ClimateZones_Data(), Table_SourceData_ClimateZones[[#Headers],[Climate zone]], 0)</f>
        <v>Any</v>
      </c>
      <c r="H95" s="30" t="str" cm="1">
        <f t="array" ref="H95">Common_InputFunctions.Utility_DisplayArrayInTable(Common_SourceData.Common_SourceData_ClimateZones_Data(), Table_SourceData_ClimateZones[[#Headers],[Climate zone]], 0)</f>
        <v>Any</v>
      </c>
      <c r="I95" s="30" t="str" cm="1">
        <f t="array" ref="I95">Common_InputFunctions.Utility_DisplayArrayInTable(Common_SourceData.Common_SourceData_ClimateZones_Data(), Table_SourceData_ClimateZones[[#Headers],[Climate zone]], 0)</f>
        <v>≤ 1</v>
      </c>
      <c r="J95" s="30" cm="1">
        <f t="array" ref="J95">Common_InputFunctions.Utility_DisplayArrayInTable(Common_SourceData.Common_SourceData_ClimateZones_Data(), Table_SourceData_ClimateZones[[#Headers],[Climate zone]], 0)</f>
        <v>10.000999999999999</v>
      </c>
      <c r="K95" s="30" cm="1">
        <f t="array" ref="K95">Common_InputFunctions.Utility_DisplayArrayInTable(Common_SourceData.Common_SourceData_ClimateZones_Data(), Table_SourceData_ClimateZones[[#Headers],[Climate zone]], 0)</f>
        <v>999999</v>
      </c>
      <c r="L95" s="30" cm="1">
        <f t="array" ref="L95">Common_InputFunctions.Utility_DisplayArrayInTable(Common_SourceData.Common_SourceData_ClimateZones_Data(), Table_SourceData_ClimateZones[[#Headers],[Climate zone]], 0)</f>
        <v>-999999</v>
      </c>
      <c r="M95" s="30" cm="1">
        <f t="array" ref="M95">Common_InputFunctions.Utility_DisplayArrayInTable(Common_SourceData.Common_SourceData_ClimateZones_Data(), Table_SourceData_ClimateZones[[#Headers],[Climate zone]], 0)</f>
        <v>999999</v>
      </c>
      <c r="N95" s="30" cm="1">
        <f t="array" ref="N95">Common_InputFunctions.Utility_DisplayArrayInTable(Common_SourceData.Common_SourceData_ClimateZones_Data(), Table_SourceData_ClimateZones[[#Headers],[Climate zone]], 0)</f>
        <v>-999999</v>
      </c>
      <c r="O95" s="30" cm="1">
        <f t="array" ref="O95">Common_InputFunctions.Utility_DisplayArrayInTable(Common_SourceData.Common_SourceData_ClimateZones_Data(), Table_SourceData_ClimateZones[[#Headers],[Climate zone]], 0)</f>
        <v>999999</v>
      </c>
      <c r="P95" s="30" cm="1">
        <f t="array" ref="P95">Common_InputFunctions.Utility_DisplayArrayInTable(Common_SourceData.Common_SourceData_ClimateZones_Data(), Table_SourceData_ClimateZones[[#Headers],[Climate zone]], 0)</f>
        <v>-999999</v>
      </c>
      <c r="Q95" s="30" cm="1">
        <f t="array" ref="Q95">Common_InputFunctions.Utility_DisplayArrayInTable(Common_SourceData.Common_SourceData_ClimateZones_Data(), Table_SourceData_ClimateZones[[#Headers],[Climate zone]], 0)</f>
        <v>999999</v>
      </c>
      <c r="R95" s="30" cm="1">
        <f t="array" ref="R95">Common_InputFunctions.Utility_DisplayArrayInTable(Common_SourceData.Common_SourceData_ClimateZones_Data(), Table_SourceData_ClimateZones[[#Headers],[Climate zone]], 0)</f>
        <v>-999999</v>
      </c>
      <c r="S95" s="30" cm="1">
        <f t="array" ref="S95">Common_InputFunctions.Utility_DisplayArrayInTable(Common_SourceData.Common_SourceData_ClimateZones_Data(), Table_SourceData_ClimateZones[[#Headers],[Climate zone]], 0)</f>
        <v>1</v>
      </c>
      <c r="T95" s="30"/>
    </row>
    <row r="96" spans="1:20" ht="20.100000000000001" customHeight="1" x14ac:dyDescent="0.25">
      <c r="A96"/>
      <c r="D96" s="30" t="str" cm="1">
        <f t="array" ref="D96">Common_InputFunctions.Utility_DisplayArrayInTable(Common_SourceData.Common_SourceData_ClimateZones_Data(), Table_SourceData_ClimateZones[[#Headers],[Climate zone]], 0)</f>
        <v>Cool temperate moist</v>
      </c>
      <c r="E96" s="30" t="str" cm="1">
        <f t="array" ref="E96">Common_InputFunctions.Utility_DisplayArrayInTable(Common_SourceData.Common_SourceData_ClimateZones_Data(), Table_SourceData_ClimateZones[[#Headers],[Climate zone]], 0)</f>
        <v>&gt; 0 C - ≤ 10 C</v>
      </c>
      <c r="F96" s="30" t="str" cm="1">
        <f t="array" ref="F96">Common_InputFunctions.Utility_DisplayArrayInTable(Common_SourceData.Common_SourceData_ClimateZones_Data(), Table_SourceData_ClimateZones[[#Headers],[Climate zone]], 0)</f>
        <v>Any</v>
      </c>
      <c r="G96" s="30" t="str" cm="1">
        <f t="array" ref="G96">Common_InputFunctions.Utility_DisplayArrayInTable(Common_SourceData.Common_SourceData_ClimateZones_Data(), Table_SourceData_ClimateZones[[#Headers],[Climate zone]], 0)</f>
        <v>Any</v>
      </c>
      <c r="H96" s="30" t="str" cm="1">
        <f t="array" ref="H96">Common_InputFunctions.Utility_DisplayArrayInTable(Common_SourceData.Common_SourceData_ClimateZones_Data(), Table_SourceData_ClimateZones[[#Headers],[Climate zone]], 0)</f>
        <v>Any</v>
      </c>
      <c r="I96" s="30" t="str" cm="1">
        <f t="array" ref="I96">Common_InputFunctions.Utility_DisplayArrayInTable(Common_SourceData.Common_SourceData_ClimateZones_Data(), Table_SourceData_ClimateZones[[#Headers],[Climate zone]], 0)</f>
        <v>&gt; 1</v>
      </c>
      <c r="J96" s="30" cm="1">
        <f t="array" ref="J96">Common_InputFunctions.Utility_DisplayArrayInTable(Common_SourceData.Common_SourceData_ClimateZones_Data(), Table_SourceData_ClimateZones[[#Headers],[Climate zone]], 0)</f>
        <v>-999999</v>
      </c>
      <c r="K96" s="30" cm="1">
        <f t="array" ref="K96">Common_InputFunctions.Utility_DisplayArrayInTable(Common_SourceData.Common_SourceData_ClimateZones_Data(), Table_SourceData_ClimateZones[[#Headers],[Climate zone]], 0)</f>
        <v>10</v>
      </c>
      <c r="L96" s="30" cm="1">
        <f t="array" ref="L96">Common_InputFunctions.Utility_DisplayArrayInTable(Common_SourceData.Common_SourceData_ClimateZones_Data(), Table_SourceData_ClimateZones[[#Headers],[Climate zone]], 0)</f>
        <v>-999999</v>
      </c>
      <c r="M96" s="30" cm="1">
        <f t="array" ref="M96">Common_InputFunctions.Utility_DisplayArrayInTable(Common_SourceData.Common_SourceData_ClimateZones_Data(), Table_SourceData_ClimateZones[[#Headers],[Climate zone]], 0)</f>
        <v>999999</v>
      </c>
      <c r="N96" s="30" cm="1">
        <f t="array" ref="N96">Common_InputFunctions.Utility_DisplayArrayInTable(Common_SourceData.Common_SourceData_ClimateZones_Data(), Table_SourceData_ClimateZones[[#Headers],[Climate zone]], 0)</f>
        <v>-999999</v>
      </c>
      <c r="O96" s="30" cm="1">
        <f t="array" ref="O96">Common_InputFunctions.Utility_DisplayArrayInTable(Common_SourceData.Common_SourceData_ClimateZones_Data(), Table_SourceData_ClimateZones[[#Headers],[Climate zone]], 0)</f>
        <v>999999</v>
      </c>
      <c r="P96" s="30" cm="1">
        <f t="array" ref="P96">Common_InputFunctions.Utility_DisplayArrayInTable(Common_SourceData.Common_SourceData_ClimateZones_Data(), Table_SourceData_ClimateZones[[#Headers],[Climate zone]], 0)</f>
        <v>-999999</v>
      </c>
      <c r="Q96" s="30" cm="1">
        <f t="array" ref="Q96">Common_InputFunctions.Utility_DisplayArrayInTable(Common_SourceData.Common_SourceData_ClimateZones_Data(), Table_SourceData_ClimateZones[[#Headers],[Climate zone]], 0)</f>
        <v>999999</v>
      </c>
      <c r="R96" s="30" cm="1">
        <f t="array" ref="R96">Common_InputFunctions.Utility_DisplayArrayInTable(Common_SourceData.Common_SourceData_ClimateZones_Data(), Table_SourceData_ClimateZones[[#Headers],[Climate zone]], 0)</f>
        <v>1.0009999999999999</v>
      </c>
      <c r="S96" s="30" cm="1">
        <f t="array" ref="S96">Common_InputFunctions.Utility_DisplayArrayInTable(Common_SourceData.Common_SourceData_ClimateZones_Data(), Table_SourceData_ClimateZones[[#Headers],[Climate zone]], 0)</f>
        <v>999999</v>
      </c>
      <c r="T96" s="30"/>
    </row>
    <row r="97" spans="1:20" ht="20.100000000000001" customHeight="1" x14ac:dyDescent="0.25">
      <c r="A97"/>
      <c r="D97" s="30" t="str" cm="1">
        <f t="array" ref="D97">Common_InputFunctions.Utility_DisplayArrayInTable(Common_SourceData.Common_SourceData_ClimateZones_Data(), Table_SourceData_ClimateZones[[#Headers],[Climate zone]], 0)</f>
        <v>Cool temperate dry</v>
      </c>
      <c r="E97" s="30" t="str" cm="1">
        <f t="array" ref="E97">Common_InputFunctions.Utility_DisplayArrayInTable(Common_SourceData.Common_SourceData_ClimateZones_Data(), Table_SourceData_ClimateZones[[#Headers],[Climate zone]], 0)</f>
        <v>&gt; 0 C - ≤ 10 C</v>
      </c>
      <c r="F97" s="30" t="str" cm="1">
        <f t="array" ref="F97">Common_InputFunctions.Utility_DisplayArrayInTable(Common_SourceData.Common_SourceData_ClimateZones_Data(), Table_SourceData_ClimateZones[[#Headers],[Climate zone]], 0)</f>
        <v>Any</v>
      </c>
      <c r="G97" s="30" t="str" cm="1">
        <f t="array" ref="G97">Common_InputFunctions.Utility_DisplayArrayInTable(Common_SourceData.Common_SourceData_ClimateZones_Data(), Table_SourceData_ClimateZones[[#Headers],[Climate zone]], 0)</f>
        <v>Any</v>
      </c>
      <c r="H97" s="30" t="str" cm="1">
        <f t="array" ref="H97">Common_InputFunctions.Utility_DisplayArrayInTable(Common_SourceData.Common_SourceData_ClimateZones_Data(), Table_SourceData_ClimateZones[[#Headers],[Climate zone]], 0)</f>
        <v>Any</v>
      </c>
      <c r="I97" s="30" t="str" cm="1">
        <f t="array" ref="I97">Common_InputFunctions.Utility_DisplayArrayInTable(Common_SourceData.Common_SourceData_ClimateZones_Data(), Table_SourceData_ClimateZones[[#Headers],[Climate zone]], 0)</f>
        <v>≤ 1</v>
      </c>
      <c r="J97" s="30" cm="1">
        <f t="array" ref="J97">Common_InputFunctions.Utility_DisplayArrayInTable(Common_SourceData.Common_SourceData_ClimateZones_Data(), Table_SourceData_ClimateZones[[#Headers],[Climate zone]], 0)</f>
        <v>-999999</v>
      </c>
      <c r="K97" s="30" cm="1">
        <f t="array" ref="K97">Common_InputFunctions.Utility_DisplayArrayInTable(Common_SourceData.Common_SourceData_ClimateZones_Data(), Table_SourceData_ClimateZones[[#Headers],[Climate zone]], 0)</f>
        <v>10</v>
      </c>
      <c r="L97" s="30" cm="1">
        <f t="array" ref="L97">Common_InputFunctions.Utility_DisplayArrayInTable(Common_SourceData.Common_SourceData_ClimateZones_Data(), Table_SourceData_ClimateZones[[#Headers],[Climate zone]], 0)</f>
        <v>-999999</v>
      </c>
      <c r="M97" s="30" cm="1">
        <f t="array" ref="M97">Common_InputFunctions.Utility_DisplayArrayInTable(Common_SourceData.Common_SourceData_ClimateZones_Data(), Table_SourceData_ClimateZones[[#Headers],[Climate zone]], 0)</f>
        <v>999999</v>
      </c>
      <c r="N97" s="30" cm="1">
        <f t="array" ref="N97">Common_InputFunctions.Utility_DisplayArrayInTable(Common_SourceData.Common_SourceData_ClimateZones_Data(), Table_SourceData_ClimateZones[[#Headers],[Climate zone]], 0)</f>
        <v>-999999</v>
      </c>
      <c r="O97" s="30" cm="1">
        <f t="array" ref="O97">Common_InputFunctions.Utility_DisplayArrayInTable(Common_SourceData.Common_SourceData_ClimateZones_Data(), Table_SourceData_ClimateZones[[#Headers],[Climate zone]], 0)</f>
        <v>999999</v>
      </c>
      <c r="P97" s="30" cm="1">
        <f t="array" ref="P97">Common_InputFunctions.Utility_DisplayArrayInTable(Common_SourceData.Common_SourceData_ClimateZones_Data(), Table_SourceData_ClimateZones[[#Headers],[Climate zone]], 0)</f>
        <v>-999999</v>
      </c>
      <c r="Q97" s="30" cm="1">
        <f t="array" ref="Q97">Common_InputFunctions.Utility_DisplayArrayInTable(Common_SourceData.Common_SourceData_ClimateZones_Data(), Table_SourceData_ClimateZones[[#Headers],[Climate zone]], 0)</f>
        <v>999999</v>
      </c>
      <c r="R97" s="30" cm="1">
        <f t="array" ref="R97">Common_InputFunctions.Utility_DisplayArrayInTable(Common_SourceData.Common_SourceData_ClimateZones_Data(), Table_SourceData_ClimateZones[[#Headers],[Climate zone]], 0)</f>
        <v>-999999</v>
      </c>
      <c r="S97" s="30" cm="1">
        <f t="array" ref="S97">Common_InputFunctions.Utility_DisplayArrayInTable(Common_SourceData.Common_SourceData_ClimateZones_Data(), Table_SourceData_ClimateZones[[#Headers],[Climate zone]], 0)</f>
        <v>1</v>
      </c>
      <c r="T97" s="30"/>
    </row>
    <row r="98" spans="1:20" ht="20.100000000000001" customHeight="1" x14ac:dyDescent="0.25">
      <c r="A98"/>
    </row>
    <row r="99" spans="1:20" ht="20.100000000000001" customHeight="1" x14ac:dyDescent="0.25">
      <c r="A99"/>
      <c r="D99" s="15" t="str" cm="1">
        <f t="array" ref="D99:D102">Common_SourceData.Common_SourceData_ClimateZones_Appendices()</f>
        <v>Note:</v>
      </c>
    </row>
    <row r="100" spans="1:20" ht="20.100000000000001" customHeight="1" x14ac:dyDescent="0.25">
      <c r="A100"/>
      <c r="D100" s="15" t="str">
        <v>MAT = mean annual temperature</v>
      </c>
    </row>
    <row r="101" spans="1:20" ht="20.100000000000001" customHeight="1" x14ac:dyDescent="0.25">
      <c r="A101"/>
      <c r="D101" s="15" t="str">
        <v>MAP = mean annual precipitation</v>
      </c>
    </row>
    <row r="102" spans="1:20" ht="20.100000000000001" customHeight="1" x14ac:dyDescent="0.25">
      <c r="A102"/>
      <c r="D102" s="15" t="str">
        <v>PET = potential evapotranspiration</v>
      </c>
    </row>
    <row r="103" spans="1:20" ht="20.100000000000001" customHeight="1" x14ac:dyDescent="0.25">
      <c r="A103"/>
      <c r="D103" s="15"/>
    </row>
    <row r="104" spans="1:20" ht="20.100000000000001" customHeight="1" x14ac:dyDescent="0.25">
      <c r="A104"/>
    </row>
    <row r="105" spans="1:20" ht="20.100000000000001" customHeight="1" x14ac:dyDescent="0.25">
      <c r="A105"/>
      <c r="D105" s="2" t="str" cm="1">
        <f t="array" ref="D105">Common_SourceData.Common_SourceData_TemperatureZones_Title()</f>
        <v>VEERG Australian temperature zones</v>
      </c>
    </row>
    <row r="106" spans="1:20" ht="20.100000000000001" customHeight="1" x14ac:dyDescent="0.25">
      <c r="A106"/>
      <c r="D106" s="27" t="str" cm="1">
        <f t="array" ref="D106">Common_SourceData.Common_SourceData_TemperatureZones_Source()</f>
        <v>VEERG 2026: Table 1.3: Climate and Rainfall zone classifications and definitions</v>
      </c>
    </row>
    <row r="107" spans="1:20" ht="20.100000000000001" customHeight="1" x14ac:dyDescent="0.25">
      <c r="A107"/>
      <c r="D107" s="36" t="str" cm="1">
        <f t="array" ref="D107">"⚠️" &amp; Common_SourceData.Common_SourceData_TemperatureZones_Variation()</f>
        <v>⚠️VARIATION OF SOURCE DATA: Added extra MAT min and MAT max columns to calculate zone from real temperature data.</v>
      </c>
    </row>
    <row r="108" spans="1:20" ht="20.100000000000001" customHeight="1" x14ac:dyDescent="0.25">
      <c r="A108"/>
    </row>
    <row r="109" spans="1:20" ht="20.100000000000001" customHeight="1" x14ac:dyDescent="0.25">
      <c r="A109"/>
      <c r="D109" s="30" t="s">
        <v>59</v>
      </c>
      <c r="E109" s="30" t="s">
        <v>44</v>
      </c>
      <c r="F109" s="30" t="s">
        <v>60</v>
      </c>
      <c r="G109" s="30" t="s">
        <v>61</v>
      </c>
    </row>
    <row r="110" spans="1:20" ht="20.100000000000001" customHeight="1" x14ac:dyDescent="0.25">
      <c r="A110"/>
      <c r="D110" s="30" t="str" cm="1">
        <f t="array" ref="D110">Common_InputFunctions.Utility_DisplayArrayInTable(Common_SourceData.Common_SourceData_TemperatureZones_Data(),Table_SourceData_TemperatureZones[[#Headers],[Temperature Zone]],0)</f>
        <v>Warm</v>
      </c>
      <c r="E110" s="30" t="str" cm="1">
        <f t="array" ref="E110">Common_InputFunctions.Utility_DisplayArrayInTable(Common_SourceData.Common_SourceData_TemperatureZones_Data(),Table_SourceData_TemperatureZones[[#Headers],[Temperature Zone]],0)</f>
        <v>≥ 26 C</v>
      </c>
      <c r="F110" s="30" cm="1">
        <f t="array" ref="F110">Common_InputFunctions.Utility_DisplayArrayInTable(Common_SourceData.Common_SourceData_TemperatureZones_Data(),Table_SourceData_TemperatureZones[[#Headers],[Temperature Zone]],0)</f>
        <v>26</v>
      </c>
      <c r="G110" s="30" cm="1">
        <f t="array" ref="G110">Common_InputFunctions.Utility_DisplayArrayInTable(Common_SourceData.Common_SourceData_TemperatureZones_Data(),Table_SourceData_TemperatureZones[[#Headers],[Temperature Zone]],0)</f>
        <v>999999</v>
      </c>
    </row>
    <row r="111" spans="1:20" ht="20.100000000000001" customHeight="1" x14ac:dyDescent="0.25">
      <c r="A111"/>
      <c r="D111" s="30" t="str" cm="1">
        <f t="array" ref="D111">Common_InputFunctions.Utility_DisplayArrayInTable(Common_SourceData.Common_SourceData_TemperatureZones_Data(),Table_SourceData_TemperatureZones[[#Headers],[Temperature Zone]],0)</f>
        <v>Temperate</v>
      </c>
      <c r="E111" s="30" t="str" cm="1">
        <f t="array" ref="E111">Common_InputFunctions.Utility_DisplayArrayInTable(Common_SourceData.Common_SourceData_TemperatureZones_Data(),Table_SourceData_TemperatureZones[[#Headers],[Temperature Zone]],0)</f>
        <v>15 - 25 C</v>
      </c>
      <c r="F111" s="30" cm="1">
        <f t="array" ref="F111">Common_InputFunctions.Utility_DisplayArrayInTable(Common_SourceData.Common_SourceData_TemperatureZones_Data(),Table_SourceData_TemperatureZones[[#Headers],[Temperature Zone]],0)</f>
        <v>15</v>
      </c>
      <c r="G111" s="30" cm="1">
        <f t="array" ref="G111">Common_InputFunctions.Utility_DisplayArrayInTable(Common_SourceData.Common_SourceData_TemperatureZones_Data(),Table_SourceData_TemperatureZones[[#Headers],[Temperature Zone]],0)</f>
        <v>25.998999999999999</v>
      </c>
    </row>
    <row r="112" spans="1:20" ht="20.100000000000001" customHeight="1" x14ac:dyDescent="0.25">
      <c r="A112"/>
      <c r="D112" s="30" t="str" cm="1">
        <f t="array" ref="D112">Common_InputFunctions.Utility_DisplayArrayInTable(Common_SourceData.Common_SourceData_TemperatureZones_Data(),Table_SourceData_TemperatureZones[[#Headers],[Temperature Zone]],0)</f>
        <v>Cool</v>
      </c>
      <c r="E112" s="30" t="str" cm="1">
        <f t="array" ref="E112">Common_InputFunctions.Utility_DisplayArrayInTable(Common_SourceData.Common_SourceData_TemperatureZones_Data(),Table_SourceData_TemperatureZones[[#Headers],[Temperature Zone]],0)</f>
        <v>≤ 14 C</v>
      </c>
      <c r="F112" s="30" cm="1">
        <f t="array" ref="F112">Common_InputFunctions.Utility_DisplayArrayInTable(Common_SourceData.Common_SourceData_TemperatureZones_Data(),Table_SourceData_TemperatureZones[[#Headers],[Temperature Zone]],0)</f>
        <v>-999999</v>
      </c>
      <c r="G112" s="30" cm="1">
        <f t="array" ref="G112">Common_InputFunctions.Utility_DisplayArrayInTable(Common_SourceData.Common_SourceData_TemperatureZones_Data(),Table_SourceData_TemperatureZones[[#Headers],[Temperature Zone]],0)</f>
        <v>14.999000000000001</v>
      </c>
    </row>
    <row r="113" spans="1:66" ht="20.100000000000001" customHeight="1" x14ac:dyDescent="0.25">
      <c r="A113"/>
    </row>
    <row r="114" spans="1:66" ht="20.100000000000001" customHeight="1" x14ac:dyDescent="0.25">
      <c r="A114"/>
    </row>
    <row r="115" spans="1:66" ht="20.100000000000001" customHeight="1" x14ac:dyDescent="0.25">
      <c r="A115"/>
      <c r="D115" s="2" t="str" cm="1">
        <f t="array" ref="D115">Common_SourceData.Common_SourceData_RainfallZones_Title()</f>
        <v>VEERG Australian rainfall zones</v>
      </c>
      <c r="BN115" s="32"/>
    </row>
    <row r="116" spans="1:66" ht="20.100000000000001" customHeight="1" x14ac:dyDescent="0.25">
      <c r="A116"/>
      <c r="D116" s="27" t="str" cm="1">
        <f t="array" ref="D116">Common_SourceData.Common_SourceData_RainfallZones_Source()</f>
        <v>VEERG 2026: Table 1.3: Climate and Rainfall zone classifications and definitions</v>
      </c>
      <c r="BN116" s="32"/>
    </row>
    <row r="117" spans="1:66" ht="20.100000000000001" customHeight="1" x14ac:dyDescent="0.25">
      <c r="A117"/>
      <c r="D117" s="36" t="str" cm="1">
        <f t="array" ref="D117">"⚠️" &amp; Common_SourceData.Common_SourceData_RainfallZones_Variation()</f>
        <v>⚠️VARIATION OF SOURCE DATA: Added extra Rainfall min and Rainfall max columns to calculate zone from real rainfall data.</v>
      </c>
      <c r="BN117" s="32"/>
    </row>
    <row r="118" spans="1:66" ht="20.100000000000001" customHeight="1" x14ac:dyDescent="0.25">
      <c r="A118"/>
      <c r="BN118" s="32"/>
    </row>
    <row r="119" spans="1:66" ht="20.100000000000001" customHeight="1" x14ac:dyDescent="0.25">
      <c r="A119"/>
      <c r="D119" s="30" t="s">
        <v>62</v>
      </c>
      <c r="E119" s="30" t="s">
        <v>63</v>
      </c>
      <c r="F119" s="30" t="s">
        <v>51</v>
      </c>
      <c r="G119" s="30" t="s">
        <v>52</v>
      </c>
      <c r="BN119" s="32"/>
    </row>
    <row r="120" spans="1:66" ht="20.100000000000001" customHeight="1" x14ac:dyDescent="0.25">
      <c r="A120"/>
      <c r="D120" s="30" t="str" cm="1">
        <f t="array" ref="D120">Common_InputFunctions.Utility_DisplayArrayInTable(Common_SourceData.Common_SourceData_RainfallZones_Data(),Table_SourceData_RainfallZones[[#Headers],[Rainfall Zone]],0)</f>
        <v>High rainfall</v>
      </c>
      <c r="E120" s="30" t="str" cm="1">
        <f t="array" ref="E120">Common_InputFunctions.Utility_DisplayArrayInTable(Common_SourceData.Common_SourceData_RainfallZones_Data(),Table_SourceData_RainfallZones[[#Headers],[Rainfall Zone]],0)</f>
        <v>Annual rainfall &gt; 600mm</v>
      </c>
      <c r="F120" s="30" cm="1">
        <f t="array" ref="F120">Common_InputFunctions.Utility_DisplayArrayInTable(Common_SourceData.Common_SourceData_RainfallZones_Data(),Table_SourceData_RainfallZones[[#Headers],[Rainfall Zone]],0)</f>
        <v>600.00099999999998</v>
      </c>
      <c r="G120" s="30" cm="1">
        <f t="array" ref="G120">Common_InputFunctions.Utility_DisplayArrayInTable(Common_SourceData.Common_SourceData_RainfallZones_Data(),Table_SourceData_RainfallZones[[#Headers],[Rainfall Zone]],0)</f>
        <v>999999</v>
      </c>
      <c r="BN120" s="32"/>
    </row>
    <row r="121" spans="1:66" ht="20.100000000000001" customHeight="1" x14ac:dyDescent="0.25">
      <c r="A121"/>
      <c r="D121" s="30" t="str" cm="1">
        <f t="array" ref="D121">Common_InputFunctions.Utility_DisplayArrayInTable(Common_SourceData.Common_SourceData_RainfallZones_Data(),Table_SourceData_RainfallZones[[#Headers],[Rainfall Zone]],0)</f>
        <v>Low rainfall</v>
      </c>
      <c r="E121" s="30" t="str" cm="1">
        <f t="array" ref="E121">Common_InputFunctions.Utility_DisplayArrayInTable(Common_SourceData.Common_SourceData_RainfallZones_Data(),Table_SourceData_RainfallZones[[#Headers],[Rainfall Zone]],0)</f>
        <v>Annual rainfall ≤ 600mm</v>
      </c>
      <c r="F121" s="30" cm="1">
        <f t="array" ref="F121">Common_InputFunctions.Utility_DisplayArrayInTable(Common_SourceData.Common_SourceData_RainfallZones_Data(),Table_SourceData_RainfallZones[[#Headers],[Rainfall Zone]],0)</f>
        <v>-999999</v>
      </c>
      <c r="G121" s="30" cm="1">
        <f t="array" ref="G121">Common_InputFunctions.Utility_DisplayArrayInTable(Common_SourceData.Common_SourceData_RainfallZones_Data(),Table_SourceData_RainfallZones[[#Headers],[Rainfall Zone]],0)</f>
        <v>600</v>
      </c>
      <c r="BN121" s="32"/>
    </row>
    <row r="122" spans="1:66" ht="20.100000000000001" customHeight="1" x14ac:dyDescent="0.25">
      <c r="A122"/>
      <c r="BN122" s="32"/>
    </row>
    <row r="123" spans="1:66" ht="20.100000000000001" customHeight="1" x14ac:dyDescent="0.25">
      <c r="A123"/>
    </row>
    <row r="124" spans="1:66" ht="20.100000000000001" customHeight="1" x14ac:dyDescent="0.25">
      <c r="A124"/>
      <c r="D124" s="2" t="str" cm="1">
        <f t="array" ref="D124">Common_SourceData.Common_SourceData_LeachingZones_Title()</f>
        <v>VEERG Australian leaching zones</v>
      </c>
    </row>
    <row r="125" spans="1:66" ht="20.100000000000001" customHeight="1" x14ac:dyDescent="0.25">
      <c r="A125"/>
      <c r="D125" s="27" t="str" cm="1">
        <f t="array" ref="D125">Common_SourceData.Common_SourceData_LeachingZones_Source()</f>
        <v>VEERG 2026: Table 1.3: Climate and Rainfall zone classifications and definitions</v>
      </c>
    </row>
    <row r="126" spans="1:66" ht="20.100000000000001" customHeight="1" x14ac:dyDescent="0.25">
      <c r="A126"/>
    </row>
    <row r="127" spans="1:66" ht="20.100000000000001" customHeight="1" x14ac:dyDescent="0.25">
      <c r="A127"/>
      <c r="D127" s="30" t="s">
        <v>64</v>
      </c>
      <c r="E127" s="30" t="s">
        <v>65</v>
      </c>
    </row>
    <row r="128" spans="1:66" ht="20.100000000000001" customHeight="1" x14ac:dyDescent="0.25">
      <c r="A128"/>
      <c r="D128" s="30" t="str" cm="1">
        <f t="array" ref="D128">Common_InputFunctions.Utility_DisplayArrayInTable(Common_SourceData.Common_SourceData_LeachingZones_Data(), Table_SourceData_LeachingZones[[#Headers],[Leaching Zone]], 0)</f>
        <v>Leaching occurs</v>
      </c>
      <c r="E128" s="30"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100000000000001" customHeight="1" x14ac:dyDescent="0.25">
      <c r="A129"/>
      <c r="D129" s="30" t="str" cm="1">
        <f t="array" ref="D129">Common_InputFunctions.Utility_DisplayArrayInTable(Common_SourceData.Common_SourceData_LeachingZones_Data(), Table_SourceData_LeachingZones[[#Headers],[Leaching Zone]], 0)</f>
        <v>Leaching does not occur</v>
      </c>
      <c r="E129" s="30"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100000000000001" customHeight="1" x14ac:dyDescent="0.25">
      <c r="A130"/>
    </row>
    <row r="131" spans="1:77" ht="20.100000000000001" customHeight="1" x14ac:dyDescent="0.25">
      <c r="A131"/>
    </row>
    <row r="132" spans="1:77" ht="20.100000000000001" customHeight="1" x14ac:dyDescent="0.25">
      <c r="A132"/>
      <c r="D132" s="2" t="str" cm="1">
        <f t="array" ref="D132">Common_SourceData.Common_SourceData_FracWET_Title()</f>
        <v>Fraction of N that is available for leaching and runoff</v>
      </c>
      <c r="E132" s="8"/>
    </row>
    <row r="133" spans="1:77" ht="20.100000000000001" customHeight="1" x14ac:dyDescent="0.25">
      <c r="A133"/>
      <c r="D133" s="27" t="str" cm="1">
        <f t="array" ref="D133">Common_SourceData.Common_SourceData_FracWET_Source()</f>
        <v>VEERG 2026:5.5.2.3 Constant Parameters</v>
      </c>
      <c r="E133" s="8"/>
    </row>
    <row r="134" spans="1:77" ht="20.100000000000001" customHeight="1" x14ac:dyDescent="0.25">
      <c r="A134"/>
      <c r="D134" t="s">
        <v>66</v>
      </c>
      <c r="E134" t="s">
        <v>67</v>
      </c>
    </row>
    <row r="135" spans="1:77" ht="20.100000000000001" customHeight="1" x14ac:dyDescent="0.25">
      <c r="A13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1:77" ht="20.100000000000001" customHeight="1" x14ac:dyDescent="0.25">
      <c r="A136"/>
      <c r="D136" s="1" t="str" cm="1">
        <f t="array" ref="D136">Common_InputFunctions.Utility_DisplayArrayInTable(Common_SourceData.Common_SourceData_FracWET_Data(),Table_SourceData_FracWET[[#Headers],[Is in leaching zone]],0)</f>
        <v>No - not in leaching zone</v>
      </c>
      <c r="E136" s="30" cm="1">
        <f t="array" ref="E136">Common_InputFunctions.Utility_DisplayArrayInTable(Common_SourceData.Common_SourceData_FracWET_Data(),Table_SourceData_FracWET[[#Headers],[Is in leaching zone]],0)</f>
        <v>0</v>
      </c>
    </row>
    <row r="137" spans="1:77" ht="20.100000000000001" customHeight="1" x14ac:dyDescent="0.25">
      <c r="A137"/>
    </row>
    <row r="138" spans="1:77" ht="20.100000000000001" customHeight="1" x14ac:dyDescent="0.25">
      <c r="A138"/>
      <c r="BN138" s="32"/>
      <c r="BO138" s="32"/>
      <c r="BP138" s="32"/>
      <c r="BQ138" s="32"/>
      <c r="BR138" s="32"/>
      <c r="BS138" s="32"/>
      <c r="BT138" s="32"/>
      <c r="BU138" s="32"/>
      <c r="BV138" s="32"/>
      <c r="BW138" s="32"/>
      <c r="BX138" s="32"/>
      <c r="BY138" s="32"/>
    </row>
    <row r="139" spans="1:77" ht="20.100000000000001" customHeight="1" x14ac:dyDescent="0.25">
      <c r="A139"/>
      <c r="D139" s="2" t="str" cm="1">
        <f t="array" ref="D139">Common_SourceData.Common_SourceData_FracWETIrrigation_Title()</f>
        <v>FracWET for irrigation types</v>
      </c>
      <c r="BN139" s="32"/>
      <c r="BO139" s="32"/>
      <c r="BP139" s="32"/>
      <c r="BQ139" s="32"/>
      <c r="BR139" s="32"/>
      <c r="BS139" s="32"/>
      <c r="BT139" s="32"/>
      <c r="BU139" s="32"/>
      <c r="BV139" s="32"/>
      <c r="BW139" s="32"/>
      <c r="BX139" s="32"/>
      <c r="BY139" s="32"/>
    </row>
    <row r="140" spans="1:77" ht="20.100000000000001" customHeight="1" x14ac:dyDescent="0.25">
      <c r="A140"/>
      <c r="D140" s="27" t="str" cm="1">
        <f t="array" ref="D140">Common_SourceData.Common_SourceData_FracWETIrrigation_Source()</f>
        <v>VEERG 2026: Chapter 1, section 1.8.2 Leaching, climate and rainfall zones</v>
      </c>
      <c r="BN140" s="32"/>
      <c r="BO140" s="32"/>
      <c r="BP140" s="32"/>
      <c r="BQ140" s="32"/>
      <c r="BR140" s="32"/>
      <c r="BS140" s="32"/>
      <c r="BT140" s="32"/>
      <c r="BU140" s="32"/>
      <c r="BV140" s="32"/>
      <c r="BW140" s="32"/>
      <c r="BX140" s="32"/>
      <c r="BY140" s="32"/>
    </row>
    <row r="141" spans="1:77" ht="20.100000000000001" customHeight="1" x14ac:dyDescent="0.25">
      <c r="A141"/>
      <c r="D141" s="36" t="str" cm="1">
        <f t="array" ref="D141">Common_SourceData.Common_SourceData_FracWETIrrigation_Variation()</f>
        <v>VARIATION FROM SOURCE DATA: Table created based on VEERG text 'Areas are subject to leaching (i.e., in the leaching zone) when... the land is irrigated (except drip irrigation).'</v>
      </c>
      <c r="BN141" s="32"/>
    </row>
    <row r="142" spans="1:77" ht="20.100000000000001" customHeight="1" x14ac:dyDescent="0.25">
      <c r="A142"/>
      <c r="D142" s="30" t="s">
        <v>68</v>
      </c>
      <c r="E142" s="30" t="s">
        <v>67</v>
      </c>
      <c r="BN142" s="32"/>
    </row>
    <row r="143" spans="1:77" ht="20.100000000000001" customHeight="1" x14ac:dyDescent="0.25">
      <c r="A143"/>
      <c r="D143" s="30" t="str" cm="1">
        <f t="array" ref="D143">Common_InputFunctions.Utility_DisplayArrayInTable(Common_SourceData.Common_SourceData_FracWETIrrigation_Data(), Table_SourceData_FracWETIrrigation[[#Headers],[Irrigation type i]], 0)</f>
        <v>Not irrigated</v>
      </c>
      <c r="E143" s="30" cm="1">
        <f t="array" ref="E143">Common_InputFunctions.Utility_DisplayArrayInTable(Common_SourceData.Common_SourceData_FracWETIrrigation_Data(), Table_SourceData_FracWETIrrigation[[#Headers],[Irrigation type i]], 0)</f>
        <v>0</v>
      </c>
      <c r="BN143" s="32"/>
    </row>
    <row r="144" spans="1:77" ht="20.100000000000001" customHeight="1" x14ac:dyDescent="0.25">
      <c r="A144"/>
      <c r="D144" s="1" t="str" cm="1">
        <f t="array" ref="D144">Common_InputFunctions.Utility_DisplayArrayInTable(Common_SourceData.Common_SourceData_FracWETIrrigation_Data(), Table_SourceData_FracWETIrrigation[[#Headers],[Irrigation type i]], 0)</f>
        <v>Drip irrigation</v>
      </c>
      <c r="E144" s="30" cm="1">
        <f t="array" ref="E144">Common_InputFunctions.Utility_DisplayArrayInTable(Common_SourceData.Common_SourceData_FracWETIrrigation_Data(), Table_SourceData_FracWETIrrigation[[#Headers],[Irrigation type i]], 0)</f>
        <v>0</v>
      </c>
      <c r="BN144" s="32"/>
    </row>
    <row r="145" spans="1:66" ht="20.100000000000001" customHeight="1" x14ac:dyDescent="0.25">
      <c r="A145"/>
      <c r="D145" s="1" t="str" cm="1">
        <f t="array" ref="D145">Common_InputFunctions.Utility_DisplayArrayInTable(Common_SourceData.Common_SourceData_FracWETIrrigation_Data(), Table_SourceData_FracWETIrrigation[[#Headers],[Irrigation type i]], 0)</f>
        <v>Sprinkler irrigation</v>
      </c>
      <c r="E145" s="30" cm="1">
        <f t="array" ref="E145">Common_InputFunctions.Utility_DisplayArrayInTable(Common_SourceData.Common_SourceData_FracWETIrrigation_Data(), Table_SourceData_FracWETIrrigation[[#Headers],[Irrigation type i]], 0)</f>
        <v>1</v>
      </c>
      <c r="BN145" s="32"/>
    </row>
    <row r="146" spans="1:66" ht="20.100000000000001" customHeight="1" x14ac:dyDescent="0.25">
      <c r="A146"/>
      <c r="D146" s="1" t="str" cm="1">
        <f t="array" ref="D146">Common_InputFunctions.Utility_DisplayArrayInTable(Common_SourceData.Common_SourceData_FracWETIrrigation_Data(), Table_SourceData_FracWETIrrigation[[#Headers],[Irrigation type i]], 0)</f>
        <v>Surface irrigation</v>
      </c>
      <c r="E146" s="30" cm="1">
        <f t="array" ref="E146">Common_InputFunctions.Utility_DisplayArrayInTable(Common_SourceData.Common_SourceData_FracWETIrrigation_Data(), Table_SourceData_FracWETIrrigation[[#Headers],[Irrigation type i]], 0)</f>
        <v>1</v>
      </c>
      <c r="BN146" s="32"/>
    </row>
    <row r="147" spans="1:66" ht="20.100000000000001" customHeight="1" x14ac:dyDescent="0.25">
      <c r="A147"/>
      <c r="D147" s="1" t="str" cm="1">
        <f t="array" ref="D147">Common_InputFunctions.Utility_DisplayArrayInTable(Common_SourceData.Common_SourceData_FracWETIrrigation_Data(), Table_SourceData_FracWETIrrigation[[#Headers],[Irrigation type i]], 0)</f>
        <v>Other irrigation</v>
      </c>
      <c r="E147" s="30" cm="1">
        <f t="array" ref="E147">Common_InputFunctions.Utility_DisplayArrayInTable(Common_SourceData.Common_SourceData_FracWETIrrigation_Data(), Table_SourceData_FracWETIrrigation[[#Headers],[Irrigation type i]], 0)</f>
        <v>1</v>
      </c>
      <c r="BN147" s="32"/>
    </row>
    <row r="148" spans="1:66" ht="20.100000000000001" customHeight="1" x14ac:dyDescent="0.25">
      <c r="A148"/>
      <c r="BN148" s="32"/>
    </row>
    <row r="149" spans="1:66" ht="20.100000000000001" customHeight="1" x14ac:dyDescent="0.25">
      <c r="A149"/>
      <c r="BN149" s="32"/>
    </row>
    <row r="150" spans="1:66" ht="20.100000000000001" customHeight="1" x14ac:dyDescent="0.25">
      <c r="A150"/>
      <c r="D150" s="2" t="str" cm="1">
        <f t="array" ref="D150">Common_SourceData.Common_SourceData_DataScores_Scope3_Title()</f>
        <v>Australian data scores for scope 3</v>
      </c>
      <c r="BN150" s="32"/>
    </row>
    <row r="151" spans="1:66" ht="20.100000000000001" customHeight="1" x14ac:dyDescent="0.25">
      <c r="A151"/>
      <c r="D151" s="27" t="str" cm="1">
        <f t="array" ref="D151">Common_SourceData.Common_SourceData_DataScores_Scope3_Source()</f>
        <v>VEERG 2026: XXXXXXXX</v>
      </c>
      <c r="BN151" s="32"/>
    </row>
    <row r="152" spans="1:66" ht="20.100000000000001" customHeight="1" x14ac:dyDescent="0.25">
      <c r="A152"/>
      <c r="BN152" s="32"/>
    </row>
    <row r="153" spans="1:66" ht="20.100000000000001" customHeight="1" x14ac:dyDescent="0.25">
      <c r="A153"/>
      <c r="D153" s="30" t="s">
        <v>69</v>
      </c>
      <c r="E153" s="30" t="s">
        <v>70</v>
      </c>
      <c r="BC153" s="35"/>
      <c r="BD153" s="35"/>
      <c r="BE153" s="35"/>
      <c r="BF153" s="35"/>
      <c r="BG153" s="35"/>
      <c r="BH153" s="35"/>
      <c r="BI153" s="35"/>
      <c r="BJ153" s="35"/>
      <c r="BK153" s="35"/>
      <c r="BL153" s="35"/>
      <c r="BM153" s="35"/>
    </row>
    <row r="154" spans="1:66" ht="20.100000000000001" customHeight="1" x14ac:dyDescent="0.25">
      <c r="A154"/>
      <c r="D154" s="30" t="str" cm="1">
        <f t="array" ref="D154">Common_InputFunctions.Utility_DisplayArrayInTable(Common_SourceData.Common_SourceData_DataScores_Scope3_Data(), Table_SourceData_DataScores_Scope3[[#Headers],[Data source]], 0)</f>
        <v>International scope 3 database</v>
      </c>
      <c r="E154" s="30" cm="1">
        <f t="array" ref="E154">Common_InputFunctions.Utility_DisplayArrayInTable(Common_SourceData.Common_SourceData_DataScores_Scope3_Data(), Table_SourceData_DataScores_Scope3[[#Headers],[Data source]], 0)</f>
        <v>1</v>
      </c>
      <c r="BC154" s="35"/>
      <c r="BD154" s="35"/>
      <c r="BE154" s="35"/>
      <c r="BF154" s="35"/>
      <c r="BG154" s="35"/>
      <c r="BH154" s="35"/>
      <c r="BI154" s="35"/>
      <c r="BJ154" s="35"/>
      <c r="BK154" s="35"/>
      <c r="BL154" s="35"/>
      <c r="BM154" s="35"/>
    </row>
    <row r="155" spans="1:66" ht="20.100000000000001" customHeight="1" x14ac:dyDescent="0.25">
      <c r="A155"/>
      <c r="D155" s="30" t="str" cm="1">
        <f t="array" ref="D155">Common_InputFunctions.Utility_DisplayArrayInTable(Common_SourceData.Common_SourceData_DataScores_Scope3_Data(), Table_SourceData_DataScores_Scope3[[#Headers],[Data source]], 0)</f>
        <v>Australian scope 3 database</v>
      </c>
      <c r="E155" s="30" cm="1">
        <f t="array" ref="E155">Common_InputFunctions.Utility_DisplayArrayInTable(Common_SourceData.Common_SourceData_DataScores_Scope3_Data(), Table_SourceData_DataScores_Scope3[[#Headers],[Data source]], 0)</f>
        <v>2</v>
      </c>
      <c r="BC155" s="35"/>
      <c r="BD155" s="35"/>
      <c r="BE155" s="35"/>
      <c r="BF155" s="35"/>
      <c r="BG155" s="35"/>
      <c r="BH155" s="35"/>
      <c r="BI155" s="35"/>
      <c r="BJ155" s="35"/>
      <c r="BK155" s="35"/>
      <c r="BL155" s="35"/>
      <c r="BM155" s="35"/>
    </row>
    <row r="156" spans="1:66" ht="20.100000000000001" customHeight="1" x14ac:dyDescent="0.25">
      <c r="A156"/>
      <c r="D156" s="30" t="str" cm="1">
        <f t="array" ref="D156">Common_InputFunctions.Utility_DisplayArrayInTable(Common_SourceData.Common_SourceData_DataScores_Scope3_Data(), Table_SourceData_DataScores_Scope3[[#Headers],[Data source]], 0)</f>
        <v>State or regional scope 3 database</v>
      </c>
      <c r="E156" s="30" cm="1">
        <f t="array" ref="E156">Common_InputFunctions.Utility_DisplayArrayInTable(Common_SourceData.Common_SourceData_DataScores_Scope3_Data(), Table_SourceData_DataScores_Scope3[[#Headers],[Data source]], 0)</f>
        <v>3</v>
      </c>
    </row>
    <row r="157" spans="1:66" ht="20.100000000000001" customHeight="1" x14ac:dyDescent="0.25">
      <c r="A157"/>
      <c r="D157" s="30" t="str" cm="1">
        <f t="array" ref="D157">Common_InputFunctions.Utility_DisplayArrayInTable(Common_SourceData.Common_SourceData_DataScores_Scope3_Data(), Table_SourceData_DataScores_Scope3[[#Headers],[Data source]], 0)</f>
        <v>Emissions intensity calculated from approved method</v>
      </c>
      <c r="E157" s="30" cm="1">
        <f t="array" ref="E157">Common_InputFunctions.Utility_DisplayArrayInTable(Common_SourceData.Common_SourceData_DataScores_Scope3_Data(), Table_SourceData_DataScores_Scope3[[#Headers],[Data source]], 0)</f>
        <v>4</v>
      </c>
    </row>
    <row r="158" spans="1:66" ht="20.100000000000001" customHeight="1" x14ac:dyDescent="0.25">
      <c r="A158"/>
      <c r="D158" s="30" t="str" cm="1">
        <f t="array" ref="D158">Common_InputFunctions.Utility_DisplayArrayInTable(Common_SourceData.Common_SourceData_DataScores_Scope3_Data(), Table_SourceData_DataScores_Scope3[[#Headers],[Data source]], 0)</f>
        <v>Verified credential matching ISO14067</v>
      </c>
      <c r="E158" s="30" cm="1">
        <f t="array" ref="E158">Common_InputFunctions.Utility_DisplayArrayInTable(Common_SourceData.Common_SourceData_DataScores_Scope3_Data(), Table_SourceData_DataScores_Scope3[[#Headers],[Data source]], 0)</f>
        <v>5</v>
      </c>
    </row>
    <row r="159" spans="1:66" ht="20.100000000000001" customHeight="1" x14ac:dyDescent="0.25">
      <c r="A159"/>
    </row>
    <row r="160" spans="1:66" ht="20.100000000000001" customHeight="1" x14ac:dyDescent="0.25">
      <c r="A160"/>
    </row>
    <row r="161" spans="4:68" ht="20.100000000000001" customHeight="1" x14ac:dyDescent="0.25">
      <c r="D161" s="2" t="str" cm="1">
        <f t="array" ref="D161">Common_SourceData.Common_SourceData_FracLEACH_Title()</f>
        <v>Fraction of N that is available for leaching and runoff</v>
      </c>
      <c r="E161" s="8"/>
    </row>
    <row r="162" spans="4:68" ht="20.100000000000001" customHeight="1" x14ac:dyDescent="0.25">
      <c r="D162" s="27" t="str" cm="1">
        <f t="array" ref="D162">Common_SourceData.Common_SourceData_FracLEACH_Source()</f>
        <v>VEERG 2026:5.5.2.3 Constant Parameters</v>
      </c>
      <c r="E162" s="8"/>
    </row>
    <row r="163" spans="4:68" ht="20.100000000000001" customHeight="1" x14ac:dyDescent="0.25">
      <c r="D163" s="27" t="str" cm="1">
        <f t="array" ref="D163">Common_SourceData.Common_SourceData_FracLEACH_NIRReference()</f>
        <v>National Inventory Report Volume 1: Leaching and runoff (3.D.b.2)</v>
      </c>
      <c r="E163" s="8"/>
    </row>
    <row r="164" spans="4:68" ht="20.100000000000001" customHeight="1" x14ac:dyDescent="0.25">
      <c r="D164" s="8" t="str" cm="1">
        <f t="array" ref="D164:E164">Common_SourceData.Common_SourceData_FracLEACH_Data()</f>
        <v>FracLEACH</v>
      </c>
      <c r="E164" s="8">
        <v>0.24</v>
      </c>
    </row>
    <row r="165" spans="4:68" ht="20.100000000000001" customHeight="1" x14ac:dyDescent="0.25">
      <c r="BN165" s="32"/>
      <c r="BO165" s="32"/>
      <c r="BP165" s="32"/>
    </row>
    <row r="166" spans="4:68" ht="20.100000000000001" customHeight="1" x14ac:dyDescent="0.25">
      <c r="BN166" s="32"/>
      <c r="BO166" s="32"/>
      <c r="BP166" s="32"/>
    </row>
    <row r="167" spans="4:68" ht="20.100000000000001" customHeight="1" x14ac:dyDescent="0.25">
      <c r="D167" s="2" t="str" cm="1">
        <f t="array" ref="D167">Common_SourceData.Common_SourceData_EFleach_Title()</f>
        <v>Emission factor for nitrogen leaching and runoff</v>
      </c>
      <c r="BN167" s="32"/>
      <c r="BO167" s="32"/>
      <c r="BP167" s="32"/>
    </row>
    <row r="168" spans="4:68" ht="20.100000000000001" customHeight="1" x14ac:dyDescent="0.25">
      <c r="D168" s="27" t="str" cm="1">
        <f t="array" ref="D168">Common_SourceData.Common_SourceData_EFleach_Source()</f>
        <v>VEERG 2026:5.5.2.3 Constant Parameters</v>
      </c>
      <c r="BN168" s="32"/>
      <c r="BO168" s="32"/>
      <c r="BP168" s="32"/>
    </row>
    <row r="169" spans="4:68" ht="20.100000000000001" customHeight="1" x14ac:dyDescent="0.25">
      <c r="D169" s="27" t="str" cm="1">
        <f t="array" ref="D169">Common_SourceData.Common_SourceData_EFleach_NIRReference()</f>
        <v>National Inventory Report Volume 1: Equation 3.D.B_10</v>
      </c>
      <c r="BN169" s="32"/>
      <c r="BO169" s="32"/>
      <c r="BP169" s="32"/>
    </row>
    <row r="170" spans="4:68" ht="20.100000000000001" customHeight="1" x14ac:dyDescent="0.25">
      <c r="D170" s="1" t="str" cm="1">
        <f t="array" ref="D170:E170">Common_SourceData.Common_SourceData_EFleach_Data()</f>
        <v>EFleach</v>
      </c>
      <c r="E170" s="1">
        <v>1.0999999999999999E-2</v>
      </c>
      <c r="BN170" s="32"/>
      <c r="BO170" s="32"/>
      <c r="BP170" s="32"/>
    </row>
    <row r="171" spans="4:68" ht="20.100000000000001" customHeight="1" x14ac:dyDescent="0.25">
      <c r="BN171" s="32"/>
      <c r="BO171" s="32"/>
      <c r="BP171" s="32"/>
    </row>
    <row r="172" spans="4:68" ht="20.100000000000001" customHeight="1" x14ac:dyDescent="0.25">
      <c r="BN172" s="32"/>
      <c r="BO172" s="32"/>
      <c r="BP172" s="32"/>
    </row>
    <row r="173" spans="4:68" ht="20.100000000000001" customHeight="1" x14ac:dyDescent="0.25">
      <c r="D173" s="2" t="str" cm="1">
        <f t="array" ref="D173">Common_SourceData.Common_SourceData_DensityOfMethane_Title()</f>
        <v>p = density of methane</v>
      </c>
      <c r="BN173" s="32"/>
      <c r="BO173" s="32"/>
      <c r="BP173" s="32"/>
    </row>
    <row r="174" spans="4:68" ht="20.100000000000001" customHeight="1" x14ac:dyDescent="0.25">
      <c r="D174" s="27" t="str" cm="1">
        <f t="array" ref="D174">Common_SourceData.Common_SourceData_DensityOfMethane_Source()</f>
        <v>National Inventory Report 2023 Volume 1: Equations 3.B.1a_2, 3.B.1c_2, 3.B.3_1, 3.B.4g_2</v>
      </c>
      <c r="BN174" s="32"/>
      <c r="BO174" s="32"/>
      <c r="BP174" s="32"/>
    </row>
    <row r="175" spans="4:68" ht="20.100000000000001" customHeight="1" x14ac:dyDescent="0.25">
      <c r="D175" s="1" cm="1">
        <f t="array" ref="D175">Common_SourceData.Common_SourceData_DensityOfMethane_Data()</f>
        <v>0.6784</v>
      </c>
      <c r="E175" s="15" t="str" cm="1">
        <f t="array" ref="E175">Common_SourceData.Common_SourceData_DensityOfMethane_Unit()</f>
        <v>kg/m3</v>
      </c>
      <c r="BN175" s="32"/>
      <c r="BO175" s="32"/>
      <c r="BP175" s="32"/>
    </row>
    <row r="176" spans="4:68" ht="20.100000000000001" customHeight="1" x14ac:dyDescent="0.25">
      <c r="BN176" s="32"/>
      <c r="BO176" s="32"/>
      <c r="BP176" s="32"/>
    </row>
    <row r="177" spans="4:68" ht="20.100000000000001" customHeight="1" x14ac:dyDescent="0.25">
      <c r="BN177" s="32"/>
      <c r="BO177" s="32"/>
      <c r="BP177" s="32"/>
    </row>
    <row r="178" spans="4:68" ht="20.100000000000001" customHeight="1" x14ac:dyDescent="0.25">
      <c r="D178" s="2" t="str" cm="1">
        <f t="array" ref="D178">Common_SourceData.Common_SourceData_EFN2O_Title()</f>
        <v>Nitrous oxide emission factors for inorganic fertiliser application</v>
      </c>
      <c r="BN178" s="32"/>
      <c r="BO178" s="32"/>
      <c r="BP178" s="32"/>
    </row>
    <row r="179" spans="4:68" ht="20.100000000000001" customHeight="1" x14ac:dyDescent="0.25">
      <c r="D179" s="27" t="str" cm="1">
        <f t="array" ref="D179">Common_SourceData.Common_SourceData_EFN2O_Source()</f>
        <v>VEERG 2026: Table A.2.2.1</v>
      </c>
      <c r="BN179" s="32"/>
      <c r="BO179" s="32"/>
      <c r="BP179" s="32"/>
    </row>
    <row r="180" spans="4:68" ht="20.100000000000001" customHeight="1" x14ac:dyDescent="0.25">
      <c r="D180" s="15" t="str" cm="1">
        <f t="array" ref="D180">Common_SourceData.Common_SourceData_EFN2O_Unit()</f>
        <v>(kg N2O-N / kg N</v>
      </c>
    </row>
    <row r="181" spans="4:68" ht="20.100000000000001" customHeight="1" x14ac:dyDescent="0.25">
      <c r="D181" s="36" t="str" cm="1">
        <f t="array" ref="D181:D185">Common_SourceData.Common_SourceData_EFN2O_Variation()</f>
        <v>VARIATION OF SOURCE DATA:</v>
      </c>
    </row>
    <row r="182" spans="4:68" ht="20.100000000000001" customHeight="1" x14ac:dyDescent="0.25">
      <c r="D182" s="36" t="str">
        <v>Removed duplicate 'Aquaculture' row.</v>
      </c>
    </row>
    <row r="183" spans="4:68" ht="20.100000000000001" customHeight="1" x14ac:dyDescent="0.25">
      <c r="D183" s="36" t="str">
        <v>Removed asterisks to aid lookup.</v>
      </c>
    </row>
    <row r="184" spans="4:68" ht="20.100000000000001" customHeight="1" x14ac:dyDescent="0.25">
      <c r="D184" s="36" t="str">
        <v>Added 'production system only', 'rainfall zone' and 'irrigation method' columns to aid lookup.</v>
      </c>
    </row>
    <row r="185" spans="4:68" ht="20.100000000000001" customHeight="1" x14ac:dyDescent="0.25">
      <c r="D185" s="36" t="str">
        <v>Duplicated 'non-irrigated pasture' row with same EF for low and high rainfall zones to aid lookup.</v>
      </c>
    </row>
    <row r="186" spans="4:68" ht="20.100000000000001" customHeight="1" x14ac:dyDescent="0.25">
      <c r="D186" s="30" t="s">
        <v>71</v>
      </c>
      <c r="E186" s="30" t="s">
        <v>72</v>
      </c>
      <c r="F186" s="30" t="s">
        <v>73</v>
      </c>
      <c r="G186" s="30" t="s">
        <v>74</v>
      </c>
      <c r="H186" s="30" t="s">
        <v>75</v>
      </c>
    </row>
    <row r="187" spans="4:68" ht="20.100000000000001" customHeight="1" x14ac:dyDescent="0.25">
      <c r="D187" s="30" t="str" cm="1">
        <f t="array" ref="D187">Common_InputFunctions.Utility_DisplayArrayInTable(Common_SourceData.Common_SourceData_EFN2O_Data(), Table_SourceData_Common_EFN2O[[#Headers],[Production system j]], 0)</f>
        <v>Irrigated pasture</v>
      </c>
      <c r="E187" s="30" cm="1">
        <f t="array" ref="E187">Common_InputFunctions.Utility_DisplayArrayInTable(Common_SourceData.Common_SourceData_EFN2O_Data(), Table_SourceData_Common_EFN2O[[#Headers],[Production system j]], 0)</f>
        <v>5.8999999999999999E-3</v>
      </c>
      <c r="F187" s="30" t="str" cm="1">
        <f t="array" ref="F187">Common_InputFunctions.Utility_DisplayArrayInTable(Common_SourceData.Common_SourceData_EFN2O_Data(), Table_SourceData_Common_EFN2O[[#Headers],[Production system j]], 0)</f>
        <v>Pasture</v>
      </c>
      <c r="G187" s="30" t="str" cm="1">
        <f t="array" ref="G187">Common_InputFunctions.Utility_DisplayArrayInTable(Common_SourceData.Common_SourceData_EFN2O_Data(), Table_SourceData_Common_EFN2O[[#Headers],[Production system j]], 0)</f>
        <v>Any</v>
      </c>
      <c r="H187" s="30" t="str" cm="1">
        <f t="array" ref="H187">Common_InputFunctions.Utility_DisplayArrayInTable(Common_SourceData.Common_SourceData_EFN2O_Data(), Table_SourceData_Common_EFN2O[[#Headers],[Production system j]], 0)</f>
        <v>Any</v>
      </c>
    </row>
    <row r="188" spans="4:68" ht="20.100000000000001" customHeight="1" x14ac:dyDescent="0.25">
      <c r="D188" s="30" t="str" cm="1">
        <f t="array" ref="D188">Common_InputFunctions.Utility_DisplayArrayInTable(Common_SourceData.Common_SourceData_EFN2O_Data(), Table_SourceData_Common_EFN2O[[#Headers],[Production system j]], 0)</f>
        <v>Irrigated crop</v>
      </c>
      <c r="E188" s="30" cm="1">
        <f t="array" ref="E188">Common_InputFunctions.Utility_DisplayArrayInTable(Common_SourceData.Common_SourceData_EFN2O_Data(), Table_SourceData_Common_EFN2O[[#Headers],[Production system j]], 0)</f>
        <v>7.0000000000000001E-3</v>
      </c>
      <c r="F188" s="30" t="str" cm="1">
        <f t="array" ref="F188">Common_InputFunctions.Utility_DisplayArrayInTable(Common_SourceData.Common_SourceData_EFN2O_Data(), Table_SourceData_Common_EFN2O[[#Headers],[Production system j]], 0)</f>
        <v>Crop</v>
      </c>
      <c r="G188" s="30" t="str" cm="1">
        <f t="array" ref="G188">Common_InputFunctions.Utility_DisplayArrayInTable(Common_SourceData.Common_SourceData_EFN2O_Data(), Table_SourceData_Common_EFN2O[[#Headers],[Production system j]], 0)</f>
        <v>Any</v>
      </c>
      <c r="H188" s="30" t="str" cm="1">
        <f t="array" ref="H188">Common_InputFunctions.Utility_DisplayArrayInTable(Common_SourceData.Common_SourceData_EFN2O_Data(), Table_SourceData_Common_EFN2O[[#Headers],[Production system j]], 0)</f>
        <v>Any</v>
      </c>
    </row>
    <row r="189" spans="4:68" ht="20.100000000000001" customHeight="1" x14ac:dyDescent="0.25">
      <c r="D189" s="30" t="str" cm="1">
        <f t="array" ref="D189">Common_InputFunctions.Utility_DisplayArrayInTable(Common_SourceData.Common_SourceData_EFN2O_Data(), Table_SourceData_Common_EFN2O[[#Headers],[Production system j]], 0)</f>
        <v>Non-irrigated pasture</v>
      </c>
      <c r="E189" s="30" cm="1">
        <f t="array" ref="E189">Common_InputFunctions.Utility_DisplayArrayInTable(Common_SourceData.Common_SourceData_EFN2O_Data(), Table_SourceData_Common_EFN2O[[#Headers],[Production system j]], 0)</f>
        <v>1.8E-3</v>
      </c>
      <c r="F189" s="30" t="str" cm="1">
        <f t="array" ref="F189">Common_InputFunctions.Utility_DisplayArrayInTable(Common_SourceData.Common_SourceData_EFN2O_Data(), Table_SourceData_Common_EFN2O[[#Headers],[Production system j]], 0)</f>
        <v>Pasture</v>
      </c>
      <c r="G189" s="30" t="str" cm="1">
        <f t="array" ref="G189">Common_InputFunctions.Utility_DisplayArrayInTable(Common_SourceData.Common_SourceData_EFN2O_Data(), Table_SourceData_Common_EFN2O[[#Headers],[Production system j]], 0)</f>
        <v>Not irrigated</v>
      </c>
      <c r="H189" s="30"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0" t="str" cm="1">
        <f t="array" ref="D190">Common_InputFunctions.Utility_DisplayArrayInTable(Common_SourceData.Common_SourceData_EFN2O_Data(), Table_SourceData_Common_EFN2O[[#Headers],[Production system j]], 0)</f>
        <v>Non-irrigated pasture</v>
      </c>
      <c r="E190" s="30" cm="1">
        <f t="array" ref="E190">Common_InputFunctions.Utility_DisplayArrayInTable(Common_SourceData.Common_SourceData_EFN2O_Data(), Table_SourceData_Common_EFN2O[[#Headers],[Production system j]], 0)</f>
        <v>1.8E-3</v>
      </c>
      <c r="F190" s="30" t="str" cm="1">
        <f t="array" ref="F190">Common_InputFunctions.Utility_DisplayArrayInTable(Common_SourceData.Common_SourceData_EFN2O_Data(), Table_SourceData_Common_EFN2O[[#Headers],[Production system j]], 0)</f>
        <v>Pasture</v>
      </c>
      <c r="G190" s="30" t="str" cm="1">
        <f t="array" ref="G190">Common_InputFunctions.Utility_DisplayArrayInTable(Common_SourceData.Common_SourceData_EFN2O_Data(), Table_SourceData_Common_EFN2O[[#Headers],[Production system j]], 0)</f>
        <v>Not irrigated</v>
      </c>
      <c r="H190" s="30"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0" t="str" cm="1">
        <f t="array" ref="D191">Common_InputFunctions.Utility_DisplayArrayInTable(Common_SourceData.Common_SourceData_EFN2O_Data(), Table_SourceData_Common_EFN2O[[#Headers],[Production system j]], 0)</f>
        <v>Non-irrigated crop (low rainfall)</v>
      </c>
      <c r="E191" s="30" cm="1">
        <f t="array" ref="E191">Common_InputFunctions.Utility_DisplayArrayInTable(Common_SourceData.Common_SourceData_EFN2O_Data(), Table_SourceData_Common_EFN2O[[#Headers],[Production system j]], 0)</f>
        <v>2.8999999999999998E-3</v>
      </c>
      <c r="F191" s="30" t="str" cm="1">
        <f t="array" ref="F191">Common_InputFunctions.Utility_DisplayArrayInTable(Common_SourceData.Common_SourceData_EFN2O_Data(), Table_SourceData_Common_EFN2O[[#Headers],[Production system j]], 0)</f>
        <v>Crop</v>
      </c>
      <c r="G191" s="30" t="str" cm="1">
        <f t="array" ref="G191">Common_InputFunctions.Utility_DisplayArrayInTable(Common_SourceData.Common_SourceData_EFN2O_Data(), Table_SourceData_Common_EFN2O[[#Headers],[Production system j]], 0)</f>
        <v>Not irrigated</v>
      </c>
      <c r="H191" s="30"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0" t="str" cm="1">
        <f t="array" ref="D192">Common_InputFunctions.Utility_DisplayArrayInTable(Common_SourceData.Common_SourceData_EFN2O_Data(), Table_SourceData_Common_EFN2O[[#Headers],[Production system j]], 0)</f>
        <v>Non-irrigated crop (high rainfall)</v>
      </c>
      <c r="E192" s="30" cm="1">
        <f t="array" ref="E192">Common_InputFunctions.Utility_DisplayArrayInTable(Common_SourceData.Common_SourceData_EFN2O_Data(), Table_SourceData_Common_EFN2O[[#Headers],[Production system j]], 0)</f>
        <v>8.0000000000000002E-3</v>
      </c>
      <c r="F192" s="30" t="str" cm="1">
        <f t="array" ref="F192">Common_InputFunctions.Utility_DisplayArrayInTable(Common_SourceData.Common_SourceData_EFN2O_Data(), Table_SourceData_Common_EFN2O[[#Headers],[Production system j]], 0)</f>
        <v>Crop</v>
      </c>
      <c r="G192" s="30" t="str" cm="1">
        <f t="array" ref="G192">Common_InputFunctions.Utility_DisplayArrayInTable(Common_SourceData.Common_SourceData_EFN2O_Data(), Table_SourceData_Common_EFN2O[[#Headers],[Production system j]], 0)</f>
        <v>Not irrigated</v>
      </c>
      <c r="H192" s="30"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0" t="str" cm="1">
        <f t="array" ref="D193">Common_InputFunctions.Utility_DisplayArrayInTable(Common_SourceData.Common_SourceData_EFN2O_Data(), Table_SourceData_Common_EFN2O[[#Headers],[Production system j]], 0)</f>
        <v>Sugar</v>
      </c>
      <c r="E193" s="30" cm="1">
        <f t="array" ref="E193">Common_InputFunctions.Utility_DisplayArrayInTable(Common_SourceData.Common_SourceData_EFN2O_Data(), Table_SourceData_Common_EFN2O[[#Headers],[Production system j]], 0)</f>
        <v>1.9900000000000001E-2</v>
      </c>
      <c r="F193" s="30" t="str" cm="1">
        <f t="array" ref="F193">Common_InputFunctions.Utility_DisplayArrayInTable(Common_SourceData.Common_SourceData_EFN2O_Data(), Table_SourceData_Common_EFN2O[[#Headers],[Production system j]], 0)</f>
        <v>Sugar</v>
      </c>
      <c r="G193" s="30" t="str" cm="1">
        <f t="array" ref="G193">Common_InputFunctions.Utility_DisplayArrayInTable(Common_SourceData.Common_SourceData_EFN2O_Data(), Table_SourceData_Common_EFN2O[[#Headers],[Production system j]], 0)</f>
        <v>Any</v>
      </c>
      <c r="H193" s="30" t="str" cm="1">
        <f t="array" ref="H193">Common_InputFunctions.Utility_DisplayArrayInTable(Common_SourceData.Common_SourceData_EFN2O_Data(), Table_SourceData_Common_EFN2O[[#Headers],[Production system j]], 0)</f>
        <v>Any</v>
      </c>
    </row>
    <row r="194" spans="4:8" ht="20.100000000000001" customHeight="1" x14ac:dyDescent="0.25">
      <c r="D194" s="30" t="str" cm="1">
        <f t="array" ref="D194">Common_InputFunctions.Utility_DisplayArrayInTable(Common_SourceData.Common_SourceData_EFN2O_Data(), Table_SourceData_Common_EFN2O[[#Headers],[Production system j]], 0)</f>
        <v>Cotton</v>
      </c>
      <c r="E194" s="30" cm="1">
        <f t="array" ref="E194">Common_InputFunctions.Utility_DisplayArrayInTable(Common_SourceData.Common_SourceData_EFN2O_Data(), Table_SourceData_Common_EFN2O[[#Headers],[Production system j]], 0)</f>
        <v>5.3E-3</v>
      </c>
      <c r="F194" s="30" t="str" cm="1">
        <f t="array" ref="F194">Common_InputFunctions.Utility_DisplayArrayInTable(Common_SourceData.Common_SourceData_EFN2O_Data(), Table_SourceData_Common_EFN2O[[#Headers],[Production system j]], 0)</f>
        <v>Cotton</v>
      </c>
      <c r="G194" s="30" t="str" cm="1">
        <f t="array" ref="G194">Common_InputFunctions.Utility_DisplayArrayInTable(Common_SourceData.Common_SourceData_EFN2O_Data(), Table_SourceData_Common_EFN2O[[#Headers],[Production system j]], 0)</f>
        <v>Any</v>
      </c>
      <c r="H194" s="30" t="str" cm="1">
        <f t="array" ref="H194">Common_InputFunctions.Utility_DisplayArrayInTable(Common_SourceData.Common_SourceData_EFN2O_Data(), Table_SourceData_Common_EFN2O[[#Headers],[Production system j]], 0)</f>
        <v>Any</v>
      </c>
    </row>
    <row r="195" spans="4:8" ht="20.100000000000001" customHeight="1" x14ac:dyDescent="0.25">
      <c r="D195" s="30" t="str" cm="1">
        <f t="array" ref="D195">Common_InputFunctions.Utility_DisplayArrayInTable(Common_SourceData.Common_SourceData_EFN2O_Data(), Table_SourceData_Common_EFN2O[[#Headers],[Production system j]], 0)</f>
        <v>Horticultural crops</v>
      </c>
      <c r="E195" s="30" cm="1">
        <f t="array" ref="E195">Common_InputFunctions.Utility_DisplayArrayInTable(Common_SourceData.Common_SourceData_EFN2O_Data(), Table_SourceData_Common_EFN2O[[#Headers],[Production system j]], 0)</f>
        <v>6.4000000000000003E-3</v>
      </c>
      <c r="F195" s="30" t="str" cm="1">
        <f t="array" ref="F195">Common_InputFunctions.Utility_DisplayArrayInTable(Common_SourceData.Common_SourceData_EFN2O_Data(), Table_SourceData_Common_EFN2O[[#Headers],[Production system j]], 0)</f>
        <v>Horticultural crops</v>
      </c>
      <c r="G195" s="30" t="str" cm="1">
        <f t="array" ref="G195">Common_InputFunctions.Utility_DisplayArrayInTable(Common_SourceData.Common_SourceData_EFN2O_Data(), Table_SourceData_Common_EFN2O[[#Headers],[Production system j]], 0)</f>
        <v>Any</v>
      </c>
      <c r="H195" s="30" t="str" cm="1">
        <f t="array" ref="H195">Common_InputFunctions.Utility_DisplayArrayInTable(Common_SourceData.Common_SourceData_EFN2O_Data(), Table_SourceData_Common_EFN2O[[#Headers],[Production system j]], 0)</f>
        <v>Any</v>
      </c>
    </row>
    <row r="196" spans="4:8" ht="20.100000000000001" customHeight="1" x14ac:dyDescent="0.25">
      <c r="D196" s="30" t="str" cm="1">
        <f t="array" ref="D196">Common_InputFunctions.Utility_DisplayArrayInTable(Common_SourceData.Common_SourceData_EFN2O_Data(), Table_SourceData_Common_EFN2O[[#Headers],[Production system j]], 0)</f>
        <v>Rice (continuous flooding)</v>
      </c>
      <c r="E196" s="30" cm="1">
        <f t="array" ref="E196">Common_InputFunctions.Utility_DisplayArrayInTable(Common_SourceData.Common_SourceData_EFN2O_Data(), Table_SourceData_Common_EFN2O[[#Headers],[Production system j]], 0)</f>
        <v>3.0000000000000001E-3</v>
      </c>
      <c r="F196" s="30" t="str" cm="1">
        <f t="array" ref="F196">Common_InputFunctions.Utility_DisplayArrayInTable(Common_SourceData.Common_SourceData_EFN2O_Data(), Table_SourceData_Common_EFN2O[[#Headers],[Production system j]], 0)</f>
        <v>Rice</v>
      </c>
      <c r="G196" s="30" t="str" cm="1">
        <f t="array" ref="G196">Common_InputFunctions.Utility_DisplayArrayInTable(Common_SourceData.Common_SourceData_EFN2O_Data(), Table_SourceData_Common_EFN2O[[#Headers],[Production system j]], 0)</f>
        <v>Continuous flooding</v>
      </c>
      <c r="H196" s="30" t="str" cm="1">
        <f t="array" ref="H196">Common_InputFunctions.Utility_DisplayArrayInTable(Common_SourceData.Common_SourceData_EFN2O_Data(), Table_SourceData_Common_EFN2O[[#Headers],[Production system j]], 0)</f>
        <v>Any</v>
      </c>
    </row>
    <row r="197" spans="4:8" x14ac:dyDescent="0.25">
      <c r="D197" s="30" t="str" cm="1">
        <f t="array" ref="D197">Common_InputFunctions.Utility_DisplayArrayInTable(Common_SourceData.Common_SourceData_EFN2O_Data(), Table_SourceData_Common_EFN2O[[#Headers],[Production system j]], 0)</f>
        <v>Rice (single and multiple drainage, or alternate wetting and drying)</v>
      </c>
      <c r="E197" s="30" cm="1">
        <f t="array" ref="E197">Common_InputFunctions.Utility_DisplayArrayInTable(Common_SourceData.Common_SourceData_EFN2O_Data(), Table_SourceData_Common_EFN2O[[#Headers],[Production system j]], 0)</f>
        <v>5.0000000000000001E-3</v>
      </c>
      <c r="F197" s="30" t="str" cm="1">
        <f t="array" ref="F197">Common_InputFunctions.Utility_DisplayArrayInTable(Common_SourceData.Common_SourceData_EFN2O_Data(), Table_SourceData_Common_EFN2O[[#Headers],[Production system j]], 0)</f>
        <v>Rice</v>
      </c>
      <c r="G197" s="30" t="str" cm="1">
        <f t="array" ref="G197">Common_InputFunctions.Utility_DisplayArrayInTable(Common_SourceData.Common_SourceData_EFN2O_Data(), Table_SourceData_Common_EFN2O[[#Headers],[Production system j]], 0)</f>
        <v>Single and multiple drainage, or alternate wetting and drying</v>
      </c>
      <c r="H197" s="30" t="str" cm="1">
        <f t="array" ref="H197">Common_InputFunctions.Utility_DisplayArrayInTable(Common_SourceData.Common_SourceData_EFN2O_Data(), Table_SourceData_Common_EFN2O[[#Headers],[Production system j]], 0)</f>
        <v>Any</v>
      </c>
    </row>
    <row r="198" spans="4:8" x14ac:dyDescent="0.25">
      <c r="D198" s="30" t="str" cm="1">
        <f t="array" ref="D198">Common_InputFunctions.Utility_DisplayArrayInTable(Common_SourceData.Common_SourceData_EFN2O_Data(), Table_SourceData_Common_EFN2O[[#Headers],[Production system j]], 0)</f>
        <v>Aquaculture</v>
      </c>
      <c r="E198" s="30" cm="1">
        <f t="array" ref="E198">Common_InputFunctions.Utility_DisplayArrayInTable(Common_SourceData.Common_SourceData_EFN2O_Data(), Table_SourceData_Common_EFN2O[[#Headers],[Production system j]], 0)</f>
        <v>2.5999999999999999E-3</v>
      </c>
      <c r="F198" s="30" t="str" cm="1">
        <f t="array" ref="F198">Common_InputFunctions.Utility_DisplayArrayInTable(Common_SourceData.Common_SourceData_EFN2O_Data(), Table_SourceData_Common_EFN2O[[#Headers],[Production system j]], 0)</f>
        <v>Aquaculture</v>
      </c>
      <c r="G198" s="30" t="str" cm="1">
        <f t="array" ref="G198">Common_InputFunctions.Utility_DisplayArrayInTable(Common_SourceData.Common_SourceData_EFN2O_Data(), Table_SourceData_Common_EFN2O[[#Headers],[Production system j]], 0)</f>
        <v>Any</v>
      </c>
      <c r="H198" s="30" t="str" cm="1">
        <f t="array" ref="H198">Common_InputFunctions.Utility_DisplayArrayInTable(Common_SourceData.Common_SourceData_EFN2O_Data(), Table_SourceData_Common_EFN2O[[#Headers],[Production system j]], 0)</f>
        <v>Any</v>
      </c>
    </row>
    <row r="199" spans="4:8" x14ac:dyDescent="0.25">
      <c r="D199" s="30" t="str" cm="1">
        <f t="array" ref="D199">Common_InputFunctions.Utility_DisplayArrayInTable(Common_SourceData.Common_SourceData_EFN2O_Data(), Table_SourceData_Common_EFN2O[[#Headers],[Production system j]], 0)</f>
        <v>Forestry</v>
      </c>
      <c r="E199" s="30" cm="1">
        <f t="array" ref="E199">Common_InputFunctions.Utility_DisplayArrayInTable(Common_SourceData.Common_SourceData_EFN2O_Data(), Table_SourceData_Common_EFN2O[[#Headers],[Production system j]], 0)</f>
        <v>1.8E-3</v>
      </c>
      <c r="F199" s="30" t="str" cm="1">
        <f t="array" ref="F199">Common_InputFunctions.Utility_DisplayArrayInTable(Common_SourceData.Common_SourceData_EFN2O_Data(), Table_SourceData_Common_EFN2O[[#Headers],[Production system j]], 0)</f>
        <v>Forestry</v>
      </c>
      <c r="G199" s="30" t="str" cm="1">
        <f t="array" ref="G199">Common_InputFunctions.Utility_DisplayArrayInTable(Common_SourceData.Common_SourceData_EFN2O_Data(), Table_SourceData_Common_EFN2O[[#Headers],[Production system j]], 0)</f>
        <v>Any</v>
      </c>
      <c r="H199" s="30" t="str" cm="1">
        <f t="array" ref="H199">Common_InputFunctions.Utility_DisplayArrayInTable(Common_SourceData.Common_SourceData_EFN2O_Data(), Table_SourceData_Common_EFN2O[[#Headers],[Production system j]], 0)</f>
        <v>Any</v>
      </c>
    </row>
    <row r="202" spans="4:8" ht="23.25" x14ac:dyDescent="0.25">
      <c r="D202" s="2" t="str" cm="1">
        <f t="array" ref="D202">Common_SourceData.Common_SourceData_EFPastureRangeAndPaddock_Title()</f>
        <v>Emission factor for urine and dung deposited on pasture, range or paddock</v>
      </c>
    </row>
    <row r="203" spans="4:8" x14ac:dyDescent="0.25">
      <c r="D203" s="27" t="str" cm="1">
        <f t="array" ref="D203">Common_SourceData.Common_SourceData_EFPastureRangeAndPaddock_Source()</f>
        <v>VEERG 2026: Table A.2.2.2</v>
      </c>
    </row>
    <row r="204" spans="4:8" x14ac:dyDescent="0.25">
      <c r="D204" s="36" t="str" cm="1">
        <f t="array" ref="D204">Common_SourceData.Common_SourceData_EFPastureRangeAndPaddock_Variation()</f>
        <v>VARIATION FROM SOURCE DATA: Changed 'Dry climate zones' to singular 'Dry climate zone' to aid lookup.</v>
      </c>
    </row>
    <row r="205" spans="4:8" x14ac:dyDescent="0.25">
      <c r="D205" s="15" t="str" cm="1">
        <f t="array" ref="D205">Common_SourceData.Common_SourceData_EFPastureRangeAndPaddock_Unit()</f>
        <v>kg N2O - N / kg N</v>
      </c>
    </row>
    <row r="206" spans="4:8" x14ac:dyDescent="0.25">
      <c r="D206" s="30" t="s">
        <v>42</v>
      </c>
      <c r="E206" s="30" t="s">
        <v>76</v>
      </c>
    </row>
    <row r="207" spans="4:8" x14ac:dyDescent="0.25">
      <c r="D207" s="30" t="str" cm="1">
        <f t="array" ref="D207">Common_InputFunctions.Utility_DisplayArrayInTable(Common_SourceData.Common_SourceData_EFPastureRangeAndPaddock_Data(), Table_SourceData_EFPastureRangeAndPaddock[[#Headers],[Climate zone]], 0)</f>
        <v>Wet climate zone</v>
      </c>
      <c r="E207" s="30"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0"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0" t="s">
        <v>77</v>
      </c>
      <c r="E212" s="30" t="s">
        <v>78</v>
      </c>
    </row>
    <row r="213" spans="4:5" x14ac:dyDescent="0.25">
      <c r="D213" s="30" t="str" cm="1">
        <f t="array" ref="D213">Common_InputFunctions.Utility_DisplayArrayInTable(Common_SourceData.Common_SourceData_MonthsToSeasons_Data(), Table_SourceData_Common_MonthToSeason[[#Headers],[Month]], 0)</f>
        <v>January</v>
      </c>
      <c r="E213" s="30"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0"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0"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0"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0"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0"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0"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0"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0"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0"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0"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0" t="str" cm="1">
        <f t="array" ref="E224">Common_InputFunctions.Utility_DisplayArrayInTable(Common_SourceData.Common_SourceData_MonthsToSeasons_Data(), Table_SourceData_Common_MonthToSeason[[#Headers],[Month]], 0)</f>
        <v>Summer</v>
      </c>
    </row>
    <row r="227" spans="4:19" ht="23.25" x14ac:dyDescent="0.25">
      <c r="D227" s="2" t="str" cm="1">
        <f t="array" ref="D227">Common_SourceData.Common_SourceData_MCFTemperatureZone_Title()</f>
        <v>Manure Management – Methane conversion factor per temperature zone (fraction) (MCFim)</v>
      </c>
    </row>
    <row r="228" spans="4:19" x14ac:dyDescent="0.25">
      <c r="D228" s="27" t="str" cm="1">
        <f t="array" ref="D228">Common_SourceData.Common_SourceData_MCFTemperatureZone_Source()</f>
        <v>VEERG 2026: Table A.1.8.1</v>
      </c>
    </row>
    <row r="229" spans="4:19" x14ac:dyDescent="0.25">
      <c r="D229" s="36"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0" t="s">
        <v>79</v>
      </c>
      <c r="E231" s="30" t="s">
        <v>80</v>
      </c>
      <c r="F231" s="37" t="s">
        <v>81</v>
      </c>
      <c r="G231" s="30" t="s">
        <v>82</v>
      </c>
      <c r="H231" s="30" t="s">
        <v>83</v>
      </c>
      <c r="I231" s="30" t="s">
        <v>84</v>
      </c>
      <c r="J231" s="30" t="s">
        <v>85</v>
      </c>
      <c r="K231" s="30" t="s">
        <v>86</v>
      </c>
      <c r="L231" s="30" t="s">
        <v>87</v>
      </c>
      <c r="M231" s="30" t="s">
        <v>88</v>
      </c>
      <c r="N231" s="30" t="s">
        <v>89</v>
      </c>
      <c r="O231" s="30" t="s">
        <v>90</v>
      </c>
      <c r="P231" s="30" t="s">
        <v>91</v>
      </c>
      <c r="Q231" s="30" t="s">
        <v>92</v>
      </c>
      <c r="R231" s="30" t="s">
        <v>93</v>
      </c>
      <c r="S231" s="30" t="s">
        <v>94</v>
      </c>
    </row>
    <row r="232" spans="4:19" x14ac:dyDescent="0.25">
      <c r="D232" s="30" t="str" cm="1">
        <f t="array" ref="D232">Common_InputFunctions.Utility_DisplayArrayInTable(Common_SourceData.Common_SourceData_MCFTemperatureZone_Data(),Table_SourceData_Common_MCFTemperatureZone[[#Headers],[Temperature zone]],0)</f>
        <v>Cool</v>
      </c>
      <c r="E232" s="30" t="str" cm="1">
        <f t="array" ref="E232">Common_InputFunctions.Utility_DisplayArrayInTable(Common_SourceData.Common_SourceData_MCFTemperatureZone_Data(),Table_SourceData_Common_MCFTemperatureZone[[#Headers],[Temperature zone]],0)</f>
        <v>≤10</v>
      </c>
      <c r="F232" s="30" cm="1">
        <f t="array" ref="F232">Common_InputFunctions.Utility_DisplayArrayInTable(Common_SourceData.Common_SourceData_MCFTemperatureZone_Data(),Table_SourceData_Common_MCFTemperatureZone[[#Headers],[Temperature zone]],0)</f>
        <v>0.66</v>
      </c>
      <c r="G232" s="30" cm="1">
        <f t="array" ref="G232">Common_InputFunctions.Utility_DisplayArrayInTable(Common_SourceData.Common_SourceData_MCFTemperatureZone_Data(),Table_SourceData_Common_MCFTemperatureZone[[#Headers],[Temperature zone]],0)</f>
        <v>0.1</v>
      </c>
      <c r="H232" s="30" cm="1">
        <f t="array" ref="H232">Common_InputFunctions.Utility_DisplayArrayInTable(Common_SourceData.Common_SourceData_MCFTemperatureZone_Data(),Table_SourceData_Common_MCFTemperatureZone[[#Headers],[Temperature zone]],0)</f>
        <v>0.1</v>
      </c>
      <c r="I232" s="30" cm="1">
        <f t="array" ref="I232">Common_InputFunctions.Utility_DisplayArrayInTable(Common_SourceData.Common_SourceData_MCFTemperatureZone_Data(),Table_SourceData_Common_MCFTemperatureZone[[#Headers],[Temperature zone]],0)</f>
        <v>1E-3</v>
      </c>
      <c r="J232" s="30" cm="1">
        <f t="array" ref="J232">Common_InputFunctions.Utility_DisplayArrayInTable(Common_SourceData.Common_SourceData_MCFTemperatureZone_Data(),Table_SourceData_Common_MCFTemperatureZone[[#Headers],[Temperature zone]],0)</f>
        <v>5.0000000000000001E-3</v>
      </c>
      <c r="K232" s="30" cm="1">
        <f t="array" ref="K232">Common_InputFunctions.Utility_DisplayArrayInTable(Common_SourceData.Common_SourceData_MCFTemperatureZone_Data(),Table_SourceData_Common_MCFTemperatureZone[[#Headers],[Temperature zone]],0)</f>
        <v>0.02</v>
      </c>
      <c r="L232" s="30" cm="1">
        <f t="array" ref="L232">Common_InputFunctions.Utility_DisplayArrayInTable(Common_SourceData.Common_SourceData_MCFTemperatureZone_Data(),Table_SourceData_Common_MCFTemperatureZone[[#Headers],[Temperature zone]],0)</f>
        <v>0.03</v>
      </c>
      <c r="M232" s="30" cm="1">
        <f t="array" ref="M232">Common_InputFunctions.Utility_DisplayArrayInTable(Common_SourceData.Common_SourceData_MCFTemperatureZone_Data(),Table_SourceData_Common_MCFTemperatureZone[[#Headers],[Temperature zone]],0)</f>
        <v>0.04</v>
      </c>
      <c r="N232" s="30" cm="1">
        <f t="array" ref="N232">Common_InputFunctions.Utility_DisplayArrayInTable(Common_SourceData.Common_SourceData_MCFTemperatureZone_Data(),Table_SourceData_Common_MCFTemperatureZone[[#Headers],[Temperature zone]],0)</f>
        <v>1.4999999999999999E-2</v>
      </c>
      <c r="O232" s="30" cm="1">
        <f t="array" ref="O232">Common_InputFunctions.Utility_DisplayArrayInTable(Common_SourceData.Common_SourceData_MCFTemperatureZone_Data(),Table_SourceData_Common_MCFTemperatureZone[[#Headers],[Temperature zone]],0)</f>
        <v>1.4999999999999999E-2</v>
      </c>
      <c r="P232" s="30" cm="1">
        <f t="array" ref="P232">Common_InputFunctions.Utility_DisplayArrayInTable(Common_SourceData.Common_SourceData_MCFTemperatureZone_Data(),Table_SourceData_Common_MCFTemperatureZone[[#Headers],[Temperature zone]],0)</f>
        <v>0</v>
      </c>
      <c r="Q232" s="30" cm="1">
        <f t="array" ref="Q232">Common_InputFunctions.Utility_DisplayArrayInTable(Common_SourceData.Common_SourceData_MCFTemperatureZone_Data(),Table_SourceData_Common_MCFTemperatureZone[[#Headers],[Temperature zone]],0)</f>
        <v>0</v>
      </c>
      <c r="R232" s="30" cm="1">
        <f t="array" ref="R232">Common_InputFunctions.Utility_DisplayArrayInTable(Common_SourceData.Common_SourceData_MCFTemperatureZone_Data(),Table_SourceData_Common_MCFTemperatureZone[[#Headers],[Temperature zone]],0)</f>
        <v>4.7000000000000002E-3</v>
      </c>
      <c r="S232" s="30"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0" cm="1">
        <f t="array" ref="E233">Common_InputFunctions.Utility_DisplayArrayInTable(Common_SourceData.Common_SourceData_MCFTemperatureZone_Data(),Table_SourceData_Common_MCFTemperatureZone[[#Headers],[Temperature zone]],0)</f>
        <v>11</v>
      </c>
      <c r="F233" s="30" cm="1">
        <f t="array" ref="F233">Common_InputFunctions.Utility_DisplayArrayInTable(Common_SourceData.Common_SourceData_MCFTemperatureZone_Data(),Table_SourceData_Common_MCFTemperatureZone[[#Headers],[Temperature zone]],0)</f>
        <v>0.68</v>
      </c>
      <c r="G233" s="30" cm="1">
        <f t="array" ref="G233">Common_InputFunctions.Utility_DisplayArrayInTable(Common_SourceData.Common_SourceData_MCFTemperatureZone_Data(),Table_SourceData_Common_MCFTemperatureZone[[#Headers],[Temperature zone]],0)</f>
        <v>0.1</v>
      </c>
      <c r="H233" s="30" cm="1">
        <f t="array" ref="H233">Common_InputFunctions.Utility_DisplayArrayInTable(Common_SourceData.Common_SourceData_MCFTemperatureZone_Data(),Table_SourceData_Common_MCFTemperatureZone[[#Headers],[Temperature zone]],0)</f>
        <v>0.11</v>
      </c>
      <c r="I233" s="30" cm="1">
        <f t="array" ref="I233">Common_InputFunctions.Utility_DisplayArrayInTable(Common_SourceData.Common_SourceData_MCFTemperatureZone_Data(),Table_SourceData_Common_MCFTemperatureZone[[#Headers],[Temperature zone]],0)</f>
        <v>1E-3</v>
      </c>
      <c r="J233" s="30" cm="1">
        <f t="array" ref="J233">Common_InputFunctions.Utility_DisplayArrayInTable(Common_SourceData.Common_SourceData_MCFTemperatureZone_Data(),Table_SourceData_Common_MCFTemperatureZone[[#Headers],[Temperature zone]],0)</f>
        <v>5.0000000000000001E-3</v>
      </c>
      <c r="K233" s="30" cm="1">
        <f t="array" ref="K233">Common_InputFunctions.Utility_DisplayArrayInTable(Common_SourceData.Common_SourceData_MCFTemperatureZone_Data(),Table_SourceData_Common_MCFTemperatureZone[[#Headers],[Temperature zone]],0)</f>
        <v>0.02</v>
      </c>
      <c r="L233" s="30" cm="1">
        <f t="array" ref="L233">Common_InputFunctions.Utility_DisplayArrayInTable(Common_SourceData.Common_SourceData_MCFTemperatureZone_Data(),Table_SourceData_Common_MCFTemperatureZone[[#Headers],[Temperature zone]],0)</f>
        <v>0.03</v>
      </c>
      <c r="M233" s="30" cm="1">
        <f t="array" ref="M233">Common_InputFunctions.Utility_DisplayArrayInTable(Common_SourceData.Common_SourceData_MCFTemperatureZone_Data(),Table_SourceData_Common_MCFTemperatureZone[[#Headers],[Temperature zone]],0)</f>
        <v>0.04</v>
      </c>
      <c r="N233" s="30" cm="1">
        <f t="array" ref="N233">Common_InputFunctions.Utility_DisplayArrayInTable(Common_SourceData.Common_SourceData_MCFTemperatureZone_Data(),Table_SourceData_Common_MCFTemperatureZone[[#Headers],[Temperature zone]],0)</f>
        <v>1.4999999999999999E-2</v>
      </c>
      <c r="O233" s="30" cm="1">
        <f t="array" ref="O233">Common_InputFunctions.Utility_DisplayArrayInTable(Common_SourceData.Common_SourceData_MCFTemperatureZone_Data(),Table_SourceData_Common_MCFTemperatureZone[[#Headers],[Temperature zone]],0)</f>
        <v>1.4999999999999999E-2</v>
      </c>
      <c r="P233" s="30" cm="1">
        <f t="array" ref="P233">Common_InputFunctions.Utility_DisplayArrayInTable(Common_SourceData.Common_SourceData_MCFTemperatureZone_Data(),Table_SourceData_Common_MCFTemperatureZone[[#Headers],[Temperature zone]],0)</f>
        <v>0</v>
      </c>
      <c r="Q233" s="30" cm="1">
        <f t="array" ref="Q233">Common_InputFunctions.Utility_DisplayArrayInTable(Common_SourceData.Common_SourceData_MCFTemperatureZone_Data(),Table_SourceData_Common_MCFTemperatureZone[[#Headers],[Temperature zone]],0)</f>
        <v>0</v>
      </c>
      <c r="R233" s="30" cm="1">
        <f t="array" ref="R233">Common_InputFunctions.Utility_DisplayArrayInTable(Common_SourceData.Common_SourceData_MCFTemperatureZone_Data(),Table_SourceData_Common_MCFTemperatureZone[[#Headers],[Temperature zone]],0)</f>
        <v>4.7000000000000002E-3</v>
      </c>
      <c r="S233" s="30"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0" cm="1">
        <f t="array" ref="E234">Common_InputFunctions.Utility_DisplayArrayInTable(Common_SourceData.Common_SourceData_MCFTemperatureZone_Data(),Table_SourceData_Common_MCFTemperatureZone[[#Headers],[Temperature zone]],0)</f>
        <v>12</v>
      </c>
      <c r="F234" s="30" cm="1">
        <f t="array" ref="F234">Common_InputFunctions.Utility_DisplayArrayInTable(Common_SourceData.Common_SourceData_MCFTemperatureZone_Data(),Table_SourceData_Common_MCFTemperatureZone[[#Headers],[Temperature zone]],0)</f>
        <v>0.7</v>
      </c>
      <c r="G234" s="30" cm="1">
        <f t="array" ref="G234">Common_InputFunctions.Utility_DisplayArrayInTable(Common_SourceData.Common_SourceData_MCFTemperatureZone_Data(),Table_SourceData_Common_MCFTemperatureZone[[#Headers],[Temperature zone]],0)</f>
        <v>0.1</v>
      </c>
      <c r="H234" s="30" cm="1">
        <f t="array" ref="H234">Common_InputFunctions.Utility_DisplayArrayInTable(Common_SourceData.Common_SourceData_MCFTemperatureZone_Data(),Table_SourceData_Common_MCFTemperatureZone[[#Headers],[Temperature zone]],0)</f>
        <v>0.13</v>
      </c>
      <c r="I234" s="30" cm="1">
        <f t="array" ref="I234">Common_InputFunctions.Utility_DisplayArrayInTable(Common_SourceData.Common_SourceData_MCFTemperatureZone_Data(),Table_SourceData_Common_MCFTemperatureZone[[#Headers],[Temperature zone]],0)</f>
        <v>1E-3</v>
      </c>
      <c r="J234" s="30" cm="1">
        <f t="array" ref="J234">Common_InputFunctions.Utility_DisplayArrayInTable(Common_SourceData.Common_SourceData_MCFTemperatureZone_Data(),Table_SourceData_Common_MCFTemperatureZone[[#Headers],[Temperature zone]],0)</f>
        <v>5.0000000000000001E-3</v>
      </c>
      <c r="K234" s="30" cm="1">
        <f t="array" ref="K234">Common_InputFunctions.Utility_DisplayArrayInTable(Common_SourceData.Common_SourceData_MCFTemperatureZone_Data(),Table_SourceData_Common_MCFTemperatureZone[[#Headers],[Temperature zone]],0)</f>
        <v>0.02</v>
      </c>
      <c r="L234" s="30" cm="1">
        <f t="array" ref="L234">Common_InputFunctions.Utility_DisplayArrayInTable(Common_SourceData.Common_SourceData_MCFTemperatureZone_Data(),Table_SourceData_Common_MCFTemperatureZone[[#Headers],[Temperature zone]],0)</f>
        <v>0.03</v>
      </c>
      <c r="M234" s="30" cm="1">
        <f t="array" ref="M234">Common_InputFunctions.Utility_DisplayArrayInTable(Common_SourceData.Common_SourceData_MCFTemperatureZone_Data(),Table_SourceData_Common_MCFTemperatureZone[[#Headers],[Temperature zone]],0)</f>
        <v>0.04</v>
      </c>
      <c r="N234" s="30" cm="1">
        <f t="array" ref="N234">Common_InputFunctions.Utility_DisplayArrayInTable(Common_SourceData.Common_SourceData_MCFTemperatureZone_Data(),Table_SourceData_Common_MCFTemperatureZone[[#Headers],[Temperature zone]],0)</f>
        <v>1.4999999999999999E-2</v>
      </c>
      <c r="O234" s="30" cm="1">
        <f t="array" ref="O234">Common_InputFunctions.Utility_DisplayArrayInTable(Common_SourceData.Common_SourceData_MCFTemperatureZone_Data(),Table_SourceData_Common_MCFTemperatureZone[[#Headers],[Temperature zone]],0)</f>
        <v>1.4999999999999999E-2</v>
      </c>
      <c r="P234" s="30" cm="1">
        <f t="array" ref="P234">Common_InputFunctions.Utility_DisplayArrayInTable(Common_SourceData.Common_SourceData_MCFTemperatureZone_Data(),Table_SourceData_Common_MCFTemperatureZone[[#Headers],[Temperature zone]],0)</f>
        <v>0</v>
      </c>
      <c r="Q234" s="30" cm="1">
        <f t="array" ref="Q234">Common_InputFunctions.Utility_DisplayArrayInTable(Common_SourceData.Common_SourceData_MCFTemperatureZone_Data(),Table_SourceData_Common_MCFTemperatureZone[[#Headers],[Temperature zone]],0)</f>
        <v>0</v>
      </c>
      <c r="R234" s="30" cm="1">
        <f t="array" ref="R234">Common_InputFunctions.Utility_DisplayArrayInTable(Common_SourceData.Common_SourceData_MCFTemperatureZone_Data(),Table_SourceData_Common_MCFTemperatureZone[[#Headers],[Temperature zone]],0)</f>
        <v>4.7000000000000002E-3</v>
      </c>
      <c r="S234" s="30"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0" cm="1">
        <f t="array" ref="E235">Common_InputFunctions.Utility_DisplayArrayInTable(Common_SourceData.Common_SourceData_MCFTemperatureZone_Data(),Table_SourceData_Common_MCFTemperatureZone[[#Headers],[Temperature zone]],0)</f>
        <v>13</v>
      </c>
      <c r="F235" s="30" cm="1">
        <f t="array" ref="F235">Common_InputFunctions.Utility_DisplayArrayInTable(Common_SourceData.Common_SourceData_MCFTemperatureZone_Data(),Table_SourceData_Common_MCFTemperatureZone[[#Headers],[Temperature zone]],0)</f>
        <v>0.71</v>
      </c>
      <c r="G235" s="30" cm="1">
        <f t="array" ref="G235">Common_InputFunctions.Utility_DisplayArrayInTable(Common_SourceData.Common_SourceData_MCFTemperatureZone_Data(),Table_SourceData_Common_MCFTemperatureZone[[#Headers],[Temperature zone]],0)</f>
        <v>0.1</v>
      </c>
      <c r="H235" s="30" cm="1">
        <f t="array" ref="H235">Common_InputFunctions.Utility_DisplayArrayInTable(Common_SourceData.Common_SourceData_MCFTemperatureZone_Data(),Table_SourceData_Common_MCFTemperatureZone[[#Headers],[Temperature zone]],0)</f>
        <v>0.14000000000000001</v>
      </c>
      <c r="I235" s="30" cm="1">
        <f t="array" ref="I235">Common_InputFunctions.Utility_DisplayArrayInTable(Common_SourceData.Common_SourceData_MCFTemperatureZone_Data(),Table_SourceData_Common_MCFTemperatureZone[[#Headers],[Temperature zone]],0)</f>
        <v>1E-3</v>
      </c>
      <c r="J235" s="30" cm="1">
        <f t="array" ref="J235">Common_InputFunctions.Utility_DisplayArrayInTable(Common_SourceData.Common_SourceData_MCFTemperatureZone_Data(),Table_SourceData_Common_MCFTemperatureZone[[#Headers],[Temperature zone]],0)</f>
        <v>5.0000000000000001E-3</v>
      </c>
      <c r="K235" s="30" cm="1">
        <f t="array" ref="K235">Common_InputFunctions.Utility_DisplayArrayInTable(Common_SourceData.Common_SourceData_MCFTemperatureZone_Data(),Table_SourceData_Common_MCFTemperatureZone[[#Headers],[Temperature zone]],0)</f>
        <v>0.02</v>
      </c>
      <c r="L235" s="30" cm="1">
        <f t="array" ref="L235">Common_InputFunctions.Utility_DisplayArrayInTable(Common_SourceData.Common_SourceData_MCFTemperatureZone_Data(),Table_SourceData_Common_MCFTemperatureZone[[#Headers],[Temperature zone]],0)</f>
        <v>0.03</v>
      </c>
      <c r="M235" s="30" cm="1">
        <f t="array" ref="M235">Common_InputFunctions.Utility_DisplayArrayInTable(Common_SourceData.Common_SourceData_MCFTemperatureZone_Data(),Table_SourceData_Common_MCFTemperatureZone[[#Headers],[Temperature zone]],0)</f>
        <v>0.04</v>
      </c>
      <c r="N235" s="30" cm="1">
        <f t="array" ref="N235">Common_InputFunctions.Utility_DisplayArrayInTable(Common_SourceData.Common_SourceData_MCFTemperatureZone_Data(),Table_SourceData_Common_MCFTemperatureZone[[#Headers],[Temperature zone]],0)</f>
        <v>1.4999999999999999E-2</v>
      </c>
      <c r="O235" s="30" cm="1">
        <f t="array" ref="O235">Common_InputFunctions.Utility_DisplayArrayInTable(Common_SourceData.Common_SourceData_MCFTemperatureZone_Data(),Table_SourceData_Common_MCFTemperatureZone[[#Headers],[Temperature zone]],0)</f>
        <v>1.4999999999999999E-2</v>
      </c>
      <c r="P235" s="30" cm="1">
        <f t="array" ref="P235">Common_InputFunctions.Utility_DisplayArrayInTable(Common_SourceData.Common_SourceData_MCFTemperatureZone_Data(),Table_SourceData_Common_MCFTemperatureZone[[#Headers],[Temperature zone]],0)</f>
        <v>0</v>
      </c>
      <c r="Q235" s="30" cm="1">
        <f t="array" ref="Q235">Common_InputFunctions.Utility_DisplayArrayInTable(Common_SourceData.Common_SourceData_MCFTemperatureZone_Data(),Table_SourceData_Common_MCFTemperatureZone[[#Headers],[Temperature zone]],0)</f>
        <v>0</v>
      </c>
      <c r="R235" s="30" cm="1">
        <f t="array" ref="R235">Common_InputFunctions.Utility_DisplayArrayInTable(Common_SourceData.Common_SourceData_MCFTemperatureZone_Data(),Table_SourceData_Common_MCFTemperatureZone[[#Headers],[Temperature zone]],0)</f>
        <v>4.7000000000000002E-3</v>
      </c>
      <c r="S235" s="30"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0" cm="1">
        <f t="array" ref="E236">Common_InputFunctions.Utility_DisplayArrayInTable(Common_SourceData.Common_SourceData_MCFTemperatureZone_Data(),Table_SourceData_Common_MCFTemperatureZone[[#Headers],[Temperature zone]],0)</f>
        <v>14</v>
      </c>
      <c r="F236" s="30" cm="1">
        <f t="array" ref="F236">Common_InputFunctions.Utility_DisplayArrayInTable(Common_SourceData.Common_SourceData_MCFTemperatureZone_Data(),Table_SourceData_Common_MCFTemperatureZone[[#Headers],[Temperature zone]],0)</f>
        <v>0.73</v>
      </c>
      <c r="G236" s="30" cm="1">
        <f t="array" ref="G236">Common_InputFunctions.Utility_DisplayArrayInTable(Common_SourceData.Common_SourceData_MCFTemperatureZone_Data(),Table_SourceData_Common_MCFTemperatureZone[[#Headers],[Temperature zone]],0)</f>
        <v>0.1</v>
      </c>
      <c r="H236" s="30" cm="1">
        <f t="array" ref="H236">Common_InputFunctions.Utility_DisplayArrayInTable(Common_SourceData.Common_SourceData_MCFTemperatureZone_Data(),Table_SourceData_Common_MCFTemperatureZone[[#Headers],[Temperature zone]],0)</f>
        <v>0.15</v>
      </c>
      <c r="I236" s="30" cm="1">
        <f t="array" ref="I236">Common_InputFunctions.Utility_DisplayArrayInTable(Common_SourceData.Common_SourceData_MCFTemperatureZone_Data(),Table_SourceData_Common_MCFTemperatureZone[[#Headers],[Temperature zone]],0)</f>
        <v>1E-3</v>
      </c>
      <c r="J236" s="30" cm="1">
        <f t="array" ref="J236">Common_InputFunctions.Utility_DisplayArrayInTable(Common_SourceData.Common_SourceData_MCFTemperatureZone_Data(),Table_SourceData_Common_MCFTemperatureZone[[#Headers],[Temperature zone]],0)</f>
        <v>5.0000000000000001E-3</v>
      </c>
      <c r="K236" s="30" cm="1">
        <f t="array" ref="K236">Common_InputFunctions.Utility_DisplayArrayInTable(Common_SourceData.Common_SourceData_MCFTemperatureZone_Data(),Table_SourceData_Common_MCFTemperatureZone[[#Headers],[Temperature zone]],0)</f>
        <v>0.02</v>
      </c>
      <c r="L236" s="30" cm="1">
        <f t="array" ref="L236">Common_InputFunctions.Utility_DisplayArrayInTable(Common_SourceData.Common_SourceData_MCFTemperatureZone_Data(),Table_SourceData_Common_MCFTemperatureZone[[#Headers],[Temperature zone]],0)</f>
        <v>0.03</v>
      </c>
      <c r="M236" s="30" cm="1">
        <f t="array" ref="M236">Common_InputFunctions.Utility_DisplayArrayInTable(Common_SourceData.Common_SourceData_MCFTemperatureZone_Data(),Table_SourceData_Common_MCFTemperatureZone[[#Headers],[Temperature zone]],0)</f>
        <v>0.04</v>
      </c>
      <c r="N236" s="30" cm="1">
        <f t="array" ref="N236">Common_InputFunctions.Utility_DisplayArrayInTable(Common_SourceData.Common_SourceData_MCFTemperatureZone_Data(),Table_SourceData_Common_MCFTemperatureZone[[#Headers],[Temperature zone]],0)</f>
        <v>1.4999999999999999E-2</v>
      </c>
      <c r="O236" s="30" cm="1">
        <f t="array" ref="O236">Common_InputFunctions.Utility_DisplayArrayInTable(Common_SourceData.Common_SourceData_MCFTemperatureZone_Data(),Table_SourceData_Common_MCFTemperatureZone[[#Headers],[Temperature zone]],0)</f>
        <v>1.4999999999999999E-2</v>
      </c>
      <c r="P236" s="30" cm="1">
        <f t="array" ref="P236">Common_InputFunctions.Utility_DisplayArrayInTable(Common_SourceData.Common_SourceData_MCFTemperatureZone_Data(),Table_SourceData_Common_MCFTemperatureZone[[#Headers],[Temperature zone]],0)</f>
        <v>0</v>
      </c>
      <c r="Q236" s="30" cm="1">
        <f t="array" ref="Q236">Common_InputFunctions.Utility_DisplayArrayInTable(Common_SourceData.Common_SourceData_MCFTemperatureZone_Data(),Table_SourceData_Common_MCFTemperatureZone[[#Headers],[Temperature zone]],0)</f>
        <v>0</v>
      </c>
      <c r="R236" s="30" cm="1">
        <f t="array" ref="R236">Common_InputFunctions.Utility_DisplayArrayInTable(Common_SourceData.Common_SourceData_MCFTemperatureZone_Data(),Table_SourceData_Common_MCFTemperatureZone[[#Headers],[Temperature zone]],0)</f>
        <v>4.7000000000000002E-3</v>
      </c>
      <c r="S236" s="30"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0" cm="1">
        <f t="array" ref="E237">Common_InputFunctions.Utility_DisplayArrayInTable(Common_SourceData.Common_SourceData_MCFTemperatureZone_Data(),Table_SourceData_Common_MCFTemperatureZone[[#Headers],[Temperature zone]],0)</f>
        <v>15</v>
      </c>
      <c r="F237" s="30" cm="1">
        <f t="array" ref="F237">Common_InputFunctions.Utility_DisplayArrayInTable(Common_SourceData.Common_SourceData_MCFTemperatureZone_Data(),Table_SourceData_Common_MCFTemperatureZone[[#Headers],[Temperature zone]],0)</f>
        <v>0.74</v>
      </c>
      <c r="G237" s="30" cm="1">
        <f t="array" ref="G237">Common_InputFunctions.Utility_DisplayArrayInTable(Common_SourceData.Common_SourceData_MCFTemperatureZone_Data(),Table_SourceData_Common_MCFTemperatureZone[[#Headers],[Temperature zone]],0)</f>
        <v>0.1</v>
      </c>
      <c r="H237" s="30" cm="1">
        <f t="array" ref="H237">Common_InputFunctions.Utility_DisplayArrayInTable(Common_SourceData.Common_SourceData_MCFTemperatureZone_Data(),Table_SourceData_Common_MCFTemperatureZone[[#Headers],[Temperature zone]],0)</f>
        <v>0.17</v>
      </c>
      <c r="I237" s="30" cm="1">
        <f t="array" ref="I237">Common_InputFunctions.Utility_DisplayArrayInTable(Common_SourceData.Common_SourceData_MCFTemperatureZone_Data(),Table_SourceData_Common_MCFTemperatureZone[[#Headers],[Temperature zone]],0)</f>
        <v>5.0000000000000001E-3</v>
      </c>
      <c r="J237" s="30" cm="1">
        <f t="array" ref="J237">Common_InputFunctions.Utility_DisplayArrayInTable(Common_SourceData.Common_SourceData_MCFTemperatureZone_Data(),Table_SourceData_Common_MCFTemperatureZone[[#Headers],[Temperature zone]],0)</f>
        <v>0.01</v>
      </c>
      <c r="K237" s="30" cm="1">
        <f t="array" ref="K237">Common_InputFunctions.Utility_DisplayArrayInTable(Common_SourceData.Common_SourceData_MCFTemperatureZone_Data(),Table_SourceData_Common_MCFTemperatureZone[[#Headers],[Temperature zone]],0)</f>
        <v>0.02</v>
      </c>
      <c r="L237" s="30" cm="1">
        <f t="array" ref="L237">Common_InputFunctions.Utility_DisplayArrayInTable(Common_SourceData.Common_SourceData_MCFTemperatureZone_Data(),Table_SourceData_Common_MCFTemperatureZone[[#Headers],[Temperature zone]],0)</f>
        <v>0.03</v>
      </c>
      <c r="M237" s="30" cm="1">
        <f t="array" ref="M237">Common_InputFunctions.Utility_DisplayArrayInTable(Common_SourceData.Common_SourceData_MCFTemperatureZone_Data(),Table_SourceData_Common_MCFTemperatureZone[[#Headers],[Temperature zone]],0)</f>
        <v>0.04</v>
      </c>
      <c r="N237" s="30" cm="1">
        <f t="array" ref="N237">Common_InputFunctions.Utility_DisplayArrayInTable(Common_SourceData.Common_SourceData_MCFTemperatureZone_Data(),Table_SourceData_Common_MCFTemperatureZone[[#Headers],[Temperature zone]],0)</f>
        <v>1.4999999999999999E-2</v>
      </c>
      <c r="O237" s="30" cm="1">
        <f t="array" ref="O237">Common_InputFunctions.Utility_DisplayArrayInTable(Common_SourceData.Common_SourceData_MCFTemperatureZone_Data(),Table_SourceData_Common_MCFTemperatureZone[[#Headers],[Temperature zone]],0)</f>
        <v>1.4999999999999999E-2</v>
      </c>
      <c r="P237" s="30" cm="1">
        <f t="array" ref="P237">Common_InputFunctions.Utility_DisplayArrayInTable(Common_SourceData.Common_SourceData_MCFTemperatureZone_Data(),Table_SourceData_Common_MCFTemperatureZone[[#Headers],[Temperature zone]],0)</f>
        <v>0</v>
      </c>
      <c r="Q237" s="30" cm="1">
        <f t="array" ref="Q237">Common_InputFunctions.Utility_DisplayArrayInTable(Common_SourceData.Common_SourceData_MCFTemperatureZone_Data(),Table_SourceData_Common_MCFTemperatureZone[[#Headers],[Temperature zone]],0)</f>
        <v>0</v>
      </c>
      <c r="R237" s="30" cm="1">
        <f t="array" ref="R237">Common_InputFunctions.Utility_DisplayArrayInTable(Common_SourceData.Common_SourceData_MCFTemperatureZone_Data(),Table_SourceData_Common_MCFTemperatureZone[[#Headers],[Temperature zone]],0)</f>
        <v>4.7000000000000002E-3</v>
      </c>
      <c r="S237" s="30"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0" cm="1">
        <f t="array" ref="E238">Common_InputFunctions.Utility_DisplayArrayInTable(Common_SourceData.Common_SourceData_MCFTemperatureZone_Data(),Table_SourceData_Common_MCFTemperatureZone[[#Headers],[Temperature zone]],0)</f>
        <v>16</v>
      </c>
      <c r="F238" s="30" cm="1">
        <f t="array" ref="F238">Common_InputFunctions.Utility_DisplayArrayInTable(Common_SourceData.Common_SourceData_MCFTemperatureZone_Data(),Table_SourceData_Common_MCFTemperatureZone[[#Headers],[Temperature zone]],0)</f>
        <v>0.75</v>
      </c>
      <c r="G238" s="30" cm="1">
        <f t="array" ref="G238">Common_InputFunctions.Utility_DisplayArrayInTable(Common_SourceData.Common_SourceData_MCFTemperatureZone_Data(),Table_SourceData_Common_MCFTemperatureZone[[#Headers],[Temperature zone]],0)</f>
        <v>0.1</v>
      </c>
      <c r="H238" s="30" cm="1">
        <f t="array" ref="H238">Common_InputFunctions.Utility_DisplayArrayInTable(Common_SourceData.Common_SourceData_MCFTemperatureZone_Data(),Table_SourceData_Common_MCFTemperatureZone[[#Headers],[Temperature zone]],0)</f>
        <v>0.18</v>
      </c>
      <c r="I238" s="30" cm="1">
        <f t="array" ref="I238">Common_InputFunctions.Utility_DisplayArrayInTable(Common_SourceData.Common_SourceData_MCFTemperatureZone_Data(),Table_SourceData_Common_MCFTemperatureZone[[#Headers],[Temperature zone]],0)</f>
        <v>5.0000000000000001E-3</v>
      </c>
      <c r="J238" s="30" cm="1">
        <f t="array" ref="J238">Common_InputFunctions.Utility_DisplayArrayInTable(Common_SourceData.Common_SourceData_MCFTemperatureZone_Data(),Table_SourceData_Common_MCFTemperatureZone[[#Headers],[Temperature zone]],0)</f>
        <v>0.01</v>
      </c>
      <c r="K238" s="30" cm="1">
        <f t="array" ref="K238">Common_InputFunctions.Utility_DisplayArrayInTable(Common_SourceData.Common_SourceData_MCFTemperatureZone_Data(),Table_SourceData_Common_MCFTemperatureZone[[#Headers],[Temperature zone]],0)</f>
        <v>0.02</v>
      </c>
      <c r="L238" s="30" cm="1">
        <f t="array" ref="L238">Common_InputFunctions.Utility_DisplayArrayInTable(Common_SourceData.Common_SourceData_MCFTemperatureZone_Data(),Table_SourceData_Common_MCFTemperatureZone[[#Headers],[Temperature zone]],0)</f>
        <v>0.03</v>
      </c>
      <c r="M238" s="30" cm="1">
        <f t="array" ref="M238">Common_InputFunctions.Utility_DisplayArrayInTable(Common_SourceData.Common_SourceData_MCFTemperatureZone_Data(),Table_SourceData_Common_MCFTemperatureZone[[#Headers],[Temperature zone]],0)</f>
        <v>0.04</v>
      </c>
      <c r="N238" s="30" cm="1">
        <f t="array" ref="N238">Common_InputFunctions.Utility_DisplayArrayInTable(Common_SourceData.Common_SourceData_MCFTemperatureZone_Data(),Table_SourceData_Common_MCFTemperatureZone[[#Headers],[Temperature zone]],0)</f>
        <v>1.4999999999999999E-2</v>
      </c>
      <c r="O238" s="30" cm="1">
        <f t="array" ref="O238">Common_InputFunctions.Utility_DisplayArrayInTable(Common_SourceData.Common_SourceData_MCFTemperatureZone_Data(),Table_SourceData_Common_MCFTemperatureZone[[#Headers],[Temperature zone]],0)</f>
        <v>1.4999999999999999E-2</v>
      </c>
      <c r="P238" s="30" cm="1">
        <f t="array" ref="P238">Common_InputFunctions.Utility_DisplayArrayInTable(Common_SourceData.Common_SourceData_MCFTemperatureZone_Data(),Table_SourceData_Common_MCFTemperatureZone[[#Headers],[Temperature zone]],0)</f>
        <v>0</v>
      </c>
      <c r="Q238" s="30" cm="1">
        <f t="array" ref="Q238">Common_InputFunctions.Utility_DisplayArrayInTable(Common_SourceData.Common_SourceData_MCFTemperatureZone_Data(),Table_SourceData_Common_MCFTemperatureZone[[#Headers],[Temperature zone]],0)</f>
        <v>0</v>
      </c>
      <c r="R238" s="30" cm="1">
        <f t="array" ref="R238">Common_InputFunctions.Utility_DisplayArrayInTable(Common_SourceData.Common_SourceData_MCFTemperatureZone_Data(),Table_SourceData_Common_MCFTemperatureZone[[#Headers],[Temperature zone]],0)</f>
        <v>4.7000000000000002E-3</v>
      </c>
      <c r="S238" s="30"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0" cm="1">
        <f t="array" ref="E239">Common_InputFunctions.Utility_DisplayArrayInTable(Common_SourceData.Common_SourceData_MCFTemperatureZone_Data(),Table_SourceData_Common_MCFTemperatureZone[[#Headers],[Temperature zone]],0)</f>
        <v>17</v>
      </c>
      <c r="F239" s="30" cm="1">
        <f t="array" ref="F239">Common_InputFunctions.Utility_DisplayArrayInTable(Common_SourceData.Common_SourceData_MCFTemperatureZone_Data(),Table_SourceData_Common_MCFTemperatureZone[[#Headers],[Temperature zone]],0)</f>
        <v>0.76</v>
      </c>
      <c r="G239" s="30" cm="1">
        <f t="array" ref="G239">Common_InputFunctions.Utility_DisplayArrayInTable(Common_SourceData.Common_SourceData_MCFTemperatureZone_Data(),Table_SourceData_Common_MCFTemperatureZone[[#Headers],[Temperature zone]],0)</f>
        <v>0.1</v>
      </c>
      <c r="H239" s="30" cm="1">
        <f t="array" ref="H239">Common_InputFunctions.Utility_DisplayArrayInTable(Common_SourceData.Common_SourceData_MCFTemperatureZone_Data(),Table_SourceData_Common_MCFTemperatureZone[[#Headers],[Temperature zone]],0)</f>
        <v>0.2</v>
      </c>
      <c r="I239" s="30" cm="1">
        <f t="array" ref="I239">Common_InputFunctions.Utility_DisplayArrayInTable(Common_SourceData.Common_SourceData_MCFTemperatureZone_Data(),Table_SourceData_Common_MCFTemperatureZone[[#Headers],[Temperature zone]],0)</f>
        <v>5.0000000000000001E-3</v>
      </c>
      <c r="J239" s="30" cm="1">
        <f t="array" ref="J239">Common_InputFunctions.Utility_DisplayArrayInTable(Common_SourceData.Common_SourceData_MCFTemperatureZone_Data(),Table_SourceData_Common_MCFTemperatureZone[[#Headers],[Temperature zone]],0)</f>
        <v>0.01</v>
      </c>
      <c r="K239" s="30" cm="1">
        <f t="array" ref="K239">Common_InputFunctions.Utility_DisplayArrayInTable(Common_SourceData.Common_SourceData_MCFTemperatureZone_Data(),Table_SourceData_Common_MCFTemperatureZone[[#Headers],[Temperature zone]],0)</f>
        <v>0.02</v>
      </c>
      <c r="L239" s="30" cm="1">
        <f t="array" ref="L239">Common_InputFunctions.Utility_DisplayArrayInTable(Common_SourceData.Common_SourceData_MCFTemperatureZone_Data(),Table_SourceData_Common_MCFTemperatureZone[[#Headers],[Temperature zone]],0)</f>
        <v>0.03</v>
      </c>
      <c r="M239" s="30" cm="1">
        <f t="array" ref="M239">Common_InputFunctions.Utility_DisplayArrayInTable(Common_SourceData.Common_SourceData_MCFTemperatureZone_Data(),Table_SourceData_Common_MCFTemperatureZone[[#Headers],[Temperature zone]],0)</f>
        <v>0.04</v>
      </c>
      <c r="N239" s="30" cm="1">
        <f t="array" ref="N239">Common_InputFunctions.Utility_DisplayArrayInTable(Common_SourceData.Common_SourceData_MCFTemperatureZone_Data(),Table_SourceData_Common_MCFTemperatureZone[[#Headers],[Temperature zone]],0)</f>
        <v>1.4999999999999999E-2</v>
      </c>
      <c r="O239" s="30" cm="1">
        <f t="array" ref="O239">Common_InputFunctions.Utility_DisplayArrayInTable(Common_SourceData.Common_SourceData_MCFTemperatureZone_Data(),Table_SourceData_Common_MCFTemperatureZone[[#Headers],[Temperature zone]],0)</f>
        <v>1.4999999999999999E-2</v>
      </c>
      <c r="P239" s="30" cm="1">
        <f t="array" ref="P239">Common_InputFunctions.Utility_DisplayArrayInTable(Common_SourceData.Common_SourceData_MCFTemperatureZone_Data(),Table_SourceData_Common_MCFTemperatureZone[[#Headers],[Temperature zone]],0)</f>
        <v>0</v>
      </c>
      <c r="Q239" s="30" cm="1">
        <f t="array" ref="Q239">Common_InputFunctions.Utility_DisplayArrayInTable(Common_SourceData.Common_SourceData_MCFTemperatureZone_Data(),Table_SourceData_Common_MCFTemperatureZone[[#Headers],[Temperature zone]],0)</f>
        <v>0</v>
      </c>
      <c r="R239" s="30" cm="1">
        <f t="array" ref="R239">Common_InputFunctions.Utility_DisplayArrayInTable(Common_SourceData.Common_SourceData_MCFTemperatureZone_Data(),Table_SourceData_Common_MCFTemperatureZone[[#Headers],[Temperature zone]],0)</f>
        <v>4.7000000000000002E-3</v>
      </c>
      <c r="S239" s="30"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0" cm="1">
        <f t="array" ref="E240">Common_InputFunctions.Utility_DisplayArrayInTable(Common_SourceData.Common_SourceData_MCFTemperatureZone_Data(),Table_SourceData_Common_MCFTemperatureZone[[#Headers],[Temperature zone]],0)</f>
        <v>18</v>
      </c>
      <c r="F240" s="30" cm="1">
        <f t="array" ref="F240">Common_InputFunctions.Utility_DisplayArrayInTable(Common_SourceData.Common_SourceData_MCFTemperatureZone_Data(),Table_SourceData_Common_MCFTemperatureZone[[#Headers],[Temperature zone]],0)</f>
        <v>0.77</v>
      </c>
      <c r="G240" s="30" cm="1">
        <f t="array" ref="G240">Common_InputFunctions.Utility_DisplayArrayInTable(Common_SourceData.Common_SourceData_MCFTemperatureZone_Data(),Table_SourceData_Common_MCFTemperatureZone[[#Headers],[Temperature zone]],0)</f>
        <v>0.1</v>
      </c>
      <c r="H240" s="30" cm="1">
        <f t="array" ref="H240">Common_InputFunctions.Utility_DisplayArrayInTable(Common_SourceData.Common_SourceData_MCFTemperatureZone_Data(),Table_SourceData_Common_MCFTemperatureZone[[#Headers],[Temperature zone]],0)</f>
        <v>0.22</v>
      </c>
      <c r="I240" s="30" cm="1">
        <f t="array" ref="I240">Common_InputFunctions.Utility_DisplayArrayInTable(Common_SourceData.Common_SourceData_MCFTemperatureZone_Data(),Table_SourceData_Common_MCFTemperatureZone[[#Headers],[Temperature zone]],0)</f>
        <v>5.0000000000000001E-3</v>
      </c>
      <c r="J240" s="30" cm="1">
        <f t="array" ref="J240">Common_InputFunctions.Utility_DisplayArrayInTable(Common_SourceData.Common_SourceData_MCFTemperatureZone_Data(),Table_SourceData_Common_MCFTemperatureZone[[#Headers],[Temperature zone]],0)</f>
        <v>0.01</v>
      </c>
      <c r="K240" s="30" cm="1">
        <f t="array" ref="K240">Common_InputFunctions.Utility_DisplayArrayInTable(Common_SourceData.Common_SourceData_MCFTemperatureZone_Data(),Table_SourceData_Common_MCFTemperatureZone[[#Headers],[Temperature zone]],0)</f>
        <v>0.02</v>
      </c>
      <c r="L240" s="30" cm="1">
        <f t="array" ref="L240">Common_InputFunctions.Utility_DisplayArrayInTable(Common_SourceData.Common_SourceData_MCFTemperatureZone_Data(),Table_SourceData_Common_MCFTemperatureZone[[#Headers],[Temperature zone]],0)</f>
        <v>0.03</v>
      </c>
      <c r="M240" s="30" cm="1">
        <f t="array" ref="M240">Common_InputFunctions.Utility_DisplayArrayInTable(Common_SourceData.Common_SourceData_MCFTemperatureZone_Data(),Table_SourceData_Common_MCFTemperatureZone[[#Headers],[Temperature zone]],0)</f>
        <v>0.04</v>
      </c>
      <c r="N240" s="30" cm="1">
        <f t="array" ref="N240">Common_InputFunctions.Utility_DisplayArrayInTable(Common_SourceData.Common_SourceData_MCFTemperatureZone_Data(),Table_SourceData_Common_MCFTemperatureZone[[#Headers],[Temperature zone]],0)</f>
        <v>1.4999999999999999E-2</v>
      </c>
      <c r="O240" s="30" cm="1">
        <f t="array" ref="O240">Common_InputFunctions.Utility_DisplayArrayInTable(Common_SourceData.Common_SourceData_MCFTemperatureZone_Data(),Table_SourceData_Common_MCFTemperatureZone[[#Headers],[Temperature zone]],0)</f>
        <v>1.4999999999999999E-2</v>
      </c>
      <c r="P240" s="30" cm="1">
        <f t="array" ref="P240">Common_InputFunctions.Utility_DisplayArrayInTable(Common_SourceData.Common_SourceData_MCFTemperatureZone_Data(),Table_SourceData_Common_MCFTemperatureZone[[#Headers],[Temperature zone]],0)</f>
        <v>0</v>
      </c>
      <c r="Q240" s="30" cm="1">
        <f t="array" ref="Q240">Common_InputFunctions.Utility_DisplayArrayInTable(Common_SourceData.Common_SourceData_MCFTemperatureZone_Data(),Table_SourceData_Common_MCFTemperatureZone[[#Headers],[Temperature zone]],0)</f>
        <v>0</v>
      </c>
      <c r="R240" s="30" cm="1">
        <f t="array" ref="R240">Common_InputFunctions.Utility_DisplayArrayInTable(Common_SourceData.Common_SourceData_MCFTemperatureZone_Data(),Table_SourceData_Common_MCFTemperatureZone[[#Headers],[Temperature zone]],0)</f>
        <v>4.7000000000000002E-3</v>
      </c>
      <c r="S240" s="30"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0" cm="1">
        <f t="array" ref="E241">Common_InputFunctions.Utility_DisplayArrayInTable(Common_SourceData.Common_SourceData_MCFTemperatureZone_Data(),Table_SourceData_Common_MCFTemperatureZone[[#Headers],[Temperature zone]],0)</f>
        <v>19</v>
      </c>
      <c r="F241" s="30" cm="1">
        <f t="array" ref="F241">Common_InputFunctions.Utility_DisplayArrayInTable(Common_SourceData.Common_SourceData_MCFTemperatureZone_Data(),Table_SourceData_Common_MCFTemperatureZone[[#Headers],[Temperature zone]],0)</f>
        <v>0.77</v>
      </c>
      <c r="G241" s="30" cm="1">
        <f t="array" ref="G241">Common_InputFunctions.Utility_DisplayArrayInTable(Common_SourceData.Common_SourceData_MCFTemperatureZone_Data(),Table_SourceData_Common_MCFTemperatureZone[[#Headers],[Temperature zone]],0)</f>
        <v>0.1</v>
      </c>
      <c r="H241" s="30" cm="1">
        <f t="array" ref="H241">Common_InputFunctions.Utility_DisplayArrayInTable(Common_SourceData.Common_SourceData_MCFTemperatureZone_Data(),Table_SourceData_Common_MCFTemperatureZone[[#Headers],[Temperature zone]],0)</f>
        <v>0.24</v>
      </c>
      <c r="I241" s="30" cm="1">
        <f t="array" ref="I241">Common_InputFunctions.Utility_DisplayArrayInTable(Common_SourceData.Common_SourceData_MCFTemperatureZone_Data(),Table_SourceData_Common_MCFTemperatureZone[[#Headers],[Temperature zone]],0)</f>
        <v>5.0000000000000001E-3</v>
      </c>
      <c r="J241" s="30" cm="1">
        <f t="array" ref="J241">Common_InputFunctions.Utility_DisplayArrayInTable(Common_SourceData.Common_SourceData_MCFTemperatureZone_Data(),Table_SourceData_Common_MCFTemperatureZone[[#Headers],[Temperature zone]],0)</f>
        <v>0.01</v>
      </c>
      <c r="K241" s="30" cm="1">
        <f t="array" ref="K241">Common_InputFunctions.Utility_DisplayArrayInTable(Common_SourceData.Common_SourceData_MCFTemperatureZone_Data(),Table_SourceData_Common_MCFTemperatureZone[[#Headers],[Temperature zone]],0)</f>
        <v>0.02</v>
      </c>
      <c r="L241" s="30" cm="1">
        <f t="array" ref="L241">Common_InputFunctions.Utility_DisplayArrayInTable(Common_SourceData.Common_SourceData_MCFTemperatureZone_Data(),Table_SourceData_Common_MCFTemperatureZone[[#Headers],[Temperature zone]],0)</f>
        <v>0.03</v>
      </c>
      <c r="M241" s="30" cm="1">
        <f t="array" ref="M241">Common_InputFunctions.Utility_DisplayArrayInTable(Common_SourceData.Common_SourceData_MCFTemperatureZone_Data(),Table_SourceData_Common_MCFTemperatureZone[[#Headers],[Temperature zone]],0)</f>
        <v>0.04</v>
      </c>
      <c r="N241" s="30" cm="1">
        <f t="array" ref="N241">Common_InputFunctions.Utility_DisplayArrayInTable(Common_SourceData.Common_SourceData_MCFTemperatureZone_Data(),Table_SourceData_Common_MCFTemperatureZone[[#Headers],[Temperature zone]],0)</f>
        <v>1.4999999999999999E-2</v>
      </c>
      <c r="O241" s="30" cm="1">
        <f t="array" ref="O241">Common_InputFunctions.Utility_DisplayArrayInTable(Common_SourceData.Common_SourceData_MCFTemperatureZone_Data(),Table_SourceData_Common_MCFTemperatureZone[[#Headers],[Temperature zone]],0)</f>
        <v>1.4999999999999999E-2</v>
      </c>
      <c r="P241" s="30" cm="1">
        <f t="array" ref="P241">Common_InputFunctions.Utility_DisplayArrayInTable(Common_SourceData.Common_SourceData_MCFTemperatureZone_Data(),Table_SourceData_Common_MCFTemperatureZone[[#Headers],[Temperature zone]],0)</f>
        <v>0</v>
      </c>
      <c r="Q241" s="30" cm="1">
        <f t="array" ref="Q241">Common_InputFunctions.Utility_DisplayArrayInTable(Common_SourceData.Common_SourceData_MCFTemperatureZone_Data(),Table_SourceData_Common_MCFTemperatureZone[[#Headers],[Temperature zone]],0)</f>
        <v>0</v>
      </c>
      <c r="R241" s="30" cm="1">
        <f t="array" ref="R241">Common_InputFunctions.Utility_DisplayArrayInTable(Common_SourceData.Common_SourceData_MCFTemperatureZone_Data(),Table_SourceData_Common_MCFTemperatureZone[[#Headers],[Temperature zone]],0)</f>
        <v>4.7000000000000002E-3</v>
      </c>
      <c r="S241" s="30"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0" cm="1">
        <f t="array" ref="E242">Common_InputFunctions.Utility_DisplayArrayInTable(Common_SourceData.Common_SourceData_MCFTemperatureZone_Data(),Table_SourceData_Common_MCFTemperatureZone[[#Headers],[Temperature zone]],0)</f>
        <v>20</v>
      </c>
      <c r="F242" s="30" cm="1">
        <f t="array" ref="F242">Common_InputFunctions.Utility_DisplayArrayInTable(Common_SourceData.Common_SourceData_MCFTemperatureZone_Data(),Table_SourceData_Common_MCFTemperatureZone[[#Headers],[Temperature zone]],0)</f>
        <v>0.78</v>
      </c>
      <c r="G242" s="30" cm="1">
        <f t="array" ref="G242">Common_InputFunctions.Utility_DisplayArrayInTable(Common_SourceData.Common_SourceData_MCFTemperatureZone_Data(),Table_SourceData_Common_MCFTemperatureZone[[#Headers],[Temperature zone]],0)</f>
        <v>0.1</v>
      </c>
      <c r="H242" s="30" cm="1">
        <f t="array" ref="H242">Common_InputFunctions.Utility_DisplayArrayInTable(Common_SourceData.Common_SourceData_MCFTemperatureZone_Data(),Table_SourceData_Common_MCFTemperatureZone[[#Headers],[Temperature zone]],0)</f>
        <v>0.26</v>
      </c>
      <c r="I242" s="30" cm="1">
        <f t="array" ref="I242">Common_InputFunctions.Utility_DisplayArrayInTable(Common_SourceData.Common_SourceData_MCFTemperatureZone_Data(),Table_SourceData_Common_MCFTemperatureZone[[#Headers],[Temperature zone]],0)</f>
        <v>5.0000000000000001E-3</v>
      </c>
      <c r="J242" s="30" cm="1">
        <f t="array" ref="J242">Common_InputFunctions.Utility_DisplayArrayInTable(Common_SourceData.Common_SourceData_MCFTemperatureZone_Data(),Table_SourceData_Common_MCFTemperatureZone[[#Headers],[Temperature zone]],0)</f>
        <v>0.01</v>
      </c>
      <c r="K242" s="30" cm="1">
        <f t="array" ref="K242">Common_InputFunctions.Utility_DisplayArrayInTable(Common_SourceData.Common_SourceData_MCFTemperatureZone_Data(),Table_SourceData_Common_MCFTemperatureZone[[#Headers],[Temperature zone]],0)</f>
        <v>0.02</v>
      </c>
      <c r="L242" s="30" cm="1">
        <f t="array" ref="L242">Common_InputFunctions.Utility_DisplayArrayInTable(Common_SourceData.Common_SourceData_MCFTemperatureZone_Data(),Table_SourceData_Common_MCFTemperatureZone[[#Headers],[Temperature zone]],0)</f>
        <v>0.03</v>
      </c>
      <c r="M242" s="30" cm="1">
        <f t="array" ref="M242">Common_InputFunctions.Utility_DisplayArrayInTable(Common_SourceData.Common_SourceData_MCFTemperatureZone_Data(),Table_SourceData_Common_MCFTemperatureZone[[#Headers],[Temperature zone]],0)</f>
        <v>0.04</v>
      </c>
      <c r="N242" s="30" cm="1">
        <f t="array" ref="N242">Common_InputFunctions.Utility_DisplayArrayInTable(Common_SourceData.Common_SourceData_MCFTemperatureZone_Data(),Table_SourceData_Common_MCFTemperatureZone[[#Headers],[Temperature zone]],0)</f>
        <v>1.4999999999999999E-2</v>
      </c>
      <c r="O242" s="30" cm="1">
        <f t="array" ref="O242">Common_InputFunctions.Utility_DisplayArrayInTable(Common_SourceData.Common_SourceData_MCFTemperatureZone_Data(),Table_SourceData_Common_MCFTemperatureZone[[#Headers],[Temperature zone]],0)</f>
        <v>1.4999999999999999E-2</v>
      </c>
      <c r="P242" s="30" cm="1">
        <f t="array" ref="P242">Common_InputFunctions.Utility_DisplayArrayInTable(Common_SourceData.Common_SourceData_MCFTemperatureZone_Data(),Table_SourceData_Common_MCFTemperatureZone[[#Headers],[Temperature zone]],0)</f>
        <v>0</v>
      </c>
      <c r="Q242" s="30" cm="1">
        <f t="array" ref="Q242">Common_InputFunctions.Utility_DisplayArrayInTable(Common_SourceData.Common_SourceData_MCFTemperatureZone_Data(),Table_SourceData_Common_MCFTemperatureZone[[#Headers],[Temperature zone]],0)</f>
        <v>0</v>
      </c>
      <c r="R242" s="30" cm="1">
        <f t="array" ref="R242">Common_InputFunctions.Utility_DisplayArrayInTable(Common_SourceData.Common_SourceData_MCFTemperatureZone_Data(),Table_SourceData_Common_MCFTemperatureZone[[#Headers],[Temperature zone]],0)</f>
        <v>4.7000000000000002E-3</v>
      </c>
      <c r="S242" s="30"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0" cm="1">
        <f t="array" ref="E243">Common_InputFunctions.Utility_DisplayArrayInTable(Common_SourceData.Common_SourceData_MCFTemperatureZone_Data(),Table_SourceData_Common_MCFTemperatureZone[[#Headers],[Temperature zone]],0)</f>
        <v>21</v>
      </c>
      <c r="F243" s="30" cm="1">
        <f t="array" ref="F243">Common_InputFunctions.Utility_DisplayArrayInTable(Common_SourceData.Common_SourceData_MCFTemperatureZone_Data(),Table_SourceData_Common_MCFTemperatureZone[[#Headers],[Temperature zone]],0)</f>
        <v>0.78</v>
      </c>
      <c r="G243" s="30" cm="1">
        <f t="array" ref="G243">Common_InputFunctions.Utility_DisplayArrayInTable(Common_SourceData.Common_SourceData_MCFTemperatureZone_Data(),Table_SourceData_Common_MCFTemperatureZone[[#Headers],[Temperature zone]],0)</f>
        <v>0.1</v>
      </c>
      <c r="H243" s="30" cm="1">
        <f t="array" ref="H243">Common_InputFunctions.Utility_DisplayArrayInTable(Common_SourceData.Common_SourceData_MCFTemperatureZone_Data(),Table_SourceData_Common_MCFTemperatureZone[[#Headers],[Temperature zone]],0)</f>
        <v>0.28999999999999998</v>
      </c>
      <c r="I243" s="30" cm="1">
        <f t="array" ref="I243">Common_InputFunctions.Utility_DisplayArrayInTable(Common_SourceData.Common_SourceData_MCFTemperatureZone_Data(),Table_SourceData_Common_MCFTemperatureZone[[#Headers],[Temperature zone]],0)</f>
        <v>5.0000000000000001E-3</v>
      </c>
      <c r="J243" s="30" cm="1">
        <f t="array" ref="J243">Common_InputFunctions.Utility_DisplayArrayInTable(Common_SourceData.Common_SourceData_MCFTemperatureZone_Data(),Table_SourceData_Common_MCFTemperatureZone[[#Headers],[Temperature zone]],0)</f>
        <v>0.01</v>
      </c>
      <c r="K243" s="30" cm="1">
        <f t="array" ref="K243">Common_InputFunctions.Utility_DisplayArrayInTable(Common_SourceData.Common_SourceData_MCFTemperatureZone_Data(),Table_SourceData_Common_MCFTemperatureZone[[#Headers],[Temperature zone]],0)</f>
        <v>0.02</v>
      </c>
      <c r="L243" s="30" cm="1">
        <f t="array" ref="L243">Common_InputFunctions.Utility_DisplayArrayInTable(Common_SourceData.Common_SourceData_MCFTemperatureZone_Data(),Table_SourceData_Common_MCFTemperatureZone[[#Headers],[Temperature zone]],0)</f>
        <v>0.03</v>
      </c>
      <c r="M243" s="30" cm="1">
        <f t="array" ref="M243">Common_InputFunctions.Utility_DisplayArrayInTable(Common_SourceData.Common_SourceData_MCFTemperatureZone_Data(),Table_SourceData_Common_MCFTemperatureZone[[#Headers],[Temperature zone]],0)</f>
        <v>0.04</v>
      </c>
      <c r="N243" s="30" cm="1">
        <f t="array" ref="N243">Common_InputFunctions.Utility_DisplayArrayInTable(Common_SourceData.Common_SourceData_MCFTemperatureZone_Data(),Table_SourceData_Common_MCFTemperatureZone[[#Headers],[Temperature zone]],0)</f>
        <v>1.4999999999999999E-2</v>
      </c>
      <c r="O243" s="30" cm="1">
        <f t="array" ref="O243">Common_InputFunctions.Utility_DisplayArrayInTable(Common_SourceData.Common_SourceData_MCFTemperatureZone_Data(),Table_SourceData_Common_MCFTemperatureZone[[#Headers],[Temperature zone]],0)</f>
        <v>1.4999999999999999E-2</v>
      </c>
      <c r="P243" s="30" cm="1">
        <f t="array" ref="P243">Common_InputFunctions.Utility_DisplayArrayInTable(Common_SourceData.Common_SourceData_MCFTemperatureZone_Data(),Table_SourceData_Common_MCFTemperatureZone[[#Headers],[Temperature zone]],0)</f>
        <v>0</v>
      </c>
      <c r="Q243" s="30" cm="1">
        <f t="array" ref="Q243">Common_InputFunctions.Utility_DisplayArrayInTable(Common_SourceData.Common_SourceData_MCFTemperatureZone_Data(),Table_SourceData_Common_MCFTemperatureZone[[#Headers],[Temperature zone]],0)</f>
        <v>0</v>
      </c>
      <c r="R243" s="30" cm="1">
        <f t="array" ref="R243">Common_InputFunctions.Utility_DisplayArrayInTable(Common_SourceData.Common_SourceData_MCFTemperatureZone_Data(),Table_SourceData_Common_MCFTemperatureZone[[#Headers],[Temperature zone]],0)</f>
        <v>4.7000000000000002E-3</v>
      </c>
      <c r="S243" s="30"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0" cm="1">
        <f t="array" ref="E244">Common_InputFunctions.Utility_DisplayArrayInTable(Common_SourceData.Common_SourceData_MCFTemperatureZone_Data(),Table_SourceData_Common_MCFTemperatureZone[[#Headers],[Temperature zone]],0)</f>
        <v>22</v>
      </c>
      <c r="F244" s="30" cm="1">
        <f t="array" ref="F244">Common_InputFunctions.Utility_DisplayArrayInTable(Common_SourceData.Common_SourceData_MCFTemperatureZone_Data(),Table_SourceData_Common_MCFTemperatureZone[[#Headers],[Temperature zone]],0)</f>
        <v>0.78</v>
      </c>
      <c r="G244" s="30" cm="1">
        <f t="array" ref="G244">Common_InputFunctions.Utility_DisplayArrayInTable(Common_SourceData.Common_SourceData_MCFTemperatureZone_Data(),Table_SourceData_Common_MCFTemperatureZone[[#Headers],[Temperature zone]],0)</f>
        <v>0.1</v>
      </c>
      <c r="H244" s="30" cm="1">
        <f t="array" ref="H244">Common_InputFunctions.Utility_DisplayArrayInTable(Common_SourceData.Common_SourceData_MCFTemperatureZone_Data(),Table_SourceData_Common_MCFTemperatureZone[[#Headers],[Temperature zone]],0)</f>
        <v>0.31</v>
      </c>
      <c r="I244" s="30" cm="1">
        <f t="array" ref="I244">Common_InputFunctions.Utility_DisplayArrayInTable(Common_SourceData.Common_SourceData_MCFTemperatureZone_Data(),Table_SourceData_Common_MCFTemperatureZone[[#Headers],[Temperature zone]],0)</f>
        <v>5.0000000000000001E-3</v>
      </c>
      <c r="J244" s="30" cm="1">
        <f t="array" ref="J244">Common_InputFunctions.Utility_DisplayArrayInTable(Common_SourceData.Common_SourceData_MCFTemperatureZone_Data(),Table_SourceData_Common_MCFTemperatureZone[[#Headers],[Temperature zone]],0)</f>
        <v>0.01</v>
      </c>
      <c r="K244" s="30" cm="1">
        <f t="array" ref="K244">Common_InputFunctions.Utility_DisplayArrayInTable(Common_SourceData.Common_SourceData_MCFTemperatureZone_Data(),Table_SourceData_Common_MCFTemperatureZone[[#Headers],[Temperature zone]],0)</f>
        <v>0.02</v>
      </c>
      <c r="L244" s="30" cm="1">
        <f t="array" ref="L244">Common_InputFunctions.Utility_DisplayArrayInTable(Common_SourceData.Common_SourceData_MCFTemperatureZone_Data(),Table_SourceData_Common_MCFTemperatureZone[[#Headers],[Temperature zone]],0)</f>
        <v>0.03</v>
      </c>
      <c r="M244" s="30" cm="1">
        <f t="array" ref="M244">Common_InputFunctions.Utility_DisplayArrayInTable(Common_SourceData.Common_SourceData_MCFTemperatureZone_Data(),Table_SourceData_Common_MCFTemperatureZone[[#Headers],[Temperature zone]],0)</f>
        <v>0.04</v>
      </c>
      <c r="N244" s="30" cm="1">
        <f t="array" ref="N244">Common_InputFunctions.Utility_DisplayArrayInTable(Common_SourceData.Common_SourceData_MCFTemperatureZone_Data(),Table_SourceData_Common_MCFTemperatureZone[[#Headers],[Temperature zone]],0)</f>
        <v>1.4999999999999999E-2</v>
      </c>
      <c r="O244" s="30" cm="1">
        <f t="array" ref="O244">Common_InputFunctions.Utility_DisplayArrayInTable(Common_SourceData.Common_SourceData_MCFTemperatureZone_Data(),Table_SourceData_Common_MCFTemperatureZone[[#Headers],[Temperature zone]],0)</f>
        <v>1.4999999999999999E-2</v>
      </c>
      <c r="P244" s="30" cm="1">
        <f t="array" ref="P244">Common_InputFunctions.Utility_DisplayArrayInTable(Common_SourceData.Common_SourceData_MCFTemperatureZone_Data(),Table_SourceData_Common_MCFTemperatureZone[[#Headers],[Temperature zone]],0)</f>
        <v>0</v>
      </c>
      <c r="Q244" s="30" cm="1">
        <f t="array" ref="Q244">Common_InputFunctions.Utility_DisplayArrayInTable(Common_SourceData.Common_SourceData_MCFTemperatureZone_Data(),Table_SourceData_Common_MCFTemperatureZone[[#Headers],[Temperature zone]],0)</f>
        <v>0</v>
      </c>
      <c r="R244" s="30" cm="1">
        <f t="array" ref="R244">Common_InputFunctions.Utility_DisplayArrayInTable(Common_SourceData.Common_SourceData_MCFTemperatureZone_Data(),Table_SourceData_Common_MCFTemperatureZone[[#Headers],[Temperature zone]],0)</f>
        <v>4.7000000000000002E-3</v>
      </c>
      <c r="S244" s="30"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0" cm="1">
        <f t="array" ref="E245">Common_InputFunctions.Utility_DisplayArrayInTable(Common_SourceData.Common_SourceData_MCFTemperatureZone_Data(),Table_SourceData_Common_MCFTemperatureZone[[#Headers],[Temperature zone]],0)</f>
        <v>23</v>
      </c>
      <c r="F245" s="30" cm="1">
        <f t="array" ref="F245">Common_InputFunctions.Utility_DisplayArrayInTable(Common_SourceData.Common_SourceData_MCFTemperatureZone_Data(),Table_SourceData_Common_MCFTemperatureZone[[#Headers],[Temperature zone]],0)</f>
        <v>0.79</v>
      </c>
      <c r="G245" s="30" cm="1">
        <f t="array" ref="G245">Common_InputFunctions.Utility_DisplayArrayInTable(Common_SourceData.Common_SourceData_MCFTemperatureZone_Data(),Table_SourceData_Common_MCFTemperatureZone[[#Headers],[Temperature zone]],0)</f>
        <v>0.1</v>
      </c>
      <c r="H245" s="30" cm="1">
        <f t="array" ref="H245">Common_InputFunctions.Utility_DisplayArrayInTable(Common_SourceData.Common_SourceData_MCFTemperatureZone_Data(),Table_SourceData_Common_MCFTemperatureZone[[#Headers],[Temperature zone]],0)</f>
        <v>0.34</v>
      </c>
      <c r="I245" s="30" cm="1">
        <f t="array" ref="I245">Common_InputFunctions.Utility_DisplayArrayInTable(Common_SourceData.Common_SourceData_MCFTemperatureZone_Data(),Table_SourceData_Common_MCFTemperatureZone[[#Headers],[Temperature zone]],0)</f>
        <v>5.0000000000000001E-3</v>
      </c>
      <c r="J245" s="30" cm="1">
        <f t="array" ref="J245">Common_InputFunctions.Utility_DisplayArrayInTable(Common_SourceData.Common_SourceData_MCFTemperatureZone_Data(),Table_SourceData_Common_MCFTemperatureZone[[#Headers],[Temperature zone]],0)</f>
        <v>0.01</v>
      </c>
      <c r="K245" s="30" cm="1">
        <f t="array" ref="K245">Common_InputFunctions.Utility_DisplayArrayInTable(Common_SourceData.Common_SourceData_MCFTemperatureZone_Data(),Table_SourceData_Common_MCFTemperatureZone[[#Headers],[Temperature zone]],0)</f>
        <v>0.02</v>
      </c>
      <c r="L245" s="30" cm="1">
        <f t="array" ref="L245">Common_InputFunctions.Utility_DisplayArrayInTable(Common_SourceData.Common_SourceData_MCFTemperatureZone_Data(),Table_SourceData_Common_MCFTemperatureZone[[#Headers],[Temperature zone]],0)</f>
        <v>0.03</v>
      </c>
      <c r="M245" s="30" cm="1">
        <f t="array" ref="M245">Common_InputFunctions.Utility_DisplayArrayInTable(Common_SourceData.Common_SourceData_MCFTemperatureZone_Data(),Table_SourceData_Common_MCFTemperatureZone[[#Headers],[Temperature zone]],0)</f>
        <v>0.04</v>
      </c>
      <c r="N245" s="30" cm="1">
        <f t="array" ref="N245">Common_InputFunctions.Utility_DisplayArrayInTable(Common_SourceData.Common_SourceData_MCFTemperatureZone_Data(),Table_SourceData_Common_MCFTemperatureZone[[#Headers],[Temperature zone]],0)</f>
        <v>1.4999999999999999E-2</v>
      </c>
      <c r="O245" s="30" cm="1">
        <f t="array" ref="O245">Common_InputFunctions.Utility_DisplayArrayInTable(Common_SourceData.Common_SourceData_MCFTemperatureZone_Data(),Table_SourceData_Common_MCFTemperatureZone[[#Headers],[Temperature zone]],0)</f>
        <v>1.4999999999999999E-2</v>
      </c>
      <c r="P245" s="30" cm="1">
        <f t="array" ref="P245">Common_InputFunctions.Utility_DisplayArrayInTable(Common_SourceData.Common_SourceData_MCFTemperatureZone_Data(),Table_SourceData_Common_MCFTemperatureZone[[#Headers],[Temperature zone]],0)</f>
        <v>0</v>
      </c>
      <c r="Q245" s="30" cm="1">
        <f t="array" ref="Q245">Common_InputFunctions.Utility_DisplayArrayInTable(Common_SourceData.Common_SourceData_MCFTemperatureZone_Data(),Table_SourceData_Common_MCFTemperatureZone[[#Headers],[Temperature zone]],0)</f>
        <v>0</v>
      </c>
      <c r="R245" s="30" cm="1">
        <f t="array" ref="R245">Common_InputFunctions.Utility_DisplayArrayInTable(Common_SourceData.Common_SourceData_MCFTemperatureZone_Data(),Table_SourceData_Common_MCFTemperatureZone[[#Headers],[Temperature zone]],0)</f>
        <v>4.7000000000000002E-3</v>
      </c>
      <c r="S245" s="30"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0" cm="1">
        <f t="array" ref="E246">Common_InputFunctions.Utility_DisplayArrayInTable(Common_SourceData.Common_SourceData_MCFTemperatureZone_Data(),Table_SourceData_Common_MCFTemperatureZone[[#Headers],[Temperature zone]],0)</f>
        <v>24</v>
      </c>
      <c r="F246" s="30" cm="1">
        <f t="array" ref="F246">Common_InputFunctions.Utility_DisplayArrayInTable(Common_SourceData.Common_SourceData_MCFTemperatureZone_Data(),Table_SourceData_Common_MCFTemperatureZone[[#Headers],[Temperature zone]],0)</f>
        <v>0.79</v>
      </c>
      <c r="G246" s="30" cm="1">
        <f t="array" ref="G246">Common_InputFunctions.Utility_DisplayArrayInTable(Common_SourceData.Common_SourceData_MCFTemperatureZone_Data(),Table_SourceData_Common_MCFTemperatureZone[[#Headers],[Temperature zone]],0)</f>
        <v>0.1</v>
      </c>
      <c r="H246" s="30" cm="1">
        <f t="array" ref="H246">Common_InputFunctions.Utility_DisplayArrayInTable(Common_SourceData.Common_SourceData_MCFTemperatureZone_Data(),Table_SourceData_Common_MCFTemperatureZone[[#Headers],[Temperature zone]],0)</f>
        <v>0.37</v>
      </c>
      <c r="I246" s="30" cm="1">
        <f t="array" ref="I246">Common_InputFunctions.Utility_DisplayArrayInTable(Common_SourceData.Common_SourceData_MCFTemperatureZone_Data(),Table_SourceData_Common_MCFTemperatureZone[[#Headers],[Temperature zone]],0)</f>
        <v>5.0000000000000001E-3</v>
      </c>
      <c r="J246" s="30" cm="1">
        <f t="array" ref="J246">Common_InputFunctions.Utility_DisplayArrayInTable(Common_SourceData.Common_SourceData_MCFTemperatureZone_Data(),Table_SourceData_Common_MCFTemperatureZone[[#Headers],[Temperature zone]],0)</f>
        <v>0.01</v>
      </c>
      <c r="K246" s="30" cm="1">
        <f t="array" ref="K246">Common_InputFunctions.Utility_DisplayArrayInTable(Common_SourceData.Common_SourceData_MCFTemperatureZone_Data(),Table_SourceData_Common_MCFTemperatureZone[[#Headers],[Temperature zone]],0)</f>
        <v>0.02</v>
      </c>
      <c r="L246" s="30" cm="1">
        <f t="array" ref="L246">Common_InputFunctions.Utility_DisplayArrayInTable(Common_SourceData.Common_SourceData_MCFTemperatureZone_Data(),Table_SourceData_Common_MCFTemperatureZone[[#Headers],[Temperature zone]],0)</f>
        <v>0.03</v>
      </c>
      <c r="M246" s="30" cm="1">
        <f t="array" ref="M246">Common_InputFunctions.Utility_DisplayArrayInTable(Common_SourceData.Common_SourceData_MCFTemperatureZone_Data(),Table_SourceData_Common_MCFTemperatureZone[[#Headers],[Temperature zone]],0)</f>
        <v>0.04</v>
      </c>
      <c r="N246" s="30" cm="1">
        <f t="array" ref="N246">Common_InputFunctions.Utility_DisplayArrayInTable(Common_SourceData.Common_SourceData_MCFTemperatureZone_Data(),Table_SourceData_Common_MCFTemperatureZone[[#Headers],[Temperature zone]],0)</f>
        <v>1.4999999999999999E-2</v>
      </c>
      <c r="O246" s="30" cm="1">
        <f t="array" ref="O246">Common_InputFunctions.Utility_DisplayArrayInTable(Common_SourceData.Common_SourceData_MCFTemperatureZone_Data(),Table_SourceData_Common_MCFTemperatureZone[[#Headers],[Temperature zone]],0)</f>
        <v>1.4999999999999999E-2</v>
      </c>
      <c r="P246" s="30" cm="1">
        <f t="array" ref="P246">Common_InputFunctions.Utility_DisplayArrayInTable(Common_SourceData.Common_SourceData_MCFTemperatureZone_Data(),Table_SourceData_Common_MCFTemperatureZone[[#Headers],[Temperature zone]],0)</f>
        <v>0</v>
      </c>
      <c r="Q246" s="30" cm="1">
        <f t="array" ref="Q246">Common_InputFunctions.Utility_DisplayArrayInTable(Common_SourceData.Common_SourceData_MCFTemperatureZone_Data(),Table_SourceData_Common_MCFTemperatureZone[[#Headers],[Temperature zone]],0)</f>
        <v>0</v>
      </c>
      <c r="R246" s="30" cm="1">
        <f t="array" ref="R246">Common_InputFunctions.Utility_DisplayArrayInTable(Common_SourceData.Common_SourceData_MCFTemperatureZone_Data(),Table_SourceData_Common_MCFTemperatureZone[[#Headers],[Temperature zone]],0)</f>
        <v>4.7000000000000002E-3</v>
      </c>
      <c r="S246" s="30"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0" cm="1">
        <f t="array" ref="E247">Common_InputFunctions.Utility_DisplayArrayInTable(Common_SourceData.Common_SourceData_MCFTemperatureZone_Data(),Table_SourceData_Common_MCFTemperatureZone[[#Headers],[Temperature zone]],0)</f>
        <v>25</v>
      </c>
      <c r="F247" s="30" cm="1">
        <f t="array" ref="F247">Common_InputFunctions.Utility_DisplayArrayInTable(Common_SourceData.Common_SourceData_MCFTemperatureZone_Data(),Table_SourceData_Common_MCFTemperatureZone[[#Headers],[Temperature zone]],0)</f>
        <v>0.79</v>
      </c>
      <c r="G247" s="30" cm="1">
        <f t="array" ref="G247">Common_InputFunctions.Utility_DisplayArrayInTable(Common_SourceData.Common_SourceData_MCFTemperatureZone_Data(),Table_SourceData_Common_MCFTemperatureZone[[#Headers],[Temperature zone]],0)</f>
        <v>0.1</v>
      </c>
      <c r="H247" s="30" cm="1">
        <f t="array" ref="H247">Common_InputFunctions.Utility_DisplayArrayInTable(Common_SourceData.Common_SourceData_MCFTemperatureZone_Data(),Table_SourceData_Common_MCFTemperatureZone[[#Headers],[Temperature zone]],0)</f>
        <v>0.41</v>
      </c>
      <c r="I247" s="30" cm="1">
        <f t="array" ref="I247">Common_InputFunctions.Utility_DisplayArrayInTable(Common_SourceData.Common_SourceData_MCFTemperatureZone_Data(),Table_SourceData_Common_MCFTemperatureZone[[#Headers],[Temperature zone]],0)</f>
        <v>5.0000000000000001E-3</v>
      </c>
      <c r="J247" s="30" cm="1">
        <f t="array" ref="J247">Common_InputFunctions.Utility_DisplayArrayInTable(Common_SourceData.Common_SourceData_MCFTemperatureZone_Data(),Table_SourceData_Common_MCFTemperatureZone[[#Headers],[Temperature zone]],0)</f>
        <v>0.01</v>
      </c>
      <c r="K247" s="30" cm="1">
        <f t="array" ref="K247">Common_InputFunctions.Utility_DisplayArrayInTable(Common_SourceData.Common_SourceData_MCFTemperatureZone_Data(),Table_SourceData_Common_MCFTemperatureZone[[#Headers],[Temperature zone]],0)</f>
        <v>0.02</v>
      </c>
      <c r="L247" s="30" cm="1">
        <f t="array" ref="L247">Common_InputFunctions.Utility_DisplayArrayInTable(Common_SourceData.Common_SourceData_MCFTemperatureZone_Data(),Table_SourceData_Common_MCFTemperatureZone[[#Headers],[Temperature zone]],0)</f>
        <v>0.03</v>
      </c>
      <c r="M247" s="30" cm="1">
        <f t="array" ref="M247">Common_InputFunctions.Utility_DisplayArrayInTable(Common_SourceData.Common_SourceData_MCFTemperatureZone_Data(),Table_SourceData_Common_MCFTemperatureZone[[#Headers],[Temperature zone]],0)</f>
        <v>0.04</v>
      </c>
      <c r="N247" s="30" cm="1">
        <f t="array" ref="N247">Common_InputFunctions.Utility_DisplayArrayInTable(Common_SourceData.Common_SourceData_MCFTemperatureZone_Data(),Table_SourceData_Common_MCFTemperatureZone[[#Headers],[Temperature zone]],0)</f>
        <v>1.4999999999999999E-2</v>
      </c>
      <c r="O247" s="30" cm="1">
        <f t="array" ref="O247">Common_InputFunctions.Utility_DisplayArrayInTable(Common_SourceData.Common_SourceData_MCFTemperatureZone_Data(),Table_SourceData_Common_MCFTemperatureZone[[#Headers],[Temperature zone]],0)</f>
        <v>1.4999999999999999E-2</v>
      </c>
      <c r="P247" s="30" cm="1">
        <f t="array" ref="P247">Common_InputFunctions.Utility_DisplayArrayInTable(Common_SourceData.Common_SourceData_MCFTemperatureZone_Data(),Table_SourceData_Common_MCFTemperatureZone[[#Headers],[Temperature zone]],0)</f>
        <v>0</v>
      </c>
      <c r="Q247" s="30" cm="1">
        <f t="array" ref="Q247">Common_InputFunctions.Utility_DisplayArrayInTable(Common_SourceData.Common_SourceData_MCFTemperatureZone_Data(),Table_SourceData_Common_MCFTemperatureZone[[#Headers],[Temperature zone]],0)</f>
        <v>0</v>
      </c>
      <c r="R247" s="30" cm="1">
        <f t="array" ref="R247">Common_InputFunctions.Utility_DisplayArrayInTable(Common_SourceData.Common_SourceData_MCFTemperatureZone_Data(),Table_SourceData_Common_MCFTemperatureZone[[#Headers],[Temperature zone]],0)</f>
        <v>4.7000000000000002E-3</v>
      </c>
      <c r="S247" s="30"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0" cm="1">
        <f t="array" ref="E248">Common_InputFunctions.Utility_DisplayArrayInTable(Common_SourceData.Common_SourceData_MCFTemperatureZone_Data(),Table_SourceData_Common_MCFTemperatureZone[[#Headers],[Temperature zone]],0)</f>
        <v>26</v>
      </c>
      <c r="F248" s="30" cm="1">
        <f t="array" ref="F248">Common_InputFunctions.Utility_DisplayArrayInTable(Common_SourceData.Common_SourceData_MCFTemperatureZone_Data(),Table_SourceData_Common_MCFTemperatureZone[[#Headers],[Temperature zone]],0)</f>
        <v>0.79</v>
      </c>
      <c r="G248" s="30" cm="1">
        <f t="array" ref="G248">Common_InputFunctions.Utility_DisplayArrayInTable(Common_SourceData.Common_SourceData_MCFTemperatureZone_Data(),Table_SourceData_Common_MCFTemperatureZone[[#Headers],[Temperature zone]],0)</f>
        <v>0.1</v>
      </c>
      <c r="H248" s="30" cm="1">
        <f t="array" ref="H248">Common_InputFunctions.Utility_DisplayArrayInTable(Common_SourceData.Common_SourceData_MCFTemperatureZone_Data(),Table_SourceData_Common_MCFTemperatureZone[[#Headers],[Temperature zone]],0)</f>
        <v>0.44</v>
      </c>
      <c r="I248" s="30" cm="1">
        <f t="array" ref="I248">Common_InputFunctions.Utility_DisplayArrayInTable(Common_SourceData.Common_SourceData_MCFTemperatureZone_Data(),Table_SourceData_Common_MCFTemperatureZone[[#Headers],[Temperature zone]],0)</f>
        <v>0.01</v>
      </c>
      <c r="J248" s="30" cm="1">
        <f t="array" ref="J248">Common_InputFunctions.Utility_DisplayArrayInTable(Common_SourceData.Common_SourceData_MCFTemperatureZone_Data(),Table_SourceData_Common_MCFTemperatureZone[[#Headers],[Temperature zone]],0)</f>
        <v>1.4999999999999999E-2</v>
      </c>
      <c r="K248" s="30" cm="1">
        <f t="array" ref="K248">Common_InputFunctions.Utility_DisplayArrayInTable(Common_SourceData.Common_SourceData_MCFTemperatureZone_Data(),Table_SourceData_Common_MCFTemperatureZone[[#Headers],[Temperature zone]],0)</f>
        <v>0.02</v>
      </c>
      <c r="L248" s="30" cm="1">
        <f t="array" ref="L248">Common_InputFunctions.Utility_DisplayArrayInTable(Common_SourceData.Common_SourceData_MCFTemperatureZone_Data(),Table_SourceData_Common_MCFTemperatureZone[[#Headers],[Temperature zone]],0)</f>
        <v>0.03</v>
      </c>
      <c r="M248" s="30" cm="1">
        <f t="array" ref="M248">Common_InputFunctions.Utility_DisplayArrayInTable(Common_SourceData.Common_SourceData_MCFTemperatureZone_Data(),Table_SourceData_Common_MCFTemperatureZone[[#Headers],[Temperature zone]],0)</f>
        <v>0.04</v>
      </c>
      <c r="N248" s="30" cm="1">
        <f t="array" ref="N248">Common_InputFunctions.Utility_DisplayArrayInTable(Common_SourceData.Common_SourceData_MCFTemperatureZone_Data(),Table_SourceData_Common_MCFTemperatureZone[[#Headers],[Temperature zone]],0)</f>
        <v>1.4999999999999999E-2</v>
      </c>
      <c r="O248" s="30" cm="1">
        <f t="array" ref="O248">Common_InputFunctions.Utility_DisplayArrayInTable(Common_SourceData.Common_SourceData_MCFTemperatureZone_Data(),Table_SourceData_Common_MCFTemperatureZone[[#Headers],[Temperature zone]],0)</f>
        <v>1.4999999999999999E-2</v>
      </c>
      <c r="P248" s="30" cm="1">
        <f t="array" ref="P248">Common_InputFunctions.Utility_DisplayArrayInTable(Common_SourceData.Common_SourceData_MCFTemperatureZone_Data(),Table_SourceData_Common_MCFTemperatureZone[[#Headers],[Temperature zone]],0)</f>
        <v>0</v>
      </c>
      <c r="Q248" s="30" cm="1">
        <f t="array" ref="Q248">Common_InputFunctions.Utility_DisplayArrayInTable(Common_SourceData.Common_SourceData_MCFTemperatureZone_Data(),Table_SourceData_Common_MCFTemperatureZone[[#Headers],[Temperature zone]],0)</f>
        <v>0</v>
      </c>
      <c r="R248" s="30" cm="1">
        <f t="array" ref="R248">Common_InputFunctions.Utility_DisplayArrayInTable(Common_SourceData.Common_SourceData_MCFTemperatureZone_Data(),Table_SourceData_Common_MCFTemperatureZone[[#Headers],[Temperature zone]],0)</f>
        <v>4.7000000000000002E-3</v>
      </c>
      <c r="S248" s="30"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0" cm="1">
        <f t="array" ref="E249">Common_InputFunctions.Utility_DisplayArrayInTable(Common_SourceData.Common_SourceData_MCFTemperatureZone_Data(),Table_SourceData_Common_MCFTemperatureZone[[#Headers],[Temperature zone]],0)</f>
        <v>27</v>
      </c>
      <c r="F249" s="30" cm="1">
        <f t="array" ref="F249">Common_InputFunctions.Utility_DisplayArrayInTable(Common_SourceData.Common_SourceData_MCFTemperatureZone_Data(),Table_SourceData_Common_MCFTemperatureZone[[#Headers],[Temperature zone]],0)</f>
        <v>0.8</v>
      </c>
      <c r="G249" s="30" cm="1">
        <f t="array" ref="G249">Common_InputFunctions.Utility_DisplayArrayInTable(Common_SourceData.Common_SourceData_MCFTemperatureZone_Data(),Table_SourceData_Common_MCFTemperatureZone[[#Headers],[Temperature zone]],0)</f>
        <v>0.1</v>
      </c>
      <c r="H249" s="30" cm="1">
        <f t="array" ref="H249">Common_InputFunctions.Utility_DisplayArrayInTable(Common_SourceData.Common_SourceData_MCFTemperatureZone_Data(),Table_SourceData_Common_MCFTemperatureZone[[#Headers],[Temperature zone]],0)</f>
        <v>0.48</v>
      </c>
      <c r="I249" s="30" cm="1">
        <f t="array" ref="I249">Common_InputFunctions.Utility_DisplayArrayInTable(Common_SourceData.Common_SourceData_MCFTemperatureZone_Data(),Table_SourceData_Common_MCFTemperatureZone[[#Headers],[Temperature zone]],0)</f>
        <v>0.01</v>
      </c>
      <c r="J249" s="30" cm="1">
        <f t="array" ref="J249">Common_InputFunctions.Utility_DisplayArrayInTable(Common_SourceData.Common_SourceData_MCFTemperatureZone_Data(),Table_SourceData_Common_MCFTemperatureZone[[#Headers],[Temperature zone]],0)</f>
        <v>1.4999999999999999E-2</v>
      </c>
      <c r="K249" s="30" cm="1">
        <f t="array" ref="K249">Common_InputFunctions.Utility_DisplayArrayInTable(Common_SourceData.Common_SourceData_MCFTemperatureZone_Data(),Table_SourceData_Common_MCFTemperatureZone[[#Headers],[Temperature zone]],0)</f>
        <v>0.02</v>
      </c>
      <c r="L249" s="30" cm="1">
        <f t="array" ref="L249">Common_InputFunctions.Utility_DisplayArrayInTable(Common_SourceData.Common_SourceData_MCFTemperatureZone_Data(),Table_SourceData_Common_MCFTemperatureZone[[#Headers],[Temperature zone]],0)</f>
        <v>0.03</v>
      </c>
      <c r="M249" s="30" cm="1">
        <f t="array" ref="M249">Common_InputFunctions.Utility_DisplayArrayInTable(Common_SourceData.Common_SourceData_MCFTemperatureZone_Data(),Table_SourceData_Common_MCFTemperatureZone[[#Headers],[Temperature zone]],0)</f>
        <v>0.04</v>
      </c>
      <c r="N249" s="30" cm="1">
        <f t="array" ref="N249">Common_InputFunctions.Utility_DisplayArrayInTable(Common_SourceData.Common_SourceData_MCFTemperatureZone_Data(),Table_SourceData_Common_MCFTemperatureZone[[#Headers],[Temperature zone]],0)</f>
        <v>1.4999999999999999E-2</v>
      </c>
      <c r="O249" s="30" cm="1">
        <f t="array" ref="O249">Common_InputFunctions.Utility_DisplayArrayInTable(Common_SourceData.Common_SourceData_MCFTemperatureZone_Data(),Table_SourceData_Common_MCFTemperatureZone[[#Headers],[Temperature zone]],0)</f>
        <v>1.4999999999999999E-2</v>
      </c>
      <c r="P249" s="30" cm="1">
        <f t="array" ref="P249">Common_InputFunctions.Utility_DisplayArrayInTable(Common_SourceData.Common_SourceData_MCFTemperatureZone_Data(),Table_SourceData_Common_MCFTemperatureZone[[#Headers],[Temperature zone]],0)</f>
        <v>0</v>
      </c>
      <c r="Q249" s="30" cm="1">
        <f t="array" ref="Q249">Common_InputFunctions.Utility_DisplayArrayInTable(Common_SourceData.Common_SourceData_MCFTemperatureZone_Data(),Table_SourceData_Common_MCFTemperatureZone[[#Headers],[Temperature zone]],0)</f>
        <v>0</v>
      </c>
      <c r="R249" s="30" cm="1">
        <f t="array" ref="R249">Common_InputFunctions.Utility_DisplayArrayInTable(Common_SourceData.Common_SourceData_MCFTemperatureZone_Data(),Table_SourceData_Common_MCFTemperatureZone[[#Headers],[Temperature zone]],0)</f>
        <v>4.7000000000000002E-3</v>
      </c>
      <c r="S249" s="30"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0" t="str" cm="1">
        <f t="array" ref="E250">Common_InputFunctions.Utility_DisplayArrayInTable(Common_SourceData.Common_SourceData_MCFTemperatureZone_Data(),Table_SourceData_Common_MCFTemperatureZone[[#Headers],[Temperature zone]],0)</f>
        <v>≥28</v>
      </c>
      <c r="F250" s="30" cm="1">
        <f t="array" ref="F250">Common_InputFunctions.Utility_DisplayArrayInTable(Common_SourceData.Common_SourceData_MCFTemperatureZone_Data(),Table_SourceData_Common_MCFTemperatureZone[[#Headers],[Temperature zone]],0)</f>
        <v>0.8</v>
      </c>
      <c r="G250" s="30" cm="1">
        <f t="array" ref="G250">Common_InputFunctions.Utility_DisplayArrayInTable(Common_SourceData.Common_SourceData_MCFTemperatureZone_Data(),Table_SourceData_Common_MCFTemperatureZone[[#Headers],[Temperature zone]],0)</f>
        <v>0.1</v>
      </c>
      <c r="H250" s="30" cm="1">
        <f t="array" ref="H250">Common_InputFunctions.Utility_DisplayArrayInTable(Common_SourceData.Common_SourceData_MCFTemperatureZone_Data(),Table_SourceData_Common_MCFTemperatureZone[[#Headers],[Temperature zone]],0)</f>
        <v>0.5</v>
      </c>
      <c r="I250" s="30" cm="1">
        <f t="array" ref="I250">Common_InputFunctions.Utility_DisplayArrayInTable(Common_SourceData.Common_SourceData_MCFTemperatureZone_Data(),Table_SourceData_Common_MCFTemperatureZone[[#Headers],[Temperature zone]],0)</f>
        <v>0.01</v>
      </c>
      <c r="J250" s="30" cm="1">
        <f t="array" ref="J250">Common_InputFunctions.Utility_DisplayArrayInTable(Common_SourceData.Common_SourceData_MCFTemperatureZone_Data(),Table_SourceData_Common_MCFTemperatureZone[[#Headers],[Temperature zone]],0)</f>
        <v>1.4999999999999999E-2</v>
      </c>
      <c r="K250" s="30" cm="1">
        <f t="array" ref="K250">Common_InputFunctions.Utility_DisplayArrayInTable(Common_SourceData.Common_SourceData_MCFTemperatureZone_Data(),Table_SourceData_Common_MCFTemperatureZone[[#Headers],[Temperature zone]],0)</f>
        <v>0.02</v>
      </c>
      <c r="L250" s="30" cm="1">
        <f t="array" ref="L250">Common_InputFunctions.Utility_DisplayArrayInTable(Common_SourceData.Common_SourceData_MCFTemperatureZone_Data(),Table_SourceData_Common_MCFTemperatureZone[[#Headers],[Temperature zone]],0)</f>
        <v>0.03</v>
      </c>
      <c r="M250" s="30" cm="1">
        <f t="array" ref="M250">Common_InputFunctions.Utility_DisplayArrayInTable(Common_SourceData.Common_SourceData_MCFTemperatureZone_Data(),Table_SourceData_Common_MCFTemperatureZone[[#Headers],[Temperature zone]],0)</f>
        <v>0.04</v>
      </c>
      <c r="N250" s="30" cm="1">
        <f t="array" ref="N250">Common_InputFunctions.Utility_DisplayArrayInTable(Common_SourceData.Common_SourceData_MCFTemperatureZone_Data(),Table_SourceData_Common_MCFTemperatureZone[[#Headers],[Temperature zone]],0)</f>
        <v>1.4999999999999999E-2</v>
      </c>
      <c r="O250" s="30" cm="1">
        <f t="array" ref="O250">Common_InputFunctions.Utility_DisplayArrayInTable(Common_SourceData.Common_SourceData_MCFTemperatureZone_Data(),Table_SourceData_Common_MCFTemperatureZone[[#Headers],[Temperature zone]],0)</f>
        <v>1.4999999999999999E-2</v>
      </c>
      <c r="P250" s="30" cm="1">
        <f t="array" ref="P250">Common_InputFunctions.Utility_DisplayArrayInTable(Common_SourceData.Common_SourceData_MCFTemperatureZone_Data(),Table_SourceData_Common_MCFTemperatureZone[[#Headers],[Temperature zone]],0)</f>
        <v>0</v>
      </c>
      <c r="Q250" s="30" cm="1">
        <f t="array" ref="Q250">Common_InputFunctions.Utility_DisplayArrayInTable(Common_SourceData.Common_SourceData_MCFTemperatureZone_Data(),Table_SourceData_Common_MCFTemperatureZone[[#Headers],[Temperature zone]],0)</f>
        <v>0</v>
      </c>
      <c r="R250" s="30" cm="1">
        <f t="array" ref="R250">Common_InputFunctions.Utility_DisplayArrayInTable(Common_SourceData.Common_SourceData_MCFTemperatureZone_Data(),Table_SourceData_Common_MCFTemperatureZone[[#Headers],[Temperature zone]],0)</f>
        <v>4.7000000000000002E-3</v>
      </c>
      <c r="S250" s="30" cm="1">
        <f t="array" ref="S250">Common_InputFunctions.Utility_DisplayArrayInTable(Common_SourceData.Common_SourceData_MCFTemperatureZone_Data(),Table_SourceData_Common_MCFTemperatureZone[[#Headers],[Temperature zone]],0)</f>
        <v>28</v>
      </c>
    </row>
    <row r="253" spans="4:19" ht="23.25" x14ac:dyDescent="0.25">
      <c r="D253" s="2" t="str" cm="1">
        <f t="array" ref="D253">Common_SourceData.Common_SourceData_EFOrganicFertiliserAndCropResidues_Title()</f>
        <v>Emission factor for organic fertiliser and crop residues returned to the soil</v>
      </c>
    </row>
    <row r="254" spans="4:19" x14ac:dyDescent="0.25">
      <c r="D254" s="27"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15" t="str" cm="1">
        <f t="array" ref="D256">Common_SourceData.Common_SourceData_EFOrganicFertiliserAndCropResidues_Unit()</f>
        <v>kg N2O - N / kg N</v>
      </c>
    </row>
    <row r="257" spans="4:5" x14ac:dyDescent="0.25">
      <c r="D257" s="30" t="s">
        <v>95</v>
      </c>
      <c r="E257" s="30" t="s">
        <v>96</v>
      </c>
    </row>
    <row r="258" spans="4:5" x14ac:dyDescent="0.25">
      <c r="D258" s="30" t="str" cm="1">
        <f t="array" ref="D258">Common_InputFunctions.Utility_DisplayArrayInTable(Common_SourceData.Common_SourceData_EFOrganicFertiliserAndCropResidues_Data(), Table_SourceData_Common_EFOrganicFertCropResidues[[#Headers],[Climate Zone]], 0)</f>
        <v>Wet climate zone</v>
      </c>
      <c r="E258" s="30"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0"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6E280-B8D5-4AA7-9E36-3AB37D5EDEA0}">
  <dimension ref="A1:A46"/>
  <sheetViews>
    <sheetView workbookViewId="0">
      <selection activeCell="A46" sqref="A46"/>
    </sheetView>
  </sheetViews>
  <sheetFormatPr defaultRowHeight="15" x14ac:dyDescent="0.25"/>
  <sheetData>
    <row r="1" spans="1:1" ht="25.5" x14ac:dyDescent="0.35">
      <c r="A1" s="16" t="e" vm="1">
        <v>#VALUE!</v>
      </c>
    </row>
    <row r="3" spans="1:1" ht="15.75" x14ac:dyDescent="0.25">
      <c r="A3" s="5" t="str">
        <f>HYPERLINK("#'Home'!A1", "Home")</f>
        <v>Home</v>
      </c>
    </row>
    <row r="4" spans="1:1" ht="15.75" x14ac:dyDescent="0.25">
      <c r="A4" s="5" t="str">
        <f>HYPERLINK("#'Results'!A1", "Results")</f>
        <v>Results</v>
      </c>
    </row>
    <row r="7" spans="1:1" x14ac:dyDescent="0.25">
      <c r="A7" s="7" t="s">
        <v>0</v>
      </c>
    </row>
    <row r="8" spans="1:1" ht="15.75" x14ac:dyDescent="0.25">
      <c r="A8" s="5" t="str">
        <f>HYPERLINK("#'Input - Enterprise'!A1", "Enterprise")</f>
        <v>Enterprise</v>
      </c>
    </row>
    <row r="9" spans="1:1" ht="15.75" x14ac:dyDescent="0.25">
      <c r="A9" s="5" t="str">
        <f>HYPERLINK("#'Input - Site'!A1", "Site")</f>
        <v>Site</v>
      </c>
    </row>
    <row r="10" spans="1:1" ht="15.75" x14ac:dyDescent="0.25">
      <c r="A10" s="5" t="str">
        <f>HYPERLINK("#'Input - Pasture Beef'!A1", "Pasture Beef")</f>
        <v>Pasture Beef</v>
      </c>
    </row>
    <row r="11" spans="1:1" ht="15.75" x14ac:dyDescent="0.25">
      <c r="A11" s="5" t="str">
        <f>HYPERLINK("#'Input - Pasture Beef (Enteric)'!A1", "Pasture Beef (Enteric)")</f>
        <v>Pasture Beef (Enteric)</v>
      </c>
    </row>
    <row r="12" spans="1:1" ht="15.75" x14ac:dyDescent="0.25">
      <c r="A12" s="5" t="str">
        <f>HYPERLINK("#'Input - Pasture'!A1", "Pasture")</f>
        <v>Pasture</v>
      </c>
    </row>
    <row r="13" spans="1:1" ht="15.75" x14ac:dyDescent="0.25">
      <c r="A13" s="5" t="str">
        <f>HYPERLINK("#'Input - Fertiliser'!A1", "Fertiliser")</f>
        <v>Fertiliser</v>
      </c>
    </row>
    <row r="14" spans="1:1" ht="15.75" x14ac:dyDescent="0.25">
      <c r="A14" s="5" t="str">
        <f>HYPERLINK("#'Input - Fuel'!A1", "Fuel")</f>
        <v>Fuel</v>
      </c>
    </row>
    <row r="15" spans="1:1" ht="15.75" x14ac:dyDescent="0.25">
      <c r="A15" s="5" t="str">
        <f>HYPERLINK("#'Input - Electricity'!A1", "Electricity")</f>
        <v>Electricity</v>
      </c>
    </row>
    <row r="18" spans="1:1" x14ac:dyDescent="0.25">
      <c r="A18" s="6" t="s">
        <v>2</v>
      </c>
    </row>
    <row r="19" spans="1:1" ht="15.75" x14ac:dyDescent="0.25">
      <c r="A19" s="5" t="str">
        <f>HYPERLINK("#'3.2.1.1-2 Enteric Methane'!A1", "3.2.1.1-2 Enteric methane")</f>
        <v>3.2.1.1-2 Enteric methane</v>
      </c>
    </row>
    <row r="20" spans="1:1" ht="15.75" x14ac:dyDescent="0.25">
      <c r="A20" s="5" t="str">
        <f>HYPERLINK("#'4.2.1.1-2 Methane'!A1", "4.2.1.1-2 Manure methane")</f>
        <v>4.2.1.1-2 Manure methane</v>
      </c>
    </row>
    <row r="21" spans="1:1" ht="15.75" x14ac:dyDescent="0.25">
      <c r="A21" s="5" t="str">
        <f>HYPERLINK("#'4.2.1.3-4 Soil direct N20'!A1", "4.2.1.3-4 Soil direct N2O")</f>
        <v>4.2.1.3-4 Soil direct N2O</v>
      </c>
    </row>
    <row r="22" spans="1:1" ht="15.75" x14ac:dyDescent="0.25">
      <c r="A22" s="5" t="str">
        <f>HYPERLINK("#'4.2.1.5-6 Soil Atmos Dep'!A1", "4.2.1.5-6 Soil atm. deposition")</f>
        <v>4.2.1.5-6 Soil atm. deposition</v>
      </c>
    </row>
    <row r="23" spans="1:1" ht="15.75" x14ac:dyDescent="0.25">
      <c r="A23" s="5" t="str">
        <f>HYPERLINK("#'4.2.1.7-8 Soil leach runoff'!A1", "4.2.1.7-8 Soil leach &amp; runoff")</f>
        <v>4.2.1.7-8 Soil leach &amp; runoff</v>
      </c>
    </row>
    <row r="24" spans="1:1" ht="15.75" x14ac:dyDescent="0.25">
      <c r="A24" s="5" t="str">
        <f>HYPERLINK("#'5.1.1.1-2 Inorganic fert N2O'!A1", "5.1.1.1-2 Inorganic fert N2O")</f>
        <v>5.1.1.1-2 Inorganic fert N2O</v>
      </c>
    </row>
    <row r="25" spans="1:1" ht="15.75" x14ac:dyDescent="0.25">
      <c r="A25" s="5" t="str">
        <f>HYPERLINK("#'5.1.1.3-4 Inorganic fert CO2'!A1", "5.1.1.3-4 Inorganic fert CO2")</f>
        <v>5.1.1.3-4 Inorganic fert CO2</v>
      </c>
    </row>
    <row r="26" spans="1:1" ht="15.75" x14ac:dyDescent="0.25">
      <c r="A26" s="5" t="str">
        <f>HYPERLINK("#'5.2.1.1-2 Organic Fert N2O'!A1", "5.2.1.1-2 Organic fert N2O")</f>
        <v>5.2.1.1-2 Organic fert N2O</v>
      </c>
    </row>
    <row r="27" spans="1:1" ht="15.75" x14ac:dyDescent="0.25">
      <c r="A27" s="5" t="str">
        <f>HYPERLINK("#'5.3.1.1-2 Lime CO2'!A1", "5.3.1.1-2 Lime CO2")</f>
        <v>5.3.1.1-2 Lime CO2</v>
      </c>
    </row>
    <row r="28" spans="1:1" ht="15.75" x14ac:dyDescent="0.25">
      <c r="A28" s="5" t="str">
        <f>HYPERLINK("#'5.4.1.1-4 Atmos deposition'!A1", "5.4.1.1-4 Atmos. deposition")</f>
        <v>5.4.1.1-4 Atmos. deposition</v>
      </c>
    </row>
    <row r="29" spans="1:1" ht="15.75" x14ac:dyDescent="0.25">
      <c r="A29" s="5" t="str">
        <f>HYPERLINK("#'5.5.1.1-2 Leaching and runoff'!A1", "5.5.1.1-2 Leaching &amp; runoff")</f>
        <v>5.5.1.1-2 Leaching &amp; runoff</v>
      </c>
    </row>
    <row r="30" spans="1:1" ht="15.75" x14ac:dyDescent="0.25">
      <c r="A30" s="5" t="str">
        <f>HYPERLINK("#'6.2.1.1-2 Pasture residue N2O'!A1", "6.2.1.1-2 Pasture residue N2O")</f>
        <v>6.2.1.1-2 Pasture residue N2O</v>
      </c>
    </row>
    <row r="31" spans="1:1" ht="15.75" x14ac:dyDescent="0.25">
      <c r="A31" s="5" t="str">
        <f>HYPERLINK("#'6.3.1.1-2 Leach runoff pasture'!A1", "6.3.1.1-2 Leach &amp; runoff (pasture)")</f>
        <v>6.3.1.1-2 Leach &amp; runoff (pasture)</v>
      </c>
    </row>
    <row r="32" spans="1:1" ht="15.75" x14ac:dyDescent="0.25">
      <c r="A32" s="5" t="str">
        <f>HYPERLINK("#'8.1.1.1-2 Transport fuel'!A1", "8.1.1.1-2 Transport fuel")</f>
        <v>8.1.1.1-2 Transport fuel</v>
      </c>
    </row>
    <row r="33" spans="1:1" ht="15.75" x14ac:dyDescent="0.25">
      <c r="A33" s="5" t="str">
        <f>HYPERLINK("#'8.2.1.1-2 Stationary fuel'!A1", "8.2.1.1-2 Stationary fuel")</f>
        <v>8.2.1.1-2 Stationary fuel</v>
      </c>
    </row>
    <row r="34" spans="1:1" ht="15.75" x14ac:dyDescent="0.25">
      <c r="A34" s="5" t="str">
        <f>HYPERLINK("#'14.1.1-2 Purchased electricity'!A1", "14.1.1-2 Purchased electricity")</f>
        <v>14.1.1-2 Purchased electricity</v>
      </c>
    </row>
    <row r="37" spans="1:1" x14ac:dyDescent="0.25">
      <c r="A37" s="251" t="s">
        <v>1</v>
      </c>
    </row>
    <row r="38" spans="1:1" ht="15.75" x14ac:dyDescent="0.25">
      <c r="A38" s="5" t="str">
        <f>HYPERLINK("#'Constants - Pasture Beef'!A1", "Constants - Pasture Beef")</f>
        <v>Constants - Pasture Beef</v>
      </c>
    </row>
    <row r="39" spans="1:1" ht="15.75" x14ac:dyDescent="0.25">
      <c r="A39" s="5" t="str">
        <f>HYPERLINK("#'Constants - Ag Residue'!A1", "Constants - Ag residue")</f>
        <v>Constants - Ag residue</v>
      </c>
    </row>
    <row r="40" spans="1:1" ht="15.75" x14ac:dyDescent="0.25">
      <c r="A40" s="5" t="str">
        <f>HYPERLINK("#'Constants - Common Livestock'!A1", "Constants - Common Livestock")</f>
        <v>Constants - Common Livestock</v>
      </c>
    </row>
    <row r="41" spans="1:1" ht="15.75" x14ac:dyDescent="0.25">
      <c r="A41" s="5" t="str">
        <f>HYPERLINK("#'Constants - Electricity'!A1", "Constants - Electricity")</f>
        <v>Constants - Electricity</v>
      </c>
    </row>
    <row r="42" spans="1:1" ht="15.75" x14ac:dyDescent="0.25">
      <c r="A42" s="5" t="str">
        <f>HYPERLINK("#'Constants - Fertiliser'!A1", "Constants - Fertiliser")</f>
        <v>Constants - Fertiliser</v>
      </c>
    </row>
    <row r="43" spans="1:1" ht="15.75" x14ac:dyDescent="0.25">
      <c r="A43" s="5" t="str">
        <f>HYPERLINK("#'Constants - Fuel'!A1", "Constants - Fuel")</f>
        <v>Constants - Fuel</v>
      </c>
    </row>
    <row r="44" spans="1:1" ht="15.75" x14ac:dyDescent="0.25">
      <c r="A44" s="5" t="str">
        <f>HYPERLINK("#'Constants - Common'!A1", "Constants - Common")</f>
        <v>Constants - Common</v>
      </c>
    </row>
    <row r="45" spans="1:1" ht="15.75" x14ac:dyDescent="0.25">
      <c r="A45" s="126" t="str">
        <f>HYPERLINK("#'Acknowledgements'!A1", "Acknowledgements")</f>
        <v>Acknowledgements</v>
      </c>
    </row>
    <row r="46" spans="1:1" ht="15.75" x14ac:dyDescent="0.25">
      <c r="A46" s="5" t="str">
        <f>HYPERLINK("#'Overview'!A1", "Overview")</f>
        <v>Overview</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6A997-1094-4681-86AB-CB2192D313F3}">
  <dimension ref="A1:AV46"/>
  <sheetViews>
    <sheetView showGridLines="0" zoomScaleNormal="100" workbookViewId="0">
      <selection activeCell="A4" sqref="A4"/>
    </sheetView>
  </sheetViews>
  <sheetFormatPr defaultRowHeight="15.75" x14ac:dyDescent="0.25"/>
  <cols>
    <col min="1" max="1" width="30.7109375" customWidth="1"/>
    <col min="2" max="2" width="4.7109375" customWidth="1"/>
    <col min="3" max="3" width="4.7109375" style="1" customWidth="1"/>
    <col min="4" max="41" width="9.140625" style="1"/>
  </cols>
  <sheetData>
    <row r="1" spans="1:42" ht="30" customHeight="1" x14ac:dyDescent="0.35">
      <c r="A1" s="16" t="e" vm="1">
        <v>#VALUE!</v>
      </c>
      <c r="C1" s="245" t="s">
        <v>871</v>
      </c>
      <c r="D1" s="246"/>
      <c r="E1" s="246"/>
      <c r="F1" s="246"/>
      <c r="G1" s="246"/>
      <c r="H1" s="246"/>
      <c r="I1" s="246"/>
      <c r="J1" s="246"/>
      <c r="K1" s="246"/>
      <c r="L1" s="246"/>
      <c r="M1" s="246"/>
      <c r="N1" s="246"/>
      <c r="O1" s="246"/>
      <c r="P1" s="246"/>
      <c r="Q1" s="246"/>
      <c r="R1" s="246"/>
      <c r="S1" s="246"/>
      <c r="T1" s="246"/>
      <c r="U1" s="246"/>
      <c r="V1" s="246"/>
      <c r="W1" s="246"/>
      <c r="X1" s="246"/>
      <c r="Y1" s="246"/>
      <c r="Z1" s="246"/>
      <c r="AA1" s="246"/>
      <c r="AB1" s="246"/>
      <c r="AC1" s="246"/>
      <c r="AD1" s="246"/>
      <c r="AE1" s="246"/>
      <c r="AF1" s="246"/>
      <c r="AG1" s="246"/>
      <c r="AH1" s="246"/>
      <c r="AI1" s="246"/>
      <c r="AJ1" s="246"/>
      <c r="AK1" s="246"/>
      <c r="AL1" s="246"/>
      <c r="AM1" s="246"/>
      <c r="AN1" s="246"/>
      <c r="AO1" s="246"/>
    </row>
    <row r="2" spans="1:42" ht="20.100000000000001" customHeight="1" x14ac:dyDescent="0.25">
      <c r="C2" s="246"/>
      <c r="D2" s="246"/>
      <c r="E2" s="246"/>
      <c r="F2" s="246"/>
      <c r="G2" s="246"/>
      <c r="H2" s="246"/>
      <c r="I2" s="246"/>
      <c r="J2" s="246"/>
      <c r="K2" s="246"/>
      <c r="L2" s="246"/>
      <c r="M2" s="246"/>
      <c r="N2" s="246"/>
      <c r="O2" s="246"/>
      <c r="P2" s="246"/>
      <c r="Q2" s="246"/>
      <c r="R2" s="246"/>
      <c r="S2" s="246"/>
      <c r="T2" s="246"/>
      <c r="U2" s="246"/>
      <c r="V2" s="246"/>
      <c r="W2" s="246"/>
      <c r="X2" s="246"/>
      <c r="Y2" s="246"/>
      <c r="Z2" s="246"/>
      <c r="AA2" s="246"/>
      <c r="AB2" s="246"/>
      <c r="AC2" s="246"/>
      <c r="AD2" s="246"/>
      <c r="AE2" s="246"/>
      <c r="AF2" s="246"/>
      <c r="AG2" s="246"/>
      <c r="AH2" s="246"/>
      <c r="AI2" s="246"/>
      <c r="AJ2" s="246"/>
      <c r="AK2" s="246"/>
      <c r="AL2" s="246"/>
      <c r="AM2" s="246"/>
      <c r="AN2" s="246"/>
      <c r="AO2" s="246"/>
      <c r="AP2" s="247"/>
    </row>
    <row r="3" spans="1:42" ht="20.100000000000001" customHeight="1" x14ac:dyDescent="0.25">
      <c r="A3" s="5" t="str">
        <f>HYPERLINK("#'Home'!A1", "Home")</f>
        <v>Home</v>
      </c>
      <c r="C3" s="248"/>
      <c r="D3" s="248"/>
      <c r="E3" s="248"/>
      <c r="F3" s="248"/>
      <c r="G3" s="248"/>
      <c r="H3" s="248"/>
      <c r="I3" s="248"/>
      <c r="J3" s="248"/>
      <c r="K3" s="248"/>
      <c r="L3" s="248"/>
      <c r="M3" s="248"/>
      <c r="N3" s="248"/>
      <c r="O3" s="248"/>
      <c r="P3" s="248"/>
      <c r="Q3" s="248"/>
      <c r="R3" s="248"/>
      <c r="S3" s="248"/>
      <c r="T3" s="248"/>
      <c r="U3" s="248"/>
      <c r="V3" s="248"/>
      <c r="W3" s="248"/>
      <c r="X3" s="248"/>
      <c r="Y3" s="248"/>
      <c r="Z3" s="248"/>
      <c r="AA3" s="248"/>
      <c r="AB3" s="248"/>
      <c r="AC3" s="248"/>
      <c r="AD3" s="248"/>
      <c r="AE3" s="248"/>
      <c r="AF3" s="248"/>
      <c r="AG3" s="248"/>
      <c r="AH3" s="248"/>
      <c r="AI3" s="248"/>
      <c r="AJ3" s="248"/>
      <c r="AK3" s="248"/>
      <c r="AL3" s="248"/>
      <c r="AM3" s="248"/>
      <c r="AN3" s="248"/>
      <c r="AO3" s="248"/>
    </row>
    <row r="4" spans="1:42" ht="20.100000000000001" customHeight="1" x14ac:dyDescent="0.25">
      <c r="A4" s="5" t="str">
        <f>HYPERLINK("#'Results'!A1", "Results")</f>
        <v>Results</v>
      </c>
    </row>
    <row r="5" spans="1:42" ht="20.100000000000001" customHeight="1" x14ac:dyDescent="0.25">
      <c r="D5" s="136" t="s">
        <v>872</v>
      </c>
      <c r="E5" s="54"/>
      <c r="F5" s="54"/>
      <c r="G5" s="54"/>
      <c r="H5" s="54"/>
      <c r="I5" s="54"/>
      <c r="J5" s="54"/>
      <c r="K5" s="54"/>
      <c r="L5" s="54"/>
      <c r="M5" s="54"/>
      <c r="N5" s="54"/>
      <c r="O5" s="55"/>
    </row>
    <row r="6" spans="1:42" ht="20.100000000000001" customHeight="1" x14ac:dyDescent="0.25">
      <c r="D6" s="250" t="s">
        <v>873</v>
      </c>
      <c r="E6" s="57"/>
      <c r="F6" s="57"/>
      <c r="G6" s="57"/>
      <c r="H6" s="57"/>
      <c r="I6" s="57"/>
      <c r="J6" s="57"/>
      <c r="K6" s="57"/>
      <c r="L6" s="57"/>
      <c r="M6" s="57"/>
      <c r="N6" s="57"/>
      <c r="O6" s="58"/>
    </row>
    <row r="7" spans="1:42" ht="20.100000000000001" customHeight="1" x14ac:dyDescent="0.25">
      <c r="A7" s="7" t="s">
        <v>0</v>
      </c>
    </row>
    <row r="8" spans="1:42" ht="20.100000000000001" customHeight="1" x14ac:dyDescent="0.25">
      <c r="A8" s="5" t="str">
        <f>HYPERLINK("#'Input - Enterprise'!A1", "Enterprise")</f>
        <v>Enterprise</v>
      </c>
    </row>
    <row r="9" spans="1:42" ht="20.100000000000001" customHeight="1" x14ac:dyDescent="0.25">
      <c r="A9" s="5" t="str">
        <f>HYPERLINK("#'Input - Site'!A1", "Site")</f>
        <v>Site</v>
      </c>
    </row>
    <row r="10" spans="1:42" ht="20.100000000000001" customHeight="1" x14ac:dyDescent="0.25">
      <c r="A10" s="5" t="str">
        <f>HYPERLINK("#'Input - Pasture Beef'!A1", "Pasture Beef")</f>
        <v>Pasture Beef</v>
      </c>
    </row>
    <row r="11" spans="1:42" ht="20.100000000000001" customHeight="1" x14ac:dyDescent="0.25">
      <c r="A11" s="5" t="str">
        <f>HYPERLINK("#'Input - Pasture Beef (Enteric)'!A1", "Pasture Beef (Enteric)")</f>
        <v>Pasture Beef (Enteric)</v>
      </c>
    </row>
    <row r="12" spans="1:42" ht="20.100000000000001" customHeight="1" x14ac:dyDescent="0.25">
      <c r="A12" s="5" t="str">
        <f>HYPERLINK("#'Input - Pasture'!A1", "Pasture")</f>
        <v>Pasture</v>
      </c>
    </row>
    <row r="13" spans="1:42" ht="20.100000000000001" customHeight="1" x14ac:dyDescent="0.25">
      <c r="A13" s="5" t="str">
        <f>HYPERLINK("#'Input - Fertiliser'!A1", "Fertiliser")</f>
        <v>Fertiliser</v>
      </c>
    </row>
    <row r="14" spans="1:42" ht="20.100000000000001" customHeight="1" x14ac:dyDescent="0.25">
      <c r="A14" s="5" t="str">
        <f>HYPERLINK("#'Input - Fuel'!A1", "Fuel")</f>
        <v>Fuel</v>
      </c>
    </row>
    <row r="15" spans="1:42" ht="20.100000000000001" customHeight="1" x14ac:dyDescent="0.25">
      <c r="A15" s="5" t="str">
        <f>HYPERLINK("#'Input - Electricity'!A1", "Electricity")</f>
        <v>Electricity</v>
      </c>
    </row>
    <row r="16" spans="1:42" ht="20.100000000000001" customHeight="1" x14ac:dyDescent="0.25"/>
    <row r="17" spans="1:1" ht="20.100000000000001" customHeight="1" x14ac:dyDescent="0.25"/>
    <row r="18" spans="1:1" ht="20.100000000000001" customHeight="1" x14ac:dyDescent="0.25">
      <c r="A18" s="6" t="s">
        <v>2</v>
      </c>
    </row>
    <row r="19" spans="1:1" ht="20.100000000000001" customHeight="1" x14ac:dyDescent="0.25">
      <c r="A19" s="5" t="str">
        <f>HYPERLINK("#'3.2.1.1-2 Enteric Methane'!A1", "3.2.1.1-2 Enteric methane")</f>
        <v>3.2.1.1-2 Enteric methane</v>
      </c>
    </row>
    <row r="20" spans="1:1" ht="20.100000000000001" customHeight="1" x14ac:dyDescent="0.25">
      <c r="A20" s="5" t="str">
        <f>HYPERLINK("#'4.2.1.1-2 Methane'!A1", "4.2.1.1-2 Manure methane")</f>
        <v>4.2.1.1-2 Manure methane</v>
      </c>
    </row>
    <row r="21" spans="1:1" ht="20.100000000000001" customHeight="1" x14ac:dyDescent="0.25">
      <c r="A21" s="5" t="str">
        <f>HYPERLINK("#'4.2.1.3-4 Soil direct N20'!A1", "4.2.1.3-4 Soil direct N2O")</f>
        <v>4.2.1.3-4 Soil direct N2O</v>
      </c>
    </row>
    <row r="22" spans="1:1" ht="20.100000000000001" customHeight="1" x14ac:dyDescent="0.25">
      <c r="A22" s="5" t="str">
        <f>HYPERLINK("#'4.2.1.5-6 Soil Atmos Dep'!A1", "4.2.1.5-6 Soil atm. deposition")</f>
        <v>4.2.1.5-6 Soil atm. deposition</v>
      </c>
    </row>
    <row r="23" spans="1:1" ht="20.100000000000001" customHeight="1" x14ac:dyDescent="0.25">
      <c r="A23" s="5" t="str">
        <f>HYPERLINK("#'4.2.1.7-8 Soil leach runoff'!A1", "4.2.1.7-8 Soil leach &amp; runoff")</f>
        <v>4.2.1.7-8 Soil leach &amp; runoff</v>
      </c>
    </row>
    <row r="24" spans="1:1" ht="20.100000000000001" customHeight="1" x14ac:dyDescent="0.25">
      <c r="A24" s="5" t="str">
        <f>HYPERLINK("#'5.1.1.1-2 Inorganic fert N2O'!A1", "5.1.1.1-2 Inorganic fert N2O")</f>
        <v>5.1.1.1-2 Inorganic fert N2O</v>
      </c>
    </row>
    <row r="25" spans="1:1" ht="20.100000000000001" customHeight="1" x14ac:dyDescent="0.25">
      <c r="A25" s="5" t="str">
        <f>HYPERLINK("#'5.1.1.3-4 Inorganic fert CO2'!A1", "5.1.1.3-4 Inorganic fert CO2")</f>
        <v>5.1.1.3-4 Inorganic fert CO2</v>
      </c>
    </row>
    <row r="26" spans="1:1" ht="20.100000000000001" customHeight="1" x14ac:dyDescent="0.25">
      <c r="A26" s="5" t="str">
        <f>HYPERLINK("#'5.2.1.1-2 Organic Fert N2O'!A1", "5.2.1.1-2 Organic fert N2O")</f>
        <v>5.2.1.1-2 Organic fert N2O</v>
      </c>
    </row>
    <row r="27" spans="1:1" ht="20.100000000000001" customHeight="1" x14ac:dyDescent="0.25">
      <c r="A27" s="5" t="str">
        <f>HYPERLINK("#'5.3.1.1-2 Lime CO2'!A1", "5.3.1.1-2 Lime CO2")</f>
        <v>5.3.1.1-2 Lime CO2</v>
      </c>
    </row>
    <row r="28" spans="1:1" ht="20.100000000000001" customHeight="1" x14ac:dyDescent="0.25">
      <c r="A28" s="5" t="str">
        <f>HYPERLINK("#'5.4.1.1-4 Atmos deposition'!A1", "5.4.1.1-4 Atmos. deposition")</f>
        <v>5.4.1.1-4 Atmos. deposition</v>
      </c>
    </row>
    <row r="29" spans="1:1" ht="20.100000000000001" customHeight="1" x14ac:dyDescent="0.25">
      <c r="A29" s="5" t="str">
        <f>HYPERLINK("#'5.5.1.1-2 Leaching and runoff'!A1", "5.5.1.1-2 Leaching &amp; runoff")</f>
        <v>5.5.1.1-2 Leaching &amp; runoff</v>
      </c>
    </row>
    <row r="30" spans="1:1" ht="20.100000000000001" customHeight="1" x14ac:dyDescent="0.25">
      <c r="A30" s="5" t="str">
        <f>HYPERLINK("#'6.2.1.1-2 Pasture residue N2O'!A1", "6.2.1.1-2 Pasture residue N2O")</f>
        <v>6.2.1.1-2 Pasture residue N2O</v>
      </c>
    </row>
    <row r="31" spans="1:1" ht="20.100000000000001" customHeight="1" x14ac:dyDescent="0.25">
      <c r="A31" s="5" t="str">
        <f>HYPERLINK("#'6.3.1.1-2 Leach runoff pasture'!A1", "6.3.1.1-2 Leach &amp; runoff (pasture)")</f>
        <v>6.3.1.1-2 Leach &amp; runoff (pasture)</v>
      </c>
    </row>
    <row r="32" spans="1:1" ht="20.100000000000001" customHeight="1" x14ac:dyDescent="0.25">
      <c r="A32" s="5" t="str">
        <f>HYPERLINK("#'8.1.1.1-2 Transport fuel'!A1", "8.1.1.1-2 Transport fuel")</f>
        <v>8.1.1.1-2 Transport fuel</v>
      </c>
    </row>
    <row r="33" spans="1:48" ht="20.100000000000001" customHeight="1" x14ac:dyDescent="0.25">
      <c r="A33" s="5" t="str">
        <f>HYPERLINK("#'8.2.1.1-2 Stationary fuel'!A1", "8.2.1.1-2 Stationary fuel")</f>
        <v>8.2.1.1-2 Stationary fuel</v>
      </c>
    </row>
    <row r="34" spans="1:48" ht="20.100000000000001" customHeight="1" x14ac:dyDescent="0.25">
      <c r="A34" s="5" t="str">
        <f>HYPERLINK("#'14.1.1-2 Purchased electricity'!A1", "14.1.1-2 Purchased electricity")</f>
        <v>14.1.1-2 Purchased electricity</v>
      </c>
    </row>
    <row r="35" spans="1:48" ht="20.100000000000001" customHeight="1" x14ac:dyDescent="0.25"/>
    <row r="36" spans="1:48" ht="20.100000000000001" customHeight="1" x14ac:dyDescent="0.25"/>
    <row r="37" spans="1:48" ht="20.100000000000001" customHeight="1" x14ac:dyDescent="0.25">
      <c r="A37" s="251" t="s">
        <v>1</v>
      </c>
      <c r="L37" s="1" t="s">
        <v>874</v>
      </c>
    </row>
    <row r="38" spans="1:48" ht="20.100000000000001" customHeight="1" x14ac:dyDescent="0.25">
      <c r="A38" s="5" t="str">
        <f>HYPERLINK("#'Constants - Pasture Beef'!A1", "Constants - Pasture Beef")</f>
        <v>Constants - Pasture Beef</v>
      </c>
    </row>
    <row r="39" spans="1:48" ht="20.100000000000001" customHeight="1" x14ac:dyDescent="0.25">
      <c r="A39" s="5" t="str">
        <f>HYPERLINK("#'Constants - Ag Residue'!A1", "Constants - Ag residue")</f>
        <v>Constants - Ag residue</v>
      </c>
    </row>
    <row r="40" spans="1:48" ht="20.100000000000001" customHeight="1" x14ac:dyDescent="0.25">
      <c r="A40" s="5" t="str">
        <f>HYPERLINK("#'Constants - Common Livestock'!A1", "Constants - Common Livestock")</f>
        <v>Constants - Common Livestock</v>
      </c>
    </row>
    <row r="41" spans="1:48" ht="20.100000000000001" customHeight="1" x14ac:dyDescent="0.25">
      <c r="A41" s="5" t="str">
        <f>HYPERLINK("#'Constants - Electricity'!A1", "Constants - Electricity")</f>
        <v>Constants - Electricity</v>
      </c>
    </row>
    <row r="42" spans="1:48" ht="20.100000000000001" customHeight="1" x14ac:dyDescent="0.25">
      <c r="A42" s="5" t="str">
        <f>HYPERLINK("#'Constants - Fertiliser'!A1", "Constants - Fertiliser")</f>
        <v>Constants - Fertiliser</v>
      </c>
    </row>
    <row r="43" spans="1:48" x14ac:dyDescent="0.25">
      <c r="A43" s="5" t="str">
        <f>HYPERLINK("#'Constants - Fuel'!A1", "Constants - Fuel")</f>
        <v>Constants - Fuel</v>
      </c>
    </row>
    <row r="44" spans="1:48" x14ac:dyDescent="0.25">
      <c r="A44" s="5" t="str">
        <f>HYPERLINK("#'Constants - Common'!A1", "Constants - Common")</f>
        <v>Constants - Common</v>
      </c>
    </row>
    <row r="45" spans="1:48" x14ac:dyDescent="0.25">
      <c r="A45" s="5" t="str">
        <f>HYPERLINK("#'Acknowledgements'!A1", "Acknowledgements")</f>
        <v>Acknowledgements</v>
      </c>
      <c r="AV45" t="s">
        <v>875</v>
      </c>
    </row>
    <row r="46" spans="1:48" x14ac:dyDescent="0.25">
      <c r="A46" s="126" t="str">
        <f>HYPERLINK("#'Overview'!A1", "Overview")</f>
        <v>Overview</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wAHIAbwBqAGUAYwB0AE4AYQBtAGUAcwAiADoAWw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DAG8AbQBtAG8AbgBfAEkAbgBwAHUAdABGAHUAbgBjAHQAaQBvAG4AcwAuAFUAdABpAGwAaQB0AHkAXwBTAG8AdQByAGMAZQBIAHkAcABlAHIAbABpAG4AawBEAGkAZgBmAGUAcgBlAG4AdABTAGgAZQBlAHQAIgAsACIAQwBvAG0AbQBvAG4AXwBJAG4AcAB1AHQARgB1AG4AYwB0AGkAbwBuAHMALgBVAHQAaQBsAGkAdAB5AF8AUgBlAHMAdQBsAHQAcwBJAHQAZQBtAEYAcgBvAG0ARQBxAHUAYQB0AGkAbwBuAFQAaQB0AGwAZQBBAG4AZABTAG8AdQByAGMAZQAiACw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AsACIAZgBpAGwAZQBzACIAOgBbAHsAIgBwAGEAdABoACIAOgAiAC8AcAByAG8AagBlAGMAdABzAC8AVwBvAHIAawBiAG8AbwBrACIALAAiAHQAZQB4AHQAIgA6ACIALwAvACAALQAtAC0AIABXAG8AcgBrAGIAbwBvAGsAIABtAG8AZAB1AGwAZQAgAC0ALQAtAFwAbgAvAC8AIABBACAAZgBpAGwAZQAgAG8AZgAgAG4AYQBtAGUAIABkAGUAZgBpAG4AaQB0AGkAbwBuAHMAIABvAGYAIAB0AGgAZQAgAGYAbwByAG0AOgBcAG4ALwAvACAAIAAgACAAbgBhAG0AZQAgAD0AIABkAGUAZgBpAG4AaQB0AGkAbwBuADsAXABuACIAfQAsAHsAIgBwAGEAdABoACIAOgAiAC8AcAByAG8AagBlAGMAdABzAC8AQwBvAG0AbQBvAG4AXwBFAHEAdQBhAHQAaQBvAG4AcwAiACwAIgB0AGUAeAB0ACIAOgAiAFwAbgAvACoAIABcAG4ALQAtAC0ALQAtAC0ALQAtAC0ALQAtAC0ALQAtAC0ALQAtAC0ALQAtAC0ALQAtAC0ALQAtAC0ALQAtAC0ALQAtAC0ALQAtAC0ALQAtAFwAbgBDAG8AbQBtAG8AbgBfAEMAbwBuAHYAZQByAHQATgAyAE8AVABvAEMATwAyAGUAXABuAEMAbwBuAHYAZQByAHQAIABuAGkAdAByAG8AdQBzACAAbwB4AGkAZABlACAAZQBtAGkAcwBzAGkAbwBuAHMAIAB0AG8AIABjAGEAcgBiAG8AbgAgAGQAaQBvAHgAaQBkAGUAIABlAHEAdQBpAHYAYQBsAGUAbgB0ACAAZQBtAGkAcwBzAGkAbwBuAHMAXABuAEUATgAyAE8AIABDAE8AMgBlAFwAbgB0ACAAQwBPADIAZQBcAG4ARQBOADIATwA6ACAAbgBpAHQAcgBvAHUAcwAgAG8AeABpAGQAZQAgAGUAbQBpAHMAcwBpAG8AbgBzACAAKAB0ACAATgAyAE8AKQBcAG4ARwBXAFAATgAyAE8AOgAgAGcAbABvAGIAYQBsACAAdwBhAHIAbQBpAG4AZwAgAHAAbwB0AGUAbgB0AGkAYQBsACAAZgBvAHIAIABuAGkAdAByAG8AdQBzACAAbwB4AGkAZABlACAAKAB0ACAAQwBPADIALQBlACAALwAgAHQAIABOADIATwApAFwAbgAtAC0ALQAtAC0ALQAtAC0ALQAtAC0ALQAtAC0ALQAtAC0ALQAtAC0ALQAtAC0ALQAtAC0ALQAtAC0ALQAtAC0ALQAtAC0ALQAtAC0AXABuACoALwBcAG4AXABuAFwAbgBDAG8AbQBtAG8AbgBfAEMAbwBuAHYAZQByAHQATgAyAE8AVABvAEMATwAyAGUAXABuACAAIAA9AEwAQQBNAEIARABBACgAXABuACAAIAAgACAARQBfAE4AMgBPACwAIABHAFcAUABfAE4AMgBPACwAXABuACAAIAAgACAARQBfAE4AMgBPACAAKgAgAEcAVwBQAF8ATgAyAE8AXABuACAAIAApAFwAbgA7AFwAbgBcAG4AQwBvAG0AbQBvAG4AXwBDAG8AbgB2AGUAcgB0AE4AMgBPAFQAbwBDAE8AMgBlAF8AVABpAHQAbABlAFwAbgAgACAAPQBMAEEATQBCAEQAQQAoAFwAIgBDAG8AbgB2AGUAcgB0ACAAbgBpAHQAcgBvAHUAcwAgAG8AeABpAGQAZQAgAGUAbQBpAHMAcwBpAG8AbgBzACAAdABvACAAYwBhAHIAYgBvAG4AIABkAGkAbwB4AGkAZABlACAAZQBxAHUAaQB2AGEAbABlAG4AdAAgAGUAbQBpAHMAcwBpAG8AbgBzAFwAIgApADsAXABuAFwAbgBDAG8AbQBtAG8AbgBfAEMAbwBuAHYAZQByAHQATgAyAE8AVABvAEMATwAyAGUAXwBWAGEAcgBpAGEAYgBsAGUAXABuACAAIAA9AEwAQQBNAEIARABBACgAXAAiAEUATgAyAE8AIABDAE8AMgBlAFwAIgApADsAXABuAFwAbgBDAG8AbQBtAG8AbgBfAEMAbwBuAHYAZQByAHQATgAyAE8AVABvAEMATwAyAGUAXwBVAG4AaQB0AFwAbgAgACAAPQBMAEEATQBCAEQAQQAoAFwAIgB0ACAAQwBPADIAZQBcACIAKQA7AFwAbgBcAG4AQwBvAG0AbQBvAG4AXwBDAG8AbgB2AGUAcgB0AE4AMgBPAFQAbwBDAE8AMgBlAF8ATgBJAFIAUgBlAGYAZQByAGUAbgBjAGUAXABuACAAIAA9AEwAQQBNAEIARABBACgAXAAiAFwAIgApADsAXABuAFwAbgBDAG8AbQBtAG8AbgBfAEMAbwBuAHYAZQByAHQATgAyAE8AVABvAEMATwAyAGUAXwBMAGEAdABlAHgARQBxAHUAYQB0AGkAbwBuAFwAbgAgACAAPQBMAEEATQBCAEQAQQAoAFwAIgBDAE8AMgBfAGUAIAA9ACAARQBfAHsATgAyAE8AfQAgAFwAXAB0AGkAbQBlAHMAIABHAFcAUABfAHsATgAyAE8AfQBcACIAKQA7AFwAbgBcAG4AQwBvAG0AbQBvAG4AXwBDAG8AbgB2AGUAcgB0AE4AMgBPAFQAbwBDAE8AMgBlAF8AQQByAGcAdQBtAGUAbgB0AHMAXABuACAAIAA9AEwAQQBNAEIARABBACgAXABuACAAIAAgACAATQBBAEsARQBBAFIAUgBBAFkAKAAyACwAIAAyACwAIABcAG4AIAAgACAAIAAgACAATABBAE0AQgBEAEEAKAByACwAYwAsACAAXABuACAAIAAgACAAIAAgACAAIABJAE4ARABFAFgAKAB7AFwAbgAgACAAIAAgACAAIAAgACAAIAAgAFwAIgBFAE4AMgBPAFwAIgAsAFwAIgBOAGkAdAByAG8AdQBzACAAbwB4AGkAZABlACAAZQBtAGkAcwBzAGkAbwBuAHMAIAAoAHQAIABOADIATwApAFwAIgA7AFwAbgAgACAAIAAgACAAIAAgACAAIAAgAFwAIgBHAFcAUABOADIATwBcACIALABcACIARwBsAG8AYgBhAGwAIAB3AGEAcgBtAGkAbgBnACAAcABvAHQAZQBuAHQAaQBhAGwAIABmAG8AcgAgAG4AaQB0AHIAbwB1AHMAIABvAHgAaQBkAGUAIAAoAHQAIABDAE8AMgAtAGUAIAAvACAAdAAgAE4AMgBPACkAXAAiAFwAbgAgACAAIAAgACAAIAAgACAAfQAsACAAcgAsACAAYwApAFwAbgAgACAAIAAgACAAIAApAFwAbgAgACAAIAAgACkAXABuACAAIAApADsAXABuAFwAbgAvACoAIABcAG4ALQAtAC0ALQAtAC0ALQAtAC0ALQAtAC0ALQAtAC0ALQAtAC0ALQAtAC0ALQAtAC0ALQAtAC0ALQAtAC0ALQAtAC0ALQAtAC0ALQAtAFwAbgBDAG8AbQBtAG8AbgBfAEMAbwBuAHYAZQByAHQAQwBIADQAVABvAEMATwAyAGUAXABuAEMAbwBuAHYAZQByAHQAIABtAGUAdABoAGEAbgBlACAAZQBtAGkAcwBzAGkAbwBuAHMAIAB0AG8AIABjAGEAcgBiAG8AbgAgAGQAaQBvAHgAaQBkAGUAIABlAHEAdQBpAHYAYQBsAGUAbgB0ACAAZQBtAGkAcwBzAGkAbwBuAHMAXABuAEUAQwBIADQAIABDAE8AMgBlAFwAbgB0ACAAQwBPADIAZQBcAG4ARQBDAEgANAA6ACAAbQBlAHQAaABhAG4AZQAgAGUAbQBpAHMAcwBpAG8AbgBzACAAKAB0ACAAQwBIADQAKQBcAG4ARwBXAFAAQwBIADQAOgAgAGcAbABvAGIAYQBsACAAdwBhAHIAbQBpAG4AZwAgAHAAbwB0AGUAbgB0AGkAYQBsACAAZgBvAHIAIABtAGUAdABoAGEAbgBlACAAKAB0ACAAQwBPADIALQBlACAALwAgAHQAIABDAEgANAApAFwAbgAtAC0ALQAtAC0ALQAtAC0ALQAtAC0ALQAtAC0ALQAtAC0ALQAtAC0ALQAtAC0ALQAtAC0ALQAtAC0ALQAtAC0ALQAtAC0ALQAtAC0AXABuACoALwBcAG4AXABuAFwAbgBDAG8AbQBtAG8AbgBfAEMAbwBuAHYAZQByAHQAQwBIADQAVABvAEMATwAyAGUAXABuACAAIAA9AEwAQQBNAEIARABBACgAXABuACAAIAAgACAARQBfAEMASAA0ACwAIABHAFcAUABfAEMASAA0ACwAXABuACAAIAAgACAARQBfAEMASAA0ACAAKgAgAEcAVwBQAF8AQwBIADQAXABuACAAIAApAFwAbgA7AFwAbgBcAG4AQwBvAG0AbQBvAG4AXwBDAG8AbgB2AGUAcgB0AEMASAA0AFQAbwBDAE8AMgBlAF8AVABpAHQAbABlAFwAbgAgACAAPQBMAEEATQBCAEQAQQAoAFwAIgBDAG8AbgB2AGUAcgB0ACAAbQBlAHQAaABhAG4AZQAgAGUAbQBpAHMAcwBpAG8AbgBzACAAdABvACAAYwBhAHIAYgBvAG4AIABkAGkAbwB4AGkAZABlACAAZQBxAHUAaQB2AGEAbABlAG4AdAAgAGUAbQBpAHMAcwBpAG8AbgBzAFwAIgApADsAXABuAFwAbgBDAG8AbQBtAG8AbgBfAEMAbwBuAHYAZQByAHQAQwBIADQAVABvAEMATwAyAGUAXwBWAGEAcgBpAGEAYgBsAGUAXABuACAAIAA9AEwAQQBNAEIARABBACgAXAAiAEUAQwBIADQAIABDAE8AMgBlAFwAIgApADsAXABuAFwAbgBDAG8AbQBtAG8AbgBfAEMAbwBuAHYAZQByAHQAQwBIADQAVABvAEMATwAyAGUAXwBVAG4AaQB0AFwAbgAgACAAPQBMAEEATQBCAEQAQQAoAFwAIgB0ACAAQwBPADIAZQBcACIAKQA7AFwAbgBcAG4AQwBvAG0AbQBvAG4AXwBDAG8AbgB2AGUAcgB0AEMASAA0AFQAbwBDAE8AMgBlAF8ATgBJAFIAUgBlAGYAZQByAGUAbgBjAGUAXABuACAAIAA9AEwAQQBNAEIARABBACgAXAAiAFwAIgApADsAXABuAFwAbgBDAG8AbQBtAG8AbgBfAEMAbwBuAHYAZQByAHQAQwBIADQAVABvAEMATwAyAGUAXwBMAGEAdABlAHgARQBxAHUAYQB0AGkAbwBuAFwAbgAgACAAPQBMAEEATQBCAEQAQQAoAFwAIgBDAE8AMgBfAGUAIAA9ACAARQBfAHsAQwBIADQAfQAgAFwAXAB0AGkAbQBlAHMAIABHAFcAUABfAHsAQwBIADQAfQBcACIAKQA7AFwAbgBcAG4AQwBvAG0AbQBvAG4AXwBDAG8AbgB2AGUAcgB0AEMASAA0AFQAbwBDAE8AMgBlAF8AQQByAGcAdQBtAGUAbgB0AHMAXABuACAAIAA9AEwAQQBNAEIARABBACgAXABuACAAIAAgACAATQBBAEsARQBBAFIAUgBBAFkAKAAyACwAIAAyACwAIABcAG4AIAAgACAAIAAgACAATABBAE0AQgBEAEEAKAByACwAYwAsACAAXABuACAAIAAgACAAIAAgACAAIABJAE4ARABFAFgAKAB7AFwAbgAgACAAIAAgACAAIAAgACAAIAAgAFwAIgBFAEMASAA0AFwAIgAsAFwAIgBNAGUAdABoAGEAbgBlACAAZQBtAGkAcwBzAGkAbwBuAHMAIAAoAHQAIABDAEgANAApAFwAIgA7AFwAbgAgACAAIAAgACAAIAAgACAAIAAgAFwAIgBHAFcAUABDAEgANABcACIALABcACIARwBsAG8AYgBhAGwAIAB3AGEAcgBtAGkAbgBnACAAcABvAHQAZQBuAHQAaQBhAGwAIABmAG8AcgAgAG0AZQB0AGgAYQBuAGUAIAAoAHQAIABDAE8AMgAtAGUAIAAvACAAdAAgAEMASAA0ACkAXAAiAFwAbgAgACAAIAAgACAAIAAgACAAfQAsACAAcgAsACAAYwApAFwAbgAgACAAIAAgACAAIAApAFwAbgAgACAAIAAgACkAXABuACAAIAApADs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cgBvAHcAcwAsAEkARgAoAG4APQAwACwAXAAiAFwAIgAsAEgAUwBUAEEAQwBLACgAcwB0AGEAcgB0AHMAVABlAHgAdAAgAFwAdQAwADAAMgA2ACAAXAAiACAAdABvACAAXAAiACAAXAB1ADAAMAAyADYAIABlAG4AZABzAFQAZQB4AHQAIABcAHUAMAAwADIANgAgAHQAYQBnACkAKQAsAFwAbgAgACAAIAAgACAAIAAgACAAcgBvAHcAcwBcAG4AIAAgACAAIAApAFwAbgApADsAXABuAFwAbgBcAG4AVQB0AGkAbABpAHQAeQBfAEQAaQBzAHAAbABhAHkARgB1AG4AYwB0AGkAbwBuAE4AYQBtAGUAXABuAD0ATABBAE0AQgBEAEEAKABGAHUAbgBjAHQAaQBvAG4ALAAgAFQARQBYAFQAQgBFAEYATwBSAEUAKABGAE8AUgBNAFUATABBAFQARQBYAFQAKABGAHUAbgBjAHQAaQBvAG4AKQAsACAAXAAiACgAXAAiACkAKQA7AFwAbgBcAG4AVQB0AGkAbABpAHQAeQBfAEwAbwBvAGsAdQBwAE4AMgBPAEUARgBGAHIAbwBtAFAAcgBvAGQASQByAHIAaQBnAGEAdABpAG8AbgBSAGEAaQBuAGYAYQBsAGwAXABuAD0ATABBAE0AQgBEAEEAKABcAG4AIAAgACAAIABQAHIAbwBkAHUAYwB0AGkAbwBuAFMAeQBzAHQAZQBtACwAIABJAHIAcgBpAGcAYQB0AGkAbwBuAE0AZQB0AGgAbwBkACwAIABSAGEAaQBuAGYAYQBsAGwAWgBvAG4AZQAsAFwAbgAgACAAIAAgAFAAcgBvAGQAdQBjAHQAaQBvAG4AUwB5AHMAdABlAG0AQQByAHIAYQB5ACwAIABJAHIAcgBpAGcAYQB0AGkAbwBuAE0AZQB0AGgAbwBkAEEAcgByAGEAeQAsACAAUgBhAGkAbgBmAGEAbABsAFoAbwBuAGUAQQByAHIAYQB5ACwAUgBlAHQAdQByAG4AQQByAHIAYQB5ACwAXABuACAAIAAgACAATABFAFQAKABcAG4AIAAgACAAIAAgACAAIAAgAEkAcgByAGkAZwBhAHQAaQBvAG4ATQBlAHQAaABvAGQALAAgAEkARgAoAEkAcgByAGkAZwBhAHQAaQBvAG4ATQBlAHQAaABvAGQAPQBcACIATgBvAHQAIABpAHIAcgBpAGcAYQB0AGUAZABcACIALAAgAFwAIgBOAG8AdAAgAGkAcgByAGkAZwBhAHQAZQBkAFwAIgAsACAAXAAiAEEAbgB5AFwAIgApACwAXABuACAAIAAgACAAIAAgACAAIABSAGEAaQBuAGYAYQBsAGwAWgBvAG4AZQAsACAASQBGACgASQByAHIAaQBnAGEAdABpAG8AbgBNAGUAdABoAG8AZAAgAD0AIABcACIATgBvAHQAIABpAHIAcgBpAGcAYQB0AGUAZABcACIALAAgAFIAYQBpAG4AZgBhAGwAbABaAG8AbgBlACwAIABcACIAQQBuAHkAXAAiACkALABcAG4AIAAgACAAIAAgACAAIAAgAFgATABPAE8ASwBVAFAAKAAxACwAIABcAG4AIAAgACAAIAAgACAAIAAgACAAIAAgACAAKABQAHIAbwBkAHUAYwB0AGkAbwBuAFMAeQBzAHQAZQBtAEEAcgByAGEAeQA9AFAAcgBvAGQAdQBjAHQAaQBvAG4AUwB5AHMAdABlAG0AKQAqAFwAbgAgACAAIAAgACAAIAAgACAAIAAgACAAIAAoAEkAcgByAGkAZwBhAHQAaQBvAG4ATQBlAHQAaABvAGQAQQByAHIAYQB5AD0ASQByAHIAaQBnAGEAdABpAG8AbgBNAGUAdABoAG8AZAApACoAXABuACAAIAAgACAAIAAgACAAIAAgACAAIAAgACgAUgBhAGkAbgBmAGEAbABsAFoAbwBuAGUAQQByAHIAYQB5AD0AUgBhAGkAbgBmAGEAbABsAFoAbwBuAGUAKQAsACAAXABuACAAIAAgACAAIAAgACAAIAAgACAAIAAgAFIAZQB0AHUAcgBuAEEAcgByAGEAeQApAFwAbgAgACAAIAAgACkAXABuACkAOwBcAG4AXABuAEMAbwBtAG0AbwBuAEMAcgBvAHAAcABpAG4AZwBfAEcAZQB0AEYAcgBhAGMAVwBFAFQAXABuAD0ATABBAE0AQgBEAEEAKABcAG4AIAAgACAAIABMAGUAYQBjAGgAaQBuAGcAWgBvAG4AZQAsAFwAbgAgACAAIAAgAFAAcgBvAGQAdQBjAHQAaQBvAG4AUwB5AHMAdABlAG0ALABcAG4AIAAgACAAIABMAGUAYQBjAGgAaQBuAGcAWgBvAG4AZQBMAG8AbwBrAHUAcAAsAFwAbgAgACAAIAAgAEwAZQBhAGMAaABpAG4AZwBaAG8AbgBlAEYAcgBhAGMAVwBFAFQATABvAG8AawB1AHAALABcAG4AIAAgACAAIABQAHIAbwBkAHUAYwB0AGkAbwBuAFMAeQBzAHQAZQBtAEwAbwBvAGsAdQBwACwAXABuACAAIAAgACAAUAByAG8AZAB1AGMAdABpAG8AbgBTAHkAcwB0AGUAbQBGAHIAYQBjAFcARQBUAEwAbwBvAGsAdQBwACwAXABuACAAIAAgACAATABFAFQAKABcAG4AIAAgACAAIAAgACAAIAAgAEwAZQBhAGMAaABpAG4AZwBaAG8AbgBlAEYAcgBhAGMAVwBFAFQALAAgAFwAbgAgACAAIAAgACAAIAAgACAAQwBvAG0AbQBvAG4AXwBJAG4AcAB1AHQARgB1AG4AYwB0AGkAbwBuAHMALgBVAHQAaQBsAGkAdAB5AF8ATABvAG8AawB1AHAAVgBhAGwAdQBlAEkAbgBUAGEAYgBsAGUATgB1AG0AYgBlAHIAKABcAG4AIAAgACAAIAAgACAAIAAgACAAIAAgACAATABlAGEAYwBoAGkAbgBnAFoAbwBuAGUALABMAGUAYQBjAGgAaQBuAGcAWgBvAG4AZQBMAG8AbwBrAHUAcAAsAEwAZQBhAGMAaABpAG4AZwBaAG8AbgBlAEYAcgBhAGMAVwBFAFQATABvAG8AawB1AHAAXABuACAAIAAgACAAIAAgACAAIAApACwAXABuACAAIAAgACAAIAAgACAAIABQAHIAbwBkAHUAYwB0AGkAbwBuAFMAeQBzAHQAZQBtAEYAcgBhAGMAVwBFAFQALAAgAFwAbgAgACAAIAAgACAAIAAgACAAQwBvAG0AbQBvAG4AXwBJAG4AcAB1AHQARgB1AG4AYwB0AGkAbwBuAHMALgBVAHQAaQBsAGkAdAB5AF8ATABvAG8AawB1AHAAVgBhAGwAdQBlAEkAbgBUAGEAYgBsAGUATgB1AG0AYgBlAHIAKABcAG4AIAAgACAAIAAgACAAIAAgACAAIAAgACAAUAByAG8AZAB1AGMAdABpAG8AbgBTAHkAcwB0AGUAbQAsAFAAcgBvAGQAdQBjAHQAaQBvAG4AUwB5AHMAdABlAG0ATABvAG8AawB1AHAALABQAHIAbwBkAHUAYwB0AGkAbwBuAFMAeQBzAHQAZQBtAEYAcgBhAGMAVwBFAFQATABvAG8AawB1AHAAXABuACAAIAAgACAAIAAgACAAIAApACwAXABuACAAIAAgACAAIAAgACAAIABJAEYAKABMAGUAYQBjAGgAaQBuAGcAWgBvAG4AZQBGAHIAYQBjAFcARQBUACAAKwAgAFAAcgBvAGQAdQBjAHQAaQBvAG4AUwB5AHMAdABlAG0ARgByAGEAYwBXAEUAVABcAHUAMAAwADMAZQAwACwAIAAxACwAIAAwACkAXABuACAAIAAgACAAKQApADsAXABuAFwAbgBcAG4AVQB0AGkAbABpAHQAeQBfAEMAbwBuAHYAZQByAHQAUwB0AGEAdABlAEMAbwBtAG0AbwBuAE4AYQBtAGUAVABvAEEAYgBiAHIAZQB2AGkAYQB0AGkAbwBuAFwAbgA9AEwAQQBNAEIARABBACgAXABuACAAIAAgACAAUwB0AGEAdABlAEMAbwBtAG0AbwBuAE4AYQBtAGUALABcAG4AIAAgACAAIABTAHQAYQB0AGUAQwBvAG0AbQBvAG4ATgBhAG0AZQBBAHIAcgBhAHkALAAgAFMAdABhAHQAZQBBAGIAYgByAGUAdgBpAGEAdABpAG8AbgBBAHIAcgBhAHkALABcAG4AIAAgACAAIABYAEwATwBPAEsAVQBQACgAUwB0AGEAdABlAEMAbwBtAG0AbwBuAE4AYQBtAGUALAAgAFMAdABhAHQAZQBDAG8AbQBtAG8AbgBOAGEAbQBlAEEAcgByAGEAeQAsACAAUwB0AGEAdABlAEEAYgBiAHIAZQB2AGkAYQB0AGkAbwBuAEEAcgByAGEAeQAsACAAXAAiAFwAIgApAFwAbgApADsAXABuAFwAbgBVAHQAaQBsAGkAdAB5AF8AUwBvAHUAcgBjAGUASAB5AHAAZQByAGwAaQBuAGs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HUAMAAwADIANwBcACIAIABcAHUAMAAwADIANgAgAHMAaAAgAFwAdQAwADAAMgA2ACAAXAAiAFwAdQAwADAAMgA3ACEAXAAiACAAXAB1ADAAMAAyADYAIABhAGQAZAByAFwAbgAgACAAKQBcAG4AKQA7AFwAbgBcAG4AVQB0AGkAbABpAHQAeQBfAFMAbwB1AHIAYwBlAEgAeQBwAGUAcgBsAGkAbgBrAEQAaQBmAGYAZQByAGUAbgB0AFMAaABlAGUAdABcAG4APQBMAEEATQBCAEQAQQAoAFQAYQByAGcAZQB0AEMAZQBsAGwALABcAG4AIAAgAEwARQBUACgAXABuACAAIAAgACAAcwBoACwAIABUAEUAWABUAEEARgBUAEUAUgAoAEMARQBMAEwAKABcACIAZgBpAGwAZQBuAGEAbQBlAFwAIgAsACAAVABhAHIAZwBlAHQAQwBlAGwAbAApACwAIABcACIAXQBcACIAKQAsAFwAbgAgACAAIAAgAGEAZABkAHIALAAgAEMARQBMAEwAKABcACIAYQBkAGQAcgBlAHMAcwBcACIALAAgAFQAYQByAGcAZQB0AEMAZQBsAGwAKQAsAFwAbgAgACAAIAAgAFwAIgAjAFwAIgAgAFwAdQAwADAAMgA2ACAAYQBkAGQAcgBcAG4AIAAgACkAXABuACkAOwBcAG4AXABuAFUAdABpAGwAaQB0AHkAXwBEAGkAcwBwAGwAYQB5AEEAcgBnAHUAbQBlAG4AdABzAF8AMQBfADIAXABuAD0ATABBAE0AQgBEAEEAKABcAG4AIAAgACAAIABBAHIAZwB1AG0AZQBuAHQAcwBBAHIAcgBhAHkALABcAG4AIAAgACAAIABDAEgATwBPAFMARQBDAE8ATABTACgAQQByAGcAdQBtAGUAbgB0AHMAQQByAHIAYQB5ACwAIAAxACwAIAAyACkAXABuACkAOwBcAG4AXABuAFUAdABpAGwAaQB0AHkAXwBEAGkAcwBwAGwAYQB5AEEAcgBnAHUAbQBlAG4AdABzAF8AMwBfADQAXABuAD0ATABBAE0AQgBEAEEAKABcAG4AIAAgACAAIABBAHIAZwB1AG0AZQBuAHQAcwBBAHIAcgBhAHkALABcAG4AIAAgACAAIABDAEgATwBPAFMARQBDAE8ATABTACgAQQByAGcAdQBtAGUAbgB0AHMAQQByAHIAYQB5ACwAIAAzACwAIAA0ACkAXABuACkAOwBcAG4AXABuAEMAbwBtAG0AbwBuAF8ARwBlAHQATQBDAEYAVABlAG0AcABlAHIAYQB0AHUAcgBlAFoAbwBuAGUAXABuAD0ATABBAE0AQgBEAEEAKABcAG4AIAAgACAAIABUAGUAbQBwAGUAcgBhAHQAdQByAGUALAAgAE0ATQBTACwAIABUAGUAbQBwAGUAcgBhAHQAdQByAGUAQQByAHIAYQB5ACwAIABNAE0AUwBBAHIAcgBhAHkALAAgAFIAZQB0AHUAcgBuAEEAcgByAGEAeQAsAFwAbgAgACAAIAAgAFgATABPAE8ASwBVAFAAKABcAG4AIAAgACAAIAAgACAAIAAgAE0ARQBEAEkAQQBOACgAXABuACAAIAAgACAAIAAgACAAIAAgACAAIAAgAFQAZQBtAHAAZQByAGEAdAB1AHIAZ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BcAHUAMAAwADIANgAgAFwAIgAgAFwAIgAgAFwAdQAwADAAMgA2ACAAVABpAHQAbABlAEMAZQBsAGwAXABuACkAOwAiAH0ALAB7ACIAcABhAHQAaAAiADoAIgAvAHAAcgBvAGoAZQBjAHQAcwAvAEMAbwBtAG0AbwBuAF8AUwBvAHUAcgBjAGUARABhAHQAYQAiACwAIgB0AGUAeAB0ACIAOgAiAC8AK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UwBvAHUAcgBjAGUAIABkAGEAdABhACAAdABoAGEAdAAgAGkAcwAgAGMAbwBtAG0AbwBuACAAYQBjAHIAbwBzAHMAIABhAGwAbAAgAGUAbgB0AGUAcgBwAHIAaQBzAGUAIAB0AHkAcABlAHMAXABuAEUAeABjAGUAbAAgAG0AbwBkAHUAbABlACAAbgBhAG0AZQA6ACAAQwBvAG0AbQBvAG4AXwBTAG8AdQByAGMAZQBEAGEAdABh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AqAC8AXABuAFwAbgAvACoAXABuAD0APQA9AD0APQA9AD0APQA9AD0APQA9AD0APQA9AD0APQA9AD0APQA9AD0APQA9AD0APQA9AD0APQA9AD0APQA9AD0APQA9AD0APQBcAG4APQA9AD0APQA9AD0APQA9AD0APQA9AD0APQA9AD0APQA9AD0APQA9AD0APQA9AD0APQA9AD0APQA9AD0APQA9AD0APQA9AD0APQA9AFwAbgBTAG8AdQByAGMAZQA6ACAATgBhAHQAaQBvAG4AYQBsACAASQBuAHYAZQBuAHQAbwByAHkAIABSAGUAcABvAHIAdAAgADIAMAAyADMAIABWAG8AbAB1AG0AZQAgADEAXABuAE4ASQBSAF8AMgAwADIAMwBfAFYAbwBsADEAXABuAD0APQA9AD0APQA9AD0APQA9AD0APQA9AD0APQA9AD0APQA9AD0APQA9AD0APQA9AD0APQA9AD0APQA9AD0APQA9AD0APQA9AD0APQBcAG4APQA9AD0APQA9AD0APQA9AD0APQA9AD0APQA9AD0APQA9AD0APQA9AD0APQA9AD0APQA9AD0APQA9AD0APQA9AD0APQA9AD0APQA9AFwAbgAqAC8AXABuAFwAbgAvACoAIABcAG4ALQAtAC0ALQAtAC0ALQAtAC0ALQAtAC0ALQAtAC0ALQAtAC0ALQAtAC0ALQAtAC0ALQAtAC0ALQAtAC0ALQAtAC0ALQAtAC0ALQAtAFwAbgBDAG8AbQBtAG8AbgBfAFMAbwB1AHIAYwBlAEQAYQB0AGEAXwBEAGUAbgBzAGkAdAB5AE8AZgBNAGUAdABoAGEAbgBlAFwAbgBwACAAPQAgAGQAZQBuAHMAaQB0AHkAIABvAGYAIABtAGUAdABoAGEAbgBlACAAKAAwAC4ANgA3ADgANAAgAGsAZwAvAG0AMwApAFwAbgBUAGEAawBlAG4AIABmAHIAbwBtACAAdABoAGUAIABOAGEAdABpAG8AbgBhAGwAIABHAHIAZQBlAG4AaABvAHUAcwBlACAAYQBuAGQAIABFAG4AZQByAGcAeQAgAFIAZQBwAG8AcgB0AGkAbgBnACAAXABuACgATQBlAGEAcwB1AHIAZQBtAGUAbgB0ACkAIABEAGUAdABlAHIAbQBpAG4AYQB0AGkAbwBuACAAMgAwADAAOABcAG4ALQAtAC0ALQAtAC0ALQAtAC0ALQAtAC0ALQAtAC0ALQAtAC0ALQAtAC0ALQAtAC0ALQAtAC0ALQAtAC0ALQAtAC0ALQAtAC0ALQAtAFwAbgAqAC8AXABuAFwAbgBDAG8AbQBtAG8AbgBfAFMAbwB1AHIAYwBlAEQAYQB0AGEAXwBEAGUAbgBzAGkAdAB5AE8AZgBNAGUAdABoAGEAbgBlAF8AVABpAHQAbABlAFwAbgAgACAAPQBMAEEATQBCAEQAQQAoAFwAIgBwACAAPQAgAGQAZQBuAHMAaQB0AHkAIABvAGYAIABtAGUAdABoAGEAbgBlAFwAIgApADsAXABuAFwAbgBDAG8AbQBtAG8AbgBfAFMAbwB1AHIAYwBlAEQAYQB0AGEAXwBEAGUAbgBzAGkAdAB5AE8AZgBNAGUAdABoAGEAbgBlAF8AVQBuAGkAdABcAG4AIAAgAD0ATABBAE0AQgBEAEEAKABcACIAawBnAC8AbQAzAFwAIgApADsAXABuAFwAbgBDAG8AbQBtAG8AbgBfAFMAbwB1AHIAYwBlAEQAYQB0AGEAXwBEAGUAbgBzAGkAdAB5AE8AZgBNAGUAdABoAGEAbgBlAF8AUwBvAHUAcgBjAGUAXABuACAAIAA9AEwAQQBNAEIARABBACgAXAAiAE4AYQB0AGkAbwBuAGEAbAAgAEkAbgB2AGUAbgB0AG8AcgB5ACAAUgBlAHAAbwByAHQAIAAyADAAMgAzACAAVgBvAGwAdQBtAGUAIAAxADoAIABFAHEAdQBhAHQAaQBvAG4AcwAgADMALgBCAC4AMQBhAF8AMgAsACAAMwAuAEIALgAxAGMAXwAyACwAIAAzAC4AQgAuADMAXwAxACwAIAAzAC4AQgAuADQAZwBfADIAXAAiACkAOwBcAG4AXABuAEMAbwBtAG0AbwBuAF8AUwBvAHUAcgBjAGUARABhAHQAYQBfAEQAZQBuAHMAaQB0AHkATwBmAE0AZQB0AGgAYQBuAGUAXwBEAGEAdABhAFwAbgAgACAAPQBMAEEATQBCAEQAQQAoADAALgA2ADcAOAA0ACkAOwBcAG4AXABuAC8AKgAgAFwAbgAtAC0ALQAtAC0ALQAtAC0ALQAtAC0ALQAtAC0ALQAtAC0ALQAtAC0ALQAtAC0ALQAtAC0ALQAtAC0ALQAtAC0ALQAtAC0ALQAtAC0AXABuAEMAbwBtAG0AbwBuAF8AUwBvAHUAcgBjAGUARABhAHQAYQBfAEMAbwBuAHYAZQByAHQATgAyAG8ARQBsAGUAbQBlAG4AdABhAGwAVABvAE0AbwBsAGUAYwB1AGwAYQByAEMAZwBcAG4AQwBnACAAPQAgADQANAAvADIAOA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EMAbwBtAG0AbwBuAF8AUwBvAHUAcgBjAGUARABhAHQAYQBfAEMAbwBuAHYAZQByAHQATgAyAG8ARQBsAGUAbQBlAG4AdABhAGwAVABvAE0AbwBsAGUAYwB1AGwAYQByAEMAZwBfAFQAaQB0AGwAZQBcAG4AIAAgAD0ATABBAE0AQgBEAEEAKABcACIARgBhAGMAdABvAHIAIAB0AG8AIABjAG8AbgB2AGUAcgB0ACAAZQBsAGUAbQBlAG4AdABhAGwAIABtAGEAcwBzACAAbwBmACAATgAyAE8AIAB0AG8AIABtAG8AbABlAGMAdQBsAGEAcgAgAG0AYQBzAHMAXAAiACkAOwBcAG4AXABuAEMAbwBtAG0AbwBuAF8AUwBvAHUAcgBjAGUARABhAHQAYQBfAEMAbwBuAHYAZQByAHQATgAyAG8ARQBsAGUAbQBlAG4AdABhAGwAVABvAE0AbwBsAGUAYwB1AGwAYQByAEMAZwBfAFYAYQByAGkAYQBiAGwAZQBcAG4AIAAgAD0ATABBAE0AQgBEAEEAKABcACIAQwBnAE4AMgBPAFwAIgApADsAXABuAFwAbgBDAG8AbQBtAG8AbgBfAFMAbwB1AHIAYwBlAEQAYQB0AGEAXwBDAG8AbgB2AGUAcgB0AE4AMgBvAEUAbABlAG0AZQBuAHQAYQBsAFQAbwBNAG8AbABlAGMAdQBsAGEAcgBDAGcAXwBVAG4AaQB0AFwAbgAgACAAPQBMAEEATQBCAEQAQQAoAFwAIgBmAGEAYwB0AG8AcgBcACIAKQA7AFwAbgBcAG4AQwBvAG0AbQBvAG4AXwBTAG8AdQByAGMAZQBEAGEAdABhAF8AQwBvAG4AdgBlAHIAdABOADIAbwBFAGwAZQBtAGUAbgB0AGEAbABUAG8ATQBvAGwAZQBjAHUAbABhAHIAQwBnAF8AUwBvAHUAcgBjAGUAXABuACAAIAA9AEwAQQBNAEIARABBACgAXAAiAE4AYQB0AGkAbwBuAGEAbAAgAEkAbgB2AGUAbgB0AG8AcgB5ACAAUgBlAHAAbwByAHQAIAAyADAAMgAzACAAVgBvAGwAdQBtAGUAIAAxAFwAIgApADsAXABuAFwAbgBDAG8AbQBtAG8AbgBfAFMAbwB1AHIAYwBlAEQAYQB0AGEAXwBDAG8AbgB2AGUAcgB0AE4AMgBvAEUAbABlAG0AZQBuAHQAYQBsAFQAbwBNAG8AbABlAGMAdQBsAGEAcgBDAGcAXwBEAGEAdABhAFwAbgAgACAAPQBMAEEATQBCAEQAQQAoADQANAAvADIAOAApADsAXABuAFwAbgAvACoAIABcAG4ALQAtAC0ALQAtAC0ALQAtAC0ALQAtAC0ALQAtAC0ALQAtAC0ALQAtAC0ALQAtAC0ALQAtAC0ALQAtAC0ALQAtAC0ALQAtAC0ALQAtAFwAbgBDAG8AbQBtAG8AbgBfAFMAbwB1AHIAYwBlAEQAYQB0AGEAXwBDAG8AbgB2AGUAcgB0AEcAYQBzAEUAbABlAG0AZQBuAHQAYQBsAFQAbwBNAG8AbABlAGMAdQBsAGEAcgBcAG4ARgBhAGMAdABvAHIAIAB0AG8AIABjAG8AbgB2AGUAcgB0ACAAZQBsAGUAbQBlAG4AdABhAGwAIABtAGEAcwBzACAAbwBmACAAZwBhAHMAIAB0AG8AIABtAG8AbABlAGMAdQBsAGEAcgAgAG0AYQBzAHMAXABuAC0ALQAtAC0ALQAtAC0ALQAtAC0ALQAtAC0ALQAtAC0ALQAtAC0ALQAtAC0ALQAtAC0ALQAtAC0ALQAtAC0ALQAtAC0ALQAtAC0ALQBcAG4AKgAvAFwAbgBcAG4AQwBvAG0AbQBvAG4AXwBTAG8AdQByAGMAZQBEAGEAdABhAF8AQwBvAG4AdgBlAHIAdABHAGEAcwBFAGwAZQBtAGUAbgB0AGEAbABUAG8ATQBvAGwAZQBjAHUAbABhAHIAXwBUAGkAdABsAGUAXABuACAAIAA9AEwAQQBNAEIARABBACgAXAAiAEYAYQBjAHQAbwByACAAdABvACAAYwBvAG4AdgBlAHIAdAAgAGUAbABlAG0AZQBuAHQAYQBsACAAbQBhAHMAcwAgAG8AZgAgAGcAYQBzACAAdABvACAAbQBvAGwAZQBjAHUAbABhAHIAIABtAGEAcwBzAFwAIgApADsAXABuAFwAbgBDAG8AbQBtAG8AbgBfAFMAbwB1AHIAYwBlAEQAYQB0AGEAXwBDAG8AbgB2AGUAcgB0AEcAYQBzAEUAbABlAG0AZQBuAHQAYQBsAFQAbwBNAG8AbABlAGMAdQBsAGEAcgBfAFYAYQByAGkAYQBiAGwAZQBcAG4AIAAgAD0ATABBAE0AQgBEAEEAKABcACIAQwBnAFwAIgApADsAXABuAFwAbgBDAG8AbQBtAG8AbgBfAFMAbwB1AHIAYwBlAEQAYQB0AGEAXwBDAG8AbgB2AGUAcgB0AEcAYQBzAEUAbABlAG0AZQBuAHQAYQBsAFQAbwBNAG8AbABlAGMAdQBsAGEAcgBfAFUAbgBpAHQAXABuACAAIAA9AEwAQQBNAEIARABBACgAXAAiAGYAYQBjAHQAbwByAFwAIgApADsAXABuAFwAbgBDAG8AbQBtAG8AbgBfAFMAbwB1AHIAYwBlAEQAYQB0AGEAXwBDAG8AbgB2AGUAcgB0AEcAYQBzAEUAbABlAG0AZQBuAHQAYQBsAFQAbwBNAG8AbABlAGMAdQBsAGEAcgBfAFMAbwB1AHIAYwBlAFwAbgAgACAAPQBMAEEATQBCAEQAQQAoAFwAIgBYAFgAWABYAFgAWABYAFwAIgApADsAXABuAFwAbgBDAG8AbQBtAG8AbgBfAFMAbwB1AHIAYwBlAEQAYQB0AGEAXwBDAG8AbgB2AGUAcgB0AEcAYQBzAEUAbABlAG0AZQBuAHQAYQBsAFQAbwBNAG8AbABlAGMAdQBsAGEAcgBfAEQAYQB0AGEAXABuACAAIAA9AEwAQQBNAEIARABBACgAXABuACAAIAAgACAATQBBAEsARQBBAFIAUgBBAFkAKAA4ACwAIAA0ACwAIABcAG4AIAAgACAAIAAgACAATABBAE0AQgBEAEEAKAByACwAYwAsACAAXABuACAAIAAgACAAIAAgACAAIABJAE4ARABFAFgAKAB7AFwAbgAgACAAIAAgACAAIAAgACAAIAAgAFwAIgBHAGEAcwBcACIALAAgAFwAIgBDAG8AbgB2AGUAcgBzAGkAbwBuACAAZgBhAGMAdABvAHIAXAAiACwAIABcACIAQwBvAG4AdgBlAHIAcwBpAG8AbgAgAGYAYQBjAHQAbwByACAAMQBcACIALAAgAFwAIgBDAG8AbgB2AGUAcgBzAGkAbwBuACAAZgBhAGMAdABvAHIAIAAyAFwAIgA7AFwAbgAgACAAIAAgACAAIAAgACAAIAAgAFwAIgBDAE8AMgBcACIALAAgAFwAIgA0ADQALwAxADIAXAAiACwAIAA0ADQALAAgADEAMgA7AFwAbgAgACAAIAAgACAAIAAgACAAIAAgAFwAIgBDAEgANABcACIALAAgAFwAIgAxADYALwAxADIAXAAiACwAIAAxADYALAAgADEAMgA7AFwAbgAgACAAIAAgACAAIAAgACAAIAAgAFwAIgBOADIATwBcACIALAAgAFwAIgA0ADQALwAyADgAXAAiACwAIAA0ADQALAAgADIAOAA7AFwAbgAgACAAIAAgACAAIAAgACAAIAAgAFwAIgBOAG8AeABcACIALAAgAFwAIgA0ADYALwAxADQAXAAiACwAIAA0ADYALAAgADEANAA7AFwAbgAgACAAIAAgACAAIAAgACAAIAAgAFwAIgBDAE8AXAAiACwAIABcACIAMgA4AC8AMQAyAFwAIgAsACAAMgA4ACwAIAAxADIAOwBcAG4AIAAgACAAIAAgACAAIAAgACAAIABcACIAQwBPADIAIABMAGkAbQBlAFwAIgAsACAAXAAiADQANAAvADEAMgBcACIALAAgADQANAAsACAAMQAyADsAXABuACAAIAAgACAAIAAgACAAIAAgACAAXAAiAE4ATQBWAE8AQwBcACIALAAgAFwAIgAxADQALwAxADIAXAAiACwAIAAxADQALAAgADEAM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wBXAFAATgAyAE8AXABuAEcAbABvAGIAYQBsACAAdwBhAHIAbQBpAG4AZwAgAHAAbwB0AGUAbgB0AGkAYQBsACAAZgBvAHIAIABnAHIAZQBlAG4AaABvAHUAcwBlACAAZwBhAHMAZQBzAFwAbgAtAC0ALQAtAC0ALQAtAC0ALQAtAC0ALQAtAC0ALQAtAC0ALQAtAC0ALQAtAC0ALQAtAC0ALQAtAC0ALQAtAC0ALQAtAC0ALQAtAC0AXABuACoALwBcAG4AXABuAEMAbwBtAG0AbwBuAF8AUwBvAHUAcgBjAGUARABhAHQAYQBfAEcAVwBQAF8AVABpAHQAbABlAFwAbgAgACAAPQBMAEEATQBCAEQAQQAoAFwAIgBHAGwAbwBiAGEAbAAgAHcAYQByAG0AaQBuAGcAIABwAG8AdABlAG4AdABpAGEAbAAgAGYAbwByACAAZwByAGUAZQBuAGgAbwB1AHMAZQAgAGcAYQBzAGUAcwBcACIAKQA7AFwAbgBcAG4AQwBvAG0AbQBvAG4AXwBTAG8AdQByAGMAZQBEAGEAdABhAF8ARwBXAFAAXwBWAGEAcgBpAGEAYgBsAGUAXABuACAAIAA9AEwAQQBNAEIARABBACgAXAAiAEcAVwBQAE4AMgBPAFwAIgApADsAXABuAFwAbgBDAG8AbQBtAG8AbgBfAFMAbwB1AHIAYwBlAEQAYQB0AGEAXwBHAFcAUABfAFUAbgBpAHQAXABuACAAIAA9AEwAQQBNAEIARABBACgAXAAiAGYAYQBjAHQAbwByAFwAIgApADsAXABuAFwAbgBDAG8AbQBtAG8AbgBfAFMAbwB1AHIAYwBlAEQAYQB0AGEAXwBHAFcAUABfAFMAbwB1AHIAYwBlAFwAbgAgACAAPQBMAEEATQBCAEQAQQAoAFwAIgBYAFgAWABYAFgAWABYAFwAIgApADsAXABuAFwAbgBDAG8AbQBtAG8AbgBfAFMAbwB1AHIAYwBlAEQAYQB0AGEAXwBHAFcAUABfAEQAYQB0AGEAXABuACAAIAA9AEwAQQBNAEIARABBACgAXABuACAAIAAgACAATQBBAEsARQBBAFIAUgBBAFkAKAA4ACwAIAAyACwAIABcAG4AIAAgACAAIAAgACAATABBAE0AQgBEAEEAKAByACwAYwAsACAAXABuACAAIAAgACAAIAAgACAAIABJAE4ARABFAFgAKAB7AFwAbgAgACAAIAAgACAAIAAgACAAIAAgAFwAIgBHAGEAcwBcACIALAAgAFwAIgBDAE8AMgAtAGUAIABmAGEAYwB0AG8AcgBcACIAOwBcAG4AIAAgACAAIAAgACAAIAAgACAAIABcACIAQwBPADIAXAAiACwAIAAxADsAXABuACAAIAAgACAAIAAgACAAIAAgACAAXAAiAEMASAA0AFwAIgAsACAAMgA4ADsAXABuACAAIAAgACAAIAAgACAAIAAgACAAXAAiAE4AMgBPAFwAIgAsACAAMgA2ADUAOwBcAG4AIAAgACAAIAAgACAAIAAgACAAIABcACIAQwBGADQAXAAiACwAIAA2ADYAMwAwADsAXABuACAAIAAgACAAIAAgACAAIAAgACAAXAAiAEMAMgBGADYAXAAiACwAIAAxADIAMgAwADAAOwBcAG4AIAAgACAAIAAgACAAIAAgACAAIABcACIAUwBGADYAXAAiACwAIAAyADIAOAAwADAAOwBcAG4AIAAgACAAIAAgACAAIAAgACAAIABcACIATgBGADMAXAAiACwAIAAxADcAMgAwADA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BAHUAcwB0AHIAYQBsAGkAYQBuAFMAdABhAHQAZQBzAFQAZQByAHIAaQB0AG8AcgBpAGUAcwBcAG4ALQAtAC0ALQAtAC0ALQAtAC0ALQAtAC0ALQAtAC0ALQAtAC0ALQAtAC0ALQAtAC0ALQAtAC0ALQAtAC0ALQAtAC0ALQAtAC0ALQAtAFwAbgAqAC8AXABuAFwAbgBDAG8AbQBtAG8AbgBfAFMAbwB1AHIAYwBlAEQAYQB0AGEAXwBBAHUAcwB0AHIAYQBsAGkAYQBuAFMAdABhAHQAZQBzAFQAZQByAHIAaQB0AG8AcgBpAGUAcwBfAFQAaQB0AGwAZQBcAG4AIAAgAD0ATABBAE0AQgBEAEEAKABcACIAQQB1AHMAdAByAGEAbABpAGEAbgAgAHMAdABhAHQAZQBzACAAYQBuAGQAIAB0AGUAcgByAGkAdABvAHIAaQBlAHMAXAAiACkAOwBcAG4AXABuAEMAbwBtAG0AbwBuAF8AUwBvAHUAcgBjAGUARABhAHQAYQBfAEEAdQBzAHQAcgBhAGwAaQBhAG4AUwB0AGEAdABlAHMAVABlAHIAcgBpAHQAbwByAGkAZQBzAF8AVgBhAHIAaQBhAGIAbABlAFwAbgAgACAAPQBMAEEATQBCAEQAQQAoAFwAIgBcACIAKQA7AFwAbgBcAG4AQwBvAG0AbQBvAG4AXwBTAG8AdQByAGMAZQBEAGEAdABhAF8AQQB1AHMAdAByAGEAbABpAGEAbgBTAHQAYQB0AGUAcwBUAGUAcgByAGkAdABvAHIAaQBlAHMAXwBVAG4AaQB0AFwAbgAgACAAPQBMAEEATQBCAEQAQQAoAFwAIgBcACIAKQA7AFwAbgBcAG4AQwBvAG0AbQBvAG4AXwBTAG8AdQByAGMAZQBEAGEAdABhAF8AQQB1AHMAdAByAGEAbABpAGEAbgBTAHQAYQB0AGUAcwBUAGUAcgByAGkAdABvAHIAaQBlAHMAXwBTAG8AdQByAGMAZQBcAG4AIAAgAD0ATABBAE0AQgBEAEEAKABcACIAXAAiACkAOwBcAG4AXABuAEMAbwBtAG0AbwBuAF8AUwBvAHUAcgBjAGUARABhAHQAYQBfAEEAdQBzAHQAcgBhAGwAaQBhAG4AUwB0AGEAdABlAHMAVABlAHIAcgBpAHQAbwByAGkAZQBzAF8ARABhAHQAYQBcAG4AIAAgACAAPQBMAEEATQBCAEQAQQAoAFwAbgAgACAAIAAgAE0AQQBLAEUAQQBSAFIAQQBZACgAOQAsACAAMwAsACAAXABuACAAIAAgACAAIAAgAEwAQQBNAEIARABBACgAcgAsAGMALAAgAFwAbgAgACAAIAAgACAAIAAgACAASQBOAEQARQBYACgAewBcAG4AIAAgACAAIAAgACAAIAAgACAAIABcACIAUwB0AGEAdABlAC8AVABlAHIAcgBpAHQAbwByAHkAXAAiACwAIABcACIAQwBvAG0AbQBvAG4AIABOAGEAbQBlAFwAIgAsACAAXAAiAEEAYgBiAHIAZQB2AGkAYQB0AGkAbwBuAFwAIgA7AFwAbgAgACAAIAAgACAAIAAgACAAIAAgAFwAIgBOAGUAdwAgAFMAbwB1AHQAaAAgAFcAYQBsAGUAcwBcACIALAAgAFwAIgBOAGUAdwAgAFMAbwB1AHQAaAAgAFcAYQBsAGUAcwBcACIALAAgAFwAIgBOAFMAVwBcACIAOwBcAG4AIAAgACAAIAAgACAAIAAgACAAIABcACIAQQB1AHMAdAByAGEAbABpAGEAbgAgAEMAYQBwAGkAdABhAGwAIABUAGUAcgByAGkAdABvAHIAeQBcACIALAAgAFwAIgBBAEMAVABcACIALAAgAFwAIgBBAEMAVABcACIAOwBcAG4AIAAgACAAIAAgACAAIAAgACAAIABcACIAVgBpAGMAdABvAHIAaQBhAFwAIgAsACAAXAAiAFYAaQBjAHQAbwByAGkAYQBcACIALAAgAFwAIgBWAEkAQwBcACIAOwBcAG4AIAAgACAAIAAgACAAIAAgACAAIABcACIAUQB1AGUAZQBuAHMAbABhAG4AZABcACIALAAgAFwAIgBRAHUAZQBlAG4AcwBsAGEAbgBkAFwAIgAsACAAXAAiAFEATABEAFwAIgA7AFwAbgAgACAAIAAgACAAIAAgACAAIAAgAFwAIgBTAG8AdQB0AGgAIABBAHUAcwB0AHIAYQBsAGkAYQBcACIALAAgAFwAIgBTAG8AdQB0AGgAIABBAHUAcwB0AHIAYQBsAGkAYQBcACIALAAgAFwAIgBTAEEAXAAiADsAXABuACAAIAAgACAAIAAgACAAIAAgACAAXAAiAFcAZQBzAHQAZQByAG4AIABBAHUAcwB0AHIAYQBsAGkAYQBcACIALAAgAFwAIgBXAGUAcwB0AGUAcgBuACAAQQB1AHMAdAByAGEAbABpAGEAXAAiACwAIABcACIAVwBBAFwAIgA7AFwAbgAgACAAIAAgACAAIAAgACAAIAAgAFwAIgBUAGEAcwBtAGEAbgBpAGEAXAAiACwAIABcACIAVABhAHMAbQBhAG4AaQBhAFwAIgAsACAAXAAiAFQAQQBTAFwAIgA7AFwAbgAgACAAIAAgACAAIAAgACAAIAAgAFwAIgBOAG8AcgB0AGgAZQByAG4AIABUAGUAcgByAGkAdABvAHIAeQBcACIALAAgAFwAIgBOAG8AcgB0AGgAZQByAG4AIABUAGUAcgByAGkAdABvAHIAeQBcACIALAAgAFwAIgBOAFQ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XAEEAUwBBADQAQQByAGUAYQBzAFwAbgAtAC0ALQAtAC0ALQAtAC0ALQAtAC0ALQAtAC0ALQAtAC0ALQAtAC0ALQAtAC0ALQAtAC0ALQAtAC0ALQAtAC0ALQAtAC0ALQAtAC0AXABuACoALwBcAG4AXABuAEMAbwBtAG0AbwBuAF8AUwBvAHUAcgBjAGUARABhAHQAYQBfAFcAQQBTAEEANABBAHIAZQBhAHMAXwBUAGkAdABsAGUAXABuACAAIAA9AEwAQQBNAEIARABBACgAXAAiAEEAQgBTACAAUwB0AGEAdABpAHMAdABjAGEAbAAgAEEAcgBlAGEAcwAgAEwAZQB2AGUAbAAgADQAIAAtACAAVwBlAHMAdABlAHIAbgAgAEEAdQBzAHQAcgBhAGwAaQBhAFwAIgApADsAXABuAFwAbgBDAG8AbQBtAG8AbgBfAFMAbwB1AHIAYwBlAEQAYQB0AGEAXwBXAEEAUwBBADQAQQByAGUAYQBzAF8AVgBhAHIAaQBhAGIAbABlAFwAbgAgACAAPQBMAEEATQBCAEQAQQAoAFwAIgBcACIAKQA7AFwAbgBcAG4AQwBvAG0AbQBvAG4AXwBTAG8AdQByAGMAZQBEAGEAdABhAF8AVwBBAFMAQQA0AEEAcgBlAGEAcwBfAFUAbgBpAHQAXABuACAAIAA9AEwAQQBNAEIARABBACgAXAAiAFwAIgApADsAXABuAFwAbgBDAG8AbQBtAG8AbgBfAFMAbwB1AHIAYwBlAEQAYQB0AGEAXwBXAEEAUwBBADQAQQByAGUAYQBzAF8AUwBvAHUAcgBjAGUAXABuACAAIAA9AEwAQQBNAEIARABBACgAXAAiAEEAdQBzAHQAcgBhAGwAaQBhAG4AIABCAHUAcgBlAGEAdQAgAG8AZgAgAFMAdABhAHQAaQBzAHQAaQBjAHMAIAAoAEEAQgBTACkAIAAtACAAUwB0AGEAdABpAHMAdABpAGMAYQBsACAAQQByAGUAYQBzACAATABlAHYAZQBsACAAMgAgAC0AIAAyADAAMgAxACAALQAgAFMAaABhAHAAZQBmAGkAbABlAFwAIgApADsAXABuAFwAbgBDAG8AbQBtAG8AbgBfAFMAbwB1AHIAYwBlAEQAYQB0AGEAXwBXAEEAUwBBADQAQQByAGUAYQBzAF8ARABhAHQAYQBcAG4AIAAgACAAPQBMAEEATQBCAEQAQQAoAFwAbgAgACAAIAAgAE0AQQBLAEUAQQBSAFIAQQBZACgAMQAxACwAIAAxACwAIABcAG4AIAAgACAAIAAgACAATABBAE0AQgBEAEEAKAByACwAYwAsACAAXABuACAAIAAgACAAIAAgACAAIABJAE4ARABFAFgAKAB7AFwAbgAgACAAIAAgACAAIAAgACAAIAAgAFwAIgBTAEEAIAA0ACAATgBhAG0AZQBcACIAOwBcAG4AIAAgACAAIAAgACAAIAAgACAAIABcACIAQgB1AG4AYgB1AHIAeQBcACIAOwBcAG4AIAAgACAAIAAgACAAIAAgACAAIABcACIATQBhAG4AZAB1AHIAYQBoAFwAIgA7AFwAbgAgACAAIAAgACAAIAAgACAAIAAgAFwAIgBQAGUAcgB0AGgAIAAtACAASQBuAG4AZQByAFwAIgA7AFwAbgAgACAAIAAgACAAIAAgACAAIAAgAFwAIgBQAGUAcgB0AGgAIAAtACAATgBvAHIAdABoACAARQBhAHMAdABcACIAOwBcAG4AIAAgACAAIAAgACAAIAAgACAAIABcACIAUABlAHIAdABoACAALQAgAE4AbwByAHQAaAAgAFcAZQBzAHQAXAAiADsAXABuACAAIAAgACAAIAAgACAAIAAgACAAXAAiAFAAZQByAHQAaAAgAC0AIABTAG8AdQB0AGgAIABFAGEAcwB0AFwAIgA7AFwAbgAgACAAIAAgACAAIAAgACAAIAAgAFwAIgBQAGUAcgB0AGgAIAAtACAAUwBvAHUAdABoACAAVwBlAHMAdABcACIAOwBcAG4AIAAgACAAIAAgACAAIAAgACAAIABcACIAVwBlAHMAdABlAHIAbgAgAEEAdQBzAHQAcgBhAGwAaQBhACAALQAgAFcAaABlAGEAdAAgAEIAZQBsAHQAXAAiADsAXABuACAAIAAgACAAIAAgACAAIAAgACAAXAAiAFcAZQBzAHQAZQByAG4AIABBAHUAcwB0AHIAYQBsAGkAYQAgAC0AIABPAHUAdABiAGEAYwBrACAAKABOAG8AcgB0AGgAKQBcACIAOwBcAG4AIAAgACAAIAAgACAAIAAgACAAIABcACIAVwBlAHMAdABlAHIAbgAgAEEAdQBzAHQAcgBhAGwAaQBhACAALQAgAE8AdQB0AGIAYQBjAGsAIAAoAFMAbwB1AHQAaAAp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lAHQAQQBuAGQARAByAHkAWgBvAG4AZQBzAFwAbgAtAC0ALQAtAC0ALQAtAC0ALQAtAC0ALQAtAC0ALQAtAC0ALQAtAC0ALQAtAC0ALQAtAC0ALQAtAC0ALQAtAC0ALQAtAC0ALQAtAC0AXABuACoALwBcAG4AXABuAEMAbwBtAG0AbwBuAF8AUwBvAHUAcgBjAGUARABhAHQAYQBfAFcAZQB0AEEAbgBkAEQAcgB5AFoAbwBuAGUAcwBfAFQAaQB0AGwAZQBcAG4AIAAgAD0ATABBAE0AQgBEAEEAKABcACIAVgBFAEUAUgBHACAAQQB1AHMAdAByAGEAbABpAGEAbgAgAHcAZQB0ACAAYQBuAGQAIABkAHIAeQAgAHoAbwBuAGUAcwBcACIAKQA7AFwAbgBcAG4AQwBvAG0AbQBvAG4AXwBTAG8AdQByAGMAZQBEAGEAdABhAF8AVwBlAHQAQQBuAGQARAByAHkAWgBvAG4AZQBzAF8AVgBhAHIAaQBhAGIAbABlAFwAbgAgACAAPQBMAEEATQBCAEQAQQAoAFwAIgBcACIAKQA7AFwAbgBcAG4AQwBvAG0AbQBvAG4AXwBTAG8AdQByAGMAZQBEAGEAdABhAF8AVwBlAHQAQQBuAGQARAByAHkAWgBvAG4AZQBzAF8AVQBuAGkAdABcAG4AIAAgAD0ATABBAE0AQgBEAEEAKABcACIAXAAiACkAOwBcAG4AXABuAEMAbwBtAG0AbwBuAF8AUwBvAHUAcgBjAGUARABhAHQAYQBfAFcAZQB0AEEAbgBkAEQAcgB5AFoAbwBuAGUAcwBfAFMAbwB1AHIAYwBlAFwAbgAgACAAPQBMAEEATQBCAEQAQQAoAFwAIgBWAEUARQBSAEcAIAAyADAAMgA2ADoAIABUAGEAYgBsAGUAIAAxAC4AMgA6ACAAVAByAGEAbgBzAGwAYQB0AGkAbgBnACAAYwBsAGkAbQBhAHQAZQAgAHoAbwBuAGUAcwAgAHQAbwAgAHcAZQB0ACAAYQBuAGQAIABkAHIAeQAgAHoAbwBuAGUAcwBcACIAKQA7AFwAbgBcAG4AQwBvAG0AbQBvAG4AXwBTAG8AdQByAGMAZQBEAGEAdABhAF8AVwBlAHQAQQBuAGQARAByAHkAWgBvAG4AZQBzAF8AVgBhAHIAaQBhAHQAaQBvAG4AXABuACAAIAAgAD0ATABBAE0AQgBEAEEAKABcAG4AIAAgACAAIABNAEEASwBFAEEAUgBSAEEAWQAoADM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C0AIABDAGgAYQBuAGcAZQBkACAAXAB1ADAAMAAyADcARgByAHkAXAB1ADAAMAAyADcAIAB0AG8AIABcAHUAMAAwADIANwBEAHIAeQBcAHUAMAAwADIANwAuAFwAIgBcAG4AIAAgACAAIAAgACAAIAAgAH0ALAAgAHIALAAgAGMAKQBcAG4AIAAgACAAIAAgACAAKQBcAG4AIAAgACAAIAApAFwAbgAgACAAKQA7AFwAbgBcAG4AQwBvAG0AbQBvAG4AXwBTAG8AdQByAGMAZQBEAGEAdABhAF8AVwBlAHQAQQBuAGQARAByAHkAWgBvAG4AZQBzAF8ARABhAHQAYQBcAG4AIAAgACAAPQBMAEEATQBCAEQAQQAoAFwAbgAgACAAIAAgAE0AQQBLAEUAQQBSAFIAQQBZACgAMQA1ACwAIAAyACwAIABcAG4AIAAgACAAIAAgACAATABBAE0AQgBEAEEAKAByACwAYwAsACAAXABuACAAIAAgACAAIAAgACAAIABJAE4ARABFAFgAKAB7AFwAbgAgACAAIAAgACAAIAAgACAAIAAgAFwAIgBDAGwAaQBtAGEAdABlACAAWgBvAG4AZQBcACIALAAgAFwAIgBXAGUAdAAgAG8AcgAgAEQAcgB5ACAAWgBvAG4AZQBcACIAOwBcAG4AIAAgACAAIAAgACAAIAAgACAAIABcACIAVAByAG8AcABpAGMAYQBsACAAbQBvAG4AdABhAG4AZQBcACIALAAgAFwAIgBXAGUAdAAgAGMAbABpAG0AYQB0AGUAIAB6AG8AbgBlAFwAIgA7AFwAbgAgACAAIAAgACAAIAAgACAAIAAgAFwAIgBUAHIAbwBwAGkAYwBhAGwAIAB3AGUAdABcACIALAAgAFwAIgBXAGUAdAAgAGMAbABpAG0AYQB0AGUAIAB6AG8AbgBlAFwAIgA7AFwAbgAgACAAIAAgACAAIAAgACAAIAAgAFwAIgBUAHIAbwBwAGkAYwBhAGwAIABtAG8AaQBzAHQAXAAiACwAIABcACIAVwBlAHQAIABjAGwAaQBtAGEAdABlACAAegBvAG4AZQBcACIAOwBcAG4AIAAgACAAIAAgACAAIAAgACAAIABcACIAVAByAG8AcABpAGMAYQBsACAAZAByAHkAXAAiACwAIABcACIARAByAHkAIABjAGwAaQBtAGEAdABlACAAegBvAG4AZQBcACIAOwBcAG4AIAAgACAAIAAgACAAIAAgACAAIABcACIAVwBhAHIAbQAgAHQAZQBtAHAAZQByAGEAdABlACAAbQBvAGkAcwB0AFwAIgAsACAAXAAiAFcAZQB0ACAAYwBsAGkAbQBhAHQAZQAgAHoAbwBuAGUAXAAiADsAXABuACAAIAAgACAAIAAgACAAIAAgACAAXAAiAFcAYQByAG0AIAB0AGUAbQBwAGUAcgBhAHQAZQAgAGQAcgB5AFwAIgAsACAAXAAiAEQAcgB5ACAAYwBsAGkAbQBhAHQAZQAgAHoAbwBuAGUAXAAiADsAXABuACAAIAAgACAAIAAgACAAIAAgACAAXAAiAEMAbwBvAGwAIAB0AGUAbQBwAGUAcgBhAHQAZQAgAG0AbwBpAHMAdABcACIALAAgAFwAIgBXAGUAdAAgAGMAbABpAG0AYQB0AGUAIAB6AG8AbgBlAFwAIgA7AFwAbgAgACAAIAAgACAAIAAgACAAIAAgAFwAIgBDAG8AbwBsACAAdABlAG0AcABlAHIAYQB0AGUAIABkAHIAeQBcACIALAAgAFwAIgBEAHIAeQAgAGMAbABpAG0AYQB0AGUAIAB6AG8AbgBlAFwAIgA7AFwAbgAgACAAIAAgACAAIAAgACAAIAAgAFwAIgBXAGEAcgBtACAAdABlAG0AcABlAHIAYQB0AGUAIABtAG8AaQBzAHQAIAAtACAAbABvAHcAIABmAHIAbwBzAHQAXAAiACwAIABcACIAVwBlAHQAIABjAGwAaQBtAGEAdABlACAAegBvAG4AZQBcACIAOwBcAG4AIAAgACAAIAAgACAAIAAgACAAIABcACIAVwBhAHIAbQAgAHQAZQBtAHAAZQByAGEAdABlACAAZAByAHkAIAAtACAAbABvAHcAIABmAHIAbwBzAHQAXAAiACwAIABcACIARAByAHkAIABjAGwAaQBtAGEAdABlACAAegBvAG4AZQBcACIAOwBcAG4AIAAgACAAIAAgACAAIAAgACAAIABcACIAVwBhAHIAbQAgAHQAZQBtAHAAZQByAGEAdABlACAAbQBvAGkAcwB0ACAALQAgAGgAaQBnAGgAIAB0AGUAbQBwAFwAIgAsACAAXAAiAFcAZQB0ACAAYwBsAGkAbQBhAHQAZQAgAHoAbwBuAGUAXAAiADsAXABuACAAIAAgACAAIAAgACAAIAAgACAAXAAiAFcAYQByAG0AIAB0AGUAbQBwAGUAcgBhAHQAZQAgAGQAcgB5ACAALQAgAGgAaQBnAGgAIAB0AGUAbQBwAFwAIgAsACAAXAAiAEQAcgB5ACAAYwBsAGkAbQBhAHQAZQAgAHoAbwBuAGUAXAAiADsAXABuACAAIAAgACAAIAAgACAAIAAgACAAXAAiAEMAbwBvAGwAIAB0AGUAbQBwAGUAcgBhAHQAZQAgAG0AbwBpAHMAdAAgAC0AIABsAG8AdwAgAGYAcgBvAHMAdABcACIALAAgAFwAIgBXAGUAdAAgAGMAbABpAG0AYQB0AGUAIAB6AG8AbgBlAFwAIgA7AFwAbgAgACAAIAAgACAAIAAgACAAIAAgAFwAIgBDAG8AbwBsACAAdABlAG0AcABlAHIAYQB0AGUAIABkAHIAeQAgAC0AIABsAG8AdwAgAGYAcgBvAHMAdABcACIALAAgAFwAIgBEAHIAeQAgAGMAbABpAG0AYQB0AGUAIAB6AG8AbgBl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QwBsAGkAbQBhAHQAZQBaAG8AbgBlAHMAXABuAC0ALQAtAC0ALQAtAC0ALQAtAC0ALQAtAC0ALQAtAC0ALQAtAC0ALQAtAC0ALQAtAC0ALQAtAC0ALQAtAC0ALQAtAC0ALQAtAC0ALQBcAG4AKgAvAFwAbgBcAG4AQwBvAG0AbQBvAG4AXwBTAG8AdQByAGMAZQBEAGEAdABhAF8AQwBsAGkAbQBhAHQAZQBaAG8AbgBlAHMAXwBUAGkAdABsAGUAXABuACAAIAA9AEwAQQBNAEIARABBACgAXAAiAFYARQBFAFIARwAgAEEAdQBzAHQAcgBhAGwAaQBhAG4AIABjAGwAaQBtAGEAdABlACAAegBvAG4AZQBzAFwAIgApADsAXABuAFwAbgBDAG8AbQBtAG8AbgBfAFMAbwB1AHIAYwBlAEQAYQB0AGEAXwBDAGwAaQBtAGEAdABlAFoAbwBuAGUAcwBfAFYAYQByAGkAYQBiAGwAZQBcAG4AIAAgAD0ATABBAE0AQgBEAEEAKABcACIAXAAiACkAOwBcAG4AXABuAEMAbwBtAG0AbwBuAF8AUwBvAHUAcgBjAGUARABhAHQAYQBfAEMAbABpAG0AYQB0AGUAWgBvAG4AZQBzAF8AVQBuAGkAdABcAG4AIAAgAD0ATABBAE0AQgBEAEEAKABcACIAXAAiACkAOwBcAG4AXABuAEMAbwBtAG0AbwBuAF8AUwBvAHUAcgBjAGUARABhAHQAYQBfAEMAbABpAG0AYQB0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QwBsAGkAbQBhAHQAZQBaAG8AbgBlAHMAXwBWAGEAcgBpAGEAdABpAG8AbgBcAG4AIA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aQBuACAATQBBAFQAIAB2AGEAbAB1AGUAIABmAG8AcgAgAHcAYQByAG0AIAB0AGUAbQBwAGUAcgBhAHQAZQAgAGQAcgB5ACAALQAgAGMAaABhAG4AZwBlAGQAIAAxADAAIAB0AG8AIAAxADEALgBcACIAOwBcAG4AIAAgACAAIAAgACAAIAAgACAAIABcACIAQQBkAGQAZQBkACAAbQBpAG4AIABhAG4AZAAgAG0AYQB4ACAAYwBvAGwAdQBtAG4AcwAgAGYAbwByACAATQBBAFQALAAgAE0AQQBQACwAIABmAHIAbwBzAHQAIABkAGEAeQBzACAAcABlAHIAIAB5AGUAYQByACwAIABlAGwAZQB2AGEAdABpAG8AbgAsACAATQBBAFAAOgBQAEUAVAAgAHQAbwAgAGMAYQBsAGMAdQBsAGEAdABlACAAegBvAG4AZQBzACAAZgByAG8AbQAgAHIAZQBhAGwAIABjAGwAaQBtAGEAdABlACAAZABhAHQAYQAuAFwAIgA7AFwAbgAgACAAIAAgACAAIAAgACAAIAAgAFwAIgBHAEEARgAgAGEAYwBjAGUAcAB0AHMAIAByAGEAaQBuAGYAYQBsAGwAIABhAHMAIABhACAAcAByAG8AeAB5ACAAZgBvAHIAIABwAHIAZQBjAGkAcABpAHQAYQB0AGkAbwBuAC4AXAAiAFwAbgAgACAAIAAgACAAIAAgACAAfQAsACAAcgAsACAAYwApAFwAbgAgACAAIAAgACAAIAApAFwAbgAgACAAIAAgACkAXABuACAAIAApADsAXABuAFwAbgBDAG8AbQBtAG8AbgBfAFMAbwB1AHIAYwBlAEQAYQB0AGEAXwBDAGwAaQBtAGEAdABlAFoAbwBuAGUAcwBfAEQAYQB0AGEAXABuACAAIAAgAD0ATABBAE0AQgBEAEEAKABcAG4AIAAgACAAIABNAEEASwBFAEEAUgBSAEEAWQAoADkALAAgADEANgAsACAAXABuACAAIAAgACAAIAAgAEwAQQBNAEIARABBACgAcgAsAGMALAAgAFwAbgAgACAAIAAgACAAIAAgACAASQBOAEQARQBYACgAewBcAG4AIAAgACAAIAAgACAAIAAgACAAIABcACIAQwBsAGkAbQBhAHQAZQAgAFoAbwBuAGUAXAAiACwAIABcACIATQBBAFQAXAAiACwAIABcACIATQBBAFAAXAAiACwAIABcACIARgByAG8AcwB0ACAAZABhAHkAcwAgAHAAZQByACAAeQBlAGEAcgBcACIALAAgAFwAIgBFAGwAZQB2AGEAdABpAG8AbgBcACIALAAgAFwAIgBNAEEAUAA6AFAARQBUAFwAIgAsACAAXAAiAE0AaQBuACAAdABlAG0AcABcACIALAAgAFwAIgBNAGEAeAAgAHQAZQBtAHAAXAAiACwAIABcACIATQBpAG4AIAByAGEAaQBuAGYAYQBsAGwAXAAiACwAIABcACIATQBhAHgAIAByAGEAaQBuAGYAYQBsAGwAXAAiACwAIABcACIATQBpAG4AIABmAHIAbwBzAHQAIABkAGEAeQBzAFwAIgAsACAAXAAiAE0AYQB4ACAAZgByAG8AcwB0ACAAZABhAHkAcwBcACIALAAgAFwAIgBNAGkAbgAgAGUAbABlAHYAYQB0AGkAbwBuAFwAIgAsACAAXAAiAE0AYQB4ACAAZQBsAGUAdgBhAHQAaQBvAG4AXAAiACwAIABcACIATQBpAG4AIABNAEEAUAA6AFAARQBUAFwAIgAsACAAXAAiAE0AaQBuACAATQBBAFAAOgBQAEUAVABcACIAOwBcAG4AIAAgACAAIAAgACAAIAAgACAAIABcACIAVAByAG8AcABpAGMAYQBsACAAbQBvAG4AdABhAG4AZQBcACIALAAgAFwAIgBcAHUAMAAwADMAZQAgADEAOAAgAEMAXAAiACwAIABcACIAQQBuAHkAXAAiACwAIABcACIAZCIgADcAXAAiACwAIABcACIAXAB1ADAAMAAzAGUAIAAxADAAMAAwACAAbQBcACIALAAgAFwAIgBBAG4AeQBcACIALAAgADEAOAAuADAAMAAxACwAIAA5ADkAOQA5ADkAOQAsACAALQA5ADkAOQA5ADkAOQAsACAAOQA5ADkAOQA5ADkALAAgAC0AOQA5ADkAOQA5ADkALAAgADcALAAgADEAMAAwADAALAAgADkAOQA5ADkAOQA5ACwAIAAtADkAOQA5ADkAOQA5ACwAIAA5ADkAOQA5ADkAOQA7AFwAbgAgACAAIAAgACAAIAAgACAAIAAgAFwAIgBUAHIAbwBwAGkAYwBhAGwAIAB3AGUAdABcACIALAAgAFwAIgBcAHUAMAAwADMAZQAgADEAOAAgAEMAXAAiACwAIABcACIAXAB1ADAAMAAzAGUAIAAyADAAMAAwACAAbQBtAFwAIgAsACAAXAAiAGQiIAA3AFwAIgAsACAAXAAiAGQiIAAxADAAMAAwACAAbQBcACIALAAgAFwAIgBBAG4AeQBcACIALAAgADEAOAAuADAAMAAxACwAIAA5ADkAOQA5ADkAOQAsACAAMgAwADAAMAAuADAAMAAxACwAIAA5ADkAOQA5ADkAOQAsACAALQA5ADkAOQA5ADkAOQAsACAANwAsACAALQA5ADkAOQA5ADkAOQAsACAAOQA5ADkALgA5ADkAOQAsACAAIAAtADkAOQA5ADkAOQA5ACwAIAA5ADkAOQA5ADkAOQA7AFwAbgAgACAAIAAgACAAIAAgACAAIAAgAFwAIgBUAHIAbwBwAGkAYwBhAGwAIABtAG8AaQBzAHQAXAAiACwAIABcACIAXAB1ADAAMAAzAGUAIAAxADgAIABDAFwAIgAsACAAXAAiAFwAdQAwADAAMwBlACAAMQAwADAAMAAgAG0AbQAgAC0AIABkIiAAMgAwADAAMAAgAG0AbQBcACIALAAgAFwAIgBkIiAANwBcACIALAAgAFwAIgBkIiAAMQAwADAAMAAgAG0AXAAiACwAIABcACIAQQBuAHkAXAAiACwAIAAxADgALgAwADAAMQAsACAAOQA5ADkAOQA5ADkALAAgADEAMAAwADAALgAwADAAMQAsACAAMgAwADAAMAAsACAALQA5ADkAOQA5ADkAOQAsACAANwAsACAALQA5ADkAOQA5ADkAOQAsACAAOQA5ADkALgA5ADkAOQAsACAAIAAtADkAOQA5ADkAOQA5ACwAIAA5ADkAOQA5ADkAOQA7AFwAbgAgACAAIAAgACAAIAAgACAAIAAgAFwAIgBUAHIAbwBwAGkAYwBhAGwAIABkAHIAeQBcACIALAAgAFwAIgBcAHUAMAAwADMAZQAgADEAOAAgAEMAXAAiACwAIABcACIAZCIgADEAMAAwADAAIABtAG0AXAAiACwAIABcACIAZCIgADcAXAAiACwAIABcACIAZCIgADEAMAAwADAAIABtAFwAIgAsACAAXAAiAEEAbgB5AFwAIgAsACAAMQA4AC4AMAAwADEALAAgADkAOQA5ADkAOQA5ACwAIAAtADkAOQA5ADkAOQA5ACwAIAAxADAAMAAwACwAIAAtADkAOQA5ADkAOQA5ACwAIAA3ACwAIAAtADkAOQA5ADkAOQA5ACwAIAA5ADkAOQAuADkAOQA5ACwAIAAgAC0AOQA5ADkAOQA5ADkALAAgADkAOQA5ADkAOQA5ADsAXABuACAAIAAgACAAIAAgACAAIAAgACAAXAAiAFcAYQByAG0AIAB0AGUAbQBwAGUAcgBhAHQAZQAgAG0AbwBpAHMAdABcACIALAAgAFwAIgBcAHUAMAAwADMAZQAgADEAMAAgAEMAXAAiACwAIABcACIAQQBuAHkAXAAiACwAIABcACIAQQBuAHkAXAAiACwAIABcACIAQQBuAHkAXAAiACwAIABcACIAXAB1ADAAMAAzAGUAIAAxAFwAIgAsACAAMQAwAC4AMAAwADEALAAgADkAOQA5ADkAOQA5ACwAIAAtADkAOQA5ADkAOQA5ACwAIAA5ADkAOQA5ADkAOQAsACAALQA5ADkAOQA5ADkAOQAsACAAOQA5ADkAOQA5ADkALAAgAC0AOQA5ADkAOQA5ADkALAAgADkAOQA5ADkAOQA5ACwAIAAxAC4AMAAwADEALAAgADkAOQA5ADkAOQA5ADsAXABuACAAIAAgACAAIAAgACAAIAAgACAAXAAiAFcAYQByAG0AIAB0AGUAbQBwAGUAcgBhAHQAZQAgAGQAcgB5AFwAIgAsACAAXAAiAFwAdQAwADAAMwBlACAAMQAwACAAQwBcACIALAAgAFwAIgBBAG4AeQBcACIALAAgAFwAIgBBAG4AeQBcACIALAAgAFwAIgBBAG4AeQBcACIALAAgAFwAIgBkIiAAMQBcACIALAAgADEAMAAuADAAMAAxACwAIAA5ADkAOQA5ADkAOQAsACAALQA5ADkAOQA5ADkAOQAsACAAOQA5ADkAOQA5ADkALAAgAC0AOQA5ADkAOQA5ADkALAAgADkAOQA5ADkAOQA5ACwAIAAtADkAOQA5ADkAOQA5ACwAIAA5ADkAOQA5ADkAOQAsACAAIAAtADkAOQA5ADkAOQA5ACwAIAAxADsAXABuACAAIAAgACAAIAAgACAAIAAgACAAXAAiAEMAbwBvAGwAIAB0AGUAbQBwAGUAcgBhAHQAZQAgAG0AbwBpAHMAdABcACIALAAgAFwAIgBcAHUAMAAwADMAZQAgADAAIABDACAALQAgAGQiIAAxADAAIABDAFwAIgAsACAAXAAiAEEAbgB5AFwAIgAsACAAXAAiAEEAbgB5AFwAIgAsACAAXAAiAEEAbgB5AFwAIgAsACAAXAAiAFwAdQAwADAAMwBlACAAMQBcACIALAAgAC0AOQA5ADkAOQA5ADkALAAgADEAMAAsACAALQA5ADkAOQA5ADkAOQAsACAAOQA5ADkAOQA5ADkALAAgAC0AOQA5ADkAOQA5ADkALAAgADkAOQA5ADkAOQA5ACwAIAAtADkAOQA5ADkAOQA5ACwAIAA5ADkAOQA5ADkAOQAsACAAMQAuADAAMAAxACwAIAA5ADkAOQA5ADkAOQA7AFwAbgAgACAAIAAgACAAIAAgACAAIAAgAFwAIgBDAG8AbwBsACAAdABlAG0AcABlAHIAYQB0AGUAIABkAHIAeQBcACIALAAgAFwAIgBcAHUAMAAwADMAZQAgADAAIABDACAALQAgAGQiIAAxADAAIABDAFwAIgAsACAAXAAiAEEAbgB5AFwAIgAsACAAXAAiAEEAbgB5AFwAIgAsACAAXAAiAEEAbgB5AFwAIgAsACAAXAAiAGQiIAAxAFwAIgAsACAALQA5ADkAOQA5ADkAOQAsACAAMQAwACwAIAAtADkAOQA5ADkAOQA5ACwAIAA5ADkAOQA5ADkAOQAsACAALQA5ADkAOQA5ADkAOQAsACAAOQA5ADkAOQA5ADkALAAgAC0AOQA5ADkAOQA5ADkALAAgADkAOQA5ADkAOQA5ACwAIAAgAC0AOQA5ADkAOQA5ADkALAAgADEAXABuACAAIAAgACAAIAAgACAAIAB9ACwAIAByACwAIABjACkAXABuACAAIAAgACAAIAAgACkAXABuACAAIAAgACAAKQBcAG4AIAAgACkAOwBcAG4AXABuAEMAbwBtAG0AbwBuAF8AUwBvAHUAcgBjAGUARABhAHQAYQBfAEMAbABpAG0AYQB0AGUAWgBvAG4AZQBzAF8AQQBwAHAAZQBuAGQAaQBjAGUAcwBcAG4AIAAgACAAPQBMAEEATQBCAEQAQQAoAFwAbgAgACAAIAAgAE0AQQBLAEUAQQBSAFIAQQBZACgANAAsACAAMQAsACAAXABuACAAIAAgACAAIAAgAEwAQQBNAEIARABBACgAcgAsAGMALAAgAFwAbgAgACAAIAAgACAAIAAgACAASQBOAEQARQBYACgAewBcAG4AIAAgACAAIAAgACAAIAAgACAAIABcACIATgBvAHQAZQA6AFwAIgA7AFwAbgAgACAAIAAgACAAIAAgACAAIAAgAFwAIgBNAEEAVAAgAD0AIABtAGUAYQBuACAAYQBuAG4AdQBhAGwAIAB0AGUAbQBwAGUAcgBhAHQAdQByAGUAXAAiADsAXABuACAAIAAgACAAIAAgACAAIAAgACAAXAAiAE0AQQBQACAAPQAgAG0AZQBhAG4AIABhAG4AbgB1AGEAbAAgAHAAcgBlAGMAaQBwAGkAdABhAHQAaQBvAG4AXAAiADsAXABuACAAIAAgACAAIAAgACAAIAAgACAAXAAiAFAARQBUACAAPQAgAHAAbwB0AGUAbgB0AGkAYQBsACAAZQB2AGEAcABvAHQAcgBhAG4AcwBwAGkAcgBhAHQAaQBvAG4AXAAi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VABlAG0AcABlAHIAYQB0AHUAcgBlAFoAbwBuAGUAcwBcAG4ALQAtAC0ALQAtAC0ALQAtAC0ALQAtAC0ALQAtAC0ALQAtAC0ALQAtAC0ALQAtAC0ALQAtAC0ALQAtAC0ALQAtAC0ALQAtAC0ALQAtAFwAbgAqAC8AXABuAFwAbgBDAG8AbQBtAG8AbgBfAFMAbwB1AHIAYwBlAEQAYQB0AGEAXwBUAGUAbQBwAGUAcgBhAHQAdQByAGUAWgBvAG4AZQBzAF8AVABpAHQAbABlAFwAbgAgACAAPQBMAEEATQBCAEQAQQAoAFwAIgBWAEUARQBSAEcAIABBAHUAcwB0AHIAYQBsAGkAYQBuACAAdABlAG0AcABlAHIAYQB0AHUAcgBlACAAegBvAG4AZQBzAFwAIgApADsAXABuAFwAbgBDAG8AbQBtAG8AbgBfAFMAbwB1AHIAYwBlAEQAYQB0AGEAXwBUAGUAbQBwAGUAcgBhAHQAdQByAGUAWgBvAG4AZQBzAF8AVgBhAHIAaQBhAGIAbABlAFwAbgAgACAAPQBMAEEATQBCAEQAQQAoAFwAIgBcACIAKQA7AFwAbgBcAG4AQwBvAG0AbQBvAG4AXwBTAG8AdQByAGMAZQBEAGEAdABhAF8AVABlAG0AcABlAHIAYQB0AHUAcgBlAFoAbwBuAGUAcwBfAFUAbgBpAHQAXABuACAAIAA9AEwAQQBNAEIARABBACgAXAAiAFwAIgApADsAXABuAFwAbgBDAG8AbQBtAG8AbgBfAFMAbwB1AHIAYwBlAEQAYQB0AGEAXwBUAGUAbQBwAGUAcgBhAHQAdQBy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VABlAG0AcABlAHIAYQB0AHUAcgBlAFoAbwBuAGUAcwBfAFYAYQByAGkAYQB0AGkAbwBuAFwAbgAgACAAPQBMAEEATQBCAEQAQQAoAFwAIgBWAEEAUgBJAEEAVABJAE8ATgAgAE8ARgAgAFMATwBVAFIAQwBFACAARABBAFQAQQA6ACAAQQBkAGQAZQBkACAAZQB4AHQAcgBhACAATQBBAFQAIABtAGkAbgAgAGEAbgBkACAATQBBAFQAIABtAGEAeAAgAGMAbwBsAHUAbQBuAHMAIAB0AG8AIABjAGEAbABjAHUAbABhAHQAZQAgAHoAbwBuAGUAIABmAHIAbwBtACAAcgBlAGEAbAAgAHQAZQBtAHAAZQByAGEAdAB1AHIAZQAgAGQAYQB0AGEALgBcACIAKQA7AFwAbgBcAG4AQwBvAG0AbQBvAG4AXwBTAG8AdQByAGMAZQBEAGEAdABhAF8AVABlAG0AcABlAHIAYQB0AHUAcgBlAFoAbwBuAGUAcwBfAEQAYQB0AGEAXABuACAAIAAgAD0ATABBAE0AQgBEAEEAKABcAG4AIAAgACAAIABNAEEASwBFAEEAUgBSAEEAWQAoADQALAAgADQALAAgAFwAbgAgACAAIAAgACAAIABMAEEATQBCAEQAQQAoAHIALABjACwAIABcAG4AIAAgACAAIAAgACAAIAAgAEkATgBEAEUAWAAoAHsAXABuACAAIAAgACAAIAAgACAAIAAgACAAXAAiAFQAZQBtAHAAZQByAGEAdAB1AHIAZQAgAFoAbwBuAGUAXAAiACwAIABcACIATQBlAGQAaQBhAG4AIABBAG4AbgB1AGEAbAAgAFQAZQBtAHAAZQByAGEAdAB1AHIAZQAgACgATQBBAFQAKQBcACIALAAgAFwAIgBNAGkAbgAgAE0AQQBUAFwAIgAsACAAXAAiAE0AYQB4ACAATQBBAFQAXAAiADsAXABuACAAIAAgACAAIAAgACAAIAAgACAAXAAiAFcAYQByAG0AXAAiACwAIABcACIAZSIgADIANgAgAEMAXAAiACwAIAAyADYALAAgADkAOQA5ADkAOQA5ADsAXABuACAAIAAgACAAIAAgACAAIAAgACAAXAAiAFQAZQBtAHAAZQByAGEAdABlAFwAIgAsACAAXAAiADEANQAgAC0AIAAyADUAIABDAFwAIgAsACAAMQA1ACwAIAAyADUALgA5ADkAOQA7AFwAbgAgACAAIAAgACAAIAAgACAAIAAgAFwAIgBDAG8AbwBsAFwAIgAsACAAXAAiAGQiIAAxADQAIABDAFwAIgAsACAALQA5ADkAOQA5ADkAOQAsACAAMQA0AC4AOQA5ADk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IAYQBpAG4AZgBhAGwAbABaAG8AbgBlAHMAXABuAC0ALQAtAC0ALQAtAC0ALQAtAC0ALQAtAC0ALQAtAC0ALQAtAC0ALQAtAC0ALQAtAC0ALQAtAC0ALQAtAC0ALQAtAC0ALQAtAC0ALQBcAG4AKgAvAFwAbgBcAG4AQwBvAG0AbQBvAG4AXwBTAG8AdQByAGMAZQBEAGEAdABhAF8AUgBhAGkAbgBmAGEAbABsAFoAbwBuAGUAcwBfAFQAaQB0AGwAZQBcAG4AIAAgAD0ATABBAE0AQgBEAEEAKABcACIAVgBFAEUAUgBHACAAQQB1AHMAdAByAGEAbABpAGEAbgAgAHIAYQBpAG4AZgBhAGwAbAAgAHoAbwBuAGUAcwBcACIAKQA7AFwAbgBcAG4AQwBvAG0AbQBvAG4AXwBTAG8AdQByAGMAZQBEAGEAdABhAF8AUgBhAGkAbgBmAGEAbABsAFoAbwBuAGUAcwBfAFYAYQByAGkAYQBiAGwAZQBcAG4AIAAgAD0ATABBAE0AQgBEAEEAKABcACIAXAAiACkAOwBcAG4AXABuAEMAbwBtAG0AbwBuAF8AUwBvAHUAcgBjAGUARABhAHQAYQBfAFIAYQBpAG4AZgBhAGwAbABaAG8AbgBlAHMAXwBVAG4AaQB0AFwAbgAgACAAPQBMAEEATQBCAEQAQQAoAFwAIgBcACIAKQA7AFwAbgBcAG4AQwBvAG0AbQBvAG4AXwBTAG8AdQByAGMAZQBEAGEAdABhAF8AUgBhAGkAbgBmAGEAbABs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IAYQBpAG4AZgBhAGwAbABaAG8AbgBlAHMAXwBWAGEAcgBpAGEAdABpAG8AbgBcAG4AIAAgAD0ATABBAE0AQgBEAEEAKABcACIAVgBBAFIASQBBAFQASQBPAE4AIABPAEYAIABTAE8AVQBSAEMARQAgAEQAQQBUAEEAOgAgAEEAZABkAGUAZAAgAGUAeAB0AHIAYQAgAFIAYQBpAG4AZgBhAGwAbAAgAG0AaQBuACAAYQBuAGQAIABSAGEAaQBuAGYAYQBsAGwAIABtAGEAeAAgAGMAbwBsAHUAbQBuAHMAIAB0AG8AIABjAGEAbABjAHUAbABhAHQAZQAgAHoAbwBuAGUAIABmAHIAbwBtACAAcgBlAGEAbAAgAHIAYQBpAG4AZgBhAGwAbAAgAGQAYQB0AGEALgBcACIAKQA7AFwAbgBcAG4AQwBvAG0AbQBvAG4AXwBTAG8AdQByAGMAZQBEAGEAdABhAF8AUgBhAGkAbgBmAGEAbABsAFoAbwBuAGUAcwBfAEQAYQB0AGEAXABuACAAIAAgAD0ATABBAE0AQgBEAEEAKABcAG4AIAAgACAAIABNAEEASwBFAEEAUgBSAEEAWQAoADMALAAgADQALAAgAFwAbgAgACAAIAAgACAAIABMAEEATQBCAEQAQQAoAHIALABjACwAIABcAG4AIAAgACAAIAAgACAAIAAgAEkATgBEAEUAWAAoAHsAXABuACAAIAAgACAAIAAgACAAIAAgACAAXAAiAFIAYQBpAG4AZgBhAGwAbAAgAFoAbwBuAGUAXAAiACwAIABcACIAQQBuAG4AdQBhAGwAIAByAGEAaQBuAGYAYQBsAGwAXAAiACwAIABcACIAUgBhAGkAbgBmAGEAbABsACAAbQBpAG4AXAAiACwAIABcACIAUgBhAGkAbgBmAGEAbABsACAAbQBhAHgAXAAiADsAXABuACAAIAAgACAAIAAgACAAIAAgACAAXAAiAEgAaQBnAGgAIAByAGEAaQBuAGYAYQBsAGwAXAAiACwAIABcACIAQQBuAG4AdQBhAGwAIAByAGEAaQBuAGYAYQBsAGwAIABcAHUAMAAwADMAZQAgADYAMAAwAG0AbQBcACIALAAgADYAMAAwAC4AMAAwADEALAAgADkAOQA5ADkAOQA5ADsAXABuACAAIAAgACAAIAAgACAAIAAgACAAXAAiAEwAbwB3ACAAcgBhAGkAbgBmAGEAbABsAFwAIgAsACAAXAAiAEEAbgBuAHUAYQBsACAAcgBhAGkAbgBmAGEAbABsACAAZCIgADYAMAAwAG0AbQBcACIALAAgAC0AOQA5ADkAOQA5ADkALAAgADYAMAAw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MAGUAYQBjAGgAaQBuAGcAWgBvAG4AZQBzAFwAbgAtAC0ALQAtAC0ALQAtAC0ALQAtAC0ALQAtAC0ALQAtAC0ALQAtAC0ALQAtAC0ALQAtAC0ALQAtAC0ALQAtAC0ALQAtAC0ALQAtAC0AXABuACoALwBcAG4AXABuAEMAbwBtAG0AbwBuAF8AUwBvAHUAcgBjAGUARABhAHQAYQBfAEwAZQBhAGMAaABpAG4AZwBaAG8AbgBlAHMAXwBUAGkAdABsAGUAXABuACAAIAA9AEwAQQBNAEIARABBACgAXAAiAFYARQBFAFIARwAgAEEAdQBzAHQAcgBhAGwAaQBhAG4AIABsAGUAYQBjAGgAaQBuAGcAIAB6AG8AbgBlAHMAXAAiACkAOwBcAG4AXABuAEMAbwBtAG0AbwBuAF8AUwBvAHUAcgBjAGUARABhAHQAYQBfAEwAZQBhAGMAaABpAG4AZwBaAG8AbgBlAHMAXwBWAGEAcgBpAGEAYgBsAGUAXABuACAAIAA9AEwAQQBNAEIARABBACgAXAAiAFwAIgApADsAXABuAFwAbgBDAG8AbQBtAG8AbgBfAFMAbwB1AHIAYwBlAEQAYQB0AGEAXwBMAGUAYQBjAGgAaQBuAGcAWgBvAG4AZQBzAF8AVQBuAGkAdABcAG4AIAAgAD0ATABBAE0AQgBEAEEAKABcACIAXAAiACkAOwBcAG4AXABuAEMAbwBtAG0AbwBuAF8AUwBvAHUAcgBjAGUARABhAHQAYQBfAEwAZQBhAGMAaABpAG4AZw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MAGUAYQBjAGgAaQBuAGcAWgBvAG4AZQBzAF8AVgBhAHIAaQBhAHQAaQBvAG4AXABuACAAIAA9AEwAQQBNAEIARABBACgAXAAiAFwAIgApADsAXABuAFwAbgBDAG8AbQBtAG8AbgBfAFMAbwB1AHIAYwBlAEQAYQB0AGEAXwBMAGUAYQBjAGgAaQBuAGcAWgBvAG4AZQBzAF8ARABhAHQAYQBcAG4AIAAgACAAPQBMAEEATQBCAEQAQQAoAFwAbgAgACAAIAAgAE0AQQBLAEUAQQBSAFIAQQBZACgANAAsACAAMgAsACAAXABuACAAIAAgACAAIAAgAEwAQQBNAEIARABBACgAcgAsAGMALAAgAFwAbgAgACAAIAAgACAAIAAgACAASQBOAEQARQBYACgAewBcAG4AIAAgACAAIAAgACAAIAAgACAAIABcACIATABlAGEAYwBoAGkAbgBnACAAWgBvAG4AZQBcACIALAAgAFwAIgBMAGUAYQBjAGgAaQBuAGcAIABjAHIAaQB0AGUAcgBpAGEAXAAiADsAXABuACAAIAAgACAAIAAgACAAIAAgACAAXAAiAEwAZQBhAGMAaABpAG4AZwAgAG8AYwBjAHUAcgBzAFwAIgAsACAAXAAiAKMDKAA12F/cNdhO3DXYVtw12FvcKQBcAHUAMAAwADMAZQCjAygANdg43DXYR9wwACkAKwA12GDcNdhc3DXYVtw12FncIAA12GTcNdhO3DXYYdw12FLcNdhf3CAADiE12FzcNdhZ3DXYUdw12FbcNdhb3DXYVNwgADXYUNw12E7cNdhd3DXYTtw12FDcNdhW3DXYYdw12GbcXAAiADsAXABuACAAIAAgACAAIAAgACAAIAAgACAAXAAiAEwAZQBhAGMAaABpAG4AZwAgAGQAbwBlAHMAIABuAG8AdAAgAG8AYwBjAHUAcgBcACIALAAgAFwAIgCjAygANdhf3DXYTtw12FbcNdhb3CkAZCKjAygANdg43DXYR9wwACkAKwA12GDcNdhc3DXYVtw12FncIAA12GTcNdhO3DXYYdw12FLcNdhf3CAADiE12FzcNdhZ3DXYUdw12FbcNdhb3DXYVNwgADXYUNw12E7cNdhd3DXYTtw12FDcNdhW3DXYYdw12Gbc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FcARQBU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FcARQBUAF8AVQBuAGkAdABcAG4AIAAgAD0ATABBAE0AQgBEAEEAKABcACIAKABEAGkAbQBlAG4AcwBpAG8AbgBsAGUAcwBzAFwAIgApADsAXABuAFwAbgBDAG8AbQBtAG8AbgBfAFMAbwB1AHIAYwBlAEQAYQB0AGEAXwBGAHIAYQBjAFcARQBUAF8AUwBvAHUAcgBjAGUAXABuACAAIAA9AEwAQQBNAEIARABBACgAXAAiAFYARQBFAFIARwAgADIAMAAyADYAOgA1AC4ANQAuADIALgAzACAAQwBvAG4AcwB0AGEAbgB0ACAAUABhAHIAYQBtAGUAdABlAHIAcwBcACIAKQA7AFwAbgBcAG4AQwBvAG0AbQBvAG4AXwBTAG8AdQByAGMAZQBEAGEAdABhAF8ARgByAGEAYwBXAEUAVABfAE4ASQBSAFIAZQBmAGUAcgBlAG4AYwBlAFwAbgAgACAAPQBMAEEATQBCAEQAQQAoAFwAIgBcACIAKQA7AFwAbgBcAG4AQwBvAG0AbQBvAG4AXwBTAG8AdQByAGMAZQBEAGEAdABhAF8ARgByAGEAYwBXAEUAVABfAEQAYQB0AGEAXABuACAAIAA9AEwAQQBNAEIARABBACgAXABuACAAIAAgACAATQBBAEsARQBBAFIAUgBBAFkAKAAzACwAIAAyACwAIABcAG4AIAAgACAAIAAgACAATABBAE0AQgBEAEEAKAByACwAYwAsACAAXABuACAAIAAgACAAIAAgACAAIABJAE4ARABFAFgAKAB7AFwAbgAgACAAIAAgACAAIAAgACAAIAAgAFwAIgBJAHMAIABpAG4AIABsAGUAYQBjAGgAaQBuAGcAIAB6AG8AbgBlAFwAIgAsAFwAIgBGAHIAYQBjAFcARQBUAFwAIgA7AFwAbgAgACAAIAAgACAAIAAgACAAIAAgAFwAIgBZAGUAcwAgAC0AIABpAG4AIABsAGUAYQBjAGgAaQBuAGcAIAB6AG8AbgBlAFwAIgAsACAAMQA7AFwAbgAgACAAIAAgACAAIAAgACAAIAAgAFwAIgBOAG8AIAAtACAAbgBvAHQAIABpAG4AIABsAGUAYQBjAGgAaQBuAGcAIAB6AG8AbgBlAFwAIgAsACAAMABcAG4AIAAgACAAIAAgACAAIAAgAH0ALAAgAHIALAAgAGMAKQBcAG4AIAAgACAAIAAgACAAKQBcAG4AIAAgACAAIAApAFwAbgAgACAAKQA7AFwAbgBcAG4AIAAgAEMAbwBtAG0AbwBuAF8AUwBvAHUAcgBjAGUARABhAHQAYQBfAEYAcgBhAGMAVwBFAFQAXwBWAGEAcgBpAGEAdABpAG8AbgBcAG4AIAAgAD0ATABBAE0AQgBEAEEAKAAoAFwAIgBcACIAKQApADsAXABuAFwAbgBcAG4AXABuAC8AKgAgAFwAbgAtAC0ALQAtAC0ALQAtAC0ALQAtAC0ALQAtAC0ALQAtAC0ALQAtAC0ALQAtAC0ALQAtAC0ALQAtAC0ALQAtAC0ALQAtAC0ALQAtAC0AXABuAEMAbwBtAG0AbwBuAF8AUwBvAHUAcgBjAGUARABhAHQAYQBfAEQAYQB0AGEAUwBjAG8AcgBlAHMAXwBTAGMAbwBwAGUAMwBcAG4ALQAtAC0ALQAtAC0ALQAtAC0ALQAtAC0ALQAtAC0ALQAtAC0ALQAtAC0ALQAtAC0ALQAtAC0ALQAtAC0ALQAtAC0ALQAtAC0ALQAtAFwAbgAqAC8AXABuAFwAbgBDAG8AbQBtAG8AbgBfAFMAbwB1AHIAYwBlAEQAYQB0AGEAXwBEAGEAdABhAFMAYwBvAHIAZQBzAF8AUwBjAG8AcABlADMAXwBUAGkAdABsAGUAXABuACAAIAA9AEwAQQBNAEIARABBACgAXAAiAEEAdQBzAHQAcgBhAGwAaQBhAG4AIABkAGEAdABhACAAcwBjAG8AcgBlAHMAIABmAG8AcgAgAHMAYwBvAHAAZQAgADMAXAAiACkAOwBcAG4AXABuAEMAbwBtAG0AbwBuAF8AUwBvAHUAcgBjAGUARABhAHQAYQBfAEQAYQB0AGEAUwBjAG8AcgBlAHMAXwBTAGMAbwBwAGUAMwBfAFYAYQByAGkAYQBiAGwAZQBcAG4AIAAgAD0ATABBAE0AQgBEAEEAKABcACIAXAAiACkAOwBcAG4AXABuAEMAbwBtAG0AbwBuAF8AUwBvAHUAcgBjAGUARABhAHQAYQBfAEQAYQB0AGEAUwBjAG8AcgBlAHMAXwBTAGMAbwBwAGUAMwBfAFUAbgBpAHQAXABuACAAIAA9AEwAQQBNAEIARABBACgAXAAiAFwAIgApADsAXABuAFwAbgBDAG8AbQBtAG8AbgBfAFMAbwB1AHIAYwBlAEQAYQB0AGEAXwBEAGEAdABhAFMAYwBvAHIAZQBzAF8AUwBjAG8AcABlADMAXwBTAG8AdQByAGMAZQBcAG4AIAAgAD0ATABBAE0AQgBEAEEAKABcACIAVgBFAEUAUgBHACAAMgAwADIANgA6ACAAWABYAFgAWABYAFgAWABYAFwAIgApADsAXABuAFwAbgBDAG8AbQBtAG8AbgBfAFMAbwB1AHIAYwBlAEQAYQB0AGEAXwBEAGEAdABhAFMAYwBvAHIAZQBzAF8AUwBjAG8AcABlADMAXwBWAGEAcgBpAGEAdABpAG8AbgBcAG4AIAAgAD0ATABBAE0AQgBEAEEAKABcACIAXAAiACkAOwBcAG4AXABuAEMAbwBtAG0AbwBuAF8AUwBvAHUAcgBjAGUARABhAHQAYQBfAEQAYQB0AGEAUwBjAG8AcgBlAHMAXwBTAGMAbwBwAGUAMwBfAEQAYQB0AGEAXABuACAAIAAgAD0ATABBAE0AQgBEAEEAKABcAG4AIAAgACAAIABNAEEASwBFAEEAUgBSAEEAWQAoADYALAAgADIALAAgAFwAbgAgACAAIAAgACAAIABMAEEATQBCAEQAQQAoAHIALABjACwAIABcAG4AIAAgACAAIAAgACAAIAAgAEkATgBEAEUAWAAoAHsAXABuACAAIAAgACAAIAAgACAAIAAgACAAXAAiAEQAYQB0AGEAIABzAG8AdQByAGMAZQBcACIALAAgAFwAIgBEAGEAdABhACAAcwBjAG8AcgBlAFwAIgA7AFwAbgAgACAAIAAgACAAIAAgACAAIAAgAFwAIgBJAG4AdABlAHIAbgBhAHQAaQBvAG4AYQBsACAAcwBjAG8AcABlACAAMwAgAGQAYQB0AGEAYgBhAHMAZQBcACIALAAgADEAOwBcAG4AIAAgACAAIAAgACAAIAAgACAAIABcACIAQQB1AHMAdAByAGEAbABpAGEAbgAgAHMAYwBvAHAAZQAgADMAIABkAGEAdABhAGIAYQBzAGUAXAAiACwAIAAyADsAXABuACAAIAAgACAAIAAgACAAIAAgACAAXAAiAFMAdABhAHQAZQAgAG8AcgAgAHIAZQBnAGkAbwBuAGEAbAAgAHMAYwBvAHAAZQAgADMAIABkAGEAdABhAGIAYQBzAGUAXAAiACwAIAAzADsAXABuACAAIAAgACAAIAAgACAAIAAgACAAXAAiAEUAbQBpAHMAcwBpAG8AbgBzACAAaQBuAHQAZQBuAHMAaQB0AHkAIABjAGEAbABjAHUAbABhAHQAZQBkACAAZgByAG8AbQAgAGEAcABwAHIAbwB2AGUAZAAgAG0AZQB0AGgAbwBkAFwAIgAsACAANAA7AFwAbgAgACAAIAAgACAAIAAgACAAIAAgAFwAIgBWAGUAcgBpAGYAaQBlAGQAIABjAHIAZQBkAGUAbgB0AGkAYQBsACAAbQBhAHQAYwBoAGkAbgBnACAASQBTAE8AMQA0ADAANgA3AFwAIgAsACAANQ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YAcgBhAGMATABFAEEAQwBI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EwARQBBAEMAS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MAEUAQQBDAEgAXwBVAG4AaQB0AFwAbgAgACAAPQBMAEEATQBCAEQAQQAoAFwAIgAoAEQAaQBtAGUAbgBzAGkAbwBuAGwAZQBzAHMAXAAiACkAOwBcAG4AXABuAEMAbwBtAG0AbwBuAF8AUwBvAHUAcgBjAGUARABhAHQAYQBfAEYAcgBhAGMATABFAEEAQwBIAF8AUwBvAHUAcgBjAGUAXABuACAAIAA9AEwAQQBNAEIARABBACgAXAAiAFYARQBFAFIARwAgADIAMAAyADYAOgA1AC4ANQAuADIALgAzACAAQwBvAG4AcwB0AGEAbgB0ACAAUABhAHIAYQBtAGUAdABlAHIAcwBcACIAKQA7AFwAbgBcAG4AQwBvAG0AbQBvAG4AXwBTAG8AdQByAGMAZQBEAGEAdABhAF8ARgByAGEAYwBMAEUAQQBDAEgAXwBOAEkAUgBSAGUAZgBlAHIAZQBuAGMAZQBcAG4AIAAgAD0ATABBAE0AQgBEAEEAKABcACIATgBhAHQAaQBvAG4AYQBsACAASQBuAHYAZQBuAHQAbwByAHkAIABSAGUAcABvAHIAdAAgAFYAbwBsAHUAbQBlACAAMQA6ACAATABlAGEAYwBoAGkAbgBnACAAYQBuAGQAIAByAHUAbgBvAGYAZgAgACgAMwAuAEQALgBiAC4AMgApAFwAIgApADsAXABuAFwAbgBDAG8AbQBtAG8AbgBfAFMAbwB1AHIAYwBlAEQAYQB0AGEAXwBGAHIAYQBjAEwARQBBAEMASABfAEQAYQB0AGEAXABuACAAIAA9AEwAQQBNAEIARABBACgAXABuACAAIAAgACAATQBBAEsARQBBAFIAUgBBAFkAKAAxACwAIAAyACwAIABcAG4AIAAgACAAIAAgACAATABBAE0AQgBEAEEAKAByACwAYwAsACAAXABuACAAIAAgACAAIAAgACAAIABJAE4ARABFAFgAKAB7AFwAbgAgACAAIAAgACAAIAAgACAAIAAgAFwAIgBGAHIAYQBjAEwARQBBAEMASABcACIALAAwAC4AMgA0AFwAbgAgACAAIAAgACAAIAAgACAAfQAsACAAcgAsACAAYwApAFwAbgAgACAAIAAgACAAIAApAFwAbgAgACAAIAAgACkAXABuACAAIAApADsAXABuAFwAbgAgACAAQwBvAG0AbQBvAG4AXwBTAG8AdQByAGMAZQBEAGEAdABhAF8ARgByAGEAYwBMAEUAQQBDAEgAXwBWAGEAcgBpAGEAdABpAG8AbgBcAG4AIAAgAD0ATABBAE0AQgBEAEEAKAAoAFwAIgBcACIAKQApADsAXABuAFwAbgBcAG4AXABuAC8AKgAgAFwAbgAtAC0ALQAtAC0ALQAtAC0ALQAtAC0ALQAtAC0ALQAtAC0ALQAtAC0ALQAtAC0ALQAtAC0ALQAtAC0ALQAtAC0ALQAtAC0ALQAtAC0AXABuAEMAbwBtAG0AbwBuAF8AUwBvAHUAcgBjAGUARABhAHQAYQBfAEUARgBsAGUAYQBjAGgAXABuADUALgA1AC4AMgAuADMAIABDAG8AbgBzAHQAYQBuAHQAIABQAGEAcgBhAG0AZQB0AGUAcgBzAFwAbgBFAG0AaQBzAHMAaQBvAG4AIABmAGEAYwB0AG8AcgAgAGYAbwByACAAbgBpAHQAcgBvAGcAZQBuACAAbABlAGEAYwBoAGkAbgBnACAAYQBuAGQAIAByAHUAbgBvAGYAZgBcAG4ALQAtAC0ALQAtAC0ALQAtAC0ALQAtAC0ALQAtAC0ALQAtAC0ALQAtAC0ALQAtAC0ALQAtAC0ALQAtAC0ALQAtAC0ALQAtAC0ALQAtAFwAbgAqAC8AXABuAFwAbgBDAG8AbQBtAG8AbgBfAFMAbwB1AHIAYwBlAEQAYQB0AGEAXwBFAEYAbABlAGEAYwBoAF8AVABpAHQAbABlAFwAbgAgACAAPQBMAEEATQBCAEQAQQAoAFwAIgBFAG0AaQBzAHMAaQBvAG4AIABmAGEAYwB0AG8AcgAgAGYAbwByACAAbgBpAHQAcgBvAGcAZQBuACAAbABlAGEAYwBoAGkAbgBnACAAYQBuAGQAIAByAHUAbgBvAGYAZgBcACIAKQA7AFwAbgBcAG4AQwBvAG0AbQBvAG4AXwBTAG8AdQByAGMAZQBEAGEAdABhAF8ARQBGAGwAZQBhAGMAaABfAFUAbgBpAHQAXABuACAAIAA9AEwAQQBNAEIARABBACgAXAAiACgAawBnACAATgAyAE8ALQBOACAALwAgAGsAZwAgAE4AXAAiACkAOwBcAG4AXABuAEMAbwBtAG0AbwBuAF8AUwBvAHUAcgBjAGUARABhAHQAYQBfAEUARgBsAGUAYQBjAGgAXwBTAG8AdQByAGMAZQBcAG4AIAAgAD0ATABBAE0AQgBEAEEAKABcACIAVgBFAEUAUgBHACAAMgAwADIANgA6ADUALgA1AC4AMgAuADMAIABDAG8AbgBzAHQAYQBuAHQAIABQAGEAcgBhAG0AZQB0AGUAcgBzAFwAIgApADsAXABuAFwAbgBDAG8AbQBtAG8AbgBfAFMAbwB1AHIAYwBlAEQAYQB0AGEAXwBFAEYAbABlAGEAYwBoAF8ATgBJAFIAUgBlAGYAZQByAGUAbgBjAGUAXABuACAAIAA9AEwAQQBNAEIARABBACgAXAAiAE4AYQB0AGkAbwBuAGEAbAAgAEkAbgB2AGUAbgB0AG8AcgB5ACAAUgBlAHAAbwByAHQAIABWAG8AbAB1AG0AZQAgADEAOgAgAEUAcQB1AGEAdABpAG8AbgAgADMALgBEAC4AQgBfADEAMABcACIAKQA7AFwAbgBcAG4AQwBvAG0AbQBvAG4AXwBTAG8AdQByAGMAZQBEAGEAdABhAF8ARQBGAGwAZQBhAGMAaABfAEQAYQB0AGEAXABuACAAIAA9AEwAQQBNAEIARABBACgAXABuACAAIAAgACAATQBBAEsARQBBAFIAUgBBAFkAKAAxACwAIAAyACwAIABcAG4AIAAgACAAIAAgACAATABBAE0AQgBEAEEAKAByACwAYwAsACAAXABuACAAIAAgACAAIAAgACAAIABJAE4ARABFAFgAKAB7AFwAbgAgACAAIAAgACAAIAAgACAAIAAgAFwAIgBFAEYAbABlAGEAYwBoAFwAIgAsADAALgAwADEAMQBcAG4AIAAgACAAIAAgACAAIAAgAH0ALAAgAHIALAAgAGMAKQBcAG4AIAAgACAAIAAgACAAKQBcAG4AIAAgACAAIAApAFwAbgAgACAAKQA7AFwAbgBcAG4AIAAgAEMAbwBtAG0AbwBuAF8AUwBvAHUAcgBjAGUARABhAHQAYQBfAEUARgBsAGUAYQBjAGgAXwBWAGEAcgBpAGEAdABpAG8AbgBcAG4AIAAgAD0ATABBAE0AQgBEAEEAKAAoAFwAIgBcACIAKQApADsAXABuAFwAbgBcAG4ALwAqACAAXABuAC0ALQAtAC0ALQAtAC0ALQAtAC0ALQAtAC0ALQAtAC0ALQAtAC0ALQAtAC0ALQAtAC0ALQAtAC0ALQAtAC0ALQAtAC0ALQAtAC0ALQBcAG4AQwBvAG0AbQBvAG4AXwBTAG8AdQByAGMAZQBEAGEAdABhAF8ARQBGAE4AMgBPAFwAbgBUAGEAYgBsAGUAIABBAC4AMgAuADIALgAxAFwAbgBOAGkAdAByAG8AdQBzACAAbwB4AGkAZABlACAAZQBtAGkAcwBzAGkAbwBuACAAZgBhAGMAdABvAHIAcwAgAGYAbwByACAAaQBuAG8AcgBnAGEAbgBpAGMAIABmAGUAcgB0AGkAbABpAHMAZQByACAAYQBwAHAAbABpAGMAYQB0AGkAbwBuACAAKABrAGcAIABOADIATwAtAE4ALwBrAGcAIABOACkAIAAoAEUARgBOADIATwApAFwAbgAtAC0ALQAtAC0ALQAtAC0ALQAtAC0ALQAtAC0ALQAtAC0ALQAtAC0ALQAtAC0ALQAtAC0ALQAtAC0ALQAtAC0ALQAtAC0ALQAtAC0AXABuACoALwBcAG4AXABuAEMAbwBtAG0AbwBuAF8AUwBvAHUAcgBjAGUARABhAHQAYQBfAEUARgBOADIATwBfAFQAaQB0AGwAZQBcAG4AIAAgAD0ATABBAE0AQgBEAEEAKABcACIATgBpAHQAcgBvAHUAcwAgAG8AeABpAGQAZQAgAGUAbQBpAHMAcwBpAG8AbgAgAGYAYQBjAHQAbwByAHMAIABmAG8AcgAgAGkAbgBvAHIAZwBhAG4AaQBjACAAZgBlAHIAdABpAGwAaQBzAGUAcgAgAGEAcABwAGwAaQBjAGEAdABpAG8AbgBcACIAKQA7AFwAbgBcAG4AQwBvAG0AbQBvAG4AXwBTAG8AdQByAGMAZQBEAGEAdABhAF8ARQBGAE4AMgBPAF8AVQBuAGkAdABcAG4AIAAgAD0ATABBAE0AQgBEAEEAKABcACIAKABrAGcAIABOADIATwAtAE4AIAAvACAAawBnACAATgBcACIAKQA7AFwAbgBcAG4AQwBvAG0AbQBvAG4AXwBTAG8AdQByAGMAZQBEAGEAdABhAF8ARQBGAE4AMgBPAF8AUwBvAHUAcgBjAGUAXABuACAAIAA9AEwAQQBNAEIARABBACgAXAAiAFYARQBFAFIARwAgADIAMAAyADYAOgAgAFQAYQBiAGwAZQAgAEEALgAyAC4AMgAuADEAXAAiACkAOwBcAG4AXABuAEMAbwBtAG0AbwBuAF8AUwBvAHUAcgBjAGUARABhAHQAYQBfAEUARgBOADIATwBfAE4ASQBSAFIAZQBmAGUAcgBlAG4AYwBlAFwAbgAgACAAPQBMAEEATQBCAEQAQQAoAFwAIgBcACIAKQA7AFwAbgBcAG4AQwBvAG0AbQBvAG4AXwBTAG8AdQByAGMAZQBEAGEAdABhAF8ARQBGAE4AMgBPAF8ARABhAHQAYQBcAG4AIAAgAD0ATABBAE0AQgBEAEEAKABcAG4AIAAgACAAIABNAEEASwBFAEEAUgBSAEEAWQAoADEANQAsACAANQAsACAAXABuACAAIAAgACAAIAAgAEwAQQBNAEIARABBACgAcgAsAGMALAAgAFwAbgAgACAAIAAgACAAIAAgACAASQBOAEQARQBYACgAewBcAG4AIAAgACAAIAAgACAAIAAgACAAIABcACIAUAByAG8AZAB1AGMAdABpAG8AbgAgAHMAeQBzAHQAZQBtACAAagBcACIALABcACIARQBGAE4AMgBPAFwAIgAsACAAXAAiAFAAcgBvAGQAdQBjAHQAaQBvAG4AIABzAHkAcwB0AGUAbQAgAG8AbgBsAHkAXAAiACwAIABcACIASQByAHIAaQBnAGEAdABpAG8AbgAgAG0AZQB0AGgAbwBkAFwAIgAsACAAXAAiAFIAYQBpAG4AZgBhAGwAbAAgAHoAbwBuAGUAXAAiADsAXABuACAAIAAgACAAIAAgACAAIAAgACAAXAAiAEkAcgByAGkAZwBhAHQAZQBkACAAcABhAHMAdAB1AHIAZQBcACIALAAwAC4AMAAwADUAOQAsACAAXAAiAFAAYQBzAHQAdQByAGUAXAAiACwAIABcACIAQQBuAHkAXAAiACwAIABcACIAQQBuAHkAXAAiADsAXABuACAAIAAgACAAIAAgACAAIAAgACAAXAAiAEkAcgByAGkAZwBhAHQAZQBkACAAYwByAG8AcABcACIALAAwAC4AMAAwADcALAAgAFwAIgBDAHIAbwBwAFwAIgAsACAAXAAiAEEAbgB5AFwAIgAsACAAXAAiAEEAbgB5AFwAIgA7AFwAbgAgACAAIAAgACAAIAAgACAAIAAgAFwAIgBOAG8AbgAtAGkAcgByAGkAZwBhAHQAZQBkACAAcABhAHMAdAB1AHIAZQBcACIALAAwAC4AMAAwADEAOAAsACAAXAAiAFAAYQBzAHQAdQByAGUAXAAiACwAIABcACIATgBvAHQAIABpAHIAcgBpAGcAYQB0AGUAZABcACIALAAgAFwAIgBMAG8AdwAgAHIAYQBpAG4AZgBhAGwAbABcACIAOwBcAG4AIAAgACAAIAAgACAAIAAgACAAIABcACIATgBvAG4ALQBpAHIAcgBpAGcAYQB0AGUAZAAgAHAAYQBzAHQAdQByAGUAXAAiACwAMAAuADAAMAAxADgALAAgAFwAIgBQAGEAcwB0AHUAcgBlAFwAIgAsACAAXAAiAE4AbwB0ACAAaQByAHIAaQBnAGEAdABlAGQAXAAiACwAIABcACIASABpAGcAaAAgAHIAYQBpAG4AZgBhAGwAbABcACIAOwBcAG4AIAAgACAAIAAgACAAIAAgACAAIABcACIATgBvAG4ALQBpAHIAcgBpAGcAYQB0AGUAZAAgAGMAcgBvAHAAIAAoAGwAbwB3ACAAcgBhAGkAbgBmAGEAbABsACkAXAAiACwAMAAuADAAMAAyADkALAAgAFwAIgBDAHIAbwBwAFwAIgAsACAAXAAiAE4AbwB0ACAAaQByAHIAaQBnAGEAdABlAGQAXAAiACwAIABcACIATABvAHcAIAByAGEAaQBuAGYAYQBsAGwAXAAiADsAXABuACAAIAAgACAAIAAgACAAIAAgACAAXAAiAE4AbwBuAC0AaQByAHIAaQBnAGEAdABlAGQAIABjAHIAbwBwACAAKABoAGkAZwBoACAAcgBhAGkAbgBmAGEAbABsACkAXAAiACwAMAAuADAAMAA4ACwAIABcACIAQwByAG8AcABcACIALAAgAFwAIgBOAG8AdAAgAGkAcgByAGkAZwBhAHQAZQBkAFwAIgAsACAAXAAiAEgAaQBnAGgAIAByAGEAaQBuAGYAYQBsAGwAXAAiADsAXABuACAAIAAgACAAIAAgACAAIAAgACAAXAAiAFMAdQBnAGEAcgBcACIALAAwAC4AMAAxADkAOQAsACAAXAAiAFMAdQBnAGEAcgBcACIALAAgAFwAIgBBAG4AeQBcACIALAAgAFwAIgBBAG4AeQBcACIAOwBcAG4AIAAgACAAIAAgACAAIAAgACAAIABcACIAQwBvAHQAdABvAG4AXAAiACwAMAAuADAAMAA1ADMALAAgAFwAIgBDAG8AdAB0AG8AbgBcACIALAAgAFwAIgBBAG4AeQBcACIALAAgAFwAIgBBAG4AeQBcACIAOwBcAG4AIAAgACAAIAAgACAAIAAgACAAIABcACIASABvAHIAdABpAGMAdQBsAHQAdQByAGEAbAAgAGMAcgBvAHAAcwBcACIALAAwAC4AMAAwADYANAAsACAAXAAiAEgAbwByAHQAaQBjAHUAbAB0AHUAcgBhAGwAIABjAHIAbwBwAHMAXAAiACwAIABcACIAQQBuAHkAXAAiACwAIABcACIAQQBuAHkAXAAiADsAXABuACAAIAAgACAAIAAgACAAIAAgACAAXAAiAFIAaQBjAGUAIAAoAGMAbwBuAHQAaQBuAHUAbwB1AHMAIABmAGwAbwBvAGQAaQBuAGcAKQBcACIALAAwAC4AMAAwADMALAAgAFwAIgBSAGkAYwBlAFwAIgAsACAAXAAiAEMAbwBuAHQAaQBuAHUAbwB1AHMAIABmAGwAbwBvAGQAaQBuAGcAXAAiACwAIABcACIAQQBuAHkAXAAiADsAXABuACAAIAAgACAAIAAgACAAIAAgACAAXAAiAFIAaQBjAGUAIAAoAHMAaQBuAGcAbABlACAAYQBuAGQAIABtAHUAbAB0AGkAcABsAGUAIABkAHIAYQBpAG4AYQBnAGUALAAgAG8AcgAgAGEAbAB0AGUAcgBuAGEAdABlACAAdwBlAHQAdABpAG4AZwAgAGEAbgBkACAAZAByAHkAaQBuAGcAKQBcACIALAAwAC4AMAAwADUALAAgAFwAIgBSAGkAYwBlAFwAIgAsACAAXAAiAFMAaQBuAGcAbABlACAAYQBuAGQAIABtAHUAbAB0AGkAcABsAGUAIABkAHIAYQBpAG4AYQBnAGUALAAgAG8AcgAgAGEAbAB0AGUAcgBuAGEAdABlACAAdwBlAHQAdABpAG4AZwAgAGEAbgBkACAAZAByAHkAaQBuAGcAXAAiACwAIABcACIAQQBuAHkAXAAiADsAXABuACAAIAAgACAAIAAgACAAIAAgACAAXAAiAEEAcQB1AGEAYwB1AGwAdAB1AHIAZQBcACIALAAwAC4AMAAwADIANgAsACAAXAAiAEEAcQB1AGEAYwB1AGwAdAB1AHIAZQBcACIALAAgAFwAIgBBAG4AeQBcACIALAAgAFwAIgBBAG4AeQBcACIAOwBcAG4AIAAgACAAIAAgACAAIAAgACAAIABcACIARgBvAHIAZQBzAHQAcgB5AFwAIgAsADAALgAwADAAMQA4ACwAIABcACIARgBvAHIAZQBzAHQAcgB5AFwAIgAsACAAXAAiAEEAbgB5AFwAIgAsACAAXAAiAEEAbgB5AFwAIgBcAG4AIAAgACAAIAAgACAAIAAgAH0ALAAgAHIALAAgAGMAKQBcAG4AIAAgACAAIAAgACAAKQBcAG4AIAAgACAAIAApAFwAbgAgACAAKQA7AFwAbgBcAG4AIAAgAEMAbwBtAG0AbwBuAF8AUwBvAHUAcgBjAGUARABhAHQAYQBfAEUARgBOADIATw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UgBlAG0AbwB2AGUAZAAgAGQAdQBwAGwAaQBjAGEAdABlACAAXAB1ADAAMAAyADcAQQBxAHUAYQBjAHUAbAB0AHUAcgBlAFwAdQAwADAAMgA3ACAAcgBvAHcALgBcACIAOwBcAG4AIAAgACAAIAAgACAAIAAgACAAIABcACIAUgBlAG0AbwB2AGUAZAAgAGEAcwB0AGUAcgBpAHMAawBzACAAdABvACAAYQBpAGQAIABsAG8AbwBrAHUAcAAuAFwAIgA7AFwAbgAgACAAIAAgACAAIAAgACAAIAAgAFwAIgBBAGQAZABlAGQAIABcAHUAMAAwADIANwBwAHIAbwBkAHUAYwB0AGkAbwBuACAAcwB5AHMAdABlAG0AIABvAG4AbAB5AFwAdQAwADAAMgA3ACwAIABcAHUAMAAwADIANwByAGEAaQBuAGYAYQBsAGwAIAB6AG8AbgBlAFwAdQAwADAAMgA3ACAAYQBuAGQAIABcAHUAMAAwADIANwBpAHIAcgBpAGcAYQB0AGkAbwBuACAAbQBlAHQAaABvAGQAXAB1ADAAMAAyADcAIABjAG8AbAB1AG0AbgBzACAAdABvACAAYQBpAGQAIABsAG8AbwBrAHUAcAAuAFwAIgA7AFwAbgAgACAAIAAgACAAIAAgACAAIAAgAFwAIgBEAHUAcABsAGkAYwBhAHQAZQBkACAAXAB1ADAAMAAyADcAbgBvAG4ALQBpAHIAcgBpAGcAYQB0AGUAZAAgAHAAYQBzAHQAdQByAGUAXAB1ADAAMAAyADcAIAByAG8AdwAgAHcAaQB0AGgAIABzAGEAbQBlACAARQBGACAAZgBvAHIAIABsAG8AdwAgAGEAbgBkACAAaABpAGcAaAAgAHIAYQBpAG4AZgBhAGwAbAAgAHoAbwBuAGUAcwAgAHQAbwAgAGEAaQBkACAAbABvAG8AawB1AHAALg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YAcgBhAGMAVwBFAFQASQByAHIAaQBnAGEAdABpAG8AbgBcAG4AVgBFAEUAUgBHACAAMgAwADIANgA6ACAAQwBoAGEAcAB0AGUAcgAgADEALAAgAHMAZQBjAHQAaQBvAG4AIAAxAC4AOAAuADIAIABMAGUAYQBjAGgAaQBuAGcALAAgAGMAbABpAG0AYQB0AGUAIABhAG4AZAAgAHIAYQBpAG4AZgBhAGwAbAAgAHoAbwBuAGUAcwBcAG4ASQBQAEMAQwA6ACAATgAyAE8AIABFAE0ASQBTAFMASQBPAE4AUwAgAEYAUgBPAE0AIABNAEEATgBBAEcARQBEACAAUwBPAEkATABTACwAIABBAE4ARAAgAEMATwAyACAARQBNAEkAUwBTAEkATwBOAFMAIABGAFIATwBNACAATABJAE0ARQAgAEEATgBEACAAVQBSAEUAQQAgAEEAUABQAEwASQBDAEEAVABJAE8ATgBcAG4ALQAtAC0ALQAtAC0ALQAtAC0ALQAtAC0ALQAtAC0ALQAtAC0ALQAtAC0ALQAtAC0ALQAtAC0ALQAtAC0ALQAtAC0ALQAtAC0ALQAtAFwAbgAqAC8AXABuAFwAbgBDAG8AbQBtAG8AbgBfAFMAbwB1AHIAYwBlAEQAYQB0AGEAXwBGAHIAYQBjAFcARQBUAEkAcgByAGkAZwBhAHQAaQBvAG4AXwBUAGkAdABsAGUAXABuACAAIAA9AEwAQQBNAEIARABBACgAXAAiAEYAcgBhAGMAVwBFAFQAIABmAG8AcgAgAGkAcgByAGkAZwBhAHQAaQBvAG4AIAB0AHkAcABlAHMAXAAiACkAOwBcAG4AXABuAEMAbwBtAG0AbwBuAF8AUwBvAHUAcgBjAGUARABhAHQAYQBfAEYAcgBhAGMAVwBFAFQASQByAHIAaQBnAGEAdABpAG8AbgBfAFUAbgBpAHQAXABuACAAIAA9AEwAQQBNAEIARABBACgAXAAiAGQAaQBtAGUAbgBzAGkAbwBuAGwAZQBzAHMAXAAiACkAOwBcAG4AXABuAEMAbwBtAG0AbwBuAF8AUwBvAHUAcgBjAGUARABhAHQAYQBfAEYAcgBhAGMAVwBFAFQASQByAHIAaQBnAGEAdABpAG8AbgBfAFMAbwB1AHIAYwBlAFwAbgAgACAAPQBMAEEATQBCAEQAQQAoAFwAIgBWAEUARQBSAEcAIAAyADAAMgA2ADoAIABDAGgAYQBwAHQAZQByACAAMQAsACAAcwBlAGMAdABpAG8AbgAgADEALgA4AC4AMgAgAEwAZQBhAGMAaABpAG4AZwAsACAAYwBsAGkAbQBhAHQAZQAgAGEAbgBkACAAcgBhAGkAbgBmAGEAbABsACAAegBvAG4AZQBzAFwAIgApADsAXABuAFwAbgBDAG8AbQBtAG8AbgBfAFMAbwB1AHIAYwBlAEQAYQB0AGEAXwBGAHIAYQBjAFcARQBUAEkAcgByAGkAZwBhAHQAaQBvAG4AXwBOAEkAUgBSAGUAZgBlAHIAZQBuAGMAZQBcAG4AIAAgAD0ATABBAE0AQgBEAEEAKABcACIASQBQAEMAQwAgADIAMAAxADkAIABSAGUAZgBpAG4AZQBtAGUAbgB0ACAAVgBvAGwAdQBtAGUAIAA0ADoAIABDAGgAYQBwAHQAZQByACAAMQAxADoAIABOADIATwAgAEUAbQBpAHMAcwBpAG8AbgBzACAAZgByAG8AbQAgAE0AYQBuAGEAZwBlAGQAIABTAG8AaQBsAHMALAAgAGEAbgBkACAAQwBPADIAIABFAG0AaQBzAHMAaQBvAG4AcwAgAGYAcgBvAG0AIABMAGkAbQBlACAAYQBuAGQAIABVAHIAZQBhACAAQQBwAHAAbABpAGMAYQB0AGkAbwBuAFwAIgApADsAXABuAFwAbgBDAG8AbQBtAG8AbgBfAFMAbwB1AHIAYwBlAEQAYQB0AGEAXwBGAHIAYQBjAFcARQBUAEkAcgByAGkAZwBhAHQAaQBvAG4AXwBEAGEAdABhAFwAbgAgACAAPQBMAEEATQBCAEQAQQAoAFwAbgAgACAAIAAgAE0AQQBLAEUAQQBSAFIAQQBZACgANgAsACAAMgAsACAAXABuACAAIAAgACAAIAAgAEwAQQBNAEIARABBACgAcgAsAGMALAAgAFwAbgAgACAAIAAgACAAIAAgACAASQBOAEQARQBYACgAewBcAG4AIAAgACAAIAAgACAAIAAgACAAIABcACIASQByAHIAaQBnAGEAdABpAG8AbgAgAHQAeQBwAGUAIABpAHIAXAAiACwAXAAiAEYAcgBhAGMAVwBFAFQAXAAiADsAXABuACAAIAAgACAAIAAgACAAIAAgACAAXAAiAE4AbwB0ACAAaQByAHIAaQBnAGEAdABlAGQAXAAiACwAIAAwADsAXABuACAAIAAgACAAIAAgACAAIAAgACAAXAAiAEQAcgBpAHAAIABpAHIAcgBpAGcAYQB0AGkAbwBuAFwAIgAsACAAMAA7AFwAbgAgACAAIAAgACAAIAAgACAAIAAgAFwAIgBTAHAAcgBpAG4AawBsAGUAcgAgAGkAcgByAGkAZwBhAHQAaQBvAG4AXAAiACwAIAAxADsAXABuACAAIAAgACAAIAAgACAAIAAgACAAXAAiAFMAdQByAGYAYQBjAGUAIABpAHIAcgBpAGcAYQB0AGkAbwBuAFwAIgAsACAAMQA7AFwAbgAgACAAIAAgACAAIAAgACAAIAAgAFwAIgBPAHQAaABlAHIAIABpAHIAcgBpAGcAYQB0AGkAbwBuAFwAIgAsACAAMQBcAG4AIAAgACAAIAAgACAAIAAgAH0ALAAgAHIALAAgAGMAKQBcAG4AIAAgACAAIAAgACAAKQBcAG4AIAAgACAAIAApAFwAbgAgACAAKQA7AFwAbgBcAG4AIAAgAEMAbwBtAG0AbwBuAF8AUwBvAHUAcgBjAGUARABhAHQAYQBfAEYAcgBhAGMAVwBFAFQASQByAHIAaQBnAGEAdABpAG8AbgBfAFYAYQByAGkAYQB0AGkAbwBuAFwAbgAgACAAPQBMAEEATQBCAEQAQQAoAFwAIgBWAEEAUgBJAEEAVABJAE8ATgAgAEYAUgBPAE0AIABTAE8AVQBSAEMARQAgAEQAQQBUAEEAOgAgAFQAYQBiAGwAZQAgAGMAcgBlAGEAdABlAGQAIABiAGEAcwBlAGQAIABvAG4AIABWAEUARQBSAEcAIAB0AGUAeAB0ACAAXAB1ADAAMAAyADcAQQByAGUAYQBzACAAYQByAGUAIABzAHUAYgBqAGUAYwB0ACAAdABvACAAbABlAGEAYwBoAGkAbgBnACAAKABpAC4AZQAuACwAIABpAG4AIAB0AGgAZQAgAGwAZQBhAGMAaABpAG4AZwAgAHoAbwBuAGUAKQAgAHcAaABlAG4ALgAuAC4AIAB0AGgAZQAgAGwAYQBuAGQAIABpAHMAIABpAHIAcgBpAGcAYQB0AGUAZAAgACgAZQB4AGMAZQBwAHQAIABkAHIAaQBwACAAaQByAHIAaQBnAGEAdABpAG8AbgApAC4AXAB1ADAAMAAyADcAXAAiACkAOwBcAG4AXABuAFwAbgAvACoAIABcAG4ALQAtAC0ALQAtAC0ALQAtAC0ALQAtAC0ALQAtAC0ALQAtAC0ALQAtAC0ALQAtAC0ALQAtAC0ALQAtAC0ALQAtAC0ALQAtAC0ALQAtAFwAbgBDAG8AbQBtAG8AbgBfAFMAbwB1AHIAYwBlAEQAYQB0AGEAXwBFAEYAUABhAHMAdAB1AHIAZQBSAGEAbgBnAGUAQQBuAGQAUABhAGQAZABvAGMAawBcAG4AVABhAGIAbABlACAAQQAuADIALgAyAC4AMgA6ACAARQBtAGkAcwBzAGkAbwBuACAAZgBhAGMAdABvAHIAIABmAG8AcgAgAHUAcgBpAG4AZQAgAGEAbgBkACAAZAB1AG4AZwAgAGQAZQBwAG8AcwBpAHQAZQBkACAAbwBuACAAcABhAHMAdAB1AHIAZQAsACAAcgBhAG4AZwBlACAAbwByACAAcABhAGQAZABvAGMAawAgACgAawBnACAATgAyAE8ALQBOAC8AawBnACAATgApACAAKABFAEYAUABSAFAAKQBcAG4ALQAtAC0ALQAtAC0ALQAtAC0ALQAtAC0ALQAtAC0ALQAtAC0ALQAtAC0ALQAtAC0ALQAtAC0ALQAtAC0ALQAtAC0ALQAtAC0ALQAtAFwAbgAqAC8AXABuAFwAbgBDAG8AbQBtAG8AbgBfAFMAbwB1AHIAYwBlAEQAYQB0AGEAXwBFAEYAUABhAHMAdAB1AHIAZQBSAGEAbgBnAGUAQQBuAGQAUABhAGQAZABvAGMAawBfAFQAaQB0AGwAZQBcAG4AIAAgAD0ATABBAE0AQgBEAEEAKABcACIARQBtAGkAcwBzAGkAbwBuACAAZgBhAGMAdABvAHIAIABmAG8AcgAgAHUAcgBpAG4AZQAgAGEAbgBkACAAZAB1AG4AZwAgAGQAZQBwAG8AcwBpAHQAZQBkACAAbwBuACAAcABhAHMAdAB1AHIAZQAsACAAcgBhAG4AZwBlACAAbwByACAAcABhAGQAZABvAGMAawBcACIAKQA7AFwAbgBcAG4AQwBvAG0AbQBvAG4AXwBTAG8AdQByAGMAZQBEAGEAdABhAF8ARQBGAFAAYQBzAHQAdQByAGUAUgBhAG4AZwBlAEEAbgBkAFAAYQBkAGQAbwBjAGsAXwBVAG4AaQB0AFwAbgAgACAAPQBMAEEATQBCAEQAQQAoAFwAIgBrAGcAIABOADIATwAgAC0AIABOACAALwAgAGsAZwAgAE4AXAAiACkAOwBcAG4AXABuAEMAbwBtAG0AbwBuAF8AUwBvAHUAcgBjAGUARABhAHQAYQBfAEUARgBQAGEAcwB0AHUAcgBlAFIAYQBuAGcAZQBBAG4AZABQAGEAZABkAG8AYwBrAF8AUwBvAHUAcgBjAGUAXABuACAAIAA9AEwAQQBNAEIARABBACgAXAAiAFYARQBFAFIARwAgADIAMAAyADYAOgAgAFQAYQBiAGwAZQAgAEEALgAyAC4AMgAuADIAXAAiACkAOwBcAG4AXABuAEMAbwBtAG0AbwBuAF8AUwBvAHUAcgBjAGUARABhAHQAYQBfAEUARgBQAGEAcwB0AHUAcgBlAFIAYQBuAGcAZQBBAG4AZABQAGEAZABkAG8AYwBrAF8ATgBJAFIAUgBlAGYAZQByAGUAbgBjAGUAXABuACAAIAA9AEwAQQBNAEIARABBACgAXAAiAFwAIgApADsAXABuAFwAbgBDAG8AbQBtAG8AbgBfAFMAbwB1AHIAYwBlAEQAYQB0AGEAXwBFAEYAUABhAHMAdAB1AHIAZQBSAGEAbgBnAGUAQQBuAGQAUABhAGQAZABvAGMAa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UABSAFAAXAAiADsAXABuACAAIAAgACAAIAAgACAAIAAgACAAXAAiAFcAZQB0ACAAYwBsAGkAbQBhAHQAZQAgAHoAbwBuAGUAXAAiACwAIAAwAC4AMAAwADYAOwBcAG4AIAAgACAAIAAgACAAIAAgACAAIABcACIARAByAHkAIABjAGwAaQBtAGEAdABlACAAegBvAG4AZQBcACIALAAgADAALgAwADAAMgBcAG4AIAAgACAAIAAgACAAIAAgAH0ALAAgAHIALAAgAGMAKQBcAG4AIAAgACAAIAAgACAAKQBcAG4AIAAgACAAIAApAFwAbgAgACAAKQA7AFwAbgBcAG4AIAAgAEMAbwBtAG0AbwBuAF8AUwBvAHUAcgBjAGUARABhAHQAYQBfAEUARgBQAGEAcwB0AHUAcgBlAFIAYQBuAGcAZQBBAG4AZABQAGEAZABkAG8AYwBrAF8AVgBhAHIAaQBhAHQAaQBvAG4AXABuACAAIAA9AEwAQQBNAEIARABBACgAXAAiAFYAQQBSAEkAQQBUAEkATwBOACAARgBSAE8ATQAgAFMATwBVAFIAQwBFACAARABBAFQAQQA6ACAAQwBoAGEAbgBnAGUAZAAgAFwAdQAwADAAMgA3AEQAcgB5ACAAYwBsAGkAbQBhAHQAZQAgAHoAbwBuAGUAcwBcAHUAMAAwADIANwAgAHQAbwAgAHMAaQBuAGcAdQBsAGEAcgAgAFwAdQAwADAAMgA3AEQAcgB5ACAAYwBsAGkAbQBhAHQAZQAgAHoAbwBuAGUAXAB1ADAAMAAyADcAIAB0AG8AIABhAGkAZAAgAGwAbwBvAGsAdQBwAC4AXAAiACkAOwBcAG4AXABuAFwAbgAvACoAIABcAG4ALQAtAC0ALQAtAC0ALQAtAC0ALQAtAC0ALQAtAC0ALQAtAC0ALQAtAC0ALQAtAC0ALQAtAC0ALQAtAC0ALQAtAC0ALQAtAC0ALQAtAFwAbgBDAG8AbQBtAG8AbgBfAFMAbwB1AHIAYwBlAEQAYQB0AGEAXwBNAG8AbgB0AGgAcwBUAG8AUwBlAGEAcwBvAG4AcwBcAG4ALQAtAC0ALQAtAC0ALQAtAC0ALQAtAC0ALQAtAC0ALQAtAC0ALQAtAC0ALQAtAC0ALQAtAC0ALQAtAC0ALQAtAC0ALQAtAC0ALQAtAFwAbgAqAC8AXABuAFwAbgBDAG8AbQBtAG8AbgBfAFMAbwB1AHIAYwBlAEQAYQB0AGEAXwBNAG8AbgB0AGgAcwBUAG8AUwBlAGEAcwBvAG4AcwBfAFQAaQB0AGwAZQBcAG4AIAAgAD0ATABBAE0AQgBEAEEAKABcACIATQBvAG4AdABoAHMAIAB0AG8AIABTAGUAYQBzAG8AbgBzACAATQBhAHAAcABpAG4AZwBcACIAKQA7AFwAbgBcAG4AQwBvAG0AbQBvAG4AXwBTAG8AdQByAGMAZQBEAGEAdABhAF8ATQBvAG4AdABoAHMAVABvAFMAZQBhAHMAbwBuAHMAXwBVAG4AaQB0AFwAbgAgACAAPQBMAEEATQBCAEQAQQAoAFwAIgBcACIAKQA7AFwAbgBcAG4AQwBvAG0AbQBvAG4AXwBTAG8AdQByAGMAZQBEAGEAdABhAF8ATQBvAG4AdABoAHMAVABvAFMAZQBhAHMAbwBuAHMAXwBTAG8AdQByAGMAZQBcAG4AIAAgAD0ATABBAE0AQgBEAEEAKABcACIAXAAiACkAOwBcAG4AXABuAEMAbwBtAG0AbwBuAF8AUwBvAHUAcgBjAGUARABhAHQAYQBfAE0AbwBuAHQAaABzAFQAbwBTAGUAYQBzAG8AbgBzAF8ATgBJAFIAUgBlAGYAZQByAGUAbgBjAGUAXABuACAAIAA9AEwAQQBNAEIARABBACgAXAAiAFwAIgApADsAXABuAFwAbgBDAG8AbQBtAG8AbgBfAFMAbwB1AHIAYwBlAEQAYQB0AGEAXwBNAG8AbgB0AGgAcwBUAG8AUwBlAGEAcwBvAG4AcwBfAEQAYQB0AGEAXABuACAAIAA9AEwAQQBNAEIARABBACgAXABuACAAIAAgACAATQBBAEsARQBBAFIAUgBBAFkAKAAxADMALAAgADIALAAgAFwAbgAgACAAIAAgACAAIABMAEEATQBCAEQAQQAoAHIALABjACwAIABcAG4AIAAgACAAIAAgACAAIAAgAEkATgBEAEUAWAAoAHsAXABuACAAIAAgACAAIAAgACAAIAAgACAAXAAiAE0AbwBuAHQAaABcACIALAAgAFwAIgBTAGUAYQBzAG8AbgBcACIAOwBcAG4AIAAgACAAIAAgACAAIAAgACAAIABcACIASgBhAG4AdQBhAHIAeQBcACIALAAgAFwAIgBTAHUAbQBtAGUAcgBcACIAOwBcAG4AIAAgACAAIAAgACAAIAAgACAAIABcACIARgBlAGIAcgB1AGEAcgB5AFwAIgAsACAAXAAiAFMAdQBtAG0AZQByAFwAIgA7AFwAbgAgACAAIAAgACAAIAAgACAAIAAgAFwAIgBNAGEAcgBjAGgAXAAiACwAIABcACIAQQB1AHQAdQBtAG4AXAAiADsAXABuACAAIAAgACAAIAAgACAAIAAgACAAXAAiAEEAcAByAGkAbABcACIALAAgAFwAIgBBAHUAdAB1AG0AbgBcACIAOwBcAG4AIAAgACAAIAAgACAAIAAgACAAIABcACIATQBhAHkAXAAiACwAIABcACIAQQB1AHQAdQBtAG4AXAAiADsAXABuACAAIAAgACAAIAAgACAAIAAgACAAXAAiAEoAdQBuAGUAXAAiACwAIABcACIAVwBpAG4AdABlAHIAXAAiADsAXABuACAAIAAgACAAIAAgACAAIAAgACAAXAAiAEoAdQBsAHkAXAAiACwAIABcACIAVwBpAG4AdABlAHIAXAAiADsAXABuACAAIAAgACAAIAAgACAAIAAgACAAXAAiAEEAdQBnAHUAcwB0AFwAIgAsACAAXAAiAFcAaQBuAHQAZQByAFwAIgA7AFwAbgAgACAAIAAgACAAIAAgACAAIAAgAFwAIgBTAGUAcAB0AGUAbQBiAGUAcgBcACIALAAgAFwAIgBTAHAAcgBpAG4AZwBcACIAOwBcAG4AIAAgACAAIAAgACAAIAAgACAAIABcACIATwBjAHQAbwBiAGUAcgBcACIALAAgAFwAIgBTAHAAcgBpAG4AZwBcACIAOwBcAG4AIAAgACAAIAAgACAAIAAgACAAIABcACIATgBvAHYAZQBtAGIAZQByAFwAIgAsACAAXAAiAFMAcAByAGkAbgBnAFwAIgA7AFwAbgAgACAAIAAgACAAIAAgACAAIAAgAFwAIgBEAGUAYwBlAG0AYgBlAHIAXAAiACwAIABcACIAUwB1AG0AbQBlAHIAXAAiAFwAbgAgACAAIAAgACAAIAAgACAAfQAsACAAcgAsACAAYwApAFwAbgAgACAAIAAgACAAIAApAFwAbgAgACAAIAAgACkAXABuACAAIAApADsAXABuAFwAbgAgACAAQwBvAG0AbQBvAG4AXwBTAG8AdQByAGMAZQBEAGEAdABhAF8ATQBvAG4AdABoAHMAVABvAFMAZQBhAHMAbwBuAHMAXwBWAGEAcgBpAGEAdABpAG8AbgBcAG4AIAAgAD0ATABBAE0AQgBEAEEAKABcACIAXAAiACkAOwBcAG4AXABuAFwAbgBcAG4ALwAqACAAXABuAC0ALQAtAC0ALQAtAC0ALQAtAC0ALQAtAC0ALQAtAC0ALQAtAC0ALQAtAC0ALQAtAC0ALQAtAC0ALQAtAC0ALQAtAC0ALQAtAC0ALQBcAG4AQwBvAG0AbQBvAG4AXwBTAG8AdQByAGMAZQBEAGEAdABhAF8ATQBDAEYAVABlAG0AcABlAHIAYQB0AHUAcgBlAFoAbwBuAGUAXABuAC0ALQAtAC0ALQAtAC0ALQAtAC0ALQAtAC0ALQAtAC0ALQAtAC0ALQAtAC0ALQAtAC0ALQAtAC0ALQAtAC0ALQAtAC0ALQAtAC0ALQBcAG4AKgAvAFwAbgBcAG4AQwBvAG0AbQBvAG4AXwBTAG8AdQByAGMAZQBEAGEAdABhAF8ATQBDAEYAVABlAG0AcABlAHIAYQB0AHUAcgBlAFoAbwBuAGUAXwBUAGkAdABsAGUAXABuACAAIAA9AEwAQQBNAEIARABBACgAXAAiAE0AYQBuAHUAcgBlACAATQBhAG4AYQBnAGUAbQBlAG4AdAAgABMgIABNAGUAdABoAGEAbgBlACAAYwBvAG4AdgBlAHIAcwBpAG8AbgAgAGYAYQBjAHQAbwByACAAcABlAHIAIAB0AGUAbQBwAGUAcgBhAHQAdQByAGUAIAB6AG8AbgBlACAAKABmAHIAYQBjAHQAaQBvAG4AKQAgACgATQBDAEYAaQBtACkAXAAiACkAOwBcAG4AXABuAEMAbwBtAG0AbwBuAF8AUwBvAHUAcgBjAGUARABhAHQAYQBfAE0AQwBGAFQAZQBtAHAAZQByAGEAdAB1AHIAZQBaAG8AbgBlAF8AVQBuAGkAdABcAG4AIAAgAD0ATABBAE0AQgBEAEEAKABcACIAZgByAGEAYwB0AGkAbwBuAFwAIgApADsAXABuAFwAbgBDAG8AbQBtAG8AbgBfAFMAbwB1AHIAYwBlAEQAYQB0AGEAXwBNAEMARgBUAGUAbQBwAGUAcgBhAHQAdQByAGUAWgBvAG4AZQBfAFMAbwB1AHIAYwBlAFwAbgAgACAAPQBMAEEATQBCAEQAQQAoAFwAIgBWAEUARQBSAEcAIAAyADAAMgA2ADoAIABUAGEAYgBsAGUAIABBAC4AMQAuADgALgAxAFwAIgApADsAXABuAFwAbgBDAG8AbQBtAG8AbgBfAFMAbwB1AHIAYwBlAEQAYQB0AGEAXwBNAEMARgBUAGUAbQBwAGUAcgBhAHQAdQByAGUAWgBvAG4AZQBfAEQAYQB0AGEAXABuACAAIAA9AEwAQQBNAEIARABBACgAXABuACAAIAAgACAATQBBAEsARQBBAFIAUgBBAFkAKAAyADIALAAgADEANgAsACAAXABuACAAIAAgACAAIAAgAEwAQQBNAEIARABBACgAcgAsAGMALAAgAFwAbgAgACAAIAAgACAAIAAgACAASQBOAEQARQBYACgAewBcAG4AIAAgACAAIAAgACAAIAAgACAAIABcACIAVABlAG0AcABlAHIAYQB0AHUAcgBlACAAegBvAG4AZQBcACIALAAgAFwAIgBNAEEAVAAgACgAugBDACkAXAAiACwAIABcACIAVQBuAGMAbwB2AGUAcgBlAGQAIABhAG4AZQByAG8AYgBpAGMAIABsAGEAZwBvAG8AbgBcACIALAAgAFwAIgBDAG8AdgBlAHIAZQBkACAAbABhAGcAbwBvAG4AXAAiACwAIABcACIATABpAHEAdQBpAGQAIABTAGwAdQByAHIAeQAgACgAdwBpAHQAaABvAHUAdAAgAG4AYQB0AHUAcgBhAGwAIABjAHIAdQBzAHQAKQBcACIALAAgAFwAIgBEAGEAaQBsAHkAIABzAHAAcgBlAGEAZAAgACgAYgApAFwAIgAsACAAXAAiAEMAbwBtAHAAbwBzAHQAaQBuAGcAIAAoAHAAYQBzAHMAaQB2AGUAIAB3AGkAbgBkAHIAbwB3ACkAXAAiACwAIABcACIAUwBvAGwAaQBkACAAUwB0AG8AcgBhAGcAZQBcACIALAAgAFwAIgBQAGkAdAAgAFMAdABvAHIAYQBnAGUAIABcAHUAMAAwADMAYwAxACAAbQBvAG4AdABoAFwAIgAsACAAXAAiAEQAZQBlAHAAIABMAGkAdAB0AGUAcgBcACIALAAgAFwAIgBQAG8AdQBsAHQAcgB5ACAATQBhAG4AdQByAGUAIAAoAHcAaQB0AGgALwB3AGkAdABoAG8AdQB0ACAAbABpAHQAdABlAHIAKQBcACIALAAgAFwAIgBcACIALAAgAFwAIgBEAGkAcgBlAGMAdAAgAHAAcgBvAGMAZQBzAHMAaQBuAGcAIABpAG4AdABvACAAcABlAGwAbABlAHQAaQB6AGUAZAAgAGYAZQByAHQAaQBsAGkAcwBlAHIAXAAiACwAIABcACIARABpAHIAZQBjAHQAIABhAHAAcABsAGkAYwBhAHQAaQBvAG4AIAB0AG8AIABzAG8AaQBsAFwAIgAsACAAXAAiAFAAYQBzAHQAdQByAGUALAAgAFIAYQBuAGcAZQAgAGEAbgBkACAAUABhAGQAZABvAGMAawAgACgAYwApACgAZAApAFwAIgAsACAAXAAiAE0AQQBUACAAcgBhAHcAXAAiADsAXABuACAAIAAgACAAIAAgACAAIAAgACAAXAAiAEMAbwBvAGwAXAAiACwAIABcACIAZCIxADAAXAAiACwAIAAwAC4ANgA2ACwAIAAwAC4AMQAsACAAMAAuADEALAAgADAALgAwADAAMQAsACAAMAAuADAAMAA1ACwAIAAwAC4AMAAyACwAIAAwAC4AMAAzACwAIAAwAC4AMAA0ACwAIAAwAC4AMAAxADUALAAgADAALgAwADEANQAsACAAMAAsACAAMAAsACAAMAAuADAAMAA0ADcALAAgADEAMAA7AFwAbgAgACAAIAAgACAAIAAgACAAIAAgAFwAIgBDAG8AbwBsAFwAIgAsACAAMQAxACwAIAAwAC4ANgA4ACwAIAAwAC4AMQAsACAAMAAuADEAMQAsACAAMAAuADAAMAAxACwAIAAwAC4AMAAwADUALAAgADAALgAwADIALAAgADAALgAwADMALAAgADAALgAwADQALAAgADAALgAwADEANQAsACAAMAAuADAAMQA1ACwAIAAwACwAIAAwACwAIAAwAC4AMAAwADQANwAsACAAMQAxADsAXABuACAAIAAgACAAIAAgACAAIAAgACAAXAAiAEMAbwBvAGwAXAAiACwAIAAxADIALAAgADAALgA3ACwAIAAwAC4AMQAsACAAMAAuADEAMwAsACAAMAAuADAAMAAxACwAIAAwAC4AMAAwADUALAAgADAALgAwADIALAAgADAALgAwADMALAAgADAALgAwADQALAAgADAALgAwADEANQAsACAAMAAuADAAMQA1ACwAIAAwACwAIAAwACwAIAAwAC4AMAAwADQANwAsACAAMQAyADsAXABuACAAIAAgACAAIAAgACAAIAAgACAAXAAiAEMAbwBvAGwAXAAiACwAIAAxADMALAAgADAALgA3ADEALAAgADAALgAxACwAIAAwAC4AMQA0ACwAIAAwAC4AMAAwADEALAAgADAALgAwADAANQAsACAAMAAuADAAMgAsACAAMAAuADAAMwAsACAAMAAuADAANAAsACAAMAAuADAAMQA1ACwAIAAwAC4AMAAxADUALAAgADAALAAgADAALAAgADAALgAwADAANAA3ACwAIAAxADMAOwBcAG4AIAAgACAAIAAgACAAIAAgACAAIABcACIAQwBvAG8AbABcACIALAAgADEANAAsACAAMAAuADcAMwAsACAAMAAuADEALAAgADAALgAxADUALAAgADAALgAwADAAMQAsACAAMAAuADAAMAA1ACwAIAAwAC4AMAAyACwAIAAwAC4AMAAzACwAIAAwAC4AMAA0ACwAIAAwAC4AMAAxADUALAAgADAALgAwADEANQAsACAAMAAsACAAMAAsACAAMAAuADAAMAA0ADcALAAgADEANAA7AFwAbgAgACAAIAAgACAAIAAgACAAIAAgAFwAIgBUAGUAbQBwAGUAcgBhAHQAZQBcACIALAAgADEANQAsACAAMAAuADcANAAsACAAMAAuADEALAAgADAALgAxADcALAAgADAALgAwADAANQAsACAAMAAuADAAMQAsACAAMAAuADAAMgAsACAAMAAuADAAMwAsACAAMAAuADAANAAsACAAMAAuADAAMQA1ACwAIAAwAC4AMAAxADUALAAgADAALAAgADAALAAgADAALgAwADAANAA3ACwAIAAxADUAOwBcAG4AIAAgACAAIAAgACAAIAAgACAAIABcACIAVABlAG0AcABlAHIAYQB0AGUAXAAiACwAIAAxADYALAAgADAALgA3ADUALAAgADAALgAxACwAIAAwAC4AMQA4ACwAIAAwAC4AMAAwADUALAAgADAALgAwADEALAAgADAALgAwADIALAAgADAALgAwADMALAAgADAALgAwADQALAAgADAALgAwADEANQAsACAAMAAuADAAMQA1ACwAIAAwACwAIAAwACwAIAAwAC4AMAAwADQANwAsACAAMQA2ADsAXABuACAAIAAgACAAIAAgACAAIAAgACAAXAAiAFQAZQBtAHAAZQByAGEAdABlAFwAIgAsACAAMQA3ACwAIAAwAC4ANwA2ACwAIAAwAC4AMQAsACAAMAAuADIALAAgADAALgAwADAANQAsACAAMAAuADAAMQAsACAAMAAuADAAMgAsACAAMAAuADAAMwAsACAAMAAuADAANAAsACAAMAAuADAAMQA1ACwAIAAwAC4AMAAxADUALAAgADAALAAgADAALAAgADAALgAwADAANAA3ACwAIAAxADcAOwBcAG4AIAAgACAAIAAgACAAIAAgACAAIABcACIAVABlAG0AcABlAHIAYQB0AGUAXAAiACwAIAAxADgALAAgADAALgA3ADcALAAgADAALgAxACwAIAAwAC4AMgAyACwAIAAwAC4AMAAwADUALAAgADAALgAwADEALAAgADAALgAwADIALAAgADAALgAwADMALAAgADAALgAwADQALAAgADAALgAwADEANQAsACAAMAAuADAAMQA1ACwAIAAwACwAIAAwACwAIAAwAC4AMAAwADQANwAsACAAMQA4ADsAXABuACAAIAAgACAAIAAgACAAIAAgACAAXAAiAFQAZQBtAHAAZQByAGEAdABlAFwAIgAsACAAMQA5ACwAIAAwAC4ANwA3ACwAIAAwAC4AMQAsACAAMAAuADIANAAsACAAMAAuADAAMAA1ACwAIAAwAC4AMAAxACwAIAAwAC4AMAAyACwAIAAwAC4AMAAzACwAIAAwAC4AMAA0ACwAIAAwAC4AMAAxADUALAAgADAALgAwADEANQAsACAAMAAsACAAMAAsACAAMAAuADAAMAA0ADcALAAgADEAOQA7AFwAbgAgACAAIAAgACAAIAAgACAAIAAgAFwAIgBUAGUAbQBwAGUAcgBhAHQAZQBcACIALAAgADIAMAAsACAAMAAuADcAOAAsACAAMAAuADEALAAgADAALgAyADYALAAgADAALgAwADAANQAsACAAMAAuADAAMQAsACAAMAAuADAAMgAsACAAMAAuADAAMwAsACAAMAAuADAANAAsACAAMAAuADAAMQA1ACwAIAAwAC4AMAAxADUALAAgADAALAAgADAALAAgADAALgAwADAANAA3ACwAIAAyADAAOwBcAG4AIAAgACAAIAAgACAAIAAgACAAIABcACIAVABlAG0AcABlAHIAYQB0AGUAXAAiACwAIAAyADEALAAgADAALgA3ADgALAAgADAALgAxACwAIAAwAC4AMgA5ACwAIAAwAC4AMAAwADUALAAgADAALgAwADEALAAgADAALgAwADIALAAgADAALgAwADMALAAgADAALgAwADQALAAgADAALgAwADEANQAsACAAMAAuADAAMQA1ACwAIAAwACwAIAAwACwAIAAwAC4AMAAwADQANwAsACAAMgAxADsAXABuACAAIAAgACAAIAAgACAAIAAgACAAXAAiAFQAZQBtAHAAZQByAGEAdABlAFwAIgAsACAAMgAyACwAIAAwAC4ANwA4ACwAIAAwAC4AMQAsACAAMAAuADMAMQAsACAAMAAuADAAMAA1ACwAIAAwAC4AMAAxACwAIAAwAC4AMAAyACwAIAAwAC4AMAAzACwAIAAwAC4AMAA0ACwAIAAwAC4AMAAxADUALAAgADAALgAwADEANQAsACAAMAAsACAAMAAsACAAMAAuADAAMAA0ADcALAAgADIAMgA7AFwAbgAgACAAIAAgACAAIAAgACAAIAAgAFwAIgBUAGUAbQBwAGUAcgBhAHQAZQBcACIALAAgADIAMwAsACAAMAAuADcAOQAsACAAMAAuADEALAAgADAALgAzADQALAAgADAALgAwADAANQAsACAAMAAuADAAMQAsACAAMAAuADAAMgAsACAAMAAuADAAMwAsACAAMAAuADAANAAsACAAMAAuADAAMQA1ACwAIAAwAC4AMAAxADUALAAgADAALAAgADAALAAgADAALgAwADAANAA3ACwAIAAyADMAOwBcAG4AIAAgACAAIAAgACAAIAAgACAAIABcACIAVABlAG0AcABlAHIAYQB0AGUAXAAiACwAIAAyADQALAAgADAALgA3ADkALAAgADAALgAxACwAIAAwAC4AMwA3ACwAIAAwAC4AMAAwADUALAAgADAALgAwADEALAAgADAALgAwADIALAAgADAALgAwADMALAAgADAALgAwADQALAAgADAALgAwADEANQAsACAAMAAuADAAMQA1ACwAIAAwACwAIAAwACwAIAAwAC4AMAAwADQANwAsACAAMgA0ADsAXABuACAAIAAgACAAIAAgACAAIAAgACAAXAAiAFQAZQBtAHAAZQByAGEAdABlAFwAIgAsACAAMgA1ACwAIAAwAC4ANwA5ACwAIAAwAC4AMQAsACAAMAAuADQAMQAsACAAMAAuADAAMAA1ACwAIAAwAC4AMAAxACwAIAAwAC4AMAAyACwAIAAwAC4AMAAzACwAIAAwAC4AMAA0ACwAIAAwAC4AMAAxADUALAAgADAALgAwADEANQAsACAAMAAsACAAMAAsACAAMAAuADAAMAA0ADcALAAgADIANQA7AFwAbgAgACAAIAAgACAAIAAgACAAIAAgAFwAIgBXAGEAcgBtAFwAIgAsACAAMgA2ACwAIAAwAC4ANwA5ACwAIAAwAC4AMQAsACAAMAAuADQANAAsACAAMAAuADAAMQAsACAAMAAuADAAMQA1ACwAIAAwAC4AMAAyACwAIAAwAC4AMAAzACwAIAAwAC4AMAA0ACwAIAAwAC4AMAAxADUALAAgADAALgAwADEANQAsACAAMAAsACAAMAAsACAAMAAuADAAMAA0ADcALAAgADIANgA7AFwAbgAgACAAIAAgACAAIAAgACAAIAAgAFwAIgBXAGEAcgBtAFwAIgAsACAAMgA3ACwAIAAwAC4AOAAsACAAMAAuADEALAAgADAALgA0ADgALAAgADAALgAwADEALAAgADAALgAwADEANQAsACAAMAAuADAAMgAsACAAMAAuADAAMwAsACAAMAAuADAANAAsACAAMAAuADAAMQA1ACwAIAAwAC4AMAAxADUALAAgADAALAAgADAALAAgADAALgAwADAANAA3ACwAIAAyADcAOwBcAG4AIAAgACAAIAAgACAAIAAgACAAIABcACIAVwBhAHIAbQBcACIALAAgAFwAIgBlIjIAOABcACIALAAgADAALgA4ACwAIAAwAC4AMQAsACAAMAAuADUALAAgADAALgAwADEALAAgADAALgAwADEANQAsACAAMAAuADAAMgAsACAAMAAuADAAMwAsACAAMAAuADAANAAsACAAMAAuADAAMQA1ACwAIAAwAC4AMAAxADUALAAgADAALAAgADAALAAgADAALgAwADAANAA3ACwAIAAyADgAOwBcAG4AIAAgACAAIAAgACAAIAAgACAAIABcACIAXAAiACwAIABcACIAXAAiACwAIABcACIAQQBuAGEAZQByAG8AYgBpAGMAIABsAGEAZwBvAG8AbgBcACIALAAgAFwAIgBEAGkAZwBlAHMAdABlAHIAIAAvACAAYwBvAHYAZQByAGUAZAAgAGwAYQBnAG8AbwBuAHMAXAAiACwAIABcACIATABpAHEAdQBpAGQAIABzAHkAcwB0AGUAbQBzAFwAIgAsACAAXAAiAEQAYQBpAGwAeQAgAHMAcAByAGUAYQBkAFwAIgAsACAAXAAiAEMAbwBtAHAAbwBzAHQAaQBuAGcAIAAoAHAAYQBzAHMAaQB2AGUAIAB3AGkAbgBkAHIAbwB3ACkAXAAiACwAIABcACIAUwBvAGwAaQBkACAAcwB0AG8AcgBhAGcAZQBcACIALAAgAFwAIgBQAGkAdAAgAHMAdABvAHIAYQBnAGUAXAAiACwAIABcACIARABlAGUAcAAgAGwAaQB0AHQAZQByAFwAIgAsACAAXAAiAFAAbwB1AGwAdAByAHkAIABtAGEAbgB1AHIAZQAgAHcAaQB0AGgAIABiAGUAZABkAGkAbgBnAFwAIgAsACAAXAAiAFAAbwB1AGwAdAByAHkAIABtAGEAbgB1AHIAZQAgAHcAaQB0AGgAbwB1AHQAIABiAGUAZABkAGkAbgBnAFwAIgAsACAAXAAiAEQAaQByAGUAYwB0ACAAcAByAG8AYwBlAHMAcwBpAG4AZwBcACIALAAgAFwAIgBEAGkAcgBlAGMAdAAgAGEAcABwAGwAaQBjAGEAdABpAG8AbgBcACIALAAgAFwAIgBQAGEAcwB0AHUAcgBlACAAcgBhAG4AZwBlACAAYQBuAGQAIABwAGEAZABkAG8AYwBrAFwAIgAsACAAXAAiAE0AQQBUACAAcgBhAHcAXAAiACAAXABuACAAIAAgACAAIAAgACAAIAB9ACwAIAByACwAIABjACkAXABuACAAIAAgACAAIAAgACkAXABuACAAIAAgACAAKQBcAG4AIAAgACkAOwBcAG4AXABuAEMAbwBtAG0AbwBuAF8AUwBvAHUAcgBjAGUARABhAHQAYQBfAE0AQwBGAFQAZQBtAHAAZQByAGEAdAB1AHIAZQBaAG8AbgBlAF8AVgBhAHIAaQBhAHQAaQBvAG4AXABuACAAIAA9AEwAQQBNAEIARABBACgAXAAiAFYAQQBSAEkAQQBUAEkATwBOACAARgBSAE8ATQAgAFMATwBVAFIAQwBFADoAIABBAGQAZABlAGQAIAByAG8AdwAgAG8AZgAgAE4ASQBSACAATQBNAEEAIABkAGUAZgBpAG4AaQB0AGkAbwBuAHMAIAB0AG8AIABhAGkAZAAgAGwAbwBvAGsAdQBwAC4AIABEAHUAcABsAGkAYwBhAHQAZQBkACAAXAB1ADAAMAAyADcAUABvAHUAbAB0AHIAeQAgAHcAaQB0AGgAIABhAG4AZAAgAHcAaQB0AGgAbwB1AHQAIABsAGkAdAB0AGUAcgBcAHUAMAAwADIANwAgAGMAbwBsAHUAbQBuACAAdwBpAHQAaAAgAHMAZQBwAGEAcgBhAHQAZQAgAE4ASQBSACAAZABlAGYAaQBuAGkAdABpAG8AbgBzACAAdABvACAAYQBpAGQAIABsAG8AbwBrAHUAcAAuACAAQQBkAGQAZQBkACAAXAB1ADAAMAAyADcATQBBAFQAIAByAGEAdwBcAHUAMAAwADIANwAgAGMAbwBsAHUAbQBuACAAdABvACAAYQBsAGwAbwB3ACAAbABvAG8AawB1AHAAIABvAGYAIABuAHUAbQBiAGUAcgBzAC4AXAAiACkAOwBcAG4AXABuAFwAbgBcAG4ALwAqACAAXABuAC0ALQAtAC0ALQAtAC0ALQAtAC0ALQAtAC0ALQAtAC0ALQAtAC0ALQAtAC0ALQAtAC0ALQAtAC0ALQAtAC0ALQAtAC0ALQAtAC0ALQBcAG4AQwBvAG0AbQBvAG4AXwBTAG8AdQByAGMAZQBEAGEAdABhAF8ARQBGAE8AcgBnAGEAbgBpAGMARgBlAHIAdABpAGwAaQBzAGUAcgBBAG4AZABDAHIAbwBwAFIAZQBzAGkAZAB1AGUAcwBcAG4ALQAtAC0ALQAtAC0ALQAtAC0ALQAtAC0ALQAtAC0ALQAtAC0ALQAtAC0ALQAtAC0ALQAtAC0ALQAtAC0ALQAtAC0ALQAtAC0ALQAtAFwAbgAqAC8AXABuAFwAbgBDAG8AbQBtAG8AbgBfAFMAbwB1AHIAYwBlAEQAYQB0AGEAXwBFAEYATwByAGcAYQBuAGkAYwBGAGUAcgB0AGkAbABpAHMAZQByAEEAbgBkAEMAcgBvAHAAUgBlAHMAaQBkAHUAZQBzAF8AVABpAHQAbABlAFwAbgAgACAAPQBMAEEATQBCAEQAQQAoAFwAIgBFAG0AaQBzAHMAaQBvAG4AIABmAGEAYwB0AG8AcgAgAGYAbwByACAAbwByAGcAYQBuAGkAYwAgAGYAZQByAHQAaQBsAGkAcwBlAHIAIABhAG4AZAAgAGMAcgBvAHAAIAByAGUAcwBpAGQAdQBlAHMAIAByAGUAdAB1AHIAbgBlAGQAIAB0AG8AIAB0AGgAZQAgAHMAbwBpAGwAXAAiACkAOwBcAG4AXABuAEMAbwBtAG0AbwBuAF8AUwBvAHUAcgBjAGUARABhAHQAYQBfAEUARgBPAHIAZwBhAG4AaQBjAEYAZQByAHQAaQBsAGkAcwBlAHIAQQBuAGQAQwByAG8AcABSAGUAcwBpAGQAdQBlAHMAXwBWAGEAcgBpAGEAYgBsAGUAXABuACAAIAA9AEwAQQBNAEIARABBACgAXAAiAEUARgBOAGkAIABcAHUAMAAwADIANgAgAEUARgBOADIATwBpAFwAIgApADsAXABuAFwAbgBDAG8AbQBtAG8AbgBfAFMAbwB1AHIAYwBlAEQAYQB0AGEAXwBFAEYATwByAGcAYQBuAGkAYwBGAGUAcgB0AGkAbABpAHMAZQByAEEAbgBkAEMAcgBvAHAAUgBlAHMAaQBkAHUAZQBzAF8AVQBuAGkAdABcAG4AIAAgAD0ATABBAE0AQgBEAEEAKABcACIAawBnACAATgAyAE8AIAAtACAATgAgAC8AIABrAGcAIABOAFwAIgApADsAXABuAFwAbgBDAG8AbQBtAG8AbgBfAFMAbwB1AHIAYwBlAEQAYQB0AGEAXwBFAEYATwByAGcAYQBuAGkAYwBGAGUAcgB0AGkAbABpAHMAZQByAEEAbgBkAEMAcgBvAHAAUgBlAHMAaQBkAHUAZQBzAF8AUwBvAHUAcgBjAGUAXABuACAAIAA9AEwAQQBNAEIARABBACgAXAAiAFYARQBFAFIARwAgADIAMAAyADYAOgAgAFQAYQBiAGwAZQAgAEEALgAyAC4AMQAuADQAXAAiACkAOwBcAG4AXABuAEMAbwBtAG0AbwBuAF8AUwBvAHUAcgBjAGUARABhAHQAYQBfAEUARgBPAHIAZwBhAG4AaQBjAEYAZQByAHQAaQBsAGkAcwBlAHIAQQBuAGQAQwByAG8AcABSAGUAcwBpAGQAdQBlAHMAXwBOAEkAUgBSAGUAZgBlAHIAZQBuAGMAZQBcAG4AIAAgAD0ATABBAE0AQgBEAEEAKABcACIAXAAiACkAOwBcAG4AXABuAEMAbwBtAG0AbwBuAF8AUwBvAHUAcgBjAGUARABhAHQAYQBfAEUARgBPAHIAZwBhAG4AaQBjAEYAZQByAHQAaQBsAGkAcwBlAHIAQQBuAGQAQwByAG8AcABSAGUAcwBpAGQAdQBlAHM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E4AaQAgAFwAdQAwADAAMgA2ACAARQBGAE4AMgBPAFwAIgA7AFwAbgAgACAAIAAgACAAIAAgACAAIAAgAFwAIgBXAGUAdAAgAGMAbABpAG0AYQB0AGUAIAB6AG8AbgBlAFwAIgAsACAAMAAuADAAMAA2ADsAXABuACAAIAAgACAAIAAgACAAIAAgACAAXAAiAEQAcgB5ACAAYwBsAGkAbQBhAHQAZQAgAHoAbwBuAGUAXAAiACwAIAAwAC4AMAAwADUAXABuACAAIAAgACAAIAAgACAAIAB9ACwAIAByACwAIABjACkAXABuACAAIAAgACAAIAAgACkAXABuACAAIAAgACAAKQBcAG4AIAAgACkAOwBcAG4AXABuAEMAbwBtAG0AbwBuAF8AUwBvAHUAcgBjAGUARABhAHQAYQBfAEUARgBPAHIAZwBhAG4AaQBjAEYAZQByAHQAaQBsAGkAcwBlAHIAQQBuAGQAQwByAG8AcABSAGUAcwBpAGQAdQBlAHMAXwBWAGEAcgBpAGEAdABpAG8AbgBcAG4AIAAgAD0ATABBAE0AQgBEAEEAKABcACIAXAAiACkAOwBcAG4AXABuAFwAbgBcAG4AXABuAFwAbgBcAG4AXABuAFwAbgBcAG4AXABuAFwAbgBcAG4AXABuAFwAbgBcAG4AXABuACIAfQAsAHsAIgBwAGEAdABoACIAOgAiAC8AcAByAG8AagBlAGMAdABzAC8ARQBuAHQAZQByAGkAYwBNAGUAdABoAGEAbgBlAF8AUABhAHMAdAB1AHIAZQBCAGUAZQBmAF8ARQBxAHUAYQB0AGkAbwBuAHMAIgAsACIAdABlAHgAdAAiADoAIgAvACoAXABuAD0APQA9AD0APQA9AD0APQA9AD0APQA9AD0APQA9AD0APQA9AD0APQA9AD0APQA9AD0APQA9AD0APQA9AD0APQA9AD0APQA9AD0APQA9AD0APQA9AD0APQA9AD0APQA9AD0APQA9AD0APQA9AD0APQA9AD0APQA9AD0APQA9AD0APQA9AD0APQA9AD0APQA9AD0APQA9AD0AXABuADMALgAyADoAIABFAG4AdABlAHIAaQBjACAATQBlAHQAaABhAG4AZQAgAC0AIABQAGEAcwB0AHUAcgBlACAAQgBlAGUAZgBcAG4APQA9AD0APQA9AD0APQA9AD0APQA9AD0APQA9AD0APQA9AD0APQA9AD0APQA9AD0APQA9AD0APQA9AD0APQA9AD0APQA9AD0APQA9AD0APQA9AD0APQA9AD0APQA9AD0APQA9AD0APQA9AD0APQA9AD0APQA9AD0APQA9AD0APQA9AD0APQA9AD0APQA9AD0APQA9AD0APQBcAG4AMwAuADIALgAxAC4AMQAgAE0AZQB0AGgAbwBkACAAMQAgAC0AIABFAG4AdABlAHIAaQBj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zAF8AMgBfADEAXwAxAF8AXwAxAF8AVABvAHQAYQBsAEEAbgBuAHUAYQBsAE0AZQB0AGgAYQBuAGUARgByAG8AbQBFAG4AdABlAHIAaQBjAEYAZQByAG0AZQBuAHQAYQB0AGkAbwBuAFwAbgBUAG8AdABhAGwAIABhAG4AbgB1AGEAbAAgAG0AZQB0AGgAYQBuAGUAIABwAHIAbwBkAHUAYwB0AGkAbwBuACAAZgByAG8AbQAgAGUAbgB0AGUAcgBpAGMAIABmAGUAcgBtAGUAbgB0AGEAdABpAG8AbgAgAGkAbgAgAGcAcgBhAHoAaQBuAGcAIABiAGUAZQBmACAAYwBhAHQAdABsAGUAXABuAEUAXwBlAG4AdABlAHIAaQBjAFwAbgB0ACAAQwBIADQAXABuAEUAXwB7AGUAbgB0AGUAcgBpAGMAfQA9AFwAXABzAHUAbQBfAHsAagB9AFwAXABzAHUAbQBfAHsAawB9AFwAXABzAHUAbQBfAHsAbAB9ACgARABfAGoAXABcAHQAaQBtAGUAcwAgAE0AXwB7AGoAawBsAH0AXABcAHQAaQBtAGUAcwAgAE4AXwB7AGoAawBsAH0AKQBcAFwAdABpAG0AZQBzACAAMQAwAF4AewAtADMAfQBcAG4ARABfAGoAIAA9ACAAbgB1AG0AYgBlAHIAIABvAGYAIABkAGEAeQBzACAAdABoAGUAIABhAG4AaQBtAGEAbAAgAGkAcwAgAG8AbgAgAHQAaABlACAAZgBhAHIAbQAgAGkAbgAgAGUAYQBjAGgAIAB0AGkAbQBlAC0AcABlAHIAaQBvAGQAIAAoAGQAYQB5AHMAKQBcAG4ATQBfAGoAawBsACAAPQAgAGQAYQBpAGwAeQAgAHAAcgBvAGQAdQBjAHQAaQBvAG4AIABvAGYAIABlAG4AdABlAHIAaQBjACAAbQBlAHQAaABhAG4AZQAgAGkAbgAgAGUAYQBjAGgAIAB0AGkAbQBlAC0AcABlAHIAaQBvAGQALAAgAGMAbABhAHMAcwAgAGEAbgBkACAAcwB1AGIAYwBsAGEAcwBzACAAKABrAGcAIABDAEgANAAvAGgAZQBhAGQALwBkAGEAeQApAFwAbgBOAF8AagBrAGwAIAA9ACAAbgB1AG0AYgBlAHIAIABvAGYAIABiAGUAZQBmACAAYwBhAHQAdABsAGUAIABpAG4AIABlAGEAYwBoACAAdABpAG0AZQAtAHAAZQByAGkAbwBkACwAIABjAGwAYQBzAHMAIABhAG4AZAAgAHMAdQBiAGMAbABhAHMAcwAgACgAaABlAGEAZAApAFwAbgAtAC0ALQAtAC0ALQAtAC0ALQAtAC0ALQAtAC0ALQAtAC0ALQAtAC0ALQAtAC0ALQAtAC0ALQAtAC0ALQAtAC0ALQAtAC0ALQAtAC0AXABuACoALwBcAG4AXABuAFYARQBFAFIARwBfADMAXwAyAF8AMQBfADEAXwBfADEAXwBUAG8AdABhAGwAQQBuAG4AdQBhAGwATQBlAHQAaABhAG4AZQBGAHIAbwBtAEUAbgB0AGUAcgBpAGMARgBlAHIAbQBlAG4AdABhAHQAaQBvAG4AXABuACAAIAA9AEwAQQBNAEIARABBACgAXABuACAAIAAgACAARABfAGoALAAgAE0AXwBqAGsAbAAsACAATgBfAGoAawBsACwAXABuACAAIAAgACAAKABEAF8AagAgACoAIABNAF8AagBrAGwAIAAqACAATgBfAGoAawBsACkAIAAqACAAMQAwACAAXgAgAC0AMwBcAG4AIAAgACkAOwBcAG4AXABuAFYARQBFAFIARwBfADMAXwAyAF8AMQBfADEAXwBfADEAXwBUAG8AdABhAGwAQQBuAG4AdQBhAGwATQBlAHQAaABhAG4AZQBGAHIAbwBtAEUAbgB0AGUAcgBpAGMARgBlAHIAbQBlAG4AdABhAHQAaQBvAG4AXwBUAGkAdABsAGUAXABuACAAIAA9AEwAQQBNAEIARABBACgAXAAiAFQAbwB0AGEAbAAgAGEAbgBuAHUAYQBsACAAbQBlAHQAaABhAG4AZQAgAHAAcgBvAGQAdQBjAHQAaQBvAG4AIABmAHIAbwBtACAAZQBuAHQAZQByAGkAYwAgAGYAZQByAG0AZQBuAHQAYQB0AGkAbwBuACAAaQBuACAAZwByAGEAegBpAG4AZwAgAGIAZQBlAGYAIABjAGEAdAB0AGwAZQBcACIAKQA7AFwAbgBcAG4AVgBFAEUAUgBHAF8AMwBfADIAXwAxAF8AMQBfAF8AMQBfAFQAbwB0AGEAbABBAG4AbgB1AGEAbABNAGUAdABoAGEAbgBlAEYAcgBvAG0ARQBuAHQAZQByAGkAYwBGAGUAcgBtAGUAbgB0AGEAdABpAG8AbgBfAFYAYQByAGkAYQBiAGwAZQBcAG4AIAAgAD0ATABBAE0AQgBEAEEAKABcACIARQBfAGUAbgB0AGUAcgBpAGMAXAAiACkAOwBcAG4AXABuAFYARQBFAFIARwBfADMAXwAyAF8AMQBfADEAXwBfADEAXwBUAG8AdABhAGwAQQBuAG4AdQBhAGwATQBlAHQAaABhAG4AZQBGAHIAbwBtAEUAbgB0AGUAcgBpAGMARgBlAHIAbQBlAG4AdABhAHQAaQBvAG4AXwBVAG4AaQB0AFwAbgAgACAAPQBMAEEATQBCAEQAQQAoAFwAIgB0ACAAQwBIADQAXAAiACkAOwBcAG4AXABuAFYARQBFAFIARwBfADMAXwAyAF8AMQBfADEAXwBfADEAXwBUAG8AdABhAGwAQQBuAG4AdQBhAGwATQBlAHQAaABhAG4AZQBGAHIAbwBtAEUAbgB0AGUAcgBpAGMARgBlAHIAbQBlAG4AdABhAHQAaQBvAG4AXwBTAG8AdQByAGMAZQBcAG4AIAAgAD0ATABBAE0AQgBEAEEAKABcACIAVgBFAEUAUgBHACAAMgAwADIANgA6ACAAMwAuADIALgAxAC4AMQAsACAARQBxAHUAYQB0AGkAbwBuACAAKAAxACkAXAAiACkAOwBcAG4AXABuAFYARQBFAFIARwBfADMAXwAyAF8AMQBfADEAXwBfADEAXwBUAG8AdABhAGwAQQBuAG4AdQBhAGwATQBlAHQAaABhAG4AZQBGAHIAbwBtAEUAbgB0AGUAcgBpAGMARgBlAHIAbQBlAG4AdABhAHQAaQBvAG4AXwBOAEkAUgBSAGUAZgBlAHIAZQBuAGMAZQBcAG4AIAAgAD0ATABBAE0AQgBEAEEAKABcACIAXAAiACkAOwBcAG4AXABuAFYARQBFAFIARwBfADMAXwAyAF8AMQBfADEAXwBfADEAXwBUAG8AdABhAGwAQQBuAG4AdQBhAGwATQBlAHQAaABhAG4AZQBGAHIAbwBtAEUAbgB0AGUAcgBpAGMARgBlAHIAbQBlAG4AdABhAHQAaQBvAG4AXwBMAGEAdABlAHgARQBxAHUAYQB0AGkAbwBuAFwAbgAgACAAPQBMAEEATQBCAEQAQQAoAFwAIgBFAF8AewBlAG4AdABlAHIAaQBjAH0APQBcAFwAcwB1AG0AXwB7AGoAfQBcAFwAcwB1AG0AXwB7AGsAfQBcAFwAcwB1AG0AXwB7AGwAfQAoAEQAXwBqAFwAXAB0AGkAbQBlAHMAIABNAF8AewBqAGsAbAB9AFwAXAB0AGkAbQBlAHMAIABOAF8AewBqAGsAbAB9ACkAXABcAHQAaQBtAGUAcwAgADEAMABeAHsALQAzAH0AXAAiACkAOwBcAG4AXABuAFYARQBFAFIARwBfADMAXwAyAF8AMQBfADEAXwBfADEAXwBUAG8AdABhAGwAQQBuAG4AdQBhAGwATQBlAHQAaABhAG4AZQBGAHIAbwBtAEUAbgB0AGUAcgBpAGMARgBlAHIAbQBlAG4AdABhAHQAaQBvAG4AXwBBAHIAZwB1AG0AZQBuAHQAcwBcAG4AIAAgAD0ATABBAE0AQgBEAEEAKABcAG4AIAAgACAAIABNAEEASwBFAEEAUgBSAEEAWQAoADMALAAgADQALABcAG4AIAAgACAAIAAgACAATABBAE0AQgBEAEEAKAByACwAYwAsAFwAbgAgACAAIAAgACAAIAAgACAASQBOAEQARQBYACgAewBcAG4AIAAgACAAIAAgACAAIAAgACAAIABcACIARABfAGoAXAAiACwAIABcACIAbgB1AG0AYgBlAHIAIABvAGYAIABkAGEAeQBzACAAdABoAGUAIABhAG4AaQBtAGEAbAAgAGkAcwAgAG8AbgAgAHQAaABlACAAZgBhAHIAbQAgAGkAbgAgAGUAYQBjAGgAIAB0AGkAbQBlAC0AcABlAHIAaQBvAGQAXAAiACwAIABcACIAZABhAHkAcwBcACIALAAgAFwAIgBJAG4AcAB1AHQAXAAiADsAXABuACAAIAAgACAAIAAgACAAIAAgACAAXAAiAE0AXwBqAGsAbABcACIALAAgAFwAIgBkAGEAaQBsAHkAIABwAHIAbwBkAHUAYwB0AGkAbwBuACAAbwBmACAAZQBuAHQAZQByAGkAYwAgAG0AZQB0AGgAYQBuAGUAIABpAG4AIABlAGEAYwBoACAAdABpAG0AZQAtAHAAZQByAGkAbwBkACwAIABjAGwAYQBzAHMAIABhAG4AZAAgAHMAdQBiAGMAbABhAHMAcwBcACIALAAgAFwAIgBrAGcAIABDAEgANAAvAGgAZQBhAGQALwBkAGEAeQBcACIALAAgAFwAIgBDAGEAbABjAHUAbABhAHQAZQBkACAAZgByAG8AbQAgADMALgAyAC4AMQAuADEALAAgACgAMgApAFwAIgA7AFwAbgAgACAAIAAgACAAIAAgACAAIAAgAFwAIgBOAF8AagBrAGwAXAAiACwAIABcACIAbgB1AG0AYgBlAHIAIABvAGYAIABiAGUAZQBmACAAYwBhAHQAdABsAGUAIABpAG4AIABlAGEAYwBoACAAdABpAG0AZQAtAHAAZQByAGkAbwBkACwAIABjAGwAYQBzAHMAIABhAG4AZAAgAHMAdQBiAGMAbABhAHMAcwBcACIALAAgAFwAIgBoAGUAYQBk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yAF8ARABhAGkAbAB5AEUAbgB0AGUAcgBpAGMATQBlAHQAaABhAG4AZQBQAHIAbwBkAHUAYwB0AGkAbwBuAFwAbgBEAGEAaQBsAHkAIABwAHIAbwBkAHUAYwB0AGkAbwBuACAAbwBmACAAZQBuAHQAZQByAGkAYwAgAG0AZQB0AGgAYQBuAGUAXABuAE0AXwBqAGsAbABcAG4AawBnACAAQwBIADQALwBoAGUAYQBkAC8AZABhAHkAXABuAE0AXwB7AGoAawBsAH0APQAyADAALgA3AFwAXAB0AGkAbQBlAHMAIABJAF8AewBqAGsAbAB9AFwAXAB0AGkAbQBlAHMAIAAxADAAXgB7AC0AMwB9AFwAbgBJAF8AagBrAGwAIAA9ACAAZAByAHkAIABtAGEAdAB0AGUAcgAgAGkAbgB0AGEAawBlACAAKABrAGcAIABEAE0ALwBoAGUAYQBkAC8AZABhAHkAKQBcAG4ALQAtAC0ALQAtAC0ALQAtAC0ALQAtAC0ALQAtAC0ALQAtAC0ALQAtAC0ALQAtAC0ALQAtAC0ALQAtAC0ALQAtAC0ALQAtAC0ALQAtAFwAbgAqAC8AXABuAFwAbgBWAEUARQBSAEcAXwAzAF8AMgBfADEAXwAxAF8AXwAyAF8ARABhAGkAbAB5AEUAbgB0AGUAcgBpAGMATQBlAHQAaABhAG4AZQBQAHIAbwBkAHUAYwB0AGkAbwBuAFwAbgAgACAAPQBMAEEATQBCAEQAQQAoAFwAbgAgACAAIAAgAEkAXwBqAGsAbAAsAFwAbgAgACAAIAAgADIAMAAuADcAIAAqACAASQBfAGoAawBsACAAKgAgADEAMAAgAF4AIAAtADMAXABuACAAIAApADsAXABuAFwAbgBWAEUARQBSAEcAXwAzAF8AMgBfADEAXwAxAF8AXwAyAF8ARABhAGkAbAB5AEUAbgB0AGUAcgBpAGMATQBlAHQAaABhAG4AZQBQAHIAbwBkAHUAYwB0AGkAbwBuAF8AVABpAHQAbABlAFwAbgAgACAAPQBMAEEATQBCAEQAQQAoAFwAIgBEAGEAaQBsAHkAIABwAHIAbwBkAHUAYwB0AGkAbwBuACAAbwBmACAAZQBuAHQAZQByAGkAYwAgAG0AZQB0AGgAYQBuAGUAXAAiACkAOwBcAG4AXABuAFYARQBFAFIARwBfADMAXwAyAF8AMQBfADEAXwBfADIAXwBEAGEAaQBsAHkARQBuAHQAZQByAGkAYwBNAGUAdABoAGEAbgBlAFAAcgBvAGQAdQBjAHQAaQBvAG4AXwBWAGEAcgBpAGEAYgBsAGUAXABuACAAIAA9AEwAQQBNAEIARABBACgAXAAiAE0AXwBqAGsAbABcACIAKQA7AFwAbgBcAG4AVgBFAEUAUgBHAF8AMwBfADIAXwAxAF8AMQBfAF8AMgBfAEQAYQBpAGwAeQBFAG4AdABlAHIAaQBjAE0AZQB0AGgAYQBuAGUAUAByAG8AZAB1AGMAdABpAG8AbgBfAFUAbgBpAHQAXABuACAAIAA9AEwAQQBNAEIARABBACgAXAAiAGsAZwAgAEMASAA0AC8AaABlAGEAZAAvAGQAYQB5AFwAIgApADsAXABuAFwAbgBWAEUARQBSAEcAXwAzAF8AMgBfADEAXwAxAF8AXwAyAF8ARABhAGkAbAB5AEUAbgB0AGUAcgBpAGMATQBlAHQAaABhAG4AZQBQAHIAbwBkAHUAYwB0AGkAbwBuAF8AUwBvAHUAcgBjAGUAXABuACAAIAA9AEwAQQBNAEIARABBACgAXAAiAFYARQBFAFIARwAgADIAMAAyADYAOgAgADMALgAyAC4AMQAuADEALAAgAEUAcQB1AGEAdABpAG8AbgAgACgAMgApAFwAIgApADsAXABuAFwAbgBWAEUARQBSAEcAXwAzAF8AMgBfADEAXwAxAF8AXwAyAF8ARABhAGkAbAB5AEUAbgB0AGUAcgBpAGMATQBlAHQAaABhAG4AZQBQAHIAbwBkAHUAYwB0AGkAbwBuAF8ATgBJAFIAUgBlAGYAZQByAGUAbgBjAGUAXABuACAAIAA9AEwAQQBNAEIARABBACgAXAAiAEMAaABhAHIAbQBsAGUAeQAgAGUAdAAgAGEAbAAuACAAKAAyADAAMQA1ACkAXAAiACkAOwBcAG4AXABuAFYARQBFAFIARwBfADMAXwAyAF8AMQBfADEAXwBfADIAXwBEAGEAaQBsAHkARQBuAHQAZQByAGkAYwBNAGUAdABoAGEAbgBlAFAAcgBvAGQAdQBjAHQAaQBvAG4AXwBMAGEAdABlAHgARQBxAHUAYQB0AGkAbwBuAFwAbgAgACAAPQBMAEEATQBCAEQAQQAoAFwAIgBNAF8AewBqAGsAbAB9AD0AMgAwAC4ANwBcAFwAdABpAG0AZQBzACAASQBfAHsAagBrAGwAfQBcAFwAdABpAG0AZQBzACAAMQAwAF4AewAtADMAfQBcACIAKQA7AFwAbgBcAG4AVgBFAEUAUgBHAF8AMwBfADIAXwAxAF8AMQBfAF8AMgBfAEQAYQBpAGwAeQBFAG4AdABlAHIAaQBjAE0AZQB0AGgAYQBuAGUAUAByAG8AZAB1AGMAdABpAG8AbgBfAEEAcgBnAHUAbQBlAG4AdABzAFwAbgAgACAAPQBMAEEATQBCAEQAQQAoAFwAbgAgACAAIAAgAE0AQQBLAEUAQQBSAFIAQQBZACgAMQAsACAANAAsAFwAbgAgACAAIAAgACAAIABMAEEATQBCAEQAQQAoAHIALABjACwAXABuACAAIAAgACAAIAAgACAAIABJAE4ARABFAFgAKAB7AFwAbgAgACAAIAAgACAAIAAgACAAIAAgAFwAIgBJAF8AagBrAGwAXAAiACwAIABcACIAZAByAHkAIABtAGEAdAB0AGUAcgAgAGkAbgB0AGEAawBlAFwAIgAsACAAXAAiAGsAZwAgAEQATQAvAGgAZQBhAGQALwBkAGEAeQBcACIALAAgAFwAIgBDAGEAbABjAHUAbABhAHQAZQBkACAAZgByAG8AbQAgADMALgAyAC4AMQAuADEALAAgACgAMwApAFwAIgBcAG4AIAAgACAAIAAgACAAIAAgAH0ALAAgAHIALAAgAGMAKQBcAG4AIAAgACAAIAAgACAAKQBcAG4AIAAgACAAIAApAFwAbgAgACAAKQA7AFwAbgBcAG4ALwAqAFwAbgAtAC0ALQAtAC0ALQAtAC0ALQAtAC0ALQAtAC0ALQAtAC0ALQAtAC0ALQAtAC0ALQAtAC0ALQAtAC0ALQAtAC0ALQAtAC0ALQAtAC0AXABuAFYARQBFAFIARwBfADMAXwAyAF8AMQBfADEAXwBfADMAXwBGAGUAZQBkAEkAbgB0AGEAawBlAEYAbwByAEcAcgBhAHoAaQBuAGcAQgBlAGUAZgBcAG4ARgBlAGUAZAAgAGkAbgB0AGEAawBlACAAZgBvAHIAIABnAHIAYQB6AGkAbgBnACAAYgBlAGUAZgAgAGMAYQB0AHQAbABlAFwAbgBJAF8AagBrAGwAXABuAGsAZwAgAEQATQAvAGgAZQBhAGQALwBkAGEAeQBcAG4ASQBfAHsAagBrAGwAfQA9ACgAMQAuADEAOAA1ACsAMAAuADAAMAA0ADUANABcAFwAdABpAG0AZQBzACAAVwBfAHsAagBrAGwAfQAtADAALgAwADAAMAAwADAAMgA2AFwAXAB0AGkAbQBlAHMAIABXAF8AewBqAGsAbAB9AF4AewAyAH0AKwAwAC4AMwAxADUAXABcAHQAaQBtAGUAcwAgAEwAVwBHAF8AewBqAGsAbAB9ACkAXgAyAFwAXAB0AGkAbQBlAHMAIABNAEEAXwB7AGoAawA9ADQALAA1AH0AXABuAFcAXwBqAGsAbAAgAD0AIABsAGkAdgBlAHcAZQBpAGcAaAB0ACAAKABrAGcAKQBcAG4ATABXAEcAXwBqAGsAbAAgAD0AIABsAGkAdgBlACAAdwBlAGkAZwBoAHQAIABnAGEAaQBuACAAKABrAGcALwBoAGUAYQBkAC8AZABhAHkAKQBcAG4ATQBBAF8AagBrADQANQAgAD0AIABhAGQAZABpAHQAaQBvAG4AYQBsACAAaQBuAHQAYQBrAGUAIABmAG8AcgAgAG0AaQBsAGsAIABwAHIAbwBkAHUAYwB0AGkAbwBuACAAaQBuACAAYwBvAHcAcwAgAGcAcgBlAGEAdABlAHIAIAB0AGgAYQBuACAAMgAgAHkAZQBhAHIAcwAgACgAawBnAC8AaABlAGEAZAAvAGQAYQB5ACkAXABuAC0ALQAtAC0ALQAtAC0ALQAtAC0ALQAtAC0ALQAtAC0ALQAtAC0ALQAtAC0ALQAtAC0ALQAtAC0ALQAtAC0ALQAtAC0ALQAtAC0ALQBcAG4AKgAvAFwAbgBcAG4AVgBFAEUAUgBHAF8AMwBfADIAXwAxAF8AMQBfAF8AMwBfAEYAZQBlAGQASQBuAHQAYQBrAGUARgBvAHIARwByAGEAegBpAG4AZwBCAGUAZQBmAFwAbgAgACAAPQBMAEEATQBCAEQAQQAoAFwAbgAgACAAIAAgAFcAXwBqAGsAbAAsACAATABXAEcAXwBqAGsAbAAsACAATQBBAF8AagBrADQANQAsAFwAbgAgACAAIAAgACgAMQAuADEAOAA1ACAAKwAgADAALgAwADAANAA1ADQAIAAqACAAVwBfAGoAawBsACAALQAgADAALgAwADAAMAAwADAAMgA2ACAAKgAgAFcAXwBqAGsAbAAgAF4AIAAyACAAKwAgADAALgAzADEANQAgACoAIABMAFcARwBfAGoAawBsACkAIABeACAAMgAgACoAIABNAEEAXwBqAGsANAA1AFwAbgAgACAAKQA7AFwAbgBcAG4AVgBFAEUAUgBHAF8AMwBfADIAXwAxAF8AMQBfAF8AMwBfAEYAZQBlAGQASQBuAHQAYQBrAGUARgBvAHIARwByAGEAegBpAG4AZwBCAGUAZQBmAF8AVABpAHQAbABlAFwAbgAgACAAPQBMAEEATQBCAEQAQQAoAFwAIgBGAGUAZQBkACAAaQBuAHQAYQBrAGUAIABmAG8AcgAgAGcAcgBhAHoAaQBuAGcAIABiAGUAZQBmACAAYwBhAHQAdABsAGUAXAAiACkAOwBcAG4AXABuAFYARQBFAFIARwBfADMAXwAyAF8AMQBfADEAXwBfADMAXwBGAGUAZQBkAEkAbgB0AGEAawBlAEYAbwByAEcAcgBhAHoAaQBuAGcAQgBlAGUAZgBfAFYAYQByAGkAYQBiAGwAZQBcAG4AIAAgAD0ATABBAE0AQgBEAEEAKABcACIASQBfAGoAawBsAFwAIgApADsAXABuAFwAbgBWAEUARQBSAEcAXwAzAF8AMgBfADEAXwAxAF8AXwAzAF8ARgBlAGUAZABJAG4AdABhAGsAZQBGAG8AcgBHAHIAYQB6AGkAbgBnAEIAZQBlAGYAXwBVAG4AaQB0AFwAbgAgACAAPQBMAEEATQBCAEQAQQAoAFwAIgBrAGcAIABEAE0ALwBoAGUAYQBkAC8AZABhAHkAXAAiACkAOwBcAG4AXABuAFYARQBFAFIARwBfADMAXwAyAF8AMQBfADEAXwBfADMAXwBGAGUAZQBkAEkAbgB0AGEAawBlAEYAbwByAEcAcgBhAHoAaQBuAGcAQgBlAGUAZgBfAFMAbwB1AHIAYwBlAFwAbgAgACAAPQBMAEEATQBCAEQAQQAoAFwAIgBWAEUARQBSAEcAIAAyADAAMgA2ADoAIAAzAC4AMgAuADEALgAxACwAIABFAHEAdQBhAHQAaQBvAG4AIAAoADMAKQBcACIAKQA7AFwAbgBcAG4AVgBFAEUAUgBHAF8AMwBfADIAXwAxAF8AMQBfAF8AMwBfAEYAZQBlAGQASQBuAHQAYQBrAGUARgBvAHIARwByAGEAegBpAG4AZwBCAGUAZQBmAF8ATgBJAFIAUgBlAGYAZQByAGUAbgBjAGUAXABuACAAIAA9AEwAQQBNAEIARABBACgAXAAiAE0AaQBuAHMAbwBuACAAYQBuAGQAIABNAGMARABvAG4AYQBsAGQAIAAoADEAOQA4ADcAKQBcACIAKQA7AFwAbgBcAG4AVgBFAEUAUgBHAF8AMwBfADIAXwAxAF8AMQBfAF8AMwBfAEYAZQBlAGQASQBuAHQAYQBrAGUARgBvAHIARwByAGEAegBpAG4AZwBCAGUAZQBmAF8ATABhAHQAZQB4AEUAcQB1AGEAdABpAG8AbgBcAG4AIAAgAD0ATABBAE0AQgBEAEEAKABcACIASQBfAHsAagBrAGwAfQA9ACgAMQAuADEAOAA1ACsAMAAuADAAMAA0ADUANABcAFwAdABpAG0AZQBzACAAVwBfAHsAagBrAGwAfQAtADAALgAwADAAMAAwADAAMgA2AFwAXAB0AGkAbQBlAHMAIABXAF8AewBqAGsAbAB9AF4AewAyAH0AKwAwAC4AMwAxADUAXABcAHQAaQBtAGUAcwAgAEwAVwBHAF8AewBqAGsAbAB9ACkAXgAyAFwAXAB0AGkAbQBlAHMAIABNAEEAXwB7AGoAawA9ADQALAA1AH0AXAAiACkAOwBcAG4AXABuAFYARQBFAFIARwBfADMAXwAyAF8AMQBfADEAXwBfADMAXwBGAGUAZQBkAEkAbgB0AGEAawBlAEYAbwByAEcAcgBhAHoAaQBuAGcAQgBlAGUAZgBfAEEAcgBnAHUAbQBlAG4AdABzAFwAbgAgACAAPQBMAEEATQBCAEQAQQAoAFwAbgAgACAAIAAgAE0AQQBLAEUAQQBSAFIAQQBZACgAMwAsACAANAAsAFwAbgAgACAAIAAgACAAIABMAEEATQBCAEQAQQAoAHIALABjACwAXABuACAAIAAgACAAIAAgACAAIABJAE4ARABFAFgAKAB7AFwAbgAgACAAIAAgACAAIAAgACAAIAAgAFwAIgBXAF8AagBrAGwAXAAiACwAIABcACIAbABpAHYAZQB3AGUAaQBnAGgAdAAgACgAawBnACkAXAAiACwAIABcACIAawBnAFwAIgAsACAAXAAiAEkAbgBwAHUAdABcACIAOwBcAG4AIAAgACAAIAAgACAAIAAgACAAIABcACIATABXAEcAXwBqAGsAbABcACIALAAgAFwAIgBsAGkAdgBlACAAdwBlAGkAZwBoAHQAIABnAGEAaQBuACAAKABrAGcALwBoAGUAYQBkAC8AZABhAHkAKQBcACIALAAgAFwAIgBrAGcALwBoAGUAYQBkAC8AZABhAHkAXAAiACwAIABcACIASQBuAHAAdQB0AFwAIgA7AFwAbgAgACAAIAAgACAAIAAgACAAIAAgAFwAIgBNAEEAXwBqAGsANAA1AFwAIgAsACAAXAAiAGEAZABkAGkAdABpAG8AbgBhAGwAIABpAG4AdABhAGsAZQAgAGYAbwByACAAbQBpAGwAawAgAHAAcgBvAGQAdQBjAHQAaQBvAG4AIABpAG4AIABjAG8AdwBzACAAZwByAGUAYQB0AGUAcgAgAHQAaABhAG4AIAAyACAAeQBlAGEAcgBzAFwAIgAsACAAXAAiAGsAZwAvAGgAZQBhAGQALwBkAGEAeQBcACIALAAgAFwAIgBDAGEAbABjAHUAbABhAHQAZQBkACAAZgByAG8AbQAgADMALgAyAC4AMQAuADEALAAgACgANAApAFwAIgBcAG4AIAAgACAAIAAgACAAIAAgAH0ALAAgAHIALAAgAGMAKQBcAG4AIAAgACAAIAAgACAAKQBcAG4AIAAgACAAIAApAFwAbgAgACAAKQA7AFwAbgBcAG4ALwAqAFwAbgAtAC0ALQAtAC0ALQAtAC0ALQAtAC0ALQAtAC0ALQAtAC0ALQAtAC0ALQAtAC0ALQAtAC0ALQAtAC0ALQAtAC0ALQAtAC0ALQAtAC0AXABuAFYARQBFAFIARwBfADMAXwAyAF8AMQBfADEAXwBfADQAXwBBAGQAZABpAHQAaQBvAG4AYQBsAEkAbgB0AGEAawBlAEYAbwByAE0AaQBsAGsAUAByAG8AZAB1AGMAdABpAG8AbgBcAG4AQQBkAGQAaQB0AGkAbwBuAGEAbAAgAGkAbgB0AGEAawBlACAAZgBvAHIAIABtAGkAbABrACAAcAByAG8AZAB1AGMAdABpAG8AbgAgAGkAbgAgAHQAaABlACAAcwBlAGEAcwBvAG4AIABvAGYAIABjAGEAbAB2AGkAbgBnACAAYQBuAGQAIAB0AGgAZQAgAHMAZQBhAHMAbwBuACAAYQBmAHQAZQByACAAYwBhAGwAdgBpAG4AZwBcAG4ATQBBAF8AagBrADQANQBcAG4AZgByAGEAYwB0AGkAbwBuAFwAbgBNAEEAXwB7AGoAawA9ADQALAA1AH0APQAoAEwAQwBfAHsAagBrAD0ANAAsADUAfQBcAFwAdABpAG0AZQBzACAARgBBAF8AewBqAGsAPQA0ACwANQB9ACkAKwAoADEALQBMAEMAXwB7AGoAawA9ADQALAA1AH0AKQBcAG4ATABDAF8AagBrADQANQAgAD0AIABwAHIAbwBwAG8AcgB0AGkAbwBuACAAbwBmACAAYwBvAHcAcwAgAGcAcgBlAGEAdABlAHIAIAB0AGgAYQBuACAAMQAgAHkAZQBhAHIAIABpAG4AIABjAGEAbABmACAAaQBuACAAdABoAGUAIABzAGUAYQBzAG8AbgAgAG8AZgAgAGMAYQBsAHYAaQBuAGcAIABlAHgAcAByAGUAcwBzAGUAZAAgAGEAcwAgAGEAIABmAHIAYQBjAHQAaQBvAG4AXABuAEYAQQBfAGoAawA0ADUAIAA9ACAAZgBlAGUAZAAgAGEAZABqAHUAcwB0AG0AZQBuAHQAIAB2AGEAbAB1AGUAIABmAG8AcgAgAGwAYQBjAHQAYQB0AGkAbgBnACAAYwBvAHcAcwAgAGkAbgAgAHQAaABlACAAcwBlAGEAcwBvAG4AIABvAGYAIABjAGEAbAB2AGkAbgBnACAAYQBuAGQAIAB0AGgAZQAgAHMAZQBhAHMAbwBuACAAaQBtAG0AZQBkAGkAYQB0AGUAbAB5ACAAYQBmAHQAZQByACAAYwBhAGwAdgBpAG4AZwAgAGUAeABwAHIAZQBzAHMAZQBkACAAYQBzACAAYQAgAGYAcgBhAGMAdABpAG8AbgBcAG4ALQAtAC0ALQAtAC0ALQAtAC0ALQAtAC0ALQAtAC0ALQAtAC0ALQAtAC0ALQAtAC0ALQAtAC0ALQAtAC0ALQAtAC0ALQAtAC0ALQAtAFwAbgAqAC8AXABuAFwAbgBWAEUARQBSAEcAXwAzAF8AMgBfADEAXwAxAF8AXwA0AF8AQQBkAGQAaQB0AGkAbwBuAGEAbABJAG4AdABhAGsAZQBGAG8AcgBNAGkAbABrAFAAcgBvAGQAdQBjAHQAaQBvAG4AXABuACAAIAA9AEwAQQBNAEIARABBACgAXABuACAAIAAgACAATABDAF8AagBrADQANQAsACAARgBBAF8AagBrADQANQAsAFwAbgAgACAAIAAgACgATABDAF8AagBrADQANQAgACoAIABGAEEAXwBqAGsANAA1ACkAIAArACAAKAAxACAALQAgAEwAQwBfAGoAawA0ADUAKQBcAG4AIAAgACkAOwBcAG4AXABuAFwAbgBWAEUARQBSAEcAXwAzAF8AMgBfADEAXwAxAF8AXwA0AF8AQQBkAGQAaQB0AGkAbwBuAGEAbABJAG4AdABhAGsAZQBGAG8AcgBNAGkAbABrAFAAcgBvAGQAdQBjAHQAaQBvAG4AVgBhAHIAaQBhAHQAaQBvAG4AXABuACAAIAA9AEwAQQBNAEIARABBACgAXABuACAAIAAgACAATABDAF8AagBrADQANQBjAGEAbAB2ACwAIABMAEMAXwBqAGsANAA1AHAAcgBlAHYALAAgAEYAQQBfAGoAawA0ADUAYwBhAGwAdgAsACAARgBBAF8AagBrADQANQBhAGYAdABlAHIALABcAG4AIAAgACAAIAAoACgATABDAF8AagBrADQANQBjAGEAbAB2ACAAKgAgAEYAQQBfAGoAawA0ADUAYwBhAGwAdgApACAAKwAgACgATABDAF8AagBrADQANQBwAHIAZQB2ACAAKgAgAEYAQQBfAGoAawA0ADUAYQBmAHQAZQByACkAKQAgACsAIAAoADEAIAAtACAAKABMAEMAXwBqAGsANAA1AGMAYQBsAHYAIAArACAATABDAF8AagBrADQANQBwAHIAZQB2ACkAKQBcAG4AIAAgACkAOwBcAG4AXABuAFYARQBFAFIARwBfADMAXwAyAF8AMQBfADEAXwBfADQAXwBBAGQAZABpAHQAaQBvAG4AYQBsAEkAbgB0AGEAawBlAEYAbwByAE0AaQBsAGsAUAByAG8AZAB1AGMAdABpAG8AbgBfAFQAaQB0AGwAZQBcAG4AIAAgAD0ATABBAE0AQgBEAEEAKABcACIAQQBkAGQAaQB0AGkAbwBuAGEAbAAgAGkAbgB0AGEAawBlACAAZgBvAHIAIABtAGkAbABrACAAcAByAG8AZAB1AGMAdABpAG8AbgAgAGkAbgAgAHQAaABlACAAcwBlAGEAcwBvAG4AIABvAGYAIABjAGEAbAB2AGkAbgBnACAAYQBuAGQAIAB0AGgAZQAgAHMAZQBhAHMAbwBuACAAYQBmAHQAZQByACAAYwBhAGwAdgBpAG4AZwBcACIAKQA7AFwAbgBcAG4AVgBFAEUAUgBHAF8AMwBfADIAXwAxAF8AMQBfAF8ANABfAEEAZABkAGkAdABpAG8AbgBhAGwASQBuAHQAYQBrAGUARgBvAHIATQBpAGwAawBQAHIAbwBkAHUAYwB0AGkAbwBuAF8AVgBhAHIAaQBhAGIAbABlAFwAbgAgACAAPQBMAEEATQBCAEQAQQAoAFwAIgBNAEEAXwBqAGsANAA1AFwAIgApADsAXABuAFwAbgBWAEUARQBSAEcAXwAzAF8AMgBfADEAXwAxAF8AXwA0AF8AQQBkAGQAaQB0AGkAbwBuAGEAbABJAG4AdABhAGsAZQBGAG8AcgBNAGkAbABrAFAAcgBvAGQAdQBjAHQAaQBvAG4AXwBVAG4AaQB0AFwAbgAgACAAPQBMAEEATQBCAEQAQQAoAFwAIgBmAHIAYQBjAHQAaQBvAG4AXAAiACkAOwBcAG4AXABuAFYARQBFAFIARwBfADMAXwAyAF8AMQBfADEAXwBfADQAXwBBAGQAZABpAHQAaQBvAG4AYQBsAEkAbgB0AGEAawBlAEYAbwByAE0AaQBsAGsAUAByAG8AZAB1AGMAdABpAG8AbgBfAFMAbwB1AHIAYwBlAFwAbgAgACAAPQBMAEEATQBCAEQAQQAoAFwAIgBWAEUARQBSAEcAIAAyADAAMgA2ADoAIAAzAC4AMgAuADEALgAxACwAIABFAHEAdQBhAHQAaQBvAG4AIAAoADQAKQBcACIAKQA7AFwAbgBcAG4AVgBFAEUAUgBHAF8AMwBfADIAXwAxAF8AMQBfAF8ANABfAEEAZABkAGkAdABpAG8AbgBhAGwASQBuAHQAYQBrAGUARgBvAHIATQBpAGwAawBQAHIAbwBkAHUAYwB0AGkAbwBuAF8ATgBJAFIAUgBlAGYAZQByAGUAbgBjAGUAXABuACAAIAA9AEwAQQBNAEIARABBACgAXAAiAFwAIgApADsAXABuAFwAbgBWAEUARQBSAEcAXwAzAF8AMgBfADEAXwAxAF8AXwA0AF8AQQBkAGQAaQB0AGkAbwBuAGEAbABJAG4AdABhAGsAZQBGAG8AcgBNAGkAbABrAFAAcgBvAGQAdQBjAHQAaQBvAG4AXwBMAGEAdABlAHgARQBxAHUAYQB0AGkAbwBuAFwAbgAgACAAPQBMAEEATQBCAEQAQQAoAFwAIgBNAEEAXwB7AGoAawA9ADQALAA1AH0APQAoAEwAQwBfAHsAagBrAD0ANAAsADUAfQBcAFwAdABpAG0AZQBzACAARgBBAF8AewBqAGsAPQA0ACwANQB9ACkAKwAoADEALQBMAEMAXwB7AGoAawA9ADQALAA1AH0AKQBcACIAKQA7AFwAbgBcAG4AVgBFAEUAUgBHAF8AMwBfADIAXwAxAF8AMQBfAF8ANABfAEEAZABkAGkAdABpAG8AbgBhAGwASQBuAHQAYQBrAGUARgBvAHIATQBpAGwAawBQAHIAbwBkAHUAYwB0AGkAbwBuAF8ATABhAHQAZQB4AEUAcQB1AGEAdABpAG8AbgBWAGEAcgBpAGEAdABpAG8AbgBcAG4AIAAgAD0ATABBAE0AQgBEAEEAKABcACIATQBBAF8AewBqAGsAPQA0ACwANQB9AD0AKAAoAEwAQwBfAHsAagBrAD0ANAAsADUALABjAGEAbAB2AH0AXABcAHQAaQBtAGUAcwAgAEYAQQBfAHsAagBrAD0ANAAsADUALABjAGEAbAB2AH0AKQArACgATABDAF8AewBqAGsAPQA0ACwANQAsAHAAcgBlAHYAfQBcAFwAdABpAG0AZQBzACAARgBBAF8AewBqAGsAPQA0ACwANQAsAGEAZgB0AGUAcgB9ACkAKQArACgAMQAtACgATABDAF8AewBqAGsAPQA0ACwANQAsAGMAYQBsAHYAfQArAEwAQwBfAHsAagBrAD0ANAAsADUALABwAHIAZQB2AH0AKQApAFwAIgApADsAXABuAFwAbgBWAEUARQBSAEcAXwAzAF8AMgBfADEAXwAxAF8AXwA0AF8AQQBkAGQAaQB0AGkAbwBuAGEAbABJAG4AdABhAGsAZQBGAG8AcgBNAGkAbABrAFAAcgBvAGQAdQBjAHQAaQBvAG4AXwBBAHIAZwB1AG0AZQBuAHQAcwBcAG4AIAAgAD0ATABBAE0AQgBEAEEAKABcAG4AIAAgACAAIABNAEEASwBFAEEAUgBSAEEAWQAoADMALAAgADQALABcAG4AIAAgACAAIAAgACAATABBAE0AQgBEAEEAKAByACwAYwAsAFwAbgAgACAAIAAgACAAIAAgACAASQBOAEQARQBYACgAewBcAG4AIAAgACAAIAAgACAAIAAgACAAIABcACIATABDAF8AagBrADQANQBcACIALAAgAFwAIgBwAHIAbwBwAG8AcgB0AGkAbwBuACAAbwBmACAAYwBvAHcAcwAgAGcAcgBlAGEAdABlAHIAIAB0AGgAYQBuACAAMQAgAHkAZQBhAHIAIABpAG4AIABjAGEAbABmACAAaQBuACAAdABoAGUAIABzAGUAYQBzAG8AbgAgAG8AZgAgAGMAYQBsAHYAaQBuAGcAIABlAHgAcAByAGUAcwBzAGUAZAAgAGEAcwAgAGEAIABmAHIAYQBjAHQAaQBvAG4AXAAiACwAIABcACIAZgByAGEAYwB0AGkAbwBuAFwAIgAsACAAXAAiAEkAbgBwAHUAdABcACIAOwBcAG4AIAAgACAAIAAgACAAIAAgACAAIABcACIARgBBAF8AagBrADQANQBcACIALAAgAFwAIgBmAGUAZQBkACAAYQBkAGoAdQBzAHQAbQBlAG4AdAAgAHYAYQBsAHUAZQAgAGYAbwByACAAbABhAGMAdABhAHQAaQBuAGcAIABjAG8AdwBzACAAaQBuACAAdABoAGUAIABzAGUAYQBzAG8AbgAgAG8AZgAgAGMAYQBsAHYAaQBuAGcAIABhAG4AZAAgAHQAaABlACAAcwBlAGEAcwBvAG4AIABpAG0AbQBlAGQAaQBhAHQAZQBsAHkAIABhAGYAdABlAHIAIABjAGEAbAB2AGkAbgBnACAAZQB4AHAAcgBlAHMAcwBlAGQAIABhAHMAIABhACAAZgByAGEAYwB0AGkAbwBuAFwAIgAsACAAXAAiAGYAcgBhAGMAdABpAG8AbgBcACIALAAgAFwAIgBDAG8AbgBzAHQAYQBuAHQAXAAiADsAXABuACAAIAAgACAAIAAgACAAIAAgACAAXAAiAGIAXAAiACwAIABcACIAYgByAGUAZQBkACAAbwBmACAAYwBhAHQAdABsAGUAXAAiACwAIABcACIAXAAiACwAIABcACIASQBuAHAAdQB0AFwAIgBcAG4AIAAgACAAIAAgACAAIAAgAH0ALAAgAHIALAAgAGMAKQBcAG4AIAAgACAAIAAgACAAKQBcAG4AIAAgACAAIAApAFwAbgAgACAAKQA7AFwAbgBcAG4AVgBFAEUAUgBHAF8AMwBfADIAXwAxAF8AMQBfAF8ANABfAEEAZABkAGkAdABpAG8AbgBhAGwASQBuAHQAYQBrAGUARgBvAHIATQBpAGwAawBQAHIAbwBkAHUAYwB0AGkAbwBuAF8AQQByAGcAdQBtAGUAbgB0AHMAVgBhAHIAaQBhAHQAaQBvAG4AXABuACAAIAA9AEwAQQBNAEIARABBACgAXABuACAAIAAgACAATQBBAEsARQBBAFIAUgBBAFkAKAA0ACwAIAA0ACwAXABuACAAIAAgACAAIAAgAEwAQQBNAEIARABBACgAcgAsAGMALABcAG4AIAAgACAAIAAgACAAIAAgAEkATgBEAEUAWAAoAHsAXABuACAAIAAgACAAIAAgACAAIAAgACAAXAAiAEwAQwBfAGoAawA0ADUAXAAiACwAIABcACIAcAByAG8AcABvAHIAdABpAG8AbgAgAG8AZgAgAGMAbwB3AHMAIABnAHIAZQBhAHQAZQByACAAdABoAGEAbgAgADEAIAB5AGUAYQByACAAaQBuACAAYwBhAGwAZgAgAGkAbgAgAHQAaABlACAAcwBlAGEAcwBvAG4AIABvAGYAIABjAGEAbAB2AGkAbgBnACAAZQB4AHAAcgBlAHMAcwBlAGQAIABhAHMAIABhACAAZgByAGEAYwB0AGkAbwBuAFwAIgAsACAAXAAiAGYAcgBhAGMAdABpAG8AbgBcACIALAAgAFwAIgBJAG4AcAB1AHQAXAAiADsAXABuACAAIAAgACAAIAAgACAAIAAgACAAXAAiAEYAQQBfAGoAawA0ADUAYwBhAGwAdgBcACIALAAgAFwAIgBmAGUAZQBkACAAYQBkAGoAdQBzAHQAbQBlAG4AdAAgAHYAYQBsAHUAZQAgAGYAbwByACAAbABhAGMAdABhAHQAaQBuAGcAIABjAG8AdwBzACAAaQBuACAAdABoAGUAIABzAGUAYQBzAG8AbgAgAG8AZgAgAGMAYQBsAHYAaQBuAGcAIABlAHgAcAByAGUAcwBzAGUAZAAgAGEAcwAgAGEAIABmAHIAYQBjAHQAaQBvAG4AXAAiACwAIABcACIAZgByAGEAYwB0AGkAbwBuAFwAIgAsACAAXAAiAEMAbwBuAHMAdABhAG4AdABcACIAOwBcAG4AIAAgACAAIAAgACAAIAAgACAAIABcACIARgBBAF8AagBrADQANQBhAGYAdABlAHIAXAAiACwAIABcACIAZgBlAGUAZAAgAGEAZABqAHUAcwB0AG0AZQBuAHQAIAB2AGEAbAB1AGUAIABmAG8AcgAgAGwAYQBjAHQAYQB0AGkAbgBnACAAYwBvAHcAcwAgAGkAbgAgAHQAaABlACAAcwBlAGEAcwBvAG4AIABpAG0AbQBlAGQAaQBhAHQAZQBsAHkAIABhAGYAdABlAHIAIABjAGEAbAB2AGkAbgBnACAAZQB4AHAAcgBlAHMAcwBlAGQAIABhAHMAIABhACAAZgByAGEAYwB0AGkAbwBuAFwAIgAsACAAXAAiAGYAcgBhAGMAdABpAG8AbgBcACIALAAgAFwAIgBDAG8AbgBzAHQAYQBuAHQAXAAiADsAXABuACAAIAAgACAAIAAgACAAIAAgACAAXAAiAGIAXAAiACwAIABcACIAYgByAGUAZQBkACAAbwBmACAAYwBhAHQAdABsAGUAXAAiACwAIABcACIAXAAiACwAIABcACIASQBuAHAAdQB0AFwAIgBcAG4AIAAgACAAIAAgACAAIAAgAH0ALAAgAHIALAAgAGMAKQBcAG4AIAAgACAAIAAgACAAKQBcAG4AIAAgACAAIAApAFwAbgAgACAAKQA7AFwAbgBcAG4AVgBFAEUAUgBHAF8AMwBfADIAXwAxAF8AMQBfAF8ANABfAEEAZABkAGkAdABpAG8AbgBhAGwASQBuAHQAYQBrAGUARgBvAHIATQBpAGwAawBQAHIAbwBkAHUAYwB0AGkAbwBuAF8AVgBhAHIAaQBhAHQAaQBvAG4AXABuAD0ATABBAE0AQgBEAEEAKABcACIAVgBBAFIASQBBAFQASQBPAE4AIABPAE4AIABTAE8AVQBSAEMARQA6ACAARQB4AHAAYQBuAGQAZQBkACAAZQBxAHUAYQB0AGkAbwBuACAAdABvACAAYQBjAGMAbwB1AG4AdAAgAGYAbwByACAAcwBlAGEAcwBvAG4AIABhAGYAdABlAHIAIABjAGEAbAB2AGkAbgBnACwAIAByAGEAdABoAGUAcgAgAHQAaABhAG4AIABkAG8AaQBuAGcAIAB0AGgAZQAgAHMAYQBtAGUAIABlAHEAdQBhAHQAaQBvAG4AIAB0AHcAaQBjAGUAIABmAG8AcgAgAGIAbwB0AGgAIABzAGUAYQBzAG8AbgBzAFwAIgApAFwAbgAiAH0ALAB7ACIAcABhAHQAaAAiADoAIgAvAHAAcgBvAGoAZQBjAHQAcwAvAEkAbgBwAHUAdABGAHUAbgBjAHQAaQBvAG4AcwBfAFAAYQBzAHQAdQByAGUAQgBlAGUAZgAiACwAIgB0AGUAeAB0ACIAOgAiAEwAbwBvAGsAdQBwAEwAaQB2AGUAdwBlAGkAZwBoAHQARgByAG8AbQBTAGUAYQBzAG8AbgBcAG4APQBMAEEATQBCAEQAQQAoAFwAbgAgACAAIAAgAFMAdABhAHQAZQAsACAAUgBlAGcAaQBvAG4ALAAgAFMAZQBhAHMAbwBuACwAIABMAGkAdgBlAHMAdABvAGMAawBDAGwAYQBzAHMALABcAG4AIAAgACAAIABTAHQAYQB0AGUAQQByAHIAYQB5ACwAIABSAGUAZwBpAG8AbgBBAHIAcgBhAHkALAAgAFMAZQBhAHMAbwBuAEEAcgByAGEAeQAsACAATABpAHYAZQBzAHQAbwBjAGsAQwBsAGEAcwBzAEEAcgByAGEAeQAsAFwAbgAgACAAIAAgAFIAZQB0AHUAcgBuAEEAcgByAGEAeQAsAFwAbgAgACAAIAAgAFMAdABhAHQAZQBDAG8AbQBtAG8AbgBOAGEAbQBlAEEAcgByAGEAeQAsACAAUwB0AGEAdABlAEEAYgBiAHIAZQB2AGkAYQB0AGkAbwBuAEEAcgByAGEAeQAsAFwAbgAgACAAIAAgAEwAZQB0ACgAXABuACAAIAAgACAAIAAgACAAIABTAHQAYQB0AGUALAAgAFgATABPAE8ASwBVAFAAKABTAHQAYQB0AGUALAAgAFMAdABhAHQAZQBDAG8AbQBtAG8AbgBOAGEAbQBlAEEAcgByAGEAeQAsACAAUwB0AGEAdABlAEEAYgBiAHIAZQB2AGkAYQB0AGkAbwBuAEEAcgByAGEAeQApACwAXABuACAAIAAgACAAIAAgACAAIABYAEwATwBPAEsAVQBQACgAXABuACAAIAAgACAAIAAgACAAIAAxACwAIABcAG4AIAAgACAAIAAgACAAIAAgACgAUwB0AGEAdABlAEEAcgByAGEAeQA9AFMAdABhAHQAZQApACAAKgAgAFwAbgAgACAAIAAgACAAIAAgACAAKABSAGUAZwBpAG8AbgBBAHIAcgBhAHkAPQBSAGUAZwBpAG8AbgApACAAKgAgAFwAbgAgACAAIAAgACAAIAAgACAAKABTAGUAYQBzAG8AbgBBAHIAcgBhAHkAPQBTAGUAYQBzAG8AbgApACwAIABcAG4AIAAgACAAIAAgACAAIAAgAFgATABPAE8ASwBVAFAAKABMAGkAdgBlAHMAdABvAGMAawBDAGwAYQBzAHMALAAgAEwAaQB2AGUAcwB0AG8AYwBrAEMAbABhAHMAcwBBAHIAcgBhAHkALAAgAFwAbgAgACAAIAAgACAAIAAgACAAUgBlAHQAdQByAG4AQQByAHIAYQB5ACkAKQBcAG4AIAAgACAAIAApAFwAbgApADsAXABuAFwAbgBMAG8AbwBrAHUAcABMAGkAdgBlAHcAZQBpAGcAaAB0AEYAcgBvAG0ATQBvAG4AdABoAFwAbgA9AEwAQQBNAEIARABBACgAXABuACAAIAAgACAAUwB0AGEAdABlACwAIABSAGUAZwBpAG8AbgAsACAATQBvAG4AdABoACwAIABMAGkAdgBlAHMAdABvAGMAawBDAGwAYQBzAHMALABcAG4AIAAgACAAIABTAHQAYQB0AGUAQQByAHIAYQB5ACwAIABSAGUAZwBpAG8AbgBBAHIAcgBhAHkALAAgAFMAZQBhAHMAbwBuAEEAcgByAGEAeQAsACAATABpAHYAZQBzAHQAbwBjAGsAQwBsAGEAcwBzAEEAcgByAGEAeQAsAFwAbgAgACAAIAAgAFIAZQB0AHUAcgBuAEEAcgByAGEAeQAsAFwAbgAgACAAIAAgAFMAdABhAHQAZQBDAG8AbQBtAG8AbgBOAGEAbQBlAEEAcgByAGEAeQAsACAAUwB0AGEAdABlAEEAYgBiAHIAZQB2AGkAYQB0AGkAbwBuAEEAcgByAGEAeQAsAFwAbgAgACAAIAAgAE0AbwBuAHQAaABBAHIAcgBhAHkALAAgAE0AbwBuAHQAaABUAG8AUwBlAGEAcwBvAG4AQQByAHIAYQB5ACwAXABuACAAIAAgACAATABlAHQAKABcAG4AIAAgACAAIAAgACAAIAAgAE0AbwBuAHQAaAAsACAAVABFAFgAVAAoAE0AbwBuAHQAaAAsACAAXAAiAG0AbQBtAG0AXAAiACkALABcAG4AIAAgACAAIAAgACAAIAAgAFMAdABhAHQAZQAsACAAWABMAE8ATwBLAFUAUAAoAFMAdABhAHQAZQAsACAAUwB0AGEAdABlAEMAbwBtAG0AbwBuAE4AYQBtAGUAQQByAHIAYQB5ACwAIABTAHQAYQB0AGUAQQBiAGIAcgBlAHYAaQBhAHQAaQBvAG4AQQByAHIAYQB5ACkALABcAG4AIAAgACAAIAAgACAAIAAgAFMAZQBhAHMAbwBuACwAIABYAEwATwBPAEsAVQBQACgATQBvAG4AdABoACwAIABNAG8AbgB0AGgAQQByAHIAYQB5ACwAIABNAG8AbgB0AGgAVABvAFMAZQBhAHMAbwBuAEEAcgByAGEAeQApACwAXABuACAAIAAgACAAIAAgACAAIABYAEwATwBPAEsAVQBQACgAXABuACAAIAAgACAAIAAgACAAIAAxACwAIABcAG4AIAAgACAAIAAgACAAIAAgACgAUwB0AGEAdABlAEEAcgByAGEAeQA9AFMAdABhAHQAZQApACAAKgAgAFwAbgAgACAAIAAgACAAIAAgACAAKABSAGUAZwBpAG8AbgBBAHIAcgBhAHkAPQBSAGUAZwBpAG8AbgApACAAKgAgAFwAbgAgACAAIAAgACAAIAAgACAAKABTAGUAYQBzAG8AbgBBAHIAcgBhAHkAPQBTAGUAYQBzAG8AbgApACwAIABcAG4AIAAgACAAIAAgACAAIAAgAFgATABPAE8ASwBVAFAAKABMAGkAdgBlAHMAdABvAGMAawBDAGwAYQBzAHMALAAgAEwAaQB2AGUAcwB0AG8AYwBrAEMAbABhAHMAcwBBAHIAcgBhAHkALAAgAFwAbgAgACAAIAAgACAAIAAgACAAUgBlAHQAdQByAG4AQQByAHIAYQB5ACkAKQBcAG4AIAAgACAAIAApAFwAbgApADsAXABuAFwAbgBDAG8AbgB2AGUAcgB0AE0AbwBuAHQAaABsAHkAQwBhAGwAdgBpAG4AZwBUAG8AUwBlAGEAcwBvAG4AXABuAFwAbgA9ACAATABBAE0AQgBEAEEAKABcAG4AIAAgACAAIABTAGUAYQBzAG8AbgAsACAAUwB1AG0AQQByAHIAYQB5ACwAIABDAGEAbAB2AGkAbgBnAE0AbwBuAHQAaABBAHIAcgBhAHkALAAgAE0AbwBuAHQAaABBAHIAcgBhAHkALAAgAE0AbwBuAHQAaABUAG8AUwBlAGEAcwBvAG4AQQByAHIAYQB5ACwAXABuACAAIAAgACAATABFAFQAKABcAG4AIAAgACAAIAAgACAAIAAgAE0AbwBuAHQAaABUAGUAeAB0ACwAIABUAEUAWABUACgAQwBhAGwAdgBpAG4AZwBNAG8AbgB0AGgAQQByAHIAYQB5ACwAIABcACIAbQBtAG0AbQBcACIAKQAsAFwAbgAgACAAIAAgACAAIAAgACAAUwBlAGEAcwBvAG4AUABlAHIAUgBvAHcALAAgAFgATABPAE8ASwBVAFAAKABNAG8AbgB0AGgAVABlAHgAdAAsACAATQBvAG4AdABoAEEAcgByAGEAeQAsACAATQBvAG4AdABoAFQAbwBTAGUAYQBzAG8AbgBBAHIAcgBhAHkALAAgAFwAIgBcACIALAAgADAAKQAsAFwAbgAgACAAIAAgACAAIAAgACAAUwBVAE0AKABTAHUAbQBBAHIAcgBhAHkAIAAqACAAKABTAGUAYQBzAG8AbgBQAGUAcgBSAG8AdwA9AFMAZQBhAHMAbwBuACkAKQBcAG4AIAAgACAAIAApAFwAbgApADsAXABuAFwAbgBMAG8AbwBrAHUAcABWAGEAbAB1AGUARgByAG8AbQBTAHQAYQB0AGUAUgBlAGcAaQBvAG4AUwBlAGEAcwBvAG4AXABuAD0ATABBAE0AQgBEAEEAKABcAG4AIAAgACAAIABTAHQAYQB0AGUALAAgAFIAZQBnAGkAbwBuACwAIABTAGUAYQBzAG8AbgAsAFwAbgAgACAAIAAgAFMAdABhAHQAZQBBAHIAcgBhAHkALAAgAFIAZQBnAGkAbwBuAEEAcgByAGEAeQAsACAAUwBlAGEAcwBvAG4AQQByAHIAYQB5ACwAXABuACAAIAAgACAAUgBlAHQAdQByAG4AQQByAHIAYQB5ACwAXABuACAAIAAgACAAUwB0AGEAdABlAEMAbwBtAG0AbwBuAE4AYQBtAGUAQQByAHIAYQB5ACwAIABTAHQAYQB0AGUAQQBiAGIAcgBlAHYAaQBhAHQAaQBvAG4AQQByAHIAYQB5ACwAXABuACAAIAAgACAATABFAFQAKABcAG4AIAAgACAAIAAgACAAIAAgAFMAdABhAHQAZQAsACAAWABMAE8ATwBLAFUAUAAoAFMAdABhAHQAZQAsACAAUwB0AGEAdABlAEMAbwBtAG0AbwBuAE4AYQBtAGUAQQByAHIAYQB5ACwAIABTAHQAYQB0AGUAQQBiAGIAcgBlAHYAaQBhAHQAaQBvAG4AQQByAHIAYQB5ACkALABcAG4AIAAgACAAIAAgACAAIAAgAFgATABPAE8ASwBVAFAAKABcAG4AIAAgACAAIAAgACAAIAAgACAAIAAgACAAMQAsACAAKABTAHQAYQB0AGUAQQByAHIAYQB5AD0AUwB0AGEAdABlACkAKgBcAG4AIAAgACAAIAAgACAAIAAgACAAIAAgACAAKABSAGUAZwBpAG8AbgBBAHIAcgBhAHkAPQBSAGUAZwBpAG8AbgApACwAXABuACAAIAAgACAAIAAgACAAIAAgACAAIAAgAFgATABPAE8ASwBVAFAAKABcAG4AIAAgACAAIAAgACAAIAAgACAAIAAgACAAIAAgACAAIABTAGUAYQBzAG8AbgAsACAAUwBlAGEAcwBvAG4AQQByAHIAYQB5ACwAIABSAGUAdAB1AHIAbgBBAHIAcgBhAHkAXABuACAAIAAgACAAIAAgACAAIAAgACAAIAAgACkAXABuACAAIAAgACAAIAAgACAAIAApAFwAbgAgACAAIAAgACkAXABuACkAOwBcAG4AXABuAEwAbwBvAGsAdQBwAFYAYQBsAHUAZQBGAHIAbwBtAFMAdABhAHQAZQBSAGUAZwBpAG8AbgBNAG8AbgB0AGgAXABuAD0ATABBAE0AQgBEAEEAKABcAG4AIAAgACAAIABTAHQAYQB0AGUALAAgAFIAZQBnAGkAbwBuACwAIABNAG8AbgB0AGgALABcAG4AIAAgACAAIABTAHQAYQB0AGUAQQByAHIAYQB5ACwAIABSAGUAZwBpAG8AbgBBAHIAcgBhAHkALAAgAFMAZQBhAHMAbwBuAEEAcgByAGEAeQAsAFwAbgAgACAAIAAgAFIAZQB0AHUAcgBuAEEAcgByAGEAeQAsAFwAbgAgACAAIAAgAFMAdABhAHQAZQBDAG8AbQBtAG8AbgBOAGEAbQBlAEEAcgByAGEAeQAsACAAUwB0AGEAdABlAEEAYgBiAHIAZQB2AGkAYQB0AGkAbwBuAEEAcgByAGEAeQAsACAATQBvAG4AdABoAEEAcgByAGEAeQAsACAATQBvAG4AdABoAFQAbwBTAGUAYQBzAG8AbgBBAHIAcgBhAHkALABcAG4AIAAgACAAIABMAEUAVAAoAFwAbgAgACAAIAAgACAAIAAgACAAUwB0AGEAdABlACwAIABYAEwATwBPAEsAVQBQACgAUwB0AGEAdABlACwAIABTAHQAYQB0AGUAQwBvAG0AbQBvAG4ATgBhAG0AZQBBAHIAcgBhAHkALAAgAFMAdABhAHQAZQBBAGIAYgByAGUAdgBpAGEAdABpAG8AbgBBAHIAcgBhAHkAKQAsAFwAbgAgACAAIAAgACAAIAAgACAAUwBlAGEAcwBvAG4ALAAgAFgATABPAE8ASwBVAFAAKABUAEUAWABUACgATQBvAG4AdABoACwAIABcACIAbQBtAG0AbQBcACIAKQAsACAATQBvAG4AdABoAEEAcgByAGEAeQAsACAATQBvAG4AdABoAFQAbwBTAGUAYQBzAG8AbgBBAHIAcgBhAHkAKQAsAFwAbgAgACAAIAAgACAAIAAgACAAWABMAE8ATwBLAFUAUAAoAFwAbgAgACAAIAAgACAAIAAgACAAIAAgACAAIAAxACwAIAAoAFMAdABhAHQAZQBBAHIAcgBhAHkAPQBTAHQAYQB0AGUAKQAqAFwAbgAgACAAIAAgACAAIAAgACAAIAAgACAAIAAoAFIAZQBnAGkAbwBuAEEAcgByAGEAeQA9AFIAZQBnAGkAbwBuACkALABcAG4AIAAgACAAIAAgACAAIAAgACAAIAAgACAAWABMAE8ATwBLAFUAUAAoAFwAbgAgACAAIAAgACAAIAAgACAAIAAgACAAIAAgACAAIAAgAFMAZQBhAHMAbwBuACwAIABTAGUAYQBzAG8AbgBBAHIAcgBhAHkALAAgAFIAZQB0AHUAcgBuAEEAcgByAGEAeQBcAG4AIAAgACAAIAAgACAAIAAgACAAIAAgACAAKQBcAG4AIAAgACAAIAAgACAAIAAgACkAXABuACAAIAAgACAAKQBcAG4AKQA7ACIAfQAsAHsAIgBwAGEAdABoACIAOgAiAC8AcAByAG8AagBlAGMAdABzAC8AUwBvAHUAcgBjAGUARABhAHQAYQBfAFAAYQBzAHQAdQByAGUAQgBlAGUAZgAiACwAIgB0AGUAeAB0ACIAOgAiAFwAbgAvACoAIABcAG4ALQAtAC0ALQAtAC0ALQAtAC0ALQAtAC0ALQAtAC0ALQAtAC0ALQAtAC0ALQAtAC0ALQAtAC0ALQAtAC0ALQAtAC0ALQAtAC0ALQAtAFwAbgBTAG8AdQByAGMAZQBEAGEAdABhAF8AUABhAHMAdAB1AHIAZQBCAGUAZQBmAF8ATABpAHYAZQB3AGUAaQBnAGgAdABcAG4AVABhAGIAbABlACAAQQAuADEALgAyAC4AMQA6ACAAQgBlAGUAZgAgAHAAYQBzAHQAdQByAGUAIABjAGEAdAB0AGwAZQAgAC0AIABMAGkAdgBlAHcAZQBpAGcAaAB0ACAAKABrAGcAKQAgACgAVwBqAGsAbAApAFwAbgAtAC0ALQAtAC0ALQAtAC0ALQAtAC0ALQAtAC0ALQAtAC0ALQAtAC0ALQAtAC0ALQAtAC0ALQAtAC0ALQAtAC0ALQAtAC0ALQAtAC0AXABuACoALwBcAG4AXABuAFMAbwB1AHIAYwBlAEQAYQB0AGEAXwBQAGEAcwB0AHUAcgBlAEIAZQBlAGYAXwBMAGkAdgBlAHcAZQBpAGcAaAB0AF8AVABpAHQAbABlAFwAbgAgACAAPQBMAEEATQBCAEQAQQAoAFwAIgBCAGUAZQBmACAAcABhAHMAdAB1AHIAZQAgAGMAYQB0AHQAbABlACAALQAgAEwAaQB2AGUAdwBlAGkAZwBoAHQAIAAoAGsAZwApACAAKABXAGoAawBsACkAXAAiACkAOwBcAG4AXABuAFMAbwB1AHIAYwBlAEQAYQB0AGEAXwBQAGEAcwB0AHUAcgBlAEIAZQBlAGYAXwBMAGkAdgBlAHcAZQBpAGcAaAB0AF8AVgBhAHIAaQBhAGIAbABlAFwAbgAgACAAPQBMAEEATQBCAEQAQQAoAFwAIgBXAGoAawBsAFwAIgApADsAXABuAFwAbgBTAG8AdQByAGMAZQBEAGEAdABhAF8AUABhAHMAdAB1AHIAZQBCAGUAZQBmAF8ATABpAHYAZQB3AGUAaQBnAGgAdABfAFUAbgBpAHQAXABuACAAIAA9AEwAQQBNAEIARABBACgAXAAiAGsAZwBcACIAKQA7AFwAbgBcAG4AUwBvAHUAcgBjAGUARABhAHQAYQBfAFAAYQBzAHQAdQByAGUAQgBlAGUAZgBfAEwAaQB2AGUAdwBlAGkAZwBoAHQAXwBTAG8AdQByAGMAZQBcAG4AIAAgAD0ATABBAE0AQgBEAEEAKABcACIAVgBFAEUAUgBHACAAMgAwADIANgA6ACAAVABhAGIAbABlACAAQQAuADEALgAyAC4AMQBcACIAKQA7AFwAbgBcAG4AUwBvAHUAcgBjAGUARABhAHQAYQBfAFAAYQBzAHQAdQByAGUAQgBlAGUAZgBfAEwAaQB2AGUAdwBlAGkAZwBoAHQAXwBWAGEAcgBpAGEAdABpAG8AbgBcAG4AIAAgAD0ATABBAE0AQgBEAEEAKABcACIAXAAiACkAOwBcAG4AXABuAFMAbwB1AHIAYwBlAEQAYQB0AGEAXwBQAGEAcwB0AHUAcgBlAEIAZQBlAGYAXwBMAGkAdgBlAHcAZQBpAGcAaAB0AF8ARABhAHQAYQBcAG4AIAAgAD0ATABBAE0AQgBEAEEAKABcAG4AIAAgACAAIABNAEEASwBFAEEAUgBSAEEAWQAoADIAOQAsACAAMQAwACwAXABuACAAIAAgACAAIAAgAEwAQQBNAEIARABBACgAcgAsAGMALABcAG4AIAAgACAAIAAgACAAIAAgAEkATgBEAEUAWAAoAHsAXABuACAAIAAgACAAIAAgACAAIAAgACAAXAAiAFMAdABhAHQAZQBcACIALAAgAFwAIgBSAGUAZwBpAG8AbgBcACIALAAgAFwAIgBTAGUAYQBzAG8AbgBcACIALAAgAFwAIgBCAHUAbABsACAAXAB1ADAAMAAzAGMAIAAxAFwAIgAsACAAXAAiAEIAdQBsAGwAIABcAHUAMAAwADMAZQAgADEAXAAiACwAIABcACIAQwBvAHcAIABcAHUAMAAwADMAYwAgADEAXAAiACwAIABcACIAQwBvAHcAIAAxAC0AMgBcACIALAAgAFwAIgBDAG8AdwAgAFwAdQAwADAAMwBlACAAMgBcACIALAAgAFwAIgBTAHQAZQBlAHIAIABcAHUAMAAwADMAYwAgADEAXAAiACwAIABcACIAUwB0AGUAZQByACAAXAB1ADAAMAAzAGUAIAAxAFwAIgA7AFwAbgAgACAAIAAgACAAIAAgACAAIAAgAFwAIgBBAEMAVAAvAE4AUwBXAFwAIgAsACAAXAAiAG4ALwBhAFwAIgAsACAAXAAiAFMAcAByAGkAbgBnAFwAIgAsACAAOAAwACwAIAA0ADgAMAAsACAANwA1ACwAIAAzADAAMAAsACAANAA0ADAALAAgADcANQAsACAAMwA4ADAAOwBcAG4AIAAgACAAIAAgACAAIAAgACAAIABcACIAQQBDAFQALwBOAFMAVwBcACIALAAgAFwAIgBuAC8AYQBcACIALAAgAFwAIgBTAHUAbQBtAGUAcgBcACIALAAgADEANwAwACwAIAA1ADIAMAAsACAAMQA2ADAALAAgADMANgAwACwAIAA0ADcAMAAsACAAMQA2ADAALAAgADQAMgAwADsAXABuACAAIAAgACAAIAAgACAAIAAgACAAXAAiAEEAQwBUAC8ATgBTAFcAXAAiACwAIABcACIAbgAvAGEAXAAiACwAIABcACIAQQB1AHQAdQBtAG4AXAAiACwAIAAyADQAMAAsACAANQA1ADAALAAgADIAMgAwACwAIAAzADkAMAAsACAANAA5ADAALAAgADIAMgAwACwAIAA0ADUAMAA7AFwAbgAgACAAIAAgACAAIAAgACAAIAAgAFwAIgBBAEMAVAAvAE4AUwBXAFwAIgAsACAAXAAiAG4ALwBhAFwAIgAsACAAXAAiAFcAaQBuAHQAZQByAFwAIgAsACAAMgA4ADAALAAgADUANgAwACwAIAAyADYAMAAsACAANAAxADAALAAgADUAMAAwACwAIAAyADYAMAAsACAANAA2ADAAOwBcAG4AIAAgACAAIAAgACAAIAAgACAAIABcACIAUwBvAHUAdABoACAAQQB1AHMAdAByAGEAbABpAGEAXAAiACwAIABcACIAbgAvAGEAXAAiACwAIABcACIAUwBwAHIAaQBuAGcAXAAiACwAIAAyADUAMAAsACAAOAAwADAALAAgADIAMgAwACwAIAA0ADAAMAAsACAANQAwADAALAAgADIAMwAwACwAIAA0ADIAMAA7AFwAbgAgACAAIAAgACAAIAAgACAAIAAgAFwAIgBTAG8AdQB0AGgAIABBAHUAcwB0AHIAYQBsAGkAYQBcACIALAAgAFwAIgBuAC8AYQBcACIALAAgAFwAIgBTAHUAbQBtAGUAcgBcACIALAAgADMAMgAwACwAIAA4ADAAMAAsACAAMgA4ADAALAAgADQAMgAwACwAIAA1ADAAMAAsACAAMgA5ADAALAAgADQAMgAwADsAXABuACAAIAAgACAAIAAgACAAIAAgACAAXAAiAFMAbwB1AHQAaAAgAEEAdQBzAHQAcgBhAGwAaQBhAFwAIgAsACAAXAAiAG4ALwBhAFwAIgAsACAAXAAiAEEAdQB0AHUAbQBuAFwAIgAsACAAOAAwACwAIAA3ADAAMAAsACAANwAwACwAIAAzADAAMAAsACAANAA1ADAALAAgADcANQAsACAANAAwADAAOwBcAG4AIAAgACAAIAAgACAAIAAgACAAIABcACIAUwBvAHUAdABoACAAQQB1AHMAdAByAGEAbABpAGEAXAAiACwAIABcACIAbgAvAGEAXAAiACwAIABcACIAVwBpAG4AdABlAHIAXAAiACwAIAAxADYAMAAsACAANwAwADAALAAgADEANAAwACwAIAAzADUAMAAsACAANAA1ADAALAAgADEANQAwACwAIAA0ADAAMAA7AFwAbgAgACAAIAAgACAAIAAgACAAIAAgAFwAIgBUAGEAcwBtAGEAbgBpAGEAXAAiACwAIABcACIAbgAvAGEAXAAiACwAIABcACIAUwBwAHIAaQBuAGcAXAAiACwAIAAxADAANQAsACAANwAwADAALAAgADgANQAsACAAMwAwADAALAAgADQAOQAwACwAIAA5ADAALAAgADQAOAAwADsAXABuACAAIAAgACAAIAAgACAAIAAgACAAXAAiAFQAYQBzAG0AYQBuAGkAYQBcACIALAAgAFwAIgBuAC8AYQBcACIALAAgAFwAIgBTAHUAbQBtAGUAcgBcACIALAAgADQAOAAwACwAIAA3ADUAMAAsACAAMQA1ADAALAAgADMANQAwACwAIAA1ADMAMAAsACAAMQA2ADAALAAgADQANgAwADsAXABuACAAIAAgACAAIAAgACAAIAAgACAAXAAiAFQAYQBzAG0AYQBuAGkAYQBcACIALAAgAFwAIgBuAC8AYQBcACIALAAgAFwAIgBBAHUAdAB1AG0AbgBcACIALAAgADIANQAwACwAIAA3ADIANQAsACAAMgAwADAALAAgADMANgAwACwAIAA1ADAAMAAsACAAMgAxADUALAAgADQAOQAwADsAXABuACAAIAAgACAAIAAgACAAIAAgACAAXAAiAFQAYQBzAG0AYQBuAGkAYQBcACIALAAgAFwAIgBuAC8AYQBcACIALAAgAFwAIgBXAGkAbgB0AGUAcgBcACIALAAgADIANgAwACwAIAA3ADAAMAAsACAAMgAxADAALAAgADMAOAAwACwAIAA0ADYAMAAsACAAMgAzADAALAAgADQANwAwADsAXABuACAAIAAgACAAIAAgACAAIAAgACAAXAAiAFYAaQBjAHQAbwByAGkAYQBcACIALAAgAFwAIgBuAC8AYQBcACIALAAgAFwAIgBTAHAAcgBpAG4AZwBcACIALAAgADIANQAwACwAIAA4ADIAMAAsACAAMgA0ADAALAAgADQAMQAwACwAIAA1ADYAMAAsACAAMgA0ADAALAAgADUAMQAwADsAXABuACAAIAAgACAAIAAgACAAIAAgACAAXAAiAFYAaQBjAHQAbwByAGkAYQBcACIALAAgAFwAIgBuAC8AYQBcACIALAAgAFwAIgBTAHUAbQBtAGUAcgBcACIALAAgADIAOAAwACwAIAA4ADUAMAAsACAAMgA2ADAALAAgADQANAAwACwAIAA1ADUAMAAsACAAMgA3ADAALAAgADUAMgAwADsAXABuACAAIAAgACAAIAAgACAAIAAgACAAXAAiAFYAaQBjAHQAbwByAGkAYQBcACIALAAgAFwAIgBuAC8AYQBcACIALAAgAFwAIgBBAHUAdAB1AG0AbgBcACIALAAgADEAMAAwACwAIAA3ADAAMAAsACAAOQA1ACwAIAAzADAAMAAsACAANAA1ADAALAAgADkANQAsACAANAAxADAAOwBcAG4AIAAgACAAIAAgACAAIAAgACAAIABcACIAVgBpAGMAdABvAHIAaQBhAFwAIgAsACAAXAAiAG4ALwBhAFwAIgAsACAAXAAiAFcAaQBuAHQAZQByAFwAIgAsACAAMQA1ADAALAAgADcAMgAwACwAIAAxADQAMAAsACAAMwAyADAALAAgADQANwAwACwAIAAxADQAMAAsACAANAA0ADAAOwBcAG4AIAAgACAAIAAgACAAIAAgACAAIABcACIAVwBlAHMAdABlAHIAbgAgAEEAdQBzAHQAcgBhAGwAaQBhAFwAIgAsACAAXAAiAFMAbwB1AHQAaAAgAFcAZQBzAHQAXAAiACwAIABcACIAUwBwAHIAaQBuAGcAXAAiACwAIAAzADQAMAAsACAAOAAwADAALAAgADIANgAwACwAIAA0ADIAMAAsACAANQA1ADAALAAgADMAMAAwACwAIAA0ADgAMAA7AFwAbgAgACAAIAAgACAAIAAgACAAIAAgAFwAIgBXAGUAcwB0AGUAcgBuACAAQQB1AHMAdAByAGEAbABpAGEAXAAiACwAIABcACIAUwBvAHUAdABoACAAVwBlAHMAdABcACIALAAgAFwAIgBTAHUAbQBtAGUAcgBcACIALAAgADMAOAAwACwAIAA3ADgAMAAsACAAMwAwADAALAAgADQANQAwACwAIAA1ADMAMAAsACAAMwA0ADAALAAgADQANwAwADsAXABuACAAIAAgACAAIAAgACAAIAAgACAAXAAiAFcAZQBzAHQAZQByAG4AIABBAHUAcwB0AHIAYQBsAGkAYQBcACIALAAgAFwAIgBTAG8AdQB0AGgAIABXAGUAcwB0AFwAIgAsACAAXAAiAEEAdQB0AHUAbQBuAFwAIgAsACAAMQAwADAALAAgADYAOAAwACwAIAA4ADAALAAgADMAMgAwACwAIAA0ADgAMAAsACAAMQAwADAALAAgADMANAAwADsAXABuACAAIAAgACAAIAAgACAAIAAgACAAXAAiAFcAZQBzAHQAZQByAG4AIABBAHUAcwB0AHIAYQBsAGkAYQBcACIALAAgAFwAIgBTAG8AdQB0AGgAIABXAGUAcwB0AFwAIgAsACAAXAAiAFcAaQBuAHQAZQByAFwAIgAsACAAMQA5ADAALAAgADcAMAAwACwAIAAxADUAMAAsACAAMwAzADAALAAgADQAOQAwACwAIAAxADcAMAAsACAAMwA2ADAAOwBcAG4AIAAgACAAIAAgACAAIAAgACAAIABcACIAVwBlAHMAdABlAHIAbgAgAEEAdQBzAHQAcgBhAGwAaQBhAFwAIgAsACAAXAAiAFAAaQBsAGIAYQByAGEAXAAiACwAIABcACIAUwBwAHIAaQBuAGcAXAAiACwAIAA4ADAALAAgADQANQAwACwAIAA3ADAALAAgADIANgAwACwAIAAzADQAMAAsACAAOAAwACwAIAAzADcAMAA7AFwAbgAgACAAIAAgACAAIAAgACAAIAAgAFwAIgBXAGUAcwB0AGUAcgBuACAAQQB1AHMAdAByAGEAbABpAGEAXAAiACwAIABcACIAUABpAGwAYgBhAHIAYQBcACIALAAgAFwAIgBTAHUAbQBtAGUAcgBcACIALAAgADEANQAwACwAIAA1ADAAMAAsACAAMQA0ADAALAAgADMAMQAwACwAIAAzADYAMAAsACAAMQA1ADAALAAgADQAMAAwADsAXABuACAAIAAgACAAIAAgACAAIAAgACAAXAAiAFcAZQBzAHQAZQByAG4AIABBAHUAcwB0AHIAYQBsAGkAYQBcACIALAAgAFwAIgBQAGkAbABiAGEAcgBhAFwAIgAsACAAXAAiAEEAdQB0AHUAbQBuAFwAIgAsACAAMgAzADAALAAgADUANQAwACwAIAAyADIAMAAsACAAMwAzADAALAAgADMAOAAwACwAIAAyADMAMAAsACAANAAyADAAOwBcAG4AIAAgACAAIAAgACAAIAAgACAAIABcACIAVwBlAHMAdABlAHIAbgAgAEEAdQBzAHQAcgBhAGwAaQBhAFwAIgAsACAAXAAiAFAAaQBsAGIAYQByAGEAXAAiACwAIABcACIAVwBpAG4AdABlAHIAXAAiACwAIAAyADUAMAAsACAANQAwADAALAAgADIANAAwACwAIAAzADQAMAAsACAAMwA2ADAALAAgADIANQAwACwAIAAzADkAMAA7AFwAbgAgACAAIAAgACAAIAAgACAAIAAgAFwAIgBXAGUAcwB0AGUAcgBuACAAQQB1AHMAdAByAGEAbABpAGEAXAAiACwAIABcACIASwBpAG0AYgBlAHIAbABlAHkAXAAiACwAIABcACIAUwBwAHIAaQBuAGcAXAAiACwAIAAyADIAMAAsACAANQAwADAALAAgADEAOAAwACwAIAAzADAAMAAsACAAMwAyADAALAAgADIAMQAwACwAIAAzADQAMAA7AFwAbgAgACAAIAAgACAAIAAgACAAIAAgAFwAIgBXAGUAcwB0AGUAcgBuACAAQQB1AHMAdAByAGEAbABpAGEAXAAiACwAIABcACIASwBpAG0AYgBlAHIAbABlAHkAXAAiACwAIABcACIAUwB1AG0AbQBlAHIAXAAiACwAIAAxADEAMAAsACAANQA1ADAALAAgADkAMAAsACAAMgAyADAALAAgADMAOAAwACwAIAAxADAAMAAsACAAMwA5ADAAOwBcAG4AIAAgACAAIAAgACAAIAAgACAAIABcACIAVwBlAHMAdABlAHIAbgAgAEEAdQBzAHQAcgBhAGwAaQBhAFwAIgAsACAAXAAiAEsAaQBtAGIAZQByAGwAZQB5AFwAIgAsACAAXAAiAEEAdQB0AHUAbQBuAFwAIgAsACAAMQA3ADAALAAgADYAMAAwACwAIAAxADQAMAAsACAAMgA3ADAALAAgADMAOQAwACwAIAAxADYAMAAsACAANAAzADAAOwBcAG4AIAAgACAAIAAgACAAIAAgACAAIABcACIAVwBlAHMAdABlAHIAbgAgAEEAdQBzAHQAcgBhAGwAaQBhAFwAIgAsACAAXAAiAEsAaQBtAGIAZQByAGwAZQB5AFwAIgAsACAAXAAiAFcAaQBuAHQAZQByAFwAIgAsACAAMgAwADAALAAgADUANQAwACwAIAAxADUAMAAsACAAMgA4ADAALAAgADMANQAwACwAIAAxADkAMAAsACAANAAwADA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MAGkAdgBlAHcAZQBpAGcAaAB0AE4AVABRAEwARABcAG4AVABhAGIAbABlACAAQQAuADEALgAyAC4AMgA6ACAAQgBlAGUAZgAgAHAAYQBzAHQAdQByAGUAIABjAGEAdAB0AGwAZQAgAC0AIABMAGkAdgBlAHcAZQBpAGcAaAB0ACAAKABrAGcAKQAgACgAVwBqAGsAbAApACAAZgBvAHIAIABOAFQAIABhAG4AZAAgAFEATABEAFwAbgAtAC0ALQAtAC0ALQAtAC0ALQAtAC0ALQAtAC0ALQAtAC0ALQAtAC0ALQAtAC0ALQAtAC0ALQAtAC0ALQAtAC0ALQAtAC0ALQAtAC0AXABuACoALwBcAG4AXABuAFMAbwB1AHIAYwBlAEQAYQB0AGEAXwBQAGEAcwB0AHUAcgBlAEIAZQBlAGYAXwBMAGkAdgBlAHcAZQBpAGcAaAB0AE4AVABRAEwARABfAFQAaQB0AGwAZQBcAG4AIAAgAD0ATABBAE0AQgBEAEEAKABcACIAQgBlAGUAZgAgAHAAYQBzAHQAdQByAGUAIABjAGEAdAB0AGwAZQAgAC0AIABMAGkAdgBlAHcAZQBpAGcAaAB0ACAAKABrAGcAKQAgACgAVwBqAGsAbAApACAAZgBvAHIAIABOAFQAIABhAG4AZAAgAFEATABEAFwAIgApADsAXABuAFwAbgBTAG8AdQByAGMAZQBEAGEAdABhAF8AUABhAHMAdAB1AHIAZQBCAGUAZQBmAF8ATABpAHYAZQB3AGUAaQBnAGgAdABOAFQAUQBMAEQAXwBWAGEAcgBpAGEAYgBsAGUAXABuACAAIAA9AEwAQQBNAEIARABBACgAXAAiAFcAagBrAGwAXAAiACkAOwBcAG4AXABuAFMAbwB1AHIAYwBlAEQAYQB0AGEAXwBQAGEAcwB0AHUAcgBlAEIAZQBlAGYAXwBMAGkAdgBlAHcAZQBpAGcAaAB0AE4AVABRAEwARABfAFUAbgBpAHQAXABuACAAIAA9AEwAQQBNAEIARABBACgAXAAiAGsAZwBcACIAKQA7AFwAbgBcAG4AUwBvAHUAcgBjAGUARABhAHQAYQBfAFAAYQBzAHQAdQByAGUAQgBlAGUAZgBfAEwAaQB2AGUAdwBlAGkAZwBoAHQATgBUAFEATABEAF8AUwBvAHUAcgBjAGUAXABuACAAIAA9AEwAQQBNAEIARABBACgAXAAiAFYARQBFAFIARwAgADIAMAAyADYAOgAgAFQAYQBiAGwAZQAgAEEALgAxAC4AMgAuADIAXAAiACkAOwBcAG4AXABuAFMAbwB1AHIAYwBlAEQAYQB0AGEAXwBQAGEAcwB0AHUAcgBlAEIAZQBlAGYAXwBMAGkAdgBlAHcAZQBpAGcAaAB0AE4AVABRAEwARABfAFYAYQByAGkAYQB0AGkAbwBuAFwAbgAgACAAPQBMAEEATQBCAEQAQQAoAFwAIgBcACIAKQA7AFwAbgBcAG4AUwBvAHUAcgBjAGUARABhAHQAYQBfAFAAYQBzAHQAdQByAGUAQgBlAGUAZgBfAEwAaQB2AGUAdwBlAGkAZwBoAHQATgBUAFEATABEAF8ARABhAHQAYQBcAG4AIAAgAD0ATABBAE0AQgBEAEEAKABcAG4AIAAgACAAIABNAEEASwBFAEEAUgBSAEEAWQAoADIAOQAsACAAMQAzACwAXABuACAAIAAgACAAIAAgAEwAQQBNAEIARABBACgAcgAsAGMALABcAG4AIAAgACAAIAAgACAAIAAgAEkATgBEAEUAWAAoAHsAXABuACAAIAAgACAAIAAgACAAIAAgACAAXAAiAFMAdABhAHQAZQBcACIALAAgAFwAIgBSAGUAZwBpAG8AbgBcACIALAAgAFwAIgBTAGUAYQBzAG8AbgBcACIALAAgAFwAIgBCAHUAbABsACAAXAB1ADAAMAAzAGMAMQBcACIALAAgAFwAIgBCAHUAbABsACAAXAB1ADAAMAAzAGUAMQBcACIALAAgAFwAIgBDAG8AdwBzACAAXAB1ADAAMAAzAGMAMQBcACIALAAgAFwAIgBDAG8AdwBzACAAMQAtADIAXAAiACwAIABcACIAQwBvAHcAcwAgADIALQAzAFwAIgAsACAAXAAiAEMAbwB3AHMAIABcAHUAMAAwADMAZQAzAFwAIgAsACAAXAAiAFMAdABlAGUAcgAgAFwAdQAwADAAMwBjADEAXAAiACwAIABcACIAUwB0AGUAZQByACAAMQAtADIAXAAiACwAIABcACIAUwB0AGUAZQByACAAMgAtADMAXAAiACwAIABcACIAUwB0AGUAZQByACAAXAB1ADAAMAAzAGUAMwBcACIAOwBcAG4AIAAgACAAIAAgACAAIAAgACAAIABcACIATgBvAHIAdABoAGUAcgBuACAAVABlAHIAcgBpAHQAbwByAHkAXAAiACwAIABcACIAQQBsAGkAYwBlACAAUwBwAHIAaQBuAGcAcwBcACIALAAgAFwAIgBTAHAAcgBpAG4AZwBcACIALAAgADIAMgAwACwAIAA3ADAANgAsACAAMgAwADgALAAgADMAMgAzACwAIAA0ADEANQAsACAANAA2ADcALAAgADIAMgAzACwAIAAzADcAMQAsACAANAA5ADMALAAgADUAOAA1ADsAXABuACAAIAAgACAAIAAgACAAIAAgACAAXAAiAE4AbwByAHQAaABlAHIAbgAgAFQAZQByAHIAaQB0AG8AcgB5AFwAIgAsACAAXAAiAEEAbABpAGMAZQAgAFMAcAByAGkAbgBnAHMAXAAiACwAIABcACIAUwB1AG0AbQBlAHIAXAAiACwAIAAxADEAMAAsACAANwAwADMALAAgADEAMQAyACwAIAAyADUANgAsACAAMwA2ADgALAAgADQANgA1ACwAIAAxADAAOAAsACAAMgA4ADAALAAgADQAMgAxACwAIAA1ADQAMwA7AFwAbgAgACAAIAAgACAAIAAgACAAIAAgAFwAIgBOAG8AcgB0AGgAZQByAG4AIABUAGUAcgByAGkAdABvAHIAeQBcACIALAAgAFwAIgBBAGwAaQBjAGUAIABTAHAAcgBpAG4AZwBzAFwAIgAsACAAXAAiAEEAdQB0AHUAbQBuAFwAIgAsACAAMQA3ADAALAAgADcAMgAxACwAIAAxADYAOQAsACAAMwAwADYALAAgADMAOQAyACwAIAA0ADYANAAsACAAMQA3ADYALAAgADMAMwA5ACwAIAA0ADcAMAAsACAANQA4ADAAOwBcAG4AIAAgACAAIAAgACAAIAAgACAAIABcACIATgBvAHIAdABoAGUAcgBuACAAVABlAHIAcgBpAHQAbwByAHkAXAAiACwAIABcACIAQQBsAGkAYwBlACAAUwBwAHIAaQBuAGcAcwBcACIALAAgAFwAIgBXAGkAbgB0AGUAcgBcACIALAAgADIAMAAwACwAIAA3ADIANwAsACAAMgAxADEALAAgADMAMwA4ACwAIAA0ADMAMgAsACAANAA5ADIALAAgADIAMgAyACwAIAAzADcANwAsACAANAA5ADgALAAgADUAOQAwADsAXABuACAAIAAgACAAIAAgACAAIAAgACAAXAAiAE4AbwByAHQAaABlAHIAbgAgAFQAZQByAHIAaQB0AG8AcgB5AFwAIgAsACAAXAAiAEIAYQByAGsAbAB5AFwAIgAsACAAXAAiAFMAcAByAGkAbgBnAFwAIgAsACAAMgAyADAALAAgADYAMgAwACwAIAAyADIANwAsACAAMwAxADkALAAgADMAOQA4ACwAIAA0ADUAMgAsACAAMgAxADYALAAgADMAMwA0ACwAIABcACIATgBPAFwAIgAsACAAXAAiAE4ATwBcACIAOwBcAG4AIAAgACAAIAAgACAAIAAgACAAIABcACIATgBvAHIAdABoAGUAcgBuACAAVABlAHIAcgBpAHQAbwByAHkAXAAiACwAIABcACIAQgBhAHIAawBsAHkAXAAiACwAIABcACIAUwB1AG0AbQBlAHIAXAAiACwAIAAxADEAMAAsACAANgA1ADAALAAgADEAMAA4ACwAIAAyADYAMgAsACAAMwA0ADYALAAgADQAMwAwACwAIAAxADEAMQAsACAAMgAzADYALAAgAFwAIgBOAE8AXAAiACwAIABcACIATgBPAFwAIgA7AFwAbgAgACAAIAAgACAAIAAgACAAIAAgAFwAIgBOAG8AcgB0AGgAZQByAG4AIABUAGUAcgByAGkAdABvAHIAeQBcACIALAAgAFwAIgBCAGEAcgBrAGwAeQBcACIALAAgAFwAIgBBAHUAdAB1AG0AbgBcACIALAAgADEANwAwACwAIAA2ADcAMAAsACAAMQA3ADAALAAgADIANgA2ACwAIAAzADYAMwAsACAANAA0ADQALAAgADEANgA5ACwAIAAyADgAMgAsACAAXAAiAE4ATwBcACIALAAgAFwAIgBOAE8AXAAiADsAXABuACAAIAAgACAAIAAgACAAIAAgACAAXAAiAE4AbwByAHQAaABlAHIAbgAgAFQAZQByAHIAaQB0AG8AcgB5AFwAIgAsACAAXAAiAEIAYQByAGsAbAB5AFwAIgAsACAAXAAiAFcAaQBuAHQAZQByAFwAIgAsACAAMgAwADAALAAgADYANgAwACwAIAAyADIANQAsACAAMwAwADcALAAgADMAOQA4ACwAIAA0ADUAMgAsACAAMgAxADQALAAgADMAMgA2ACwAIABcACIATgBPAFwAIgAsACAAXAAiAE4ATwBcACIAOwBcAG4AIAAgACAAIAAgACAAIAAgACAAIABcACIATgBvAHIAdABoAGUAcgBuACAAVABlAHIAcgBpAHQAbwByAHkAXAAiACwAIABcACIATgBvAHIAdABoAGUAcgBuAFwAIgAsACAAXAAiAFMAcAByAGkAbgBnAFwAIgAsACAAMgAyADAALAAgADYAMgAwACwAIAAxADcANwAsACAAMgA2ADcALAAgADMANgA1ACwAIAA0ADAANgAsACAAMgAzADEALAAgADIANAA5ACwAIAAzADIANAAsACAAXAAiAE4ATwBcACIAOwBcAG4AIAAgACAAIAAgACAAIAAgACAAIABcACIATgBvAHIAdABoAGUAcgBuACAAVABlAHIAcgBpAHQAbwByAHkAXAAiACwAIABcACIATgBvAHIAdABoAGUAcgBuAFwAIgAsACAAXAAiAFMAdQBtAG0AZQByAFwAIgAsACAAMQAxADAALAAgADYANQAwACwAIAAxADAAMgAsACAAMgAwADMALAAgADIAOQA5ACwAIAAzADgAMAAsACAAMQAwADIALAAgADIAMQA4ACwAIAAyADYAMwAsACAAXAAiAE4ATwBcACIAOwBcAG4AIAAgACAAIAAgACAAIAAgACAAIABcACIATgBvAHIAdABoAGUAcgBuACAAVABlAHIAcgBpAHQAbwByAHkAXAAiACwAIABcACIATgBvAHIAdABoAGUAcgBuAFwAIgAsACAAXAAiAEEAdQB0AHUAbQBuAFwAIgAsACAAMQA3ADAALAAgADYANwAwACwAIAAxADcAMwAsACAAMgA1ADAALAAgADMAMwA2ACwAIAA0ADEANAAsACAAMQA3ADUALAAgADIANAAzACwAIAAzADAANAAsACAAXAAiAE4ATwBcACIAOwBcAG4AIAAgACAAIAAgACAAIAAgACAAIABcACIATgBvAHIAdABoAGUAcgBuACAAVABlAHIAcgBpAHQAbwByAHkAXAAiACwAIABcACIATgBvAHIAdABoAGUAcgBuAFwAIgAsACAAXAAiAFcAaQBuAHQAZQByAFwAIgAsACAAMgAwADAALAAgADYANgAwACwAIAAyADAAMgAsACAAMgA3ADIALAAgADMANgA1ACwAIAAzADkAMAAsACAAMgAwADgALAAgADIANgAwACwAIAAzADMANwAsACAAXAAiAE4ATwBcACIAOwBcAG4AIAAgACAAIAAgACAAIAAgACAAIABcACIAUQB1AGUAZQBuAHMAbABhAG4AZABcACIALAAgAFwAIgBIAGkAZwBoAFwAIgAsACAAXAAiAFMAcAByAGkAbgBnAFwAIgAsACAAMgA2ADAALAAgADcAMAA1ACwAIAAyADEANQAsACAAMwAwADIALAAgADQAMQA2ACwAIAA1ADEAOQAsACAAMgAzADQALAAgADQANQA1ACwAIAA1ADUAMQAsACAANgA2ADAAOwBcAG4AIAAgACAAIAAgACAAIAAgACAAIABcACIAUQB1AGUAZQBuAHMAbABhAG4AZABcACIALAAgAFwAIgBIAGkAZwBoAFwAIgAsACAAXAAiAFMAdQBtAG0AZQByAFwAIgAsACAAMQA1ADMALAAgADcAMAAzACwAIAAxADEAOAAsACAAMgA3ADcALAAgADMAOQA3ACwAIAA0ADgAMwAsACAAMQAxADEALAAgADMAMAA0ACwAIAA1ADIAMQAsACAANQA0ADcAOwBcAG4AIAAgACAAIAAgACAAIAAgACAAIABcACIAUQB1AGUAZQBuAHMAbABhAG4AZABcACIALAAgAFwAIgBIAGkAZwBoAFwAIgAsACAAXAAiAEEAdQB0AHUAbQBuAFwAIgAsACAAMQA2ADgALAAgADcAMQA4ACwAIAAxADkAMQAsACAAMwAxADkALAAgADQANAAwACwAIAA1ADAANgAsACAAMQA4ADgALAAgADMAMgA2ACwAIAA1ADIAMAAsACAANQA4ADIAOwBcAG4AIAAgACAAIAAgACAAIAAgACAAIABcACIAUQB1AGUAZQBuAHMAbABhAG4AZABcACIALAAgAFwAIgBIAGkAZwBoAFwAIgAsACAAXAAiAFcAaQBuAHQAZQByAFwAIgAsACAAMgAzADUALAAgADcAMgAyACwAIAAyADAANwAsACAAMwA1ADIALAAgADQANwAwACwAIAA1ADEANAAsACAAMgAwADkALAAgADQAMgAxACwAIAA1ADEAMgAsACAANgAwADUAOwBcAG4AIAAgACAAIAAgACAAIAAgACAAIABcACIAUQB1AGUAZQBuAHMAbABhAG4AZABcACIALAAgAFwAIgBNAG8AZABlAHIAYQB0AGUALwBIAGkAZwBoAFwAIgAsACAAXAAiAFMAcAByAGkAbgBnAFwAIgAsACAAMgAzADAALAAgADYANwA0ACwAIAAyADEANwAsACAAMwA0ADQALAAgADMANQA3ACwAIAA0ADYANwAsACAAMgA0ADIALAAgADMANwAwACwAIAA1ADUAMAAsACAANgAyADAAOwBcAG4AIAAgACAAIAAgACAAIAAgACAAIABcACIAUQB1AGUAZQBuAHMAbABhAG4AZABcACIALAAgAFwAIgBNAG8AZABlAHIAYQB0AGUALwBIAGkAZwBoAFwAIgAsACAAXAAiAFMAdQBtAG0AZQByAFwAIgAsACAAMQAxADMALAAgADYANgA5ACwAIAAxADEAMwAsACAAMgA4ADMALAAgADMANgAxACwAIAA0ADcANwAsACAAMQAyADAALAAgADIANwAzACwAIAA1ADQANQAsACAANQA1ADMAOwBcAG4AIAAgACAAIAAgACAAIAAgACAAIABcACIAUQB1AGUAZQBuAHMAbABhAG4AZABcACIALAAgAFwAIgBNAG8AZABlAHIAYQB0AGUALwBIAGkAZwBoAFwAIgAsACAAXAAiAEEAdQB0AHUAbQBuAFwAIgAsACAAMQA3ADIALAAgADYAOAA1ACwAIAAxADcAMgAsACAAMwAwADkALAAgADMANwA2ACwAIAA0ADcAMQAsACAAMgAzADgALAAgADMAMgA5ACwAIAA1ADcAMwAsACAANgAyADAAOwBcAG4AIAAgACAAIAAgACAAIAAgACAAIABcACIAUQB1AGUAZQBuAHMAbABhAG4AZABcACIALAAgAFwAIgBNAG8AZABlAHIAYQB0AGUALwBIAGkAZwBoAFwAIgAsACAAXAAiAFcAaQBuAHQAZQByAFwAIgAsACAAMgA0ADEALAAgADYAOQAyACwAIAAyADAAOAAsACAAMwA0ADQALAAgADMANgA0ACwAIAA0ADgANAAsACAAMgA2ADAALAAgADMANQAwACwAIAA1ADYANwAsACAANgAyADAAOwBcAG4AIAAgACAAIAAgACAAIAAgACAAIABcACIAUQB1AGUAZQBuAHMAbABhAG4AZABcACIALAAgAFwAIgBNAG8AZABlAHIAYQB0AGUALwBMAG8AdwBcACIALAAgAFwAIgBTAHAAcgBpAG4AZwBcACIALAAgADIAMwA2ACwAIAA2ADcANAAsACAAMQA3ADgALAAgADMAMQAwACwAIAA0ADIAOAAsACAANAA2ADYALAAgADEAOQAzACwAIAAzADcAMAAsACAANQAxADkALAAgADUANgA1ADsAXABuACAAIAAgACAAIAAgACAAIAAgACAAXAAiAFEAdQBlAGUAbgBzAGwAYQBuAGQAXAAiACwAIABcACIATQBvAGQAZQByAGEAdABlAC8ATABvAHcAXAAiACwAIABcACIAUwB1AG0AbQBlAHIAXAAiACwAIAAxADIAMAAsACAANgA2ADkALAAgADEAMQAyACwAIAAyADUAMAAsACAAMwA5ADAALAAgADQANAA4ACwAIAAxADEANQAsACAAMgA3ADMALAAgADQAMwAzACwAIAA1ADUANgA7AFwAbgAgACAAIAAgACAAIAAgACAAIAAgAFwAIgBRAHUAZQBlAG4AcwBsAGEAbgBkAFwAIgAsACAAXAAiAE0AbwBkAGUAcgBhAHQAZQAvAEwAbwB3AFwAIgAsACAAXAAiAEEAdQB0AHUAbQBuAFwAIgAsACAAMQAyADUALAAgADYAOAA1ACwAIAAxADQAMAAsACAAMgA3ADcALAAgADQAMAA3ACwAIAA0ADUANQAsACAAMQA0ADEALAAgADIAOQA2ACwAIAA0ADQANQAsACAANQA5ADMAOwBcAG4AIAAgACAAIAAgACAAIAAgACAAIABcACIAUQB1AGUAZQBuAHMAbABhAG4AZABcACIALAAgAFwAIgBNAG8AZABlAHIAYQB0AGUALwBMAG8AdwBcACIALAAgAFwAIgBXAGkAbgB0AGUAcgBcACIALAAgADEAOAAwACwAIAA2ADkAMgAsACAAMQA4ADMALAAgADMAMQA2ACwAIAA0ADMAOAAsACAANAA2ADgALAAgADEAOAA5ACwAIAAzADUANAAsACAANQAwADAALAAgADUANQAzADsAXABuACAAIAAgACAAIAAgACAAIAAgACAAXAAiAFEAdQBlAGUAbgBzAGwAYQBuAGQAXAAiACwAIABcACIATABvAHcAXAAiACwAIABcACIAUwBwAHIAaQBuAGcAXAAiACwAIAAxADkAMAAsACAANgAxADcALAAgADEANwA0ACwAIAAyADYANQAsACAAMwA3ADEALAAgADQAMQA1ACwAIAAxADcAMAAsACAAMgA3ADIALAAgADMAOQAyACwAIAA1ADMAMQA7AFwAbgAgACAAIAAgACAAIAAgACAAIAAgAFwAIgBRAHUAZQBlAG4AcwBsAGEAbgBkAFwAIgAsACAAXAAiAEwAbwB3AFwAIgAsACAAXAAiAFMAdQBtAG0AZQByAFwAIgAsACAAMQAxADkALAAgADUAOQAxACwAIAAxADQAMAAsACAAMgAwADUALAAgADMAMQAwACwAIAA0ADAANQAsACAAMQAzADMALAAgADIAMQA4ACwAIAAzADEANQAsACAANAA0ADUAOwBcAG4AIAAgACAAIAAgACAAIAAgACAAIABcACIAUQB1AGUAZQBuAHMAbABhAG4AZABcACIALAAgAFwAIgBMAG8AdwBcACIALAAgAFwAIgBBAHUAdAB1AG0AbgBcACIALAAgADEANwA1ACwAIAA2ADEAMAAsACAAMQA2ADMALAAgADIAMwAyACwAIAAzADUAMQAsACAANAAyADcALAAgADEANAA2ACwAIAAyADQAMgAsACAAMwAyADAALAAgADQANwAxADsAXABuACAAIAAgACAAIAAgACAAIAAgACAAXAAiAFEAdQBlAGUAbgBzAGwAYQBuAGQAXAAiACwAIABcACIATABvAHcAXAAiACwAIABcACIAVwBpAG4AdABlAHIAXAAiACwAIAAxADkAMgAsACAANgAxADUALAAgADEANgAyACwAIAAyADUANQAsACAAMwA2ADQALAAgADQAMgAwACwAIAAxADUANwAsACAAMgA2ADEALAAgADMANAAyACwAIAA0ADgANABcAG4AIAAgACAAIAAgACAAIAAgAH0ALAAgAHIALAAgAGMAKQBcAG4AIAAgACAAIAAgACAAKQBcAG4AIAAgACAAIAApAFwAbgAgACAAKQA7AFwAbgBcAG4AXABuAC8AKgAgAFwAbgAtAC0ALQAtAC0ALQAtAC0ALQAtAC0ALQAtAC0ALQAtAC0ALQAtAC0ALQAtAC0ALQAtAC0ALQAtAC0ALQAtAC0ALQAtAC0ALQAtAC0AXABuAFMAbwB1AHIAYwBlAEQAYQB0AGEAXwBQAGEAcwB0AHUAcgBlAEIAZQBlAGYAXwBMAGkAdgBlAHcAZQBpAGcAaAB0AEcAYQBpAG4AXABuAFQAYQBiAGwAZQAgAEEALgAxAC4AMgAuADMAOgAgAEIAZQBlAGYAIABwAGEAcwB0AHUAcgBlACAAYwBhAHQAdABsAGUAIAAtACAATABpAHYAZQB3AGUAaQBnAGgAdAAgAGcAYQBpAG4AIAAoAGsAZwApACAAKABMAFcARwBqAGsAbAApAFwAbgAtAC0ALQAtAC0ALQAtAC0ALQAtAC0ALQAtAC0ALQAtAC0ALQAtAC0ALQAtAC0ALQAtAC0ALQAtAC0ALQAtAC0ALQAtAC0ALQAtAC0AXABuACoALwBcAG4AXABuAFMAbwB1AHIAYwBlAEQAYQB0AGEAXwBQAGEAcwB0AHUAcgBlAEIAZQBlAGYAXwBMAGkAdgBlAHcAZQBpAGcAaAB0AEcAYQBpAG4AXwBUAGkAdABsAGUAXABuACAAIAA9AEwAQQBNAEIARABBACgAXAAiAEIAZQBlAGYAIABwAGEAcwB0AHUAcgBlACAAYwBhAHQAdABsAGUAIAAtACAATABpAHYAZQB3AGUAaQBnAGgAdAAgAGcAYQBpAG4AIAAoAGsAZwApACAAKABMAFcARwBqAGsAbAApAFwAIgApADsAXABuAFwAbgBTAG8AdQByAGMAZQBEAGEAdABhAF8AUABhAHMAdAB1AHIAZQBCAGUAZQBmAF8ATABpAHYAZQB3AGUAaQBnAGgAdABHAGEAaQBuAF8AVgBhAHIAaQBhAGIAbABlAFwAbgAgACAAPQBMAEEATQBCAEQAQQAoAFwAIgBMAFcARwBqAGsAbABcACIAKQA7AFwAbgBcAG4AUwBvAHUAcgBjAGUARABhAHQAYQBfAFAAYQBzAHQAdQByAGUAQgBlAGUAZgBfAEwAaQB2AGUAdwBlAGkAZwBoAHQARwBhAGkAbgBfAFUAbgBpAHQAXABuACAAIAA9AEwAQQBNAEIARABBACgAXAAiAGsAZwBcACIAKQA7AFwAbgBcAG4AUwBvAHUAcgBjAGUARABhAHQAYQBfAFAAYQBzAHQAdQByAGUAQgBlAGUAZgBfAEwAaQB2AGUAdwBlAGkAZwBoAHQARwBhAGkAbgBfAFMAbwB1AHIAYwBlAFwAbgAgACAAPQBMAEEATQBCAEQAQQAoAFwAIgBWAEUARQBSAEcAIAAyADAAMgA2ADoAIABUAGEAYgBsAGUAIABBAC4AMQAuADIALgAzAFwAIgApADsAXABuAFwAbgBTAG8AdQByAGMAZQBEAGEAdABhAF8AUABhAHMAdAB1AHIAZQBCAGUAZQBmAF8ATABpAHYAZQB3AGUAaQBnAGgAdABHAGEAaQBuAF8AVgBhAHIAaQBhAHQAaQBvAG4AXABuACAAIAA9AEwAQQBNAEIARABBACgAXAAiAFYAQQBSAEkAQQBUAEkATwBOACAATwBOACAAUwBPAFUAUgBDAEUAOgAgAFIAZQBwAGwAYQBjAGUAZAAgAFwAdQAwADAAMgA3AG4ALwBhAFwAdQAwADAAMgA3ACAAdwBpAHQAaAAgAFwAdQAwADAAMgA3AFMAbwB1AHQAaAAgAFcAZQBzAHQAXAB1ADAAMAAyADcAIABmAG8AcgAgAGYAaQByAHMAdAAgAGYAbwB1AHIAIAByAG8AdwBzACAAbwBmACAAVwBlAHMAdABlAHIAbgAgAEEAdQBzAHQAcgBhAGwAaQBhACAAdABvACAAYgBlACAAYwBvAG4AcwBpAHMAdABlAG4AdAAgAHcAaQB0AGgAIAB0AGEAYgBsAGUAIABBAC4AMQAuADIALgAxAFwAIgApADsAXABuAFwAbgBTAG8AdQByAGMAZQBEAGEAdABhAF8AUABhAHMAdAB1AHIAZQBCAGUAZQBmAF8ATABpAHYAZQB3AGUAaQBnAGgAdABHAGEAaQBuAF8ARABhAHQAYQBcAG4AIAAgAD0ATABBAE0AQgBEAEEAKABcAG4AIAAgACAAIABNAEEASwBFAEEAUgBSAEEAWQAoADIAOQAsACAAMQAwACwAXABuACAAIAAgACAAIAAgAEwAQQBNAEIARABBACgAcgAsAGMALABcAG4AIAAgACAAIAAgACAAIAAgAEkATgBEAEUAWAAoAHsAXABuACAAIAAgACAAIAAgACAAIAAgACAAXAAiAFMAdABhAHQAZQBcACIALAAgAFwAIgBSAGUAZwBpAG8AbgBcACIALAAgAFwAIgBTAGUAYQBzAG8AbgBcACIALAAgAFwAIgBCAHUAbABsACAAXAB1ADAAMAAzAGMAMQBcACIALAAgAFwAIgBCAHUAbABsACAAXAB1ADAAMAAzAGUAMQBcACIALAAgAFwAIgBDAG8AdwAgAFwAdQAwADAAMwBjADEAXAAiACwAIABcACIAQwBvAHcAIAAxAC0AMgBcACIALAAgAFwAIgBDAG8AdwAgAFwAdQAwADAAMwBlADIAXAAiACwAIABcACIAUwB0AGUAZQByACAAXAB1ADAAMAAzAGMAMQBcACIALAAgAFwAIgBTAHQAZQBlAHIAIABcAHUAMAAwADMAZQAxAFwAIgA7AFwAbgAgACAAIAAgACAAIAAgACAAIAAgAFwAIgBBAEMAVAAvAE4AUwBXAFwAIgAsACAAXAAiAG4ALwBhAFwAIgAsACAAXAAiAFMAcAByAGkAbgBnAFwAIgAsACAAMAAuADUALAAgADAALgAyACwAIAAwAC4ANQAsACAAMAAuADQALAAgADAALgAzACwAIAAwAC4ANQAsACAAMAAuADQAOwBcAG4AIAAgACAAIAAgACAAIAAgACAAIABcACIAQQBDAFQALwBOAFMAVwBcACIALAAgAFwAIgBuAC8AYQBcACIALAAgAFwAIgBTAHUAbQBtAGUAcgBcACIALAAgADEALgAwACwAIAAwAC4ANAAsACAAMAAuADkALAAgADAALgA3ACwAIAAwAC4AMwAsACAAMAAuADkALAAgADAALgA0ADsAXABuACAAIAAgACAAIAAgACAAIAAgACAAXAAiAEEAQwBUAC8ATgBTAFcAXAAiACwAIABcACIAbgAvAGEAXAAiACwAIABcACIAQQB1AHQAdQBtAG4AXAAiACwAIAAwAC4AOAAsACAAMAAuADMALAAgADAALgA3ACwAIAAwAC4AMwAsACAAMAAuADIALAAgADAALgA3ACwAIAAwAC4AMwA7AFwAbgAgACAAIAAgACAAIAAgACAAIAAgAFwAIgBBAEMAVAAvAE4AUwBXAFwAIgAsACAAXAAiAG4ALwBhAFwAIgAsACAAXAAiAFcAaQBuAHQAZQByAFwAIgAsACAAMAAuADQALAAgADAALgAxACwAIAAwAC4ANAAsACAAMAAuADIALAAgADAALgAxACwAIAAwAC4ANAAsACAAMAAuADEAOwBcAG4AIAAgACAAIAAgACAAIAAgACAAIABcACIAUwBvAHUAdABoACAAQQB1AHMAdAByAGEAbABpAGEAXAAiACwAIABcACIAbgAvAGEAXAAiACwAIABcACIAUwBwAHIAaQBuAGcAXAAiACwAIAAwAC4AOQA5ACwAIAAxAC4AMQAsACAAMAAuADgAOAAsACAAMAAuADUANQAsACAAMAAuADUANQAsACAAMAAuADgAOAAsACAAMAAuADIAMgA7AFwAbgAgACAAIAAgACAAIAAgACAAIAAgAFwAIgBTAG8AdQB0AGgAIABBAHUAcwB0AHIAYQBsAGkAYQBcACIALAAgAFwAIgBuAC8AYQBcACIALAAgAFwAIgBTAHUAbQBtAGUAcgBcACIALAAgADAALgA3ADcALAAgADAALgAwACwAIAAwAC4ANgA2ACwAIAAwAC4AMgAyACwAIAAwAC4AMAAsACAAMAAuADYANgAsACAAMAAuADAAOwBcAG4AIAAgACAAIAAgACAAIAAgACAAIABcACIAUwBvAHUAdABoACAAQQB1AHMAdAByAGEAbABpAGEAXAAiACwAIABcACIAbgAvAGEAXAAiACwAIABcACIAQQB1AHQAdQBtAG4AXAAiACwAIAAwAC4AOQAsACAALQAxAC4AMQAsACAAMAAuADcALAAgADAALgAyADIALAAgAC0AMAAuADUANQAsACAAMAAuADgALAAgAC0AMAAuADIAMgA7AFwAbgAgACAAIAAgACAAIAAgACAAIAAgAFwAIgBTAG8AdQB0AGgAIABBAHUAcwB0AHIAYQBsAGkAYQBcACIALAAgAFwAIgBuAC8AYQBcACIALAAgAFwAIgBXAGkAbgB0AGUAcgBcACIALAAgADAALgA4ADgALAAgADAALgAwACwAIAAwAC4ANwA3ACwAIAAwAC4ANQA1ACwAIAAwAC4AMAAsACAAMAAuADgAMgAsACAAMAAuADAAOwBcAG4AIAAgACAAIAAgACAAIAAgACAAIABcACIAVABhAHMAbQBhAG4AaQBhAFwAIgAsACAAXAAiAG4ALwBhAFwAIgAsACAAXAAiAFMAcAByAGkAbgBnAFwAIgAsACAAMQAuADAALAAgADAALgA1ADAALAAgADEALgAwACwAIAAxAC4AMAAsACAALQAwAC4ANAA0ACwAIAAxAC4AMAAsACAAMAAuADUAOwBcAG4AIAAgACAAIAAgACAAIAAgACAAIABcACIAVABhAHMAbQBhAG4AaQBhAFwAIgAsACAAXAAiAG4ALwBhAFwAIgAsACAAXAAiAFMAdQBtAG0AZQByAFwAIgAsACAAMAAuADgAMgAsACAAMAAuADUANQAsACAAMAAuADcAMQAsACAAMAAuADUANQAsACAAMAAuADkAOQAsACAAMAAuADcANwAsACAAMAAuADUAOwBcAG4AIAAgACAAIAAgACAAIAAgACAAIABcACIAVABhAHMAbQBhAG4AaQBhAFwAIgAsACAAXAAiAG4ALwBhAFwAIgAsACAAXAAiAEEAdQB0AHUAbQBuAFwAIgAsACAAMAAuADcANwAsACAAMAAuADUAMAAsACAAMAAuADUANQAsACAAMAAuADEAMQAsACAALQAwAC4AMwAzACwAIAAwAC4ANgAsACAAMAAuADMAMwA7AFwAbgAgACAAIAAgACAAIAAgACAAIAAgAFwAIgBUAGEAcwBtAGEAbgBpAGEAXAAiACwAIABcACIAbgAvAGEAXAAiACwAIABcACIAVwBpAG4AdABlAHIAXAAiACwAIAAwAC4AMQAxACwAIAAtADAALgAyADcALAAgADAALgAxADEALAAgADAALgAyADIALAAgAC0AMAAuADQANAAsACAAMAAuADEANgAsACAALQAwAC4AMgAyADsAXABuACAAIAAgACAAIAAgACAAIAAgACAAXAAiAFYAaQBjAHQAbwByAGkAYQBcACIALAAgAFwAIgBuAC8AYQBcACIALAAgAFwAIgBTAHAAcgBpAG4AZwBcACIALAAgADEALgAxADAALAAgADEALgAxADAALAAgADEALgAxADAALAAgADAALgA5ADkALAAgADAALgA5ADkALAAgADEALgAxADAALAAgADAALgA3ADcAOwBcAG4AIAAgACAAIAAgACAAIAAgACAAIABcACIAVgBpAGMAdABvAHIAaQBhAFwAIgAsACAAXAAiAG4ALwBhAFwAIgAsACAAXAAiAFMAdQBtAG0AZQByAFwAIgAsACAAMAAuADMAMwAsACAAMAAuADMAMwAsACAAMAAuADIAMgAsACAAMAAuADMAMwAsACAALQAwAC4AMQAwACwAIAAwAC4AMwAzACwAIAAwAC4AMQAxADsAXABuACAAIAAgACAAIAAgACAAIAAgACAAXAAiAFYAaQBjAHQAbwByAGkAYQBcACIALAAgAFwAIgBuAC8AYQBcACIALAAgAFwAIgBBAHUAdAB1AG0AbgBcACIALAAgADAALgA1ADAALAAgADAALgAyADAALAAgADAALgA1ADUALAAgADAALgA0ADQALAAgADAALgAyADAALAAgADAALgA1ADUALAAgADAALgAyADAAOwBcAG4AIAAgACAAIAAgACAAIAAgACAAIABcACIAVgBpAGMAdABvAHIAaQBhAFwAIgAsACAAXAAiAG4ALwBhAFwAIgAsACAAXAAiAFcAaQBuAHQAZQByAFwAIgAsACAAMAAuADUANQAsACAAMAAuADIAMgAsACAAMAAuADQAOQAsACAAMAAuADIAMgAsACAAMAAuADIAMgAsACAAMAAuADQAOQAsACAAMAAuADMAMwA7AFwAbgAgACAAIAAgACAAIAAgACAAIAAgAFwAIgBXAGUAcwB0AGUAcgBuACAAQQB1AHMAdAByAGEAbABpAGEAXAAiACwAIABcACIAUwBvAHUAdABoACAAVwBlAHMAdABcACIALAAgAFwAIgBTAHAAcgBpAG4AZwBcACIALAAgADEALgA2ADQALAAgADEALgAxADAALAAgADEALgAyADEALAAgADAALgA5ADkALAAgADAALgA2ADYALAAgADEALgA0ADIALAAgADEALgAxADAAOwBcAG4AIAAgACAAIAAgACAAIAAgACAAIABcACIAVwBlAHMAdABlAHIAbgAgAEEAdQBzAHQAcgBhAGwAaQBhAFwAIgAsACAAXAAiAFMAbwB1AHQAaAAgAFcAZQBzAHQAXAAiACwAIABcACIAUwB1AG0AbQBlAHIAXAAiACwAIAAwAC4ANAA0ACwAIAAtADAALgAyADIALAAgADAALgA0ADQALAAgADAALgAzADMALAAgAC0AMAAuADIAMgAsACAAMAAuADQANAAsACAALQAwAC4AMQAxADsAXABuACAAIAAgACAAIAAgACAAIAAgACAAXAAiAFcAZQBzAHQAZQByAG4AIABBAHUAcwB0AHIAYQBsAGkAYQBcACIALAAgAFwAIgBTAG8AdQB0AGgAIABXAGUAcwB0AFwAIgAsACAAXAAiAEEAdQB0AHUAbQBuAFwAIgAsACAAMAAuADYAMAAsACAAMAAuADAAMAAsACAAMAAuADYAMAAsACAAMAAuADIAMgAsACAALQAwAC4ANQA1ACwAIAAwAC4ANgAwACwAIAAwAC4AMAAwADsAXABuACAAIAAgACAAIAAgACAAIAAgACAAXAAiAFcAZQBzAHQAZQByAG4AIABBAHUAcwB0AHIAYQBsAGkAYQBcACIALAAgAFwAIgBTAG8AdQB0AGgAIABXAGUAcwB0AFwAIgAsACAAXAAiAFcAaQBuAHQAZQByAFwAIgAsACAAMAAuADkAOQAsACAAMAAuADIAMgAsACAAMAAuADcANwAsACAAMAAuADEAMQAsACAAMAAuADEAMQAsACAAMAAuADcANwAsACAAMAAuADQANAA7AFwAbgAgACAAIAAgACAAIAAgACAAIAAgAFwAIgBXAGUAcwB0AGUAcgBuACAAQQB1AHMAdAByAGEAbABpAGEAXAAiACwAIABcACIAUABpAGwAYgBhAHIAYQBcACIALAAgAFwAIgBTAHAAcgBpAG4AZwBcACIALAAgADAALgA3ADAALAAgAC0AMAAuADUANQAsACAAMAAuADcAMAAsACAAMAAuADIAMgAsACAALQAwAC4AMgAyACwAIAAwAC4ANwAwACwAIAAtADAALgAyADIAOwBcAG4AIAAgACAAIAAgACAAIAAgACAAIABcACIAVwBlAHMAdABlAHIAbgAgAEEAdQBzAHQAcgBhAGwAaQBhAFwAIgAsACAAXAAiAFAAaQBsAGIAYQByAGEAXAAiACwAIABcACIAUwB1AG0AbQBlAHIAXAAiACwAIAAwAC4ANwA3ACwAIAAwAC4ANQA1ACwAIAAwAC4ANwA3ACwAIAAwAC4ANgA2ACwAIAAwAC4ANQA1ACwAIAAwAC4ANwA3ACwAIAAwAC4AMwAzADsAXABuACAAIAAgACAAIAAgACAAIAAgACAAXAAiAFcAZQBzAHQAZQByAG4AIABBAHUAcwB0AHIAYQBsAGkAYQBcACIALAAgAFwAIgBQAGkAbABiAGEAcgBhAFwAIgAsACAAXAAiAEEAdQB0AHUAbQBuAFwAIgAsACAAMAAuADgAOAAsACAAMAAuADUANQAsACAAMAAuADgAOAAsACAAMAAuADIAMgAsACAAMAAuADIAMgAsACAAMAAuADgAOAAsACAAMAAuADIAMgA7AFwAbgAgACAAIAAgACAAIAAgACAAIAAgAFwAIgBXAGUAcwB0AGUAcgBuACAAQQB1AHMAdAByAGEAbABpAGEAXAAiACwAIABcACIAUABpAGwAYgBhAHIAYQBcACIALAAgAFwAIgBXAGkAbgB0AGUAcgBcACIALAAgADAALgAyADIALAAgAC0AMAAuADUANQAsACAAMAAuADIAMgAsACAAMAAuADEAMQAsACAALQAwAC4AMgAyACwAIAAwAC4AMgAyACwAIAAtADAALgAzADMAOwBcAG4AIAAgACAAIAAgACAAIAAgACAAIABcACIAVwBlAHMAdABlAHIAbgAgAEEAdQBzAHQAcgBhAGwAaQBhAFwAIgAsACAAXAAiAEsAaQBtAGIAZQByAGwAZQB5AFwAIgAsACAAXAAiAFMAcAByAGkAbgBnAFwAIgAsACAAMAAuADIAMgAsACAALQAwAC4ANQA1ACwAIAAwAC4AMwAzACwAIAAwAC4AMgAyACwAIAAtADAALgAzADMALAAgADAALgAyADIALAAgAC0AMAAuADUANQA7AFwAbgAgACAAIAAgACAAIAAgACAAIAAgAFwAIgBXAGUAcwB0AGUAcgBuACAAQQB1AHMAdAByAGEAbABpAGEAXAAiACwAIABcACIASwBpAG0AYgBlAHIAbABlAHkAXAAiACwAIABcACIAUwB1AG0AbQBlAHIAXAAiACwAIAAwAC4AOAAwACwAIAAwAC4ANQA1ACwAIAAwAC4ANwAwACwAIAAwAC4ANAA0ACwAIAAwAC4ANgA2ACwAIAAwAC4AOAAwACwAIAAwAC4ANQA1ADsAXABuACAAIAAgACAAIAAgACAAIAAgACAAXAAiAFcAZQBzAHQAZQByAG4AIABBAHUAcwB0AHIAYQBsAGkAYQBcACIALAAgAFwAIgBLAGkAbQBiAGUAcgBsAGUAeQBcACIALAAgAFwAIgBBAHUAdAB1AG0AbgBcACIALAAgADAALgA2ADYALAAgADAALgA1ADUALAAgADAALgA1ADUALAAgADAALgA1ADUALAAgADAALgAxADEALAAgADAALgA2ADYALAAgADAALgA1ADUAOwBcAG4AIAAgACAAIAAgACAAIAAgACAAIABcACIAVwBlAHMAdABlAHIAbgAgAEEAdQBzAHQAcgBhAGwAaQBhAFwAIgAsACAAXAAiAEsAaQBtAGIAZQByAGwAZQB5AFwAIgAsACAAXAAiAFcAaQBuAHQAZQByAFwAIgAsACAAMAAuADMAMwAsACAALQAwAC4ANQA1ACwAIAAwAC4AMQAxACwAIAAwAC4AMQAxACwAIAAtADAALgA0ADQALAAgADAALgAzADMALAAgAC0AMAAuADUANQ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wAaQB2AGUAdwBlAGkAZwBoAHQARwBhAGkAbgBOAFQAUQBMAEQAXABuAFQAYQBiAGwAZQAgAEEALgAxAC4AMgAuADQAOgAgAEIAZQBlAGYAIABwAGEAcwB0AHUAcgBlACAAYwBhAHQAdABsAGUAIAAtACAATABpAHYAZQB3AGUAaQBnAGgAdAAgAGcAYQBpAG4AIAAoAGsAZwApACAAKABMAFcARwBqAGsAbAApACAAZgBvAHIAIABOAFQAIABhAG4AZAAgAFEATABEAFwAbgAtAC0ALQAtAC0ALQAtAC0ALQAtAC0ALQAtAC0ALQAtAC0ALQAtAC0ALQAtAC0ALQAtAC0ALQAtAC0ALQAtAC0ALQAtAC0ALQAtAC0AXABuACoALwBcAG4AXABuAFMAbwB1AHIAYwBlAEQAYQB0AGEAXwBQAGEAcwB0AHUAcgBlAEIAZQBlAGYAXwBMAGkAdgBlAHcAZQBpAGcAaAB0AEcAYQBpAG4ATgBUAFEATABEAF8AVABpAHQAbABlAFwAbgAgACAAPQBMAEEATQBCAEQAQQAoAFwAIgBCAGUAZQBmACAAcABhAHMAdAB1AHIAZQAgAGMAYQB0AHQAbABlACAALQAgAEwAaQB2AGUAdwBlAGkAZwBoAHQAIABnAGEAaQBuACAAKABrAGcAKQAgACgATABXAEcAagBrAGwAKQAgAGYAbwByACAATgBUACAAYQBuAGQAIABRAEwARABcACIAKQA7AFwAbgBcAG4AUwBvAHUAcgBjAGUARABhAHQAYQBfAFAAYQBzAHQAdQByAGUAQgBlAGUAZgBfAEwAaQB2AGUAdwBlAGkAZwBoAHQARwBhAGkAbgBOAFQAUQBMAEQAXwBWAGEAcgBpAGEAYgBsAGUAXABuACAAIAA9AEwAQQBNAEIARABBACgAXAAiAEwAVwBHAGoAawBsAFwAIgApADsAXABuAFwAbgBTAG8AdQByAGMAZQBEAGEAdABhAF8AUABhAHMAdAB1AHIAZQBCAGUAZQBmAF8ATABpAHYAZQB3AGUAaQBnAGgAdABHAGEAaQBuAE4AVABRAEwARABfAFUAbgBpAHQAXABuACAAIAA9AEwAQQBNAEIARABBACgAXAAiAGsAZwBcACIAKQA7AFwAbgBcAG4AUwBvAHUAcgBjAGUARABhAHQAYQBfAFAAYQBzAHQAdQByAGUAQgBlAGUAZgBfAEwAaQB2AGUAdwBlAGkAZwBoAHQARwBhAGkAbgBOAFQAUQBMAEQAXwBTAG8AdQByAGMAZQBcAG4AIAAgAD0ATABBAE0AQgBEAEEAKABcACIAVgBFAEUAUgBHACAAMgAwADIANgA6ACAAVABhAGIAbABlACAAQQAuADEALgAyAC4ANABcACIAKQA7AFwAbgBcAG4AUwBvAHUAcgBjAGUARABhAHQAYQBfAFAAYQBzAHQAdQByAGUAQgBlAGUAZgBfAEwAaQB2AGUAdwBlAGkAZwBoAHQARwBhAGkAbgBOAFQAUQBMAEQAXwBWAGEAcgBpAGEAdABpAG8AbgBcAG4AIAAgAD0ATABBAE0AQgBEAEEAKABcACIAXAAiACkAOwBcAG4AXABuAFMAbwB1AHIAYwBlAEQAYQB0AGEAXwBQAGEAcwB0AHUAcgBlAEIAZQBlAGYAXwBMAGkAdgBlAHcAZQBpAGcAaAB0AEcAYQBpAG4ATgBUAFEATABEAF8ARABhAHQAYQBcAG4AIAAgAD0ATABBAE0AQgBEAEEAKABcAG4AIAAgACAAIABNAEEASwBFAEEAUgBSAEEAWQAoADIAOQAsACAAMQAzACwAXABuACAAIAAgACAAIAAgAEwAQQBNAEIARABBACgAcgAsAGMALABcAG4AIAAgACAAIAAgACAAIAAgAEkATgBEAEUAWAAoAHsAXABuACAAIAAgACAAIAAgACAAIAAgACAAXAAiAFMAdABhAHQAZQBcACIALAAgAFwAIgBSAGUAZwBpAG8AbgBcACIALAAgAFwAIgBTAGUAYQBzAG8AbgBcACIALAAgAFwAIgBCAHUAbABsACAAXAB1ADAAMAAzAGMAMQBcACIALAAgAFwAIgBCAHUAbABsACAAXAB1ADAAMAAzAGUAMQBcACIALAAgAFwAIgBDAG8AdwAgAFwAdQAwADAAMwBjADEAXAAiACwAIABcACIAQwBvAHcAIAAxAC0AMgBcACIALAAgAFwAIgBDAG8AdwAgADIALQAzAFwAIgAsACAAXAAiAEMAbwB3ACAAXAB1ADAAMAAzAGUAMwBcACIALAAgAFwAIgBTAHQAZQBlAHIAIABcAHUAMAAwADMAYwAxAFwAIgAsACAAXAAiAFMAdABlAGUAcgAgADEALQAyAFwAIgAsACAAXAAiAFMAdABlAGUAcgAgADIALQAzAFwAIgAsACAAXAAiAFMAdABlAGUAcgAgAFwAdQAwADAAMwBlADMAXAAiADsAXABuACAAIAAgACAAIAAgACAAIAAgACAAXAAiAE4AbwByAHQAaABlAHIAbgAgAFQAZQByAHIAaQB0AG8AcgB5AFwAIgAsACAAXAAiAEEAbABpAGMAZQAgAFMAcAByAGkAbgBnAHMAXAAiACwAIABcACIAUwBwAHIAaQBuAGcAXAAiACwAIAAwAC4AMgAyACwAIAAtADAALgAyADMALAAgADAALgAyADUALAAgADAALgAxADcALAAgADAALgAxADgALAAgAC0AMAAuADIAOAAsACAAMAAuADMAMgAsACAAMAAuADIANAAsACAAMAAuADIANQAsACAALQAwAC4AMAA1ADsAXABuACAAIAAgACAAIAAgACAAIAAgACAAXAAiAE4AbwByAHQAaABlAHIAbgAgAFQAZQByAHIAaQB0AG8AcgB5AFwAIgAsACAAXAAiAEEAbABpAGMAZQAgAFMAcAByAGkAbgBnAHMAXAAiACwAIABcACIAUwB1AG0AbQBlAHIAXAAiACwAIAAwAC4ANgA2ACwAIAAwAC4AMgAwACwAIAAwAC4ANgAyACwAIAAwAC4ANQA0ACwAIAAwAC4AMwA4ACwAIAAwAC4AMgA3ACwAIAAwAC4ANwA1ACwAIAAwAC4ANgA0ACwAIAAwAC4ANQA1ACwAIAAwAC4ANAA4ADsAXABuACAAIAAgACAAIAAgACAAIAAgACAAXAAiAE4AbwByAHQAaABlAHIAbgAgAFQAZQByAHIAaQB0AG8AcgB5AFwAIgAsACAAXAAiAEEAbABpAGMAZQAgAFMAcAByAGkAbgBnAHMAXAAiACwAIABcACIAQQB1AHQAdQBtAG4AXAAiACwAIAAwAC4ANAA5ACwAIAAwAC4AMQAzACwAIAAwAC4ANQA0ACwAIAAwAC4ANAA1ACwAIAAwAC4AMwA1ACwAIAAwAC4AMQA1ACwAIAAwAC4ANgAzACwAIAAwAC4ANQA0ACwAIAAwAC4ANAAyACwAIAAwAC4AMgA2ADsAXABuACAAIAAgACAAIAAgACAAIAAgACAAXAAiAE4AbwByAHQAaABlAHIAbgAgAFQAZQByAHIAaQB0AG8AcgB5AFwAIgAsACAAXAAiAEEAbABpAGMAZQAgAFMAcAByAGkAbgBnAHMAXAAiACwAIABcACIAVwBpAG4AdABlAHIAXAAiACwAIAAwAC4AMgA3ACwAIAAtADAALgA4ADAALAAgADAALgAyADIALAAgADAALgAwADkALAAgADAALgAxADIALAAgADAALgAwADIALAAgADAALgAyADUALAAgADAALgAxADgALAAgADAALgAxADIALAAgADAALgAwADMAOwBcAG4AIAAgACAAIAAgACAAIAAgACAAIABcACIATgBvAHIAdABoAGUAcgBuACAAVABlAHIAcgBpAHQAbwByAHkAXAAiACwAIABcACIAQgBhAHIAawBsAHkAXAAiACwAIABcACIAUwBwAHIAaQBuAGcAXAAiACwAIAAwAC4AMgAyACwAIAAtADAALgA0ADQALAAgADAALgAyADAALAAgADAALgAyADEALAAgADAALgAxADgALAAgADAALgAwADEALAAgADAALgAxADIALAAgADAALgAwADkALAAgAFwAIgBOAE8AXAAiACwAIABcACIATgBPAFwAIgA7AFwAbgAgACAAIAAgACAAIAAgACAAIAAgAFwAIgBOAG8AcgB0AGgAZQByAG4AIABUAGUAcgByAGkAdABvAHIAeQBcACIALAAgAFwAIgBCAGEAcgBrAGwAeQBcACIALAAgAFwAIgBTAHUAbQBtAGUAcgBcACIALAAgADAALgA2ADYALAAgADAALgAyADIALAAgADAALgA2ADgALAAgADAALgAyADIALAAgADAALgAyADQALAAgADAALgAyADUALAAgADAALgA2ADQALAAgADAALgAzADcALAAgAFwAIgBOAE8AXAAiACwAIABcACIATgBPAFwAIgA7AFwAbgAgACAAIAAgACAAIAAgACAAIAAgAFwAIgBOAG8AcgB0AGgAZQByAG4AIABUAGUAcgByAGkAdABvAHIAeQBcACIALAAgAFwAIgBCAGEAcgBrAGwAeQBcACIALAAgAFwAIgBBAHUAdAB1AG0AbgBcACIALAAgADAALgA0ADkALAAgADAALgAwADUALAAgADAALgA2ADQALAAgADAALgAyADUALAAgADAALgAyADkALAAgADAALgAxADIALAAgADAALgA1ADcALAAgADAALgA0ADkALAAgAFwAIgBOAE8AXAAiACwAIABcACIATgBPAFwAIgA7AFwAbgAgACAAIAAgACAAIAAgACAAIAAgAFwAIgBOAG8AcgB0AGgAZQByAG4AIABUAGUAcgByAGkAdABvAHIAeQBcACIALAAgAFwAIgBCAGEAcgBrAGwAeQBcACIALAAgAFwAIgBXAGkAbgB0AGUAcgBcACIALAAgADAALgAyADcALAAgAC0AMAAuADIANwAsACAAMAAuADMAMQAsACAAMAAuADIAOQAsACAAMAAuADEAOQAsACAAMAAuADAANAAsACAAMAAuADIANgAsACAAMAAuADIAOAAsACAAXAAiAE4ATwBcACIALAAgAFwAIgBOAE8AXAAiADsAXABuACAAIAAgACAAIAAgACAAIAAgACAAXAAiAE4AbwByAHQAaABlAHIAbgAgAFQAZQByAHIAaQB0AG8AcgB5AFwAIgAsACAAXAAiAE4AbwByAHQAaABlAHIAbgBcACIALAAgAFwAIgBTAHAAcgBpAG4AZwBcACIALAAgADAALgAyADIALAAgAC0AMAAuADQANAAsACAAMAAuADAAMAAsACAAMAAuADEANQAsACAAMAAuADAAOAAsACAAMAAuADEANwAsACAAMAAuADAANgAsACAAMAAuADAAMgAsACAALQAwAC4AMQA0ACwAIABcACIATgBPAFwAIgA7AFwAbgAgACAAIAAgACAAIAAgACAAIAAgAFwAIgBOAG8AcgB0AGgAZQByAG4AIABUAGUAcgByAGkAdABvAHIAeQBcACIALAAgAFwAIgBOAG8AcgB0AGgAZQByAG4AXAAiACwAIABcACIAUwB1AG0AbQBlAHIAXAAiACwAIAAwAC4ANgA2ACwAIAAwAC4AMgAyACwAIAAwAC4ANwA5ACwAIAAwAC4ANAAwACwAIAAwAC4AMwA4ACwAIAAwAC4AMgA3ACwAIAAwAC4AOAAwACwAIAAwAC4AMQA2ACwAIAAwAC4AMwAwACwAIABcACIATgBPAFwAIgA7AFwAbgAgACAAIAAgACAAIAAgACAAIAAgAFwAIgBOAG8AcgB0AGgAZQByAG4AIABUAGUAcgByAGkAdABvAHIAeQBcACIALAAgAFwAIgBOAG8AcgB0AGgAZQByAG4AXAAiACwAIABcACIAQQB1AHQAdQBtAG4AXAAiACwAIAAwAC4ANAA5ACwAIAAwAC4AMAA1ACwAIAAwAC4ANQA1ACwAIAAwAC4AMwA4ACwAIAAwAC4AMwA2ACwAIAAwAC4AMAA2ACwAIAAwAC4ANQA4ACwAIAAwAC4AMgAzACwAIAAwAC4ANAAwACwAIABcACIATgBPAFwAIgA7AFwAbgAgACAAIAAgACAAIAAgACAAIAAgAFwAIgBOAG8AcgB0AGgAZQByAG4AIABUAGUAcgByAGkAdABvAHIAeQBcACIALAAgAFwAIgBOAG8AcgB0AGgAZQByAG4AXAAiACwAIABcACIAVwBpAG4AdABlAHIAXAAiACwAIAAwAC4AMgA3ACwAIAAtADAALgAyADcALAAgADAALgAwADIALAAgADAALgAwADkALAAgADAALgAxADYALAAgAC0AMAAuADAANAAsACAAMAAuADIAMQAsACAAMAAuADAAMwAsACAAMAAuADEAMQAsACAAXAAiAE4ATwBcACIAOwBcAG4AIAAgACAAIAAgACAAIAAgACAAIABcACIAUQB1AGUAZQBuAHMAbABhAG4AZABcACIALAAgAFwAIgBIAGkAZwBoAFwAIgAsACAAXAAiAFMAcAByAGkAbgBnAFwAIgAsACAAMAAuADIANwAsACAALQAwAC4AMQA5ACwAIAAwAC4AMwA4ACwAIAAwAC4AMgA1ACwAIAAwAC4AMAA3ACwAIAAwAC4AMAA1ACwAIAAwAC4ANQAyACwAIAAwAC4ANQA1ACwAIAAwAC4AMQA5ACwAIAAwAC4ANgAwADsAXABuACAAIAAgACAAIAAgACAAIAAgACAAXAAiAFEAdQBlAGUAbgBzAGwAYQBuAGQAXAAiACwAIABcACIASABpAGcAaABcACIALAAgAFwAIgBTAHUAbQBtAGUAcgBcACIALAAgADAALgAxADYALAAgADAALgAxADYALAAgADAALgA4ADAALAAgADAALgA1ADcALAAgADAALgA3ADYALAAgADAALgA0ADkALAAgADAALgA4ADQALAAgADAALgA1ADEALAAgADAALgAzADYALAAgADAALgAxADcAOwBcAG4AIAAgACAAIAAgACAAIAAgACAAIABcACIAUQB1AGUAZQBuAHMAbABhAG4AZABcACIALAAgAFwAIgBIAGkAZwBoAFwAIgAsACAAXAAiAEEAdQB0AHUAbQBuAFwAIgAsACAAMAAuADQANQAsACAAMAAuADEAMAAsACAAMAAuADQAOQAsACAAMAAuADQAMQAsACAAMAAuADQAMAAsACAAMAAuADEANwAsACAAMAAuADUANAAsACAAMAAuADYANAAsACAALQAwAC4AMAA1ACwAIAAwAC4AMwAyADsAXABuACAAIAAgACAAIAAgACAAIAAgACAAXAAiAFEAdQBlAGUAbgBzAGwAYQBuAGQAXAAiACwAIABcACIASABpAGcAaABcACIALAAgAFwAIgBXAGkAbgB0AGUAcgBcACIALAAgADAALgA1ADEALAAgAC0AMAAuADAANwAsACAAMAAuADEAMwAsACAALQAwAC4AMAA5ACwAIAAtADAALgAxADMALAAgADAALgAwADcALAAgADAALgAyADUALAAgADAALgA3ADEALAAgADAALgAxADcALAAgADAALgA0ADMAOwBcAG4AIAAgACAAIAAgACAAIAAgACAAIABcACIAUQB1AGUAZQBuAHMAbABhAG4AZABcACIALAAgAFwAIgBNAG8AZABlAHIAYQB0AGUALwBIAGkAZwBoAFwAIgAsACAAXAAiAFMAcAByAGkAbgBnAFwAIgAsACAALQAwAC4AMQAyACwAIAAtADAALgAxADkALAAgADAALgA0ADEALAAgADAALgAwADkALAAgADAALgA0ADEALAAgAC0AMAAuADEAOQAsACAAMAAuADAANwAsACAAMQAuADAANwAsACAALQAwAC4AMAA4ACwAIAAwAC4AMAAwADsAXABuACAAIAAgACAAIAAgACAAIAAgACAAXAAiAFEAdQBlAGUAbgBzAGwAYQBuAGQAXAAiACwAIABcACIATQBvAGQAZQByAGEAdABlAC8ASABpAGcAaABcACIALAAgAFwAIgBTAHUAbQBtAGUAcgBcACIALAAgADAALgA2ADUALAAgADAALgAxADkALAAgADAALgA2ADUALAAgADAALgA1ADEALAAgADAALgAxADgALAAgADAALgA2ADMALAAgADEALgAzADAALAAgADAALgA0ADgALAAgADEALgAxADIALAAgADAALgAzADgAOwBcAG4AIAAgACAAIAAgACAAIAAgACAAIABcACIAUQB1AGUAZQBuAHMAbABhAG4AZABcACIALAAgAFwAIgBNAG8AZABlAHIAYQB0AGUALwBIAGkAZwBoAFwAIgAsACAAXAAiAEEAdQB0AHUAbQBuAFwAIgAsACAAMAAuADcAMAAsACAAMAAuADEAMwAsACAAMAAuADUAMgAsACAAMAAuADMANAAsACAAMAAuADAAMgAsACAAMAAuADAANAAsACAAMAAuADcANwAsACAAMAAuADQAMgAsACAAMAAuADEAMgAsACAAMAAuADcANAA7AFwAbgAgACAAIAAgACAAIAAgACAAIAAgAFwAIgBRAHUAZQBlAG4AcwBsAGEAbgBkAFwAIgAsACAAXAAiAE0AbwBkAGUAcgBhAHQAZQAvAEgAaQBnAGgAXAAiACwAIABcACIAVwBpAG4AdABlAHIAXAAiACwAIAAwAC4AMwAyACwAIAAtADAALgAwADYALAAgADAALgAyADUALAAgADAALgAxADkALAAgAC0AMAAuADEAMAAsACAALQAwAC4AMAAyACwAIAAwAC4AMAAyACwAIAAwAC4AMgAzACwAIAAtADAALgAxADMALAAgADAALgAwADAAOwBcAG4AIAAgACAAIAAgACAAIAAgACAAIABcACIAUQB1AGUAZQBuAHMAbABhAG4AZABcACIALAAgAFwAIgBNAG8AZABlAHIAYQB0AGUALwBMAG8AdwBcACIALAAgAFwAIgBTAHAAcgBpAG4AZwBcACIALAAgADAALgA2ADIALAAgAC0AMAAuADEAOQAsACAAMAAuADMANwAsACAAMAAuADQAMQAsACAAMAAuADAANgAsACAALQAwAC4AMAAyACwAIAAwAC4ANAA3ACwAIAAwAC4ANAA0ACwAIAAwAC4AMwAwACwAIAAwAC4AMQAzADsAXABuACAAIAAgACAAIAAgACAAIAAgACAAXAAiAFEAdQBlAGUAbgBzAGwAYQBuAGQAXAAiACwAIABcACIATQBvAGQAZQByAGEAdABlAC8ATABvAHcAXAAiACwAIABcACIAUwB1AG0AbQBlAHIAXAAiACwAIAAwAC4AMAA1ACwAIAAwAC4AMQA5ACwAIAAwAC4AMwAxACwAIAAwAC4ANQA0ACwAIAAwAC4ANQAzACwAIAAwAC4AMQA1ACwAIAAwAC4AMgA4ACwAIAAwAC4ANQA3ACwAIAAwAC4ANAAyACwAIAAwAC4ANAAwADsAXABuACAAIAAgACAAIAAgACAAIAAgACAAXAAiAFEAdQBlAGUAbgBzAGwAYQBuAGQAXAAiACwAIABcACIATQBvAGQAZQByAGEAdABlAC8ATABvAHcAXAAiACwAIABcACIAQQB1AHQAdQBtAG4AXAAiACwAIAAwAC4AMwAzACwAIAAwAC4AMQAzACwAIAAwAC4AMwA5ACwAIAAwAC4AMwA2ACwAIAAwAC4AMgA2ACwAIAAwAC4AMQAxACwAIAAwAC4ANAAwACwAIAAwAC4ANAA0ACwAIAAwAC4AMwA3ACwAIAAtADAALgAwADEAOwBcAG4AIAAgACAAIAAgACAAIAAgACAAIABcACIAUQB1AGUAZQBuAHMAbABhAG4AZABcACIALAAgAFwAIgBNAG8AZABlAHIAYQB0AGUALwBMAG8AdwBcACIALAAgAFwAIgBXAGkAbgB0AGUAcgBcACIALAAgADAALgA2ADEALAAgAC0AMAAuADAANgAsACAAMAAuADIAMQAsACAAMAAuADEAOAAsACAAMAAuADEAMgAsACAAMAAuADAANgAsACAAMAAuADIAOQAsACAAMAAuADQAMQAsACAAMAAuADQAMQAsACAALQAwAC4AMQA1ADsAXABuACAAIAAgACAAIAAgACAAIAAgACAAXAAiAFEAdQBlAGUAbgBzAGwAYQBuAGQAXAAiACwAIABcACIATABvAHcAXAAiACwAIABcACIAUwBwAHIAaQBuAGcAXAAiACwAIAAtADAALgAyADAALAAgADAALgAwADIALAAgADAALgAyADQALAAgADAALgAzADAALAAgADAALgAyADMALAAgAC0AMAAuADAANQAsACAAMAAuADMANAAsACAAMAAuADMAMAAsACAAMAAuADUANwAsACAAMAAuADUAMgA7AFwAbgAgACAAIAAgACAAIAAgACAAIAAgAFwAIgBRAHUAZQBlAG4AcwBsAGEAbgBkAFwAIgAsACAAXAAiAEwAbwB3AFwAIgAsACAAXAAiAFMAdQBtAG0AZQByAFwAIgAsACAAMAAuADYAMgAsACAAMAAuADIAMQAsACAAMAAuADIANQAsACAAMAAuADMAMgAsACAAMAAuADQANwAsACAAMAAuADMAMQAsACAAMAAuADEANAAsACAAMAAuADQAMAAsACAAMAAuADIANgAsACAAMAAuADQAMwA7AFwAbgAgACAAIAAgACAAIAAgACAAIAAgAFwAIgBRAHUAZQBlAG4AcwBsAGEAbgBkAFwAIgAsACAAXAAiAEwAbwB3AFwAIgAsACAAXAAiAEEAdQB0AHUAbQBuAFwAIgAsACAAMAAuADQAMAAsACAAMAAuADEAMwAsACAAMAAuADEAMgAsACAAMAAuADIANwAsACAAMAAuADMAMAAsACAAMAAuADAAOAAsACAAMAAuADEAMwAsACAAMAAuADIANAAsACAAMAAuADEANQAsACAAMAAuADIAMQA7AFwAbgAgACAAIAAgACAAIAAgACAAIAAgAFwAIgBRAHUAZQBlAG4AcwBsAGEAbgBkAFwAIgAsACAAXAAiAEwAbwB3AFwAIgAsACAAXAAiAFcAaQBuAHQAZQByAFwAIgAsACAAMAAuADAAOAAsACAAMAAuADAANAAsACAAMAAuADAANgAsACAAMAAuADEAOAAsACAAMAAuADEAMQAsACAALQAwAC4AMAA3ACwAIAAwAC4AMQAzACwAIAAwAC4AMQA2ACwAIAAwAC4ANAAwACwAIAAwAC4AMwAzAFwAbgAgACAAIAAgACAAIAAgACAAfQAsACAAcgAsACAAYwApAFwAbgAgACAAIAAgACAAIAApAFwAbgAgACAAIAAgACkAXABuACAAIAApADsAXABuAFwAbgBcAG4ALwAqACAAXABuAC0ALQAtAC0ALQAtAC0ALQAtAC0ALQAtAC0ALQAtAC0ALQAtAC0ALQAtAC0ALQAtAC0ALQAtAC0ALQAtAC0ALQAtAC0ALQAtAC0ALQBcAG4AUwBvAHUAcgBjAGUARABhAHQAYQBfAFAAYQBzAHQAdQByAGUAQgBlAGUAZgBfAEQAcgB5AE0AYQB0AHQAZQByAEQAaQBnAGUAcwB0AGkAYgBpAGwAaQB0AHkAXABuAFQAYQBiAGwAZQAgAEEALgAxAC4AMgAuADUAOgAgAEIAZQBlAGYAIABwAGEAcwB0AHUAcgBlACAAYwBhAHQAdABsAGUAIAAtACAARAByAHkAIABtAGEAdAB0AGUAcgAgAGQAaQBnAGUAcwB0AGkAYgBpAGwAaQB0AHkAIABvAGYAIABmAGUAZQBkACAAaQBuAHQAYQBrAGUAIAAoAGYAcgBhAGMAdABpAG8AbgApACAAKABEAE0ARABqACkAXABuAC0ALQAtAC0ALQAtAC0ALQAtAC0ALQAtAC0ALQAtAC0ALQAtAC0ALQAtAC0ALQAtAC0ALQAtAC0ALQAtAC0ALQAtAC0ALQAtAC0ALQBcAG4AKgAvAFwAbgBcAG4AUwBvAHUAcgBjAGUARABhAHQAYQBfAFAAYQBzAHQAdQByAGUAQgBlAGUAZgBfAEQAcgB5AE0AYQB0AHQAZQByAEQAaQBnAGUAcwB0AGkAYgBpAGwAaQB0AHkAXwBUAGkAdABsAGUAXABuACAAIAA9AEwAQQBNAEIARABBACgAXAAiAEIAZQBlAGYAIABwAGEAcwB0AHUAcgBlACAAYwBhAHQAdABsAGUAIAAtACAARAByAHkAIABtAGEAdAB0AGUAcgAgAGQAaQBnAGUAcwB0AGkAYgBpAGwAaQB0AHkAIABvAGYAIABmAGUAZQBkACAAaQBuAHQAYQBrAGUAIAAoAGYAcgBhAGMAdABpAG8AbgApACAAKABEAE0ARABqACkAXAAiACkAOwBcAG4AXABuAFMAbwB1AHIAYwBlAEQAYQB0AGEAXwBQAGEAcwB0AHUAcgBlAEIAZQBlAGYAXwBEAHIAeQBNAGEAdAB0AGUAcgBEAGkAZwBlAHMAdABpAGIAaQBsAGkAdAB5AF8AVgBhAHIAaQBhAGIAbABlAFwAbgAgACAAPQBMAEEATQBCAEQAQQAoAFwAIgBEAE0ARABqAFwAIgApADsAXABuAFwAbgBTAG8AdQByAGMAZQBEAGEAdABhAF8AUABhAHMAdAB1AHIAZQBCAGUAZQBmAF8ARAByAHkATQBhAHQAdABlAHIARABpAGcAZQBzAHQAaQBiAGkAbABpAHQAeQBfAFUAbgBpAHQAXABuACAAIAA9AEwAQQBNAEIARABBACgAXAAiAGYAcgBhAGMAdABpAG8AbgBcACIAKQA7AFwAbgBcAG4AUwBvAHUAcgBjAGUARABhAHQAYQBfAFAAYQBzAHQAdQByAGUAQgBlAGUAZgBfAEQAcgB5AE0AYQB0AHQAZQByAEQAaQBnAGUAcwB0AGkAYgBpAGwAaQB0AHkAXwBTAG8AdQByAGMAZQBcAG4AIAAgAD0ATABBAE0AQgBEAEEAKABcACIAVgBFAEUAUgBHACAAMgAwADIANgA6ACAAVABhAGIAbABlACAAQQAuADEALgAyAC4ANQBcACIAKQA7AFwAbgBcAG4AUwBvAHUAcgBjAGUARABhAHQAYQBfAFAAYQBzAHQAdQByAGUAQgBlAGUAZgBfAEQAcgB5AE0AYQB0AHQAZQByAEQAaQBnAGUAcwB0AGkAYgBpAGwAaQB0AHkAXwBWAGEAcgBpAGEAdABpAG8AbgBcAG4AIAAgAD0ATABBAE0AQgBEAEEAKABcACIAVgBBAFIASQBBAFQASQBPAE4AIABPAE4AIABTAE8AVQBSAEMARQA6ACAAUwBwAGwAaQB0ACAAQQBDAFQAIABhAG4AZAAgAE4AUwBXACAAaQBuAHQAbwAgAHMAZQBwAGEAcgBhAHQAZQAgAHIAbwB3AHMALgAgAEQAdQBwAGwAaQBjAGEAdABlAGQAIABRAEwARAAgAGEAbgBkACAATgBUACAAcgBvAHcAcwAgAHcAaQB0AGgAIAByAGUAZwBpAG8AbgBzACAAZgByAG8AbQAgAHQAYQBiAGwAZQAgAEEALgAxAC4AMgAuADIAIAB0AG8AIABhAGkAZAAgAGwAbwBvAGsAdQBwAFwAIgApADsAXABuAFwAbgBTAG8AdQByAGMAZQBEAGEAdABhAF8AUABhAHMAdAB1AHIAZQBCAGUAZQBmAF8ARAByAHkATQBhAHQAdABlAHIARABpAGcAZQBzAHQAaQBiAGkAbABpAHQAeQBfAEQAYQB0AGEAXABuACAAIAA9AEwAQQBNAEIARABBACgAXABuACAAIAAgACAATQBBAEsARQBBAFIAUgBBAFkAKAAxADYALAAgADYALABcAG4AIAAgACAAIAAgACAATABBAE0AQgBEAEEAKAByACwAYwAsAFwAbgAgACAAIAAgACAAIAAgACAASQBOAEQARQBYACgAewBcAG4AIAAgACAAIAAgACAAIAAgACAAIABcACIAUwB0AGEAdABlAFwAIgAsACAAXAAiAFIAZQBnAGkAbwBuAFwAIgAsACAAXAAiAFMAcAByAGkAbgBnAFwAIgAsACAAXAAiAFMAdQBtAG0AZQByAFwAIgAsACAAXAAiAEEAdQB0AHUAbQBuAFwAIgAsACAAXAAiAFcAaQBuAHQAZQByAFwAIgA7AFwAbgAgACAAIAAgACAAIAAgACAAIAAgAFwAIgBBAEMAVABcACIALAAgAFwAIgBuAC8AYQBcACIALAAgADAALgA1ADUALAAgADAALgA2ADUALAAgADAALgA2ADAALAAgADAALgA1ADAAOwBcAG4AIAAgACAAIAAgACAAIAAgACAAIABcACIATgBTAFcAXAAiACwAIABcACIAbgAvAGEAXAAiACwAIAAwAC4ANQA1ACwAIAAwAC4ANgA1ACwAIAAwAC4ANgAwACwAIAAwAC4ANQAwADsAXABuACAAIAAgACAAIAAgACAAIAAgACAAXAAiAE4AVABcACIALAAgAFwAIgBBAGwAaQBjAGUAIABTAHAAcgBpAG4AZwBzAFwAIgAsACAAMAAuADUANQAsACAAMAAuADYAMQAsACAAMAAuADUANwAsACAAMAAuADUANAA7AFwAbgAgACAAIAAgACAAIAAgACAAIAAgAFwAIgBOAFQAXAAiACwAIABcACIAQgBhAHIAawBsAHkAXAAiACwAIAAwAC4ANQA1ACwAIAAwAC4ANgAxACwAIAAwAC4ANQA3ACwAIAAwAC4ANQA0ADsAXABuACAAIAAgACAAIAAgACAAIAAgACAAXAAiAE4AVABcACIALAAgAFwAIgBOAG8AcgB0AGgAZQByAG4AXAAiACwAIAAwAC4ANQA1ACwAIAAwAC4ANgAxACwAIAAwAC4ANQA3ACwAIAAwAC4ANQA0ADsAXABuACAAIAAgACAAIAAgACAAIAAgACAAXAAiAFEATABEAFwAIgAsACAAXAAiAEgAaQBnAGgAXAAiACwAIAAwAC4ANQAzACwAIAAwAC4ANQA3ACwAIAAwAC4ANQA1ACwAIAAwAC4ANQAxADsAXABuACAAIAAgACAAIAAgACAAIAAgACAAXAAiAFEATABEAFwAIgAsACAAXAAiAE0AbwBkAGUAcgBhAHQAZQAvAEgAaQBnAGgAXAAiACwAIAAwAC4ANQAzACwAIAAwAC4ANQA3ACwAIAAwAC4ANQA1ACwAIAAwAC4ANQAxADsAXABuACAAIAAgACAAIAAgACAAIAAgACAAXAAiAFEATABEAFwAIgAsACAAXAAiAE0AbwBkAGUAcgBhAHQAZQAvAEwAbwB3AFwAIgAsACAAMAAuADUAMwAsACAAMAAuADUANwAsACAAMAAuADUANQAsACAAMAAuADUAMQA7AFwAbgAgACAAIAAgACAAIAAgACAAIAAgAFwAIgBRAEwARABcACIALAAgAFwAIgBMAG8AdwBcACIALAAgADAALgA1ADMALAAgADAALgA1ADcALAAgADAALgA1ADUALAAgADAALgA1ADEAOwBcAG4AIAAgACAAIAAgACAAIAAgACAAIABcACIAUwBBAFwAIgAsACAAXAAiAG4ALwBhAFwAIgAsACAAMAAuADcAMAAsACAAMAAuADUANQAsACAAMAAuADUANQAsACAAMAAuADcANQA7AFwAbgAgACAAIAAgACAAIAAgACAAIAAgAFwAIgBUAEEAUwBcACIALAAgAFwAIgBuAC8AYQBcACIALAAgADAALgA3ADUALAAgADAALgA2ADAALAAgADAALgA3ADAALAAgADAALgA3ADUAOwBcAG4AIAAgACAAIAAgACAAIAAgACAAIABcACIAVgBJAEMAXAAiACwAIABcACIAbgAvAGEAXAAiACwAIAAwAC4AOAAwACwAIAAwAC4ANQA1ACwAIAAwAC4ANgAwACwAIAAwAC4ANwA2ADsAXABuACAAIAAgACAAIAAgACAAIAAgACAAXAAiAFcAQQBcACIALAAgAFwAIgBTAG8AdQB0AGgAIABXAGUAcwB0AFwAIgAsACAAMAAuADgAMAAsACAAMAAuADUAOAAsACAAMAAuADUAMAAsACAAMAAuADcANQA7AFwAbgAgACAAIAAgACAAIAAgACAAIAAgAFwAIgBXAEEAXAAiACwAIABcACIAUABpAGwAYgBhAHIAYQBcACIALAAgADAALgA0ADAALAAgADAALgA2ADUALAAgADAALgA1ADUALAAgADAALgA0ADUAOwBcAG4AIAAgACAAIAAgACAAIAAgACAAIABcACIAVwBBAFwAIgAsACAAXAAiAEsAaQBtAGIAZQByAGwAZQB5AFwAIgAsACAAMAAuADQAMAAsACAAMAAuADYANQAsACAAMAAuADUANQAsACAAMAAuADQANQ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MAcgB1AGQAZQBQAHIAbwB0AGUAaQBuAEMAbwBuAHQAZQBuAHQAXABuAFQAYQBiAGwAZQAgAEEALgAxAC4AMgAuADYAOgAgAEIAZQBlAGYAIABwAGEAcwB0AHUAcgBlACAAYwBhAHQAdABsAGUAIAAtACAAQwByAHUAZABlACAAcAByAG8AdABlAGkAbgAgAGMAbwBuAHQAZQBuAHQAIABvAGYAIABmAGUAZQBkACAAaQBuAHQAYQBrAGUAIAAoAGYAcgBhAGMAdABpAG8AbgApACAAKABDAFAAagApAFwAbgAtAC0ALQAtAC0ALQAtAC0ALQAtAC0ALQAtAC0ALQAtAC0ALQAtAC0ALQAtAC0ALQAtAC0ALQAtAC0ALQAtAC0ALQAtAC0ALQAtAC0AXABuACoALwBcAG4AXABuAFMAbwB1AHIAYwBlAEQAYQB0AGEAXwBQAGEAcwB0AHUAcgBlAEIAZQBlAGYAXwBDAHIAdQBkAGUAUAByAG8AdABlAGkAbgBDAG8AbgB0AGUAbgB0AF8AVABpAHQAbABlAFwAbgAgACAAPQBMAEEATQBCAEQAQQAoAFwAIgBCAGUAZQBmACAAcABhAHMAdAB1AHIAZQAgAGMAYQB0AHQAbABlACAALQAgAEMAcgB1AGQAZQAgAHAAcgBvAHQAZQBpAG4AIABjAG8AbgB0AGUAbgB0ACAAbwBmACAAZgBlAGUAZAAgAGkAbgB0AGEAawBlACAAKABmAHIAYQBjAHQAaQBvAG4AKQAgACgAQwBQAGoAKQBcACIAKQA7AFwAbgBcAG4AUwBvAHUAcgBjAGUARABhAHQAYQBfAFAAYQBzAHQAdQByAGUAQgBlAGUAZgBfAEMAcgB1AGQAZQBQAHIAbwB0AGUAaQBuAEMAbwBuAHQAZQBuAHQAXwBWAGEAcgBpAGEAYgBsAGUAXABuACAAIAA9AEwAQQBNAEIARABBACgAXAAiAEMAUABqAFwAIgApADsAXABuAFwAbgBTAG8AdQByAGMAZQBEAGEAdABhAF8AUABhAHMAdAB1AHIAZQBCAGUAZQBmAF8AQwByAHUAZABlAFAAcgBvAHQAZQBpAG4AQwBvAG4AdABlAG4AdABfAFUAbgBpAHQAXABuACAAIAA9AEwAQQBNAEIARABBACgAXAAiAGYAcgBhAGMAdABpAG8AbgBcACIAKQA7AFwAbgBcAG4AUwBvAHUAcgBjAGUARABhAHQAYQBfAFAAYQBzAHQAdQByAGUAQgBlAGUAZgBfAEMAcgB1AGQAZQBQAHIAbwB0AGUAaQBuAEMAbwBuAHQAZQBuAHQAXwBTAG8AdQByAGMAZQBcAG4AIAAgAD0ATABBAE0AQgBEAEEAKABcACIAVgBFAEUAUgBHACAAMgAwADIANgA6ACAAVABhAGIAbABlACAAQQAuADEALgAyAC4ANgBcACIAKQA7AFwAbgBcAG4AUwBvAHUAcgBjAGUARABhAHQAYQBfAFAAYQBzAHQAdQByAGUAQgBlAGUAZgBfAEMAcgB1AGQAZQBQAHIAbwB0AGUAaQBuAEMAbwBuAHQAZQBuAHQAXwBWAGEAcgBpAGEAdABpAG8AbgBcAG4AIAAgAD0ATABBAE0AQgBEAEEAKABcACIAVgBBAFIASQBBAFQASQBPAE4AIABPAE4AIABTAE8AVQBSAEMARQA6ACAAUwBwAGwAaQB0ACAAQQBDAFQAIABhAG4AZAAgAE4AUwBXACAAaQBuAHQAbwAgAHMAZQBwAGEAcgBhAHQAZQAgAHIAbwB3AHMALgAgAEQAdQBwAGwAaQBjAGEAdABlAGQAIABRAEwARAAgAGEAbgBkACAATgBUACAAcgBvAHcAcwAgAHcAaQB0AGgAIAByAGUAZwBpAG8AbgBzACAAZgByAG8AbQAgAHQAYQBiAGwAZQAgAEEALgAxAC4AMgAuADIAIAB0AG8AIABhAGkAZAAgAGwAbwBvAGsAdQBwAFwAIgApADsAXABuAFwAbgBTAG8AdQByAGMAZQBEAGEAdABhAF8AUABhAHMAdAB1AHIAZQBCAGUAZQBmAF8AQwByAHUAZABlAFAAcgBvAHQAZQBpAG4AQwBvAG4AdABlAG4AdABfAEQAYQB0AGEAXABuACAAIAA9AEwAQQBNAEIARABBACgAXABuACAAIAAgACAATQBBAEsARQBBAFIAUgBBAFkAKAAxADYALAAgADYALABcAG4AIAAgACAAIAAgACAATABBAE0AQgBEAEEAKAByACwAYwAsAFwAbgAgACAAIAAgACAAIAAgACAASQBOAEQARQBYACgAewBcAG4AIAAgACAAIAAgACAAIAAgACAAIABcACIAUwB0AGEAdABlAFwAIgAsACAAXAAiAFIAZQBnAGkAbwBuAFwAIgAsACAAXAAiAFMAcAByAGkAbgBnAFwAIgAsACAAXAAiAFMAdQBtAG0AZQByAFwAIgAsACAAXAAiAEEAdQB0AHUAbQBuAFwAIgAsACAAXAAiAFcAaQBuAHQAZQByAFwAIgA7AFwAbgAgACAAIAAgACAAIAAgACAAIAAgAFwAIgBBAEMAVABcACIALAAgAFwAIgBuAC8AYQBcACIALAAgADAALgAwADcALAAgADAALgAxADMALAAgADAALgAxACwAIAAwAC4AMAA2ADsAXABuACAAIAAgACAAIAAgACAAIAAgACAAXAAiAE4AUwBXAFwAIgAsACAAXAAiAG4ALwBhAFwAIgAsACAAMAAuADAANwAsACAAMAAuADEAMwAsACAAMAAuADEALAAgADAALgAwADYAOwBcAG4AIAAgACAAIAAgACAAIAAgACAAIABcACIATgBUAFwAIgAsACAAXAAiAEEAbABpAGMAZQAgAFMAcAByAGkAbgBnAHMAXAAiACwAIAAwAC4AMAA1ADgALAAgADAALgAwADkAMgAsACAAMAAuADAANwA1ACwAIAAwAC4AMAA1ADMAOwBcAG4AIAAgACAAIAAgACAAIAAgACAAIABcACIATgBUAFwAIgAsACAAXAAiAEIAYQByAGsAbAB5AFwAIgAsACAAMAAuADAANQA4ACwAIAAwAC4AMAA5ADIALAAgADAALgAwADcANQAsACAAMAAuADAANQAzADsAXABuACAAIAAgACAAIAAgACAAIAAgACAAXAAiAE4AVABcACIALAAgAFwAIgBOAG8AcgB0AGgAZQByAG4AXAAiACwAIAAwAC4AMAA1ADgALAAgADAALgAwADkAMgAsACAAMAAuADAANwA1ACwAIAAwAC4AMAA1ADMAOwBcAG4AIAAgACAAIAAgACAAIAAgACAAIABcACIAUQBMAEQAXAAiACwAIABcACIASABpAGcAaABcACIALAAgADAALgAwADcAMgAsACAAMAAuADAAOQA5ACwAIAAwAC4AMAA3ADgALAAgADAALgAwADUAOQA7AFwAbgAgACAAIAAgACAAIAAgACAAIAAgAFwAIgBRAEwARABcACIALAAgAFwAIgBNAG8AZABlAHIAYQB0AGUALwBIAGkAZwBoAFwAIgAsACAAMAAuADAANwAyACwAIAAwAC4AMAA5ADkALAAgADAALgAwADcAOAAsACAAMAAuADAANQA5ADsAXABuACAAIAAgACAAIAAgACAAIAAgACAAXAAiAFEATABEAFwAIgAsACAAXAAiAE0AbwBkAGUAcgBhAHQAZQAvAEwAbwB3AFwAIgAsACAAMAAuADAANwAyACwAIAAwAC4AMAA5ADkALAAgADAALgAwADcAOAAsACAAMAAuADAANQA5ADsAXABuACAAIAAgACAAIAAgACAAIAAgACAAXAAiAFEATABEAFwAIgAsACAAXAAiAEwAbwB3AFwAIgAsACAAMAAuADAANwAyACwAIAAwAC4AMAA5ADkALAAgADAALgAwADcAOAAsACAAMAAuADAANQA5ADsAXABuACAAIAAgACAAIAAgACAAIAAgACAAXAAiAFMAQQBcACIALAAgAFwAIgBuAC8AYQBcACIALAAgADAALgAxADYALAAgADAALgAwADcALAAgADAALgAwADkALAAgADAALgAyADsAXABuACAAIAAgACAAIAAgACAAIAAgACAAXAAiAFQAQQBTAFwAIgAsACAAXAAiAG4ALwBhAFwAIgAsACAAMAAuADIALAAgADAALgAxACwAIAAwAC4AMQA2ACwAIAAwAC4AMgA7AFwAbgAgACAAIAAgACAAIAAgACAAIAAgAFwAIgBWAEkAQwBcACIALAAgAFwAIgBuAC8AYQBcACIALAAgADAALgAyADUALAAgADAALgAwADcALAAgADAALgAxACwAIAAwAC4AMgAxADsAXABuACAAIAAgACAAIAAgACAAIAAgACAAXAAiAFcAQQBcACIALAAgAFwAIgBTAG8AdQB0AGgAIABXAGUAcwB0AFwAIgAsACAAMAAuADIALAAgADAALgAwADkALAAgADAALgAwADYALAAgADAALgAyADsAXABuACAAIAAgACAAIAAgACAAIAAgACAAXAAiAFcAQQBcACIALAAgAFwAIgBQAGkAbABiAGEAcgBhAFwAIgAsACAAMAAuADAANAAsACAAMAAuADEAMgAsACAAMAAuADAAOQAsACAAMAAuADAANgA7AFwAbgAgACAAIAAgACAAIAAgACAAIAAgAFwAIgBXAEEAXAAiACwAIABcACIASwBpAG0AYgBlAHIAbABlAHkAXAAiACwAIAAwAC4AMAA0ACwAIAAwAC4AMQAyACwAIAAwAC4AMAA5ACwAIAAwAC4AMAA2AFwAbgAgACAAIAAgACAAIAAgACAAfQAsACAAcgAsACAAYwApAFwAbgAgACAAIAAgACAAIAApAFwAbgAgACAAIAAgACkAXABuACAAIAApADsAXABuAFwAbgBcAG4ALwAqACAAXABuAC0ALQAtAC0ALQAtAC0ALQAtAC0ALQAtAC0ALQAtAC0ALQAtAC0ALQAtAC0ALQAtAC0ALQAtAC0ALQAtAC0ALQAtAC0ALQAtAC0ALQBcAG4AUwBvAHUAcgBjAGUARABhAHQAYQBfAFAAYQBzAHQAdQByAGUAQgBlAGUAZgBfAEYAZQBlAGQAQQBkAGoAdQBzAHQAbQBlAG4AdABBAG4AZABNAGkAbABrAFAAcgBvAGQAdQBjAHQAaQBvAG4AXABuAFQAYQBiAGwAZQAgAEEALgAxAC4AMgAuADcAOgAgAEIAZQBlAGYAIABwAGEAcwB0AHUAcgBlACAAYwBhAHQAdABsAGUAIAAtACAARgBlAGUAZAAgAGkAbgB0AGEAawBlACAAYQBkAGoAdQBzAHQAbQBlAG4AdAAgAGEAbgBkACAAbQBpAGwAawAgAHAAcgBvAGQAdQBjAHQAaQBvAG4AIAAoAGsAZwAvAGgAZQBhAGQALwBkAGEAeQApAFwAbgAtAC0ALQAtAC0ALQAtAC0ALQAtAC0ALQAtAC0ALQAtAC0ALQAtAC0ALQAtAC0ALQAtAC0ALQAtAC0ALQAtAC0ALQAtAC0ALQAtAC0AXABuACoALwBcAG4AXABuAFMAbwB1AHIAYwBlAEQAYQB0AGEAXwBQAGEAcwB0AHUAcgBlAEIAZQBlAGYAXwBGAGUAZQBkAEEAZABqAHUAcwB0AG0AZQBuAHQAQQBuAGQATQBpAGwAawBQAHIAbwBkAHUAYwB0AGkAbwBuAF8AVABpAHQAbABlAFwAbgAgACAAPQBMAEEATQBCAEQAQQAoAFwAIgBCAGUAZQBmACAAcABhAHMAdAB1AHIAZQAgAGMAYQB0AHQAbABlACAALQAgAEYAZQBlAGQAIABpAG4AdABhAGsAZQAgAGEAZABqAHUAcwB0AG0AZQBuAHQAIABhAG4AZAAgAG0AaQBsAGsAIABwAHIAbwBkAHUAYwB0AGkAbwBuACAAKABrAGcALwBoAGUAYQBkAC8AZABhAHkAKQBcACIAKQA7AFwAbgBcAG4AUwBvAHUAcgBjAGUARABhAHQAYQBfAFAAYQBzAHQAdQByAGUAQgBlAGUAZgBfAEYAZQBlAGQAQQBkAGoAdQBzAHQAbQBlAG4AdABBAG4AZABNAGkAbABrAFAAcgBvAGQAdQBjAHQAaQBvAG4AXwBWAGEAcgBpAGEAYgBsAGUAXABuACAAIAA9AEwAQQBNAEIARABBACgAXAAiAE0AQwBqAGsAPQAxACwAMwAsADYAOwAgAEQATQBQAGoAawA9ADUAXAAiACkAOwBcAG4AXABuAFMAbwB1AHIAYwBlAEQAYQB0AGEAXwBQAGEAcwB0AHUAcgBlAEIAZQBlAGYAXwBGAGUAZQBkAEEAZABqAHUAcwB0AG0AZQBuAHQAQQBuAGQATQBpAGwAawBQAHIAbwBkAHUAYwB0AGkAbwBuAF8AVQBuAGkAdABcAG4AIAAgAD0ATABBAE0AQgBEAEEAKABcACIAXAAiACkAOwBcAG4AXABuAFMAbwB1AHIAYwBlAEQAYQB0AGEAXwBQAGEAcwB0AHUAcgBlAEIAZQBlAGYAXwBGAGUAZQBkAEEAZABqAHUAcwB0AG0AZQBuAHQAQQBuAGQATQBpAGwAawBQAHIAbwBkAHUAYwB0AGkAbwBuAF8AUwBvAHUAcgBjAGUAXABuACAAIAA9AEwAQQBNAEIARABBACgAXAAiAFYARQBFAFIARwAgADIAMAAyADYAOgAgAFQAYQBiAGwAZQAgAEEALgAxAC4AMgAuADcAXAAiACkAOwBcAG4AXABuAFMAbwB1AHIAYwBlAEQAYQB0AGEAXwBQAGEAcwB0AHUAcgBlAEIAZQBlAGYAXwBGAGUAZQBkAEEAZABqAHUAcwB0AG0AZQBuAHQAQQBuAGQATQBpAGwAawBQAHIAbwBkAHUAYwB0AGkAbwBuAF8AVgBhAHIAaQBhAHQAaQBvAG4AXABuACAAIAA9AEwAQQBNAEIARABBACgAXAAiAFwAIgApADsAXABuAFwAbgBTAG8AdQByAGMAZQBEAGEAdABhAF8AUABhAHMAdAB1AHIAZQBCAGUAZQBmAF8ARgBlAGUAZABBAGQAagB1AHMAdABtAGUAbgB0AEEAbgBkAE0AaQBsAGsAUAByAG8AZAB1AGMAdABpAG8AbgBfAEQAYQB0AGEAXABuACAAIAA9AEwAQQBNAEIARABBACgAXABuACAAIAAgACAATQBBAEsARQBBAFIAUgBBAFkAKAA5ACwAIAA0ACwAXABuACAAIAAgACAAIAAgAEwAQQBNAEIARABBACgAcgAsAGMALABcAG4AIAAgACAAIAAgACAAIAAgAEkATgBEAEUAWAAoAHsAXABuACAAIAAgACAAIAAgACAAIAAgACAAXAAiAEIAcgBlAGUAZABcACIALAAgAFwAIgBTAGUAYQBzAG8AbgBcACIALAAgAFwAIgBGAGUAZQBkACAAYQBkAGoAdQBzAHQAbQBlAG4AdAAgACgATQBDAGoAawA9ADEALAAzACwANgApAFwAIgAsACAAXAAiAE0AaQBsAGsAIABpAG4AdABhAGsAZQAgAC8AIABwAHIAbwBkAHUAYwB0AGkAbwBuACAAKABEAE0AUABqAGsAPQA1ACkAXAAiADsAXABuACAAIAAgACAAIAAgACAAIAAgACAAXAAiAEgAZQByAGUAZgBvAHIAZAAgAG8AcgAgAFMAaABvAHIAdABoAG8AcgBuACAAYgByAGUAZQBkAHMAXAAiACwAIABcACIAUwBwAHIAaQBuAGcAXAAiACwAIAAxAC4AMwAsACAANgA7AFwAbgAgACAAIAAgACAAIAAgACAAIAAgAFwAIgBIAGUAcgBlAGYAbwByAGQAIABvAHIAIABTAGgAbwByAHQAaABvAHIAbgAgAGIAcgBlAGUAZABzAFwAIgAsACAAXAAiAFMAdQBtAG0AZQByAFwAIgAsACAAMQAuADEALAAgADQAOwBcAG4AIAAgACAAIAAgACAAIAAgACAAIABcACIASABlAHIAZQBmAG8AcgBkACAAbwByACAAUwBoAG8AcgB0AGgAbwByAG4AIABiAHIAZQBlAGQAcwBcACIALAAgAFwAIgBBAHUAdAB1AG0AbgBcACIALAAgADAALAAgADAAOwBcAG4AIAAgACAAIAAgACAAIAAgACAAIABcACIASABlAHIAZQBmAG8AcgBkACAAbwByACAAUwBoAG8AcgB0AGgAbwByAG4AIABiAHIAZQBlAGQAcwBcACIALAAgAFwAIgBXAGkAbgB0AGUAcgBcACIALAAgADAALAAgADAAOwBcAG4AIAAgACAAIAAgACAAIAAgACAAIABcACIATgBvAHIAdABoAGUAcgBuACAAQgByAGEAaABtAGEAbgAgAGMAcgBvAHMAcwAgAGIAcgBlAGUAZABcACIALAAgAFwAIgBTAHAAcgBpAG4AZwBcACIALAAgADAALAAgADAAOwBcAG4AIAAgACAAIAAgACAAIAAgACAAIABcACIATgBvAHIAdABoAGUAcgBuACAAQgByAGEAaABtAGEAbgAgAGMAcgBvAHMAcwAgAGIAcgBlAGUAZABcACIALAAgAFwAIgBTAHUAbQBtAGUAcgBcACIALAAgADEALgAzACwAIAA0ADsAXABuACAAIAAgACAAIAAgACAAIAAgACAAXAAiAE4AbwByAHQAaABlAHIAbgAgAEIAcgBhAGgAbQBhAG4AIABjAHIAbwBzAHMAIABiAHIAZQBlAGQAXAAiACwAIABcACIAQQB1AHQAdQBtAG4AXAAiACwAIAAxAC4AMQAsACAAMwA7AFwAbgAgACAAIAAgACAAIAAgACAAIAAgAFwAIgBOAG8AcgB0AGgAZQByAG4AIABCAHIAYQBoAG0AYQBuACAAYwByAG8AcwBzACAAYgByAGUAZQBkAFwAIgAsACAAXAAiAFcAaQBuAHQAZQByAFwAIgAsACAAMAAsACAAMA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FMAdABhAG4AZABhAHIAZABSAGUAZgBlAHIAZQBuAGMAZQBXAGUAaQBnAGgAdABzAFwAbgBUAGEAYgBsAGUAIABBAC4AMQAuADIALgA4ADoAIABCAGUAZQBmACAAcABhAHMAdAB1AHIAZQAgAGMAYQB0AHQAbABlACAALQAgAFMAdABhAG4AZABhAHIAZAAgAHIAZQBmAGUAcgBlAG4AYwBlACAAdwBlAGkAZwBoAHQAcwAgACgAawBnACkAIAAoAFMAUgBXAGsAKQBcAG4ALQAtAC0ALQAtAC0ALQAtAC0ALQAtAC0ALQAtAC0ALQAtAC0ALQAtAC0ALQAtAC0ALQAtAC0ALQAtAC0ALQAtAC0ALQAtAC0ALQAtAFwAbgAqAC8AXABuAFwAbgBTAG8AdQByAGMAZQBEAGEAdABhAF8AUABhAHMAdAB1AHIAZQBCAGUAZQBmAF8AUwB0AGEAbgBkAGEAcgBkAFIAZQBmAGUAcgBlAG4AYwBlAFcAZQBpAGcAaAB0AHMAXwBUAGkAdABsAGUAXABuACAAIAA9AEwAQQBNAEIARABBACgAXAAiAEIAZQBlAGYAIABwAGEAcwB0AHUAcgBlACAAYwBhAHQAdABsAGUAIAAtACAAUwB0AGEAbgBkAGEAcgBkACAAcgBlAGYAZQByAGUAbgBjAGUAIAB3AGUAaQBnAGgAdABzACAAKABrAGcAKQAgACgAUwBSAFcAawApAFwAIgApADsAXABuAFwAbgBTAG8AdQByAGMAZQBEAGEAdABhAF8AUABhAHMAdAB1AHIAZQBCAGUAZQBmAF8AUwB0AGEAbgBkAGEAcgBkAFIAZQBmAGUAcgBlAG4AYwBlAFcAZQBpAGcAaAB0AHMAXwBWAGEAcgBpAGEAYgBsAGUAXABuACAAIAA9AEwAQQBNAEIARABBACgAXAAiAFMAUgBXAGsAXAAiACkAOwBcAG4AXABuAFMAbwB1AHIAYwBlAEQAYQB0AGEAXwBQAGEAcwB0AHUAcgBlAEIAZQBlAGYAXwBTAHQAYQBuAGQAYQByAGQAUgBlAGYAZQByAGUAbgBjAGUAVwBlAGkAZwBoAHQAcwBfAFUAbgBpAHQAXABuACAAIAA9AEwAQQBNAEIARABBACgAXAAiAGsAZwBcACIAKQA7AFwAbgBcAG4AUwBvAHUAcgBjAGUARABhAHQAYQBfAFAAYQBzAHQAdQByAGUAQgBlAGUAZgBfAFMAdABhAG4AZABhAHIAZABSAGUAZgBlAHIAZQBuAGMAZQBXAGUAaQBnAGgAdABzAF8AUwBvAHUAcgBjAGUAXABuACAAIAA9AEwAQQBNAEIARABBACgAXAAiAFYARQBFAFIARwAgADIAMAAyADYAOgAgAFQAYQBiAGwAZQAgAEEALgAxAC4AMgAuADgAXAAiACkAOwBcAG4AXABuAFMAbwB1AHIAYwBlAEQAYQB0AGEAXwBQAGEAcwB0AHUAcgBlAEIAZQBlAGYAXwBTAHQAYQBuAGQAYQByAGQAUgBlAGYAZQByAGUAbgBjAGUAVwBlAGkAZwBoAHQAcwBfAFYAYQByAGkAYQB0AGkAbwBuAFwAbgAgACAAPQBMAEEATQBCAEQAQQAoAFwAIgBWAEEAUgBJAEEAVABJAE8ATgAgAE8ATgAgAFMATwBVAFIAQwBFADoAIABTAHAAbABpAHQAIABBAEMAVAAgAGEAbgBkACAATgBTAFcAIABpAG4AdABvACAAcwBlAHAAYQByAGEAdABlACAAcgBvAHcAcwAuACAAQQBkAGQAZQBkACAAXAB1ADAAMAAyADcAUwB0AGEAdABlACAAYQBiAGIAcgBlAHYAaQBhAHQAaQBvAG4AXAB1ADAAMAAyADcAIABjAG8AbAB1AG0AbgAgAHQAbwAgAGEAaQBkACAAbABvAG8AawB1AHAALgBcACIAKQA7AFwAbgBcAG4AUwBvAHUAcgBjAGUARABhAHQAYQBfAFAAYQBzAHQAdQByAGUAQgBlAGUAZgBfAFMAdABhAG4AZABhAHIAZABSAGUAZgBlAHIAZQBuAGMAZQBXAGUAaQBnAGgAdABzAF8ARABhAHQAYQBcAG4AIAAgAD0ATABBAE0AQgBEAEEAKABcAG4AIAAgACAAIABNAEEASwBFAEEAUgBSAEEAWQAoADkALAAgADkALABcAG4AIAAgACAAIAAgACAATABBAE0AQgBEAEEAKAByACwAYwAsAFwAbgAgACAAIAAgACAAIAAgACAASQBOAEQARQBYACgAewBcAG4AIAAgACAAIAAgACAAIAAgACAAIABcACIAUwB0AGEAdABlAFwAIgAsACAAXAAiAEIAdQBsAGwAcwAgAFwAdQAwADAAMwBjADEAXAAiACwAIABcACIAQgB1AGwAbABzACAAXAB1ADAAMAAzAGUAMQBcACIALAAgAFwAIgBDAG8AdwBzACAAXAB1ADAAMAAzAGMAMQBcACIALAAgAFwAIgBDAG8AdwBzACAAMQAtADIAXAAiACwAIABcACIAQwBvAHcAcwAgAFwAdQAwADAAMwBlADIAXAAiACwAIABcACIAUwB0AGUAZQByACAAXAB1ADAAMAAzAGMAMQBcACIALAAgAFwAIgBTAHQAZQBlAHIAIABcAHUAMAAwADMAZQAxAFwAIgAsACAAXAAiAFMAdABhAHQAZQAgAGEAYgBiAHIAZQB2AGkAYQB0AGkAbwBuAFwAIgA7AFwAbgAgACAAIAAgACAAIAAgACAAIAAgAFwAIgBBAEMAVABcACIALAAgADcAMAAwACwAIAA3ADAAMAAsACAANQAwADAALAAgADUAMAAwACwAIAA1ADAAMAAsACAANgAwADAALAAgADYAMAAwACwAIABcACIAQQBDAFQAXAAiADsAXABuACAAIAAgACAAIAAgACAAIAAgACAAXAAiAE4AUwBXAFwAIgAsACAANwAwADAALAAgADcAMAAwACwAIAA1ADAAMAAsACAANQAwADAALAAgADUAMAAwACwAIAA2ADAAMAAsACAANgAwADAALAAgAFwAIgBOAFMAVwBcACIAOwBcAG4AIAAgACAAIAAgACAAIAAgACAAIABcACIATgBvAHIAdABoAGUAcgBuACAAVABlAHIAcgBpAHQAbwByAHkAXAAiACwAIAA3ADcAMAAsACAANwA3ADAALAAgADUANQAwACwAIAA1ADUAMAAsACAANQA1ADAALAAgADYANgAwACwAIAA2ADYAMAAsACAAXAAiAE4AVABcACIAOwBcAG4AIAAgACAAIAAgACAAIAAgACAAIABcACIAUQB1AGUAZQBuAHMAbABhAG4AZABcACIALAAgADcANwAwACwAIAA3ADcAMAAsACAANQA1ADAALAAgADUANQAwACwAIAA1ADUAMAAsACAANgA2ADAALAAgADYANgAwACwAIABcACIAUQBMAEQAXAAiADsAXABuACAAIAAgACAAIAAgACAAIAAgACAAXAAiAFMAbwB1AHQAaAAgAEEAdQBzAHQAcgBhAGwAaQBhAFwAIgAsACAANwA3ADAALAAgADcANwAwACwAIAA1ADUAMAAsACAANQA1ADAALAAgADUANQAwACwAIAA2ADYAMAAsACAANgA2ADAALAAgAFwAIgBTAEEAXAAiADsAXABuACAAIAAgACAAIAAgACAAIAAgACAAXAAiAFQAYQBzAG0AYQBuAGkAYQBcACIALAAgADcANwAwACwAIAA3ADcAMAAsACAANQA1ADAALAAgADUANQAwACwAIAA1ADUAMAAsACAANgA2ADAALAAgADYANgAwACwAIABcACIAVABBAFMAXAAiADsAXABuACAAIAAgACAAIAAgACAAIAAgACAAXAAiAFYAaQBjAHQAbwByAGkAYQBcACIALAAgADcANwAwACwAIAA3ADcAMAAsACAANQA1ADAALAAgADUANQAwACwAIAA1ADUAMAAsACAANgA2ADAALAAgADYANgAwACwAIABcACIAVgBJAEMAXAAiADsAXABuACAAIAAgACAAIAAgACAAIAAgACAAXAAiAFcAZQBzAHQAZQByAG4AIABBAHUAcwB0AHIAYQBsAGkAYQBcACIALAAgADcANwAwACwAIAA3ADcAMAAsACAANQA1ADAALAAgADUANQAwACwAIAA1ADUAMAAsACAANgA2ADAALAAgADYANgAwACwAIABcACIAVwBBAFwAIg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YAcgBhAGMAdABpAG8AbgBPAGYATQBhAG4AdQByAGUAVABvAE0ATQBTAFwAbgBUAGEAYgBsAGUAIABBAC4AMQAuADIALgA5ADoAIABCAGUAZQBmACAAcABhAHMAdAB1AHIAZQAgAGMAYQB0AHQAbABlACAALQAgAEYAcgBhAGMAdABpAG8AbgAgAG8AZgAgAG0AYQBuAHUAcgBlACAAdABvACAAZQBhAGMAaAAgAG0AYQBuAHUAcgBlACAAbQBhAG4AYQBnAGUAbQBlAG4AdAAgAHMAeQBzAHQAZQBtACAAKABmAHIAYQBjAHQAaQBvAG4AKQAgACgATQBNAFMAbQApAFwAbgAtAC0ALQAtAC0ALQAtAC0ALQAtAC0ALQAtAC0ALQAtAC0ALQAtAC0ALQAtAC0ALQAtAC0ALQAtAC0ALQAtAC0ALQAtAC0ALQAtAC0AXABuACoALwBcAG4AXABuAFMAbwB1AHIAYwBlAEQAYQB0AGEAXwBQAGEAcwB0AHUAcgBlAEIAZQBlAGYAXwBGAHIAYQBjAHQAaQBvAG4ATwBmAE0AYQBuAHUAcgBlAFQAbwBNAE0AUwBfAFQAaQB0AGwAZQBcAG4AIAAgAD0ATABBAE0AQgBEAEEAKABcACIAQgBlAGUAZgAgAHAAYQBzAHQAdQByAGUAIABjAGEAdAB0AGwAZQAgAC0AIABGAHIAYQBjAHQAaQBvAG4AIABvAGYAIABtAGEAbgB1AHIAZQAgAHQAbwAgAGUAYQBjAGgAIABtAGEAbgB1AHIAZQAgAG0AYQBuAGEAZwBlAG0AZQBuAHQAIABzAHkAcwB0AGUAbQAgACgAZgByAGEAYwB0AGkAbwBuACkAIAAoAE0ATQBTAG0AKQBcACIAKQA7AFwAbgBcAG4AUwBvAHUAcgBjAGUARABhAHQAYQBfAFAAYQBzAHQAdQByAGUAQgBlAGUAZgBfAEYAcgBhAGMAdABpAG8AbgBPAGYATQBhAG4AdQByAGUAVABvAE0ATQBTAF8AVgBhAHIAaQBhAGIAbABlAFwAbgAgACAAPQBMAEEATQBCAEQAQQAoAFwAIgBNAE0AUwBtAFwAIgApADsAXABuAFwAbgBTAG8AdQByAGMAZQBEAGEAdABhAF8AUABhAHMAdAB1AHIAZQBCAGUAZQBmAF8ARgByAGEAYwB0AGkAbwBuAE8AZgBNAGEAbgB1AHIAZQBUAG8ATQBNAFMAXwBVAG4AaQB0AFwAbgAgACAAPQBMAEEATQBCAEQAQQAoAFwAIgBmAHIAYQBjAHQAaQBvAG4AXAAiACkAOwBcAG4AXABuAFMAbwB1AHIAYwBlAEQAYQB0AGEAXwBQAGEAcwB0AHUAcgBlAEIAZQBlAGYAXwBGAHIAYQBjAHQAaQBvAG4ATwBmAE0AYQBuAHUAcgBlAFQAbwBNAE0AUwBfAFMAbwB1AHIAYwBlAFwAbgAgACAAPQBMAEEATQBCAEQAQQAoAFwAIgBWAEUARQBSAEcAIAAyADAAMgA2ADoAIABUAGEAYgBsAGUAIABBAC4AMQAuADIALgA5AFwAIgApADsAXABuAFwAbgBTAG8AdQByAGMAZQBEAGEAdABhAF8AUABhAHMAdAB1AHIAZQBCAGUAZQBmAF8ARgByAGEAYwB0AGkAbwBuAE8AZgBNAGEAbgB1AHIAZQBUAG8ATQBNAFMAXwBWAGEAcgBpAGEAdABpAG8AbgBcAG4AIAAgAD0ATABBAE0AQgBEAEEAKABcACIAVgBBAFIASQBBAFQASQBPAE4AIABPAE4AIABTAE8AVQBSAEMARQA6ACAAUgBlAG0AbwB2AGUAZAAgAGMAbwBtAG0AYQAgAGYAcgBvAG0AIABcAHUAMAAwADIANwBQAGEAcwB0AHUAcgBlACAAcgBhAG4AZwBlACAAYQBuAGQAIABwAGEAZABkAG8AYwBrAFwAdQAwADAAMgA3ACAAdABvACAAYQBpAGQAIABsAG8AbwBrAHUAcABcACIAKQA7AFwAbgBcAG4AUwBvAHUAcgBjAGUARABhAHQAYQBfAFAAYQBzAHQAdQByAGUAQgBlAGUAZgBfAEYAcgBhAGMAdABpAG8AbgBPAGYATQBhAG4AdQByAGUAVABvAE0ATQBTAF8ARABhAHQAYQBcAG4AIAAgAD0ATABBAE0AQgBEAEEAKABcAG4AIAAgACAAIABNAEEASwBFAEEAUgBSAEEAWQAoADEANgAsACAANAAsAFwAbgAgACAAIAAgACAAIABMAEEATQBCAEQAQQAoAHIALABjACwAXABuACAAIAAgACAAIAAgACAAIABJAE4ARABFAFgAKAB7AFwAbgAgACAAIAAgACAAIAAgACAAIAAgAFwAIgBTAHQAYQB0AGUAXAAiACwAIABcACIAUgBlAGcAaQBvAG4AXAAiACwAIABcACIAUABhAHMAdAB1AHIAZQAgAHIAYQBuAGcAZQAgAGEAbgBkACAAcABhAGQAZABvAGMAawBcACIALAAgAFwAIgBVAG4AYwBvAHYAZQByAGUAZAAgAEEAbgBhAGUAcgBvAGIAaQBjACAAbABhAGcAbwBvAG4AXAAiADsAXABuACAAIAAgACAAIAAgACAAIAAgACAAXAAiAEEAQwBUAFwAIgAsACAAXAAiAG4ALwBhAFwAIgAsACAAOQA5AC4AMQA5ADIALAAgADAALgA4ADAAOAA7AFwAbgAgACAAIAAgACAAIAAgACAAIAAgAFwAIgBOAFMAVwBcACIALAAgAFwAIgBuAC8AYQBcACIALAAgADkAOQAuADQANQAyACwAIAAwAC4ANQA0ADgAOwBcAG4AIAAgACAAIAAgACAAIAAgACAAIABcACIAUwBBAFwAIgAsACAAXAAiAG4ALwBhAFwAIgAsACAAOQA5AC4ANwA1ADkALAAgADAALgAyADQAMQA7AFwAbgAgACAAIAAgACAAIAAgACAAIAAgAFwAIgBUAEEAUwBcACIALAAgAFwAIgBuAC8AYQBcACIALAAgADkAOQAuADEAMgAyACwAIAAwAC4AOAA3ADgAOwBcAG4AIAAgACAAIAAgACAAIAAgACAAIABcACIAVgBJAEMAXAAiACwAIABcACIAbgAvAGEAXAAiACwAIAA5ADgALgA4ADkANAAsACAAMQAuADEAMAA2ADsAXABuACAAIAAgACAAIAAgACAAIAAgACAAXAAiAFcAQQBcACIALAAgAFwAIgBTAG8AdQB0AGgAIABXAGUAcwB0AFwAIgAsACAAOQA5AC4ANgAyADIALAAgADAALgAzADcAOAA7AFwAbgAgACAAIAAgACAAIAAgACAAIAAgAFwAIgBXAEEAXAAiACwAIABcACIAUABpAGwAYgBhAHIAYQBcACIALAAgADkAOQAuADkAOQA5ACwAIAAwAC4AMAAwADEAOwBcAG4AIAAgACAAIAAgACAAIAAgACAAIABcACIAVwBBAFwAIgAsACAAXAAiAEsAaQBtAGIAZQByAGwAZQB5AFwAIgAsACAAOQA5AC4AOQA5ADkALAAgADAALgAwADAAMQA7AFwAbgAgACAAIAAgACAAIAAgACAAIAAgAFwAIgBOAFQAXAAiACwAIABcACIAQQBsAGkAYwBlACAAUwBwAHIAaQBuAGcAcwBcACIALAAgADkAOQAuADkAOQA5ACwAIAAwAC4AMAAwADEAOwBcAG4AIAAgACAAIAAgACAAIAAgACAAIABcACIATgBUAFwAIgAsACAAXAAiAEIAYQByAGsAbAB5AFwAIgAsACAAOQA5AC4AOQA5ADQALAAgADAALgAwADAANgA7AFwAbgAgACAAIAAgACAAIAAgACAAIAAgAFwAIgBOAFQAXAAiACwAIABcACIATgBvAHIAdABoAGUAcgBuAFwAIgAsACAAOQA5AC4AOQA5ADkALAAgADAALgAwADAAMQA7AFwAbgAgACAAIAAgACAAIAAgACAAIAAgAFwAIgBRAEwARABcACIALAAgAFwAIgBIAGkAZwBoAFwAIgAsACAAOQA5AC4ANwA3ADMALAAgADAALgAyADIANwA7AFwAbgAgACAAIAAgACAAIAAgACAAIAAgAFwAIgBRAEwARABcACIALAAgAFwAIgBNAG8AZABlAHIAYQB0AGUALwBIAGkAZwBoAFwAIgAsACAAOQA5AC4AOAA5ADgALAAgADAALgAxADAAMgA7AFwAbgAgACAAIAAgACAAIAAgACAAIAAgAFwAIgBRAEwARABcACIALAAgAFwAIgBNAG8AZABlAHIAYQB0AGUALwBMAG8AdwBcACIALAAgADkAOQAuADkANwA5ACwAIAAwAC4AMAAyADEAOwBcAG4AIAAgACAAIAAgACAAIAAgACAAIABcACIAUQBMAEQAXAAiACwAIABcACIATABvAHcAXAAiACwAIAA5ADkALgA5ADcANwAsACAAMAAuADAAMgAz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TQBlAHQAaABhAG4AZQBDAG8AbgB2AGUAcgBzAGkAbwBuAEYAYQBjAHQAbwByAFAAZQByAFIAZQBnAGkAbwBuAFwAbgBUAGEAYgBsAGUAIABBAC4AMQAuADIALgAxADAAOgAgAEIAZQBlAGYAIABwAGEAcwB0AHUAcgBlACAAYwBhAHQAdABsAGUAIAAtACAATQBlAHQAaABhAG4AZQAgAGMAbwBuAHYAZQByAHMAaQBvAG4AIABmAGEAYwB0AG8AcgAgAHAAZQByACAAcgBlAGcAaQBvAG4AIAAoAGYAcgBhAGMAdABpAG8AbgApACAAKABNAEMARgBpAG0AKQBcAG4ALQAtAC0ALQAtAC0ALQAtAC0ALQAtAC0ALQAtAC0ALQAtAC0ALQAtAC0ALQAtAC0ALQAtAC0ALQAtAC0ALQAtAC0ALQAtAC0ALQAtAFwAbgAqAC8AXABuAFwAbgBTAG8AdQByAGMAZQBEAGEAdABhAF8AUABhAHMAdAB1AHIAZQBCAGUAZQBmAF8ATQBlAHQAaABhAG4AZQBDAG8AbgB2AGUAcgBzAGkAbwBuAEYAYQBjAHQAbwByAFAAZQByAFIAZQBnAGkAbwBuAF8AVABpAHQAbABlAFwAbgAgACAAPQBMAEEATQBCAEQAQQAoAFwAIgBCAGUAZQBmACAAcABhAHMAdAB1AHIAZQAgAGMAYQB0AHQAbABlACAALQAgAE0AZQB0AGgAYQBuAGUAIABjAG8AbgB2AGUAcgBzAGkAbwBuACAAZgBhAGMAdABvAHIAIABwAGUAcgAgAHIAZQBnAGkAbwBuACAAKABmAHIAYQBjAHQAaQBvAG4AKQAgACgATQBDAEYAaQBtACkAXAAiACkAOwBcAG4AXABuAFMAbwB1AHIAYwBlAEQAYQB0AGEAXwBQAGEAcwB0AHUAcgBlAEIAZQBlAGYAXwBNAGUAdABoAGEAbgBlAEMAbwBuAHYAZQByAHMAaQBvAG4ARgBhAGMAdABvAHIAUABlAHIAUgBlAGcAaQBvAG4AXwBWAGEAcgBpAGEAYgBsAGUAXABuACAAIAA9AEwAQQBNAEIARABBACgAXAAiAE0AQwBGAGkAbQBcACIAKQA7AFwAbgBcAG4AUwBvAHUAcgBjAGUARABhAHQAYQBfAFAAYQBzAHQAdQByAGUAQgBlAGUAZgBfAE0AZQB0AGgAYQBuAGUAQwBvAG4AdgBlAHIAcwBpAG8AbgBGAGEAYwB0AG8AcgBQAGUAcgBSAGUAZwBpAG8AbgBfAFUAbgBpAHQAXABuACAAIAA9AEwAQQBNAEIARABBACgAXAAiAGYAcgBhAGMAdABpAG8AbgBcACIAKQA7AFwAbgBcAG4AUwBvAHUAcgBjAGUARABhAHQAYQBfAFAAYQBzAHQAdQByAGUAQgBlAGUAZgBfAE0AZQB0AGgAYQBuAGUAQwBvAG4AdgBlAHIAcwBpAG8AbgBGAGEAYwB0AG8AcgBQAGUAcgBSAGUAZwBpAG8AbgBfAFMAbwB1AHIAYwBlAFwAbgAgACAAPQBMAEEATQBCAEQAQQAoAFwAIgBWAEUARQBSAEcAIAAyADAAMgA2ADoAIABUAGEAYgBsAGUAIABBAC4AMQAuADIALgAxADAAXAAiACkAOwBcAG4AXABuAFMAbwB1AHIAYwBlAEQAYQB0AGEAXwBQAGEAcwB0AHUAcgBlAEIAZQBlAGYAXwBNAGUAdABoAGEAbgBlAEMAbwBuAHYAZQByAHMAaQBvAG4ARgBhAGMAdABvAHIAUABlAHIAUgBlAGcAaQBvAG4AXwBWAGEAcgBpAGEAdABpAG8AbgBcAG4AIAAgAD0ATABBAE0AQgBEAEEAKABcACIAVgBBAFIASQBBAFQASQBPAE4AIABPAE4AIABTAE8AVQBSAEMARQA6ACAAUgBlAG0AbwB2AGUAZAAgAGMAbwBtAG0AYQAgAGYAcgBvAG0AIABcAHUAMAAwADIANwBQAGEAcwB0AHUAcgBlACAAcgBhAG4AZwBlACAAYQBuAGQAIABwAGEAZABkAG8AYwBrAFwAdQAwADAAMgA3ACAAdABvACAAYQBpAGQAIABsAG8AbwBrAHUAcABcACIAKQA7AFwAbgBcAG4AUwBvAHUAcgBjAGUARABhAHQAYQBfAFAAYQBzAHQAdQByAGUAQgBlAGUAZgBfAE0AZQB0AGgAYQBuAGUAQwBvAG4AdgBlAHIAcwBpAG8AbgBGAGEAYwB0AG8AcgBQAGUAcgBSAGUAZwBpAG8AbgBfAEQAYQB0AGEAXABuACAAIAA9AEwAQQBNAEIARABBACgAXABuACAAIAAgACAATQBBAEsARQBBAFIAUgBBAFkAKAAxADYALAAgADQALABcAG4AIAAgACAAIAAgACAATABBAE0AQgBEAEEAKAByACwAYwAsAFwAbgAgACAAIAAgACAAIAAgACAASQBOAEQARQBYACgAewBcAG4AIAAgACAAIAAgACAAIAAgACAAIABcACIAUwB0AGEAdABlAFwAIgAsACAAXAAiAFIAZQBnAGkAbwBuAFwAIgAsACAAXAAiAFAAYQBzAHQAdQByAGUAIAByAGEAbgBnAGUAIABhAG4AZAAgAHAAYQBkAGQAbwBjAGsAXAAiACwAIABcACIAVQBuAGMAbwB2AGUAcgBlAGQAIABBAG4AYQBlAHIAbwBiAGkAYwAgAGwAYQBnAG8AbwBuAFwAIgA7AFwAbgAgACAAIAAgACAAIAAgACAAIAAgAFwAIgBBAEMAVABcACIALAAgAFwAIgBuAC8AYQBcACIALAAgADAALgAwADAANAA3ACwAIAAwAC4ANwAxADsAXABuACAAIAAgACAAIAAgACAAIAAgACAAXAAiAE4AUwBXAFwAIgAsACAAXAAiAG4ALwBhAFwAIgAsACAAMAAuADAAMAA0ADcALAAgADAALgA3ADUAOwBcAG4AIAAgACAAIAAgACAAIAAgACAAIABcACIAUwBBAFwAIgAsACAAXAAiAG4ALwBhAFwAIgAsACAAMAAuADAAMAA0ADcALAAgADAALgA3ADQAOwBcAG4AIAAgACAAIAAgACAAIAAgACAAIABcACIAVABBAFMAXAAiACwAIABcACIAbgAvAGEAXAAiACwAIAAwAC4AMAAwADQANwAsACAAMAAuADcAOwBcAG4AIAAgACAAIAAgACAAIAAgACAAIABcACIAVgBJAEMAXAAiACwAIABcACIAbgAvAGEAXAAiACwAIAAwAC4AMAAwADQANwAsACAAMAAuADcANAA7AFwAbgAgACAAIAAgACAAIAAgACAAIAAgAFwAIgBXAEEAXAAiACwAIABcACIAUwBvAHUAdABoACAAVwBlAHMAdABcACIALAAgADAALgAwADAANAA3ACwAIAAwAC4ANwA2ADsAXABuACAAIAAgACAAIAAgACAAIAAgACAAXAAiAFcAQQBcACIALAAgAFwAIgBQAGkAbABiAGEAcgBhAFwAIgAsACAAMAAuADAAMAA0ADcALAAgADAALgA3ADYAOwBcAG4AIAAgACAAIAAgACAAIAAgACAAIABcACIAVwBBAFwAIgAsACAAXAAiAEsAaQBtAGIAZQByAGwAZQB5AFwAIgAsACAAMAAuADAAMAA0ADcALAAgADAALgA3ADYAOwBcAG4AIAAgACAAIAAgACAAIAAgACAAIABcACIATgBUAFwAIgAsACAAXAAiAEEAbABpAGMAZQAgAFMAcAByAGkAbgBnAHMAXAAiACwAIAAwAC4AMAAwADQANwAsACAAMAAuADgAOwBcAG4AIAAgACAAIAAgACAAIAAgACAAIABcACIATgBUAFwAIgAsACAAXAAiAEIAYQByAGsAbAB5AFwAIgAsACAAMAAuADAAMAA0ADcALAAgADAALgA4ADsAXABuACAAIAAgACAAIAAgACAAIAAgACAAXAAiAE4AVABcACIALAAgAFwAIgBOAG8AcgB0AGgAZQByAG4AXAAiACwAIAAwAC4AMAAwADQANwAsACAAMAAuADgAOwBcAG4AIAAgACAAIAAgACAAIAAgACAAIABcACIAUQBMAEQAXAAiACwAIABcACIASABpAGcAaABcACIALAAgADAALgAwADAANAA3ACwAIAAwAC4ANwA4ADsAXABuACAAIAAgACAAIAAgACAAIAAgACAAXAAiAFEATABEAFwAIgAsACAAXAAiAE0AbwBkAGUAcgBhAHQAZQAvAEgAaQBnAGgAXAAiACwAIAAwAC4AMAAwADQANwAsACAAMAAuADcAOAA7AFwAbgAgACAAIAAgACAAIAAgACAAIAAgAFwAIgBRAEwARABcACIALAAgAFwAIgBNAG8AZABlAHIAYQB0AGUALwBMAG8AdwBcACIALAAgADAALgAwADAANAA3ACwAIAAwAC4ANwA4ADsAXABuACAAIAAgACAAIAAgACAAIAAgACAAXAAiAFEATABEAFwAIgAsACAAXAAiAEwAbwB3AFwAIgAsACAAMAAuADAAMAA0ADcALAAgADAALgA3ADgAXABuACAAIAAgACAAIAAgACAAIAB9ACwAIAByACwAIABjACkAXABuACAAIAAgACAAIAAgACkAXABuACAAIAAgACAAKQBcAG4AIAAgACkAOwBcAG4AXABuAFwAbgBcAG4ALwAqACAAXABuAC0ALQAtAC0ALQAtAC0ALQAtAC0ALQAtAC0ALQAtAC0ALQAtAC0ALQAtAC0ALQAtAC0ALQAtAC0ALQAtAC0ALQAtAC0ALQAtAC0ALQBcAG4AUwBvAHUAcgBjAGUARABhAHQAYQBfAFAAYQBzAHQAdQByAGUAQgBlAGUAZgBfAEEAcwBoAEMAbwBuAHQAZQBuAHQATwBmAEYAZQBlAGQASQBuAHQAYQBrAGUAXABuAFYARQBFAFIARwAgADIAMAAyADYAOgAgADQALgAyAC4AMgAuADMAIABDAE8ATgBTAFQAQQBOAFQAUwBcAG4ALQAtAC0ALQAtAC0ALQAtAC0ALQAtAC0ALQAtAC0ALQAtAC0ALQAtAC0ALQAtAC0ALQAtAC0ALQAtAC0ALQAtAC0ALQAtAC0ALQAtAFwAbgAqAC8AXABuAFwAbgBTAG8AdQByAGMAZQBEAGEAdABhAF8AUABhAHMAdAB1AHIAZQBCAGUAZQBmAF8AQQBzAGgAQwBvAG4AdABlAG4AdABPAGYARgBlAGUAZABJAG4AdABhAGsAZQBfAFQAaQB0AGwAZQBcAG4AIAAgAD0ATABBAE0AQgBEAEEAKABcACIAQQBzAGgAIABjAG8AbgB0AGUAbgB0ACAAbwBmACAAZgBlAGUAZAAgAGkAbgB0AGEAawBlAFwAIgApADsAXABuAFwAbgBTAG8AdQByAGMAZQBEAGEAdABhAF8AUABhAHMAdAB1AHIAZQBCAGUAZQBmAF8AQQBzAGgAQwBvAG4AdABlAG4AdABPAGYARgBlAGUAZABJAG4AdABhAGsAZQBfAFYAYQByAGkAYQBiAGwAZQBcAG4AIAAgAD0ATABBAE0AQgBEAEEAKABcACIAQQBcACIAKQA7AFwAbgBcAG4AUwBvAHUAcgBjAGUARABhAHQAYQBfAFAAYQBzAHQAdQByAGUAQgBlAGUAZgBfAEEAcwBoAEMAbwBuAHQAZQBuAHQATwBmAEYAZQBlAGQASQBuAHQAYQBrAGUAXwBVAG4AaQB0AFwAbgAgACAAPQBMAEEATQBCAEQAQQAoAFwAIgBmAHIAYQBjAHQAaQBvAG4AXAAiACkAOwBcAG4AXABuAFMAbwB1AHIAYwBlAEQAYQB0AGEAXwBQAGEAcwB0AHUAcgBlAEIAZQBlAGYAXwBBAHMAaABDAG8AbgB0AGUAbgB0AE8AZgBGAGUAZQBkAEkAbgB0AGEAawBlAF8AUwBvAHUAcgBjAGUAXABuACAAIAA9AEwAQQBNAEIARABBACgAXAAiAFYARQBFAFIARwAgADIAMAAyADYAOgAgADQALgAyAC4AMgAuADMAIABDAE8ATgBTAFQAQQBOAFQAUwBcACIAKQA7AFwAbgBcAG4AUwBvAHUAcgBjAGUARABhAHQAYQBfAFAAYQBzAHQAdQByAGUAQgBlAGUAZgBfAEEAcwBoAEMAbwBuAHQAZQBuAHQATwBmAEYAZQBlAGQASQBuAHQAYQBrAGUAXwBWAGEAcgBpAGEAdABpAG8AbgBcAG4AIAAgAD0ATABBAE0AQgBEAEEAKABcACIAXAAiACkAOwBcAG4AXABuAFMAbwB1AHIAYwBlAEQAYQB0AGEAXwBQAGEAcwB0AHUAcgBlAEIAZQBlAGYAXwBBAHMAaABDAG8AbgB0AGUAbgB0AE8AZgBGAGUAZQBkAEkAbgB0AGEAawBlAF8ARABhAHQAYQBcAG4AIAAgAD0ATABBAE0AQgBEAEEAKAAwAC4AMAA4ACkAOwBcAG4AXABuAC8AKgAgAFwAbgAtAC0ALQAtAC0ALQAtAC0ALQAtAC0ALQAtAC0ALQAtAC0ALQAtAC0ALQAtAC0ALQAtAC0ALQAtAC0ALQAtAC0ALQAtAC0ALQAtAC0AXABuAFMAbwB1AHIAYwBlAEQAYQB0AGEAXwBQAGEAcwB0AHUAcgBlAEIAZQBlAGYAXwBNAGUAdABoAGEAbgBlAEUAbQBpAHMAcwBpAG8AbgBzAFAAbwB0AGUAbgB0AGkAYQBsAFwAbgBNAGUAdABoAGEAbgBlACAAZQBtAGkAcwBzAGkAbwBuAHMAIABwAG8AdABlAG4AdABpAGEAbAAuAFwAbgAtAC0ALQAtAC0ALQAtAC0ALQAtAC0ALQAtAC0ALQAtAC0ALQAtAC0ALQAtAC0ALQAtAC0ALQAtAC0ALQAtAC0ALQAtAC0ALQAtAC0AXABuACoALwBcAG4AXABuAFMAbwB1AHIAYwBlAEQAYQB0AGEAXwBQAGEAcwB0AHUAcgBlAEIAZQBlAGYAXwBNAGUAdABoAGEAbgBlAEUAbQBpAHMAcwBpAG8AbgBzAFAAbwB0AGUAbgB0AGkAYQBsAF8AVABpAHQAbABlAFwAbgAgACAAPQBMAEEATQBCAEQAQQAoAFwAIgBNAGUAdABoAGEAbgBlACAAZQBtAGkAcwBzAGkAbwBuAHMAIABwAG8AdABlAG4AdABpAGEAbABcACIAKQA7AFwAbgBcAG4AUwBvAHUAcgBjAGUARABhAHQAYQBfAFAAYQBzAHQAdQByAGUAQgBlAGUAZgBfAE0AZQB0AGgAYQBuAGUARQBtAGkAcwBzAGkAbwBuAHMAUABvAHQAZQBuAHQAaQBhAGwAXwBWAGEAcgBpAGEAYgBsAGUAXABuACAAIAA9AEwAQQBNAEIARABBACgAXAAiAEIAMABcACIAKQA7AFwAbgBcAG4AUwBvAHUAcgBjAGUARABhAHQAYQBfAFAAYQBzAHQAdQByAGUAQgBlAGUAZgBfAE0AZQB0AGgAYQBuAGUARQBtAGkAcwBzAGkAbwBuAHMAUABvAHQAZQBuAHQAaQBhAGwAXwBVAG4AaQB0AFwAbgAgACAAPQBMAEEATQBCAEQAQQAoAFwAIgBtADMAIABDAEgANAAgAC8AIABrAGcAIABWAFMAXAAiACkAOwBcAG4AXABuAFMAbwB1AHIAYwBlAEQAYQB0AGEAXwBQAGEAcwB0AHUAcgBlAEIAZQBlAGYAXwBNAGUAdABoAGEAbgBlAEUAbQBpAHMAcwBpAG8AbgBzAFAAbwB0AGUAbgB0AGkAYQBsAF8AUwBvAHUAcgBjAGUAXABuACAAIAA9AEwAQQBNAEIARABBACgAXAAiAFYARQBFAFIARwAgADIAMAAyADYAOgAgADQALgAyAC4AMgAuADMAIABDAE8ATgBTAFQAQQBOAFQAUwBcACIAKQA7AFwAbgBcAG4AUwBvAHUAcgBjAGUARABhAHQAYQBfAFAAYQBzAHQAdQByAGUAQgBlAGUAZgBfAE0AZQB0AGgAYQBuAGUARQBtAGkAcwBzAGkAbwBuAHMAUABvAHQAZQBuAHQAaQBhAGwAXwBWAGEAcgBpAGEAdABpAG8AbgBcAG4AIAAgAD0ATABBAE0AQgBEAEEAKABcACIAXAAiACkAOwBcAG4AXABuAFMAbwB1AHIAYwBlAEQAYQB0AGEAXwBQAGEAcwB0AHUAcgBlAEIAZQBlAGYAXwBNAGUAdABoAGEAbgBlAEUAbQBpAHMAcwBpAG8AbgBzAFAAbwB0AGUAbgB0AGkAYQBsAF8ARABhAHQAYQBcAG4AIAAgAD0ATABBAE0AQgBEAEEAKAAwAC4AMQA5ACkAOwBcAG4AXABuAC8AKgAgAFwAbgAtAC0ALQAtAC0ALQAtAC0ALQAtAC0ALQAtAC0ALQAtAC0ALQAtAC0ALQAtAC0ALQAtAC0ALQAtAC0ALQAtAC0ALQAtAC0ALQAtAC0AXABuAFMAbwB1AHIAYwBlAEQAYQB0AGEAXwBQAGEAcwB0AHUAcgBlAEIAZQBlAGYAXwBGAHIAYQBjAEcAQQBTAE0AUwBvAGkAbABcAG4ARgByAGEAYwB0AGkAbwBuACAAbwBmACAAbgBpAHQAcgBvAGcAZQBuACAAdgBvAGwAYQB0AGkAbABpAHMAZQBkACAAZgByAG8AbQAgAHUAcgBpAG4AZQAgAGEAbgBkACAAZgBhAGUAYwBlAHMAIABkAGUAcABvAHMAaQB0AGUAZAAgAG8AbgAgAHAAYQBzAHQAdQByAGUAXABuAC0ALQAtAC0ALQAtAC0ALQAtAC0ALQAtAC0ALQAtAC0ALQAtAC0ALQAtAC0ALQAtAC0ALQAtAC0ALQAtAC0ALQAtAC0ALQAtAC0ALQBcAG4AKgAvAFwAbgBcAG4AUwBvAHUAcgBjAGUARABhAHQAYQBfAFAAYQBzAHQAdQByAGUAQgBlAGUAZgBfAEYAcgBhAGMARwBBAFMATQBTAG8AaQBsAF8AVABpAHQAbABlAFwAbgAgACAAPQBMAEEATQBCAEQAQQAoAFwAIgBGAHIAYQBjAHQAaQBvAG4AIABvAGYAIABuAGkAdAByAG8AZwBlAG4AIAB2AG8AbABhAHQAaQBsAGkAcwBlAGQAIABmAHIAbwBtACAAdQByAGkAbgBlACAAYQBuAGQAIABmAGEAZQBjAGUAcwAgAGQAZQBwAG8AcwBpAHQAZQBkACAAbwBuACAAcABhAHMAdAB1AHIAZQBcACIAKQA7AFwAbgBcAG4AUwBvAHUAcgBjAGUARABhAHQAYQBfAFAAYQBzAHQAdQByAGUAQgBlAGUAZgBfAEYAcgBhAGMARwBBAFMATQBTAG8AaQBsAF8AVgBhAHIAaQBhAGIAbABlAFwAbgAgACAAPQBMAEEATQBCAEQAQQAoAFwAIgBGAHIAYQBjAEcAQQBTAE0AUwBvAGkAbABcACIAKQA7AFwAbgBcAG4AUwBvAHUAcgBjAGUARABhAHQAYQBfAFAAYQBzAHQAdQByAGUAQgBlAGUAZgBfAEYAcgBhAGMARwBBAFMATQBTAG8AaQBsAF8AVQBuAGkAdABcAG4AIAAgAD0ATABBAE0AQgBEAEEAKABcACIAZgByAGEAYwB0AGkAbwBuAFwAIgApADsAXABuAFwAbgBTAG8AdQByAGMAZQBEAGEAdABhAF8AUABhAHMAdAB1AHIAZQBCAGUAZQBmAF8ARgByAGEAYwBHAEEAUwBNAFMAbwBpAGwAXwBTAG8AdQByAGMAZQBcAG4AIAAgAD0ATABBAE0AQgBEAEEAKABcACIAVgBFAEUAUgBHACAAMgAwADIANgA6ACAANAAuADIALgAyAC4AMwAgAEMATwBOAFMAVABBAE4AVABTAFwAIgApADsAXABuAFwAbgBTAG8AdQByAGMAZQBEAGEAdABhAF8AUABhAHMAdAB1AHIAZQBCAGUAZQBmAF8ARgByAGEAYwBHAEEAUwBNAFMAbwBpAGwAXwBWAGEAcgBpAGEAdABpAG8AbgBcAG4AIAAgAD0ATABBAE0AQgBEAEEAKABcACIAXAAiACkAOwBcAG4AXABuAFMAbwB1AHIAYwBlAEQAYQB0AGEAXwBQAGEAcwB0AHUAcgBlAEIAZQBlAGYAXwBGAHIAYQBjAEcAQQBTAE0AUwBvAGkAbABfAEQAYQB0AGEAXABuACAAIAA9AEwAQQBNAEIARABBACgAMAAuADIAMQApADsAXABuAFwAbgAvACoAIABcAG4ALQAtAC0ALQAtAC0ALQAtAC0ALQAtAC0ALQAtAC0ALQAtAC0ALQAtAC0ALQAtAC0ALQAtAC0ALQAtAC0ALQAtAC0ALQAtAC0ALQAtAFwAbgBTAG8AdQByAGMAZQBEAGEAdABhAF8AUABhAHMAdAB1AHIAZQBCAGUAZQBmAF8ARgByAGEAYwBMAEUAQQBDAEgAXABuAEQAZQBmAGEAdQBsAHQAIABmAHIAYQBjAHQAaQBvAG4AIABvAGYAIABOACAAdABoAGEAdAAgAGkAcwAgAGwAbwBzAHQAIAB0AGgAcgBvAHUAZwBoACAAbABlAGEAYwBoAGkAbgBnACAAYQBuAGQAIAByAHUAbgBvAGYAZgBcAG4ALQAtAC0ALQAtAC0ALQAtAC0ALQAtAC0ALQAtAC0ALQAtAC0ALQAtAC0ALQAtAC0ALQAtAC0ALQAtAC0ALQAtAC0ALQAtAC0ALQAtAFwAbgAqAC8AXABuAFwAbgBTAG8AdQByAGMAZQBEAGEAdABhAF8AUABhAHMAdAB1AHIAZQBCAGUAZQBmAF8ARgByAGEAYwBMAEUAQQBDAEgAXwBUAGkAdABsAGUAXABuACAAIAA9AEwAQQBNAEIARABBACgAXAAiAEQAZQBmAGEAdQBsAHQAIABmAHIAYQBjAHQAaQBvAG4AIABvAGYAIABOACAAdABoAGEAdAAgAGkAcwAgAGwAbwBzAHQAIAB0AGgAcgBvAHUAZwBoACAAbABlAGEAYwBoAGkAbgBnACAAYQBuAGQAIAByAHUAbgBvAGYAZgBcACIAKQA7AFwAbgBcAG4AUwBvAHUAcgBjAGUARABhAHQAYQBfAFAAYQBzAHQAdQByAGUAQgBlAGUAZgBfAEYAcgBhAGMATABFAEEAQwBIAF8AVgBhAHIAaQBhAGIAbABlAFwAbgAgACAAPQBMAEEATQBCAEQAQQAoAFwAIgBGAHIAYQBjAEwARQBBAEMASABcACIAKQA7AFwAbgBcAG4AUwBvAHUAcgBjAGUARABhAHQAYQBfAFAAYQBzAHQAdQByAGUAQgBlAGUAZgBfAEYAcgBhAGMATABFAEEAQwBIAF8AVQBuAGkAdABcAG4AIAAgAD0ATABBAE0AQgBEAEEAKABcACIAZgByAGEAYwB0AGkAbwBuAFwAIgApADsAXABuAFwAbgBTAG8AdQByAGMAZQBEAGEAdABhAF8AUABhAHMAdAB1AHIAZQBCAGUAZQBmAF8ARgByAGEAYwBMAEUAQQBDAEgAXwBTAG8AdQByAGMAZQBcAG4AIAAgAD0ATABBAE0AQgBEAEEAKABcACIAVgBFAEUAUgBHACAAMgAwADIANgA6ACAANAAuADIALgAyAC4AMwAgAEMATwBOAFMAVABBAE4AVABTAFwAIgApADsAXABuAFwAbgBTAG8AdQByAGMAZQBEAGEAdABhAF8AUABhAHMAdAB1AHIAZQBCAGUAZQBmAF8ARgByAGEAYwBMAEUAQQBDAEgAXwBWAGEAcgBpAGEAdABpAG8AbgBcAG4AIAAgAD0ATABBAE0AQgBEAEEAKABcACIAXAAiACkAOwBcAG4AXABuAFMAbwB1AHIAYwBlAEQAYQB0AGEAXwBQAGEAcwB0AHUAcgBlAEIAZQBlAGYAXwBGAHIAYQBjAEwARQBBAEMASABfAEQAYQB0AGEAXABuACAAIAA9AEwAQQBNAEIARABBACgAMAAuADIANAApADsAIgB9ACwAewAiAHAAYQB0AGgAIgA6ACIALwBwAHIAbwBqAGUAYwB0AHMALwBNAE0AUwBfAFAAYQBzAHQAdQByAGUAQgBlAGUAZgBfAE0AZQB0AGgAYQBuAGUAXwBFAHEAdQBhAHQAaQBvAG4Acw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xACAATQBlAHQAaABvAGQAIAAxACAALQAgAE0AYQBuAHUAcgBlACAATQBlAHQAaABhAG4AZQAgAEIAZQBlAGYAIABHAHIAYQB6AGkAbgBn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IAXwAxAF8AMQBfAF8AMQBfAFQAbwB0AGEAbABBAG4AbgB1AGEAbABNAGUAdABoAGEAbgBlAFAAcgBvAGQAdQBjAHQAaQBvAG4ARgByAG8AbQBNAGEAbgB1AHIAZQBNAGEAbgBhAGcAZQBtAGUAbgB0AFwAbgBUAG8AdABhAGwAIABhAG4AbgB1AGEAbAAgAG0AZQB0AGgAYQBuAGUAIABwAHIAbwBkAHUAYwB0AGkAbwBuACAAZgByAG8AbQAgAG0AYQBuAHUAcgBlACAAbQBhAG4AYQBnAGUAbQBlAG4AdAAgAGYAbwByACAAZwByAGEAegBpAG4AZwAgAGIAZQBlAGYAIABjAGEAdAB0AGwAZQBcAG4ARQBfAEMASAA0AFwAbgB0ACAAQwBIADQAXABuAEUAXwB7AEMASAA0AH0APQBcAFwAcwB1AG0AXwB7AGoAfQBcAFwAcwB1AG0AXwB7AGsAfQBcAFwAcwB1AG0AXwB7AGwAfQBcAFwAcwB1AG0AXwB7AG0AfQAoAE4AXwB7AGoAawBsAH0AXABcAHQAaQBtAGUAcwAgAE0AXwB7AGoAawBsAG0AfQBcAFwAdABpAG0AZQBzACAARABfAGoAKQBcAFwAdABpAG0AZQBzACAAMQAwAF4AewAtADMAfQBcAG4ATgBfAGoAawBsACAAPQAgAG4AdQBtAGIAZQByACAAbwBmACAAYgBlAGUAZgAgAGMAYQB0AHQAbABlACAAaQBuACAAZQBhAGMAaAAgAHQAaQBtAGUALQBwAGUAcgBpAG8AZAAsACAAYwBsAGEAcwBzACAAYQBuAGQAIABzAHUAYgBjAGwAYQBzAHMAIAAoAGgAZQBhAGQAKQBcAG4ATQBfAGoAawBsAG0AIAA9ACAAbQBlAHQAaABhAG4AZQAgAHAAcgBvAGQAdQBjAHQAaQBvAG4AIABmAHIAbwBtACAAbQBhAG4AdQByAGUAIABpAG4AIABlAGEAYwBoACAAdABpAG0AZQAtAHAAZQByAGkAbwBkACwAIABjAGwAYQBzAHMALAAgAHMAdQBiAGMAbABhAHMAcwAgAGEAbgBkACAATQBNAFMAIAAoAGsAZwAvAGgAZQBhAGQALwBkAGEAeQApAFwAbgBEAF8AagAgAD0AIABuAHUAbQBiAGUAcgAgAG8AZgAgAGQAYQB5AHMAIABpAG4AIABlAGEAYwBoACAAdABpAG0AZQAtAHAAZQByAGkAbwBkACAAZgBvAHIAIABlAGEAYwBoACAAaQBuAHAAdQB0ACAAYwBsAGEAcwBzACAAKABkAGEAeQBzACkAXABuAC0ALQAtAC0ALQAtAC0ALQAtAC0ALQAtAC0ALQAtAC0ALQAtAC0ALQAtAC0ALQAtAC0ALQAtAC0ALQAtAC0ALQAtAC0ALQAtAC0ALQBcAG4AKgAvAFwAbgBcAG4AVgBFAEUAUgBHAF8ANABfADIAXwAxAF8AMQBfAF8AMQBfAFQAbwB0AGEAbABBAG4AbgB1AGEAbABNAGUAdABoAGEAbgBlAFAAcgBvAGQAdQBjAHQAaQBvAG4ARgByAG8AbQBNAGEAbgB1AHIAZQBNAGEAbgBhAGcAZQBtAGUAbgB0AFwAbgAgACAAPQBMAEEATQBCAEQAQQAoAFwAbgAgACAAIAAgAE4AXwBqAGsAbAAsACAATQBfAGoAawBsAG0ALAAgAEQAXwBqACwAXABuACAAIAAgACAAKABOAF8AagBrAGwAIAAqACAATQBfAGoAawBsAG0AIAAqACAARABfAGoAKQAgACoAIAAxADAAIABeACAALQAzAFwAbgAgACAAKQA7AFwAbgBcAG4AVgBFAEUAUgBHAF8ANABfADIAXwAxAF8AMQBfAF8AMQBfAFQAbwB0AGEAbABBAG4AbgB1AGEAbABNAGUAdABoAGEAbgBlAFAAcgBvAGQAdQBjAHQAaQBvAG4ARgByAG8AbQBNAGEAbgB1AHIAZQBNAGEAbgBhAGcAZQBtAGUAbgB0AF8AVABpAHQAbABlAFwAbgAgACAAPQBMAEEATQBCAEQAQQAoAFwAIgBUAG8AdABhAGwAIABhAG4AbgB1AGEAbAAgAG0AZQB0AGgAYQBuAGUAIABwAHIAbwBkAHUAYwB0AGkAbwBuACAAZgByAG8AbQAgAG0AYQBuAHUAcgBlACAAbQBhAG4AYQBnAGUAbQBlAG4AdAAgAGYAbwByACAAZwByAGEAegBpAG4AZwAgAGIAZQBlAGYAIABjAGEAdAB0AGwAZQBcACIAKQA7AFwAbgBcAG4AVgBFAEUAUgBHAF8ANABfADIAXwAxAF8AMQBfAF8AMQBfAFQAbwB0AGEAbABBAG4AbgB1AGEAbABNAGUAdABoAGEAbgBlAFAAcgBvAGQAdQBjAHQAaQBvAG4ARgByAG8AbQBNAGEAbgB1AHIAZQBNAGEAbgBhAGcAZQBtAGUAbgB0AF8AVgBhAHIAaQBhAGIAbABlAFwAbgAgACAAPQBMAEEATQBCAEQAQQAoAFwAIgBFAF8AQwBIADQAXAAiACkAOwBcAG4AXABuAFYARQBFAFIARwBfADQAXwAyAF8AMQBfADEAXwBfADEAXwBUAG8AdABhAGwAQQBuAG4AdQBhAGwATQBlAHQAaABhAG4AZQBQAHIAbwBkAHUAYwB0AGkAbwBuAEYAcgBvAG0ATQBhAG4AdQByAGUATQBhAG4AYQBnAGUAbQBlAG4AdABfAFUAbgBpAHQAXABuACAAIAA9AEwAQQBNAEIARABBACgAXAAiAHQAIABDAEgANABcACIAKQA7AFwAbgBcAG4AVgBFAEUAUgBHAF8ANABfADIAXwAxAF8AMQBfAF8AMQBfAFQAbwB0AGEAbABBAG4AbgB1AGEAbABNAGUAdABoAGEAbgBlAFAAcgBvAGQAdQBjAHQAaQBvAG4ARgByAG8AbQBNAGEAbgB1AHIAZQBNAGEAbgBhAGcAZQBtAGUAbgB0AF8AUwBvAHUAcgBjAGUAXABuACAAIAA9AEwAQQBNAEIARABBACgAXAAiAFYARQBFAFIARwAgADIAMAAyADYAOgAgADQALgAyAC4AMQAuADEALAAgAEUAcQB1AGEAdABpAG8AbgAgACgAMQApAFwAIgApADsAXABuAFwAbgBWAEUARQBSAEcAXwA0AF8AMgBfADEAXwAxAF8AXwAxAF8AVABvAHQAYQBsAEEAbgBuAHUAYQBsAE0AZQB0AGgAYQBuAGUAUAByAG8AZAB1AGMAdABpAG8AbgBGAHIAbwBtAE0AYQBuAHUAcgBlAE0AYQBuAGEAZwBlAG0AZQBuAHQAXwBOAEkAUgBSAGUAZgBlAHIAZQBuAGMAZQBcAG4AIAAgAD0ATABBAE0AQgBEAEEAKABcACIAXAAiACkAOwBcAG4AXABuAFYARQBFAFIARwBfADQAXwAyAF8AMQBfADEAXwBfADEAXwBUAG8AdABhAGwAQQBuAG4AdQBhAGwATQBlAHQAaABhAG4AZQBQAHIAbwBkAHUAYwB0AGkAbwBuAEYAcgBvAG0ATQBhAG4AdQByAGUATQBhAG4AYQBnAGUAbQBlAG4AdABfAEwAYQB0AGUAeABFAHEAdQBhAHQAaQBvAG4AXABuACAAIAA9AEwAQQBNAEIARABBACgAXAAiAEUAXwB7AEMASAA0AH0APQBcAFwAcwB1AG0AXwB7AGoAfQBcAFwAcwB1AG0AXwB7AGsAfQBcAFwAcwB1AG0AXwB7AGwAfQBcAFwAcwB1AG0AXwB7AG0AfQAoAE4AXwB7AGoAawBsAH0AXABcAHQAaQBtAGUAcwAgAE0AXwB7AGoAawBsAG0AfQBcAFwAdABpAG0AZQBzACAARABfAGoAKQBcAFwAdABpAG0AZQBzACAAMQAwAF4AewAtADMAfQBcACIAKQA7AFwAbgBcAG4AVgBFAEUAUgBHAF8ANABfADIAXwAxAF8AMQBfAF8AMQBfAFQAbwB0AGEAbABBAG4AbgB1AGEAbABNAGUAdABoAGEAbgBlAFAAcgBvAGQAdQBjAHQAaQBvAG4ARgByAG8AbQBNAGEAbgB1AHIAZQBNAGEAbgBhAGcAZQBtAGUAbgB0AF8AQQByAGcAdQBtAGUAbgB0AHMAXABuACAAIAA9AEwAQQBNAEIARABBACgAXABuACAAIAAgACAATQBBAEsARQBBAFIAUgBBAFkAKAAzACwAIAA0ACwAXABuACAAIAAgACAAIAAgAEwAQQBNAEIARABBACgAcgAsAGMALABcAG4AIAAgACAAIAAgACAAIAAgAEkATgBEAEUAWAAoAHsAXABuACAAIAAgACAAIAAgACAAIAAgACAAXAAiAE4AXwBqAGsAbABcACIALAAgAFwAIgBuAHUAbQBiAGUAcgAgAG8AZgAgAGIAZQBlAGYAIABjAGEAdAB0AGwAZQAgAGkAbgAgAGUAYQBjAGgAIAB0AGkAbQBlAC0AcABlAHIAaQBvAGQALAAgAGMAbABhAHMAcwAgAGEAbgBkACAAcwB1AGIAYwBsAGEAcwBzAFwAIgAsACAAXAAiAGgAZQBhAGQAXAAiACwAIABcACIASQBuAHAAdQB0AFwAIgA7AFwAbgAgACAAIAAgACAAIAAgACAAIAAgAFwAIgBNAF8AagBrAGwAbQBcACIALAAgAFwAIgBtAGUAdABoAGEAbgBlACAAcAByAG8AZAB1AGMAdABpAG8AbgAgAGYAcgBvAG0AIABtAGEAbgB1AHIAZQAgAGkAbgAgAGUAYQBjAGgAIAB0AGkAbQBlAC0AcABlAHIAaQBvAGQALAAgAGMAbABhAHMAcwAsACAAcwB1AGIAYwBsAGEAcwBzACAAYQBuAGQAIABNAE0AUwBcACIALAAgAFwAIgBrAGcALwBoAGUAYQBkAC8AZABhAHkAXAAiACwAIABcACIAQwBhAGwAYwB1AGwAYQB0AGUAZAAgAGYAcgBvAG0AIAA0AC4AMgAuADEALgAxACAAKAAyACkAXAAiADsAXABuACAAIAAgACAAIAAgACAAIAAgACAAXAAiAEQAXwBqAFwAIgAsACAAXAAiAG4AdQBtAGIAZQByACAAbwBmACAAZABhAHkAcwAgAGkAbgAgAGUAYQBjAGgAIAB0AGkAbQBlAC0AcABlAHIAaQBvAGQAIABmAG8AcgAgAGUAYQBjAGgAIABpAG4AcAB1AHQAIABjAGwAYQBzAHMAXAAiACwAIABcACIAZABhAHkAcw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MQBfAF8AMgBfAE0AZQB0AGgAYQBuAGUAUAByAG8AZAB1AGMAdABpAG8AbgBGAHIAbwBtAE0AYQBuAHUAcgBlAFwAbgBNAGUAdABoAGEAbgBlACAAcAByAG8AZAB1AGMAdABpAG8AbgAgAGYAcgBvAG0AIAB0AGgAZQAgAG0AYQBuAHUAcgBlACAAbwBmACAAZwByAGEAegBpAG4AZwAgAGIAZQBlAGYAIABjAGEAdAB0AGwAZQBcAG4ATQBfAGoAawBsAG0AXABuAGsAZwAgAEMASAA0AC8AaABlAGEAZAAvAGQAYQB5AFwAbgBNAF8AewBqAGsAbABtAH0APQBWAFMAXwB7AGoAawBsAH0AXABcAHQAaQBtAGUAcwAgAEIAXwBvAFwAXAB0AGkAbQBlAHMAIABNAE0AUwBfAG0AXABcAHQAaQBtAGUAcwAgAE0AQwBGAF8AewBpAG0AfQBcAFwAdABpAG0AZQBzACAAXABcAHIAaABvAFwAbgBWAFMAXwBqAGsAbAAgAD0AIAB2AG8AbABhAHQAaQBsAGUAIABzAG8AbABpAGQAIABwAHIAbwBkAHUAYwB0AGkAbwBuACAAKABrAGcALwBkAGEAeQApAFwAbgBCAF8AbwAgAD0AIABlAG0AaQBzAHMAaQBvAG4AcwAgAHAAbwB0AGUAbgB0AGkAYQBsACAAKABtADMAIABDAEgANAAvAGsAZwAgAFYAUwApAFwAbgBNAE0AUwBfAG0AIAA9ACAAZgByAGEAYwB0AGkAbwBuACAAbwBmACAAdwBhAHMAdABlACAAaQBuACAAZQBhAGMAaAAgAG0AYQBuAHUAcgBlACAAbQBhAG4AYQBnAGUAbQBlAG4AdAAgAHMAeQBzAHQAZQBtAFwAbgBNAEMARgBfAGkAbQAgAD0AIABtAGUAdABoAGEAbgBlACAAYwBvAG4AdgBlAHIAcwBpAG8AbgAgAGYAYQBjAHQAbwByACAAZgBvAHIAIAB0AGUAbQBwAGUAcgBhAHQAdQByAGUAIAB6AG8AbgBlACAAYQBuAGQAIABNAE0AUwBcAG4AcgBoAG8AIAA9ACAAZABlAG4AcwBpAHQAeQAgAG8AZgAgAG0AZQB0AGgAYQBuAGUAIAAoAGsAZwAvAG0AMwApAFwAbgAtAC0ALQAtAC0ALQAtAC0ALQAtAC0ALQAtAC0ALQAtAC0ALQAtAC0ALQAtAC0ALQAtAC0ALQAtAC0ALQAtAC0ALQAtAC0ALQAtAC0AXABuACoALwBcAG4AXABuAFYARQBFAFIARwBfADQAXwAyAF8AMQBfADEAXwBfADIAXwBNAGUAdABoAGEAbgBlAFAAcgBvAGQAdQBjAHQAaQBvAG4ARgByAG8AbQBNAGEAbgB1AHIAZQBcAG4AIAAgAD0ATABBAE0AQgBEAEEAKABcAG4AIAAgACAAIABWAFMAXwBqAGsAbAAsACAAQgBfAG8ALAAgAE0ATQBTAF8AbQAsACAATQBDAEYAXwBpAG0ALAAgAHIAaABvACwAXABuACAAIAAgACAAVgBTAF8AagBrAGwAIAAqACAAQgBfAG8AIAAqACAATQBNAFMAXwBtACAAKgAgAE0AQwBGAF8AaQBtACAAKgAgAHIAaABvAFwAbgAgACAAKQA7AFwAbgBcAG4AVgBFAEUAUgBHAF8ANABfADIAXwAxAF8AMQBfAF8AMgBfAE0AZQB0AGgAYQBuAGUAUAByAG8AZAB1AGMAdABpAG8AbgBGAHIAbwBtAE0AYQBuAHUAcgBlAF8AVABpAHQAbABlAFwAbgAgACAAPQBMAEEATQBCAEQAQQAoAFwAIgBNAGUAdABoAGEAbgBlACAAcAByAG8AZAB1AGMAdABpAG8AbgAgAGYAcgBvAG0AIAB0AGgAZQAgAG0AYQBuAHUAcgBlACAAbwBmACAAZwByAGEAegBpAG4AZwAgAGIAZQBlAGYAIABjAGEAdAB0AGwAZQBcACIAKQA7AFwAbgBcAG4AVgBFAEUAUgBHAF8ANABfADIAXwAxAF8AMQBfAF8AMgBfAE0AZQB0AGgAYQBuAGUAUAByAG8AZAB1AGMAdABpAG8AbgBGAHIAbwBtAE0AYQBuAHUAcgBlAF8AVgBhAHIAaQBhAGIAbABlAFwAbgAgACAAPQBMAEEATQBCAEQAQQAoAFwAIgBNAF8AagBrAGwAbQBcACIAKQA7AFwAbgBcAG4AVgBFAEUAUgBHAF8ANABfADIAXwAxAF8AMQBfAF8AMgBfAE0AZQB0AGgAYQBuAGUAUAByAG8AZAB1AGMAdABpAG8AbgBGAHIAbwBtAE0AYQBuAHUAcgBlAF8AVQBuAGkAdABcAG4AIAAgAD0ATABBAE0AQgBEAEEAKABcACIAawBnACAAQwBIADQALwBoAGUAYQBkAC8AZABhAHkAXAAiACkAOwBcAG4AXABuAFYARQBFAFIARwBfADQAXwAyAF8AMQBfADEAXwBfADIAXwBNAGUAdABoAGEAbgBlAFAAcgBvAGQAdQBjAHQAaQBvAG4ARgByAG8AbQBNAGEAbgB1AHIAZQBfAFMAbwB1AHIAYwBlAFwAbgAgACAAPQBMAEEATQBCAEQAQQAoAFwAIgBWAEUARQBSAEcAIAAyADAAMgA2ADoAIAA0AC4AMgAuADEALgAxACwAIABFAHEAdQBhAHQAaQBvAG4AIAAoADIAKQBcACIAKQA7AFwAbgBcAG4AVgBFAEUAUgBHAF8ANABfADIAXwAxAF8AMQBfAF8AMgBfAE0AZQB0AGgAYQBuAGUAUAByAG8AZAB1AGMAdABpAG8AbgBGAHIAbwBtAE0AYQBuAHUAcgBlAF8ATgBJAFIAUgBlAGYAZQByAGUAbgBjAGUAXABuACAAIAA9AEwAQQBNAEIARABBACgAXAAiAFwAIgApADsAXABuAFwAbgBWAEUARQBSAEcAXwA0AF8AMgBfADEAXwAxAF8AXwAyAF8ATQBlAHQAaABhAG4AZQBQAHIAbwBkAHUAYwB0AGkAbwBuAEYAcgBvAG0ATQBhAG4AdQByAGUAXwBMAGEAdABlAHgARQBxAHUAYQB0AGkAbwBuAFwAbgAgACAAPQBMAEEATQBCAEQAQQAoAFwAIgBNAF8AewBqAGsAbABtAH0APQBWAFMAXwB7AGoAawBsAH0AXABcAHQAaQBtAGUAcwAgAEIAXwBvAFwAXAB0AGkAbQBlAHMAIABNAE0AUwBfAG0AXABcAHQAaQBtAGUAcwAgAE0AQwBGAF8AewBpAG0AfQBcAFwAdABpAG0AZQBzACAAXABcAHIAaABvAFwAIgApADsAXABuAFwAbgBWAEUARQBSAEcAXwA0AF8AMgBfADEAXwAxAF8AXwAyAF8ATQBlAHQAaABhAG4AZQBQAHIAbwBkAHUAYwB0AGkAbwBuAEYAcgBvAG0ATQBhAG4AdQByAGUAXwBBAHIAZwB1AG0AZQBuAHQAcwBcAG4AIAAgAD0ATABBAE0AQgBEAEEAKABcAG4AIAAgACAAIABNAEEASwBFAEEAUgBSAEEAWQAoADcALAAgADQALABcAG4AIAAgACAAIAAgACAATABBAE0AQgBEAEEAKAByACwAYwAsAFwAbgAgACAAIAAgACAAIAAgACAASQBOAEQARQBYACgAewBcAG4AIAAgACAAIAAgACAAIAAgACAAIABcACIAVgBTAF8AagBrAGwAXAAiACwAIABcACIAdgBvAGwAYQB0AGkAbABlACAAcwBvAGwAaQBkACAAcAByAG8AZAB1AGMAdABpAG8AbgBcACIALAAgAFwAIgBrAGcALwBkAGEAeQBcACIALAAgAFwAIgBDAGEAbABjAHUAbABhAHQAZQBkACAAZgByAG8AbQAgADQALgAyAC4AMQAuADEAIAAoADMAKQBcACIAOwBcAG4AIAAgACAAIAAgACAAIAAgACAAIABcACIAQgBfAG8AXAAiACwAIABcACIAZQBtAGkAcwBzAGkAbwBuAHMAIABwAG8AdABlAG4AdABpAGEAbABcACIALAAgAFwAIgBtADMAIABDAEgANAAvAGsAZwAgAFYAUwBcACIALAAgAFwAIgBDAG8AbgBzAHQAYQBuAHQAXAAiADsAXABuACAAIAAgACAAIAAgACAAIAAgACAAXAAiAE0ATQBTAF8AbQBcACIALAAgAFwAIgBmAHIAYQBjAHQAaQBvAG4AIABvAGYAIAB3AGEAcwB0AGUAIABpAG4AIABlAGEAYwBoACAAbQBhAG4AdQByAGUAIABtAGEAbgBhAGcAZQBtAGUAbgB0ACAAcwB5AHMAdABlAG0AXAAiACwAIABcACIAZgByAGEAYwB0AGkAbwBuAFwAIgAsACAAXAAiAEkAbgBwAHUAdABcACIAOwBcAG4AIAAgACAAIAAgACAAIAAgACAAIABcACIATQBDAEYAXwBpAG0AXAAiACwAIABcACIAbQBlAHQAaABhAG4AZQAgAGMAbwBuAHYAZQByAHMAaQBvAG4AIABmAGEAYwB0AG8AcgAgAGYAbwByACAAdABlAG0AcABlAHIAYQB0AHUAcgBlACAAegBvAG4AZQAgAGEAbgBkACAATQBNAFMAXAAiACwAIABcACIAZgByAGEAYwB0AGkAbwBuAFwAIgAsACAAXAAiAEMAbwBuAHMAdABhAG4AdABcACIAOwBcAG4AIAAgACAAIAAgACAAIAAgACAAIABcACIAcgBoAG8AXAAiACwAIABcACIAZABlAG4AcwBpAHQAeQAgAG8AZgAgAG0AZQB0AGgAYQBuAGUAXAAiACwAIABcACIAawBnAC8AbQAzAFwAIgAsACAAXAAiAEMAbwBuAHMAdABhAG4AdABcACIAOwBcAG4AIAAgACAAIAAgACAAIAAgACAAIABcACIAaQBcACIALAAgAFwAIgBzAHQAYQB0AGUAXAAiACwAIABcACIAXAAiACwAIABcACIASQBuAHAAdQB0AFwAIgA7AFwAbgAgACAAIAAgACAAIAAgACAAIAAgAFwAIgBpAFwAIgAsACAAXAAiAHIAZQBnAGkAbwBuAFwAIgAsACAAXAAiAFwAIgAsACAAXAAiAEkAbgBwAHUAdABcACIAXABuACAAIAAgACAAIAAgACAAIAB9ACwAIAByACwAIABjACkAXABuACAAIAAgACAAIAAgACkAXABuACAAIAAgACAAKQBcAG4AIAAgACkAOwBcAG4AXABuAFwAbgBWAEUARQBSAEcAXwA0AF8AMgBfADEAXwAxAF8AXwAyAF8ATQBlAHQAaABhAG4AZQBQAHIAbwBkAHUAYwB0AGkAbwBuAEYAcgBvAG0ATQBhAG4AdQByAGUAXwBBAHIAZwB1AG0AZQBuAHQAcwBfAE0AZQB0AGgAbwBkADIAXABuACAAIAA9AEwAQQBNAEIARABBACgAXABuACAAIAAgACAATQBBAEsARQBBAFIAUgBBAFkAKAA2ACwAIAA0ACwAXABuACAAIAAgACAAIAAgAEwAQQBNAEIARABBACgAcgAsAGMALABcAG4AIAAgACAAIAAgACAAIAAgAEkATgBEAEUAWAAoAHsAXABuACAAIAAgACAAIAAgACAAIAAgACAAXAAiAFYAUwBfAGoAawBsAFwAIgAsACAAXAAiAHYAbwBsAGEAdABpAGwAZQAgAHMAbwBsAGkAZAAgAHAAcgBvAGQAdQBjAHQAaQBvAG4AXAAiACwAIABcACIAawBnAC8AZABhAHkAXAAiACwAIABcACIAQwBhAGwAYwB1AGwAYQB0AGUAZAAgAGYAcgBvAG0AIAA0AC4AMgAuADEALgAxACAAKAAzACkAXAAiADsAXABuACAAIAAgACAAIAAgACAAIAAgACAAXAAiAEIAXwBvAFwAIgAsACAAXAAiAGUAbQBpAHMAcwBpAG8AbgBzACAAcABvAHQAZQBuAHQAaQBhAGwAXAAiACwAIABcACIAbQAzACAAQwBIADQALwBrAGcAIABWAFMAXAAiACwAIABcACIAQwBvAG4AcwB0AGEAbgB0AFwAIgA7AFwAbgAgACAAIAAgACAAIAAgACAAIAAgAFwAIgBNAE0AUwBfAG0AXAAiACwAIABcACIAZgByAGEAYwB0AGkAbwBuACAAbwBmACAAdwBhAHMAdABlACAAaQBuACAAZQBhAGMAaAAgAG0AYQBuAHUAcgBlACAAbQBhAG4AYQBnAGUAbQBlAG4AdAAgAHMAeQBzAHQAZQBtAFwAIgAsACAAXAAiAGYAcgBhAGMAdABpAG8AbgBcACIALAAgAFwAIgBJAG4AcAB1AHQAXAAiADsAXABuACAAIAAgACAAIAAgACAAIAAgACAAXAAiAE0AQwBGAF8AaQBtAFwAIgAsACAAXAAiAG0AZQB0AGgAYQBuAGUAIABjAG8AbgB2AGUAcgBzAGkAbwBuACAAZgBhAGMAdABvAHIAIABmAG8AcgAgAHQAZQBtAHAAZQByAGEAdAB1AHIAZQAgAHoAbwBuAGUAIABhAG4AZAAgAE0ATQBTAFwAIgAsACAAXAAiAGYAcgBhAGMAdABpAG8AbgBcACIALAAgAFwAIgBDAG8AbgBzAHQAYQBuAHQAXAAiADsAXABuACAAIAAgACAAIAAgACAAIAAgACAAXAAiAHIAaABvAFwAIgAsACAAXAAiAGQAZQBuAHMAaQB0AHkAIABvAGYAIABtAGUAdABoAGEAbgBlAFwAIgAsACAAXAAiAGsAZwAvAG0AMwBcACIALAAgAFwAIgBDAG8AbgBzAHQAYQBuAHQAXAAiADsAXABuACAAIAAgACAAIAAgACAAIAAgACAAXAAiAE0AQQBUAFwAIgAsAFwAIgBNAGUAYQBuACAAYQBuAG4AdQBhAGwAIAB0AGUAbQBwAGUAcgBhAHQAdQByAGUAXAAiACwAIABcACIAsABDAFwAIgAsACAAXAAiAEkAbgBwAHUAdABcACIAXABuACAAIAAgACAAIAAgACAAIAB9ACwAIAByACwAIABjACkAXABuACAAIAAgACAAIAAgACkAXABuACAAIAAgACAAKQBcAG4AIAAgACkAOwBcAG4AXABuAFwAbgAvACoAXABuAC0ALQAtAC0ALQAtAC0ALQAtAC0ALQAtAC0ALQAtAC0ALQAtAC0ALQAtAC0ALQAtAC0ALQAtAC0ALQAtAC0ALQAtAC0ALQAtAC0ALQBcAG4AVgBFAEUAUgBHAF8ANABfADIAXwAxAF8AMQBfAF8AMwBfAFYAbwBsAGEAdABpAGwAZQBTAG8AbABpAGQAUAByAG8AZAB1AGMAdABpAG8AbgBGAHIAbwBtAEcAcgBhAHoAaQBuAGcAQgBlAGUAZgBcAG4AVgBvAGwAYQB0AGkAbABlACAAcwBvAGwAaQBkACAAcAByAG8AZAB1AGMAdABpAG8AbgAgAGYAcgBvAG0AIABnAHIAYQB6AGkAbgBnACAAYgBlAGUAZgBcAG4AVgBTAF8AagBrAGwAXABuAGsAZwAvAGgAZQBhAGQALwBkAGEAeQBcAG4AVgBTAF8AewBqAGsAbAB9AD0AKABJAF8AewBqAGsAbAB9AFwAXAB0AGkAbQBlAHMAIAAoADEALQBEAE0ARABfAHsAagBrAGwAfQApACsAKAAwAC4AMAA0AFwAXAB0AGkAbQBlAHMAIABJAF8AewBqAGsAbAB9ACkAKQBcAFwAdABpAG0AZQBzACAAKAAxAC0AQQApAFwAbgBJAF8AagBrAGwAIAA9ACAAZAByAHkAIABtAGEAdAB0AGUAcgAgAGkAbgB0AGEAawBlACAAYQBzACAAYwBhAGwAYwB1AGwAYQB0AGUAZAAgAGkAbgAgAEMAaABhAHAAdABlAHIAIAAzACAAUwBlAGMAdABpAG8AbgAgADMALgAyAC4AMQAgACgAawBnAC8AaABlAGEAZAAvAGQAYQB5ACkAXABuAEQATQBEAF8AagBrAGwAIAA9ACAAZAByAHkAIABtAGEAdAB0AGUAcgAgAGQAaQBnAGUAcwB0AGkAYgBpAGwAaQB0AHkAIABlAHgAcAByAGUAcwBzAGUAZAAgAGEAcwAgAGEAIABmAHIAYQBjAHQAaQBvAG4AXABuAEEAIAA9ACAAYQBzAGgAIABjAG8AbgB0AGUAbgB0ACAAbwBmACAAZgBlAGUAZAAgAGkAbgB0AGEAawBlACAAZQB4AHAAcgBlAHMAcwBlAGQAIABhAHMAIABhACAAZgByAGEAYwB0AGkAbwBuAFwAbgAtAC0ALQAtAC0ALQAtAC0ALQAtAC0ALQAtAC0ALQAtAC0ALQAtAC0ALQAtAC0ALQAtAC0ALQAtAC0ALQAtAC0ALQAtAC0ALQAtAC0AXABuACoALwBcAG4AXABuAFYARQBFAFIARwBfADQAXwAyAF8AMQBfADEAXwBfADMAXwBWAG8AbABhAHQAaQBsAGUAUwBvAGwAaQBkAFAAcgBvAGQAdQBjAHQAaQBvAG4ARgByAG8AbQBHAHIAYQB6AGkAbgBnAEIAZQBlAGYAXABuACAAIAA9AEwAQQBNAEIARABBACgAXABuACAAIAAgACAASQBfAGoAawBsACwAIABEAE0ARABfAGoAawBsACwAIABBACwAXABuACAAIAAgACAAKABJAF8AagBrAGwAIAAqACAAKAAxACAALQAgAEQATQBEAF8AagBrAGwAKQAgACsAIAAoADAALgAwADQAIAAqACAASQBfAGoAawBsACkAKQAgACoAIAAoADEAIAAtACAAQQApAFwAbgAgACAAKQA7AFwAbgBcAG4AVgBFAEUAUgBHAF8ANABfADIAXwAxAF8AMQBfAF8AMwBfAFYAbwBsAGEAdABpAGwAZQBTAG8AbABpAGQAUAByAG8AZAB1AGMAdABpAG8AbgBGAHIAbwBtAEcAcgBhAHoAaQBuAGcAQgBlAGUAZgBfAFQAaQB0AGwAZQBcAG4AIAAgAD0ATABBAE0AQgBEAEEAKABcACIAVgBvAGwAYQB0AGkAbABlACAAcwBvAGwAaQBkACAAcAByAG8AZAB1AGMAdABpAG8AbgAgAGYAcgBvAG0AIABnAHIAYQB6AGkAbgBnACAAYgBlAGUAZgBcACIAKQA7AFwAbgBcAG4AVgBFAEUAUgBHAF8ANABfADIAXwAxAF8AMQBfAF8AMwBfAFYAbwBsAGEAdABpAGwAZQBTAG8AbABpAGQAUAByAG8AZAB1AGMAdABpAG8AbgBGAHIAbwBtAEcAcgBhAHoAaQBuAGcAQgBlAGUAZgBfAFYAYQByAGkAYQBiAGwAZQBcAG4AIAAgAD0ATABBAE0AQgBEAEEAKABcACIAVgBTAF8AagBrAGwAXAAiACkAOwBcAG4AXABuAFYARQBFAFIARwBfADQAXwAyAF8AMQBfADEAXwBfADMAXwBWAG8AbABhAHQAaQBsAGUAUwBvAGwAaQBkAFAAcgBvAGQAdQBjAHQAaQBvAG4ARgByAG8AbQBHAHIAYQB6AGkAbgBnAEIAZQBlAGYAXwBVAG4AaQB0AFwAbgAgACAAPQBMAEEATQBCAEQAQQAoAFwAIgBrAGcALwBoAGUAYQBkAC8AZABhAHkAXAAiACkAOwBcAG4AXABuAFYARQBFAFIARwBfADQAXwAyAF8AMQBfADEAXwBfADMAXwBWAG8AbABhAHQAaQBsAGUAUwBvAGwAaQBkAFAAcgBvAGQAdQBjAHQAaQBvAG4ARgByAG8AbQBHAHIAYQB6AGkAbgBnAEIAZQBlAGYAXwBTAG8AdQByAGMAZQBcAG4AIAAgAD0ATABBAE0AQgBEAEEAKABcACIAVgBFAEUAUgBHACAAMgAwADIANgA6ACAANAAuADIALgAxAC4AMQAsACAARQBxAHUAYQB0AGkAbwBuACAAKAAzACkAXAAiACkAOwBcAG4AXABuAFYARQBFAFIARwBfADQAXwAyAF8AMQBfADEAXwBfADMAXwBWAG8AbABhAHQAaQBsAGUAUwBvAGwAaQBkAFAAcgBvAGQAdQBjAHQAaQBvAG4ARgByAG8AbQBHAHIAYQB6AGkAbgBnAEIAZQBlAGYAXwBOAEkAUgBSAGUAZgBlAHIAZQBuAGMAZQBcAG4AIAAgAD0ATABBAE0AQgBEAEEAKABcACIAXAAiACkAOwBcAG4AXABuAFYARQBFAFIARwBfADQAXwAyAF8AMQBfADEAXwBfADMAXwBWAG8AbABhAHQAaQBsAGUAUwBvAGwAaQBkAFAAcgBvAGQAdQBjAHQAaQBvAG4ARgByAG8AbQBHAHIAYQB6AGkAbgBnAEIAZQBlAGYAXwBMAGEAdABlAHgARQBxAHUAYQB0AGkAbwBuAFwAbgAgACAAPQBMAEEATQBCAEQAQQAoAFwAIgBWAFMAXwB7AGoAawBsAH0APQAoAEkAXwB7AGoAawBsAH0AXABcAHQAaQBtAGUAcwAgACgAMQAtAEQATQBEAF8AewBqAGsAbAB9ACkAKwAoADAALgAwADQAXABcAHQAaQBtAGUAcwAgAEkAXwB7AGoAawBsAH0AKQApAFwAXAB0AGkAbQBlAHMAIAAoADEALQBBACkAXAAiACkAOwBcAG4AXABuAFYARQBFAFIARwBfADQAXwAyAF8AMQBfADEAXwBfADMAXwBWAG8AbABhAHQAaQBsAGUAUwBvAGwAaQBkAFAAcgBvAGQAdQBjAHQAaQBvAG4ARgByAG8AbQBHAHIAYQB6AGkAbgBnAEIAZQBlAGYAXwBBAHIAZwB1AG0AZQBuAHQAcwBcAG4AIAAgAD0ATABBAE0AQgBEAEEAKABcAG4AIAAgACAAIABNAEEASwBFAEEAUgBSAEEAWQAoADMALAAgADQALABcAG4AIAAgACAAIAAgACAATABBAE0AQgBEAEEAKAByACwAYwAsAFwAbgAgACAAIAAgACAAIAAgACAASQBOAEQARQBYACgAewBcAG4AIAAgACAAIAAgACAAIAAgACAAIABcACIASQBfAGoAawBsAFwAIgAsACAAXAAiAGQAcgB5ACAAbQBhAHQAdABlAHIAIABpAG4AdABhAGsAZQAgAGEAcwAgAGMAYQBsAGMAdQBsAGEAdABlAGQAIABpAG4AIABDAGgAYQBwAHQAZQByACAAMwAgAFMAZQBjAHQAaQBvAG4AIAAzAC4AMgAuADEAXAAiACwAIABcACIAawBnAC8AaABlAGEAZAAvAGQAYQB5AFwAIgAsACAAXAAiAEMAYQBsAGMAdQBsAGEAdABlAGQAIABmAHIAbwBtACAAMwAuADIALgAxAC4AMQAsACAAKAAzACkAXAAiADsAXABuACAAIAAgACAAIAAgACAAIAAgACAAXAAiAEQATQBEAF8AagBrAGwAXAAiACwAIABcACIAZAByAHkAIABtAGEAdAB0AGUAcgAgAGQAaQBnAGUAcwB0AGkAYgBpAGwAaQB0AHkAIABlAHgAcAByAGUAcwBzAGUAZAAgAGEAcwAgAGEAIABmAHIAYQBjAHQAaQBvAG4AXAAiACwAIABcACIAZgByAGEAYwB0AGkAbwBuAFwAIgAsACAAXAAiAEkAbgBwAHUAdABcACIAOwBcAG4AIAAgACAAIAAgACAAIAAgACAAIABcACIAQQBcACIALAAgAFwAIgBhAHMAaAAgAGMAbwBuAHQAZQBuAHQAIABvAGYAIABmAGUAZQBkACAAaQBuAHQAYQBrAGUAIABlAHgAcAByAGUAcwBzAGUAZAAgAGEAcwAgAGEAIABmAHIAYQBjAHQAaQBvAG4AXAAiACwAIABcACIAZgByAGEAYwB0AGkAbwBuAFwAIgAsACAAXAAiAEMAbwBuAHMAdABhAG4AdABcACIAXABuACAAIAAgACAAIAAgACAAIAB9ACwAIAByACwAIABjACkAXABuACAAIAAgACAAIAAgACkAXABuACAAIAAgACAAKQBcAG4AIAAgACkAOwBcAG4AIgB9ACwAewAiAHAAYQB0AGgAIgA6ACIALwBwAHIAbwBqAGUAYwB0AHMALwBNAE0AUwBfAFAAYQBzAHQAdQByAGUAQgBlAGUAZgBfAFMAbwBpAGwAXwBOADIATwBEAGkAcgBlAGMAdABfAEUAcQB1AGEAdABpAG8AbgBzACIALAAiAHQAZQB4AHQAIgA6ACIALwAqAFwAbgA9AD0APQA9AD0APQA9AD0APQA9AD0APQA9AD0APQA9AD0APQA9AD0APQA9AD0APQA9AD0APQA9AD0APQA9AD0APQA9AD0APQA9AD0APQA9AD0APQA9AD0APQA9AD0APQA9AD0APQA9AD0APQA9AD0APQA9AD0APQA9AD0APQA9AD0APQA9AD0APQA9AD0APQA9AD0APQA9AFwAbgA0AC4AMgA6ACAAUABhAHMAdAB1AHIAZQAgAEIAZQBlAGYAXABuAD0APQA9AD0APQA9AD0APQA9AD0APQA9AD0APQA9AD0APQA9AD0APQA9AD0APQA9AD0APQA9AD0APQA9AD0APQA9AD0APQA9AD0APQA9AD0APQA9AD0APQA9AD0APQA9AD0APQA9AD0APQA9AD0APQA9AD0APQA9AD0APQA9AD0APQA9AD0APQA9AD0APQA9AD0APQA9AD0AXABuADQALgAyAC4AMQAuADMAIABNAGUAdABoAG8AZAAgADEAIAAtACAAUwBvAGkAbAAgAEQAaQByAGUAYwB0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MAXwBfADEAXwBEAGkAcgBlAGMAdABOAGkAdAByAG8AdQBzAE8AeABpAGQAZQBFAG0AaQBzAHMAaQBvAG4AcwBPAG4AUABhAHMAdAB1AHIAZQBcAG4AVABvAHQAYQBsACAAYQBuAG4AdQBhAGwAIABkAGkAcgBlAGMAdAAgAG4AaQB0AHIAbwB1AHMAIABvAHgAaQBkAGUAIABlAG0AaQBzAHMAaQBvAG4AcwAgAGYAcgBvAG0AIABhAGcAcgBpAGMAdQBsAHQAdQByAGEAbAAgAHMAbwBpAGwAcwAgAGYAcgBvAG0AIABkAGUAcABvAHMAaQB0AGkAbwBuACAAbwBmACAAdQByAGkAbgBlACAAYQBuAGQAIABkAHUAbgBnAFwAbgBFAF8ATgAyAE8AZABpAHIAXABuAHQAIABOADIATwBcAG4ARQBfAHsATgAyAE8ALABkAGkAcgB9AD0AQQBFAFwAXAB0AGkAbQBlAHMAIABFAEYAXwB7AFAAUgBQAH0AXABcAHQAaQBtAGUAcwAgAEMAXwB7AE4AMgBPAH0AXABcAHQAaQBtAGUAcwAgADEAMABeAHsALQAzAH0AXABuAEEARQAgAD0AIAB0AG8AdABhAGwAIABtAGEAcwBzACAAbwBmACAAbgBpAHQAcgBvAGcAZQBuACAAZQB4AGMAcgBlAHQAZQBkACAAbwBuACAAUABSAFAAIABmAG8AcgAgAGIAZQBlAGYAIABjAGEAdAB0AGwAZQAgACgAawBnACAATgApAFwAbgBFAEYAXwBQAFIAUAAgAD0AIABlAG0AaQBzAHMAaQBvAG4AIABmAGEAYwB0AG8AcgAgAGYAbwByACAAbgBpAHQAcgBvAHUAcwAgAG8AeABpAGQAZQAgAGYAcgBvAG0AIAB1AHIAaQBuAGUAIABhAG4AZAAgAGQAdQBuAGcAIABkAGUAcABvAHMAaQB0AGUAZAAgAHQAbwAgAHMAbwBpAGwAIAAoAGsAZwAgAE4AMgBPAC0ATgAvAGsAZwAgAE4AIABkAGUAcABvAHMAaQB0AGUAZAApAFwAbgBDAF8ATgAyAE8AIAA9ACAAZgBhAGMAdABvAHIAIAB0AG8AIABjAG8AbgB2AGUAcgB0ACAAZQBsAGUAbQBlAG4AdABhAGwAIABtAGEAcwBzACAAbwBmACAAbgBpAHQAcgBvAHUAcwAgAG8AeABpAGQAZQAgAHQAbwAgAG0AbwBsAGUAYwB1AGwAYQByACAAbQBhAHMAcwBcAG4ALQAtAC0ALQAtAC0ALQAtAC0ALQAtAC0ALQAtAC0ALQAtAC0ALQAtAC0ALQAtAC0ALQAtAC0ALQAtAC0ALQAtAC0ALQAtAC0ALQAtAFwAbgAqAC8AXABuAFwAbgBWAEUARQBSAEcAXwA0AF8AMgBfADEAXwAzAF8AXwAxAF8ARABpAHIAZQBjAHQATgBpAHQAcgBvAHUAcwBPAHgAaQBkAGUARQBtAGkAcwBzAGkAbwBuAHMATwBuAFAAYQBzAHQAdQByAGUAXABuACAAIAA9AEwAQQBNAEIARABBACgAXABuACAAIAAgACAAQQBFACwAIABFAEYAXwBQAFIAUAAsACAAQwBfAE4AMgBPACwAXABuACAAIAAgACAAQQBFACAAKgAgAEUARgBfAFAAUgBQACAAKgAgAEMAXwBOADIATwAgACoAIAAxADAAIABeACAALQAzAFwAbgAgACAAKQA7AFwAbgBcAG4AVgBFAEUAUgBHAF8ANABfADIAXwAxAF8AMwBfAF8AMQBfAEQAaQByAGUAYwB0AE4AaQB0AHIAbwB1AHMATwB4AGkAZABlAEUAbQBpAHMAcwBpAG8AbgBzAE8AbgBQAGEAcwB0AHUAcgBlAF8AVABpAHQAbABlAFwAbgAgACAAPQBMAEEATQBCAEQAQQAoAFwAIgBUAG8AdABhAGwAIABhAG4AbgB1AGEAbAAgAGQAaQByAGUAYwB0ACAAbgBpAHQAcgBvAHUAcwAgAG8AeABpAGQAZQAgAGUAbQBpAHMAcwBpAG8AbgBzACAAZgByAG8AbQAgAGEAZwByAGkAYwB1AGwAdAB1AHIAYQBsACAAcwBvAGkAbABzACAAZgByAG8AbQAgAGQAZQBwAG8AcwBpAHQAaQBvAG4AIABvAGYAIAB1AHIAaQBuAGUAIABhAG4AZAAgAGQAdQBuAGcAXAAiACkAOwBcAG4AXABuAFYARQBFAFIARwBfADQAXwAyAF8AMQBfADMAXwBfADEAXwBEAGkAcgBlAGMAdABOAGkAdAByAG8AdQBzAE8AeABpAGQAZQBFAG0AaQBzAHMAaQBvAG4AcwBPAG4AUABhAHMAdAB1AHIAZQBfAFYAYQByAGkAYQBiAGwAZQBcAG4AIAAgAD0ATABBAE0AQgBEAEEAKABcACIARQBfAE4AMgBPAGQAaQByAFwAIgApADsAXABuAFwAbgBWAEUARQBSAEcAXwA0AF8AMgBfADEAXwAzAF8AXwAxAF8ARABpAHIAZQBjAHQATgBpAHQAcgBvAHUAcwBPAHgAaQBkAGUARQBtAGkAcwBzAGkAbwBuAHMATwBuAFAAYQBzAHQAdQByAGUAXwBVAG4AaQB0AFwAbgAgACAAPQBMAEEATQBCAEQAQQAoAFwAIgB0ACAATgAyAE8AXAAiACkAOwBcAG4AXABuAFYARQBFAFIARwBfADQAXwAyAF8AMQBfADMAXwBfADEAXwBEAGkAcgBlAGMAdABOAGkAdAByAG8AdQBzAE8AeABpAGQAZQBFAG0AaQBzAHMAaQBvAG4AcwBPAG4AUABhAHMAdAB1AHIAZQBfAFMAbwB1AHIAYwBlAFwAbgAgACAAPQBMAEEATQBCAEQAQQAoAFwAIgBWAEUARQBSAEcAIAAyADAAMgA2ADoAIAA0AC4AMgAuADEALgAzACwAIABFAHEAdQBhAHQAaQBvAG4AIAAoADEAKQBcACIAKQA7AFwAbgBcAG4AVgBFAEUAUgBHAF8ANABfADIAXwAxAF8AMwBfAF8AMQBfAEQAaQByAGUAYwB0AE4AaQB0AHIAbwB1AHMATwB4AGkAZABlAEUAbQBpAHMAcwBpAG8AbgBzAE8AbgBQAGEAcwB0AHUAcgBlAF8ATgBJAFIAUgBlAGYAZQByAGUAbgBjAGUAXABuACAAIAA9AEwAQQBNAEIARABBACgAXAAiAFwAIgApADsAXABuAFwAbgBWAEUARQBSAEcAXwA0AF8AMgBfADEAXwAzAF8AXwAxAF8ARABpAHIAZQBjAHQATgBpAHQAcgBvAHUAcwBPAHgAaQBkAGUARQBtAGkAcwBzAGkAbwBuAHMATwBuAFAAYQBzAHQAdQByAGUAXwBMAGEAdABlAHgARQBxAHUAYQB0AGkAbwBuAFwAbgAgACAAPQBMAEEATQBCAEQAQQAoAFwAIgBFAF8AewBOADIATwAsAGQAaQByAH0APQBBAEUAXABcAHQAaQBtAGUAcwAgAEUARgBfAHsAUABSAFAAfQBcAFwAdABpAG0AZQBzACAAQwBfAHsATgAyAE8AfQBcAFwAdABpAG0AZQBzACAAMQAwAF4AewAtADMAfQBcACIAKQA7AFwAbgBcAG4AVgBFAEUAUgBHAF8ANABfADIAXwAxAF8AMwBfAF8AMQBfAEQAaQByAGUAYwB0AE4AaQB0AHIAbwB1AHMATwB4AGkAZABlAEUAbQBpAHMAcwBpAG8AbgBzAE8AbgBQAGEAcwB0AHUAcgBlAF8AQQByAGcAdQBtAGUAbgB0AHMAXABuACAAIAA9AEwAQQBNAEIARABBACgAXABuACAAIAAgACAATQBBAEsARQBBAFIAUgBBAFkAKAA0ACwAIAA0ACwAXABuACAAIAAgACAAIAAgAEwAQQBNAEIARABBACgAcgAsAGMALABcAG4AIAAgACAAIAAgACAAIAAgAEkATgBEAEUAWAAoAHsAXABuACAAIAAgACAAIAAgACAAIAAgACAAXAAiAEEARQBcACIALAAgAFwAIgB0AG8AdABhAGwAIABtAGEAcwBzACAAbwBmACAAbgBpAHQAcgBvAGcAZQBuACAAZQB4AGMAcgBlAHQAZQBkACAAbwBuACAAUABSAFAAIABmAG8AcgAgAGIAZQBlAGYAIABjAGEAdAB0AGwAZQBcACIALAAgAFwAIgBrAGcAIABOAFwAIgAsACAAXAAiAEMAYQBsAGMAdQBsAGEAdABlAGQAIABmAHIAbwBtACAANAAuADIALgAxAC4AMwAgACgAMgApAFwAIgA7AFwAbgAgACAAIAAgACAAIAAgACAAIAAgAFwAIgBFAEYAXwBQAFIAUABcACIALAAgAFwAIgBlAG0AaQBzAHMAaQBvAG4AIABmAGEAYwB0AG8AcgAgAGYAbwByACAAbgBpAHQAcgBvAHUAcwAgAG8AeABpAGQAZQAgAGYAcgBvAG0AIAB1AHIAaQBuAGUAIABhAG4AZAAgAGQAdQBuAGcAIABkAGUAcABvAHMAaQB0AGUAZAAgAHQAbwAgAHMAbwBpAGwAXAAiACwAIABcACIAawBnACAATgAyAE8ALQBOAC8AawBnACAATgAgAGQAZQBwAG8AcwBpAHQAZQBkAFwAIgAsACAAXAAiAEMAbwBuAHMAdABhAG4AdABcACIAOwBcAG4AIAAgACAAIAAgACAAIAAgACAAIABcACIAQwBfAE4AMgBPAFwAIgAsACA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6AFwAIgAsACAAXAAiAHcAZQB0ACAAbwByACAAZAByAHkAIABjAGwAaQBtAGEAdABlACAAegBvAG4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MgBfAFQAbwB0AGEAbABOAGkAdAByAG8AZwBlAG4ARQB4AGMAcgBlAHQAZQBkAFQAbwBQAGEAcwB0AHUAcgBlAFIAYQBuAGcAZQBBAG4AZABQAGEAZABkAG8AYwBrAFwAbgBUAG8AdABhAGwAIABuAGkAdAByAG8AZwBlAG4AIABlAHgAYwByAGUAdABlAGQAIAB0AG8AIABwAGEAcwB0AHUAcgBlACwAIAByAGEAbgBnAGUAIABhAG4AZAAgAHAAYQBkAGQAbwBjAGsAXABuAEEARQBcAG4AawBnACAATgBcAG4AQQBFAD0AXABcAHMAdQBtAF8AewBqAH0AXABcAHMAdQBtAF8AewBrAH0AXABcAHMAdQBtAF8AewBsAH0AKABOAF8AewBqAGsAbAB9AFwAXAB0AGkAbQBlAHMAIABOAEUAXwB7AGoAawBsAH0AXABcAHQAaQBtAGUAcwAgAEQAXwBqACkAXABuAE4AXwBqAGsAbAAgAD0AIABuAHUAbQBiAGUAcgAgAG8AZgAgAGIAZQBlAGYAIABjAGEAdAB0AGwAZQAgAGIAeQAgAHQAaQBtAGUALQBwAGUAcgBpAG8AZAAsACAAYwBsAGEAcwBzACAAYQBuAGQAIABzAHUAYgBjAGwAYQBzAHMAIAAoAGgAZQBhAGQAKQBcAG4ATgBFAF8AagBrAGwAIAA9ACAAbgBpAHQAcgBvAGcAZQBuACAAZQB4AGMAcgBlAHQAZQBkACAAaQBuACAAZQBhAGMAaAAgAHQAaQBtAGUALQBwAGUAcgBpAG8AZAAsACAAYgB5ACAAZQBhAGMAaAAgAGMAbABhAHMAcwAgAGEAbgBkACAAcwB1AGIAYwBsAGEAcwBzACAAKABrAGcAIABOAC8AaABlAGEAZAAvAGQAYQB5ACkAXABuAEQAXwBqACAAPQAgAG4AdQBtAGIAZQByACAAbwBmACAAZABhAHkAcwAgAGkAbgAgAGUAYQBjAGgAIAB0AGkAbQBlAC0AcABlAHIAaQBvAGQAIAAoAGQAYQB5AHMAKQBcAG4ALQAtAC0ALQAtAC0ALQAtAC0ALQAtAC0ALQAtAC0ALQAtAC0ALQAtAC0ALQAtAC0ALQAtAC0ALQAtAC0ALQAtAC0ALQAtAC0ALQAtAFwAbgAqAC8AXABuAFwAbgBWAEUARQBSAEcAXwA0AF8AMgBfADEAXwAzAF8AXwAyAF8AVABvAHQAYQBsAE4AaQB0AHIAbwBnAGUAbgBFAHgAYwByAGUAdABlAGQAVABvAFAAYQBzAHQAdQByAGUAUgBhAG4AZwBlAEEAbgBkAFAAYQBkAGQAbwBjAGsAXABuACAAIAA9AEwAQQBNAEIARABBACgAXABuACAAIAAgACAATgBfAGoAawBsACwAIABOAEUAXwBqAGsAbAAsACAARABfAGoALABcAG4AIAAgACAAIABTAFUATQAoACgATgBfAGoAawBsACAAKgAgAE4ARQBfAGoAawBsACkAIAAqACAARABfAGoAKQBcAG4AIAAgACkAOwBcAG4AXABuAFYARQBFAFIARwBfADQAXwAyAF8AMQBfADMAXwBfADIAXwBUAG8AdABhAGwATgBpAHQAcgBvAGcAZQBuAEUAeABjAHIAZQB0AGUAZABUAG8AUABhAHMAdAB1AHIAZQBSAGEAbgBnAGUAQQBuAGQAUABhAGQAZABvAGMAawBfAFQAaQB0AGwAZQBcAG4AIAAgAD0ATABBAE0AQgBEAEEAKABcACIAVABvAHQAYQBsACAAbgBpAHQAcgBvAGcAZQBuACAAZQB4AGMAcgBlAHQAZQBkACAAdABvACAAcABhAHMAdAB1AHIAZQAsACAAcgBhAG4AZwBlACAAYQBuAGQAIABwAGEAZABkAG8AYwBrAFwAIgApADsAXABuAFwAbgBWAEUARQBSAEcAXwA0AF8AMgBfADEAXwAzAF8AXwAyAF8AVABvAHQAYQBsAE4AaQB0AHIAbwBnAGUAbgBFAHgAYwByAGUAdABlAGQAVABvAFAAYQBzAHQAdQByAGUAUgBhAG4AZwBlAEEAbgBkAFAAYQBkAGQAbwBjAGsAXwBWAGEAcgBpAGEAYgBsAGUAXABuACAAIAA9AEwAQQBNAEIARABBACgAXAAiAEEARQBcACIAKQA7AFwAbgBcAG4AVgBFAEUAUgBHAF8ANABfADIAXwAxAF8AMwBfAF8AMgBfAFQAbwB0AGEAbABOAGkAdAByAG8AZwBlAG4ARQB4AGMAcgBlAHQAZQBkAFQAbwBQAGEAcwB0AHUAcgBlAFIAYQBuAGcAZQBBAG4AZABQAGEAZABkAG8AYwBrAF8AVQBuAGkAdABcAG4AIAAgAD0ATABBAE0AQgBEAEEAKABcACIAawBnACAATgBcACIAKQA7AFwAbgBcAG4AVgBFAEUAUgBHAF8ANABfADIAXwAxAF8AMwBfAF8AMgBfAFQAbwB0AGEAbABOAGkAdAByAG8AZwBlAG4ARQB4AGMAcgBlAHQAZQBkAFQAbwBQAGEAcwB0AHUAcgBlAFIAYQBuAGcAZQBBAG4AZABQAGEAZABkAG8AYwBrAF8AUwBvAHUAcgBjAGUAXABuACAAIAA9AEwAQQBNAEIARABBACgAXAAiAFYARQBFAFIARwAgADIAMAAyADYAOgAgADQALgAyAC4AMQAuADMALAAgAEUAcQB1AGEAdABpAG8AbgAgACgAMgApAFwAIgApADsAXABuAFwAbgBWAEUARQBSAEcAXwA0AF8AMgBfADEAXwAzAF8AXwAyAF8AVABvAHQAYQBsAE4AaQB0AHIAbwBnAGUAbgBFAHgAYwByAGUAdABlAGQAVABvAFAAYQBzAHQAdQByAGUAUgBhAG4AZwBlAEEAbgBkAFAAYQBkAGQAbwBjAGsAXwBOAEkAUgBSAGUAZgBlAHIAZQBuAGMAZQBcAG4AIAAgAD0ATABBAE0AQgBEAEEAKABcACIAXAAiACkAOwBcAG4AXABuAFYARQBFAFIARwBfADQAXwAyAF8AMQBfADMAXwBfADIAXwBUAG8AdABhAGwATgBpAHQAcgBvAGcAZQBuAEUAeABjAHIAZQB0AGUAZABUAG8AUABhAHMAdAB1AHIAZQBSAGEAbgBnAGUAQQBuAGQAUABhAGQAZABvAGMAawBfAEwAYQB0AGUAeABFAHEAdQBhAHQAaQBvAG4AXABuACAAIAA9AEwAQQBNAEIARABBACgAXAAiAEEARQA9AFwAXABzAHUAbQBfAHsAagB9AFwAXABzAHUAbQBfAHsAawB9AFwAXABzAHUAbQBfAHsAbAB9ACgATgBfAHsAagBrAGwAfQBcAFwAdABpAG0AZQBzACAATgBFAF8AewBqAGsAbAB9AFwAXAB0AGkAbQBlAHMAIABEAF8AagApAFwAIgApADsAXABuAFwAbgBWAEUARQBSAEcAXwA0AF8AMgBfADEAXwAzAF8AXwAyAF8AVABvAHQAYQBsAE4AaQB0AHIAbwBnAGUAbgBFAHgAYwByAGUAdABlAGQAVABvAFAAYQBzAHQAdQByAGUAUgBhAG4AZwBlAEEAbgBkAFAAYQBkAGQAbwBjAGsAXwBBAHIAZwB1AG0AZQBuAHQAcwBcAG4AIAAgAD0ATABBAE0AQgBEAEEAKABcAG4AIAAgACAAIABNAEEASwBFAEEAUgBSAEEAWQAoADMALAAgADQALABcAG4AIAAgACAAIAAgACAATABBAE0AQgBEAEEAKAByACwAYwAsAFwAbgAgACAAIAAgACAAIAAgACAASQBOAEQARQBYACgAewBcAG4AIAAgACAAIAAgACAAIAAgACAAIABcACIATgBfAGoAawBsAFwAIgAsACAAXAAiAG4AdQBtAGIAZQByACAAbwBmACAAYgBlAGUAZgAgAGMAYQB0AHQAbABlACAAYgB5ACAAdABpAG0AZQAtAHAAZQByAGkAbwBkACwAIABjAGwAYQBzAHMAIABhAG4AZAAgAHMAdQBiAGMAbABhAHMAcwBcACIALAAgAFwAIgBoAGUAYQBkAFwAIgAsACAAXAAiAEkAbgBwAHUAdABcACIAOwBcAG4AIAAgACAAIAAgACAAIAAgACAAIABcACIATgBFAF8AagBrAGwAXAAiACwAIABcACIAbgBpAHQAcgBvAGcAZQBuACAAZQB4AGMAcgBlAHQAZQBkACAAaQBuACAAZQBhAGMAaAAgAHQAaQBtAGUALQBwAGUAcgBpAG8AZAAsACAAYgB5ACAAZQBhAGMAaAAgAGMAbABhAHMAcwAgAGEAbgBkACAAcwB1AGIAYwBsAGEAcwBzAFwAIgAsACAAXAAiAGsAZwAgAE4ALwBoAGUAYQBkAC8AZABhAHkAXAAiACwAIABcACIAQwBhAGwAYwB1AGwAYQB0AGUAZAAgAGYAcgBvAG0AIAA0AC4AMgAuADEALgAzACAAKAAzACkAXAAiADsAXABuACAAIAAgACAAIAAgACAAIAAgACAAXAAiAEQAXwBqAFwAIgAsACAAXAAiAG4AdQBtAGIAZQByACAAbwBmACAAZABhAHkAcwAgAGkAbgAgAGUAYQBjAGgAIAB0AGkAbQBlAC0AcABlAHIAaQBvAGQAIAAoAGQAYQB5AHMAKQBcACIALAAgAFwAIgBkAGEAeQBz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zAF8ATgBpAHQAcgBvAGcAZQBuAEUAeABjAHIAZQB0AGUAZABcAG4ATgBpAHQAcgBvAGcAZQBuACAAZQB4AGMAcgBlAHQAZQBkAFwAbgBOAEUAXwBqAGsAbABcAG4AawBnACAATgAvAGgAZQBhAGQALwBkAGEAeQBcAG4ATgBFAF8AewBqAGsAbAB9AD0AXABcAGYAcgBhAGMAewBJAF8AewBqAGsAbAB9AFwAXAB0AGkAbQBlAHMAIABDAFAAXwBqAH0AewA2AC4AMgA1AH0AKwBcAFwAZgByAGEAYwB7ADAALgAwADMAMgBcAFwAdABpAG0AZQBzACAATQBDAF8AewBqAGsAPQAxACwAMwAsADYAfQB9AHsANgAuADMAOAB9AC0ATgBSAF8AewBqAGsAbAB9AC0AXABcAGYAcgBhAGMAewAxAC4AMQBcAFwAdABpAG0AZQBzACAAMQAwAF4AewAtADQAfQBcAFwAdABpAG0AZQBzACAAVwBfAHsAagBrAGwAfQBeAHsAMAAuADcANQB9AH0AewA2AC4AMgA1AH0AXABuAEkAXwBqAGsAbAAgAD0AIABkAHIAeQAgAG0AYQB0AHQAZQByACAAaQBuAHQAYQBrAGUAIABhAHMAIABjAGEAbABjAHUAbABhAHQAZQBkACAAaQBuACAAQwBoAGEAcAB0AGUAcgAgADMAIABTAGUAYwB0AGkAbwBuACAAMwAuADIALgAxACAAKABrAGcAIABEAE0ALwBoAGUAYQBkAC8AZABhAHkAKQBcAG4AQwBQAF8AagAgAD0AIABjAHIAdQBkAGUAIABwAHIAbwB0AGUAaQBuACAAYwBvAG4AdABlAG4AdAAgAG8AZgAgAGQAcgB5ACAAbQBhAHQAdABlAHIAIABpAG4AdABhAGsAZQBcAG4ATQBDAF8AagBrADEAMwA2ACAAPQAgAG0AaQBsAGsAIABpAG4AdABhAGsAZQAgACgAawBnAC8AaABlAGEAZAAvAGQAYQB5ACkAXABuAE4AUgBfAGoAawBsACAAPQAgAHQAaABlACAAYQBtAG8AdQBuAHQAIABvAGYAIABuAGkAdAByAG8AZwBlAG4AIAByAGUAdABhAGkAbgBlAGQAIABiAHkAIAB0AGgAZQAgAGIAbwBkAHkAIAAoAGsAZwAgAE4ALwBoAGUAYQBkAC8AZABhAHkAKQBcAG4AVwBfAGoAawBsACAAPQAgAGwAaQB2AGUAdwBlAGkAZwBoAHQAIAAoAGsAZwAvAGgAZQBhAGQAKQBcAG4ALQAtAC0ALQAtAC0ALQAtAC0ALQAtAC0ALQAtAC0ALQAtAC0ALQAtAC0ALQAtAC0ALQAtAC0ALQAtAC0ALQAtAC0ALQAtAC0ALQAtAFwAbgAqAC8AXABuAFwAbgBWAEUARQBSAEcAXwA0AF8AMgBfADEAXwAzAF8AXwAzAF8ATgBpAHQAcgBvAGcAZQBuAEUAeABjAHIAZQB0AGUAZABcAG4AIAAgAD0ATABBAE0AQgBEAEEAKABcAG4AIAAgACAAIABJAF8AagBrAGwALAAgAEMAUABfAGoALAAgAE0AQwBfAGoAawAxADMANgAsACAATgBSAF8AagBrAGwALAAgAFcAXwBqAGsAbAAsAFwAbgAgACAAIAAgACgAKABJAF8AagBrAGwAIAAqACAAQwBQAF8AagApACAALwAgADYALgAyADUAKQAgACsAIAAoACgAMAAuADAAMwAyACAAKgAgAE0AQwBfAGoAawAxADMANgApACAALwAgADYALgAzADgAKQAgAC0AIABOAFIAXwBqAGsAbAAgAC0AIAAoACgAMQAuADEAIAAqACAAMQAwACAAXgAgAC0ANAAgACoAIABXAF8AagBrAGwAIABeACAAMAAuADcANQApACAALwAgADYALgAyADUAKQBcAG4AIAAgACkAOwBcAG4AXABuAFYARQBFAFIARwBfADQAXwAyAF8AMQBfADMAXwBfADMAXwBOAGkAdAByAG8AZwBlAG4ARQB4AGMAcgBlAHQAZQBkAF8AVABpAHQAbABlAFwAbgAgACAAPQBMAEEATQBCAEQAQQAoAFwAIgBOAGkAdAByAG8AZwBlAG4AIABlAHgAYwByAGUAdABlAGQAXAAiACkAOwBcAG4AXABuAFYARQBFAFIARwBfADQAXwAyAF8AMQBfADMAXwBfADMAXwBOAGkAdAByAG8AZwBlAG4ARQB4AGMAcgBlAHQAZQBkAF8AVgBhAHIAaQBhAGIAbABlAFwAbgAgACAAPQBMAEEATQBCAEQAQQAoAFwAIgBOAEUAXwBqAGsAbABcACIAKQA7AFwAbgBcAG4AVgBFAEUAUgBHAF8ANABfADIAXwAxAF8AMwBfAF8AMwBfAE4AaQB0AHIAbwBnAGUAbgBFAHgAYwByAGUAdABlAGQAXwBVAG4AaQB0AFwAbgAgACAAPQBMAEEATQBCAEQAQQAoAFwAIgBrAGcAIABOAC8AaABlAGEAZAAvAGQAYQB5AFwAIgApADsAXABuAFwAbgBWAEUARQBSAEcAXwA0AF8AMgBfADEAXwAzAF8AXwAzAF8ATgBpAHQAcgBvAGcAZQBuAEUAeABjAHIAZQB0AGUAZABfAFMAbwB1AHIAYwBlAFwAbgAgACAAPQBMAEEATQBCAEQAQQAoAFwAIgBWAEUARQBSAEcAIAAyADAAMgA2ADoAIAA0AC4AMgAuADEALgAzACwAIABFAHEAdQBhAHQAaQBvAG4AIAAoADMAKQBcACIAKQA7AFwAbgBcAG4AVgBFAEUAUgBHAF8ANABfADIAXwAxAF8AMwBfAF8AMwBfAE4AaQB0AHIAbwBnAGUAbgBFAHgAYwByAGUAdABlAGQAXwBOAEkAUgBSAGUAZgBlAHIAZQBuAGMAZQBcAG4AIAAgAD0ATABBAE0AQgBEAEEAKABcACIAXAAiACkAOwBcAG4AXABuAFYARQBFAFIARwBfADQAXwAyAF8AMQBfADMAXwBfADMAXwBOAGkAdAByAG8AZwBlAG4ARQB4AGMAcgBlAHQAZQBkAF8ATABhAHQAZQB4AEUAcQB1AGEAdABpAG8AbgBcAG4AIAAgAD0ATABBAE0AQgBEAEEAKABcACIATgBFAF8AewBqAGsAbAB9AD0AIAAoAEkAXwB7AGoAawBsAH0AXABcAHQAaQBtAGUAcwAgAEMAUABfAGoAIABcAFwAZABpAHYAIAA2AC4AMgA1ACkAIAAgACsAIAAoADAALgAwADMAMgBcAFwAdABpAG0AZQBzACAATQBDAF8AewBqAGsAPQAxACwAMwAsADYAfQAgAFwAXABkAGkAdgAgADYALgAzADgAKQAgACAALQAgAE4AUgBfAHsAagBrAGwAfQAgAC0AIABcAFwAbABlAGYAdABbACAAKAAxAC4AMQBcAFwAdABpAG0AZQBzACAAMQAwAF4AewAtADQAfQBcAFwAdABpAG0AZQBzACAAVwBfAHsAagBrAGwAfQBeAHsAMAAuADcANQB9ACkAIABcAFwAZABpAHYAIAAgADYALgAyADUAIABcAFwAcgBpAGcAaAB0AF0AXAAiACkAOwBcAG4AXABuAFYARQBFAFIARwBfADQAXwAyAF8AMQBfADMAXwBfADMAXwBOAGkAdAByAG8AZwBlAG4ARQB4AGMAcgBlAHQAZQBkAF8AQQByAGcAdQBtAGUAbgB0AHMAXABuACAAIAA9AEwAQQBNAEIARABBACgAXABuACAAIAAgACAATQBBAEsARQBBAFIAUgBBAFkAKAA3ACwAIAA0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CAAKABrAGcAIABEAE0ALwBoAGUAYQBkAC8AZABhAHkAKQBcACIALAAgAFwAIgBrAGcAIABEAE0ALwBoAGUAYQBkAC8AZABhAHkAXAAiACwAIABcACIAQwBhAGwAYwB1AGwAYQB0AGUAZAAgAGYAcgBvAG0AIAAzAC4AMgAuADEALgAxACAAKAAzACkAXAAiADsAXABuACAAIAAgACAAIAAgACAAIAAgACAAXAAiAEMAUABfAGoAXAAiACwAIABcACIAYwByAHUAZABlACAAcAByAG8AdABlAGkAbgAgAGMAbwBuAHQAZQBuAHQAIABvAGYAIABkAHIAeQAgAG0AYQB0AHQAZQByACAAaQBuAHQAYQBrAGUAXAAiACwAIABcACIAZgByAGEAYwB0AGkAbwBuAFwAIgAsACAAXAAiAEkAbgBwAHUAdABcACIAOwBcAG4AIAAgACAAIAAgACAAIAAgACAAIABcACIATQBDAF8AagBrADEAMwA2AFwAIgAsACAAXAAiAG0AaQBsAGsAIABpAG4AdABhAGsAZQAgACgAawBnAC8AaABlAGEAZAAvAGQAYQB5ACkAXAAiACwAIABcACIAawBnAC8AaABlAGEAZAAvAGQAYQB5AFwAIgAsACAAXAAiAEMAbwBuAHMAdABhAG4AdABcACIAOwBcAG4AIAAgACAAIAAgACAAIAAgACAAIABcACIATgBSAF8AagBrAGwAXAAiACwAIABcACIAdABoAGUAIABhAG0AbwB1AG4AdAAgAG8AZgAgAG4AaQB0AHIAbwBnAGUAbgAgAHIAZQB0AGEAaQBuAGUAZAAgAGIAeQAgAHQAaABlACAAYgBvAGQAeQAgACgAawBnACAATgAvAGgAZQBhAGQALwBkAGEAeQApAFwAIgAsACAAXAAiAGsAZwAgAE4ALwBoAGUAYQBkAC8AZABhAHkAXAAiACwAIABcACIAQwBhAGwAYwB1AGwAYQB0AGUAZAAgAGYAcgBvAG0AIAA0AC4AMgAuADEALgAzACAAKAA0ACkAXAAiADsAXABuACAAIAAgACAAIAAgACAAIAAgACAAXAAiAFcAXwBqAGsAbABcACIALAAgAFwAIgBsAGkAdgBlAHcAZQBpAGcAaAB0ACAAKABrAGcALwBoAGUAYQBkACkAXAAiACwAIABcACIAawBnAC8AaABlAGEAZABcACIALAAgAFwAIgBJAG4AcAB1AHQAXAAiADsAXABuACAAIAAgACAAIAAgACAAIAAgACAAXAAiAGIAXAAiACwAIABcACIAYgByAGUAZQBkACAAbwBmACAAYwBhAHQAdABsAGUAXAAiACwAIABcACIAXAAiACwAIABcACIASQBuAHAAdQB0AFwAIgA7AFwAbgAgACAAIAAgACAAIAAgACAAIAAgAFwAIgBzAFwAIgAsACAAXAAiAEMAYQBsAHYAaQBuAGcAIABzAGUAYQBzAG8Abg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ABfAE4AaQB0AHIAbwBnAGUAbgBSAGUAdABhAGkAbgBlAGQAQgB5AEIAbwBkAHkAXABuAEEAbQBvAHUAbgB0ACAAbwBmACAAbgBpAHQAcgBvAGcAZQBuACAAcgBlAHQAYQBpAG4AZQBkACAAYgB5ACAAdABoAGUAIABiAG8AZAB5AFwAbgBOAFIAXwBqAGsAbABcAG4AawBnACAATgAvAGgAZQBhAGQALwBkAGEAeQBcAG4ATgBSAF8AewBqAGsAbAB9AD0AXABcAGYAcgBhAGMAewAwAC4AMAAzADIAXABcAHQAaQBtAGUAcwAgAE0AUABfAHsAagBrAD0ANQB9AH0AewA2AC4AMwA4AH0AKwBcAFwAZgByAGEAYwB7ACgAMAAuADIAMQAyAC0AMAAuADAAMAA4AFwAXAB0AGkAbQBlAHMAKABMAF8AewBqAGsAbAB9AC0AMgApAC0AWwBcAFwAZgByAGEAYwB7ADAALgAxADQAMAAtADAALgAwADAAOABcAFwAdABpAG0AZQBzACgATABfAHsAagBrAGwAfQAtADIAKQB9AHsAMQArAGUAXgB7AC0ANgBcAFwAdABpAG0AZQBzACgAWgBfAHsAagBrAGwAfQAtADAALgA0ACkAfQB9AF0AKQBcAFwAdABpAG0AZQBzACgATABXAEcAXwB7AGoAawBsAH0AXABcAHQAaQBtAGUAcwAgADAALgA5ADIAKQB9AHsANgAuADIANQB9AFwAbgBNAFAAXwBqAGsANQAgAD0AIABtAGkAbABrACAAcAByAG8AZAB1AGMAdABpAG8AbgAgACgAawBnAC8AaABlAGEAZAAvAGQAYQB5ACkAXABuAEwAXwBqAGsAbAAgAD0AIABpAG4AdABhAGsAZQAgAHIAZQBsAGEAdABpAHYAZQAgAHQAbwAgAHQAaABhAHQAIABuAGUAZQBkAGUAZAAgAGYAbwByACAAbQBhAGkAbgB0AGUAbgBhAG4AYwBlAFwAbgBaAF8AagBrAGwAIAA9ACAAcgBlAGwAYQB0AGkAdgBlACAAcwBpAHoAZQBcAG4ATABXAEcAXwBqAGsAbAAgAD0AIABsAGkAdgBlAHcAZQBpAGcAaAB0ACAAZwBhAGkAbgAgACgAawBnAC8AaABlAGEAZAAvAGQAYQB5ACkAXABuAC0ALQAtAC0ALQAtAC0ALQAtAC0ALQAtAC0ALQAtAC0ALQAtAC0ALQAtAC0ALQAtAC0ALQAtAC0ALQAtAC0ALQAtAC0ALQAtAC0ALQBcAG4AKgAvAFwAbgBcAG4AVgBFAEUAUgBHAF8ANABfADIAXwAxAF8AMwBfAF8ANABfAE4AaQB0AHIAbwBnAGUAbgBSAGUAdABhAGkAbgBlAGQAQgB5AEIAbwBkAHkAXABuACAAIAA9AEwAQQBNAEIARABBACgAXABuACAAIAAgACAATQBQAF8AagBrADUALAAgAEwAXwBqAGsAbAAsACAAWgBfAGoAawBsACwAIABMAFcARwBfAGoAawBsACwAXABuACAAIAAgACAAKAAoADAALgAwADMAMgAgACoAIABNAFAAXwBqAGsANQApACAALwAgADYALgAzADgAKQAgACsAIAAoACgAKAAwAC4AMgAxADIAIAAtACAAMAAuADAAMAA4ACAAKgAgACgATABfAGoAawBsACAALQAgADIAKQAgAC0AIAAoACgAMAAuADEANAAwACAALQAgADAALgAwADAAOAAgACoAIAAoAEwAXwBqAGsAbAAgAC0AIAAyACkAKQAgAC8AIAAoADEAIAArACAARQBYAFAAKAAtADYAIAAqACAAKABaAF8AagBrAGwAIAAtACAAMAAuADQAKQApACkAKQApACAAKgAgACgATABXAEcAXwBqAGsAbAAgACoAIAAwAC4AOQAyACkAKQAgAC8AIAA2AC4AMgA1ACkAXABuACAAIAApADsAXABuAFwAbgBWAEUARQBSAEcAXwA0AF8AMgBfADEAXwAzAF8AXwA0AF8ATgBpAHQAcgBvAGcAZQBuAFIAZQB0AGEAaQBuAGUAZABCAHkAQgBvAGQAeQBfAFQAaQB0AGwAZQBcAG4AIAAgAD0ATABBAE0AQgBEAEEAKABcACIAQQBtAG8AdQBuAHQAIABvAGYAIABuAGkAdAByAG8AZwBlAG4AIAByAGUAdABhAGkAbgBlAGQAIABiAHkAIAB0AGgAZQAgAGIAbwBkAHkAXAAiACkAOwBcAG4AXABuAFYARQBFAFIARwBfADQAXwAyAF8AMQBfADMAXwBfADQAXwBOAGkAdAByAG8AZwBlAG4AUgBlAHQAYQBpAG4AZQBkAEIAeQBCAG8AZAB5AF8AVgBhAHIAaQBhAGIAbABlAFwAbgAgACAAPQBMAEEATQBCAEQAQQAoAFwAIgBOAFIAXwBqAGsAbABcACIAKQA7AFwAbgBcAG4AVgBFAEUAUgBHAF8ANABfADIAXwAxAF8AMwBfAF8ANABfAE4AaQB0AHIAbwBnAGUAbgBSAGUAdABhAGkAbgBlAGQAQgB5AEIAbwBkAHkAXwBVAG4AaQB0AFwAbgAgACAAPQBMAEEATQBCAEQAQQAoAFwAIgBrAGcAIABOAC8AaABlAGEAZAAvAGQAYQB5AFwAIgApADsAXABuAFwAbgBWAEUARQBSAEcAXwA0AF8AMgBfADEAXwAzAF8AXwA0AF8ATgBpAHQAcgBvAGcAZQBuAFIAZQB0AGEAaQBuAGUAZABCAHkAQgBvAGQAeQBfAFMAbwB1AHIAYwBlAFwAbgAgACAAPQBMAEEATQBCAEQAQQAoAFwAIgBWAEUARQBSAEcAIAAyADAAMgA2ADoAIAA0AC4AMgAuADEALgAzACwAIABFAHEAdQBhAHQAaQBvAG4AIAAoADQAKQBcACIAKQA7AFwAbgBcAG4AVgBFAEUAUgBHAF8ANABfADIAXwAxAF8AMwBfAF8ANABfAE4AaQB0AHIAbwBnAGUAbgBSAGUAdABhAGkAbgBlAGQAQgB5AEIAbwBkAHkAXwBOAEkAUgBSAGUAZgBlAHIAZQBuAGMAZQBcAG4AIAAgAD0ATABBAE0AQgBEAEEAKABcACIAXAAiACkAOwBcAG4AXABuAFYARQBFAFIARwBfADQAXwAyAF8AMQBfADMAXwBfADQAXwBOAGkAdAByAG8AZwBlAG4AUgBlAHQAYQBpAG4AZQBkAEIAeQBCAG8AZAB5AF8ATABhAHQAZQB4AEUAcQB1AGEAdABpAG8AbgBcAG4AIAAgAD0ATABBAE0AQgBEAEEAKABcACIATgBSAF8AewBqAGsAbAB9AD0AKAAwAC4AMAAzADIAIABcAFwAdABpAG0AZQBzACAATQBQAF8AewBqAGsAPQA1AH0AIABcAFwAZABpAHYAIAA2AC4AMwA4ACkAIAArACAAXABcAGwAZQBmAHQAIAB7ACAAXABcAGwAZQBmAHQAIAB7ACAAMAAuADIAMQAyACAALQAgADAALgAwADAAOAAgAFwAXAB0AGkAbQBlAHMAIAAoAEwAXwB7AGoAawBsAH0AIAAtADIAKQAgAC0AIABcAFwAbABlAGYAdABbACAAXABcAGYAcgBhAGMAewAwAC4AMQA0ADAALQAwAC4AMAAwADgAIABcAFwAdABpAG0AZQBzACAAKABMAF8AewBqAGsAbAB9ACAALQAgADIAKQB9AHsAMQArAGUAXgB7ACgALQA2ACAAXABcAHQAaQBtAGUAcwAgACgAWgBfAHsAagBrAGwAfQAtADAALgA0ACkAKQB9AH0AIABcAFwAcgBpAGcAaAB0AF0AIABcAFwAcgBpAGcAaAB0AH0AIABcAFwAdABpAG0AZQBzACAAKABMAFcARwBfAHsAagBrAGwAfQAgAFwAXAB0AGkAbQBlAHMAIAAwAC4AOQAyACkAIABcAFwAcgBpAGcAaAB0AH0AIABcAFwAZABpAHYAIAA2AC4AMgA1AFwAIgApADsAXABuAFwAbgBWAEUARQBSAEcAXwA0AF8AMgBfADEAXwAzAF8AXwA0AF8ATgBpAHQAcgBvAGcAZQBuAFIAZQB0AGEAaQBuAGUAZABCAHkAQgBvAGQAeQBfAEEAcgBnAHUAbQBlAG4AdABzAFwAbgAgACAAPQBMAEEATQBCAEQAQQAoAFwAbgAgACAAIAAgAE0AQQBLAEUAQQBSAFIAQQBZACgANAAsACAANAAsAFwAbgAgACAAIAAgACAAIABMAEEATQBCAEQAQQAoAHIALABjACwAXABuACAAIAAgACAAIAAgACAAIABJAE4ARABFAFgAKAB7AFwAbgAgACAAIAAgACAAIAAgACAAIAAgAFwAIgBNAFAAXwBqAGsANQBcACIALAAgAFwAIgBtAGkAbABrACAAcAByAG8AZAB1AGMAdABpAG8AbgAgACgAawBnAC8AaABlAGEAZAAvAGQAYQB5ACkAXAAiACwAIABcACIAawBnAC8AaABlAGEAZAAvAGQAYQB5AFwAIgAsACAAXAAiAEMAYQBsAGMAdQBsAGEAdABlAGQAIABmAHIAbwBtACAANAAuADIALgAxAC4AMwAgACgANQApAFwAIgA7AFwAbgAgACAAIAAgACAAIAAgACAAIAAgAFwAIgBMAF8AagBrAGwAXAAiACwAIABcACIAaQBuAHQAYQBrAGUAIAByAGUAbABhAHQAaQB2AGUAIAB0AG8AIAB0AGgAYQB0ACAAbgBlAGUAZABlAGQAIABmAG8AcgAgAG0AYQBpAG4AdABlAG4AYQBuAGMAZQBcACIALAAgAFwAIgBcACIALAAgAFwAIgBDAGEAbABjAHUAbABhAHQAZQBkACAAZgByAG8AbQAgADQALgAyAC4AMQAuADMAIAAoADYAKQBcACIAOwBcAG4AIAAgACAAIAAgACAAIAAgACAAIABcACIAWgBfAGoAawBsAFwAIgAsACAAXAAiAHIAZQBsAGEAdABpAHYAZQAgAHMAaQB6AGUAXAAiACwAIABcACIAXAAiACwAIABcACIAQwBhAGwAYwB1AGwAYQB0AGUAZAAgAGYAcgBvAG0AIAA0AC4AMgAuADEALgAzACAAKAA3ACkAXAAiADsAXABuACAAIAAgACAAIAAgACAAIAAgACAAXAAiAEwAVwBHAF8AagBrAGwAXAAiACwAIABcACIAbABpAHYAZQB3AGUAaQBnAGgAdAAgAGcAYQBpAG4AIAAoAGsAZwAvAGgAZQBhAGQALwBkAGEAeQApAFwAIgAsACAAXAAiAGsAZwAvAGgAZQBhAGQALwBkAGEAeQ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QBfAE0AaQBsAGsAUAByAG8AZAB1AGMAdABpAG8AbgBGAG8AcgBDAGEAbAB2AGkAbgBnAFMAZQBhAHMAbwBuAFwAbgBNAGkAbABrACAAcAByAG8AZAB1AGMAdABpAG8AbgAgAGYAbwByACAAdABoAGUAIABzAGUAYQBzAG8AbgAgAG8AZgAgAGMAYQBsAHYAaQBuAGcAIABhAG4AZAAgAHMAZQBhAHMAbwBuACAAYQBmAHQAZQByACAAYwBhAGwAdgBpAG4AZwBcAG4ATQBQAF8AagBrADUAXABuAGsAZwAvAGgAZQBhAGQALwBkAGEAeQBcAG4ATQBQAF8AewBqAGsAPQA1AH0APQBMAEMAXwB7AGoAawA9ADUAfQBcAFwAdABpAG0AZQBzACAARABNAFAAXwB7AGoAawA9ADUAfQBcAG4ATABDAF8AagBrADUAIAA9ACAAcAByAG8AcABvAHIAdABpAG8AbgAgAG8AZgAgAGMAbwB3AHMAIABnAHIAZQBhAHQAZQByACAAdABoAGEAbgAgADIAIAB5AGUAYQByAHMAIABsAGEAYwB0AGEAdABpAG4AZwAgAGYAbwByACAAdABoAGUAIABzAGUAYQBzAG8AbgAgAG8AZgAgAGMAYQBsAHYAaQBuAGcAIABhAG4AZAAgAHMAZQBhAHMAbwBuACAAYQBmAHQAZQByACAAYwBhAGwAdgBpAG4AZwAgAGUAeABwAHIAZQBzAHMAZQBkACAAYQBzACAAYQAgAGYAcgBhAGMAdABpAG8AbgBcAG4ARABNAFAAXwBqAGsANQAgAD0AIABkAGEAaQBsAHkAIABtAGkAbABrACAAcAByAG8AZAB1AGMAdABpAG8AbgAgACgAawBnAC8AaABlAGEAZAAvAGQAYQB5ACkAXABuAC0ALQAtAC0ALQAtAC0ALQAtAC0ALQAtAC0ALQAtAC0ALQAtAC0ALQAtAC0ALQAtAC0ALQAtAC0ALQAtAC0ALQAtAC0ALQAtAC0ALQBcAG4AKgAvAFwAbgBcAG4AVgBFAEUAUgBHAF8ANABfADIAXwAxAF8AMwBfAF8ANQBfAE0AaQBsAGsAUAByAG8AZAB1AGMAdABpAG8AbgBGAG8AcgBDAGEAbAB2AGkAbgBnAFMAZQBhAHMAbwBuAFwAbgAgACAAPQBMAEEATQBCAEQAQQAoAFwAbgAgACAAIAAgAEwAQwBfAGoAawA1ACwAIABEAE0AUABfAGoAawA1ACwAXABuACAAIAAgACAATABDAF8AagBrADUAIAAqACAARABNAFAAXwBqAGsANQBcAG4AIAAgACkAOwBcAG4AXABuAFYARQBFAFIARwBfADQAXwAyAF8AMQBfADMAXwBfADUAXwBNAGkAbABrAFAAcgBvAGQAdQBjAHQAaQBvAG4ARgBvAHIAQwBhAGwAdgBpAG4AZwBTAGUAYQBzAG8AbgBWAGEAcgBpAGEAdABpAG8AbgBcAG4AIAAgAD0ATABBAE0AQgBEAEEAKABcAG4AIAAgACAAIABMAEMAXwBqAGsANQBjAHUAcgByACwAIABMAEMAXwBqAGsANQBwAHIAZQB2ACwAIABEAE0AUABfAGoAawA1AGMAYQBsAHYALAAgAEQATQBQAF8AagBrADUAYQBmAHQAZQByACwAXABuACAAIAAgACAAKABMAEMAXwBqAGsANQBjAHUAcgByACAAKgAgAEQATQBQAF8AagBrADUAYwBhAGwAdgApACAAKwAgACgATABDAF8AagBrADUAcAByAGUAdgAgACoAIABEAE0AUABfAGoAawA1AGEAZgB0AGUAcgApAFwAbgAgACAAKQA7AFwAbgBcAG4AVgBFAEUAUgBHAF8ANABfADIAXwAxAF8AMwBfAF8ANQBfAE0AaQBsAGsAUAByAG8AZAB1AGMAdABpAG8AbgBGAG8AcgBDAGEAbAB2AGkAbgBnAFMAZQBhAHMAbwBuAF8AVABpAHQAbABlAFwAbgAgACAAPQBMAEEATQBCAEQAQQAoAFwAIgBNAGkAbABrACAAcAByAG8AZAB1AGMAdABpAG8AbgAgAGYAbwByACAAdABoAGUAIABzAGUAYQBzAG8AbgAgAG8AZgAgAGMAYQBsAHYAaQBuAGcAIABhAG4AZAAgAHMAZQBhAHMAbwBuACAAYQBmAHQAZQByACAAYwBhAGwAdgBpAG4AZwBcACIAKQA7AFwAbgBcAG4AVgBFAEUAUgBHAF8ANABfADIAXwAxAF8AMwBfAF8ANQBfAE0AaQBsAGsAUAByAG8AZAB1AGMAdABpAG8AbgBGAG8AcgBDAGEAbAB2AGkAbgBnAFMAZQBhAHMAbwBuAF8AVgBhAHIAaQBhAGIAbABlAFwAbgAgACAAPQBMAEEATQBCAEQAQQAoAFwAIgBNAFAAXwBqAGsANQBcACIAKQA7AFwAbgBcAG4AVgBFAEUAUgBHAF8ANABfADIAXwAxAF8AMwBfAF8ANQBfAE0AaQBsAGsAUAByAG8AZAB1AGMAdABpAG8AbgBGAG8AcgBDAGEAbAB2AGkAbgBnAFMAZQBhAHMAbwBuAF8AVQBuAGkAdABcAG4AIAAgAD0ATABBAE0AQgBEAEEAKABcACIAawBnAC8AaABlAGEAZAAvAGQAYQB5AFwAIgApADsAXABuAFwAbgBWAEUARQBSAEcAXwA0AF8AMgBfADEAXwAzAF8AXwA1AF8ATQBpAGwAawBQAHIAbwBkAHUAYwB0AGkAbwBuAEYAbwByAEMAYQBsAHYAaQBuAGcAUwBlAGEAcwBvAG4AXwBTAG8AdQByAGMAZQBcAG4AIAAgAD0ATABBAE0AQgBEAEEAKABcACIAVgBFAEUAUgBHACAAMgAwADIANgA6ACAANAAuADIALgAxAC4AMwAsACAARQBxAHUAYQB0AGkAbwBuACAAKAA1ACkAXAAiACkAOwBcAG4AXABuAFYARQBFAFIARwBfADQAXwAyAF8AMQBfADMAXwBfADUAXwBNAGkAbABrAFAAcgBvAGQAdQBjAHQAaQBvAG4ARgBvAHIAQwBhAGwAdgBpAG4AZwBTAGUAYQBzAG8AbgBfAE4ASQBSAFIAZQBmAGUAcgBlAG4AYwBlAFwAbgAgACAAPQBMAEEATQBCAEQAQQAoAFwAIgBcACIAKQA7AFwAbgBcAG4AVgBFAEUAUgBHAF8ANABfADIAXwAxAF8AMwBfAF8ANQBfAE0AaQBsAGsAUAByAG8AZAB1AGMAdABpAG8AbgBGAG8AcgBDAGEAbAB2AGkAbgBnAFMAZQBhAHMAbwBuAF8ATABhAHQAZQB4AEUAcQB1AGEAdABpAG8AbgBcAG4AIAAgAD0ATABBAE0AQgBEAEEAKABcACIATQBQAF8AewBqAGsAPQA1AH0APQBMAEMAXwB7AGoAawA9ADUAfQBcAFwAdABpAG0AZQBzACAARABNAFAAXwB7AGoAawA9ADUAfQBcACIAKQA7AFwAbgBcAG4AVgBFAEUAUgBHAF8ANABfADIAXwAxAF8AMwBfAF8ANQBfAE0AaQBsAGsAUAByAG8AZAB1AGMAdABpAG8AbgBGAG8AcgBDAGEAbAB2AGkAbgBnAFMAZQBhAHMAbwBuAF8ATABhAHQAZQB4AEUAcQB1AGEAdABpAG8AbgBWAGEAcgBpAGEAdABpAG8AbgBcAG4AIAAgAD0ATABBAE0AQgBEAEEAKABcACIATQBQAF8AewBqAGsAPQA1AH0APQAoAEwAQwBfAHsAagBrAD0ANQAsAGMAdQByAHIAZQBuAHQAfQBcAFwAdABpAG0AZQBzACAARABNAFAAXwB7AGoAawA9ADUALABjAGEAbAB2AH0AKQArACgATABDAF8AewBqAGsAPQA1ACwAcAByAGUAdgB9AFwAXAB0AGkAbQBlAHMAIABEAE0AUABfAHsAagBrAD0ANQAsAGEAZgB0AGUAcgB9ACkAXAAiACkAOwBcAG4AXABuAFYARQBFAFIARwBfADQAXwAyAF8AMQBfADMAXwBfADUAXwBNAGkAbABrAFAAcgBvAGQAdQBjAHQAaQBvAG4ARgBvAHIAQwBhAGwAdgBpAG4AZwBTAGUAYQBzAG8AbgBfAEEAcgBnAHUAbQBlAG4AdABzAFwAbgAgACAAPQBMAEEATQBCAEQAQQAoAFwAbgAgACAAIAAgAE0AQQBLAEUAQQBSAFIAQQBZACgAMwAsACAANAAsAFwAbgAgACAAIAAgACAAIABMAEEATQBCAEQAQQAoAHIALABjACwAXABuACAAIAAgACAAIAAgACAAIABJAE4ARABFAFgAKAB7AFwAbgAgACAAIAAgACAAIAAgACAAIAAgAFwAIgBMAEMAXwBqAGsANQBcACIALAAgAFwAIgBwAHIAbwBwAG8AcgB0AGkAbwBuACAAbwBmACAAYwBvAHcAcwAgAGcAcgBlAGEAdABlAHIAIAB0AGgAYQBuACAAMgAgAHkAZQBhAHIAcwAgAGwAYQBjAHQAYQB0AGkAbgBnACAAZgBvAHIAIAB0AGgAZQAgAHMAZQBhAHMAbwBuACAAbwBmACAAYwBhAGwAdgBpAG4AZwAgAGEAbgBkACAAcwBlAGEAcwBvAG4AIABhAGYAdABlAHIAIABjAGEAbAB2AGkAbgBnACAAZQB4AHAAcgBlAHMAcwBlAGQAIABhAHMAIABhACAAZgByAGEAYwB0AGkAbwBuAFwAIgAsACAAXAAiAGYAcgBhAGMAdABpAG8AbgBcACIALAAgAFwAIgBJAG4AcAB1AHQAXAAiADsAXABuACAAIAAgACAAIAAgACAAIAAgACAAXAAiAEQATQBQAF8AagBrADUAXAAiACwAIABcACIAZABhAGkAbAB5ACAAbQBpAGwAawAgAHAAcgBvAGQAdQBjAHQAaQBvAG4AIAAoAGsAZwAvAGgAZQBhAGQALwBkAGEAeQApAFwAIgAsACAAXAAiAGsAZwAvAGgAZQBhAGQALwBkAGEAeQBcACIALAAgAFwAIgBDAG8AbgBzAHQAYQBuAHQAXAAiADsAXABuACAAIAAgACAAIAAgACAAIAAgACAAXAAiAGIAXAAiACwAIABcACIAYgByAGUAZQBkACAAbwBmACAAYwBhAHQAdABsAGUAXAAiACwAIABcACIAXAAiACwAIABcACIASQBuAHAAdQB0AFwAIgBcAG4AIAAgACAAIAAgACAAIAAgAH0ALAAgAHIALAAgAGMAKQBcAG4AIAAgACAAIAAgACAAKQBcAG4AIAAgACAAIAApAFwAbgAgACAAKQA7AFwAbgBcAG4AVgBFAEUAUgBHAF8ANABfADIAXwAxAF8AMwBfAF8ANQBfAE0AaQBsAGsAUAByAG8AZAB1AGMAdABpAG8AbgBGAG8AcgBDAGEAbAB2AGkAbgBnAFMAZQBhAHMAbwBuAF8AQQByAGcAdQBtAGUAbgB0AHMAVgBhAHIAaQBhAHQAaQBvAG4AXABuACAAIAA9AEwAQQBNAEIARABBACgAXABuACAAIAAgACAATQBBAEsARQBBAFIAUgBBAFkAKAA1ACwAIAA0ACwAXABuACAAIAAgACAAIAAgAEwAQQBNAEIARABBACgAcgAsAGMALABcAG4AIAAgACAAIAAgACAAIAAgAEkATgBEAEUAWAAoAHsAXABuACAAIAAgACAAIAAgACAAIAAgACAAXAAiAEwAQwBfAGoAawA1AGMAdQByAHIAXAAiACwAIABcACIAcAByAG8AcABvAHIAdABpAG8AbgAgAG8AZgAgAGMAbwB3AHMAIABnAHIAZQBhAHQAZQByACAAdABoAGEAbgAgADIAIAB5AGUAYQByAHMAIABsAGEAYwB0AGEAdABpAG4AZwAgAGYAbwByACAAdABoAGUAIABzAGUAYQBzAG8AbgAgAG8AZgAgAGMAYQBsAHYAaQBuAGcAXAAiACwAIABcACIAZgByAGEAYwB0AGkAbwBuAFwAIgAsACAAXAAiAEkAbgBwAHUAdABcACIAOwBcAG4AIAAgACAAIAAgACAAIAAgACAAIABcACIATABDAF8AagBrADUAcAByAGUAdgBcACIALAAgAFwAIgBwAHIAbwBwAG8AcgB0AGkAbwBuACAAbwBmACAAYwBvAHcAcwAgAGcAcgBlAGEAdABlAHIAIAB0AGgAYQBuACAAMgAgAHkAZQBhAHIAcwAgAGwAYQBjAHQAYQB0AGkAbgBnACAAZgBvAHIAIAB0AGgAZQAgAHMAZQBhAHMAbwBuACAAYQBmAHQAZQByACAAYwBhAGwAdgBpAG4AZwBcACIALAAgAFwAIgBmAHIAYQBjAHQAaQBvAG4AXAAiACwAIABcACIASQBuAHAAdQB0AFwAIgA7AFwAbgAgACAAIAAgACAAIAAgACAAIAAgAFwAIgBEAE0AUABfAGoAawA1AGMAYQBsAHYAXAAiACwAIABcACIAZABhAGkAbAB5ACAAbQBpAGwAawAgAHAAcgBvAGQAdQBjAHQAaQBvAG4AIABmAG8AcgAgAHQAaABlACAAcwBlAGEAcwBvAG4AIABvAGYAIABjAGEAbAB2AGkAbgBnACAAKABrAGcALwBoAGUAYQBkAC8AZABhAHkAKQBcACIALAAgAFwAIgBrAGcALwBoAGUAYQBkAC8AZABhAHkAXAAiACwAIABcACIAQwBvAG4AcwB0AGEAbgB0AFwAIgA7AFwAbgAgACAAIAAgACAAIAAgACAAIAAgAFwAIgBEAE0AUABfAGoAawA1AGEAZgB0AGUAcgBcACIALAAgAFwAIgBkAGEAaQBsAHkAIABtAGkAbABrACAAcAByAG8AZAB1AGMAdABpAG8AbgAgAGYAbwByACAAdABoAGUAIABzAGUAYQBzAG8AbgAgAGEAZgB0AGUAcgAgAGMAYQBsAHYAaQBuAGcAIAAoAGsAZwAvAGgAZQBhAGQALwBkAGEAeQApAFwAIgAsACAAXAAiAGsAZwAvAGgAZQBhAGQALwBkAGEAeQBcACIALAAgAFwAIgBDAG8AbgBzAHQAYQBuAHQAXAAiADsAXABuACAAIAAgACAAIAAgACAAIAAgACAAXAAiAGIAXAAiACwAIABcACIAYgByAGUAZQBkACAAbwBmACAAYwBhAHQAdABsAGUAXAAiACwAIABcACIAXAAiACwAIABcACIASQBuAHAAdQB0AFwAIgBcAG4AIAAgACAAIAAgACAAIAAgAH0ALAAgAHIALAAgAGMAKQBcAG4AIAAgACAAIAAgACAAKQBcAG4AIAAgACAAIAApAFwAbgAgACAAKQA7AFwAbgBcAG4AVgBFAEUAUgBHAF8ANABfADIAXwAxAF8AMwBfAF8ANQBfAE0AaQBsAGsAUAByAG8AZAB1AGMAdABpAG8AbgBGAG8AcgBDAGEAbAB2AGkAbgBnAFMAZQBhAHMAbwBuAF8AVgBhAHIAaQBhAHQAaQBvAG4AXABuAD0ATABBAE0AQgBEAEEAKABcACIAVgBBAFIASQBBAFQASQBPAE4AIABPAE4AIABTAE8AVQBSAEMARQA6ACAAUwBwAGwAaQB0ACAATABDACAAYQBuAGQAIABEAE0AUAAgAGkAbgB0AG8AIABjAGEAbAB2AGkAbgBnACAAcwBlAGEAcwBvAG4AIABhAG4AZAAgAGEAZgB0AGUAcgAgAGMAYQBsAHYAaQBuAGcAIABzAGUAYQBzAG8AbgAgAHYAYQBsAHUAZQBzAC4AXAAiACkAOwBcAG4AXABuAC8AKgBcAG4ALQAtAC0ALQAtAC0ALQAtAC0ALQAtAC0ALQAtAC0ALQAtAC0ALQAtAC0ALQAtAC0ALQAtAC0ALQAtAC0ALQAtAC0ALQAtAC0ALQAtAFwAbgBWAEUARQBSAEcAXwA0AF8AMgBfADEAXwAzAF8AXwA2AF8ASQBuAHQAYQBrAGUAUgBlAGwAYQB0AGkAdgBlAFQAbwBNAGEAaQBuAHQAZQBuAGEAbgBjAGUAXABuAEkAbgB0AGEAawBlACAAcgBlAGwAYQB0AGkAdgBlACAAdABvACAAdABoAGEAdAAgAG4AZQBlAGQAZQBkACAAZgBvAHIAIABtAGEAaQBuAHQAZQBuAGEAbgBjAGUAXABuAEwAXwBqAGsAbABcAG4AcgBhAHQAaQBvAFwAbgBMAF8AewBqAGsAbAB9AD0AXABcAGYAcgBhAGMAewBJAF8AewBqAGsAbAB9AH0AewAoADEALgAxADgANQArADAALgAwADAANAA1ADQAXABcAHQAaQBtAGUAcwAgAFcAXwB7AGoAawBsAH0ALQAwAC4AMAAwADAAMAAwADIANgBcAFwAdABpAG0AZQBzACAAVwBfAHsAagBrAGwAfQBeAHsAMgB9ACkAXgB7ADIAfQB9AFwAbgBJAF8AagBrAGwAIAA9ACAAZAByAHkAIABtAGEAdAB0AGUAcgAgAGkAbgB0AGEAawBlACAAYQBzACAAYwBhAGwAYwB1AGwAYQB0AGUAZAAgAGkAbgAgAEMAaABhAHAAdABlAHIAIAAzACAAUwBlAGMAdABpAG8AbgAgADMALgAyAC4AMQAgACgAawBnACAARABNAC8AaABlAGEAZAAvAGQAYQB5ACkAXABuAFcAXwBqAGsAbAAgAD0AIABsAGkAdgBlAHcAZQBpAGcAaAB0ACAAKABrAGcALwBoAGUAYQBkACkAXABuAC0ALQAtAC0ALQAtAC0ALQAtAC0ALQAtAC0ALQAtAC0ALQAtAC0ALQAtAC0ALQAtAC0ALQAtAC0ALQAtAC0ALQAtAC0ALQAtAC0ALQBcAG4AKgAvAFwAbgBcAG4AVgBFAEUAUgBHAF8ANABfADIAXwAxAF8AMwBfAF8ANgBfAEkAbgB0AGEAawBlAFIAZQBsAGEAdABpAHYAZQBUAG8ATQBhAGkAbgB0AGUAbgBhAG4AYwBlAFwAbgAgACAAPQBMAEEATQBCAEQAQQAoAFwAbgAgACAAIAAgAEkAXwBqAGsAbAAsACAAVwBfAGoAawBsACwAXABuACAAIAAgACAASQBfAGoAawBsACAALwAgACgAKAAxAC4AMQA4ADUAIAArACAAMAAuADAAMAA0ADUANAAgACoAIABXAF8AagBrAGwAIAAtACAAMAAuADAAMAAwADAAMAAyADYAIAAqACAAVwBfAGoAawBsACAAXgAgADIAKQAgAF4AIAAyACkAXABuACAAIAApADsAXABuAFwAbgBWAEUARQBSAEcAXwA0AF8AMgBfADEAXwAzAF8AXwA2AF8ASQBuAHQAYQBrAGUAUgBlAGwAYQB0AGkAdgBlAFQAbwBNAGEAaQBuAHQAZQBuAGEAbgBjAGUAXwBUAGkAdABsAGUAXABuACAAIAA9AEwAQQBNAEIARABBACgAXAAiAEkAbgB0AGEAawBlACAAcgBlAGwAYQB0AGkAdgBlACAAdABvACAAdABoAGEAdAAgAG4AZQBlAGQAZQBkACAAZgBvAHIAIABtAGEAaQBuAHQAZQBuAGEAbgBjAGUAXAAiACkAOwBcAG4AXABuAFYARQBFAFIARwBfADQAXwAyAF8AMQBfADMAXwBfADYAXwBJAG4AdABhAGsAZQBSAGUAbABhAHQAaQB2AGUAVABvAE0AYQBpAG4AdABlAG4AYQBuAGMAZQBfAFYAYQByAGkAYQBiAGwAZQBcAG4AIAAgAD0ATABBAE0AQgBEAEEAKABcACIATABfAGoAawBsAFwAIgApADsAXABuAFwAbgBWAEUARQBSAEcAXwA0AF8AMgBfADEAXwAzAF8AXwA2AF8ASQBuAHQAYQBrAGUAUgBlAGwAYQB0AGkAdgBlAFQAbwBNAGEAaQBuAHQAZQBuAGEAbgBjAGUAXwBVAG4AaQB0AFwAbgAgACAAPQBMAEEATQBCAEQAQQAoAFwAIgByAGEAdABpAG8AXAAiACkAOwBcAG4AXABuAFYARQBFAFIARwBfADQAXwAyAF8AMQBfADMAXwBfADYAXwBJAG4AdABhAGsAZQBSAGUAbABhAHQAaQB2AGUAVABvAE0AYQBpAG4AdABlAG4AYQBuAGMAZQBfAFMAbwB1AHIAYwBlAFwAbgAgACAAPQBMAEEATQBCAEQAQQAoAFwAIgBWAEUARQBSAEcAIAAyADAAMgA2ADoAIAA0AC4AMgAuADEALgAzACwAIABFAHEAdQBhAHQAaQBvAG4AIAAoADYAKQBcACIAKQA7AFwAbgBcAG4AVgBFAEUAUgBHAF8ANABfADIAXwAxAF8AMwBfAF8ANgBfAEkAbgB0AGEAawBlAFIAZQBsAGEAdABpAHYAZQBUAG8ATQBhAGkAbgB0AGUAbgBhAG4AYwBlAF8ATgBJAFIAUgBlAGYAZQByAGUAbgBjAGUAXABuACAAIAA9AEwAQQBNAEIARABBACgAXAAiAFwAIgApADsAXABuAFwAbgBWAEUARQBSAEcAXwA0AF8AMgBfADEAXwAzAF8AXwA2AF8ASQBuAHQAYQBrAGUAUgBlAGwAYQB0AGkAdgBlAFQAbwBNAGEAaQBuAHQAZQBuAGEAbgBjAGUAXwBMAGEAdABlAHgARQBxAHUAYQB0AGkAbwBuAFwAbgAgACAAPQBMAEEATQBCAEQAQQAoAFwAIgBMAF8AewBqAGsAbAB9AD0AXABcAGYAcgBhAGMAewBJAF8AewBqAGsAbAB9AH0AewAoADEALgAxADgANQArADAALgAwADAANAA1ADQAXABcAHQAaQBtAGUAcwAgAFcAXwB7AGoAawBsAH0ALQAwAC4AMAAwADAAMAAwADIANgBcAFwAdABpAG0AZQBzACAAVwBfAHsAagBrAGwAfQBeAHsAMgB9ACkAXgB7ADIAfQB9AFwAIgApADsAXABuAFwAbgBWAEUARQBSAEcAXwA0AF8AMgBfADEAXwAzAF8AXwA2AF8ASQBuAHQAYQBrAGUAUgBlAGwAYQB0AGkAdgBlAFQAbwBNAGEAaQBuAHQAZQBuAGEAbgBjAGUAXwBBAHIAZwB1AG0AZQBuAHQAcwBcAG4AIAAgAD0ATABBAE0AQgBEAEEAKABcAG4AIAAgACAAIABNAEEASwBFAEEAUgBSAEEAWQAoADIALAAgADQALABcAG4AIAAgACAAIAAgACAATABBAE0AQgBEAEEAKAByACwAYwAsAFwAbgAgACAAIAAgACAAIAAgACAASQBOAEQARQBYACgAewBcAG4AIAAgACAAIAAgACAAIAAgACAAIABcACIASQBfAGoAawBsAFwAIgAsACAAXAAiAGQAcgB5ACAAbQBhAHQAdABlAHIAIABpAG4AdABhAGsAZQAgAGEAcwAgAGMAYQBsAGMAdQBsAGEAdABlAGQAIABpAG4AIABDAGgAYQBwAHQAZQByACAAMwAgAFMAZQBjAHQAaQBvAG4AIAAzAC4AMgAuADEAIAAoAGsAZwAgAEQATQAvAGgAZQBhAGQALwBkAGEAeQApAFwAIgAsACAAXAAiAGsAZwAgAEQATQAvAGgAZQBhAGQALwBkAGEAeQBcACIALAAgAFwAIgBDAGEAbABjAHUAbABhAHQAZQBkACAAZgByAG8AbQAgADMALgAyAC4AMQAuADEAIAAoADMAKQBcACIAOwBcAG4AIAAgACAAIAAgACAAIAAgACAAIABcACIAVwBfAGoAawBsAFwAIgAsACAAXAAiAGwAaQB2AGUAdwBlAGkAZwBoAHQAIAAoAGsAZwAvAGgAZQBhAGQAKQBcACIALAAgAFwAIgBrAGcALwBoAGUAYQBk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3AF8AUgBlAGwAYQB0AGkAdgBlAFMAaQB6AGUAXABuAFIAZQBsAGEAdABpAHYAZQAgAHMAaQB6AGUAIABvAGYAIAB0AGgAZQAgAGMAYQB0AHQAbABlAFwAbgBaAF8AagBrAGwAXABuAHIAYQB0AGkAbwBcAG4AWgBfAHsAagBrAGwAfQA9AFwAXABmAHIAYQBjAHsAVwBfAHsAagBrAGwAfQB9AHsAUwBSAFcAXwBrAH0AXABuAFcAXwBqAGsAbAAgAD0AIABsAGkAdgBlAHcAZQBpAGcAaAB0ACAAKABrAGcAKQBcAG4AUwBSAFcAXwBrACAAPQAgAHMAdABhAG4AZABhAHIAZAAgAHIAZQBmAGUAcgBlAG4AYwBlACAAdwBlAGkAZwBoAHQAIAAoAGsAZwApAFwAbgAtAC0ALQAtAC0ALQAtAC0ALQAtAC0ALQAtAC0ALQAtAC0ALQAtAC0ALQAtAC0ALQAtAC0ALQAtAC0ALQAtAC0ALQAtAC0ALQAtAC0AXABuACoALwBcAG4AXABuAFYARQBFAFIARwBfADQAXwAyAF8AMQBfADMAXwBfADcAXwBSAGUAbABhAHQAaQB2AGUAUwBpAHoAZQBcAG4AIAAgAD0ATABBAE0AQgBEAEEAKABcAG4AIAAgACAAIABXAF8AagBrAGwALAAgAFMAUgBXAF8AawAsAFwAbgAgACAAIAAgAFcAXwBqAGsAbAAgAC8AIABTAFIAVwBfAGsAXABuACAAIAApADsAXABuAFwAbgBWAEUARQBSAEcAXwA0AF8AMgBfADEAXwAzAF8AXwA3AF8AUgBlAGwAYQB0AGkAdgBlAFMAaQB6AGUAXwBUAGkAdABsAGUAXABuACAAIAA9AEwAQQBNAEIARABBACgAXAAiAFIAZQBsAGEAdABpAHYAZQAgAHMAaQB6AGUAIABvAGYAIAB0AGgAZQAgAGMAYQB0AHQAbABlAFwAIgApADsAXABuAFwAbgBWAEUARQBSAEcAXwA0AF8AMgBfADEAXwAzAF8AXwA3AF8AUgBlAGwAYQB0AGkAdgBlAFMAaQB6AGUAXwBWAGEAcgBpAGEAYgBsAGUAXABuACAAIAA9AEwAQQBNAEIARABBACgAXAAiAFoAXwBqAGsAbABcACIAKQA7AFwAbgBcAG4AVgBFAEUAUgBHAF8ANABfADIAXwAxAF8AMwBfAF8ANwBfAFIAZQBsAGEAdABpAHYAZQBTAGkAegBlAF8AVQBuAGkAdABcAG4AIAAgAD0ATABBAE0AQgBEAEEAKABcACIAcgBhAHQAaQBvAFwAIgApADsAXABuAFwAbgBWAEUARQBSAEcAXwA0AF8AMgBfADEAXwAzAF8AXwA3AF8AUgBlAGwAYQB0AGkAdgBlAFMAaQB6AGUAXwBTAG8AdQByAGMAZQBcAG4AIAAgAD0ATABBAE0AQgBEAEEAKABcACIAVgBFAEUAUgBHACAAMgAwADIANgA6ACAANAAuADIALgAxAC4AMwAsACAARQBxAHUAYQB0AGkAbwBuACAAKAA3ACkAXAAiACkAOwBcAG4AXABuAFYARQBFAFIARwBfADQAXwAyAF8AMQBfADMAXwBfADcAXwBSAGUAbABhAHQAaQB2AGUAUwBpAHoAZQBfAE4ASQBSAFIAZQBmAGUAcgBlAG4AYwBlAFwAbgAgACAAPQBMAEEATQBCAEQAQQAoAFwAIgBcACIAKQA7AFwAbgBcAG4AVgBFAEUAUgBHAF8ANABfADIAXwAxAF8AMwBfAF8ANwBfAFIAZQBsAGEAdABpAHYAZQBTAGkAegBlAF8ATABhAHQAZQB4AEUAcQB1AGEAdABpAG8AbgBcAG4AIAAgAD0ATABBAE0AQgBEAEEAKABcACIAWgBfAHsAagBrAGwAfQA9AFwAXABmAHIAYQBjAHsAVwBfAHsAagBrAGwAfQB9AHsAUwBSAFcAXwBrAH0AXAAiACkAOwBcAG4AXABuAFYARQBFAFIARwBfADQAXwAyAF8AMQBfADMAXwBfADcAXwBSAGUAbABhAHQAaQB2AGUAUwBpAHoAZQBfAEEAcgBnAHUAbQBlAG4AdABzAFwAbgAgACAAPQBMAEEATQBCAEQAQQAoAFwAbgAgACAAIAAgAE0AQQBLAEUAQQBSAFIAQQBZACgAMwAsACAANAAsAFwAbgAgACAAIAAgACAAIABMAEEATQBCAEQAQQAoAHIALABjACwAXABuACAAIAAgACAAIAAgACAAIABJAE4ARABFAFgAKAB7AFwAbgAgACAAIAAgACAAIAAgACAAIAAgAFwAIgBXAF8AagBrAGwAXAAiACwAIABcACIAbABpAHYAZQB3AGUAaQBnAGgAdAAgACgAawBnACkAXAAiACwAIABcACIAawBnAFwAIgAsACAAXAAiAEkAbgBwAHUAdABcACIAOwBcAG4AIAAgACAAIAAgACAAIAAgACAAIABcACIAUwBSAFcAXwBrAFwAIgAsACAAXAAiAHMAdABhAG4AZABhAHIAZAAgAHIAZQBmAGUAcgBlAG4AYwBlACAAdwBlAGkAZwBoAHQAIAAoAGsAZwApAFwAIgAsACAAXAAiAGsAZwBcACIALAAgAFwAIgBDAG8AbgBzAHQAYQBuAHQAXAAiADsAXABuACAAIAAgACAAIAAgACAAIAAgACAAXAAiAGkAXAAiACwAIABcACIAcwB0AGEAdABlAFwAIgAsACAAXAAiAFwAIgAsACAAXAAiAEkAbgBwAHUAdABcACIAXABuACAAIAAgACAAIAAgACAAIAB9ACwAIAByACwAIABjACkAXABuACAAIAAgACAAIAAgACkAXABuACAAIAAgACAAKQBcAG4AIAAgACkAOwBcAG4AIgB9ACwAewAiAHAAYQB0AGgAIgA6ACIALwBwAHIAbwBqAGUAYwB0AHMALwBNAE0AUwBfAFAAYQBzAHQAdQByAGUAQgBlAGUAZgBfAFMAbwBpAGwAXwBBAHQAbQBvAHMAcABoAGUAcgBpAGMARABlAHAAbwBzAGkAdABpAG8AbgBfAEUAcQB1AGEAdABpAG8AbgBzACIALAAiAHQAZQB4AHQAIgA6ACIALwAqAFwAbgA9AD0APQA9AD0APQA9AD0APQA9AD0APQA9AD0APQA9AD0APQA9AD0APQA9AD0APQA9AD0APQA9AD0APQA9AD0APQA9AD0APQA9AD0APQA9AD0APQA9AD0APQA9AD0APQA9AD0APQA9AD0APQA9AD0APQA9AD0APQA9AD0APQA9AD0APQA9AD0APQA9AD0APQA9AD0APQA9AFwAbgA0AC4AMgA6ACAAUABhAHMAdAB1AHIAZQAgAEIAZQBlAGYAXABuAD0APQA9AD0APQA9AD0APQA9AD0APQA9AD0APQA9AD0APQA9AD0APQA9AD0APQA9AD0APQA9AD0APQA9AD0APQA9AD0APQA9AD0APQA9AD0APQA9AD0APQA9AD0APQA9AD0APQA9AD0APQA9AD0APQA9AD0APQA9AD0APQA9AD0APQA9AD0APQA9AD0APQA9AD0APQA9AD0AXABuADQALgAyAC4AMQAuADUAIABNAGUAdABoAG8AZAAgADEAIAAtACAAUwBvAGkAbAAgAEEAdABtAG8AcwBwAGgAZQByAGkAYwAgAEQAZQBwAG8AcwBpAHQAaQBvAG4AIABOADIATwAgAEIAZQBlAGYAIABHAHIAYQB6AGkAbgBn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IAXwAxAF8ANQBfAF8AMQBfAEEAdABtAG8AcwBwAGgAZQByAGkAYwBEAGUAcABvAHMAaQB0AGkAbwBuAEUAbQBpAHMAcwBpAG8AbgBzAEYAcgBvAG0AVQByAGkAbgBlAEEAbgBkAEQAdQBuAGcATwBuAFAAYQBzAHQAdQByAGUAXABuAEEAdABtAG8AcwBwAGgAZQByAGkAYwAgAGQAZQBwAG8AcwBpAHQAaQBvAG4AIABlAG0AaQBzAHMAaQBvAG4AcwAgAGYAcgBvAG0AIAB1AHIAaQBuAGUAIABhAG4AZAAgAGQAdQBuAGcAIABkAGUAcABvAHMAaQB0AGUAZAAgAG8AbgAgAHAAYQBzAHQAdQByAGUAXABuAEUAXwBOADIATwBhAGQAXABuAHQAIABOADIATwBcAG4ARQBfAHsATgAyAE8ALABhAGQAfQA9AE0AXwB7AHYAbwBsAH0AXABcAHQAaQBtAGUAcwAgAEUARgBfAHsATgAyAE8AfQBcAFwAdABpAG0AZQBzACAAQwBfAHsATgAyAE8AfQBcAFwAdABpAG0AZQBzACAAMQAwAF4AewAtADMAfQBcAG4ATQBfAHYAbwBsACAAPQAgAG0AYQBzAHMAIABvAGYAIABuAGkAdAByAG8AZwBlAG4AIAB2AG8AbABhAHQAaQBsAGkAcwBlAGQAIABmAHIAbwBtACAAdQByAGkAbgBlACAAYQBuAGQAIABmAGEAZQBjAGUAcwAgAGQAZQBwAG8AcwBpAHQAZQBkACAAbwBuACAAcABhAHMAdAB1AHIAZQAgACgAawBnACAATgApAFwAbgBFAEYAXwBOADIATwAgAD0AIABuAGkAdAByAG8AdQBzACAAbwB4AGkAZABlACAAZQBtAGkAcwBzAGkAbwBuACAAZgBhAGMAdABvAHIAIABmAG8AcgAgAGEAdABtAG8AcwBwAGgAZQByAGkAYwAgAGQAZQBwAG8AcwBpAHQAaQBvAG4AIAAoAGsAZwAgAE4AMgBPAC0ATgAvAGsAZwAgAE4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yAF8AMQBfADUAXwBfADEAXwBBAHQAbQBvAHMAcABoAGUAcgBpAGMARABlAHAAbwBzAGkAdABpAG8AbgBFAG0AaQBzAHMAaQBvAG4AcwBGAHIAbwBtAFUAcgBpAG4AZQBBAG4AZABEAHUAbgBnAE8AbgBQAGEAcwB0AHUAcgBlAFwAbgAgACAAPQBMAEEATQBCAEQAQQAoAFwAbgAgACAAIAAgAE0AXwB2AG8AbAAsACAARQBGAF8ATgAyAE8ALAAgAEMAXwBOADIATwAsAFwAbgAgACAAIAAgAE0AXwB2AG8AbAAgACoAIABFAEYAXwBOADIATwAgACoAIABDAF8ATgAyAE8AIAAqACAAMQAwACAAXgAgAC0AMwBcAG4AIAAgACkAOwBcAG4AXABuAFYARQBFAFIARwBfADQAXwAyAF8AMQBfADUAXwBfADEAXwBBAHQAbQBvAHMAcABoAGUAcgBpAGMARABlAHAAbwBzAGkAdABpAG8AbgBFAG0AaQBzAHMAaQBvAG4AcwBGAHIAbwBtAFUAcgBpAG4AZQBBAG4AZABEAHUAbgBnAE8AbgBQAGEAcwB0AHUAcgBlAF8AVABpAHQAbABlAFwAbgAgACAAPQBMAEEATQBCAEQAQQAoAFwAIgBBAHQAbQBvAHMAcABoAGUAcgBpAGMAIABkAGUAcABvAHMAaQB0AGkAbwBuACAAZQBtAGkAcwBzAGkAbwBuAHMAIABmAHIAbwBtACAAdQByAGkAbgBlACAAYQBuAGQAIABkAHUAbgBnACAAZABlAHAAbwBzAGkAdABlAGQAIABvAG4AIABwAGEAcwB0AHUAcgBlAFwAIgApADsAXABuAFwAbgBWAEUARQBSAEcAXwA0AF8AMgBfADEAXwA1AF8AXwAxAF8AQQB0AG0AbwBzAHAAaABlAHIAaQBjAEQAZQBwAG8AcwBpAHQAaQBvAG4ARQBtAGkAcwBzAGkAbwBuAHMARgByAG8AbQBVAHIAaQBuAGUAQQBuAGQARAB1AG4AZwBPAG4AUABhAHMAdAB1AHIAZQBfAFYAYQByAGkAYQBiAGwAZQBcAG4AIAAgAD0ATABBAE0AQgBEAEEAKABcACIARQBfAE4AMgBPAGEAZABcACIAKQA7AFwAbgBcAG4AVgBFAEUAUgBHAF8ANABfADIAXwAxAF8ANQBfAF8AMQBfAEEAdABtAG8AcwBwAGgAZQByAGkAYwBEAGUAcABvAHMAaQB0AGkAbwBuAEUAbQBpAHMAcwBpAG8AbgBzAEYAcgBvAG0AVQByAGkAbgBlAEEAbgBkAEQAdQBuAGcATwBuAFAAYQBzAHQAdQByAGUAXwBVAG4AaQB0AFwAbgAgACAAPQBMAEEATQBCAEQAQQAoAFwAIgB0ACAATgAyAE8AXAAiACkAOwBcAG4AXABuAFYARQBFAFIARwBfADQAXwAyAF8AMQBfADUAXwBfADEAXwBBAHQAbQBvAHMAcABoAGUAcgBpAGMARABlAHAAbwBzAGkAdABpAG8AbgBFAG0AaQBzAHMAaQBvAG4AcwBGAHIAbwBtAFUAcgBpAG4AZQBBAG4AZABEAHUAbgBnAE8AbgBQAGEAcwB0AHUAcgBlAF8AUwBvAHUAcgBjAGUAXABuACAAIAA9AEwAQQBNAEIARABBACgAXAAiAFYARQBFAFIARwAgADIAMAAyADYAOgAgADQALgAyAC4AMQAuADUALAAgAEUAcQB1AGEAdABpAG8AbgAgACgAMQApAFwAIgApADsAXABuAFwAbgBWAEUARQBSAEcAXwA0AF8AMgBfADEAXwA1AF8AXwAxAF8AQQB0AG0AbwBzAHAAaABlAHIAaQBjAEQAZQBwAG8AcwBpAHQAaQBvAG4ARQBtAGkAcwBzAGkAbwBuAHMARgByAG8AbQBVAHIAaQBuAGUAQQBuAGQARAB1AG4AZwBPAG4AUABhAHMAdAB1AHIAZQBfAE4ASQBSAFIAZQBmAGUAcgBlAG4AYwBlAFwAbgAgACAAPQBMAEEATQBCAEQAQQAoAFwAIgBcACIAKQA7AFwAbgBcAG4AVgBFAEUAUgBHAF8ANABfADIAXwAxAF8ANQBfAF8AMQBfAEEAdABtAG8AcwBwAGgAZQByAGkAYwBEAGUAcABvAHMAaQB0AGkAbwBuAEUAbQBpAHMAcwBpAG8AbgBzAEYAcgBvAG0AVQByAGkAbgBlAEEAbgBkAEQAdQBuAGcATwBuAFAAYQBzAHQAdQByAGUAXwBMAGEAdABlAHgARQBxAHUAYQB0AGkAbwBuAFwAbgAgACAAPQBMAEEATQBCAEQAQQAoAFwAIgBFAF8AewBOADIATwAsAGEAZAB9AD0ATQBfAHsAdgBvAGwAfQBcAFwAdABpAG0AZQBzACAARQBGAF8AewBOADIATwB9AFwAXAB0AGkAbQBlAHMAIABDAF8AewBOADIATwB9AFwAXAB0AGkAbQBlAHMAIAAxADAAXgB7AC0AMwB9AFwAIgApADsAXABuAFwAbgBWAEUARQBSAEcAXwA0AF8AMgBfADEAXwA1AF8AXwAxAF8AQQB0AG0AbwBzAHAAaABlAHIAaQBjAEQAZQBwAG8AcwBpAHQAaQBvAG4ARQBtAGkAcwBzAGkAbwBuAHMARgByAG8AbQBVAHIAaQBuAGUAQQBuAGQARAB1AG4AZwBPAG4AUABhAHMAdAB1AHIAZQBfAEEAcgBnAHUAbQBlAG4AdABzAFwAbgAgACAAPQBMAEEATQBCAEQAQQAoAFwAbgAgACAAIAAgAE0AQQBLAEUAQQBSAFIAQQBZACgANgAsACAANAAsAFwAbgAgACAAIAAgACAAIABMAEEATQBCAEQAQQAoAHIALABjACwAXABuACAAIAAgACAAIAAgACAAIABJAE4ARABFAFgAKAB7AFwAbgAgACAAIAAgACAAIAAgACAAIAAgAFwAIgBNAF8AdgBvAGwAXAAiACwAIABcACIAbQBhAHMAcwAgAG8AZgAgAG4AaQB0AHIAbwBnAGUAbgAgAHYAbwBsAGEAdABpAGwAaQBzAGUAZAAgAGYAcgBvAG0AIAB1AHIAaQBuAGUAIABhAG4AZAAgAGYAYQBlAGMAZQBzACAAZABlAHAAbwBzAGkAdABlAGQAIABvAG4AIABwAGEAcwB0AHUAcgBlAFwAIgAsACAAXAAiAGsAZwAgAE4AXAAiACwAIABcACIAQwBhAGwAYwB1AGwAYQB0AGUAZAAgAGYAcgBvAG0AIAA0AC4AMgAuADEALgA1ACAAKAAyACkAXAAiADsAXABuACAAIAAgACAAIAAgACAAIAAgACAAXAAiAEUARgBfAE4AMgBPAFwAIgAsACAAXAAiAG4AaQB0AHIAbwB1AHMAIABvAHgAaQBkAGUAIABlAG0AaQBzAHMAaQBvAG4AIABmAGEAYwB0AG8AcgAgAGYAbwByACAAYQB0AG0AbwBzAHAAaABlAHIAaQBjACAAZABlAHAAbwBzAGkAdABpAG8Abg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FwAIgAsACAAXAAiAEMAbwBuAHMAdABhAG4AdABcACIAOwBcAG4AIAAgACAAIAAgACAAIAAgACAAIABcACIAagBcACIALAAgAFwAIgBwAHIAbwBkAHUAYwB0AGkAbwBuACAAcwB5AHMAdABlAG0AXAAiACwAIABcACIAXAAiACwAIABcACIASQBuAHAAdQB0AFwAIgA7AFwAbgAgACAAIAAgACAAIAAgACAAIAAgAFwAIgBpAFwAIgAsACAAXAAiAGkAcgByAGkAZwBhAHQAaQBvAG4AIABtAGUAdABoAG8AZABcACIALAAgAFwAIgBcACIALAAgAFwAIgBJAG4AcAB1AHQAXAAiADsAXABuACAAIAAgACAAIAAgACAAIAAgACAAXAAiAHIAXAAiACwAIABcACIAcgBhAGkAbgBmAGEAbABsACAAegBvAG4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NQBfAF8AMgBfAE0AYQBzAHMATwBmAE4AaQB0AHIAbwBnAGUAbgBWAG8AbABhAHQAaQBsAGkAcwBlAGQATwBuAFAAYQBzAHQAdQByAGUAXABuAE0AYQBzAHMAIABvAGYAIABuAGkAdAByAG8AZwBlAG4AIAB2AG8AbABhAHQAaQBsAGkAcwBlAGQAXABuAE0AXwB2AG8AbABcAG4AawBnACAATgBcAG4ATQBfAHsAdgBvAGwAfQA9AEEARQBcAFwAdABpAG0AZQBzACAARgByAGEAYwBHAEEAUwBNAHMAbwBpAGwAXABuAEEARQAgAD0AIAB0AG8AdABhAGwAIABtAGEAcwBzACAAbwBmACAAbgBpAHQAcgBvAGcAZQBuACAAZQB4AGMAcgBlAHQAZQBkACAAbwBuACAAUABSAFAAIABmAG8AcgAgAGIAZQBlAGYAIABjAGEAdAB0AGwAZQAgACgAawBnACAATgApAFwAbgBGAHIAYQBjAEcAQQBTAE0AcwBvAGkAbAAgAD0AIABmAHIAYQBjAHQAaQBvAG4AIABvAGYAIABuAGkAdAByAG8AZwBlAG4AIAB2AG8AbABhAHQAaQBsAGkAcwBlAGQAIABmAHIAbwBtACAAdQByAGkAbgBlACAAYQBuAGQAIABmAGEAZQBjAGUAcwAgAGQAZQBwAG8AcwBpAHQAZQBkACAAbwBuACAAcABhAHMAdAB1AHIAZQAgACgAKABrAGcAIABOAEgAMwAtAE4AIAArACAATgBPAHgALQBOACkALwBrAGcAIABOACkAXABuAC0ALQAtAC0ALQAtAC0ALQAtAC0ALQAtAC0ALQAtAC0ALQAtAC0ALQAtAC0ALQAtAC0ALQAtAC0ALQAtAC0ALQAtAC0ALQAtAC0ALQBcAG4AKgAvAFwAbgBcAG4AVgBFAEUAUgBHAF8ANABfADIAXwAxAF8ANQBfAF8AMgBfAE0AYQBzAHMATwBmAE4AaQB0AHIAbwBnAGUAbgBWAG8AbABhAHQAaQBsAGkAcwBlAGQATwBuAFAAYQBzAHQAdQByAGUAXABuACAAIAA9AEwAQQBNAEIARABBACgAXABuACAAIAAgACAAQQBFACwAIABGAHIAYQBjAEcAQQBTAE0AcwBvAGkAbAAsAFwAbgAgACAAIAAgAEEARQAgACoAIABGAHIAYQBjAEcAQQBTAE0AcwBvAGkAbABcAG4AIAAgACkAOwBcAG4AXABuAFYARQBFAFIARwBfADQAXwAyAF8AMQBfADUAXwBfADIAXwBNAGEAcwBzAE8AZgBOAGkAdAByAG8AZwBlAG4AVgBvAGwAYQB0AGkAbABpAHMAZQBkAE8AbgBQAGEAcwB0AHUAcgBlAF8AVABpAHQAbABlAFwAbgAgACAAPQBMAEEATQBCAEQAQQAoAFwAIgBNAGEAcwBzACAAbwBmACAAbgBpAHQAcgBvAGcAZQBuACAAdgBvAGwAYQB0AGkAbABpAHMAZQBkAFwAIgApADsAXABuAFwAbgBWAEUARQBSAEcAXwA0AF8AMgBfADEAXwA1AF8AXwAyAF8ATQBhAHMAcwBPAGYATgBpAHQAcgBvAGcAZQBuAFYAbwBsAGEAdABpAGwAaQBzAGUAZABPAG4AUABhAHMAdAB1AHIAZQBfAFYAYQByAGkAYQBiAGwAZQBcAG4AIAAgAD0ATABBAE0AQgBEAEEAKABcACIATQBfAHYAbwBsAFwAIgApADsAXABuAFwAbgBWAEUARQBSAEcAXwA0AF8AMgBfADEAXwA1AF8AXwAyAF8ATQBhAHMAcwBPAGYATgBpAHQAcgBvAGcAZQBuAFYAbwBsAGEAdABpAGwAaQBzAGUAZABPAG4AUABhAHMAdAB1AHIAZQBfAFUAbgBpAHQAXABuACAAIAA9AEwAQQBNAEIARABBACgAXAAiAGsAZwAgAE4AXAAiACkAOwBcAG4AXABuAFYARQBFAFIARwBfADQAXwAyAF8AMQBfADUAXwBfADIAXwBNAGEAcwBzAE8AZgBOAGkAdAByAG8AZwBlAG4AVgBvAGwAYQB0AGkAbABpAHMAZQBkAE8AbgBQAGEAcwB0AHUAcgBlAF8AUwBvAHUAcgBjAGUAXABuACAAIAA9AEwAQQBNAEIARABBACgAXAAiAFYARQBFAFIARwAgADIAMAAyADYAOgAgADQALgAyAC4AMQAuADUALAAgAEUAcQB1AGEAdABpAG8AbgAgACgAMgApAFwAIgApADsAXABuAFwAbgBWAEUARQBSAEcAXwA0AF8AMgBfADEAXwA1AF8AXwAyAF8ATQBhAHMAcwBPAGYATgBpAHQAcgBvAGcAZQBuAFYAbwBsAGEAdABpAGwAaQBzAGUAZABPAG4AUABhAHMAdAB1AHIAZQBfAE4ASQBSAFIAZQBmAGUAcgBlAG4AYwBlAFwAbgAgACAAPQBMAEEATQBCAEQAQQAoAFwAIgBcACIAKQA7AFwAbgBcAG4AVgBFAEUAUgBHAF8ANABfADIAXwAxAF8ANQBfAF8AMgBfAE0AYQBzAHMATwBmAE4AaQB0AHIAbwBnAGUAbgBWAG8AbABhAHQAaQBsAGkAcwBlAGQATwBuAFAAYQBzAHQAdQByAGUAXwBMAGEAdABlAHgARQBxAHUAYQB0AGkAbwBuAFwAbgAgACAAPQBMAEEATQBCAEQAQQAoAFwAIgBNAF8AewB2AG8AbAB9AD0AQQBFAFwAXAB0AGkAbQBlAHMAIABGAHIAYQBjAEcAQQBTAE0AcwBvAGkAbABcACIAKQA7AFwAbgBcAG4AVgBFAEUAUgBHAF8ANABfADIAXwAxAF8ANQBfAF8AMgBfAE0AYQBzAHMATwBmAE4AaQB0AHIAbwBnAGUAbgBWAG8AbABhAHQAaQBsAGkAcwBlAGQATwBuAFAAYQBzAHQAdQByAGUAXwBBAHIAZwB1AG0AZQBuAHQAcwBcAG4AIAAgAD0ATABBAE0AQgBEAEEAKABcAG4AIAAgACAAIABNAEEASwBFAEEAUgBSAEEAWQAoADIALAAgADQALABcAG4AIAAgACAAIAAgACAATABBAE0AQgBEAEEAKAByACwAYwAsAFwAbgAgACAAIAAgACAAIAAgACAASQBOAEQARQBYACgAewBcAG4AIAAgACAAIAAgACAAIAAgACAAIABcACIAQQBFAFwAIgAsACAAXAAiAHQAbwB0AGEAbAAgAG0AYQBzAHMAIABvAGYAIABuAGkAdAByAG8AZwBlAG4AIABlAHgAYwByAGUAdABlAGQAIABvAG4AIABQAFIAUAAgAGYAbwByACAAYgBlAGUAZgAgAGMAYQB0AHQAbABlAFwAIgAsACAAXAAiAGsAZwAgAE4AXAAiACwAIABcACIAQwBhAGwAYwB1AGwAYQB0AGUAZAAgAGYAcgBvAG0AIAA0AC4AMgAuADEALgAzACAAKAAyACkAXAAiADsAXABuACAAIAAgACAAIAAgACAAIAAgACAAXAAiAEYAcgBhAGMARwBBAFMATQBzAG8AaQBsAFwAIgAsACAAXAAiAGYAcgBhAGMAdABpAG8AbgAgAG8AZgAgAG4AaQB0AHIAbwBnAGUAbgAgAHYAbwBsAGEAdABpAGwAaQBzAGUAZAAgAGYAcgBvAG0AIAB1AHIAaQBuAGUAIABhAG4AZAAgAGYAYQBlAGMAZQBzACAAZABlAHAAbwBzAGkAdABlAGQAIABvAG4AIABwAGEAcwB0AHUAcgBlACAAKAAoAGsAZwAgAE4ASAAzAC0ATgAgACsAIABOAE8AeAAtAE4AKQAvAGsAZwAgAE4AKQBcACIALAAgAFwAIgBmAHIAYQBjAHQAaQBvAG4AXAAiACwAIABcACIAQwBvAG4AcwB0AGEAbgB0AFwAIgBcAG4AIAAgACAAIAAgACAAIAAgAH0ALAAgAHIALAAgAGMAKQBcAG4AIAAgACAAIAAgACAAKQBcAG4AIAAgACAAIAApAFwAbgAgACAAKQA7AFwAbgAiAH0ALAB7ACIAcABhAHQAaAAiADoAIgAvAHAAcgBvAGoAZQBjAHQAcwAvAE0ATQBTAF8AUABhAHMAdAB1AHIAZQBCAGUAZQBmAF8AUwBvAGkAbABfAEwAZQBhAGMAaABpAG4AZwBBAG4AZABSAHUAbgBvAGYAZg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3ACAATQBlAHQAaABvAGQAIAAxACAALQAgAFMAbwBpAGwAIABMAGUAYQBjAGgAaQBuAGcAIABBAG4AZAAgAFIAdQBuAG8AZgBm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cAXwBfADEAXwBMAGUAYQBjAGgAaQBuAGcAQQBuAGQAUgB1AG4AbwBmAGYARQBtAGkAcwBzAGkAbwBuAHMARgByAG8AbQBVAHIAaQBuAGUAQQBuAGQARAB1AG4AZwBPAG4AUABhAHMAdAB1AHIAZQBcAG4ATABlAGEAYwBoAGkAbgBnACAAYQBuAGQAIAByAHUAbgBvAGYAZgAgAGUAbQBpAHMAcwBpAG8AbgBzACAAZgByAG8AbQAgAHUAcgBpAG4AZQAgAGEAbgBkACAAZAB1AG4AZwAgAGQAZQBwAG8AcwBpAHQAZQBkACAAbwBuACAAcABhAHMAdAB1AHIAZQBcAG4ARQBfAE4AMgBPAGwAZQBhAGMAaABcAG4AdAAgAE4AMgBPAFwAbgBFAF8AewBOADIATwAsAGwAZQBhAGMAaAB9AD0ATQBfAHsAbABlAGEAYwBoAH0AXAB0AGkAbQBlAHMAIABFAEYAXwB7AGwAZQBhAGMAaAB9AFwAdABpAG0AZQBzACAAQwBfAHsATgAyAE8AfQBcAHQAaQBtAGUAcwAgADEAMABeAHsALQAzAH0AXABuAE0AXwBsAGUAYQBjAGgAIAA9ACAAbQBhAHMAcwAgAG8AZgAgAG4AaQB0AHIAbwBnAGUAbgAgAGwAbwBzAHQAIAB0AG8AIABsAGUAYQBjAGgAaQBuAGcAIABhAG4AZAAgAHIAdQBuAG8AZgBmACAAKABrAGcAIABOACkAXABuAEUARgBfAGwAZQBhAGMAaAAgAD0AIABlAG0AaQBzAHMAaQBvAG4AIABmAGEAYwB0AG8AcgAgAGYAbwByACAAbABlAGEAYwBoAGkAbgBnACAAYQBuAGQAIAByAHUAbgBvAGYAZ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IAXwAxAF8ANwBfAF8AMQBfAEwAZQBhAGMAaABpAG4AZwBBAG4AZABSAHUAbgBvAGYAZgBFAG0AaQBzAHMAaQBvAG4AcwBGAHIAbwBtAFUAcgBpAG4AZQBBAG4AZABEAHUAbgBnAE8AbgBQAGEAcwB0AHUAcgBlAFwAbgAgACAAPQBMAEEATQBCAEQAQQAoAFwAbgAgACAAIAAgAE0AXwBsAGUAYQBjAGgALAAgAEUARgBfAGwAZQBhAGMAaAAsACAAQwBfAE4AMgBPACwAXABuACAAIAAgACAATQBfAGwAZQBhAGMAaAAgACoAIABFAEYAXwBsAGUAYQBjAGgAIAAqACAAQwBfAE4AMgBPACAAKgAgADEAMAAgAF4AIAAtADMAXABuACAAIAApADsAXABuAFwAbgBWAEUARQBSAEcAXwA0AF8AMgBfADEAXwA3AF8AXwAxAF8ATABlAGEAYwBoAGkAbgBnAEEAbgBkAFIAdQBuAG8AZgBmAEUAbQBpAHMAcwBpAG8AbgBzAEYAcgBvAG0AVQByAGkAbgBlAEEAbgBkAEQAdQBuAGcATwBuAFAAYQBzAHQAdQByAGUAXwBUAGkAdABsAGUAXABuACAAIAA9AEwAQQBNAEIARABBACgAXAAiAEwAZQBhAGMAaABpAG4AZwAgAGEAbgBkACAAcgB1AG4AbwBmAGYAIABlAG0AaQBzAHMAaQBvAG4AcwAgAGYAcgBvAG0AIAB1AHIAaQBuAGUAIABhAG4AZAAgAGQAdQBuAGcAIABkAGUAcABvAHMAaQB0AGUAZAAgAG8AbgAgAHAAYQBzAHQAdQByAGUAXAAiACkAOwBcAG4AXABuAFYARQBFAFIARwBfADQAXwAyAF8AMQBfADcAXwBfADEAXwBMAGUAYQBjAGgAaQBuAGcAQQBuAGQAUgB1AG4AbwBmAGYARQBtAGkAcwBzAGkAbwBuAHMARgByAG8AbQBVAHIAaQBuAGUAQQBuAGQARAB1AG4AZwBPAG4AUABhAHMAdAB1AHIAZQBfAFYAYQByAGkAYQBiAGwAZQBcAG4AIAAgAD0ATABBAE0AQgBEAEEAKABcACIARQBfAE4AMgBPAGwAZQBhAGMAaABcACIAKQA7AFwAbgBcAG4AVgBFAEUAUgBHAF8ANABfADIAXwAxAF8ANwBfAF8AMQBfAEwAZQBhAGMAaABpAG4AZwBBAG4AZABSAHUAbgBvAGYAZgBFAG0AaQBzAHMAaQBvAG4AcwBGAHIAbwBtAFUAcgBpAG4AZQBBAG4AZABEAHUAbgBnAE8AbgBQAGEAcwB0AHUAcgBlAF8AVQBuAGkAdABcAG4AIAAgAD0ATABBAE0AQgBEAEEAKABcACIAdAAgAE4AMgBPAFwAIgApADsAXABuAFwAbgBWAEUARQBSAEcAXwA0AF8AMgBfADEAXwA3AF8AXwAxAF8ATABlAGEAYwBoAGkAbgBnAEEAbgBkAFIAdQBuAG8AZgBmAEUAbQBpAHMAcwBpAG8AbgBzAEYAcgBvAG0AVQByAGkAbgBlAEEAbgBkAEQAdQBuAGcATwBuAFAAYQBzAHQAdQByAGUAXwBTAG8AdQByAGMAZQBcAG4AIAAgAD0ATABBAE0AQgBEAEEAKABcACIAVgBFAEUAUgBHACAAMgAwADIANgA6ACAANAAuADIALgAxAC4ANwAsACAARQBxAHUAYQB0AGkAbwBuACAAKAAxACkAXAAiACkAOwBcAG4AXABuAFYARQBFAFIARwBfADQAXwAyAF8AMQBfADcAXwBfADEAXwBMAGUAYQBjAGgAaQBuAGcAQQBuAGQAUgB1AG4AbwBmAGYARQBtAGkAcwBzAGkAbwBuAHMARgByAG8AbQBVAHIAaQBuAGUAQQBuAGQARAB1AG4AZwBPAG4AUABhAHMAdAB1AHIAZQBfAE4ASQBSAFIAZQBmAGUAcgBlAG4AYwBlAFwAbgAgACAAPQBMAEEATQBCAEQAQQAoAFwAIgBcACIAKQA7AFwAbgBcAG4AVgBFAEUAUgBHAF8ANABfADIAXwAxAF8ANwBfAF8AMQBfAEwAZQBhAGMAaABpAG4AZwBBAG4AZABSAHUAbgBvAGYAZgBFAG0AaQBzAHMAaQBvAG4AcwBGAHIAbwBtAFUAcgBpAG4AZQBBAG4AZABEAHUAbgBnAE8AbgBQAGEAcwB0AHUAcgBlAF8ATABhAHQAZQB4AEUAcQB1AGEAdABpAG8AbgBcAG4AIAAgAD0ATABBAE0AQgBEAEEAKABcACIARQBfAHsATgAyAE8ALABsAGUAYQBjAGgAfQA9AE0AXwB7AGwAZQBhAGMAaAB9AFwAXAB0AGkAbQBlAHMAIABFAEYAXwB7AGwAZQBhAGMAaAB9AFwAXAB0AGkAbQBlAHMAIABDAF8AewBOADIATwB9AFwAXAB0AGkAbQBlAHMAIAAxADAAXgB7AC0AMwB9AFwAIgApADsAXABuAFwAbgBWAEUARQBSAEcAXwA0AF8AMgBfADEAXwA3AF8AXwAxAF8ATABlAGEAYwBoAGkAbgBnAEEAbgBkAFIAdQBuAG8AZgBmAEUAbQBpAHMAcwBpAG8AbgBzAEYAcgBvAG0AVQByAGkAbgBlAEEAbgBkAEQAdQBuAGcATwBuAFAAYQBzAHQAdQByAGUAXwBBAHIAZwB1AG0AZQBuAHQAcwBcAG4AIAAgAD0ATABBAE0AQgBEAEEAKABcAG4AIAAgACAAIABNAEEASwBFAEEAUgBSAEEAWQAoADMALAAgADQALABcAG4AIAAgACAAIAAgACAATABBAE0AQgBEAEEAKAByACwAYwAsAFwAbgAgACAAIAAgACAAIAAgACAASQBOAEQARQBYACgAewBcAG4AIAAgACAAIAAgACAAIAAgACAAIABcACIATQBfAGwAZQBhAGMAaABcACIALAAgAFwAIgBtAGEAcwBzACAAbwBmACAAbgBpAHQAcgBvAGcAZQBuACAAbABvAHMAdAAgAHQAbwAgAGwAZQBhAGMAaABpAG4AZwAgAGEAbgBkACAAcgB1AG4AbwBmAGYAXAAiACwAIABcACIAawBnACAATgBcACIALAAgAFwAIgBDAGEAbABjAHUAbABhAHQAZQBkACAAZgByAG8AbQAgADQALgAyAC4AMQAuADcAIAAoADIAKQBcACIAOwBcAG4AIAAgACAAIAAgACAAIAAgACAAIABcACIARQBGAF8AbABlAGEAYwBoAFwAIgAsACAAXAAiAGUAbQBpAHMAcwBpAG8AbgAgAGYAYQBjAHQAbwByACAAZgBvAHIAIABsAGUAYQBjAGgAaQBuAGcAIABhAG4AZAAgAHIAdQBuAG8AZgBmAFwAIgAsACAAXAAiAGsAZwAgAE4AMgBPAC0ATgAvAGsAZwAgAE4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yAF8AMQBfADcAXwBfADIAXwBNAGEAcwBzAE8AZgBOAGkAdAByAG8AZwBlAG4ATABvAHMAdABUAG8ATABlAGEAYwBoAGkAbgBnAEEAbgBkAFIAdQBuAG8AZgBmAE8AbgBQAGEAcwB0AHUAcgBlAFwAbgBNAGEAcwBzACAAbwBmACAAbgBpAHQAcgBvAGcAZQBuACAAbABvAHMAdAAgAHQAbwAgAGwAZQBhAGMAaABpAG4AZwAgAGEAbgBkACAAcgB1AG4AbwBmAGYAXABuAE0AXwBsAGUAYQBjAGgAXABuAGsAZwAgAE4AXABuAE0AXwB7AGwAZQBhAGMAaAB9AD0AQQBFAFwAXAB0AGkAbQBlAHMAIABGAHIAYQBjAFcAZQB0AFwAXAB0AGkAbQBlAHMAIABGAHIAYQBjAEwARQBBAEMASABcAG4AQQBFACAAPQAgAHQAbwB0AGEAbAAgAG0AYQBzAHMAIABvAGYAIABuAGkAdAByAG8AZwBlAG4AIABlAHgAYwByAGUAdABlAGQAIABvAG4AIABQAFIAUAAgAGYAbwByACAAYgBlAGUAZgAgAGMAYQB0AHQAbABlACAAKABrAGcAIABOACkAXABuAEYAcgBhAGMAVwBlAHQAIAA9ACAAZgByAGEAYwB0AGkAbwBuACAAbwBmACAATgAgAGEAdgBhAGkAbABhAGIAbABlACAAZgBvAHIAIABsAGUAYQBjAGgAaQBuAGcAIABhAG4AZAAgAHIAdQBuAG8AZgBmAFwAbgBGAHIAYQBjAEwARQBBAEMASAAgAD0AIABmAHIAYQBjAHQAaQBvAG4AIABvAGYAIABhAGwAbAAgAE4AIAB0AGgAYQB0ACAAaQBzACAAbABvAHMAdAAgAHQAaAByAG8AdQBnAGgAIABsAGUAYQBjAGgAaQBuAGcAIABhAG4AZAAgAHIAdQBuAG8AZgBmAFwAbgAtAC0ALQAtAC0ALQAtAC0ALQAtAC0ALQAtAC0ALQAtAC0ALQAtAC0ALQAtAC0ALQAtAC0ALQAtAC0ALQAtAC0ALQAtAC0ALQAtAC0AXABuACoALwBcAG4AXABuAFYARQBFAFIARwBfADQAXwAyAF8AMQBfADcAXwBfADIAXwBNAGEAcwBzAE8AZgBOAGkAdAByAG8AZwBlAG4ATABvAHMAdABUAG8ATABlAGEAYwBoAGkAbgBnAEEAbgBkAFIAdQBuAG8AZgBmAE8AbgBQAGEAcwB0AHUAcgBlAFwAbgAgACAAPQBMAEEATQBCAEQAQQAoAFwAbgAgACAAIAAgAEEARQAsACAARgByAGEAYwBXAGUAdAAsACAARgByAGEAYwBMAEUAQQBDAEgALABcAG4AIAAgACAAIABBAEUAIAAqACAARgByAGEAYwBXAGUAdAAgACoAIABGAHIAYQBjAEwARQBBAEMASABcAG4AIAAgACkAOwBcAG4AXABuAFYARQBFAFIARwBfADQAXwAyAF8AMQBfADcAXwBfADIAXwBNAGEAcwBzAE8AZgBOAGkAdAByAG8AZwBlAG4ATABvAHMAdABUAG8ATABlAGEAYwBoAGkAbgBnAEEAbgBkAFIAdQBuAG8AZgBmAE8AbgBQAGEAcwB0AHUAcgBlAF8AVABpAHQAbABlAFwAbgAgACAAPQBMAEEATQBCAEQAQQAoAFwAIgBNAGEAcwBzACAAbwBmACAAbgBpAHQAcgBvAGcAZQBuACAAbABvAHMAdAAgAHQAbwAgAGwAZQBhAGMAaABpAG4AZwAgAGEAbgBkACAAcgB1AG4AbwBmAGYAXAAiACkAOwBcAG4AXABuAFYARQBFAFIARwBfADQAXwAyAF8AMQBfADcAXwBfADIAXwBNAGEAcwBzAE8AZgBOAGkAdAByAG8AZwBlAG4ATABvAHMAdABUAG8ATABlAGEAYwBoAGkAbgBnAEEAbgBkAFIAdQBuAG8AZgBmAE8AbgBQAGEAcwB0AHUAcgBlAF8AVgBhAHIAaQBhAGIAbABlAFwAbgAgACAAPQBMAEEATQBCAEQAQQAoAFwAIgBNAF8AbABlAGEAYwBoAFwAIgApADsAXABuAFwAbgBWAEUARQBSAEcAXwA0AF8AMgBfADEAXwA3AF8AXwAyAF8ATQBhAHMAcwBPAGYATgBpAHQAcgBvAGcAZQBuAEwAbwBzAHQAVABvAEwAZQBhAGMAaABpAG4AZwBBAG4AZABSAHUAbgBvAGYAZgBPAG4AUABhAHMAdAB1AHIAZQBfAFUAbgBpAHQAXABuACAAIAA9AEwAQQBNAEIARABBACgAXAAiAGsAZwAgAE4AXAAiACkAOwBcAG4AXABuAFYARQBFAFIARwBfADQAXwAyAF8AMQBfADcAXwBfADIAXwBNAGEAcwBzAE8AZgBOAGkAdAByAG8AZwBlAG4ATABvAHMAdABUAG8ATABlAGEAYwBoAGkAbgBnAEEAbgBkAFIAdQBuAG8AZgBmAE8AbgBQAGEAcwB0AHUAcgBlAF8AUwBvAHUAcgBjAGUAXABuACAAIAA9AEwAQQBNAEIARABBACgAXAAiAFYARQBFAFIARwAgADIAMAAyADYAOgAgADQALgAyAC4AMQAuADcALAAgAEUAcQB1AGEAdABpAG8AbgAgACgAMgApAFwAIgApADsAXABuAFwAbgBWAEUARQBSAEcAXwA0AF8AMgBfADEAXwA3AF8AXwAyAF8ATQBhAHMAcwBPAGYATgBpAHQAcgBvAGcAZQBuAEwAbwBzAHQAVABvAEwAZQBhAGMAaABpAG4AZwBBAG4AZABSAHUAbgBvAGYAZgBPAG4AUABhAHMAdAB1AHIAZQBfAE4ASQBSAFIAZQBmAGUAcgBlAG4AYwBlAFwAbgAgACAAPQBMAEEATQBCAEQAQQAoAFwAIgBcACIAKQA7AFwAbgBcAG4AVgBFAEUAUgBHAF8ANABfADIAXwAxAF8ANwBfAF8AMgBfAE0AYQBzAHMATwBmAE4AaQB0AHIAbwBnAGUAbgBMAG8AcwB0AFQAbwBMAGUAYQBjAGgAaQBuAGcAQQBuAGQAUgB1AG4AbwBmAGYATwBuAFAAYQBzAHQAdQByAGUAXwBMAGEAdABlAHgARQBxAHUAYQB0AGkAbwBuAFwAbgAgACAAPQBMAEEATQBCAEQAQQAoAFwAIgBNAF8AewBsAGUAYQBjAGgAfQA9AEEARQBcAFwAdABpAG0AZQBzACAARgByAGEAYwBXAGUAdABcAFwAdABpAG0AZQBzACAARgByAGEAYwBMAEUAQQBDAEgAXAAiACkAOwBcAG4AXABuAFYARQBFAFIARwBfADQAXwAyAF8AMQBfADcAXwBfADIAXwBNAGEAcwBzAE8AZgBOAGkAdAByAG8AZwBlAG4ATABvAHMAdABUAG8ATABlAGEAYwBoAGkAbgBnAEEAbgBkAFIAdQBuAG8AZgBmAE8AbgBQAGEAcwB0AHUAcgBlAF8AQQByAGcAdQBtAGUAbgB0AHMAXABuACAAIAA9AEwAQQBNAEIARABBACgAXABuACAAIAAgACAATQBBAEsARQBBAFIAUgBBAFkAKAA2ACwAIAA0ACwAXABuACAAIAAgACAAIAAgAEwAQQBNAEIARABBACgAcgAsAGMALABcAG4AIAAgACAAIAAgACAAIAAgAEkATgBEAEUAWAAoAHsAXABuACAAIAAgACAAIAAgACAAIAAgACAAXAAiAEEARQBcACIALAAgAFwAIgB0AG8AdABhAGwAIABtAGEAcwBzACAAbwBmACAAbgBpAHQAcgBvAGcAZQBuACAAZQB4AGMAcgBlAHQAZQBkACAAbwBuACAAUABSAFAAIABmAG8AcgAgAGIAZQBlAGYAIABjAGEAdAB0AGwAZQBcACIALAAgAFwAIgBrAGcAIABOAFwAIgAsACAAXAAiAEMAYQBsAGMAdQBsAGEAdABlAGQAIABmAHIAbwBtACAANAAuADIALgAxAC4AMwAgACgAMgApAFwAIgA7AFwAbgAgACAAIAAgACAAIAAgACAAIAAgAFwAIgBGAHIAYQBjAFcAZQB0AFwAIgAsACAAXAAiAGYAcgBhAGMAdABpAG8AbgAgAG8AZgAgAE4AIABhAHYAYQBpAGwAYQBiAGwAZQAgAGYAbwByACAAbABlAGEAYwBoAGkAbgBnACAAYQBuAGQAIAByAHUAbgBvAGYAZgBcACIALAAgAFwAIgBmAHIAYQBjAHQAaQBvAG4AXAAiACwAIABcACIAQwBvAG4AcwB0AGEAbgB0AFwAIgA7AFwAbgAgACAAIAAgACAAIAAgACAAIAAgAFwAIgBGAHIAYQBjAEwARQBBAEMASABcACIALAAgAFwAIgBmAHIAYQBjAHQAaQBvAG4AIABvAGYAIABhAGwAbAAgAE4AIAB0AGgAYQB0ACAAaQBzACAAbABvAHMAdAAgAHQAaAByAG8AdQBnAGgAIABsAGUAYQBjAGgAaQBuAGcAIABhAG4AZAAgAHIAdQBuAG8AZgBmAFwAIgAsACAAXAAiAGYAcgBhAGMAdABpAG8AbgBcACIALAAgAFwAIgBDAG8AbgBzAHQAYQBuAHQAXAAiADsAXABuACAAIAAgACAAIAAgACAAIAAgACAAXAAiAHoAXAAiACwAIABcACIAbABvAGMAYQB0AGkAbwBuACAAaQBuACAAbABlAGEAYwBoAGkAbgBnACAAegBvAG4AZQBcACIALAAgAFwAIgBcACIALAAgAFwAIgBJAG4AcAB1AHQAXAAiADsAXABuACAAIAAgACAAIAAgACAAIAAgACAAXAAiAGoAXAAiACwAIABcACIAcAByAG8AZAB1AGMAdABpAG8AbgAgAHMAeQBzAHQAZQBtAFwAIgAsACAAXAAiAFwAIgAsACAAXAAiAEkAbgBwAHUAdABcACIAOwBcAG4AIAAgACAAIAAgACAAIAAgACAAIABcACIAaQByAFwAIgAsACAAXAAiAGkAcgByAGkAZwBhAHQAaQBvAG4AIABtAGUAdABoAG8AZABcACIALAAgAFwAIgBcACIALAAgAFwAIgBJAG4AcAB1AHQAXAAiAFwAbgAgACAAIAAgACAAIAAgACAAfQAsACAAcgAsACAAYwApAFwAbgAgACAAIAAgACAAIAApAFwAbgAgACAAIAAgACkAXABuACAAIAApADsAXABuAFwAbgAiAH0ALAB7ACIAcABhAHQAaAAiADoAIgAvAHAAcgBvAGoAZQBjAHQAcwAvAEYAZQByAHQAaQBsAGkAcwBlAHIAXwBFAHEAdQBhAHQAaQBvAG4AcwBfAEkAbgBvAHIAZwBhAG4AaQBjAE4AMgBP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QAgAEkAbgBvAHIAZwBhAG4AaQBjACAAZgBlAHIAdABpAGwAaQBzAGUAcgAgAGEAcABwAGwAaQBjAGEAdABpAG8AbgBcAG4APQA9AD0APQA9AD0APQA9AD0APQA9AD0APQA9AD0APQA9AD0APQA9AD0APQA9AD0APQA9AD0APQA9AD0APQA9AD0APQA9AD0APQA9AFwAbgAqAC8AXABuAFwAbgAvACoAIABcAG4ALQAtAC0ALQAtAC0ALQAtAC0ALQAtAC0ALQAtAC0ALQAtAC0ALQAtAC0ALQAtAC0ALQAtAC0ALQAtAC0ALQAtAC0ALQAtAC0ALQAtAFwAbgBWAEUARQBSAEcAXwA1AF8AMQBfADEAXwAxAF8AXwAxAF8ASQBuAG8AcgBnAGEAbgBpAGMARgBlAHIAdABpAGwAaQBzAGUAcgBBAHAAcABsAGkAYwBhAHQAaQBvAG4ATgAyAE8ARQBtAGkAcwBzAGkAbwBuAHMAXABuAE4AaQB0AHIAbwB1AHMAIABvAHgAaQBkAGUAIABlAG0AaQBzAHMAaQBvAG4AcwAgAGYAcgBvAG0AIAB0AGgAZQAgAGEAcABwAGwAaQBjAGEAdABpAG8AbgAgAG8AZgAgAGEAbABsACAAaQBuAG8AcgBnAGEAbgBpAGMAIABmAGUAcgB0AGkAbABpAHMAZQByACAAdAB5AHAAZQBzACAAZgAgAHQAbwAgAGEAbABsACAAcAByAG8AZAB1AGMAdABpAG8AbgAgAHMAeQBzAHQAZQBtAHMAIABqAFwAbgBFAF8ATgAyAE8AXABuAHQAIABOADIATwBcAG4AXABcAHMAdQBtAF8AewBqAH0AXABcAHMAdQBtAF8AewBmAH0AKAAoAE0ATgBfAHsAagBmAH0AXABcAHQAaQBtAGUAcwAgAEUARgBfAHsAagAsAE4AMgBPAH0AXABcAHQAaQBtAGUAcwAgAEMAXwB7AE4AMgBPAH0AKQBcAFwAdABpAG0AZQBzACAAMQAwAF4AewAtADMAfQApAFwAbgBNAE4AXwBqAGYAXABuAEUARgBfAGoATgAyAE8AXABuAEMAXwBOADIATwBcAG4AagBcAG4AZgBcAG4ALQAtAC0ALQAtAC0ALQAtAC0ALQAtAC0ALQAtAC0ALQAtAC0ALQAtAC0ALQAtAC0ALQAtAC0ALQAtAC0ALQAtAC0ALQAtAC0ALQAtAFwAbgAqAC8AXABuAFwAbgBWAEUARQBSAEcAXwA1AF8AMQBfADEAXwAxAF8AXwAxAF8ASQBuAG8AcgBnAGEAbgBpAGMARgBlAHIAdABpAGwAaQBzAGUAcgBBAHAAcABsAGkAYwBhAHQAaQBvAG4ATgAyAE8ARQBtAGkAcwBzAGkAbwBuAHMAXABuACAAIAA9AEwAQQBNAEIARABBACgAXABuACAAIAAgACAATQBOAF8AagBmACwAIABFAEYAXwBqAE4AMgBPACwAIABDAF8ATgAyAE8ALABcAG4AIAAgACAAIAAoAE0ATgBfAGoAZgAgACoAIABFAEYAXwBqAE4AMgBPACAAKgAgAEMAXwBOADIATwApACAAKgAgADEAMAAgAF4AIAAtADMAXABuACAAIAApADsAXABuAFwAbgBWAEUARQBSAEcAXwA1AF8AMQBfADEAXwAxAF8AXwAxAF8ASQBuAG8AcgBnAGEAbgBpAGMARgBlAHIAdABpAGwAaQBzAGUAcgBBAHAAcABsAGkAYwBhAHQAaQBvAG4ATgAyAE8ARQBtAGkAcwBzAGkAbwBuAHMAXwBUAGkAdABsAGUAXABuACAAIAA9AEwAQQBNAEIARABBACgAXAAiAE4AaQB0AHIAbwB1AHMAIABvAHgAaQBkAGUAIABlAG0AaQBzAHMAaQBvAG4AcwAgAGYAcgBvAG0AIAB0AGgAZQAgAGEAcABwAGwAaQBjAGEAdABpAG8AbgAgAG8AZgAgAGEAbABsACAAaQBuAG8AcgBnAGEAbgBpAGMAIABmAGUAcgB0AGkAbABpAHMAZQByACAAdAB5AHAAZQBzACAAZgAgAHQAbwAgAGEAbABsACAAcAByAG8AZAB1AGMAdABpAG8AbgAgAHMAeQBzAHQAZQBtAHMAIABqAFwAIgApADsAXABuAFwAbgBWAEUARQBSAEcAXwA1AF8AMQBfADEAXwAxAF8AXwAxAF8ASQBuAG8AcgBnAGEAbgBpAGMARgBlAHIAdABpAGwAaQBzAGUAcgBBAHAAcABsAGkAYwBhAHQAaQBvAG4ATgAyAE8ARQBtAGkAcwBzAGkAbwBuAHMAXwBWAGEAcgBpAGEAYgBsAGUAXABuACAAIAA9AEwAQQBNAEIARABBACgAXAAiAEUAXwBOADIATwBcACIAKQA7AFwAbgBcAG4AVgBFAEUAUgBHAF8ANQBfADEAXwAxAF8AMQBfAF8AMQBfAEkAbgBvAHIAZwBhAG4AaQBjAEYAZQByAHQAaQBsAGkAcwBlAHIAQQBwAHAAbABpAGMAYQB0AGkAbwBuAE4AMgBPAEUAbQBpAHMAcwBpAG8AbgBzAF8AVQBuAGkAdABcAG4AIAAgAD0ATABBAE0AQgBEAEEAKABcACIAdAAgAE4AMgBPAFwAIgApADsAXABuAFwAbgBWAEUARQBSAEcAXwA1AF8AMQBfADEAXwAxAF8AXwAxAF8ASQBuAG8AcgBnAGEAbgBpAGMARgBlAHIAdABpAGwAaQBzAGUAcgBBAHAAcABsAGkAYwBhAHQAaQBvAG4ATgAyAE8ARQBtAGkAcwBzAGkAbwBuAHMAXwBTAG8AdQByAGMAZQBcAG4AIAAgAD0ATABBAE0AQgBEAEEAKABcACIAVgBFAEUAUgBHACAAMgAwADIANgA6ACAANQAuADEALgAxAC4AMQAsACAARQBxAHUAYQB0AGkAbwBuACAAKAAxACkAXAAiACkAOwBcAG4AXABuAFYARQBFAFIARwBfADUAXwAxAF8AMQBfADEAXwBfADEAXwBJAG4AbwByAGcAYQBuAGkAYwBGAGUAcgB0AGkAbABpAHMAZQByAEEAcABwAGwAaQBjAGEAdABpAG8AbgBOADIATwBFAG0AaQBzAHMAaQBvAG4AcwBfAE4ASQBSAFIAZQBmAGUAcgBlAG4AYwBlAFwAbgAgACAAPQBMAEEATQBCAEQAQQAoAFwAIgBcACIAKQA7AFwAbgBcAG4AVgBFAEUAUgBHAF8ANQBfADEAXwAxAF8AMQBfAF8AMQBfAEkAbgBvAHIAZwBhAG4AaQBjAEYAZQByAHQAaQBsAGkAcwBlAHIAQQBwAHAAbABpAGMAYQB0AGkAbwBuAE4AMgBPAEUAbQBpAHMAcwBpAG8AbgBzAF8ATABhAHQAZQB4AEUAcQB1AGEAdABpAG8AbgBcAG4AIAAgAD0ATABBAE0AQgBEAEEAKABcACIARQBfAHsATgAyAE8AfQA9AFwAXABzAHUAbQBfAHsAagB9AFwAXABzAHUAbQBfAHsAZgB9ACgAKABNAE4AXwB7AGoAZgB9AFwAXAB0AGkAbQBlAHMAIABFAEYAXwB7AGoALABOADIATwB9AFwAXAB0AGkAbQBlAHMAIABDAF8AewBOADIATwB9ACkAXABcAHQAaQBtAGUAcwAgADEAMABeAHsALQAzAH0AKQBcACIAKQA7AFwAbgBcAG4AVgBFAEUAUgBHAF8ANQBfADEAXwAxAF8AMQBfAF8AMQBfAEkAbgBvAHIAZwBhAG4AaQBjAEYAZQByAHQAaQBsAGkAcwBlAHIAQQBwAHAAbABpAGMAYQB0AGkAbwBuAE4AMgBPAEUAbQBpAHMAcwBpAG8AbgBzAF8AQQByAGcAdQBtAGUAbgB0AHMAXABuACAAIAA9AEwAQQBNAEIARABBACgAXABuACAAIAAgACAATQBBAEsARQBBAFIAUgBBAFkAKAA3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IAB0AHkAcABlACAAZgAgAGEAcABwAGwAaQBlAGQAIAB0AG8AIABwAHIAbwBkAHUAYwB0AGkAbwBuACAAcwB5AHMAdABlAG0AIABqAFwAIgAsACAAXAAiAGsAZwAgAE4AXAAiACwAIABcACIAQwBhAGwAYwB1AGwAYQB0AGUAZAAgAGYAcgBvAG0AIAA1AC4AMQAuADEALgAxACAAKAAyACkAXAAiADsAXABuACAAIAAgACAAIAAgACAAIAAgACAAXAAiAEUARgBfAGoATgAyAE8AXAAiACwAXAAiAGUAbQBpAHMAcwBpAG8AbgAgAGYAYQBjAHQAbwByACAAZgBvAHIAIABuAGkAdAByAG8AdQBzACAAbwB4AGkAZABlACAAZgBvAHIAIABpAG4AbwByAGcAYQBuAGkAYwAgAGYAZQByAHQAaQBsAGkAcwBlAHIAcwBcACIALAAgAFwAIgBrAGcAIABOADIATwAtAE4ALwBrAGcAIABOACAAYQBwAHAAbABpAGUAZA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YAXAAiACwAXAAiAEkAbgBvAHIAZwBhAG4AaQBjACAAZgBlAHIAdABpAGwAaQBzAGUAcgAgAHQAeQBwAGUAXAAiACwAIABcACIAXAAiACwAIABcACIAQwBvAG4AcwB0AGEAbgB0AFwAIgA7AFwAbgAgACAAIAAgACAAIAAgACAAIAAgAFwAIgBpAHIAXAAiACwAIABcACIAaQByAHIAaQBnAGEAdABpAG8AbgAgAG0AZQB0AGgAbwBkAFwAIgAsACAAXAAiAFwAIgAsACAAXAAiAEkAbgBwAHUAdABcACIAOwBcAG4AIAAgACAAIAAgACAAIAAgACAAIABcACIAegBcACIALAAgAFwAIgByAGEAaQBuAGYAYQBsAGwAIAB6AG8AbgBlAFwAIgAsACAAXAAiAFwAIgAsACAAXAAiAEkAbgBwAHUAdABcACIAXABuACAAIAAgACAAIAAgACAAIAB9ACwAIAByACwAIABjACkAXABuACAAIAAgACAAIAAgACkAXABuACAAIAAgACAAKQBcAG4AIAAgACkAOwBcAG4AXABuAFYARQBFAFIARwBfADUAXwAxAF8AMQBfADEAXwBfADEAXwBJAG4AbwByAGcAYQBuAGkAYwBGAGUAcgB0AGkAbABpAHMAZQByAEEAcABwAGwAaQBjAGEAdABpAG8AbgBOADIATwBFAG0AaQBzAHMAaQBvAG4AcwBfAEEAcgBnAHUAbQBlAG4AdABzAF8ATQBlAHQAaABvAGQAMgBcAG4AIAAgAD0ATABBAE0AQgBEAEEAKABcAG4AIAAgACAAIABNAEEASwBFAEEAUgBSAEEAWQAoADgALAAgADQALAAgAFwAbgAgACAAIAAgACAAIABMAEEATQBCAEQAQQAoAHIALABjACwAIABcAG4AIAAgACAAIAAgACAAIAAgAEkATgBEAEUAWAAoAHsAXABuACAAIAAgACAAIAAgACAAIAAgACAAXAAiAE0ATgBfAGoAZgBcACIALABcACIAbQBhAHMAcwAgAG8AZgAgAG4AaQB0AHIAbwBnAGUAbgAgAGkAbgAgAGkAbgBvAHIAZwBhAG4AaQBjACAAZgBlAHIAdABpAGwAaQBzAGUAcgAgAHQAeQBwAGUAIABmACAAYQBwAHAAbABpAGUAZAAgAHQAbwAgAHAAcgBvAGQAdQBjAHQAaQBvAG4AIABzAHkAcwB0AGUAbQAgAGoAXAAiACwAIABcACIAawBnACAATgBcACIALAAgAFwAIgBDAGEAbABjAHUAbABhAHQAZQBkACAAZgByAG8AbQAgADUALgAxAC4AMQAuADEAIAAoADIAKQBcACIAOwBcAG4AIAAgACAAIAAgACAAIAAgACAAIABcACIARQBGAF8AagBOADIATwBcACIALABcACIAZQBtAGkAcwBzAGkAbwBuACAAZgBhAGMAdABvAHIAIABmAG8AcgAgAG4AaQB0AHIAbwB1AHMAIABvAHgAaQBkAGUAIABmAG8AcgAgAGkAbgBvAHIAZwBhAG4AaQBjACAAZgBlAHIAdABpAGwAaQBzAGUAcgBzAFwAIgAsACAAXAAiAGsAZwAgAE4AMgBPAC0ATgAvAGsAZwAgAE4AIABhAHAAcABsAGkAZQBkAFwAIgAsACAAXAAiAEMAYQBsAGMAdQBsAGEAdABlAGQAIABmAHIAbwBtACAANQAuADEALgAxAC4AMgAgACgAMQApACgAMgApACgAMwAp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jAFwAIgAsAFwAIgBDAHIAbwBwACAAdAB5AHAAZQBcACIALAAgAFwAIgBcACIALAAgAFwAIgBJAG4AcAB1AHQAXAAiADsAXABuACAAIAAgACAAIAAgACAAIAAgACAAXAAiAGYAXAAiACwAXAAiAEkAbgBvAHIAZwBhAG4AaQBjACAAZgBlAHIAdABpAGwAaQBzAGUAcgAgAHQAeQBwAGUAXAAiACwAIABcACIAXAAiACwAIABcACIAQwBvAG4AcwB0AGEAbgB0AFwAIgA7AFwAbgAgACAAIAAgACAAIAAgACAAIAAgAFwAIgBpAHIAXAAiACwAIABcACIAaQByAHIAaQBnAGEAdABpAG8AbgAgAG0AZQB0AGgAbwBkAFwAIgAsACAAXAAiAFwAIgAsACAAXAAiAEkAbgBwAHUAdABcACIAOwBcAG4AIAAgACAAIAAgACAAIAAgACAAIABcACIAegBcACIALAAgAFwAIgByAGEAaQBuAGYAYQBsAGwAIAB6AG8Abg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xAF8AMQBfADEAXwBfADIAXwBNAGEAcwBzAE8AZgBOAGkAdAByAG8AZwBlAG4ASQBuAEkAbgBvAHIAZwBhAG4AaQBjAEYAZQByAHQAaQBsAGkAcwBlAHIAXABuAE0AYQBzAHMAIABvAGYAIABuAGkAdAByAG8AZwBlAG4AIABpAG4AIABpAG4AbwByAGcAYQBuAGkAYwAgAGYAZQByAHQAaQBsAGkAcwBlAHIAIABhAHAAcABsAGkAZQBkACAAdABvACAAcAByAG8AZAB1AGMAdABpAG8AbgAgAHMAeQBzAHQAZQBtAFwAbgBNAE4AXwBqAGYAXABuAGsAZwAgAE4AXABuAHsATQBOAH0AXwB7AGoAZgB9AD0AVABNAF8AewBqAGYAfQBcAFwAdABpAG0AZQBzACAARgBOAF8AewBpAG4AbwByAGcAYQBuAGkAYwAsAGYAfQBcAG4AVABNAF8AagBmAFwAbgBGAE4AXwBpAG4AbwByAGcAYQBuAGkAYwBmAFwAbgBqAFwAbgBpAG4AbwByAGcAYQBuAGkAYwBcAG4AZgBcAG4ALQAtAC0ALQAtAC0ALQAtAC0ALQAtAC0ALQAtAC0ALQAtAC0ALQAtAC0ALQAtAC0ALQAtAC0ALQAtAC0ALQAtAC0ALQAtAC0ALQAtAFwAbgAqAC8AXABuAFwAbgBWAEUARQBSAEcAXwA1AF8AMQBfADEAXwAxAF8AXwAyAF8ATQBhAHMAcwBPAGYATgBpAHQAcgBvAGcAZQBuAEkAbgBJAG4AbwByAGcAYQBuAGkAYwBGAGUAcgB0AGkAbABpAHMAZQByAFwAbgAgACAAPQBMAEEATQBCAEQAQQAoAFwAbgAgACAAIAAgAFQATQBfAGoAZgAsACAARgBOAF8AaQBuAG8AcgBnAGEAbgBpAGMAZgAsAFwAbgAgACAAIAAgAFQATQBfAGoAZgAgACoAIABGAE4AXwBpAG4AbwByAGcAYQBuAGkAYwBmAFwAbgAgACAAKQA7AFwAbgBcAG4AVgBFAEUAUgBHAF8ANQBfADEAXwAxAF8AMQBfAF8AMgBfAE0AYQBzAHMATwBmAE4AaQB0AHIAbwBnAGUAbgBJAG4ASQBuAG8AcgBnAGEAbgBpAGMARgBlAHIAdABpAGwAaQBzAGUAcgBfAFQAaQB0AGwAZQBcAG4AIAAgAD0ATABBAE0AQgBEAEEAKABcACIATQBhAHMAcwAgAG8AZgAgAG4AaQB0AHIAbwBnAGUAbgAgAGkAbgAgAGkAbgBvAHIAZwBhAG4AaQBjACAAZgBlAHIAdABpAGwAaQBzAGUAcgAgAGEAcABwAGwAaQBlAGQAIAB0AG8AIABwAHIAbwBkAHUAYwB0AGkAbwBuACAAcwB5AHMAdABlAG0AXAAiACkAOwBcAG4AXABuAFYARQBFAFIARwBfADUAXwAxAF8AMQBfADEAXwBfADIAXwBNAGEAcwBzAE8AZgBOAGkAdAByAG8AZwBlAG4ASQBuAEkAbgBvAHIAZwBhAG4AaQBjAEYAZQByAHQAaQBsAGkAcwBlAHIAXwBWAGEAcgBpAGEAYgBsAGUAXABuACAAIAA9AEwAQQBNAEIARABBACgAXAAiAE0ATgBfAGoAZgBcACIAKQA7AFwAbgBcAG4AVgBFAEUAUgBHAF8ANQBfADEAXwAxAF8AMQBfAF8AMgBfAE0AYQBzAHMATwBmAE4AaQB0AHIAbwBnAGUAbgBJAG4ASQBuAG8AcgBnAGEAbgBpAGMARgBlAHIAdABpAGwAaQBzAGUAcgBfAFUAbgBpAHQAXABuACAAIAA9AEwAQQBNAEIARABBACgAXAAiAGsAZwAgAE4AXAAiACkAOwBcAG4AXABuAFYARQBFAFIARwBfADUAXwAxAF8AMQBfADEAXwBfADIAXwBNAGEAcwBzAE8AZgBOAGkAdAByAG8AZwBlAG4ASQBuAEkAbgBvAHIAZwBhAG4AaQBjAEYAZQByAHQAaQBsAGkAcwBlAHIAXwBTAG8AdQByAGMAZQBcAG4AIAAgAD0ATABBAE0AQgBEAEEAKABcACIAVgBFAEUAUgBHACAAMgAwADIANgA6ACAANQAuADEALgAxAC4AMQAsACAARQBxAHUAYQB0AGkAbwBuACAAKAAyACkAXAAiACkAOwBcAG4AXABuAFYARQBFAFIARwBfADUAXwAxAF8AMQBfADEAXwBfADIAXwBNAGEAcwBzAE8AZgBOAGkAdAByAG8AZwBlAG4ASQBuAEkAbgBvAHIAZwBhAG4AaQBjAEYAZQByAHQAaQBsAGkAcwBlAHIAXwBOAEkAUgBSAGUAZgBlAHIAZQBuAGMAZQBcAG4AIAAgAD0ATABBAE0AQgBEAEEAKABcACIAXAAiACkAOwBcAG4AXABuAFYARQBFAFIARwBfADUAXwAxAF8AMQBfADEAXwBfADIAXwBNAGEAcwBzAE8AZgBOAGkAdAByAG8AZwBlAG4ASQBuAEkAbgBvAHIAZwBhAG4AaQBjAEYAZQByAHQAaQBsAGkAcwBlAHIAXwBMAGEAdABlAHgARQBxAHUAYQB0AGkAbwBuAFwAbgAgACAAPQBMAEEATQBCAEQAQQAoAFwAIgB7AE0ATgB9AF8AewBqAGYAfQA9AFQATQBfAHsAagBmAH0AXABcAHQAaQBtAGUAcwAgAEYATgBfAHsAaQBuAG8AcgBnAGEAbgBpAGMALABmAH0AXAAiACkAOwBcAG4AXABuAFYARQBFAFIARwBfADUAXwAxAF8AMQBfADEAXwBfADIAXwBNAGEAcwBzAE8AZgBOAGkAdAByAG8AZwBlAG4ASQBuAEkAbgBvAHIAZwBhAG4AaQBjAEYAZQByAHQAaQBsAGkAcwBlAHIAXwBBAHIAZwB1AG0AZQBuAHQAcwBcAG4AIAAgAD0ATABBAE0AQgBEAEEAKABcAG4AIAAgACAAIABNAEEASwBFAEEAUgBSAEEAWQAoADIALAAgADQALAAgAFwAbgAgACAAIAAgACAAIABMAEEATQBCAEQAQQAoAHIALABjACwAIABcAG4AIAAgACAAIAAgACAAIAAgAEkATgBEAEUAWAAoAHsAXABuACAAIAAgACAAIAAgACAAIAAgACAAXAAiAFQATQBfAGoAZgBcACIALABcACIAdABvAHQAYQBsACAAbQBhAHMAcwAgAG8AZgAgAGkAbgBvAHIAZwBhAG4AaQBjACAAZgBlAHIAdABpAGwAaQBzAGUAcgAgAHQAeQBwAGUAIABmACAAYQBwAHAAbABpAGUAZAAgAHQAbwAgAHAAcgBvAGQAdQBjAHQAaQBvAG4AIABzAHkAcwB0AGUAbQAgAGoAXAAiACwAIABcACIAawBnAFwAIgAsACAAXAAiAEkAbgBwAHUAdABcACIAOwBcAG4AIAAgACAAIAAgACAAIAAgACAAIABcACIARgBOAF8AaQBuAG8AcgBnAGEAbgBpAGMAZgBcACIALABcACIAZgByAGEAYwB0AGkAbwBuACAAbwBmACAAbgBpAHQAcgBvAGcAZQBuACAAaQBuACAAaQBuAG8AcgBnAGEAbgBpAGMAIABmAGUAcgB0AGkAbABpAHMAZQByACAAdAB5AHAAZQAgAGYAIABcACIALAAgAFwAIgBrAGcAIABOAC8AawBnAFwAIgAsACAAXAAiAEMAbwBuAHMAdABhAG4AdABcACIAXABuACAAIAAgACAAIAAgACAAIAB9ACwAIAByACwAIABjACkAXABuACAAIAAgACAAIAAgACkAXABuACAAIAAgACAAKQBcAG4AIAAgACkAOwBcAG4AXABuAFwAbgAvACoAIABcAG4ALQAtAC0ALQAtAC0ALQAtAC0ALQAtAC0ALQAtAC0ALQAtAC0ALQAtAC0ALQAtAC0ALQAtAC0ALQAtAC0ALQAtAC0ALQAtAC0ALQAtAFwAbgBWAEUARQBSAEcAXwA1AF8AMQBfADEAXwAyAF8AXwAxAF8ARQBtAGkAcwBzAGkAbwBuAEYAYQBjAHQAbwByAEkAcgByAGkAZwBhAHQAZQBkAE0AYQBpAHoAZQBcAG4ARQBtAGkAcwBzAGkAbwBuACAAZgBhAGMAdABvAHIAIABmAG8AcgAgAG4AaQB0AHIAbwB1AHMAIABvAHgAaQBkAGUAIABmAG8AcgAgAGkAcgByAGkAZwBhAHQAZQBkACAAbQBhAGkAegBlAFwAbgBFAEYAXwBmAGoASQByAHIAaQBnAGEAdABlAGQATQBhAGkAegBlAE4AMgBPAFwAbgBrAGcAIABOADIATwAtAE4ALwBrAGcAIABOACAAYQBwAHAAbABpAGUAZABcAG4ARQBGAF8AewBmAGoAPQBpAHIAcgBpAGcAYQB0AGUAZABtAGEAaQB6AGUALABOADIATwB9AD0AKAAtADAALgAxADQANwA0ACsAKAAwAC4AMAAwADYAMQBcAFwAdABpAG0AZQBzACAATgBfAHsAZgBqAD0AaQByAHIAaQBnAGEAdABlAGQAbQBhAGkAegBlAH0AKQApAFwAXAB0AGkAbQBlAHMAIAAxADAAXgB7AC0AMgB9AFwAbgBOAF8AZgBqAEkAcgByAGkAZwBhAHQAZQBkAE0AYQBpAHoAZQBcAG4AZgBcAG4ALQAtAC0ALQAtAC0ALQAtAC0ALQAtAC0ALQAtAC0ALQAtAC0ALQAtAC0ALQAtAC0ALQAtAC0ALQAtAC0ALQAtAC0ALQAtAC0ALQAtAFwAbgAqAC8AXABuAFwAbgBWAEUARQBSAEcAXwA1AF8AMQBfADEAXwAyAF8AXwAxAF8ARQBtAGkAcwBzAGkAbwBuAEYAYQBjAHQAbwByAEkAcgByAGkAZwBhAHQAZQBkAE0AYQBpAHoAZQBcAG4AIAAgAD0ATABBAE0AQgBEAEEAKABcAG4AIAAgACAAIABOAF8AZgBqAEkAcgByAGkAZwBhAHQAZQBkAE0AYQBpAHoAZQAsAFwAbgAgACAAIAAgACgALQAwAC4AMQA0ADcANAAgACsAIAAoADAALgAwADAANgAxACAAKgAgAE4AXwBmAGoASQByAHIAaQBnAGEAdABlAGQATQBhAGkAegBlACkAKQAgACoAIAAxADAAIABeACAALQAyAFwAbgAgACAAKQA7AFwAbgBcAG4AVgBFAEUAUgBHAF8ANQBfADEAXwAxAF8AMgBfAF8AMQBfAEUAbQBpAHMAcwBpAG8AbgBGAGEAYwB0AG8AcgBJAHIAcgBpAGcAYQB0AGUAZABNAGEAaQB6AGUAXwBUAGkAdABsAGUAXABuACAAIAA9AEwAQQBNAEIARABBACgAXAAiAEUAbQBpAHMAcwBpAG8AbgAgAGYAYQBjAHQAbwByACAAZgBvAHIAIABuAGkAdAByAG8AdQBzACAAbwB4AGkAZABlACAAZgBvAHIAIABpAHIAcgBpAGcAYQB0AGUAZAAgAG0AYQBpAHoAZQBcACIAKQA7AFwAbgBcAG4AVgBFAEUAUgBHAF8ANQBfADEAXwAxAF8AMgBfAF8AMQBfAEUAbQBpAHMAcwBpAG8AbgBGAGEAYwB0AG8AcgBJAHIAcgBpAGcAYQB0AGUAZABNAGEAaQB6AGUAXwBWAGEAcgBpAGEAYgBsAGUAXABuACAAIAA9AEwAQQBNAEIARABBACgAXAAiAEUARgBfAGYAagBJAHIAcgBpAGcAYQB0AGUAZABNAGEAaQB6AGUATgAyAE8AXAAiACkAOwBcAG4AXABuAFYARQBFAFIARwBfADUAXwAxAF8AMQBfADIAXwBfADEAXwBFAG0AaQBzAHMAaQBvAG4ARgBhAGMAdABvAHIASQByAHIAaQBnAGEAdABlAGQATQBhAGkAegBlAF8AVQBuAGkAdABcAG4AIAAgAD0ATABBAE0AQgBEAEEAKABcACIAawBnACAATgAyAE8ALQBOAC8AawBnACAATgAgAGEAcABwAGwAaQBlAGQAXAAiACkAOwBcAG4AXABuAFYARQBFAFIARwBfADUAXwAxAF8AMQBfADIAXwBfADEAXwBFAG0AaQBzAHMAaQBvAG4ARgBhAGMAdABvAHIASQByAHIAaQBnAGEAdABlAGQATQBhAGkAegBlAF8AUwBvAHUAcgBjAGUAXABuACAAIAA9AEwAQQBNAEIARABBACgAXAAiAFYARQBFAFIARwAgADIAMAAyADYAOgAgADUALgAxAC4AMQAuADIALAAgAEUAcQB1AGEAdABpAG8AbgAgACgAMQApAFwAIgApADsAXABuAFwAbgBWAEUARQBSAEcAXwA1AF8AMQBfADEAXwAyAF8AXwAxAF8ARQBtAGkAcwBzAGkAbwBuAEYAYQBjAHQAbwByAEkAcgByAGkAZwBhAHQAZQBkAE0AYQBpAHoAZQBfAE4ASQBSAFIAZQBmAGUAcgBlAG4AYwBlAFwAbgAgACAAPQBMAEEATQBCAEQAQQAoAFwAIgBcACIAKQA7AFwAbgBcAG4AVgBFAEUAUgBHAF8ANQBfADEAXwAxAF8AMgBfAF8AMQBfAEUAbQBpAHMAcwBpAG8AbgBGAGEAYwB0AG8AcgBJAHIAcgBpAGcAYQB0AGUAZABNAGEAaQB6AGUAXwBMAGEAdABlAHgARQBxAHUAYQB0AGkAbwBuAFwAbgAgACAAPQBMAEEATQBCAEQAQQAoAFwAIgBFAEYAXwB7AGYAagA9AGkAcgByAGkAZwBhAHQAZQBkAG0AYQBpAHoAZQAsAE4AMgBPAH0APQAoAC0AMAAuADEANAA3ADQAKwAoADAALgAwADAANgAxAFwAXAB0AGkAbQBlAHMAIABOAF8AewBmAGoAPQBpAHIAcgBpAGcAYQB0AGUAZABtAGEAaQB6AGUAfQApACkAXABcAHQAaQBtAGUAcwAgADEAMABeAHsALQAyAH0AXAAiACkAOwBcAG4AXABuAFYARQBFAFIARwBfADUAXwAxAF8AMQBfADIAXwBfADEAXwBFAG0AaQBzAHMAaQBvAG4ARgBhAGMAdABvAHIASQByAHIAaQBnAGEAdABlAGQATQBhAGkAegBlAF8AQQByAGcAdQBtAGUAbgB0AHMAXABuACAAIAA9AEwAQQBNAEIARABBACgAXABuACAAIAAgACAATQBBAEsARQBBAFIAUgBBAFkAKAAyACwAIAA0ACwAIABcAG4AIAAgACAAIAAgACAATABBAE0AQgBEAEEAKAByACwAYwAsACAAXABuACAAIAAgACAAIAAgACAAIABJAE4ARABFAFgAKAB7AFwAbgAgACAAIAAgACAAIAAgACAAIAAgAFwAIgBOAF8AZgBqAEkAcgByAGkAZwBhAHQAZQBkAE0AYQBpAHoAZQBcACIALABcACIAYQBwAHAAbABpAGMAYQB0AGkAbwBuACAAcgBhAHQAZQAgAG8AZgAgAGkAbgBvAHIAZwBhAG4AaQBjACAAZgBlAHIAdABpAGwAaQBzAGUAcgAgAHQAeQBwAGUAIABmACAAaQBuACAAdABoAGUAIABpAHIAcgBpAGcAYQB0AGUAZAAgAG0AYQBpAHoAZQ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NQBfADEAXwAxAF8AMgBfAF8AMgBfAEUAbQBpAHMAcwBpAG8AbgBGAGEAYwB0AG8AcgBOAG8AbgBJAHIAcgBpAGcAYQB0AGUAZABHAHIAYQBpAG4AcwBIAGkAZwBoAFIAYQBpAG4AZgBhAGwAbABcAG4ARQBtAGkAcwBzAGkAbwBuACAAZgBhAGMAdABvAHIAIABmAG8AcgAgAG4AaQB0AHIAbwB1AHMAIABvAHgAaQBkAGUAIABmAG8AcgAgAG4AbwBuAC0AaQByAHIAaQBnAGEAdABlAGQAIABnAHIAYQBpAG4AcwAgAGkAbgAgAGgAaQBnAGgAIAByAGEAaQBuAGYAYQBsAGwAIAB6AG8AbgBlAFwAbgBFAEYAXwBmAGoATgBvAG4ASQByAHIAaQBnAGEAdABlAGQARwByAGEAaQBuAHMATgAyAE8AXABuAGsAZwAgAE4AMgBPAC0ATgAvAGsAZwAgAE4AIABhAHAAcABsAGkAZQBkAFwAbgBFAEYAXwB7AGYAagA9AG4AbwBuAGkAcgByAGkAZwBhAHQAZQBkAGcAcgBhAGkAbgBzACwATgAyAE8AfQA9ACgAMAAuADAANwA4ADEAKwAoADAALgAwADAANwA1AFwAXAB0AGkAbQBlAHMAIABOAF8AewBmAGoAPQBuAG8AbgBpAHIAcgBpAGcAYQB0AGUAZABnAHIAYQBpAG4AcwB9ACkAKQBcAFwAdABpAG0AZQBzACAAMQAwAF4AewAtADIAfQBcAG4ATgBfAGYAagBOAG8AbgBJAHIAcgBpAGcAYQB0AGUAZABHAHIAYQBpAG4AcwBcAG4AZgBcAG4ALQAtAC0ALQAtAC0ALQAtAC0ALQAtAC0ALQAtAC0ALQAtAC0ALQAtAC0ALQAtAC0ALQAtAC0ALQAtAC0ALQAtAC0ALQAtAC0ALQAtAFwAbgAqAC8AXABuAFwAbgBWAEUARQBSAEcAXwA1AF8AMQBfADEAXwAyAF8AXwAyAF8ARQBtAGkAcwBzAGkAbwBuAEYAYQBjAHQAbwByAE4AbwBuAEkAcgByAGkAZwBhAHQAZQBkAEcAcgBhAGkAbgBzAEgAaQBnAGgAUgBhAGkAbgBmAGEAbABsAFwAbgAgACAAPQBMAEEATQBCAEQAQQAoAFwAbgAgACAAIAAgAE4AXwBmAGoATgBvAG4ASQByAHIAaQBnAGEAdABlAGQARwByAGEAaQBuAHMALABcAG4AIAAgACAAIAAoADAALgAwADcAOAAxACAAKwAgACgAMAAuADAAMAA3ADUAIAAqACAATgBfAGYAagBOAG8AbgBJAHIAcgBpAGcAYQB0AGUAZABHAHIAYQBpAG4AcwApACkAIAAqACAAMQAwACAAXgAgAC0AMgBcAG4AIAAgACkAOwBcAG4AXABuAFYARQBFAFIARwBfADUAXwAxAF8AMQBfADIAXwBfADIAXwBFAG0AaQBzAHMAaQBvAG4ARgBhAGMAdABvAHIATgBvAG4ASQByAHIAaQBnAGEAdABlAGQARwByAGEAaQBuAHMASABpAGcAaABSAGEAaQBuAGYAYQBsAGwAXwBUAGkAdABsAGUAXABuACAAIAA9AEwAQQBNAEIARABBACgAXAAiAEUAbQBpAHMAcwBpAG8AbgAgAGYAYQBjAHQAbwByACAAZgBvAHIAIABuAGkAdAByAG8AdQBzACAAbwB4AGkAZABlACAAZgBvAHIAIABuAG8AbgAtAGkAcgByAGkAZwBhAHQAZQBkACAAZwByAGEAaQBuAHMAIABpAG4AIABoAGkAZwBoACAAcgBhAGkAbgBmAGEAbABsACAAegBvAG4AZQBcACIAKQA7AFwAbgBcAG4AVgBFAEUAUgBHAF8ANQBfADEAXwAxAF8AMgBfAF8AMgBfAEUAbQBpAHMAcwBpAG8AbgBGAGEAYwB0AG8AcgBOAG8AbgBJAHIAcgBpAGcAYQB0AGUAZABHAHIAYQBpAG4AcwBIAGkAZwBoAFIAYQBpAG4AZgBhAGwAbABfAFYAYQByAGkAYQBiAGwAZQBcAG4AIAAgAD0ATABBAE0AQgBEAEEAKABcACIARQBGAF8AZgBqAE4AbwBuAEkAcgByAGkAZwBhAHQAZQBkAEcAcgBhAGkAbgBzAE4AMgBPAFwAIgApADsAXABuAFwAbgBWAEUARQBSAEcAXwA1AF8AMQBfADEAXwAyAF8AXwAyAF8ARQBtAGkAcwBzAGkAbwBuAEYAYQBjAHQAbwByAE4AbwBuAEkAcgByAGkAZwBhAHQAZQBkAEcAcgBhAGkAbgBzAEgAaQBnAGgAUgBhAGkAbgBmAGEAbABsAF8AVQBuAGkAdABcAG4AIAAgAD0ATABBAE0AQgBEAEEAKABcACIAawBnACAATgAyAE8ALQBOAC8AawBnACAATgAgAGEAcABwAGwAaQBlAGQAXAAiACkAOwBcAG4AXABuAFYARQBFAFIARwBfADUAXwAxAF8AMQBfADIAXwBfADIAXwBFAG0AaQBzAHMAaQBvAG4ARgBhAGMAdABvAHIATgBvAG4ASQByAHIAaQBnAGEAdABlAGQARwByAGEAaQBuAHMASABpAGcAaABSAGEAaQBuAGYAYQBsAGwAXwBTAG8AdQByAGMAZQBcAG4AIAAgAD0ATABBAE0AQgBEAEEAKABcACIAVgBFAEUAUgBHACAAMgAwADIANgA6ACAANQAuADEALgAxAC4AMgAsACAARQBxAHUAYQB0AGkAbwBuACAAKAAyACkAXAAiACkAOwBcAG4AXABuAFYARQBFAFIARwBfADUAXwAxAF8AMQBfADIAXwBfADIAXwBFAG0AaQBzAHMAaQBvAG4ARgBhAGMAdABvAHIATgBvAG4ASQByAHIAaQBnAGEAdABlAGQARwByAGEAaQBuAHMASABpAGcAaABSAGEAaQBuAGYAYQBsAGwAXwBOAEkAUgBSAGUAZgBlAHIAZQBuAGMAZQBcAG4AIAAgAD0ATABBAE0AQgBEAEEAKABcACIAXAAiACkAOwBcAG4AXABuAFYARQBFAFIARwBfADUAXwAxAF8AMQBfADIAXwBfADIAXwBFAG0AaQBzAHMAaQBvAG4ARgBhAGMAdABvAHIATgBvAG4ASQByAHIAaQBnAGEAdABlAGQARwByAGEAaQBuAHMASABpAGcAaABSAGEAaQBuAGYAYQBsAGwAXwBMAGEAdABlAHgARQBxAHUAYQB0AGkAbwBuAFwAbgAgACAAPQBMAEEATQBCAEQAQQAoAFwAIgBFAEYAXwB7AGYAagA9AG4AbwBuAGkAcgByAGkAZwBhAHQAZQBkAGcAcgBhAGkAbgBzACwATgAyAE8AfQA9ACgAMAAuADAANwA4ADEAKwAoADAALgAwADAANwA1AFwAXAB0AGkAbQBlAHMAIABOAF8AewBmAGoAPQBuAG8AbgBpAHIAcgBpAGcAYQB0AGUAZABnAHIAYQBpAG4AcwB9ACkAKQBcAFwAdABpAG0AZQBzACAAMQAwAF4AewAtADIAfQBcACIAKQA7AFwAbgBcAG4AVgBFAEUAUgBHAF8ANQBfADEAXwAxAF8AMgBfAF8AMgBfAEUAbQBpAHMAcwBpAG8AbgBGAGEAYwB0AG8AcgBOAG8AbgBJAHIAcgBpAGcAYQB0AGUAZABHAHIAYQBpAG4AcwBIAGkAZwBoAFIAYQBpAG4AZgBhAGwAbABfAEEAcgBnAHUAbQBlAG4AdABzAFwAbgAgACAAPQBMAEEATQBCAEQAQQAoAFwAbgAgACAAIAAgAE0AQQBLAEUAQQBSAFIAQQBZACgAMgAsACAANAAsACAAXABuACAAIAAgACAAIAAgAEwAQQBNAEIARABBACgAcgAsAGMALAAgAFwAbgAgACAAIAAgACAAIAAgACAASQBOAEQARQBYACgAewBcAG4AIAAgACAAIAAgACAAIAAgACAAIABcACIATgBfAGYAagBOAG8AbgBJAHIAcgBpAGcAYQB0AGUAZABHAHIAYQBpAG4AcwBcACIALABcACIAYQBwAHAAbABpAGMAYQB0AGkAbwBuACAAcgBhAHQAZQAgAG8AZgAgAGkAbgBvAHIAZwBhAG4AaQBjACAAZgBlAHIAdABpAGwAaQBzAGUAcgAgAHQAeQBwAGUAIABmACAAaQBuACAAdABoAGUAIABnAHIAYQBpAG4Acw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NQBfADEAXwAxAF8AMgBfAF8AMwBfAEUAbQBpAHMAcwBpAG8AbgBGAGEAYwB0AG8AcgBDAG8AdAB0AG8AbgBcAG4ARQBtAGkAcwBzAGkAbwBuACAAZgBhAGMAdABvAHIAIABmAG8AcgAgAG4AaQB0AHIAbwB1AHMAIABvAHgAaQBkAGUAIABmAG8AcgAgAGMAbwB0AHQAbwBuAFwAbgBFAEYAXwBmAGoAQwBvAHQAdABvAG4ATgAyAE8AXABuAGsAZwAgAE4AMgBPAC0ATgAvAGsAZwAgAE4AIABhAHAAcABsAGkAZQBkAFwAbgBFAEYAXwB7AGYAagA9AGMAbwB0AHQAbwBuACwATgAyAE8AfQA9AFwAXABtAGkAbgBcAFwAbABlAGYAdAAoACgAMAAuADAAMQBcAFwAdABpAG0AZQBzACgAMAAuADIAOQArADAALgAwADAANwBcAFwAdABpAG0AZQBzACgAKABlAF4AewAoADAALgAwADMANwBcAFwAdABpAG0AZQBzACAATgBfAHsAZgBqAD0AYwBvAHQAdABvAG4AfQApAH0ALQAxACkALwBOAF8AewBmAGoAPQBjAG8AdAB0AG8AbgB9ACkAKQApAFwAXAB0AGkAbQBlAHMAIAAxADAAXgB7AC0AMgB9ACwAMAAuADAAMQA4ADMAXABcAHIAaQBnAGgAdAApAFwAbgBOAF8AZgBqAEMAbwB0AHQAbwBuAFwAbgBmAFwAbgAtAC0ALQAtAC0ALQAtAC0ALQAtAC0ALQAtAC0ALQAtAC0ALQAtAC0ALQAtAC0ALQAtAC0ALQAtAC0ALQAtAC0ALQAtAC0ALQAtAC0AXABuACoALwBcAG4AXABuAFYARQBFAFIARwBfADUAXwAxAF8AMQBfADIAXwBfADMAXwBFAG0AaQBzAHMAaQBvAG4ARgBhAGMAdABvAHIAQwBvAHQAdABvAG4AXABuACAAIAA9AEwAQQBNAEIARABBACgAXABuACAAIAAgACAATgBfAGYAagBDAG8AdAB0AG8AbgAsAFwAbgAgACAAIAAgACgAMAAuADAAMQAgACoAIAAoADAALgAyADkAIAArACAAKAAgACAAKAAwAC4AMAAwADcAIAAqACAAKABFAFgAUAAoADAALgAwADMANwAgACoAIABOAF8AZgBqAEMAbwB0AHQAbwBuACkAIAAtACAAMQApACkAIAAvACAATgBfAGYAagBDAG8AdAB0AG8AbgAgACAAKQAgACkAKQAgACoAIAAxADAAIABeACAALQAyAFwAbgAgACAAKQA7AFwAbgBcAG4AVgBFAEUAUgBHAF8ANQBfADEAXwAxAF8AMgBfAF8AMwBfAEUAbQBpAHMAcwBpAG8AbgBGAGEAYwB0AG8AcgBDAG8AdAB0AG8AbgBfAFQAaQB0AGwAZQBcAG4AIAAgAD0ATABBAE0AQgBEAEEAKABcACIARQBtAGkAcwBzAGkAbwBuACAAZgBhAGMAdABvAHIAIABmAG8AcgAgAG4AaQB0AHIAbwB1AHMAIABvAHgAaQBkAGUAIABmAG8AcgAgAGMAbwB0AHQAbwBuAFwAIgApADsAXABuAFwAbgBWAEUARQBSAEcAXwA1AF8AMQBfADEAXwAyAF8AXwAzAF8ARQBtAGkAcwBzAGkAbwBuAEYAYQBjAHQAbwByAEMAbwB0AHQAbwBuAF8AVgBhAHIAaQBhAGIAbABlAFwAbgAgACAAPQBMAEEATQBCAEQAQQAoAFwAIgBFAEYAXwBmAGoAQwBvAHQAdABvAG4ATgAyAE8AXAAiACkAOwBcAG4AXABuAFYARQBFAFIARwBfADUAXwAxAF8AMQBfADIAXwBfADMAXwBFAG0AaQBzAHMAaQBvAG4ARgBhAGMAdABvAHIAQwBvAHQAdABvAG4AXwBVAG4AaQB0AFwAbgAgACAAPQBMAEEATQBCAEQAQQAoAFwAIgBrAGcAIABOADIATwAtAE4ALwBrAGcAIABOACAAYQBwAHAAbABpAGUAZABcACIAKQA7AFwAbgBcAG4AVgBFAEUAUgBHAF8ANQBfADEAXwAxAF8AMgBfAF8AMwBfAEUAbQBpAHMAcwBpAG8AbgBGAGEAYwB0AG8AcgBDAG8AdAB0AG8AbgBfAFMAbwB1AHIAYwBlAFwAbgAgACAAPQBMAEEATQBCAEQAQQAoAFwAIgBWAEUARQBSAEcAIAAyADAAMgA2ADoAIAA1AC4AMQAuADEALgAyACwAIABFAHEAdQBhAHQAaQBvAG4AIAAoADMAKQBcACIAKQA7AFwAbgBcAG4AVgBFAEUAUgBHAF8ANQBfADEAXwAxAF8AMgBfAF8AMwBfAEUAbQBpAHMAcwBpAG8AbgBGAGEAYwB0AG8AcgBDAG8AdAB0AG8AbgBfAE4ASQBSAFIAZQBmAGUAcgBlAG4AYwBlAFwAbgAgACAAPQBMAEEATQBCAEQAQQAoAFwAIgBcACIAKQA7AFwAbgBcAG4AVgBFAEUAUgBHAF8ANQBfADEAXwAxAF8AMgBfAF8AMwBfAEUAbQBpAHMAcwBpAG8AbgBGAGEAYwB0AG8AcgBDAG8AdAB0AG8AbgBfAEwAYQB0AGUAeABFAHEAdQBhAHQAaQBvAG4AXABuACAAIAA9AEwAQQBNAEIARABBACgAXAAiAEUARgBfAHsAZgBqAD0AYwBvAHQAdABvAG4ALABOADIATwB9AD0AKAAwAC4AMAAxACAAXABcAHQAaQBtAGUAcwAgACgAMAAuADIAOQAgACsAIABcAFwAZgByAGEAYwB7ADAALgAwADAANwAoAGUAXgB7ADAALgAwADMANwAgAFwAXAB0AGkAbQBlAHMAIABOAF8AewBmAGoAPQBjAG8AdAB0AG8AbgB9AH0ALQAxACkAfQB7AE4AXwB7AGYAagA9AGMAbwB0AHQAbwBuAH0AfQApACkAIABcAFwAdABpAG0AZQBzACAAMQAwAF4AewAtADIAfQBcAG4AXAAiACkAOwBcAG4AXABuAFYARQBFAFIARwBfADUAXwAxAF8AMQBfADIAXwBfADMAXwBFAG0AaQBzAHMAaQBvAG4ARgBhAGMAdABvAHIAQwBvAHQAdABvAG4AXwBBAHIAZwB1AG0AZQBuAHQAcwBcAG4AIAAgAD0ATABBAE0AQgBEAEEAKABcAG4AIAAgACAAIABNAEEASwBFAEEAUgBSAEEAWQAoADIALAAgADQALAAgAFwAbgAgACAAIAAgACAAIABMAEEATQBCAEQAQQAoAHIALABjACwAIABcAG4AIAAgACAAIAAgACAAIAAgAEkATgBEAEUAWAAoAHsAXABuACAAIAAgACAAIAAgACAAIAAgACAAXAAiAE4AXwBmAGoAQwBvAHQAdABvAG4AXAAiACwAXAAiAGEAcABwAGwAaQBjAGEAdABpAG8AbgAgAHIAYQB0AGUAIABvAGYAIABpAG4AbwByAGcAYQBuAGkAYwAgAGYAZQByAHQAaQBsAGkAcwBlAHIAIAB0AHkAcABlACAAZgAgAGkAbgAgAHQAaABlACAAYwBvAHQAdABvAG4AIABjAHIAbwBwAFwAIgAsACAAXAAiAGsAZwAgAE4ALwBoAGEAXAAiACwAIABcACIASQBuAHAAdQB0AFwAIgA7AFwAbgAgACAAIAAgACAAIAAgACAAIAAgAFwAIgBmAFwAIgAsAFwAIgBJAG4AbwByAGcAYQBuAGkAYwAgAGYAZQByAHQAaQBsAGkAcwBlAHIAIAB0AHkAcABlAFwAIgAsACAAXAAiAFwAIgAsACAAXAAiAEMAbwBuAHMAdABhAG4AdABcACIAXABuACAAIAAgACAAIAAgACAAIAB9ACwAIAByACwAIABjACkAXABuACAAIAAgACAAIAAgACkAXABuACAAIAAgACAAKQBcAG4AIAAgACkAOwBcAG4AXABuACIAfQAsAHsAIgBwAGEAdABoACIAOgAiAC8AcAByAG8AagBlAGMAdABzAC8ARgBlAHIAdABpAGwAaQBzAGUAcgBfAEUAcQB1AGEAdABpAG8AbgBzAF8ASQBuAG8AcgBnAGEAbgBpAGMAQwBPADI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xACAASQBuAG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xAF8AMQBfADMAXwBfADEAXwBJAG4AbwByAGcAYQBuAGkAYwBGAGUAcgB0AGkAbABpAHMAZQByAEEAcABwAGwAaQBjAGEAdABpAG8AbgBDAE8AMgBFAG0AaQBzAHMAaQBvAG4AcwBcAG4AQwBhAHIAYgBvAG4AIABkAGkAbwB4AGkAZABlACAAZQBtAGkAcwBzAGkAbwBuAHMAIAByAGUAcwB1AGwAdABpAG4AZwAgAGYAcgBvAG0AIAB0AGgAZQAgAHUAcwBlACAAbwBmACAAYQBsAGwAIABpAG4AbwByAGcAYQBuAGkAYwAsACAAdQByAGUAYQAtAGIAYQBzAGUAZAAgAGYAZQByAHQAaQBsAGkAcwBlAHIAcwBcAG4ARQBfAEMATwAyAFwAbgB0ACAAQwBPADIAXABuAEUAXwB7AEMATwAyAH0APQBcAFwAcwB1AG0AXwB7AGoAfQBcAFwAcwB1AG0AXwB7AGYAfQAoACgATQBVAF8AewBqAGYAfQBcAFwAdABpAG0AZQBzACAARQBGAF8AewB1AHIAZQBhACwAQwBPADIAfQBcAFwAdABpAG0AZQBzACAAQwBfAHsAQwBPADIAfQApAFwAXAB0AGkAbQBlAHMAIAAxADAAXgB7AC0AMwB9ACkAXABuAE0AVQBfAGoAZgBcAG4ARQBGAF8AdQByAGUAYQBDAE8AMgBcAG4AQwBfAEMATwAyAFwAbgBqAFwAbgBmAFwAbgAtAC0ALQAtAC0ALQAtAC0ALQAtAC0ALQAtAC0ALQAtAC0ALQAtAC0ALQAtAC0ALQAtAC0ALQAtAC0ALQAtAC0ALQAtAC0ALQAtAC0AXABuACoALwBcAG4AXABuAFYARQBFAFIARwBfADUAXwAxAF8AMQBfADMAXwBfADEAXwBJAG4AbwByAGcAYQBuAGkAYwBGAGUAcgB0AGkAbABpAHMAZQByAEEAcABwAGwAaQBjAGEAdABpAG8AbgBDAE8AMgBFAG0AaQBzAHMAaQBvAG4AcwBcAG4AIAAgAD0ATABBAE0AQgBEAEEAKABcAG4AIAAgACAAIABNAFUAXwBqAGYALAAgAEUARgBfAHUAcgBlAGEAQwBPADIALAAgAEMAXwBDAE8AMgAsAFwAbgAgACAAIAAgACgATQBVAF8AagBmACAAKgAgAEUARgBfAHUAcgBlAGEAQwBPADIAIAAqACAAQwBfAEMATwAyACkAIAAqACAAMQAwACAAXgAgAC0AMwBcAG4AIAAgACkAOwBcAG4AXABuAFYARQBFAFIARwBfADUAXwAxAF8AMQBfADMAXwBfADEAXwBJAG4AbwByAGcAYQBuAGkAYwBGAGUAcgB0AGkAbABpAHMAZQByAEEAcABwAGwAaQBjAGEAdABpAG8AbgBDAE8AMgBFAG0AaQBzAHMAaQBvAG4AcwBfAFQAaQB0AGwAZQBcAG4AIAAgAD0ATABBAE0AQgBEAEEAKABcACIAQwBhAHIAYgBvAG4AIABkAGkAbwB4AGkAZABlACAAZQBtAGkAcwBzAGkAbwBuAHMAIAByAGUAcwB1AGwAdABpAG4AZwAgAGYAcgBvAG0AIAB0AGgAZQAgAHUAcwBlACAAbwBmACAAYQBsAGwAIABpAG4AbwByAGcAYQBuAGkAYwAsACAAdQByAGUAYQAtAGIAYQBzAGUAZAAgAGYAZQByAHQAaQBsAGkAcwBlAHIAcwBcACIAKQA7AFwAbgBcAG4AVgBFAEUAUgBHAF8ANQBfADEAXwAxAF8AMwBfAF8AMQBfAEkAbgBvAHIAZwBhAG4AaQBjAEYAZQByAHQAaQBsAGkAcwBlAHIAQQBwAHAAbABpAGMAYQB0AGkAbwBuAEMATwAyAEUAbQBpAHMAcwBpAG8AbgBzAF8AVgBhAHIAaQBhAGIAbABlAFwAbgAgACAAPQBMAEEATQBCAEQAQQAoAFwAIgBFAF8AQwBPADIAXAAiACkAOwBcAG4AXABuAFYARQBFAFIARwBfADUAXwAxAF8AMQBfADMAXwBfADEAXwBJAG4AbwByAGcAYQBuAGkAYwBGAGUAcgB0AGkAbABpAHMAZQByAEEAcABwAGwAaQBjAGEAdABpAG8AbgBDAE8AMgBFAG0AaQBzAHMAaQBvAG4AcwBfAFUAbgBpAHQAXABuACAAIAA9AEwAQQBNAEIARABBACgAXAAiAHQAIABDAE8AMgBcACIAKQA7AFwAbgBcAG4AVgBFAEUAUgBHAF8ANQBfADEAXwAxAF8AMwBfAF8AMQBfAEkAbgBvAHIAZwBhAG4AaQBjAEYAZQByAHQAaQBsAGkAcwBlAHIAQQBwAHAAbABpAGMAYQB0AGkAbwBuAEMATwAyAEUAbQBpAHMAcwBpAG8AbgBzAF8AUwBvAHUAcgBjAGUAXABuACAAIAA9AEwAQQBNAEIARABBACgAXAAiAFYARQBFAFIARwAgADIAMAAyADYAOgAgADUALgAxAC4AMQAuADMALAAgAEUAcQB1AGEAdABpAG8AbgAgACgAMQApAFwAIgApADsAXABuAFwAbgBWAEUARQBSAEcAXwA1AF8AMQBfADEAXwAzAF8AXwAxAF8ASQBuAG8AcgBnAGEAbgBpAGMARgBlAHIAdABpAGwAaQBzAGUAcgBBAHAAcABsAGkAYwBhAHQAaQBvAG4AQwBPADIARQBtAGkAcwBzAGkAbwBuAHMAXwBOAEkAUgBSAGUAZgBlAHIAZQBuAGMAZQBcAG4AIAAgAD0ATABBAE0AQgBEAEEAKABcACIAXAAiACkAOwBcAG4AXABuAFYARQBFAFIARwBfADUAXwAxAF8AMQBfADMAXwBfADEAXwBJAG4AbwByAGcAYQBuAGkAYwBGAGUAcgB0AGkAbABpAHMAZQByAEEAcABwAGwAaQBjAGEAdABpAG8AbgBDAE8AMgBFAG0AaQBzAHMAaQBvAG4AcwBfAEwAYQB0AGUAeABFAHEAdQBhAHQAaQBvAG4AXABuACAAIAA9AEwAQQBNAEIARABBACgAXAAiAEUAXwB7AEMATwAyAH0APQBcAFwAcwB1AG0AXwB7AGoAfQBcAFwAcwB1AG0AXwB7AGYAfQAoACgATQBVAF8AewBqAGYAfQBcAFwAdABpAG0AZQBzACAARQBGAF8AewB1AHIAZQBhACwAQwBPADIAfQBcAFwAdABpAG0AZQBzACAAQwBfAHsAQwBPADIAfQApAFwAXAB0AGkAbQBlAHMAIAAxADAAXgB7AC0AMwB9ACkAXAAiACkAOwBcAG4AXABuAFYARQBFAFIARwBfADUAXwAxAF8AMQBfADMAXwBfADEAXwBJAG4AbwByAGcAYQBuAGkAYwBGAGUAcgB0AGkAbABpAHMAZQByAEEAcABwAGwAaQBjAGEAdABpAG8AbgBDAE8AMgBFAG0AaQBzAHMAaQBvAG4AcwBfAEEAcgBnAHUAbQBlAG4AdABzAFwAbgAgACAAPQBMAEEATQBCAEQAQQAoAFwAbgAgACAAIAAgAE0AQQBLAEUAQQBSAFIAQQBZACgANQAsACAANAAsACAAXABuACAAIAAgACAAIAAgAEwAQQBNAEIARABBACgAcgAsAGMALAAgAFwAbgAgACAAIAAgACAAIAAgACAASQBOAEQARQBYACgAewBcAG4AIAAgACAAIAAgACAAIAAgACAAIABcACIATQBVAF8AagBmAFwAIgAsAFwAIgBtAGEAcwBzACAAbwBmACAAdQByAGUAYQAgAG8AZgAgAGkAbgBvAHIAZwBhAG4AaQBjACAAZgBlAHIAdABpAGwAaQBzAGUAcgAgAHQAeQBwAGUAIABmACAAYQBwAHAAbABpAGUAZAAgAHQAbwAgAHAAcgBvAGQAdQBjAHQAaQBvAG4AIABzAHkAcwB0AGUAbQAgAGoAXAAiACwAIABcACIAawBnACAAdQByAGUAYQBcACIALAAgAFwAIgBDAGEAbABjAHUAbABhAHQAZQBkAFwAIgA7AFwAbgAgACAAIAAgACAAIAAgACAAIAAgAFwAIgBFAEYAXwB1AHIAZQBhAEMATwAyAFwAIgAsAFwAIgBlAG0AaQBzAHMAaQBvAG4AIABmAGEAYwB0AG8AcgAgAGYAbwByACAAYwBhAHIAYgBvAG4AIABlAG0AaQBzAHMAaQBvAG4AcwAgAGYAcgBvAG0AIAB1AHIAZQBhAC0AYgBhAHMAZQBkACAAZgBlAHIAdABpAGwAaQBzAGUAcgBzAFwAIgAsACAAXAAiAGsAZwAgAEMALwBrAGcAIAB1AHIAZQBhAFwAIgAsACAAXAAiAEMAbwBuAHMAdABhAG4AdABcACIAOwBcAG4AIAAgACAAIAAgACAAIAAgACAAIABcACIAQwBfAEMATwAyAFwAIgAsAFwAIgBmAGEAYwB0AG8AcgAgAHQAbwAgAGMAbwBuAHYAZQByAHQAIABlAGwAZQBtAGUAbgB0AGEAbAAgAG0AYQBzAHMAIABvAGYAIABjAGEAcgBiAG8AbgAgAHQAbwAgAG0AbwBsAGUAYwB1AGwAYQByACAAbQBhAHMAcwAgAG8AZgAgAGMAYQByAGIAbwBuACAAZABpAG8AeABpAGQAZQBcACIALAAgAFwAIgBcACIALAAgAFwAIgBDAG8AbgBzAHQAYQBuAHQAXAAiADsAXABuACAAIAAgACAAIAAgACAAIAAgACAAXAAiAGoAXAAiACwAXAAiAFAAcgBvAGQAdQBjAHQAaQBvAG4AIABzAHkAcwB0AGUAbQBcACIALAAgAFwAIgBcACIALAAgAFwAIgBJAG4AcAB1AHQAXAAiADsAXABuACAAIAAgACAAIAAgACAAIAAgACAAXAAiAGYAXAAiACwAXAAiAEkAbgBvAHIAZwBhAG4AaQBjACAAZgBlAHIAdABpAGwAaQBzAGUAcgAgAHQAeQBwAGUAXAAiACwAIABcACIAXAAiACwAIABcACIATABvAG8AawB1AHAAXAAiAFwAbgAgACAAIAAgACAAIAAgACAAfQAsACAAcgAsACAAYwApAFwAbgAgACAAIAAgACAAIAApAFwAbgAgACAAIAAgACkAXABuACAAIAApADsAXABuAFwAbgAvACoAIABcAG4ALQAtAC0ALQAtAC0ALQAtAC0ALQAtAC0ALQAtAC0ALQAtAC0ALQAtAC0ALQAtAC0ALQAtAC0ALQAtAC0ALQAtAC0ALQAtAC0ALQAtAFwAbgBWAEUARQBSAEcAXwA1AF8AMQBfADEAXwAzAF8AXwAyAF8ATQBhAHMAcwBPAGYAVQByAGUAYQBJAG4ASQBuAG8AcgBnAGEAbgBpAGMARgBlAHIAdABpAGwAaQBzAGUAcgBcAG4ATQBhAHMAcwAgAG8AZgAgAHUAcgBlAGEAIABhAHAAcABsAGkAZQBkACAAdABvACAAcAByAG8AZAB1AGMAdABpAG8AbgAgAHMAeQBzAHQAZQBtAFwAbgBNAFUAXwBqAGYAXABuAGsAZwAgAHUAcgBlAGEAXABuAHsATQBVAH0AXwB7AGoAZgB9AD0AVABNAF8AewBqAGYAfQBcAFwAdABpAG0AZQBzACAARgBVAF8AZgBcAG4AVABNAF8AagBmAFwAbgBGAFUAXwBmAFwAbgBqAFwAbgBmAFwAbgAtAC0ALQAtAC0ALQAtAC0ALQAtAC0ALQAtAC0ALQAtAC0ALQAtAC0ALQAtAC0ALQAtAC0ALQAtAC0ALQAtAC0ALQAtAC0ALQAtAC0AXABuACoALwBcAG4AXABuAFYARQBFAFIARwBfADUAXwAxAF8AMQBfADMAXwBfADIAXwBNAGEAcwBzAE8AZgBVAHIAZQBhAEkAbgBJAG4AbwByAGcAYQBuAGkAYwBGAGUAcgB0AGkAbABpAHMAZQByAFwAbgAgACAAPQBMAEEATQBCAEQAQQAoAFwAbgAgACAAIAAgAFQATQBfAGoAZgAsACAARgBVAF8AZgAsAFwAbgAgACAAIAAgAFQATQBfAGoAZgAgACoAIABGAFUAXwBmAFwAbgAgACAAKQA7AFwAbgBcAG4AVgBFAEUAUgBHAF8ANQBfADEAXwAxAF8AMwBfAF8AMgBfAE0AYQBzAHMATwBmAFUAcgBlAGEASQBuAEkAbgBvAHIAZwBhAG4AaQBjAEYAZQByAHQAaQBsAGkAcwBlAHIAXwBUAGkAdABsAGUAXABuACAAIAA9AEwAQQBNAEIARABBACgAXAAiAE0AYQBzAHMAIABvAGYAIAB1AHIAZQBhACAAYQBwAHAAbABpAGUAZAAgAHQAbwAgAHAAcgBvAGQAdQBjAHQAaQBvAG4AIABzAHkAcwB0AGUAbQBcACIAKQA7AFwAbgBcAG4AVgBFAEUAUgBHAF8ANQBfADEAXwAxAF8AMwBfAF8AMgBfAE0AYQBzAHMATwBmAFUAcgBlAGEASQBuAEkAbgBvAHIAZwBhAG4AaQBjAEYAZQByAHQAaQBsAGkAcwBlAHIAXwBWAGEAcgBpAGEAYgBsAGUAXABuACAAIAA9AEwAQQBNAEIARABBACgAXAAiAE0AVQBfAGoAZgBcACIAKQA7AFwAbgBcAG4AVgBFAEUAUgBHAF8ANQBfADEAXwAxAF8AMwBfAF8AMgBfAE0AYQBzAHMATwBmAFUAcgBlAGEASQBuAEkAbgBvAHIAZwBhAG4AaQBjAEYAZQByAHQAaQBsAGkAcwBlAHIAXwBVAG4AaQB0AFwAbgAgACAAPQBMAEEATQBCAEQAQQAoAFwAIgBrAGcAIAB1AHIAZQBhAFwAIgApADsAXABuAFwAbgBWAEUARQBSAEcAXwA1AF8AMQBfADEAXwAzAF8AXwAyAF8ATQBhAHMAcwBPAGYAVQByAGUAYQBJAG4ASQBuAG8AcgBnAGEAbgBpAGMARgBlAHIAdABpAGwAaQBzAGUAcgBfAFMAbwB1AHIAYwBlAFwAbgAgACAAPQBMAEEATQBCAEQAQQAoAFwAIgBWAEUARQBSAEcAIAAyADAAMgA2ADoAIAA1AC4AMQAuADEALgAzACwAIABFAHEAdQBhAHQAaQBvAG4AIAAoADIAKQBcACIAKQA7AFwAbgBcAG4AVgBFAEUAUgBHAF8ANQBfADEAXwAxAF8AMwBfAF8AMgBfAE0AYQBzAHMATwBmAFUAcgBlAGEASQBuAEkAbgBvAHIAZwBhAG4AaQBjAEYAZQByAHQAaQBsAGkAcwBlAHIAXwBOAEkAUgBSAGUAZgBlAHIAZQBuAGMAZQBcAG4AIAAgAD0ATABBAE0AQgBEAEEAKABcACIAXAAiACkAOwBcAG4AXABuAFYARQBFAFIARwBfADUAXwAxAF8AMQBfADMAXwBfADIAXwBNAGEAcwBzAE8AZgBVAHIAZQBhAEkAbgBJAG4AbwByAGcAYQBuAGkAYwBGAGUAcgB0AGkAbABpAHMAZQByAF8ATABhAHQAZQB4AEUAcQB1AGEAdABpAG8AbgBcAG4AIAAgAD0ATABBAE0AQgBEAEEAKABcACIAewBNAFUAfQBfAHsAagBmAH0APQBUAE0AXwB7AGoAZgB9AFwAXAB0AGkAbQBlAHMAIABGAFUAXwBmAFwAIgApADsAXABuAFwAbgBWAEUARQBSAEcAXwA1AF8AMQBfADEAXwAzAF8AXwAyAF8ATQBhAHMAcwBPAGYAVQByAGUAYQBJAG4ASQBuAG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VABNAF8AagBmAFwAIgAsAFwAIgB0AG8AdABhAGwAIABtAGEAcwBzACAAbwBmACAAaQBuAG8AcgBnAGEAbgBpAGMAIABmAGUAcgB0AGkAbABpAHMAZQByACAAdAB5AHAAZQAgAGYAIABhAHAAcABsAGkAZQBkACAAdABvACAAcAByAG8AZAB1AGMAdABpAG8AbgAgAHMAeQBzAHQAZQBtACAAagBcACIALABcACIAawBnAFwAIgAsACAAXAAiAEkAbgBwAHUAdABcACIAOwBcAG4AIAAgACAAIAAgACAAIAAgACAAIABcACIARgBVAF8AZgBcACIALABcACIAZgByAGEAYwB0AGkAbwBuACAAbwBmACAAdQByAGUAYQAgAGkAbgAgAGYAZQByAHQAaQBsAGkAcwBlAHIAIAB0AHkAcABlACAAZgBcACIALABcACIAawBnACAAdQByAGUAYQAvAGsAZwBcACIALAAgAFwAIgBMAG8AbwBrAHUAcABcACIAXABuACAAIAAgACAAIAAgACAAIAB9ACwAIAByACwAIABjACkAXABuACAAIAAgACAAIAAgACkAXABuACAAIAAgACAAKQBcAG4AIAAgACkAOwBcAG4AIgB9ACwAewAiAHAAYQB0AGgAIgA6ACIALwBwAHIAbwBqAGUAYwB0AHMALwBGAGUAcgB0AGkAbABpAHMAZQByAF8ARQBxAHUAYQB0AGkAbwBuAHMAXwBPAHIAZwBhAG4AaQBjAE4AMgBP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gAgAE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yAF8AMQBfADEAXwBfADEAXwBPAHIAZwBhAG4AaQBjAEYAZQByAHQAaQBsAGkAcwBlAHIAQQBwAHAAbABpAGMAYQB0AGkAbwBuAE4AMgBPAEUAbQBpAHMAcwBpAG8AbgBzAFwAbgBOAGkAdAByAG8AdQBzACAAbwB4AGkAZABlACAAZQBtAGkAcwBzAGkAbwBuAHMAIABmAHIAbwBtACAAdABoAGUAIABhAHAAcABsAGkAYwBhAHQAaQBvAG4AIABvAGYAIABhAGwAbAAgAG8AcgBnAGEAbgBpAGMAIABmAGUAcgB0AGkAbABpAHMAZQByACAAdAB5AHAAZQBzACAAZgAgAHQAbwAgAGEAbABsACAAcAByAG8AZAB1AGMAdABpAG8AbgAgAHMAeQBzAHQAZQBtAHMAIABqAFwAbgBFAF8ATgAyAE8AXABuAHQAIABOADIATwBcAG4ARQBfAHsATgAyAE8AfQA9AFwAXABzAHUAbQBfAHsAagB9AFwAXABzAHUAbQBfAHsAZgB9ACgAKABNAE4AUwBvAGkAbABfAHsAagBmAH0AXABcAHQAaQBtAGUAcwAgAEUARgBfAHsATgAyAE8ALABpAH0AXABcAHQAaQBtAGUAcwAgAEMAXwB7AE4AMgBPAH0AKQBcAFwAdABpAG0AZQBzACAAMQAwAF4AewAtADMAfQApAFwAbgBNAE4AUwBvAGkAbABfAGoAZgBcAG4ARQBGAF8ATgAyAE8AaQBcAG4AQwBfAE4AMgBPAFwAbgBqAFwAbgBpAFwAbgBmAFwAbgAtAC0ALQAtAC0ALQAtAC0ALQAtAC0ALQAtAC0ALQAtAC0ALQAtAC0ALQAtAC0ALQAtAC0ALQAtAC0ALQAtAC0ALQAtAC0ALQAtAC0AXABuACoALwBcAG4AXABuAFYARQBFAFIARwBfADUAXwAyAF8AMQBfADEAXwBfADEAXwBPAHIAZwBhAG4AaQBjAEYAZQByAHQAaQBsAGkAcwBlAHIAQQBwAHAAbABpAGMAYQB0AGkAbwBuAE4AMgBPAEUAbQBpAHMAcwBpAG8AbgBzAFwAbgAgACAAPQBMAEEATQBCAEQAQQAoAFwAbgAgACAAIAAgAE0ATgBTAG8AaQBsAF8AagBmACwAIABFAEYAXwBOADIATwBpACwAIABDAF8ATgAyAE8ALABcAG4AIAAgACAAIAAoAE0ATgBTAG8AaQBsAF8AagBmACAAKgAgAEUARgBfAE4AMgBPAGkAIAAqACAAQwBfAE4AMgBPACkAIAAqACAAMQAwACAAXgAgAC0AMwBcAG4AIAAgACkAOwBcAG4AXABuAFYARQBFAFIARwBfADUAXwAyAF8AMQBfADEAXwBfADEAXwBPAHIAZwBhAG4AaQBjAEYAZQByAHQAaQBsAGkAcwBlAHIAQQBwAHAAbABpAGMAYQB0AGkAbwBuAE4AMgBPAEUAbQBpAHMAcwBpAG8AbgBzAF8AVABpAHQAbABlAFwAbgAgACAAPQBMAEEATQBCAEQAQQAoAFwAIgBOAGkAdAByAG8AdQBzACAAbwB4AGkAZABlACAAZQBtAGkAcwBzAGkAbwBuAHMAIABmAHIAbwBtACAAdABoAGUAIABhAHAAcABsAGkAYwBhAHQAaQBvAG4AIABvAGYAIABhAGwAbAAgAG8AcgBnAGEAbgBpAGMAIABmAGUAcgB0AGkAbABpAHMAZQByACAAdAB5AHAAZQBzACAAZgAgAHQAbwAgAGEAbABsACAAcAByAG8AZAB1AGMAdABpAG8AbgAgAHMAeQBzAHQAZQBtAHMAIABqAFwAIgApADsAXABuAFwAbgBWAEUARQBSAEcAXwA1AF8AMgBfADEAXwAxAF8AXwAxAF8ATwByAGcAYQBuAGkAYwBGAGUAcgB0AGkAbABpAHMAZQByAEEAcABwAGwAaQBjAGEAdABpAG8AbgBOADIATwBFAG0AaQBzAHMAaQBvAG4AcwBfAFYAYQByAGkAYQBiAGwAZQBcAG4AIAAgAD0ATABBAE0AQgBEAEEAKABcACIARQBfAE4AMgBPAFwAIgApADsAXABuAFwAbgBWAEUARQBSAEcAXwA1AF8AMgBfADEAXwAxAF8AXwAxAF8ATwByAGcAYQBuAGkAYwBGAGUAcgB0AGkAbABpAHMAZQByAEEAcABwAGwAaQBjAGEAdABpAG8AbgBOADIATwBFAG0AaQBzAHMAaQBvAG4AcwBfAFUAbgBpAHQAXABuACAAIAA9AEwAQQBNAEIARABBACgAXAAiAHQAIABOADIATwBcACIAKQA7AFwAbgBcAG4AVgBFAEUAUgBHAF8ANQBfADIAXwAxAF8AMQBfAF8AMQBfAE8AcgBnAGEAbgBpAGMARgBlAHIAdABpAGwAaQBzAGUAcgBBAHAAcABsAGkAYwBhAHQAaQBvAG4ATgAyAE8ARQBtAGkAcwBzAGkAbwBuAHMAXwBTAG8AdQByAGMAZQBcAG4AIAAgAD0ATABBAE0AQgBEAEEAKABcACIAVgBFAEUAUgBHACAAMgAwADIANgA6ACAANQAuADIALgAxAC4AMQAsACAARQBxAHUAYQB0AGkAbwBuACAAKAAxACkAXAAiACkAOwBcAG4AXABuAFYARQBFAFIARwBfADUAXwAyAF8AMQBfADEAXwBfADEAXwBPAHIAZwBhAG4AaQBjAEYAZQByAHQAaQBsAGkAcwBlAHIAQQBwAHAAbABpAGMAYQB0AGkAbwBuAE4AMgBPAEUAbQBpAHMAcwBpAG8AbgBzAF8ATgBJAFIAUgBlAGYAZQByAGUAbgBjAGUAXABuACAAIAA9AEwAQQBNAEIARABBACgAXAAiAFwAIgApADsAXABuAFwAbgBWAEUARQBSAEcAXwA1AF8AMgBfADEAXwAxAF8AXwAxAF8ATwByAGcAYQBuAGkAYwBGAGUAcgB0AGkAbABpAHMAZQByAEEAcABwAGwAaQBjAGEAdABpAG8AbgBOADIATwBFAG0AaQBzAHMAaQBvAG4AcwBfAEwAYQB0AGUAeABFAHEAdQBhAHQAaQBvAG4AXABuACAAIAA9AEwAQQBNAEIARABBACgAXAAiAEUAXwB7AE4AMgBPAH0APQBcAFwAcwB1AG0AXwB7AGoAfQBcAFwAcwB1AG0AXwB7AGYAfQAoACgATQBOAFMAbwBpAGwAXwB7AGoAZgB9AFwAXAB0AGkAbQBlAHMAIABFAEYAXwB7AE4AMgBPACwAaQB9AFwAXAB0AGkAbQBlAHMAIABDAF8AewBOADIATwB9ACkAXABcAHQAaQBtAGUAcwAgADEAMABeAHsALQAzAH0AKQBcACIAKQA7AFwAbgBcAG4AVgBFAEUAUgBHAF8ANQBfADIAXwAxAF8AMQBfAF8AMQBfAE8AcgBnAGEAbgBpAGMARgBlAHIAdABpAGwAaQBzAGUAcgBBAHAAcABsAGkAYwBhAHQAaQBvAG4ATgAyAE8ARQBtAGkAcwBzAGkAbwBuAHMAXwBBAHIAZwB1AG0AZQBuAHQAcwBcAG4AIAAgAD0ATABBAE0AQgBEAEEAKABcAG4AIAAgACAAIABNAEEASwBFAEEAUgBSAEEAWQAoADUALAAgADQALAAgAFwAbgAgACAAIAAgACAAIABMAEEATQBCAEQAQQAoAHIALABjACwAIABcAG4AIAAgACAAIAAgACAAIAAgAEkATgBEAEUAWAAoAHsAXABuACAAIAAgACAAIAAgACAAIAAgACAAXAAiAE0ATgBTAG8AaQBsAF8AagBmAFwAIgAsAFwAIgBtAGEAcwBzACAAbwBmACAAbgBpAHQAcgBvAGcAZQBuACAAaQBuACAAbwByAGcAYQBuAGkAYwAgAGYAZQByAHQAaQBsAGkAcwBlAHIAIAB0AHkAcABlACAAZgAgAGEAcABwAGwAaQBlAGQAIAB0AG8AIABwAHIAbwBkAHUAYwB0AGkAbwBuACAAcwB5AHMAdABlAG0AIABqAFwAIgAsACAAXAAiAGsAZwAgAE4AXAAiACwAIABcACIAQwBhAGwAYwB1AGwAYQB0AGUAZAAgAGYAcgBvAG0AIAA1AC4AMgAuADEALgAxACAAKAAyACkAXAAiADsAXABuACAAIAAgACAAIAAgACAAIAAgACAAXAAiAEUARgBfAE4AMgBPAGkAXAAiACwAXAAiAGUAbQBpAHMAcwBpAG8AbgAgAGYAYQBjAHQAbwByACAAZgBvAHIAIABkAGkAcgBlAGMAdAAgAG4AaQB0AHIAbwB1AHMAIABvAHgAaQBkAGUAIABlAG0AaQBzAHMAaQBvAG4AcwAgAGYAcgBvAG0AIABvAHIAZwBhAG4AaQBjACAAZgBlAHIAdABpAGwAaQBzAGUAcgAgAGEAcABwAGwAaQBlAGQAIAB0AG8AIABzAG8AaQBsAHMAIABhAG4AZAAgAGEAcQB1AGEAdABpAGMAIABzAHkAcwB0AGUAbQBzACAAaQBuACAAYwBsAGkAbQBhAHQAZQAgAHoAbwBuAGUAIABpAFwAIgAsACAAXAAiAGsAZwAgAE4AMgBPAC0ATgAvAGsAZwAgAE4AXAAiACwAIABcACIATABvAG8AawB1AHA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kAXAAiACwAXAAiAFcAZQB0ACAAbwByACAAZAByAHkAIABjAGwAaQBtAGEAdABlACAAegBvAG4AZQ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MgBfADEAXwAxAF8AXwAyAF8ATQBhAHMAcwBPAGYATgBpAHQAcgBvAGcAZQBuAEkAbgBPAHIAZwBhAG4AaQBjAEYAZQByAHQAaQBsAGkAcwBlAHIAXABuAE0AYQBzAHMAIABvAGYAIABuAGkAdAByAG8AZwBlAG4AIABpAG4AIABwAHUAcgBjAGgAYQBzAGUAZAAgAG8AcgBnAGEAbgBpAGMAIABmAGUAcgB0AGkAbABpAHMAZQByAHMAIABhAHAAcABsAGkAZQBkACAAdABvACAAcAByAG8AZAB1AGMAdABpAG8AbgAgAHMAeQBzAHQAZQBtAFwAbgBNAE4AUwBvAGkAbABfAGoAZgBcAG4AawBnACAATgBcAG4ATQBOAFMAbwBpAGwAXwB7AGoAZgB9AD0ATQBfAHsAbwByAGcAYQBuAGkAYwAsAGoAZgB9AFwAXAB0AGkAbQBlAHMAIABGAE4AXwB7AG8AcgBnAGEAbgBpAGMALABmAH0AXABuAE0AXwBvAHIAZwBhAG4AaQBjAGoAZgBcAG4ARgBOAF8AbwByAGcAYQBuAGkAYwBmAFwAbgBqAFwAbgBmAFwAbgAtAC0ALQAtAC0ALQAtAC0ALQAtAC0ALQAtAC0ALQAtAC0ALQAtAC0ALQAtAC0ALQAtAC0ALQAtAC0ALQAtAC0ALQAtAC0ALQAtAC0AXABuACoALwBcAG4AXABuAFYARQBFAFIARwBfADUAXwAyAF8AMQBfADEAXwBfADIAXwBNAGEAcwBzAE8AZgBOAGkAdAByAG8AZwBlAG4ASQBuAE8AcgBnAGEAbgBpAGMARgBlAHIAdABpAGwAaQBzAGUAcgBcAG4AIAAgAD0ATABBAE0AQgBEAEEAKABcAG4AIAAgACAAIABNAF8AbwByAGcAYQBuAGkAYwBqAGYALAAgAEYATgBfAG8AcgBnAGEAbgBpAGMAZgAsAFwAbgAgACAAIAAgAE0AXwBvAHIAZwBhAG4AaQBjAGoAZgAgACoAIABGAE4AXwBvAHIAZwBhAG4AaQBjAGYAXABuACAAIAApADsAXABuAFwAbgBWAEUARQBSAEcAXwA1AF8AMgBfADEAXwAxAF8AXwAyAF8ATQBhAHMAcwBPAGYATgBpAHQAcgBvAGcAZQBuAEkAbgBPAHIAZwBhAG4AaQBjAEYAZQByAHQAaQBsAGkAcwBlAHIAXwBUAGkAdABsAGUAXABuACAAIAA9AEwAQQBNAEIARABBACgAXAAiAE0AYQBzAHMAIABvAGYAIABuAGkAdAByAG8AZwBlAG4AIABpAG4AIABwAHUAcgBjAGgAYQBzAGUAZAAgAG8AcgBnAGEAbgBpAGMAIABmAGUAcgB0AGkAbABpAHMAZQByAHMAIABhAHAAcABsAGkAZQBkACAAdABvACAAcAByAG8AZAB1AGMAdABpAG8AbgAgAHMAeQBzAHQAZQBtAFwAIgApADsAXABuAFwAbgBWAEUARQBSAEcAXwA1AF8AMgBfADEAXwAxAF8AXwAyAF8ATQBhAHMAcwBPAGYATgBpAHQAcgBvAGcAZQBuAEkAbgBPAHIAZwBhAG4AaQBjAEYAZQByAHQAaQBsAGkAcwBlAHIAXwBWAGEAcgBpAGEAYgBsAGUAXABuACAAIAA9AEwAQQBNAEIARABBACgAXAAiAE0ATgBTAG8AaQBsAF8AagBmAFwAIgApADsAXABuAFwAbgBWAEUARQBSAEcAXwA1AF8AMgBfADEAXwAxAF8AXwAyAF8ATQBhAHMAcwBPAGYATgBpAHQAcgBvAGcAZQBuAEkAbgBPAHIAZwBhAG4AaQBjAEYAZQByAHQAaQBsAGkAcwBlAHIAXwBVAG4AaQB0AFwAbgAgACAAPQBMAEEATQBCAEQAQQAoAFwAIgBrAGcAIABOAFwAIgApADsAXABuAFwAbgBWAEUARQBSAEcAXwA1AF8AMgBfADEAXwAxAF8AXwAyAF8ATQBhAHMAcwBPAGYATgBpAHQAcgBvAGcAZQBuAEkAbgBPAHIAZwBhAG4AaQBjAEYAZQByAHQAaQBsAGkAcwBlAHIAXwBTAG8AdQByAGMAZQBcAG4AIAAgAD0ATABBAE0AQgBEAEEAKABcACIAVgBFAEUAUgBHACAAMgAwADIANgA6ACAANQAuADIALgAxAC4AMQAsACAARQBxAHUAYQB0AGkAbwBuACAAKAAyACkAXAAiACkAOwBcAG4AXABuAFYARQBFAFIARwBfADUAXwAyAF8AMQBfADEAXwBfADIAXwBNAGEAcwBzAE8AZgBOAGkAdAByAG8AZwBlAG4ASQBuAE8AcgBnAGEAbgBpAGMARgBlAHIAdABpAGwAaQBzAGUAcgBfAE4ASQBSAFIAZQBmAGUAcgBlAG4AYwBlAFwAbgAgACAAPQBMAEEATQBCAEQAQQAoAFwAIgBcACIAKQA7AFwAbgBcAG4AVgBFAEUAUgBHAF8ANQBfADIAXwAxAF8AMQBfAF8AMgBfAE0AYQBzAHMATwBmAE4AaQB0AHIAbwBnAGUAbgBJAG4ATwByAGcAYQBuAGkAYwBGAGUAcgB0AGkAbABpAHMAZQByAF8ATABhAHQAZQB4AEUAcQB1AGEAdABpAG8AbgBcAG4AIAAgAD0ATABBAE0AQgBEAEEAKABcACIATQBOAFMAbwBpAGwAXwB7AGoAZgB9AD0ATQBfAHsAbwByAGcAYQBuAGkAYwAsAGoAZgB9AFwAXAB0AGkAbQBlAHMAIABGAE4AXwB7AG8AcgBnAGEAbgBpAGMALABmAH0AXAAiACkAOwBcAG4AXABuAFYARQBFAFIARwBfADUAXwAyAF8AMQBfADEAXwBfADIAXwBNAGEAcwBzAE8AZgBOAGkAdAByAG8AZwBlAG4ASQBuAE8AcgBnAGEAbgBpAGMARgBlAHIAdABpAGwAaQBzAGUAcgBfAEEAcgBnAHUAbQBlAG4AdABzAFwAbgAgACAAPQBMAEEATQBCAEQAQQAoAFwAbgAgACAAIAAgAE0AQQBLAEUAQQBSAFIAQQBZACgAMwAsACAANAAsACAAXABuACAAIAAgACAAIAAgAEwAQQBNAEIARABBACgAcgAsAGMALAAgAFwAbgAgACAAIAAgACAAIAAgACAASQBOAEQARQBYACgAewBcAG4AIAAgACAAIAAgACAAIAAgACAAIABcACIATQBfAG8AcgBnAGEAbgBpAGMAagBmAFwAIgAsAFwAIgBtAGEAcwBzACAAbwBmACAAbwByAGcAYQBuAGkAYwAgAGYAZQByAHQAaQBsAGkAcwBlAHIAIAB0AHkAcABlACAAZgAgAGEAcABwAGwAaQBlAGQAIAB0AG8AIABwAHIAbwBkAHUAYwB0AGkAbwBuACAAcwB5AHMAdABlAG0AIABqAFwAIgAsACAAXAAiAGsAZwBcACIALAAgAFwAIgBJAG4AcAB1AHQAXAAiADsAXABuACAAIAAgACAAIAAgACAAIAAgACAAXAAiAEYATgBfAG8AcgBnAGEAbgBpAGMAZgBcACIALABcACIAbgBpAHQAcgBvAGcAZQBuACAAZgByAGEAYwB0AGkAbwBuACAAbwBmACAAbwByAGcAYQBuAGkAYwAgAGYAZQByAHQAaQBsAGkAcwBlAHIAIAB0AHkAcABlACAAZgBcACIALAAgAFwAIgBrAGcAIABOAC8AawBnAFwAIgAsACAAXAAiAEkAbgBwAHUAdABcACIAOwBcAG4AIAAgACAAIAAgACAAIAAgACAAIABcACIAZgBcACIALABcACIATwByAGcAYQBuAGkAYwAgAGYAZQByAHQAaQBsAGkAcwBlAHIAIAB0AHkAcABlAFwAIgAsACAAXAAiAFwAIgAsACAAXAAiAEkAbgBwAHUAdABcACIAXABuACAAIAAgACAAIAAgACAAIAB9ACwAIAByACwAIABjACkAXABuACAAIAAgACAAIAAgACkAXABuACAAIAAgACAAKQBcAG4AIAAgACkAOwBcAG4AIgB9ACwAewAiAHAAYQB0AGgAIgA6ACIALwBwAHIAbwBqAGUAYwB0AHMALwBGAGUAcgB0AGkAbABpAHMAZQByAF8ARQBxAHUAYQB0AGkAbwBuAHMAXwBMAGkAbQBl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wAgAEwAaQBtAGU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MAXwAxAF8AMQBfAF8AMQBfAEwAaQBtAGUAQQBwAHAAbABpAGMAYQB0AGkAbwBuAEMATwAyAEUAbQBpAHMAcwBpAG8AbgBzAFwAbgBFAG0AaQBzAHMAaQBvAG4AcwAgAGYAcgBvAG0AIAB0AGgAZQAgAGEAcABwAGwAaQBjAGEAdABpAG8AbgAgAG8AZgAgAGwAaQBtAGUAIABhAG4AZAAgAGQAbwBsAG8AbQBpAHQAZQAgAHQAbwAgAHAAcgBvAGQAdQBjAHQAaQBvAG4AIABzAHkAcwB0AGUAbQBzAFwAbgBFAF8AbABpAG0AZQBcAG4AdAAgAEMATwAyAFwAbgBFAF8AewBsAGkAbQBlAH0APQBbACgATQBfAHsAbABpAG0AZQB9AFwAXAB0AGkAbQBlAHMAIABGAHIAYQBjAEwAaQBtAGUAXABcAHQAaQBtAGUAcwAgAFAAXwB7AGwAaQBtAGUAfQBcAFwAdABpAG0AZQBzACAARQBGAF8AewBsAGkAbQBlAH0AKQArACgATQBfAHsAbABpAG0AZQB9AFwAXAB0AGkAbQBlAHMAIABGAHIAYQBjAEQAbwBsAFwAXAB0AGkAbQBlAHMAIABQAF8AewBkAG8AbAB9AFwAXAB0AGkAbQBlAHMAIABFAEYAXwB7AGQAbwBsAH0AKQBdAFwAXAB0AGkAbQBlAHMAIABDAF8AewBDAE8AMgB9AFwAXAB0AGkAbQBlAHMAIAAxADAAXgB7AC0AMwB9AFwAbgBNAF8AbABpAG0AZQBcAG4ARgByAGEAYwBMAGkAbQBlAFwAbgBQAF8AbABpAG0AZQBcAG4ARQBGAF8AbABpAG0AZQBcAG4ARgByAGEAYwBEAG8AbABcAG4AUABfAGQAbwBsAFwAbgBFAEYAXwBkAG8AbABcAG4AQwBfAEMATwAyAFwAbgAtAC0ALQAtAC0ALQAtAC0ALQAtAC0ALQAtAC0ALQAtAC0ALQAtAC0ALQAtAC0ALQAtAC0ALQAtAC0ALQAtAC0ALQAtAC0ALQAtAC0AXABuACoALwBcAG4AXABuAFYARQBFAFIARwBfADUAXwAzAF8AMQBfADEAXwBfADEAXwBMAGkAbQBlAEEAcABwAGwAaQBjAGEAdABpAG8AbgBDAE8AMgBFAG0AaQBzAHMAaQBvAG4AcwBcAG4AIAAgAD0ATABBAE0AQgBEAEEAKABcAG4AIAAgACAAIABNAF8AbABpAG0AZQAsACAARgByAGEAYwBMAGkAbQBlACwAIABQAF8AbABpAG0AZQAsACAARQBGAF8AbABpAG0AZQAsACAARgByAGEAYwBEAG8AbAAsACAAUABfAGQAbwBsACwAIABFAEYAXwBkAG8AbAAsACAAQwBfAEMATwAyACwAXABuACAAIAAgACAAKAAoAE0AXwBsAGkAbQBlACAAKgAgAEYAcgBhAGMATABpAG0AZQAgACoAIABQAF8AbABpAG0AZQAgACoAIABFAEYAXwBsAGkAbQBlACkAIAArACAAKABNAF8AbABpAG0AZQAgACoAIABGAHIAYQBjAEQAbwBsACAAKgAgAFAAXwBkAG8AbAAgACoAIABFAEYAXwBkAG8AbAApACkAIAAqACAAQwBfAEMATwAyACAAKgAgADEAMAAgAF4AIAAtADMAXABuACAAIAApADsAXABuAFwAbgBWAEUARQBSAEcAXwA1AF8AMwBfADEAXwAxAF8AXwAxAF8ATABpAG0AZQBBAHAAcABsAGkAYwBhAHQAaQBvAG4AQwBPADIARQBtAGkAcwBzAGkAbwBuAHMAXwBUAGkAdABsAGUAXABuACAAIAA9AEwAQQBNAEIARABBACgAXAAiAEUAbQBpAHMAcwBpAG8AbgBzACAAZgByAG8AbQAgAHQAaABlACAAYQBwAHAAbABpAGMAYQB0AGkAbwBuACAAbwBmACAAbABpAG0AZQAgAGEAbgBkACAAZABvAGwAbwBtAGkAdABlACAAdABvACAAcAByAG8AZAB1AGMAdABpAG8AbgAgAHMAeQBzAHQAZQBtAHMAXAAiACkAOwBcAG4AXABuAFYARQBFAFIARwBfADUAXwAzAF8AMQBfADEAXwBfADEAXwBMAGkAbQBlAEEAcABwAGwAaQBjAGEAdABpAG8AbgBDAE8AMgBFAG0AaQBzAHMAaQBvAG4AcwBfAFYAYQByAGkAYQBiAGwAZQBcAG4AIAAgAD0ATABBAE0AQgBEAEEAKABcACIARQBfAGwAaQBtAGUAXAAiACkAOwBcAG4AXABuAFYARQBFAFIARwBfADUAXwAzAF8AMQBfADEAXwBfADEAXwBMAGkAbQBlAEEAcABwAGwAaQBjAGEAdABpAG8AbgBDAE8AMgBFAG0AaQBzAHMAaQBvAG4AcwBfAFUAbgBpAHQAXABuACAAIAA9AEwAQQBNAEIARABBACgAXAAiAHQAIABDAE8AMgBcACIAKQA7AFwAbgBcAG4AVgBFAEUAUgBHAF8ANQBfADMAXwAxAF8AMQBfAF8AMQBfAEwAaQBtAGUAQQBwAHAAbABpAGMAYQB0AGkAbwBuAEMATwAyAEUAbQBpAHMAcwBpAG8AbgBzAF8AUwBvAHUAcgBjAGUAXABuACAAIAA9AEwAQQBNAEIARABBACgAXAAiAFYARQBFAFIARwAgADIAMAAyADYAOgAgADUALgAzAC4AMQAuADEALAAgAEUAcQB1AGEAdABpAG8AbgAgACgAMQApAFwAIgApADsAXABuAFwAbgBWAEUARQBSAEcAXwA1AF8AMwBfADEAXwAxAF8AXwAxAF8ATABpAG0AZQBBAHAAcABsAGkAYwBhAHQAaQBvAG4AQwBPADIARQBtAGkAcwBzAGkAbwBuAHMAXwBOAEkAUgBSAGUAZgBlAHIAZQBuAGMAZQBcAG4AIAAgAD0ATABBAE0AQgBEAEEAKABcACIAXAAiACkAOwBcAG4AXABuAFYARQBFAFIARwBfADUAXwAzAF8AMQBfADEAXwBfADEAXwBMAGkAbQBlAEEAcABwAGwAaQBjAGEAdABpAG8AbgBDAE8AMgBFAG0AaQBzAHMAaQBvAG4AcwBfAEwAYQB0AGUAeABFAHEAdQBhAHQAaQBvAG4AXABuACAAIAA9AEwAQQBNAEIARABBACgAXAAiAEUAXwB7AGwAaQBtAGUAfQA9AFsAKABNAF8AewBsAGkAbQBlAH0AXABcAHQAaQBtAGUAcwAgAEYAcgBhAGMATABpAG0AZQBcAFwAdABpAG0AZQBzACAAUABfAHsAbABpAG0AZQB9AFwAXAB0AGkAbQBlAHMAIABFAEYAXwB7AGwAaQBtAGUAfQApACsAKABNAF8AewBsAGkAbQBlAH0AXABcAHQAaQBtAGUAcwAgAEYAcgBhAGMARABvAGwAXABcAHQAaQBtAGUAcwAgAFAAXwB7AGQAbwBsAH0AXABcAHQAaQBtAGUAcwAgAEUARgBfAHsAZABvAGwAfQApAF0AXABcAHQAaQBtAGUAcwAgAEMAXwB7AEMATwAyAH0AXABcAHQAaQBtAGUAcwAgADEAMABeAHsALQAzAH0AXAAiACkAOwBcAG4AXABuAFYARQBFAFIARwBfADUAXwAzAF8AMQBfADEAXwBfADEAXwBMAGkAbQBlAEEAcABwAGwAaQBjAGEAdABpAG8AbgBDAE8AMgBFAG0AaQBzAHMAaQBvAG4AcwBfAEEAcgBnAHUAbQBlAG4AdABzAFwAbgAgACAAPQBMAEEATQBCAEQAQQAoAFwAbgAgACAAIAAgAE0AQQBLAEUAQQBSAFIAQQBZACgAOAAsACAANAAsACAAXABuACAAIAAgACAAIAAgAEwAQQBNAEIARABBACgAcgAsAGMALAAgAFwAbgAgACAAIAAgACAAIAAgACAASQBOAEQARQBYACgAewBcAG4AIAAgACAAIAAgACAAIAAgACAAIABcACIATQBfAGwAaQBtAGUAXAAiACwAXAAiAHQAbwB0AGEAbAAgAG0AYQBzAHMAIABvAGYAIABsAGkAbQBlACAAYQBwAHAAbABpAGUAZAAgAHQAbwAgAHAAcgBvAGQAdQBjAHQAaQBvAG4AIABzAHkAcwB0AGUAbQBcACIALAAgAFwAIgBrAGcAXAAiACwAIABcACIASQBuAHAAdQB0AFwAIgA7AFwAbgAgACAAIAAgACAAIAAgACAAIAAgAFwAIgBGAHIAYQBjAEwAaQBtAGUAXAAiACwAXAAiAGYAcgBhAGMAdABpAG8AbgAgAG8AZgAgAGwAaQBtAGUAIABhAHMAIABsAGkAbQBlAHMAdABvAG4AZQAgACgAQwBhAEMATwAzACkAXAAiACwAIABcACIAZgByAGEAYwB0AGkAbwBuAFwAIgAsACAAXAAiAEkAbgBwAHUAdABcACIAOwBcAG4AIAAgACAAIAAgACAAIAAgACAAIABcACIAUABfAGwAaQBtAGUAXAAiACwAXAAiAGYAcgBhAGMAdABpAG8AbgBhAGwAIABwAHUAcgBpAHQAeQAgAG8AZgAgAGwAaQBtAGUAcwB0AG8AbgBlAFwAIgAsACAAXAAiAGYAcgBhAGMAdABpAG8AbgBcACIALAAgAFwAIgBDAG8AbgBzAHQAYQBuAHQAXAAiADsAXABuACAAIAAgACAAIAAgACAAIAAgACAAXAAiAEUARgBfAGwAaQBtAGUAXAAiACwAXAAiAGUAbQBpAHMAcwBpAG8AbgAgAGYAYQBjAHQAbwByACAAZgBvAHIAIABsAGkAbQBlAHMAdABvAG4AZQAgAGYAcgBhAGMAdABpAG8AbgAgAG8AZgAgAGwAaQBtAGUAXAAiACwAIABcACIAawBnACAAQwAvAGsAZwBcACIALAAgAFwAIgBDAG8AbgBzAHQAYQBuAHQAXAAiADsAXABuACAAIAAgACAAIAAgACAAIAAgACAAXAAiAEYAcgBhAGMARABvAGwAXAAiACwAXAAiAGYAcgBhAGMAdABpAG8AbgAgAG8AZgAgAGwAaQBtAGUAIABhAHMAIABkAG8AbABvAG0AaQB0AGUAXAAiACwAIABcACIAZgByAGEAYwB0AGkAbwBuAFwAIgAsACAAXAAiAEkAbgBwAHUAdABcACIAOwBcAG4AIAAgACAAIAAgACAAIAAgACAAIABcACIAUABfAGQAbwBsAFwAIgAsAFwAIgBmAHIAYQBjAHQAaQBvAG4AYQBsACAAcAB1AHIAaQB0AHkAIABvAGYAIABkAG8AbABvAG0AaQB0AGUAXAAiACwAIABcACIAZgByAGEAYwB0AGkAbwBuAFwAIgAsACAAXAAiAEMAbwBuAHMAdABhAG4AdABcACIAOwBcAG4AIAAgACAAIAAgACAAIAAgACAAIABcACIARQBGAF8AZABvAGwAXAAiACwAXAAiAGUAbQBpAHMAcwBpAG8AbgAgAGYAYQBjAHQAbwByACAAZgBvAHIAIABkAG8AbABvAG0AaQB0AGUAIABmAHIAYQBjAHQAaQBvAG4AIABvAGYAIABsAGkAbQBlAFwAIgAsACAAXAAiAGsAZwAgAEMALwBrAGcAXAAiACwAIABcACIAQwBvAG4AcwB0AGEAbgB0AFwAIgA7AFwAbgAgACAAIAAgACAAIAAgACAAIAAgAFwAIgBDAF8AQwBPADIAXAAiACwAXAAiAGYAYQBjAHQAbwByACAAdABvACAAYwBvAG4AdgBlAHIAdAAgAGUAbABlAG0AZQBuAHQAYQBsACAAbQBhAHMAcwAgAG8AZgAgAGMAYQByAGIAbwBuACAAZABpAG8AeABpAGQAZQAgAHQAbwAgAG0AbwBsAGUAYwB1AGwAYQByACAAbQBhAHMAcwBcACIALAAgAFwAIgBcACIALAAgAFwAIgBDAG8AbgBzAHQAYQBuAHQAXAAiAFwAbgAgACAAIAAgACAAIAAgACAAfQAsACAAcgAsACAAYwApAFwAbgAgACAAIAAgACAAIAApAFwAbgAgACAAIAAgACkAXABuACAAIAApADsAXABuAFwAbgBcAG4AIgB9ACwAewAiAHAAYQB0AGgAIgA6ACIALwBwAHIAbwBqAGUAYwB0AHMALwBGAGUAcgB0AGkAbABpAHMAZQByAF8ARQBxAHUAYQB0AGkAbwBuAHMAXwBBAHQAbQBvAHMAcABoAGUAcgBpAGMARABlAHAAbwBzAGkAdABpAG8Ab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QAIABJAG4AbwByAGcAYQBuAGkAYwAgAGYAZQByAHQAaQBsAGkAcwBlAHIAIABhAHQAbQBvAHMAcABoAGUAcgBpAGMAIABkAGUAcABvAHMAa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0AF8AMQBfADEAXwBfADEAXwBJAG4AbwByAGcAYQBuAGkAYwBGAGUAcgB0AGkAbABpAHMAZQByAEEAdABtAG8AcwBwAGgAZQByAGkAYwBEAGUAcABvAHMAaQB0AGkAbwBuAE4AMgBPAEUAbQBpAHMAcwBpAG8AbgBzAFwAbgBOAGkAdAByAG8AdQBzACAAbwB4AGkAZABlACAAZQBtAGkAcwBzAGkAbwBuAHMAIABmAHIAbwBtACAAYQB0AG0AbwBzAHAAaABlAHIAaQBjACAAZABlAHAAbwBzAGkAdABpAG8AbgAgAGYAcgBvAG0AIABhAGwAbAAgAGkAbgBvAHIAZwBhAG4AaQBjACAAZgBlAHIAdABpAGwAaQBzAGUAcgAgAHQAeQBwAGUAcwAgAGYAIABhAG4AZAAgAGEAbABsACAAcAByAG8AZAB1AGMAdABpAG8AbgAgAHMAeQBzAHQAZQBtAHMAIABqAFwAbgBFAF8AYQBkAGkAbgBvAHIAZwBhAG4AaQBjAFwAbgB0ACAATgAyAE8AXABuAEUAXwB7AGEAZAAsAGkAbgBvAHIAZwBhAG4AaQBjAH0APQBcAFwAcwB1AG0AXwB7AGoAfQBcAFwAcwB1AG0AXwB7AGYAfQAoACgATQBfAHsAdgBvAGwALABpAG4AbwByAGcAYQBuAGkAYwAsAGoAZgB9AFwAXAB0AGkAbQBlAHMAIABFAEYAXwB7AE4AMgBPACwAagB9ACkAXABcAHQAaQBtAGUAcwAgAEMAXwB7AE4AMgBPAH0AXABcAHQAaQBtAGUAcwAgADEAMABeAHsALQAzAH0AKQBcAG4ATQBfAHYAbwBsAGkAbgBvAHIAZwBhAG4AaQBjAGoAZgBcAG4ARQBGAF8ATgAyAE8AagBcAG4AQwBfAE4AMgBPAFwAbgBqAFwAbgBmAFwAbgAtAC0ALQAtAC0ALQAtAC0ALQAtAC0ALQAtAC0ALQAtAC0ALQAtAC0ALQAtAC0ALQAtAC0ALQAtAC0ALQAtAC0ALQAtAC0ALQAtAC0AXABuACoALwBcAG4AXABuAFYARQBFAFIARwBfADUAXwA0AF8AMQBfADEAXwBfADEAXwBJAG4AbwByAGcAYQBuAGkAYwBGAGUAcgB0AGkAbABpAHMAZQByAEEAdABtAG8AcwBwAGgAZQByAGkAYwBEAGUAcABvAHMAaQB0AGkAbwBuAE4AMgBPAEUAbQBpAHMAcwBpAG8AbgBzAFwAbgAgACAAPQBMAEEATQBCAEQAQQAoAFwAbgAgACAAIAAgAE0AXwB2AG8AbABpAG4AbwByAGcAYQBuAGkAYwBqAGYALAAgAEUARgBfAE4AMgBPAGoALAAgAEMAXwBOADIATwAsAFwAbgAgACAAIAAgACgATQBfAHYAbwBsAGkAbgBvAHIAZwBhAG4AaQBjAGoAZgAgACoAIABFAEYAXwBOADIATwBqACkAIAAqACAAQwBfAE4AMgBPACAAKgAgADEAMAAgAF4AIAAtADMAXABuACAAIAApADsAXABuAFwAbgBWAEUARQBSAEcAXwA1AF8ANABfADEAXwAxAF8AXwAxAF8ASQBuAG8AcgBnAGEAbgBpAGMARgBlAHIAdABpAGwAaQBzAGUAcgBBAHQAbQBvAHMAcABoAGUAcgBpAGMARABlAHAAbwBzAGkAdABpAG8AbgBOADIATwBFAG0AaQBzAHMAaQBvAG4AcwBfAFQAaQB0AGwAZQBcAG4AIAAgAD0ATABBAE0AQgBEAEEAKABcACIATgBpAHQAcgBvAHUAcwAgAG8AeABpAGQAZQAgAGUAbQBpAHMAcwBpAG8AbgBzACAAZgByAG8AbQAgAGEAdABtAG8AcwBwAGgAZQByAGkAYwAgAGQAZQBwAG8AcwBpAHQAaQBvAG4AIABmAHIAbwBtACAAYQBsAGwAIABpAG4AbwByAGcAYQBuAGkAYwAgAGYAZQByAHQAaQBsAGkAcwBlAHIAIAB0AHkAcABlAHMAIABmACAAYQBuAGQAIABhAGwAbAAgAHAAcgBvAGQAdQBjAHQAaQBvAG4AIABzAHkAcwB0AGUAbQBzACAAagBcACIAKQA7AFwAbgBcAG4AVgBFAEUAUgBHAF8ANQBfADQAXwAxAF8AMQBfAF8AMQBfAEkAbgBvAHIAZwBhAG4AaQBjAEYAZQByAHQAaQBsAGkAcwBlAHIAQQB0AG0AbwBzAHAAaABlAHIAaQBjAEQAZQBwAG8AcwBpAHQAaQBvAG4ATgAyAE8ARQBtAGkAcwBzAGkAbwBuAHMAXwBWAGEAcgBpAGEAYgBsAGUAXABuACAAIAA9AEwAQQBNAEIARABBACgAXAAiAEUAXwBhAGQAaQBuAG8AcgBnAGEAbgBpAGMAXAAiACkAOwBcAG4AXABuAFYARQBFAFIARwBfADUAXwA0AF8AMQBfADEAXwBfADEAXwBJAG4AbwByAGcAYQBuAGkAYwBGAGUAcgB0AGkAbABpAHMAZQByAEEAdABtAG8AcwBwAGgAZQByAGkAYwBEAGUAcABvAHMAaQB0AGkAbwBuAE4AMgBPAEUAbQBpAHMAcwBpAG8AbgBzAF8AVQBuAGkAdABcAG4AIAAgAD0ATABBAE0AQgBEAEEAKABcACIAdAAgAE4AMgBPAFwAIgApADsAXABuAFwAbgBWAEUARQBSAEcAXwA1AF8ANABfADEAXwAxAF8AXwAxAF8ASQBuAG8AcgBnAGEAbgBpAGMARgBlAHIAdABpAGwAaQBzAGUAcgBBAHQAbQBvAHMAcABoAGUAcgBpAGMARABlAHAAbwBzAGkAdABpAG8AbgBOADIATwBFAG0AaQBzAHMAaQBvAG4AcwBfAFMAbwB1AHIAYwBlAFwAbgAgACAAPQBMAEEATQBCAEQAQQAoAFwAIgBWAEUARQBSAEcAIAAyADAAMgA2ADoAIAA1AC4ANAAuADEALgAxACwAIABFAHEAdQBhAHQAaQBvAG4AIAAoADEAKQBcACIAKQA7AFwAbgBcAG4AVgBFAEUAUgBHAF8ANQBfADQAXwAxAF8AMQBfAF8AMQBfAEkAbgBvAHIAZwBhAG4AaQBjAEYAZQByAHQAaQBsAGkAcwBlAHIAQQB0AG0AbwBzAHAAaABlAHIAaQBjAEQAZQBwAG8AcwBpAHQAaQBvAG4ATgAyAE8ARQBtAGkAcwBzAGkAbwBuAHMAXwBOAEkAUgBSAGUAZgBlAHIAZQBuAGMAZQBcAG4AIAAgAD0ATABBAE0AQgBEAEEAKABcACIAXAAiACkAOwBcAG4AXABuAFYARQBFAFIARwBfADUAXwA0AF8AMQBfADEAXwBfADEAXwBJAG4AbwByAGcAYQBuAGkAYwBGAGUAcgB0AGkAbABpAHMAZQByAEEAdABtAG8AcwBwAGgAZQByAGkAYwBEAGUAcABvAHMAaQB0AGkAbwBuAE4AMgBPAEUAbQBpAHMAcwBpAG8AbgBzAF8ATABhAHQAZQB4AEUAcQB1AGEAdABpAG8AbgBcAG4AIAAgAD0ATABBAE0AQgBEAEEAKABcACIARQBfAHsAYQBkACwAaQBuAG8AcgBnAGEAbgBpAGMAfQA9AFwAXABzAHUAbQBcAFwAbgBvAGwAaQBtAGkAdABzAF8AewBqAH0AXABcAHMAdQBtAFwAXABuAG8AbABpAG0AaQB0AHMAXwB7AGYAfQAoACgATQBfAHsAdgBvAGwALABpAG4AbwByAGcAYQBuAGkAYwAsAGoAZgB9AFwAXAB0AGkAbQBlAHMAIABFAEYAXwB7AE4AMgBPACwAagB9ACkAXABcAHQAaQBtAGUAcwAgAEMAXwB7AE4AMgBPAH0AXABcAHQAaQBtAGUAcwAgADEAMABeAHsALQAzAH0AKQBcACIAKQA7AFwAbgBcAG4AVgBFAEUAUgBHAF8ANQBfADQAXwAxAF8AMQBfAF8AMQBfAEkAbgBvAHIAZwBhAG4AaQBjAEYAZQByAHQAaQBsAGkAcwBlAHIAQQB0AG0AbwBzAHAAaABlAHIAaQBjAEQAZQBwAG8AcwBpAHQAaQBvAG4ATgAyAE8ARQBtAGkAcwBzAGkAbwBuAHMAXwBBAHIAZwB1AG0AZQBuAHQAcwBcAG4AIAAgAD0ATABBAE0AQgBEAEEAKABcAG4AIAAgACAAIABNAEEASwBFAEEAUgBSAEEAWQAoADYALAAgADQALAAgAFwAbgAgACAAIAAgACAAIABMAEEATQBCAEQAQQAoAHIALABjACwAIABcAG4AIAAgACAAIAAgACAAIAAgAEkATgBEAEUAWAAoAHsAXABuACAAIAAgACAAIAAgACAAIAAgACAAXAAiAE0AXwB2AG8AbABpAG4AbwByAGcAYQBuAGkAYwBqAGYAXAAiACwAXAAiAG0AYQBzAHMAIABvAGYAIABuAGkAdAByAG8AZwBlAG4AIAB2AG8AbABhAHQAaQBsAGkAcwBlAGQAIABmAHIAbwBtACAAaQBuAG8AcgBnAGEAbgBpAGMAIABmAGUAcgB0AGkAbABpAHMAZQByACAAYQBwAHAAbABpAGUAZAAgAHQAbwAgAHAAcgBvAGQAdQBjAHQAaQBvAG4AIABzAHkAcwB0AGUAbQBcACIALAAgAFwAIgBrAGcAIABOAFwAIgAsACAAXAAiAEMAYQBsAGMAdQBsAGEAdABlAGQAIABmAHIAbwBtACAANQAuADQALgAxAC4AMQAgACgAMgApAFwAIgA7AFwAbgAgACAAIAAgACAAIAAgACAAIAAgAFwAIgBFAEYAXwBOADIATwBqAFwAIgAsAFwAIgBlAG0AaQBzAHMAaQBvAG4AIABmAGEAYwB0AG8AcgAgAGYAbwByACAAYQB0AG0AbwBzAHAAaABlAHIAaQBjACAAZABlAHAAbwBzAGkAdABpAG8Abg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aQByAFwAIgAsAFwAIgBpAHIAcgBpAGcAYQB0AGkAbwBuACAAbQBlAHQAaABvAGQAXAAiACwAIABcACIAXAAiACwAIABcACIASQBuAHAAdQB0AFwAIgA7AFwAbgAgACAAIAAgACAAIAAgACAAIAAgAFwAIgByAFwAIgAsAFwAIgByAGEAaQBuAGYAYQBsAGwAIAByAGUAZwBpAG8Abg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NABfADEAXwAxAF8AXwAyAF8ATQBhAHMAcwBPAGYATgBpAHQAcgBvAGcAZQBuAFYAbwBsAGEAdABpAGwAaQBzAGUAZABGAHIAbwBtAEkAbgBvAHIAZwBhAG4AaQBjAEYAZQByAHQAaQBsAGkAcwBlAHIAXABuAE0AYQBzAHMAIABvAGYAIABuAGkAdAByAG8AZwBlAG4AIAB2AG8AbABhAHQAaQBsAGkAcwBlAGQAIABmAHIAbwBtACAAaQBuAG8AcgBnAGEAbgBpAGMAIABmAGUAcgB0AGkAbABpAHMAZQByACAAYQBwAHAAbABpAGUAZAAgAHQAbwAgAHAAcgBvAGQAdQBjAHQAaQBvAG4AIABzAHkAcwB0AGUAbQBcAG4ATQBfAHYAbwBsAGkAbgBvAHIAZwBhAG4AaQBjAGoAZgBcAG4AawBnACAATgBcAG4ATQBfAHsAdgBvAGwALABpAG4AbwByAGcAYQBuAGkAYwAsAGoAZgB9AD0AewBNAE4AfQBfAHsAagBmAH0AXABcAHQAaQBtAGUAcwAgAEYAcgBhAGMARwBBAFMARgBfAHsAZgB9AFwAbgBNAE4AXwBqAGYAXABuAEYAcgBhAGMARwBBAFMARgBfAGYAXABuAGoAXABuAGYAXABuAC0ALQAtAC0ALQAtAC0ALQAtAC0ALQAtAC0ALQAtAC0ALQAtAC0ALQAtAC0ALQAtAC0ALQAtAC0ALQAtAC0ALQAtAC0ALQAtAC0ALQBcAG4AKgAvAFwAbgBcAG4AVgBFAEUAUgBHAF8ANQBfADQAXwAxAF8AMQBfAF8AMgBfAE0AYQBzAHMATwBmAE4AaQB0AHIAbwBnAGUAbgBWAG8AbABhAHQAaQBsAGkAcwBlAGQARgByAG8AbQBJAG4AbwByAGcAYQBuAGkAYwBGAGUAcgB0AGkAbABpAHMAZQByAFwAbgAgACAAPQBMAEEATQBCAEQAQQAoAFwAbgAgACAAIAAgAE0ATgBfAGoAZgAsACAARgByAGEAYwBHAEEAUwBGAF8AZgAsAFwAbgAgACAAIAAgAE0ATgBfAGoAZgAgACoAIABGAHIAYQBjAEcAQQBTAEYAXwBmAFwAbgAgACAAKQA7AFwAbgBcAG4AVgBFAEUAUgBHAF8ANQBfADQAXwAxAF8AMQBfAF8AMgBfAE0AYQBzAHMATwBmAE4AaQB0AHIAbwBnAGUAbgBWAG8AbABhAHQAaQBsAGkAcwBlAGQARgByAG8AbQBJAG4AbwByAGcAYQBuAGkAYwBGAGUAcgB0AGkAbABpAHMAZQByAF8AVABpAHQAbABlAFwAbgAgACAAPQBMAEEATQBCAEQAQQAoAFwAIgBNAGEAcwBzACAAbwBmACAAbgBpAHQAcgBvAGcAZQBuACAAdgBvAGwAYQB0AGkAbABpAHMAZQBkACAAZgByAG8AbQAgAGkAbgBvAHIAZwBhAG4AaQBjACAAZgBlAHIAdABpAGwAaQBzAGUAcgAgAGEAcABwAGwAaQBlAGQAIAB0AG8AIABwAHIAbwBkAHUAYwB0AGkAbwBuACAAcwB5AHMAdABlAG0AXAAiACkAOwBcAG4AXABuAFYARQBFAFIARwBfADUAXwA0AF8AMQBfADEAXwBfADIAXwBNAGEAcwBzAE8AZgBOAGkAdAByAG8AZwBlAG4AVgBvAGwAYQB0AGkAbABpAHMAZQBkAEYAcgBvAG0ASQBuAG8AcgBnAGEAbgBpAGMARgBlAHIAdABpAGwAaQBzAGUAcgBfAFYAYQByAGkAYQBiAGwAZQBcAG4AIAAgAD0ATABBAE0AQgBEAEEAKABcACIATQBfAHYAbwBsAGkAbgBvAHIAZwBhAG4AaQBjAGoAZgBcACIAKQA7AFwAbgBcAG4AVgBFAEUAUgBHAF8ANQBfADQAXwAxAF8AMQBfAF8AMgBfAE0AYQBzAHMATwBmAE4AaQB0AHIAbwBnAGUAbgBWAG8AbABhAHQAaQBsAGkAcwBlAGQARgByAG8AbQBJAG4AbwByAGcAYQBuAGkAYwBGAGUAcgB0AGkAbABpAHMAZQByAF8AVQBuAGkAdABcAG4AIAAgAD0ATABBAE0AQgBEAEEAKABcACIAawBnACAATgBcACIAKQA7AFwAbgBcAG4AVgBFAEUAUgBHAF8ANQBfADQAXwAxAF8AMQBfAF8AMgBfAE0AYQBzAHMATwBmAE4AaQB0AHIAbwBnAGUAbgBWAG8AbABhAHQAaQBsAGkAcwBlAGQARgByAG8AbQBJAG4AbwByAGcAYQBuAGkAYwBGAGUAcgB0AGkAbABpAHMAZQByAF8AUwBvAHUAcgBjAGUAXABuACAAIAA9AEwAQQBNAEIARABBACgAXAAiAFYARQBFAFIARwAgADIAMAAyADYAOgAgADUALgA0AC4AMQAuADEALAAgAEUAcQB1AGEAdABpAG8AbgAgACgAMgApAFwAIgApADsAXABuAFwAbgBWAEUARQBSAEcAXwA1AF8ANABfADEAXwAxAF8AXwAyAF8ATQBhAHMAcwBPAGYATgBpAHQAcgBvAGcAZQBuAFYAbwBsAGEAdABpAGwAaQBzAGUAZABGAHIAbwBtAEkAbgBvAHIAZwBhAG4AaQBjAEYAZQByAHQAaQBsAGkAcwBlAHIAXwBOAEkAUgBSAGUAZgBlAHIAZQBuAGMAZQBcAG4AIAAgAD0ATABBAE0AQgBEAEEAKABcACIAXAAiACkAOwBcAG4AXABuAFYARQBFAFIARwBfADUAXwA0AF8AMQBfADEAXwBfADIAXwBNAGEAcwBzAE8AZgBOAGkAdAByAG8AZwBlAG4AVgBvAGwAYQB0AGkAbABpAHMAZQBkAEYAcgBvAG0ASQBuAG8AcgBnAGEAbgBpAGMARgBlAHIAdABpAGwAaQBzAGUAcgBfAEwAYQB0AGUAeABFAHEAdQBhAHQAaQBvAG4AXABuACAAIAA9AEwAQQBNAEIARABBACgAXAAiAE0AXwB7AHYAbwBsACwAaQBuAG8AcgBnAGEAbgBpAGMALABqAGYAfQA9AHsATQBOAH0AXwB7AGoAZgB9AFwAXAB0AGkAbQBlAHMAIABGAHIAYQBjAEcAQQBTAEYAXwB7AGYAfQBcACIAKQA7AFwAbgBcAG4AVgBFAEUAUgBHAF8ANQBfADQAXwAxAF8AMQBfAF8AMgBfAE0AYQBzAHMATwBmAE4AaQB0AHIAbwBnAGUAbgBWAG8AbABhAHQAaQBsAGkAcwBlAGQARgByAG8AbQBJAG4AbwByAGcAYQBuAGkAYwBGAGUAcgB0AGkAbABpAHMAZQByAF8AQQByAGcAdQBtAGUAbgB0AHMAXABuACAAIAA9AEwAQQBNAEIARABBACgAXABuACAAIAAgACAATQBBAEsARQBBAFIAUgBBAFkAKAAy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IABhAHAAcABsAGkAZQBkAFwAIgAsACAAXAAiAGsAZwAgAE4AXAAiACwAIABcACIAQwBhAGwAYwB1AGwAYQB0AGUAZAAgAGYAcgBvAG0AIAA1AC4AMQAuADEALgAxACAAKAAyACkAXAAiADsAXABuACAAIAAgACAAIAAgACAAIAAgACAAXAAiAEYAcgBhAGMARwBBAFMARgBfAGYAXAAiACwAXAAiAGYAcgBhAGMAdABpAG8AbgAgAG8AZgAgAGkAbgBvAHIAZwBhAG4AaQBjACAAZgBlAHIAdABpAGwAaQBzAGUAcgAgAHQAaABhAHQAIAB2AG8AbABhAHQAaQBsAGkAcwBlAHMAXAAiACwAIABcACIAKABrAGcAIABOAEgAMwAtAE4AIAArACAATgBPAHgALQBOACkALwBrAGcAIABOAFwAIgAsACAAXAAiAEMAbwBuAHMAdABhAG4AdABcACIAXABuACAAIAAgACAAIAAgACAAIAB9ACwAIAByACwAIABjACkAXABuACAAIAAgACAAIAAgACkAXABuACAAIAAgACAAKQBcAG4AIAAgACkAOwBcAG4AXABuAFwAbgAvACoAIABcAG4ALQAtAC0ALQAtAC0ALQAtAC0ALQAtAC0ALQAtAC0ALQAtAC0ALQAtAC0ALQAtAC0ALQAtAC0ALQAtAC0ALQAtAC0ALQAtAC0ALQAtAFwAbgBWAEUARQBSAEcAXwA1AF8ANABfADEAXwAzAF8AXwAxAF8ATwByAGcAYQBuAGkAYwBGAGUAcgB0AGkAbABpAHMAZQByAEEAdABtAG8AcwBwAGgAZQByAGkAYwBEAGUAcABvAHMAaQB0AGkAbwBuAE4AMgBPAEUAbQBpAHMAcwBpAG8AbgBzAFwAbgBOAGkAdAByAG8AdQBzACAAbwB4AGkAZABlACAAZQBtAGkAcwBzAGkAbwBuAHMAIABmAHIAbwBtACAAYQB0AG0AbwBzAHAAaABlAHIAaQBjACAAZABlAHAAbwBzAGkAdABpAG8AbgAgAG8AZgAgAGEAbABsACAAbwByAGcAYQBuAGkAYwAgAGYAZQByAHQAaQBsAGkAcwBlAHIAIAB0AHkAcABlAHMAIABmACAAYQBuAGQAIABhAGwAbAAgAHAAcgBvAGQAdQBjAHQAaQBvAG4AIABzAHkAcwB0AGUAbQBzACAAagBcAG4ARQBfAGEAZABvAHIAZwBhAG4AaQBjAFwAbgB0ACAATgAyAE8AXABuAEUAXwB7AGEAZAAsAG8AcgBnAGEAbgBpAGMAfQA9AFwAXABzAHUAbQBfAHsAagB9AFwAXABzAHUAbQBfAHsAZgB9ACgAKABNAF8AewB2AG8AbAAsAG8AcgBnAGEAbgBpAGMALABqAGYAfQBcAFwAdABpAG0AZQBzACAARQBGAF8AewBOADIATwAsAGoAfQApAFwAXAB0AGkAbQBlAHMAIABDAF8AewBOADIATwB9AFwAXAB0AGkAbQBlAHMAIAAxADAAXgB7AC0AMwB9ACkAXABuAE0AXwB2AG8AbABvAHIAZwBhAG4AaQBjAGoAZgBcAG4ARQBGAF8ATgAyAE8AagBcAG4AQwBfAE4AMgBPAFwAbgBqAFwAbgBmAFwAbgAtAC0ALQAtAC0ALQAtAC0ALQAtAC0ALQAtAC0ALQAtAC0ALQAtAC0ALQAtAC0ALQAtAC0ALQAtAC0ALQAtAC0ALQAtAC0ALQAtAC0AXABuACoALwBcAG4AXABuAFYARQBFAFIARwBfADUAXwA0AF8AMQBfADMAXwBfADEAXwBPAHIAZwBhAG4AaQBjAEYAZQByAHQAaQBsAGkAcwBlAHIAQQB0AG0AbwBzAHAAaABlAHIAaQBjAEQAZQBwAG8AcwBpAHQAaQBvAG4ATgAyAE8ARQBtAGkAcwBzAGkAbwBuAHMAXABuACAAIAA9AEwAQQBNAEIARABBACgAXABuACAAIAAgACAATQBfAHYAbwBsAG8AcgBnAGEAbgBpAGMAagBmACwAIABFAEYAXwBOADIATwBqACwAIABDAF8ATgAyAE8ALABcAG4AIAAgACAAIAAoAE0AXwB2AG8AbABvAHIAZwBhAG4AaQBjAGoAZgAgACoAIABFAEYAXwBOADIATwBqACkAIAAqACAAQwBfAE4AMgBPACAAKgAgADEAMAAgAF4AIAAtADMAXABuACAAIAApADsAXABuAFwAbgBWAEUARQBSAEcAXwA1AF8ANABfADEAXwAzAF8AXwAxAF8ATwByAGcAYQBuAGkAYwBGAGUAcgB0AGkAbABpAHMAZQByAEEAdABtAG8AcwBwAGgAZQByAGkAYwBEAGUAcABvAHMAaQB0AGkAbwBuAE4AMgBPAEUAbQBpAHMAcwBpAG8AbgBzAF8AVABpAHQAbABlAFwAbgAgACAAPQBMAEEATQBCAEQAQQAoAFwAIgBOAGkAdAByAG8AdQBzACAAbwB4AGkAZABlACAAZQBtAGkAcwBzAGkAbwBuAHMAIABmAHIAbwBtACAAYQB0AG0AbwBzAHAAaABlAHIAaQBjACAAZABlAHAAbwBzAGkAdABpAG8AbgAgAG8AZgAgAGEAbABsACAAbwByAGcAYQBuAGkAYwAgAGYAZQByAHQAaQBsAGkAcwBlAHIAIAB0AHkAcABlAHMAIABmACAAYQBuAGQAIABhAGwAbAAgAHAAcgBvAGQAdQBjAHQAaQBvAG4AIABzAHkAcwB0AGUAbQBzACAAagBcACIAKQA7AFwAbgBcAG4AVgBFAEUAUgBHAF8ANQBfADQAXwAxAF8AMwBfAF8AMQBfAE8AcgBnAGEAbgBpAGMARgBlAHIAdABpAGwAaQBzAGUAcgBBAHQAbQBvAHMAcABoAGUAcgBpAGMARABlAHAAbwBzAGkAdABpAG8AbgBOADIATwBFAG0AaQBzAHMAaQBvAG4AcwBfAFYAYQByAGkAYQBiAGwAZQBcAG4AIAAgAD0ATABBAE0AQgBEAEEAKABcACIARQBfAGEAZABvAHIAZwBhAG4AaQBjAFwAIgApADsAXABuAFwAbgBWAEUARQBSAEcAXwA1AF8ANABfADEAXwAzAF8AXwAxAF8ATwByAGcAYQBuAGkAYwBGAGUAcgB0AGkAbABpAHMAZQByAEEAdABtAG8AcwBwAGgAZQByAGkAYwBEAGUAcABvAHMAaQB0AGkAbwBuAE4AMgBPAEUAbQBpAHMAcwBpAG8AbgBzAF8AVQBuAGkAdABcAG4AIAAgAD0ATABBAE0AQgBEAEEAKABcACIAdAAgAE4AMgBPAFwAIgApADsAXABuAFwAbgBWAEUARQBSAEcAXwA1AF8ANABfADEAXwAzAF8AXwAxAF8ATwByAGcAYQBuAGkAYwBGAGUAcgB0AGkAbABpAHMAZQByAEEAdABtAG8AcwBwAGgAZQByAGkAYwBEAGUAcABvAHMAaQB0AGkAbwBuAE4AMgBPAEUAbQBpAHMAcwBpAG8AbgBzAF8AUwBvAHUAcgBjAGUAXABuACAAIAA9AEwAQQBNAEIARABBACgAXAAiAFYARQBFAFIARwAgADIAMAAyADYAOgAgADUALgA0AC4AMQAuADMALAAgAEUAcQB1AGEAdABpAG8AbgAgACgAMQApAFwAIgApADsAXABuAFwAbgBWAEUARQBSAEcAXwA1AF8ANABfADEAXwAzAF8AXwAxAF8ATwByAGcAYQBuAGkAYwBGAGUAcgB0AGkAbABpAHMAZQByAEEAdABtAG8AcwBwAGgAZQByAGkAYwBEAGUAcABvAHMAaQB0AGkAbwBuAE4AMgBPAEUAbQBpAHMAcwBpAG8AbgBzAF8ATgBJAFIAUgBlAGYAZQByAGUAbgBjAGUAXABuACAAIAA9AEwAQQBNAEIARABBACgAXAAiAFwAIgApADsAXABuAFwAbgBWAEUARQBSAEcAXwA1AF8ANABfADEAXwAzAF8AXwAxAF8ATwByAGcAYQBuAGkAYwBGAGUAcgB0AGkAbABpAHMAZQByAEEAdABtAG8AcwBwAGgAZQByAGkAYwBEAGUAcABvAHMAaQB0AGkAbwBuAE4AMgBPAEUAbQBpAHMAcwBpAG8AbgBzAF8ATABhAHQAZQB4AEUAcQB1AGEAdABpAG8AbgBcAG4AIAAgAD0ATABBAE0AQgBEAEEAKABcACIARQBfAHsAYQBkACwAbwByAGcAYQBuAGkAYwB9AD0AXABcAHMAdQBtAFwAXABuAG8AbABpAG0AaQB0AHMAXwB7AGoAfQBcAFwAcwB1AG0AXABcAG4AbwBsAGkAbQBpAHQAcwBfAHsAZgB9ACgAKABNAF8AewB2AG8AbAAsAG8AcgBnAGEAbgBpAGMALABqAGYAfQBcAFwAdABpAG0AZQBzACAARQBGAF8AewBOADIATwAsAGoAfQApAFwAXAB0AGkAbQBlAHMAIABDAF8AewBOADIATwB9AFwAXAB0AGkAbQBlAHMAIAAxADAAXgB7AC0AMwB9ACkAXAAiACkAOwBcAG4AXABuAFYARQBFAFIARwBfADUAXwA0AF8AMQBfADMAXwBfADEAXwBPAHIAZwBhAG4AaQBjAEYAZQByAHQAaQBsAGkAcwBlAHIAQQB0AG0AbwBzAHAAaABlAHIAaQBjAEQAZQBwAG8AcwBpAHQAaQBvAG4ATgAyAE8ARQBtAGkAcwBzAGkAbwBuAHMAXwBBAHIAZwB1AG0AZQBuAHQAcwBcAG4AIAAgAD0ATABBAE0AQgBEAEEAKABcAG4AIAAgACAAIABNAEEASwBFAEEAUgBSAEEAWQAoADYALAAgADQALAAgAFwAbgAgACAAIAAgACAAIABMAEEATQBCAEQAQQAoAHIALABjACwAIABcAG4AIAAgACAAIAAgACAAIAAgAEkATgBEAEUAWAAoAHsAXABuACAAIAAgACAAIAAgACAAIAAgACAAXAAiAE0AXwB2AG8AbABvAHIAZwBhAG4AaQBjAGoAZgBcACIALABcACIAbQBhAHMAcwAgAG8AZgAgAG4AaQB0AHIAbwBnAGUAbgAgAHYAbwBsAGEAdABpAGwAaQBzAGUAZAAgAGYAcgBvAG0AIABvAHIAZwBhAG4AaQBjACAAZgBlAHIAdABpAGwAaQBzAGUAcgAgAGEAcABwAGwAaQBlAGQAIAB0AG8AIABwAHIAbwBkAHUAYwB0AGkAbwBuACAAcwB5AHMAdABlAG0AXAAiACwAIABcACIAawBnACAATgBcACIALAAgAFwAIgBDAGEAbABjAHUAbABhAHQAZQBkACAAZgByAG8AbQAgADUALgA0AC4AMQAuADMAIAAoADIAKQBcACIAOwBcAG4AIAAgACAAIAAgACAAIAAgACAAIABcACIARQBGAF8ATgAyAE8AagBcACIALABcACIAZQBtAGkAcwBzAGkAbwBuACAAZgBhAGMAdABvAHIAIABmAG8AcgAgAGEAdABtAG8AcwBwAGgAZQByAGkAYwAgAGQAZQBwAG8AcwBpAHQAaQBvAG4AIABpAG4AIABwAHIAbwBkAHUAYwB0AGkAbwBuACAAcwB5AHMAdABlAG0AIABq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pAHIAXAAiACwAXAAiAGkAcgByAGkAZwBhAHQAaQBvAG4AIABtAGUAdABoAG8AZABcACIALAAgAFwAIgBcACIALAAgAFwAIgBJAG4AcAB1AHQAXAAiADsAXABuACAAIAAgACAAIAAgACAAIAAgACAAXAAiAHIAXAAiACwAXAAiAHIAYQBpAG4AZgBhAGwAbAAgAHIAZQBnAGkAbwBu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0AF8AMQBfADMAXwBfADIAXwBNAGEAcwBzAE8AZgBOAGkAdAByAG8AZwBlAG4AVgBvAGwAYQB0AGkAbABpAHMAZQBkAEYAcgBvAG0ATwByAGcAYQBuAGkAYwBGAGUAcgB0AGkAbABpAHMAZQByAFwAbgBNAGEAcwBzACAAbwBmACAAbgBpAHQAcgBvAGcAZQBuACAAdgBvAGwAYQB0AGkAbABpAHMAZQBkACAAZgByAG8AbQAgAG8AcgBnAGEAbgBpAGMAIABmAGUAcgB0AGkAbABpAHMAZQByACAAYQBwAHAAbABpAGUAZAAgAHQAbwAgAHAAcgBvAGQAdQBjAHQAaQBvAG4AIABzAHkAcwB0AGUAbQBcAG4ATQBfAHYAbwBsAG8AcgBnAGEAbgBpAGMAagBmAFwAbgBrAGcAIABOAFwAbgBNAF8AewB2AG8AbAAsAG8AcgBnAGEAbgBpAGMALABqAGYAfQA9AE0ATgBTAG8AaQBsAF8AewBqAGYAfQBcAFwAdABpAG0AZQBzACAARgByAGEAYwBHAEEAUwBNAF8AewBzAG8AaQBsAH0AXABuAE0ATgBTAG8AaQBsAF8AagBmAFwAbgBGAHIAYQBjAEcAQQBTAE0AXwBzAG8AaQBsAFwAbgBqAFwAbgBmAFwAbgAtAC0ALQAtAC0ALQAtAC0ALQAtAC0ALQAtAC0ALQAtAC0ALQAtAC0ALQAtAC0ALQAtAC0ALQAtAC0ALQAtAC0ALQAtAC0ALQAtAC0AXABuACoALwBcAG4AXABuAFYARQBFAFIARwBfADUAXwA0AF8AMQBfADMAXwBfADIAXwBNAGEAcwBzAE8AZgBOAGkAdAByAG8AZwBlAG4AVgBvAGwAYQB0AGkAbABpAHMAZQBkAEYAcgBvAG0ATwByAGcAYQBuAGkAYwBGAGUAcgB0AGkAbABpAHMAZQByAFwAbgAgACAAPQBMAEEATQBCAEQAQQAoAFwAbgAgACAAIAAgAE0ATgBTAG8AaQBsAF8AagBmACwAIABGAHIAYQBjAEcAQQBTAE0AXwBzAG8AaQBsACwAXABuACAAIAAgACAATQBOAFMAbwBpAGwAXwBqAGYAIAAqACAARgByAGEAYwBHAEEAUwBNAF8AcwBvAGkAbABcAG4AIAAgACkAOwBcAG4AXABuAFYARQBFAFIARwBfADUAXwA0AF8AMQBfADMAXwBfADIAXwBNAGEAcwBzAE8AZgBOAGkAdAByAG8AZwBlAG4AVgBvAGwAYQB0AGkAbABpAHMAZQBkAEYAcgBvAG0ATwByAGcAYQBuAGkAYwBGAGUAcgB0AGkAbABpAHMAZQByAF8AVABpAHQAbABlAFwAbgAgACAAPQBMAEEATQBCAEQAQQAoAFwAIgBNAGEAcwBzACAAbwBmACAAbgBpAHQAcgBvAGcAZQBuACAAdgBvAGwAYQB0AGkAbABpAHMAZQBkACAAZgByAG8AbQAgAG8AcgBnAGEAbgBpAGMAIABmAGUAcgB0AGkAbABpAHMAZQByACAAYQBwAHAAbABpAGUAZAAgAHQAbwAgAHAAcgBvAGQAdQBjAHQAaQBvAG4AIABzAHkAcwB0AGUAbQBcACIAKQA7AFwAbgBcAG4AVgBFAEUAUgBHAF8ANQBfADQAXwAxAF8AMwBfAF8AMgBfAE0AYQBzAHMATwBmAE4AaQB0AHIAbwBnAGUAbgBWAG8AbABhAHQAaQBsAGkAcwBlAGQARgByAG8AbQBPAHIAZwBhAG4AaQBjAEYAZQByAHQAaQBsAGkAcwBlAHIAXwBWAGEAcgBpAGEAYgBsAGUAXABuACAAIAA9AEwAQQBNAEIARABBACgAXAAiAE0AXwB2AG8AbABvAHIAZwBhAG4AaQBjAGoAZgBcACIAKQA7AFwAbgBcAG4AVgBFAEUAUgBHAF8ANQBfADQAXwAxAF8AMwBfAF8AMgBfAE0AYQBzAHMATwBmAE4AaQB0AHIAbwBnAGUAbgBWAG8AbABhAHQAaQBsAGkAcwBlAGQARgByAG8AbQBPAHIAZwBhAG4AaQBjAEYAZQByAHQAaQBsAGkAcwBlAHIAXwBVAG4AaQB0AFwAbgAgACAAPQBMAEEATQBCAEQAQQAoAFwAIgBrAGcAIABOAFwAIgApADsAXABuAFwAbgBWAEUARQBSAEcAXwA1AF8ANABfADEAXwAzAF8AXwAyAF8ATQBhAHMAcwBPAGYATgBpAHQAcgBvAGcAZQBuAFYAbwBsAGEAdABpAGwAaQBzAGUAZABGAHIAbwBtAE8AcgBnAGEAbgBpAGMARgBlAHIAdABpAGwAaQBzAGUAcgBfAFMAbwB1AHIAYwBlAFwAbgAgACAAPQBMAEEATQBCAEQAQQAoAFwAIgBWAEUARQBSAEcAIAAyADAAMgA2ADoAIAA1AC4ANAAuADEALgAzACwAIABFAHEAdQBhAHQAaQBvAG4AIAAoADIAKQBcACIAKQA7AFwAbgBcAG4AVgBFAEUAUgBHAF8ANQBfADQAXwAxAF8AMwBfAF8AMgBfAE0AYQBzAHMATwBmAE4AaQB0AHIAbwBnAGUAbgBWAG8AbABhAHQAaQBsAGkAcwBlAGQARgByAG8AbQBPAHIAZwBhAG4AaQBjAEYAZQByAHQAaQBsAGkAcwBlAHIAXwBOAEkAUgBSAGUAZgBlAHIAZQBuAGMAZQBcAG4AIAAgAD0ATABBAE0AQgBEAEEAKABcACIAXAAiACkAOwBcAG4AXABuAFYARQBFAFIARwBfADUAXwA0AF8AMQBfADMAXwBfADIAXwBNAGEAcwBzAE8AZgBOAGkAdAByAG8AZwBlAG4AVgBvAGwAYQB0AGkAbABpAHMAZQBkAEYAcgBvAG0ATwByAGcAYQBuAGkAYwBGAGUAcgB0AGkAbABpAHMAZQByAF8ATABhAHQAZQB4AEUAcQB1AGEAdABpAG8AbgBcAG4AIAAgAD0ATABBAE0AQgBEAEEAKABcACIATQBfAHsAdgBvAGwALABvAHIAZwBhAG4AaQBjACwAagBmAH0APQBNAE4AUwBvAGkAbABfAHsAagBmAH0AXABcAHQAaQBtAGUAcwAgAEYAcgBhAGMARwBBAFMATQBfAHsAcwBvAGkAbAB9AFwAIgApADsAXABuAFwAbgBWAEUARQBSAEcAXwA1AF8ANABfADEAXwAzAF8AXwAyAF8ATQBhAHMAcwBPAGYATgBpAHQAcgBvAGcAZQBuAFYAbwBsAGEAdABpAGwAaQBzAGUAZABGAHIAbwBtAE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TQBOAFMAbwBpAGwAXwBqAGYAXAAiACwAXAAiAG0AYQBzAHMAIABvAGYAIABuAGkAdAByAG8AZwBlAG4AIABpAG4AIABvAHIAZwBhAG4AaQBjACAAZgBlAHIAdABpAGwAaQBzAGUAcgAgAHQAeQBwAGUAIABmACAAYQBwAHAAbABpAGUAZAAgAHQAbwAgAHAAcgBvAGQAdQBjAHQAaQBvAG4AIABzAHkAcwB0AGUAbQAgAGoAXAAiACwAIABcACIAawBnACAATgBcACIALAAgAFwAIgBDAGEAbABjAHUAbABhAHQAZQBkACAAZgByAG8AbQAgADUALgAyAC4AMQAuADEAIAAoADIAKQBcACIAOwBcAG4AIAAgACAAIAAgACAAIAAgACAAIABcACIARgByAGEAYwBHAEEAUwBNAF8AcwBvAGkAbABcACIALABcACIAZgByAGEAYwB0AGkAbwBuACAAbwBmACAAbwByAGcAYQBuAGkAYwAgAGYAZQByAHQAaQBsAGkAcwBlAHIAIABOACAAdABoAGEAdAAgAHYAbwBsAGEAdABpAGwAaQBzAGUAcwBcACIALAAgAFwAIgAoAGsAZwAgAE4ASAAzAC0ATgAgACsAIABOAE8AeAAtAE4AKQAvAGsAZwAgAE4AXAAiACwAIABcACIAQwBvAG4AcwB0AGEAbgB0AFwAIgBcAG4AIAAgACAAIAAgACAAIAAgAH0ALAAgAHIALAAgAGMAKQBcAG4AIAAgACAAIAAgACAAKQBcAG4AIAAgACAAIAApAFwAbgAgACAAKQA7AFwAbgAiAH0ALAB7ACIAcABhAHQAaAAiADoAIgAvAHAAcgBvAGoAZQBjAHQAcwAvAEYAZQByAHQAaQBsAGkAcwBlAHIAXwBFAHEAdQBhAHQAaQBvAG4AcwBfAEwAZQBhAGMAaABpAG4AZwBBAG4AZABSAHUAbgBvAGYAZ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UAIABMAGUAYQBjAGgAaQBuAGcAIABhAG4AZAAgAHIAdQBuAC0AbwBmAGYAIAByAGUAcwB1AGwAdABpAG4AZwAgAGYAcgBvAG0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1AF8AMQBfADEAXwBfADEAXwBGAGUAcgB0AGkAbABpAHMAZQByAEwAZQBhAGMAaABpAG4AZwBBAG4AZABSAHUAbgBvAGYAZgBOADIATwBFAG0AaQBzAHMAaQBvAG4AcwBcAG4ATgBpAHQAcgBvAHUAcwAgAG8AeABpAGQAZQAgAGUAbQBpAHMAcwBpAG8AbgBzACAAZgByAG8AbQAgAG4AaQB0AHIAbwBnAGUAbgAgAGwAZQBhAGMAaABpAG4AZwAgAGEAbgBkACAAcgB1AG4AbwBmAGYAIABmAHIAbwBtACAAdABoAGUAIABhAHAAcABsAGkAYwBhAHQAaQBvAG4AIABvAGYAIABhAGwAbAAgAGYAZQByAHQAaQBsAGkAcwBlAHIAcwAgAGEAYwByAG8AcwBzACAAYQBsAGwAIABwAHIAbwBkAHUAYwB0AGkAbwBuACAAcwB5AHMAdABlAG0AcwAgAGoAXABuAEUAXwBmAGUAcgB0AGwAZQBhAGMAaABcAG4AdAAgAE4AMgBPAFwAbgBFAF8AewBmAGUAcgB0ACwAbABlAGEAYwBoAH0APQBcAFwAcwB1AG0AXwB7AGoAfQAoACgATQBfAHsAbABlAGEAYwBoACwAaQBuAG8AcgBnAGEAbgBpAGMALABqAH0AKwBNAF8AewBsAGUAYQBjAGgALABvAHIAZwBhAG4AaQBjACwAagB9ACkAXABcAHQAaQBtAGUAcwAgAEUARgBfAHsAbABlAGEAYwBoAH0AXABcAHQAaQBtAGUAcwAgAEMAXwB7AE4AMgBPAH0AXABcAHQAaQBtAGUAcwAgADEAMABeAHsALQAzAH0AKQBcAG4ATQBfAGwAZQBhAGMAaABpAG4AbwByAGcAYQBuAGkAYwBqAFwAbgBNAF8AbABlAGEAYwBoAG8AcgBnAGEAbgBpAGMAagBcAG4ARQBGAF8AbABlAGEAYwBoAFwAbgBDAF8ATgAyAE8AXABuAGoAXABuAC0ALQAtAC0ALQAtAC0ALQAtAC0ALQAtAC0ALQAtAC0ALQAtAC0ALQAtAC0ALQAtAC0ALQAtAC0ALQAtAC0ALQAtAC0ALQAtAC0ALQBcAG4AKgAvAFwAbgBcAG4AVgBFAEUAUgBHAF8ANQBfADUAXwAxAF8AMQBfAF8AMQBfAEYAZQByAHQAaQBsAGkAcwBlAHIATABlAGEAYwBoAGkAbgBnAEEAbgBkAFIAdQBuAG8AZgBmAE4AMgBPAEUAbQBpAHMAcwBpAG8AbgBzAFwAbgAgACAAPQBMAEEATQBCAEQAQQAoAFwAbgAgACAAIAAgAE0AXwBsAGUAYQBjAGgAaQBuAG8AcgBnAGEAbgBpAGMAagAsACAATQBfAGwAZQBhAGMAaABvAHIAZwBhAG4AaQBjAGoALAAgAEUARgBfAGwAZQBhAGMAaAAsACAAQwBfAE4AMgBPACwAXABuACAAIAAgACAAKABNAF8AbABlAGEAYwBoAGkAbgBvAHIAZwBhAG4AaQBjAGoAIAArACAATQBfAGwAZQBhAGMAaABvAHIAZwBhAG4AaQBjAGoAKQAgACoAIABFAEYAXwBsAGUAYQBjAGgAIAAqACAAQwBfAE4AMgBPACAAKgAgADEAMAAgAF4AIAAtADMAXABuACAAIAApADsAXABuAFwAbgBWAEUARQBSAEcAXwA1AF8ANQBfADEAXwAxAF8AXwAxAF8ARgBlAHIAdABpAGwAaQBzAGUAcgBMAGUAYQBjAGgAaQBuAGcAQQBuAGQAUgB1AG4AbwBmAGYATgAyAE8ARQBtAGkAcwBzAGkAbwBuAHMAXwBUAGkAdABsAGUAXABuACAAIAA9AEwAQQBNAEIARABBACgAXAAiAE4AaQB0AHIAbwB1AHMAIABvAHgAaQBkAGUAIABlAG0AaQBzAHMAaQBvAG4AcwAgAGYAcgBvAG0AIABuAGkAdAByAG8AZwBlAG4AIABsAGUAYQBjAGgAaQBuAGcAIABhAG4AZAAgAHIAdQBuAG8AZgBmACAAZgByAG8AbQAgAHQAaABlACAAYQBwAHAAbABpAGMAYQB0AGkAbwBuACAAbwBmACAAYQBsAGwAIABmAGUAcgB0AGkAbABpAHMAZQByAHMAIABhAGMAcgBvAHMAcwAgAGEAbABsACAAcAByAG8AZAB1AGMAdABpAG8AbgAgAHMAeQBzAHQAZQBtAHMAIABqAFwAIgApADsAXABuAFwAbgBWAEUARQBSAEcAXwA1AF8ANQBfADEAXwAxAF8AXwAxAF8ARgBlAHIAdABpAGwAaQBzAGUAcgBMAGUAYQBjAGgAaQBuAGcAQQBuAGQAUgB1AG4AbwBmAGYATgAyAE8ARQBtAGkAcwBzAGkAbwBuAHMAXwBWAGEAcgBpAGEAYgBsAGUAXABuACAAIAA9AEwAQQBNAEIARABBACgAXAAiAEUAXwBmAGUAcgB0AGwAZQBhAGMAaABcACIAKQA7AFwAbgBcAG4AVgBFAEUAUgBHAF8ANQBfADUAXwAxAF8AMQBfAF8AMQBfAEYAZQByAHQAaQBsAGkAcwBlAHIATABlAGEAYwBoAGkAbgBnAEEAbgBkAFIAdQBuAG8AZgBmAE4AMgBPAEUAbQBpAHMAcwBpAG8AbgBzAF8AVQBuAGkAdABcAG4AIAAgAD0ATABBAE0AQgBEAEEAKABcACIAdAAgAE4AMgBPAFwAIgApADsAXABuAFwAbgBWAEUARQBSAEcAXwA1AF8ANQBfADEAXwAxAF8AXwAxAF8ARgBlAHIAdABpAGwAaQBzAGUAcgBMAGUAYQBjAGgAaQBuAGcAQQBuAGQAUgB1AG4AbwBmAGYATgAyAE8ARQBtAGkAcwBzAGkAbwBuAHMAXwBTAG8AdQByAGMAZQBcAG4AIAAgAD0ATABBAE0AQgBEAEEAKABcACIAVgBFAEUAUgBHACAAMgAwADIANgA6ACAANQAuADUALAAgAEUAcQB1AGEAdABpAG8AbgAgACgAMQApAFwAIgApADsAXABuAFwAbgBWAEUARQBSAEcAXwA1AF8ANQBfADEAXwAxAF8AXwAxAF8ARgBlAHIAdABpAGwAaQBzAGUAcgBMAGUAYQBjAGgAaQBuAGcAQQBuAGQAUgB1AG4AbwBmAGYATgAyAE8ARQBtAGkAcwBzAGkAbwBuAHMAXwBOAEkAUgBSAGUAZgBlAHIAZQBuAGMAZQBcAG4AIAAgAD0ATABBAE0AQgBEAEEAKABcACIAXAAiACkAOwBcAG4AXABuAFYARQBFAFIARwBfADUAXwA1AF8AMQBfADEAXwBfADEAXwBGAGUAcgB0AGkAbABpAHMAZQByAEwAZQBhAGMAaABpAG4AZwBBAG4AZABSAHUAbgBvAGYAZgBOADIATwBFAG0AaQBzAHMAaQBvAG4AcwBfAEwAYQB0AGUAeABFAHEAdQBhAHQAaQBvAG4AXABuACAAIAA9AEwAQQBNAEIARABBACgAXAAiAEUAXwB7AGYAZQByAHQALABsAGUAYQBjAGgAfQA9AFwAXABzAHUAbQBfAHsAagB9ACgAKABNAF8AewBsAGUAYQBjAGgALABpAG4AbwByAGcAYQBuAGkAYwAsAGoAfQArAE0AXwB7AGwAZQBhAGMAaAAsAG8AcgBnAGEAbgBpAGMALABqAH0AKQBcAFwAdABpAG0AZQBzACAARQBGAF8AewBsAGUAYQBjAGgAfQBcAFwAdABpAG0AZQBzACAAQwBfAHsATgAyAE8AfQBcAFwAdABpAG0AZQBzACAAMQAwAF4AewAtADMAfQApAFwAIgApADsAXABuAFwAbgBWAEUARQBSAEcAXwA1AF8ANQBfADEAXwAxAF8AXwAxAF8ARgBlAHIAdABpAGwAaQBzAGUAcgBMAGUAYQBjAGgAaQBuAGcAQQBuAGQAUgB1AG4AbwBmAGYATgAyAE8ARQBtAGkAcwBzAGkAbwBuAHMAXwBBAHIAZwB1AG0AZQBuAHQAcwBcAG4AIAAgAD0ATABBAE0AQgBEAEEAKABcAG4AIAAgACAAIABNAEEASwBFAEEAUgBSAEEAWQAoADQALAAgADQALAAgAFwAbgAgACAAIAAgACAAIABMAEEATQBCAEQAQQAoAHIALABjACwAIABcAG4AIAAgACAAIAAgACAAIAAgAEkATgBEAEUAWAAoAHsAXABuACAAIAAgACAAIAAgACAAIAAgACAAXAAiAE0AXwBsAGUAYQBjAGgAaQBuAG8AcgBnAGEAbgBpAGMAagBcACIALABcACIAbQBhAHMAcwAgAG8AZgAgAG4AaQB0AHIAbwBnAGUAbgAgAGwAbwBzAHQAIAB0AGgAcgBvAHUAZwBoACAAbABlAGEAYwBoAGkAbgBnACAAYQBuAGQAIAByAHUAbgBvAGYAZgAgAGYAcgBvAG0AIABpAG4AbwByAGcAYQBuAGkAYwAgAGYAZQByAHQAaQBsAGkAcwBlAHIAIABhAHAAcABsAGkAYwBhAHQAaQBvAG4AIABpAG4AIABwAHIAbwBkAHUAYwB0AGkAbwBuACAAcwB5AHMAdABlAG0AIABqAFwAIgAsACAAXAAiAGsAZwAgAE4AXAAiACwAIABcACIAQwBhAGwAYwB1AGwAYQB0AGUAZAAgAGYAcgBvAG0AIAA1AC4ANQAuADEALgAxACAAKAAyACkAXAAiADsAXABuACAAIAAgACAAIAAgACAAIAAgACAAXAAiAE0AXwBsAGUAYQBjAGgAbwByAGcAYQBuAGkAYwBqAFwAIgAsAFwAIgBtAGEAcwBzACAAbwBmACAAbgBpAHQAcgBvAGcAZQBuACAAbABvAHMAdAAgAHQAaAByAG8AdQBnAGgAIABsAGUAYQBjAGgAaQBuAGcAIABhAG4AZAAgAHIAdQBuAG8AZgBmACAAZgByAG8AbQAgAG8AcgBnAGEAbgBpAGMAIABmAGUAcgB0AGkAbABpAHMAZQByACAAYQBwAHAAbABpAGMAYQB0AGkAbwBuAFwAIgAsACAAXAAiAGsAZwAgAE4AXAAiACwAIABcACIAQwBhAGwAYwB1AGwAYQB0AGUAZAAgAGYAcgBvAG0AIAA1AC4ANQAuADEALgAxACAAKAAzACkAXAAiADsAXABuACAAIAAgACAAIAAgACAAIAAgACAAXAAiAEUARgBfAGwAZQBhAGMAaABcACIALABcACIAZQBtAGkAcwBzAGkAbwBuACAAZgBhAGMAdABvAHIAIABmAG8AcgAgAG4AaQB0AHIAbwBnAGUAbgAgAGwAZQBhAGMAaABpAG4AZwAgAGEAbgBkACAAcgB1AG4AbwBmAGY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1AF8ANQBfADEAXwAxAF8AXwAyAF8ATQBhAHMAcwBPAGYATgBpAHQAcgBvAGcAZQBuAEwAZQBhAGMAaABlAGQARgByAG8AbQBJAG4AbwByAGcAYQBuAGkAYwBGAGUAcgB0AGkAbABpAHMAZQByAFwAbgBNAGEAcwBzACAAbwBmACAAbgBpAHQAcgBvAGcAZQBuACAAbABvAHMAdAAgAHQAaAByAG8AdQBnAGgAIABsAGUAYQBjAGgAaQBuAGcAIABhAG4AZAAgAHIAdQBuAG8AZgBmACAAZgByAG8AbQAgAGkAbgBvAHIAZwBhAG4AaQBjACAAZgBlAHIAdABpAGwAaQBzAGUAcgAgAGEAcABwAGwAaQBjAGEAdABpAG8AbgAgAGkAbgAgAHAAcgBvAGQAdQBjAHQAaQBvAG4AIABzAHkAcwB0AGUAbQAgAGoAXABuAE0AXwBsAGUAYQBjAGgAaQBuAG8AcgBnAGEAbgBpAGMAagBcAG4AawBnACAATgBcAG4ATQBfAHsAbABlAGEAYwBoACwAaQBuAG8AcgBnAGEAbgBpAGMALABqAH0APQBcAFwAcwB1AG0AXwB7AGYAfQAoAHsATQBOAH0AXwB7AGoAZgB9AFwAXAB0AGkAbQBlAHMAIABGAHIAYQBjAF8AewBXAEUAVAAsAGoAfQBcAFwAdABpAG0AZQBzACAARgByAGEAYwBfAHsATABFAEEAQwBIAH0AKQBcAG4ATQBOAF8AagBmAFwAbgBGAHIAYQBjAFcARQBUAGoAXABuAEYAcgBhAGMATABFAEEAQwBIAFwAbgBqAFwAbgBmAFwAbgAtAC0ALQAtAC0ALQAtAC0ALQAtAC0ALQAtAC0ALQAtAC0ALQAtAC0ALQAtAC0ALQAtAC0ALQAtAC0ALQAtAC0ALQAtAC0ALQAtAC0AXABuACoALwBcAG4AXABuAFYARQBFAFIARwBfADUAXwA1AF8AMQBfADEAXwBfADIAXwBNAGEAcwBzAE8AZgBOAGkAdAByAG8AZwBlAG4ATABlAGEAYwBoAGUAZABGAHIAbwBtAEkAbgBvAHIAZwBhAG4AaQBjAEYAZQByAHQAaQBsAGkAcwBlAHIAXABuACAAIAA9AEwAQQBNAEIARABBACgAXABuACAAIAAgACAATQBOAF8AagBmACwAIABGAHIAYQBjAFcARQBUAGoALAAgAEYAcgBhAGMATABFAEEAQwBIACwAXABuACAAIAAgACAATQBOAF8AagBmACAAKgAgAEYAcgBhAGMAVwBFAFQAagAgACoAIABGAHIAYQBjAEwARQBBAEMASABcAG4AIAAgACkAOwBcAG4AXABuAFYARQBFAFIARwBfADUAXwA1AF8AMQBfADEAXwBfADIAXwBNAGEAcwBzAE8AZgBOAGkAdAByAG8AZwBlAG4ATABlAGEAYwBoAGUAZABGAHIAbwBtAEkAbgBvAHIAZwBhAG4AaQBjAEYAZQByAHQAaQBsAGkAcwBlAHIAXwBUAGkAdABsAGUAXABuACAAIAA9AEwAQQBNAEIARABBACgAXAAiAE0AYQBzAHMAIABvAGYAIABuAGkAdAByAG8AZwBlAG4AIABsAG8AcwB0ACAAdABoAHIAbwB1AGcAaAAgAGwAZQBhAGMAaABpAG4AZwAgAGEAbgBkACAAcgB1AG4AbwBmAGYAIABmAHIAbwBtACAAaQBuAG8AcgBnAGEAbgBpAGMAIABmAGUAcgB0AGkAbABpAHMAZQByACAAYQBwAHAAbABpAGMAYQB0AGkAbwBuACAAaQBuACAAcAByAG8AZAB1AGMAdABpAG8AbgAgAHMAeQBzAHQAZQBtACAAagBcACIAKQA7AFwAbgBcAG4AVgBFAEUAUgBHAF8ANQBfADUAXwAxAF8AMQBfAF8AMgBfAE0AYQBzAHMATwBmAE4AaQB0AHIAbwBnAGUAbgBMAGUAYQBjAGgAZQBkAEYAcgBvAG0ASQBuAG8AcgBnAGEAbgBpAGMARgBlAHIAdABpAGwAaQBzAGUAcgBfAFYAYQByAGkAYQBiAGwAZQBcAG4AIAAgAD0ATABBAE0AQgBEAEEAKABcACIATQBfAGwAZQBhAGMAaABpAG4AbwByAGcAYQBuAGkAYwBqAFwAIgApADsAXABuAFwAbgBWAEUARQBSAEcAXwA1AF8ANQBfADEAXwAxAF8AXwAyAF8ATQBhAHMAcwBPAGYATgBpAHQAcgBvAGcAZQBuAEwAZQBhAGMAaABlAGQARgByAG8AbQBJAG4AbwByAGcAYQBuAGkAYwBGAGUAcgB0AGkAbABpAHMAZQByAF8AVQBuAGkAdABcAG4AIAAgAD0ATABBAE0AQgBEAEEAKABcACIAawBnACAATgBcACIAKQA7AFwAbgBcAG4AVgBFAEUAUgBHAF8ANQBfADUAXwAxAF8AMQBfAF8AMgBfAE0AYQBzAHMATwBmAE4AaQB0AHIAbwBnAGUAbgBMAGUAYQBjAGgAZQBkAEYAcgBvAG0ASQBuAG8AcgBnAGEAbgBpAGMARgBlAHIAdABpAGwAaQBzAGUAcgBfAFMAbwB1AHIAYwBlAFwAbgAgACAAPQBMAEEATQBCAEQAQQAoAFwAIgBWAEUARQBSAEcAIAAyADAAMgA2ADoAIAA1AC4ANQAsACAARQBxAHUAYQB0AGkAbwBuACAAKAAyACkAXAAiACkAOwBcAG4AXABuAFYARQBFAFIARwBfADUAXwA1AF8AMQBfADEAXwBfADIAXwBNAGEAcwBzAE8AZgBOAGkAdAByAG8AZwBlAG4ATABlAGEAYwBoAGUAZABGAHIAbwBtAEkAbgBvAHIAZwBhAG4AaQBjAEYAZQByAHQAaQBsAGkAcwBlAHIAXwBOAEkAUgBSAGUAZgBlAHIAZQBuAGMAZQBcAG4AIAAgAD0ATABBAE0AQgBEAEEAKABcACIAXAAiACkAOwBcAG4AXABuAFYARQBFAFIARwBfADUAXwA1AF8AMQBfADEAXwBfADIAXwBNAGEAcwBzAE8AZgBOAGkAdAByAG8AZwBlAG4ATABlAGEAYwBoAGUAZABGAHIAbwBtAEkAbgBvAHIAZwBhAG4AaQBjAEYAZQByAHQAaQBsAGkAcwBlAHIAXwBMAGEAdABlAHgARQBxAHUAYQB0AGkAbwBuAFwAbgAgACAAPQBMAEEATQBCAEQAQQAoAFwAIgBNAF8AewBsAGUAYQBjAGgALABpAG4AbwByAGcAYQBuAGkAYwAsAGoAfQA9AFwAXABzAHUAbQBcAFwAbgBvAGwAaQBtAGkAdABzAF8AewBmAH0AXABcAGwAZQBmAHQAKAB7AE0ATgB9AF8AewBqAGYAfQBcAFwAdABpAG0AZQBzACAARgByAGEAYwBfAHsAVwBFAFQALABqAH0AXABcAHQAaQBtAGUAcwAgAEYAcgBhAGMAXwB7AEwARQBBAEMASAB9AFwAXAByAGkAZwBoAHQAKQBcACIAKQA7AFwAbgBcAG4AVgBFAEUAUgBHAF8ANQBfADUAXwAxAF8AMQBfAF8AMgBfAE0AYQBzAHMATwBmAE4AaQB0AHIAbwBnAGUAbgBMAGUAYQBjAGgAZQBkAEYAcgBvAG0ASQBuAG8AcgBnAGEAbgBpAGMARgBlAHIAdABpAGwAaQBzAGUAcgBfAEEAcgBnAHUAbQBlAG4AdABzAFwAbgAgACAAPQBMAEEATQBCAEQAQQAoAFwAbgAgACAAIAAgAE0AQQBLAEUAQQBSAFIAQQBZACgANgAsACAANAAsACAAXABuACAAIAAgACAAIAAgAEwAQQBNAEIARABBACgAcgAsAGMALAAgAFwAbgAgACAAIAAgACAAIAAgACAASQBOAEQARQBYACgAewBcAG4AIAAgACAAIAAgACAAIAAgACAAIABcACIATQBOAF8AagBmAFwAIgAsAFwAIgBtAGEAcwBzACAAbwBmACAAbgBpAHQAcgBvAGcAZQBuACAAaQBuACAAaQBuAG8AcgBnAGEAbgBpAGMAIABmAGUAcgB0AGkAbABpAHMAZQByAFwAIgAsACAAXAAiAGsAZwAgAE4AXAAiACwAIABcACIAQwBhAGwAYwB1AGwAYQB0AGUAZAAgAGYAcgBvAG0AIAA1AC4AMQAuADEALgAxACAAKAAyACkAXAAiADsAXABuACAAIAAgACAAIAAgACAAIAAgACAAXAAiAEYAcgBhAGMAVwBFAFQAagBcACIALABcACIAZgByAGEAYwB0AGkAbwBuACAAbwBmACAATgAgAGEAdgBhAGkAbABhAGIAbABlACAAZgBvAHIAIABsAGUAYQBjAGgAaQBuAGcAIABhAG4AZAAgAHIAdQBuAG8AZgBmAFwAIgAsACAAXAAiAGYAcgBhAGMAdABpAG8AbgBcACIALAAgAFwAIgBDAG8AbgBzAHQAYQBuAHQAXAAiADsAXABuACAAIAAgACAAIAAgACAAIAAgACAAXAAiAEYAcgBhAGMATABFAEEAQwBIAFwAIgAsAFwAIgBmAHIAYQBjAHQAaQBvAG4AIABvAGYAIABOACAAdABoAGEAdAAgAGkAcwAgAGwAbwBzAHQAIAB0AGgAcgBvAHUAZwBoACAAbABlAGEAYwBoAGkAbgBnACAAYQBuAGQAIAByAHUAbgBvAGYAZgBcACIALAAgAFwAIgBmAHIAYQBjAHQAaQBvAG4AXAAiACwAIABcACIAQwBvAG4AcwB0AGEAbgB0AFwAIgA7AFwAbgAgACAAIAAgACAAIAAgACAAIAAgACAAIABcACIAegBcACIALABcACIAbABvAGMAYQB0AGkAbwBuACAAaQBuACAAbABlAGEAYwBoAGkAbgBnACAAegBvAG4AZQBcACIALAAgAFwAIgBcACIALAAgAFwAIgBJAG4AcAB1AHQAXAAiADsAXABuACAAIAAgACAAIAAgACAAIAAgACAAIAAgAFwAIgBqAFwAIgAsAFwAIgBwAHIAbwBkAHUAYwB0AGkAbwBuACAAcwB5AHMAdABlAG0AXAAiACwAIABcACIAXAAiACwAIABcACIASQBuAHAAdQB0AFwAIgA7AFwAbgAgACAAIAAgACAAIAAgACAAIAAgACAAIABcACIAaQByAFwAIgAsAFwAIgBpAHIAcgBpAGcAYQB0AGkAbwBuACAAbQBlAHQAaABvAGQ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UAXwAxAF8AMQBfAF8AMwBfAE0AYQBzAHMATwBmAE4AaQB0AHIAbwBnAGUAbgBMAGUAYQBjAGgAZQBkAEYAcgBvAG0ATwByAGcAYQBuAGkAYwBGAGUAcgB0AGkAbABpAHMAZQByAFwAbgBNAGEAcwBzACAAbwBmACAAbgBpAHQAcgBvAGcAZQBuACAAbABvAHMAdAAgAHQAaAByAG8AdQBnAGgAIABsAGUAYQBjAGgAaQBuAGcAIABhAG4AZAAgAHIAdQBuAG8AZgBmACAAZgByAG8AbQAgAG8AcgBnAGEAbgBpAGMAIABmAGUAcgB0AGkAbABpAHMAZQByACAAYQBwAHAAbABpAGMAYQB0AGkAbwBuACAAaQBuACAAcAByAG8AZAB1AGMAdABpAG8AbgAgAHMAeQBzAHQAZQBtACAAagBcAG4ATQBfAGwAZQBhAGMAaABvAHIAZwBhAG4AaQBjAGoAXABuAGsAZwAgAE4AXABuAE0AXwB7AGwAZQBhAGMAaAAsAG8AcgBnAGEAbgBpAGMALABqAH0APQBcAFwAcwB1AG0AXwB7AGYAfQAoAHsATQBOAFMAbwBpAGwAfQBfAHsAagBmAH0AXABcAHQAaQBtAGUAcwAgAEYAcgBhAGMAXwB7AFcARQBUACwAagB9AFwAXAB0AGkAbQBlAHMAIABGAHIAYQBjAF8AewBMAEUAQQBDAEgAfQApAFwAbgBNAE4AUwBvAGkAbABfAGoAZgBcAG4ARgByAGEAYwBXAEUAVABqAFwAbgBGAHIAYQBjAEwARQBBAEMASABcAG4AagBcAG4AZgBcAG4ALQAtAC0ALQAtAC0ALQAtAC0ALQAtAC0ALQAtAC0ALQAtAC0ALQAtAC0ALQAtAC0ALQAtAC0ALQAtAC0ALQAtAC0ALQAtAC0ALQAtAFwAbgAqAC8AXABuAFwAbgBWAEUARQBSAEcAXwA1AF8ANQBfADEAXwAxAF8AXwAzAF8ATQBhAHMAcwBPAGYATgBpAHQAcgBvAGcAZQBuAEwAZQBhAGMAaABlAGQARgByAG8AbQBPAHIAZwBhAG4AaQBjAEYAZQByAHQAaQBsAGkAcwBlAHIAXABuACAAIAA9AEwAQQBNAEIARABBACgAXABuACAAIAAgACAATQBOAFMAbwBpAGwAXwBqAGYALAAgAEYAcgBhAGMAVwBFAFQAagAsACAARgByAGEAYwBMAEUAQQBDAEgALABcAG4AIAAgACAAIABNAE4AUwBvAGkAbABfAGoAZgAgACoAIABGAHIAYQBjAFcARQBUAGoAIAAqACAARgByAGEAYwBMAEUAQQBDAEgAXABuACAAIAApADsAXABuAFwAbgBWAEUARQBSAEcAXwA1AF8ANQBfADEAXwAxAF8AXwAzAF8ATQBhAHMAcwBPAGYATgBpAHQAcgBvAGcAZQBuAEwAZQBhAGMAaABlAGQARgByAG8AbQBPAHIAZwBhAG4AaQBjAEYAZQByAHQAaQBsAGkAcwBlAHIAXwBUAGkAdABsAGUAXABuACAAIAA9AEwAQQBNAEIARABBACgAXAAiAE0AYQBzAHMAIABvAGYAIABuAGkAdAByAG8AZwBlAG4AIABsAG8AcwB0ACAAdABoAHIAbwB1AGcAaAAgAGwAZQBhAGMAaABpAG4AZwAgAGEAbgBkACAAcgB1AG4AbwBmAGYAIABmAHIAbwBtACAAbwByAGcAYQBuAGkAYwAgAGYAZQByAHQAaQBsAGkAcwBlAHIAIABhAHAAcABsAGkAYwBhAHQAaQBvAG4AIABpAG4AIABwAHIAbwBkAHUAYwB0AGkAbwBuACAAcwB5AHMAdABlAG0AIABqAFwAIgApADsAXABuAFwAbgBWAEUARQBSAEcAXwA1AF8ANQBfADEAXwAxAF8AXwAzAF8ATQBhAHMAcwBPAGYATgBpAHQAcgBvAGcAZQBuAEwAZQBhAGMAaABlAGQARgByAG8AbQBPAHIAZwBhAG4AaQBjAEYAZQByAHQAaQBsAGkAcwBlAHIAXwBWAGEAcgBpAGEAYgBsAGUAXABuACAAIAA9AEwAQQBNAEIARABBACgAXAAiAE0AXwBsAGUAYQBjAGgAbwByAGcAYQBuAGkAYwBqAFwAIgApADsAXABuAFwAbgBWAEUARQBSAEcAXwA1AF8ANQBfADEAXwAxAF8AXwAzAF8ATQBhAHMAcwBPAGYATgBpAHQAcgBvAGcAZQBuAEwAZQBhAGMAaABlAGQARgByAG8AbQBPAHIAZwBhAG4AaQBjAEYAZQByAHQAaQBsAGkAcwBlAHIAXwBVAG4AaQB0AFwAbgAgACAAPQBMAEEATQBCAEQAQQAoAFwAIgBrAGcAIABOAFwAIgApADsAXABuAFwAbgBWAEUARQBSAEcAXwA1AF8ANQBfADEAXwAxAF8AXwAzAF8ATQBhAHMAcwBPAGYATgBpAHQAcgBvAGcAZQBuAEwAZQBhAGMAaABlAGQARgByAG8AbQBPAHIAZwBhAG4AaQBjAEYAZQByAHQAaQBsAGkAcwBlAHIAXwBTAG8AdQByAGMAZQBcAG4AIAAgAD0ATABBAE0AQgBEAEEAKABcACIAVgBFAEUAUgBHACAAMgAwADIANgA6ACAANQAuADUALAAgAEUAcQB1AGEAdABpAG8AbgAgACgAMwApAFwAIgApADsAXABuAFwAbgBWAEUARQBSAEcAXwA1AF8ANQBfADEAXwAxAF8AXwAzAF8ATQBhAHMAcwBPAGYATgBpAHQAcgBvAGcAZQBuAEwAZQBhAGMAaABlAGQARgByAG8AbQBPAHIAZwBhAG4AaQBjAEYAZQByAHQAaQBsAGkAcwBlAHIAXwBOAEkAUgBSAGUAZgBlAHIAZQBuAGMAZQBcAG4AIAAgAD0ATABBAE0AQgBEAEEAKABcACIAXAAiACkAOwBcAG4AXABuAFYARQBFAFIARwBfADUAXwA1AF8AMQBfADEAXwBfADMAXwBNAGEAcwBzAE8AZgBOAGkAdAByAG8AZwBlAG4ATABlAGEAYwBoAGUAZABGAHIAbwBtAE8AcgBnAGEAbgBpAGMARgBlAHIAdABpAGwAaQBzAGUAcgBfAEwAYQB0AGUAeABFAHEAdQBhAHQAaQBvAG4AXABuACAAIAA9AEwAQQBNAEIARABBACgAXAAiAE0AXwB7AGwAZQBhAGMAaAAsAG8AcgBnAGEAbgBpAGMALABqAH0APQBcAFwAcwB1AG0AXABcAG4AbwBsAGkAbQBpAHQAcwBfAHsAZgB9AFwAXABsAGUAZgB0ACgAewBNAE4AUwBvAGkAbAB9AF8AewBqAGYAfQBcAFwAdABpAG0AZQBzACAARgByAGEAYwBfAHsAVwBFAFQALABqAH0AXABcAHQAaQBtAGUAcwAgAEYAcgBhAGMAXwB7AEwARQBBAEMASAB9AFwAXAByAGkAZwBoAHQAKQBcACIAKQA7AFwAbgBcAG4AVgBFAEUAUgBHAF8ANQBfADUAXwAxAF8AMQBfAF8AMwBfAE0AYQBzAHMATwBmAE4AaQB0AHIAbwBnAGUAbgBMAGUAYQBjAGgAZQBkAEYAcgBvAG0ATwByAGcAYQBuAGkAYwBGAGUAcgB0AGkAbABpAHMAZQByAF8AQQByAGcAdQBtAGUAbgB0AHMAXABuACAAIAA9AEwAQQBNAEIARABBACgAXABuACAAIAAgACAATQBBAEsARQBBAFIAUgBBAFkAKAA2ACwAIAA0ACwAIABcAG4AIAAgACAAIAAgACAATABBAE0AQgBEAEEAKAByACwAYwAsACAAXABuACAAIAAgACAAIAAgACAAIABJAE4ARABFAFgAKAB7AFwAbgAgACAAIAAgACAAIAAgACAAIAAgAFwAIgBNAE4AUwBvAGkAbABfAGoAZgBcACIALABcACIAbQBhAHMAcwAgAG8AZgAgAG4AaQB0AHIAbwBnAGUAbgAgAGkAbgAgAG8AcgBnAGEAbgBpAGMAIABmAGUAcgB0AGkAbABpAHMAZQByAFwAIgAsACAAXAAiAGsAZwAgAE4AXAAiACwAIABcACIAQwBhAGwAYwB1AGwAYQB0AGUAZAAgAGYAcgBvAG0AIAA1AC4AMgAuADEALgAxACAAKAAyACkAXAAiADsAXABuACAAIAAgACAAIAAgACAAIAAgACAAXAAiAEYAcgBhAGMAVwBFAFQAagBcACIALABcACIAZgByAGEAYwB0AGkAbwBuACAAbwBmACAATgAgAGEAdgBhAGkAbABhAGIAbABlACAAZgBvAHIAIABsAGUAYQBjAGgAaQBuAGcAIABhAG4AZAAgAHIAdQBuAG8AZgBmAFwAIgAsACAAXAAiAGYAcgBhAGMAdABpAG8AbgBcACIALAAgAFwAIgBDAG8AbgBzAHQAYQBuAHQAXAAiADsAXABuACAAIAAgACAAIAAgACAAIAAgACAAXAAiAEYAcgBhAGMATABFAEEAQwBIAFwAIgAsAFwAIgBmAHIAYQBjAHQAaQBvAG4AIABvAGYAIABOACAAdABoAGEAdAAgAGkAcwAgAGwAbwBzAHQAIAB0AGgAcgBvAHUAZwBoACAAbABlAGEAYwBoAGkAbgBnACAAYQBuAGQAIAByAHUAbgBvAGYAZgBcACIALAAgAFwAIgBmAHIAYQBjAHQAaQBvAG4AXAAiACwAIABcACIAQwBvAG4AcwB0AGEAbgB0AFwAIgA7AFwAbgAgACAAIAAgACAAIAAgACAAIAAgAFwAIgB6AFwAIgAsAFwAIgBsAG8AYwBhAHQAaQBvAG4AIABpAG4AIABsAGUAYQBjAGgAaQBuAGcAIAB6AG8AbgBlAFwAIgAsACAAXAAiAFwAIgAsACAAXAAiAEkAbgBwAHUAdABcACIAOwBcAG4AIAAgACAAIAAgACAAIAAgACAAIABcACIAagBcACIALABcACIAcAByAG8AZAB1AGMAdABpAG8AbgAgAHMAeQBzAHQAZQBtAFwAIgAsACAAXAAiAFwAIgAsACAAXAAiAEkAbgBwAHUAdABcACIAOwBcAG4AIAAgACAAIAAgACAAIAAgACAAIABcACIAaQByAFwAIgAsAFwAIgBpAHIAcgBpAGcAYQB0AGkAbwBuACAAbQBlAHQAaABvAGQAXAAiACwAIABcACIAXAAiACwAIABcACIASQBuAHAAdQB0AFwAIgBcAG4AIAAgACAAIAAgACAAIAAgAH0ALAAgAHIALAAgAGMAKQBcAG4AIAAgACAAIAAgACAAKQBcAG4AIAAgACAAIAApAFwAbgAgACAAKQA7AFwAbgAiAH0ALAB7ACIAcABhAHQAaAAiADoAIgAvAHAAcgBvAGoAZQBjAHQAcwAvAEYAZQByAHQAaQBsAGkAcwBlAHIAXwBJAG4AcAB1AHQARgB1AG4AYwB0AGkAbwBuAHMAIgAsACIAdABlAHgAdAAiADoAIgBGAGUAcgB0AGkAbABpAHMAZQByAF8ARgBlAHIAdABpAGwAaQBzAGUAcgBQAHIAbwBkAHUAYwB0AEwAbwBvAGsAdQBwAFwAbgA9AEwAQQBNAEIARABBACgAXABuACAAIABQAHIAbwBkAHUAYwB0ACwAXABuACAAIABQAHIAbwBkAHUAYwB0AEEAdAB0AHIAaQBiAHUAdABlACwAXABuACAAIABQAHIAbwBkAHUAYwB0AEEAcgByAGEAeQAsAFwAbgAgACAAUAByAG8AZAB1AGMAdABBAHIAcgBhAHkAQwBvAGwAdQBtAG4ALABcAG4AIAAgAFAAcgBvAGQAdQBjAHQAQQByAHIAYQB5AEgAZQBhAGQAZQByAHMALABcAG4AIAAgAEkARgBFAFIAUgBPAFIAKABcAG4AIAAgACAAIABJAE4ARABFAFgAKABcAG4AIAAgACAAIAAgACAAUAByAG8AZAB1AGMAdABBAHIAcgBhAHkALABcAG4AIAAgACAAIAAgACAAWABNAEEAVABDAEgAKABcAG4AIAAgACAAIAAgACAAIAAgAFQAUgBJAE0AKABcAG4AIAAgACAAIAAgACAAIAAgACAAIABQAHIAbwBkAHUAYwB0AFwAbgAgACAAIAAgACAAIAAgACAAKQAsAFwAbgAgACAAIAAgACAAIAAgACAAUAByAG8AZAB1AGMAdABBAHIAcgBhAHkAQwBvAGwAdQBtAG4ALABcAG4AIAAgACAAIAAgACAAIAAgADAAXABuACAAIAAgACAAIAAgACkALABcAG4AIAAgACAAIAAgACAAWABNAEEAVABDAEgAKABcAG4AIAAgACAAIAAgACAAIAAgAFQAUgBJAE0AKABcAG4AIAAgACAAIAAgACAAIAAgACAAIABQAHIAbwBkAHUAYwB0AEEAdAB0AHIAaQBiAHUAdABlAFwAbgAgACAAIAAgACAAIAAgACAAKQAsAFwAbgAgACAAIAAgACAAIAAgACAAUAByAG8AZAB1AGMAdABBAHIAcgBhAHkASABlAGEAZABlAHIAcwAsAFwAbgAgACAAIAAgACAAIAAgACAAMABcAG4AIAAgACAAIAAgACAAKQBcAG4AIAAgACAAIAApACwAXABuACAAIAAgACAAXAAiAFwAIgBcAG4AIAAgACkAXABuACkAOwBcAG4AXABuAEYAZQByAHQAaQBsAGkAcwBlAHIAXwBTAHUAbQBQAHIAbwBkAHUAYwB0AEEAcABwAGwAaQBlAGQAXABuAD0ATABBAE0AQgBEAEEAKABcAG4AIAAgAEwAbwBvAGsAdQBwAFQAYQByAGcAZQB0ADEALABcAG4AIAAgAEwAbwBvAGsAdQBwAEEAcgByAGEAeQAxACwAXABuACAAIABBAG0AbwB1AG4AdABBAHAAcABsAGkAZQBkACwAXABuACAAIABbAEwAbwBvAGsAdQBwAFQAYQByAGcAZQB0ADIAXQAsAFwAbgAgACAAWwBMAG8AbwBrAHUAcABBAHIAcgBhAHkAMgBdACwAXABuACAAIABMAEUAVAAoAFwAbgAgACAAIAAgAGMAcgBpAHQAZQByAGkAYQAxACwAXABuACAAIAAgACAALQAtACgAXABuACAAIAAgACAAIAAgAEwAbwBvAGsAdQBwAEEAcgByAGEAeQAxACAAPQAgAEwAbwBvAGsAdQBwAFQAYQByAGcAZQB0ADEAXABuACAAIAAgACAAKQAsAFwAbgAgACAAIAAgAGMAcgBpAHQAZQByAGkAYQAyACwAXABuACAAIAAgACAASQBGACgAXABuACAAIAAgACAAIAAgAEkAUwBPAE0ASQBUAFQARQBEACgAXABuACAAIAAgACAAIAAgACAAIABMAG8AbwBrAHUAcABUAGEAcgBnAGUAdAAyAFwAbgAgACAAIAAgACAAIAApACwAXABuACAAIAAgACAAIAAgADEALABcAG4AIAAgACAAIAAgACAALQAtACgAXABuACAAIAAgACAAIAAgACAAIABMAG8AbwBrAHUAcABBAHIAcgBhAHkAMgAgAD0AIABMAG8AbwBrAHUAcABUAGEAcgBnAGUAdAAyAFwAbgAgACAAIAAgACAAIAApAFwAbgAgACAAIAAgACkALABcAG4AIAAgACAAIABTAFUATQBQAFIATwBEAFUAQwBUACgAXABuACAAIAAgACAAIAAgAEkARgBFAFIAUgBPAFIAKABjAHIAaQB0AGUAcgBpAGEAMQAgACoAIABjAHIAaQB0AGUAcgBpAGEAMgAgACoAIABBAG0AbwB1AG4AdABBAHAAcABsAGkAZQBkACwAIAAwACkAXABuACAAIAAgACAAKQBcAG4AIAAgACkAXABuACkAOwBcAG4AXABuAEYAZQByAHQAaQBsAGkAcwBlAHIAXwBUAG8AdABhAGwAUwBvAGkAbABBAG0AZQBuAGQAbQBlAG4AdABBAHAAcABsAGkAZQBkAFwAbgA9AEwAQQBNAEIARABBACgAXABuACAAIABBAG0AbwB1AG4AdABBAHAAcABsAGkAZQBkACwAXABuACAAIABBAG0AZQBuAGQAbQBlAG4AdABQAGUAcgBjAGUAbgB0ACwAXABuACAAIABTAFUATQBQAFIATwBEAFUAQwBUACgAXABuACAAIAAgACAAQQBtAG8AdQBuAHQAQQBwAHAAbABpAGUAZAAgACoAIABBAG0AZQBuAGQAbQBlAG4AdABQAGUAcgBjAGUAbgB0AFwAbgAgACAAKQBcAG4AKQA7AFwAbgBcAG4ARgBlAHIAdABpAGwAaQBzAGUAcgBfAFQAbwB0AGEAbABDAGgAZQBtAGkAYwBhAGwAQwBvAG0AcABvAHUAbgBkAEEAcABwAGwAaQBlAGQAQQBsAGwASQBuAGcAcgBlAGQAaQBlAG4AdABzAFwAbgA9AEwAQQBNAEIARABBACgAXABuACAAIABDAGgAZQBtAGkAYwBhAGwAQwBvAG0AcABvAHUAbgBkACwAXABuACAAIABBAG0AbwB1AG4AdABBAHAAcABsAGkAZQBkACwAXABuACAAIABQAHIAbwBkAHUAYwB0AEkAbgBnAHIAZQBkAGkAZQBuAHQAMQAsAFwAbgAgACAAUAByAG8AZAB1AGMAdABJAG4AZwByAGUAZABpAGUAbgB0AFAAZQByAGMAZQBuAHQAMQAsAFwAbgAgACAAWwBQAHIAbwBkAHUAYwB0AEkAbgBnAHIAZQBkAGkAZQBuAHQAMgBdACwAXABuACAAIABbAFAAcgBvAGQAdQBjAHQASQBuAGcAcgBlAGQAaQBlAG4AdABQAGUAcgBjAGUAbgB0ADIAXQAsAFwAbgAgACAAWwBQAHIAbwBkAHUAYwB0AEkAbgBnAHIAZQBkAGkAZQBuAHQAMwBdACwAXABuACAAIABbAFAAcgBvAGQAdQBjAHQASQBuAGcAcgBlAGQAaQBlAG4AdABQAGUAcgBjAGUAbgB0ADMAXQAsAFwAbgAgACAAWwBQAHIAbwBkAHUAYwB0AEkAbgBnAHIAZQBkAGkAZQBuAHQANABdACwAXABuACAAIABbAFAAcgBvAGQAdQBjAHQASQBuAGcAcgBlAGQAaQBlAG4AdABQAGUAcgBjAGUAbgB0ADQAXQAsAFwAbgAgACAAWwBQAHIAbwBkAHUAYwB0AEkAbgBnAHIAZQBkAGkAZQBuAHQANQBdACwAXABuACAAIABbAFAAcgBvAGQAdQBjAHQASQBuAGcAcgBlAGQAaQBlAG4AdABQAGUAcgBjAGUAbgB0ADUAXQAsAFwAbgAgACAAWwBQAHIAbwBkAHUAYwB0AEkAbgBnAHIAZQBkAGkAZQBuAHQANgBdACwAXABuACAAIABbAFAAcgBvAGQAdQBjAHQASQBuAGcAcgBlAGQAaQBlAG4AdABQAGUAcgBjAGUAbgB0ADYAXQAsAFwAbgAgACAATABFAFQAKABcAG4AIAAgACAAIABjAGEAbABjAHUAbABhAHQAZQBkAEEAbQBvAHUAbgB0ADEALABcAG4AIAAgACAAIAAoAFwAbgAgACAAIAAgACAAIABBAG0AbwB1AG4AdABBAHAAcABsAGkAZQBkACAAKgAgAFAAcgBvAGQAdQBjAHQASQBuAGcAcgBlAGQAaQBlAG4AdABQAGUAcgBjAGUAbgB0ADEAXABuACAAIAAgACAAKQAsAFwAbgAgACAAIAAgAGMAYQBsAGMAdQBsAGEAdABlAGQAQQBtAG8AdQBuAHQAMgAsAFwAbgAgACAAIAAgACgAXABuACAAIAAgACAAIAAgAEEAbQBvAHUAbgB0AEEAcABwAGwAaQBlAGQAIAAqACAAUAByAG8AZAB1AGMAdABJAG4AZwByAGUAZABpAGUAbgB0AFAAZQByAGMAZQBuAHQAMgBcAG4AIAAgACAAIAApACwAXABuACAAIAAgACAAYwBhAGwAYwB1AGwAYQB0AGUAZABBAG0AbwB1AG4AdAAzACwAXABuACAAIAAgACAAKABcAG4AIAAgACAAIAAgACAAQQBtAG8AdQBuAHQAQQBwAHAAbABpAGUAZAAgACoAIABQAHIAbwBkAHUAYwB0AEkAbgBnAHIAZQBkAGkAZQBuAHQAUABlAHIAYwBlAG4AdAAzAFwAbgAgACAAIAAgACkALABcAG4AIAAgACAAIABjAGEAbABjAHUAbABhAHQAZQBkAEEAbQBvAHUAbgB0ADQALABcAG4AIAAgACAAIAAoAFwAbgAgACAAIAAgACAAIABBAG0AbwB1AG4AdABBAHAAcABsAGkAZQBkACAAKgAgAFAAcgBvAGQAdQBjAHQASQBuAGcAcgBlAGQAaQBlAG4AdABQAGUAcgBjAGUAbgB0ADQAXABuACAAIAAgACAAKQAsAFwAbgAgACAAIAAgAGMAYQBsAGMAdQBsAGEAdABlAGQAQQBtAG8AdQBuAHQANQAsAFwAbgAgACAAIAAgACgAXABuACAAIAAgACAAIAAgAEEAbQBvAHUAbgB0AEEAcABwAGwAaQBlAGQAIAAqACAAUAByAG8AZAB1AGMAdABJAG4AZwByAGUAZABpAGUAbgB0AFAAZQByAGMAZQBuAHQANQBcAG4AIAAgACAAIAApACwAXABuACAAIAAgACAAYwBhAGwAYwB1AGwAYQB0AGUAZABBAG0AbwB1AG4AdAA2ACwAXABuACAAIAAgACAAKABcAG4AIAAgACAAIAAgACAAQQBtAG8AdQBuAHQAQQBwAHAAbABpAGUAZAAgACoAIABQAHIAbwBkAHUAYwB0AEkAbgBnAHIAZQBkAGkAZQBuAHQAUABlAHIAYwBlAG4AdAA2AFwAbgAgACAAIAAgACkALABcAG4AIAAgACAAIABGAGUAcgB0AGkAbABpAHMAZQByAF8AUwB1AG0AUAByAG8AZAB1AGMAdABBAHAAcABsAGkAZQBkACgAXABuACAAIAAgACAAIAAgAEMAaABlAG0AaQBjAGEAbABDAG8AbQBwAG8AdQBuAGQALABcAG4AIAAgACAAIAAgACAAUAByAG8AZAB1AGMAdABJAG4AZwByAGUAZABpAGUAbgB0ADEALABcAG4AIAAgACAAIAAgACAAYwBhAGwAYwB1AGwAYQB0AGUAZABBAG0AbwB1AG4AdAAx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gAsAFwAbgAgACAAIAAgACAAIAAgACAAYwBhAGwAYwB1AGwAYQB0AGUAZABBAG0AbwB1AG4AdAAy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zACwAXABuACAAIAAgACAAIAAgACAAIABjAGEAbABjAHUAbABhAHQAZQBkAEEAbQBvAHUAbgB0ADM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QALABcAG4AIAAgACAAIAAgACAAIAAgAGMAYQBsAGMAdQBsAGEAdABlAGQAQQBtAG8AdQBuAHQANA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QAsAFwAbgAgACAAIAAgACAAIAAgACAAYwBhAGwAYwB1AGwAYQB0AGUAZABBAG0AbwB1AG4AdAA1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2ACwAXABuACAAIAAgACAAIAAgACAAIABjAGEAbABjAHUAbABhAHQAZQBkAEEAbQBvAHUAbgB0ADYAXABuACAAIAAgACAAIAAgACkALABcAG4AIAAgACAAIAAgACAAMABcAG4AIAAgACAAIAApAFwAbgAgACAAKQBcAG4AKQA7AFwAbgBcAG4ARgBlAHIAdABpAGwAaQBzAGUAcgBfAFQAbwB0AGEAbABDAGgAZQBtAGkAYwBhAGwAQwBvAG0AcABvAHUAbgBkAHQAQQBwAHAAbABpAGUAZABCAHkAUwBvAHUAcgBjAGUAQQBsAGwASQBuAGcAcgBlAGQAaQBlAG4AdABzAFwAbgA9AEwAQQBNAEIARABBACgAXABuACAAIABDAGgAZQBtAGkAYwBhAGwAQwBvAG0AcABvAHUAbgBkACwAXABuACAAIABTAG8AdQByAGMAZQAsAFwAbgAgACAAQQBtAG8AdQBuAHQAQQBwAHAAbABpAGUAZAAsAFwAbgAgACAAUAByAG8AZAB1AGMAdABJAG4AZwByAGUAZABpAGUAbgB0ADEALABcAG4AIAAgAFAAcgBvAGQAdQBjAHQASQBuAGcAcgBlAGQAaQBlAG4AdABQAGUAcgBjAGUAbgB0ADEALABcAG4AIAAgAFsAUAByAG8AZAB1AGMAdABJAG4AZwByAGUAZABpAGUAbgB0AFMAbwB1AHIAYwBlAF0ALABcAG4AIAAgAFsAUAByAG8AZAB1AGMAdABJAG4AZwByAGUAZABpAGUAbgB0ADIAXQAsAFwAbgAgACAAWwBQAHIAbwBkAHUAYwB0AEkAbgBnAHIAZQBkAGkAZQBuAHQAUABlAHIAYwBlAG4AdAAyAF0ALABcAG4AIAAgAFsAUAByAG8AZAB1AGMAdABJAG4AZwByAGUAZABpAGUAbgB0ADMAXQAsAFwAbgAgACAAWwBQAHIAbwBkAHUAYwB0AEkAbgBnAHIAZQBkAGkAZQBuAHQAUABlAHIAYwBlAG4AdAAzAF0ALABcAG4AIAAgAFsAUAByAG8AZAB1AGMAdABJAG4AZwByAGUAZABpAGUAbgB0ADQAXQAsAFwAbgAgACAAWwBQAHIAbwBkAHUAYwB0AEkAbgBnAHIAZQBkAGkAZQBuAHQAUABlAHIAYwBlAG4AdAA0AF0ALABcAG4AIAAgAFsAUAByAG8AZAB1AGMAdABJAG4AZwByAGUAZABpAGUAbgB0ADUAXQAsAFwAbgAgACAAWwBQAHIAbwBkAHUAYwB0AEkAbgBnAHIAZQBkAGkAZQBuAHQAUABlAHIAYwBlAG4AdAA1AF0ALABcAG4AIAAgAFsAUAByAG8AZAB1AGMAdABJAG4AZwByAGUAZABpAGUAbgB0ADYAXQAsAFwAbgAgACAAWwBQAHIAbwBkAHUAYwB0AEkAbgBnAHIAZQBkAGkAZQBuAHQAUABlAHIAYwBlAG4AdAA2AF0ALABcAG4AIAAgAEwARQBUACgAXABuACAAIAAgACAAYwBhAGwAYwB1AGwAYQB0AGUAZABBAG0AbwB1AG4AdAAxACwAXABuACAAIAAgACAAKABcAG4AIAAgACAAIAAgACAAQQBtAG8AdQBuAHQAQQBwAHAAbABpAGUAZAAgACoAIABQAHIAbwBkAHUAYwB0AEkAbgBnAHIAZQBkAGkAZQBuAHQAUABlAHIAYwBlAG4AdAAxAFwAbgAgACAAIAAgACkALABcAG4AIAAgACAAIABjAGEAbABjAHUAbABhAHQAZQBkAEEAbQBvAHUAbgB0ADIALABcAG4AIAAgACAAIAAoAFwAbgAgACAAIAAgACAAIABBAG0AbwB1AG4AdABBAHAAcABsAGkAZQBkACAAKgAgAFAAcgBvAGQAdQBjAHQASQBuAGcAcgBlAGQAaQBlAG4AdABQAGUAcgBjAGUAbgB0ADIAXABuACAAIAAgACAAKQAsAFwAbgAgACAAIAAgAGMAYQBsAGMAdQBsAGEAdABlAGQAQQBtAG8AdQBuAHQAMwAsAFwAbgAgACAAIAAgACgAXABuACAAIAAgACAAIAAgAEEAbQBvAHUAbgB0AEEAcABwAGwAaQBlAGQAIAAqACAAUAByAG8AZAB1AGMAdABJAG4AZwByAGUAZABpAGUAbgB0AFAAZQByAGMAZQBuAHQAMwBcAG4AIAAgACAAIAApACwAXABuACAAIAAgACAAYwBhAGwAYwB1AGwAYQB0AGUAZABBAG0AbwB1AG4AdAA0ACwAXABuACAAIAAgACAAKABcAG4AIAAgACAAIAAgACAAQQBtAG8AdQBuAHQAQQBwAHAAbABpAGUAZAAgACoAIABQAHIAbwBkAHUAYwB0AEkAbgBnAHIAZQBkAGkAZQBuAHQAUABlAHIAYwBlAG4AdAA0AFwAbgAgACAAIAAgACkALABcAG4AIAAgACAAIABjAGEAbABjAHUAbABhAHQAZQBkAEEAbQBvAHUAbgB0ADUALABcAG4AIAAgACAAIAAoAFwAbgAgACAAIAAgACAAIABBAG0AbwB1AG4AdABBAHAAcABsAGkAZQBkACAAKgAgAFAAcgBvAGQAdQBjAHQASQBuAGcAcgBlAGQAaQBlAG4AdABQAGUAcgBjAGUAbgB0ADUAXABuACAAIAAgACAAKQAsAFwAbgAgACAAIAAgAGMAYQBsAGMAdQBsAGEAdABlAGQAQQBtAG8AdQBuAHQANgAsAFwAbgAgACAAIAAgACgAXABuACAAIAAgACAAIAAgAEEAbQBvAHUAbgB0AEEAcABwAGwAaQBlAGQAIAAqACAAUAByAG8AZAB1AGMAdABJAG4AZwByAGUAZABpAGUAbgB0AFAAZQByAGMAZQBuAHQANgBcAG4AIAAgACAAIAApACwAXABuACAAIAAgACAAUAByAG8AZAB1AGMAdABJAG4AZwByAGUAZABpAGUAbgB0AFMAbwB1AHIAYwBlACwAXABuACAAIAAgACAASQBGACgAXABuACAAIAAgACAAIAAgAFAAcgBvAGQAdQBjAHQASQBuAGcAcgBlAGQAaQBlAG4AdABTAG8AdQByAGMAZQAgAD0AIABcACIAXAAiACwAXABuACAAIAAgACAAIAAgAFwAIgBHAGwAbwBiAGEAbABcACIALABcAG4AIAAgACAAIAAgACAAUAByAG8AZAB1AGMAdABJAG4AZwByAGUAZABpAGUAbgB0AFMAbwB1AHIAYwBlAFwAbgAgACAAIAAgACkALABcAG4AIAAgACAAIABGAGUAcgB0AGkAbABpAHMAZQByAF8AUwB1AG0AUAByAG8AZAB1AGMAdABBAHAAcABsAGkAZQBkACgAXABuACAAIAAgACAAIAAgAEMAaABlAG0AaQBjAGEAbABDAG8AbQBwAG8AdQBuAGQALABcAG4AIAAgACAAIAAgACAAUAByAG8AZAB1AGMAdABJAG4AZwByAGUAZABpAGUAbgB0ADEALABcAG4AIAAgACAAIAAgACAAYwBhAGwAYwB1AGwAYQB0AGUAZABBAG0AbwB1AG4AdAAxACwAXABuACAAIAAgACAAIAAgAFMAbwB1AHIAYwBlACwAXABuACAAIAAgACAAIAAgAFAAcgBvAGQAdQBjAHQASQBuAGcAcgBlAGQAaQBlAG4AdABTAG8AdQByAGMAZQ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IALABcAG4AIAAgACAAIAAgACAAIAAgAGMAYQBsAGMAdQBsAGEAdABlAGQAQQBtAG8AdQBuAHQAMg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wAsAFwAbgAgACAAIAAgACAAIAAgACAAYwBhAGwAYwB1AGwAYQB0AGUAZABBAG0AbwB1AG4AdAAz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0ACwAXABuACAAIAAgACAAIAAgACAAIABjAGEAbABjAHUAbABhAHQAZQBkAEEAbQBvAHUAbgB0ADQALABcAG4AIAAgACAAIAAgACAAIAAgAFMAbwB1AHIAYwBlACwAXABuACAAIAAgACAAIAAgACAAIABQAHIAbwBkAHUAYwB0AEkAbgBnAHIAZQBkAGkAZQBuAHQAUwBvAHUAcgBjAG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UALABcAG4AIAAgACAAIAAgACAAIAAgAGMAYQBsAGMAdQBsAGEAdABlAGQAQQBtAG8AdQBuAHQANQ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gAsAFwAbgAgACAAIAAgACAAIAAgACAAYwBhAGwAYwB1AGwAYQB0AGUAZABBAG0AbwB1AG4AdAA2ACwAXABuACAAIAAgACAAIAAgACAAIABTAG8AdQByAGMAZQAsAFwAbgAgACAAIAAgACAAIAAgACAAUAByAG8AZAB1AGMAdABJAG4AZwByAGUAZABpAGUAbgB0AFMAbwB1AHIAYwBlAFwAbgAgACAAIAAgACAAIAApACwAXABuACAAIAAgACAAIAAgADAAXABuACAAIAAgACAAKQBcAG4AIAAgACkAXABuACkAOwBcAG4AXABuAEYAZQByAHQAaQBsAGkAcwBlAHIAXwBHAGUAdABTAGMAbwBwAGUAMwBFAEYAXABuAD0ATABBAE0AQgBEAEEAKABcAG4AIAAgAEMAaABlAG0AaQBjAGEAbABDAG8AbQBwAG8AdQBuAGQALABcAG4AIAAgAFMAYwBvAHAAZQAzAEEAcgByAGEAeQAsAFwAbgAgACAAQwBoAGUAbQBpAGMAYQBsAEMAbwBtAHAAbwB1AG4AZABDAG8AbAB1AG0AbgAsAFwAbgAgACAAUwBvAHUAcgBjAGUALABcAG4AIAAgAFMAbwB1AHIAYwBlAFIAbwB3ACwAXABuACAAIABJAE4ARABFAFgAKABcAG4AIAAgACAAIABTAGMAbwBwAGUAMwBBAHIAcgBhAHkALABcAG4AIAAgACAAIABNAEEAVABDAEgAKABcAG4AIAAgACAAIAAgACAAQwBoAGUAbQBpAGMAYQBsAEMAbwBtAHAAbwB1AG4AZAAsAFwAbgAgACAAIAAgACAAIABDAGgAZQBtAGkAYwBhAGwAQwBvAG0AcABvAHUAbgBkAEMAbwBsAHUAbQBuACwAXABuACAAIAAgACAAIAAgADAAXABuACAAIAAgACAAKQAsAFwAbgAgACAAIAAgAE0AQQBUAEMASAAoAFwAbgAgACAAIAAgACAAIABTAG8AdQByAGMAZQAsAFwAbgAgACAAIAAgACAAIABTAG8AdQByAGMAZQBSAG8AdwAsAFwAbgAgACAAIAAgACAAIAAwAFwAbgAgACAAIAAgACkAXABuACAAIAApAFwAbgApADsAXABuAFwAbgBGAGUAcgB0AGkAbABpAHMAZQByAF8ARwBlAHQAQwBoAGUAbQBpAGMAYQBsAEMAbwBtAHAAbwB1AG4AZABFAGwAZQBtAGUAbgB0AEYAcgBhAGMAdABpAG8AbgBcAG4APQBMAEEATQBCAEQAQQAoAFwAbgAgACAAQwBoAGUAbQBpAGMAYQBsAEMAbwBtAHAAbwB1AG4AZAAsAFwAbgAgACAARQBsAGUAbQBlAG4AdAAsAFwAbgAgACAAQwBoAGUAbQBpAGMAYQBsAEMAbwBtAHAAbwB1AG4AZABBAHIAcgBhAHkALABcAG4AIAAgAEMAaABlAG0AaQBjAGEAbABDAG8AbQBwAG8AdQBuAGQAQwBvAGwAdQBtAG4ALABcAG4AIAAgAEUAbABlAG0AZQBuAHQAUgBvAHcALABcAG4AIAAgAEkATgBEAEUAWAAoAFwAbgAgACAAIAAgAEMAaABlAG0AaQBjAGEAbABDAG8AbQBwAG8AdQBuAGQAQQByAHIAYQB5ACwAXABuACAAIAAgACAATQBBAFQAQwBIACgAXABuACAAIAAgACAAIAAgAEMAaABlAG0AaQBjAGEAbABDAG8AbQBwAG8AdQBuAGQALABcAG4AIAAgACAAIAAgACAAQwBoAGUAbQBpAGMAYQBsAEMAbwBtAHAAbwB1AG4AZABDAG8AbAB1AG0AbgAsAFwAbgAgACAAIAAgACAAIAAwAFwAbgAgACAAIAAgACkALABcAG4AIAAgACAAIABNAEEAVABDAEgAKABcAG4AIAAgACAAIAAgACAARQBsAGUAbQBlAG4AdAAsAFwAbgAgACAAIAAgACAAIABFAGwAZQBtAGUAbgB0AFIAbwB3ACwAXABuACAAIAAgACAAIAAgADAAXABuACAAIAAgACAAKQBcAG4AIAAgACkAXABuACkAOwBcAG4AXABuAEYAZQByAHQAaQBsAGkAcwBlAHIAXwBUAG8AdABhAGwAQQBjAHQAaQB2AGUASQBuAGcAcgBlAGQAaQBlAG4AdABBAHAAcABsAGkAZQBkAEEAbABsAEkAbgBnAHIAZQBkAGkAZQBuAHQAcwBcAG4APQBMAEEATQBCAEQAQQAoAFwAbgAgACAAQwBoAGUAbQBpAGMAYQBsAEMAbwBtAHAAbwB1AG4AZAAsAFwAbgAgACAAQQBtAG8AdQBuAHQAQQBwAHAAbABpAGUAZAAsAFwAbgAgACAAUAByAG8AZAB1AGMAdABJAG4AZwByAGUAZABpAGUAbgB0ADEALABcAG4AIAAgAFAAcgBvAGQAdQBjAHQASQBuAGcAcgBlAGQAaQBlAG4AdABVAG4AaQB0ADEALABcAG4AIAAgAFAAcgBvAGQAdQBjAHQASQBuAGcAcgBlAGQAaQBlAG4AdABQAGUAcgBjAGUAbgB0ADEALABcAG4AIAAgAFsAUAByAG8AZAB1AGMAdABJAG4AZwByAGUAZABpAGUAbgB0ADIAXQAsAFwAbgAgACAAWwBQAHIAbwBkAHUAYwB0AEkAbgBnAHIAZQBkAGkAZQBuAHQAVQBuAGkAdAAyAF0ALABcAG4AIAAgAFsAUAByAG8AZAB1AGMAdABJAG4AZwByAGUAZABpAGUAbgB0AFAAZQByAGMAZQBuAHQAMgBdACwAXABuACAAIABbAFAAcgBvAGQAdQBjAHQASQBuAGcAcgBlAGQAaQBlAG4AdAAzAF0ALABcAG4AIAAgAFsAUAByAG8AZAB1AGMAdABJAG4AZwByAGUAZABpAGUAbgB0AFUAbgBpAHQAMwBdACwAXABuACAAIABbAFAAcgBvAGQAdQBjAHQASQBuAGcAcgBlAGQAaQBlAG4AdABQAGUAcgBjAGUAbgB0ADMAXQAsAFwAbgAgACAATABFAFQAKABcAG4AIAAgACAAIABjAGEAbABjAHUAbABhAHQAZQBkAEEAbQBvAHUAbgB0ADEALABcAG4AIAAgACAAIAAoAFwAbgAgACAAIAAgACAAIABJAEYAKABcAG4AIAAgACAAIAAgACAAIAAgAFAAcgBvAGQAdQBjAHQASQBuAGcAcgBlAGQAaQBlAG4AdABVAG4AaQB0ADEAIAA9ACAAXAAiAFAAZQByAGMAZQBuAHQAIABvAGYAIABwAHIAbwBkAHUAYwB0AFwAIgAsAFwAbgAgACAAIAAgACAAIAAgACAAQQBtAG8AdQBuAHQAQQBwAHAAbABpAGUAZAAgACoAIABQAHIAbwBkAHUAYwB0AEkAbgBnAHIAZQBkAGkAZQBuAHQAUABlAHIAYwBlAG4AdAAxACwAXABuACAAIAAgACAAIAAgACAAIABBAG0AbwB1AG4AdABBAHAAcABsAGkAZQBkACAAKgAoAFwAbgAgACAAIAAgACAAIAAgACAAIAAgAFAAcgBvAGQAdQBjAHQASQBuAGcAcgBlAGQAaQBlAG4AdABQAGUAcgBjAGUAbgB0ADEAIAAqACAAMQAwACAAXgAgAC0AIAAzAFwAbgAgACAAIAAgACAAIAAgACAAKQBcAG4AIAAgACAAIAAgACAAKQBcAG4AIAAgACAAIAApACwAXABuACAAIAAgACAAYwBhAGwAYwB1AGwAYQB0AGUAZABBAG0AbwB1AG4AdAAyACwAXABuACAAIAAgACAAKABcAG4AIAAgACAAIAAgACAASQBGACgAXABuACAAIAAgACAAIAAgACAAIABQAHIAbwBkAHUAYwB0AEkAbgBnAHIAZQBkAGkAZQBuAHQAVQBuAGkAdAAxACAAPQAgAFwAIgBQAGUAcgBjAGUAbgB0ACAAbwBmACAAcAByAG8AZAB1AGMAdABcACIALABcAG4AIAAgACAAIAAgACAAIAAgAEEAbQBvAHUAbgB0AEEAcABwAGwAaQBlAGQAIAAqACAAUAByAG8AZAB1AGMAdABJAG4AZwByAGUAZABpAGUAbgB0AFAAZQByAGMAZQBuAHQAMgAsAFwAbgAgACAAIAAgACAAIAAgACAAQQBtAG8AdQBuAHQAQQBwAHAAbABpAGUAZAAgACoAKABcAG4AIAAgACAAIAAgACAAIAAgACAAIABQAHIAbwBkAHUAYwB0AEkAbgBnAHIAZQBkAGkAZQBuAHQAUABlAHIAYwBlAG4AdAAyACAAKgAgADEAMAAgAF4AIAAtACAAMwBcAG4AIAAgACAAIAAgACAAIAAgACkAXABuACAAIAAgACAAIAAgACkAXABuACAAIAAgACAAKQAsAFwAbgAgACAAIAAgAGMAYQBsAGMAdQBsAGEAdABlAGQAQQBtAG8AdQBuAHQAMwAsAFwAbgAgACAAIAAgACgAXABuACAAIAAgACAAIAAgAEkARgAoAFwAbgAgACAAIAAgACAAIAAgACAAUAByAG8AZAB1AGMAdABJAG4AZwByAGUAZABpAGUAbgB0AFUAbgBpAHQAMQAgAD0AIABcACIAUABlAHIAYwBlAG4AdAAgAG8AZgAgAHAAcgBvAGQAdQBjAHQAXAAiACwAXABuACAAIAAgACAAIAAgACAAIABBAG0AbwB1AG4AdABBAHAAcABsAGkAZQBkACAAKgAgAFAAcgBvAGQAdQBjAHQASQBuAGcAcgBlAGQAaQBlAG4AdABQAGUAcgBjAGUAbgB0ADMALABcAG4AIAAgACAAIAAgACAAIAAgAEEAbQBvAHUAbgB0AEEAcABwAGwAaQBlAGQAIAAqACgAXABuACAAIAAgACAAIAAgACAAIAAgACAAUAByAG8AZAB1AGMAdABJAG4AZwByAGUAZABpAGUAbgB0AFAAZQByAGMAZQBuAHQAMwAgACoAIAAxADAAIABeACAALQAgADMAXABuACAAIAAgACAAIAAgACAAIAApAFwAbgAgACAAIAAgACAAIAApAFwAbgAgACAAIAAgACkALABcAG4AIAAgACAAIABGAGUAcgB0AGkAbABpAHMAZQByAF8ASQBuAHAAdQB0AEYAdQBuAGMAdABpAG8AbgBzAC4ARgBlAHIAdABpAGwAaQBzAGUAcgBfAFMAdQBtAFAAcgBvAGQAdQBjAHQAQQBwAHAAbABpAGUAZAAoAFwAbgAgACAAIAAgACAAIABDAGgAZQBtAGkAYwBhAGwAQwBvAG0AcABvAHUAbgBkACwAXABuACAAIAAgACAAIAAgAFAAcgBvAGQAdQBjAHQASQBuAGcAcgBlAGQAaQBlAG4AdAAxACwAXABuACAAIAAgACAAIAAgAGMAYQBsAGMAdQBsAGEAdABlAGQAQQBtAG8AdQBuAHQAMQBcAG4AIAAgACAAIAApACAAKwAgAEkARgBFAFIAUgBPAFIAKABcAG4AIAAgACAAIAAgACAARgBlAHIAdABpAGwAaQBzAGUAcgBfAEkAbgBwAHUAdABGAHUAbgBjAHQAaQBvAG4AcwAuAEYAZQByAHQAaQBsAGkAcwBlAHIAXwBTAHUAbQBQAHIAbwBkAHUAYwB0AEEAcABwAGwAaQBlAGQAKABcAG4AIAAgACAAIAAgACAAIAAgAEMAaABlAG0AaQBjAGEAbABDAG8AbQBwAG8AdQBuAGQALABcAG4AIAAgACAAIAAgACAAIAAgAFAAcgBvAGQAdQBjAHQASQBuAGcAcgBlAGQAaQBlAG4AdAAyACwAXABuACAAIAAgACAAIAAgACAAIABjAGEAbABjAHUAbABhAHQAZQBkAEEAbQBvAHUAbgB0ADIAXABuACAAIAAgACAAIAAgACkALABcAG4AIAAgACAAIAAgACAAMABcAG4AIAAgACAAIAApACAAKwAgAEkARgBFAFIAUgBPAFIAKABcAG4AIAAgACAAIAAgACAARgBlAHIAdABpAGwAaQBzAGUAcgBfAEkAbgBwAHUAdABGAHUAbgBjAHQAaQBvAG4AcwAuAEYAZQByAHQAaQBsAGkAcwBlAHIAXwBTAHUAbQBQAHIAbwBkAHUAYwB0AEEAcABwAGwAaQBlAGQAKABcAG4AIAAgACAAIAAgACAAIAAgAEMAaABlAG0AaQBjAGEAbABDAG8AbQBwAG8AdQBuAGQALABcAG4AIAAgACAAIAAgACAAIAAgAFAAcgBvAGQAdQBjAHQASQBuAGcAcgBlAGQAaQBlAG4AdAAzACwAXABuACAAIAAgACAAIAAgACAAIABjAGEAbABjAHUAbABhAHQAZQBkAEEAbQBvAHUAbgB0ADMAXABuACAAIAAgACAAIAAgACkALABcAG4AIAAgACAAIAAgACAAMABcAG4AIAAgACAAIAApAFwAbgAgACAAKQBcAG4AKQAiAH0ALAB7ACIAcABhAHQAaAAiADoAIgAvAHAAcgBvAGoAZQBjAHQAcwAvAEYAZQByAHQAaQBsAGkAcwBlAHIAXwBTAG8AdQByAGMAZQBEAGEAdABhACIALAAiAHQAZQB4AHQAIgA6ACIALwAqAFwAbgA9AD0APQA9AD0APQA9AD0APQA9AD0APQA9AD0APQA9AD0APQA9AD0APQA9AD0APQA9AD0APQA9AD0APQA9AD0APQA9AD0APQA9AD0APQA9AD0APQA9AD0APQA9AD0APQA9AD0APQA9AD0APQA9AD0APQA9AD0APQA9AD0APQA9AD0APQA9AD0APQA9AD0APQA9AD0APQA9AFwAbgBGAGUAcgB0AGkAbABpAHMAZQByACAAYwBoAGUAbQBpAGMAYQBsACAAYwBvAG0AcABvAHUAbgBkAHMAXABuAD0APQA9AD0APQA9AD0APQA9AD0APQA9AD0APQA9AD0APQA9AD0APQA9AD0APQA9AD0APQA9AD0APQA9AD0APQA9AD0APQA9AD0APQA9AD0APQA9AD0APQA9AD0APQA9AD0APQA9AD0APQA9AD0APQA9AD0APQA9AD0APQA9AD0APQA9AD0APQA9AD0APQA9AD0APQA9AD0AXABuACoALwBcAG4AXABuAEYAZQByAHQAaQBsAGkAcwBlAHIAXwBDAGgAZQBtAGkAYwBhAGwAQwBvAG0AcABvAHUAbgBkAEUAbABlAG0AZQBuAHQAcwBfAFQAaQB0AGwAZQBcAG4APQBMAEEATQBCAEQAQQAoACgAXAAiAEMAbwBtAG0AbwBuACAAaQBuAG8AcgBnAGEAbgBpAGMAIABmAGUAcgB0AGkAbABpAHMAZQByAHMAXAAiACkAKQA7AFwAbgBcAG4ARgBlAHIAdABpAGwAaQBzAGUAcgBfAEMAaABlAG0AaQBjAGEAbABDAG8AbQBwAG8AdQBuAGQARQBsAGUAbQBlAG4AdABzAF8AUwBvAHUAcgBjAGUAXABuAD0ATABBAE0AQgBEAEEAKAAoAFwAIgBUAGEAYgBsAGUAIABBAC4AMgAuADIALgAzADoAIABGAHIAYQBjAHQAaQBvAG4AIABvAGYAIABuAGkAdAByAG8AZwBlAG4AIABpAG4AIABjAG8AbQBtAG8AbgAgAGkAbgBvAHIAZwBhAG4AaQBjACAAZgBlAHIAdABpAGwAaQBzAGUAcgBzACAAKABrAGcATgAvAGsAZwApACAAKABGAE4AbwByAGcAYQBuAGkAYwAsAGYAKQAgAEEATgBEACAAVABhAGIAbABlACAAQQAuADIALgAyAC4ANAA6ACAARgByAGEAYwB0AGkAbwBuACAAbwBmACAAdQByAGUAYQAgAGkAbgAgAGMAbwBtAG0AbwBuACAAaQBuAG8AcgBnAGEAbgBpAGMAIABmAGUAcgB0AGkAbABpAHMAZQByAHMAIAAoAGsAZwAgAHUAcgBlAGEALwBrAGcAKQAgACgARgBVAGYAKQBcACIAKQApADsAXABuAFwAbgBGAGUAcgB0AGkAbABpAHMAZQByAF8AQwBoAGUAbQBpAGMAYQBsAEMAbwBtAHAAbwB1AG4AZABFAGwAZQBtAGUAbgB0AHMAXwBEAGEAdABhAFwAbgA9AEwAQQBNAEIARABBACgAXABuACAATQBBAEsARQBBAFIAUgBBAFkAKAAyADAALAAgADYALABcAG4AIABMAEEATQBCAEQAQQAoAHIALABjACwAXABuACAAIABJAE4ARABFAFgAKAB7AFwAbgAgACAAXAAiAEYAZQByAHQAaQBsAGkAcwBlAHIAIABUAHkAcABlACAAZgBcACIALAAgAFwAIgBGAE4AaQBuAG8AcgBnAGEAbgBpAGMALABmAFwAIgAsACAAXAAiAEYAVQBmAFwAIgAsACAAXAAiAEIAYQBzAGkAcwBcACIALAAgAFwAIgBMAGkAZgBlAEMAeQBjAGwAZQBzACAAUwBjAG8AcABlACAAMwAgAGQAZQBmAGkAbgBpAHQAaQBvAG4AXAAiACwAIABcACIAUwBvAHUAcgBjAGUAXAAiADsAXABuACAAIABcACIATQBvAG4AbwBhAG0AbQBvAG4AaQB1AG0AIABwAGgAbwBzAHAAaABhAHQAZQAgACgATQBBAFAAKQBcACIALAAgADAALgAxADAALAAgADAALAAgAFwAIgBBAG0AbQBvAG4AaQB1AG0ALQBiAGEAcwBlAGQAIABmAGUAcgB0AGkAbABpAHMAZQByAHMAXAAiACwAIABcACIATQBvAG4AbwBhAG0AbQBvAG4AaQB1AG0AIABwAGgAbwBzAHAAaABhAHQAZQAgACgATQBBAFAAKQBcACIALAAgAFwAIgBWAEUARQBSAEcAXAAiADsAXABuACAAIABcACIARABpAGEAbQBtAG8AbgBpAHUAbQAgAHAAaABvAHMAcABoAGEAdABlACAAKABEAEEAUAApAFwAIgAsACAAMAAuADEAOAAsACAAMAAsACAAXAAiAEEAbQBtAG8AbgBpAHUAbQAtAGIAYQBzAGUAZAAgAGYAZQByAHQAaQBsAGkAcwBlAHIAcwBcACIALAAgAFwAIgBEAGkAYQBtAG0AbwBuAGkAdQBtACAAcABoAG8AcwBwAGgAYQB0AGUAIAAoAEQAQQBQACkAXAAiACwAIABcACIAVgBFAEUAUgBHAFwAIgA7AFwAbgAgACAAXAAiAFUAcgBlAGEAXAAiACwAIAAwAC4ANAA2ACwAIAAxACwAIABcACIAVQByAGUAYQAtAGIAYQBzAGUAZAAgAGYAZQByAHQAaQBsAGkAcwBlAHIAcwBcACIALAAgAFwAIgBVAHIAZQBhAFwAIgAsACAAXAAiAFYARQBFAFIARwBcACIAOwBcAG4AIAAgAFwAIgBTAHUAbABwAGgAYQB0AGUAIABvAGYAIABhAG0AbQBvAG4AaQBhACAAKABTAE8AQQApAFwAIgAsACAAMAAuADIAMQAsACAAMAAsACAAXAAiAEEAbQBtAG8AbgBpAHUAbQAtAGIAYQBzAGUAZAAgAGYAZQByAHQAaQBsAGkAcwBlAHIAcwBcACIALAAgAFwAIgBTAHUAbABwAGgAYQB0AGUAIABvAGYAIABhAG0AbQBvAG4AaQBhACAAKABTAE8AQQApAFwAIgAsACAAXAAiAFYARQBFAFIARwBcACIAOwBcAG4AIAAgAFwAIgBVAHIAZQBhAC0AYQBtAG0AbwBuAGkAdQBtACAAbgBpAHQAcgBhAHQAZQAgACgAVQBBAE4AKQBcACIALAAgADAALgAzADIALAAgADAALgAzADUALAAgAFwAIgBVAHIAZQBhAC0AYgBhAHMAZQBkACAAZgBlAHIAdABpAGwAaQBzAGUAcgBzAFwAIgAsACAAXAAiAFUAcgBlAGEALQBhAG0AbQBvAG4AaQB1AG0AIABuAGkAdAByAGEAdABlACAAKABVAEEATgApAFwAIgAsACAAXAAiAFYARQBFAFIARwBcACIAOwBcAG4AIAAgAFwAIgBBAG0AbQBvAG4AaQB1AG0AIABuAGkAdAByAGEAdABlACAAKABBAE4AKQBcACIALAAgADAALgAzADMANwAsACAAMAAsACAAXAAiAEEAbQBtAG8AbgBpAHUAbQAtAG4AaQB0AHIAYQB0AGUAIABiAGEAcwBlAGQAIABmAGUAcgB0AGkAbABpAHMAZQByAHMAXAAiACwAIABcACIAQQBtAG0AbwBuAGkAdQBtACAAbgBpAHQAcgBhAHQAZQAgACgAQQBOACkAXAAiACwAIABcACIAVgBFAEUAUgBHAFwAIgA7AFwAbgAgACAAXAAiAEMAYQBsAGMAaQB1AG0AIABhAG0AbQBvAG4AaQB1AG0AIABuAGkAdAByAGEAdABlACAAKABDAEEATgApAFwAIgAsACAAMAAuADIANwAsACAAMAAsACAAXAAiAEEAbQBtAG8AbgBpAHUAbQAtAG4AaQB0AHIAYQB0AGUAIABiAGEAcwBlAGQAIABmAGUAcgB0AGkAbABpAHMAZQByAHMAXAAiACwAIABcACIAQwBhAGwAYwBpAHUAbQAgAGEAbQBtAG8AbgBpAHUAbQAgAG4AaQB0AHIAYQB0AGUAIAAoAEMAQQBOACkAXAAiACwAIABcACIAVgBFAEUAUgBHAFwAIgA7AFwAbgAgACAAXAAiAE4AaQB0AHIAbwBnAGUAbgAgAC0AIABBAG0AbQBvAG4AaQBhAGMAYQBsAFwAIgAsACAAMQAsACAAMAAsACAAXAAiAEEAbQBtAG8AbgBpAHUAbQAtAGIAYQBzAGUAZAAgAGYAZQByAHQAaQBsAGkAcwBlAHIAcwBcACIALAAgAFwAIgBOAGkAdAByAG8AZwBlAG4AIAAtACAAQQBtAG0AbwBuAGkAYQBjAGEAbABcACIALAAgAFwAIgBMAGkAZgBlAEMAeQBjAGwAZQBzAFwAIgA7AFwAbgAgACAAXAAiAE4AaQB0AHIAbwBnAGUAbgAgAC0AIABOAGkAdAByAGEAdABlAFwAIgAsACAAMQAsACAAMAAsACAAXAAiAE4AaQB0AHIAYQB0AGUALQBiAGEAcwBlAGQAIABmAGUAcgB0AGkAbABpAHMAZQByAHMAXAAiACwAIABcACIATgBpAHQAcgBvAGcAZQBuACAAZgByAG8AbQAgAE4AaQB0AHIAYQB0AGUAXAAiACwAIABcACIATABpAGYAZQBDAHkAYwBsAGUAcwBcACIAOwBcAG4AIAAgAFwAIgBOAGkAdAByAG8AZwBlAG4AIAAtACAARwBlAG4AZQByAGkAYwBcACIALAAgADEALAAgADAALAAgAFwAIgBVAHIAZQBhAC0AYgBhAHMAZQBkACAAZgBlAHIAdABpAGwAaQBzAGUAcgBzAFwAIgAsACAAXAAiAE4AaQB0AHIAbwBnAGUAbgAgAGYAcgBvAG0AIABmAGUAcgB0AGkAbABpAHMAZQByAFwAIgAsACAAXAAiAEwAaQBmAGUAQwB5AGMAbABlAHMAXAAiADsAXABuACAAIABcACIAUABoAG8AcwBwAGgAbwByAHUAcwAgAC0AIABHAGUAbgBlAHIAaQBjAFwAIgAsACAAMAAsACAAMAAsACAAXAAiAE8AdABoAGUAcgAgAGYAZQByAHQAaQBsAGkAcwBlAHIAcwBcACIALAAgAFwAIgBQAGgAbwBzAHAAaABvAHIAdQBzACAAZgByAG8AbQAgAGYAZQByAHQAaQBsAGkAcwBlAHIAXAAiACwAIABcACIATABpAGYAZQBDAHkAYwBsAGUAcwBcACIAOwBcAG4AIAAgAFwAIgBQAG8AdABhAHMAcwBpAHUAbQAgAC0AIABHAGUAbgBlAHIAaQBjAFwAIgAsACAAMAAsACAAMAAsACAAXAAiAE8AdABoAGUAcgAgAGYAZQByAHQAaQBsAGkAcwBlAHIAcwBcACIALAAgAFwAIgBQAG8AdABhAHMAcwBpAHUAbQAgAGYAcgBvAG0AIABmAGUAcgB0AGkAbABpAHMAZQByAFwAIgAsACAAXAAiAEwAaQBmAGUAQwB5AGMAbABlAHMAXAAiADsAXABuACAAIABcACIAUwB1AGwAZgB1AHIAIAAtACAARwBlAG4AZQByAGkAYwBcACIALAAgADAALAAgADAALAAgAFwAIgBPAHQAaABlAHIAIABmAGUAcgB0AGkAbABpAHMAZQByAHMAXAAiACwAIABcACIAUwB1AGwAZgB1AHIAIABmAHIAbwBtACAAZgBlAHIAdABpAGwAaQBzAGUAcgBcACIALAAgAFwAIgBMAGkAZgBlAEMAeQBjAGwAZQBzAFwAIgA7AFwAbgAgACAAXAAiAFoAaQBuAGMAIAAtACAARwBlAG4AZQByAGkAYwBcACIALAAgADAALAAgADAALAAgAFwAIgBPAHQAaABlAHIAIABmAGUAcgB0AGkAbABpAHMAZQByAHMAXAAiACwAIABcACIAWgBpAG4AYwAgAGYAcgBvAG0AIABmAGUAcgB0AGkAbABpAHMAZQByAFwAIgAsACAAXAAiAEwAaQBmAGUAQwB5AGMAbABlAHMAXAAiADsAXABuACAAIABcACIATQB1AHIAaQBhAHQAZQAgAG8AZgAgAHAAbwB0AGEAcwBoACAAKABNAE8AUAApAFwAIgAsACAAMAAsACAAMAAsACAAXAAiAE8AdABoAGUAcgAgAGYAZQByAHQAaQBsAGkAcwBlAHIAcwBcACIALAAgAFwAIgBNAHUAcgBpAGEAdABlACAAbwBmACAAcABvAHQAYQBzAGgAIAAoAE0ATwBQACkAXAAiACwAIABcACIATABpAGYAZQBDAHkAYwBsAGUAcwBcACIAOwBcAG4AIAAgAFwAIgBEAG8AdQBiAGwAZQAgAHMAdQBwAGUAcgBwAGgAbwBzAHAAaABhAHQAZQBcACIALAAgADAALAAgADAALAAgAFwAIgBPAHQAaABlAHIAIABmAGUAcgB0AGkAbABpAHMAZQByAHMAXAAiACwAIABcACIARABvAHUAYgBsAGUAIABzAHUAcABlAHIAcABoAG8AcwBwAGgAYQB0AGUAXAAiACwAIABcACIATABpAGYAZQBDAHkAYwBsAGUAcwBcACIAOwBcAG4AIAAgAFwAIgBTAGkAbgBnAGwAZQAgAHMAdQBwAGUAcgBwAGgAbwBzAHAAaABhAHQAZQAgACgAUwBTAFAAKQBcACIALAAgADAALAAgADAALAAgAFwAIgBPAHQAaABlAHIAIABmAGUAcgB0AGkAbABpAHMAZQByAHMAXAAiACwAIABcACIAUwBpAG4AZwBsAGUAIABzAHUAcABlAHIAcABoAG8AcwBwAGgAYQB0AGUAIAAoAFMAUwBQACkAXAAiACwAIABcACIATABpAGYAZQBDAHkAYwBsAGUAcwBcACIAOwBcAG4AIAAgAFwAIgBBAG0AbQBvAG4AaQBhAFwAIgAsACAAMAAuADgAMgAzADUALAAgADAALAAgAFwAIgBBAG0AbQBvAG4AaQB1AG0ALQBiAGEAcwBlAGQAIABmAGUAcgB0AGkAbABpAHMAZQByAHMAXAAiACwAIABcACIAQQBtAG0AbwBuAGkAYQBcACIALAAgAFwAIgBMAGkAZgBlAEMAeQBjAGwAZQBzAFwAIgA7AFwAbgAgACAAXAAiAEMAYQBsAGMAaQB1AG0AIABuAGkAdAByAGEAdABlAFwAIgAsACAAMAAuADEANQA1ACwAIAAwACwAIABcACIATgBpAHQAcgBhAHQAZQAtAGIAYQBzAGUAZAAgAGYAZQByAHQAaQBsAGkAcwBlAHIAcwBcACIALAAgAFwAIgBDAGEAbABjAGkAdQBtACAAbgBpAHQAcgBhAHQAZQBcACIALAAgAFwAIgBWAEUARQBSAEcAXAAiAFwAbgAgACAAfQAsACAAcgAsACAAYwApAFwAbgApACkAKQA7AFwAbgBcAG4ARgBlAHIAdABpAGwAaQBzAGUAcgBfAEMAaABlAG0AaQBjAGEAbABDAG8AbQBwAG8AdQBuAGQARQBsAGUAbQBlAG4AdABzAF8AVgBhAHIAaQBhAHQAaQBvAG4AXABuAD0ATABBAE0AQgBEAEEAKABcAG4AIABNAEEASwBFAEEAUgBSAEEAWQAoADEAMgAsACAAMQAsAFwAbgAgAEwAQQBNAEIARABBACgAcgAsAGMALABcAG4AIAAgAEkATgBEAEUAWAAoAHsAXABuACAAIABcACIAVgBBAFIASQBBAFQASQBPAE4AIABPAE4AIABTAE8AVQBSAEMARQBcACIAOwBcAG4AIAAgAFwAIgBBAGQAZABlAGQAIABcAHUAMAAwADIANwBCAGEAcwBpAHMAXAB1ADAAMAAyADcAIABjAG8AbAB1AG0AbgAgAHQAbwAgAGEAbABsAG8AdwAgAGMAcgBvAHMAcwAtAHIAZQBmAGUAcgBlAG4AYwBpAG4AZwAgAHcAaQB0AGgAIAB0AGEAYgBsAGUAIABUAGEAYgBsAGUAIABBAC4AMgAuADIALgA2ADoAIABGAHIAYQBjAHQAaQBvAG4AIABvAGYAIABpAG4AbwByAGcAYQBuAGkAYwAgAGYAZQByAHQAaQBsAGkAcwBlAHIAIABmACAAdABoAGEAdAAgAHYAbwBsAGEAdABpAGwAaQBzAGUAcwAgAGEAcwAgAE4ASAAzACAAYQBuAGQAIABOAE8AeAAgACgAKABrAGcAIABOAEgAMwAtAE4AIAArACAATgBPAHgALQBOACkALwBrAGcAIABOACkAIAAoAEYAcgBhAGMARwBBAFMARgBmACkAXAAiADsAXABuACAAIABcACIAQQBkAGQAZQBkACAAZQB4AHQAcgBhACAAZgBlAHIAdABpAGwAaQBzAGUAcgAgAHQAeQBwAGUAcwAgAGEAbgBkACAAZwBlAG4AZQByAGkAYwAgAGMAaABlAG0AaQBjAGEAbAAgAGMAbwBtAHAAbwB1AG4AZABzACAAdABvACAAYQBsAGwAbwB3ACAAZgBvAHIAIABjAHUAcwB0AG8AbQAgAE4AUABLAFMAIABiAGwAZQBuAGQAcwBcACIAOwBcAG4AIAAgAFwAIgBBAGQAZABlAGQAIABlAHgAdAByAGEAIABcAHUAMAAwADIANwBTAGMAbwBwAGUAIAAzACAAZABlAGYAaQBuAGkAdABpAG8AbgBcAHUAMAAwADIANwAgAGMAbwBsAHUAbQBuACAAdABvACAAYQBsAGwAbwB3ACAAbQBhAHAAcABpAG4AZwAgAHcAaQB0AGgAIABzAGMAbwBwAGUAIAAzACAAZABhAHQAYQBcACIAOwBcAG4AIAAgAFwAIgBBAGQAZABlAGQAIABcAHUAMAAwADIANwBTAG8AdQByAGMAZQBcAHUAMAAwADIANwAgAGMAbwBsAHUAbQBuAFwAIgA7AFwAbgAgACAAXAAiAEMAbwBtAGIAaQBuAGUAZAAgAGQAYQB0AGEAIABmAHIAbwBtACAAVABhAGIAbABlACAAQQAuADIALgAyAC4AMwAgAGEAbgBkACAAVABhAGIAbABlACAAQQAuADIALgAyAC4ANAAgAGkAbgB0AG8AIABvAG4AZQAgAHQAYQBiAGwAZQAgAHQAbwAgAGEAaQBkACAAbABvAG8AawB1AHAALgBcACIAOwBcAG4AIAAgAFwAIgBFAHgAYwBsAHUAZABlAGQAIABcAHUAMAAwADIANwBSAGUAZgBlAHIAZQBuAGMAZQBzAFwAdQAwADAAMgA3ACAAYwBvAGwAdQBtAG4AXAAiADsAXABuACAAIABcACIARQB4AGMAbAB1AGQAZQBkACAAXAB1ADAAMAAyADcAQQBtAG0AbwBuAGkAdQBtACAAcwB1AGwAZgBhAHQAZQBcAHUAMAAwADIANwAgAGEAcwAgAGkAdAAgAGkAcwAgAGEAIABkAHUAcABsAGkAYwBhAHQAZQAgAG8AZgAgAFwAdQAwADAAMgA3AFMAdQBsAHAAaABhAHQAZQAgAG8AZgAgAGEAbQBtAG8AbgBpAGEAIAAoAFMATwBBACkAXAB1ADAAMAAyADcAXAAiADsAXABuACAAIABcACIARQB4AGMAbAB1AGQAZQBkACAAXAB1ADAAMAAyADcAQwBhAGwAYwBpAHUAbQAgAG4AaQB0AHIAYQB0AGUAXAB1ADAAMAAyADcAIABhAHMAIABuAG8AIABzAGMAbwBwAGUAIAAzACAAdgBhAGwAdQBlACAAYQB2AGEAaQBsAGEAYgBsAGUALgBcACIAOwBcAG4AIAAgAFwAIgBTAGUAdAAgAFwAdQAwADAAMgA3AE4AaQB0AHIAbwBnAGUAbgAgAC0AIABHAGUAbgBlAHIAaQBjAFwAdQAwADAAMgA3ACAAYgBhAHMAaQBzACAAYQBzACAAXAB1ADAAMAAyADcAVQByAGUAYQAtAGIAYQBzAGUAZAAgAGYAZQByAHQAaQBsAGkAcwBlAHIAcwAsACAAYQBzACAAdQByAGUAYQAgAGkAcwAgAHQAaABlACAAbQBvAHMAdAAgAGMAbwBtAG0AbwBuAGwAeQAgAHUAcwBlAGQAIABmAG8AcgBtACAAbwBmACAAbgBpAHQAcgBvAGcAZQBuACAAaQBuACAAQQB1AHMAdAByAGEAbABpAGEAbgAgAGYAZQByAHQAaQBsAGkAcwBlAHIAcwBcACIAOwBcAG4AIAAgAFwAIgBTAGUAdAAgAFwAdQAwADAAMgA3AFUAcgBlAGEALQBhAG0AbQBvAG4AaQB1AG0AIABuAGkAdAByAGEAdABlAFwAdQAwADAAMgA3ACAAYgBhAHMAaQBzACAAYQBzACAAXAB1ADAAMAAyADcAVQByAGUAYQAtAGIAYQBzAGUAZAAgAGYAZQByAHQAaQBsAGkAcwBlAHIAXAB1ADAAMAAyADcAXAAiADsAXABuACAAIABcACIAQQBtAG0AbwBuAGkAYQAgAGgAYQBzACAAYQBuACAARgBOACAAdgBhAGwAdQBlACAAbwBmACAAMAAuADgAMgAzADUAIABiAGEAcwBlAGQAIABvAG4AIAAoADEANAAvADEANwApAHgAMQAwADAALAAgAHcAaABlAHIAZQAgADEANAAgAGkAcwAgAHQAaABlACAAbQBhAHMAcwAgAG8AZgAgAG4AaQB0AHIAbwBnAGUAbgAgAGkAbgAgAGEAbQBtAG8AbgBpAGEAIABhAG4AZAAgADEANwAgAGkAcwAgAHQAaABlACAAbQBvAGwAYQByACAAbQBhAHMAcwAgAG8AZgAgAGEAbQBtAG8AbgBpAGEALgBcACIAXABuACAAIAB9ACwAIAByACwAIABjACkAXABuACkAKQApADsAXABuAFwAbgBcAG4ALwAqAFwAbgA9AD0APQA9AD0APQA9AD0APQA9AD0APQA9AD0APQA9AD0APQA9AD0APQA9AD0APQA9AD0APQA9AD0APQA9AD0APQA9AD0APQA9AD0APQA9AD0APQA9AD0APQA9AD0APQA9AD0APQA9AD0APQA9AD0APQA9AD0APQA9AD0APQA9AD0APQA9AD0APQA9AD0APQA9AD0APQA9AFwAbgBGAHIAYQBjAHQAaQBvAG4AIABvAGYAIABpAG4AbwByAGcAYQBuAGkAYwAgAGYAZQByAHQAaQBsAGkAcwBlAHIAIAB0AGgAYQB0ACAAdgBvAGwAYQB0AGkAbABpAHMAZQBzACAAYQBzACAATgBIADMAIABhAG4AZAAgAE4ATwB4AFwAbgA9AD0APQA9AD0APQA9AD0APQA9AD0APQA9AD0APQA9AD0APQA9AD0APQA9AD0APQA9AD0APQA9AD0APQA9AD0APQA9AD0APQA9AD0APQA9AD0APQA9AD0APQA9AD0APQA9AD0APQA9AD0APQA9AD0APQA9AD0APQA9AD0APQA9AD0APQA9AD0APQA9AD0APQA9AD0APQA9AFwAbgAqAC8AXABuAFwAbgBGAGUAcgB0AGkAbABpAHMAZQByAF8ARgByAGEAYwBHAEEAUwBGAF8AVABpAHQAbABlAFwAbgA9AEwAQQBNAEIARABBACgAKABcACIARgByAGEAYwB0AGkAbwBuACAAbwBmACAAaQBuAG8AcgBnAGEAbgBpAGMAIABmAGUAcgB0AGkAbABpAHMAZQByACAAdABoAGEAdAAgAHYAbwBsAGEAdABpAGwAaQBzAGUAcwAgAGEAcwAgAE4ASAAzACAAYQBuAGQAIABOAE8AeABcACIAKQApADsAXABuAFwAbgBGAGUAcgB0AGkAbABpAHMAZQByAF8ARgByAGEAYwBHAEEAUwBGAF8AUwBvAHUAcgBjAGUAXABuAD0ATABBAE0AQgBEAEEAKAAoAFwAIgBUAGEAYgBsAGUAIABBAC4AMgAuADIALgA2ADoAIABGAHIAYQBjAHQAaQBvAG4AIABvAGYAIABpAG4AbwByAGcAYQBuAGkAYwAgAGYAZQByAHQAaQBsAGkAcwBlAHIAIABmACAAdABoAGEAdAAgAHYAbwBsAGEAdABpAGwAaQBzAGUAcwAgAGEAcwAgAE4ASAAzACAAYQBuAGQAIABOAE8AeAAgACgAKABrAGcAIABOAEgAMwDiAKwgHCBOACAAKwAgAE4ATwB4AOIArCAcIE4AKQAvAGsAZwAgAE4AKQAgACgARgByAGEAYwBHAEEAUwBGAGYAKQBcACIAKQApADsAXABuAFwAbgBGAGUAcgB0AGkAbABpAHMAZQByAF8ARgByAGEAYwBHAEEAUwBGAF8ARABhAHQAYQBcAG4APQBMAEEATQBCAEQAQQAoAFwAbgAgAE0AQQBLAEUAQQBSAFIAQQBZACgANgAsACAAMgAsAFwAbgAgAEwAQQBNAEIARABBACgAcgAsAGMALABcAG4AIAAgAEkATgBEAEUAWAAoAHsAXABuACAAIABcACIARgBlAHIAdABpAGwAaQBzAGUAcgAgAHQAeQBwAGUAIABmAFwAIgAsACAAXAAiAEYAcgBhAGMARwBBAFMARgBmAFwAIgA7AFwAbgAgACAAXAAiAFUAcgBlAGEALQBiAGEAcwBlAGQAIABmAGUAcgB0AGkAbABpAHMAZQByAHMAXAAiACwAIAAwAC4AMQA1ADsAXABuACAAIABcACIAQQBtAG0AbwBuAGkAdQBtAC0AYgBhAHMAZQBkACAAZgBlAHIAdABpAGwAaQBzAGUAcgBzAFwAIgAsACAAMAAuADAAOAA7AFwAbgAgACAAXAAiAE4AaQB0AHIAYQB0AGUALQBiAGEAcwBlAGQAIABmAGUAcgB0AGkAbABpAHMAZQByAHMAXAAiACwAIAAwAC4AMAAxADsAXABuACAAIABcACIAQQBtAG0AbwBuAGkAdQBtAC0AbgBpAHQAcgBhAHQAZQAgAGIAYQBzAGUAZAAgAGYAZQByAHQAaQBsAGkAcwBlAHIAcwBcACIALAAgADAALgAwADUAOwBcAG4AIAAgAFwAIgBPAHQAaABlAHIAIABmAGUAcgB0AGkAbABpAHMAZQByAHMAXAAiACwAIAAwAC4AMQAxAFwAbgAgACAAfQAsACAAcgAsACAAYwApAFwAbgApACkAKQA7AFwAbgBcAG4ARgBlAHIAdABpAGwAaQBzAGUAcgBfAEYAcgBhAGMARwBBAFMARg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FAG0AaQBzAHMAaQBvAG4AIABmAGEAYwB0AG8AcgAgAGYAbwByACAAYwBhAHIAYgBvAG4AIABlAG0AaQBzAHMAaQBvAG4AcwAgAGYAcgBvAG0AIAB1AHIAZQBhACAAYQBwAHAAbABpAGMAYQB0AGkAbwBuAFwAbgA9AD0APQA9AD0APQA9AD0APQA9AD0APQA9AD0APQA9AD0APQA9AD0APQA9AD0APQA9AD0APQA9AD0APQA9AD0APQA9AD0APQA9AD0APQA9AD0APQA9AD0APQA9AD0APQA9AD0APQA9AD0APQA9AD0APQA9AD0APQA9AD0APQA9AD0APQA9AD0APQA9AD0APQA9AD0APQA9AFwAbgAqAC8AXABuAFwAbgBGAGUAcgB0AGkAbABpAHMAZQByAF8ARQBGAFUAcgBlAGEAQwBPADIAXwBUAGkAdABsAGUAXABuAD0ATABBAE0AQgBEAEEAKAAoAFwAIgBFAG0AaQBzAHMAaQBvAG4AIABmAGEAYwB0AG8AcgAgAGYAbwByACAAYwBhAHIAYgBvAG4AIABlAG0AaQBzAHMAaQBvAG4AcwAgAGYAcgBvAG0AIAB1AHIAZQBhACAAYQBwAHAAbABpAGMAYQB0AGkAbwBuAFwAIgApACkAOwBcAG4AXABuAEYAZQByAHQAaQBsAGkAcwBlAHIAXwBFAEYAVQByAGUAYQBDAE8AMgBfAFMAbwB1AHIAYwBlAFwAbgA9AEwAQQBNAEIARABBACgAKABcACIAVgBFAEUAUgBHACAAMgAwADIANgA6ACAANQAuADEALgAyAC4AMgAgAEMAbwBuAHMAdABhAG4AdAAgAFAAYQByAGEAbQBlAHQAZQByAHMAXAAiACkAKQA7AFwAbgBcAG4ARgBlAHIAdABpAGwAaQBzAGUAcgBfAEUARgBVAHIAZQBhAEMATwAyAF8AVgBhAHIAaQBhAGIAbABlAFwAbgA9AEwAQQBNAEIARABBACgAKABcACIARQBGAHUAcgBlAGEAQwBPADIAXAAiACkAKQA7AFwAbgBcAG4ARgBlAHIAdABpAGwAaQBzAGUAcgBfAEUARgBVAHIAZQBhAEMATwAyAF8AVQBuAGkAdABcAG4APQBMAEEATQBCAEQAQQAoACgAXAAiAGsAZwAgAEMALwBrAGcAIAB1AHIAZQBhAFwAIgApACkAOwBcAG4AXABuAEYAZQByAHQAaQBsAGkAcwBlAHIAXwBFAEYAVQByAGUAYQBDAE8AMgBfAEQAYQB0AGEAXABuAD0ATABBAE0AQgBEAEEAKAAwAC4AMgApADsAXABuAFwAbgBGAGUAcgB0AGkAbABpAHMAZQByAF8ARQBGAFUAcgBlAGEAQwBPADI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gByAGEAYwB0AGkAbwBuACAAbwBmACAAbwByAGcAYQBuAGkAYwAgAGYAZQByAHQAaQBsAGkAcwBlAHIAIAB0AGgAYQB0ACAAdgBvAGwAYQB0AGkAbABpAHMAZQBzACAAYQBzACAATgBIADMAIABhAG4AZAAgAE4ATwB4AFwAbgA9AD0APQA9AD0APQA9AD0APQA9AD0APQA9AD0APQA9AD0APQA9AD0APQA9AD0APQA9AD0APQA9AD0APQA9AD0APQA9AD0APQA9AD0APQA9AD0APQA9AD0APQA9AD0APQA9AD0APQA9AD0APQA9AD0APQA9AD0APQA9AD0APQA9AD0APQA9AD0APQA9AD0APQA9AD0APQA9AFwAbgAqAC8AXABuAFwAbgBGAGUAcgB0AGkAbABpAHMAZQByAF8ARgByAGEAYwBHAEEAUwBNAFMAbwBpAGwAXwBUAGkAdABsAGUAXABuAD0ATABBAE0AQgBEAEEAKAAoAFwAIgBGAHIAYQBjAHQAaQBvAG4AIABvAGYAIABvAHIAZwBhAG4AaQBjACAAZgBlAHIAdABpAGwAaQBzAGUAcgAgAHQAaABhAHQAIAB2AG8AbABhAHQAaQBsAGkAcwBlAHMAIABhAHMAIABOAEgAMwAgAGEAbgBkACAATgBPAHgAXAAiACkAKQA7AFwAbgBcAG4ARgBlAHIAdABpAGwAaQBzAGUAcgBfAEYAcgBhAGMARwBBAFMATQBTAG8AaQBsAF8AUwBvAHUAcgBjAGUAXABuAD0ATABBAE0AQgBEAEEAKAAoAFwAIgBWAEUARQBSAEcAIAAyADAAMgA2ADoAIAA1AC4ANAAuADIALgAzACAAQwBvAG4AcwB0AGEAbgB0ACAAUABhAHIAYQBtAGUAdABlAHIAcwBcACIAKQApADsAXABuAFwAbgBGAGUAcgB0AGkAbABpAHMAZQByAF8ARgByAGEAYwBHAEEAUwBNAFMAbwBpAGwAXwBWAGEAcgBpAGEAYgBsAGUAXABuAD0ATABBAE0AQgBEAEEAKAAoAFwAIgBGAHIAYQBjAEcAQQBTAE0AcwBvAGkAbABcACIAKQApADsAXABuAFwAbgBGAGUAcgB0AGkAbABpAHMAZQByAF8ARgByAGEAYwBHAEEAUwBNAFMAbwBpAGwAXwBVAG4AaQB0AFwAbgA9AEwAQQBNAEIARABBACgAKABcACIAKABrAGcAIABOAEgAMwAtAE4AIAArACAATgBPAHgALQBOACkALwBrAGcAIABOAFwAIgApACkAOwBcAG4AXABuAEYAZQByAHQAaQBsAGkAcwBlAHIAXwBGAHIAYQBjAEcAQQBTAE0AUwBvAGkAbABfAEQAYQB0AGEAXABuAD0ATABBAE0AQgBEAEEAKAAwAC4AMgAxACkAOwBcAG4AXABuAEYAZQByAHQAaQBsAGkAcwBlAHIAXwBGAHIAYQBjAEcAQQBTAE0AUwBvAGkAbA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GAHIAYQBjAHQAaQBvAG4AIABvAGYAIABuAGkAdAByAG8AZwBlAG4AIAB0AGgAYQB0ACAAaQBzACAAbABvAHMAdAAgAHQAaAByAG8AdQBnAGgAIABsAGUAYQBjAGgAaQBuAGcAIABhAG4AZAAgAHIAdQBuAG8AZgBmAFwAbgA9AD0APQA9AD0APQA9AD0APQA9AD0APQA9AD0APQA9AD0APQA9AD0APQA9AD0APQA9AD0APQA9AD0APQA9AD0APQA9AD0APQA9AD0APQA9AD0APQA9AD0APQA9AD0APQA9AD0APQA9AD0APQA9AD0APQA9AD0APQA9AD0APQA9AD0APQA9AD0APQA9AD0APQA9AD0APQA9AFwAbgAqAC8AXABuAFwAbgBGAGUAcgB0AGkAbABpAHMAZQByAF8ARgByAGEAYwBMAEUAQQBDAEgAXwBUAGkAdABsAGUAXABuAD0ATABBAE0AQgBEAEEAKAAoAFwAIgBGAHIAYQBjAHQAaQBvAG4AIABvAGYAIABuAGkAdAByAG8AZwBlAG4AIAB0AGgAYQB0ACAAaQBzACAAbABvAHMAdAAgAHQAaAByAG8AdQBnAGgAIABsAGUAYQBjAGgAaQBuAGcAIABhAG4AZAAgAHIAdQBuAG8AZgBmAFwAIgApACkAOwBcAG4AXABuAEYAZQByAHQAaQBsAGkAcwBlAHIAXwBGAHIAYQBjAEwARQBBAEMASABfAFMAbwB1AHIAYwBlAFwAbgA9AEwAQQBNAEIARABBACgAKABcACIAVgBFAEUAUgBHACAAMgAwADIANgA6ACAANQAuADUALgAyAC4AMwAgAEMAbwBuAHMAdABhAG4AdAAgAFAAYQByAGEAbQBlAHQAZQByAHMAXAAiACkAKQA7AFwAbgBcAG4ARgBlAHIAdABpAGwAaQBzAGUAcgBfAEYAcgBhAGMATABFAEEAQwBIAF8AVgBhAHIAaQBhAGIAbABlAFwAbgA9AEwAQQBNAEIARABBACgAKABcACIARgByAGEAYwBMAEUAQQBDAEgAXAAiACkAKQA7AFwAbgBcAG4ARgBlAHIAdABpAGwAaQBzAGUAcgBfAEYAcgBhAGMATABFAEEAQwBIAF8AVQBuAGkAdABcAG4APQBMAEEATQBCAEQAQQAoACgAXAAiAGYAcgBhAGMAdABpAG8AbgBcACIAKQApADsAXABuAFwAbgBGAGUAcgB0AGkAbABpAHMAZQByAF8ARgByAGEAYwBMAEUAQQBDAEgAXwBEAGEAdABhAFwAbgA9AEwAQQBNAEIARABBACgAMAAuADIANAApADsAXABuAFwAbgBGAGUAcgB0AGkAbABpAHMAZQByAF8ARgByAGEAYwBMAEUAQQBDAEg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QBtAGkAcwBzAGkAbwBuACAAZgBhAGMAdABvAHIAIABmAG8AcgAgAG4AaQB0AHIAbwBnAGUAbgAgAGwAZQBhAGMAaABpAG4AZwAgAGEAbgBkACAAcgB1AG4AbwBmAGYAXABuAD0APQA9AD0APQA9AD0APQA9AD0APQA9AD0APQA9AD0APQA9AD0APQA9AD0APQA9AD0APQA9AD0APQA9AD0APQA9AD0APQA9AD0APQA9AD0APQA9AD0APQA9AD0APQA9AD0APQA9AD0APQA9AD0APQA9AD0APQA9AD0APQA9AD0APQA9AD0APQA9AD0APQA9AD0APQA9AD0AXABuACoALwBcAG4AXABuAEYAZQByAHQAaQBsAGkAcwBlAHIAXwBFAEYATABlAGEAYwBoAF8AVABpAHQAbABlAFwAbgA9AEwAQQBNAEIARABBACgAKABcACIARQBtAGkAcwBzAGkAbwBuACAAZgBhAGMAdABvAHIAIABmAG8AcgAgAG4AaQB0AHIAbwBnAGUAbgAgAGwAZQBhAGMAaABpAG4AZwAgAGEAbgBkACAAcgB1AG4AbwBmAGYAXAAiACkAKQA7AFwAbgBcAG4ARgBlAHIAdABpAGwAaQBzAGUAcgBfAEUARgBMAGUAYQBjAGgAXwBTAG8AdQByAGMAZQBcAG4APQBMAEEATQBCAEQAQQAoACgAXAAiAFYARQBFAFIARwAgADIAMAAyADYAOgAgADUALgA1AC4AMgAuADMAIABDAG8AbgBzAHQAYQBuAHQAIABQAGEAcgBhAG0AZQB0AGUAcgBzAFwAIgApACkAOwBcAG4AXABuAEYAZQByAHQAaQBsAGkAcwBlAHIAXwBFAEYATABlAGEAYwBoAF8AVgBhAHIAaQBhAGIAbABlAFwAbgA9AEwAQQBNAEIARABBACgAKABcACIARQBGAEwAZQBhAGMAaABcACIAKQApADsAXABuAFwAbgBGAGUAcgB0AGkAbABpAHMAZQByAF8ARQBGAEwAZQBhAGMAaABfAFUAbgBpAHQAXABuAD0ATABBAE0AQgBEAEEAKAAoAFwAIgBrAGcAIABOADIATwAtAE4AIAAvACAAawBnACAATgBcACIAKQApADsAXABuAFwAbgBGAGUAcgB0AGkAbABpAHMAZQByAF8ARQBGAEwAZQBhAGMAaABfAEQAYQB0AGEAXABuAD0ATABBAE0AQgBEAEEAKAAwAC4AMAAxADEAKQA7AFwAbgBcAG4ARgBlAHIAdABpAGwAaQBzAGUAcgBfAEUARgBMAGUAYQBjAGgAXwBWAGEAcgBpAGEAdABpAG8AbgBcAG4APQBMAEEATQBCAEQAQQAoAFwAIgBcACIAKQA7AFwAbgBcAG4AXABuAFwAbgAvACoAXABuAD0APQA9AD0APQA9AD0APQA9AD0APQA9AD0APQA9AD0APQA9AD0APQA9AD0APQA9AD0APQA9AD0APQA9AD0APQA9AD0APQA9AD0APQA9AD0APQA9AD0APQA9AD0APQA9AD0APQA9AD0APQA9AD0APQA9AD0APQA9AD0APQA9AD0APQA9AD0APQA9AD0APQA9AD0APQA9AD0AXABuAEwAaQBtAGUALAAgAGQAbwBsAG8AbQBpAHQAZQAgAGEAbgBkACAAZwB5AHAAcwB1AG0AXABuAD0APQA9AD0APQA9AD0APQA9AD0APQA9AD0APQA9AD0APQA9AD0APQA9AD0APQA9AD0APQA9AD0APQA9AD0APQA9AD0APQA9AD0APQA9AD0APQA9AD0APQA9AD0APQA9AD0APQA9AD0APQA9AD0APQA9AD0APQA9AD0APQA9AD0APQA9AD0APQA9AD0APQA9AD0APQA9AD0AXABuACoALwBcAG4AXABuAEYAZQByAHQAaQBsAGkAcwBlAHIAXwBMAGkAbQBlAEQAbwBsAG8AbQBpAHQAZQBHAHkAcABzAHUAbQBDAG8AbgBzAHQAYQBuAHQAcwBfAFQAaQB0AGwAZQBcAG4APQBMAEEATQBCAEQAQQAoACgAXAAiAEMAbwBuAHMAdABhAG4AdABzACAAZgBvAHIAIABsAGkAbQBlACwAIABkAG8AbABvAG0AaQB0AGUAIABhAG4AZAAgAGcAeQBwAHMAdQBtAFwAIgApACkAOwBcAG4AXABuAEYAZQByAHQAaQBsAGkAcwBlAHIAXwBMAGkAbQBlAEQAbwBsAG8AbQBpAHQAZQBHAHkAcABzAHUAbQBDAG8AbgBzAHQAYQBuAHQAcwBfAEQAZQBzAGMAcgBpAHAAdABpAG8AbgBcAG4APQBMAEEATQBCAEQAQQAoACgAXAAiAEMAbwBuAHMAdABhAG4AdABzACAAZgBvAHIAIABsAGkAbQBlACwAIABkAG8AbABvAG0AaQB0AGUAIABhAG4AZAAgAGcAeQBwAHMAdQBtAFwAIgApACkAOwBcAG4AXABuAEYAZQByAHQAaQBsAGkAcwBlAHIAXwBMAGkAbQBlAEQAbwBsAG8AbQBpAHQAZQBHAHkAcABzAHUAbQBDAG8AbgBzAHQAYQBuAHQAcwBfAFMAbwB1AHIAYwBlAFwAbgA9AEwAQQBNAEIARABBACgAKABcACIAVgBFAEUAUgBHACAAMgAwADIANgA6ACAANQAuADMALgAyAC4AMwAgAEMAbwBuAHMAdABhAG4AdAAgAFAAYQByAGEAbQBlAHQAZQByAHMAXAAiACkAKQA7AFwAbgBcAG4ARgBlAHIAdABpAGwAaQBzAGUAcgBfAEwAaQBtAGUARABvAGwAbwBtAGkAdABlAEcAeQBwAHMAdQBtAEMAbwBuAHMAdABhAG4AdABzAF8ARABhAHQAYQBcAG4APQBMAEEATQBCAEQAQQAoAFwAbgAgAE0AQQBLAEUAQQBSAFIAQQBZACgANAAsACAAMwAsAFwAbgAgAEwAQQBNAEIARABBACgAcgAsAGMALABcAG4AIAAgAEkATgBEAEUAWAAoAHsAXABuACAAIABcACIARQBsAGUAbQBlAG4AdABcACIALAAgAFwAIgBQAFwAIgAsACAAXAAiAEUARgBcACIAOwBcAG4AIAAgAFwAIgBMAGkAbQBlACAAKABDAGEAbABjAGkAdQBtACAAYwBhAHIAYgBvAG4AYQB0AGUAKQBcACIALAAgADAALgA5ACwAIAAwAC4AMQAyADsAXABuACAAIABcACIARABvAGwAbwBtAGkAdABlACAAKABNAGEAZwBuAGUAcwBpAHUAbQAgAGMAYQByAGIAbwBuAGEAdABlACkAXAAiACwAIAAwAC4AOQA1ACwAIAAwAC4AMQAzADsAXABuACAAIABcACIARwB5AHAAcwB1AG0AXAAiACwAIAAwACwAIAAwAFwAbgAgACAAfQAsACAAcgAsACAAYwApAFwAbgApACkAKQA7AFwAbgBcAG4ARgBlAHIAdABpAGwAaQBzAGUAcgBfAEwAaQBtAGUARABvAGwAbwBtAGkAdABlAEcAeQBwAHMAdQBtAEMAbwBuAHMAdABhAG4AdABzAF8AVgBhAHIAaQBhAHQAaQBvAG4AXABuAD0ATABBAE0AQgBEAEEAKAAoAFwAIgBWAEEAUgBJAEEAVABJAE8ATgAgAEYAUgBPAE0AIABTAE8AVQBSAEMARQAgAEQAQQBUAEEAOgAgAEcAeQBwAHMAdQBtACAAaABhAHMAIABiAGUAZQBuACAAYQBkAGQAZQBkACAAdwBpAHQAaAAgAHAAbABhAGMAZQBoAG8AbABkAGUAcgAgAHYAYQBsAHUAZQBzACAAbwBmACAAMAAgAGYAbwByACAAUAAgAGEAbgBkACAARQBGAC4AXAAiACkAKQA7AFwAbgBcAG4AXABuAC8AKgBcAG4APQA9AD0APQA9AD0APQA9AD0APQA9AD0APQA9AD0APQA9AD0APQA9AD0APQA9AD0APQA9AD0APQA9AD0APQA9AD0APQA9AD0APQA9AD0APQA9AD0APQA9AD0APQA9AD0APQA9AD0APQA9AD0APQA9AD0APQA9AD0APQA9AD0APQA9AD0APQA9AD0APQA9AD0APQA9AD0APQBcAG4ARgByAGEAYwB0AGkAbwBuACAAbwBmACAAbgBpAHQAcgBvAGcAZQBuACAAaQBuACAAYwBvAG0AbQBvAG4AIABp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RgBlAHIAdABpAGwAaQBzAGUAcgBfAEYAcgBhAGMAdABpAG8AbgBOAEMAbwBtAG0AbwBuAEYAZQByAHQAaQBsAGkAcwBlAHIAcwBfAFQAaQB0AGwAZQBcAG4APQBMAEEATQBCAEQAQQAoACgAXAAiAEYAcgBhAGMAdABpAG8AbgAgAG8AZgAgAG4AaQB0AHIAbwBnAGUAbgAgAGkAbgAgAGMAbwBtAG0AbwBuACAAaQBuAG8AcgBnAGEAbgBpAGMAIABmAGUAcgB0AGkAbABpAHMAZQByAHMAIAAoAGsAZwBOAC8AawBnACkAIAAoAEYATgBvAHIAZwBhAG4AaQBjACwAZgApAFwAIgApACkAOwBcAG4AXABuAEYAZQByAHQAaQBsAGkAcwBlAHIAXwBGAHIAYQBjAHQAaQBvAG4ATgBDAG8AbQBtAG8AbgBGAGUAcgB0AGkAbABpAHMAZQByAHMAXwBTAG8AdQByAGMAZQBcAG4APQBMAEEATQBCAEQAQQAoACgAXAAiAFYARQBFAFIARwAgADIAMAAyADYAOgAgAFQAYQBiAGwAZQAgAEEALgAyAC4AMgAuADMAXAAiACkAKQA7AFwAbgBcAG4ARgBlAHIAdABpAGwAaQBzAGUAcgBfAEYAcgBhAGMAdABpAG8AbgBOAEMAbwBtAG0AbwBuAEYAZQByAHQAaQBsAGkAcwBlAHIAcwBfAEQAYQB0AGEAXABuAD0ATABBAE0AQgBEAEEAKABcAG4AIABNAEEASwBFAEEAUgBSAEEAWQAoADEAMAAsACAAMgAsAFwAbgAgAEwAQQBNAEIARABBACgAcgAsAGMALABcAG4AIAAgAEkATgBEAEUAWAAoAHsAXABuACAAIABcACIARgBlAHIAdABpAGwAaQBzAGUAcgAgAFQAeQBwAGUAIABmAFwAIgAsACAAXAAiAEYATgBpAG4AbwByAGcAYQBuAGkAYwBmAFwAIgA7AFwAbgAgACAAXAAiAE0AbwBuAG8AYQBtAG0AbwBuAGkAdQBtACAAcABoAG8AcwBwAGgAYQB0AGUAIAAoAE0AQQBQACkAXAAiACwAIAAwAC4AMQAwADsAXABuACAAIABcACIARABpAGEAbQBtAG8AbgBpAHUAbQAgAHAAaABvAHMAcABoAGEAdABlACAAKABEAEEAUAApAFwAIgAsACAAMAAuADEAOAA7AFwAbgAgACAAXAAiAFUAcgBlAGEAXAAiACwAIAAwAC4ANAA2ADsAXABuACAAIABcACIAUwB1AGwAcABoAGEAdABlACAAbwBmACAAYQBtAG0AbwBuAGkAYQAgACgAUwBPAEEAKQBcACIALAAgADAALgAyADEAOwBcAG4AIAAgAFwAIgBVAHIAZQBhAC0AYQBtAG0AbwBuAGkAdQBtACAAbgBpAHQAcgBhAHQAZQAgACgAVQBBAE4AKQBcACIALAAgADAALgAzADIAOwBcAG4AIAAgAFwAIgBBAG0AbQBvAG4AaQB1AG0AIABuAGkAdAByAGEAdABlACAAKABBAE4AKQBcACIALAAgADAALgAzADMANwA7AFwAbgAgACAAXAAiAEMAYQBsAGMAaQB1AG0AIABhAG0AbQBvAG4AaQB1AG0AIABuAGkAdAByAGEAdABlACAAKABDAEEATgApAFwAIgAsACAAMAAuADIANwA7AFwAbgAgACAAXAAiAEEAbQBtAG8AbgBpAHUAbQAgAFMAdQBsAGYAYQB0AGUAXAAiACwAIAAwAC4AMgAxADsAXABuACAAIABcACIAQwBhAGwAYwBpAHUAbQAgAE4AaQB0AHIAYQB0AGUAXAAiACwAIAAwAC4AMQA1ADUAXABuACAAIAB9ACwAIAByACwAIABjACkAXABuACkAKQApADsAXABuAFwAbgBGAGUAcgB0AGkAbABpAHMAZQByAF8ARgByAGEAYwB0AGkAbwBuAE4AQwBvAG0AbQBvAG4ARgBlAHIAdABpAGwAaQBzAGUAcgBzAF8AVgBhAHIAaQBhAHQAaQBvAG4AXABuAD0ATABBAE0AQgBEAEEAKAAoAFwAIgBcACIAKQApADsAXABuAFwAbgBcAG4ALwAqAFwAbgA9AD0APQA9AD0APQA9AD0APQA9AD0APQA9AD0APQA9AD0APQA9AD0APQA9AD0APQA9AD0APQA9AD0APQA9AD0APQA9AD0APQA9AD0APQA9AD0APQA9AD0APQA9AD0APQA9AD0APQA9AD0APQA9AD0APQA9AD0APQA9AD0APQA9AD0APQA9AD0APQA9AD0APQA9AD0APQA9AFwAbgBGAHIAYQBjAHQAaQBvAG4AIABvAGYAIAB1AHIAZQBhACAAaQBuACAAYwBvAG0AbQBvAG4AIABp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RgBlAHIAdABpAGwAaQBzAGUAcgBfAEYAcgBhAGMAdABpAG8AbgBVAHIAZQBhAEMAbwBtAG0AbwBuAEYAZQByAHQAaQBsAGkAcwBlAHIAcwBfAFQAaQB0AGwAZQBcAG4APQBMAEEATQBCAEQAQQAoACgAXAAiAEYAcgBhAGMAdABpAG8AbgAgAG8AZgAgAHUAcgBlAGEAIABpAG4AIABjAG8AbQBtAG8AbgAgAGkAbgBvAHIAZwBhAG4AaQBjACAAZgBlAHIAdABpAGwAaQBzAGUAcgBzACAAKABrAGcAIAB1AHIAZQBhAC8AawBnACkAIAAoAEYAVQBmACkAXAAiACkAKQA7AFwAbgBcAG4ARgBlAHIAdABpAGwAaQBzAGUAcgBfAEYAcgBhAGMAdABpAG8AbgBVAHIAZQBhAEMAbwBtAG0AbwBuAEYAZQByAHQAaQBsAGkAcwBlAHIAcwBfAFMAbwB1AHIAYwBlAFwAbgA9AEwAQQBNAEIARABBACgAKABcACIAVgBFAEUAUgBHACAAMgAwADIANgA6ACAAVABhAGIAbABlACAAQQAuADIALgAyAC4ANABcACIAKQApADsAXABuAFwAbgBGAGUAcgB0AGkAbABpAHMAZQByAF8ARgByAGEAYwB0AGkAbwBuAFUAcgBlAGEAQwBvAG0AbQBvAG4ARgBlAHIAdABpAGwAaQBzAGUAcgBzAF8ARABhAHQAYQBcAG4APQBMAEEATQBCAEQAQQAoAFwAbgAgAE0AQQBLAEUAQQBSAFIAQQBZACgAMQAwACwAIAAyACwAXABuACAATABBAE0AQgBEAEEAKAByACwAYwAsAFwAbgAgACAASQBOAEQARQBYACgAewBcAG4AIAAgAFwAIgBGAGUAcgB0AGkAbABpAHMAZQByACAAVAB5AHAAZQAgAGYAXAAiACwAIABcACIARgBVAGYAXAAiADsAXABuACAAIABcACIATQBvAG4AbwBhAG0AbQBvAG4AaQB1AG0AIABwAGgAbwBzAHAAaABhAHQAZQAgACgATQBBAFAAKQBcACIALAAgADAAOwBcAG4AIAAgAFwAIgBEAGkAYQBtAG0AbwBuAGkAdQBtACAAcABoAG8AcwBwAGgAYQB0AGUAIAAoAEQAQQBQACkAXAAiACwAIAAwADsAXABuACAAIABcACIAVQByAGUAYQBcACIALAAgADEAOwBcAG4AIAAgAFwAIgBTAHUAbABwAGgAYQB0AGUAIABvAGYAIABhAG0AbQBvAG4AaQBhACAAKABTAE8AQQApAFwAIgAsACAAMAA7AFwAbgAgACAAXAAiAFUAcgBlAGEALQBhAG0AbQBvAG4AaQB1AG0AIABuAGkAdAByAGEAdABlACAAKABVAEEATgApAFwAIgAsACAAMAAuADMANQA7AFwAbgAgACAAXAAiAEEAbQBtAG8AbgBpAHUAbQAgAG4AaQB0AHIAYQB0AGUAIAAoAEEATgApAFwAIgAsACAAMAA7AFwAbgAgACAAXAAiAEMAYQBsAGMAaQB1AG0AIABhAG0AbQBvAG4AaQB1AG0AIABuAGkAdAByAGEAdABlACAAKABDAEEATgApAFwAIgAsACAAMAA7AFwAbgAgACAAXAAiAEEAbQBtAG8AbgBpAHUAbQAgAFMAdQBsAGYAYQB0AGUAXAAiACwAIAAwADsAXABuACAAIABcACIAQwBhAGwAYwBpAHUAbQAgAE4AaQB0AHIAYQB0AGUAXAAiACwAIAAwAFwAbgAgACAAfQAsACAAcgAsACAAYwApAFwAbgApACkAKQA7AFwAbgBcAG4ARgBlAHIAdABpAGwAaQBzAGUAcgBfAEYAcgBhAGMAdABpAG8AbgBVAHIAZQBhAEMAbwBtAG0AbwBuAEYAZQByAHQAaQBsAGkAcwBlAHIAcwBfAFYAYQByAGkAYQB0AGkAbwBuAFwAbgA9AEwAQQBNAEIARABBACgAKABcACIAXAAiACkAKQA7AFwAbgBcAG4AXABuAC8AKgBcAG4APQA9AD0APQA9AD0APQA9AD0APQA9AD0APQA9AD0APQA9AD0APQA9AD0APQA9AD0APQA9AD0APQA9AD0APQA9AD0APQA9AD0APQA9AD0APQA9AD0APQA9AD0APQA9AD0APQA9AD0APQA9AD0APQA9AD0APQA9AD0APQA9AD0APQA9AD0APQA9AD0APQA9AD0APQA9AD0APQBcAG4AUwBvAHUAcgBjAGUAIAByAGUAZwBpAG8AbgBzACAAZgBvAHIAIAB1AHIAZQBhACAAYQBuAGQAIABhAG0AbQBvAG4AaQBhAFwAbgA9AD0APQA9AD0APQA9AD0APQA9AD0APQA9AD0APQA9AD0APQA9AD0APQA9AD0APQA9AD0APQA9AD0APQA9AD0APQA9AD0APQA9AD0APQA9AD0APQA9AD0APQA9AD0APQA9AD0APQA9AD0APQA9AD0APQA9AD0APQA9AD0APQA9AD0APQA9AD0APQA9AD0APQA9AD0APQA9AFwAbgAqAC8AXABuAFwAbgBGAGUAcgB0AGkAbABpAHMAZQByAF8AVQByAGUAYQBBAG0AbQBvAG4AaQBhAFMAbwB1AHIAYwBlAFIAZQBnAGkAbwBuAHMAXwBUAGkAdABsAGUAXABuAD0ATABBAE0AQgBEAEEAKABcACIAUwBvAHUAcgBjAGUAIAByAGUAZwBpAG8AbgBzACAAZgBvAHIAIAB1AHIAZQBhACAAYQBuAGQAIABhAG0AbQBvAG4AaQBhAFwAIgApADsAXABuAFwAbgBGAGUAcgB0AGkAbABpAHMAZQByAF8AVQByAGUAYQBBAG0AbQBvAG4AaQBhAFMAbwB1AHIAYwBlAFIAZQBnAGkAbwBuAHMAXwBTAG8AdQByAGMAZQBcAG4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GAGUAcgB0AGkAbABpAHMAZQByAF8AVQByAGUAYQBBAG0AbQBvAG4AaQBhAFMAbwB1AHIAYwBlAFIAZQBnAGkAbwBuAHMAXwBEAGEAdABhAFwAbgA9AEwAQQBNAEIARABBACgAXABuACAATQBBAEsARQBBAFIAUgBBAFkAKAA1ACwAIAAxACwAXABuACAATABBAE0AQgBEAEEAKAByACwAYwAsAFwAbgAgACAASQBOAEQARQBYACgAewBcAG4AIAAgAFwAIgBTAG8AdQByAGMAZQBcACIAOwBcAG4AIAAgAFwAIgBHAGwAbwBiAGEAbABcACIAOwBcAG4AIAAgAFwAIgBDAGEAbgBhAGQAYQBcACIAOwBcAG4AIAAgAFwAIgBDAGgAaQBuAGEAXAAiADsAXABuACAAIABcACIAWQBlAG0AZQBuAFwAIgBcAG4AIAAgAH0ALAAgAHIALAAgAGMAKQBcAG4AKQApACkAOwBcAG4AXABuAC8AKgBcAG4APQA9AD0APQA9AD0APQA9AD0APQA9AD0APQA9AD0APQA9AD0APQA9AD0APQA9AD0APQA9AD0APQA9AD0APQA9AD0APQA9AD0APQA9AD0APQA9AD0APQA9AD0APQA9AD0APQA9AD0APQA9AD0APQA9AD0APQA9AD0APQA9AD0APQA9AD0APQA9AD0APQA9AD0APQA9AD0APQBcAG4AQgByAGEAbgBkAGUAZAAgAGYAZQByAHQAaQBsAGkAcwBlAHIAIABwAHIAbwBkAHUAYwB0AHMAXABuAD0APQA9AD0APQA9AD0APQA9AD0APQA9AD0APQA9AD0APQA9AD0APQA9AD0APQA9AD0APQA9AD0APQA9AD0APQA9AD0APQA9AD0APQA9AD0APQA9AD0APQA9AD0APQA9AD0APQA9AD0APQA9AD0APQA9AD0APQA9AD0APQA9AD0APQA9AD0APQA9AD0APQA9AD0APQA9AD0AXABuACoALwBcAG4AXABuAEYAZQByAHQAaQBsAGkAcwBlAHIAXwBQAHIAbwBkAHUAYwB0AHMAXwBUAGkAdABsAGUAXABuAD0ATABBAE0AQgBEAEEAKAAoAFwAIgBCAHIAYQBuAGQAZQBkACAAZgBlAHIAdABpAGwAaQBzAGUAcgAgAHAAcgBvAGQAdQBjAHQAcwAgAGEAbgBkACAAdABoAGUAaQByACAAYwBoAGUAbQBpAGMAYQBsACAAYwBvAG0AcABvAHMAaQB0AGkAbwBuAFwAIgApACkAOwBcAG4AXABuAEYAZQByAHQAaQBsAGkAcwBlAHIAXwBQAHIAbwBkAHUAYwB0AHMAXwBTAG8AdQByAGMAZQBcAG4APQBMAEEATQBCAEQAQQAoACgAXAAiAFwAIgApACkAOwBcAG4AXABuAEYAZQByAHQAaQBsAGkAcwBlAHIAXwBQAHIAbwBkAHUAYwB0AHMAXwBEAGEAdABhADEAXABuAD0ATABBAE0AQgBEAEEAKABcAG4AIABNAEEASwBFAEEAUgBSAEEAWQAoADMAOQAsACAAMwAyACwAXABuACAATABBAE0AQgBEAEEAKAByACwAYwAsAFwAbgAgACAASQBOAEQARQBYACgAewBcAG4AXABuAFwAIgBJAG4AYwBsAHUAZABlACAAbwByACAAZQB4AGMAbAB1AGQAZQBcACIALABcACIATgBvAHQAZQBzAFwAIgAsAFwAIgBDAG8AbQBwAGEAbgB5AFwAIgAsAFwAIgBQAHIAbwBkAHUAYwB0ACAATgBhAG0AZQBcACIALABcACIATABpAG4AawBcACIALABcACIARABhAHQAYQAgAHMAbwB1AHIAYwBlAFwAIgAsAFwAIgBTAG8AdQByAGMAZQAgAGkAbQBhAGcAZQBzAFwAIgAsAFwAIgBVAG4AaQB0AFwAIgAsAFwAIgBEAGUAbgBzAGkAdAB5ACAAKABsACAAdABvACAAawBnACkAXAAiACwAXAAiAFUAcgBlAGEAIABzAG8AdQByAGMAZQBcACIALABcACIAQQBtAG0AbwBuAGkAYQAgAHMAbwB1AHIAYwBlAFwAIgAsAFwAIgBJAG4AZwByAGUAZABpAGUAbgB0ACAAMQBcACIALABcACIASQBuAGcAcgBlAGQAaQBlAG4AdAAgADEAIABwAGUAcgBjAGUAbgB0AFwAIgAsAFwAIgBJAG4AZwByAGUAZABpAGUAbgB0ACAAMgBcACIALABcACIASQBuAGcAcgBlAGQAaQBlAG4AdAAgADIAIABwAGUAcgBjAGUAbgB0AFwAIgAsAFwAIgBJAG4AZwByAGUAZABpAGUAbgB0ACAAMwBcACIALABcACIASQBuAGcAcgBlAGQAaQBlAG4AdAAgADMAIABwAGUAcgBjAGUAbgB0AFwAIgAsAFwAIgBJAG4AZwByAGUAZABpAGUAbgB0ACAANABcACIALABcACIASQBuAGcAcgBlAGQAaQBlAG4AdAAgADQAIABwAGUAcgBjAGUAbgB0AFwAIgAsAFwAIgBJAG4AZwByAGUAZABpAGUAbgB0ACAANQBcACIALABcACIASQBuAGcAcgBlAGQAaQBlAG4AdAAgADUAIABwAGUAcgBjAGUAbgB0AFwAIgAsAFwAIgBJAG4AZwByAGUAZABpAGUAbgB0ACAANgBcACIALABcACIASQBuAGcAcgBlAGQAaQBlAG4AdAAgADYAIABwAGUAcgBjAGUAbgB0AFwAIgAsAFwAIgBJAG4AZwByAGUAZABpAGUAbgB0ACAANwBcACIALABcACIASQBuAGcAcgBlAGQAaQBlAG4AdAAgADcAIABwAGUAcgBjAGUAbgB0AFwAIgAsAFwAIgBJAG4AZwByAGUAZABpAGUAbgB0ACAAOABcACIALABcACIASQBuAGcAcgBlAGQAaQBlAG4AdAAgADgAIABwAGUAcgBjAGUAbgB0AFwAIgAsAFwAIgBJAG4AZwByAGUAZABpAGUAbgB0ACAAOQBcACIALABcACIASQBuAGcAcgBlAGQAaQBlAG4AdAAgADkAIABwAGUAcgBjAGUAbgB0AFwAIgAsAFwAIgBJAG4AZwByAGUAZABpAGUAbgB0ACAAMQAwAFwAIgAsAFwAIgBJAG4AZwByAGUAZABpAGUAbgB0ACAAMQAwACAAcABlAHIAYwBlAG4AdABcACIALABcACIARQBOAEQAIABSAE8AVwBcACIAOwBcAG4AXAAiAEkAbgBjAGwAdQBkAGUAXAAiACwAXAAiAFwAIgAsAFwAIgBDAGEAbQBwAGIAZQBsAGwAcwAgAGYAZQByAHQAaQBsAGkAcwBlAHIAcwAgAEEAdQBzAHQAcgBhAGwAaQBhAFwAIgAsAFwAIgBBAHEAdQBhACAARgBpAG4AaQBzAGgAXAAiACwAXAAiAEEAcQB1AGEAIABGAGkAbgBpAHMAaAAgAC0AIABDAGEAbQBwAGIAZQBsAGwAcwAgAEYAZQByAHQAaQBsAGkAcwBlAHIAcwAgAEEAdQBzAHQAcgBhAGwAYQBzAGkAYQBcACIALABcACIAVwBlAGIAcwBpAHQAZQBcACIALABcACIAXAAiACwAXAAiAEwAXAAiACwAMQAuADIANgAsAFwAIgBcACIALABcACIAXAAiACwAXAAiAFAAbwB0AGEAcwBzAGkAdQBtACAALQAgAEcAZQBuAGUAcgBpAGMAXAAiACwAMAAuADIAMgA1ACwAXAAiAFAAaABvAHMAcABoAG8AcgB1AHMAIAAtACAARwBlAG4AZQByAGkAYwBcACIALAAwAC4AMAA0ACwAXAAiAE4AaQB0AHIAbwBnAGUAbgAgAC0AIABHAGUAbgBlAHIAaQBjAFwAIgAsADAALgAwADIANg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EcAcgBvAHcAXAAiACwAXAAiAEEAcQB1AGEAIABHAHIAbwB3ACAALQAgAEMAYQBtAHAAYgBlAGwAbABzACAARgBlAHIAdABpAGwAaQBzAGUAcgBzACAAQQB1AHMAdAByAGEAbABhAHMAaQBhAFwAIgAsAFwAIgBXAGUAYgBzAGkAdABlAFwAIgAsAFwAIgBcACIALABcACIATABcACIALAAxAC4AMgA2ACwAXAAiAFwAIgAsAFwAIgBcACIALABcACIAUABvAHQAYQBzAHMAaQB1AG0AIAAtACAARwBlAG4AZQByAGkAYwBcACIALAAwAC4AMQAwADUALABcACIATgBpAHQAcgBvAGcAZQBuACAALQAgAEcAZQBuAGUAcgBpAGMAXAAiACwAMAAuADAAOQA2ACwAXAAiAFAAaABvAHMAcABoAG8AcgB1AHMAIAAtACAARwBlAG4AZQByAGkAYwBcACIALAAwAC4AMAA1ACwAXAAiAFwAIgAsAFwAIgBcACIALABcACIAXAAiACwAXAAiAFwAIgAsAFwAIgBcACIALABcACIAXAAiACwAXAAiAFwAIgAsAFwAIgBcACIALABcACIAXAAiACwAXAAiAFwAIgAsAFwAIgBcACIALABcACIAXAAiACwAXAAiAFwAIgAsAFwAIgBcACIALABcACIARQBOAEQAIABSAE8AVwBcACIAOwBcAG4AXAAiAEkAbgBjAGwAdQBkAGUAXAAiACwAXAAiAFwAIgAsAFwAIgBDAGEAbQBwAGIAZQBsAGwAcwAgAGYAZQByAHQAaQBsAGkAcwBlAHIAcwAgAEEAdQBzAHQAcgBhAGwAaQBhAFwAIgAsAFwAIgBBAHEAdQBhACAATgBpAHQAcgBvACAAQQBOAFwAIgAsAFwAIgBBAHEAdQBhACAATgBpAHQAcgBvACAAQQBOACAALQAgAEMAYQBtAHAAYgBlAGwAbABzACAARgBlAHIAdABpAGwAaQBzAGUAcgBzACAAQQB1AHMAdAByAGEAbABhAHMAaQBhAFwAIgAsAFwAIgBXAGUAYgBzAGkAdABlAC4AIABCAHIAbwBjAGgAdQByAGUAXAAiACwAXAAiAFwAIgAsAFwAIgBMAFwAIgAsADEALgAyADQALABcACIAXAAiACwAXAAiAFwAIgAsAFwAIgBOAGkAdAByAG8AZwBlAG4AIAAtACAAQQBtAG0AbwBuAGkAYQBjAGEAbABcACIALAAwAC4AMgAyADM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UAcwBlACAATABpAG0AZQAgAEUARgAgAGYAbwByACAAYwBhAGwAYwBpAHUAbQBcACIALABcACIAQwBhAG0AcABiAGUAbABsAHMAIABmAGUAcgB0AGkAbABpAHMAZQByAHMAIABBAHUAcwB0AHIAYQBsAGkAYQBcACIALABcACIAQQBxAHUAYQAgAE4AaQB0AHIAbwBDAGEAbABcACIALABcACIAQQBxAHUAYQAgAE4AaQB0AHIAbwBDAGEAbAAgAC0AIABDAGEAbQBwAGIAZQBsAGwAcwAgAEYAZQByAHQAaQBsAGkAcwBlAHIAcwAgAEEAdQBzAHQAcgBhAGwAYQBzAGkAYQBcACIALABcACIAVwBlAGIAcwBpAHQAZQAgAFMARABTAFwAIgAsAFwAIgBcACIALABcACIATABcACIALAAxAC4ANQAsAFwAIgBcACIALABcACIAXAAiACwAXAAiAEMAYQBsAGMAaQB1AG0AIAAtACAARwBlAG4AZQByAGkAYwBcACIALAAwAC4AMQA2ADIALABcACIATgBpAHQAcgBvAGcAZQBuACAALQAgAE4AaQB0AHIAYQB0AGUAXAAiACwAMAAuADEAMwAyACwAXAAiAFwAIgAsAFwAIgBcACIALABcACIAXAAiACwAXAAiAFwAIgAsAFwAIgBcACIALABcACIAXAAiACwAXAAiAFwAIgAsAFwAIgBcACIALABcACIAXAAiACwAXAAiAFwAIgAsAFwAIgBcACIALABcACIAXAAiACwAXAAiAFwAIgAsAFwAIgBcACIALABcACIAXAAiACwAXAAiAFwAIgAsAFwAIgBFAE4ARAAgAFIATwBXAFwAIgA7AFwAbgBcACIASQBuAGMAbAB1AGQAZQBcACIALABcACIAVQBzAGUAIABMAGkAbQBlACAARQBGACAAZgBvAHIAIABjAGEAbABjAGkAdQBtAFwAIgAsAFwAIgBDAGEAbQBwAGIAZQBsAGwAcwAgAGYAZQByAHQAaQBsAGkAcwBlAHIAcwAgAEEAdQBzAHQAcgBhAGwAaQBhAFwAIgAsAFwAIgBBAHEAdQBhACAATgBpAHQAcgBvAEMAYQBsACAAKABWAEkAKQBcACIALABcACIAQQBxAHUAYQAgAE4AaQB0AHIAbwBDAGEAbAAgACgAVgBJACkAIAAtACAAQwBhAG0AcABiAGUAbABsAHMAIABGAGUAcgB0AGkAbABpAHMAZQByAHMAIABBAHUAcwB0AHIAYQBsAGEAcwBpAGEAXAAiACwAXAAiAFcAZQBiAHMAaQB0AGUAIABTAEQAUwBcACIALABcACIAXAAiACwAXAAiAEwAXAAiACwAMQAuADUALABcACIAXAAiACwAXAAiAFwAIgAsAFwAIgBDAGEAbABjAGkAdQBtACAALQAgAEcAZQBuAGUAcgBpAGMAXAAiACwAMAAuADEAOAA3ACwAXAAiAE4AaQB0AHIAbwBnAGUAbgAgAC0AIABOAGkAdAByAGEAdABlAFwAIgAsADAALgAxADMAMg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UAcwBlACAATABpAG0AZQAgAEUARgAgAGYAbwByACAAYwBhAGwAYwBpAHUAbQBcACIALABcACIAQwBhAG0AcABiAGUAbABsAHMAIABmAGUAcgB0AGkAbABpAHMAZQByAHMAIABBAHUAcwB0AHIAYQBsAGkAYQBcACIALABcACIAQQBxAHUAYQAgAE4AaQB0AHIAbwBDAGEAbAAgAFUAbAB0AGkAbQBhAHQAZQBcACIALABcACIAQQBxAHUAYQAgAE4AaQB0AHIAbwBDAGEAbAAgAFUAbAB0AGkAbQBhAHQAZQAgAC0AIABDAGEAbQBwAGIAZQBsAGwAcwAgAEYAZQByAHQAaQBsAGkAcwBlAHIAcwAgAEEAdQBzAHQAcgBhAGwAYQBzAGkAYQBcACIALABcACIAVwBlAGIAcwBpAHQAZQAgAFMARABTAFwAIgAsAFwAIgBcACIALABcACIATABcACIALAAxAC4ANQAsAFwAIgBcACIALABcACIAXAAiACwAXAAiAEMAYQBsAGMAaQB1AG0AIAAtACAARwBlAG4AZQByAGkAYwBcACIALAAwAC4AMQA4ADMALABcACIATgBpAHQAcgBvAGcAZQBuACAAIAAtACAATgBpAHQAcgBhAHQAZQBcACIALAAwAC4AMQAzAD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FMAdABhAHIAdABcACIALABcACIAQQBxAHUAYQAgAFMAdABhAHIAdAAgAC0AIABDAGEAbQBwAGIAZQBsAGwAcwAgAEYAZQByAHQAaQBsAGkAcwBlAHIAcwAgAEEAdQBzAHQAcgBhAGwAYQBzAGkAYQBcACIALABcACIAVwBlAGIAcwBpAHQAZQAgAFMARABTAFwAIgAsAFwAIgBcACIALABcACIATABcACIALAAxAC4AMgA1ACwAXAAiAFwAIgAsAFwAIgBcACIALABcACIATgBpAHQAcgBvAGcAZQBuACAALQAgAEcAZQBuAGUAcgBpAGMAXAAiACwAMAAuADEAMAAzACwAXAAiAFAAaABvAHMAcABoAG8AcgB1AHMAIAAtACAARwBlAG4AZQByAGkAYwBcACIALAAwAC4AMQAsAFwAIgBQAG8AdABhAHMAcwBpAHUAbQAgAC0AIABHAGUAbgBlAHIAaQBjAFwAIgAsADAALgAwADMANA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FQAaABpAG8ALQBDAG8AbQBwAGwAZQB0AGUAXAAiACwAXAAiAEEAcQB1AGEAIABUAGgAaQBvAC0AQwBvAG0AcABsAGUAdABlACAALQAgAEMAYQBtAHAAYgBlAGwAbABzACAARgBlAHIAdABpAGwAaQBzAGUAcgBzACAAQQB1AHMAdAByAGEAbABhAHMAaQBhAFwAIgAsAFwAIgBXAGUAYgBzAGkAdABlACAAUwBEAFMAXAAiACwAXAAiAFwAIgAsAFwAIgBMAFwAIgAsADEALgA0ADMALABcACIAXAAiACwAXAAiAFwAIgAsAFwAIgBQAG8AdABhAHMAcwBpAHUAbQAgAC0AIABHAGUAbgBlAHIAaQBjAFwAIgAsADAALgAyADIANQAsAFwAIgBQAGgAbwBzAHAAaABvAHIAdQBzACAALQAgAEcAZQBuAGUAcgBpAGMAXAAiACwAMAAuADAAMwA4ACwAXAAiAE4AaQB0AHIAbwBnAGUAbgAgAC0AIABHAGUAbgBlAHIAaQBjAFwAIgAsADAALgAwADIANQ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FQAaABpAG8ALQBFAG0AZQByAGcAZQBcACIALABcACIAQQBxAHUAYQAgAFQAaABpAG8ALQBFAG0AZQByAGcAZQAgAC0AIABDAGEAbQBwAGIAZQBsAGwAcwAgAEYAZQByAHQAaQBsAGkAcwBlAHIAcwAgAEEAdQBzAHQAcgBhAGwAYQBzAGkAYQBcACIALABcACIAVwBlAGIAcwBpAHQAZQAgAFMARABTAFwAIgAsAFwAIgBcACIALABcACIATABcACIALAAxAC4AMgA5ACwAXAAiAFwAIgAsAFwAIgBcACIALABcACIATgBpAHQAcgBvAGcAZQBuACAALQAgAEcAZQBuAGUAcgBpAGMAXAAiACwAMAAuADEAMAA1ACwAXAAiAFAAaABvAHMAcABoAG8AcgB1AHMAIAAtACAARwBlAG4AZQByAGkAYwBcACIALAAwAC4AMAA5ADQALABcACIAUABvAHQAYQBzAHMAaQB1AG0AIAAtACAARwBlAG4AZQByAGkAYwBcACIALAAwAC4AMAA0ACwAXAAiAFMAdQBsAGYAdQByACAALQAgAEcAZQBuAGUAcgBpAGMAXAAiACwAMAAuADAAMwAsAFwAIgBcACIALABcACIAXAAiACwAXAAiAFwAIgAsAFwAIgBcACIALABcACIAXAAiACwAXAAiAFwAIgAsAFwAIgBcACIALABcACIAXAAiACwAXAAiAFwAIgAsAFwAIgBcACIALABcACIAXAAiACwAXAAiAFwAIgAsAFwAIgBFAE4ARAAgAFIATwBXAFwAIgA7AFwAbgBcACIASQBuAGMAbAB1AGQAZQBcACIALABcACIAXAAiACwAXAAiAEMAYQBtAHAAYgBlAGwAbABzACAAZgBlAHIAdABpAGwAaQBzAGUAcgBzACAAQQB1AHMAdAByAGEAbABpAGEAXAAiACwAXAAiAEEAcQB1AGEAIABUAGgAaQBvAC0ARgBsAG8AdQByAGkAcwBoAFwAIgAsAFwAIgBBAHEAdQBhACAAVABoAGkAbwAtAEYAbABvAHUAcgBpAHMAaAAgAC0AIABDAGEAbQBwAGIAZQBsAGwAcwAgAEYAZQByAHQAaQBsAGkAcwBlAHIAcwAgAEEAdQBzAHQAcgBhAGwAYQBzAGkAYQBcACIALABcACIAVwBlAGIAcwBpAHQAZQAgAFMARABTAFwAIgAsAFwAIgBcACIALABcACIATABcACIALAAxAC4AMwAyACwAXAAiAFwAIgAsAFwAIgBcACIALABcACIAUABvAHQAYQBzAHMAaQB1AG0AIAAtACAARwBlAG4AZQByAGkAYwBcACIALAAwAC4AMQAwADgALABcACIATgBpAHQAcgBvAGcAZQBuACAALQAgAEcAZQBuAGUAcgBpAGMAXAAiACwAMAAuADAAOQA1ACwAXAAiAFMAdQBsAGYAdQByACAALQAgAEcAZQBuAGUAcgBpAGMAXAAiACwAMAAuADAAOAAxACwAXAAiAFAAaABvAHMAcABoAG8AcgB1AHMAIAAtACAARwBlAG4AZQByAGkAYwBcACIALAAwAC4AMAA0ADcALABcACIAXAAiACwAXAAiAFwAIgAsAFwAIgBcACIALABcACIAXAAiACwAXAAiAFwAIgAsAFwAIgBcACIALABcACIAXAAiACwAXAAiAFwAIgAsAFwAIgBcACIALABcACIAXAAiACwAXAAiAFwAIgAsAFwAIgBcACIALABcACIARQBOAEQAIABSAE8AVwBcACIAOwBcAG4AXAAiAEUAeABjAGwAdQBkAGUAIAAtACAATgBvAHQAIAByAGUAbABlAHYAYQBuAHQAXAAiACwAXAAiAFwAIgAsAFwAIgBDAGEAbQBwAGIAZQBsAGwAcwAgAGYAZQByAHQAaQBsAGkAcwBlAHIAcwAgAEEAdQBzAHQAcgBhAGwAaQBhAFwAIgAsAFwAIgBBAHMAYwBvACAARgBvAGwAIABQAGwAdQBzAFwAIgAsAFwAIgBBAHMAYwBvACAARgBvAGwAIABQAGwAdQBzACAALQAgAEMAYQBtAHAAYgBlAGwAbABzACAARgBlAHIAdABpAGwAaQBzAGUAcgBzACAAQQB1AHMAdAByAGEAbABhAHMAaQBhAFwAIgAsAFwAIgBcACIALABcACIATwByAGcAYQBuAGkAYw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QBzAGMAbwAgAFAAbAB1AHMAXAAiACwAXAAiAEEAcwBjAG8AIABQAGwAdQBzACAALQAgAEMAYQBtAHAAYgBlAGwAbABzACAARgBlAHIAdABpAGwAaQBzAGUAcgBzACAAQQB1AHMAdAByAGEAbABhAHMAaQBhAFwAIgAsAFwAIgBcACIALABcACIATwByAGcAYQBuAGkAYw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QBzAGMAbwAgAFIAaABpAHoAbwAgAFAAbAB1AHMAXAAiACwAXAAiAEEAcwBjAG8AIABSAGgAaQB6AG8AIABQAGwAdQBzACAALQAgAEMAYQBtAHAAYgBlAGwAbABzACAARgBlAHIAdABpAGwAaQBzAGUAcgBzACAAQQB1AHMAdAByAGEAbABhAHMAaQBhAFwAIgAsAFwAIgBcACIALABcACIAQgBpAG8AcwB0AGkAbQB1AGwAYQBuAHQAIAAtACAARABvACAAbgBvAHQAIABpAG4AYwBsAHUAZABl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RQB4AGMAbAB1AGQAZQAgAC0AIABOAG8AdAAgAHIAZQBsAGUAdgBhAG4AdABcACIALABcACIAXAAiACwAXAAiAEMAYQBtAHAAYgBlAGwAbABzACAAZgBlAHIAdABpAGwAaQBzAGUAcgBzACAAQQB1AHMAdAByAGEAbABpAGEAXAAiACwAXAAiAEIAZQBuAGUAZgBpAHQAIABQAFoAXAAiACwAXAAiAEIAZQBuAGUAZgBpAHQAIABQAFoAIAAtACAAQwBhAG0AcABiAGUAbABsAHMAIABGAGUAcgB0AGkAbABpAHMAZQByAHMAIABBAHUAcwB0AHIAYQBsAGEAcwBpAGEAXAAiACwAXAAiAFwAIgAsAFwAIgBOAG8AdAAgAGYAZQByAHQAaQBsAGkAcwBlAHIAIAAtACAARABvACAAbgBvAHQAIABpAG4AYwBsAHUAZABl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SQBuAGMAbAB1AGQAZQAgAC0AIABBAGIAcwBlAG4AdAAgAGkAbgBnAHIAZQBkAGkAZQBuAHQAcwAgAFwAdQAwADAAMwBjACAAMgAlAFwAIgAsAFwAIgBBAG0AbwB1AG4AdAAgAG8AZgAgAHUAcgBlAGEAIABjAGEAbABjAHUAbABhAHQAZQBkACAAZgByAG8AbQAgAHUAcgBlAGEAIABuAGkAdAByAG8AZwBlAG4AIABhAG0AbwB1AG4AdABcACIALABcACIAQwBhAG0AcABiAGUAbABsAHMAIABmAGUAcgB0AGkAbABpAHMAZQByAHMAIABBAHUAcwB0AHIAYQBsAGkAYQBcACIALABcACIAQgBvAG8AcwB0AC0ASQB0AFwAIgAsAFwAIgBCAG8AbwBzAHQALQBJAHQAIAAtACAAQwBhAG0AcABiAGUAbABsAHMAIABGAGUAcgB0AGkAbABpAHMAZQByAHMAIABBAHUAcwB0AHIAYQBsAGEAcwBpAGEAXAAiACwAXAAiAFcAZQBiAHMAaQB0AGUAIABTAEQAUwBcACIALABcACIAXAAiACwAXAAiAGsAZwBcACIALAAxACwAXAAiAFwAIgAsAFwAIgBcACIALABcACIAVQByAGUAYQBcACIALAAwAC4ANQAyADEANwAzADkAMQAzACwAXAAiAFAAbwB0AGEAcwBzAGkAdQBtACAALQAgAEcAZQBuAGUAcgBpAGMAXAAiACwAMAAuADAAOAAsAFwAIgBTAHUAbABmAHUAcgAgAC0AIABHAGUAbgBlAHIAaQBjAFwAIgAsADAALgAwADUAMwAsAFwAIgBQAGgAbwBzAHAAaABvAHIAdQBzACAALQAgAEcAZQBuAGUAcgBpAGMAXAAiACwAMAAuADAANQAyACwAXAAiAE0AYQBnAG4AZQBzAGkAdQBtAFwAIgAsADAALgAwADEAMwAsAFwAIgBaAGkAbgBjAFwAIgAsADAALgAwADAAMgAsAFwAIgBNAGEAbgBnAGEAbgBlAHMAZQBcACIALAAwAC4AMAAwADMANQAsAFwAIgBJAHIAbwBuAFwAIgAsADAALgAwADAAMQAzACwAXAAiAEMAbwBwAHAAZQByAFwAIgAsADAALgAwADAAMAA3ACwAXAAiAEIAbwByAG8AbgBcACIALAAwAC4AMAAwADAANwAsAFwAIgBFAE4ARAAgAFIATwBXAFwAIgA7AFwAbgBcACIARQB4AGMAbAB1AGQAZQAgAC0AIABOAG8AdAAgAHIAZQBsAGUAdgBhAG4AdABcACIALABcACIAXAAiACwAXAAiAEMAYQBtAHAAYgBlAGwAbABzACAAZgBlAHIAdABpAGwAaQBzAGUAcgBzACAAQQB1AHMAdAByAGEAbABpAGEAXAAiACwAXAAiAEIAbwByAG8AcABsAHUAcwBcACIALABcACIAQgBvAHIAbwBwAGwAdQBzACAALQAgAEMAYQBtAHAAYgBlAGwAbABzACAARgBlAHIAdABpAGwAaQBzAGUAcgBzACAAQQB1AHMAdAByAGEAbABhAHMAaQBhAFwAIgAsAFwAIgBcACIALABcACIATgBvAHQAIABmAGUAcgB0AGkAbABpAHMAZQByACAALQAgAEQAbwAgAG4AbwB0ACAAaQBuAGMAbAB1AGQAZQ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UAeABjAGwAdQBkAGUAIAAtACAATgBvAHQAIAByAGUAbABlAHYAYQBuAHQAXAAiACwAXAAiAFwAIgAsAFwAIgBDAGEAbQBwAGIAZQBsAGwAcwAgAGYAZQByAHQAaQBsAGkAcwBlAHIAcwAgAEEAdQBzAHQAcgBhAGwAaQBhAFwAIgAsAFwAIgBCAHIAZQB2AGkAcwBvAGwAIABSAGEAbgBnAGUAXAAiACwAXAAiAEIAcgBlAHYAaQBTAG8AbAAgAFIAYQBuAGcAZQAgAC0AIABDAGEAbQBwAGIAZQBsAGwAcwAgAEYAZQByAHQAaQBsAGkAcwBlAHIAcwAgAEEAdQBzAHQAcgBhAGwAYQBzAGkAYQBcACIALABcACIAXAAiACwAXAAiAE4AbwB0ACAAZgBlAHIAdABpAGwAaQBzAGUAcg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gByAGUAeABpAGwAIABMAGkAbgBlAFwAIgAsAFwAIgBCAHIAZQB4AGkAbAAgAEwAaQBuAGUAIAAtACAAQwBhAG0AcABiAGUAbABsAHMAIABGAGUAcgB0AGkAbABpAHMAZQByAHMAIABBAHUAcwB0AHIAYQBsAGEAcwBpAGEAXAAiACwAXAAiAFwAIgAsAFwAIgBOAG8AdAAgAGYAZQByAHQAaQBsAGkAcwBlAHIAIAAtACAARABvACAAbgBvAHQAIABpAG4AYwBsAHUAZABl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SQBuAGMAbAB1AGQAZQBcACIALABcACIAXAAiACwAXAAiAEMAYQBtAHAAYgBlAGwAbABzACAAZgBlAHIAdABpAGwAaQBzAGUAcgBzACAAQQB1AHMAdAByAGEAbABpAGEAXAAiACwAXAAiAEIAcgBvAG4AegBlAFwAIgAsAFwAIgBCAHIAbwBuAHoAZQAgAC0AIABDAGEAbQBwAGIAZQBsAGwAcwAgAEYAZQByAHQAaQBsAGkAcwBlAHIAcwAgAEEAdQBzAHQAcgBhAGwAYQBzAGkAYQBcACIALABcACIAVwBlAGIAcwBpAHQAZQBcACIALABcACIAXAAiACwAXAAiAGsAZwBcACIALABcACIAXAAiACwAXAAiAFwAIgAsAFwAIgBcACIALABcACIATQB1AHIAaQBhAHQAZQAgAG8AZgAgAFAAbwB0AGEAcwBoACAAKABNAE8AUAApAFwAIgAsADAALgAyADMAMgAsAFwAIgBOAGkAdAByAG8AZwBlAG4AIAAtACAARwBlAG4AZQByAGkAYwBcACIALAAwAC4AMQA3ACwAXAAiAFMAdQBsAGYAdQByACAALQAgAEcAZQBuAGUAcgBpAGMAXAAiACwAMAAuADAAMAA1ACwAXAAiAE0AYQBnAG4AZQBzAGkAdQBtAFwAIgAsADAALgAwADAAMgA0ACwAXAAiAFAAaABvAHMAcABoAG8AcgB1AHMAIAAtACAARwBlAG4AZQByAGkAYwBcACIALAAwAC4AMAAwADAANAAsAFwAIgBcACIALABcACIAXAAiACwAXAAiAFwAIgAsAFwAIgBcACIALABcACIAXAAiACwAXAAiAFwAIgAsAFwAIgBcACIALABcACIAXAAiACwAXAAiAFwAIgAsAFwAIgBcACIALABcACIARQBOAEQAIABSAE8AVwBcACIAOwBcAG4AXAAiAEUAeABjAGwAdQBkAGUAIAAtACAAQQBiAHMAZQBuAHQAIABpAG4AZwByAGUAZABpAGUAbgB0AHMAIABcAHUAMAAwADMAZQAgADIAJQBcACIALABcACIAXAAiACwAXAAiAEMAYQBtAHAAYgBlAGwAbABzACAAZgBlAHIAdABpAGwAaQBzAGUAcgBzACAAQQB1AHMAdAByAGEAbABpAGEAXAAiACwAXAAiAEIAdQBkAC0AVwBpAHMAZQByACAARAByAHkAXAAiACwAXAAiAEIAdQBkAC0AVwBpAHMAZQByACAARAByAHkAIAAtACAAQwBhAG0AcABiAGUAbABsAHMAIABGAGUAcgB0AGkAbABpAHMAZQByAHMAIABBAHUAcwB0AHIAYQBsAGEAcwBpAGEAXAAiACwAXAAiAFwAIgAsAFwAIgBcACIALABcACIAawBnAFwAIgAsAFwAIgBcACIALABcACIAXAAiACwAXAAiAFwAIgAsAFwAIgBTAHUAbABmAHUAcgAgAC0AIABHAGUAbgBlAHIAaQBjAFwAIgAsADAALgAwADkANAAsAFwAIgBNAGEAZwBuAGUAcwBpAHUAbQBcACIALAAwAC4AMAA2ACwAXAAiAEIAbwByAG8AbgBcACIALAAwAC4AMAA0ADUALABcACIAWgBpAG4AYwBcACIALAAwAC4AMAAyADcALABcACIAXAAiACwAXAAiAFwAIgAsAFwAIgBcACIALABcACIAXAAiACwAXAAiAFwAIgAsAFwAIgBcACIALABcACIAXAAiACwAXAAiAFwAIgAsAFwAIgBcACIALABcACIAXAAiACwAXAAiAFwAIgAsAFwAIgBcACIALABcACIARQBOAEQAIABSAE8AVwBcACIAOwBcAG4AXAAiAEUAeABjAGwAdQBkAGUAIAAtACAATgBvAHQAIAByAGUAbABlAHYAYQBuAHQAXAAiACwAXAAiAFwAIgAsAFwAIgBDAGEAbQBwAGIAZQBsAGwAcwAgAGYAZQByAHQAaQBsAGkAcwBlAHIAcwAgAEEAdQBzAHQAcgBhAGwAaQBhAFwAIgAsAFwAIgBDAGEAbABiAGkAdAAgAEMAXAAiACwAXAAiAEMAYQBsAGIAaQB0ACAAQwAgAC0AIABDAGEAbQBwAGIAZQBsAGwAcwAgAEYAZQByAHQAaQBsAGkAcwBlAHIAcwAgAEEAdQBzAHQAcgBhAGwAYQBzAGkAYQBcACIALABcACIAXAAiACwAXAAiAE4AbwB0ACAAZgBlAHIAdABpAGwAaQBzAGUAcgAgAC0AIABEAG8AIABuAG8AdAAgAGkAbgBjAGwAdQBkAGUAXAAiACwAXAAiAEw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UAeABjAGwAdQBkAGUAIAAtACAATgBvAHQAIAByAGUAbABlAHYAYQBuAHQAXAAiACwAXAAiAFwAIgAsAFwAIgBDAGEAbQBwAGIAZQBsAGwAcwAgAGYAZQByAHQAaQBsAGkAcwBlAHIAcwAgAEEAdQBzAHQAcgBhAGwAaQBhAFwAIgAsAFwAIgBDAGEAbABjAGkAdQBtACAAMQA3ADUAXAAiACwAXAAiAEMAYQBsAGMAaQB1AG0AIAAxADcANQAgAC0AIABDAGEAbQBwAGIAZQBsAGwAcwAgAEYAZQByAHQAaQBsAGkAcwBlAHIAcwAgAEEAdQBzAHQAcgBhAGwAYQBzAGkAYQBcACIALABcACIAXAAiACwAXAAiAE4AbwB0ACAAZgBlAHIAdABpAGwAaQBzAGUAcgAgAC0AIABEAG8AIABuAG8AdAAgAGkAbgBjAGwAdQBkAGUAXAAiACwAXAAiAEw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UAcwBlACAATABpAG0AZQAgAEUARgAgAGYAbwByACAAYwBhAGwAYwBpAHUAbQBcACIALABcACIAQwBhAG0AcABiAGUAbABsAHMAIABmAGUAcgB0AGkAbABpAHMAZQByAHMAIABBAHUAcwB0AHIAYQBsAGkAYQBcACIALABcACIAQwBhAGwAUABoAG8AcwBcACIALABcACIAQwBhAGwAcABoAG8AcwAgAC0AIABDAGEAbQBwAGIAZQBsAGwAcwAgAEYAZQByAHQAaQBsAGkAcwBlAHIAcwAgAEEAdQBzAHQAcgBhAGwAYQBzAGkAYQBcACIALABcACIAVwBlAGIAcwBpAHQAZQBcACIALABcACIAXAAiACwAXAAiAEwAXAAiACwAMQAuADIAOAA1ACwAXAAiAFwAIgAsAFwAIgBcACIALABcACIAUABoAG8AcwBwAGgAbwByAHUAcwAgAC0AIABHAGUAbgBlAHIAaQBjAFwAIgAsADAALgAxADMANQAsAFwAIgBDAGEAbABjAGkAdQBtACAALQAgAEcAZQBuAGUAcgBpAGMAXAAiACwAMAAuADAANAAsAFwAIgBcACIALABcACIAXAAiACwAXAAiAFwAIgAsAFwAIgBcACIALABcACIAXAAiACwAXAAiAFwAIgAsAFwAIgBcACIALABcACIAXAAiACwAXAAiAFwAIgAsAFwAIgBcACIALABcACIAXAAiACwAXAAiAFwAIgAsAFwAIgBcACIALABcACIAXAAiACwAXAAiAFwAIgAsAFwAIgBcACIALABcACIARQBOAEQAIABSAE8AVwBcACIAXABuACAAIAB9ACwAIAByACwAIABjACkAXABuACkAKQApADsAXABuAFwAbgBcAG4AXABuACIAfQAsAHsAIgBwAGEAdABoACIAOgAiAC8AcAByAG8AagBlAGMAdABzAC8ARQBsAGUAYwB0AHIAaQBjAGkAdAB5AF8ARQBxAHUAYQB0AGkAbwBuAHMAIgAsACIAdABlAHgAdAAiADoAIgAvACoAXABuAD0APQA9AD0APQA9AD0APQA9AD0APQA9AD0APQA9AD0APQA9AD0APQA9AD0APQA9AD0APQA9AD0APQA9AD0APQA9AD0APQA9AD0APQA9AD0APQA9AD0APQA9AD0APQA9AD0APQA9AD0APQA9AD0APQA9AD0APQA9AD0APQA9AD0APQA9AD0APQA9AD0APQA9AD0APQA9AD0AXABuADEANAA6ACAARQBsAGUAYwB0AHIAaQBjAGkAdAB5AFwAbgA9AD0APQA9AD0APQA9AD0APQA9AD0APQA9AD0APQA9AD0APQA9AD0APQA9AD0APQA9AD0APQA9AD0APQA9AD0APQA9AD0APQA9AD0APQA9AD0APQA9AD0APQA9AD0APQA9AD0APQA9AD0APQA9AD0APQA9AD0APQA9AD0APQA9AD0APQA9AD0APQA9AD0APQA9AD0APQA9AFwAbgAxADQALgAxAC4AMQAgAFAAdQByAGMAaABhAHMAZQBkACAARQBsAGUAYwB0AHIAaQBjAGkAdAB5ACAAKABMAG8AYwBhAHQAaQBvAG4ALQBCAGEAcwBlAGQAKQBcAG4AMQA0AC4AMQAuADIAIABQAHUAcgBjAGgAYQBzAGUAZAAgAEUAbABlAGMAdAByAGkAYwBpAHQAeQAgACgATQBhAHIAawBlAHQALQBCAGEAcwBlAGQAK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EANABfADEAXwAxAF8AXwAxAF8ATABvAGMAYQB0AGkAbwBuAEIAYQBzAGUAZABTAGMAbwBwAGUARQBsAGUAYwB0AHIAaQBjAGkAdAB5AEUAbQBpAHMAcwBpAG8AbgBzAFwAbgBMAG8AYwBhAHQAaQBvAG4ALQBiAGEAcwBlAGQAIABTAGMAbwBwAGUAIAAyACAAZQBtAGkAcwBzAGkAbwBuAHMAIABmAHIAbwBtACAAcAB1AHIAYwBoAGEAcwBlAGQAIABlAGwAZQBjAHQAcgBpAGMAaQB0AHkAXABuAEUAXwAyAGUAbABlAGMAXABuAHQAIABDAE8AMgBlAFwAbgBFAF8AewAyACwAZQBsAGUAYwB9AD0AUQBfAHsAZQBsAGUAYwB9AFwAXAB0AGkAbQBlAHMAIABFAEYAXwB7ADIALABlAGwAZQBjAH0AXABcAHQAaQBtAGUAcwAgADEAMABeAHsALQAzAH0AXABuAFEAXwBlAGwAZQBjACAAPQAgAGEAbQBvAHUAbgB0ACAAbwBmACAAZQBsAGUAYwB0AHIAaQBjAGkAdAB5ACAAcAB1AHIAYwBoAGEAcwBlAGQAIABmAHIAbwBtACAAdABoAGUAIABnAHIAaQBkACAAKABrAFcAaAApAFwAbgBFAEYAXwAyAGUAbABlAGMAIAA9ACAAbABvAGMAYQB0AGkAbwBuAC0AYgBhAHMAZQBkACAAUwBjAG8AcABlACAAMgAgAGUAbQBpAHMAcwBpAG8AbgAgAGYAYQBjAHQAbwByACAAZgBvAHIAIABlAGwAZQBjAHQAcgBpAGMAaQB0AHkAIAAoAGsAZwAgAEMATwAyAGUALwBrAFcAaAApAFwAbgAtAC0ALQAtAC0ALQAtAC0ALQAtAC0ALQAtAC0ALQAtAC0ALQAtAC0ALQAtAC0ALQAtAC0ALQAtAC0ALQAtAC0ALQAtAC0ALQAtAC0AXABuACoALwBcAG4AXABuAFYARQBFAFIARwBfADEANABfADEAXwAxAF8AXwAxAF8ATABvAGMAYQB0AGkAbwBuAEIAYQBzAGUAZABTAGMAbwBwAGUARQBsAGUAYwB0AHIAaQBjAGkAdAB5AEUAbQBpAHMAcwBpAG8AbgBzAFwAbgAgACAAPQBMAEEATQBCAEQAQQAoAFwAbgAgACAAIAAgAFEAXwBlAGwAZQBjACwAIABFAEYAXwAyAGUAbABlAGMALABcAG4AIAAgACAAIABRAF8AZQBsAGUAYwAgACoAIABFAEYAXwAyAGUAbABlAGMAIAAqACAAMQAwACAAXgAgAC0AMwBcAG4AIAAgACkAOwBcAG4AXABuAFYARQBFAFIARwBfADEANABfADEAXwAxAF8AXwAxAF8ATABvAGMAYQB0AGkAbwBuAEIAYQBzAGUAZABTAGMAbwBwAGUARQBsAGUAYwB0AHIAaQBjAGkAdAB5AEUAbQBpAHMAcwBpAG8AbgBzAF8AVABpAHQAbABlAFwAbgAgACAAPQBMAEEATQBCAEQAQQAoAFwAIgBMAG8AYwBhAHQAaQBvAG4ALQBiAGEAcwBlAGQAIABTAGMAbwBwAGUAIAAyACAAZQBtAGkAcwBzAGkAbwBuAHMAIABmAHIAbwBtACAAcAB1AHIAYwBoAGEAcwBlAGQAIABlAGwAZQBjAHQAcgBpAGMAaQB0AHkAXAAiACkAOwBcAG4AXABuAFYARQBFAFIARwBfADEANABfADEAXwAxAF8AXwAxAF8ATABvAGMAYQB0AGkAbwBuAEIAYQBzAGUAZABTAGMAbwBwAGUARQBsAGUAYwB0AHIAaQBjAGkAdAB5AEUAbQBpAHMAcwBpAG8AbgBzAF8AVgBhAHIAaQBhAGIAbABlAFwAbgAgACAAPQBMAEEATQBCAEQAQQAoAFwAIgBFAF8AMgBlAGwAZQBjAFwAIgApADsAXABuAFwAbgBWAEUARQBSAEcAXwAxADQAXwAxAF8AMQBfAF8AMQBfAEwAbwBjAGEAdABpAG8AbgBCAGEAcwBlAGQAUwBjAG8AcABlAEUAbABlAGMAdAByAGkAYwBpAHQAeQBFAG0AaQBzAHMAaQBvAG4AcwBfAFUAbgBpAHQAXABuACAAIAA9AEwAQQBNAEIARABBACgAXAAiAHQAIABDAE8AMgBlAFwAIgApADsAXABuAFwAbgBWAEUARQBSAEcAXwAxADQAXwAxAF8AMQBfAF8AMQBfAEwAbwBjAGEAdABpAG8AbgBCAGEAcwBlAGQAUwBjAG8AcABlAEUAbABlAGMAdAByAGkAYwBpAHQAeQBFAG0AaQBzAHMAaQBvAG4AcwBfAFMAbwB1AHIAYwBlAFwAbgAgACAAPQBMAEEATQBCAEQAQQAoAFwAIgBWAEUARQBSAEcAIAAyADAAMgA2ADoAIAAxADQALgAxAC4AMQAsACAARQBxAHUAYQB0AGkAbwBuACAAKAAxACkAXAAiACkAOwBcAG4AXABuAFYARQBFAFIARwBfADEANABfADEAXwAxAF8AXwAxAF8ATABvAGMAYQB0AGkAbwBuAEIAYQBzAGUAZABTAGMAbwBwAGUARQBsAGUAYwB0AHIAaQBjAGkAdAB5AEUAbQBpAHMAcwBpAG8AbgBzAF8ATgBJAFIAUgBlAGYAZQByAGUAbgBjAGUAXABuACAAIAA9AEwAQQBNAEIARABBACgAXAAiAFwAIgApADsAXABuAFwAbgBWAEUARQBSAEcAXwAxADQAXwAxAF8AMQBfAF8AMQBfAEwAbwBjAGEAdABpAG8AbgBCAGEAcwBlAGQAUwBjAG8AcABlAEUAbABlAGMAdAByAGkAYwBpAHQAeQBFAG0AaQBzAHMAaQBvAG4AcwBfAEwAYQB0AGUAeABFAHEAdQBhAHQAaQBvAG4AXABuACAAIAA9AEwAQQBNAEIARABBACgAXAAiAEUAXwB7ADIALABlAGwAZQBjAH0APQBRAF8AewBlAGwAZQBjAH0AXABcAHQAaQBtAGUAcwAgAEUARgBfAHsAMgAsAGUAbABlAGMAfQBcAFwAdABpAG0AZQBzACAAMQAwAF4AewAtADMAfQBcACIAKQA7AFwAbgBcAG4AVgBFAEUAUgBHAF8AMQA0AF8AMQBfADEAXwBfADEAXwBMAG8AYwBhAHQAaQBvAG4AQgBhAHMAZQBkAFMAYwBvAHAAZQBFAGwAZQBjAHQAcgBpAGMAaQB0AHkARQBtAGkAcwBzAGkAbwBuAHMAXwBBAHIAZwB1AG0AZQBuAHQAcwBcAG4AIAAgAD0ATABBAE0AQgBEAEEAKABcAG4AIAAgACAAIABNAEEASwBFAEEAUgBSAEEAWQAoADMALAAgADQALABcAG4AIAAgACAAIAAgACAATABBAE0AQgBEAEEAKAByACwAYwAsAFwAbgAgACAAIAAgACAAIAAgACAASQBOAEQARQBYACgAewBcAG4AIAAgACAAIAAgACAAIAAgACAAIABcACIAUQBfAGUAbABlAGMAXAAiACwAIABcACIAYQBtAG8AdQBuAHQAIABvAGYAIABlAGwAZQBjAHQAcgBpAGMAaQB0AHkAIABwAHUAcgBjAGgAYQBzAGUAZAAgAGYAcgBvAG0AIAB0AGgAZQAgAGcAcgBpAGQAXAAiACwAIABcACIAawBXAGgAXAAiACwAIABcACIASQBuAHAAdQB0AFwAIgA7AFwAbgAgACAAIAAgACAAIAAgACAAIAAgAFwAIgBFAEYAXwAyAGUAbABlAGMAXAAiACwAIABcACIAbABvAGMAYQB0AGkAbwBuAC0AYgBhAHMAZQBkACAAUwBjAG8AcABlACAAMgAgAGUAbQBpAHMAcwBpAG8AbgAgAGYAYQBjAHQAbwByACAAZgBvAHIAIABlAGwAZQBjAHQAcgBpAGMAaQB0AHkAXAAiACwAIABcACIAawBnACAAQwBPADIAZQAvAGsAVwBoAFwAIgAsACAAXAAiAEMAbwBuAHMAdABhAG4AdABcACIAOwBcAG4AIAAgACAAIAAgACAAIAAgACAAIABcACIAZwBcACIALAAgAFwAIgBHAHIAaQBkACAAZQBsAGUAYwB0AHIAaQBjAGkAdAB5ACAAdwBhAHMAIABwAHUAcgBjAGgAYQBzAGUAZAAgAGYAcgBvAG0AXAAiACwAIABcACIAXAAiACwAIABcACIASQBuAHAAdQB0AFwAIgBcAG4AIAAgACAAIAAgACAAIAAgAH0ALAAgAHIALAAgAGMAKQBcAG4AIAAgACAAIAAgACAAKQBcAG4AIAAgACAAIAApAFwAbgAgACAAKQA7AFwAbgBcAG4AVgBFAEUAUgBHAF8AMQA0AF8AMQBfADEAXwBfADEAXwBMAG8AYwBhAHQAaQBvAG4AQgBhAHMAZQBkAFMAYwBvAHAAZQBFAGwAZQBjAHQAcgBpAGMAaQB0AHkARQBtAGkAcwBzAGkAbwBuAHMAXwBWAGEAcgBpAGEAdABpAG8AbgBcAG4AIAAgAD0ATABBAE0AQgBEAEEAKABcACIAQQBkAGQAZQBkACAAZwAgAHYAYQByAGkAYQBiAGwAZQAgAHQAbwAgAGMAYQBwAHQAdQByAGUAIAB3AGgAaQBjAGgAIABnAHIAaQBkACAAZQBsAGUAYwB0AHIAaQBjAGkAdAB5ACAAdwBhAHMAIABwAHUAcgBjAGgAYQBzAGUAZAAgAGYAcgBvAG0AXAAiACkAOwBcAG4AXABuAC8AKgBcAG4ALQAtAC0ALQAtAC0ALQAtAC0ALQAtAC0ALQAtAC0ALQAtAC0ALQAtAC0ALQAtAC0ALQAtAC0ALQAtAC0ALQAtAC0ALQAtAC0ALQAtAFwAbgBWAEUARQBSAEcAXwAxADQAXwAxAF8AMgBfAF8AMQBfAE0AYQByAGsAZQB0AEIAYQBzAGUAZABTAGMAbwBwAGUARQBsAGUAYwB0AHIAaQBjAGkAdAB5AEUAbQBpAHMAcwBpAG8AbgBzAFwAbgBNAGEAcgBrAGUAdAAtAGIAYQBzAGUAZAAgAFMAYwBvAHAAZQAgADIAIABlAG0AaQBzAHMAaQBvAG4AcwAgAGYAcgBvAG0AIABwAHUAcgBjAGgAYQBzAGUAZAAgAGUAbABlAGMAdAByAGkAYwBpAHQAeQBcAG4ARQBfADIAZQBsAGUAYwBcAG4AdAAgAEMATwAyAGUAXABuAEUAXwB7ADIALABlAGwAZQBjAH0APQAoACgAUQBfAHsAZQBsAGUAYwB9AFwAXAB0AGkAbQBlAHMAKAAxAC0AKABSAFAAUAArAEoAUgBQAFAAKQApACkALQAoACgAUgBFAEMAXwB7AHMAdQByAHIAZQBuAGQAZQByAGUAZAB9AC0AUgBFAEMAXwB7AG8AbgBzAGkAdABlAH0AKQBcAFwAdABpAG0AZQBzACAAMQAwAF4AewAtADMAfQApACkAXABcAHQAaQBtAGUAcwAgAEUARgBfAHsAUgBNAEYAMgAsAGUAbABlAGMAfQBcAFwAdABpAG0AZQBzACAAMQAwAF4AewAtADMAfQBcAG4AUQBfAGUAbABlAGMAIAA9ACAAYQBtAG8AdQBuAHQAIABvAGYAIABlAGwAZQBjAHQAcgBpAGMAaQB0AHkAIABwAHUAcgBjAGgAYQBzAGUAZAAgAGYAcgBvAG0AIAB0AGgAZQAgAGcAcgBpAGQAIAAoAGsAVwBoACkAXABuAFIAUABQACAAPQAgAFIAZQBuAGUAdwBhAGIAbABlACAAUABvAHcAZQByACAAUABlAHIAYwBlAG4AdABhAGcAZQAgAHUAbgBkAGUAcgAgAHQAaABlACAATABhAHIAZwBlAC0AcwBjAGEAbABlACAAUgBlAG4AZQB3AGEAYgBsAGUAIABFAG4AZQByAGcAeQAgAFQAYQByAGcAZQB0ACAAKABMAFIARQBUACkAIABmAG8AcgAgAHQAaABlACAAYQBwAHAAbABpAGMAYQBiAGwAZQAgAHAAZQByAGkAbwBkACAAKABwAGUAcgAgAGMAZQBuAHQAKQBcAG4ASgBSAFAAUAAgAD0AIABqAHUAcgBpAHMAZABpAGMAdABpAG8AbgBhAGwAIAByAGUAbgBlAHcAYQBiAGwAZQAgAHAAbwB3AGUAcgAgAHAAZQByAGMAZQBuAHQAYQBnAGUAIABmAG8AcgAgAHQAaABlACAAYQBwAHAAbABpAGMAYQBiAGwAZQAgAHAAZQByAGkAbwBkACAAKABvAG4AbAB5ACAAYQBwAHAAbABpAGUAcwAgAHQAbwAgAHQAaABlACAAQQBDAFQAKQAgACgAcABlAHIAIABjAGUAbgB0ACkAXABuAFIARQBDAF8AcwB1AHIAcgBlAG4AZABlAHIAZQBkACAAPQAgAG4AdQBtAGIAZQByACAAbwBmACAAZQBsAGkAZwBpAGIAbABlACAAUgBlAG4AZQB3AGEAYgBsAGUAIABFAG4AZQByAGcAeQAgAEMAZQByAHQAaQBmAGkAYwBhAHQAZQBzACAAdgBvAGwAdQBuAHQAYQByAGkAbAB5ACAAcwB1AHIAcgBlAG4AZABlAHIAZQBkACAAaQBuACAAdABoAGUAIAByAGUAcABvAHIAdABpAG4AZwAgAHkAZQBhAHIAIABlAHEAdQBpAHYAYQBsAGUAbgB0ACAAdABvACAAbQBlAGcAYQB3AGEAdAB0ACAAaABvAHUAcgBzACAAKABNAFcAaAApAFwAbgBSAEUAQwBfAG8AbgBzAGkAdABlACAAPQAgAG4AdQBtAGIAZQByACAAbwBmACAAZQBsAGkAZwBpAGIAbABlACAAUgBlAG4AZQB3AGEAYgBsAGUAIABFAG4AZQByAGcAeQAgAEMAZQByAHQAaQBmAGkAYwBhAHQAZQBzACAAdABoAGEAdAAgAGgAYQB2AGUAIABiAGUAZQBuACAAbwByACAAdwBpAGwAbAAgAGIAZQAgAGkAcwBzAHUAZQBkACAAZgBvAHIAIABlAGwAZQBjAHQAcgBpAGMAaQB0AHkAIABwAHIAbwBkAHUAYwBlAGQAIABvAG4ALQBzAGkAdABlACAAZAB1AHIAaQBuAGcAIAB0AGgAZQAgAHkAZQBhAHIAIABhAG4AZAAgAGMAbwBuAHMAdQBtAGUAZAAgAGIAeQAgAHQAaABlACAAZQBuAHQAaQB0AHkAIABlAHEAdQBpAHYAYQBsAGUAbgB0ACAAdABvACAAbQBlAGcAYQB3AGEAdAB0ACAAaABvAHUAcgBzACAAKABNAFcAaAApAFwAbgBFAEYAXwBSAE0ARgAyAGUAbABlAGMAIAA9ACAAUwBjAG8AcABlACAAMgAgAHIAZQBzAGkAZAB1AGEAbAAgAG0AaQB4ACAAZQBtAGkAcwBzAGkAbwBuACAAZgBhAGMAdABvAHIAIABmAG8AcgAgAGUAbABlAGMAdAByAGkAYwBpAHQAeQAgACgAawBnACAAQwBPADIAZQAvAGsAVwBoACkAXABuAC0ALQAtAC0ALQAtAC0ALQAtAC0ALQAtAC0ALQAtAC0ALQAtAC0ALQAtAC0ALQAtAC0ALQAtAC0ALQAtAC0ALQAtAC0ALQAtAC0ALQBcAG4AKgAvAFwAbgBcAG4AVgBFAEUAUgBHAF8AMQA0AF8AMQBfADIAXwBfADEAXwBNAGEAcgBrAGUAdABCAGEAcwBlAGQAUwBjAG8AcABlAEUAbABlAGMAdAByAGkAYwBpAHQAeQBFAG0AaQBzAHMAaQBvAG4AcwBcAG4AIAAgAD0ATABBAE0AQgBEAEEAKABcAG4AIAAgACAAIABRAF8AZQBsAGUAYwAsACAAUgBQAFAALAAgAEoAUgBQAFAALAAgAFIARQBDAF8AcwB1AHIAcgBlAG4AZABlAHIAZQBkACwAIABSAEUAQwBfAG8AbgBzAGkAdABlACwAIABFAEYAXwBSAE0ARgAyAGUAbABlAGMALABcAG4AIAAgACAAIAAoACgAUQBfAGUAbABlAGMAIAAqACAAKAAxACAALQAgACgAUgBQAFAAIAArACAASgBSAFAAUAApACkAKQAgAC0AIAAoACgAUgBFAEMAXwBzAHUAcgByAGUAbgBkAGUAcgBlAGQAIAAtACAAUgBFAEMAXwBvAG4AcwBpAHQAZQApACAAKgAgADEAMAAgAF4AIAAtADMAKQApACAAKgAgAEUARgBfAFIATQBGADIAZQBsAGUAYwAgACoAIAAxADAAIABeACAALQAzAFwAbgAgACAAKQA7AFwAbgBcAG4AVgBFAEUAUgBHAF8AMQA0AF8AMQBfADIAXwBfADEAXwBNAGEAcgBrAGUAdABCAGEAcwBlAGQAUwBjAG8AcABlAEUAbABlAGMAdAByAGkAYwBpAHQAeQBFAG0AaQBzAHMAaQBvAG4AcwBWAGEAcgBpAGEAdABpAG8AbgBcAG4AIAAgAD0ATABBAE0AQgBEAEEAKABcAG4AIAAgACAAIABRAF8AZQBsAGUAYwAsACAAUgBQAFAALAAgAEoAUgBQAFAALAAgAFIARQBDAF8AcwB1AHIAcgBlAG4AZABlAHIAZQBkACwAIABSAEUAQwBfAG8AbgBzAGkAdABlACwAIABFAEYAXwBSAE0ARgAyAGUAbABlAGMALABcAG4AIAAgACAAIAAoACgAUQBfAGUAbABlAGMAIAAqACAAKAAxACAALQAgACgAUgBQAFAAIAArACAASgBSAFAAUAApACkAKQAgAC0AIAAoACgAUgBFAEMAXwBzAHUAcgByAGUAbgBkAGUAcgBlAGQAIAAtACAAUgBFAEMAXwBvAG4AcwBpAHQAZQApACAAKgAgADEAMAAgAF4AIAAzACkAKQAgACoAIABFAEYAXwBSAE0ARgAyAGUAbABlAGMAIAAqACAAMQAwACAAXgAgAC0AMwBcAG4AIAAgACkAOwBcAG4AXABuAFYARQBFAFIARwBfADEANABfADEAXwAyAF8AXwAxAF8ATQBhAHIAawBlAHQAQgBhAHMAZQBkAFMAYwBvAHAAZQBFAGwAZQBjAHQAcgBpAGMAaQB0AHkARQBtAGkAcwBzAGkAbwBuAHMAXwBUAGkAdABsAGUAXABuACAAIAA9AEwAQQBNAEIARABBACgAXAAiAE0AYQByAGsAZQB0AC0AYgBhAHMAZQBkACAAUwBjAG8AcABlACAAMgAgAGUAbQBpAHMAcwBpAG8AbgBzACAAZgByAG8AbQAgAHAAdQByAGMAaABhAHMAZQBkACAAZQBsAGUAYwB0AHIAaQBjAGkAdAB5AFwAIgApADsAXABuAFwAbgBWAEUARQBSAEcAXwAxADQAXwAxAF8AMgBfAF8AMQBfAE0AYQByAGsAZQB0AEIAYQBzAGUAZABTAGMAbwBwAGUARQBsAGUAYwB0AHIAaQBjAGkAdAB5AEUAbQBpAHMAcwBpAG8AbgBzAF8AVgBhAHIAaQBhAGIAbABlAFwAbgAgACAAPQBMAEEATQBCAEQAQQAoAFwAIgBFAF8AMgBlAGwAZQBjAFwAIgApADsAXABuAFwAbgBWAEUARQBSAEcAXwAxADQAXwAxAF8AMgBfAF8AMQBfAE0AYQByAGsAZQB0AEIAYQBzAGUAZABTAGMAbwBwAGUARQBsAGUAYwB0AHIAaQBjAGkAdAB5AEUAbQBpAHMAcwBpAG8AbgBzAF8AVQBuAGkAdABcAG4AIAAgAD0ATABBAE0AQgBEAEEAKABcACIAdAAgAEMATwAyAGUAXAAiACkAOwBcAG4AXABuAFYARQBFAFIARwBfADEANABfADEAXwAyAF8AXwAxAF8ATQBhAHIAawBlAHQAQgBhAHMAZQBkAFMAYwBvAHAAZQBFAGwAZQBjAHQAcgBpAGMAaQB0AHkARQBtAGkAcwBzAGkAbwBuAHMAXwBTAG8AdQByAGMAZQBcAG4AIAAgAD0ATABBAE0AQgBEAEEAKABcACIAVgBFAEUAUgBHACAAMgAwADIANgA6ACAAMQA0AC4AMQAuADIALAAgAEUAcQB1AGEAdABpAG8AbgAgACgAMQApAFwAIgApADsAXABuAFwAbgBWAEUARQBSAEcAXwAxADQAXwAxAF8AMgBfAF8AMQBfAE0AYQByAGsAZQB0AEIAYQBzAGUAZABTAGMAbwBwAGUARQBsAGUAYwB0AHIAaQBjAGkAdAB5AEUAbQBpAHMAcwBpAG8AbgBzAF8ATgBJAFIAUgBlAGYAZQByAGUAbgBjAGUAXABuACAAIAA9AEwAQQBNAEIARABBACgAXAAiAFwAIgApADsAXABuAFwAbgBWAEUARQBSAEcAXwAxADQAXwAxAF8AMgBfAF8AMQBfAE0AYQByAGsAZQB0AEIAYQBzAGUAZABTAGMAbwBwAGUARQBsAGUAYwB0AHIAaQBjAGkAdAB5AEUAbQBpAHMAcwBpAG8AbgBzAF8ATABhAHQAZQB4AEUAcQB1AGEAdABpAG8AbgBcAG4AIAAgAD0ATABBAE0AQgBEAEEAKABcACIARQBfAHsAMgAsAGUAbABlAGMAfQA9ACgAUQBfAHsAZQBsAGUAYwB9ACAAXABcAHQAaQBtAGUAcwAgACgAMQAtACgAUgBQAFAAKwBKAFIAUABQACkAKQAgAC0AIAAoACgAUgBFAEMAXwB7AHMAdQByAHIAZQBuAGQAZQByAGUAZAB9AC0AUgBFAEMAXwB7AG8AbgBzAGkAdABlAH0AKQBcAFwAdABpAG0AZQBzACAAMQAwAF4AewAtADMAfQApACkAIABcAFwAdABpAG0AZQBzACAARQBGAF8AewBSAE0ARgAyACwAZQBsAGUAYwB9ACAAXABcAHQAaQBtAGUAcwAgADEAMABeAHsALQAzAH0AXAAiACkAOwBcAG4AXABuAFYARQBFAFIARwBfADEANABfADEAXwAyAF8AXwAxAF8ATQBhAHIAawBlAHQAQgBhAHMAZQBkAFMAYwBvAHAAZQBFAGwAZQBjAHQAcgBpAGMAaQB0AHkARQBtAGkAcwBzAGkAbwBuAHMAVgBhAHIAaQBhAHQAaQBvAG4AXwBMAGEAdABlAHgARQBxAHUAYQB0AGkAbwBuAFwAbgAgACAAPQBMAEEATQBCAEQAQQAoAFwAIgBFAF8AewAyACwAZQBsAGUAYwB9AD0AKABRAF8AewBlAGwAZQBjAH0AIABcAFwAdABpAG0AZQBzACAAKAAxAC0AKABSAFAAUAArAEoAUgBQAFAAKQApACAALQAgACgAKABSAEUAQwBfAHsAcwB1AHIAcgBlAG4AZABlAHIAZQBkAH0ALQBSAEUAQwBfAHsAbwBuAHMAaQB0AGUAfQApAFwAXAB0AGkAbQBlAHMAIAAxADAAXgB7ADMAfQApACkAIABcAFwAdABpAG0AZQBzACAARQBGAF8AewBSAE0ARgAyACwAZQBsAGUAYwB9ACAAXABcAHQAaQBtAGUAcwAgADEAMABeAHsALQAzAH0AXAAiACkAOwBcAG4AXABuAFYARQBFAFIARwBfADEANABfADEAXwAyAF8AXwAxAF8ATQBhAHIAawBlAHQAQgBhAHMAZQBkAFMAYwBvAHAAZQBFAGwAZQBjAHQAcgBpAGMAaQB0AHkARQBtAGkAcwBzAGkAbwBuAHMAXwBBAHIAZwB1AG0AZQBuAHQAcwBcAG4AIAAgAD0ATABBAE0AQgBEAEEAKABcAG4AIAAgACAAIABNAEEASwBFAEEAUgBSAEEAWQAoADcALAAgADQALABcAG4AIAAgACAAIAAgACAATABBAE0AQgBEAEEAKAByACwAYwAsAFwAbgAgACAAIAAgACAAIAAgACAASQBOAEQARQBYACgAewBcAG4AIAAgACAAIAAgACAAIAAgACAAIABcACIAUQBfAGUAbABlAGMAXAAiACwAIABcACIAYQBtAG8AdQBuAHQAIABvAGYAIABlAGwAZQBjAHQAcgBpAGMAaQB0AHkAIABwAHUAcgBjAGgAYQBzAGUAZAAgAGYAcgBvAG0AIAB0AGgAZQAgAGcAcgBpAGQAXAAiACwAIABcACIAawBXAGgAXAAiACwAIABcACIASQBuAHAAdQB0AFwAIgA7AFwAbgAgACAAIAAgACAAIAAgACAAIAAgAFwAIgBSAFAAUABcACIALAAgAFwAIgBSAGUAbgBlAHcAYQBiAGwAZQAgAFAAbwB3AGUAcgAgAFAAZQByAGMAZQBuAHQAYQBnAGUAIAB1AG4AZABlAHIAIAB0AGgAZQAgAEwAYQByAGcAZQAtAHMAYwBhAGwAZQAgAFIAZQBuAGUAdwBhAGIAbABlACAARQBuAGUAcgBnAHkAIABUAGEAcgBnAGUAdAAgACgATABSAEUAVAApAFwAIgAsACAAXAAiAHAAZQByACAAYwBlAG4AdABcACIALAAgAFwAIgBJAG4AcAB1AHQAXAAiADsAXABuACAAIAAgACAAIAAgACAAIAAgACAAXAAiAEoAUgBQAFAAXAAiACwAIABcACIAagB1AHIAaQBzAGQAaQBjAHQAaQBvAG4AYQBsACAAcgBlAG4AZQB3AGEAYgBsAGUAIABwAG8AdwBlAHIAIABwAGUAcgBjAGUAbgB0AGEAZwBlACAAZgBvAHIAIAB0AGgAZQAgAGEAcABwAGwAaQBjAGEAYgBsAGUAIABwAGUAcgBpAG8AZAAgACgAQQBDAFQAIABvAG4AbAB5ACkAXAAiACwAIABcACIAcABlAHIAIABjAGUAbgB0AFwAIgAsACAAXAAiAEkAbgBwAHUAdABcACIAOwBcAG4AIAAgACAAIAAgACAAIAAgACAAIABcACIAUgBFAEMAXwBzAHUAcgByAGUAbgBkAGUAcgBlAGQAXAAiACwAIABcACIAUgBlAG4AZQB3AGEAYgBsAGUAIABFAG4AZQByAGcAeQAgAEMAZQByAHQAaQBmAGkAYwBhAHQAZQBzACAAdgBvAGwAdQBuAHQAYQByAGkAbAB5ACAAcwB1AHIAcgBlAG4AZABlAHIAZQBkACAAaQBuACAAdABoAGUAIAByAGUAcABvAHIAdABpAG4AZwAgAHkAZQBhAHIAXAAiACwAIABcACIATQBXAGgAXAAiACwAIABcACIASQBuAHAAdQB0AFwAIgA7AFwAbgAgACAAIAAgACAAIAAgACAAIAAgAFwAIgBSAEUAQwBfAG8AbgBzAGkAdABlAFwAIgAsACAAXAAiAFIAZQBuAGUAdwBhAGIAbABlACAARQBuAGUAcgBnAHkAIABDAGUAcgB0AGkAZgBpAGMAYQB0AGUAcwAgAGkAcwBzAHUAZQBkACAAZgBvAHIAIABlAGwAZQBjAHQAcgBpAGMAaQB0AHkAIABwAHIAbwBkAHUAYwBlAGQAIABvAG4ALQBzAGkAdABlACAAZAB1AHIAaQBuAGcAIAB0AGgAZQAgAHkAZQBhAHIAIABhAG4AZAAgAGMAbwBuAHMAdQBtAGUAZAAgAGIAeQAgAHQAaABlACAAZQBuAHQAaQB0AHkAXAAiACwAIABcACIATQBXAGgAXAAiACwAIABcACIASQBuAHAAdQB0AFwAIgA7AFwAbgAgACAAIAAgACAAIAAgACAAIAAgAFwAIgBFAEYAXwBSAE0ARgAyAGUAbABlAGMAXAAiACwAIABcACIAUwBjAG8AcABlACAAMgAgAHIAZQBzAGkAZAB1AGEAbAAgAG0AaQB4ACAAZQBtAGkAcwBzAGkAbwBuACAAZgBhAGMAdABvAHIAIABmAG8AcgAgAGUAbABlAGMAdAByAGkAYwBpAHQAeQBcACIALAAgAFwAIgBrAGcAIABDAE8AMgBlAC8AawBXAGgAXAAiACwAIABcACIAQwBvAG4AcwB0AGEAbgB0AFwAIgA7AFwAbgAgACAAIAAgACAAIAAgACAAIAAgAFwAIgBpAFwAIgAsACAAXAAiAHMAdABhAHQAZQBcACIALAAgAFwAIgBcACIALAAgAFwAIgBJAG4AcAB1AHQAXAAiAFwAbgAgACAAIAAgACAAIAAgACAAfQAsACAAcgAsACAAYwApAFwAbgAgACAAIAAgACAAIAApAFwAbgAgACAAIAAgACkAXABuACAAIAApADsAXABuAFwAbgBWAEUARQBSAEcAXwAxADQAXwAxAF8AMgBfAF8AMQBfAE0AYQByAGsAZQB0AEIAYQBzAGUAZABTAGMAbwBwAGUARQBsAGUAYwB0AHIAaQBjAGkAdAB5AEUAbQBpAHMAcwBpAG8AbgBzAF8AVgBhAHIAaQBhAHQAaQBvAG4AXABuACAAIAA9AEwAQQBNAEIARABBACgAXAAiAFYAQQBSAEkAQQBUAEkATwBOACAATwBOACAAUwBPAFUAUgBDAEUAOgAgAEkAbgAgAG8AcgBkAGUAcgAgAHQAbwAgAGMAbwBuAHYAZQByAHQAIABtAGUAZwBhAHcAYQB0AHQAIABoAG8AdQByAHMAIAB0AG8AIABrAGkAbABvAHcAYQB0AHQAIABoAG8AdQByAHMALAAgAHQAaABlACAAUgBFAEMAXwBzAHUAcgByAGUAbgBkAGUAcgBlAGQAIABhAG4AZAAgAFIARQBDAF8AbwBuAHMAaQB0AGUAIAB2AGEAcgBpAGEAYgBsAGUAcwAgAGEAcgBlACAAbQB1AGwAdABpAHAAbABpAGUAZAAgAGIAeQAgADEAMABeADMAIABpAG4AcwB0AGUAYQBkACAAbwBmACAAMQAwAF4ALQAzAC4AXAAiACkAOwBcAG4AIgB9ACwAewAiAHAAYQB0AGgAIgA6ACIALwBwAHIAbwBqAGUAYwB0AHMALwBFAGwAZQBjAHQAcgBpAGMAaQB0AHkAXwBTAG8AdQByAGMAZQBEAGEAdABhACIALAAiAHQAZQB4AHQAIgA6ACIALwAqAFwAbgA9AD0APQA9AD0APQA9AD0APQA9AD0APQA9AD0APQA9AD0APQA9AD0APQA9AD0APQA9AD0APQA9AD0APQA9AD0APQA9AD0APQA9AD0APQA9AD0APQA9AD0APQA9AD0APQA9AD0APQA9AD0APQA9AD0APQA9AD0APQA9AD0APQA9AD0APQA9AD0APQA9AD0APQA9AD0APQA9AFwAbgBJAG4AZABpAHIAZQBjAHQAIAAoAHMAYwBvAHAAZQAgADIAIABhAG4AZAAgAHMAYwBvAHAAZQAgADMAKQAgAGwAbwBjAGEAdABpAG8AbgAtAGIAYQBzAGUAZAAgAGUAbQBpAHMAcwBpAG8AbgAgAGYAYQBjAHQAbwByAHMAIABhAHMAcwBvAGMAaQBhAHQAZQBkACAAdwBpAHQAaAAgAHQAaABlACAAYwBvAG4AcwB1AG0AcAB0AGkAbwBuACAAYQBuAGQAIABsAG8AcwBzAGUAcwAgAG8AZgAgAHAAdQByAGMAaABhAHMAZQBkACAAbwByACAAYQBjAHEAdQBpAHIAZQBkACAAZQBsAGUAYwB0AHIAaQBjAGkAdAB5ACAAXABuAD0APQA9AD0APQA9AD0APQA9AD0APQA9AD0APQA9AD0APQA9AD0APQA9AD0APQA9AD0APQA9AD0APQA9AD0APQA9AD0APQA9AD0APQA9AD0APQA9AD0APQA9AD0APQA9AD0APQA9AD0APQA9AD0APQA9AD0APQA9AD0APQA9AD0APQA9AD0APQA9AD0APQA9AD0APQA9AD0AXABuACoALwBcAG4AXABuAEUAbABlAGMAdAByAGkAYwBpAHQAeQBfAFMAYwBvAHAAZQAyAFMAYwBvAHAAZQAzAEwAbwBjAGEAdABpAG8AbgBCAGEAcwBlAGQAXwBUAGkAdABsAGUAXABuAD0ATABBAE0AQgBEAEEAKAAoAFwAIgBFAGwAZQBjAHQAcgBpAGMAaQB0AHkAIABzAGMAbwBwAGUAIAAyACAAYQBuAGQAIABzAGMAbwBwAGUAIAAzACAAbABvAGMAYQB0AGkAbwBuAC0AYgBhAHMAZQBkACAAZQBtAGkAcwBzAGkAbwBuACAAZgBhAGMAdABvAHIAcwBcACIAKQApADsAXABuAFwAbgBFAGwAZQBjAHQAcgBpAGMAaQB0AHkAXwBTAGMAbwBwAGUAMgBMAG8AYwBhAHQAaQBvAG4AQgBhAHMAZQBkAF8ARABlAHMAYwByAGkAcAB0AGkAbwBuAFwAbgA9AEwAQQBNAEIARABBACgAKABcACIASQBuAGQAaQByAGUAYwB0ACAAKABzAGMAbwBwAGUAIAAyACAAYQBuAGQAIABzAGMAbwBwAGUAIAAzACkAIABsAG8AYwBhAHQAaQBvAG4ALQBiAGEAcwBlAGQAIABlAG0AaQBzAHMAaQBvAG4AIABmAGEAYwB0AG8AcgBzACAAYQBzAHMAbwBjAGkAYQB0AGUAZAAgAHcAaQB0AGgAIAB0AGgAZQAgAGMAbwBuAHMAdQBtAHAAdABpAG8AbgAgAGEAbgBkACAAbABvAHMAcwBlAHMAIABvAGYAIABwAHUAcgBjAGgAYQBzAGUAZAAgAG8AcgAgAGEAYwBxAHUAaQByAGUAZAAgAGUAbABlAGMAdAByAGkAYwBpAHQAeQBcACIAKQApADsAXABuAFwAbgBFAGwAZQBjAHQAcgBpAGMAaQB0AHkAXwBTAGMAbwBwAGUAMgBTAGMAbwBwAGUAMwBMAG8AYwBhAHQAaQBvAG4AQgBhAHMAZQBkAF8AUwBvAHUAcgBjAGUAXABuAD0ATABBAE0AQgBEAEEAKAAoAFwAIgBBAHUAcwB0AHIAYQBsAGkAYQBuACAATgBhAHQAaQBvAG4AYQBsACAARwByAGUAZQBuAGgAbwB1AHMAZQAgAEEAYwBjAG8AdQBuAHQAcwAgAEYAYQBjAHQAbwByAHMAIAAyADAAMgA1ACAALQAgAFQAYQBiAGwAZQAgADEAXAAiACkAKQA7AFwAbgBcAG4ARQBsAGUAYwB0AHIAaQBjAGkAdAB5AF8AUwBjAG8AcABlADIAUwBjAG8AcABlADMATABvAGMAYQB0AGkAbwBuAEIAYQBzAGUAZABfAEQAYQB0AGEAXABuAD0ATABBAE0AQgBEAEEAKABcAG4AIAAgAE0AQQBLAEUAQQBSAFIAQQBZACgAMQAxACwAIAAzACwAXABuACAAIAAgACAATABBAE0AQgBEAEEAKAByACwAYwAsAFwAbgAgACAAIAAgACAAIABJAE4ARABFAFgAKAB7AFwAbgAgACAAIAAgACAAIAAgACAAXAAiAFMAdABhAHQAZQAsACAAVABlAHIAcgBpAHQAbwByAHkAIABvAHIAIABnAHIAaQBkACAAZABlAHMAYwByAGkAcAB0AGkAbwBuAFwAIgAsACAAXAAiAFMAYwBvAHAAZQAgADIAIABFAG0AaQBzAHMAaQBvAG4AIABGAGEAYwB0AG8AcgBzACAAKABrAGcAIABDAE8AMgAtAGUALwBrAFcAaAApAFwAIgAsACAAXAAiAFMAYwBvAHAAZQAgADMAIABFAG0AaQBzAHMAaQBvAG4AIABGAGEAYwB0AG8AcgBzACAAKABrAGcAIABDAE8AMgAtAGUALwBrAFcAaAApAFwAIgA7AFwAbgAgACAAIAAgACAAIAAgACAAXAAiAE4AZQB3ACAAUwBvAHUAdABoACAAVwBhAGwAZQBzAFwAIgAsACAAMAAuADYANAAsACAAMAAuADAAMwA7AFwAbgAgACAAIAAgACAAIAAgACAAXAAiAEEAQwBUAFwAIgAsACAAMAAuADYANAAsACAAMAAuADAAMwA7AFwAbgAgACAAIAAgACAAIAAgACAAXAAiAFYAaQBjAHQAbwByAGkAYQBcACIALAAgADAALgA3ADgALAAgADAALgAwADkAOwBcAG4AIAAgACAAIAAgACAAIAAgAFwAIgBRAHUAZQBlAG4AcwBsAGEAbgBkAFwAIgAsACAAMAAuADYANwAsACAAMAAuADAAOQA7AFwAbgAgACAAIAAgACAAIAAgACAAXAAiAFMAbwB1AHQAaAAgAEEAdQBzAHQAcgBhAGwAaQBhAFwAIgAsACAAMAAuADIAMgAsACAAMAAuADAANAA7AFwAbgAgACAAIAAgACAAIAAgACAAXAAiAFcAZQBzAHQAZQByAG4AIABBAHUAcwB0AHIAYQBsAGkAYQAgAC0AIABTAG8AdQB0AGgAIABXAGUAcwB0ACAASQBuAHQAZQByAGMAbwBuAG4AZQBjAHQAZQBkACAAUwB5AHMAdABlAG0AIAAoAFMAVwBJAFMAKQBcACIALAAgADAALgA1ADAALAAgADAALgAwADYAOwBcAG4AIAAgACAAIAAgACAAIAAgAFwAIgBXAGUAcwB0AGUAcgBuACAAQQB1AHMAdAByAGEAbABpAGEAIAAtACAATgBvAHIAdABoACAAVwBlAHMAdABlAHIAbgAgAEkAbgB0AGUAcgBjAG8AbgBuAGUAYwB0AGUAZAAgAFMAeQBzAHQAZQBtACAAKABOAFcASQBTACkAXAAiACwAIAAwAC4ANQA2ACwAIAAwAC4AMAA5ADsAXABuACAAIAAgACAAIAAgACAAIABcACIAVABhAHMAbQBhAG4AaQBhAFwAIgAsACAAMAAuADIAMAAsACAAMAAuADAAMwA7AFwAbgAgACAAIAAgACAAIAAgACAAXAAiAE4AbwByAHQAaABlAHIAbgAgAFQAZQByAHIAaQB0AG8AcgB5ACAALQAgAEQAYQByAHcAaQBuACAASwBhAHQAaABlAHIAaQBuAGUAIABJAG4AdABlAHIAYwBvAG4AbgBlAGMAdABlAGQAIABTAHkAcwB0AGUAbQAgACgARABLAEkAUwApAFwAIgAsACAAMAAuADUANgAsACAAMAAuADAAOQA7AFwAbgAgACAAIAAgACAAIAAgACAAXAAiAE4AYQB0AGkAbwBuAGEAbABcACIALAAgADAALgA2ADIALAAgADAALgAwADcAXABuACAAIAAgACAAIAAgAH0ALAAgAHIALAAgAGMAKQBcAG4AKQApACkAOwBcAG4AXABuAEUAbABlAGMAdAByAGkAYwBpAHQAeQBfAFMAYwBvAHAAZQAyAFMAYwBvAHAAZQAzAEwAbwBjAGEAdABpAG8AbgBCAGEAcwBlAGQAXwBWAGEAcgBpAGEAdABpAG8AbgBcAG4APQBMAEEATQBCAEQAQQAoACgAXAAiAFYAQQBSAEkAQQBUAEkATwBOACAATwBGACAAUwBPAFUAUgBDAEUAIABEAEEAVABBADoAIABOAFMAVwAgAGEAbgBkACAAQQBDAFQAIABzAHAAbABpAHQAIABpAG4AdABvACAAcwBlAHAAYQByAGEAdABlACAAcgBvAHcAcwAuAFwAIgApACkAOwBcAG4AXABuAFwAbgAvACoAXABuAD0APQA9AD0APQA9AD0APQA9AD0APQA9AD0APQA9AD0APQA9AD0APQA9AD0APQA9AD0APQA9AD0APQA9AD0APQA9AD0APQA9AD0APQA9AD0APQA9AD0APQA9AD0APQA9AD0APQA9AD0APQA9AD0APQA9AD0APQA9AD0APQA9AD0APQA9AD0APQA9AD0APQA9AD0APQA9AD0AXABuAFIAZQBzAGkAZAB1AGEAbAAgAE0AaQB4ACAARgBhAGMAdABvAHIAIABmAG8AcgAgAG0AYQByAGsAZQB0AC0AYgBhAHMAZQBkACAAZQBxAHUAYQB0AGkAbwBuAHMAXABuAD0APQA9AD0APQA9AD0APQA9AD0APQA9AD0APQA9AD0APQA9AD0APQA9AD0APQA9AD0APQA9AD0APQA9AD0APQA9AD0APQA9AD0APQA9AD0APQA9AD0APQA9AD0APQA9AD0APQA9AD0APQA9AD0APQA9AD0APQA9AD0APQA9AD0APQA9AD0APQA9AD0APQA9AD0APQA9AD0AXABuACoALwBcAG4AXABuAEUAbABlAGMAdAByAGkAYwBpAHQAeQBfAFMAYwBvAHAAZQAyAFMAYwBvAHAAZQAzAE0AYQByAGsAZQB0AEIAYQBzAGUAZABfAFQAaQB0AGwAZQBcAG4APQBMAEEATQBCAEQAQQAoACgAXAAiAEUAbABlAGMAdAByAGkAYwBpAHQAeQAgAHMAYwBvAHAAZQAgADIAIABhAG4AZAAgAHMAYwBvAHAAZQAgADMAIABtAGEAcgBrAGUAdAAtAGIAYQBzAGUAZAAgAGUAbQBpAHMAcwBpAG8AbgAgAGYAYQBjAHQAbwByAHMAXAAiACkAKQA7AFwAbgBcAG4ARQBsAGUAYwB0AHIAaQBjAGkAdAB5AF8AUwBjAG8AcABlADIATQBhAHIAawBlAHQAQgBhAHMAZQBkAF8ARABlAHMAYwByAGkAcAB0AGkAbwBuAFwAbgA9AEwAQQBNAEIARABBACgAKABcACIAVABhAGIAbABlACAAMgBhACAASQBuAGQAaQByAGUAYwB0ACAAKABzAGMAbwBwAGUAIAAyACAAYQBuAGQAIABzAGMAbwBwAGUAIAAzACkAIABlAG0AaQBzAHMAaQBvAG4AIABmAGEAYwB0AG8AcgBzACAAZgByAG8AbQAgAGMAbwBuAHMAdQBtAHAAdABpAG8AbgAgAG8AZgAgAHAAdQByAGMAaABhAHMAZQBkACAAbwByACAAYQBjAHEAdQBpAHIAZQBkACAAZQBsAGUAYwB0AHIAaQBjAGkAdAB5ADoAIABtAGEAcgBrAGUAdAAtAGIAYQBzAGUAZAAgAGYAYQBjAHQAbwByAHMAIABcACIAKQApADsAXABuAFwAbgBFAGwAZQBjAHQAcgBpAGMAaQB0AHkAXwBTAGMAbwBwAGUAMgBTAGMAbwBwAGUAMwBNAGEAcgBrAGUAdABCAGEAcwBlAGQAXwBTAG8AdQByAGMAZQBcAG4APQBMAEEATQBCAEQAQQAoACgAXAAiAEEAdQBzAHQAcgBhAGwAaQBhAG4AIABOAGEAdABpAG8AbgBhAGwAIABHAHIAZQBlAG4AaABvAHUAcwBlACAAQQBjAGMAbwB1AG4AdABzACAARgBhAGMAdABvAHIAcwAgADIAMAAyADUAIAAtACAAVABhAGIAbABlACAAMgBhAFwAIgApACkAOwBcAG4AXABuAEUAbABlAGMAdAByAGkAYwBpAHQAeQBfAFMAYwBvAHAAZQAyAFMAYwBvAHAAZQAzAE0AYQByAGsAZQB0AEIAYQBzAGUAZABfAEQAYQB0AGEAXABuAD0ATABBAE0AQgBEAEEAKABcAG4AIAAgAE0AQQBLAEUAQQBSAFIAQQBZACgAMgAsACAANQAsAFwAbgAgACAAIAAgAEwAQQBNAEIARABBACgAcgAsAGMALABcAG4AIAAgACAAIAAgACAASQBOAEQARQBYACgAewBcAG4AIAAgACAAIAAgACAAIAAgAFwAIgBTAHQAYQB0AGUALAAgAFQAZQByAHIAaQB0AG8AcgB5ACAAbwByACAAZwByAGkAZAAgAGQAZQBzAGMAcgBpAHAAdABpAG8AbgBcACIALAAgAFwAIgBTAGMAbwBwAGUAIAAyACAARQBtAGkAcwBzAGkAbwBuACAARgBhAGMAdABvAHIAcwAgACgAawBnACAAQwBPADIALQBlAC8AawBXAGgAKQBcACIALAAgAFwAIgBTAGMAbwBwAGUAIAAyACAARQBtAGkAcwBzAGkAbwBuACAARgBhAGMAdABvAHIAcwAgACgAawBnACAAQwBPADIALQBlAC8ARwBKACkAXAAiACwAIABcACIAUwBjAG8AcABlACAAMwAgAEUAbQBpAHMAcwBpAG8AbgAgAEYAYQBjAHQAbwByAHMAIAAoAGsAZwAgAEMATwAyACAALQAgAGUAIAAvACAAawBXAGgAKQBcACIALAAgAFwAIgBTAGMAbwBwAGUAIAAzACAARQBtAGkAcwBzAGkAbwBuACAARgBhAGMAdABvAHIAcwAgACgAawBnACAAQwBPADIAIAAtACAAZQAgAC8AIABHAEoAKQBcACIAOwBcAG4AIAAgACAAIAAgACAAIAAgAFwAIgBOAGEAdABpAG8AbgBhAGwAXAAiACwAIAAwAC4AOAAxACwAIAAyADIANgAsACAAMAAuADEAMAAsACAAMgA5AFwAbgAgACAAIAAgACAAIAB9ACwAIAByACwAIABjACkAXABuACkAKQApADsAXABuAFwAbgBFAGwAZQBjAHQAcgBpAGMAaQB0AHkAXwBTAGMAbwBwAGUAMgBTAGMAbwBwAGUAMwBNAGEAcgBrAGUAdABCAGEAcwBlAGQAXwBWAGEAcgBpAGEAdABpAG8AbgBcAG4APQBMAEEATQBCAEQAQQAoACgAXAAiAFwAIgApACkAOwAiAH0ALAB7ACIAcABhAHQAaAAiADoAIgAvAHAAcgBvAGoAZQBjAHQAcwAvAEYAdQBlAGwAXwBFAHEAdQBhAHQAaQBvAG4AcwAiACwAIgB0AGUAeAB0ACIAOgAiAC8AKgBcAG4APQA9AD0APQA9AD0APQA9AD0APQA9AD0APQA9AD0APQA9AD0APQA9AD0APQA9AD0APQA9AD0APQA9AD0APQA9AD0APQA9AD0APQA9AFwAbgA4ADoAIABGAHUAZQBsACAAVQBzAGUAXABuAD0APQA9AD0APQA9AD0APQA9AD0APQA9AD0APQA9AD0APQA9AD0APQA9AD0APQA9AD0APQA9AD0APQA9AD0APQA9AD0APQA9AD0APQBcAG4AOAAuADEAIABGAHUAZQBsACAAVQBzAGUAIAAtACAAVAByAGEAbgBzAHAAbwByAHQAIABmAHUAZQBsAFwAbgA9AD0APQA9AD0APQA9AD0APQA9AD0APQA9AD0APQA9AD0APQA9AD0APQA9AD0APQA9AD0APQA9AD0APQA9AD0APQA9AD0APQA9AD0AXABuACoALwBcAG4AXABuAFwAbgBWAEUARQBSAEcAXwA4AF8ARgB1AGUAbABDAG8AbQBiAHUAcwB0AGkAbwBuAFwAbgAgACAAPQBMAEEATQBCAEQAQQAoAFwAbgAgACAAIAAgAFEALAAgAEUAQwAsACAARQBGACwAXABuACAAIAAgACAAKABRACAAKgAgAEUAQwAgACoAIABFAEYAKQAgACoAIAAxADAAIABeACAALQAgADMAXABuACAAIAApAFwAbgA7AFwAbgBcAG4ALwAqACAAXABuAC0ALQAtAC0ALQAtAC0ALQAtAC0ALQAtAC0ALQAtAC0ALQAtAC0ALQAtAC0ALQAtAC0ALQAtAC0ALQAtAC0ALQAtAC0ALQAtAC0ALQBcAG4AVgBFAEUAUgBHAF8AOABfADEAXwAxAF8AMQBfAF8AMQBfAEYAdQBlAGwAQwBvAG0AYgB1AHMAdABpAG8AbgBUAHIAYQBuAHMAcABvAHIAdABcAG4ARQBtAGkAcwBzAGkAbwBuAHMAIABmAG8AcgAgAGUAYQBjAGgAIABHAEgARwAgAGYAcgBvAG0AIAB0AGgAZQAgAGMAbwBtAGIAdQBzAHQAaQBvAG4AIABvAGYAIABmAHUAZQBsAHMAIABmAG8AcgAgAHQAcgBhAG4AcwBwAG8AcgB0ACAAZQBuAGUAcgBnAHkAIABwAHUAcgBwAG8AcwBlAHMAXABuAFEAIAA6ACAAQQBtAG8AdQBuAHQAIABvAGYAIABmAHUAZQBsACAAdAB5AHAAZQAgAHEAIABjAG8AbQBiAHUAcwB0AGUAZAAgAGYAbwByACAAdAByAGEAbgBzAHAAbwByAHQAIABlAG4AZQByAGcAeQAgAHAAdQByAHAAbwBzAGUAcwAgADoAIABrAEwAXABuAEUAQwAgADoAIABlAG4AZQByAGcAeQAgAGMAbwBuAHQAZQBuAHQAIABmAGEAYwB0AG8AcgAgAGYAbwByACAAdAByAGEAbgBzAHAAbwByAHQAIABlAG4AZQByAGcAeQAgAHAAdQByAHAAbwBzAGUAcwAgADoAIABHAEoALwBrAEwAXABuAEUARgAgADoAIABTAGMAbwBwAGUAIAAxACAAZQBtAGkAcwBzAGkAbwBuACAAZgBhAGMAdABvAHIAIABmAG8AcgAgAHQAcgBhAG4AcwBwAG8AcgB0ACAAZQBuAGUAcgBnAHkAIABwAHUAcgBwAG8AcwBlAHMAIABmAG8AcgAgAGUAYQBjAGgAIABnAHIAZQBlAG4AaABvAHUAcwBlACAAZwBhAHMAIAA6ACAAawBnACAAQwBPADIAZQAgAC8AIABHAEoAXABuAC0ALQAtAC0ALQAtAC0ALQAtAC0ALQAtAC0ALQAtAC0ALQAtAC0ALQAtAC0ALQAtAC0ALQAtAC0ALQAtAC0ALQAtAC0ALQAtAC0ALQBcAG4AKgAvAFwAbgBcAG4AXABuAFYARQBFAFIARwBfADgAXwAxAF8AMQBfADEAXwBfADEAXwBGAHUAZQBsAEMAbwBtAGIAdQBzAHQAaQBvAG4AVAByAGEAbgBzAHAAbwByAHQAXABuACAAIAA9AEwAQQBNAEIARABBACgAXABuACAAIAAgACAAUQBfAFQAcgBhAG4AcwB0AHEALAAgAEUAQwBfAFQAcgBhAG4AcwBxACwAIABFAEYAXwBUAHIAYQBuAHMAMQB0AHEAZwAsAFwAbgAgACAAIAAgAFYARQBFAFIARwBfADgAXwBGAHUAZQBsAEMAbwBtAGIAdQBzAHQAaQBvAG4AKABRAF8AVAByAGEAbgBzAHQAcQAsACAARQBDAF8AVAByAGEAbgBzAHEALAAgAEUARgBfAFQAcgBhAG4AcwAxAHQAcQBnACkAXABuACAAIAApAFwAbgA7AFwAbgBcAG4AVgBFAEUAUgBHAF8AOABfADEAXwAxAF8AMQBfAF8AMQBfAEYAdQBlAGwAQwBvAG0AYgB1AHMAdABpAG8AbgBUAHIAYQBuAHMAcABvAHIAdABfAFQAaQB0AGwAZQBcAG4AIAAgAD0ATABBAE0AQgBEAEEAKABcACIARQBtAGkAcwBzAGkAbwBuAHMAIABmAG8AcgAgAGUAYQBjAGgAIABHAEgARwAgAGYAcgBvAG0AIAB0AGgAZQAgAGMAbwBtAGIAdQBzAHQAaQBvAG4AIABvAGYAIABmAHUAZQBsAHMAIABmAG8AcgAgAHQAcgBhAG4AcwBwAG8AcgB0ACAAZQBuAGUAcgBnAHkAIABwAHUAcgBwAG8AcwBlAHMAXAAiACkAOwBcAG4AXABuAFYARQBFAFIARwBfADgAXwAxAF8AMQBfADEAXwBfADEAXwBGAHUAZQBsAEMAbwBtAGIAdQBzAHQAaQBvAG4AVAByAGEAbgBzAHAAbwByAHQAXwBWAGEAcgBpAGEAYgBsAGUAXABuACAAIAA9AEwAQQBNAEIARABBACgAXAAiAEUAXwBnAFwAIgApADsAXABuAFwAbgBWAEUARQBSAEcAXwA4AF8AMQBfADEAXwAxAF8AXwAxAF8ARgB1AGUAbABDAG8AbQBiAHUAcwB0AGkAbwBuAFQAcgBhAG4AcwBwAG8AcgB0AF8AVQBuAGkAdABcAG4AIAAgAD0ATABBAE0AQgBEAEEAKABcACIAdAAgAEMATwAyAC0AZQBcACIAKQA7AFwAbgBcAG4AVgBFAEUAUgBHAF8AOABfADEAXwAxAF8AMQBfAF8AMQBfAEYAdQBlAGwAQwBvAG0AYgB1AHMAdABpAG8AbgBUAHIAYQBuAHMAcABvAHIAdABfAFMAbwB1AHIAYwBlAFwAbgAgACAAPQBMAEEATQBCAEQAQQAoAFwAIgBWAEUARQBSAEcAIAAyADAAMgA2ADoAIAA4AC4AMQAuADEALgAxACwAIABFAHEAdQBhAHQAaQBvAG4AIAAoADEAKQBcACIAKQA7AFwAbgBcAG4AVgBFAEUAUgBHAF8AOABfADEAXwAxAF8AMQBfAF8AMQBfAEYAdQBlAGwAQwBvAG0AYgB1AHMAdABpAG8AbgBUAHIAYQBuAHMAcABvAHIAdABfAE4ASQBSAFIAZQBmAGUAcgBlAG4AYwBlAFwAbgAgACAAPQBMAEEATQBCAEQAQQAoAFwAIgBBAHUAcwB0AHIAYQBsAGkAYQBuACAATgBhAHQAaQBvAG4AYQBsACAARwByAGUAZQBuAGgAbwB1AHMAZQAgAEEAYwBjAG8AdQBuAHQAcwAgAEYAYQBjAHQAbwByAHMAIAAyADAAMgA1ACAALQAgADIALgAzACAARQBzAHQAaQBtAGEAdABpAG4AZwAgAGUAbQBpAHMAcwBpAG8AbgBzACAAZgByAG8AbQAgAHQAcgBhAG4AcwBwAG8AcgB0ACAAZgB1AGUAbABzAFwAIgApADsAXABuAFwAbgBWAEUARQBSAEcAXwA4AF8AMQBfADEAXwAxAF8AXwAxAF8ARgB1AGUAbABDAG8AbQBiAHUAcwB0AGkAbwBuAFQAcgBhAG4AcwBwAG8AcgB0AF8ATABhAHQAZQB4AEUAcQB1AGEAdABpAG8AbgBcAG4AIAAgAD0ATABBAE0AQgBEAEEAKABcACIARQBfAGcAPQBcAFwAcwB1AG0AXABcAG4AbwBsAGkAbQBpAHQAcwBfAHQAIABcAFwAcwB1AG0AXABcAG4AbwBsAGkAbQBpAHQAcwBfAHEAXABcAGwAZQBmAHQAKABRAF8AewBUAHIAYQBuAHMALAB0AHEAfQBcAFwAdABpAG0AZQBzACAARQBDAF8AewBUAHIAYQBuAHMALABxAH0AXABcAHQAaQBtAGUAcwAgAEUARgBfAHsAVAByAGEAbgBzACwAMQAsAHQAcQBnAH0AXABcAHIAaQBnAGgAdAApAFwAXAB0AGkAbQBlAHMAIAAxADAAXgB7AC0AMwB9AFwAIgApADsAXABuAFwAbgBWAEUARQBSAEcAXwA4AF8AMQBfADEAXwAxAF8AXwAxAF8ARgB1AGUAbABDAG8AbQBiAHUAcwB0AGkAbwBuAFQAcgBhAG4AcwBwAG8AcgB0AF8AQQByAGcAdQBtAGUAbgB0AHMAXABuACAAIAA9AEwAQQBNAEIARABBACgAXABuACAAIAAgACAATQBBAEsARQBBAFIAUgBBAFkAKAA3ACwAIAA0ACwAIABcAG4AIAAgACAAIAAgACAATABBAE0AQgBEAEEAKAByACwAYwAsACAAXABuACAAIAAgACAAIAAgACAAIABJAE4ARABFAFgAKAB7AFwAbgAgACAAIAAgACAAIAAgACAAIAAgAFwAIgBRAF8AVAByAGEAbgBzAHQAcQBcACIALAAgAFwAIgBBAG0AbwB1AG4AdAAgAG8AZgAgAGYAdQBlAGwAIAB0AHkAcABlACAAcQAgAGMAbwBtAGIAdQBzAHQAZQBkACAAZgBvAHIAIAB0AHIAYQBuAHMAcABvAHIAdAAgAGUAbgBlAHIAZwB5ACAAcAB1AHIAcABvAHMAZQBzAFwAIgAsACAAXAAiAFYAYQByAGkAZQBzACAAYgBhAHMAZQBkACAAbwBuACAAZgB1AGUAbAAgAHQAeQBwAGUAOgAgAGsATAAsACAAbQAzACwAIABHAEoAXAAiACwAIABcACIASQBuAHAAdQB0AFwAIgA7AFwAbgAgACAAIAAgACAAIAAgACAAIAAgAFwAIgBFAEMAXwBUAHIAYQBuAHMAcQBcACIALAAgAFwAIgBFAG4AZQByAGcAeQAgAGMAbwBuAHQAZQBuAHQAIABmAGEAYwB0AG8AcgAgAGYAbwByACAAdAByAGEAbgBzAHAAbwByAHQAIABlAG4AZQByAGcAeQAgAHAAdQByAHAAbwBzAGUAcwBcACIALAAgAFwAIgBHAEoAIAAvACAAdQBuAGkAdAAgAG8AZgAgAGYAdQBlAGwAXAAiACwAIABcACIAQwBvAG4AcwB0AGEAbgB0AFwAIgA7AFwAbgAgACAAIAAgACAAIAAgACAAIAAgAFwAIgBFAEYAXwBUAHIAYQBuAHMAMQB0AHEAZwBcACIALAAgAFwAIgBTAGMAbwBwAGUAIAAxACAAZQBtAGkAcwBzAGkAbwBuACAAZgBhAGMAdABvAHIAIABmAG8AcgAgAHQAcgBhAG4AcwBwAG8AcgB0ACAAZQBuAGUAcgBnAHkAIABwAHUAcgBwAG8AcwBlAHMAIABmAG8AcgAgAGUAYQBjAGgAIABnAHIAZQBlAG4AaABvAHUAcwBlACAAZwBhAHMAXAAiACwAIABcACIAawBnACAAQwBPADIAZQAgAC8AIABHAEoAXAAiACwAIABcACIAQwBvAG4AcwB0AGEAbgB0AFwAIgA7AFwAbgAgACAAIAAgACAAIAAgACAAIAAgAFwAIgBxAFwAIgAsACAAXAAiAEYAdQBlAGwAIAB0AHkAcABlAFwAIgAsACAAXAAiAFwAIgAsACAAXAAiAEMAbwBuAHMAdABhAG4AdABcACIAOwBcAG4AIAAgACAAIAAgACAAIAAgACAAIABcACIAVAByAGEAbgBzAFwAIgAsACAAXAAiAFQAcgBhAG4AcwBwAG8AcgB0ACAAYwBvAG0AYgB1AHMAdABpAG8AbgBcACIALAAgAFwAIgBcACIALAAgAFwAIgBDAG8AbgBzAHQAYQBuAHQAXAAiADsAXABuACAAIAAgACAAIAAgACAAIAAgACAAXAAiAGcAXAAiACwAIABcACIARwByAGUAZQBuAGgAbwB1AHMAZQAgAGcAYQBzAFwAIgAsACAAXAAiAFwAIgAsACAAXAAiAEMAbwBuAHMAdABhAG4AdABcACIAOwBcAG4AIAAgACAAIAAgACAAIAAgACAAIABcACIAMQBcACIALAAgAFwAIgBTAGMAbwBwAGUAIAAxAFwAIgAsACAAXAAiAFwAIgAsACAAXAAiAEMAbwBuAHMAdABhAG4AdABcACIAXABuACAAIAAgACAAIAAgACAAIAB9ACwAIAByACwAIABjACkAXABuACAAIAAgACAAIAAgACkAXABuACAAIAAgACAAKQBcAG4AIAAgACkAOwBcAG4AXABuAC8AKgAgAFwAbgAtAC0ALQAtAC0ALQAtAC0ALQAtAC0ALQAtAC0ALQAtAC0ALQAtAC0ALQAtAC0ALQAtAC0ALQAtAC0ALQAtAC0ALQAtAC0ALQAtAC0AXABuAFYARQBFAFIARwBfADgAXwAyAF8AMQBfADEAXwBfADEAXwBGAHUAZQBsAEMAbwBtAGIAdQBzAHQAaQBvAG4AUwB0AGEAdABpAG8AbgBhAHIAeQBcAG4ARQBtAGkAcwBzAGkAbwBuAHMAIABmAG8AcgAgAGUAYQBjAGgAIABHAEgARwAgAGYAcgBvAG0AIAB0AGgAZQAgAHMAdABhAHQAaQBvAG4AYQByAHkAIABjAG8AbQBiAHUAcwB0AGkAbwBuACAAbwBmACAAZgB1AGUAbABzAFwAbgBRACAAOgAgAEEAbQBvAHUAbgB0ACAAbwBmACAAZgB1AGUAbAAgAHQAeQBwAGUAIABxACAAdQBzAGUAZAAgAGYAbwByACAAcwB0AGEAdABpAG8AbgBhAHIAeQAgAGMAbwBtAGIAdQBzAHQAaQBvAG4AIABvAHAAZQByAGEAdABpAG8AbgBzACAAOgAgAGsATABcAG4ARQBDACAAOgAgAEUAbgBlAHIAZwB5ACAAYwBvAG4AdABlAG4AdAAgAGYAYQBjAHQAbwByACAAZgBvAHIAIABzAHQAYQB0AGkAbwBuAGEAcgB5ACAAYwBvAG0AYgB1AHMAdABpAG8AbgAgAG8AcABlAHIAYQB0AGkAbwBuAHMAIAA6ACAARwBKAC8AawBMAFwAbgBFAEYAIAA6ACAAUwBjAG8AcABlACAAMQAgAGUAbQBpAHMAcwBpAG8AbgAgAGYAYQBjAHQAbwByACAAZgBvAHIAIABzAHQAYQB0AGkAbwBuAGEAcgB5ACAAYwBvAG0AYgB1AHMAdABpAG8AbgAgAGYAbwByACAAZQBhAGMAaAAgAGcAcgBlAGUAbgBoAG8AdQBzAGUAIABnAGEAcwAgADoAIABrAGcAIABDAE8AMgBlACAALwAgAEcASgBcAG4ALQAtAC0ALQAtAC0ALQAtAC0ALQAtAC0ALQAtAC0ALQAtAC0ALQAtAC0ALQAtAC0ALQAtAC0ALQAtAC0ALQAtAC0ALQAtAC0ALQAtAFwAbgAqAC8AXABuAFwAbgBcAG4AVgBFAEUAUgBHAF8AOABfADIAXwAxAF8AMQBfAF8AMQBfAEYAdQBlAGwAQwBvAG0AYgB1AHMAdABpAG8AbgBTAHQAYQB0AGkAbwBuAGEAcgB5AFwAbgAgACAAPQBMAEEATQBCAEQAQQAoAFwAbgAgACAAIAAgAFEAXwBTAEMAcQAsACAARQBDAF8AUwBDAHEALAAgAEUARgBfAFMAQwAxAHEAZwAsAFwAbgAgACAAIAAgAFYARQBFAFIARwBfADgAXwBGAHUAZQBsAEMAbwBtAGIAdQBzAHQAaQBvAG4AKABRAF8AUwBDAHEALAAgAEUAQwBfAFMAQwBxACwAIABFAEYAXwBTAEMAMQBxAGcAKQBcAG4AIAAgACkAXABuADsAXABuAFwAbgBWAEUARQBSAEcAXwA4AF8AMgBfADEAXwAxAF8AXwAxAF8ARgB1AGUAbABDAG8AbQBiAHUAcwB0AGkAbwBuAFMAdABhAHQAaQBvAG4AYQByAHkAXwBUAGkAdABsAGUAXABuACAAIAA9AEwAQQBNAEIARABBACgAXAAiAEUAbQBpAHMAcwBpAG8AbgBzACAAZgBvAHIAIABlAGEAYwBoACAARwBIAEcAIABmAHIAbwBtACAAdABoAGUAIABzAHQAYQB0AGkAbwBuAGEAcgB5ACAAYwBvAG0AYgB1AHMAdABpAG8AbgAgAG8AZgAgAGYAdQBlAGwAcwBcACIAKQA7AFwAbgBcAG4AVgBFAEUAUgBHAF8AOABfADIAXwAxAF8AMQBfAF8AMQBfAEYAdQBlAGwAQwBvAG0AYgB1AHMAdABpAG8AbgBTAHQAYQB0AGkAbwBuAGEAcgB5AF8AVgBhAHIAaQBhAGIAbABlAFwAbgAgACAAPQBMAEEATQBCAEQAQQAoAFwAIgBFAF8AZwBcACIAKQA7AFwAbgBcAG4AVgBFAEUAUgBHAF8AOABfADIAXwAxAF8AMQBfAF8AMQBfAEYAdQBlAGwAQwBvAG0AYgB1AHMAdABpAG8AbgBTAHQAYQB0AGkAbwBuAGEAcgB5AF8AVQBuAGkAdABcAG4AIAAgAD0ATABBAE0AQgBEAEEAKABcACIAdAAgAEMATwAyAC0AZQBcACIAKQA7AFwAbgBcAG4AVgBFAEUAUgBHAF8AOABfADIAXwAxAF8AMQBfAF8AMQBfAEYAdQBlAGwAQwBvAG0AYgB1AHMAdABpAG8AbgBTAHQAYQB0AGkAbwBuAGEAcgB5AF8AUwBvAHUAcgBjAGUAXABuACAAIAA9AEwAQQBNAEIARABBACgAXAAiAFYARQBFAFIARwAgADIAMAAyADYAOgAgADgALgAyAC4AMQAuADEALAAgAEUAcQB1AGEAdABpAG8AbgAgACgAMQApAFwAIgApADsAXABuAFwAbgBWAEUARQBSAEcAXwA4AF8AMgBfADEAXwAxAF8AXwAxAF8ARgB1AGUAbABDAG8AbQBiAHUAcwB0AGkAbwBuAFMAdABhAHQAaQBvAG4AYQByAHkAXwBOAEkAUgBSAGUAZgBlAHIAZQBuAGMAZQBcAG4AIAAgAD0ATABBAE0AQgBEAEEAKABcACIAQQB1AHMAdAByAGEAbABpAGEAbgAgAE4AYQB0AGkAbwBuAGEAbAAgAEcAcgBlAGUAbgBoAG8AdQBzAGUAIABBAGMAYwBvAHUAbgB0AHMAIABGAGEAYwB0AG8AcgBzACAAMgAwADIANQAgAC0AIAAyAC4AMgAgAEUAcwB0AGkAbQBhAHQAaQBuAGcAIABlAG0AaQBzAHMAaQBvAG4AcwAgAGYAcgBvAG0AIABzAHQAYQB0AGkAbwBuAGEAcgB5ACAAZQBuAGUAcgBnAHkAIABzAG8AdQByAGMAZQBzACAALQAgAEMAYQBsAGMAdQBsAGEAdABpAG4AZwAgAGUAbQBpAHMAcwBpAG8AbgBzACAAZgByAG8AbQAgAHMAdABhAHQAaQBvAG4AYQByAHkAIABjAG8AbQBiAHUAcwB0AGkAbwBuACAAbwBmACAAbABpAHEAdQBpAGQAIABmAHUAZQBsAHMAXAAiACkAOwBcAG4AXABuAFYARQBFAFIARwBfADgAXwAyAF8AMQBfADEAXwBfADEAXwBGAHUAZQBsAEMAbwBtAGIAdQBzAHQAaQBvAG4AUwB0AGEAdABpAG8AbgBhAHIAeQBfAEwAYQB0AGUAeABFAHEAdQBhAHQAaQBvAG4AXABuACAAIAA9AEwAQQBNAEIARABBACgAXAAiAEUAXwBnAD0AXABcAHMAdQBtAFwAXABuAG8AbABpAG0AaQB0AHMAXwB0ACAAXABcAHMAdQBtAFwAXABuAG8AbABpAG0AaQB0AHMAXwBxAFwAXABsAGUAZgB0ACgAUQBfAHsAUwBDACwAcQB9AFwAXAB0AGkAbQBlAHMAIABFAEMAXwB7AFMAQwAsAHEAfQBcAFwAdABpAG0AZQBzACAARQBGAF8AewBTAEMALAAxACwAcQBnAH0AXABcAHIAaQBnAGgAdAApAFwAXAB0AGkAbQBlAHMAIAAxADAAXgB7AC0AMwB9AFwAIgApADsAXABuAFwAbgBWAEUARQBSAEcAXwA4AF8AMgBfADEAXwAxAF8AXwAxAF8ARgB1AGUAbABDAG8AbQBiAHUAcwB0AGkAbwBuAFMAdABhAHQAaQBvAG4AYQByAHkAXwBBAHIAZwB1AG0AZQBuAHQAcwBcAG4AIAAgAD0ATABBAE0AQgBEAEEAKABcAG4AIAAgACAAIABNAEEASwBFAEEAUgBSAEEAWQAoADcALAAgADQALAAgAFwAbgAgACAAIAAgACAAIABMAEEATQBCAEQAQQAoAHIALABjACwAIABcAG4AIAAgACAAIAAgACAAIAAgAEkATgBEAEUAWAAoAHsAXABuACAAIAAgACAAIAAgACAAIAAgACAAXAAiAFEAXwBTAEMAcQBcACIALAAgAFwAIgBBAG0AbwB1AG4AdAAgAG8AZgAgAGYAdQBlAGwAIAB0AHkAcABlACAAcQAgAHUAcwBlAGQAIABmAG8AcgAgAHMAdABhAHQAaQBvAG4AYQByAHkAIABjAG8AbQBiAHUAcwB0AGkAbwBuACAAbwBwAGUAcgBhAHQAaQBvAG4AcwBcACIALAAgAFwAIgBWAGEAcgBpAGUAcwAgAGIAYQBzAGUAZAAgAG8AbgAgAGYAdQBlAGwAIAB0AHkAcABlADoAIABrAEwALAAgAG0AMwAsACAARwBKAFwAIgAsACAAXAAiAEkAbgBwAHUAdABcACIAOwBcAG4AIAAgACAAIAAgACAAIAAgACAAIABcACIARQBDAF8AUwBDAHEAXAAiACwAIABcACIARQBuAGUAcgBnAHkAIABjAG8AbgB0AGUAbgB0ACAAZgBhAGMAdABvAHIAIABmAG8AcgAgAHMAdABhAHQAaQBvAG4AYQByAHkAIABjAG8AbQBiAHUAcwB0AGkAbwBuACAAbwBwAGUAcgBhAHQAaQBvAG4AcwBcACIALAAgAFwAIgBHAEoAIAAvACAAdQBuAGkAdAAgAG8AZgAgAGYAdQBlAGwAXAAiACwAIABcACIAQwBvAG4AcwB0AGEAbgB0AFwAIgA7AFwAbgAgACAAIAAgACAAIAAgACAAIAAgAFwAIgBFAEYAXwBTAEMAMQBxAGcAXAAiACwAIABcACIAUwBjAG8AcABlACAAMQAgAGUAbQBpAHMAcwBpAG8AbgAgAGYAYQBjAHQAbwByACAAZgBvAHIAIABzAHQAYQB0AGkAbwBuAGEAcgB5ACAAYwBvAG0AYgB1AHMAdABpAG8AbgAgAGYAbwByACAAZQBhAGMAaAAgAGcAcgBlAGUAbgBoAG8AdQBzAGUAIABnAGEAcwBcACIALAAgAFwAIgBrAGcAIABDAE8AMgBlACAALwAgAEcASgBcACIALAAgAFwAIgBDAG8AbgBzAHQAYQBuAHQAXAAiADsAXABuACAAIAAgACAAIAAgACAAIAAgACAAXAAiAHEAXAAiACwAIABcACIARgB1AGUAbAAgAHQAeQBwAGUAXAAiACwAIABcACIAXAAiACwAIABcACIAQwBvAG4AcwB0AGEAbgB0AFwAIgA7AFwAbgAgACAAIAAgACAAIAAgACAAIAAgAFwAIgBTAEMAXAAiACwAIABcACIAUwB0AGEAdABpAG8AbgBhAHIAeQAgAGMAbwBtAGIAdQBzAHQAaQBvAG4AXAAiACwAIABcACIAXAAiACwAIABcACIAQwBvAG4AcwB0AGEAbgB0AFwAIgA7AFwAbgAgACAAIAAgACAAIAAgACAAIAAgAFwAIgBnAFwAIgAsACAAXAAiAEcAcgBlAGUAbgBoAG8AdQBzAGUAIABnAGEAcwBcACIALAAgAFwAIgBcACIALAAgAFwAIgBDAG8AbgBzAHQAYQBuAHQAXAAiADsAXABuACAAIAAgACAAIAAgACAAIAAgACAAXAAiADEAXAAiACwAIABcACIAUwBjAG8AcABlACAAMQBcACIALAAgAFwAIgBcACIALAAgAFwAIgBDAG8AbgBzAHQAYQBuAHQAXAAiAFwAbgAgACAAIAAgACAAIAAgACAAfQAsACAAcgAsACAAYwApAFwAbgAgACAAIAAgACAAIAApAFwAbgAgACAAIAAgACkAXABuACAAIAApADsAXABuAFwAbgAiAH0ALAB7ACIAcABhAHQAaAAiADoAIgAvAHAAcgBvAGoAZQBjAHQAcwAvAEYAdQBlAGwAXwBJAG4AcAB1AHQARgB1AG4AYwB0AGkAbwBuAHMAIgAsACIAdABlAHgAdAAiADoAIgBGAHUAZQBsAF8ARwBlAHQAVAByAGEAbgBzAHAAbwByAHQARgB1AGUAbABTAHQAcgBpAG4AZwBcAG4APQBMAEEATQBCAEQAQQAoAFwAbgAgACAAIAAgAEMAZQBsAGwALABcAG4AIAAgACAAIABMAEUARgBUACgAQwBlAGwAbAAsACAARgBJAE4ARAAoAFwAIgAsACAAXAAiACwAQwBlAGwAbAApACAALQAxACkAXABuACkAOwBcAG4AXABuAEYAdQBlAGwAXwBHAGUAdABTAHQAYQB0AGkAbwBuAGEAcgB5AEYAdQBlAGwAUwB0AHIAaQBuAGcAXABuAD0ATABBAE0AQgBEAEEAKABcAG4AIAAgACAAIABDAGUAbABsACwAXABuACAAIAAgACAAUgBJAEcASABUACgAQwBlAGwAbAAsAEwARQBOACgAQwBlAGwAbAApAC0ARgBJAE4ARAAoAFwAIgAsACAAXAAiACwAQwBlAGwAbAApACkAXABuACkAOwBcAG4AXABuAEYAdQBlAGwAXwBUAG8AdABhAGwAQwBvAG4AcwB1AG0AcAB0AGkAbwBuAFwAbgA9ACAATABBAE0AQgBEAEEAKABcAG4AIAAgACAAIABGAHUAZQBsAEMAbwBuAHMAdQBtAHAAdABpAG8AbgBBAHIAcgBhAHkALAAgAEYAdQBlAGwAVQBzAGUAQQByAHIAYQB5ACwAIABGAHUAZQBsAFUAcwBlACwAIABGAHUAZQBsAFQAeQBwAGUAQQByAHIAYQB5ACwAIABGAHUAZQBsAFQAeQBwAGUALABcAG4AIAAgACAAIABJAEYARQBSAFIATwBSACgAXABuACAAIAAgACAAUwBVAE0AKABcAG4AIAAgACAAIAAgACAARgBJAEwAVABFAFIAKABcAG4AIAAgACAAIAAgACAAIAAgAEYAdQBlAGwAQwBvAG4AcwB1AG0AcAB0AGkAbwBuAEEAcgByAGEAeQAsAFwAbgAgACAAIAAgACAAIAAgACAAKABGAHUAZQBsAFQAeQBwAGUAQQByAHIAYQB5ACAAPQAgAEYAdQBlAGwAVAB5AHAAZQApACAAKgAgAFwAbgAgACAAIAAgACAAIAAgACAAKABGAHUAZQBsAFUAcwBlAEEAcgByAGEAeQAgAD0AIABGAHUAZQBsAFUAcwBlACkAXABuACAAIAAgACAAIAAgACkAXABuACAAIAAgACAAKQAsAFwAbgAgACAAIAAgADAAXABuACAAIAApAFwAbgApADsAIgB9ACwAewAiAHAAYQB0AGgAIgA6ACIALwBwAHIAbwBqAGUAYwB0AHMALwBGAHUAZQBsAF8AUwBvAHUAcgBjAGUARABhAHQAYQAiACwAIgB0AGUAeAB0ACIAOgAiAC8AKgBcAG4APQA9AD0APQA9AD0APQA9AD0APQA9AD0APQA9AD0APQA9AD0APQA9AD0APQA9AD0APQA9AD0APQA9AD0APQA9AD0APQA9AD0APQA9AD0APQA9AD0APQA9AD0APQA9AD0APQA9AD0APQA9AD0APQA9AD0APQA9AD0APQA9AD0APQA9AD0APQA9AD0APQA9AD0APQA9AD0APQBcAG4ARgB1AGUAbAAgAHMAYwBvAHAAZQAgADEAIABlAG0AaQBzAHMAaQBvAG4AIABmAGEAYwB0AG8AcgBzACAALQAgAFMAdABhAHQAaQBvAG4AYQByAHkAIABnAGEAcwBlAG8AdQBzACAAZgB1AGUAbABzAFwAbgA9AD0APQA9AD0APQA9AD0APQA9AD0APQA9AD0APQA9AD0APQA9AD0APQA9AD0APQA9AD0APQA9AD0APQA9AD0APQA9AD0APQA9AD0APQA9AD0APQA9AD0APQA9AD0APQA9AD0APQA9AD0APQA9AD0APQA9AD0APQA9AD0APQA9AD0APQA9AD0APQA9AD0APQA9AD0APQA9AFwAbgAqAC8AXABuAFwAbgBGAHUAZQBsAF8AUwBjAG8AcABlADEARQBtAGkAcwBzAGkAbwBuAEYAYQBjAHQAbwByAHMAUwB0AGEAdABpAG8AbgBhAHIAeQBHAGEAcwBlAG8AdQBzAF8AVABpAHQAbABlAFwAbgA9AEwAQQBNAEIARABBACgAKABcACIARgB1AGUAbAAgAHMAYwBvAHAAZQAgADEAIABlAG0AaQBzAHMAaQBvAG4AIABmAGEAYwB0AG8AcgBzACAALQAgAFMAdABhAHQAaQBvAG4AYQByAHkAIABnAGEAcwBlAG8AdQBzACAAZgB1AGUAbABzAFwAIgApACkAOwBcAG4AXABuAEYAdQBlAGwAXwBTAGMAbwBwAGUAMQBFAG0AaQBzAHMAaQBvAG4ARgBhAGMAdABvAHIAcwBTAHQAYQB0AGkAbwBuAGEAcgB5AEcAYQBzAGUAbwB1AHMAXwBEAGUAcwBjAHIAaQBwAHQAaQBvAG4AXABuAD0ATABBAE0AQgBEAEEAKAAoAFwAIgBEAGkAcgBlAGMAdAAgACgAUwBjAG8AcABlACAAMQApACAAZQBtAGkAcwBzAGkAbwBuACAAZgBhAGMAdABvAHIAcwAgAGYAbwByACAAdABoAGUAIABjAG8AbgBzAHUAbQBwAHQAaQBvAG4AIABvAGYAIABnAGEAcwBlAG8AdQBzACAAZgB1AGUAbABzACAAaQBuAGMAbAB1AGQAaQBuAGcAIABsAGkAcQB1AGUAZgBpAGUAZAAgAG4AYQB0AHUAcgBhAGwAIABnAGEAcwAgACAAXAAiACkAKQA7AFwAbgBcAG4ARgB1AGUAbABfAFMAYwBvAHAAZQAxAEUAbQBpAHMAcwBpAG8AbgBGAGEAYwB0AG8AcgBzAFMAdABhAHQAaQBvAG4AYQByAHkARwBhAHMAZQBvAHUAcwBfAFMAbwB1AHIAYwBlAFwAbgA9AEwAQQBNAEIARABBACgAKABcACIAQQB1AHMAdAByAGEAbABpAGEAbgAgAE4AYQB0AGkAbwBuAGEAbAAgAEcAcgBlAGUAbgBoAG8AdQBzAGUAIABBAGMAYwBvAHUAbgB0AHMAIABGAGEAYwB0AG8AcgBzACAAMgAwADIANQAgAC0AIABUAGEAYgBsAGUAIAA1AFwAIgApACkAOwBcAG4AXABuAEYAdQBlAGwAXwBTAGMAbwBwAGUAMQBFAG0AaQBzAHMAaQBvAG4ARgBhAGMAdABvAHIAcwBTAHQAYQB0AGkAbwBuAGEAcgB5AEcAYQBzAGUAbwB1AHMAXwBEAGEAdABhAFwAbgA9AEwAQQBNAEIARABBACgAXABuACAAIABNAEEASwBFAEEAUgBSAEEAWQAoADEAOQAsACAANwAsAFwAbgAgACAAIAAgAEwAQQBNAEIARABBACgAcgAsAGMALABcAG4AIAAgACAAIAAgACAASQBOAEQARQBYACgAewBcAG4AIAAgACAAIAAgACAAIAAgAFwAIgBGAHUAZQBsACAAYwBvAG0AYgB1AHMAdABlAGQAXAAiACwAIABcACIARQBuAGUAcgBnAHkAIABDAG8AbgB0AGUAbgB0ACAARgBhAGMAdABvAHIAIAAoAEcASgAgAHAAZQByACAAdQBuAGkAdAAgAG8AZgAgAGYAdQBlAGwAKQBcACIALAAgAFwAIgBGAHUAZQBsACAAdQBuAGkAdABcACIALAAgAFwAIgBTAGMAbwBwAGUAIAAxACAARQBtAGkAcwBzAGkAbwBuACAARgBhAGMAdABvAHIAIAAoAGsAZwAgAEMATwAyACAALQAgAGUAIAAvACAARwBKACkAIABDAE8AMgBcACIALAAgAFwAIgBTAGMAbwBwAGUAIAAxACAARQBtAGkAcwBzAGkAbwBuACAARgBhAGMAdABvAHIAIAAoAGsAZwAgAEMATwAyACAALQAgAGUAIAAvACAARwBKACkAIABDAEgANABcACIALAAgAFwAIgBTAGMAbwBwAGUAIAAxACAARQBtAGkAcwBzAGkAbwBuACAARgBhAGMAdABvAHIAIAAoAGsAZwAgAEMATwAyACAALQAgAGUAIAAvACAARwBKACkAIABOADIATwBcACIALAAgAFwAIgBTAGMAbwBwAGUAIAAxACAARQBtAGkAcwBzAGkAbwBuACAARgBhAGMAdABvAHIAIAAoAGsAZwAgAEMATwAyACAALQAgAGUAIAAvACAARwBKACkAIABDAG8AbQBiAGkAbgBlAGQAIABnAGEAcwBlAHMAXAAiADsAXABuACAAIAAgACAAIAAgACAAIABcACIATgBhAHQAdQByAGEAbAAgAGcAYQBzACAAZABpAHMAdAByAGkAYgB1AHQAZQBkACAAaQBuACAAYQAgAHAAaQBwAGUAbABpAG4AZQBcACIALAAgADAALgAwADMAOQAzACwAIABcACIAbQAzAFwAIgAsACAANQAxAC4ANAAsACAAMAAuADEALAAgADAALgAwADMALAAgADUAMQAuADUAMwA7AFwAbgAgACAAIAAgACAAIAAgACAAXAAiAEMAbwBhAGwAIABzAGUAYQBtACAAbQBlAHQAaABhAG4AZQAgAHQAaABhAHQAIABpAHMAIABjAGEAcAB0AHUAcgBlAGQAIABmAG8AcgAgAGMAbwBtAGIAdQBzAHQAaQBvAG4AXAAiACwAIAAwAC4AMAAzADcANwAsACAAXAAiAG0AMwBcACIALAAgADUAMQAuADQALAAgADAALgAyACwAIAAwAC4AMAAzACwAIAA1ADEALgA2ADMAOwBcAG4AIAAgACAAIAAgACAAIAAgAFwAIgBDAG8AYQBsACAAbQBpAG4AZQAgAHcAYQBzAHQAZQAgAGcAYQBzACAAdABoAGEAdAAgAGkAcwAgAGMAYQBwAHQAdQByAGUAZAAgAGYAbwByACAAYwBvAG0AYgB1AHMAdABpAG8AbgBcACIALAAgADAALgAwADMANwA3ACwAIABcACIAbQAzAFwAIgAsACAANQAxAC4AOQAsACAANAAuADYALAAgADAALgAzACwAIAA1ADYALgA4ADsAXABuACAAIAAgACAAIAAgACAAIABcACIAQwBvAG0AcAByAGUAcwBzAGUAZAAgAG4AYQB0AHUAcgBhAGwAIABnAGEAcwAoAHIAZQB2AGUAcgB0AGkAbgBnACAAdABvACAAcwB0AGEAbgBkAGEAcgBkACAAYwBvAG4AZABpAHQAaQBvAG4AcwApAFwAIgAsACAAMAAuADAAMwA5ADMALAAgAFwAIgBtADMAXAAiACwAIAA1ADEALgA0ACwAIAAwAC4AMQAsACAAMAAuADAAMwAsACAANQAxAC4ANQAzADsAXABuACAAIAAgACAAIAAgACAAIABcACIAVQBuAHAAcgBvAGMAZQBzAHMAZQBkACAAbgBhAHQAdQByAGEAbAAgAGcAYQBzAFwAIgAsACAAMAAuADAAMwA5ADMALAAgAFwAIgBtADMAXAAiACwAIAA1ADEALgA0ACwAIAAwAC4AMQAsACAAMAAuADAAMwAsACAANQAxAC4ANQAzADsAXABuACAAIAAgACAAIAAgACAAIABcACIARQB0AGgAYQBuAGUAXAAiACwAIAAwAC4AMAA2ADIAOQAsACAAXAAiAG0AMwBcACIALAAgADUANgAuADUALAAgADAALgAwADMALAAgADAALgAwADMALAAgADUANgAuADUANgA7AFwAbgAgACAAIAAgACAAIAAgACAAXAAiAEMAbwBrAGUAIABvAHYAZQBuACAAZwBhAHMAXAAiACwAIAAwAC4AMAAxADgAMQAsACAAXAAiAG0AMwBcACIALAAgADMANwAuADAALAAgADAALgAwADMALAAgADAALgAwADUALAAgADMANwAuADAAOAA7AFwAbgAgACAAIAAgACAAIAAgACAAXAAiAEIAbABhAHMAdAAgAGYAdQByAG4AYQBjAGUAIABnAGEAcwBcACIALAAgADAALgAwADAANAAwACwAIABcACIAbQAzAFwAIgAsACAAMgAzADQALgAwACwAIAAwAC4AMAAzACwAIAAwAC4AMAAyACwAIAAyADMANAAuADAANQA7AFwAbgAgACAAIAAgACAAIAAgACAAXAAiAFQAbwB3AG4AIABnAGEAcwBcACIALAAgADAALgAwADMAOQAwACwAIABcACIAbQAzAFwAIgAsACAANgAwAC4AMgAsACAAMAAuADAANAAsACAAMAAuADAAMwAsACAANgAwAC4AMgA3ADsAXABuACAAIAAgACAAIAAgACAAIABcACIATABpAHEAdQBlAGYAaQBlAGQAIABuAGEAdAB1AHIAYQBsACAAZwBhAHMAXAAiACwAIAAyADUALgAzACwAIABcACIAawBMAFwAIgAsACAANQAxAC4ANAAsACAAMAAuADEALAAgADAALgAwADMALAAgADUAMQAuADUAMwA7AFwAbgAgACAAIAAgACAAIAAgACAAXAAiAEcAYQBzAGUAbwB1AHMAIABmAG8AcwBzAGkAbAAgAGYAdQBlAGwAcwAgAG8AdABoAGUAcgAgAHQAaABhAG4AIAB0AGgAbwBzAGUAIABtAGUAbgB0AGkAbwBuAGUAZAAgAGkAbgAgAHQAaABlACAAaQB0AGUAbQBzACAAYQBiAG8AdgBlAFwAIgAsACAAMAAuADAAMwA5ADAALAAgAFwAIgBtADMAXAAiACwAIAA1ADEALgA0ACwAIAAwAC4AMQAsACAAMAAuADAAMwAsACAANQAxAC4ANQAzADsAXABuACAAIAAgACAAIAAgACAAIABcACIATABhAG4AZABmAGkAbABsACAAYgBpAG8AZwBhAHMAIAB0AGgAYQB0ACAAaQBzACAAYwBhAHAAdAB1AHIAZQBkACAAZgBvAHIAIABjAG8AbQBiAHUAcwB0AGkAbwBuACAAKABtAGUAdABoAGEAbgBlACAAbwBuAGwAeQApAFwAIgAsACAAMAAuADAAMwA3ADcALAAgAFwAIgBtADMAXAAiACwAIAAwAC4AMAAsACAANgAuADQALAAgADAALgAwADMALAAgADYALgA0ADMAOwBcAG4AIAAgACAAIAAgACAAIAAgAFwAIgBTAGwAdQBkAGcAZQAgAGIAaQBvAGcAYQBzACAAdABoAGEAdAAgAGkAcwAgAGMAYQBwAHQAdQByAGUAZAAgAGYAbwByACAAYwBvAG0AYgB1AHMAdABpAG8AbgAgACgAbQBlAHQAaABhAG4AZQAgAG8AbgBsAHkAKQBcACIALAAgADAALgAwADMANwA3ACwAIABcACIAbQAzAFwAIgAsACAAMAAuADAALAAgADYALgA0ACwAIAAwAC4AMAAzACwAIAA2AC4ANAAzADsAXABuACAAIAAgACAAIAAgACAAIABcACIAQQAgAGIAaQBvAGcAYQBzACAAdABoAGEAdAAgAGkAcwAgAGMAYQBwAHQAdQByAGUAZAAgAGYAbwByACAAYwBvAG0AYgB1AHMAdABpAG8AbgAsACAAbwB0AGgAZQByACAAdABoAGEAbgAgAHQAaABvAHMAZQAgAG0AZQBuAHQAaQBvAG4AZQBkACAAaQBuACAAdABoAGUAIABpAHQAZQBtAHMAIABhAGIAbwB2AGUAXAAiACwAIAAwAC4AMAAzADcAMAAsACAAXAAiAG0AMwBcACIALAAgADAALgAwACwAIAA2AC4ANAAsACAAMAAuADAAMwAsACAANgAuADQAMwA7AFwAbgAgACAAIAAgACAAIAAgACAAXAAiAEIAaQBvAG0AZQB0AGgAYQBuAGUAXAAiACwAIAAwAC4AMAAzADkAMwAsACAAXAAiAG0AMwBcACIALAAgADAALgAwACwAIAAwAC4AMQAsACAAMAAuADAAMwAsACAAMAAuADEAMwA7AFwAbgAgACAAIAAgACAAIAAgACAAXAAiAEgAeQBkAHIAbwBnAGUAbgBcACIALAAgADAALgAwADEAMgAyACwAIABcACIAbQAzAFwAIgAsACAAMAAuADAALAAgADAALgAwACwAIAAwAC4ANQAsACAAMAAuADUAOwBcAG4AIAAgACAAIAAgACAAIAAgAFwAIgBOAGEAdAB1AHIAYQBsACAAZwBhAHMAIABkAGkAcwB0AHIAaQBiAHUAdABlAGQAIABpAG4AIABhACAAcABpAHAAZQBsAGkAbgBlACAALQAgAEcAaQBnAGEAagBvAHUAbABlAHMAXAAiACwAIAAxACwAIABcACIARwBKAFwAIgAsACAANQAxAC4ANAAsACAAMAAuADEALAAgADAALgAwADMALAAgADUAMQAuADUAMwA7AFwAbgAgACAAIAAgACAAIAAgACAAXAAiAFQAbwB3AG4AIABnAGEAcwAgAC0AIABHAGkAZwBhAGoAbwB1AGwAZQBzAFwAIgAsACAAMQAsACAAXAAiAEcASgBcACIALAAgADYAMAAuADIALAAgADAALgAwADQALAAgADAALgAwADMALAAgADYAMAAuADIANwBcAG4AIAAgACAAIAAgACAAfQAsACAAcgAsACAAYwApAFwAbgApACkAKQA7AFwAbgBcAG4ARgB1AGUAbABfAFMAYwBvAHAAZQAxAEUAbQBpAHMAcwBpAG8AbgBGAGEAYwB0AG8AcgBzAFMAdABhAHQAaQBvAG4AYQByAHkARwBhAHMAZQBvAHUAcwBfAFYAYQByAGkAYQB0AGkAbwBuAFwAbgA9AEwAQQBNAEIARABBACgAKABcACIAVgBBAFIASQBBAFQASQBPAE4AIABPAEYAIABTAE8AVQBSAEMARQAgAEQAQQBUAEEAOgAgAFwAdQAwADAAMgA3AE4AYQB0AHUAcgBhAGwAIABnAGEAcwAgAGQAaQBzAHQAcgBpAGIAdQB0AGUAZAAgAGkAbgAgAGEAIABwAGkAcABlAGwAaQBuAGUAIAAtACAARwBpAGcAYQBqAG8AdQBsAGUAcwBcAHUAMAAwADIANwAgAGEAbgBkACAAXAB1ADAAMAAyADcAVABvAHcAbgAgAGcAYQBzACAALQAgAEcAaQBnAGEAagBvAHUAbABlAHMAXAB1ADAAMAAyADcAIAB3AGUAcgBlACAAYQBkAGQAZQBkACwAIABlAGEAYwBoACAAdwBpAHQAaAAgAGEAbgAgAGUAbgBlAHIAZwB5ACAAYwBvAG4AdABlAG4AdAAgAGYAYQBjAHQAbwByACAAbwBmACAAMQAgAEcASgAgAHAAZQByACAAdQBuAGkAdAAgAG8AZgAgAGYAdQBlAGwALgAgAFQAaABpAHMAIABpAHMAIABmAG8AcgAgAHUAcwBlAHIAcwAgAHcAaABvACAAaABhAHYAZQAgAGYAdQBlAGwAIABjAG8AbgBzAHUAbQBwAHQAaQBvAG4AIABkAGEAdABhACAAaQBuACAARwBKACAAcgBhAHQAaABlAHIAIAB0AGgAYQBuACAAbQAzAC4AXAAiACkAKQA7AFwAbgBcAG4AXABuAC8AKgBcAG4APQA9AD0APQA9AD0APQA9AD0APQA9AD0APQA9AD0APQA9AD0APQA9AD0APQA9AD0APQA9AD0APQA9AD0APQA9AD0APQA9AD0APQA9AD0APQA9AD0APQA9AD0APQA9AD0APQA9AD0APQA9AD0APQA9AD0APQA9AD0APQA9AD0APQA9AD0APQA9AD0APQA9AD0APQA9AD0APQBcAG4ARgB1AGUAbAAgAHMAYwBvAHAAZQAgADMAIABlAG0AaQBzAHMAaQBvAG4AIABmAGEAYwB0AG8AcgBzACAALQAgAFMAdABhAHQAaQBvAG4AYQByAHkAIABnAGEAcwBlAG8AdQBzACAAZgB1AGUAbABzAFwAbgA9AD0APQA9AD0APQA9AD0APQA9AD0APQA9AD0APQA9AD0APQA9AD0APQA9AD0APQA9AD0APQA9AD0APQA9AD0APQA9AD0APQA9AD0APQA9AD0APQA9AD0APQA9AD0APQA9AD0APQA9AD0APQA9AD0APQA9AD0APQA9AD0APQA9AD0APQA9AD0APQA9AD0APQA9AD0APQA9AFwAbgAqAC8AXABuAFwAbgBGAHUAZQBsAF8AUwBjAG8AcABlADMARQBtAGkAcwBzAGkAbwBuAEYAYQBjAHQAbwByAHMAUwB0AGEAdABpAG8AbgBhAHIAeQBHAGEAcwBlAG8AdQBzAF8AVABpAHQAbABlAFwAbgA9AEwAQQBNAEIARABBACgAKABcACIARgB1AGUAbAAgAHMAYwBvAHAAZQAgADMAIABlAG0AaQBzAHMAaQBvAG4AIABmAGEAYwB0AG8AcgBzACAALQAgAFMAdABhAHQAaQBvAG4AYQByAHkAIABnAGEAcwBlAG8AdQBzACAAZgB1AGUAbABzAFwAIgApACkAOwBcAG4AXABuAEYAdQBlAGwAXwBTAGMAbwBwAGUAMwBFAG0AaQBzAHMAaQBvAG4ARgBhAGMAdABvAHIAcwBTAHQAYQB0AGkAbwBuAGEAcgB5AEcAYQBzAGUAbwB1AHMAXwBEAGUAcwBjAHIAaQBwAHQAaQBvAG4AXABuAD0ATABBAE0AQgBEAEEAKAAoAFwAIgBJAG4AZABpAHIAZQBjAHQAIAAoAFMAYwBvAHAAZQAgADMAKQAgAGUAbQBpAHMAcwBpAG8AbgAgAGYAYQBjAHQAbwByAHMAIABmAG8AcgAgAHQAaABlACAAYwBvAG4AcwB1AG0AcAB0AGkAbwBuACAAbwBmACAAbgBhAHQAdQByAGEAbAAgAGcAYQBzAC4AXAAiACkAKQA7AFwAbgBcAG4ARgB1AGUAbABfAFMAYwBvAHAAZQAzAEUAbQBpAHMAcwBpAG8AbgBGAGEAYwB0AG8AcgBzAFMAdABhAHQAaQBvAG4AYQByAHkARwBhAHMAZQBvAHUAcwBfAFMAbwB1AHIAYwBlAFwAbgA9AEwAQQBNAEIARABBACgAKABcACIAQQB1AHMAdAByAGEAbABpAGEAbgAgAE4AYQB0AGkAbwBuAGEAbAAgAEcAcgBlAGUAbgBoAG8AdQBzAGUAIABBAGMAYwBvAHUAbgB0AHMAIABGAGEAYwB0AG8AcgBzACAAMgAwADIANQAgAC0AIABUAGEAYgBsAGUAIAA2AFwAIgApACkAOwBcAG4AXABuAEYAdQBlAGwAXwBTAGMAbwBwAGUAMwBFAG0AaQBzAHMAaQBvAG4ARgBhAGMAdABvAHIAcwBTAHQAYQB0AGkAbwBuAGEAcgB5AEcAYQBzAGUAbwB1AHMAXwBEAGEAdABhAFwAbgA9AEwAQQBNAEIARABBACgAXABuACAAIABNAEEASwBFAEEAUgBSAEEAWQAoADkALAAgADMALABcAG4AIAAgACAAIABMAEEATQBCAEQAQQAoAHIALABjACwAXABuACAAIAAgACAAIAAgAEkATgBEAEUAWAAoAHsAXABuACAAIAAgACAAIAAgACAAIABcACIAUwB0AGEAdABlACAAbwByACAAdABlAHIAcgBpAHQAbwByAHkAXAAiACwAIABcACIAUwBjAG8AcABlACAAMwAgAEUAbQBpAHMAcwBpAG8AbgAgAEYAYQBjAHQAbwByAHMAIABmAG8AcgAgAE4AYQB0AHUAcgBhAGwAIABHAGEAcwAgACgAawBnACAAQwBPADIAIAAtACAAZQAgAC8AIABHAEoAKQAgAE0AZQB0AHIAbwBcACIALAAgAFwAIgBTAGMAbwBwAGUAIAAzACAARQBtAGkAcwBzAGkAbwBuACAARgBhAGMAdABvAHIAcwAgAGYAbwByACAATgBhAHQAdQByAGEAbAAgAEcAYQBzACAAKABrAGcAIABDAE8AMgAgAC0AIABlACAALwAgAEcASgApACAATgBvAG4AIAAtACAATQBlAHQAcgBvAFwAIgA7AFwAbgAgACAAIAAgACAAIAAgACAAXAAiAE4AZQB3ACAAUwBvAHUAdABoACAAVwBhAGwAZQBzAFwAIgAsACAAMQAzAC4AMQAsACAAMQA0AC4AMAA7AFwAbgAgACAAIAAgACAAIAAgACAAXAAiAEEAQwBUAFwAIgAsACAAMQAzAC4AMQAsACAAMQA0AC4AMAA7AFwAbgAgACAAIAAgACAAIAAgACAAXAAiAFYAaQBjAHQAbwByAGkAYQBcACIALAAgADQALgAwACwAIAA0AC4AMAA7AFwAbgAgACAAIAAgACAAIAAgACAAXAAiAFEAdQBlAGUAbgBzAGwAYQBuAGQAXAAiACwAIAA4AC4AOAAsACAANwAuADkAOwBcAG4AIAAgACAAIAAgACAAIAAgAFwAIgBTAG8AdQB0AGgAIABBAHUAcwB0AHIAYQBsAGkAYQBcACIALAAgADEAMAAuADcALAAgADEAMAAuADYAOwBcAG4AIAAgACAAIAAgACAAIAAgAFwAIgBXAGUAcwB0AGUAcgBuACAAQQB1AHMAdAByAGEAbABpAGEAXAAiACwAIAA0AC4AMQAsACAANAAuADAAOwBcAG4AIAAgACAAIAAgACAAIAAgAFwAIgBUAGEAcwBtAGEAbgBpAGEAXAAiACwAIAA0AC4AMAAsACAANAAuADAAOwBcAG4AIAAgACAAIAAgACAAIAAgAFwAIgBOAG8AcgB0AGgAZQByAG4AIABUAGUAcgByAGkAdABvAHIAeQBcACIALAAgADQALgAxACwAIAA0AC4AMABcAG4AIAAgACAAIAAgACAAfQAsACAAcgAsACAAYwApAFwAbgApACkAKQA7AFwAbgBcAG4ARgB1AGUAbABfAFMAYwBvAHAAZQAzAEUAbQBpAHMAcwBpAG8AbgBGAGEAYwB0AG8AcgBzAFMAdABhAHQAaQBvAG4AYQByAHkARwBhAHMAZQBvAHUAcwBfAFYAYQByAGkAYQB0AGkAbwBuAFwAbgA9AEwAQQBNAEIARABBACgAKABcACIAVgBBAFIASQBBAFQASQBPAE4AIABPAEYAIABTAE8AVQBSAEMARQAgAEQAQQBUAEEAOgAgAE4AUwBXACAAYQBuAGQAIABBAEMAVAAgAHMAcABsAGkAdAAgAGkAbgB0AG8AIABzAGUAcABhAHIAYQB0AGUAIAByAG8AdwBzAC4AIABcAHUAMAAwADIANwBDAFwAdQAwADAAMgA3ACAAVgBhAGwAdQBlAHMAIABmAG8AcgAgAFQAYQBzAG0AYQBuAGkAYQAgAGEAbgBkACAATgBvAHIAdABoAGUAcgBuACAAVABlAHIAcgBpAHQAbwByAHkAIAByAGUAcABsAGEAYwBlAGQAIAB3AGkAdABoACAAdABoAG8AcwBlACAAZgBvAHIAIABWAGkAYwB0AG8AcgBpAGEAIABhAG4AZAAgAFcAZQBzAHQAZQByAG4AIABBAHUAcwB0AHIAYQBsAGkAYQAgAHIAZQBzAHAAZQBjAHQAaQB2AGUAbAB5AC4AIAAoAFMAZQBlACAAYQBwAHAAZQBuAGQAaQBjAGUAcwApAFwAIgApACkAOwBcAG4AXABuAEYAdQBlAGwAXwBTAGMAbwBwAGUAMwBFAG0AaQBzAHMAaQBvAG4ARgBhAGMAdABvAHIAcwBTAHQAYQB0AGkAbwBuAGEAcgB5AEcAYQBzAGUAbwB1AHMAXwBBAHAAcABlAG4AZABpAGMAZQBzAFwAbgA9AEwAQQBNAEIARABBACgAXABuACAAIABNAEEASwBFAEEAUgBSAEEAWQAoADEAMgAsACAAMgAsAFwAbgAgACAAIAAgAEwAQQBNAEIARABBACgAcgAsAGMALABcAG4AIAAgACAAIAAgACAASQBOAEQARQBYACgAewBcAG4AIAAgACAAIAAgACAAIAAgAFwAIgAtAFwAIgAsACAAXAAiAEEAcwAgAFMAYwBvAHAAZQAgADMAIABmAGEAYwB0AG8AcgBzACAAYQByAGUAIABjAGEAbABjAHUAbABhAHQAZQBkACAAYQB0ACAAdABoAGUAIABwAG8AaQBuAHQAIAB3AGgAZQByAGUAIABuAGEAdAB1AHIAYQBsACAAZwBhAHMAIABpAHMAIABkAGUAbABpAHYAZQByAGUAZAAgAHQAbwAgAGUAbgBkACAAdQBzAGUAcgBzACwAIABpAHQAIABpAHMAIABuAGUAYwBlAHMAcwBhAHIAeQAgAHQAbwAgAGMAYQBsAGMAdQBsAGEAdABlACAAYwBvAG4AcwB1AG0AcAB0AGkAbwBuACAAYQB0ACAAZQBhAGMAaAAgAG8AZgAgAHQAaABlACAAbABvAGEAZAAgAGMAZQBuAHQAcgBlAHMALgBcACIAOwBcAG4AIAAgACAAIAAgACAAIAAgAFwAIgBcACIALAAgAFwAIgBHAGEAcwAgAHIAZQBhAGMAaABlAHMAIABlAG4AZAAgAHUAcwBlAHIAcwAgAGUAaQB0AGgAZQByACAAZgByAG8AbQAgAHQAaABlACAAbQBlAHQAcgBvACAAZABpAHMAdAByAGkAYgB1AHQAaQBvAG4AIABuAGUAdAB3AG8AcgBrAHMAIABvAHIAIABkAGkAcgBlAGMAdAAgAGYAcgBvAG0AIAB0AGgAZQAgAGgAaQBnAGgAIAAtACAAcAByAGUAcwBzAHUAcgBlACAAZABpAHMAdAByAGkAYgB1AHQAaQBvAG4AIABwAGkAcABlAGwAaQBuAGUAcwAuAFwAIgA7AFwAbgAgACAAIAAgACAAIAAgACAAXAAiAFwAIgAsACAAXAAiAEgAbwB1AHMAZQBoAG8AbABkAHMAIABhAG4AZAAgAGMAbwBtAG0AZQByAGMAaQBhAGwAIAB1AHMAZQByAHMAIAB0AGUAbgBkACAAdABvACAAYgBlACAAcwBlAHIAdgBlAGQAIABiAHkAIAB0AGgAZQAgAGYAbwByAG0AZQByACwAIABhAG4AZAAgAGUAbABlAGMAdAByAGkAYwBpAHQAeQAgAGcAZQBuAGUAcgBhAHQAbwByAHMAIABhAG4AZAAgAGwAYQByAGcAZQAgAGkAbgBkAHUAcwB0AHIAaQBhAGwAIABwAGwAYQBuAHQAcwAgAGYAcgBvAG0AIAB0AGgAZQAgAGwAYQB0AHQAZQByAC4AXAAiADsAXABuACAAIAAgACAAIAAgACAAIABcACIALQBcACIALAAgAFwAIgBNAGUAdAByAG8AIABpAHMAIABkAGUAZgBpAG4AZQBkACAAYQBzACAAbABvAGMAYQB0AGUAZAAgAG8AbgAgAG8AcgAgAGUAYQBzAHQAIABvAGYAIAB0AGgAZQAgAGQAaQB2AGkAZABpAG4AZwAgAHIAYQBuAGcAZQAgAGkAbgAgAE4AUwBXACwAIABpAG4AYwBsAHUAZABpAG4AZwAgAEMAYQBuAGIAZQByAHIAYQAgAGEAbgBkACAAUQB1AGUAYQBuAGIAZQB5AGEAbgAsACAATQBlAGwAYgBvAHUAcgBuAGUALAAgAEIAcgBpAHMAYgBhAG4AZQAsACAAQQBkAGUAbABhAGkAZABlACAAbwByACAAUABlAHIAdABoAC4AXAAiADsAXABuACAAIAAgACAAIAAgACAAIABcACIAXAAiACwAIABcACIATwB0AGgAZQByAHcAaQBzAGUALAAgAHQAaABlACAAbgBvAG4AIAAtACAAbQBlAHQAcgBvACAAZgBhAGMAdABvAHIAIABzAGgAbwB1AGwAZAAgAGIAZQAgAHUAcwBlAGQALgBcACIAOwBcAG4AIAAgACAAIAAgACAAIAAgAFwAIgAtAFwAIgAsACAAXAAiAEYAYQBjAHQAbwByAHMAIABhAHIAZQAgAGMAYQBsAGMAdQBsAGEAdABlAGQAIABmAG8AcgAgAGEAbABsACAAbgBhAHQAdQByAGEAbAAgAGcAYQBzACAAZABpAHMAdAByAGkAYgB1AHQAZQBkACAAaQBuACAAYQAgAHAAaQBwAGUAbABpAG4AZQAgAHcAaABpAGMAaAAgAG0AYQB5ACAAaQBuAGMAbAB1AGQAZQAgAGMAbwBhAGwAIABzAGUAYQBtACAAbQBlAHQAaABhAG4AZQAuAFwAIgA7AFwAbgAgACAAIAAgACAAIAAgACAAXAAiAC0AXAAiACwAIABcACIAVABhAGIAbABlACAANgAgAGkAcwAgAG4AbwB0ACAAYQBwAHAAbABpAGMAYQBiAGwAZQAgAHQAbwAgAGUAdABoAGEAbgBlAC4AIABTAGUAZQAgAFQAYQBiAGwAZQAgADcAIABJAG4AZABpAHIAZQBjAHQAIAAoAFMAYwBvAHAAZQAgADMAKQAgAGUAbQBpAHMAcwBpAG8AbgBzACAAZgByAG8AbQAgAHQAaABlACAAYwBvAG4AcwB1AG0AcAB0AGkAbwBuACAAbwBmACAAZQB0AGgAYQBuAGUALgBcACIAOwBcAG4AIAAgACAAIAAgACAAIAAgAFwAIgAtAFwAIgAsACAAXAAiAEMAIAA9ACAAQwBvAG4AZgBpAGQAZQBuAHQAaQBhAGwALgAgAFMAYwBvAHAAZQAgADMAIABlAG0AaQBzAHMAaQBvAG4AIABmAGEAYwB0AG8AcgBzACAAZgBvAHIAIABUAGEAcwBtAGEAbgBpAGEAIABhAG4AZAAgAHQAaABlACAATgBvAHIAdABoAGUAcgBuACAAVABlAHIAcgBpAHQAbwByAHkAIABhAHIAZQAgAG4AbwB0ACAAYQB2AGEAaQBsAGEAYgBsAGUAIABkAHUAZQAgAHQAbwAgAGMAbwBuAGYAaQBkAGUAbgB0AGkAYQBsAGkAdAB5ACAAYwBvAG4AcwB0AHIAYQBpAG4AdABzACAAdABoAGEAdAAgAGEAcgBpAHMAZQBcACIAOwBcAG4AIAAgACAAIAAgACAAIAAgAFwAIgBcACIALAAgAFwAIgBmAHIAbwBtACAAdABoAGUAIAB1AHMAZQAgAG8AZgAgAGEAIABsAGkAbQBpAHQAZQBkACAAbgB1AG0AYgBlAHIAIABvAGYAIABOAEcARQBSACAAZABhAHQAYQAgAGkAbgBwAHUAdABzAC4AIABJAHQAIABpAHMAIABzAHUAZwBnAGUAcwB0AGUAZAAgAHQAaABhAHQAIABmAG8AcgAgAFQAYQBzAG0AYQBuAGkAYQAgAHQAaABlACAAdQBzAGUAIABvAGYAIAB0AGgAZQAgAFYAaQBjAHQAbwByAGkAYQBuACAAZQBtAGkAcwBzAGkAbwBuACAAZgBhAGMAdABvAHIAcwAgAGkAcwAgAGEAcABwAHIAbwBwAHIAaQBhAHQAZQAsAFwAIgA7AFwAbgAgACAAIAAgACAAIAAgACAAXAAiAFwAIgAsACAAXAAiAHcAaABpAGwAZQAgAGYAbwByACAATgBvAHIAdABoAGUAcgBuACAAVABlAHIAcgBpAHQAbwByAHkAIAB0AGgAZQAgAHUAcwBlACAAbwBmACAAdABoAGUAIABXAGUAcwB0AGUAcgBuACAAQQB1AHMAdAByAGEAbABpAGEAbgAgAGUAbQBpAHMAcwBpAG8AbgAgAGYAYQBjAHQAbwByAHMAIABpAHMAIABhAHAAcAByAG8AcAByAGkAYQB0AGUALgBcACIAOwBcAG4AIAAgACAAIAAgACAAIAAgAFwAIgAtAFwAIgAsACAAXAAiAFMAYwBvAHAAZQAgADMAIABlAG0AaQBzAHMAaQBvAG4AIABmAGEAYwB0AG8AcgBzACAAZABvACAAbgBvAHQAIABpAG4AYwBsAHUAZABlACAAZgB1AGcAaQB0AGkAdgBlACAAZQBtAGkAcwBzAGkAbwBuACAAbABlAGEAawBhAGcAZQAgAGYAcgBvAG0AIABsAG8AdwAgAHAAcgBlAHMAcwB1AHIAZQAgAG4AYQB0AHUAcgBhAGwAIABnAGEAcwAgAGQAaQBzAHQAcgBpAGIAdQB0AGkAbwBuACAAcABpAHAAZQBsAGkAbgBlACAAbgBlAHQAdwBvAHIAawBzACAAdwBoAGkAbABlACAAdABoAG8AcwBlACAAZgByAG8AbQAgAGgAaQBnAGgAIABwAHIAZQBzAHMAdQByAGUAXAAiADsAXABuACAAIAAgACAAIAAgACAAIABcACIAXAAiACwAIABcACIAZwBhAHMAIABuAGUAdAB3AG8AcgBrAHMAIABhAHIAZQAgAGMAbwBuAHMAaQBkAGUAcgBlAGQAIABuAGUAZwBsAGkAZwBpAGIAbABlAC4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GAHUAZQBsACAAcwBjAG8AcABlACAAMQAgAGEAbgBkACAAMwAgAGUAbQBpAHMAcwBpAG8AbgAgAGYAYQBjAHQAbwByAHMAIAAtACAAUwB0AGEAdABpAG8AbgBhAHIAeQAgAGwAaQBxAHUAaQBkACAAZgB1AGUAbABzAFwAbgA9AD0APQA9AD0APQA9AD0APQA9AD0APQA9AD0APQA9AD0APQA9AD0APQA9AD0APQA9AD0APQA9AD0APQA9AD0APQA9AD0APQA9AD0APQA9AD0APQA9AD0APQA9AD0APQA9AD0APQA9AD0APQA9AD0APQA9AD0APQA9AD0APQA9AD0APQA9AD0APQA9AD0APQA9AD0APQA9AFwAbgAqAC8AXABuAFwAbgBGAHUAZQBsAF8AUwBjAG8AcABlADEAUwBjAG8AcABlADMARQBtAGkAcwBzAGkAbwBuAEYAYQBjAHQAbwByAHMAUwB0AGEAdABpAG8AbgBhAHIAeQBMAGkAcQB1AGkAZABfAFQAaQB0AGwAZQBcAG4APQBMAEEATQBCAEQAQQAoACgAXAAiAEYAdQBlAGwAIABzAGMAbwBwAGUAIAAxACAAYQBuAGQAIAAzACAAZQBtAGkAcwBzAGkAbwBuACAAZgBhAGMAdABvAHIAcwAgAC0AIABTAHQAYQB0AGkAbwBuAGEAcgB5ACAAbABpAHEAdQBpAGQAIABmAHUAZQBsAHMAXAAiACkAKQA7AFwAbgBcAG4ARgB1AGUAbABfAFMAYwBvAHAAZQAxAFMAYwBvAHAAZQAzAEUAbQBpAHMAcwBpAG8AbgBGAGEAYwB0AG8AcgBzAFMAdABhAHQAaQBvAG4AYQByAHkATABpAHEAdQBpAGQAXwBEAGUAcwBjAHIAaQBwAHQAaQBvAG4AXABuAD0ATABBAE0AQgBEAEEAKAAoAFwAIgBEAGkAcgBlAGMAdAAgACgAUwBjAG8AcABlACAAMQApACAAYQBuAGQAIABpAG4AZABpAHIAZQBjAHQAIAAoAHMAYwBvAHAAZQAgADMAKQAgAGUAbQBpAHMAcwBpAG8AbgAgAGYAYQBjAHQAbwByAHMAIABmAG8AcgAgAHQAaABlACAAYwBvAG4AcwB1AG0AcAB0AGkAbwBuACAAbwBmACAAbABpAHEAdQBpAGQAIABmAHUAZQBsAHMALAAgAGkAbgBjAGwAdQBkAGkAbgBnACAAYwBlAHIAdABhAGkAbgAgAHAAZQB0AHIAbwBsAGUAdQBtACAAYgBhAHMAZQBkACAAcAByAG8AZAB1AGMAdABzACAAZgBvAHIAIABzAHQAYQB0AGkAbwBuAGEAcgB5ACAAZQBuAGUAcgBnAHkAIABwAHUAcgBwAG8AcwBlAHMALgBcACIAKQApADsAXABuAFwAbgBGAHUAZQBsAF8AUwBjAG8AcABlADEAUwBjAG8AcABlADMARQBtAGkAcwBzAGkAbwBuAEYAYQBjAHQAbwByAHMAUwB0AGEAdABpAG8AbgBhAHIAeQBMAGkAcQB1AGkAZABfAFMAbwB1AHIAYwBlAFwAbgA9AEwAQQBNAEIARABBACgAKABcACIAQQB1AHMAdAByAGEAbABpAGEAbgAgAE4AYQB0AGkAbwBuAGEAbAAgAEcAcgBlAGUAbgBoAG8AdQBzAGUAIABBAGMAYwBvAHUAbgB0AHMAIABGAGEAYwB0AG8AcgBzACAAMgAwADIANQAgAC0AIABUAGEAYgBsAGUAIAA4AFwAIgApACkAOwBcAG4AXABuAEYAdQBlAGwAXwBTAGMAbwBwAGUAMQBTAGMAbwBwAGUAMwBFAG0AaQBzAHMAaQBvAG4ARgBhAGMAdABvAHIAcwBTAHQAYQB0AGkAbwBuAGEAcgB5AEwAaQBxAHUAaQBkAF8ARABhAHQAYQBcAG4APQBMAEEATQBCAEQAQQAoAFwAbgAgACAATQBBAEsARQBBAFIAUgBBAFkAKAAyADUALAAgADgALABcAG4AIAAgACAAIABMAEEATQBCAEQAQQAoAHIALABjACwAXABuACAAIAAgACAAIAAgAEkATgBEAEUAWAAoAHsAXABuACAAIAAgACAAIAAgACAAIABcACIARgB1AGUAbAAgAGMAbwBtAGIAdQBzAHQAZQBkAFwAIgAsACAAXAAiAEUAbgBlAHIAZwB5ACAAQwBvAG4AdABlAG4AdAAgAEYAYQBjAHQAbwByACAAKABHAEoAIABwAGUAcgAgAHUAbgBpAHQAIABvAGYAIABmAHUAZQBsACkAXAAiACwAIABcACIARgB1AGUAbAAgAHUAbgBpAHQAXAAiACwAIABcACIAUwBjAG8AcABlACAAMQAgAEUAbQBpAHMAcwBpAG8AbgAgAEYAYQBjAHQAbwByACAAKABrAGcAIABDAE8AMgAgAC0AIABlACAALwAgAEcASgApACAAQwBPADIAXAAiACwAIABcACIAUwBjAG8AcABlACAAMQAgAEUAbQBpAHMAcwBpAG8AbgAgAEYAYQBjAHQAbwByACAAKABrAGcAIABDAE8AMgAgAC0AIABlACAALwAgAEcASgApACAAQwBIADQAXAAiACwAIABcACIAUwBjAG8AcABlACAAMQAgAEUAbQBpAHMAcwBpAG8AbgAgAEYAYQBjAHQAbwByACAAKABrAGcAIABDAE8AMgAgAC0AIABlACAALwAgAEcASgApACAATgAyAE8AXAAiACwAIABcACIAUwBjAG8AcABlACAAMQAgAEUAbQBpAHMAcwBpAG8AbgAgAEYAYQBjAHQAbwByACAAKABrAGcAIABDAE8AMgAgAC0AIABlACAALwAgAEcASgApACAAQwBvAG0AYgBpAG4AZQBkACAAZwBhAHMAZQBzAFwAIgAsACAAXAAiAFMAYwBvAHAAZQAgADMAIABFAG0AaQBzAHMAaQBvAG4AIABGAGEAYwB0AG8AcgAgACgAawBnACAAQwBPADIAIAAtACAAZQAgAC8AIABHAEoAKQBcACIAOwBcAG4AIAAgACAAIAAgACAAIAAgAFwAIgBQAGUAdAByAG8AbABlAHUAbQAgAGIAYQBzAGUAZAAgAG8AaQBsAHMAIAAoAG8AdABoAGUAcgAgAHQAaABhAG4AIABwAGUAdAByAG8AbABlAHUAbQAgAGIAYQBzAGUAZAAgAG8AaQBsACAAdQBzAGUAZAAgAGEAcwAgAGYAdQBlAGwAKQAsACAAZQAuAGcALgAgAGwAdQBiAHIAaQBjAGEAbgB0AHMAXAAiACwAIAAzADgALgA4ACwAIABcACIAawBsAFwAIgAsACAAMQAzAC4AOQAsACAAMAAuADAALAAgADAALgAwACwAIAAxADMALgA5ACwAIAAxADgALgAwADsAXABuACAAIAAgACAAIAAgACAAIABcACIAUABlAHQAcgBvAGwAZQB1AG0AIABiAGEAcwBlAGQAIABnAHIAZQBhAHMAZQBzAFwAIgAsACAAMwA4AC4AOAAsACAAXAAiAGsAbABcACIALAAgADMALgA1ACwAIAAwAC4AMAAsACAAMAAuADAALAAgADMALgA1ACwAIAAxADgALgAwADsAXABuACAAIAAgACAAIAAgACAAIABcACIAQwByAHUAZABlACAAbwBpAGwAIABpAG4AYwBsAHUAZABpAG4AZwAgAGMAcgB1AGQAZQAgAG8AaQBsACAAYwBvAG4AZABlAG4AcwBhAHQAZQBzAFwAIgAsACAANAA1AC4AMwAsACAAXAAiAHQAXAAiACwAIAA2ADkALgA2ACwAIAAwAC4AMAA4ACwAIAAwAC4AMgAsACAANgA5AC4AOAA4ACwAIABcACIATgBFAFwAIgA7AFwAbgAgACAAIAAgACAAIAAgACAAXAAiAE8AdABoAGUAcgAgAG4AYQB0AHUAcgBhAGwAIABnAGEAcwAgAGwAaQBxAHUAaQBkAHMAXAAiACwAIAA0ADYALgA1ACwAIABcACIAdABcACIALAAgADYAMQAuADAALAAgADAALgAwADgALAAgADAALgAyACwAIAA2ADEALgAyADgALAAgAFwAIgBOAEUAXAAiADsAXABuACAAIAAgACAAIAAgACAAIABcACIAQQB1AHQAbwBtAG8AdABpAHYAZQAgAGcAYQBzAG8AbABpAG4AZQAgAC8AIABwAGUAdAByAG8AbAAgACgAbwB0AGgAZQByACAAdABoAGEAbgAgAGYAbwByACAAdQBzAGUAIABhAHMAIABmAHUAZQBsACAAaQBuACAAYQBuACAAYQBpAHIAYwByAGEAZgB0ACkAXAAiACwAIAAzADQALgAyACwAIABcACIAawBMAFwAIgAsACAANgA3AC4ANAAsACAAMAAuADIALAAgADAALgAyACwAIAA2ADcALgA4ADAALAAgADEANwAuADIAOwBcAG4AIAAgACAAIAAgACAAIAAgAFwAIgBBAHYAaQBhAHQAaQBvAG4AIABnAGEAcwBvAGwAaQBuAGUAXAAiACwAIAAzADMALgAxACwAIABcACIAawBMAFwAIgAsACAANgA3ACwAIAAwAC4AMgAsACAAMAAuADIALAAgADYANwAuADQAMAAsACAAMQA4AC4AMAA7AFwAbgAgACAAIAAgACAAIAAgACAAXAAiAEsAZQByAG8AcwBlAG4AZQAgACgAbwB0AGgAZQByACAAdABoAGEAbgAgAGYAbwByACAAdQBzAGUAIABhAHMAIABmAHUAZQBsACAAaQBuACAAYQBuACAAYQBpAHIAYwByAGEAZgB0ACkAXAAiACwAIAAzADcALgA1ACwAIABcACIAawBMAFwAIgAsACAANgA4AC4AOQAsACAAMAAuADAAMQAsACAAMAAuADIALAAgADYAOQAuADEAMQAsACAAMQA4AC4AMAA7AFwAbgAgACAAIAAgACAAIAAgACAAXAAiAEEAdgBpAGEAdABpAG8AbgAgAHQAdQByAGIAaQBuAGUAIABmAHUAZQBsACAALwAgAGsAZQByAG8AcwBlAG4AZQBcACIALAAgADMANgAuADgALAAgAFwAIgBrAEwAXAAiACwAIAA2ADkALgA2ACwAIAAwAC4AMAAyACwAIAAwAC4AMgAsACAANgA5AC4AOAAyACwAIAAxADgALgAwADsAXABuACAAIAAgACAAIAAgACAAIABcACIASABlAGEAdABpAG4AZwAgAG8AaQBsAFwAIgAsACAAMwA3AC4AMwAsACAAXAAiAGsATABcACIALAAgADYAOQAuADUALAAgADAALgAwADMALAAgADAALgAyACwAIAA2ADkALgA3ADMALAAgADEAOAAuADAAOwBcAG4AIAAgACAAIAAgACAAIAAgAFwAIgBEAGkAZQBzAGUAbAAgAG8AaQBsAFwAIgAsACAAMwA4AC4ANgAsACAAXAAiAGsATABcACIALAAgADYAOQAuADkALAAgADAALgAxACwAIAAwAC4AMgAsACAANwAwAC4AMgAwACwAIAAxADcALgAzADsAXABuACAAIAAgACAAIAAgACAAIABcACIARgB1AGUAbAAgAG8AaQBsAFwAIgAsACAAMwA5AC4ANwAsACAAXAAiAGsATABcACIALAAgADcAMwAuADYALAAgADAALgAwADQALAAgADAALgAyACwAIAA3ADMALgA4ADQALAAgADEAOAAuADAAOwBcAG4AIAAgACAAIAAgACAAIAAgAFwAIgBMAGkAcQB1AGUAZgBpAGUAZAAgAGEAcgBvAG0AYQB0AGkAYwAgAGgAeQBkAHIAbwBjAGEAcgBiAG8AbgBzAFwAIgAsACAAMwA0AC4ANAAsACAAXAAiAGsATABcACIALAAgADYAOQAuADcALAAgADAALgAwADMALAAgADAALgAyACwAIAA2ADkALgA5ADMALAAgADEAOAAuADAAOwBcAG4AIAAgACAAIAAgACAAIAAgAFwAIgBTAG8AbAB2AGUAbgB0AHMAOgAgAG0AaQBuAGUAcgBhAGwAIAB0AHUAcgBwAGUAbgB0AGkAbgBlACAAbwByACAAdwBoAGkAdABlACAAcwBwAGkAcgBpAHQAcwBcACIALAAgADMANAAuADQALAAgAFwAIgBrAEwAXAAiACwAIAA2ADkALgA3ACwAIAAwAC4AMAAzACwAIAAwAC4AMgAsACAANgA5AC4AOQAzACwAIAAxADgALgAwADsAXABuACAAIAAgACAAIAAgACAAIABcACIATABpAHEAdQBlAGYAaQBlAGQAIABwAGUAdAByAG8AbABlAHUAbQAgAGcAYQBzACAAKABMAFAARwApAFwAIgAsACAAMgA1AC4ANwAsACAAXAAiAGsATABcACIALAAgADYAMAAuADIALAAgADAALgAyACwAIAAwAC4AMgAsACAANgAwAC4ANgAwACwAIAAyADAALgAyADsAXABuACAAIAAgACAAIAAgACAAIABcACIATgBhAHAAaAB0AGgAYQBcACIALAAgADMAMQAuADQALAAgAFwAIgBrAEwAXAAiACwAIAA2ADkALgA4ACwAIAAwAC4AMAAxACwAIAAwAC4AMAAxACwAIAA2ADkALgA4ADIALAAgADEAOAAuADAAOwBcAG4AIAAgACAAIAAgACAAIAAgAFwAIgBQAGUAdAByAG8AbABlAHUAbQAgAGMAbwBrAGUAXAAiACwAIAAzADQALgAyACwAIABcACIAdABcACIALAAgADkAMgAuADYALAAgADAALgAwADgALAAgADAALgAyACwAIAA5ADIALgA4ADgALAAgADEAOAAuADAAOwBcAG4AIAAgACAAIAAgACAAIAAgAFwAIgBSAGUAZgBpAG4AZQByAHkAIABnAGEAcwAgAGEAbgBkACAAbABpAHEAdQBpAGQAcwBcACIALAAgADQAMgAuADkALAAgAFwAIgB0AFwAIgAsACAANQA0AC4ANwAsACAAMAAuADAAMwAsACAAMAAuADAAMwAsACAANQA0AC4ANwA2ACwAIAAxADgALgAwADsAXABuACAAIAAgACAAIAAgACAAIABcACIAUgBlAGYAaQBuAGUAcgB5ACAAYwBvAGsAZQBcACIALAAgADMANAAuADIALAAgAFwAIgB0AFwAIgAsACAAOQAyAC4ANgAsACAAMAAuADAAOAAsACAAMAAuADIALAAgADkAMgAuADgAOAAsACAAMQA4AC4AMAA7AFwAbgAgACAAIAAgACAAIAAgACAAXAAiAFAAZQB0AHIAbwBsAGUAdQBtACAAYgBhAHMAZQBkACAAcAByAG8AZAB1AGMAdABzACAAbwB0AGgAZQByACAAdABoAGEAbgAgAG0AZQBuAHQAaQBvAG4AZQBkACAAaQBuACAAdABoAGUAIABpAHQAZQBtAHMAIABhAGIAbwB2AGUAXAAiACwAIAAzADQALgA0ACwAIABcACIAawBMAFwAIgAsACAANgA5AC4AOAAsACAAMAAuADAAMgAsACAAMAAuADEALAAgADYAOQAuADkAMgAsACAAMQA4AC4AMAA7AFwAbgAgACAAIAAgACAAIAAgACAAXAAiAEIAaQBvAGQAaQBlAHMAZQBsAFwAIgAsACAAMwA0AC4ANgAsACAAXAAiAGsATABcACIALAAgADAALgAwACwAIAAwAC4AMAA4ACwAIAAwAC4AMgAsACAAMAAuADIAOAAsACAAXAAiAE4ARQBcACIAOwBcAG4AIAAgACAAIAAgACAAIAAgAFwAIgBFAHQAaABhAG4AbwBsACAAZgBvAHIAIAB1AHMAZQAgAGEAcwAgAGEAIABmAHUAZQBsACAAaQBuACAAYQBuACAAaQBuAHQAZQByAG4AYQBsACAAYwBvAG0AYgB1AHMAdABpAG8AbgAgAGUAbgBnAGkAbgBlAFwAIgAsACAAMgAzAC4ANAAsACAAXAAiAGsATABcACIALAAgADAALgAwACwAIAAwAC4AMAA4ACwAIAAwAC4AMgAsACAAMAAuADIAOAAsACAAXAAiAE4ARQBcACIAOwBcAG4AIAAgACAAIAAgACAAIAAgAFwAIgBCAGkAbwBmAHUAZQBsAHMAIABvAHQAaABlAHIAIAB0AGgAYQBuACAAdABoAG8AcwBlACAAbQBlAG4AdABpAG8AbgBlAGQAIABpAG4AIAB0AGgAZQAgAGkAdABlAG0AcwAgAGEAYgBvAHYAZQAgAGEAbgBkACAAYgBlAGwAbwB3AFwAIgAsACAAMgAzAC4ANAAsACAAXAAiAGsATABcACIALAAgADAALgAwACwAIAAwAC4AMAA4ACwAIAAwAC4AMgAsACAAMAAuADIAOAAsACAAXAAiAE4ARQBcACIAOwBcAG4AIAAgACAAIAAgACAAIAAgAFwAIgBSAGUAbgBlAHcAYQBiAGwAZQAgAGEAdgBpAGEAdABpAG8AbgAgAGsAZQByAG8AcwBlAG4AZQBcACIALAAgADMANgAuADgALAAgAFwAIgBrAEwAXAAiACwAIAAwAC4AMAAsACAAMAAuADAAMgAsACAAMAAuADIALAAgADAALgAyADIALAAgAFwAIgBOAEUAXAAiADsAXABuACAAIAAgACAAIAAgACAAIABcACIAUgBlAG4AZQB3AGEAYgBsAGUAIABkAGkAZQBzAGUAbABcACIALAAgADMAOAAuADYALAAgAFwAIgBrAEwAXAAiACwAIAAwAC4AMAAsACAAMAAuADEALAAgADAALgAyACwAIAAwAC4AMwAwACwAIABcACIATgBFAFwAIgBcAG4AIAAgACAAIAAgACAAfQAsACAAcgAsACAAYwApAFwAbgApACkAKQA7AFwAbgBcAG4ARgB1AGUAbABfAFMAYwBvAHAAZQAxAFMAYwBvAHAAZQAzAEUAbQBpAHMAcwBpAG8AbgBGAGEAYwB0AG8AcgBzAFMAdABhAHQAaQBvAG4AYQByAHkATABpAHEAdQBpAGQAXwBWAGEAcgBpAGEAdABpAG8AbgBcAG4APQBMAEEATQBCAEQAQQAoAFwAIgBWAEEAUgBJAEEAVABJAE8ATgAgAE8ARgAgAFMATwBVAFIAQwBFACAARABBAFQAQQA6ACAAXAB1ADAAMAAyADcATgBFAFwAdQAwADAAMgA3ACAAdgBhAGwAdQBlAHMAIAByAGUAdAB1AHIAbgBlAGQAIABhAHMAIAB6AGUAcgBvACAAZgBvAHIAIABjAGEAbABjAHUAbABhAHQAaQBvAG4AcwAuAFwAIgApADsAXABuAFwAbgAvACoAXABuAD0APQA9AD0APQA9AD0APQA9AD0APQA9AD0APQA9AD0APQA9AD0APQA9AD0APQA9AD0APQA9AD0APQA9AD0APQA9AD0APQA9AD0APQA9AD0APQA9AD0APQA9AD0APQA9AD0APQA9AD0APQA9AD0APQA9AD0APQA9AD0APQA9AD0APQA9AD0APQA9AD0APQA9AD0APQA9AD0AXABuAEYAdQBlAGwAIABzAGMAbwBwAGUAIAAxACAAYQBuAGQAIAAzACAAZQBtAGkAcwBzAGkAbwBuACAAZgBhAGMAdABvAHIAcwAgAC0AIABUAHIAYQBuAHMAcABvAHIAdABcAG4APQA9AD0APQA9AD0APQA9AD0APQA9AD0APQA9AD0APQA9AD0APQA9AD0APQA9AD0APQA9AD0APQA9AD0APQA9AD0APQA9AD0APQA9AD0APQA9AD0APQA9AD0APQA9AD0APQA9AD0APQA9AD0APQA9AD0APQA9AD0APQA9AD0APQA9AD0APQA9AD0APQA9AD0APQA9AD0APQBcAG4AKgAvAFwAbgBcAG4ARgB1AGUAbABfAFMAYwBvAHAAZQAxAFMAYwBvAHAAZQAzAEUAbQBpAHMAcwBpAG8AbgBGAGEAYwB0AG8AcgBzAFQAcgBhAG4AcwBwAG8AcgB0AF8AVABpAHQAbABlAFwAbgA9AEwAQQBNAEIARABBACgAKABcACIARgB1AGUAbAAgAHMAYwBvAHAAZQAgADEAIABhAG4AZAAgADMAIABlAG0AaQBzAHMAaQBvAG4AIABmAGEAYwB0AG8AcgBzACAALQAgAFQAcgBhAG4AcwBwAG8AcgB0AFwAIgApACkAOwBcAG4AXABuAEYAdQBlAGwAXwBTAGMAbwBwAGUAMQBTAGMAbwBwAGUAMwBFAG0AaQBzAHMAaQBvAG4ARgBhAGMAdABvAHIAcwBUAHIAYQBuAHMAcABvAHIAdABfAEQAZQBzAGMAcgBpAHAAdABpAG8AbgBcAG4APQBMAEEATQBCAEQAQQAoACgAXAAiAEQAaQByAGUAYwB0ACAAKABzAGMAbwBwAGUAIAAxACkAIABhAG4AZAAgAGkAbgBkAGkAcgBlAGMAdAAgACgAcwBjAG8AcABlACAAMwApACAAZQBtAGkAcwBzAGkAbwBuACAAZgBhAGMAdABvAHIAcwAgAGYAbwByACAAdABoAGUAIABjAG8AbgBzAHUAbQBwAHQAaQBvAG4AIABvAGYAIAB0AHIAYQBuAHMAcABvAHIAdAAgAGYAdQBlAGwAcwAgAGkAbgAgAGQAaQBmAGYAZQByAGUAbgB0ACAAdAByAGEAbgBzAHAAbwByAHQAIABlAHEAdQBpAHAAbQBlAG4AdABcACIAKQApADsAXABuAFwAbgBGAHUAZQBsAF8AUwBjAG8AcABlADEAUwBjAG8AcABlADMARQBtAGkAcwBzAGkAbwBuAEYAYQBjAHQAbwByAHMAVAByAGEAbgBzAHAAbwByAHQAXwBTAG8AdQByAGMAZQBcAG4APQBMAEEATQBCAEQAQQAoACgAXAAiAEEAdQBzAHQAcgBhAGwAaQBhAG4AIABOAGEAdABpAG8AbgBhAGwAIABHAHIAZQBlAG4AaABvAHUAcwBlACAAQQBjAGMAbwB1AG4AdABzACAARgBhAGMAdABvAHIAcwAgADIAMAAyADUAIAAtACAAVABhAGIAbABlACAAOQBcACIAKQApADsAXABuAFwAbgBGAHUAZQBsAF8AUwBjAG8AcABlADEAUwBjAG8AcABlADMARQBtAGkAcwBzAGkAbwBuAEYAYQBjAHQAbwByAHMAVAByAGEAbgBzAHAAbwByAHQAXwBEAGEAdABhAFwAbgA9AEwAQQBNAEIARABBACgAXABuACAAIABNAEEASwBFAEEAUgBSAEEAWQAoADIANgAsACAAMQAwACwAXABuACAAIAAgACAATABBAE0AQgBEAEEAKAByACwAYwAsAFwAbgAgACAAIAAgACAAIABJAE4ARABFAFgAKAB7AFwAbgAgACAAIAAgACAAIAAgACAAXAAiAFQAcgBhAG4AcwBwAG8AcgB0ACAAdAB5AHAAZQBcACIALAAgAFwAIgBGAHUAZQBsACAAYwBvAG0AYgB1AHMAdABlAGQAXAAiACwAIABcACIARQBuAGUAcgBnAHkAIABDAG8AbgB0AGUAbgB0ACAARgBhAGMAdABvAHIAKABHAEoAIABwAGUAcgAgAHUAbgBpAHQAIABvAGYAIABmAHUAZQBsACkAXAAiACwAIABcACIARgB1AGUAbAAgAHUAbgBpAHQAXAAiACwAIABcACIAUwBjAG8AcABlACAAMQAgAEUAbQBpAHMAcwBpAG8AbgAgAEYAYQBjAHQAbwByACAAKABrAGcAIABDAE8AMgAgAC0AIABlACAALwAgAEcASgApACAAQwBPADIAXAAiACwAIABcACIAUwBjAG8AcABlACAAMQAgAEUAbQBpAHMAcwBpAG8AbgAgAEYAYQBjAHQAbwByACAAKABrAGcAIABDAE8AMgAgAC0AIABlACAALwAgAEcASgApACAAQwBIADQAXAAiACwAIABcACIAUwBjAG8AcABlACAAMQAgAEUAbQBpAHMAcwBpAG8AbgAgAEYAYQBjAHQAbwByACAAKABrAGcAIABDAE8AMgAgAC0AIABlACAALwAgAEcASgApACAATgAyAE8AXAAiACwAIABcACIAUwBjAG8AcABlACAAMQAgAEUAbQBpAHMAcwBpAG8AbgAgAEYAYQBjAHQAbwByACAAKABrAGcAIABDAE8AMgAgAC0AIABlACAALwAgAEcASgApACAAQwBvAG0AYgBpAG4AZQBkACAAZwBhAHMAZQBzAFwAIgAsACAAXAAiAFMAYwBvAHAAZQAgADMAIABFAG0AaQBzAHMAaQBvAG4AIABGAGEAYwB0AG8AcgAgACgAawBnACAAQwBPADIAIAAtACAAZQAgAC8AIABHAEoAKQBcACIALAAgAFwAIgBTAG8AdQByAGMAZQBcACIAOwBcAG4AIAAgACAAIAAgACAAIAAgAFwAIgBDAGEAcgBzACAAYQBuAGQAIABsAGkAZwBoAHQAIABjAG8AbQBtAGUAcgBjAGkAYQBsACAAdgBlAGgAaQBjAGwAZQBzAFwAIgAsACAAXAAiAEcAYQBzAG8AbABpAG4AZQBcACIALAAgADMANAAuADIALAAgAFwAIgBrAGwAXAAiACwAIAA2ADcALgA0ACwAIAAwAC4AMAAyACwAIAAwAC4AMgAsACAANgA3AC4ANgAyACwAIAAxADcALgAyACwAIABcACIATgBHAEEARgAgADIAMAAyADUAOgAgAFQAYQBiAGwAZQAgADkAXAAiADsAXABuACAAIAAgACAAIAAgACAAIABcACIAQwBhAHIAcwAgAGEAbgBkACAAbABpAGcAaAB0ACAAYwBvAG0AbQBlAHIAYwBpAGEAbAAgAHYAZQBoAGkAYwBsAGUAcwBcACIALAAgAFwAIgBEAGkAZQBzAGUAbAAgAG8AaQBsAFwAIgAsACAAMwA4AC4ANgAsACAAXAAiAGsAbABcACIALAAgADYAOQAuADkALAAgADAALgAwADEALAAgADAALgA1ACwAIAA3ADAALgA0ADEALAAgADEANwAuADMALAAgAFwAIgBOAEcAQQBGACAAMgAwADIANQA6ACAAVABhAGIAbABlACAAOQBcACIAOwBcAG4AIAAgACAAIAAgACAAIAAgAFwAIgBDAGEAcgBzACAAYQBuAGQAIABsAGkAZwBoAHQAIABjAG8AbQBtAGUAcgBjAGkAYQBsACAAdgBlAGgAaQBjAGwAZQBzAFwAIgAsACAAXAAiAEwAaQBxAHUAZQBmAGkAZQBkACAAcABlAHQAcgBvAGwAZQB1AG0AIABnAGEAcwAgACgATABQAEcAKQBcACIALAAgADIANgAuADIALAAgAFwAIgBrAGwAXAAiACwAIAA2ADAALgAyACwAIAAwAC4ANQAsACAAMAAuADMALAAgADYAMQAuADAAMAAsACAAMgAwAC4AMgAsACAAXAAiAE4ARwBBAEYAIAAyADAAMgA1ADoAIABUAGEAYgBsAGUAIAA5AFwAIgA7AFwAbgAgACAAIAAgACAAIAAgACAAXAAiAEMAYQByAHMAIABhAG4AZAAgAGwAaQBnAGgAdAAgAGMAbwBtAG0AZQByAGMAaQBhAGwAIAB2AGUAaABpAGMAbABlAHMAXAAiACwAIABcACIARgB1AGUAbAAgAG8AaQBsAFwAIgAsACAAMwA5AC4ANwAsACAAXAAiAGsAbABcACIALAAgADcAMwAuADYALAAgADAALgAwADgALAAgADAALgA1ACwAIAA3ADQALgAxADgALAAgADEAOAAuADAALAAgAFwAIgBOAEcAQQBGACAAMgAwADIANQA6ACAAVABhAGIAbABlACAAOQBcACIAOwBcAG4AIAAgACAAIAAgACAAIAAgAFwAIgBDAGEAcgBzACAAYQBuAGQAIABsAGkAZwBoAHQAIABjAG8AbQBtAGUAcgBjAGkAYQBsACAAdgBlAGgAaQBjAGwAZQBzAFwAIgAsACAAXAAiAEUAdABoAGEAbgBvAGwAXAAiACwAIAAyADMALgA0ACwAIABcACIAawBsAFwAIgAsACAAMAAuADAALAAgADAALgAyACwAIAAwAC4AMgAsACAAMAAuADQALAAgAFwAIgBOAEUAXAAiACwAIABcACIATgBHAEEARgAgADIAMAAyADUAOgAgAFQAYQBiAGwAZQAgADkAXAAiADsAXABuACAAIAAgACAAIAAgACAAIABcACIAQwBhAHIAcwAgAGEAbgBkACAAbABpAGcAaAB0ACAAYwBvAG0AbQBlAHIAYwBpAGEAbAAgAHYAZQBoAGkAYwBsAGUAcwBcACIALAAgAFwAIgBCAGkAbwBkAGkAZQBzAGUAbABcACIALAAgADMANAAuADYALAAgAFwAIgBrAGwAXAAiACwAIAAwAC4AMAAsACAAMAAuADgALAAgADEALgA3ACwAIAAyAC4ANQAsACAAXAAiAE4ARQBcACIALAAgAFwAIgBOAEcAQQBGACAAMgAwADIANQA6ACAAVABhAGIAbABlACAAOQBcACIAOwBcAG4AIAAgACAAIAAgACAAIAAgAFwAIgBDAGEAcgBzACAAYQBuAGQAIABsAGkAZwBoAHQAIABjAG8AbQBtAGUAcgBjAGkAYQBsACAAdgBlAGgAaQBjAGwAZQBzAFwAIgAsACAAXAAiAFIAZQBuAGUAdwBhAGIAbABlACAAZABpAGUAcwBlAGwAXAAiACwAIAAzADgALgA2ACwAIABcACIAawBsAFwAIgAsACAAMAAuADAALAAgADAALgAwADEALAAgADAALgA1ACwAIAAwAC4ANQAxACwAIABcACIATgBFAFwAIgAsACAAXAAiAE4ARwBBAEYAIAAyADAAMgA1ADoAIABUAGEAYgBsAGUAIAA5AFwAIgA7AFwAbgAgACAAIAAgACAAIAAgACAAXAAiAEMAYQByAHMAIABhAG4AZAAgAGwAaQBnAGgAdAAgAGMAbwBtAG0AZQByAGMAaQBhAGwAIAB2AGUAaABpAGMAbABlAHMAXAAiACwAIABcACIATwB0AGgAZQByACAAYgBpAG8AZgB1AGUAbABzAFwAIgAsACAAMgAzAC4ANAAsACAAXAAiAGsAbABcACIALAAgADAALgAwACwAIAAwAC4AOAAsACAAMQAuADcALAAgADIALgA1ACwAIABcACIATgBFAFwAIgAsACAAXAAiAE4ARwBBAEYAIAAyADAAMgA1ADoAIABUAGEAYgBsAGUAIAA5AFwAIgA7AFwAbgAgACAAIAAgACAAIAAgACAAXAAiAEwAaQBnAGgAdAAgAGQAdQB0AHkAIAB2AGUAaABpAGMAbABlAHMAXAAiACwAIABcACIAQwBvAG0AcAByAGUAcwBzAGUAZAAgAG4AYQB0AHUAcgBhAGwAIABnAGEAcwBcACIALAAgADAALgAwADMAOQAzACwAIABcACIAbQAzAFwAIgAsACAANQAxAC4ANAAsACAANwAuADMALAAgADAALgAzACwAIAA1ADkALgAwACwAIAAxADgALgAwACwAIABcACIATgBHAEEARgAgADIAMAAyADUAOgAgAFQAYQBiAGwAZQAgADkAXAAiADsAXABuACAAIAAgACAAIAAgACAAIABcACIATABpAGcAaAB0ACAAZAB1AHQAeQAgAHYAZQBoAGkAYwBsAGUAcwBcACIALAAgAFwAIgBMAGkAcQB1AGUAZgBpAGUAZAAgAG4AYQB0AHUAcgBhAGwAIABnAGEAcwBcACIALAAgADIANQAuADMALAAgAFwAIgBrAGwAXAAiACwAIAA1ADEALgA0ACwAIAA3AC4AMwAsACAAMAAuADMALAAgADUAOQAuADAALAAgADEAOAAuADAALAAgAFwAIgBOAEcAQQBGACAAMgAwADIANQA6ACAAVABhAGIAbABlACAAOQBcACIAOwBcAG4AIAAgACAAIAAgACAAIAAgAFwAIgBIAGUAYQB2AHkAIABkAHUAdAB5ACAAdgBlAGgAaQBjAGwAZQBzAFwAIgAsACAAXAAiAEMAbwBtAHAAcgBlAHMAcwBlAGQAIABuAGEAdAB1AHIAYQBsACAAZwBhAHMAXAAiACwAIAAwAC4AMAAzADkAMwAsACAAXAAiAG0AMwBcACIALAAgADUAMQAuADQALAAgADIALgA4ACwAIAAwAC4AMwAsACAANQA0AC4ANQAsACAAMQA4AC4AMAAsACAAXAAiAE4ARwBBAEYAIAAyADAAMgA1ADoAIABUAGEAYgBsAGUAIAA5AFwAIgA7AFwAbgAgACAAIAAgACAAIAAgACAAXAAiAEgAZQBhAHYAeQAgAGQAdQB0AHkAIAB2AGUAaABpAGMAbABlAHMAXAAiACwAIABcACIATABpAHEAdQBlAGYAaQBlAGQAIABuAGEAdAB1AHIAYQBsACAAZwBhAHMAXAAiACwAIAAyADUALgAzACwAIABcACIAawBsAFwAIgAsACAANQAxAC4ANAAsACAAMgAuADgALAAgADAALgAzACwAIAA1ADQALgA1ACwAIAAxADgALgAwACwAIABcACIATgBHAEEARgAgADIAMAAyADUAOgAgAFQAYQBiAGwAZQAgADkAXAAiADsAXABuACAAIAAgACAAIAAgACAAIABcACIASABlAGEAdgB5ACAAZAB1AHQAeQAgAHYAZQBoAGkAYwBsAGUAcwBcACIALAAgAFwAIgBEAGkAZQBzAGUAbAAgAG8AaQBsACAALQAgAEUAdQByAG8AIABpAHYAIABvAHIAIABoAGkAZwBoAGUAcgBcACIALAAgADMAOAAuADYALAAgAFwAIgBrAGwAXAAiACwAIAA2ADkALgA5ACwAIAAwAC4AMAA3ACwAIAAwAC4ANAAsACAANwAwAC4AMwA3ACwAIAAxADcALgAzACwAIABcACIATgBHAEEARgAgADIAMAAyADUAOgAgAFQAYQBiAGwAZQAgADkAXAAiADsAXABuACAAIAAgACAAIAAgACAAIABcACIASABlAGEAdgB5ACAAZAB1AHQAeQAgAHYAZQBoAGkAYwBsAGUAcwBcACIALAAgAFwAIgBEAGkAZQBzAGUAbAAgAG8AaQBsACAALQAgAEUAdQByAG8AIABpAGkAaQBcACIALAAgADMAOAAuADYALAAgAFwAIgBrAGwAXAAiACwAIAA2ADkALgA5ACwAIAAwAC4AMQAsACAAMAAuADQALAAgADcAMAAuADQALAAgADEANwAuADMALAAgAFwAIgBOAEcAQQBGACAAMgAwADIANQA6ACAAVABhAGIAbABlACAAOQBcACIAOwBcAG4AIAAgACAAIAAgACAAIAAgAFwAIgBIAGUAYQB2AHkAIABkAHUAdAB5ACAAdgBlAGgAaQBjAGwAZQBzAFwAIgAsACAAXAAiAEQAaQBlAHMAZQBsACAAbwBpAGwAIAAtACAARQB1AHIAbwAgAGkAXAAiACwAIAAzADgALgA2ACwAIABcACIAawBsAFwAIgAsACAANgA5AC4AOQAsACAAMAAuADIALAAgADAALgA0ACwAIAA3ADAALgA1ACwAIAAxADcALgAzACwAIABcACIATgBHAEEARgAgADIAMAAyADUAOgAgAFQAYQBiAGwAZQAgADkAXAAiADsAXABuACAAIAAgACAAIAAgACAAIABcACIASABlAGEAdgB5ACAAZAB1AHQAeQAgAHYAZQBoAGkAYwBsAGUAcwBcACIALAAgAFwAIgBSAGUAbgBlAHcAYQBiAGwAZQAgAGQAaQBlAHMAZQBsACAAEyAgAEUAdQByAG8AIABpAHYAIABvAHIAIABoAGkAZwBoAGUAcgBcACIALAAgADMAOAAuADYALAAgAFwAIgBrAGwAXAAiACwAIAAwAC4AMAAsACAAMAAuADAANwAsACAAMAAuADQALAAgADAALgA0ADcALAAgAFwAIgBOAEUAXAAiACwAIABcACIATgBHAEEARgAgADIAMAAyADUAOgAgAFQAYQBiAGwAZQAgADkAXAAiADsAXABuACAAIAAgACAAIAAgACAAIABcACIASABlAGEAdgB5ACAAZAB1AHQAeQAgAHYAZQBoAGkAYwBsAGUAcwBcACIALAAgAFwAIgBSAGUAbgBlAHcAYQBiAGwAZQAgAGQAaQBlAHMAZQBsACAAEyAgAEUAdQByAG8AIABpAGkAaQBcACIALAAgADMAOAAuADYALAAgAFwAIgBrAGwAXAAiACwAIAAwAC4AMAAsACAAMAAuADEALAAgADAALgA0ACwAIAAwAC4ANQAsACAAXAAiAE4ARQBcACIALAAgAFwAIgBOAEcAQQBGACAAMgAwADIANQA6ACAAVABhAGIAbABlACAAOQBcACIAOwBcAG4AIAAgACAAIAAgACAAIAAgAFwAIgBIAGUAYQB2AHkAIABkAHUAdAB5ACAAdgBlAGgAaQBjAGwAZQBzAFwAIgAsACAAXAAiAFIAZQBuAGUAdwBhAGIAbABlACAAZABpAGUAcwBlAGwAIAATICAARQB1AHIAbwAgAGkAXAAiACwAIAAzADgALgA2ACwAIABcACIAawBsAFwAIgAsACAAMAAuADAALAAgADAALgAyACwAIAAwAC4ANAAsACAAMAAuADYALAAgAFwAIgBOAEUAXAAiACwAIABcACIATgBHAEEARgAgADIAMAAyADUAOgAgAFQAYQBiAGwAZQAgADkAXAAiADsAXABuACAAIAAgACAAIAAgACAAIABcACIAQQB2AGkAYQB0AGkAbwBuAFwAIgAsACAAXAAiAEcAYQBzAG8AbABpAG4AZQAgAGYAbwByACAAdQBzAGUAIABhAHMAIABmAHUAZQBsACAAaQBuACAAYQBuACAAYQBpAHIAYwByAGEAZgB0AFwAIgAsACAAMwAzAC4AMQAsACAAXAAiAGsAbABcACIALAAgADYANwAuADAALAAgADAALgAwADYALAAgADAALgA2ACwAIAA2ADcALgA2ADYALAAgADEAOAAuADAALAAgAFwAIgBOAEcAQQBGACAAMgAwADIANQA6ACAAVABhAGIAbABlACAAOQBcACIAOwBcAG4AIAAgACAAIAAgACAAIAAgAFwAIgBBAHYAaQBhAHQAaQBvAG4AXAAiACwAIABcACIASwBlAHIAbwBzAGUAbgBlACAAZgBvAHIAIAB1AHMAZQAgAGEAcwAgAGYAdQBlAGwAIABpAG4AIABhAG4AIABhAGkAcgBjAHIAYQBmAHQAXAAiACwAIAAzADYALgA4ACwAIABcACIAawBsAFwAIgAsACAANgA5AC4ANgAsACAAMAAuADAAMQAsACAAMAAuADYALAAgADcAMAAuADIAMQAsACAAMQA4AC4AMAAsACAAXAAiAE4ARwBBAEYAIAAyADAAMgA1ADoAIABUAGEAYgBsAGUAIAA5AFwAIgA7AFwAbgAgACAAIAAgACAAIAAgACAAXAAiAEEAdgBpAGEAdABpAG8AbgBcACIALAAgAFwAIgBSAGUAbgBlAHcAYQBiAGwAZQAgAGEAdgBpAGEAdABpAG8AbgAgAGsAZQByAG8AcwBlAG4AZQBcACIALAAgADMANgAuADgALAAgAFwAIgBrAGwAXAAiACwAIAAwAC4AMAAsACAAMAAuADAAMQAsACAAMAAuADYALAAgADAALgA2ADEALAAgAFwAIgBOAEUAXAAiACwAIABcACIATgBHAEEARgAgADIAMAAyADUAOgAgAFQAYQBiAGwAZQAgADkAXAAiADsAXABuACAAIAAgACAAIAAgACAAIABcACIAVgBlAHMAcwBlAGwAcwBcACIALAAgAFwAIgBHAGEAcwBvAGwAaQBuAGUAXAAiACwAIAAzADQALgAyACwAIABcACIAawBMAFwAIgAsACAANgA3AC4ANAAsACAAMQAwAC4AMQAsACAAMAAuADMALAAgAFwAIgBcACIALAAgADEANwAuADIALAAgAFwAIgBWAEUARQBSAEcAIAAyADAAMgA2ADoAIABUAGEAYgBsAGUAIABBAC4ANAAuADIALgAxAFwAIgA7AFwAbgAgACAAIAAgACAAIAAgACAAXAAiAFYAZQBzAHMAZQBsAHMAXAAiACwAIABcACIARABpAGUAcwBlAGwAIABvAGkAbABcACIALAAgADMAOAAuADYALAAgAFwAIgBrAEwAXAAiACwAIAA2ADkALgA5ACwAIAAwAC4AMgAsACAAMAAuADUALAAgAFwAIgBcACIALAAgADEANwAuADMALAAgAFwAIgBWAEUARQBSAEcAIAAyADAAMgA2ADoAIABUAGEAYgBsAGUAIABBAC4ANAAuADIALgAxAFwAIgA7AFwAbgAgACAAIAAgACAAIAAgACAAXAAiAFYAZQBzAHMAZQBsAHMAXAAiACwAIABcACIARgB1AGUAbAAgAE8AaQBsAFwAIgAsACAAMwA5AC4ANwAsACAAXAAiAGsATABcACIALAAgADcAMwAuADYALAAgADAALgAyACwAIAAwAC4ANQAsACAAXAAiAFwAIgAsACAAMQA4AC4AMAAsACAAXAAiAFYARQBFAFIARwAgADIAMAAyADYAOgAgAFQAYQBiAGwAZQAgAEEALgA0AC4AMgAuADEAXAAiADsAXABuACAAIAAgACAAIAAgACAAIABcACIATwBmAGYALQByAG8AYQBkACAAQQBnAHIAaQBjAHUAbAB0AHUAcgBlACAAYQBuAGQAIABmAG8AcgBlAHMAdAByAHkAIABlAHEAdQBpAHAAbQBlAG4AdABcACIALAAgAFwAIgBEAGkAZQBzAGUAbAAgAG8AaQBsAFwAIgAsACAAMwA4AC4ANgAsACAAXAAiAGsATABcACIALAAgADYAOQAuADkALAAgADAALgAzACwAIAAwAC4ANQAsACAAXAAiAFwAIgAsACAAMQA3AC4AMwAsACAAXAAiAFYARQBFAFIARwAgADIAMAAyADYAOgAgAFQAYQBiAGwAZQAgAEEALgA0AC4AMgAuADEAXAAiAFwAbgAgACAAIAAgACAAIAB9ACwAIAByACwAIABjACkAXABuACkAKQApADsAXABuAFwAbgBGAHUAZQBsAF8AUwBjAG8AcABlADEAUwBjAG8AcABlADMARQBtAGkAcwBzAGkAbwBuAEYAYQBjAHQAbwByAHMAVAByAGEAbgBzAHAAbwByAHQAXwBWAGEAcgBpAGEAdABpAG8AbgBcAG4APQBMAEEATQBCAEQAQQAoAFwAIgBWAEEAUgBJAEEAVABJAE8ATgAgAE8ARgAgAFMATwBVAFIAQwBFACAARABBAFQAQQA6ACAAXAB1ADAAMAAyADcATgBFAFwAdQAwADAAMgA3ACAAdgBhAGwAdQBlAHMAIAByAGUAdAB1AHIAbgBlAGQAIABhAHMAIAB6AGUAcgBvACAAZgBvAHIAIABjAGEAbABjAHUAbABhAHQAaQBvAG4AcwAuAFwAIgApADsAXABuAFwAbgBcAG4ALwAqAFwAbgA9AD0APQA9AD0APQA9AD0APQA9AD0APQA9AD0APQA9AD0APQA9AD0APQA9AD0APQA9AD0APQA9AD0APQA9AD0APQA9AD0APQA9AD0APQA9AD0APQA9AD0APQA9AD0APQA9AD0APQA9AD0APQA9AD0APQA9AD0APQA9AD0APQA9AD0APQA9AD0APQA9AD0APQA9AD0APQA9AFwAbgBGAHUAZQBsACAAcwBjAG8AcABlACAAMQAgAGEAbgBkACAAMwAgAGUAbQBpAHMAcwBpAG8AbgAgAGYAYQBjAHQAbwByAHMAIAAtACAATwBmAGYALQByAGEAZAAgAGUAcQB1AGkAcABtAGUAbgB0ACAAYQBuAGQAIAB2AGUAcwBzAGUAbABzAFwAbgA9AD0APQA9AD0APQA9AD0APQA9AD0APQA9AD0APQA9AD0APQA9AD0APQA9AD0APQA9AD0APQA9AD0APQA9AD0APQA9AD0APQA9AD0APQA9AD0APQA9AD0APQA9AD0APQA9AD0APQA9AD0APQA9AD0APQA9AD0APQA9AD0APQA9AD0APQA9AD0APQA9AD0APQA9AD0APQA9AFwAbgAqAC8AXABuAFwAbgBGAHUAZQBsAF8AUwBjAG8AcABlADEAUwBjAG8AcABlADMARQBtAGkAcwBzAGkAbwBuAEYAYQBjAHQAbwByAHMAVAByAGEAbgBzAHAAbwByAHQATwBmAGYAUgBvAGEAZABfAFQAaQB0AGwAZQBcAG4APQBMAEEATQBCAEQAQQAoACgAXAAiAEYAdQBlAGwAIABzAGMAbwBwAGUAIAAxACAAYQBuAGQAIAAzACAAZQBtAGkAcwBzAGkAbwBuACAAZgBhAGMAdABvAHIAcwAgAC0AIABPAGYAZgAtAHIAbwBhAGQAIABlAHEAdQBpAHAAbQBlAG4AdAAgAGEAbgBkACAAdgBlAHMAcwBlAGwAcwBcACIAKQApADsAXABuAFwAbgBGAHUAZQBsAF8AUwBjAG8AcABlADEAUwBjAG8AcABlADMARQBtAGkAcwBzAGkAbwBuAEYAYQBjAHQAbwByAHMAVAByAGEAbgBzAHAAbwByAHQATwBmAGYAUgBvAGEAZABfAEQAZQBzAGMAcgBpAHAAdABpAG8AbgBcAG4APQBMAEEATQBCAEQAQQAoACgAXAAiAEQAaQByAGUAYwB0ACAAKABzAGMAbwBwAGUAIAAxACkAIABhAG4AZAAgAGkAbgBkAGkAcgBlAGMAdAAgACgAcwBjAG8AcABlACAAMwApACAAZQBtAGkAcwBzAGkAbwBuACAAZgBhAGMAdABvAHIAcwAgAGYAbwByACAAdABoAGUAIABjAG8AbgBzAHUAbQBwAHQAaQBvAG4AIABvAGYAIABmAHUAZQBsAHMAIABpAG4AIABvAGYAZgAtAHIAbwBhAGQAIABlAHEAdQBpAHAAbQBlAG4AdAAgAGEAbgBkACAAdgBlAHMAcwBlAGwAcwBcACIAKQApADsAXABuAFwAbgBGAHUAZQBsAF8AUwBjAG8AcABlADEAUwBjAG8AcABlADMARQBtAGkAcwBzAGkAbwBuAEYAYQBjAHQAbwByAHMAVAByAGEAbgBzAHAAbwByAHQATwBmAGYAUgBvAGEAZABfAFMAbwB1AHIAYwBlAFwAbgA9AEwAQQBNAEIARABBACgAKABcACIAVgBFAEUAUgBHACAAMgAwADIANgA6ACAAVABhAGIAbABlACAAQQAuADQALgAyAC4AMQBcACIAKQApADsAXABuAFwAbgBGAHUAZQBsAF8AUwBjAG8AcABlADEAUwBjAG8AcABlADMARQBtAGkAcwBzAGkAbwBuAEYAYQBjAHQAbwByAHMAVAByAGEAbgBzAHAAbwByAHQATwBmAGYAUgBvAGEAZABfAEQAYQB0AGEAXABuAD0ATABBAE0AQgBEAEEAKABcAG4AIAAgAE0AQQBLAEUAQQBSAFIAQQBZACgANQAsACAANwAsAFwAbgAgACAAIAAgAEwAQQBNAEIARABBACgAcgAsAGMALABcAG4AIAAgACAAIAAgACAASQBOAEQARQBYACgAewBcAG4AIAAgACAAIAAgACAAIAAgAFwAIgBUAHIAYQBuAHMAcABvAHIAdAAgAHQAeQBwAGUAIAB0AFwAIgAsACAAXAAiAEYAdQBlAGwAIAB0AHkAcABlACAAcQBcACIALAAgAFwAIgBFAEMAVAByAGEAbgBzACwAcQAgACgARwBKAC8AawBMACkAXAAiACwAIABcACIAUwBjAG8AcABlACAAMQAgAEMATwAyACAARQBGAFQAcgBhAG4ALAAxACwAdABxAGcAIAAoAGsAZwAgAEMATwAyAC0AZQAvAEcASgApAFwAIgAsACAAXAAiAFMAYwBvAHAAZQAgADEAIABDAEgANAAgAEUARgBUAHIAYQBuACwAMQAsAHQAZwBnACAAKABrAGcAIABDAE8AMgAtAGUALwBHAEoAKQBcACIALAAgAFwAIgBTAGMAbwBwAGUAIAAxACAATgAyAE8AIABFAEYAVAByAGEAbgAsADEALAB0AGcAZwAgACgAawBnACAAQwBPADIALQBlAC8ARwBKACkAXAAiACwAIABcACIAUwBjAG8AcABlACAAMwAgAEUARgBUAHIAYQBuAHMALAAzACwAcQAgACgAawBnACAAQwBPADIALQBlAC8ARwBKACkAXAAiADsAXABuACAAIAAgACAAIAAgACAAIABcACIAVgBlAHMAcwBlAGwAXAAiACwAIABcACIAUABlAHQAcgBvAGwAXAAiACwAIAAzADQALgAyACwAIAA2ADcALgA0ACwAIAAxADAALgAxACwAIAAwAC4AMwAsACAAMQA3AC4AMgA7AFwAbgAgACAAIAAgACAAIAAgACAAXAAiAFYAZQBzAHMAZQBsAFwAIgAsACAAXAAiAEQAaQBlAHMAZQBsAFwAIgAsACAAMwA4AC4ANgAsACAANgA5AC4AOQAsACAAMAAuADIALAAgADAALgA1ACwAIAAxADcALgAzADsAXABuACAAIAAgACAAIAAgACAAIABcACIAVgBlAHMAcwBlAGwAXAAiACwAIABcACIARgB1AGUAbAAgAE8AaQBsAFwAIgAsACAAMwA5AC4ANwAsACAANwAzAC4ANgAsACAAMAAuADIALAAgADAALgA1ACwAIAAxADgALgAwADsAXABuACAAIAAgACAAIAAgACAAIABcACIATwBmAGYALQByAG8AYQBkACAAQQBnAHIAaQBjAHUAbAB0AHUAcgBlACAAYQBuAGQAIABmAG8AcgBlAHMAdAByAHkAIABlAHEAdQBpAHAAbQBlAG4AdABcACIALAAgAFwAIgBEAGkAZQBzAGUAbABcACIALAAgADMAOAAuADYALAAgADYAOQAuADkALAAgADAALgAzACwAIAAwAC4ANQAsACAAMQA3AC4AMwBcAG4AIAAgACAAIAAgACAAfQAsACAAcgAsACAAYwApAFwAbgApACkAKQA7AFwAbgBcAG4AXABuAFwAbgAiAH0ALAB7ACIAcABhAHQAaAAiADoAIgAvAHAAcgBvAGoAZQBjAHQAcwAvAEEAZwBSAGUAcwBpAGQAdQBlAF8ARQBxAHUAYQB0AGkAbwBuAHMAXwBDAHIAbwBwAFIAZQBzAGkAZAB1AGUAIgAsACIAdABlAHgAdAAiADoAIgAvACoAIABcAG4ALQAtAC0ALQAtAC0ALQAtAC0ALQAtAC0ALQAtAC0ALQAtAC0ALQAtAC0ALQAtAC0ALQAtAC0ALQAtAC0ALQAtAC0ALQAtAC0ALQAtAFwAbgBWAEUARQBSAEcAXwA2AF8AMQBfADEAXwAxAF8AXwAxAF8AXwBOAGkAdAByAG8AdQBzAE8AeABpAGQAZQBFAG0AaQBzAHMAaQBvAG4AcwBGAHIAbwBtAEMAcgBvAHAAUgBlAHMAaQBkAHUAZQBzAFwAbgBOAGkAdAByAG8AdQBzACAAbwB4AGkAZABlACAAZQBtAGkAcwBzAGkAbwBuAHMAIABmAHIAbwBtACAAdABoAGUAIAByAGUAdAB1AHIAbgAgAG8AZgAgAGMAcgBvAHAAIAByAGUAcwBpAGQAdQBlAHMAIABhAGMAcgBvAHMAcwAgAGEAbABsACAAYwByAG8AcABzACAAYwAgAHQAbwAgAHQAaABlACAAcwBvAGkAbABcAG4ARQBcAG4AdAAgAE4AMgBPAFwAbgBFAD0AXABcAHMAdQBtAF8AewBjAH0AewBNAF8AewBjAH0AXABcAHQAaQBtAGUAcwAgAEUARgBfAHsATgB9AFwAXAB0AGkAbQBlAHMAIABDAF8AewBnACwATgAyAE8AfQBcAFwAdABpAG0AZQBzACAAMQAwAF4AewAtADMAfQB9AFwAbgBNAGMAIAA9ACAAbQBhAHMAcwAgAG8AZgAgAG4AaQB0AHIAbwBnAGUAbgAgAGkAbgAgAGMAcgBvAHAAIABjACAAcgBlAHMAaQBkAHUAZQBzACAAcgBlAHQAdQByAG4AZQBkACAAdABvACAAdABoAGUAIABzAG8AaQBsACAAKABrAGcAIABOACkAXABuAEUARgBOAGkAIAA9ACAAZQBtAGkAcwBzAGkAbwBuACAAZgBhAGMAdABvAHIAIABmAG8AcgAgAGMAcgBvAHAAIAByAGUAcwBpAGQAdQBlAHMAIAByAGUAdAB1AHIAbgBlAGQAIAB0AG8AIAB0AGgAZQAgAHMAbwBpAGwAIAAoAGsAZwAgAE4AMgBPAC0ATgAvAGsAZwAgAE4AKQBcAG4AQwBnAE4AMgBPACAAPQAgAGYAYQBjAHQAbwByACAAdABvACAAYwBvAG4AdgBlAHIAdAAgAGUAbABlAG0AZQBuAHQAYQBsACAAbQBhAHMAcwAgAG8AZgAgAG4AaQB0AHIAbwB1AHMAIABvAHgAaQBkAGUAIAB0AG8AIABtAG8AbABlAGMAdQBsAGEAcgAgAG0AYQBzAHMAIAAoAGQAaQBtAGUAbgBzAGkAbwBuAGwAZQBzAHMAKQBcAG4AYwAgAD0AIABDAHIAbwBwACAAdAB5AHAAZQBcAG4ALQAtAC0ALQAtAC0ALQAtAC0ALQAtAC0ALQAtAC0ALQAtAC0ALQAtAC0ALQAtAC0ALQAtAC0ALQAtAC0ALQAtAC0ALQAtAC0ALQAtAFwAbgAqAC8AXABuAFwAbgBWAEUARQBSAEcAXwA2AF8AMQBfADEAXwAxAF8AXwAxAF8AXwBOAGkAdAByAG8AdQBzAE8AeABpAGQAZQBFAG0AaQBzAHMAaQBvAG4AcwBGAHIAbwBtAEMAcgBvAHAAUgBlAHMAaQBkAHUAZQBzAFwAbgAgACAAPQBMAEEATQBCAEQAQQAoAFwAbgAgACAAIAAgAE0AXwBjACwAIABFAEYAXwBOAGkALAAgAEMAXwBOADIATwAsAFwAbgAgACAAIAAgAE0AXwBjACAAKgAgAEUARgBfAE4AaQAgACoAIABDAF8ATgAyAE8AIAAqACAAMQAwAF4AKAAtADMAKQBcAG4AIAAgACkAXABuADsAXABuAFwAbgBWAEUARQBSAEcAXwA2AF8AMQBfADEAXwAxAF8AXwAxAF8AXwBOAGkAdAByAG8AdQBzAE8AeABpAGQAZQBFAG0AaQBzAHMAaQBvAG4AcwBGAHIAbwBtAEMAcgBvAHAAUgBlAHMAaQBkAHUAZQBzAF8ARgB1AG4AYwB0AGkAbwBuAE4AYQBtAGUAXABuACAAIAA9AEwAQQBNAEIARABBACgAXAAiAFYARQBFAFIARwBfADYAXwAxAF8AMQBfADEAXwBfADEAXwBfAE4AaQB0AHIAbwB1AHMATwB4AGkAZABlAEUAbQBpAHMAcwBpAG8AbgBzAEYAcgBvAG0AQwByAG8AcABSAGUAcwBpAGQAdQBlAHMAXAAiACkAOwBcAG4AXABuAFYARQBFAFIARwBfADYAXwAxAF8AMQBfADEAXwBfADEAXwBfAE4AaQB0AHIAbwB1AHMATwB4AGkAZABlAEUAbQBpAHMAcwBpAG8AbgBzAEYAcgBvAG0AQwByAG8AcABSAGUAcwBpAGQAdQBlAHMAXwBUAGkAdABsAGUAXABuACAAIAA9AEwAQQBNAEIARABBACgAXAAiAE4AaQB0AHIAbwB1AHMAIABvAHgAaQBkAGUAIABlAG0AaQBzAHMAaQBvAG4AcwAgAGYAcgBvAG0AIAB0AGgAZQAgAHIAZQB0AHUAcgBuACAAbwBmACAAYwByAG8AcAAgAHIAZQBzAGkAZAB1AGUAcwAgAGEAYwByAG8AcwBzACAAYQBsAGwAIABjAHIAbwBwAHMAIABjACAAdABvACAAdABoAGUAIABzAG8AaQBsAFwAIgApADsAXABuAFwAbgBWAEUARQBSAEcAXwA2AF8AMQBfADEAXwAxAF8AXwAxAF8AXwBOAGkAdAByAG8AdQBzAE8AeABpAGQAZQBFAG0AaQBzAHMAaQBvAG4AcwBGAHIAbwBtAEMAcgBvAHAAUgBlAHMAaQBkAHUAZQBzAF8AVgBhAHIAaQBhAGIAbABlAFwAbgAgACAAPQBMAEEATQBCAEQAQQAoAFwAIgBFAFwAIgApADsAXABuAFwAbgBWAEUARQBSAEcAXwA2AF8AMQBfADEAXwAxAF8AXwAxAF8AXwBOAGkAdAByAG8AdQBzAE8AeABpAGQAZQBFAG0AaQBzAHMAaQBvAG4AcwBGAHIAbwBtAEMAcgBvAHAAUgBlAHMAaQBkAHUAZQBzAF8AVQBuAGkAdABcAG4AIAAgAD0ATABBAE0AQgBEAEEAKABcACIAdAAgAE4AMgBPAFwAIgApADsAXABuAFwAbgBWAEUARQBSAEcAXwA2AF8AMQBfADEAXwAxAF8AXwAxAF8AXwBOAGkAdAByAG8AdQBzAE8AeABpAGQAZQBFAG0AaQBzAHMAaQBvAG4AcwBGAHIAbwBtAEMAcgBvAHAAUgBlAHMAaQBkAHUAZQBzAF8AUwBvAHUAcgBjAGUAXABuACAAIAA9AEwAQQBNAEIARABBACgAXAAiAFYARQBFAFIARwAgADIAMAAyADYAOgAgADYALgAxAC4AMQAuADEALAAgAEUAcQB1AGEAdABpAG8AbgAgACgAMQApAFwAIgApADsAXABuAFwAbgBWAEUARQBSAEcAXwA2AF8AMQBfADEAXwAxAF8AXwAxAF8AXwBOAGkAdAByAG8AdQBzAE8AeABpAGQAZQBFAG0AaQBzAHMAaQBvAG4AcwBGAHIAbwBtAEMAcgBvAHAAUgBlAHMAaQBkAHUAZQBzAF8ATgBJAFIAUgBlAGYAZQByAGUAbgBjAGUAXABuACAAIAA9AEwAQQBNAEIARABBACgAXAAiAFwAIgApADsAXABuAFwAbgBWAEUARQBSAEcAXwA2AF8AMQBfADEAXwAxAF8AXwAxAF8AXwBOAGkAdAByAG8AdQBzAE8AeABpAGQAZQBFAG0AaQBzAHMAaQBvAG4AcwBGAHIAbwBtAEMAcgBvAHAAUgBlAHMAaQBkAHUAZQBzAF8ATABhAHQAZQB4AEUAcQB1AGEAdABpAG8AbgBcAG4AIAAgAD0ATABBAE0AQgBEAEEAKABcACIARQA9AFwAXABzAHUAbQBcAFwAbgBvAGwAaQBtAGkAdABzAF8AYwBcAFwAbABlAGYAdAAoAE0AXwB7AGMAfQBcAFwAdABpAG0AZQBzACAARQBGAF8AewBOAH0AXABcAHIAaQBnAGgAdAApAFwAXAB0AGkAbQBlAHMAIABDAF8AewBnACwATgAyAE8AfQBcAFwAdABpAG0AZQBzACAAMQAwAF4AewAtADMAfQBcACIAKQA7AFwAbgBcAG4AVgBFAEUAUgBHAF8ANgBfADEAXwAxAF8AMQBfAF8AMQBfAF8ATgBpAHQAcgBvAHUAcwBPAHgAaQBkAGUARQBtAGkAcwBzAGkAbwBuAHMARgByAG8AbQBDAHIAbwBwAFIAZQBzAGkAZAB1AGUAcwBfAEEAcgBnAHUAbQBlAG4AdABzAFwAbgAgACAAPQBMAEEATQBCAEQAQQAoAFwAbgAgACAAIAAgAE0AQQBLAEUAQQBSAFIAQQBZACgANQAsACAANAAsACAAXABuACAAIAAgACAAIAAgAEwAQQBNAEIARABBACgAcgAsAGMALAAgAFwAbgAgACAAIAAgACAAIAAgACAASQBOAEQARQBYACgAewBcAG4AIAAgACAAIAAgACAAIAAgACAAIABcACIATQBfAGMAXAAiACwAXAAiAG0AYQBzAHMAIABvAGYAIABuAGkAdAByAG8AZwBlAG4AIABpAG4AIABjAHIAbwBwACAAYwAgAHIAZQBzAGkAZAB1AGUAcwAgAHIAZQB0AHUAcgBuAGUAZAAgAHQAbwAgAHQAaABlACAAcwBvAGkAbABcACIALAAgAFwAIgBrAGcAIABOAFwAIgAsACAAXAAiAEMAYQBsAGMAdQBsAGEAdABlAGQAIABmAHIAbwBtACAANgAuADEALgAxAC4AMQAgACgAMgApAFwAIgA7AFwAbgAgACAAIAAgACAAIAAgACAAIAAgAFwAIgBFAEYAXwBOAGkAXAAiACwAXAAiAGUAbQBpAHMAcwBpAG8AbgAgAGYAYQBjAHQAbwByACAAZgBvAHIAIABjAHIAbwBwACAAcgBlAHMAaQBkAHUAZQBzACAAcgBlAHQAdQByAG4AZQBkACAAdABvACAAdABoAGUAIABzAG8AaQBs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ZABpAG0AZQBuAHMAaQBvAG4AbABlAHMAcwBcACIALAAgAFwAIgBDAG8AbgBzAHQAYQBuAHQAXAAiADsAXABuACAAIAAgACAAIAAgACAAIAAgACAAXAAiAGMAXAAiACwAXAAiAEMAcgBvAHAAIAB0AHkAcABlAFwAIgAsACAAXAAiAFwAIgAsACAAXAAiAEkAbgBwAHUAdABcACIAOwBcAG4AIAAgACAAIAAgACAAIAAgACAAIABcACIAaQBcACIALABcACIAVwBlAHQAIABvAHIAIABkAHIAeQAgAGMAbABpAG0AYQB0AGUAIAB6AG8Abg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YAXwAxAF8AMQBfADEAXwBfADIAXwBfAE0AYQBzAHMATwBmAE4AaQB0AHIAbwBnAGUAbgBJAG4AQwByAG8AcABSAGUAcwBpAGQAdQBlAHMAXABuAE0AYQBzAHMAIABvAGYAIABuAGkAdAByAG8AZwBlAG4AIABpAG4AIABjAHIAbwBwACAAcgBlAHMAaQBkAHUAZQBzACAAcgBlAHQAdQByAG4AZQBkACAAdABvACAAdABoAGUAIABzAG8AaQBsAFwAbgBNAGMAXABuAGsAZwAgAE4AXABuAE0AXwB7AGMAfQA9ACgAUABfAHsAYwB9AFwAXAB0AGkAbQBlAHMAIABSAF8AewBBAEcAYwB9AFwAXAB0AGkAbQBlAHMAKAAxAC0ARgBfAHsAYwB9AC0ARgBGAE8ARABfAHsAYwB9ACkAXABcAHQAaQBtAGUAcwAgAEQATQBfAHsAYwB9AFwAXAB0AGkAbQBlAHMAIABOAEMAXwB7AEEARwBjAH0AKQArACgAUABfAHsAYwB9AFwAXAB0AGkAbQBlAHMAIABSAF8AewBBAEcAYwB9AFwAXAB0AGkAbQBlAHMAIABSAF8AewBCAEcAYwB9AFwAXAB0AGkAbQBlAHMAIABEAE0AXwB7AGMAfQBcAFwAdABpAG0AZQBzACAATgBDAF8AewBCAEcAYwB9ACkAXABuAFAAYwAgAD0AIABhAG4AbgB1AGEAbAAgAHAAcgBvAGQAdQBjAHQAaQBvAG4AIABvAGYAIABjAHIAbwBwACAAYwAgACgAawBnACkAXABuAFIAQQBHAGMAIAA9ACAAcgBlAHMAaQBkAHUAZQAgAHQAbwAgAGMAcgBvAHAAIAByAGEAdABpAG8AIABmAG8AcgAgAGMAcgBvAHAAIABjACAAKABkAGkAbQBlAG4AcwBpAG8AbgBsAGUAcwBzACkAXABuAFIAQgBHAGMAIAA9ACAAYgBlAGwAbwB3ACAAZwByAG8AdQBuAGQALQByAGUAcwBpAGQAdQBlACAAdABvACAAYQBiAG8AdgBlACAAZwByAG8AdQBuAGQAIAByAGUAcwBpAGQAdQBlACAAcgBhAHQAaQBvACAAZgBvAHIAIABjAHIAbwBwACAAYwAgACgAZABpAG0AZQBuAHMAaQBvAG4AbABlAHMAcwApAFwAbgBGAGMAIAA9ACAAZgByAGEAYwB0AGkAbwBuACAAbwBmACAAYwByAG8AcAAgAHIAZQBzAGkAZAB1AGUAIAB0AGgAYQB0ACAAaQBzACAAYgB1AHIAbgB0ACAAZgBvAHIAIABjAHIAbwBwACAAYwAgACgAZABpAG0AZQBuAHMAaQBvAG4AbABlAHMAcwApAFwAbgBGAEYATwBEAGMAIAA9ACAAZgByAGEAYwB0AGkAbwBuACAAbwBmACAAdABoAGUAIABjAHIAbwBwACAAcgBlAHMAaQBkAHUAZQAgAHQAaABhAHQAIABpAHMAIAByAGUAbQBvAHYAZQBkACAAZgBvAHIAIABjAHIAbwBwACAAYwAgACgAZABpAG0AZQBuAHMAaQBvAG4AbABlAHMAcwApAFwAbgBEAE0AYwAgAD0AIABkAHIAeQAgAG0AYQB0AHQAZQByACAAYwBvAG4AdABlAG4AdAAgAG8AZgAgAGMAcgBvAHAAIABjACAAKABrAGcAIABkAHIAeQAgAHcAZQBpAGcAaAB0AC8AawBnACAAYwByAG8AcAAgAHIAZQBzAGkAZAB1AGUAKQBcAG4ATgBDAEEARwBjACAAPQAgAG4AaQB0AHIAbwBnAGUAbgAgAGMAbwBuAHQAZQBuAHQAIABvAGYAIABhAGIAbwB2AGUALQBnAHIAbwB1AG4AZAAgAGMAcgBvAHAAIAByAGUAcwBpAGQAdQBlACAAbwBmACAAYwByAG8AcAAgAGMAIAAoAGsAZwAgAE4ALwBrAGcAIABEAE0AKQBcAG4ATgBDAEIARwBjACAAPQAgAG4AaQB0AHIAbwBnAGUAbgAgAGMAbwBuAHQAZQBuAHQAIABvAGYAIABiAGUAbABvAHcALQBnAHIAbwB1AG4AZAAgAGMAcgBvAHAAIAByAGUAcwBpAGQAdQBlACAAbwBmACAAYwByAG8AcAAgAGMAIAAoAGsAZwAgAE4ALwBrAGcAIABEAE0AKQBcAG4AYwAgAD0AIABDAHIAbwBwACAAdAB5AHAAZQBcAG4ALQAtAC0ALQAtAC0ALQAtAC0ALQAtAC0ALQAtAC0ALQAtAC0ALQAtAC0ALQAtAC0ALQAtAC0ALQAtAC0ALQAtAC0ALQAtAC0ALQAtAFwAbgAqAC8AXABuAFwAbgBWAEUARQBSAEcAXwA2AF8AMQBfADEAXwAxAF8AXwAyAF8AXwBNAGEAcwBzAE8AZgBOAGkAdAByAG8AZwBlAG4ASQBuAEMAcgBvAHAAUgBlAHMAaQBkAHUAZQBzAFwAbgAgACAAPQBMAEEATQBCAEQAQQAoAFwAbgAgACAAIAAgAFAAXwBjACwAIABSAF8AQQBHAGMALAAgAEYAXwBjACwAIABGAEYATwBEAF8AYwAsACAARABNAF8AYwAsACAATgBDAF8AQQBHAGMALAAgAFIAXwBCAEcAYwAsACAATgBDAF8AQgBHAGMALABcAG4AIAAgACAAIAAoAFAAXwBjACAAKgAgAFIAXwBBAEcAYwAgACoAIAAoADEAIAAtACAARgBfAGMAIAAtACAARgBGAE8ARABfAGMAKQAgACoAIABEAE0AXwBjACAAKgAgAE4AQwBfAEEARwBjACkAIAArACAAKABQAF8AYwAgACoAIABSAF8AQQBHAGMAIAAqACAAUgBfAEIARwBjACAAKgAgAEQATQBfAGMAIAAqACAATgBDAF8AQgBHAGMAKQBcAG4AIAAgACkAXABuADsAXABuAFwAbgBWAEUARQBSAEcAXwA2AF8AMQBfADEAXwAxAF8AXwAyAF8AXwBNAGEAcwBzAE8AZgBOAGkAdAByAG8AZwBlAG4ASQBuAEMAcgBvAHAAUgBlAHMAaQBkAHUAZQBzAF8AVABpAHQAbABlAFwAbgAgACAAPQBMAEEATQBCAEQAQQAoAFwAIgBNAGEAcwBzACAAbwBmACAAbgBpAHQAcgBvAGcAZQBuACAAaQBuACAAYwByAG8AcAAgAHIAZQBzAGkAZAB1AGUAcwAgAHIAZQB0AHUAcgBuAGUAZAAgAHQAbwAgAHQAaABlACAAcwBvAGkAbABcACIAKQA7AFwAbgBcAG4AVgBFAEUAUgBHAF8ANgBfADEAXwAxAF8AMQBfAF8AMgBfAF8ATQBhAHMAcwBPAGYATgBpAHQAcgBvAGcAZQBuAEkAbgBDAHIAbwBwAFIAZQBzAGkAZAB1AGUAcwBfAFYAYQByAGkAYQBiAGwAZQBcAG4AIAAgAD0ATABBAE0AQgBEAEEAKABcACIATQBfAGMAXAAiACkAOwBcAG4AXABuAFYARQBFAFIARwBfADYAXwAxAF8AMQBfADEAXwBfADIAXwBfAE0AYQBzAHMATwBmAE4AaQB0AHIAbwBnAGUAbgBJAG4AQwByAG8AcABSAGUAcwBpAGQAdQBlAHMAXwBVAG4AaQB0AFwAbgAgACAAPQBMAEEATQBCAEQAQQAoAFwAIgBrAGcAIABOAFwAIgApADsAXABuAFwAbgBWAEUARQBSAEcAXwA2AF8AMQBfADEAXwAxAF8AXwAyAF8AXwBNAGEAcwBzAE8AZgBOAGkAdAByAG8AZwBlAG4ASQBuAEMAcgBvAHAAUgBlAHMAaQBkAHUAZQBzAF8AUwBvAHUAcgBjAGUAXABuACAAIAA9AEwAQQBNAEIARABBACgAXAAiAFYARQBFAFIARwAgADIAMAAyADYAOgAgADYALgAxAC4AMQAuADEALAAgAEUAcQB1AGEAdABpAG8AbgAgACgAMgApAFwAIgApADsAXABuAFwAbgBWAEUARQBSAEcAXwA2AF8AMQBfADEAXwAxAF8AXwAyAF8AXwBNAGEAcwBzAE8AZgBOAGkAdAByAG8AZwBlAG4ASQBuAEMAcgBvAHAAUgBlAHMAaQBkAHUAZQBzAF8ATgBJAFIAUgBlAGYAZQByAGUAbgBjAGUAXABuACAAIAA9AEwAQQBNAEIARABBACgAXAAiAFwAIgApADsAXABuAFwAbgBWAEUARQBSAEcAXwA2AF8AMQBfADEAXwAxAF8AXwAyAF8AXwBNAGEAcwBzAE8AZgBOAGkAdAByAG8AZwBlAG4ASQBuAEMAcgBvAHAAUgBlAHMAaQBkAHUAZQBzAF8ATABhAHQAZQB4AEUAcQB1AGEAdABpAG8AbgBcAG4AIAAgAD0ATABBAE0AQgBEAEEAKABcACIATQBfAHsAYwB9AD0AKABQAF8AewBjAH0AXABcAHQAaQBtAGUAcwAgAFIAXwB7AEEARwBjAH0AXABcAHQAaQBtAGUAcwAoADEALQBGAF8AewBjAH0ALQBGAEYATwBEAF8AewBjAH0AKQBcAFwAdABpAG0AZQBzACAARABNAF8AewBjAH0AXABcAHQAaQBtAGUAcwAgAE4AQwBfAHsAQQBHAGMAfQApACsAKABQAF8AewBjAH0AXABcAHQAaQBtAGUAcwAgAFIAXwB7AEEARwBjAH0AXABcAHQAaQBtAGUAcwAgAFIAXwB7AEIARwBjAH0AXABcAHQAaQBtAGUAcwAgAEQATQBfAHsAYwB9AFwAXAB0AGkAbQBlAHMAIABOAEMAXwB7AEIARwBjAH0AKQBcACIAKQA7AFwAbgBcAG4AVgBFAEUAUgBHAF8ANgBfADEAXwAxAF8AMQBfAF8AMgBfAF8ATQBhAHMAcwBPAGYATgBpAHQAcgBvAGcAZQBuAEkAbgBDAHIAbwBwAFIAZQBzAGkAZAB1AGUAcwBfAEEAcgBnAHUAbQBlAG4AdABzAFwAbgAgACAAPQBMAEEATQBCAEQAQQAoAFwAbgAgACAAIAAgAE0AQQBLAEUAQQBSAFIAQQBZACgAMQAwACwAIAA0ACwAIABcAG4AIAAgACAAIAAgACAATABBAE0AQgBEAEEAKAByACwAYwAsACAAXABuACAAIAAgACAAIAAgACAAIABJAE4ARABFAFgAKAB7AFwAbgAgACAAIAAgACAAIAAgACAAIAAgAFwAIgBQAF8AYwBcACIALABcACIAYQBuAG4AdQBhAGwAIABwAHIAbwBkAHUAYwB0AGkAbwBuACAAbwBmACAAYwByAG8AcAAgAGMAXAAiACwAIABcACIAawBnAFwAIgAsACAAXAAiAEkAbgBwAHUAdABcACIAOwBcAG4AIAAgACAAIAAgACAAIAAgACAAIABcACIAUgBfAEEARwBjAFwAIgAsAFwAIgByAGUAcwBpAGQAdQBlACAAdABvACAAYwByAG8AcAAgAHIAYQB0AGkAbwAgAGYAbwByACAAYwByAG8AcAAgAGMAXAAiACwAIABcACIAXAAiACwAIABcACIAQwBvAG4AcwB0AGEAbgB0AFwAIgA7AFwAbgAgACAAIAAgACAAIAAgACAAIAAgAFwAIgBSAF8AQgBHAGMAXAAiACwAXAAiAGIAZQBsAG8AdwAgAGcAcgBvAHUAbgBkAC0AcgBlAHMAaQBkAHUAZQAgAHQAbwAgAGEAYgBvAHYAZQAgAGcAcgBvAHUAbgBkACAAcgBlAHMAaQBkAHUAZQAgAHIAYQB0AGkAbwAgAGYAbwByACAAYwByAG8AcAAgAGMAXAAiACwAIABcACIAXAAiACwAIABcACIAQwBvAG4AcwB0AGEAbgB0AFwAIgA7AFwAbgAgACAAIAAgACAAIAAgACAAIAAgAFwAIgBGAF8AYwBcACIALABcACIAZgByAGEAYwB0AGkAbwBuACAAbwBmACAAYwByAG8AcAAgAHIAZQBzAGkAZAB1AGUAIAB0AGgAYQB0ACAAaQBzACAAYgB1AHIAbgB0ACAAZgBvAHIAIABjAHIAbwBwACAAYwBcACIALAAgAFwAIgBmAHIAYQBjAHQAaQBvAG4AXAAiACwAIABcACIASQBuAHAAdQB0AFwAIgA7AFwAbgAgACAAIAAgACAAIAAgACAAIAAgAFwAIgBGAEYATwBEAF8AYwBcACIALABcACIAZgByAGEAYwB0AGkAbwBuACAAbwBmACAAdABoAGUAIABjAHIAbwBwACAAcgBlAHMAaQBkAHUAZQAgAHQAaABhAHQAIABpAHMAIAByAGUAbQBvAHYAZQBkACAAZgBvAHIAIABjAHIAbwBwACAAYwBcACIALAAgAFwAIgBmAHIAYQBjAHQAaQBvAG4AXAAiACwAIABcACIAQwBvAG4AcwB0AGEAbgB0AFwAIgA7AFwAbgAgACAAIAAgACAAIAAgACAAIAAgAFwAIgBEAE0AXwBjAFwAIgAsAFwAIgBkAHIAeQAgAG0AYQB0AHQAZQByACAAYwBvAG4AdABlAG4AdAAgAG8AZgAgAGMAcgBvAHAAIABjAFwAIgAsACAAXAAiAGsAZwAgAGQAcgB5ACAAdwBlAGkAZwBoAHQALwBrAGcAIABjAHIAbwBwACAAcgBlAHMAaQBkAHUAZQBcACIALAAgAFwAIgBDAG8AbgBzAHQAYQBuAHQAXAAiADsAXABuACAAIAAgACAAIAAgACAAIAAgACAAXAAiAE4AQwBfAEEARwBjAFwAIgAsAFwAIgBuAGkAdAByAG8AZwBlAG4AIABjAG8AbgB0AGUAbgB0ACAAbwBmACAAYQBiAG8AdgBlAC0AZwByAG8AdQBuAGQAIABjAHIAbwBwACAAcgBlAHMAaQBkAHUAZQAgAG8AZgAgAGMAcgBvAHAAIABjAFwAIgAsACAAXAAiAGsAZwAgAE4ALwBrAGcAIABEAE0AXAAiACwAIABcACIAQwBvAG4AcwB0AGEAbgB0AFwAIgA7AFwAbgAgACAAIAAgACAAIAAgACAAIAAgAFwAIgBOAEMAXwBCAEcAYwBcACIALABcACIAbgBpAHQAcgBvAGcAZQBuACAAYwBvAG4AdABlAG4AdAAgAG8AZgAgAGIAZQBsAG8AdwAtAGcAcgBvAHUAbgBkACAAYwByAG8AcAAgAHIAZQBzAGkAZAB1AGUAIABvAGYAIABjAHIAbwBwACAAYwBcACIALAAgAFwAIgBrAGcAIABOAC8AawBnACAARABNAFwAIgAsACAAXAAiAEMAbwBuAHMAdABhAG4AdABcACIAOwBcAG4AIAAgACAAIAAgACAAIAAgACAAIABcACIAYwBcACIALABcACIAQwByAG8AcAAgAHQAeQBwAGUAXAAiACwAIABcACIAXAAiACwAIABcACIASQBuAHAAdQB0AFwAIgA7AFwAbgAgACAAIAAgACAAIAAgACAAIAAgAFwAIgBTAHQAYQB0AGUAXAAiACwAXAAiAFMAdABhAHQAZQAgAG8AcgAgAHQAZQByAHIAaQB0AG8AcgB5AFwAIgAsACAAXAAiAFwAIgAsACAAXAAiAEkAbgBwAHUAdABcACIAXABuACAAIAAgACAAIAAgACAAIAB9ACwAIAByACwAIABjACkAXABuACAAIAAgACAAIAAgACkAXABuACAAIAAgACAAKQBcAG4AIAAgACkAOwBcAG4AXABuAFYARQBFAFIARwBfADYAXwAxAF8AMQBfADEAXwBfADIAXwBfAE0AYQBzAHMATwBmAE4AaQB0AHIAbwBnAGUAbgBJAG4AQwByAG8AcABSAGUAcwBpAGQAdQBlAHMAXwBBAHIAZwB1AG0AZQBuAHQAcwBfAE0AZQB0AGgAbwBkADIAXABuACAAIAA9AEwAQQBNAEIARABBACgAXABuACAAIAAgACAATQBBAEsARQBBAFIAUgBBAFkAKAAxADAALAAgADQALAAgAFwAbgAgACAAIAAgACAAIABMAEEATQBCAEQAQQAoAHIALABjACwAIABcAG4AIAAgACAAIAAgACAAIAAgAEkATgBEAEUAWAAoAHsAXABuACAAIAAgACAAIAAgACAAIAAgACAAXAAiAFAAXwBjAFwAIgAsAFwAIgBhAG4AbgB1AGEAbAAgAHAAcgBvAGQAdQBjAHQAaQBvAG4AIABvAGYAIABjAHIAbwBwACAAYwBcACIALAAgAFwAIgBrAGcAXAAiACwAIABcACIASQBuAHAAdQB0AFwAIgA7AFwAbgAgACAAIAAgACAAIAAgACAAIAAgAFwAIgBSAF8AQQBHAGMAXAAiACwAXAAiAHIAZQBzAGkAZAB1AGUAIAB0AG8AIABjAHIAbwBwACAAcgBhAHQAaQBvACAAZgBvAHIAIABjAHIAbwBwACAAYwBcACIALAAgAFwAIgBcACIALAAgAFwAIgBDAG8AbgBzAHQAYQBuAHQAXAAiADsAXABuACAAIAAgACAAIAAgACAAIAAgACAAXAAiAFIAXwBCAEcAYwBcACIALABcACIAYgBlAGwAbwB3ACAAZwByAG8AdQBuAGQALQByAGUAcwBpAGQAdQBlACAAdABvACAAYQBiAG8AdgBlACAAZwByAG8AdQBuAGQAIAByAGUAcwBpAGQAdQBlACAAcgBhAHQAaQBvACAAZgBvAHIAIABjAHIAbwBwACAAYwBcACIALAAgAFwAIgBcACIALAAgAFwAIgBDAG8AbgBzAHQAYQBuAHQAXAAiADsAXABuACAAIAAgACAAIAAgACAAIAAgACAAXAAiAEYAXwBjAFwAIgAsAFwAIgBmAHIAYQBjAHQAaQBvAG4AIABvAGYAIABjAHIAbwBwACAAcgBlAHMAaQBkAHUAZQAgAHQAaABhAHQAIABpAHMAIABiAHUAcgBuAHQAIABmAG8AcgAgAGMAcgBvAHAAIABjAFwAIgAsACAAXAAiAGYAcgBhAGMAdABpAG8AbgBcACIALAAgAFwAIgBJAG4AcAB1AHQAXAAiADsAXABuACAAIAAgACAAIAAgACAAIAAgACAAXAAiAEYARgBPAEQAXwBjAFwAIgAsAFwAIgBmAHIAYQBjAHQAaQBvAG4AIABvAGYAIAB0AGgAZQAgAGMAcgBvAHAAIAByAGUAcwBpAGQAdQBlACAAdABoAGEAdAAgAGkAcwAgAHIAZQBtAG8AdgBlAGQAIABmAG8AcgAgAGMAcgBvAHAAIABjAFwAIgAsACAAXAAiAGYAcgBhAGMAdABpAG8AbgBcACIALAAgAFwAIgBDAGEAbABjAHUAbABhAHQAZQBkACAAZgByAG8AbQAgADYALgAxAC4AMQAuADIAIAAoADEAKQBcACIAOwBcAG4AIAAgACAAIAAgACAAIAAgACAAIABcACIARABNAF8AYwBcACIALABcACIAZAByAHkAIABtAGEAdAB0AGUAcgAgAGMAbwBuAHQAZQBuAHQAIABvAGYAIABjAHIAbwBwACAAYwBcACIALAAgAFwAIgBrAGcAIABkAHIAeQAgAHcAZQBpAGcAaAB0AC8AawBnACAAYwByAG8AcAAgAHIAZQBzAGkAZAB1AGUAXAAiACwAIABcACIAQwBvAG4AcwB0AGEAbgB0AFwAIgA7AFwAbgAgACAAIAAgACAAIAAgACAAIAAgAFwAIgBOAEMAXwBBAEcAYwBcACIALABcACIAbgBpAHQAcgBvAGcAZQBuACAAYwBvAG4AdABlAG4AdAAgAG8AZgAgAGEAYgBvAHYAZQAtAGcAcgBvAHUAbgBkACAAYwByAG8AcAAgAHIAZQBzAGkAZAB1AGUAIABvAGYAIABjAHIAbwBwACAAYwBcACIALAAgAFwAIgBrAGcAIABOAC8AawBnACAARABNAFwAIgAsACAAXAAiAEMAbwBuAHMAdABhAG4AdABcACIAOwBcAG4AIAAgACAAIAAgACAAIAAgACAAIABcACIATgBDAF8AQgBHAGMAXAAiACwAXAAiAG4AaQB0AHIAbwBnAGUAbgAgAGMAbwBuAHQAZQBuAHQAIABvAGYAIABiAGUAbABvAHcALQBnAHIAbwB1AG4AZAAgAGMAcgBvAHAAIAByAGUAcwBpAGQAdQBlACAAbwBmACAAYwByAG8AcAAgAGMAXAAiACwAIABcACIAawBnACAATgAvAGsAZwAgAEQATQBcACIALAAgAFwAIgBDAG8AbgBzAHQAYQBuAHQAXAAiADsAXABuACAAIAAgACAAIAAgACAAIAAgACAAXAAiAGMAXAAiACwAXAAiAEMAcgBvAHAAIAB0AHkAcABlAFwAIgAsACAAXAAiAFwAIgAsACAAXAAiAEkAbgBwAHUAdABcACIAOwBcAG4AIAAgACAAIAAgACAAIAAgACAAIABcACIAUwB0AGEAdABlAFwAIgAsAFwAIgBTAHQAYQB0AGUAIABvAHIAIAB0AGUAcgByAGkAdABvAHIAeQ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2AF8AMQBfADEAXwAyAF8AXwAxAF8AXwBGAHIAYQBjAHQAaQBvAG4ATwBmAEMAcgBvAHAAUgBlAHMAaQBkAHUAZQBSAGUAbQBvAHYAZQBkAEIAYQBsAGUAZABcAG4ARgByAGEAYwB0AGkAbwBuACAAbwBmACAAYwByAG8AcAAgAHIAZQBzAGkAZAB1AGUAIAB0AGgAYQB0ACAAaQBzACAAcgBlAG0AbwB2AGUAZAAgAGYAbwByACAAYwByAG8AcAAgAGMALAAgAGMAYQBsAGMAdQBsAGEAdABlAGQAIAB3AGgAZQByAGUAIAByAGUAcwBpAGQAdQBlAHMAIABhAHIAZQAgAGIAYQBsAGUAZABcAG4ARgBGAE8ARABjAGIAYQBsAGUAZABcAG4AZABpAG0AZQBuAHMAaQBvAG4AbABlAHMAcwBcAG4ARgBGAE8ARABfAHsAYwB9AD0AXABcAGYAcgBhAGMAewBCAFwAXAB0AGkAbQBlAHMAIABNAF8AewBCAH0AfQB7AFAAXwB7AGMAfQBcAFwAdABpAG0AZQBzACAAUgBfAHsAQQBHACwAYwB9AH0AXABuAEIAIAA9ACAAbgB1AG0AYgBlAHIAIABvAGYAIABiAGEAbABlAHMAIABnAGUAbgBlAHIAYQB0AGUAZAAgACgAZABpAG0AZQBuAHMAaQBvAG4AbABlAHMAcwApAFwAbgBNAEIAIAA9ACAAbQBhAHMAcwAgAG8AZgAgAGUAYQBjAGgAIABiAGEAbABlACAAKABrAGcAKQBcAG4AUABjACAAPQAgAGEAbgBuAHUAYQBsACAAcAByAG8AZAB1AGMAdABpAG8AbgAgAG8AZgAgAGMAcgBvAHAAIABjACAAKABrAGcAKQBcAG4AUgBBAEcAYwAgAD0AIAByAGUAcwBpAGQAdQBlACAAdABvACAAYwByAG8AcAAgAHIAYQB0AGkAbwAgAGYAbwByACAAYwByAG8AcAAgAGMAIAAoAGQAaQBtAGUAbgBzAGkAbwBuAGwAZQBzAHMAKQBcAG4AYwAgAD0AIABDAHIAbwBwACAAdAB5AHAAZQBcAG4ALQAtAC0ALQAtAC0ALQAtAC0ALQAtAC0ALQAtAC0ALQAtAC0ALQAtAC0ALQAtAC0ALQAtAC0ALQAtAC0ALQAtAC0ALQAtAC0ALQAtAFwAbgAqAC8AXABuAFwAbgBWAEUARQBSAEcAXwA2AF8AMQBfADEAXwAyAF8AXwAxAF8AXwBGAHIAYQBjAHQAaQBvAG4ATwBmAEMAcgBvAHAAUgBlAHMAaQBkAHUAZQBSAGUAbQBvAHYAZQBkAEIAYQBsAGUAZABcAG4AIAAgAD0ATABBAE0AQgBEAEEAKABcAG4AIAAgACAAIABCACwAIABNAF8AQgAsACAAUABfAGMALAAgAFIAXwBBAEcAYwAsAFwAbgAgACAAIAAgAEkARgBFAFIAUgBPAFIAKAAoAEIAIAAqACAATQBfAEIAKQAgAC8AIAAoAFAAXwBjACAAKgAgAFIAXwBBAEcAYwApACwAIAAwACkAXABuACAAIAApAFwAbgA7AFwAbgBcAG4AVgBFAEUAUgBHAF8ANgBfADEAXwAxAF8AMgBfAF8AMQBfAF8ARgByAGEAYwB0AGkAbwBuAE8AZgBDAHIAbwBwAFIAZQBzAGkAZAB1AGUAUgBlAG0AbwB2AGUAZABCAGEAbABlAGQAXwBUAGkAdABsAGUAXABuACAAIAA9AEwAQQBNAEIARABBACgAXAAiAEYAcgBhAGMAdABpAG8AbgAgAG8AZgAgAGMAcgBvAHAAIAByAGUAcwBpAGQAdQBlACAAdABoAGEAdAAgAGkAcwAgAHIAZQBtAG8AdgBlAGQAIABmAG8AcgAgAGMAcgBvAHAAIABjACwAIABjAGEAbABjAHUAbABhAHQAZQBkACAAdwBoAGUAcgBlACAAcgBlAHMAaQBkAHUAZQBzACAAYQByAGUAIABiAGEAbABlAGQAXAAiACkAOwBcAG4AXABuAFYARQBFAFIARwBfADYAXwAxAF8AMQBfADIAXwBfADEAXwBfAEYAcgBhAGMAdABpAG8AbgBPAGYAQwByAG8AcABSAGUAcwBpAGQAdQBlAFIAZQBtAG8AdgBlAGQAQgBhAGwAZQBkAF8AVgBhAHIAaQBhAGIAbABlAFwAbgAgACAAPQBMAEEATQBCAEQAQQAoAFwAIgBGAEYATwBEAF8AYwBiAGEAbABlAGQAXAAiACkAOwBcAG4AXABuAFYARQBFAFIARwBfADYAXwAxAF8AMQBfADIAXwBfADEAXwBfAEYAcgBhAGMAdABpAG8AbgBPAGYAQwByAG8AcABSAGUAcwBpAGQAdQBlAFIAZQBtAG8AdgBlAGQAQgBhAGwAZQBkAF8AVQBuAGkAdABcAG4AIAAgAD0ATABBAE0AQgBEAEEAKABcACIAZABpAG0AZQBuAHMAaQBvAG4AbABlAHMAcwBcACIAKQA7AFwAbgBcAG4AVgBFAEUAUgBHAF8ANgBfADEAXwAxAF8AMgBfAF8AMQBfAF8ARgByAGEAYwB0AGkAbwBuAE8AZgBDAHIAbwBwAFIAZQBzAGkAZAB1AGUAUgBlAG0AbwB2AGUAZABCAGEAbABlAGQAXwBTAG8AdQByAGMAZQBcAG4AIAAgAD0ATABBAE0AQgBEAEEAKABcACIAVgBFAEUAUgBHACAAMgAwADIANgA6ACAANgAuADEALgAxAC4AMgAsACAARQBxAHUAYQB0AGkAbwBuACAAKAAxACkAXAAiACkAOwBcAG4AXABuAFYARQBFAFIARwBfADYAXwAxAF8AMQBfADIAXwBfADEAXwBfAEYAcgBhAGMAdABpAG8AbgBPAGYAQwByAG8AcABSAGUAcwBpAGQAdQBlAFIAZQBtAG8AdgBlAGQAQgBhAGwAZQBkAF8ATgBJAFIAUgBlAGYAZQByAGUAbgBjAGUAXABuACAAIAA9AEwAQQBNAEIARABBACgAXAAiAFwAIgApADsAXABuAFwAbgBWAEUARQBSAEcAXwA2AF8AMQBfADEAXwAyAF8AXwAxAF8AXwBGAHIAYQBjAHQAaQBvAG4ATwBmAEMAcgBvAHAAUgBlAHMAaQBkAHUAZQBSAGUAbQBvAHYAZQBkAEIAYQBsAGUAZABfAEwAYQB0AGUAeABFAHEAdQBhAHQAaQBvAG4AXABuACAAIAA9AEwAQQBNAEIARABBACgAXAAiAEYARgBPAEQAXwB7AGMALABiAGEAbABlAGQAfQA9AFwAXABmAHIAYQBjAHsAQgBcAFwAdABpAG0AZQBzACAATQBfAHsAQgB9AH0AewBQAF8AewBjAH0AXABcAHQAaQBtAGUAcwAgAFIAXwB7AEEARwAsAGMAfQB9AFwAIgApADsAXABuAFwAbgBWAEUARQBSAEcAXwA2AF8AMQBfADEAXwAyAF8AXwAxAF8AXwBGAHIAYQBjAHQAaQBvAG4ATwBmAEMAcgBvAHAAUgBlAHMAaQBkAHUAZQBSAGUAbQBvAHYAZQBkAEIAYQBsAGUAZABfAEEAcgBnAHUAbQBlAG4AdABzAFwAbgAgACAAPQBMAEEATQBCAEQAQQAoAFwAbgAgACAAIAAgAE0AQQBLAEUAQQBSAFIAQQBZACgANQAsACAANAAsACAAXABuACAAIAAgACAAIAAgAEwAQQBNAEIARABBACgAcgAsAGMALAAgAFwAbgAgACAAIAAgACAAIAAgACAASQBOAEQARQBYACgAewBcAG4AIAAgACAAIAAgACAAIAAgACAAIABcACIAQgBcACIALABcACIAbgB1AG0AYgBlAHIAIABvAGYAIABiAGEAbABlAHMAIABnAGUAbgBlAHIAYQB0AGUAZABcACIALAAgAFwAIgBcACIALAAgAFwAIgBJAG4AcAB1AHQAXAAiADsAXABuACAAIAAgACAAIAAgACAAIAAgACAAXAAiAE0AXwBCAFwAIgAsAFwAIgBtAGEAcwBzACAAbwBmACAAZQBhAGMAaAAgAGIAYQBsAGUAXAAiACwAIABcACIAawBnAFwAIgAsACAAXAAiAEkAbgBwAHUAdABcACIAOwBcAG4AIAAgACAAIAAgACAAIAAgACAAIABcACIAUABfAGMAXAAiACwAXAAiAGEAbgBuAHUAYQBsACAAcAByAG8AZAB1AGMAdABpAG8AbgAgAG8AZgAgAGMAcgBvAHAAIABjAFwAIgAsACAAXAAiAGsAZwBcACIALAAgAFwAIgBJAG4AcAB1AHQAXAAiADsAXABuACAAIAAgACAAIAAgACAAIAAgACAAXAAiAFIAXwBBAEcAYwBcACIALABcACIAcgBlAHMAaQBkAHUAZQAgAHQAbwAgAGMAcgBvAHAAIAByAGEAdABpAG8AIABmAG8AcgAgAGMAcgBvAHAAIABjAFwAIgAsACAAXAAiAFwAIgAsACAAXAAiAEMAbwBuAHMAdABhAG4AdABcACIAOwBcAG4AIAAgACAAIAAgACAAIAAgACAAIABcACIAYwBcACIALABcACIAQwByAG8AcAAgAHQAeQBwAGUAXAAiACwAIABcACIAXAAiACwAIABcACIASQBuAHAAdQB0AFwAIgBcAG4AIAAgACAAIAAgACAAIAAgAH0ALAAgAHIALAAgAGMAKQBcAG4AIAAgACAAIAAgACAAKQBcAG4AIAAgACAAIAApAFwAbgAgACAAKQA7AFwAbgBcAG4AVgBFAEUAUgBHAF8ANgBfADEAXwAxAF8AMgBfAF8AMQBfAF8ARgByAGEAYwB0AGkAbwBuAE8AZgBDAHIAbwBwAFIAZQBzAGkAZAB1AGUAUgBlAG0AbwB2AGUAZABCAGEAbABlAGQAXwBWAGEAcgBpAGEAdABpAG8AbgBcAG4AIAAgAD0ATABBAE0AQgBEAEEAKABcACIAVgBBAFIASQBBAFQASQBPAE4AIABGAFIATwBNACAAUwBPAFUAUgBDAEUAOgAgAEEAZABkAGUAZAAgAFwAdQAwADAAMgA3AGIAYQBsAGUAZABcAHUAMAAwADIANwAgAHQAbwAgAHYAYQByAGkAYQBiAGwAZQAgAHMAdQBiAHMAYwByAGkAcAB0AFwAIgApADsAXABuAFwAbgBcAG4AXABuAC8AKgAgAFwAbgAtAC0ALQAtAC0ALQAtAC0ALQAtAC0ALQAtAC0ALQAtAC0ALQAtAC0ALQAtAC0ALQAtAC0ALQAtAC0ALQAtAC0ALQAtAC0ALQAtAC0AXABuAFYARQBFAFIARwBfADYAXwAxAF8AMQBfADIAXwBfADEAYQBfAF8ARgByAGEAYwB0AGkAbwBuAE8AZgBDAHIAbwBwAFIAZQBzAGkAZAB1AGUAUgBlAG0AbwB2AGUAZABcAG4ARgByAGEAYwB0AGkAbwBuACAAbwBmACAAYwByAG8AcAAgAHIAZQBzAGkAZAB1AGUAIAB0AGgAYQB0ACAAaQBzACAAcgBlAG0AbwB2AGUAZAAgAGYAbwByACAAYwByAG8AcAAgAGMAXABuAEYARgBPAEQAYwBcAG4AZABpAG0AZQBuAHMAaQBvAG4AbABlAHMAcwBcAG4AXABuAC0ALQAtAC0ALQAtAC0ALQAtAC0ALQAtAC0ALQAtAC0ALQAtAC0ALQAtAC0ALQAtAC0ALQAtAC0ALQAtAC0ALQAtAC0ALQAtAC0ALQBcAG4AKgAvAFwAbgBcAG4AVgBFAEUAUgBHAF8ANgBfADEAXwAxAF8AMgBfAF8AMQBhAF8AXwBGAHIAYQBjAHQAaQBvAG4ATwBmAEMAcgBvAHAAUgBlAHMAaQBkAHUAZQBSAGUAbQBvAHYAZQBkAFwAbgAgACAAPQBMAEEATQBCAEQAQQAoAFwAbgAgACAAIAAgAEYARgBPAEQAXwBjAGIAYQBsAGUAZAAsACAARgBGAE8ARABfAGMAbwB0AGgAZQByACwAXABuACAAIAAgACAARgBGAE8ARABfAGMAYgBhAGwAZQBkACAAKwAgAEYARgBPAEQAXwBjAG8AdABoAGUAcgBcAG4AIAAgACkAXABuADsAXABuAFwAbgBWAEUARQBSAEcAXwA2AF8AMQBfADEAXwAyAF8AXwAxAGEAXwBfAEYAcgBhAGMAdABpAG8AbgBPAGYAQwByAG8AcABSAGUAcwBpAGQAdQBlAFIAZQBtAG8AdgBlAGQAXwBUAGkAdABsAGUAXABuACAAIAA9AEwAQQBNAEIARABBACgAXAAiAEYAcgBhAGMAdABpAG8AbgAgAG8AZgAgAGMAcgBvAHAAIAByAGUAcwBpAGQAdQBlACAAdABoAGEAdAAgAGkAcwAgAHIAZQBtAG8AdgBlAGQAIABmAG8AcgAgAGMAcgBvAHAAIABjAFwAIgApADsAXABuAFwAbgBWAEUARQBSAEcAXwA2AF8AMQBfADEAXwAyAF8AXwAxAGEAXwBfAEYAcgBhAGMAdABpAG8AbgBPAGYAQwByAG8AcABSAGUAcwBpAGQAdQBlAFIAZQBtAG8AdgBlAGQAXwBWAGEAcgBpAGEAYgBsAGUAXABuACAAIAA9AEwAQQBNAEIARABBACgAXAAiAEYARgBPAEQAXwBjAFwAIgApADsAXABuAFwAbgBWAEUARQBSAEcAXwA2AF8AMQBfADEAXwAyAF8AXwAxAGEAXwBfAEYAcgBhAGMAdABpAG8AbgBPAGYAQwByAG8AcABSAGUAcwBpAGQAdQBlAFIAZQBtAG8AdgBlAGQAXwBVAG4AaQB0AFwAbgAgACAAPQBMAEEATQBCAEQAQQAoAFwAIgBkAGkAbQBlAG4AcwBpAG8AbgBsAGUAcwBzAFwAIgApADsAXABuAFwAbgBWAEUARQBSAEcAXwA2AF8AMQBfADEAXwAyAF8AXwAxAGEAXwBfAEYAcgBhAGMAdABpAG8AbgBPAGYAQwByAG8AcABSAGUAcwBpAGQAdQBlAFIAZQBtAG8AdgBlAGQAXwBTAG8AdQByAGMAZQBcAG4AIAAgAD0ATABBAE0AQgBEAEEAKABcACIAXAAiACkAOwBcAG4AXABuAFYARQBFAFIARwBfADYAXwAxAF8AMQBfADIAXwBfADEAYQBfAF8ARgByAGEAYwB0AGkAbwBuAE8AZgBDAHIAbwBwAFIAZQBzAGkAZAB1AGUAUgBlAG0AbwB2AGUAZABfAE4ASQBSAFIAZQBmAGUAcgBlAG4AYwBlAFwAbgAgACAAPQBMAEEATQBCAEQAQQAoAFwAIgBcACIAKQA7AFwAbgBcAG4AVgBFAEUAUgBHAF8ANgBfADEAXwAxAF8AMgBfAF8AMQBhAF8AXwBGAHIAYQBjAHQAaQBvAG4ATwBmAEMAcgBvAHAAUgBlAHMAaQBkAHUAZQBSAGUAbQBvAHYAZQBkAF8ATABhAHQAZQB4AEUAcQB1AGEAdABpAG8AbgBcAG4AIAAgAD0ATABBAE0AQgBEAEEAKABcACIARgBGAE8ARABfAHsAYwB9ACAAPQAgAEYARgBPAEQAXwB7AGMALABiAGEAbABlAGQAfQAgACsAIABGAEYATwBEAF8AewBjACwAbwB0AGgAZQByAH0AXAAiACkAOwBcAG4AXABuAFYARQBFAFIARwBfADYAXwAxAF8AMQBfADIAXwBfADEAYQBfAF8ARgByAGEAYwB0AGkAbwBuAE8AZgBDAHIAbwBwAFIAZQBzAGkAZAB1AGUAUgBlAG0AbwB2AGUAZABfAEEAcgBnAHUAbQBlAG4AdABzAFwAbgAgACAAPQBMAEEATQBCAEQAQQAoAFwAbgAgACAAIAAgAE0AQQBLAEUAQQBSAFIAQQBZACgAMgAsACAANAAsACAAXABuACAAIAAgACAAIAAgAEwAQQBNAEIARABBACgAcgAsAGMALAAgAFwAbgAgACAAIAAgACAAIAAgACAASQBOAEQARQBYACgAewBcAG4AIAAgACAAIAAgACAAIAAgACAAIABcACIARgBGAE8ARABfAGMAYgBhAGwAZQBkAFwAIgAsAFwAIgBGAHIAYQBjAHQAaQBvAG4AIABvAGYAIABjAHIAbwBwACAAcgBlAHMAaQBkAHUAZQAgAHQAaABhAHQAIABpAHMAIAByAGUAbQBvAHYAZQBkACAAZgBvAHIAIABjAHIAbwBwACAAYwAsACAAYwBhAGwAYwB1AGwAYQB0AGUAZAAgAHcAaABlAHIAZQAgAHIAZQBzAGkAZAB1AGUAcwAgAGEAcgBlACAAYgBhAGwAZQBkAFwAIgAsACAAXAAiAGYAcgBhAGMAdABpAG8AbgBcACIALAAgAFwAIgBDAGEAbABjAHUAbABhAHQAZQBkACAAZgByAG8AbQAgADYALgAxAC4AMQAuADIALAAgACgAMQApAFwAIgA7AFwAbgAgACAAIAAgACAAIAAgACAAIAAgAFwAIgBGAEYATwBEAF8AYwBvAHQAaABlAHIAXAAiACwAXAAiAEYAcgBhAGMAdABpAG8AbgAgAG8AZgAgAGMAcgBvAHAAIAByAGUAcwBpAGQAdQBlACAAdABoAGEAdAAgAGkAcwAgAHIAZQBtAG8AdgBlAGQAIABmAG8AcgAgAGMAcgBvAHAAIABjACwAIABjAGEAbABjAHUAbABhAHQAZQBkACAAdwBoAGUAcgBlACAAcgBlAHMAaQBkAHUAZQBzACAAYQByAGUAIAByAGUAbQBvAHYAZQBkACAAYgB5ACAAbwB0AGgAZQByACAAbQBlAGEAbgBzAFwAIgAsACAAXAAiAGYAcgBhAGMAdABpAG8AbgBcACIALAAgAFwAIgBJAG4AcAB1AHQAXAAiAFwAbgAgACAAIAAgACAAIAAgACAAfQAsACAAcgAsACAAYwApAFwAbgAgACAAIAAgACAAIAApAFwAbgAgACAAIAAgACkAXABuACAAIAApADsAXABuAFwAbgBWAEUARQBSAEcAXwA2AF8AMQBfADEAXwAyAF8AXwAxAGEAXwBfAEYAcgBhAGMAdABpAG8AbgBPAGYAQwByAG8AcABSAGUAcwBpAGQAdQBlAFIAZQBtAG8AdgBlAGQAXwBWAGEAcgBpAGEAdABpAG8AbgBcAG4AIAAgAD0ATABBAE0AQgBEAEEAKABcACIAVgBBAFIASQBBAFQASQBPAE4AIABGAFIATwBNACAAUwBPAFUAUgBDAEUAOgAgAEEAZABkAGUAZAAgAHQAaABpAHMAIABlAHEAdQBhAHQAaQBvAG4AIAB0AG8AIABhAGMAYwBvAG0AbQBvAGQAYQB0AGUAIAB1AHMAZQByAC0AZABlAGYAaQBuAGUAZAAgAHIAZQBzAGkAZAB1AGUAIAByAGUAbQBvAHYAYQBsACAAbwB0AGgAZQByACAAdABoAGEAbgAgAGIAYQBsAGkAbgBnAC4AXAAiACkAOwAiAH0ALAB7ACIAcABhAHQAaAAiADoAIgAvAHAAcgBvAGoAZQBjAHQAcwAvAEEAZwBSAGUAcwBpAGQAdQBlAF8ARQBxAHUAYQB0AGkAbwBuAHMAXwBQAGEAcwB0AHUAcgBlAFIAZQBzAGkAZAB1AGUAIgAsACIAdABlAHgAdAAiADoAIgAvACoAIABcAG4ALQAtAC0ALQAtAC0ALQAtAC0ALQAtAC0ALQAtAC0ALQAtAC0ALQAtAC0ALQAtAC0ALQAtAC0ALQAtAC0ALQAtAC0ALQAtAC0ALQAtAFwAbgBWAEUARQBSAEcAXwA2AF8AMgBfADEAXwAxAF8AXwAxAF8AXwBOAGkAdAByAG8AdQBzAE8AeABpAGQAZQBFAG0AaQBzAHMAaQBvAG4AcwBGAHIAbwBtAFAAYQBzAHQAdQByAGUAUgBlAHMAaQBkAHUAZQBzAFwAbgBOAGkAdAByAG8AdQBzACAAbwB4AGkAZABlACAAZQBtAGkAcwBzAGkAbwBuAHMAIABmAHIAbwBtACAAdABoAGUAIAByAGUAdAB1AHIAbgAgAG8AZgAgAHAAYQBzAHQAdQByAGUAIAByAGUAcwBpAGQAdQBlAHMAIABmAHIAbwBtACAAYQBsAGwAIABwAGEAcwB0AHUAcgBlACAAdAB5AHAAZQBzACAAdABvACAAdABoAGUAIABzAG8AaQBsAFwAbgBFAE4AMgBPAFwAbgB0ACAATgAyAE8AXABuAEUAXwB7AE4AMgBPAH0APQBcAFwAcwB1AG0AXwB7AHAAfQBcAFwAbABlAGYAdAAoAE0AXwBwAFwAXAB0AGkAbQBlAHMAIABFAEYAXwB7AE4AaQB9AFwAXAB0AGkAbQBlAHMAIABDAF8AewBOADIATwB9AFwAXAB0AGkAbQBlAHMAewAxADAAfQBeAHsALQAzAH0AXABcAHIAaQBnAGgAdAApAFwAbgBNAHAAIAA9ACAAbQBhAHMAcwAgAG8AZgAgAG4AaQB0AHIAbwBnAGUAbgAgAGkAbgAgAHAAYQBzAHQAdQByAGUAIABwACAAcgBlAHMAaQBkAHUAZQBzACAAcgBlAHQAdQByAG4AZQBkACAAdABvACAAdABoAGUAIABzAG8AaQBsACAAKABrAGcAIABOACkAXABuAEUARgBOAGkAIAA9ACAAZQBtAGkAcwBzAGkAbwBuACAAZgBhAGMAdABvAHIAIABmAG8AcgAgAGMAcgBvAHAAIAByAGUAcwBpAGQAdQBlAHMAIAByAGUAdAB1AHIAbgBlAGQAIAB0AG8AIAB0AGgAZQAgAHMAbwBpAGwAIABpAG4AIABjAGwAaQBtAGEAdABlACAAegBvAG4AZQAgAGkAIAAoAGsAZwAgAE4AMgBPAC0ATgAvAGsAZwAgAE4AKQBcAG4AQwBOADIATwAgAD0AIABmAGEAYwB0AG8AcgAgAHQAbwAgAGMAbwBuAHYAZQByAHQAIABlAGwAZQBtAGUAbgB0AGEAbAAgAG0AYQBzAHMAIABvAGYAIABuAGkAdAByAG8AdQBzACAAbwB4AGkAZABlACAAdABvACAAbQBvAGwAZQBjAHUAbABhAHIAIABtAGEAcwBzACAAKABkAGkAbQBlAG4AcwBpAG8AbgBsAGUAcwBzACkAXABuAHAAIAA9ACAAUABhAHMAdAB1AHIAZQAgAHQAeQBwAGUAXABuAGkAIAA9ACAAQwBsAGkAbQBhAHQAZQAgAHoAbwBuAGUAXABuAC0ALQAtAC0ALQAtAC0ALQAtAC0ALQAtAC0ALQAtAC0ALQAtAC0ALQAtAC0ALQAtAC0ALQAtAC0ALQAtAC0ALQAtAC0ALQAtAC0ALQBcAG4AKgAvAFwAbgBcAG4AVgBFAEUAUgBHAF8ANgBfADIAXwAxAF8AMQBfAF8AMQBfAF8ATgBpAHQAcgBvAHUAcwBPAHgAaQBkAGUARQBtAGkAcwBzAGkAbwBuAHMARgByAG8AbQBQAGEAcwB0AHUAcgBlAFIAZQBzAGkAZAB1AGUAcwBcAG4AIAAgAD0ATABBAE0AQgBEAEEAKABcAG4AIAAgACAAIABNAF8AcAAsACAARQBGAF8ATgBpACwAIABDAF8ATgAyAE8ALABcAG4AIAAgACAAIAAoAE0AXwBwACAAKgAgAEUARgBfAE4AaQApACAAKgAgAEMAXwBOADIATwAgACoAIAAxADAAXgAoAC0AMwApAFwAbgAgACAAKQA7AFwAbgBcAG4AVgBFAEUAUgBHAF8ANgBfADIAXwAxAF8AMQBfAF8AMQBfAF8ATgBpAHQAcgBvAHUAcwBPAHgAaQBkAGUARQBtAGkAcwBzAGkAbwBuAHMARgByAG8AbQBQAGEAcwB0AHUAcgBlAFIAZQBzAGkAZAB1AGUAcwBfAFQAaQB0AGwAZQBcAG4AIAAgAD0ATABBAE0AQgBEAEEAKABcACIATgBpAHQAcgBvAHUAcwAgAG8AeABpAGQAZQAgAGUAbQBpAHMAcwBpAG8AbgBzACAAZgByAG8AbQAgAHQAaABlACAAcgBlAHQAdQByAG4AIABvAGYAIABwAGEAcwB0AHUAcgBlACAAcgBlAHMAaQBkAHUAZQBzACAAZgByAG8AbQAgAGEAbABsACAAcABhAHMAdAB1AHIAZQAgAHQAeQBwAGUAcwAgAHQAbwAgAHQAaABlACAAcwBvAGkAbABcACIAKQA7AFwAbgBcAG4AVgBFAEUAUgBHAF8ANgBfADIAXwAxAF8AMQBfAF8AMQBfAF8ATgBpAHQAcgBvAHUAcwBPAHgAaQBkAGUARQBtAGkAcwBzAGkAbwBuAHMARgByAG8AbQBQAGEAcwB0AHUAcgBlAFIAZQBzAGkAZAB1AGUAcwBfAFYAYQByAGkAYQBiAGwAZQBcAG4AIAAgAD0ATABBAE0AQgBEAEEAKABcACIARQBOADIATwBcACIAKQA7AFwAbgBcAG4AVgBFAEUAUgBHAF8ANgBfADIAXwAxAF8AMQBfAF8AMQBfAF8ATgBpAHQAcgBvAHUAcwBPAHgAaQBkAGUARQBtAGkAcwBzAGkAbwBuAHMARgByAG8AbQBQAGEAcwB0AHUAcgBlAFIAZQBzAGkAZAB1AGUAcwBfAFUAbgBpAHQAXABuACAAIAA9AEwAQQBNAEIARABBACgAXAAiAHQAIABOADIATwBcACIAKQA7AFwAbgBcAG4AVgBFAEUAUgBHAF8ANgBfADIAXwAxAF8AMQBfAF8AMQBfAF8ATgBpAHQAcgBvAHUAcwBPAHgAaQBkAGUARQBtAGkAcwBzAGkAbwBuAHMARgByAG8AbQBQAGEAcwB0AHUAcgBlAFIAZQBzAGkAZAB1AGUAcwBfAFMAbwB1AHIAYwBlAFwAbgAgACAAPQBMAEEATQBCAEQAQQAoAFwAIgBWAEUARQBSAEcAIAAyADAAMgA2ADoAIAA2AC4AMgAuADEALgAxACwAIABFAHEAdQBhAHQAaQBvAG4AIAAoADEAKQBcACIAKQA7AFwAbgBcAG4AVgBFAEUAUgBHAF8ANgBfADIAXwAxAF8AMQBfAF8AMQBfAF8ATgBpAHQAcgBvAHUAcwBPAHgAaQBkAGUARQBtAGkAcwBzAGkAbwBuAHMARgByAG8AbQBQAGEAcwB0AHUAcgBlAFIAZQBzAGkAZAB1AGUAcwBfAE4ASQBSAFIAZQBmAGUAcgBlAG4AYwBlAFwAbgAgACAAPQBMAEEATQBCAEQAQQAoAFwAIgBcACIAKQA7AFwAbgBcAG4AVgBFAEUAUgBHAF8ANgBfADIAXwAxAF8AMQBfAF8AMQBfAF8ATgBpAHQAcgBvAHUAcwBPAHgAaQBkAGUARQBtAGkAcwBzAGkAbwBuAHMARgByAG8AbQBQAGEAcwB0AHUAcgBlAFIAZQBzAGkAZAB1AGUAcwBfAEwAYQB0AGUAeABFAHEAdQBhAHQAaQBvAG4AXABuACAAIAA9AEwAQQBNAEIARABBACgAXAAiAEUAXwB7AE4AMgBPAH0APQBcAFwAcwB1AG0AXABcAG4AbwBsAGkAbQBpAHQAcwBfAHAAXABcAGwAZQBmAHQAKABNAF8AcABcAFwAdABpAG0AZQBzACAARQBGAF8AewBOAGkAfQBcAFwAcgBpAGcAaAB0ACkAXABcAHQAaQBtAGUAcwAgAEMAXwB7AE4AMgBPAH0AXABcAHQAaQBtAGUAcwB7ADEAMAB9AF4AewAtADMAfQBcACIAKQA7AFwAbgBcAG4AVgBFAEUAUgBHAF8ANgBfADIAXwAxAF8AMQBfAF8AMQBfAF8ATgBpAHQAcgBvAHUAcwBPAHgAaQBkAGUARQBtAGkAcwBzAGkAbwBuAHMARgByAG8AbQBQAGEAcwB0AHUAcgBlAFIAZQBzAGkAZAB1AGUAcwBfAEEAcgBnAHUAbQBlAG4AdABzAFwAbgAgACAAPQBMAEEATQBCAEQAQQAoAFwAbgAgACAAIAAgAE0AQQBLAEUAQQBSAFIAQQBZACgANQAsACAANAAsACAAXABuACAAIAAgACAAIAAgAEwAQQBNAEIARABBACgAcgAsAGMALAAgAFwAbgAgACAAIAAgACAAIAAgACAASQBOAEQARQBYACgAewBcAG4AIAAgACAAIAAgACAAIAAgACAAIABcACIATQBfAHAAXAAiACwAXAAiAG0AYQBzAHMAIABvAGYAIABuAGkAdAByAG8AZwBlAG4AIABpAG4AIABwAGEAcwB0AHUAcgBlACAAcAAgAHIAZQBzAGkAZAB1AGUAcwAgAHIAZQB0AHUAcgBuAGUAZAAgAHQAbwAgAHQAaABlACAAcwBvAGkAbABcACIALAAgAFwAIgBrAGcAIABOAFwAIgAsACAAXAAiAEMAYQBsAGMAdQBsAGEAdABlAGQAIABmAHIAbwBtACAANgAuADIALgAxAC4AMQAgACgAMgApAFwAIgA7AFwAbgAgACAAIAAgACAAIAAgACAAIAAgAFwAIgBFAEYAXwBOAGkAXAAiACwAXAAiAGUAbQBpAHMAcwBpAG8AbgAgAGYAYQBjAHQAbwByACAAZgBvAHIAIABjAHIAbwBwACAAcgBlAHMAaQBkAHUAZQBzACAAcgBlAHQAdQByAG4AZQBkACAAdABvACAAdABoAGUAIABzAG8AaQBsACAAaQBuACAAYwBsAGkAbQBhAHQAZQAgAHoAbwBuAGUAIABp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ZABpAG0AZQBuAHMAaQBvAG4AbABlAHMAcwBcACIALAAgAFwAIgBDAG8AbgBzAHQAYQBuAHQAXAAiADsAXABuACAAIAAgACAAIAAgACAAIAAgACAAXAAiAHAAXAAiACwAXAAiAFAAYQBzAHQAdQByAGUAIAB0AHkAcABlAFwAIgAsACAAXAAiAFwAIgAsACAAXAAiAEkAbgBwAHUAdABcACIAOwBcAG4AIAAgACAAIAAgACAAIAAgACAAIABcACIAaQBcACIALABcACIAVwBlAHQAIABvAHIAIABkAHIAeQAgAGMAbABpAG0AYQB0AGUAIAB6AG8Abg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YAXwAyAF8AMQBfADEAXwBfADIAXwBfAE0AYQBzAHMATwBmAE4AaQB0AHIAbwBnAGUAbgBJAG4AUABhAHMAdAB1AHIAZQBSAGUAcwBpAGQAdQBlAHMAXABuAE0AYQBzAHMAIABvAGYAIABuAGkAdAByAG8AZwBlAG4AIABpAG4AIABwAGEAcwB0AHUAcgBlACAAcgBlAHMAaQBkAHUAZQBzACAAcgBlAHQAdQByAG4AZQBkACAAdABvACAAdABoAGUAIABzAG8AaQBsAFwAbgBNAHAAXABuAGsAZwAgAE4AXABuAE0AXwBwACAAPQAgACgAQQBfAHAAIADXACgAWQBfAHAAIABcAFwAdABpAG0AZQBzACAAMQAwAF4AewAtADMAfQApACAAXABcAHQAaQBtAGUAcwAgACgAMQAtACAARgBGAE8ARABfAHAAKQAgAFwAXAB0AGkAbQBlAHMAIABOAEMAXwB7AEEARwBwAH0AKQAgACsAIAAoAEEAXwBwACAAXABcAHQAaQBtAGUAcwAgACgAWQBfAHAAIABcAFwAdABpAG0AZQBzACAAMQAwAF4AewAtADMAfQApAFwAXAB0AGkAbQBlAHMAIABSAF8AewBCAEcAcAB9ACAAXABcAHQAaQBtAGUAcwAgAE4AQwBfAHsAQgBHAHAAfQApAFwAbgBBAF8AcAAgAD0AIABhAHIAZQBhACAAbwBmACAAcABhAHMAdAB1AHIAZQAgAHIAZQBuAGUAdwBlAGQAIABvAHIAIAByAGUAbQBvAHYAZQBkACAAKABoAGEAKQBcAG4AWQBwACAAPQAgAGEAdgBlAHIAYQBnAGUAIAB5AGkAZQBsAGQAIABvAGYAIABwAGEAcwB0AHUAcgBlACAAYwByAG8AcAAgACgAdAAgAEQATQAvAGgAYQApAFwAbgBOAEMAQQBHAHAAIAA9ACAATgAgAGMAbwBuAHQAZQBuAHQAIABvAGYAIABhAGIAbwB2AGUALQBnAHIAbwB1AG4AZAAgAHAAYQBzAHQAdQByAGUAIAByAGUAcwBpAGQAdQBlACAAKABrAGcAIABOAC8AawBnACAARABNACkAXABuAFIAXwBCAEcAcAAgAD0AIABiAGUAbABvAHcALQBnAHIAbwB1AG4AZAAgAHIAZQBzAGkAZAB1AGUAIAB0AG8AIABhAGIAbwB2AGUALQBnAHIAbwB1AG4AZAAgAHIAZQBzAGkAZAB1AGUAIAByAGEAdABpAG8AIABmAG8AcgAgAHAAYQBzAHQAdQByAGUAIABjAHIAbwBwACAAKABkAGkAbQBlAG4AcwBpAG8AbgBsAGUAcwBzACkAXABuAE4AQwBfAEIARwBwACAAPQAgAE4AIABjAG8AbgB0AGUAbgB0ACAAbwBmACAAYgBlAGwAbwB3AC0AZwByAG8AdQBuAGQAIABwAGEAcwB0AHUAcgBlACAAYwByAG8AcAAgAHIAZQBzAGkAZAB1AGUAIAAoAGsAZwAgAE4ALwBrAGcAIABEAE0AKQBcAG4ARgBGAE8ARABwACAAPQAgAGYAcgBhAGMAdABpAG8AbgAgAG8AZgAgAHAAYQBzAHQAdQByAGUAIAB5AGkAZQBsAGQAIAB0AGgAYQB0ACAAaQBzACAAcgBlAG0AbwB2AGUAZAAgACgAZABpAG0AZQBuAHMAaQBvAG4AbABlAHMAcwApAFwAbgBwACAAPQAgAFAAYQBzAHQAdQByAGUAIAB0AHkAcABlAFwAbgAtAC0ALQAtAC0ALQAtAC0ALQAtAC0ALQAtAC0ALQAtAC0ALQAtAC0ALQAtAC0ALQAtAC0ALQAtAC0ALQAtAC0ALQAtAC0ALQAtAC0AXABuACoALwBcAG4AXABuAFYARQBFAFIARwBfADYAXwAyAF8AMQBfADEAXwBfADIAXwBfAE0AYQBzAHMATwBmAE4AaQB0AHIAbwBnAGUAbgBJAG4AUABhAHMAdAB1AHIAZQBSAGUAcwBpAGQAdQBlAHMAXABuACAAIAA9AEwAQQBNAEIARABBACgAXABuACAAIAAgACAAQQBfAHAALAAgAFkAXwBwACwAIABGAEYATwBEAF8AcAAsACAATgBDAF8AQQBHAHAALAAgAFIAXwBCAEcAcAAsACAATgBDAF8AQgBHAHAALABcAG4AIAAgACAAIAAoAEEAXwBwACAAKgAgACgAWQBfAHAAIAAqACAAMQAwAF4AKAAtADMAKQApACAAKgAgACgAMQAgAC0AIABGAEYATwBEAF8AcAApACAAKgAgAE4AQwBfAEEARwBwACkAIAArACAAKABBAF8AcAAgACoAIAAoAFkAXwBwACAAKgAgADEAMABeACgALQAzACkAKQAgACoAIABSAF8AQgBHAHAAIAAqACAATgBDAF8AQgBHAHAAKQBcAG4AIAAgACkAOwBcAG4AXABuAFYARQBFAFIARwBfADYAXwAyAF8AMQBfADEAXwBfADIAXwBfAE0AYQBzAHMATwBmAE4AaQB0AHIAbwBnAGUAbgBJAG4AUABhAHMAdAB1AHIAZQBSAGUAcwBpAGQAdQBlAHMAXwBUAGkAdABsAGUAXABuACAAIAA9AEwAQQBNAEIARABBACgAXAAiAE0AYQBzAHMAIABvAGYAIABuAGkAdAByAG8AZwBlAG4AIABpAG4AIABwAGEAcwB0AHUAcgBlACAAcgBlAHMAaQBkAHUAZQBzACAAcgBlAHQAdQByAG4AZQBkACAAdABvACAAdABoAGUAIABzAG8AaQBsAFwAIgApADsAXABuAFwAbgBWAEUARQBSAEcAXwA2AF8AMgBfADEAXwAxAF8AXwAyAF8AXwBNAGEAcwBzAE8AZgBOAGkAdAByAG8AZwBlAG4ASQBuAFAAYQBzAHQAdQByAGUAUgBlAHMAaQBkAHUAZQBzAF8AVgBhAHIAaQBhAGIAbABlAFwAbgAgACAAPQBMAEEATQBCAEQAQQAoAFwAIgBNAHAAXAAiACkAOwBcAG4AXABuAFYARQBFAFIARwBfADYAXwAyAF8AMQBfADEAXwBfADIAXwBfAE0AYQBzAHMATwBmAE4AaQB0AHIAbwBnAGUAbgBJAG4AUABhAHMAdAB1AHIAZQBSAGUAcwBpAGQAdQBlAHMAXwBVAG4AaQB0AFwAbgAgACAAPQBMAEEATQBCAEQAQQAoAFwAIgBrAGcAIABOAFwAIgApADsAXABuAFwAbgBWAEUARQBSAEcAXwA2AF8AMgBfADEAXwAxAF8AXwAyAF8AXwBNAGEAcwBzAE8AZgBOAGkAdAByAG8AZwBlAG4ASQBuAFAAYQBzAHQAdQByAGUAUgBlAHMAaQBkAHUAZQBzAF8AUwBvAHUAcgBjAGUAXABuACAAIAA9AEwAQQBNAEIARABBACgAXAAiAFYARQBFAFIARwAgADIAMAAyADYAOgAgADYALgAyAC4AMQAuADEALAAgAEUAcQB1AGEAdABpAG8AbgAgACgAMgApAFwAIgApADsAXABuAFwAbgBWAEUARQBSAEcAXwA2AF8AMgBfADEAXwAxAF8AXwAyAF8AXwBNAGEAcwBzAE8AZgBOAGkAdAByAG8AZwBlAG4ASQBuAFAAYQBzAHQAdQByAGUAUgBlAHMAaQBkAHUAZQBzAF8ATgBJAFIAUgBlAGYAZQByAGUAbgBjAGUAXABuACAAIAA9AEwAQQBNAEIARABBACgAXAAiAFwAIgApADsAXABuAFwAbgBWAEUARQBSAEcAXwA2AF8AMgBfADEAXwAxAF8AXwAyAF8AXwBNAGEAcwBzAE8AZgBOAGkAdAByAG8AZwBlAG4ASQBuAFAAYQBzAHQAdQByAGUAUgBlAHMAaQBkAHUAZQBzAF8ATABhAHQAZQB4AEUAcQB1AGEAdABpAG8AbgBcAG4AIAAgAD0ATABBAE0AQgBEAEEAKABcACIATQBfAHAAIAA9ACAAKABBAF8AcAAgAFwAXAB0AGkAbQBlAHMAIAAoAFkAXwBwACAAXABcAHQAaQBtAGUAcwAgADEAMABeAHsALQAzAH0AKQAgAFwAXAB0AGkAbQBlAHMAIAAoADEALQAgAEYARgBPAEQAXwBwACkAIABcAFwAdABpAG0AZQBzACAATgBDAF8AewBBAEcAcAB9ACkAIAArACAAKABBAF8AcAAgAFwAXAB0AGkAbQBlAHMAIAAoAFkAXwBwACAAXABcAHQAaQBtAGUAcwAgADEAMABeAHsALQAzAH0AKQBcAFwAdABpAG0AZQBzACAAUgBfAHsAQgBHAHAAfQAgAFwAXAB0AGkAbQBlAHMAIABOAEMAXwB7AEIARwBwAH0AKQBcACIAKQA7AFwAbgBcAG4AVgBFAEUAUgBHAF8ANgBfADIAXwAxAF8AMQBfAF8AMgBfAF8ATQBhAHMAcwBPAGYATgBpAHQAcgBvAGcAZQBuAEkAbgBQAGEAcwB0AHUAcgBlAFIAZQBzAGkAZAB1AGUAcwBfAEEAcgBnAHUAbQBlAG4AdABzAFwAbgAgACAAPQBMAEEATQBCAEQAQQAoAFwAbgAgACAAIAAgAE0AQQBLAEUAQQBSAFIAQQBZACgANwAsACAANAAsACAAXABuACAAIAAgACAAIAAgAEwAQQBNAEIARABBACgAcgAsAGMALAAgAFwAbgAgACAAIAAgACAAIAAgACAASQBOAEQARQBYACgAewBcAG4AIAAgACAAIAAgACAAIAAgACAAIABcACIAQQBfAHAAXAAiACwAXAAiAGEAcgBlAGEAIABvAGYAIABwAGEAcwB0AHUAcgBlACAAcgBlAG4AZQB3AGUAZAAgAG8AcgAgAHIAZQBtAG8AdgBlAGQAXAAiACwAIABcACIAaABhAFwAIgAsACAAXAAiAEkAbgBwAHUAdABcACIAOwBcAG4AIAAgACAAIAAgACAAIAAgACAAIABcACIAWQBfAHAAXAAiACwAXAAiAGEAdgBlAHIAYQBnAGUAIAB5AGkAZQBsAGQAIABvAGYAIABwAGEAcwB0AHUAcgBlACAAYwByAG8AcABcACIALAAgAFwAIgB0ACAARABNAC8AaABhAFwAIgAsACAAXAAiAEMAbwBuAHMAdABhAG4AdABcACIAOwBcAG4AIAAgACAAIAAgACAAIAAgACAAIABcACIATgBDAF8AQQBHAHAAXAAiACwAXAAiAE4AIABjAG8AbgB0AGUAbgB0ACAAbwBmACAAYQBiAG8AdgBlAC0AZwByAG8AdQBuAGQAIABwAGEAcwB0AHUAcgBlACAAcgBlAHMAaQBkAHUAZQBcACIALAAgAFwAIgBrAGcAIABOAC8AawBnACAARABNAFwAIgAsACAAXAAiAEMAbwBuAHMAdABhAG4AdABcACIAOwBcAG4AIAAgACAAIAAgACAAIAAgACAAIABcACIAUgBfAEIARwBwAFwAIgAsAFwAIgBiAGUAbABvAHcALQBnAHIAbwB1AG4AZAAgAHIAZQBzAGkAZAB1AGUAIAB0AG8AIABhAGIAbwB2AGUALQBnAHIAbwB1AG4AZAAgAHIAZQBzAGkAZAB1AGUAIAByAGEAdABpAG8AIABmAG8AcgAgAHAAYQBzAHQAdQByAGUAIABjAHIAbwBwAFwAIgAsACAAXAAiAFwAIgAsACAAXAAiAEMAbwBuAHMAdABhAG4AdABcACIAOwBcAG4AIAAgACAAIAAgACAAIAAgACAAIABcACIATgBDAF8AQgBHAHAAXAAiACwAXAAiAE4AIABjAG8AbgB0AGUAbgB0ACAAbwBmACAAYgBlAGwAbwB3AC0AZwByAG8AdQBuAGQAIABwAGEAcwB0AHUAcgBlACAAYwByAG8AcAAgAHIAZQBzAGkAZAB1AGUAXAAiACwAIABcACIAawBnACAATgAvAGsAZwAgAEQATQBcACIALAAgAFwAIgBDAG8AbgBzAHQAYQBuAHQAXAAiADsAXABuACAAIAAgACAAIAAgACAAIAAgACAAXAAiAEYARgBPAEQAXwBwAFwAIgAsAFwAIgBmAHIAYQBjAHQAaQBvAG4AIABvAGYAIABwAGEAcwB0AHUAcgBlACAAeQBpAGUAbABkACAAdABoAGEAdAAgAGkAcwAgAHIAZQBtAG8AdgBlAGQAXAAiACwAIABcACIAZgByAGEAYwB0AGkAbwBuAFwAIgAsACAAXAAiAEMAbwBuAHMAdABhAG4AdABcACIAOwBcAG4AIAAgACAAIAAgACAAIAAgACAAIABcACIAcABcACIALABcACIAUABhAHMAdAB1AHIAZQAgAHQAeQBwAGUAXAAiACwAIABcACIAXAAiACwAIABcACIASQBuAHAAdQB0AFwAIgBcAG4AIAAgACAAIAAgACAAIAAgAH0ALAAgAHIALAAgAGMAKQBcAG4AIAAgACAAIAAgACAAKQBcAG4AIAAgACAAIAApAFwAbgAgACAAKQA7AFwAbgBcAG4AXABuAFYARQBFAFIARwBfADYAXwAyAF8AMQBfADEAXwBfADIAXwBfAE0AYQBzAHMATwBmAE4AaQB0AHIAbwBnAGUAbgBJAG4AUABhAHMAdAB1AHIAZQBSAGUAcwBpAGQAdQBlAHMAXwBBAHIAZwB1AG0AZQBuAHQAcwBfAE0AZQB0AGgAbwBkADIAXABuACAAIAA9AEwAQQBNAEIARABBACgAXABuACAAIAAgACAATQBBAEsARQBBAFIAUgBBAFkAKAA3ACwAIAA0ACwAIABcAG4AIAAgACAAIAAgACAATABBAE0AQgBEAEEAKAByACwAYwAsACAAXABuACAAIAAgACAAIAAgACAAIABJAE4ARABFAFgAKAB7AFwAbgAgACAAIAAgACAAIAAgACAAIAAgAFwAIgBBAF8AcABcACIALABcACIAYQByAGUAYQAgAG8AZgAgAHAAYQBzAHQAdQByAGUAIAByAGUAbgBlAHcAZQBkACAAbwByACAAcgBlAG0AbwB2AGUAZABcACIALAAgAFwAIgBoAGEAXAAiACwAIABcACIASQBuAHAAdQB0AFwAIgA7AFwAbgAgACAAIAAgACAAIAAgACAAIAAgAFwAIgBZAF8AcABcACIALABcACIAYQB2AGUAcgBhAGcAZQAgAHkAaQBlAGwAZAAgAG8AZgAgAHAAYQBzAHQAdQByAGUAIABjAHIAbwBwAFwAIgAsACAAXAAiAHQAIABEAE0ALwBoAGEAXAAiACwAIABcACIASQBuAHAAdQB0AFwAIgA7AFwAbgAgACAAIAAgACAAIAAgACAAIAAgAFwAIgBOAEMAXwBBAEcAcABcACIALABcACIATgAgAGMAbwBuAHQAZQBuAHQAIABvAGYAIABhAGIAbwB2AGUALQBnAHIAbwB1AG4AZAAgAHAAYQBzAHQAdQByAGUAIAByAGUAcwBpAGQAdQBlAFwAIgAsACAAXAAiAGsAZwAgAE4ALwBrAGcAIABEAE0AXAAiACwAIABcACIAQwBvAG4AcwB0AGEAbgB0AFwAIgA7AFwAbgAgACAAIAAgACAAIAAgACAAIAAgAFwAIgBSAF8AQgBHAHAAXAAiACwAXAAiAGIAZQBsAG8AdwAtAGcAcgBvAHUAbgBkACAAcgBlAHMAaQBkAHUAZQAgAHQAbwAgAGEAYgBvAHYAZQAtAGcAcgBvAHUAbgBkACAAcgBlAHMAaQBkAHUAZQAgAHIAYQB0AGkAbwAgAGYAbwByACAAcABhAHMAdAB1AHIAZQAgAGMAcgBvAHAAXAAiACwAIABcACIAXAAiACwAIABcACIAQwBvAG4AcwB0AGEAbgB0AFwAIgA7AFwAbgAgACAAIAAgACAAIAAgACAAIAAgAFwAIgBOAEMAXwBCAEcAcABcACIALABcACIATgAgAGMAbwBuAHQAZQBuAHQAIABvAGYAIABiAGUAbABvAHcALQBnAHIAbwB1AG4AZAAgAHAAYQBzAHQAdQByAGUAIABjAHIAbwBwACAAcgBlAHMAaQBkAHUAZQBcACIALAAgAFwAIgBrAGcAIABOAC8AawBnACAARABNAFwAIgAsACAAXAAiAEMAbwBuAHMAdABhAG4AdABcACIAOwBcAG4AIAAgACAAIAAgACAAIAAgACAAIABcACIARgBGAE8ARABfAHAAXAAiACwAXAAiAGYAcgBhAGMAdABpAG8AbgAgAG8AZgAgAHAAYQBzAHQAdQByAGUAIAB5AGkAZQBsAGQAIAB0AGgAYQB0ACAAaQBzACAAcgBlAG0AbwB2AGUAZABcACIALAAgAFwAIgBmAHIAYQBjAHQAaQBvAG4AXAAiACwAIABcACIAQwBvAG4AcwB0AGEAbgB0AFwAIgA7AFwAbgAgACAAIAAgACAAIAAgACAAIAAgAFwAIgBwAFwAIgAsAFwAIgBQAGEAcwB0AHUAcgBlACAAdAB5AHAAZQBcACIALAAgAFwAIgBcACIALAAgAFwAIgBJAG4AcAB1AHQAXAAiAFwAbgAgACAAIAAgACAAIAAgACAAfQAsACAAcgAsACAAYwApAFwAbgAgACAAIAAgACAAIAApAFwAbgAgACAAIAAgACkAXABuACAAIAApADsAXABuAFwAbgBcAG4AXABuAFwAbgAiAH0ALAB7ACIAcABhAHQAaAAiADoAIgAvAHAAcgBvAGoAZQBjAHQAcwAvAEEAZwBSAGUAcwBpAGQAdQBlAF8ARQBxAHUAYQB0AGkAbwBuAHMAXwBMAGUAYQBjAGgAaQBuAGcAIgAsACIAdABlAHgAdAAiADoAIgAvACoAIABcAG4ALQAtAC0ALQAtAC0ALQAtAC0ALQAtAC0ALQAtAC0ALQAtAC0ALQAtAC0ALQAtAC0ALQAtAC0ALQAtAC0ALQAtAC0ALQAtAC0ALQAtAFwAbgBWAEUARQBSAEcAXwA2AF8AMwBfADEAXwAxAF8AXwAxAF8AXwBMAGUAYQBjAGgAaQBuAGcAQQBuAGQAUgB1AG4AbwBmAGYARQBtAGkAcwBzAGkAbwBuAHMAQwByAG8AcABBAG4AZABQAGEAcwB0AHUAcgBlAFIAZQBzAGkAZAB1AGUAXABuAE4AaQB0AHIAbwB1AHMAIABvAHgAaQBkAGUAIABsAGUAYQBjAGgAaQBuAGcAIABhAG4AZAAgAHIAdQBuAG8AZgBmACAAZQBtAGkAcwBzAGkAbwBuAHMAIABmAHIAbwBtACAAYwByAG8AcAAgAGEAbgBkACAAcABhAHMAdAB1AHIAZQAgAHIAZQBzAGkAZAB1AGUAcwAgAHIAZQB0AHUAcgBuAGUAZAAgAHQAbwAgAHQAaABlACAAcwBvAGkAbAAsACAAYQBjAHIAbwBzAHMAIABhAGwAbAAgAGMAcgBvAHAAIAByAGUAcwBpAGQAdQBlAHMAIABjACAAYQBuAGQAIABwAGEAcwB0AHUAcgBlACAAcgBlAHMAaQBkAHUAZQBzACAAcABcAG4ARQBOADIATwBcAG4AdAAgAE4AMgBPAFwAbgBFAF8AewBOADIATwB9AD0AXABcAHMAdQBtAF8AewBjAH0AXABcAHMAdQBtAF8AewBwAH0AKABNAF8AewBsAGUAYQBjAGgALABjAHAAfQBcAFwAdABpAG0AZQBzACAARQBGAF8AewBsAGUAYQBjAGgAfQBcAFwAdABpAG0AZQBzACAAQwBfAHsATgAyAE8AfQBcAFwAdABpAG0AZQBzACAAMQAwAF4AewAtADMAfQApAFwAbgBNAF8AbABlAGEAYwBoAGMAcAAgAD0AIABtAGEAcwBzACAAbwBmACAAbgBpAHQAcgBvAGcAZQBuACAAbABvAHMAdAAgAHQAaAByAG8AdQBnAGgAIABsAGUAYQBjAGgAaQBuAGcAIABhAG4AZAAgAHIAdQBuAG8AZgBmACAAZgByAG8AbQAgAHQAaABlACAAYwByAG8AcAAgAHIAZQBzAGkAZAB1AGUAIABjACAAbwByACAAcABhAHMAdAB1AHIAZQAgAHIAZQBzAGkAZAB1AGUAIABwACAAKABrAGcAIABOACkAXABuAEUARgBfAGwAZQBhAGMAaAAgAD0AIABlAG0AaQBzAHMAaQBvAG4AIABmAGEAYwB0AG8AcgAgAGYAbwByACAAbABlAGEAYwBoAGkAbgBnACAAYQBuAGQAIAByAHUAbgBvAGYAZgAgACgAawBnACAATgAyAE8ALQBOAC8AawBnACAATgApAFwAbgBDAE4AMgBPACAAPQAgAGYAYQBjAHQAbwByACAAdABvACAAYwBvAG4AdgBlAHIAdAAgAGUAbABlAG0AZQBuAHQAYQBsACAAbQBhAHMAcwAgAG8AZgAgAG4AaQB0AHIAbwB1AHMAIABvAHgAaQBkAGUAIAB0AG8AIABtAG8AbABlAGMAdQBsAGEAcgAgAG0AYQBzAHMAIAAoAGQAaQBtAGUAbgBzAGkAbwBuAGwAZQBzAHMAKQBcAG4AYwAgAD0AIABDAHIAbwBwACAAcgBlAHMAaQBkAHUAZQAgAHQAeQBwAGUAXABuAHAAIAA9ACAAUABhAHMAdAB1AHIAZQAgAHIAZQBzAGkAZAB1AGUAIAB0AHkAcABlAFwAbgAtAC0ALQAtAC0ALQAtAC0ALQAtAC0ALQAtAC0ALQAtAC0ALQAtAC0ALQAtAC0ALQAtAC0ALQAtAC0ALQAtAC0ALQAtAC0ALQAtAC0AXABuACoALwBcAG4AXABuAFYARQBFAFIARwBfADYAXwAzAF8AMQBfADEAXwBfADEAXwBfAEwAZQBhAGMAaABpAG4AZwBBAG4AZABSAHUAbgBvAGYAZgBFAG0AaQBzAHMAaQBvAG4AcwBDAHIAbwBwAEEAbgBkAFAAYQBzAHQAdQByAGUAUgBlAHMAaQBkAHUAZQBcAG4AIAAgAD0ATABBAE0AQgBEAEEAKABcAG4AIAAgACAAIABNAF8AbABlAGEAYwBoAGMAcAAsACAARQBGAF8AbABlAGEAYwBoACwAIABDAF8ATgAyAE8ALABcAG4AIAAgACAAIAAoAE0AXwBsAGUAYQBjAGgAYwBwACAAKgAgAEUARgBfAGwAZQBhAGMAaAApACAAKgAgAEMAXwBOADIATwAgACoAIAAxADAAXgAoAC0AMwApAFwAbgAgACAAKQBcAG4AOwBcAG4AXABuAFYARQBFAFIARwBfADYAXwAzAF8AMQBfADEAXwBfADEAXwBfAEwAZQBhAGMAaABpAG4AZwBBAG4AZABSAHUAbgBvAGYAZgBFAG0AaQBzAHMAaQBvAG4AcwBDAHIAbwBwAEEAbgBkAFAAYQBzAHQAdQByAGUAUgBlAHMAaQBkAHUAZQBfAFQAaQB0AGwAZQBcAG4AIAAgAD0ATABBAE0AQgBEAEEAKABcACIATgBpAHQAcgBvAHUAcwAgAG8AeABpAGQAZQAgAGwAZQBhAGMAaABpAG4AZwAgAGEAbgBkACAAcgB1AG4AbwBmAGYAIABlAG0AaQBzAHMAaQBvAG4AcwAgAGYAcgBvAG0AIABjAHIAbwBwACAAYQBuAGQAIABwAGEAcwB0AHUAcgBlACAAcgBlAHMAaQBkAHUAZQBzACAAcgBlAHQAdQByAG4AZQBkACAAdABvACAAdABoAGUAIABzAG8AaQBsAFwAIgApADsAXABuAFwAbgBWAEUARQBSAEcAXwA2AF8AMwBfADEAXwAxAF8AXwAxAF8AXwBMAGUAYQBjAGgAaQBuAGcAQQBuAGQAUgB1AG4AbwBmAGYARQBtAGkAcwBzAGkAbwBuAHMAQwByAG8AcABBAG4AZABQAGEAcwB0AHUAcgBlAFIAZQBzAGkAZAB1AGUAXwBWAGEAcgBpAGEAYgBsAGUAXABuACAAIAA9AEwAQQBNAEIARABBACgAXAAiAEUATgAyAE8AXAAiACkAOwBcAG4AXABuAFYARQBFAFIARwBfADYAXwAzAF8AMQBfADEAXwBfADEAXwBfAEwAZQBhAGMAaABpAG4AZwBBAG4AZABSAHUAbgBvAGYAZgBFAG0AaQBzAHMAaQBvAG4AcwBDAHIAbwBwAEEAbgBkAFAAYQBzAHQAdQByAGUAUgBlAHMAaQBkAHUAZQBfAFUAbgBpAHQAXABuACAAIAA9AEwAQQBNAEIARABBACgAXAAiAHQAIABOADIATwBcACIAKQA7AFwAbgBcAG4AVgBFAEUAUgBHAF8ANgBfADMAXwAxAF8AMQBfAF8AMQBfAF8ATABlAGEAYwBoAGkAbgBnAEEAbgBkAFIAdQBuAG8AZgBmAEUAbQBpAHMAcwBpAG8AbgBzAEMAcgBvAHAAQQBuAGQAUABhAHMAdAB1AHIAZQBSAGUAcwBpAGQAdQBlAF8AUwBvAHUAcgBjAGUAXABuACAAIAA9AEwAQQBNAEIARABBACgAXAAiAFYARQBFAFIARwAgADIAMAAyADYAOgAgADYALgAzAC4AMQAuADEALAAgAEUAcQB1AGEAdABpAG8AbgAgACgAMQApAFwAIgApADsAXABuAFwAbgBWAEUARQBSAEcAXwA2AF8AMwBfADEAXwAxAF8AXwAxAF8AXwBMAGUAYQBjAGgAaQBuAGcAQQBuAGQAUgB1AG4AbwBmAGYARQBtAGkAcwBzAGkAbwBuAHMAQwByAG8AcABBAG4AZABQAGEAcwB0AHUAcgBlAFIAZQBzAGkAZAB1AGUAXwBOAEkAUgBSAGUAZgBlAHIAZQBuAGMAZQBcAG4AIAAgAD0ATABBAE0AQgBEAEEAKABcACIAXAAiACkAOwBcAG4AXABuAFYARQBFAFIARwBfADYAXwAzAF8AMQBfADEAXwBfADEAXwBfAEwAZQBhAGMAaABpAG4AZwBBAG4AZABSAHUAbgBvAGYAZgBFAG0AaQBzAHMAaQBvAG4AcwBDAHIAbwBwAEEAbgBkAFAAYQBzAHQAdQByAGUAUgBlAHMAaQBkAHUAZQBfAEwAYQB0AGUAeABFAHEAdQBhAHQAaQBvAG4AXABuACAAIAA9AEwAQQBNAEIARABBACgAXAAiAEUAXwB7AE4AMgBPAH0APQBcAFwAcwB1AG0AXABcAG4AbwBsAGkAbQBpAHQAcwBfAGMAXABcAHMAdQBtAFwAXABuAG8AbABpAG0AaQB0AHMAXwBwACgATQBfAHsAbABlAGEAYwBoACwAYwBwAH0AXABcAHQAaQBtAGUAcwAgAEUARgBfAHsAbABlAGEAYwBoAH0AXABcAHQAaQBtAGUAcwAgAEMAXwB7AE4AMgBPAH0AXABcAHQAaQBtAGUAcwAgADEAMABeAHsALQAzAH0AKQBcACIAKQA7AFwAbgBcAG4AVgBFAEUAUgBHAF8ANgBfADMAXwAxAF8AMQBfAF8AMQBfAF8ATABlAGEAYwBoAGkAbgBnAEEAbgBkAFIAdQBuAG8AZgBmAEUAbQBpAHMAcwBpAG8AbgBzAEMAcgBvAHAAQQBuAGQAUABhAHMAdAB1AHIAZQBSAGUAcwBpAGQAdQBlAF8AQQByAGcAdQBtAGUAbgB0AHMAXABuACAAIAA9AEwAQQBNAEIARABBACgAXABuACAAIAAgACAATQBBAEsARQBBAFIAUgBBAFkAKAA1ACwAIAA0ACwAIABcAG4AIAAgACAAIAAgACAATABBAE0AQgBEAEEAKAByACwAYwAsACAAXABuACAAIAAgACAAIAAgACAAIABJAE4ARABFAFgAKAB7AFwAbgAgACAAIAAgACAAIAAgACAAIAAgAFwAIgBNAF8AbABlAGEAYwBoAGMAcABcACIALABcACIAbQBhAHMAcwAgAG8AZgAgAG4AaQB0AHIAbwBnAGUAbgAgAGwAbwBzAHQAIAB0AGgAcgBvAHUAZwBoACAAbABlAGEAYwBoAGkAbgBnACAAYQBuAGQAIAByAHUAbgBvAGYAZgAgAGYAcgBvAG0AIAB0AGgAZQAgAGMAcgBvAHAAIAByAGUAcwBpAGQAdQBlACAAYwAgAG8AcgAgAHAAYQBzAHQAdQByAGUAIAByAGUAcwBpAGQAdQBlACAAcABcACIALAAgAFwAIgBrAGcAIABOAFwAIgAsACAAXAAiAEMAYQBsAGMAdQBsAGEAdABlAGQAIABmAHIAbwBtACAANgAuADMALgAxAC4AMQAgACgAMgApAFwAIgA7AFwAbgAgACAAIAAgACAAIAAgACAAIAAgAFwAIgBFAEYAXwBsAGUAYQBjAGgAXAAiACwAXAAiAGUAbQBpAHMAcwBpAG8AbgAgAGYAYQBjAHQAbwByACAAZgBvAHIAIABsAGUAYQBjAGgAaQBuAGcAIABhAG4AZAAgAHIAdQBuAG8AZgBm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ZABpAG0AZQBuAHMAaQBvAG4AbABlAHMAcwBcACIALAAgAFwAIgBDAG8AbgBzAHQAYQBuAHQAXAAiADsAXABuACAAIAAgACAAIAAgACAAIAAgACAAXAAiAGMAXAAiACwAXAAiAEMAcgBvAHAAIAByAGUAcwBpAGQAdQBlACAAdAB5AHAAZQBcACIALAAgAFwAIgBcACIALAAgAFwAIgBJAG4AcAB1AHQAXAAiADsAXABuACAAIAAgACAAIAAgACAAIAAgACAAXAAiAHAAXAAiACwAXAAiAFAAYQBzAHQAdQByAGUAIAByAGUAcwBpAGQAdQBlACAAdAB5AHAAZQ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2AF8AMwBfADEAXwAxAF8AXwAyAF8AXwBNAGEAcwBzAE8AZgBOAGkAdAByAG8AZwBlAG4ATABvAHMAdABUAGgAcgBvAHUAZwBoAEwAZQBhAGMAaABpAG4AZwBBAG4AZABSAHUAbgBvAGYAZgBcAG4ATQBhAHMAcwAgAG8AZgAgAG4AaQB0AHIAbwBnAGUAbgAgAGwAbwBzAHQAIAB0AGgAcgBvAHUAZwBoACAAbABlAGEAYwBoAGkAbgBnACAAYQBuAGQAIAByAHUAbgBvAGYAZgBcAG4ATQBfAGwAZQBhAGMAaABjAHAAXABuAGsAZwAgAE4AXABuAE0AXwB7AGwAZQBhAGMAaAAsAGMAcAB9AD0ATQBfAHsAYwBwAH0AXABcAHQAaQBtAGUAcwAgAEYAcgBhAGMAVwBFAFQAXwB7AGoAfQBcAFwAdABpAG0AZQBzACAARgByAGEAYwBMAEUAQQBDAEgAXABuAE0AXwBjAHAAIAA9ACAAbQBhAHMAcwAgAG8AZgAgAG4AaQB0AHIAbwBnAGUAbgAgAGkAbgAgAGMAcgBvAHAAIAByAGUAcwBpAGQAdQBlAHMAIABjACAAbwByACAAcABhAHMAdAB1AHIAZQAgAHIAZQBzAGkAZAB1AGUAcwAgAHAAIABhAHAAcABsAGkAZQBkACAAdABvACAAcwBvAGkAbABzACAAKABrAGcAIABOACkAXABuAEYAcgBhAGMAVwBFAFQAagAgAD0AIABmAHIAYQBjAHQAaQBvAG4AIABvAGYAIABOACAAdABoAGEAdAAgAGkAcwAgAGEAdgBhAGkAbABhAGIAbABlACAAZgBvAHIAIABsAGUAYQBjAGgAaQBuAGcAIABhAG4AZAAgAHIAdQBuAG8AZgBmACAAZgByAG8AbQAgAHAAcgBvAGQAdQBjAHQAaQBvAG4AIABzAHkAcwB0AGUAbQAgAGoAIAAoAGQAaQBtAGUAbgBzAGkAbwBuAGwAZQBzAHMAKQBcAG4ARgByAGEAYwBMAEUAQQBDAEgAIAA9ACAAZgByAGEAYwB0AGkAbwBuACAAbwBmACAATgAgAHQAaABhAHQAIABpAHMAIABsAG8AcwB0ACAAdABoAHIAbwB1AGcAaAAgAGwAZQBhAGMAaABpAG4AZwAgAGEAbgBkACAAcgB1AG4AbwBmAGYAIAAoAGQAaQBtAGUAbgBzAGkAbwBuAGwAZQBzAHMAKQBcAG4AYwAgAD0AIABDAHIAbwBwACAAcgBlAHMAaQBkAHUAZQAgAHQAeQBwAGUAXABuAHAAIAA9ACAAUABhAHMAdAB1AHIAZQAgAHIAZQBzAGkAZAB1AGUAIAB0AHkAcABlAFwAbgBpAHIAIAA9ACAAaQByAHIAaQBnAGEAdABpAG8AbgAgAHQAeQBwAGUAXABuAC0ALQAtAC0ALQAtAC0ALQAtAC0ALQAtAC0ALQAtAC0ALQAtAC0ALQAtAC0ALQAtAC0ALQAtAC0ALQAtAC0ALQAtAC0ALQAtAC0ALQBcAG4AKgAvAFwAbgBcAG4AVgBFAEUAUgBHAF8ANgBfADMAXwAxAF8AMQBfAF8AMgBfAF8ATQBhAHMAcwBPAGYATgBpAHQAcgBvAGcAZQBuAEwAbwBzAHQAVABoAHIAbwB1AGcAaABMAGUAYQBjAGgAaQBuAGcAQQBuAGQAUgB1AG4AbwBmAGYAXABuACAAIAA9AEwAQQBNAEIARABBACgAXABuACAAIAAgACAATQBfAGMAcAAsACAARgByAGEAYwBXAEUAVABfAGoALAAgAEYAcgBhAGMATABFAEEAQwBIACwAXABuACAAIAAgACAATQBfAGMAcAAgACoAIABGAHIAYQBjAFcARQBUAF8AagAgACoAIABGAHIAYQBjAEwARQBBAEMASABcAG4AIAAgACkAXABuADsAXABuAFwAbgBWAEUARQBSAEcAXwA2AF8AMwBfADEAXwAxAF8AXwAyAF8AXwBNAGEAcwBzAE8AZgBOAGkAdAByAG8AZwBlAG4ATABvAHMAdABUAGgAcgBvAHUAZwBoAEwAZQBhAGMAaABpAG4AZwBBAG4AZABSAHUAbgBvAGYAZgBfAFQAaQB0AGwAZQBcAG4AIAAgAD0ATABBAE0AQgBEAEEAKABcACIATQBhAHMAcwAgAG8AZgAgAG4AaQB0AHIAbwBnAGUAbgAgAGwAbwBzAHQAIAB0AGgAcgBvAHUAZwBoACAAbABlAGEAYwBoAGkAbgBnACAAYQBuAGQAIAByAHUAbgBvAGYAZgBcACIAKQA7AFwAbgBcAG4AVgBFAEUAUgBHAF8ANgBfADMAXwAxAF8AMQBfAF8AMgBfAF8ATQBhAHMAcwBPAGYATgBpAHQAcgBvAGcAZQBuAEwAbwBzAHQAVABoAHIAbwB1AGcAaABMAGUAYQBjAGgAaQBuAGcAQQBuAGQAUgB1AG4AbwBmAGYAXwBWAGEAcgBpAGEAYgBsAGUAXABuACAAIAA9AEwAQQBNAEIARABBACgAXAAiAE0AXwBsAGUAYQBjAGgAYwBwAFwAIgApADsAXABuAFwAbgBWAEUARQBSAEcAXwA2AF8AMwBfADEAXwAxAF8AXwAyAF8AXwBNAGEAcwBzAE8AZgBOAGkAdAByAG8AZwBlAG4ATABvAHMAdABUAGgAcgBvAHUAZwBoAEwAZQBhAGMAaABpAG4AZwBBAG4AZABSAHUAbgBvAGYAZgBfAFUAbgBpAHQAXABuACAAIAA9AEwAQQBNAEIARABBACgAXAAiAGsAZwAgAE4AXAAiACkAOwBcAG4AXABuAFYARQBFAFIARwBfADYAXwAzAF8AMQBfADEAXwBfADIAXwBfAE0AYQBzAHMATwBmAE4AaQB0AHIAbwBnAGUAbgBMAG8AcwB0AFQAaAByAG8AdQBnAGgATABlAGEAYwBoAGkAbgBnAEEAbgBkAFIAdQBuAG8AZgBmAF8AUwBvAHUAcgBjAGUAXABuACAAIAA9AEwAQQBNAEIARABBACgAXAAiAFYARQBFAFIARwAgADIAMAAyADYAOgAgADYALgAzAC4AMQAuADEALAAgAEUAcQB1AGEAdABpAG8AbgAgACgAMgApAFwAIgApADsAXABuAFwAbgBWAEUARQBSAEcAXwA2AF8AMwBfADEAXwAxAF8AXwAyAF8AXwBNAGEAcwBzAE8AZgBOAGkAdAByAG8AZwBlAG4ATABvAHMAdABUAGgAcgBvAHUAZwBoAEwAZQBhAGMAaABpAG4AZwBBAG4AZABSAHUAbgBvAGYAZgBfAE4ASQBSAFIAZQBmAGUAcgBlAG4AYwBlAFwAbgAgACAAPQBMAEEATQBCAEQAQQAoAFwAIgBcACIAKQA7AFwAbgBcAG4AVgBFAEUAUgBHAF8ANgBfADMAXwAxAF8AMQBfAF8AMgBfAF8ATQBhAHMAcwBPAGYATgBpAHQAcgBvAGcAZQBuAEwAbwBzAHQAVABoAHIAbwB1AGcAaABMAGUAYQBjAGgAaQBuAGcAQQBuAGQAUgB1AG4AbwBmAGYAXwBMAGEAdABlAHgARQBxAHUAYQB0AGkAbwBuAFwAbgAgACAAPQBMAEEATQBCAEQAQQAoAFwAIgBNAF8AewBsAGUAYQBjAGgALABjAHAAfQA9AE0AXwB7AGMAcAB9AFwAXAB0AGkAbQBlAHMAIABGAHIAYQBjAFcARQBUAF8AewBqAH0AXABcAHQAaQBtAGUAcwAgAEYAcgBhAGMATABFAEEAQwBIAFwAIgApADsAXABuAFwAbgBWAEUARQBSAEcAXwA2AF8AMwBfADEAXwAxAF8AXwAyAF8AXwBNAGEAcwBzAE8AZgBOAGkAdAByAG8AZwBlAG4ATABvAHMAdABUAGgAcgBvAHUAZwBoAEwAZQBhAGMAaABpAG4AZwBBAG4AZABSAHUAbgBvAGYAZgBfAEEAcgBnAHUAbQBlAG4AdABzAFwAbgAgACAAPQBMAEEATQBCAEQAQQAoAFwAbgAgACAAIAAgAE0AQQBLAEUAQQBSAFIAQQBZACgANwAsACAANAAsACAAXABuACAAIAAgACAAIAAgAEwAQQBNAEIARABBACgAcgAsAGMALAAgAFwAbgAgACAAIAAgACAAIAAgACAASQBOAEQARQBYACgAewBcAG4AIAAgACAAIAAgACAAIAAgACAAIABcACIATQBfAGMAcABcACIALABcACIAbQBhAHMAcwAgAG8AZgAgAG4AaQB0AHIAbwBnAGUAbgAgAGkAbgAgAGMAcgBvAHAAIAByAGUAcwBpAGQAdQBlAHMAIABjACAAbwByACAAcABhAHMAdAB1AHIAZQAgAHIAZQBzAGkAZAB1AGUAcwAgAHAAIABhAHAAcABsAGkAZQBkACAAdABvACAAcwBvAGkAbABzAFwAIgAsACAAXAAiAGsAZwAgAE4AXAAiACwAIABcACIAQwBhAGwAYwAgAGYAcgBvAG0AIAA2AC4AMQAuADEALgAxACAAKAAyACkAIABhAG4AZAAgADYALgAyAC4AMQAuADEAIAAoADIAKQBcACIAOwBcAG4AIAAgACAAIAAgACAAIAAgACAAIABcACIARgByAGEAYwBXAEUAVABfAGoAXAAiACwAXAAiAGYAcgBhAGMAdABpAG8AbgAgAG8AZgAgAE4AIAB0AGgAYQB0ACAAaQBzACAAYQB2AGEAaQBsAGEAYgBsAGUAIABmAG8AcgAgAGwAZQBhAGMAaABpAG4AZwAgAGEAbgBkACAAcgB1AG4AbwBmAGYAIABmAHIAbwBtACAAdABoAGUAIABsAGUAYQBjAGgAaQBuAGcAIAB6AG8AbgBlACAAegAgAGEAbgBkACAAaQByAHIAaQBnAGEAdABpAG8AbgAgAHQAeQBwAGUAIABpAHIAXAAiACwAIABcACIAZgByAGEAYwB0AGkAbwBuAFwAIgAsACAAXAAiAEMAbwBuAHMAdABhAG4AdABcACIAOwBcAG4AIAAgACAAIAAgACAAIAAgACAAIABcACIARgByAGEAYwBMAEUAQQBDAEgAXAAiACwAXAAiAGYAcgBhAGMAdABpAG8AbgAgAG8AZgAgAE4AIAB0AGgAYQB0ACAAaQBzACAAbABvAHMAdAAgAHQAaAByAG8AdQBnAGgAIABsAGUAYQBjAGgAaQBuAGcAIABhAG4AZAAgAHIAdQBuAG8AZgBmAFwAIgAsACAAXAAiAGYAcgBhAGMAdABpAG8AbgBcACIALAAgAFwAIgBDAG8AbgBzAHQAYQBuAHQAXAAiADsAXABuACAAIAAgACAAIAAgACAAIAAgACAAXAAiAHoAXAAiACwAIABcACIATABvAGMAYQB0AGkAbwBuACAAaQBuACAAbABlAGEAYwBoAGkAbgBnACAAegBvAG4AZQBcACIALAAgAFwAIgBcACIALAAgAFwAIgBJAG4AcAB1AHQAXAAiADsAXABuACAAIAAgACAAIAAgACAAIAAgACAAXAAiAGMAXAAiACwAXAAiAEMAcgBvAHAAIAByAGUAcwBpAGQAdQBlACAAdAB5AHAAZQBcACIALAAgAFwAIgBcACIALAAgAFwAIgBJAG4AcAB1AHQAXAAiADsAXABuACAAIAAgACAAIAAgACAAIAAgACAAXAAiAHAAXAAiACwAXAAiAFAAYQBzAHQAdQByAGUAIAByAGUAcwBpAGQAdQBlACAAdAB5AHAAZQBcACIALAAgAFwAIgBcACIALAAgAFwAIgBJAG4AcAB1AHQAXAAiADsAXABuACAAIAAgACAAIAAgACAAIAAgACAAXAAiAGkAcgBcACIALAAgAFwAIgBJAHIAcgBpAGcAYQB0AGkAbwBuACAAdAB5AHAAZQBcACIALAAgAFwAIgBcACIALAAgAFwAIgBJAG4AcAB1AHQAXAAiAFwAbgAgACAAIAAgACAAIAAgACAAfQAsACAAcgAsACAAYwApAFwAbgAgACAAIAAgACAAIAApAFwAbgAgACAAIAAgACkAXABuACAAIAApADsAXABuAFwAbgAgACAAVgBFAEUAUgBHAF8ANgBfADMAXwAxAF8AMQBfAF8AMgBfAF8ATQBhAHMAcwBPAGYATgBpAHQAcgBvAGcAZQBuAEwAbwBzAHQAVABoAHIAbwB1AGcAaABMAGUAYQBjAGgAaQBuAGcAQQBuAGQAUgB1AG4AbwBmAGYAXwBWAGEAcgBpAGEAdABpAG8AbgBcAG4AIAAgAD0ATABBAE0AQgBEAEEAKABcACIAXAAiACkAOwBcAG4AXABuAFwAbgBcAG4AIgB9ACwAewAiAHAAYQB0AGgAIgA6ACIALwBwAHIAbwBqAGUAYwB0AHMALwBBAGcAUgBlAHMAaQBkAHUAZQBfAEUAcQB1AGEAdABpAG8AbgBzAF8ARgBpAGUAbABkAEIAdQByAG4AaQBuAGcAIgAsACIAdABlAHgAdAAiADoAIgAvACoAIABcAG4ALQAtAC0ALQAtAC0ALQAtAC0ALQAtAC0ALQAtAC0ALQAtAC0ALQAtAC0ALQAtAC0ALQAtAC0ALQAtAC0ALQAtAC0ALQAtAC0ALQAtAFwAbgBWAEUARQBSAEcAXwA2AF8ANABfADEAXwAxAF8AXwAxAF8AXwBNAGUAdABoAGEAbgBlAEUAbQBpAHMAcwBpAG8AbgBzAEYAcgBvAG0AQgB1AHIAbgBpAG4AZwBPAGYAQwByAG8AcABSAGUAcwBpAGQAdQBlAHMAXABuAE0AZQB0AGgAYQBuAGUAIABlAG0AaQBzAHMAaQBvAG4AcwAgAGYAcgBvAG0AIAB0AGgAZQAgAGIAdQByAG4AaQBuAGcAIABvAGYAIABjAHIAbwBwACAAcgBlAHMAaQBkAHUAZQBzAFwAbgBFAEMASAA0AFwAbgB0ACAAQwBIADQAXABuAEUAXwB7AEMASAA0AH0APQBcAG4AXABcAHMAdQBtAF8AewBjAH0AKABNAF8AewBiAHUAcgBuACwAYwB9AFwAXAB0AGkAbQBlAHMAIABDAEMAXwB7AGMAfQBcAFwAdABpAG0AZQBzACAARQBGAF8AewBDAEgANAB9AFwAXAB0AGkAbQBlAHMAIABDAF8AewBDAEgANAB9AFwAXAB0AGkAbQBlAHMAIAAxADAAXgB7AC0AMwB9ACkAXABuAE0AXwBiAHUAcgBuAGMAIAA9ACAAbQBhAHMAcwAgAG8AZgAgAHIAZQBzAGkAZAB1AGUAIABiAHUAcgBuAHQAIABmAG8AcgAgAGMAcgBvAHAAIAB0AHkAcABlACAAYwAgACgAawBnACkAXABuAEMAQwBfAGMAIAA9ACAAYwBhAHIAYgBvAG4AIABtAGEAcwBzACAAZgByAGEAYwB0AGkAbwBuACAAaQBuACAAdABoAGUAIAByAGUAcwBpAGQAdQBlAHMAIABvAGYAIABjAHIAbwBwACAAdAB5AHAAZQAgAGMAIAAoAGQAaQBtAGUAbgBzAGkAbwBuAGwAZQBzAHMAKQBcAG4ARQBGAF8AQwBIADQAIAA9ACAAZQBtAGkAcwBzAGkAbwBuACAAZgBhAGMAdABvAHIAIABmAG8AcgAgAG0AZQB0AGgAYQBuAGUAIABmAHIAbwBtACAAYgB1AHIAbgBpAG4AZwAgAG8AZgAgAGMAcgBvAHAAIAByAGUAcwBpAGQAdQBlAHMAIAAoAGsAZwAgAEMASAA0AC8AawBnACAAQwBIADQAIABiAHUAcgBuAHQAKQBcAG4AQwBDAEgANAAgAD0AIABmAGEAYwB0AG8AcgAgAHQAbwAgAGMAbwBuAHYAZQByAHQAIABlAGwAZQBtAGUAbgB0AGEAbAAgAG0AYQBzAHMAIABvAGYAIABtAGUAdABoAGEAbgBlACAAdABvACAAbQBvAGwAZQBjAHUAbABhAHIAIABtAGEAcwBzACAAKABkAGkAbQBlAG4AcwBpAG8AbgBsAGUAcwBzACkAXABuAGMAIAA9ACAAQwByAG8AcAAgAHQAeQBwAGUAXABuAC0ALQAtAC0ALQAtAC0ALQAtAC0ALQAtAC0ALQAtAC0ALQAtAC0ALQAtAC0ALQAtAC0ALQAtAC0ALQAtAC0ALQAtAC0ALQAtAC0ALQBcAG4AKgAvAFwAbgBcAG4AVgBFAEUAUgBHAF8ANgBfADQAXwAxAF8AMQBfAF8AMQBfAF8ATQBlAHQAaABhAG4AZQBFAG0AaQBzAHMAaQBvAG4AcwBGAHIAbwBtAEIAdQByAG4AaQBuAGcATwBmAEMAcgBvAHAAUgBlAHMAaQBkAHUAZQBzAFwAbgAgACAAPQBMAEEATQBCAEQAQQAoAFwAbgAgACAAIAAgAE0AXwBiAHUAcgBuAGMALAAgAEMAQwBfAGMALAAgAEUARgBfAEMASAA0ACwAIABDAF8AQwBIADQALABcAG4AIAAgACAAIAAoAE0AXwBiAHUAcgBuAGMAIAAqACAAQwBDAF8AYwApACAAKgAgAEUARgBfAEMASAA0ACAAKgAgAEMAXwBDAEgANAAgACoAIAAxADAAXgAoAC0AMwApAFwAbgAgACAAKQA7AFwAbgBcAG4AVgBFAEUAUgBHAF8ANgBfADQAXwAxAF8AMQBfAF8AMQBfAF8ATQBlAHQAaABhAG4AZQBFAG0AaQBzAHMAaQBvAG4AcwBGAHIAbwBtAEIAdQByAG4AaQBuAGcATwBmAEMAcgBvAHAAUgBlAHMAaQBkAHUAZQBzAF8ARgB1AG4AYwB0AGkAbwBuAE4AYQBtAGUAXABuACAAIAA9AEwAQQBNAEIARABBACgAXAAiAFYARQBFAFIARwBfADYAXwA0AF8AMQBfADEAXwBfADEAXwBfAE0AZQB0AGgAYQBuAGUARQBtAGkAcwBzAGkAbwBuAHMARgByAG8AbQBCAHUAcgBuAGkAbgBnAE8AZgBDAHIAbwBwAFIAZQBzAGkAZAB1AGUAcwBcACIAKQA7AFwAbgBcAG4AVgBFAEUAUgBHAF8ANgBfADQAXwAxAF8AMQBfAF8AMQBfAF8ATQBlAHQAaABhAG4AZQBFAG0AaQBzAHMAaQBvAG4AcwBGAHIAbwBtAEIAdQByAG4AaQBuAGcATwBmAEMAcgBvAHAAUgBlAHMAaQBkAHUAZQBzAF8AVABpAHQAbABlAFwAbgAgACAAPQBMAEEATQBCAEQAQQAoAFwAIgBNAGUAdABoAGEAbgBlACAAZQBtAGkAcwBzAGkAbwBuAHMAIABmAHIAbwBtACAAdABoAGUAIABiAHUAcgBuAGkAbgBnACAAbwBmACAAYwByAG8AcAAgAHIAZQBzAGkAZAB1AGUAcwBcACIAKQA7AFwAbgBcAG4AVgBFAEUAUgBHAF8ANgBfADQAXwAxAF8AMQBfAF8AMQBfAF8ATQBlAHQAaABhAG4AZQBFAG0AaQBzAHMAaQBvAG4AcwBGAHIAbwBtAEIAdQByAG4AaQBuAGcATwBmAEMAcgBvAHAAUgBlAHMAaQBkAHUAZQBzAF8AVgBhAHIAaQBhAGIAbABlAFwAbgAgACAAPQBMAEEATQBCAEQAQQAoAFwAIgBFAEMASAA0AFwAIgApADsAXABuAFwAbgBWAEUARQBSAEcAXwA2AF8ANABfADEAXwAxAF8AXwAxAF8AXwBNAGUAdABoAGEAbgBlAEUAbQBpAHMAcwBpAG8AbgBzAEYAcgBvAG0AQgB1AHIAbgBpAG4AZwBPAGYAQwByAG8AcABSAGUAcwBpAGQAdQBlAHMAXwBVAG4AaQB0AFwAbgAgACAAPQBMAEEATQBCAEQAQQAoAFwAIgB0ACAAQwBIADQAXAAiACkAOwBcAG4AXABuAFYARQBFAFIARwBfADYAXwA0AF8AMQBfADEAXwBfADEAXwBfAE0AZQB0AGgAYQBuAGUARQBtAGkAcwBzAGkAbwBuAHMARgByAG8AbQBCAHUAcgBuAGkAbgBnAE8AZgBDAHIAbwBwAFIAZQBzAGkAZAB1AGUAcwBfAFMAbwB1AHIAYwBlAFwAbgAgACAAPQBMAEEATQBCAEQAQQAoAFwAIgBWAEUARQBSAEcAIAAyADAAMgA2ADoAIAA2AC4ANAAuADEALgAxACwAIABFAHEAdQBhAHQAaQBvAG4AIAAoADEAKQBcACIAKQA7AFwAbgBcAG4AVgBFAEUAUgBHAF8ANgBfADQAXwAxAF8AMQBfAF8AMQBfAF8ATQBlAHQAaABhAG4AZQBFAG0AaQBzAHMAaQBvAG4AcwBGAHIAbwBtAEIAdQByAG4AaQBuAGcATwBmAEMAcgBvAHAAUgBlAHMAaQBkAHUAZQBzAF8ATgBJAFIAUgBlAGYAZQByAGUAbgBjAGUAXABuACAAIAA9AEwAQQBNAEIARABBACgAXAAiAFwAIgApADsAXABuAFwAbgBWAEUARQBSAEcAXwA2AF8ANABfADEAXwAxAF8AXwAxAF8AXwBNAGUAdABoAGEAbgBlAEUAbQBpAHMAcwBpAG8AbgBzAEYAcgBvAG0AQgB1AHIAbgBpAG4AZwBPAGYAQwByAG8AcABSAGUAcwBpAGQAdQBlAHMAXwBMAGEAdABlAHgARQBxAHUAYQB0AGkAbwBuAFwAbgAgACAAPQBMAEEATQBCAEQAQQAoAFwAIgBFAF8AewBDAEgANAB9AD0AXABcAHMAdQBtAFwAXABuAG8AbABpAG0AaQB0AHMAXwBjACgATQBfAHsAYgB1AHIAbgAsAGMAfQBcAFwAdABpAG0AZQBzACAAQwBDAF8AewBjAH0AKQBcAFwAdABpAG0AZQBzACAARQBGAF8AewBDAEgANAB9AFwAXAB0AGkAbQBlAHMAIABDAF8AewBDAEgANAB9AFwAXAB0AGkAbQBlAHMAIAAxADAAXgB7AC0AMwB9AFwAIgApADsAXABuAFwAbgBWAEUARQBSAEcAXwA2AF8ANABfADEAXwAxAF8AXwAxAF8AXwBNAGUAdABoAGEAbgBlAEUAbQBpAHMAcwBpAG8AbgBzAEYAcgBvAG0AQgB1AHIAbgBpAG4AZwBPAGYAQwByAG8AcABSAGUAcwBpAGQAdQBlAHMAXwBBAHIAZwB1AG0AZQBuAHQAcwBcAG4AIAAgAD0ATABBAE0AQgBEAEEAKABcAG4AIAAgACAAIABNAEEASwBFAEEAUgBSAEEAWQAoADUALAAgADQALABcAG4AIAAgACAAIAAgACAATABBAE0AQgBEAEEAKAByACwAYwAsAFwAbgAgACAAIAAgACAAIAAgACAASQBOAEQARQBYACgAewBcAG4AIAAgACAAIAAgACAAIAAgACAAIABcACIATQBfAGIAdQByAG4AYwBcACIALABcACIAbQBhAHMAcwAgAG8AZgAgAHIAZQBzAGkAZAB1AGUAIABiAHUAcgBuAHQAIABmAG8AcgAgAGMAcgBvAHAAIAB0AHkAcABlACAAYwBcACIALAAgAFwAIgBrAGcAXAAiACwAIABcACIAQwBhAGwAYwB1AGwAYQB0AGUAZAAgAGYAcgBvAG0AIAA2AC4ANAAuADEALgAxACAAKAAzACkAXAAiADsAXABuACAAIAAgACAAIAAgACAAIAAgACAAXAAiAEMAQwBfAGMAXAAiACwAXAAiAGMAYQByAGIAbwBuACAAbQBhAHMAcwAgAGYAcgBhAGMAdABpAG8AbgAgAGkAbgAgAHQAaABlACAAcgBlAHMAaQBkAHUAZQBzACAAbwBmACAAYwByAG8AcAAgAHQAeQBwAGUAIABjAFwAIgAsACAAXAAiAGYAcgBhAGMAdABpAG8AbgBcACIALAAgAFwAIgBDAG8AbgBzAHQAYQBuAHQAXAAiADsAXABuACAAIAAgACAAIAAgACAAIAAgACAAXAAiAEUARgBfAEMASAA0AFwAIgAsAFwAIgBlAG0AaQBzAHMAaQBvAG4AIABmAGEAYwB0AG8AcgAgAGYAbwByACAAbQBlAHQAaABhAG4AZQAgAGYAcgBvAG0AIABiAHUAcgBuAGkAbgBnACAAbwBmACAAYwByAG8AcAAgAHIAZQBzAGkAZAB1AGUAcwBcACIALAAgAFwAIgBrAGcAIABDAEgANAAgAC8AIABrAGcAIABDAEgANAAgAGIAdQByAG4AdABcACIALAAgAFwAIgBDAG8AbgBzAHQAYQBuAHQAXAAiADsAXABuACAAIAAgACAAIAAgACAAIAAgACAAXAAiAEMAXwBDAEgANABcACIALABcACIAZgBhAGMAdABvAHIAIAB0AG8AIABjAG8AbgB2AGUAcgB0ACAAZQBsAGUAbQBlAG4AdABhAGwAIABtAGEAcwBzACAAbwBmACAAbQBlAHQAaABhAG4AZQAgAHQAbwAgAG0AbwBsAGUAYwB1AGwAYQByACAAbQBhAHMAcwBcACIALAAgAFwAIgBkAGkAbQBlAG4AcwBpAG8AbgBsAGUAcwBzAFwAIgAsACAAXAAiAEMAbwBuAHMAdABhAG4AdABcACIAOwBcAG4AIAAgACAAIAAgACAAIAAgACAAIABcACIAYwBcACIALABcACIAQwByAG8AcAAgAHQAeQBwAGU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gBfADQAXwAxAF8AMQBfAF8AMgBfAF8ATgBpAHQAcgBvAHUAcwBPAHgAaQBkAGUARQBtAGkAcwBzAGkAbwBuAHMARgByAG8AbQBCAHUAcgBuAGkAbgBnAE8AZgBDAHIAbwBwAFIAZQBzAGkAZAB1AGUAcwBcAG4ATgBpAHQAcgBvAHUAcwAgAG8AeABpAGQAZQAgAGUAbQBpAHMAcwBpAG8AbgBzACAAZgByAG8AbQAgAHQAaABlACAAYgB1AHIAbgBpAG4AZwAgAG8AZgAgAGMAcgBvAHAAIAByAGUAcwBpAGQAdQBlAHMAXABuAEUATgAyAE8AXABuAHQAIABOADIATwBcAG4ARQBfAHsATgAyAE8AfQA9AFwAXABzAHUAbQBfAHsAYwB9ACgATQBfAHsAYgB1AHIAbgAsAGMAfQBcAFwAdABpAG0AZQBzACAATgBDAF8AewBBAEcAYwB9AFwAXAB0AGkAbQBlAHMAIABFAEYAXwB7AE4AMgBPAH0AXABcAHQAaQBtAGUAcwAgAEMAXwB7AE4AMgBPAH0AXABcAHQAaQBtAGUAcwAgADEAMABeAHsALQAzAH0AKQBcAG4ATQBfAGIAdQByAG4AYwAgAD0AIABtAGEAcwBzACAAbwBmACAAcgBlAHMAaQBkAHUAZQAgAGIAdQByAG4AdAAgAGYAbwByACAAYwByAG8AcAAgAHQAeQBwAGUAIABjACAAKABrAGcAKQBcAG4ATgBDAF8AQQBHAGMAIAA9ACAAbgBpAHQAcgBvAGcAZQBuACAAYwBvAG4AdABlAG4AdAAgAGkAbgAgAHQAaABlACAAYQBiAG8AdgBlAC0AZwByAG8AdQBuAGQAIAByAGUAcwBpAGQAdQBlACAAbwBmACAAYwByAG8AcAAgAHQAeQBwAGUAIABjACAAKABrAGcAIABOAC8AawBnACAARABNACkAXABuAEUARgBfAE4AMgBPACAAPQAgAGUAbQBpAHMAcwBpAG8AbgAgAGYAYQBjAHQAbwByACAAZgBvAHIAIABuAGkAdAByAG8AdQBzACAAbwB4AGkAZABlACAAZgByAG8AbQAgAGIAdQByAG4AaQBuAGcAIABvAGYAIABjAHIAbwBwACAAcgBlAHMAaQBkAHUAZQBzACAAKABrAGcAIABOADIATwAvAGsAZwAgAE4AMgBPACAAYgB1AHIAbgB0ACkAXABuAEMAXwBOADIATwAgAD0AIABmAGEAYwB0AG8AcgAgAHQAbwAgAGMAbwBuAHYAZQByAHQAIABlAGwAZQBtAGUAbgB0AGEAbAAgAG0AYQBzAHMAIABvAGYAIABuAGkAdAByAG8AdQBzACAAbwB4AGkAZABlACAAdABvACAAbQBvAGwAZQBjAHUAbABhAHIAIABtAGEAcwBzACAAKABkAGkAbQBlAG4AcwBpAG8AbgBsAGUAcwBzACkAXABuAGMAIAA9ACAAQwByAG8AcAAgAHQAeQBwAGUAXABuAC0ALQAtAC0ALQAtAC0ALQAtAC0ALQAtAC0ALQAtAC0ALQAtAC0ALQAtAC0ALQAtAC0ALQAtAC0ALQAtAC0ALQAtAC0ALQAtAC0ALQBcAG4AKgAvAFwAbgBcAG4AVgBFAEUAUgBHAF8ANgBfADQAXwAxAF8AMQBfAF8AMgBfAF8ATgBpAHQAcgBvAHUAcwBPAHgAaQBkAGUARQBtAGkAcwBzAGkAbwBuAHMARgByAG8AbQBCAHUAcgBuAGkAbgBnAE8AZgBDAHIAbwBwAFIAZQBzAGkAZAB1AGUAcwBcAG4AIAAgAD0ATABBAE0AQgBEAEEAKABcAG4AIAAgACAAIABNAF8AYgB1AHIAbgBjACwAIABOAEMAXwBBAEcAYwAsACAARQBGAF8ATgAyAE8ALAAgAEMAXwBOADIATwAsAFwAbgAgACAAIAAgACgATQBfAGIAdQByAG4AYwAgACoAIABOAEMAXwBBAEcAYwApACAAKgAgAEUARgBfAE4AMgBPACAAKgAgAEMAXwBOADIATwAgACoAIAAxADAAXgAoAC0AMwApAFwAbgAgACAAKQA7AFwAbgBcAG4AVgBFAEUAUgBHAF8ANgBfADQAXwAxAF8AMQBfAF8AMgBfAF8ATgBpAHQAcgBvAHUAcwBPAHgAaQBkAGUARQBtAGkAcwBzAGkAbwBuAHMARgByAG8AbQBCAHUAcgBuAGkAbgBnAE8AZgBDAHIAbwBwAFIAZQBzAGkAZAB1AGUAcwBfAEYAdQBuAGMAdABpAG8AbgBOAGEAbQBlAFwAbgAgACAAPQBMAEEATQBCAEQAQQAoAFwAIgBWAEUARQBSAEcAXwA2AF8ANABfADEAXwAxAF8AXwAyAF8AXwBOAGkAdAByAG8AdQBzAE8AeABpAGQAZQBFAG0AaQBzAHMAaQBvAG4AcwBGAHIAbwBtAEIAdQByAG4AaQBuAGcATwBmAEMAcgBvAHAAUgBlAHMAaQBkAHUAZQBzAFwAIgApADsAXABuAFwAbgBWAEUARQBSAEcAXwA2AF8ANABfADEAXwAxAF8AXwAyAF8AXwBOAGkAdAByAG8AdQBzAE8AeABpAGQAZQBFAG0AaQBzAHMAaQBvAG4AcwBGAHIAbwBtAEIAdQByAG4AaQBuAGcATwBmAEMAcgBvAHAAUgBlAHMAaQBkAHUAZQBzAF8AVABpAHQAbABlAFwAbgAgACAAPQBMAEEATQBCAEQAQQAoAFwAIgBOAGkAdAByAG8AdQBzACAAbwB4AGkAZABlACAAZQBtAGkAcwBzAGkAbwBuAHMAIABmAHIAbwBtACAAdABoAGUAIABiAHUAcgBuAGkAbgBnACAAbwBmACAAYwByAG8AcAAgAHIAZQBzAGkAZAB1AGUAcwBcACIAKQA7AFwAbgBcAG4AVgBFAEUAUgBHAF8ANgBfADQAXwAxAF8AMQBfAF8AMgBfAF8ATgBpAHQAcgBvAHUAcwBPAHgAaQBkAGUARQBtAGkAcwBzAGkAbwBuAHMARgByAG8AbQBCAHUAcgBuAGkAbgBnAE8AZgBDAHIAbwBwAFIAZQBzAGkAZAB1AGUAcwBfAFYAYQByAGkAYQBiAGwAZQBcAG4AIAAgAD0ATABBAE0AQgBEAEEAKABcACIARQBOADIATwBcACIAKQA7AFwAbgBcAG4AVgBFAEUAUgBHAF8ANgBfADQAXwAxAF8AMQBfAF8AMgBfAF8ATgBpAHQAcgBvAHUAcwBPAHgAaQBkAGUARQBtAGkAcwBzAGkAbwBuAHMARgByAG8AbQBCAHUAcgBuAGkAbgBnAE8AZgBDAHIAbwBwAFIAZQBzAGkAZAB1AGUAcwBfAFUAbgBpAHQAXABuACAAIAA9AEwAQQBNAEIARABBACgAXAAiAHQAIABOADIATwBcACIAKQA7AFwAbgBcAG4AVgBFAEUAUgBHAF8ANgBfADQAXwAxAF8AMQBfAF8AMgBfAF8ATgBpAHQAcgBvAHUAcwBPAHgAaQBkAGUARQBtAGkAcwBzAGkAbwBuAHMARgByAG8AbQBCAHUAcgBuAGkAbgBnAE8AZgBDAHIAbwBwAFIAZQBzAGkAZAB1AGUAcwBfAFMAbwB1AHIAYwBlAFwAbgAgACAAPQBMAEEATQBCAEQAQQAoAFwAIgBWAEUARQBSAEcAIAAyADAAMgA2ADoAIAA2AC4ANAAuADEALgAxACwAIABFAHEAdQBhAHQAaQBvAG4AIAAoADIAKQBcACIAKQA7AFwAbgBcAG4AVgBFAEUAUgBHAF8ANgBfADQAXwAxAF8AMQBfAF8AMgBfAF8ATgBpAHQAcgBvAHUAcwBPAHgAaQBkAGUARQBtAGkAcwBzAGkAbwBuAHMARgByAG8AbQBCAHUAcgBuAGkAbgBnAE8AZgBDAHIAbwBwAFIAZQBzAGkAZAB1AGUAcwBfAE4ASQBSAFIAZQBmAGUAcgBlAG4AYwBlAFwAbgAgACAAPQBMAEEATQBCAEQAQQAoAFwAIgBcACIAKQA7AFwAbgBcAG4AVgBFAEUAUgBHAF8ANgBfADQAXwAxAF8AMQBfAF8AMgBfAF8ATgBpAHQAcgBvAHUAcwBPAHgAaQBkAGUARQBtAGkAcwBzAGkAbwBuAHMARgByAG8AbQBCAHUAcgBuAGkAbgBnAE8AZgBDAHIAbwBwAFIAZQBzAGkAZAB1AGUAcwBfAEwAYQB0AGUAeABFAHEAdQBhAHQAaQBvAG4AXABuACAAIAA9AEwAQQBNAEIARABBACgAXAAiAEUAXwB7AE4AMgBPAH0APQBcAFwAcwB1AG0AXABcAG4AbwBsAGkAbQBpAHQAcwBfAGMAKABNAF8AewBiAHUAcgBuACwAYwB9AFwAXAB0AGkAbQBlAHMAIABOAEMAXwB7AEEARwBjAH0AKQBcAFwAdABpAG0AZQBzACAARQBGAF8AewBOADIATwB9AFwAXAB0AGkAbQBlAHMAIABDAF8AewBOADIATwB9AFwAXAB0AGkAbQBlAHMAIAAxADAAXgB7AC0AMwB9AFwAIgApADsAXABuAFwAbgBWAEUARQBSAEcAXwA2AF8ANABfADEAXwAxAF8AXwAyAF8AXwBOAGkAdAByAG8AdQBzAE8AeABpAGQAZQBFAG0AaQBzAHMAaQBvAG4AcwBGAHIAbwBtAEIAdQByAG4AaQBuAGcATwBmAEMAcgBvAHAAUgBlAHMAaQBkAHUAZQBzAF8AQQByAGcAdQBtAGUAbgB0AHMAXABuACAAIAA9AEwAQQBNAEIARABBACgAXABuACAAIAAgACAATQBBAEsARQBBAFIAUgBBAFkAKAA1ACwAIAA0ACwAXABuACAAIAAgACAAIAAgAEwAQQBNAEIARABBACgAcgAsAGMALABcAG4AIAAgACAAIAAgACAAIAAgAEkATgBEAEUAWAAoAHsAXABuACAAIAAgACAAIAAgACAAIAAgACAAXAAiAE0AXwBiAHUAcgBuAGMAXAAiACwAXAAiAG0AYQBzAHMAIABvAGYAIAByAGUAcwBpAGQAdQBlACAAYgB1AHIAbgB0ACAAZgBvAHIAIABjAHIAbwBwACAAdAB5AHAAZQAgAGMAXAAiACwAIABcACIAawBnAFwAIgAsACAAXAAiAEMAYQBsAGMAdQBsAGEAdABlAGQAIABmAHIAbwBtACAANgAuADQALgAxAC4AMQAgACgAMwApAFwAIgA7AFwAbgAgACAAIAAgACAAIAAgACAAIAAgAFwAIgBOAEMAXwBBAEcAYwBcACIALABcACIAbgBpAHQAcgBvAGcAZQBuACAAYwBvAG4AdABlAG4AdAAgAGkAbgAgAHQAaABlACAAYQBiAG8AdgBlAC0AZwByAG8AdQBuAGQAIAByAGUAcwBpAGQAdQBlACAAbwBmACAAYwByAG8AcAAgAHQAeQBwAGUAIABjAFwAIgAsACAAXAAiAGsAZwAgAE4ALwBrAGcAIABEAE0AXAAiACwAIABcACIAQwBvAG4AcwB0AGEAbgB0AFwAIgA7AFwAbgAgACAAIAAgACAAIAAgACAAIAAgAFwAIgBFAEYAXwBOADIATwBcACIALABcACIAZQBtAGkAcwBzAGkAbwBuACAAZgBhAGMAdABvAHIAIABmAG8AcgAgAG4AaQB0AHIAbwB1AHMAIABvAHgAaQBkAGUAIABmAHIAbwBtACAAYgB1AHIAbgBpAG4AZwAgAG8AZgAgAGMAcgBvAHAAIAByAGUAcwBpAGQAdQBlAHMAXAAiACwAIABcACIAawBnACAATgAyAE8ALwBrAGcAIABOADIATwAgAGIAdQByAG4AdA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kAGkAbQBlAG4AcwBpAG8AbgBsAGUAcwBzAFwAIgAsACAAXAAiAEMAbwBuAHMAdABhAG4AdABcACIAOwBcAG4AIAAgACAAIAAgACAAIAAgACAAIABcACIAYwBcACIALABcACIAQwByAG8AcAAgAHQAeQBwAGU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gBfADQAXwAxAF8AMQBfAF8AMwBfAF8ATQBhAHMAcwBPAGYAQwByAG8AcABSAGUAcwBpAGQAdQBlAEIAdQByAG4AdABcAG4ATQBhAHMAcwAgAG8AZgAgAHIAZQBzAGkAZAB1AGUAIABvAGYAIABjAHIAbwBwACAAYwAgAGIAdQByAG4AdABcAG4ATQBfAGIAdQByAG4AYwBcAG4AawBnAFwAbgBNAF8AewBiAHUAcgBuACwAYwB9AD0AUABfAHsAYwB9AFwAXAB0AGkAbQBlAHMAIABSAF8AewBBAEcAYwB9AFwAXAB0AGkAbQBlAHMAIABTAF8AewBjAH0AXABcAHQAaQBtAGUAcwAgAEQATQBfAHsAYwB9AFwAXAB0AGkAbQBlAHMAIABaAF8AewBjAH0AXABcAHQAaQBtAGUAcwAgAEYAXwB7AGMAfQBcAG4AUABfAGMAIAA9ACAAYQBuAG4AdQBhAGwAIABwAHIAbwBkAHUAYwB0AGkAbwBuACAAbwBmACAAYwByAG8AcAAgAHQAeQBwAGUAIABjACAAKABrAGcAKQBcAG4AUgBfAEEARwBjACAAPQAgAHIAZQBzAGkAZAB1AGUAIAB0AG8AIABjAHIAbwBwACAAcgBhAHQAaQBvACAAbwBmACAAYwByAG8AcAAgAHQAeQBwAGUAIABjACAAKABrAGcAIABjAHIAbwBwACAAcgBlAHMAaQBkAHUAZQAvAGsAZwAgAGMAcgBvAHAAKQBcAG4AUwBfAGMAIAA9ACAAZgByAGEAYwB0AGkAbwBuACAAbwBmACAAcgBlAHMAaQBkAHUAZQBzACAAbwBmACAAYwByAG8AcAAgAHQAeQBwAGUAIABjACAAcgBlAG0AYQBpAG4AaQBuAGcAIABhAHQAIABiAHUAcgBuAGkAbgBnACAAKABkAGkAbQBlAG4AcwBpAG8AbgBsAGUAcwBzACkAXABuAEQATQBfAGMAIAA9ACAAZAByAHkAIABtAGEAdAB0AGUAcgAgAGMAbwBuAHQAZQBuAHQAIABvAGYAIABjAHIAbwBwACAAdAB5AHAAZQAgAGMAIAAoAGsAZwAgAGQAcgB5ACAAdwBlAGkAZwBoAHQALwBrAGcAIABjAHIAbwBwACAAcgBlAHMAaQBkAHUAZQApAFwAbgBaAF8AYwAgAD0AIABiAHUAcgBuAGkAbgBnACAAZQBmAGYAaQBjAGkAZQBuAGMAeQAgACgAcgBhAHQAaQBvACAAbwBmACAAZgB1AGUAbAAgAGIAdQByAG4AdAAgAHQAbwAgAGYAdQBlAGwAIABsAG8AYQBkACkAIABvAGYAIABjAHIAbwBwACAAdAB5AHAAZQAgAGMAIAAoAGQAaQBtAGUAbgBzAGkAbwBuAGwAZQBzAHMAKQBcAG4ARgBfAGMAIAA9ACAAZgByAGEAYwB0AGkAbwBuACAAbwBmACAAdABoAGUAIABhAG4AbgB1AGEAbAAgAHAAcgBvAGQAdQBjAHQAaQBvAG4AIABvAGYAIABjAHIAbwBwACAAdAB5AHAAZQAgAGMAIAB0AGgAYQB0ACAAaQBzACAAYgB1AHIAbgB0ACAAKABkAGkAbQBlAG4AcwBpAG8AbgBsAGUAcwBzACkAXABuAGMAIAA9ACAAQwByAG8AcAAgAHQAeQBwAGUAXABuAC0ALQAtAC0ALQAtAC0ALQAtAC0ALQAtAC0ALQAtAC0ALQAtAC0ALQAtAC0ALQAtAC0ALQAtAC0ALQAtAC0ALQAtAC0ALQAtAC0ALQBcAG4AKgAvAFwAbgBcAG4AVgBFAEUAUgBHAF8ANgBfADQAXwAxAF8AMQBfAF8AMwBfAF8ATQBhAHMAcwBPAGYAQwByAG8AcABSAGUAcwBpAGQAdQBlAEIAdQByAG4AdABcAG4AIAAgAD0ATABBAE0AQgBEAEEAKABcAG4AIAAgACAAIABQAF8AYwAsACAAUgBfAEEARwBjACwAIABTAF8AYwAsACAARABNAF8AYwAsACAAWgBfAGMALAAgAEYAXwBjACwAXABuACAAIAAgACAAUABfAGMAIAAqACAAUgBfAEEARwBjACAAKgAgAFMAXwBjACAAKgAgAEQATQBfAGMAIAAqACAAWgBfAGMAIAAqACAARgBfAGMAXABuACAAIAApADsAXABuAFwAbgBWAEUARQBSAEcAXwA2AF8ANABfADEAXwAxAF8AXwAzAF8AXwBNAGEAcwBzAE8AZgBDAHIAbwBwAFIAZQBzAGkAZAB1AGUAQgB1AHIAbgB0AF8ARgB1AG4AYwB0AGkAbwBuAE4AYQBtAGUAXABuACAAIAA9AEwAQQBNAEIARABBACgAXAAiAFYARQBFAFIARwBfADYAXwA0AF8AMQBfADEAXwBfADMAXwBfAE0AYQBzAHMATwBmAEMAcgBvAHAAUgBlAHMAaQBkAHUAZQBCAHUAcgBuAHQAXAAiACkAOwBcAG4AXABuAFYARQBFAFIARwBfADYAXwA0AF8AMQBfADEAXwBfADMAXwBfAE0AYQBzAHMATwBmAEMAcgBvAHAAUgBlAHMAaQBkAHUAZQBCAHUAcgBuAHQAXwBUAGkAdABsAGUAXABuACAAIAA9AEwAQQBNAEIARABBACgAXAAiAE0AYQBzAHMAIABvAGYAIAByAGUAcwBpAGQAdQBlACAAbwBmACAAYwByAG8AcAAgAGMAIABiAHUAcgBuAHQAXAAiACkAOwBcAG4AXABuAFYARQBFAFIARwBfADYAXwA0AF8AMQBfADEAXwBfADMAXwBfAE0AYQBzAHMATwBmAEMAcgBvAHAAUgBlAHMAaQBkAHUAZQBCAHUAcgBuAHQAXwBWAGEAcgBpAGEAYgBsAGUAXABuACAAIAA9AEwAQQBNAEIARABBACgAXAAiAE0AXwBiAHUAcgBuAGMAXAAiACkAOwBcAG4AXABuAFYARQBFAFIARwBfADYAXwA0AF8AMQBfADEAXwBfADMAXwBfAE0AYQBzAHMATwBmAEMAcgBvAHAAUgBlAHMAaQBkAHUAZQBCAHUAcgBuAHQAXwBVAG4AaQB0AFwAbgAgACAAPQBMAEEATQBCAEQAQQAoAFwAIgBrAGcAXAAiACkAOwBcAG4AXABuAFYARQBFAFIARwBfADYAXwA0AF8AMQBfADEAXwBfADMAXwBfAE0AYQBzAHMATwBmAEMAcgBvAHAAUgBlAHMAaQBkAHUAZQBCAHUAcgBuAHQAXwBTAG8AdQByAGMAZQBcAG4AIAAgAD0ATABBAE0AQgBEAEEAKABcACIAVgBFAEUAUgBHACAAMgAwADIANgA6ACAANgAuADQALgAxAC4AMQAsACAARQBxAHUAYQB0AGkAbwBuACAAKAAzACkAXAAiACkAOwBcAG4AXABuAFYARQBFAFIARwBfADYAXwA0AF8AMQBfADEAXwBfADMAXwBfAE0AYQBzAHMATwBmAEMAcgBvAHAAUgBlAHMAaQBkAHUAZQBCAHUAcgBuAHQAXwBOAEkAUgBSAGUAZgBlAHIAZQBuAGMAZQBcAG4AIAAgAD0ATABBAE0AQgBEAEEAKABcACIAXAAiACkAOwBcAG4AXABuAFYARQBFAFIARwBfADYAXwA0AF8AMQBfADEAXwBfADMAXwBfAE0AYQBzAHMATwBmAEMAcgBvAHAAUgBlAHMAaQBkAHUAZQBCAHUAcgBuAHQAXwBMAGEAdABlAHgARQBxAHUAYQB0AGkAbwBuAFwAbgAgACAAPQBMAEEATQBCAEQAQQAoAFwAIgBNAF8AewBiAHUAcgBuACwAYwB9AD0AUABfAHsAYwB9AFwAXAB0AGkAbQBlAHMAIABSAF8AewBBAEcAYwB9AFwAXAB0AGkAbQBlAHMAIABTAF8AewBjAH0AXABcAHQAaQBtAGUAcwAgAEQATQBfAHsAYwB9AFwAXAB0AGkAbQBlAHMAIABaAF8AewBjAH0AXABcAHQAaQBtAGUAcwAgAEYAXwB7AGMAfQBcACIAKQA7AFwAbgBcAG4AVgBFAEUAUgBHAF8ANgBfADQAXwAxAF8AMQBfAF8AMwBfAF8ATQBhAHMAcwBPAGYAQwByAG8AcABSAGUAcwBpAGQAdQBlAEIAdQByAG4AdABfAEEAcgBnAHUAbQBlAG4AdABzAFwAbgAgACAAPQBMAEEATQBCAEQAQQAoAFwAbgAgACAAIAAgAE0AQQBLAEUAQQBSAFIAQQBZACgANwAsACAANAAsAFwAbgAgACAAIAAgACAAIABMAEEATQBCAEQAQQAoAHIALABjACwAXABuACAAIAAgACAAIAAgACAAIABJAE4ARABFAFgAKAB7AFwAbgAgACAAIAAgACAAIAAgACAAIAAgAFwAIgBQAF8AYwBcACIALABcACIAYQBuAG4AdQBhAGwAIABwAHIAbwBkAHUAYwB0AGkAbwBuACAAbwBmACAAYwByAG8AcAAgAHQAeQBwAGUAIABjAFwAIgAsACAAXAAiAGsAZwBcACIALAAgAFwAIgBJAG4AcAB1AHQAXAAiADsAXABuACAAIAAgACAAIAAgACAAIAAgACAAXAAiAFIAXwBBAEcAYwBcACIALABcACIAcgBlAHMAaQBkAHUAZQAgAHQAbwAgAGMAcgBvAHAAIAByAGEAdABpAG8AIABvAGYAIABjAHIAbwBwACAAdAB5AHAAZQAgAGMAXAAiACwAIABcACIAawBnACAAYwByAG8AcAAgAHIAZQBzAGkAZAB1AGUALwBrAGcAIABjAHIAbwBwAFwAIgAsACAAXAAiAEMAbwBuAHMAdABhAG4AdABcACIAOwBcAG4AIAAgACAAIAAgACAAIAAgACAAIABcACIAUwBfAGMAXAAiACwAXAAiAGYAcgBhAGMAdABpAG8AbgAgAG8AZgAgAHIAZQBzAGkAZAB1AGUAcwAgAG8AZgAgAGMAcgBvAHAAIAB0AHkAcABlACAAYwAgAHIAZQBtAGEAaQBuAGkAbgBnACAAYQB0ACAAYgB1AHIAbgBpAG4AZwBcACIALAAgAFwAIgBmAHIAYQBjAHQAaQBvAG4AXAAiACwAIABcACIAQwBvAG4AcwB0AGEAbgB0AFwAIgA7AFwAbgAgACAAIAAgACAAIAAgACAAIAAgAFwAIgBEAE0AXwBjAFwAIgAsAFwAIgBkAHIAeQAgAG0AYQB0AHQAZQByACAAYwBvAG4AdABlAG4AdAAgAG8AZgAgAGMAcgBvAHAAIAB0AHkAcABlACAAYwBcACIALAAgAFwAIgBrAGcAIABkAHIAeQAgAHcAZQBpAGcAaAB0AC8AawBnACAAYwByAG8AcAAgAHIAZQBzAGkAZAB1AGUAXAAiACwAIABcACIAQwBvAG4AcwB0AGEAbgB0AFwAIgA7AFwAbgAgACAAIAAgACAAIAAgACAAIAAgAFwAIgBaAF8AYwBcACIALABcACIAYgB1AHIAbgBpAG4AZwAgAGUAZgBmAGkAYwBpAGUAbgBjAHkAIAAoAHIAYQB0AGkAbwAgAG8AZgAgAGYAdQBlAGwAIABiAHUAcgBuAHQAIAB0AG8AIABmAHUAZQBsACAAbABvAGEAZAApACAAbwBmACAAYwByAG8AcAAgAHQAeQBwAGUAIABjAFwAIgAsACAAXAAiAFwAIgAsACAAXAAiAEMAbwBuAHMAdABhAG4AdABcACIAOwBcAG4AIAAgACAAIAAgACAAIAAgACAAIABcACIARgBfAGMAXAAiACwAXAAiAGYAcgBhAGMAdABpAG8AbgAgAG8AZgAgAHQAaABlACAAYQBuAG4AdQBhAGwAIABwAHIAbwBkAHUAYwB0AGkAbwBuACAAbwBmACAAYwByAG8AcAAgAHQAeQBwAGUAIABjACAAdABoAGEAdAAgAGkAcwAgAGIAdQByAG4AdABcACIALAAgAFwAIgBmAHIAYQBjAHQAaQBvAG4AXAAiACwAIABcACIAQwBvAG4AcwB0AGEAbgB0AFwAIgA7AFwAbgAgACAAIAAgACAAIAAgACAAIAAgAFwAIgBjAFwAIgAsAFwAIgBDAHIAbwBwACAAdAB5AHAAZQBcACIALAAgAFwAIgBcACIALAAgAFwAIgBJAG4AcAB1AHQAXAAiAFwAbgAgACAAIAAgACAAIAAgACAAfQAsACAAcgAsACAAYwApAFwAbgAgACAAIAAgACAAIAApAFwAbgAgACAAIAAgACkAXABuACAAIAApADsAIgB9ACwAewAiAHAAYQB0AGgAIgA6ACIALwBwAHIAbwBqAGUAYwB0AHMALwBBAGcAcgBlAHMAaQBkAHUAZQBfAFMAbwB1AHIAYwBlAEQAYQB0AGEAIgAsACIAdABlAHgAdAAiADoAIgAvACoAXABuAD0APQA9AD0APQA9AD0APQA9AD0APQA9AD0APQA9AD0APQA9AD0APQA9AD0APQA9AD0APQA9AD0APQA9AD0APQA9AD0APQA9AD0APQA9AD0APQA9AD0APQA9AD0APQA9AD0APQA9AD0APQA9AD0APQA9AD0APQA9AD0APQA9AD0APQA9AD0APQA9AD0APQA9AD0APQA9AD0AXABuAEMAcgBvAHAAIABwAHUAcgBwAG8AcwBlACAAYQBuAGQAIAB5AGkAZQBsAGQAXABuAD0APQA9AD0APQA9AD0APQA9AD0APQA9AD0APQA9AD0APQA9AD0APQA9AD0APQA9AD0APQA9AD0APQA9AD0APQA9AD0APQA9AD0APQA9AD0APQA9AD0APQA9AD0APQA9AD0APQA9AD0APQA9AD0APQA9AD0APQA9AD0APQA9AD0APQA9AD0APQA9AD0APQA9AD0APQA9AD0AXABuACoALwBcAG4AXABuAEMAcgBvAHAAUAB1AHIAcABvAHMAZQBBAG4AZABZAGkAZQBsAGQAXwBUAGkAdABsAGUAXABuAD0ATABBAE0AQgBEAEEAKAAoAFwAIgBDAHIAbwBwACAAcAB1AHIAcABvAHMAZQAgAGEAbgBkACAAeQBpAGUAbABkAFwAIgApACkAOwBcAG4AXABuAEMAcgBvAHAAUAB1AHIAcABvAHMAZQBBAG4AZABZAGkAZQBsAGQAXwBEAGEAdABhAFwAbgA9AEwAQQBNAEIARABBACgAXABuACAAIABNAEEASwBFAEEAUgBSAEEAWQAoADQALAAgADgALABcAG4AIAAgACAAIABMAEEATQBCAEQAQQAoAHIALABjACwAXABuACAAIAAgACAAIAAgAEkATgBEAEUAWAAoAHsAXABuACAAIAAgACAAIAAgACAAIABcACIAUAB1AHIAcABvAHMAZQBcACIALAAgAFwAIgBQAGUAcgAgAGgAZQBjAHQAYQByAGUAIAB1AG4AaQB0AFwAIgAsACAAXAAiAGgAYQByAHYAZQBzAHQAIAB0AGUAcgBtAFwAIgAsACAAXAAiAGgAYQByAHYAZQBzAHQAIABlAG4AZABwAG8AaQBuAHQAXAAiACwAIABcACIASABhAHIAdgBlAHMAdAAgAHUAaQB0AFwAIgAsACAAXAAiAFkAaQBlAGwAZAAgAG4AbwB0AGUAXAAiACwAIABcACIAUgBlAHMAaQBkAHUAZQAgAGMAcgBvAHAAIAByAGEAdABpAG8AIABuAG8AdABlAFwAIgAsACAAXAAiAFQAbwB0AGEAbAAgAHAAcgBvAGQAdQBjAHQAaQBvAG4AIABuAG8AdABlAFwAIgA7AFwAbgAgACAAIAAgACAAIAAgACAAXAAiAEMAYQBzAGgAIABnAHIAYQBpAG4AIABjAHIAbwBwAFwAIgAsACAAXAAiAGcAcgBhAGkAbgBcACIALAAgAFwAIgB5AGkAZQBsAGQAXAAiACwAIABcACIAaABhAHIAdgBlAHMAdABcACIALAAgAFwAIgBnAHIAYQBpAG4AXAAiACwAIABcACIAWQBpAGUAbABkACAAaQBzACAAdABoAGUAIABnAHIAYQBpAG4AIABoAGEAcgB2AGUAcwB0AGUAZAAgAGYAcgBvAG0AIAB0AGgAZQAgAHAAbABhAG4AdABcACIALAAgAFwAIgBSAGUAcwBpAGQAdQBlACAAdABvACAAYwByAG8AcAAgAHIAYQB0AGkAbwAgAGkAcwAgAHAAcgBvAHYAaQBkAGUAZAAgAGYAcgBvAG0AIABkAGUAZgBhAHUAbAB0ACAAdgBhAGwAdQBlAHMAXAAiACwAIABcACIAVABvAHQAYQBsACAAcAByAG8AZAB1AGMAdABpAG8AbgAgAGkAcwAgAHQAaABlACAAdABvAHQAYQBsACAAZwByAGEAaQBuACAAaABhAHIAdgBlAHMAdABlAGQAXAAiADsAXABuACAAIAAgACAAIAAgACAAIABcACIAQwBhAHMAaAAgAGMAcgBvAHAAIABmAG8AcgAgAGgAYQB5AC8AcwBpAGwAYQBnAGUAXAAiACwAIABcACIAYQBiAG8AdgBlACAAZwByAG8AdQBuAGQAIABiAGkAbwBtAGEAcwBzAFwAIgAsACAAXAAiAHkAaQBlAGwAZABcACIALAAgAFwAIgBoAGEAcgB2AGUAcwB0AFwAIgAsACAAXAAiAHAAbABhAG4AdAAgAGIAaQBvAG0AYQBzAHMAXAAiACwAIABcACIAWQBpAGUAbABkACAAaQBzACAAdABoAGUAIAB3AGgAbwBsAGUAIABwAGwAYQBuAHQAIABoAGEAcgB2AGUAcwB0AGUAZAAgAGYAbwByACAAaABhAHkALwBzAGkAbABhAGcAZQBcACIALAAgAFwAIgBSAGUAcwBpAGQAdQBlACAAdABvACAAYwByAG8AcAAgAHIAYQB0AGkAbwAgAGkAcwAgADAAIABhAHMAcwB1AG0AaQBuAGcAIAB0AGgAZQAgAHcAaABvAGwAZQAgAHAAbABhAG4AdAAgAGkAcwAgAGgAYQByAHYAZQBzAHQAZQBkACAAZgBvAHIAIABoAGEAeQAvAHMAaQBsAGEAZwBlAFwAIgAsACAAXAAiAFQAbwB0AGEAbAAgAHAAcgBvAGQAdQBjAHQAaQBvAG4AIABpAHMAIAB0AGgAZQAgAHQAbwB0AGEAbAAgAHcAaABvAGwAZQAgAHAAbABhAG4AdAAgAGIAaQBvAG0AYQBzAHMAIABoAGEAcgB2AGUAcwB0AGUAZAAgAGEAcwAgAGgAYQB5AC8AcwBpAGwAYQBnAGUAXAAiADsAXABuACAAIAAgACAAIAAgACAAIABcACIAQwBvAHYAZQByACAAYwByAG8AcABcACIALAAgAFwAIgBhAGIAbwB2AGUAIABnAHIAbwB1AG4AZAAgAGIAaQBvAG0AYQBzAHMAXAAiACwAIABcACIAbQBhAHMAcwBcACIALAAgAFwAIgBlAG4AZAAgAG8AZgAgAGMAcgBvAHAAIABjAHkAYwBsAGUAXAAiACwAIABcACIAYQBiAG8AdgBlACAAZwByAG8AdQBuAGQAIABiAGkAbwBtAGEAcwBzAFwAIgAsACAAXAAiAFkAaQBlAGwAZAAgAGkAcwAgAHQAaABlACAAdwBoAG8AbABlACAAcABsAGEAbgB0ACAAawBlAHAAdAAgAGEAcwAgAGMAbwB2AGUAcgAgAGMAcgBvAHAAXAAiACwAIABcACIAUgBlAHMAaQBkAHUAZQAgAHQAbwAgAGMAcgBvAHAAIAByAGEAdABpAG8AIABpAHMAIAAxACAAYQBzAHMAdQBtAGkAbgBnACAAdABoAGUAIAB3AGgAbwBsAGUAIABwAGwAYQBuAHQAIABpAHMAIABrAGUAcAB0ACAAYQBzACAAYwBvAHYAZQByACAAYwByAG8AcABcACIALAAgAFwAIgBUAG8AdABhAGwAIABwAHIAbwBkAHUAYwB0AGkAbwBuACAAaQBzACAAdABoAGUAIAB0AG8AdABhAGwAIAB3AGgAbwBsAGUAIABwAGwAYQBuAHQAIABiAGkAbwBtAGEAcwBzACAAawBlAHAAdAAgAGEAcwAgAGMAbwB2AGUAcgAgAGMAcgBvAHAAXAAiAFwAbgAgACAAIAAgACAAIAB9ACwAIAByACwAIABjACkAXABuACkAKQApADsAXABuAFwAbgAvACoAXABuAD0APQA9AD0APQA9AD0APQA9AD0APQA9AD0APQA9AD0APQA9AD0APQA9AD0APQA9AD0APQA9AD0APQA9AD0APQA9AD0APQA9AD0APQA9AD0APQA9AD0APQA9AD0APQA9AD0APQA9AD0APQA9AD0APQA9AD0APQA9AD0APQA9AD0APQA9AD0APQA9AD0APQA9AD0APQA9AD0AXABuAEMAcgBvAHAAIABhAHQAdAByAGkAYgB1AHQAZQBzAFwAbgA9AD0APQA9AD0APQA9AD0APQA9AD0APQA9AD0APQA9AD0APQA9AD0APQA9AD0APQA9AD0APQA9AD0APQA9AD0APQA9AD0APQA9AD0APQA9AD0APQA9AD0APQA9AD0APQA9AD0APQA9AD0APQA9AD0APQA9AD0APQA9AD0APQA9AD0APQA9AD0APQA9AD0APQA9AD0APQA9AFwAbgAqAC8AXABuAFwAbgBDAHIAbwBwAEEAdAB0AHIAaQBiAHUAdABlAHMAXwBUAGkAdABsAGUAXABuAD0ATABBAE0AQgBEAEEAKAAoAFwAIgBUAGEAYgBsAGUAIABBAC4AMgAuADEALgAxADoAIABDAHIAbwBwACAAYQB0AHQAcgBpAGIAdQB0AGUAcwBcACIAKQApADsAXABuAFwAbgBDAHIAbwBwAEEAdAB0AHIAaQBiAHUAdABlAHMAXwBEAGUAcwBjAHIAaQBwAHQAaQBvAG4AXABuAD0ATABBAE0AQgBEAEEAKAAoAFwAIgBDAHIAbwBwACAAYQB0AHQAcgBpAGIAdQB0AGUAcwBcACIAKQApADsAXABuAFwAbgBDAHIAbwBwAEEAdAB0AHIAaQBiAHUAdABlAHMAXwBTAG8AdQByAGMAZQBcAG4APQBMAEEATQBCAEQAQQAoACgAXAAiAFYARQBFAFIARwAgADIAMAAyADYAOgAgAFQAYQBiAGwAZQAgAEEALgAyAC4AMQAuADEAOgAgAEMAcgBvAHAAIABhAHQAdAByAGkAYgB1AHQAZQBzAFwAIgApACkAOwBcAG4AXABuAEMAcgBvAHAAQQB0AHQAcgBpAGIAdQB0AGUAcwBfAEQAYQB0AGEAXABuAD0ATABBAE0AQgBEAEEAKABcAG4AIAAgAE0AQQBLAEUAQQBSAFIAQQBZACgAMgAwACwAIAA5ACwAXABuACAAIAAgACAATABBAE0AQgBEAEEAKAByACwAYwAsAFwAbgAgACAAIAAgACAAIABJAE4ARABFAFgAKAB7AFwAbgAgACAAIAAgACAAIAAgACAAXAAiAEMAcgBvAHAAIAB0AHkAcABlAFwAIgAsACAAXAAiAFIAZQBzAGkAZAB1AGUAOgAgAEMAcgBvAHAAIAByAGEAdABpAG8AXAAiACwAIABcACIAQgBlAGwAbwB3AC0AZwByAG8AdQBuAGQAOgAgAGEAYgBvAHYAZQAtAGcAcgBvAHUAbgBkACAAcgBlAHMAaQBkAHUAZQAgAHIAYQB0AGkAbwBcACIALAAgAFwAIgBEAHIAeQAgAG0AYQB0AHQAZQByACAAYwBvAG4AdABlAG4AdABcACIALAAgAFwAIgBDAGEAcgBiAG8AbgAgAGYAcgBhAGMAdABpAG8AbgAgAGkAbgAgAGQAcgB5ACAAbQBhAHQAdABlAHIAXAAiACwAIABcACIATgAgAGMAbwBuAHQAZQBuAHQAIABhAGIAbwB2AGUALQBnAHIAbwB1AG4AZABcACIALAAgAFwAIgBOACAAYwBvAG4AdABlAG4AdAAgAGIAZQBsAG8AdwAtAGcAcgBvAHUAbgBkAFwAIgAsACAAXAAiAEYAcgBhAGMAdABpAG8AbgAgAG8AZgAgAHIAZQBzAGkAZAB1AGUAIAByAGUAbQBhAGkAbgBpAG4AZwAgAGEAdAAgAHQAaQBtAGUAIABvAGYAIABiAHUAcgBuAGkAbgBnAFwAIgAsACAAXAAiAEIAdQByAG4AaQBuAGcAIABlAGYAZgBpAGMAaQBlAG4AYwB5AHQAXAAiADsAXABuACAAIAAgACAAIAAgACAAIABcACIAYwBcACIALAAgAFwAIgBSAEEARwBjAFwAIgAsACAAXAAiAFIAQgBHAGMAXAAiACwAIABcACIARABNAGMAXAAiACwAIABcACIAQwBDAGMAXAAiACwAIABcACIATgBDAEEARwBjAFwAIgAsACAAXAAiAE4AQwBCAEcAYwBcACIALAAgAFwAIgBTAGMAXAAiACwAIABcACIAWgBjAFwAIgA7AFwAbgAgACAAIAAgACAAIAAgACAAXAAiAFcAaABlAGEAdABcACIALAAgADEALgA1ADAALAAgADAALgAyADkALAAgADAALgA4ADgALAAgADAALgA0ADAALAAgADAALgAwADAANgAsACAAMAAuADAAMQAwACwAIAAwAC4ANQAsACAAMAAuADkAMAA7AFwAbgAgACAAIAAgACAAIAAgACAAXAAiAEIAYQByAGwAZQB5AFwAIgAsACAAMQAuADIANAAsACAAMAAuADMAMgAsACAAMAAuADgAOAAsACAAMAAuADQAMAAsACAAMAAuADAAMAA3ACwAIAAwAC4AMAAxADAALAAgADAALgA1ACwAIAAwAC4AOAA1ADsAXABuACAAIAAgACAAIAAgACAAIABcACIATQBhAGkAegBlAFwAIgAsACAAMAAuADgAMQAsACAAMAAuADMAOQAsACAAMAAuADgANQAsACAAMAAuADQAMgAsACAAMAAuADAAMAA1ACwAIAAwAC4AMAAwADcALAAgADEALgAwACwAIAAwAC4AOAAwADsAXABuACAAIAAgACAAIAAgACAAIABcACIATwBhAHQAcwBcACIALAAgADEALgA0ADIALAAgADAALgA0ADMALAAgADAALgA4ADgALAAgADAALgA0ADAALAAgADAALgAwADAANgAsACAAMAAuADAAMQAwACwAIAAwAC4ANQAsACAAMAAuADgANQA7AFwAbgAgACAAIAAgACAAIAAgACAAXAAiAFIAaQBjAGUAXAAiACwAIAAxAC4AMwAxACwAIAAwAC4AMQA2ACwAIAAwAC4AOAAwACwAIAAwAC4ANAAyACwAIAAwAC4AMAAwADcALAAgADAALgAwADEAMAAsACAAMQAuADAALAAgADAALgA4ADAAOwBcAG4AIAAgACAAIAAgACAAIAAgAFwAIgBTAG8AcgBnAGgAdQBtAFwAIgAsACAAMQAuADUAMAAsACAAMAAuADIAMgAsACAAMAAuADgAMAAsACAAMAAuADQAMAAsACAAMAAuADAAMAA4ACwAIAAwAC4AMAAwADcALAAgADAALgA1ACwAIAAwAC4AOAA1ADsAXABuACAAIAAgACAAIAAgACAAIABcACIAVAByAGkAdABpAGMAYQBsAGUAXAAiACwAIAAxAC4ANQAwACwAIAAwAC4ANAAyACwAIAAwAC4AOAA4ACwAIAAwAC4ANAAwACwAIAAwAC4AMAAwADYALAAgADAALgAwADEAMAAsACAAMAAuADUALAAgADAALgA4ADUAOwBcAG4AIAAgACAAIAAgACAAIAAgAFwAIgBPAHQAaABlAHIAIABjAGUAcgBlAGEAbABzAFwAIgAsACAAMQAuADQANgAsACAAMAAuADMANgAsACAAMAAuADgAOAAsACAAMAAuADQAMAAsACAAMAAuADAAMAA2ACwAIAAwAC4AMAAxADAALAAgADAALgA1ACwAIAAwAC4AOAA1ADsAXABuACAAIAAgACAAIAAgACAAIABcACIAUAB1AGwAcwBlAHMAXAAiACwAIAAxAC4AMwA3ACwAIAAwAC4ANQAxACwAIAAwAC4AOAA3ACwAIAAwAC4ANAAwACwAIAAwAC4AMAAwADkALAAgADAALgAwADEAMAAsACAAMAAuADUALAAgADAALgA4ADUAOwBcAG4AIAAgACAAIAAgACAAIAAgAFwAIgBUAHUAYgBlAHIAcwAgAGEAbgBkACAAcgBvAG8AdABzAFwAIgAsACAAMAAuADMANAAsACAAMAAuADQAMwAsACAAMAAuADIANQAsACAAMAAuADQAMAAsACAAMAAuADAAMgAwACwAIAAwAC4AMAAxADAALAAgAFwAIgBuAC8AYQBcACIALAAgADAALgA4ADUAOwBcAG4AIAAgACAAIAAgACAAIAAgAFwAIgBQAGUAYQBuAHUAdABzAFwAIgAsACAAMQAuADAANwAsACAAMAAuADIAMAAsACAAMAAuADgAMAAsACAAMAAuADQAMgAsACAAMAAuADAAMQA2ACwAIAAwAC4AMAAxADQALAAgADAALgA1ACwAIAAwAC4AOAA1ADsAXABuACAAIAAgACAAIAAgACAAIABcACIAUwB1AGcAYQByACAAYwBhAG4AZQBcACIALAAgADAALgAyADUALAAgADAALgA0ADUALAAgADAALgAyADAALAAgADAALgA0ADAALAAgADAALgAwADAANQAsACAAMAAuADAAMAA3ACwAIAAxAC4AMAAsACAAMAAuADgAMAA7AFwAbgAgACAAIAAgACAAIAAgACAAXAAiAEMAbwB0AHQAbwBuAFwAIgAsACAAMQAuADkAMAAsACAAMAAuADMAMAAsACAAMAAuADkAMAAsACAAMAAuADQAMAAsACAAMAAuADAAMQAsACAAMAAuADAAMQAsACAAXAAiAG4ALwBhAFwAIgAsACAAMAAuADgANQA7AFwAbgAgACAAIAAgACAAIAAgACAAXAAiAEgAbwBwAHMAXAAiACwAIAAxAC4ANQAwACwAIAAwAC4AMgA5ACwAIAAwAC4AOAA4ACwAIAAwAC4ANAAwACwAIAAwAC4AMAAwADYALAAgAFwAIgBuAC8AYQBcACIALAAgAFwAIgBuAC8AYQBcACIALAAgADAALgA4ADUAOwBcAG4AIAAgACAAIAAgACAAIAAgAFwAIgBPAGkAbABzAGUAZQBkAHMAXAAiACwAIAAyAC4AMAA4ACwAIAAwAC4AMwAzACwAIAAwAC4AOQA2ACwAIAAwAC4ANAAwACwAIAAwAC4AMAAwADkALAAgADAALgAwADEAMAAsACAAMAAuADUALAAgADAALgA4ADUAOwBcAG4AIAAgACAAIAAgACAAIAAgAFwAIgBGAG8AcgBhAGcAZQAgAGMAcgBvAHAAcwBcACIALAAgADEALgAzADQALAAgADAALgAzADcALAAgADAALgA4ADgALAAgADAALgA0ADAALAAgADAALgAwADAANgAsACAAMAAuADAAMQAwACwAIABcACIAbgAvAGEAXAAiACwAIAAwAC4AOAA1ADsAXABuACAAIAAgACAAIAAgACAAIABcACIATwB0AGgAZQByACAAYQBuAG4AdQBhAGwAIABjAHIAbwBwAHMAXAAiACwAIAAxAC4AMAAwACwAIAAwAC4AMgAyACwAIAAwAC4AOAA1ACwAIAAwAC4ANAAwACwAIAAwAC4AMAAwADgALAAgADAALgAwADAAOQAsACAAXAAiAG4ALwBhAFwAIgAsACAAXAAiAG4ALwBhAFwAIgA7AFwAbgAgACAAIAAgACAAIAAgACAAXAAiAE8AdABoAGUAcgAgAHAAZQByAGUAbgBuAGkAYQBsACAAYwByAG8AcABzAFwAIgAsACAAMQAuADUALAAgADAALgAyADkALAAgADAALgA4ADgALAAgADAALgA0ACwAIAAwAC4AMAAwADYALAAgAFwAIgBuAC8AYQBcACIALAAgAFwAIgBuAC8AYQBcACIALAAgAFwAIgBuAC8AYQBcACIAXABuACAAIAAgACAAIAAgAH0ALAAgAHIALAAgAGMAKQBcAG4AKQApACkAOwBcAG4AXABuAEMAcgBvAHAAQQB0AHQAcgBpAGIAdQB0AGUAcwBfAFYAYQByAGkAYQB0AGkAbwBuAFwAbgA9AEwAQQBNAEIARABBACgAKABcACIAVgBBAFIASQBBAFQASQBPAE4AIABGAFIATwBNACAAUwBPAFUAUgBDAEUAOgAgAFwAdQAwADAAMgA3AE4ALwBBAFwAdQAwADAAMgA3ACAAdgBhAGwAdQBlAHMAIABwAGEAcwBzAGUAZAAgAGEAcwAgAHoAZQByAG8AIABmAG8AcgAgAGMAYQBsAGMAdQBsAGEAdABpAG8AbgBzAC4AXAAiACkAKQA7AFwAbgBcAG4ALwAqAFwAbgA9AD0APQA9AD0APQA9AD0APQA9AD0APQA9AD0APQA9AD0APQA9AD0APQA9AD0APQA9AD0APQA9AD0APQA9AD0APQA9AD0APQA9AD0APQA9AD0APQA9AD0APQA9AD0APQA9AD0APQA9AD0APQA9AD0APQA9AD0APQA9AD0APQA9AD0APQA9AD0APQA9AD0APQA9AD0APQA9AFwAbgBDAHIAbwBwACAAYQB0AHQAcgBpAGIAdQB0AGUAcwAgAC0AIABGAHIAYQBjAHQAaQBvAG4AIAByAGUAbQBvAHYAZQBkACAAKABGAEYATwBEAGMAKQBcAG4APQA9AD0APQA9AD0APQA9AD0APQA9AD0APQA9AD0APQA9AD0APQA9AD0APQA9AD0APQA9AD0APQA9AD0APQA9AD0APQA9AD0APQA9AD0APQA9AD0APQA9AD0APQA9AD0APQA9AD0APQA9AD0APQA9AD0APQA9AD0APQA9AD0APQA9AD0APQA9AD0APQA9AD0APQA9AD0APQBcAG4AKgAvAFwAbgBcAG4AQwByAG8AcABGAHIAYQBjAHQAaQBvAG4AUgBlAG0AbwB2AGUAZABfAFQAaQB0AGwAZQBcAG4APQBMAEEATQBCAEQAQQAoACgAXAAiAFQAYQBiAGwAZQAgAEEALgAyAC4AMQAuADIAOgAgAEMAcgBvAHAAIABhAHQAdAByAGkAYgB1AHQAZQBzACAALQAgAEYAcgBhAGMAdABpAG8AbgAgAHIAZQBtAG8AdgBlAGQAIAAoAEYARgBPAEQAYwApAFwAIgApACkAOwBcAG4AXABuAEMAcgBvAHAARgByAGEAYwB0AGkAbwBuAFIAZQBtAG8AdgBlAGQAXwBEAGUAcwBjAHIAaQBwAHQAaQBvAG4AXABuAD0ATABBAE0AQgBEAEEAKAAoAFwAIgBDAHIAbwBwACAAYQB0AHQAcgBpAGIAdQB0AGUAcwAgAC0AIABGAHIAYQBjAHQAaQBvAG4AIAByAGUAbQBvAHYAZQBkACAAKABGAEYATwBEAGMAKQBcACIAKQApADsAXABuAFwAbgBDAHIAbwBwAEYAcgBhAGMAdABpAG8AbgBSAGUAbQBvAHYAZQBkAF8AUwBvAHUAcgBjAGUAXABuAD0ATABBAE0AQgBEAEEAKAAoAFwAIgBWAEUARQBSAEcAIAAyADAAMgA2ADoAIABUAGEAYgBsAGUAIABBAC4AMgAuADEALgAyADoAIABDAHIAbwBwACAAYQB0AHQAcgBpAGIAdQB0AGUAcwAgAC0AIABGAHIAYQBjAHQAaQBvAG4AIAByAGUAbQBvAHYAZQBkACAAKABGAEYATwBEAGMAKQBcACIAKQApADsAXABuAFwAbgBDAHIAbwBwAEYAcgBhAGMAdABpAG8AbgBSAGUAbQBvAHYAZQBkAF8ARABhAHQAYQBcAG4APQBMAEEATQBCAEQAQQAoAFwAbgAgACAATQBBAEsARQBBAFIAUgBBAFkAKAAyADAALAAgADMALABcAG4AIAAgACAAIABMAEEATQBCAEQAQQAoAHIALABjACwAXABuACAAIAAgACAAIAAgAEkATgBEAEUAWAAoAHsAXABuACAAIAAgACAAIAAgACAAIABcACIAQwByAG8AcAAgAHQAeQBwAGUAIABjAFwAIgAsACAAXAAiAFMAdABhAHQAZQBcACIALAAgAFwAIgBGAHIAYQBjAHQAaQBvAG4AIAByAGUAbQBvAHYAZQBkACAARgBGAE8ARABjAFwAIgA7AFwAbgAgACAAIAAgACAAIAAgACAAXAAiAFIAaQBjAGUAXAAiACwAIABcACIAQQBsAGwAIABzAHQAYQB0AGUAcwBcACIALAAgADAALgAwADYAOwBcAG4AIAAgACAAIAAgACAAIAAgAFwAIgBUAHUAYgBlAHIAcwAgAGEAbgBkACAAcgBvAG8AdABzAFwAIgAsACAAXAAiAEEAbABsACAAcwB0AGEAdABlAHMAXAAiACwAIAAxADsAXABuACAAIAAgACAAIAAgACAAIABcACIAQwBvAHQAdABvAG4AXAAiACwAIABcACIAQQBsAGwAIABzAHQAYQB0AGUAcwBcACIALAAgADAAOwBcAG4AIAAgACAAIAAgACAAIAAgAFwAIgBIAG8AcABzAFwAIgAsACAAXAAiAEEAbABsACAAcwB0AGEAdABlAHMAXAAiACwAIAAwADsAXABuACAAIAAgACAAIAAgACAAIABcACIARgBvAHIAYQBnAGUAIABjAHIAbwBwAHMAXAAiACwAIABcACIAQQBsAGwAIABzAHQAYQB0AGUAcwBcACIALAAgADAALgA4ADsAXABuACAAIAAgACAAIAAgACAAIABcACIAUwB1AGcAYQByACAAQwBhAG4AZQBcACIALAAgAFwAIgBOAFMAVwBcACIALAAgADAAOwBcAG4AIAAgACAAIAAgACAAIAAgAFwAIgBTAHUAZwBhAHIAIABDAGEAbgBlAFwAIgAsACAAXAAiAFEATABEAFwAIgAsACAAMAAuADAAMwA7AFwAbgAgACAAIAAgACAAIAAgACAAXAAiAFMAdQBnAGEAcgAgAEMAYQBuAGUAXAAiACwAIABcACIAVwBBAFwAIgAsACAAMAA7AFwAbgAgACAAIAAgACAAIAAgACAAXAAiAEEAbABsACAAbwB0AGgAZQByACAAYwByAG8AcAAgAHQAeQBwAGUAcwBcACIALAAgAFwAIgBOAFMAVwBcACIALAAgADAALgAwADUAOwBcAG4AIAAgACAAIAAgACAAIAAgAFwAIgBBAGwAbAAgAG8AdABoAGUAcgAgAGMAcgBvAHAAIAB0AHkAcABlAHMAXAAiACwAIABcACIAVgBJAEMAXAAiACwAIAAwAC4AMAA3ADsAXABuACAAIAAgACAAIAAgACAAIABcACIAQQBsAGwAIABvAHQAaABlAHIAIABjAHIAbwBwACAAdAB5AHAAZQBzAFwAIgAsACAAXAAiAFEATABEAFwAIgAsACAAMAAuADAANAA7AFwAbgAgACAAIAAgACAAIAAgACAAXAAiAEEAbABsACAAbwB0AGgAZQByACAAYwByAG8AcAAgAHQAeQBwAGUAcwBcACIALAAgAFwAIgBTAEEAXAAiACwAIAAwAC4AMAA5ADsAXABuACAAIAAgACAAIAAgACAAIABcACIAQQBsAGwAIABvAHQAaABlAHIAIABjAHIAbwBwACAAdAB5AHAAZQBzAFwAIgAsACAAXAAiAFcAQQBcACIALAAgADAALgAxADEAOwBcAG4AIAAgACAAIAAgACAAIAAgAFwAIgBBAGwAbAAgAG8AdABoAGUAcgAgAGMAcgBvAHAAIAB0AHkAcABlAHMAXAAiACwAIABcACIAVABBAFMAXAAiACwAIAAwAC4AMQA2ADsAXABuACAAIAAgACAAIAAgACAAIABcACIAQQBsAGwAIABvAHQAaABlAHIAIABjAHIAbwBwACAAdAB5AHAAZQBzAFwAIgAsACAAXAAiAE4AVABcACIALAAgADAALgAwADEAOwBcAG4AIAAgACAAIAAgACAAIAAgAFwAIgBBAGwAbAAgAG8AdABoAGUAcgAgAGMAcgBvAHAAIAB0AHkAcABlAHMAXAAiACwAIABcACIAQQBDAFQAXAAiACwAIAAwAC4AMAAwAFwAbgAgACAAIAAgACAAIAB9ACwAIAByACwAIABjACkAXABuACkAKQApADsAXABuAFwAbgBDAHIAbwBwAEYAcgBhAGMAdABpAG8AbgBSAGUAbQBvAHYAZQBkAF8AQwB1AHMAdABvAG0AaQBzAGUAZABEAGEAdABhAFwAbgA9AEwAQQBNAEIARABBACgAXABuACAAIABNAEEASwBFAEEAUgBSAEEAWQAoADEANAA0ACwAIAAzACwAXABuACAAIAAgACAATABBAE0AQgBEAEEAKAByACwAYwAsAFwAbgAgACAAIAAgACAAIABJAE4ARABFAFgAKAB7AFwAbgAgACAAIAAgACAAIAAgACAAXAAiAEMAcgBvAHAAIAB0AHkAcABlACAAYwBcACIALAAgAFwAIgBTAHQAYQB0AGUAXAAiACwAIABcACIARgByAGEAYwB0AGkAbwBuACAAcgBlAG0AbwB2AGUAZAAgAEYARgBPAEQAYwBcACIAOwBcAG4AIAAgACAAIAAgACAAIAAgAFwAIgBSAGkAYwBlAFwAIgAsACAAXAAiAE4AUwBXAFwAIgAsACAAMAAuADAANgA7AFwAbgAgACAAIAAgACAAIAAgACAAXAAiAFIAaQBjAGUAXAAiACwAIABcACIAVgBJAEMAXAAiACwAIAAwAC4AMAA2ADsAXABuACAAIAAgACAAIAAgACAAIABcACIAUgBpAGMAZQBcACIALAAgAFwAIgBRAEwARABcACIALAAgADAALgAwADYAOwBcAG4AIAAgACAAIAAgACAAIAAgAFwAIgBSAGkAYwBlAFwAIgAsACAAXAAiAFMAQQBcACIALAAgADAALgAwADYAOwBcAG4AIAAgACAAIAAgACAAIAAgAFwAIgBSAGkAYwBlAFwAIgAsACAAXAAiAFcAQQBcACIALAAgADAALgAwADYAOwBcAG4AIAAgACAAIAAgACAAIAAgAFwAIgBSAGkAYwBlAFwAIgAsACAAXAAiAFQAQQBTAFwAIgAsACAAMAAuADAANgA7AFwAbgAgACAAIAAgACAAIAAgACAAXAAiAFIAaQBjAGUAXAAiACwAIABcACIATgBUAFwAIgAsACAAMAAuADAANgA7AFwAbgAgACAAIAAgACAAIAAgACAAXAAiAFIAaQBjAGUAXAAiACwAIABcACIAQQBDAFQAXAAiACwAIAAwAC4AMAA2ADsAXABuACAAIAAgACAAIAAgACAAIABcACIAVAB1AGIAZQByAHMAIABhAG4AZAAgAHIAbwBvAHQAcwBcACIALAAgAFwAIgBOAFMAVwBcACIALAAgADEAOwBcAG4AIAAgACAAIAAgACAAIAAgAFwAIgBUAHUAYgBlAHIAcwAgAGEAbgBkACAAcgBvAG8AdABzAFwAIgAsACAAXAAiAFYASQBDAFwAIgAsACAAMQA7AFwAbgAgACAAIAAgACAAIAAgACAAXAAiAFQAdQBiAGUAcgBzACAAYQBuAGQAIAByAG8AbwB0AHMAXAAiACwAIABcACIAUQBMAEQAXAAiACwAIAAxADsAXABuACAAIAAgACAAIAAgACAAIABcACIAVAB1AGIAZQByAHMAIABhAG4AZAAgAHIAbwBvAHQAcwBcACIALAAgAFwAIgBTAEEAXAAiACwAIAAxADsAXABuACAAIAAgACAAIAAgACAAIABcACIAVAB1AGIAZQByAHMAIABhAG4AZAAgAHIAbwBvAHQAcwBcACIALAAgAFwAIgBXAEEAXAAiACwAIAAxADsAXABuACAAIAAgACAAIAAgACAAIABcACIAVAB1AGIAZQByAHMAIABhAG4AZAAgAHIAbwBvAHQAcwBcACIALAAgAFwAIgBUAEEAUwBcACIALAAgADEAOwBcAG4AIAAgACAAIAAgACAAIAAgAFwAIgBUAHUAYgBlAHIAcwAgAGEAbgBkACAAcgBvAG8AdABzAFwAIgAsACAAXAAiAE4AVABcACIALAAgADEAOwBcAG4AIAAgACAAIAAgACAAIAAgAFwAIgBUAHUAYgBlAHIAcwAgAGEAbgBkACAAcgBvAG8AdABzAFwAIgAsACAAXAAiAEEAQwBUAFwAIgAsACAAMQA7AFwAbgAgACAAIAAgACAAIAAgACAAXAAiAEMAbwB0AHQAbwBuAFwAIgAsACAAXAAiAE4AUwBXAFwAIgAsACAAMAA7AFwAbgAgACAAIAAgACAAIAAgACAAXAAiAEMAbwB0AHQAbwBuAFwAIgAsACAAXAAiAFYASQBDAFwAIgAsACAAMAA7AFwAbgAgACAAIAAgACAAIAAgACAAXAAiAEMAbwB0AHQAbwBuAFwAIgAsACAAXAAiAFEATABEAFwAIgAsACAAMAA7AFwAbgAgACAAIAAgACAAIAAgACAAXAAiAEMAbwB0AHQAbwBuAFwAIgAsACAAXAAiAFMAQQBcACIALAAgADAAOwBcAG4AIAAgACAAIAAgACAAIAAgAFwAIgBDAG8AdAB0AG8AbgBcACIALAAgAFwAIgBXAEEAXAAiACwAIAAwADsAXABuACAAIAAgACAAIAAgACAAIABcACIAQwBvAHQAdABvAG4AXAAiACwAIABcACIAVABBAFMAXAAiACwAIAAwADsAXABuACAAIAAgACAAIAAgACAAIABcACIAQwBvAHQAdABvAG4AXAAiACwAIABcACIATgBUAFwAIgAsACAAMAA7AFwAbgAgACAAIAAgACAAIAAgACAAXAAiAEMAbwB0AHQAbwBuAFwAIgAsACAAXAAiAEEAQwBUAFwAIgAsACAAMAA7AFwAbgAgACAAIAAgACAAIAAgACAAXAAiAEgAbwBwAHMAXAAiACwAIABcACIATgBTAFcAXAAiACwAIAAwADsAXABuACAAIAAgACAAIAAgACAAIABcACIASABvAHAAcwBcACIALAAgAFwAIgBWAEkAQwBcACIALAAgADAAOwBcAG4AIAAgACAAIAAgACAAIAAgAFwAIgBIAG8AcABzAFwAIgAsACAAXAAiAFEATABEAFwAIgAsACAAMAA7AFwAbgAgACAAIAAgACAAIAAgACAAXAAiAEgAbwBwAHMAXAAiACwAIABcACIAUwBBAFwAIgAsACAAMAA7AFwAbgAgACAAIAAgACAAIAAgACAAXAAiAEgAbwBwAHMAXAAiACwAIABcACIAVwBBAFwAIgAsACAAMAA7AFwAbgAgACAAIAAgACAAIAAgACAAXAAiAEgAbwBwAHMAXAAiACwAIABcACIAVABBAFMAXAAiACwAIAAwADsAXABuACAAIAAgACAAIAAgACAAIABcACIASABvAHAAcwBcACIALAAgAFwAIgBOAFQAXAAiACwAIAAwADsAXABuACAAIAAgACAAIAAgACAAIABcACIASABvAHAAcwBcACIALAAgAFwAIgBBAEMAVABcACIALAAgADAAOwBcAG4AIAAgACAAIAAgACAAIAAgAFwAIgBGAG8AcgBhAGcAZQAgAGMAcgBvAHAAcwBcACIALAAgAFwAIgBOAFMAVwBcACIALAAgADAALgA4ADsAXABuACAAIAAgACAAIAAgACAAIABcACIARgBvAHIAYQBnAGUAIABjAHIAbwBwAHMAXAAiACwAIABcACIAVgBJAEMAXAAiACwAIAAwAC4AOAA7AFwAbgAgACAAIAAgACAAIAAgACAAXAAiAEYAbwByAGEAZwBlACAAYwByAG8AcABzAFwAIgAsACAAXAAiAFEATABEAFwAIgAsACAAMAAuADgAOwBcAG4AIAAgACAAIAAgACAAIAAgAFwAIgBGAG8AcgBhAGcAZQAgAGMAcgBvAHAAcwBcACIALAAgAFwAIgBTAEEAXAAiACwAIAAwAC4AOAA7AFwAbgAgACAAIAAgACAAIAAgACAAXAAiAEYAbwByAGEAZwBlACAAYwByAG8AcABzAFwAIgAsACAAXAAiAFcAQQBcACIALAAgADAALgA4ADsAXABuACAAIAAgACAAIAAgACAAIABcACIARgBvAHIAYQBnAGUAIABjAHIAbwBwAHMAXAAiACwAIABcACIAVABBAFMAXAAiACwAIAAwAC4AOAA7AFwAbgAgACAAIAAgACAAIAAgACAAXAAiAEYAbwByAGEAZwBlACAAYwByAG8AcABzAFwAIgAsACAAXAAiAE4AVABcACIALAAgADAALgA4ADsAXABuACAAIAAgACAAIAAgACAAIABcACIARgBvAHIAYQBnAGUAIABjAHIAbwBwAHMAXAAiACwAIABcACIAQQBDAFQAXAAiACwAIAAwAC4AOAA7AFwAbgAgACAAIAAgACAAIAAgACAAXAAiAFMAdQBnAGEAcgAgAEMAYQBuAGUAXAAiACwAIABcACIATgBTAFcAXAAiACwAIAAwADsAXABuACAAIAAgACAAIAAgACAAIABcACIAUwB1AGcAYQByACAAQwBhAG4AZQBcACIALAAgAFwAIgBWAEkAQwBcACIALAAgAFwAIgBOAC8AQQBcACIAOwBcAG4AIAAgACAAIAAgACAAIAAgAFwAIgBTAHUAZwBhAHIAIABDAGEAbgBlAFwAIgAsACAAXAAiAFEATABEAFwAIgAsACAAMAAuADAAMwA7AFwAbgAgACAAIAAgACAAIAAgACAAXAAiAFMAdQBnAGEAcgAgAEMAYQBuAGUAXAAiACwAIABcACIAUwBBAFwAIgAsACAAXAAiAE4ALwBBAFwAIgA7AFwAbgAgACAAIAAgACAAIAAgACAAXAAiAFMAdQBnAGEAcgAgAEMAYQBuAGUAXAAiACwAIABcACIAVwBBAFwAIgAsACAAMAA7AFwAbgAgACAAIAAgACAAIAAgACAAXAAiAFMAdQBnAGEAcgAgAEMAYQBuAGUAXAAiACwAIABcACIAVABBAFMAXAAiACwAIABcACIATgAvAEEAXAAiADsAXABuACAAIAAgACAAIAAgACAAIABcACIAUwB1AGcAYQByACAAQwBhAG4AZQBcACIALAAgAFwAIgBOAFQAXAAiACwAIABcACIATgAvAEEAXAAiADsAXABuACAAIAAgACAAIAAgACAAIABcACIAUwB1AGcAYQByACAAQwBhAG4AZQBcACIALAAgAFwAIgBBAEMAVABcACIALAAgAFwAIgBOAC8AQQBcACIAOwBcAG4AIAAgACAAIAAgACAAIAAgAFwAIgBXAGgAZQBhAHQAXAAiACwAIABcACIATgBTAFcAXAAiACwAIAAwAC4AMAA1ADsAXABuACAAIAAgACAAIAAgACAAIABcACIAVwBoAGUAYQB0AFwAIgAsACAAXAAiAFYASQBDAFwAIgAsACAAMAAuADAANwA7AFwAbgAgACAAIAAgACAAIAAgACAAXAAiAFcAaABlAGEAdABcACIALAAgAFwAIgBRAEwARABcACIALAAgADAALgAwADQAOwBcAG4AIAAgACAAIAAgACAAIAAgAFwAIgBXAGgAZQBhAHQAXAAiACwAIABcACIAUwBBAFwAIgAsACAAMAAuADAAOQA7AFwAbgAgACAAIAAgACAAIAAgACAAXAAiAFcAaABlAGEAdABcACIALAAgAFwAIgBXAEEAXAAiACwAIAAwAC4AMQAxADsAXABuACAAIAAgACAAIAAgACAAIABcACIAVwBoAGUAYQB0AFwAIgAsACAAXAAiAFQAQQBTAFwAIgAsACAAMAAuADEANgA7AFwAbgAgACAAIAAgACAAIAAgACAAXAAiAFcAaABlAGEAdABcACIALAAgAFwAIgBOAFQAXAAiACwAIAAwAC4AMAAxADsAXABuACAAIAAgACAAIAAgACAAIABcACIAVwBoAGUAYQB0AFwAIgAsACAAXAAiAEEAQwBUAFwAIgAsACAAMAAuADAAMAA7AFwAbgAgACAAIAAgACAAIAAgACAAXAAiAEIAYQByAGwAZQB5AFwAIgAsACAAXAAiAE4AUwBXAFwAIgAsACAAMAAuADAANQA7AFwAbgAgACAAIAAgACAAIAAgACAAXAAiAEIAYQByAGwAZQB5AFwAIgAsACAAXAAiAFYASQBDAFwAIgAsACAAMAAuADAANwA7AFwAbgAgACAAIAAgACAAIAAgACAAXAAiAEIAYQByAGwAZQB5AFwAIgAsACAAXAAiAFEATABEAFwAIgAsACAAMAAuADAANAA7AFwAbgAgACAAIAAgACAAIAAgACAAXAAiAEIAYQByAGwAZQB5AFwAIgAsACAAXAAiAFMAQQBcACIALAAgADAALgAwADkAOwBcAG4AIAAgACAAIAAgACAAIAAgAFwAIgBCAGEAcgBsAGUAeQBcACIALAAgAFwAIgBXAEEAXAAiACwAIAAwAC4AMQAxADsAXABuACAAIAAgACAAIAAgACAAIABcACIAQgBhAHIAbABlAHkAXAAiACwAIABcACIAVABBAFMAXAAiACwAIAAwAC4AMQA2ADsAXABuACAAIAAgACAAIAAgACAAIABcACIAQgBhAHIAbABlAHkAXAAiACwAIABcACIATgBUAFwAIgAsACAAMAAuADAAMQA7AFwAbgAgACAAIAAgACAAIAAgACAAXAAiAEIAYQByAGwAZQB5AFwAIgAsACAAXAAiAEEAQwBUAFwAIgAsACAAMAAuADAAMAA7AFwAbgAgACAAIAAgACAAIAAgACAAXAAiAE0AYQBpAHoAZQBcACIALAAgAFwAIgBOAFMAVwBcACIALAAgADAALgAwADUAOwBcAG4AIAAgACAAIAAgACAAIAAgAFwAIgBNAGEAaQB6AGUAXAAiACwAIABcACIAVgBJAEMAXAAiACwAIAAwAC4AMAA3ADsAXABuACAAIAAgACAAIAAgACAAIABcACIATQBhAGkAegBlAFwAIgAsACAAXAAiAFEATABEAFwAIgAsACAAMAAuADAANAA7AFwAbgAgACAAIAAgACAAIAAgACAAXAAiAE0AYQBpAHoAZQBcACIALAAgAFwAIgBTAEEAXAAiACwAIAAwAC4AMAA5ADsAXABuACAAIAAgACAAIAAgACAAIABcACIATQBhAGkAegBlAFwAIgAsACAAXAAiAFcAQQBcACIALAAgADAALgAxADEAOwBcAG4AIAAgACAAIAAgACAAIAAgAFwAIgBNAGEAaQB6AGUAXAAiACwAIABcACIAVABBAFMAXAAiACwAIAAwAC4AMQA2ADsAXABuACAAIAAgACAAIAAgACAAIABcACIATQBhAGkAegBlAFwAIgAsACAAXAAiAE4AVABcACIALAAgADAALgAwADEAOwBcAG4AIAAgACAAIAAgACAAIAAgAFwAIgBNAGEAaQB6AGUAXAAiACwAIABcACIAQQBDAFQAXAAiACwAIAAwAC4AMAAwADsAXABuACAAIAAgACAAIAAgACAAIABcACIATwBhAHQAcwBcACIALAAgAFwAIgBOAFMAVwBcACIALAAgADAALgAwADUAOwBcAG4AIAAgACAAIAAgACAAIAAgAFwAIgBPAGEAdABzAFwAIgAsACAAXAAiAFYASQBDAFwAIgAsACAAMAAuADAANwA7AFwAbgAgACAAIAAgACAAIAAgACAAXAAiAE8AYQB0AHMAXAAiACwAIABcACIAUQBMAEQAXAAiACwAIAAwAC4AMAA0ADsAXABuACAAIAAgACAAIAAgACAAIABcACIATwBhAHQAcwBcACIALAAgAFwAIgBTAEEAXAAiACwAIAAwAC4AMAA5ADsAXABuACAAIAAgACAAIAAgACAAIABcACIATwBhAHQAcwBcACIALAAgAFwAIgBXAEEAXAAiACwAIAAwAC4AMQAxADsAXABuACAAIAAgACAAIAAgACAAIABcACIATwBhAHQAcwBcACIALAAgAFwAIgBUAEEAUwBcACIALAAgADAALgAxADYAOwBcAG4AIAAgACAAIAAgACAAIAAgAFwAIgBPAGEAdABzAFwAIgAsACAAXAAiAE4AVABcACIALAAgADAALgAwADEAOwBcAG4AIAAgACAAIAAgACAAIAAgAFwAIgBPAGEAdABzAFwAIgAsACAAXAAiAEEAQwBUAFwAIgAsACAAMAAuADAAMAA7AFwAbgAgACAAIAAgACAAIAAgACAAXAAiAFMAbwByAGcAaAB1AG0AXAAiACwAIABcACIATgBTAFcAXAAiACwAIAAwAC4AMAA1ADsAXABuACAAIAAgACAAIAAgACAAIABcACIAUwBvAHIAZwBoAHUAbQBcACIALAAgAFwAIgBWAEkAQwBcACIALAAgADAALgAwADcAOwBcAG4AIAAgACAAIAAgACAAIAAgAFwAIgBTAG8AcgBnAGgAdQBtAFwAIgAsACAAXAAiAFEATABEAFwAIgAsACAAMAAuADAANAA7AFwAbgAgACAAIAAgACAAIAAgACAAXAAiAFMAbwByAGcAaAB1AG0AXAAiACwAIABcACIAUwBBAFwAIgAsACAAMAAuADAAOQA7AFwAbgAgACAAIAAgACAAIAAgACAAXAAiAFMAbwByAGcAaAB1AG0AXAAiACwAIABcACIAVwBBAFwAIgAsACAAMAAuADEAMQA7AFwAbgAgACAAIAAgACAAIAAgACAAXAAiAFMAbwByAGcAaAB1AG0AXAAiACwAIABcACIAVABBAFMAXAAiACwAIAAwAC4AMQA2ADsAXABuACAAIAAgACAAIAAgACAAIABcACIAUwBvAHIAZwBoAHUAbQBcACIALAAgAFwAIgBOAFQAXAAiACwAIAAwAC4AMAAxADsAXABuACAAIAAgACAAIAAgACAAIABcACIAUwBvAHIAZwBoAHUAbQBcACIALAAgAFwAIgBBAEMAVABcACIALAAgADAALgAwADAAOwBcAG4AIAAgACAAIAAgACAAIAAgAFwAIgBUAHIAaQB0AGkAYwBhAGwAZQBcACIALAAgAFwAIgBOAFMAVwBcACIALAAgADAALgAwADUAOwBcAG4AIAAgACAAIAAgACAAIAAgAFwAIgBUAHIAaQB0AGkAYwBhAGwAZQBcACIALAAgAFwAIgBWAEkAQwBcACIALAAgADAALgAwADcAOwBcAG4AIAAgACAAIAAgACAAIAAgAFwAIgBUAHIAaQB0AGkAYwBhAGwAZQBcACIALAAgAFwAIgBRAEwARABcACIALAAgADAALgAwADQAOwBcAG4AIAAgACAAIAAgACAAIAAgAFwAIgBUAHIAaQB0AGkAYwBhAGwAZQBcACIALAAgAFwAIgBTAEEAXAAiACwAIAAwAC4AMAA5ADsAXABuACAAIAAgACAAIAAgACAAIABcACIAVAByAGkAdABpAGMAYQBsAGUAXAAiACwAIABcACIAVwBBAFwAIgAsACAAMAAuADEAMQA7AFwAbgAgACAAIAAgACAAIAAgACAAXAAiAFQAcgBpAHQAaQBjAGEAbABlAFwAIgAsACAAXAAiAFQAQQBTAFwAIgAsACAAMAAuADEANgA7AFwAbgAgACAAIAAgACAAIAAgACAAXAAiAFQAcgBpAHQAaQBjAGEAbABlAFwAIgAsACAAXAAiAE4AVABcACIALAAgADAALgAwADEAOwBcAG4AIAAgACAAIAAgACAAIAAgAFwAIgBUAHIAaQB0AGkAYwBhAGwAZQBcACIALAAgAFwAIgBBAEMAVABcACIALAAgADAALgAwADAAOwBcAG4AIAAgACAAIAAgACAAIAAgAFwAIgBPAHQAaABlAHIAIABjAGUAcgBlAGEAbABzAFwAIgAsACAAXAAiAE4AUwBXAFwAIgAsACAAMAAuADAANQA7AFwAbgAgACAAIAAgACAAIAAgACAAXAAiAE8AdABoAGUAcgAgAGMAZQByAGUAYQBsAHMAXAAiACwAIABcACIAVgBJAEMAXAAiACwAIAAwAC4AMAA3ADsAXABuACAAIAAgACAAIAAgACAAIABcACIATwB0AGgAZQByACAAYwBlAHIAZQBhAGwAcwBcACIALAAgAFwAIgBRAEwARABcACIALAAgADAALgAwADQAOwBcAG4AIAAgACAAIAAgACAAIAAgAFwAIgBPAHQAaABlAHIAIABjAGUAcgBlAGEAbABzAFwAIgAsACAAXAAiAFMAQQBcACIALAAgADAALgAwADkAOwBcAG4AIAAgACAAIAAgACAAIAAgAFwAIgBPAHQAaABlAHIAIABjAGUAcgBlAGEAbABzAFwAIgAsACAAXAAiAFcAQQBcACIALAAgADAALgAxADEAOwBcAG4AIAAgACAAIAAgACAAIAAgAFwAIgBPAHQAaABlAHIAIABjAGUAcgBlAGEAbABzAFwAIgAsACAAXAAiAFQAQQBTAFwAIgAsACAAMAAuADEANgA7AFwAbgAgACAAIAAgACAAIAAgACAAXAAiAE8AdABoAGUAcgAgAGMAZQByAGUAYQBsAHMAXAAiACwAIABcACIATgBUAFwAIgAsACAAMAAuADAAMQA7AFwAbgAgACAAIAAgACAAIAAgACAAXAAiAE8AdABoAGUAcgAgAGMAZQByAGUAYQBsAHMAXAAiACwAIABcACIAQQBDAFQAXAAiACwAIAAwAC4AMAAwADsAXABuACAAIAAgACAAIAAgACAAIABcACIAUAB1AGwAcwBlAHMAXAAiACwAIABcACIATgBTAFcAXAAiACwAIAAwAC4AMAA1ADsAXABuACAAIAAgACAAIAAgACAAIABcACIAUAB1AGwAcwBlAHMAXAAiACwAIABcACIAVgBJAEMAXAAiACwAIAAwAC4AMAA3ADsAXABuACAAIAAgACAAIAAgACAAIABcACIAUAB1AGwAcwBlAHMAXAAiACwAIABcACIAUQBMAEQAXAAiACwAIAAwAC4AMAA0ADsAXABuACAAIAAgACAAIAAgACAAIABcACIAUAB1AGwAcwBlAHMAXAAiACwAIABcACIAUwBBAFwAIgAsACAAMAAuADAAOQA7AFwAbgAgACAAIAAgACAAIAAgACAAXAAiAFAAdQBsAHMAZQBzAFwAIgAsACAAXAAiAFcAQQBcACIALAAgADAALgAxADEAOwBcAG4AIAAgACAAIAAgACAAIAAgAFwAIgBQAHUAbABzAGUAcwBcACIALAAgAFwAIgBUAEEAUwBcACIALAAgADAALgAxADYAOwBcAG4AIAAgACAAIAAgACAAIAAgAFwAIgBQAHUAbABzAGUAcwBcACIALAAgAFwAIgBOAFQAXAAiACwAIAAwAC4AMAAxADsAXABuACAAIAAgACAAIAAgACAAIABcACIAUAB1AGwAcwBlAHMAXAAiACwAIABcACIAQQBDAFQAXAAiACwAIAAwAC4AMAAwADsAXABuACAAIAAgACAAIAAgACAAIABcACIAUABlAGEAbgB1AHQAcwBcACIALAAgAFwAIgBOAFMAVwBcACIALAAgADAALgAwADUAOwBcAG4AIAAgACAAIAAgACAAIAAgAFwAIgBQAGUAYQBuAHUAdABzAFwAIgAsACAAXAAiAFYASQBDAFwAIgAsACAAMAAuADAANwA7AFwAbgAgACAAIAAgACAAIAAgACAAXAAiAFAAZQBhAG4AdQB0AHMAXAAiACwAIABcACIAUQBMAEQAXAAiACwAIAAwAC4AMAA0ADsAXABuACAAIAAgACAAIAAgACAAIABcACIAUABlAGEAbgB1AHQAcwBcACIALAAgAFwAIgBTAEEAXAAiACwAIAAwAC4AMAA5ADsAXABuACAAIAAgACAAIAAgACAAIABcACIAUABlAGEAbgB1AHQAcwBcACIALAAgAFwAIgBXAEEAXAAiACwAIAAwAC4AMQAxADsAXABuACAAIAAgACAAIAAgACAAIABcACIAUABlAGEAbgB1AHQAcwBcACIALAAgAFwAIgBUAEEAUwBcACIALAAgADAALgAxADYAOwBcAG4AIAAgACAAIAAgACAAIAAgAFwAIgBQAGUAYQBuAHUAdABzAFwAIgAsACAAXAAiAE4AVABcACIALAAgADAALgAwADEAOwBcAG4AIAAgACAAIAAgACAAIAAgAFwAIgBQAGUAYQBuAHUAdABzAFwAIgAsACAAXAAiAEEAQwBUAFwAIgAsACAAMAAuADAAMAA7AFwAbgAgACAAIAAgACAAIAAgACAAXAAiAE8AaQBsAHMAZQBlAGQAcwBcACIALAAgAFwAIgBOAFMAVwBcACIALAAgADAALgAwADUAOwBcAG4AIAAgACAAIAAgACAAIAAgAFwAIgBPAGkAbABzAGUAZQBkAHMAXAAiACwAIABcACIAVgBJAEMAXAAiACwAIAAwAC4AMAA3ADsAXABuACAAIAAgACAAIAAgACAAIABcACIATwBpAGwAcwBlAGUAZABzAFwAIgAsACAAXAAiAFEATABEAFwAIgAsACAAMAAuADAANAA7AFwAbgAgACAAIAAgACAAIAAgACAAXAAiAE8AaQBsAHMAZQBlAGQAcwBcACIALAAgAFwAIgBTAEEAXAAiACwAIAAwAC4AMAA5ADsAXABuACAAIAAgACAAIAAgACAAIABcACIATwBpAGwAcwBlAGUAZABzAFwAIgAsACAAXAAiAFcAQQBcACIALAAgADAALgAxADEAOwBcAG4AIAAgACAAIAAgACAAIAAgAFwAIgBPAGkAbABzAGUAZQBkAHMAXAAiACwAIABcACIAVABBAFMAXAAiACwAIAAwAC4AMQA2ADsAXABuACAAIAAgACAAIAAgACAAIABcACIATwBpAGwAcwBlAGUAZABzAFwAIgAsACAAXAAiAE4AVABcACIALAAgADAALgAwADEAOwBcAG4AIAAgACAAIAAgACAAIAAgAFwAIgBPAGkAbABzAGUAZQBkAHMAXAAiACwAIABcACIAQQBDAFQAXAAiACwAIAAwAC4AMAAwADsAXABuACAAIAAgACAAIAAgACAAIABcACIATwB0AGgAZQByACAAYQBuAG4AdQBhAGwAIABjAHIAbwBwAHMAXAAiACwAIABcACIATgBTAFcAXAAiACwAIAAwAC4AMAA1ADsAXABuACAAIAAgACAAIAAgACAAIABcACIATwB0AGgAZQByACAAYQBuAG4AdQBhAGwAIABjAHIAbwBwAHMAXAAiACwAIABcACIAVgBJAEMAXAAiACwAIAAwAC4AMAA3ADsAXABuACAAIAAgACAAIAAgACAAIABcACIATwB0AGgAZQByACAAYQBuAG4AdQBhAGwAIABjAHIAbwBwAHMAXAAiACwAIABcACIAUQBMAEQAXAAiACwAIAAwAC4AMAA0ADsAXABuACAAIAAgACAAIAAgACAAIABcACIATwB0AGgAZQByACAAYQBuAG4AdQBhAGwAIABjAHIAbwBwAHMAXAAiACwAIABcACIAUwBBAFwAIgAsACAAMAAuADAAOQA7AFwAbgAgACAAIAAgACAAIAAgACAAXAAiAE8AdABoAGUAcgAgAGEAbgBuAHUAYQBsACAAYwByAG8AcABzAFwAIgAsACAAXAAiAFcAQQBcACIALAAgADAALgAxADEAOwBcAG4AIAAgACAAIAAgACAAIAAgAFwAIgBPAHQAaABlAHIAIABhAG4AbgB1AGEAbAAgAGMAcgBvAHAAcwBcACIALAAgAFwAIgBUAEEAUwBcACIALAAgADAALgAxADYAOwBcAG4AIAAgACAAIAAgACAAIAAgAFwAIgBPAHQAaABlAHIAIABhAG4AbgB1AGEAbAAgAGMAcgBvAHAAcwBcACIALAAgAFwAIgBOAFQAXAAiACwAIAAwAC4AMAAxADsAXABuACAAIAAgACAAIAAgACAAIABcACIATwB0AGgAZQByACAAYQBuAG4AdQBhAGwAIABjAHIAbwBwAHMAXAAiACwAIABcACIAQQBDAFQAXAAiACwAIAAwAC4AMAAwADsAXABuACAAIAAgACAAIAAgACAAIABcACIATwB0AGgAZQByACAAcABlAHIAZQBuAG4AaQBhAGwAIABjAHIAbwBwAHMAXAAiACwAIABcACIATgBTAFcAXAAiACwAIAAwAC4AMAA1ADsAXABuACAAIAAgACAAIAAgACAAIABcACIATwB0AGgAZQByACAAcABlAHIAZQBuAG4AaQBhAGwAIABjAHIAbwBwAHMAXAAiACwAIABcACIAVgBJAEMAXAAiACwAIAAwAC4AMAA3ADsAXABuACAAIAAgACAAIAAgACAAIABcACIATwB0AGgAZQByACAAcABlAHIAZQBuAG4AaQBhAGwAIABjAHIAbwBwAHMAXAAiACwAIABcACIAUQBMAEQAXAAiACwAIAAwAC4AMAA0ADsAXABuACAAIAAgACAAIAAgACAAIABcACIATwB0AGgAZQByACAAcABlAHIAZQBuAG4AaQBhAGwAIABjAHIAbwBwAHMAXAAiACwAIABcACIAUwBBAFwAIgAsACAAMAAuADAAOQA7AFwAbgAgACAAIAAgACAAIAAgACAAXAAiAE8AdABoAGUAcgAgAHAAZQByAGUAbgBuAGkAYQBsACAAYwByAG8AcABzAFwAIgAsACAAXAAiAFcAQQBcACIALAAgADAALgAxADEAOwBcAG4AIAAgACAAIAAgACAAIAAgAFwAIgBPAHQAaABlAHIAIABwAGUAcgBlAG4AbgBpAGEAbAAgAGMAcgBvAHAAcwBcACIALAAgAFwAIgBUAEEAUwBcACIALAAgADAALgAxADYAOwBcAG4AIAAgACAAIAAgACAAIAAgAFwAIgBPAHQAaABlAHIAIABwAGUAcgBlAG4AbgBpAGEAbAAgAGMAcgBvAHAAcwBcACIALAAgAFwAIgBOAFQAXAAiACwAIAAwAC4AMAAxADsAXABuACAAIAAgACAAIAAgACAAIABcACIATwB0AGgAZQByACAAcABlAHIAZQBuAG4AaQBhAGwAIABjAHIAbwBwAHMAXAAiACwAIABcACIAQQBDAFQAXAAiACwAIAAwAC4AMAAwAFwAbgAgACAAIAAgACAAIAB9ACwAIAByACwAIABjACkAXABuACkAKQApADsAXABuAFwAbgBDAHIAbwBwAEYAcgBhAGMAdABpAG8AbgBSAGUAbQBvAHYAZQBkAF8AVgBhAHIAaQBhAHQAaQBvAG4AXABuAD0ATABBAE0AQgBEAEEAKAAoAFwAIgBWAEEAUgBJAEEAVABJAE8ATgAgAE8ARgAgAFMATwBVAFIAQwBFACAARABBAFQAQQA6ACAAUwBwAGwAaQB0ACAAXAB1ADAAMAAyADcAQQBsAGwAIABvAHQAaABlAHIAIABjAHIAbwBwACAAdAB5AHAAZQBzAFwAdQAwADAAMgA3ACAAaQBuAHQAbwAgAGkAbgBkAGkAdgBpAGQAdQBhAGwAIABjAHIAbwBwACAAdAB5AHAAZQBzACAAZgBvAHIAIABlAGEAYwBoACAAcwB0AGEAdABlAC4AIABMAGkAcwB0AGUAZAAgAGEAbABsACAAcwB0AGEAdABlAHMAIABmAG8AcgAgAFMAdQBnAGEAcgAgAEMAYQBuAGUALAAgAHcAaQB0AGgAIABcAHUAMAAwADIANwBOAC8AQQBcAHUAMAAwADIANwAgAGYAbwByACAAcwB0AGEAdABlAHMAIAB3AGgAZQByAGUAIABpAHQAIABpAHMAIABuAG8AdAAgAGcAcgBvAHcAbgAuAFwAIgApACkAOwBcAG4AXABuAFwAbgAvACoAXABuAD0APQA9AD0APQA9AD0APQA9AD0APQA9AD0APQA9AD0APQA9AD0APQA9AD0APQA9AD0APQA9AD0APQA9AD0APQA9AD0APQA9AD0APQA9AD0APQA9AD0APQA9AD0APQA9AD0APQA9AD0APQA9AD0APQA9AD0APQA9AD0APQA9AD0APQA9AD0APQA9AD0APQA9AD0APQA9AD0AXABuAFAAYQBzAHQAdQByAGUAIABhAHQAdAByAGkAYgB1AHQAZQBzAFwAbgA9AD0APQA9AD0APQA9AD0APQA9AD0APQA9AD0APQA9AD0APQA9AD0APQA9AD0APQA9AD0APQA9AD0APQA9AD0APQA9AD0APQA9AD0APQA9AD0APQA9AD0APQA9AD0APQA9AD0APQA9AD0APQA9AD0APQA9AD0APQA9AD0APQA9AD0APQA9AD0APQA9AD0APQA9AD0APQA9AFwAbgAqAC8AXABuAFwAbgBQAGEAcwB0AHUAcgBlAEEAdAB0AHIAaQBiAHUAdABlAHMAXwBUAGkAdABsAGUAXABuAD0ATABBAE0AQgBEAEEAKAAoAFwAIgBUAGEAYgBsAGUAIABBAC4AMgAuADEALgAzACAAUABhAHMAdAB1AHIAZQAgAGEAdAB0AHIAaQBiAHUAdABlAHMAXAAiACkAKQA7AFwAbgBcAG4AUABhAHMAdAB1AHIAZQBBAHQAdAByAGkAYgB1AHQAZQBzAF8ARABlAHMAYwByAGkAcAB0AGkAbwBuAFwAbgA9AEwAQQBNAEIARABBACgAKABcACIAUABhAHMAdAB1AHIAZQAgAGEAdAB0AHIAaQBiAHUAdABlAHMAXAAiACkAKQA7AFwAbgBcAG4AUABhAHMAdAB1AHIAZQBBAHQAdAByAGkAYgB1AHQAZQBzAF8AUwBvAHUAcgBjAGUAXABuAD0ATABBAE0AQgBEAEEAKAAoAFwAIgBWAEUARQBSAEcAIAAyADAAMgA2ADoAIABUAGEAYgBsAGUAIABBAC4AMgAuADEALgAzADoAIABQAGEAcwB0AHUAcgBlACAAYQB0AHQAcgBpAGIAdQB0AGUAcwBcACIAKQApADsAXABuAFwAbgBQAGEAcwB0AHUAcgBlAEEAdAB0AHIAaQBiAHUAdABlAHMAXwBEAGEAdABhAFwAbgA9AEwAQQBNAEIARABBACgAXABuACAAIABNAEEASwBFAEEAUgBSAEEAWQAoADYALAAgADYALABcAG4AIAAgACAAIABMAEEATQBCAEQAQQAoAHIALABjACwAXABuACAAIAAgACAAIAAgAEkATgBEAEUAWAAoAHsAXABuACAAIAAgACAAIAAgACAAIABcACIAUABhAHMAdAB1AHIAZQAgAHQAeQBwAGUAXAAiACwAIABcACIAQQB2AGUAcgBhAGcAZQAgAFkAaQBlAGwAZAAgACgAdAAgAEQATQAgAGgAYQApACAAWQBwAFwAIgAsACAAXAAiAEIAZQBsAG8AdwAtAGcAcgBvAHUAbgBkADoAIABhAGIAbwB2AGUALQBnAHIAbwB1AG4AZAAgAHIAZQBzAGkAZAB1AGUAIAByAGEAdABpAG8AIABSAEIARwBwAFwAIgAsACAAXAAiAE4AIABjAG8AbgB0AGUAbgB0ACAAQQBiAG8AdgBlAC0AZwByAG8AdQBuAGQAIABOAEMAQQBHAHAAXAAiACwAIABcACIATgAgAGMAbwBuAHQAZQBuAHQAIABCAGUAbABvAHcALQBnAHIAbwB1AG4AZAAgAE4AQwBCAEcAcABcACIALAAgAFwAIgBGAHIAYQBjAHQAaQBvAG4AIABvAGYAIABwAGEAcwB0AHUAcgBlACAAeQBpAGUAbABkACAAdABoAGEAdAAgAGkAcwAgAHIAZQBtAG8AdgBlAGQAIABGAEYATwBEAHAAXAAiADsAXABuACAAIAAgACAAIAAgACAAIABcACIAQQBuAG4AdQBhAGwAIABnAHIAYQBzAHMAXAAiACwAIAA0AC4ANAAxACwAIAAwAC4ANAAsACAAMAAuADAAMQA1ACwAIAAwAC4AMAAxADIALAAgADAALgA4ADsAXABuACAAIAAgACAAIAAgACAAIABcACIARwByAGEAcwBzACAAYwBsAG8AdgBlAHIAIABtAGkAeAB0AHUAcgBlAFwAIgAsACAAOAAuADMANAAsACAAMAAuADgALAAgADAALgAwADIANQAsACAAMAAuADAAMQA2ACwAIAAwAC4AOAA7AFwAbgAgACAAIAAgACAAIAAgACAAXAAiAEwAdQBjAGUAcgBuAGUAXAAiACwAIAA4AC4ANgAyACwAIAAwAC4ANAAsACAAMAAuADAAMgA3ACwAIAAwAC4AMAAxADkALAAgADAALgA4ADsAXABuACAAIAAgACAAIAAgACAAIABcACIATwB0AGgAZQByACAAbABlAGcAdQBtAGUAXAAiACwAIAA1AC4ANgAyACwAIAAwAC4ANAAsACAAMAAuADAAMgA3ACwAIAAwAC4AMAAyADIALAAgADAALgA4ADsAXABuACAAIAAgACAAIAAgACAAIABcACIAUABlAHIAZQBuAG4AaQBhAGwAIABwAGEAcwB0AHUAcgBlAFwAIgAsACAAOAAuADMANQAsACAAMAAuADgALAAgADAALgAwADEANQAsACAAMAAuADAAMQAyACwAIAAwAC4AOA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VABhAGIAbABlACAANQAuADMAMQAgAEIAdQByAG4AaQBuAGcAIABvAGYAIABhAGcAcgBpAGMAdQBsAHQAdQByAGEAbAAgAHIAZQBzAGkAZAB1AGUAcwAgAC0AIABFAEYAcwBcAG4APQA9AD0APQA9AD0APQA9AD0APQA9AD0APQA9AD0APQA9AD0APQA9AD0APQA9AD0APQA9AD0APQA9AD0APQA9AD0APQA9AD0APQA9AD0APQA9AD0APQA9AD0APQA9AD0APQA9AD0APQA9AD0APQA9AD0APQA9AD0APQA9AD0APQA9AD0APQA9AD0APQA9AD0APQA9AD0APQBcAG4AKgAvAFwAbgBcAG4AQgB1AHIAbgBpAG4AZwBPAGYAQQBnAHIAaQBjAHUAbAB0AHUAcgBhAGwAUgBlAHMAaQBkAHUAZQBzAEUARgBzAF8AVABpAHQAbABlAFwAbgA9AEwAQQBNAEIARABBACgAKABcACIAVABhAGIAbABlACAANQAuADMAMQAgAEIAdQByAG4AaQBuAGcAIABvAGYAIABhAGcAcgBpAGMAdQBsAHQAdQByAGEAbAAgAHIAZQBzAGkAZAB1AGUAcwAgAC0AIABFAEYAcwBcACIAKQApADsAXABuAFwAbgBCAHUAcgBuAGkAbgBnAE8AZgBBAGcAcgBpAGMAdQBsAHQAdQByAGEAbABSAGUAcwBpAGQAdQBlAHMARQBGAHMAXwBEAGUAcwBjAHIAaQBwAHQAaQBvAG4AXABuAD0ATABBAE0AQgBEAEEAKAAoAFwAIgBCAHUAcgBuAGkAbgBnACAAbwBmACAAYQBnAHIAaQBjAHUAbAB0AHUAcgBhAGwAIAByAGUAcwBpAGQAdQBlAHMAIAAtACAARQBGAHMAXAAiACkAKQA7AFwAbgBcAG4AQgB1AHIAbgBpAG4AZwBPAGYAQQBnAHIAaQBjAHUAbAB0AHUAcgBhAGwAUgBlAHMAaQBkAHUAZQBzAEUARgBzAF8AUwBvAHUAcgBjAGUAXABuAD0ATABBAE0AQgBEAEEAKAAoAFwAIgBOAGEAdABpAG8AbgBhAGwAIABJAG4AdgBlAG4AdABvAHIAeQAgAFIAZQBwAG8AcgB0ACAAMgAwADIAMwAgAHYAbwBsAHUAbQBlACAAMgA6ACAAVABhAGIAbABlACAANQAuADMAMQA6ACAAQgB1AHIAbgBpAG4AZwAgAG8AZgAgAGEAZwByAGkAYwB1AGwAdAB1AHIAYQBsACAAcgBlAHMAaQBkAHUAZQBzACAALQAgAEUARgBzAFwAIgApACkAOwBcAG4AXABuAEIAdQByAG4AaQBuAGcATwBmAEEAZwByAGkAYwB1AGwAdAB1AHIAYQBsAFIAZQBzAGkAZAB1AGUAcwBFAEYAcwBfAEQAYQB0AGEAXABuAD0ATABBAE0AQgBEAEEAKABcAG4AIAAgAE0AQQBLAEUAQQBSAFIAQQBZACgANgAsACAAMwAsAFwAbgAgACAAIAAgAEwAQQBNAEIARABBACgAcgAsAGMALABcAG4AIAAgACAAIAAgACAASQBOAEQARQBYACgAewBcAG4AIAAgACAAIAAgACAAIAAgAFwAIgBHAGEAcwAgAHMAcABlAGMAaQBlAHMAXAAiACwAIABcACIARQBtAGkAcwBzAGkAbwBuACAAZgBhAGMAdABvAHIAIABFAEYAZwAgACgARwBnACAAZQBsAGUAbQBlAG4AdAAgAGkAbgAgAHMAcABlAGMAaQBlAHMALwAgAEcAZwAgAGUAbABlAG0AZQBuAHQAIABpAG4AIABmAHUAZQBsACAAYgB1AHIAbgB0ACkAXAAiACwAIABcACIARQBsAGUAbQBlAG4AdABhAGwAIAB0AG8AIABtAG8AbABlAGMAdQBsAGEAcgAgAG0AYQBzAHMAIABjAG8AbgB2AGUAcgBzAGkAbwBuACAAZgBhAGMAdABvAHIAIAAoAEMAZwApAFwAIgA7AFwAbgAgACAAIAAgACAAIAAgACAAXAAiAEMASAA0AFwAIgAsACAAMAAuADAAMAAzADUALAAgAFwAIgAxADYALwAxADIAXAAiADsAXABuACAAIAAgACAAIAAgACAAIABcACIATgAyAE8AXAAiACwAIAAwAC4AMAAwADcANgAsACAAXAAiADQANAAvADIAOABcACIAOwBcAG4AIAAgACAAIAAgACAAIAAgAFwAIgBOAE8AeABcACIALAAgADAALgAyADEAMAAwACwAIABcACIANAA2AC8AMQA0AFwAIgA7AFwAbgAgACAAIAAgACAAIAAgACAAXAAiAEMATwBcACIALAAgADAALgAwADcAOAAwACwAIABcACIAMgA4AC8AMQAyAFwAIgA7AFwAbgAgACAAIAAgACAAIAAgACAAXAAiAE4ATQBWAE8AQwBcACIALAAgADAALgAwADAAOQAxACwAIABcACIAMQA0AC8AMQAyAFwAIgBcAG4AIAAgACAAIAAgACAAfQAsACAAcgAsACAAYwApAFwAbgApACkAKQA7AFwAbgBcAG4AXABuAC8AKgAgAFwAbgAtAC0ALQAtAC0ALQAtAC0ALQAtAC0ALQAtAC0ALQAtAC0ALQAtAC0ALQAtAC0ALQAtAC0ALQAtAC0ALQAtAC0ALQAtAC0ALQAtAC0AXABuAE4AMgBPAEUARgBPAHIAZwBhAG4AaQBjAEYAZQByAHQAaQBsAGkAcwBlAHIAXABuAFYARQBFAFIARwAgADIAMAAyADYAOgAgAFQAYQBiAGwAZQAgAEEALgAyAC4AMQAuADQAIABFAG0AaQBzAHMAaQBvAG4AIABmAGEAYwB0AG8AcgAgAGYAbwByACAAbwByAGcAYQBuAGkAYwAgAGYAZQByAHQAaQBsAGkAcwBlAHIAIABhAG4AZAAgAGMAcgBvAHAAIAByAGUAcwBpAGQAdQBlAHMAIAByAGUAdAB1AHIAbgBlAGQAIAB0AG8AIAB0AGgAZQAgAHMAbwBpAGwAXABuAC0ALQAtAC0ALQAtAC0ALQAtAC0ALQAtAC0ALQAtAC0ALQAtAC0ALQAtAC0ALQAtAC0ALQAtAC0ALQAtAC0ALQAtAC0ALQAtAC0ALQBcAG4AKgAvAFwAbgBcAG4ATgAyAE8ARQBGAE8AcgBnAGEAbgBpAGMARgBlAHIAdABpAGwAaQBzAGUAcg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OADIATwBFAEYATwByAGcAYQBuAGkAYwBGAGUAcgB0AGkAbABpAHMAZQByAF8AVQBuAGkAdABcAG4AIAAgAD0ATABBAE0AQgBEAEEAKABcACIAawBnACAATgAyAE8AIAAtACAATgAgAC8AIABrAGcAIABOAFwAIgApADsAXABuAFwAbgBOADIATwBFAEYATwByAGcAYQBuAGkAYwBGAGUAcgB0AGkAbABpAHMAZQByAF8AUwBvAHUAcgBjAGUAXABuACAAIAA9AEwAQQBNAEIARABBACgAXAAiAFYARQBFAFIARwAgADIAMAAyADYAOgAgAFQAYQBiAGwAZQAgAEEALgAyAC4AMQAuADQAXAAiACkAOwBcAG4AXABuAE4AMgBPAEUARgBPAHIAZwBhAG4AaQBjAEYAZQByAHQAaQBsAGkAcwBlAHIAXwBOAEkAUgBSAGUAZgBlAHIAZQBuAGMAZQBcAG4AIAAgAD0ATABBAE0AQgBEAEEAKABcACIASQBQAEMAQwAgADIAMAAxADkAIABSAGUAZgBpAG4AZQBtAGUAbgB0ACAAVgBvAGwAdQBtAGUAIAA0ACAAVABhAGIAbABlACAAMQAxAC4AMQAgAFsAMQAsACAAcAAuACAAMQAxAF0AXAAiACkAOwBcAG4AXABuAE4AMgBPAEUARgBPAHIAZwBhAG4AaQBjAEYAZQByAHQAaQBsAGkAcwBlAHIAXwBEAGEAdABhAFwAbgAgACAAPQBMAEEATQBCAEQAQQAoAFwAbgAgACAAIAAgAE0AQQBLAEUAQQBSAFIAQQBZACgAMwAsACAAMgAsACAAXABuACAAIAAgACAAIAAgAEwAQQBNAEIARABBACgAcgAsAGMALAAgAFwAbgAgACAAIAAgACAAIAAgACAASQBOAEQARQBYACgAewBcAG4AIAAgACAAIAAgACAAIAAgACAAIABcACIAQwBsAGkAbQBhAHQAZQAgAHoAbwBuAGUAIABpAFwAIgAsACAAXAAiAEUARgAgAGkAIABOADIATwBcACIAOwBcAG4AIAAgACAAIAAgACAAIAAgACAAIAAgACAAXAAiAFcAZQB0ACAAYwBsAGkAbQBhAHQAZQAgAHoAbwBuAGUAXAAiACwAIAAwAC4AMAAwADYAOwBcAG4AIAAgACAAIAAgACAAIAAgACAAIAAgACAAXAAiAEQAcgB5ACAAYwBsAGkAbQBhAHQAZQAgAHoAbwBuAGUAXAAiACwAIAAwAC4AMAAwADUAXABuACAAIAAgACAAIAAgACAAIAB9ACwAIAByACwAIABjACkAXABuACAAIAAgACAAIAAgACkAXABuACAAIAAgACAAKQBcAG4AIAAgACkAOwBcAG4AXABuAFwAbgBcAG4AIgB9ACwAewAiAHAAYQB0AGgAIgA6ACIALwBwAHIAbwBqAGUAYwB0AHMALwBDAG8AbQBtAG8AbgBMAGkAdgBlAHMAdABvAGMAaw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sAGkAdgBlAHMAdABvAGMAawAgAHQAeQBwAGUAcwBcAG4ARQB4AGMAZQBsACAAbQBvAGQAdQBsAGUAIABuAGEAbQBlADoAIABTAG8AdQByAGMAZQBEAGEAdABhAF8ATABpAHYAZQBzAHQAbwBjAGsAXwBDAG8AbQBtAG8Ab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UwBvAHUAcgBjAGUARABhAHQAYQBfAEwAaQB2AGUAcwB0AG8AYwBrAF8AQwBvAG0AbQBvAG4AXwBGAHIAYQBjAFcARQBUAE0ATQBTAFwAbgBGAHIAYQBjAFcARQBUAE0ATQBTAGkAIAA9ACAARgByAGEAYwB0AGkAbwBuACAAbwBmACAATgAgAGEAdgBhAGkAbABhAGIAbABlACAAZgBvAHIAIABsAGUAYQBjAGgAaQBuAGcAIABhAG4AZAAgAHIAdQBuAG8AZgBmAFwAbgAoAFQAYQBiAGwAZQAgAEEANQAuADUALgAxADAALgAyACAAaQBzACAAcgBlAGYAZQByAGUAbgBjAGUAZAAgAGkAbgAgAE4ASQBSACAAYgB1AHQAIAAxACAAaQBzACAAdQBzAGUAZAApAFwAbgAtAC0ALQAtAC0ALQAtAC0ALQAtAC0ALQAtAC0ALQAtAC0ALQAtAC0ALQAtAC0ALQAtAC0ALQAtAC0ALQAtAC0ALQAtAC0ALQAtAC0AXABuACoALwBcAG4AXABuAFMAbwB1AHIAYwBlAEQAYQB0AGEAXwBMAGkAdgBlAHMAdABvAGMAawBfAEMAbwBtAG0AbwBuAF8ARgByAGEAYwBXAEUAVABNAE0AUwBfAFQAaQB0AGwAZQBcAG4AIAAgAD0ATABBAE0AQgBEAEEAKABcACIARgByAGEAYwB0AGkAbwBuACAAbwBmACAATgAgAGEAdgBhAGkAbABhAGIAbABlACAAZgBvAHIAIABsAGUAYQBjAGgAaQBuAGcAIABhAG4AZAAgAHIAdQBuAG8AZgBmAFwAIgApADsAXABuAFwAbgBTAG8AdQByAGMAZQBEAGEAdABhAF8ATABpAHYAZQBzAHQAbwBjAGsAXwBDAG8AbQBtAG8AbgBfAEYAcgBhAGMAVwBFAFQATQBNAFMAXwBVAG4AaQB0AFwAbgAgACAAPQBMAEEATQBCAEQAQQAoAFwAIgBGAHIAYQBjAHQAaQBvAG4AXAAiACkAOwBcAG4AXABuAFMAbwB1AHIAYwBlAEQAYQB0AGEAXwBMAGkAdgBlAHMAdABvAGMAawBfAEMAbwBtAG0AbwBuAF8ARgByAGEAYwBXAEUAVABNAE0AUwBfAFMAbwB1AHIAYwBlAFwAbgAgACAAPQBMAEEATQBCAEQAQQAoAFwAIgBOAGEAdABpAG8AbgBhAGwAIABJAG4AdgBlAG4AdABvAHIAeQAgAFIAZQBwAG8AcgB0ACAAMgAwADIAMwAgAFYAbwBsAHUAbQBlACAAMQA6ACAARQBxAHUAYQB0AGkAbwBuAHMAIAAzAC4AQgAuADUAYQBfADMALAAgADMALgBCAC4ANQBjAF8AMwAsACAAMwAuAEIALgA1AGQAXwAzAFwAIgApADsAXABuAFwAbgBTAG8AdQByAGMAZQBEAGEAdABhAF8ATABpAHYAZQBzAHQAbwBjAGsAXwBDAG8AbQBtAG8AbgBfAEYAcgBhAGMAVwBFAFQATQBNAFMAXwBEAGEAdABhAFwAbgAgACAAPQBMAEEATQBCAEQAQQAoADEAKQA7AFwAbgBcAG4ALwAqACAAXABuAC0ALQAtAC0ALQAtAC0ALQAtAC0ALQAtAC0ALQAtAC0ALQAtAC0ALQAtAC0ALQAtAC0ALQAtAC0ALQAtAC0ALQAtAC0ALQAtAC0ALQBcAG4AUwBvAHUAcgBjAGUARABhAHQAYQBfAEwAaQB2AGUAcwB0AG8AYwBrAF8AQwBvAG0AbQBvAG4AXwBGAHIAYQBjAEwARQBBAEMASABfAE0AUwBcAG4ARgByAGEAYwBMAEUAQQBDAEgAXwBNAFMAIAA9ACAAMAAuADAAMgAgACgARwBnACAATgAvAEcAZwAgAGEAcABwAGwAaQBlAGQAKQAgACgAQwBTACAARQBGACwAIABzAG8AdQByAGMAZQAgAEkAUABDAEMAIAAoADIAMAAxADkAKQApACAAXABuAGYAcgBhAGMAdABpAG8AbgAgAG8AZgAgAE4AIABsAG8AcwB0ACAAdABoAHIAbwB1AGcAaAAgAGwAZQBhAGMAaABpAG4AZwAgAGEAbgBkACAAcgB1AG4AbwBmAGYAXABuAC0ALQAtAC0ALQAtAC0ALQAtAC0ALQAtAC0ALQAtAC0ALQAtAC0ALQAtAC0ALQAtAC0ALQAtAC0ALQAtAC0ALQAtAC0ALQAtAC0ALQBcAG4AKgAvAFwAbgBcAG4AUwBvAHUAcgBjAGUARABhAHQAYQBfAEwAaQB2AGUAcwB0AG8AYwBrAF8AQwBvAG0AbQBvAG4AXwBGAHIAYQBjAEwARQBBAEMASABfAE0AUwBfAFQAaQB0AGwAZQBcAG4AIAAgAD0ATABBAE0AQgBEAEEAKABcACIARgByAGEAYwB0AGkAbwBuACAAbwBmACAATgAgAGwAbwBzAHQAIAB0AGgAcgBvAHUAZwBoACAAbABlAGEAYwBoAGkAbgBnACAAYQBuAGQAIAByAHUAbgBvAGYAZgBcACIAKQA7AFwAbgBcAG4AUwBvAHUAcgBjAGUARABhAHQAYQBfAEwAaQB2AGUAcwB0AG8AYwBrAF8AQwBvAG0AbQBvAG4AXwBGAHIAYQBjAEwARQBBAEMASABfAE0AUwBfAFUAbgBpAHQAXABuACAAIAA9AEwAQQBNAEIARABBACgAXAAiAEYAcgBhAGMAdABpAG8AbgBcACIAKQA7AFwAbgBcAG4AUwBvAHUAcgBjAGUARABhAHQAYQBfAEwAaQB2AGUAcwB0AG8AYwBrAF8AQwBvAG0AbQBvAG4AXwBGAHIAYQBjAEwARQBBAEMASABfAE0AUwBfAFMAbwB1AHIAYwBlAFwAbgAgACAAPQBMAEEATQBCAEQAQQAoAFwAIgBOAGEAdABpAG8AbgBhAGwAIABJAG4AdgBlAG4AdABvAHIAeQAgAFIAZQBwAG8AcgB0ACAAMgAwADIAMwAgAFYAbwBsAHUAbQBlACAAMQA6ACAARQBxAHUAYQB0AGkAbwBuAHMAIAAzAC4AQgAuADUAYQBfADMALAAgADMALgBCAC4ANQBjAF8AMwAsACAAMwAuAEIALgA1AGQAXwAzAFwAIgApADsAXABuAFwAbgBTAG8AdQByAGMAZQBEAGEAdABhAF8ATABpAHYAZQBzAHQAbwBjAGsAXwBDAG8AbQBtAG8AbgBfAEYAcgBhAGMATABFAEEAQwBIAF8ATQBTAF8ARABhAHQAYQBcAG4AIAAgAD0ATABBAE0AQgBEAEEAKABcAG4AIAAgACAAIABNAEEASwBFAEEAUgBSAEEAWQAoADgALAAgADIALAAgAFwAbgAgACAAIAAgACAAIABMAEEATQBCAEQAQQAoAHIALABjACwAIABcAG4AIAAgACAAIAAgACAAIAAgAEkATgBEAEUAWAAoAHsAXABuACAAIAAgACAAIAAgACAAIAAgACAAXAAiAFAAcgBvAGQAdQBjAHQAaQBvAG4AIABzAHkAcwB0AGUAbQBcACIALAAgAFwAIgBFAG0AaQBzAHMAaQBvAG4AIABmAGEAYwB0AG8AcgBcACIAOwBcAG4AIAAgACAAIAAgACAAIAAgACAAIAAgACAAXAAiAEkAcgByAGkAZwBhAHQAZQBkACAAcABhAHMAdAB1AHIAZQBcACIALAAgADAALgAwADAANQA5ADsAXABuACAAIAAgACAAIAAgACAAIAAgACAAIAAgAFwAIgBJAHIAcgBpAGcAYQB0AGUAZAAgAGMAcgBvAHAAXAAiACwAIAAwAC4AMAAwADcAOwBcAG4AIAAgACAAIAAgACAAIAAgACAAIAAgACAAXAAiAE4AbwBuAC0AaQByAHIAaQBnAGEAdABlAGQAIABwAGEAcwB0AHUAcgBlAFwAIgAsACAAMAAuADAAMAAxADgAOwBcAG4AIAAgACAAIAAgACAAIAAgACAAIAAgACAAXAAiAE4AbwBuAC0AaQByAHIAaQBnAGEAdABlAGQAIABjAHIAbwBwAFwAIgAsACAAMAAuADAAMAA0ADEAOwBcAG4AIAAgACAAIAAgACAAIAAgACAAIAAgACAAXAAiAFMAdQBnAGEAcgAgAGMAYQBuAGUAXAAiACwAIAAwAC4AMAAxADkAOQA7AFwAbgAgACAAIAAgACAAIAAgACAAIAAgACAAIABcACIAQwBvAHQAdABvAG4AXAAiACwAIAAwAC4AMAAwADUAMwA7AFwAbgAgACAAIAAgACAAIAAgACAAIAAgACAAIABcACIASABvAHIAdABpAGMAdQBsAHQAdQByAGUAXAAiACwAIAAwAC4AMAAwADYANA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EMAbwBtAG0AbwBuAF8AUwB5AG0AYgBvAGwAcwBNAE0AUwBcAG4AVABhAGIAbABlACAANQAuADEAMgAgAEEAZABkAGkAdABpAG8AbgBhAGwAIABzAHkAbQBiAG8AbABzACAAdQBzAGUAZAAgAGkAbgAgAGEAbABnAG8AcgBpAHQAaABtAHMAIABmAG8AcgAgAG0AYQBuAHUAcgBlACAAcgBlAGwAYQB0AGUAZAAgAGUAbQBpAHMAcwBpAG8AbgBzAFwAbgAtAC0ALQAtAC0ALQAtAC0ALQAtAC0ALQAtAC0ALQAtAC0ALQAtAC0ALQAtAC0ALQAtAC0ALQAtAC0ALQAtAC0ALQAtAC0ALQAtAC0AXABuACoALwBcAG4AXABuAFMAbwB1AHIAYwBlAEQAYQB0AGEAXwBMAGkAdgBlAHMAdABvAGMAawBfAEMAbwBtAG0AbwBuAF8AUwB5AG0AYgBvAGwAcwBNAE0AUwBfAFQAaQB0AGwAZQBcAG4AIAAgAD0ATABBAE0AQgBEAEEAKABcACIAVABhAGIAbABlACAANQAuADEAMgAgAEEAZABkAGkAdABpAG8AbgBhAGwAIABzAHkAbQBiAG8AbABzACAAdQBzAGUAZAAgAGkAbgAgAGEAbABnAG8AcgBpAHQAaABtAHMAIABmAG8AcgAgAG0AYQBuAHUAcgBlACAAcgBlAGwAYQB0AGUAZAAgAGUAbQBpAHMAcwBpAG8AbgBzAFwAIgApADsAXABuAFwAbgBTAG8AdQByAGMAZQBEAGEAdABhAF8ATABpAHYAZQBzAHQAbwBjAGsAXwBDAG8AbQBtAG8AbgBfAFMAeQBtAGIAbwBsAHMATQBNAFMAXwBWAGEAaQByAGEAYgBsAGUAXABuACAAIAA9AEwAQQBNAEIARABBACgAXAAiAE0ATQBTAFwAIgApADsAXABuAFwAbgBTAG8AdQByAGMAZQBEAGEAdABhAF8ATABpAHYAZQBzAHQAbwBjAGsAXwBDAG8AbQBtAG8AbgBfAFMAeQBtAGIAbwBsAHMATQBNAFMAXwBVAG4AaQB0AFwAbgAgACAAPQBMAEEATQBCAEQAQQAoAFwAIgBcACIAKQA7AFwAbgBcAG4AUwBvAHUAcgBjAGUARABhAHQAYQBfAEwAaQB2AGUAcwB0AG8AYwBrAF8AQwBvAG0AbQBvAG4AXwBTAHkAbQBiAG8AbABzAE0ATQBTAF8AUwBvAHUAcgBjAGUAXABuACAAIAA9AEwAQQBNAEIARABBACgAXAAiAE4AYQB0AGkAbwBuAGEAbAAgAEkAbgB2AGUAbgB0AG8AcgB5ACAAUgBlAHAAbwByAHQAIAAyADAAMgAzACAAVgBvAGwAdQBtAGUAIAAxADoAIABUAGEAYgBsAGUAIAA1AC4AMQAyAFwAIgApADsAXABuAFwAbgBTAG8AdQByAGMAZQBEAGEAdABhAF8ATABpAHYAZQBzAHQAbwBjAGsAXwBDAG8AbQBtAG8AbgBfAFMAeQBtAGIAbwBsAHMATQBNAFMAXwBEAGEAdABhAFwAbgAgACAAPQBMAEEATQBCAEQAQQAoAFwAbgAgACAAIAAgAE0AQQBLAEUAQQBSAFIAQQBZACgAMQA5ACwAIAAzACwAIABcAG4AIAAgACAAIAAgACAATABBAE0AQgBEAEEAKAByACwAYwAsACAAXABuACAAIAAgACAAIAAgACAAIABJAE4ARABFAFgAKAB7AFwAbgAgACAAIAAgACAAIAAgACAAIAAgAFwAIgBTAHkAbQBiAG8AbABcACIALAAgAFwAIgBNAGEAbgB1AHIAZQAgAG0AYQBuAGEAZwBlAG0AZQBuAHQAIABzAHkAcwB0AGUAbQBcACIALAAgAFwAIgBcACIAOwBcAG4AIAAgACAAIAAgACAAIAAgACAAIAAgACAAXAAiADEAXAAiACwAIABcACIAQQBuAGEAZQByAG8AYgBpAGMAIABsAGEAZwBvAG8AbgBcACIALAAgAFwAIgBBAG4AYQBlAHIAbwBiAGkAYwAgAGwAYQBnAG8AbwBuACAAKABtAD0AMQApAFwAIgA7AFwAbgAgACAAIAAgACAAIAAgACAAIAAgACAAIABcACIAMgBcACIALAAgAFwAIgBMAGkAcQB1AGkAZAAgAHMAeQBzAHQAZQBtAHMAXAAiACwAIABcACIATABpAHEAdQBpAGQAIABzAHkAcwB0AGUAbQBzACAAKABtAD0AMgApAFwAIgA7AFwAbgAgACAAIAAgACAAIAAgACAAIAAgACAAIABcACIAMwBcACIALAAgAFwAIgBEAGEAaQBsAHkAIABzAHAAcgBlAGEAZABcACIALAAgAFwAIgBEAGEAaQBsAHkAIABzAHAAcgBlAGEAZAAgACgAbQA9ADMAKQBcACIAOwBcAG4AIAAgACAAIAAgACAAIAAgACAAIAAgACAAXAAiADMAYQBcACIALAAgAFwAIgBTAHUAbQBwACAAYQBuAGQAIABkAGkAcwBwAGUAcgBzAGEAbAAgAHMAeQBzAHQAZQBtAFwAIgAsACAAXAAiAFMAdQBtAHAAIABhAG4AZAAgAGQAaQBzAHAAZQByAHMAYQBsACAAcwB5AHMAdABlAG0AIAAoAG0APQAzAGEAKQBcACIAOwBcAG4AIAAgACAAIAAgACAAIAAgACAAIAAgACAAXAAiADMAYgBcACIALAAgAFwAIgBEAHIAYQBpAG4AcwAgAHQAbwAgAHAAYQBkAGQAbwBjAGsAXAAiACwAIABcACIARAByAGEAaQBuAHMAIAB0AG8AIABwAGEAZABkAG8AYwBrACAAKABtAD0AMwBiACkAXAAiADsAXABuACAAIAAgACAAIAAgACAAIAAgACAAIAAgAFwAIgA0AFwAIgAsACAAXAAiAFMAbwBsAGkAZAAgAHMAdABvAHIAYQBnAGUAXAAiACwAIABcACIAUwBvAGwAaQBkACAAcwB0AG8AcgBhAGcAZQAgACgAbQA9ADQAKQBcACIAOwBcAG4AIAAgACAAIAAgACAAIAAgACAAIAAgACAAXAAiADUAXAAiACwAIABcACIARAByAHkAbABvAHQAIAAoAGYAZQBlAGQAIABwAGEAZAApAFwAIgAsACAAXAAiAEQAcgB5AGwAbwB0ACAAKABmAGUAZQBkACAAcABhAGQAKQAgACgAbQA9ADUAKQBcACIAOwBcAG4AIAAgACAAIAAgACAAIAAgACAAIAAgACAAXAAiADYAXAAiACwAIABcACIAQwBvAG0AcABvAHMAdABpAG4AZwAgACgAcABhAHMAcwBpAHYAZQAgAHcAaQBuAGQAcgBvAHcAKQBcACIALAAgAFwAIgBDAG8AbQBwAG8AcwB0AGkAbgBnACAAKABwAGEAcwBzAGkAdgBlACAAdwBpAG4AZAByAG8AdwApACAAKABtAD0ANgApAFwAIgA7AFwAbgAgACAAIAAgACAAIAAgACAAIAAgACAAIABcACIANwBcACIALAAgAFwAIgBEAGkAZwBlAHMAdABlAHIAIAAvACAAYwBvAHYAZQByAGUAZAAgAGwAYQBnAG8AbwBuAHMAXAAiACwAIABcACIARABpAGcAZQBzAHQAZQByACAALwAgAGMAbwB2AGUAcgBlAGQAIABsAGEAZwBvAG8AbgBzACAAKABtAD0ANwApAFwAIgA7AFwAbgAgACAAIAAgACAAIAAgACAAIAAgACAAIABcACIAOABcACIALAAgAFwAIgBEAGUAZQBwACAAbABpAHQAdABlAHIAXAAiACwAIABcACIARABlAGUAcAAgAGwAaQB0AHQAZQByACAAKABtAD0AOAApAFwAIgA7AFwAbgAgACAAIAAgACAAIAAgACAAIAAgACAAIABcACIAOQBcACIALAAgAFwAIgBQAGkAdAAgAHMAdABvAHIAYQBnAGUAXAAiACwAIABcACIAUABpAHQAIABzAHQAbwByAGEAZwBlACAAKABtAD0AOQApAFwAIgA7AFwAbgAgACAAIAAgACAAIAAgACAAIAAgACAAIABcACIAMQAwAFwAIgAsACAAXAAiAFAAbwB1AGwAdAByAHkAIABtAGEAbgB1AHIAZQAgAHcAaQB0AGgAIABiAGUAZABkAGkAbgBnAFwAIgAsACAAXAAiAFAAbwB1AGwAdAByAHkAIABtAGEAbgB1AHIAZQAgAHcAaQB0AGgAIABiAGUAZABkAGkAbgBnACAAKABtAD0AMQAwACkAXAAiADsAXABuACAAIAAgACAAIAAgACAAIAAgACAAIAAgAFwAIgAxADEAXAAiACwAIABcACIAUABvAHUAbAB0AHIAeQAgAG0AYQBuAHUAcgBlACAAdwBpAHQAaABvAHUAdAAgAGIAZQBkAGQAaQBuAGcAXAAiACwAIABcACIAUABvAHUAbAB0AHIAeQAgAG0AYQBuAHUAcgBlACAAdwBpAHQAaABvAHUAdAAgAGIAZQBkAGQAaQBuAGcAIAAoAG0APQAxADEAKQBcACIAOwBcAG4AIAAgACAAIAAgACAAIAAgACAAIAAgACAAXAAiADEAMQBhAFwAIgAsACAAXAAiAEIAZQBsAHQAIABtAGEAbgB1AHIAZQAgAHIAZQBtAG8AdgBhAGwAXAAiACwAIABcACIAQgBlAGwAdAAgAG0AYQBuAHUAcgBlACAAcgBlAG0AbwB2AGEAbAAgACgAbQA9ADEAMQBhACkAXAAiADsAXABuACAAIAAgACAAIAAgACAAIAAgACAAIAAgAFwAIgAxADEAYgBcACIALAAgAFwAIgBNAGEAbgB1AHIAZQAgAHMAdABvAHIAZQBkACAAaQBuACAAaABvAHUAcwBlAFwAIgAsACAAXAAiAE0AYQBuAHUAcgBlACAAcwB0AG8AcgBlAGQAIABpAG4AIABoAG8AdQBzAGUAIAAoAG0APQAxADEAYgApAFwAIgA7AFwAbgAgACAAIAAgACAAIAAgACAAIAAgACAAIABcACIAMQAyAFwAIgAsACAAXAAiAEQAaQByAGUAYwB0ACAAcAByAG8AYwBlAHMAcwBpAG4AZwBcACIALAAgAFwAIgBEAGkAcgBlAGMAdAAgAHAAcgBvAGMAZQBzAHMAaQBuAGcAIAAoAG0APQAxADIAKQBcACIAOwBcAG4AIAAgACAAIAAgACAAIAAgACAAIAAgACAAXAAiADEAMwBcACIALAAgAFwAIgBEAGkAcgBlAGMAdAAgAGEAcABwAGwAaQBjAGEAdABpAG8AbgBcACIALAAgAFwAIgBEAGkAcgBlAGMAdAAgAGEAcABwAGwAaQBjAGEAdABpAG8AbgAgACgAbQA9ADEAMwApAFwAIgA7AFwAbgAgACAAIAAgACAAIAAgACAAIAAgACAAIABcACIAMQA0AFwAIgAsACAAXAAiAFAAYQBzAHQAdQByAGUAIAByAGEAbgBnAGUAIABhAG4AZAAgAHAAYQBkAGQAbwBjAGsAXAAiACwAIABcACIAUABhAHMAdAB1AHIAZQAgAHIAYQBuAGcAZQAgAGEAbgBkACAAcABhAGQAZABvAGMAawAgACgAbQA9ADEANAAp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CAGUAZQBmAEMAYQB0AHQAbABlAFwAbgAtAC0ALQAtAC0ALQAtAC0ALQAtAC0ALQAtAC0ALQAtAC0ALQAtAC0ALQAtAC0ALQAtAC0ALQAtAC0ALQAtAC0ALQAtAC0ALQAtAC0AXABuACoALwBcAG4AXABuAFMAbwB1AHIAYwBlAEQAYQB0AGEAXwBMAGkAdgBlAHMAdABvAGMAawBfAFAAcgBvAGQAdQBjAHQAXwBCAGUAZQBmAEMAYQB0AHQAbABlAF8AVABpAHQAbABlAFwAbgAgACAAPQBMAEEATQBCAEQAQQAoAFwAIgBCAGUAZQBmACAAYwBhAHQAdABsAGUAIABwAHIAbwBkAHUAYwB0AHMAIABmAG8AcgAgAHMAYwBvAHAAZQAgADMAXAAiACkAOwBcAG4AXABuAFMAbwB1AHIAYwBlAEQAYQB0AGEAXwBMAGkAdgBlAHMAdABvAGMAawBfAFAAcgBvAGQAdQBjAHQAXwBCAGUAZQBmAEMAYQB0AHQAbABlAF8AVgBhAGkAcgBhAGIAbABlAFwAbgAgACAAPQBMAEEATQBCAEQAQQAoAFwAIgBcACIAKQA7AFwAbgBcAG4AUwBvAHUAcgBjAGUARABhAHQAYQBfAEwAaQB2AGUAcwB0AG8AYwBrAF8AUAByAG8AZAB1AGMAdABfAEIAZQBlAGYAQwBhAHQAdABsAGUAXwBVAG4AaQB0AFwAbgAgACAAPQBMAEEATQBCAEQAQQAoAFwAIgBcACIAKQA7AFwAbgBcAG4AUwBvAHUAcgBjAGUARABhAHQAYQBfAEwAaQB2AGUAcwB0AG8AYwBrAF8AUAByAG8AZAB1AGMAdABfAEIAZQBlAGYAQ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IAZQBlAGYAQwBhAHQAdABsAGUAXwBEAGEAdABhAFwAbgAgACAAPQBMAEEATQBCAEQAQQAoAFwAbgAgACAAIAAgAE0AQQBLAEUAQQBSAFIAQQBZACgAOQAsACAAMgAsACAAXABuACAAIAAgACAAIAAgAEwAQQBNAEIARABBACgAcgAsAGMALAAgAFwAbgAgACAAIAAgACAAIAAgACAASQBOAEQARQBYACgAewBcAG4AIAAgACAAIAAgACAAIAAgACAAIABcACIAUAByAG8AZAB1AGMAdABcACIALAAgAFwAIgBTAG8AdQByAGMAZQAgAHIAZQBnAGkAbwBuAFwAIgA7AFwAbgAgACAAIAAgACAAIAAgACAAIAAgACAAIABcACIAQwBhAHQAdABsAGUALAAgAGYAbwByACAAbQBhAG4AdQBmAGEAYwB0AHUAcgBpAG4AZwAgAGIAZQBlAGYAXAAiACwAIABcACIAQQB1AHMAdAByAGEAbABpAGEAXAAiADsAXABuACAAIAAgACAAIAAgACAAIAAgACAAIAAgAFwAIgBDAGEAdAB0AGwAZQAsACAAZgBvAHIAIABwAHIAaQBtAGUAIABiAGUAZQBmAFwAIgAsACAAXAAiAE4AUwBXAFwAIgA7AFwAbgAgACAAIAAgACAAIAAgACAAIAAgACAAIABcACIAQwBhAHQAdABsAGUALAAgAHcAZQBhAG4AZQByAHMAXAAiACwAIABcACIATgBU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LwAqACAAXABuAC0ALQAtAC0ALQAtAC0ALQAtAC0ALQAtAC0ALQAtAC0ALQAtAC0ALQAtAC0ALQAtAC0ALQAtAC0ALQAtAC0ALQAtAC0ALQAtAC0ALQBcAG4AUwBvAHUAcgBjAGUARABhAHQAYQBfAEwAaQB2AGUAcwB0AG8AYwBrAF8AUAByAG8AZAB1AGMAdABfAEMAaABpAGMAawBlAG4AcwBcAG4ALQAtAC0ALQAtAC0ALQAtAC0ALQAtAC0ALQAtAC0ALQAtAC0ALQAtAC0ALQAtAC0ALQAtAC0ALQAtAC0ALQAtAC0ALQAtAC0ALQAtAFwAbgAqAC8AXABuAFwAbgBTAG8AdQByAGMAZQBEAGEAdABhAF8ATABpAHYAZQBzAHQAbwBjAGsAXwBQAHIAbwBkAHUAYwB0AF8AQwBoAGkAYwBrAGUAbgBzAF8AVABpAHQAbABlAFwAbgAgACAAPQBMAEEATQBCAEQAQQAoAFwAIgBDAGgAaQBjAGsAZQBuAHMAIABwAHIAbwBkAHUAYwB0AHMAIABmAG8AcgAgAHMAYwBvAHAAZQAgADMAXAAiACkAOwBcAG4AXABuAFMAbwB1AHIAYwBlAEQAYQB0AGEAXwBMAGkAdgBlAHMAdABvAGMAawBfAFAAcgBvAGQAdQBjAHQAXwBDAGgAaQBjAGsAZQBuAHMAXwBWAGEAaQByAGEAYgBsAGUAXABuACAAIAA9AEwAQQBNAEIARABBACgAXAAiAFwAIgApADsAXABuAFwAbgBTAG8AdQByAGMAZQBEAGEAdABhAF8ATABpAHYAZQBzAHQAbwBjAGsAXwBQAHIAbwBkAHUAYwB0AF8AQwBoAGkAYwBrAGUAbgBzAF8AVQBuAGkAdABcAG4AIAAgAD0ATABBAE0AQgBEAEEAKABcACIAXAAiACkAOwBcAG4AXABuAFMAbwB1AHIAYwBlAEQAYQB0AGEAXwBMAGkAdgBlAHMAdABvAGMAawBfAFAAcgBvAGQAdQBjAHQAXwBDAGgAaQBjAGsAZQBuAHM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MAaABpAGMAawBlAG4Acw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DAGgAaQBjAGsAZQBuAHMAXAAiACwAIABcACIAQQB1AHMAdAByAGEAbABpAGEAXAAiAFwAbgAgACAAIAAgACAAIAAgACAAfQAsACAAcgAsACAAYwApAFwAbgAgACAAIAAgACAAIAApAFwAbgAgACAAIAAgACkAXABuACAAIAApADsAXABuAFwAbgBcAG4ALwAqACAAXABuAC0ALQAtAC0ALQAtAC0ALQAtAC0ALQAtAC0ALQAtAC0ALQAtAC0ALQAtAC0ALQAtAC0ALQAtAC0ALQAtAC0ALQAtAC0ALQAtAC0ALQBcAG4AUwBvAHUAcgBjAGUARABhAHQAYQBfAEwAaQB2AGUAcwB0AG8AYwBrAF8AUAByAG8AZAB1AGMAdABfAEQAYQBpAHIAeQBjAGEAdAB0AGwAZQBcAG4ALQAtAC0ALQAtAC0ALQAtAC0ALQAtAC0ALQAtAC0ALQAtAC0ALQAtAC0ALQAtAC0ALQAtAC0ALQAtAC0ALQAtAC0ALQAtAC0ALQAtAFwAbgAqAC8AXABuAFwAbgBTAG8AdQByAGMAZQBEAGEAdABhAF8ATABpAHYAZQBzAHQAbwBjAGsAXwBQAHIAbwBkAHUAYwB0AF8ARABhAGkAcgB5AGMAYQB0AHQAbABlAF8AVABpAHQAbABlAFwAbgAgACAAPQBMAEEATQBCAEQAQQAoAFwAIgBEAGEAaQByAHkAIABjAGEAdAB0AGwAZQAgAHAAcgBvAGQAdQBjAHQAcwAgAGYAbwByACAAcwBjAG8AcABlACAAMwBcACIAKQA7AFwAbgBcAG4AUwBvAHUAcgBjAGUARABhAHQAYQBfAEwAaQB2AGUAcwB0AG8AYwBrAF8AUAByAG8AZAB1AGMAdABfAEQAYQBpAHIAeQBjAGEAdAB0AGwAZQBfAFYAYQBpAHIAYQBiAGwAZQBcAG4AIAAgAD0ATABBAE0AQgBEAEEAKABcACIAXAAiACkAOwBcAG4AXABuAFMAbwB1AHIAYwBlAEQAYQB0AGEAXwBMAGkAdgBlAHMAdABvAGMAawBfAFAAcgBvAGQAdQBjAHQAXwBEAGEAaQByAHkAYwBhAHQAdABsAGUAXwBVAG4AaQB0AFwAbgAgACAAPQBMAEEATQBCAEQAQQAoAFwAIgBcACIAKQA7AFwAbgBcAG4AUwBvAHUAcgBjAGUARABhAHQAYQBfAEwAaQB2AGUAcwB0AG8AYwBrAF8AUAByAG8AZAB1AGMAdABfAEQAYQBpAHIAeQBjAGEAdAB0AGwAZQ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RABhAGkAcgB5AGMAYQB0AHQAbABl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EQAYQBpAHIAeQAgAGMAbwB3AHMAXAAiACwAIABcACIAVgBJAEMAXAAiAFwAbgAgACAAIAAgACAAIAAgACAAfQAsACAAcgAsACAAYwApAFwAbgAgACAAIAAgACAAIAApAFwAbgAgACAAIAAgACkAXABuACAAIAApADsAXABuAFwAbgBcAG4ALwAqACAAXABuAC0ALQAtAC0ALQAtAC0ALQAtAC0ALQAtAC0ALQAtAC0ALQAtAC0ALQAtAC0ALQAtAC0ALQAtAC0ALQAtAC0ALQAtAC0ALQAtAC0ALQBcAG4AUwBvAHUAcgBjAGUARABhAHQAYQBfAEwAaQB2AGUAcwB0AG8AYwBrAF8AUAByAG8AZAB1AGMAdABfAFAAaQBnAHMAXABuAC0ALQAtAC0ALQAtAC0ALQAtAC0ALQAtAC0ALQAtAC0ALQAtAC0ALQAtAC0ALQAtAC0ALQAtAC0ALQAtAC0ALQAtAC0ALQAtAC0ALQBcAG4AKgAvAFwAbgBcAG4AUwBvAHUAcgBjAGUARABhAHQAYQBfAEwAaQB2AGUAcwB0AG8AYwBrAF8AUAByAG8AZAB1AGMAdABfAFAAaQBnAHMAXwBUAGkAdABsAGUAXABuACAAIAA9AEwAQQBNAEIARABBACgAXAAiAFAAaQBnAHMAIABwAHIAbwBkAHUAYwB0AHMAIABmAG8AcgAgAHMAYwBvAHAAZQAgADMAXAAiACkAOwBcAG4AXABuAFMAbwB1AHIAYwBlAEQAYQB0AGEAXwBMAGkAdgBlAHMAdABvAGMAawBfAFAAcgBvAGQAdQBjAHQAXwBQAGkAZwBzAF8AVgBhAGkAcgBhAGIAbABlAFwAbgAgACAAPQBMAEEATQBCAEQAQQAoAFwAIgBcACIAKQA7AFwAbgBcAG4AUwBvAHUAcgBjAGUARABhAHQAYQBfAEwAaQB2AGUAcwB0AG8AYwBrAF8AUAByAG8AZAB1AGMAdABfAFAAaQBnAHMAXwBVAG4AaQB0AFwAbgAgACAAPQBMAEEATQBCAEQAQQAoAFwAIgBcACIAKQA7AFwAbgBcAG4AUwBvAHUAcgBjAGUARABhAHQAYQBfAEwAaQB2AGUAcwB0AG8AYwBrAF8AUAByAG8AZAB1AGMAdABfAFAAaQBnAHM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FAAaQBn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UABpAGcAcwBcACIALAAgAFwAIgBBAHUAcwB0AHIAYQBsAGkAY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TAGgAZQBlAHAAXABuAC0ALQAtAC0ALQAtAC0ALQAtAC0ALQAtAC0ALQAtAC0ALQAtAC0ALQAtAC0ALQAtAC0ALQAtAC0ALQAtAC0ALQAtAC0ALQAtAC0ALQBcAG4AKgAvAFwAbgBcAG4AUwBvAHUAcgBjAGUARABhAHQAYQBfAEwAaQB2AGUAcwB0AG8AYwBrAF8AUAByAG8AZAB1AGMAdABfAFMAaABlAGUAcABfAFQAaQB0AGwAZQBcAG4AIAAgAD0ATABBAE0AQgBEAEEAKABcACIAUwBoAGUAZQBwACAAcAByAG8AZAB1AGMAdABzACAAZgBvAHIAIABzAGMAbwBwAGUAIAAzAFwAIgApADsAXABuAFwAbgBTAG8AdQByAGMAZQBEAGEAdABhAF8ATABpAHYAZQBzAHQAbwBjAGsAXwBQAHIAbwBkAHUAYwB0AF8AUwBoAGUAZQBwAF8AVgBhAGkAcgBhAGIAbABlAFwAbgAgACAAPQBMAEEATQBCAEQAQQAoAFwAIgBcACIAKQA7AFwAbgBcAG4AUwBvAHUAcgBjAGUARABhAHQAYQBfAEwAaQB2AGUAcwB0AG8AYwBrAF8AUAByAG8AZAB1AGMAdABfAFMAaABlAGUAcABfAFUAbgBpAHQAXABuACAAIAA9AEwAQQBNAEIARABBACgAXAAiAFwAIgApADsAXABuAFwAbgBTAG8AdQByAGMAZQBEAGEAdABhAF8ATABpAHYAZQBzAHQAbwBjAGsAXwBQAHIAbwBkAHUAYwB0AF8AUwBoAGUAZQBw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TAGgAZQBlAHAAXwBEAGEAdABhAFwAbgAgACAAPQBMAEEATQBCAEQAQQAoAFwAbgAgACAAIAAgAE0AQQBLAEUAQQBSAFIAQQBZACgAOAAsACAAMgAsACAAXABuACAAIAAgACAAIAAgAEwAQQBNAEIARABBACgAcgAsAGMALAAgAFwAbgAgACAAIAAgACAAIAAgACAASQBOAEQARQBYACgAewBcAG4AIAAgACAAIAAgACAAIAAgACAAIABcACIAUAByAG8AZAB1AGMAdABcACIALAAgAFwAIgBTAG8AdQByAGMAZQAgAHIAZQBnAGkAbwBuAFwAIgA7AFwAbgAgACAAIAAgACAAIAAgACAAIAAgACAAIABcACIAUwBoAGUAZQBwACwAIABmAG8AcgAgAG0AdQB0AHQAbwBuAFwAIgAsACAAXAAiAEEAdQBzAHQAcgBhAGwAaQBhAFwAIgA7AFwAbgAgACAAIAAgACAAIAAgACAAIAAgACAAIABcACIAUwBoAGUAZQBwACwAIABmAG8AcgAgAHAAcgBpAG0AZQAgAGwAYQBtAGIAXAAiACwAIABcACIATgBTAFcAXAAiADsAXABuACAAIAAgACAAIAAgACAAIAAgACAAIAAgAFwAIgBcACIALAAgAFwAIgBRAEwARABcACIAOwBcAG4AIAAgACAAIAAgACAAIAAgACAAIAAgACAAXAAiAFwAIgAsACAAXAAiAFMAQQBcACIAOwBcAG4AIAAgACAAIAAgACAAIAAgACAAIAAgACAAXAAiAFwAIgAsACAAXAAiAFQAQQBTAFwAIgA7AFwAbgAgACAAIAAgACAAIAAgACAAIAAgACAAIABcACIAXAAiACwAIABcACIAVgBJAEMAXAAiADsAXABuACAAIAAgACAAIAAgACAAIAAgACAAIAAgAFwAIgBcACIALAAgAFwAIgBXAEEAXAAiAFwAbgAgACAAIAAgACAAIAAgACAAfQAsACAAcgAsACAAYwApAFwAbgAgACAAIAAgACAAIAApAFwAbgAgACAAIAAgACkAXABuACAAIAApADsAXABuAFwAbgAiAH0ALAB7ACIAcABhAHQAaAAiADoAIgAvAHAAcgBvAGoAZQBjAHQAcwAvAEMAbwBtAG0AbwBuAEMAcgBvAHAAcABpAG4AZwBfAEkAbgBwAHUAdABGAHUAbgBjAHQAaQBvAG4AcwAiACwAIgB0AGUAeAB0ACIAOgAi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BdAH0A</AFEJSONBlob>
</file>

<file path=customXml/item2.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2.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3.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9A9CF321-0D35-4044-BC72-33748FE2B86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35</vt:i4>
      </vt:variant>
      <vt:variant>
        <vt:lpstr>Named Ranges</vt:lpstr>
      </vt:variant>
      <vt:variant>
        <vt:i4>319</vt:i4>
      </vt:variant>
    </vt:vector>
  </HeadingPairs>
  <TitlesOfParts>
    <vt:vector size="354" baseType="lpstr">
      <vt:lpstr>Home</vt:lpstr>
      <vt:lpstr>Results</vt:lpstr>
      <vt:lpstr>Input - Enterprise</vt:lpstr>
      <vt:lpstr>Input - Site</vt:lpstr>
      <vt:lpstr>Input - Pasture Beef</vt:lpstr>
      <vt:lpstr>Input - Pasture Beef (Enteric)</vt:lpstr>
      <vt:lpstr>Input - Pasture</vt:lpstr>
      <vt:lpstr>Input - Fertiliser</vt:lpstr>
      <vt:lpstr>Input - Fuel</vt:lpstr>
      <vt:lpstr>Input - Electricity</vt:lpstr>
      <vt:lpstr>3.2.1.1-2 Enteric Methane</vt:lpstr>
      <vt:lpstr>4.2.1.1-2 Methane</vt:lpstr>
      <vt:lpstr>4.2.1.3-4 Soil direct N20</vt:lpstr>
      <vt:lpstr>4.2.1.5-6 Soil Atmos Dep</vt:lpstr>
      <vt:lpstr>4.2.1.7-8 Soil leach runoff</vt:lpstr>
      <vt:lpstr>5.1.1.1-2 Inorganic fert N2O</vt:lpstr>
      <vt:lpstr>5.1.1.3-4 Inorganic fert CO2</vt:lpstr>
      <vt:lpstr>5.2.1.1-2 Organic Fert N2O</vt:lpstr>
      <vt:lpstr>5.3.1.1-2 Lime CO2</vt:lpstr>
      <vt:lpstr>5.4.1.1-4 Atmos deposition</vt:lpstr>
      <vt:lpstr>5.5.1.1-2 Leaching and runoff</vt:lpstr>
      <vt:lpstr>6.2.1.1-2 Pasture residue N2O</vt:lpstr>
      <vt:lpstr>6.3.1.1-2 Leach runoff pasture</vt:lpstr>
      <vt:lpstr>8.1.1.1-2 Transport fuel</vt:lpstr>
      <vt:lpstr>8.2.1.1-2 Stationary fuel</vt:lpstr>
      <vt:lpstr>14.1.1-2 Purchased electricity</vt:lpstr>
      <vt:lpstr>Constants - Pasture Beef</vt:lpstr>
      <vt:lpstr>Constants - Ag Residue</vt:lpstr>
      <vt:lpstr>Constants - Common Livestock</vt:lpstr>
      <vt:lpstr>Constants - Electricity</vt:lpstr>
      <vt:lpstr>Constants - Fertiliser</vt:lpstr>
      <vt:lpstr>Constants - Fuel</vt:lpstr>
      <vt:lpstr>Constants - Common</vt:lpstr>
      <vt:lpstr>Acknowledgements</vt:lpstr>
      <vt:lpstr>Overview</vt:lpstr>
      <vt:lpstr>'5.4.1.1-4 Atmos deposition'!_Toc225350871</vt:lpstr>
      <vt:lpstr>'5.5.1.1-2 Leaching and runoff'!_Toc225350871</vt:lpstr>
      <vt:lpstr>M1_Table_AE</vt:lpstr>
      <vt:lpstr>M1_Table_CP_j</vt:lpstr>
      <vt:lpstr>'4.2.1.3-4 Soil direct N20'!M1_Table_D_j</vt:lpstr>
      <vt:lpstr>M1_Table_D_j</vt:lpstr>
      <vt:lpstr>M1_Table_D_j_Consumer_1</vt:lpstr>
      <vt:lpstr>M1_Table_DMD_j_k_l</vt:lpstr>
      <vt:lpstr>M1_Table_E_CH4</vt:lpstr>
      <vt:lpstr>M1_Table_E_CO2</vt:lpstr>
      <vt:lpstr>M1_Table_E_enteric</vt:lpstr>
      <vt:lpstr>'6.3.1.1-2 Leach runoff pasture'!M1_Table_E_N2O</vt:lpstr>
      <vt:lpstr>M1_Table_E_N2O</vt:lpstr>
      <vt:lpstr>'6.3.1.1-2 Leach runoff pasture'!M1_Table_E_N2O_Consumer_1</vt:lpstr>
      <vt:lpstr>'3.2.1.1-2 Enteric Methane'!M1_Table_I_j_k_l</vt:lpstr>
      <vt:lpstr>'4.2.1.1-2 Methane'!M1_Table_I_j_k_l</vt:lpstr>
      <vt:lpstr>'4.2.1.3-4 Soil direct N20'!M1_Table_I_j_k_l</vt:lpstr>
      <vt:lpstr>'4.2.1.5-6 Soil Atmos Dep'!M1_Table_I_j_k_l</vt:lpstr>
      <vt:lpstr>'4.2.1.7-8 Soil leach runoff'!M1_Table_I_j_k_l</vt:lpstr>
      <vt:lpstr>'Input - Pasture Beef'!M1_Table_I_j_k_l</vt:lpstr>
      <vt:lpstr>M1_Table_I_j_k_l_Consumer_1</vt:lpstr>
      <vt:lpstr>M1_Table_L_j_k_l</vt:lpstr>
      <vt:lpstr>'4.2.1.1-2 Methane'!M1_Table_LC_j_k45</vt:lpstr>
      <vt:lpstr>M1_Table_LC_j_k45</vt:lpstr>
      <vt:lpstr>M1_Table_LC_j_k45_Consumer_1</vt:lpstr>
      <vt:lpstr>'4.2.1.3-4 Soil direct N20'!M1_Table_LWG_j_k_l</vt:lpstr>
      <vt:lpstr>M1_Table_LWG_j_k_l</vt:lpstr>
      <vt:lpstr>M1_Table_LWG_j_k_l_Consumer_1</vt:lpstr>
      <vt:lpstr>M1_Table_M_j_k_l</vt:lpstr>
      <vt:lpstr>M1_Table_M_j_k_l_m</vt:lpstr>
      <vt:lpstr>'6.3.1.1-2 Leach runoff pasture'!M1_Table_M_leach_cp</vt:lpstr>
      <vt:lpstr>'3.2.1.1-2 Enteric Methane'!M1_Table_MA_j_k45</vt:lpstr>
      <vt:lpstr>'4.2.1.1-2 Methane'!M1_Table_MA_j_k45</vt:lpstr>
      <vt:lpstr>'4.2.1.3-4 Soil direct N20'!M1_Table_MA_j_k45</vt:lpstr>
      <vt:lpstr>'4.2.1.5-6 Soil Atmos Dep'!M1_Table_MA_j_k45</vt:lpstr>
      <vt:lpstr>'4.2.1.7-8 Soil leach runoff'!M1_Table_MA_j_k45</vt:lpstr>
      <vt:lpstr>'Input - Pasture Beef'!M1_Table_MA_j_k45</vt:lpstr>
      <vt:lpstr>M1_Table_MC_j_k_136</vt:lpstr>
      <vt:lpstr>M1_Table_MCF_i_m</vt:lpstr>
      <vt:lpstr>M1_Table_MP_j_k45</vt:lpstr>
      <vt:lpstr>'4.2.1.3-4 Soil direct N20'!M1_Table_N_j_k_l</vt:lpstr>
      <vt:lpstr>M1_Table_N_j_k_l</vt:lpstr>
      <vt:lpstr>M1_Table_N_j_k_l_Consumer_1</vt:lpstr>
      <vt:lpstr>M1_Table_NE_j_k_l</vt:lpstr>
      <vt:lpstr>M1_Table_NR_j_k_l</vt:lpstr>
      <vt:lpstr>'4.2.1.1-2 Methane'!M1_Table_VS_j_k_l</vt:lpstr>
      <vt:lpstr>'4.2.1.3-4 Soil direct N20'!M1_Table_W_j_k_l</vt:lpstr>
      <vt:lpstr>M1_Table_W_j_k_l</vt:lpstr>
      <vt:lpstr>M1_Table_W_j_k_l_Consumer_1</vt:lpstr>
      <vt:lpstr>M1_Table_Z_j_k_l</vt:lpstr>
      <vt:lpstr>M2_Table_AE</vt:lpstr>
      <vt:lpstr>M2_Table_CP_j</vt:lpstr>
      <vt:lpstr>'4.2.1.3-4 Soil direct N20'!M2_Table_D_j</vt:lpstr>
      <vt:lpstr>M2_Table_D_j</vt:lpstr>
      <vt:lpstr>M2_Table_D_j_Consumer_1</vt:lpstr>
      <vt:lpstr>M2_Table_DMD_j_k_l</vt:lpstr>
      <vt:lpstr>M2_Table_E_CH4</vt:lpstr>
      <vt:lpstr>M2_Table_E_enteric</vt:lpstr>
      <vt:lpstr>M2_Table_FertApplications</vt:lpstr>
      <vt:lpstr>'3.2.1.1-2 Enteric Methane'!M2_Table_I_j_k_l</vt:lpstr>
      <vt:lpstr>'4.2.1.1-2 Methane'!M2_Table_I_j_k_l</vt:lpstr>
      <vt:lpstr>'4.2.1.3-4 Soil direct N20'!M2_Table_I_j_k_l</vt:lpstr>
      <vt:lpstr>'4.2.1.5-6 Soil Atmos Dep'!M2_Table_I_j_k_l</vt:lpstr>
      <vt:lpstr>'4.2.1.7-8 Soil leach runoff'!M2_Table_I_j_k_l</vt:lpstr>
      <vt:lpstr>'Input - Pasture Beef'!M2_Table_I_j_k_l</vt:lpstr>
      <vt:lpstr>M2_Table_I_j_k_l_Consumer_1</vt:lpstr>
      <vt:lpstr>M2_Table_L_j_k_l</vt:lpstr>
      <vt:lpstr>'4.2.1.3-4 Soil direct N20'!M2_Table_LC_j_k45</vt:lpstr>
      <vt:lpstr>M2_Table_LC_j_k45</vt:lpstr>
      <vt:lpstr>M2_Table_LC_j_k45_Consumer_1</vt:lpstr>
      <vt:lpstr>M2_Table_LW_j_k_l</vt:lpstr>
      <vt:lpstr>'4.2.1.3-4 Soil direct N20'!M2_Table_LWG_j_k_l</vt:lpstr>
      <vt:lpstr>M2_Table_LWG_j_k_l</vt:lpstr>
      <vt:lpstr>M2_Table_LWG_j_k_l_Consumer_1</vt:lpstr>
      <vt:lpstr>M2_Table_M_j_k_l</vt:lpstr>
      <vt:lpstr>M2_Table_M_j_k_l_m</vt:lpstr>
      <vt:lpstr>'6.3.1.1-2 Leach runoff pasture'!M2_Table_M_leach_cp</vt:lpstr>
      <vt:lpstr>'4.2.1.1-2 Methane'!M2_Table_MA_j_k45</vt:lpstr>
      <vt:lpstr>M2_Table_MA_j_k45</vt:lpstr>
      <vt:lpstr>M2_Table_MC_j_k_136</vt:lpstr>
      <vt:lpstr>M2_Table_MCF_i_m</vt:lpstr>
      <vt:lpstr>M2_Table_MP_j_k45</vt:lpstr>
      <vt:lpstr>'4.2.1.3-4 Soil direct N20'!M2_Table_N_j_k_l</vt:lpstr>
      <vt:lpstr>M2_Table_N_j_k_l</vt:lpstr>
      <vt:lpstr>M2_Table_N_j_k_l_Consumer_1</vt:lpstr>
      <vt:lpstr>M2_Table_NE_j_k_l</vt:lpstr>
      <vt:lpstr>M2_Table_NR_j_k_l</vt:lpstr>
      <vt:lpstr>M2_Table_VS_j_k_l</vt:lpstr>
      <vt:lpstr>'4.2.1.1-2 Methane'!M2_Table_W_j_k_l</vt:lpstr>
      <vt:lpstr>M2_Table_W_j_k_l</vt:lpstr>
      <vt:lpstr>M2_Table_Z_j_k_l</vt:lpstr>
      <vt:lpstr>Result_CarbonRemovalsFromPlantings</vt:lpstr>
      <vt:lpstr>Result_EmissionsForWholeProductionCycle_Method1</vt:lpstr>
      <vt:lpstr>Result_EmissionsForWholeProductionCycle_Method2</vt:lpstr>
      <vt:lpstr>Result_Enterprise_Method1</vt:lpstr>
      <vt:lpstr>Result_Enterprise_Method2</vt:lpstr>
      <vt:lpstr>Result_NetEmissions_Method1</vt:lpstr>
      <vt:lpstr>Result_NetEmissions_Method2</vt:lpstr>
      <vt:lpstr>Table_E_ad_inorganic</vt:lpstr>
      <vt:lpstr>Table_E_ad_organic</vt:lpstr>
      <vt:lpstr>Table_E_g</vt:lpstr>
      <vt:lpstr>Table_E_g_Consumer_1</vt:lpstr>
      <vt:lpstr>Table_E_lime</vt:lpstr>
      <vt:lpstr>Table_M_leach_inorganic_j</vt:lpstr>
      <vt:lpstr>Table_M_leach_organic_j</vt:lpstr>
      <vt:lpstr>Table_M_vol_inorganic_j_f</vt:lpstr>
      <vt:lpstr>Table_M_vol_organic_j_f</vt:lpstr>
      <vt:lpstr>Table_MMS_m</vt:lpstr>
      <vt:lpstr>Table_MN_j_f</vt:lpstr>
      <vt:lpstr>Table_MNSoil_j_f</vt:lpstr>
      <vt:lpstr>Table_MU_j_f</vt:lpstr>
      <vt:lpstr>Table_SRW_k</vt:lpstr>
      <vt:lpstr>VEERG_14_1_1__1_LocationBasedScopeElectricityEmissions_Result_Method1</vt:lpstr>
      <vt:lpstr>VEERG_14_1_2__1_MarketBasedScopeElectricityEmissionsVariation_Result_Method1</vt:lpstr>
      <vt:lpstr>VEERG_3_2_1_1__1_TotalAnnualMethaneFromEntericFermentation_Result_Method1</vt:lpstr>
      <vt:lpstr>VEERG_3_2_1_1__1_TotalAnnualMethaneFromEntericFermentation_Result_Method2</vt:lpstr>
      <vt:lpstr>VEERG_4_2_1_1__1_TotalAnnualMethaneProductionFromManureManagement_Result_Method1</vt:lpstr>
      <vt:lpstr>VEERG_4_2_1_1__1_TotalAnnualMethaneProductionFromManureManagement_Result_Method2</vt:lpstr>
      <vt:lpstr>VEERG_4_2_1_3__1_DirectNitrousOxideEmissionsOnPasture_Result_Method1</vt:lpstr>
      <vt:lpstr>VEERG_4_2_1_3__1_DirectNitrousOxideEmissionsOnPasture_Result_Method2</vt:lpstr>
      <vt:lpstr>VEERG_4_2_1_5__1_AtmosphericDepositionEmissionsFromUrineAndDungOnPasture_Result_Method1</vt:lpstr>
      <vt:lpstr>VEERG_4_2_1_5__1_AtmosphericDepositionEmissionsFromUrineAndDungOnPasture_Result_Method2</vt:lpstr>
      <vt:lpstr>VEERG_4_2_1_7__1_LeachingAndRunoffEmissionsFromUrineAndDungOnPasture_Result_Method1</vt:lpstr>
      <vt:lpstr>VEERG_4_2_1_7__1_LeachingAndRunoffEmissionsFromUrineAndDungOnPasture_Result_Method2</vt:lpstr>
      <vt:lpstr>VEERG_5_1_1_1__1_InorganicFertiliserApplicationN2OEmissions_Result_Method1</vt:lpstr>
      <vt:lpstr>VEERG_5_1_1_1__1_InorganicFertiliserApplicationN2OEmissions_Result_Method2</vt:lpstr>
      <vt:lpstr>VEERG_5_1_1_3__1_InorganicFertiliserApplicationCO2Emissions_Result_Method1</vt:lpstr>
      <vt:lpstr>VEERG_5_2_1_1__2_MassOfNitrogenInOrganicFertiliser_Result_Method1</vt:lpstr>
      <vt:lpstr>VEERG_5_3_1_1__1_LimeApplicationCO2Emissions_Result_Method1</vt:lpstr>
      <vt:lpstr>VEERG_5_4_1_1__1_InorganicFertiliserAtmosphericDepositionN2OEmissions_Result_Method1</vt:lpstr>
      <vt:lpstr>VEERG_5_4_1_3__1_OrganicFertiliserAtmosphericDepositionN2OEmissions_Result_Method1</vt:lpstr>
      <vt:lpstr>VEERG_5_5_1_1__1_FertiliserLeachingAndRunoffN2OEmissions_result_Method1</vt:lpstr>
      <vt:lpstr>VEERG_6_2_1_1__1__NitrousOxideEmissionsFromPastureResidues_Result_Method1</vt:lpstr>
      <vt:lpstr>VEERG_6_2_1_1__1__NitrousOxideEmissionsFromPastureResidues_Result_Method2</vt:lpstr>
      <vt:lpstr>VEERG_6_3_1_1__1__LeachingAndRunoffEmissionsCropAndPastureResidue_PastureOnly_Result_Method1</vt:lpstr>
      <vt:lpstr>VEERG_6_3_1_1__1__LeachingAndRunoffEmissionsCropAndPastureResidue_PastureOnly_Result_Method2</vt:lpstr>
      <vt:lpstr>'6.3.1.1-2 Leach runoff pasture'!VEERG_6_3_1_1__1__LeachingAndRunoffEmissionsCropAndPastureResidue_Result_Method1</vt:lpstr>
      <vt:lpstr>'6.3.1.1-2 Leach runoff pasture'!VEERG_6_3_1_1__1__LeachingAndRunoffEmissionsCropAndPastureResidue_Result_Method2</vt:lpstr>
      <vt:lpstr>VEERG_8_1_1_1__1_FuelCombustionTransport_Result_CH4</vt:lpstr>
      <vt:lpstr>VEERG_8_1_1_1__1_FuelCombustionTransport_Result_CO2</vt:lpstr>
      <vt:lpstr>VEERG_8_1_1_1__1_FuelCombustionTransport_Result_N2O</vt:lpstr>
      <vt:lpstr>VEERG_8_1_1_1__1_FuelCombustionTransport_Result_Scope3</vt:lpstr>
      <vt:lpstr>VEERG_8_2_1_1__1_FuelCombustionStationary_Result_CH4</vt:lpstr>
      <vt:lpstr>VEERG_8_2_1_1__1_FuelCombustionStationary_Result_CO2</vt:lpstr>
      <vt:lpstr>VEERG_8_2_1_1__1_FuelCombustionStationary_Result_N2O</vt:lpstr>
      <vt:lpstr>VEERG_8_2_1_1__1_FuelCombustionStationary_Result_Scope3</vt:lpstr>
      <vt:lpstr>X_Cell_Electricity_CalculationMethod</vt:lpstr>
      <vt:lpstr>X_Cell_Electricity_Location_AmountPurchasedInkWh</vt:lpstr>
      <vt:lpstr>X_Cell_Electricity_Location_GridElectricityPurchasedFrom</vt:lpstr>
      <vt:lpstr>X_Cell_Electricity_Market_AmountPurchasedExcludingGreenPower</vt:lpstr>
      <vt:lpstr>X_Cell_Electricity_Market_AmountPurchasedGreenPower</vt:lpstr>
      <vt:lpstr>X_Cell_Electricity_Market_JurisdictionalRenewablePowerPercentage</vt:lpstr>
      <vt:lpstr>X_Cell_Electricity_Market_RenewablePowerPercentage</vt:lpstr>
      <vt:lpstr>X_Cell_Enterprise_ProductionTimeframeEnd</vt:lpstr>
      <vt:lpstr>X_Cell_Enterprise_ProductionTimeframeStart</vt:lpstr>
      <vt:lpstr>X_Cell_Fertiliser_AreaUnderCropping</vt:lpstr>
      <vt:lpstr>X_Cell_Fertiliser_CropType</vt:lpstr>
      <vt:lpstr>X_Cell_Fertiliser_IrrigationMethod</vt:lpstr>
      <vt:lpstr>X_Cell_Fertiliser_ProductionSystem</vt:lpstr>
      <vt:lpstr>X_Cell_Fuel_IsMetroLocation</vt:lpstr>
      <vt:lpstr>X_Cell_Pasture_AreaRemovedOrRenewed</vt:lpstr>
      <vt:lpstr>X_Cell_Pasture_AreaUnderPasture</vt:lpstr>
      <vt:lpstr>X_Cell_Pasture_IrrigationMethod</vt:lpstr>
      <vt:lpstr>X_Cell_Pasture_PastureType</vt:lpstr>
      <vt:lpstr>X_Cell_Pasture_YieldPerHectare</vt:lpstr>
      <vt:lpstr>'3.2.1.1-2 Enteric Methane'!X_Cell_PastureBeef_Breed</vt:lpstr>
      <vt:lpstr>'4.2.1.1-2 Methane'!X_Cell_PastureBeef_Breed</vt:lpstr>
      <vt:lpstr>'4.2.1.3-4 Soil direct N20'!X_Cell_PastureBeef_Breed</vt:lpstr>
      <vt:lpstr>'4.2.1.5-6 Soil Atmos Dep'!X_Cell_PastureBeef_Breed</vt:lpstr>
      <vt:lpstr>'4.2.1.7-8 Soil leach runoff'!X_Cell_PastureBeef_Breed</vt:lpstr>
      <vt:lpstr>Acknowledgements!X_Cell_PastureBeef_Breed</vt:lpstr>
      <vt:lpstr>'Constants - Common Livestock'!X_Cell_PastureBeef_Breed</vt:lpstr>
      <vt:lpstr>'Constants - Pasture Beef'!X_Cell_PastureBeef_Breed</vt:lpstr>
      <vt:lpstr>'Input - Pasture Beef'!X_Cell_PastureBeef_Breed</vt:lpstr>
      <vt:lpstr>X_Cell_PastureBeef_Breed</vt:lpstr>
      <vt:lpstr>'Input - Pasture Beef'!X_Cell_PastureBeef_FencedWater</vt:lpstr>
      <vt:lpstr>X_Cell_PastureBeef_FencedWater</vt:lpstr>
      <vt:lpstr>'4.2.1.1-2 Methane'!X_Cell_PastureBeef_GrazingIrrigationMethod</vt:lpstr>
      <vt:lpstr>'4.2.1.3-4 Soil direct N20'!X_Cell_PastureBeef_GrazingIrrigationMethod</vt:lpstr>
      <vt:lpstr>'4.2.1.5-6 Soil Atmos Dep'!X_Cell_PastureBeef_GrazingIrrigationMethod</vt:lpstr>
      <vt:lpstr>'4.2.1.7-8 Soil leach runoff'!X_Cell_PastureBeef_GrazingIrrigationMethod</vt:lpstr>
      <vt:lpstr>'Input - Pasture Beef'!X_Cell_PastureBeef_GrazingIrrigationMethod</vt:lpstr>
      <vt:lpstr>X_Cell_PastureBeef_GrazingIrrigationMethod</vt:lpstr>
      <vt:lpstr>'4.2.1.1-2 Methane'!X_Cell_PastureBeef_GrazingProductionSystem</vt:lpstr>
      <vt:lpstr>'4.2.1.3-4 Soil direct N20'!X_Cell_PastureBeef_GrazingProductionSystem</vt:lpstr>
      <vt:lpstr>'4.2.1.5-6 Soil Atmos Dep'!X_Cell_PastureBeef_GrazingProductionSystem</vt:lpstr>
      <vt:lpstr>'4.2.1.7-8 Soil leach runoff'!X_Cell_PastureBeef_GrazingProductionSystem</vt:lpstr>
      <vt:lpstr>'Input - Pasture Beef'!X_Cell_PastureBeef_GrazingProductionSystem</vt:lpstr>
      <vt:lpstr>X_Cell_PastureBeef_GrazingProductionSystem</vt:lpstr>
      <vt:lpstr>'4.2.1.1-2 Methane'!X_Cell_PastureBeef_ProductionRegion</vt:lpstr>
      <vt:lpstr>'4.2.1.3-4 Soil direct N20'!X_Cell_PastureBeef_ProductionRegion</vt:lpstr>
      <vt:lpstr>'4.2.1.5-6 Soil Atmos Dep'!X_Cell_PastureBeef_ProductionRegion</vt:lpstr>
      <vt:lpstr>'4.2.1.7-8 Soil leach runoff'!X_Cell_PastureBeef_ProductionRegion</vt:lpstr>
      <vt:lpstr>'Input - Pasture Beef'!X_Cell_PastureBeef_ProductionRegion</vt:lpstr>
      <vt:lpstr>X_Cell_PastureBeef_ProductionRegion</vt:lpstr>
      <vt:lpstr>X_Cell_Site_AverageTemperature</vt:lpstr>
      <vt:lpstr>X_Cell_Site_ClimateZone</vt:lpstr>
      <vt:lpstr>X_Cell_Site_Elevation</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lpstr>X_Cell_TotalElegibleRECsForElectricityProducedOnSite</vt:lpstr>
      <vt:lpstr>X_Cell_TotalElegibleVoluntarilySurrenderedRECs</vt:lpstr>
      <vt:lpstr>'4.2.1.1-2 Methane'!X_Table_PastureBeef_CrudeProtein_Method1</vt:lpstr>
      <vt:lpstr>'4.2.1.3-4 Soil direct N20'!X_Table_PastureBeef_CrudeProtein_Method1</vt:lpstr>
      <vt:lpstr>'4.2.1.5-6 Soil Atmos Dep'!X_Table_PastureBeef_CrudeProtein_Method1</vt:lpstr>
      <vt:lpstr>'4.2.1.7-8 Soil leach runoff'!X_Table_PastureBeef_CrudeProtein_Method1</vt:lpstr>
      <vt:lpstr>'Input - Pasture Beef'!X_Table_PastureBeef_CrudeProtein_Method1</vt:lpstr>
      <vt:lpstr>X_Table_PastureBeef_CrudeProtein_Method1</vt:lpstr>
      <vt:lpstr>'4.2.1.1-2 Methane'!X_Table_PastureBeef_CrudeProtein_Method2</vt:lpstr>
      <vt:lpstr>'4.2.1.3-4 Soil direct N20'!X_Table_PastureBeef_CrudeProtein_Method2</vt:lpstr>
      <vt:lpstr>'4.2.1.5-6 Soil Atmos Dep'!X_Table_PastureBeef_CrudeProtein_Method2</vt:lpstr>
      <vt:lpstr>'4.2.1.7-8 Soil leach runoff'!X_Table_PastureBeef_CrudeProtein_Method2</vt:lpstr>
      <vt:lpstr>'Input - Pasture Beef'!X_Table_PastureBeef_CrudeProtein_Method2</vt:lpstr>
      <vt:lpstr>X_Table_PastureBeef_CrudeProtein_Method2</vt:lpstr>
      <vt:lpstr>'4.2.1.1-2 Methane'!X_Table_PastureBeef_DryMatterDigestibility_Method1</vt:lpstr>
      <vt:lpstr>'4.2.1.3-4 Soil direct N20'!X_Table_PastureBeef_DryMatterDigestibility_Method1</vt:lpstr>
      <vt:lpstr>'4.2.1.5-6 Soil Atmos Dep'!X_Table_PastureBeef_DryMatterDigestibility_Method1</vt:lpstr>
      <vt:lpstr>'4.2.1.7-8 Soil leach runoff'!X_Table_PastureBeef_DryMatterDigestibility_Method1</vt:lpstr>
      <vt:lpstr>'Input - Pasture Beef'!X_Table_PastureBeef_DryMatterDigestibility_Method1</vt:lpstr>
      <vt:lpstr>X_Table_PastureBeef_DryMatterDigestibility_Method1</vt:lpstr>
      <vt:lpstr>'4.2.1.1-2 Methane'!X_Table_PastureBeef_DryMatterDigestibility_Method2</vt:lpstr>
      <vt:lpstr>'4.2.1.3-4 Soil direct N20'!X_Table_PastureBeef_DryMatterDigestibility_Method2</vt:lpstr>
      <vt:lpstr>'4.2.1.5-6 Soil Atmos Dep'!X_Table_PastureBeef_DryMatterDigestibility_Method2</vt:lpstr>
      <vt:lpstr>'4.2.1.7-8 Soil leach runoff'!X_Table_PastureBeef_DryMatterDigestibility_Method2</vt:lpstr>
      <vt:lpstr>'Input - Pasture Beef'!X_Table_PastureBeef_DryMatterDigestibility_Method2</vt:lpstr>
      <vt:lpstr>X_Table_PastureBeef_DryMatterDigestibility_Method2</vt:lpstr>
      <vt:lpstr>'3.2.1.1-2 Enteric Methane'!X_Table_PastureBeef_Duration_Method1</vt:lpstr>
      <vt:lpstr>'4.2.1.1-2 Methane'!X_Table_PastureBeef_Duration_Method1</vt:lpstr>
      <vt:lpstr>'4.2.1.3-4 Soil direct N20'!X_Table_PastureBeef_Duration_Method1</vt:lpstr>
      <vt:lpstr>'4.2.1.5-6 Soil Atmos Dep'!X_Table_PastureBeef_Duration_Method1</vt:lpstr>
      <vt:lpstr>'4.2.1.7-8 Soil leach runoff'!X_Table_PastureBeef_Duration_Method1</vt:lpstr>
      <vt:lpstr>Acknowledgements!X_Table_PastureBeef_Duration_Method1</vt:lpstr>
      <vt:lpstr>'Constants - Common Livestock'!X_Table_PastureBeef_Duration_Method1</vt:lpstr>
      <vt:lpstr>'Constants - Pasture Beef'!X_Table_PastureBeef_Duration_Method1</vt:lpstr>
      <vt:lpstr>'Input - Pasture Beef'!X_Table_PastureBeef_Duration_Method1</vt:lpstr>
      <vt:lpstr>X_Table_PastureBeef_Duration_Method1</vt:lpstr>
      <vt:lpstr>'3.2.1.1-2 Enteric Methane'!X_Table_PastureBeef_Duration_Method2</vt:lpstr>
      <vt:lpstr>'4.2.1.1-2 Methane'!X_Table_PastureBeef_Duration_Method2</vt:lpstr>
      <vt:lpstr>'4.2.1.3-4 Soil direct N20'!X_Table_PastureBeef_Duration_Method2</vt:lpstr>
      <vt:lpstr>'4.2.1.5-6 Soil Atmos Dep'!X_Table_PastureBeef_Duration_Method2</vt:lpstr>
      <vt:lpstr>'4.2.1.7-8 Soil leach runoff'!X_Table_PastureBeef_Duration_Method2</vt:lpstr>
      <vt:lpstr>Acknowledgements!X_Table_PastureBeef_Duration_Method2</vt:lpstr>
      <vt:lpstr>'Constants - Common Livestock'!X_Table_PastureBeef_Duration_Method2</vt:lpstr>
      <vt:lpstr>'Constants - Pasture Beef'!X_Table_PastureBeef_Duration_Method2</vt:lpstr>
      <vt:lpstr>'Input - Pasture Beef'!X_Table_PastureBeef_Duration_Method2</vt:lpstr>
      <vt:lpstr>X_Table_PastureBeef_Duration_Method2</vt:lpstr>
      <vt:lpstr>'3.2.1.1-2 Enteric Methane'!X_Table_PastureBeef_Head_Method1</vt:lpstr>
      <vt:lpstr>'4.2.1.1-2 Methane'!X_Table_PastureBeef_Head_Method1</vt:lpstr>
      <vt:lpstr>'4.2.1.3-4 Soil direct N20'!X_Table_PastureBeef_Head_Method1</vt:lpstr>
      <vt:lpstr>'4.2.1.5-6 Soil Atmos Dep'!X_Table_PastureBeef_Head_Method1</vt:lpstr>
      <vt:lpstr>'4.2.1.7-8 Soil leach runoff'!X_Table_PastureBeef_Head_Method1</vt:lpstr>
      <vt:lpstr>Acknowledgements!X_Table_PastureBeef_Head_Method1</vt:lpstr>
      <vt:lpstr>'Constants - Common Livestock'!X_Table_PastureBeef_Head_Method1</vt:lpstr>
      <vt:lpstr>'Constants - Pasture Beef'!X_Table_PastureBeef_Head_Method1</vt:lpstr>
      <vt:lpstr>'Input - Pasture Beef'!X_Table_PastureBeef_Head_Method1</vt:lpstr>
      <vt:lpstr>X_Table_PastureBeef_Head_Method1</vt:lpstr>
      <vt:lpstr>'3.2.1.1-2 Enteric Methane'!X_Table_PastureBeef_Head_Method2</vt:lpstr>
      <vt:lpstr>'4.2.1.1-2 Methane'!X_Table_PastureBeef_Head_Method2</vt:lpstr>
      <vt:lpstr>'4.2.1.3-4 Soil direct N20'!X_Table_PastureBeef_Head_Method2</vt:lpstr>
      <vt:lpstr>'4.2.1.5-6 Soil Atmos Dep'!X_Table_PastureBeef_Head_Method2</vt:lpstr>
      <vt:lpstr>'4.2.1.7-8 Soil leach runoff'!X_Table_PastureBeef_Head_Method2</vt:lpstr>
      <vt:lpstr>Acknowledgements!X_Table_PastureBeef_Head_Method2</vt:lpstr>
      <vt:lpstr>'Constants - Common Livestock'!X_Table_PastureBeef_Head_Method2</vt:lpstr>
      <vt:lpstr>'Constants - Pasture Beef'!X_Table_PastureBeef_Head_Method2</vt:lpstr>
      <vt:lpstr>'Input - Pasture Beef'!X_Table_PastureBeef_Head_Method2</vt:lpstr>
      <vt:lpstr>X_Table_PastureBeef_Head_Method2</vt:lpstr>
      <vt:lpstr>'3.2.1.1-2 Enteric Methane'!X_Table_PastureBeef_Liveweight_Method1</vt:lpstr>
      <vt:lpstr>'4.2.1.1-2 Methane'!X_Table_PastureBeef_Liveweight_Method1</vt:lpstr>
      <vt:lpstr>'4.2.1.3-4 Soil direct N20'!X_Table_PastureBeef_Liveweight_Method1</vt:lpstr>
      <vt:lpstr>'4.2.1.5-6 Soil Atmos Dep'!X_Table_PastureBeef_Liveweight_Method1</vt:lpstr>
      <vt:lpstr>'4.2.1.7-8 Soil leach runoff'!X_Table_PastureBeef_Liveweight_Method1</vt:lpstr>
      <vt:lpstr>Acknowledgements!X_Table_PastureBeef_Liveweight_Method1</vt:lpstr>
      <vt:lpstr>'Constants - Common Livestock'!X_Table_PastureBeef_Liveweight_Method1</vt:lpstr>
      <vt:lpstr>'Constants - Pasture Beef'!X_Table_PastureBeef_Liveweight_Method1</vt:lpstr>
      <vt:lpstr>'Input - Pasture Beef'!X_Table_PastureBeef_Liveweight_Method1</vt:lpstr>
      <vt:lpstr>X_Table_PastureBeef_Liveweight_Method1</vt:lpstr>
      <vt:lpstr>'3.2.1.1-2 Enteric Methane'!X_Table_PastureBeef_Liveweight_Method2</vt:lpstr>
      <vt:lpstr>'4.2.1.1-2 Methane'!X_Table_PastureBeef_Liveweight_Method2</vt:lpstr>
      <vt:lpstr>'4.2.1.3-4 Soil direct N20'!X_Table_PastureBeef_Liveweight_Method2</vt:lpstr>
      <vt:lpstr>'4.2.1.5-6 Soil Atmos Dep'!X_Table_PastureBeef_Liveweight_Method2</vt:lpstr>
      <vt:lpstr>'4.2.1.7-8 Soil leach runoff'!X_Table_PastureBeef_Liveweight_Method2</vt:lpstr>
      <vt:lpstr>Acknowledgements!X_Table_PastureBeef_Liveweight_Method2</vt:lpstr>
      <vt:lpstr>'Constants - Common Livestock'!X_Table_PastureBeef_Liveweight_Method2</vt:lpstr>
      <vt:lpstr>'Constants - Pasture Beef'!X_Table_PastureBeef_Liveweight_Method2</vt:lpstr>
      <vt:lpstr>'Input - Pasture Beef'!X_Table_PastureBeef_Liveweight_Method2</vt:lpstr>
      <vt:lpstr>X_Table_PastureBeef_Liveweight_Method2</vt:lpstr>
      <vt:lpstr>'3.2.1.1-2 Enteric Methane'!X_Table_PastureBeef_LiveweightGain_Method1</vt:lpstr>
      <vt:lpstr>'4.2.1.1-2 Methane'!X_Table_PastureBeef_LiveweightGain_Method1</vt:lpstr>
      <vt:lpstr>'4.2.1.3-4 Soil direct N20'!X_Table_PastureBeef_LiveweightGain_Method1</vt:lpstr>
      <vt:lpstr>'4.2.1.5-6 Soil Atmos Dep'!X_Table_PastureBeef_LiveweightGain_Method1</vt:lpstr>
      <vt:lpstr>'4.2.1.7-8 Soil leach runoff'!X_Table_PastureBeef_LiveweightGain_Method1</vt:lpstr>
      <vt:lpstr>Acknowledgements!X_Table_PastureBeef_LiveweightGain_Method1</vt:lpstr>
      <vt:lpstr>'Constants - Common Livestock'!X_Table_PastureBeef_LiveweightGain_Method1</vt:lpstr>
      <vt:lpstr>'Constants - Pasture Beef'!X_Table_PastureBeef_LiveweightGain_Method1</vt:lpstr>
      <vt:lpstr>'Input - Pasture Beef'!X_Table_PastureBeef_LiveweightGain_Method1</vt:lpstr>
      <vt:lpstr>X_Table_PastureBeef_LiveweightGain_Method1</vt:lpstr>
      <vt:lpstr>'3.2.1.1-2 Enteric Methane'!X_Table_PastureBeef_LiveweightGain_Method2</vt:lpstr>
      <vt:lpstr>'4.2.1.1-2 Methane'!X_Table_PastureBeef_LiveweightGain_Method2</vt:lpstr>
      <vt:lpstr>'4.2.1.3-4 Soil direct N20'!X_Table_PastureBeef_LiveweightGain_Method2</vt:lpstr>
      <vt:lpstr>'4.2.1.5-6 Soil Atmos Dep'!X_Table_PastureBeef_LiveweightGain_Method2</vt:lpstr>
      <vt:lpstr>'4.2.1.7-8 Soil leach runoff'!X_Table_PastureBeef_LiveweightGain_Method2</vt:lpstr>
      <vt:lpstr>Acknowledgements!X_Table_PastureBeef_LiveweightGain_Method2</vt:lpstr>
      <vt:lpstr>'Constants - Common Livestock'!X_Table_PastureBeef_LiveweightGain_Method2</vt:lpstr>
      <vt:lpstr>'Constants - Pasture Beef'!X_Table_PastureBeef_LiveweightGain_Method2</vt:lpstr>
      <vt:lpstr>'Input - Pasture Beef'!X_Table_PastureBeef_LiveweightGain_Method2</vt:lpstr>
      <vt:lpstr>X_Table_PastureBeef_LiveweightGain_Method2</vt:lpstr>
      <vt:lpstr>X_Table_Result_ActivityPeriodEmissions_RowsToCols</vt:lpstr>
      <vt:lpstr>X_Table_Result_CarbonRemovalsFromPlantings_RowsToCols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2026-07-16T01:46:08Z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