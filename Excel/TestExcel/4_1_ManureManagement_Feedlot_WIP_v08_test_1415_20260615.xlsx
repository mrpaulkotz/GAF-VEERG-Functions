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CF84F46C-BCB8-4385-A249-A1B68B7F658F}" xr6:coauthVersionLast="47" xr6:coauthVersionMax="47" xr10:uidLastSave="{00000000-0000-0000-0000-000000000000}"/>
  <bookViews>
    <workbookView xWindow="1020" yWindow="0" windowWidth="37140" windowHeight="20475" firstSheet="1" activeTab="5"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4_1_1_1__1_TotalAnnualMethaneEmissions_Result_Method1">'4.1.1.1-2 Methane'!$E$171</definedName>
    <definedName name="VEERG_4_1_1_1__1_TotalAnnualMethaneEmissions_Result_Method2">'4.1.1.1-2 Methane'!$N$171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E30" i="15"/>
  <c r="E33"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R113" i="69" s="1"/>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O87" i="69" l="1"/>
  <c r="O88" i="69"/>
  <c r="O89" i="69"/>
  <c r="R150" i="69"/>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N108" i="81"/>
  <c r="D108" i="81"/>
  <c r="D100" i="81"/>
  <c r="N84" i="81"/>
  <c r="D84" i="81"/>
  <c r="E101" i="81"/>
  <c r="E99" i="81"/>
  <c r="E98" i="81"/>
  <c r="D42" i="81"/>
  <c r="E51" i="81"/>
  <c r="E49" i="81"/>
  <c r="E48" i="81"/>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169" i="76" l="1"/>
  <c r="H82" i="69"/>
  <c r="F169" i="76"/>
  <c r="G82" i="69"/>
  <c r="E169" i="76"/>
  <c r="F82" i="69"/>
  <c r="G14" i="82"/>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67" i="81" a="1"/>
  <c r="E7" i="81" a="1"/>
  <c r="E7" i="82" a="1"/>
  <c r="E181" i="76" a="1"/>
  <c r="R84" i="81" l="1"/>
  <c r="H84" i="81"/>
  <c r="R108" i="81"/>
  <c r="H108" i="81"/>
  <c r="F46" i="82"/>
  <c r="F87" i="81"/>
  <c r="G18" i="13" s="1"/>
  <c r="H58" i="81"/>
  <c r="R58" i="81"/>
  <c r="I63" i="82"/>
  <c r="I59" i="82" s="1"/>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36" i="76" a="1"/>
  <c r="E60" i="76" a="1"/>
  <c r="E112" i="76" a="1"/>
  <c r="E7" i="76" a="1"/>
  <c r="E155" i="76" a="1"/>
  <c r="E135" i="76" a="1"/>
  <c r="F89" i="69" l="1" a="1"/>
  <c r="F89" i="69" s="1"/>
  <c r="E33" i="81"/>
  <c r="E42" i="81"/>
  <c r="H129" i="76"/>
  <c r="E32" i="82"/>
  <c r="E195" i="76"/>
  <c r="E30" i="81"/>
  <c r="F49" i="76"/>
  <c r="E39" i="81"/>
  <c r="O49" i="76"/>
  <c r="P49" i="76"/>
  <c r="Q49" i="76"/>
  <c r="D49" i="76"/>
  <c r="E49" i="76"/>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F20" i="76"/>
  <c r="E20" i="76"/>
  <c r="D20" i="76"/>
  <c r="Q25" i="76"/>
  <c r="D25" i="76"/>
  <c r="E25" i="76"/>
  <c r="F25" i="76"/>
  <c r="M25" i="69"/>
  <c r="O25" i="76"/>
  <c r="P25" i="76"/>
  <c r="N25" i="69"/>
  <c r="O25" i="69"/>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E31" i="15" s="1"/>
  <c r="E32" i="15" s="1"/>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<sst xmlns="http://schemas.openxmlformats.org/spreadsheetml/2006/main" count="839" uniqueCount="364">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</sst>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6.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349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347</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348</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74</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255</v>
      </c>
      <c r="E6" s="126" t="s">
        <v>308</v>
      </c>
      <c r="F6" s="126" t="s">
        <v>309</v>
      </c>
      <c r="G6" s="126" t="s">
        <v>281</v>
      </c>
      <c r="H6" s="126" t="s">
        <v>310</v>
      </c>
      <c r="I6" s="126" t="s">
        <v>312</v>
      </c>
      <c r="J6" s="126" t="s">
        <v>282</v>
      </c>
      <c r="K6" s="24"/>
      <c r="L6" s="24"/>
    </row>
    <row r="7" spans="1:12" ht="20.100000000000001" customHeight="1" x14ac:dyDescent="0.25">
      <c r="A7" s="20" t="s">
        <v>3</v>
      </c>
      <c r="C7" s="24"/>
      <c r="D7" s="1" t="s">
        <v>305</v>
      </c>
      <c r="E7" s="119">
        <f>'4.1.1.1-2 Methane'!E171</f>
        <v>2.6279077661491193</v>
      </c>
      <c r="F7" s="119">
        <f>'4.1.1.1-2 Methane'!N171</f>
        <v>2.6279077661491193</v>
      </c>
      <c r="G7" s="57" t="str">
        <f>'4.1.1.1-2 Methane'!F171</f>
        <v>t CH4</v>
      </c>
      <c r="H7" s="119">
        <f>'4.1.1.1-2 Methane'!E176</f>
        <v>73.581417452175344</v>
      </c>
      <c r="I7" s="119">
        <f>'4.1.1.1-2 Methane'!N176</f>
        <v>73.581417452175344</v>
      </c>
      <c r="J7" s="57" t="s">
        <v>311</v>
      </c>
      <c r="K7" s="24"/>
      <c r="L7" s="24"/>
    </row>
    <row r="8" spans="1:12" ht="20.100000000000001" customHeight="1" x14ac:dyDescent="0.25">
      <c r="A8" s="17" t="str">
        <f>HYPERLINK("#'Input - Site'!A1", "Site")</f>
        <v>Site</v>
      </c>
      <c r="C8" s="24"/>
      <c r="D8" s="1" t="s">
        <v>306</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311</v>
      </c>
      <c r="K8" s="24"/>
      <c r="L8" s="24"/>
    </row>
    <row r="9" spans="1:12" ht="20.100000000000001" customHeight="1" x14ac:dyDescent="0.25">
      <c r="A9" s="17" t="str">
        <f>HYPERLINK("#'Input - Feedlot'!A1", "Feedlot")</f>
        <v>Feedlot</v>
      </c>
      <c r="C9" s="24"/>
      <c r="D9" s="1" t="s">
        <v>307</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311</v>
      </c>
      <c r="K9" s="24"/>
      <c r="L9" s="24"/>
    </row>
    <row r="10" spans="1:12" ht="20.100000000000001" customHeight="1" x14ac:dyDescent="0.3">
      <c r="A10" s="17"/>
      <c r="C10" s="24"/>
      <c r="D10" s="31" t="s">
        <v>279</v>
      </c>
      <c r="E10" s="25"/>
      <c r="F10" s="31"/>
      <c r="G10" s="31"/>
      <c r="H10" s="123">
        <f>SUM(H7:H9)</f>
        <v>325.86569602108807</v>
      </c>
      <c r="I10" s="123">
        <f>SUM(I7:I9)</f>
        <v>325.86569602108807</v>
      </c>
      <c r="J10" s="112" t="s">
        <v>311</v>
      </c>
      <c r="K10" s="24"/>
      <c r="L10" s="24"/>
    </row>
    <row r="11" spans="1:12" ht="20.100000000000001" customHeight="1" x14ac:dyDescent="0.25">
      <c r="A11" s="19" t="s">
        <v>74</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224</v>
      </c>
      <c r="E12" s="1"/>
      <c r="F12" s="1"/>
      <c r="G12" s="1"/>
      <c r="H12" s="26"/>
      <c r="I12" s="24"/>
      <c r="J12" s="24"/>
      <c r="K12" s="24"/>
      <c r="L12" s="24"/>
    </row>
    <row r="13" spans="1:12" ht="20.100000000000001" customHeight="1" x14ac:dyDescent="0.25">
      <c r="A13" s="17" t="str">
        <f>HYPERLINK("#'4.1.1.3-4 Direct N20'!A1", "4.1.1.3-4 Direct N2O")</f>
        <v>4.1.1.3-4 Direct N2O</v>
      </c>
      <c r="C13" s="24"/>
      <c r="D13" s="113" t="s">
        <v>286</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292</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287</v>
      </c>
      <c r="E15" s="126" t="s">
        <v>359</v>
      </c>
      <c r="F15" s="126" t="s">
        <v>360</v>
      </c>
      <c r="G15" s="126" t="s">
        <v>285</v>
      </c>
      <c r="H15" s="126" t="s">
        <v>280</v>
      </c>
      <c r="I15" s="126" t="s">
        <v>291</v>
      </c>
      <c r="J15" s="1"/>
      <c r="K15" s="24"/>
      <c r="L15" s="24"/>
    </row>
    <row r="16" spans="1:12" ht="20.100000000000001" customHeight="1" x14ac:dyDescent="0.25">
      <c r="C16" s="24"/>
      <c r="D16" s="1" t="s">
        <v>304</v>
      </c>
      <c r="E16" s="125">
        <f>'4.1.1.9 Manure applied to soils'!$E$61</f>
        <v>24340.194998288636</v>
      </c>
      <c r="F16" s="125">
        <f>'4.1.1.9 Manure applied to soils'!O61</f>
        <v>24340.194998288636</v>
      </c>
      <c r="G16" s="57" t="str">
        <f>'4.1.1.9 Manure applied to soils'!$F$61</f>
        <v>kg N</v>
      </c>
      <c r="H16" s="1" t="s">
        <v>298</v>
      </c>
      <c r="I16" s="1" t="s">
        <v>290</v>
      </c>
      <c r="J16" s="1"/>
      <c r="K16" s="24"/>
      <c r="L16" s="24"/>
    </row>
    <row r="17" spans="1:12" ht="20.100000000000001" customHeight="1" x14ac:dyDescent="0.25">
      <c r="A17" s="18" t="s">
        <v>4</v>
      </c>
      <c r="C17" s="24"/>
      <c r="D17" s="1" t="s">
        <v>288</v>
      </c>
      <c r="E17" s="125">
        <f>'4.1.1.9 Manure applied to soils'!$E$111</f>
        <v>2221.8698202508799</v>
      </c>
      <c r="F17" s="125">
        <f>'4.1.1.9 Manure applied to soils'!O87</f>
        <v>2221.8698202508799</v>
      </c>
      <c r="G17" s="57" t="str">
        <f>'4.1.1.9 Manure applied to soils'!$F$111</f>
        <v>kg N</v>
      </c>
      <c r="H17" s="1" t="s">
        <v>298</v>
      </c>
      <c r="I17" s="1" t="s">
        <v>290</v>
      </c>
      <c r="J17" s="1"/>
      <c r="K17" s="24"/>
      <c r="L17" s="24"/>
    </row>
    <row r="18" spans="1:12" ht="20.100000000000001" customHeight="1" x14ac:dyDescent="0.25">
      <c r="A18" s="17" t="str">
        <f>HYPERLINK("#'Constants - Feedlot'!A1", "Constants - Feedlot")</f>
        <v>Constants - Feedlot</v>
      </c>
      <c r="C18" s="24"/>
      <c r="D18" s="1" t="s">
        <v>283</v>
      </c>
      <c r="E18" s="125">
        <f>'4.1.1.9 Manure applied to soils'!E87</f>
        <v>2221.8698202508799</v>
      </c>
      <c r="F18" s="125">
        <f>'4.1.1.9 Manure applied to soils'!O111</f>
        <v>2221.8698202508799</v>
      </c>
      <c r="G18" s="57" t="str">
        <f>'4.1.1.9 Manure applied to soils'!F87</f>
        <v>kg N</v>
      </c>
      <c r="H18" s="1" t="s">
        <v>284</v>
      </c>
      <c r="I18" s="1" t="s">
        <v>289</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362</v>
      </c>
      <c r="F7" s="2"/>
    </row>
    <row r="8" spans="1:24" ht="20.100000000000001" customHeight="1" x14ac:dyDescent="0.25">
      <c r="A8" s="21" t="str">
        <f>HYPERLINK("#'Input - Site'!A1", "Site")</f>
        <v>Site</v>
      </c>
      <c r="D8" s="10" t="s">
        <v>71</v>
      </c>
      <c r="E8" s="35" t="s">
        <v>363</v>
      </c>
    </row>
    <row r="9" spans="1:24" ht="20.100000000000001" customHeight="1" x14ac:dyDescent="0.25">
      <c r="A9" s="17" t="str">
        <f>HYPERLINK("#'Input - Feedlot'!A1", "Feedlot")</f>
        <v>Feedlot</v>
      </c>
      <c r="N9" s="45"/>
    </row>
    <row r="10" spans="1:24" ht="20.100000000000001" customHeight="1" x14ac:dyDescent="0.25">
      <c r="A10" s="17"/>
      <c r="D10" s="97" t="s">
        <v>88</v>
      </c>
      <c r="E10" s="95"/>
      <c r="F10" s="98"/>
      <c r="G10" s="92"/>
      <c r="N10" s="45"/>
    </row>
    <row r="11" spans="1:24" ht="20.100000000000001" customHeight="1" x14ac:dyDescent="0.25">
      <c r="A11" s="19" t="s">
        <v>74</v>
      </c>
      <c r="N11" s="46"/>
    </row>
    <row r="12" spans="1:24" ht="20.100000000000001" customHeight="1" x14ac:dyDescent="0.25">
      <c r="A12" s="17" t="str">
        <f>HYPERLINK("#'4.1.1.1-2 Methane'!A1", "4.1.1.1-2 Methane")</f>
        <v>4.1.1.1-2 Methane</v>
      </c>
      <c r="D12" s="10" t="s">
        <v>94</v>
      </c>
      <c r="E12" s="66">
        <v>45658</v>
      </c>
      <c r="F12" s="2" t="s">
        <v>69</v>
      </c>
    </row>
    <row r="13" spans="1:24" ht="20.100000000000001" customHeight="1" x14ac:dyDescent="0.25">
      <c r="A13" s="17" t="str">
        <f>HYPERLINK("#'4.1.1.3-4 Direct N20'!A1", "4.1.1.3-4 Direct N2O")</f>
        <v>4.1.1.3-4 Direct N2O</v>
      </c>
      <c r="D13" s="10" t="s">
        <v>95</v>
      </c>
      <c r="E13" s="73">
        <f>DATE(YEAR(E12)+1,MONTH(E12),DAY(E12))-1</f>
        <v>46022</v>
      </c>
      <c r="F13" s="2" t="s">
        <v>16</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13</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15</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7</v>
      </c>
      <c r="E21" s="42" t="s">
        <v>361</v>
      </c>
      <c r="F21" s="2" t="s">
        <v>10</v>
      </c>
    </row>
    <row r="22" spans="1:25" ht="20.100000000000001" customHeight="1" x14ac:dyDescent="0.25">
      <c r="A22"/>
      <c r="D22" s="1" t="s">
        <v>24</v>
      </c>
      <c r="E22" s="42" t="s">
        <v>33</v>
      </c>
      <c r="F22" s="2" t="s">
        <v>10</v>
      </c>
      <c r="G22" s="1"/>
    </row>
    <row r="23" spans="1:25" ht="20.100000000000001" customHeight="1" x14ac:dyDescent="0.25">
      <c r="A23"/>
      <c r="D23" s="1" t="s">
        <v>8</v>
      </c>
      <c r="E23" s="42" t="s">
        <v>93</v>
      </c>
      <c r="F23" s="2" t="s">
        <v>10</v>
      </c>
    </row>
    <row r="24" spans="1:25" ht="20.100000000000001" customHeight="1" x14ac:dyDescent="0.25">
      <c r="A24"/>
      <c r="D24" s="1" t="s">
        <v>38</v>
      </c>
      <c r="E24" s="35">
        <v>307.7</v>
      </c>
      <c r="F24" s="2" t="s">
        <v>52</v>
      </c>
    </row>
    <row r="25" spans="1:25" ht="20.100000000000001" customHeight="1" x14ac:dyDescent="0.25">
      <c r="A25"/>
      <c r="D25" s="1" t="s">
        <v>60</v>
      </c>
      <c r="E25" s="35">
        <v>18</v>
      </c>
      <c r="F25" s="2" t="s">
        <v>11</v>
      </c>
      <c r="N25" s="44"/>
    </row>
    <row r="26" spans="1:25" ht="20.100000000000001" customHeight="1" x14ac:dyDescent="0.25">
      <c r="A26"/>
      <c r="D26" s="1" t="s">
        <v>61</v>
      </c>
      <c r="E26" s="35">
        <v>601</v>
      </c>
      <c r="F26" s="2" t="s">
        <v>12</v>
      </c>
    </row>
    <row r="27" spans="1:25" ht="20.100000000000001" customHeight="1" x14ac:dyDescent="0.25">
      <c r="A27"/>
      <c r="D27" s="10" t="s">
        <v>62</v>
      </c>
      <c r="E27" s="35">
        <v>1326</v>
      </c>
      <c r="F27" s="2" t="s">
        <v>12</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90</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H8" sqref="H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104</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116</v>
      </c>
    </row>
    <row r="6" spans="1:21" ht="20.100000000000001" customHeight="1" x14ac:dyDescent="0.25">
      <c r="A6" s="16"/>
    </row>
    <row r="7" spans="1:21" ht="20.100000000000001" customHeight="1" x14ac:dyDescent="0.25">
      <c r="A7" s="20" t="s">
        <v>3</v>
      </c>
      <c r="D7" s="65"/>
      <c r="E7" s="41" t="s">
        <v>135</v>
      </c>
      <c r="F7" s="41" t="s">
        <v>136</v>
      </c>
      <c r="G7" s="41" t="s">
        <v>137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106">
        <v>1000</v>
      </c>
      <c r="F8" s="106">
        <v>1000</v>
      </c>
      <c r="G8" s="106">
        <v>1000</v>
      </c>
      <c r="H8" s="2" t="s">
        <v>118</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106">
        <v>90</v>
      </c>
      <c r="F9" s="106">
        <v>140</v>
      </c>
      <c r="G9" s="106">
        <v>250</v>
      </c>
      <c r="H9" s="2" t="s">
        <v>321</v>
      </c>
      <c r="I9" s="2"/>
      <c r="J9" s="2"/>
      <c r="K9" s="2"/>
    </row>
    <row r="10" spans="1:21" ht="20.100000000000001" customHeight="1" x14ac:dyDescent="0.25">
      <c r="A10" s="17"/>
    </row>
    <row r="11" spans="1:21" ht="20.100000000000001" customHeight="1" x14ac:dyDescent="0.25">
      <c r="A11" s="19" t="s">
        <v>74</v>
      </c>
      <c r="D11" s="6" t="s">
        <v>100</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294</v>
      </c>
      <c r="E13" s="41" t="s">
        <v>135</v>
      </c>
      <c r="F13" s="41" t="s">
        <v>136</v>
      </c>
      <c r="G13" s="41" t="s">
        <v>137</v>
      </c>
    </row>
    <row r="14" spans="1:21" ht="20.100000000000001" customHeight="1" x14ac:dyDescent="0.25">
      <c r="A14" s="17" t="str">
        <f>HYPERLINK("#'4.1.1.5-6 Atmos Deposition'!A1", "4.1.1.5-6 Atmospheric deposition")</f>
        <v>4.1.1.5-6 Atmospheric deposition</v>
      </c>
      <c r="D14" s="1" t="s">
        <v>141</v>
      </c>
      <c r="E14" s="55">
        <v>10.4</v>
      </c>
      <c r="F14" s="55">
        <v>10.8</v>
      </c>
      <c r="G14" s="55">
        <v>8.1999999999999993</v>
      </c>
      <c r="H14" s="2" t="s">
        <v>105</v>
      </c>
      <c r="I14" s="2"/>
      <c r="J14" s="2"/>
      <c r="K14" s="2"/>
    </row>
    <row r="15" spans="1:21" ht="20.100000000000001" customHeight="1" x14ac:dyDescent="0.25">
      <c r="A15" s="17" t="str">
        <f>HYPERLINK("#'4.1.1.9 Manure applied to soils'!A1", "4.1.1.9 Manure applied to soils")</f>
        <v>4.1.1.9 Manure applied to soils</v>
      </c>
      <c r="D15" s="1" t="s">
        <v>17</v>
      </c>
      <c r="E15" s="55">
        <v>0.81</v>
      </c>
      <c r="F15" s="55">
        <v>0.81</v>
      </c>
      <c r="G15" s="55">
        <v>0.81</v>
      </c>
      <c r="H15" s="2" t="s">
        <v>322</v>
      </c>
      <c r="I15" s="2"/>
      <c r="J15" s="2"/>
      <c r="K15" s="2"/>
    </row>
    <row r="16" spans="1:21" ht="20.100000000000001" customHeight="1" x14ac:dyDescent="0.25">
      <c r="D16" s="1" t="s">
        <v>128</v>
      </c>
      <c r="E16" s="55">
        <v>0.14000000000000001</v>
      </c>
      <c r="F16" s="55">
        <v>0.12</v>
      </c>
      <c r="G16" s="55">
        <v>0.12</v>
      </c>
      <c r="H16" s="2" t="s">
        <v>322</v>
      </c>
      <c r="I16" s="2"/>
      <c r="J16" s="2"/>
      <c r="K16" s="2"/>
    </row>
    <row r="17" spans="1:11" ht="20.100000000000001" customHeight="1" x14ac:dyDescent="0.25">
      <c r="A17" s="18" t="s">
        <v>4</v>
      </c>
      <c r="D17" s="1" t="s">
        <v>145</v>
      </c>
      <c r="E17" s="55">
        <v>20.399999999999999</v>
      </c>
      <c r="F17" s="55">
        <v>12.7</v>
      </c>
      <c r="G17" s="55">
        <v>7</v>
      </c>
      <c r="H17" s="2" t="s">
        <v>324</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295</v>
      </c>
      <c r="E19" s="41" t="s">
        <v>135</v>
      </c>
      <c r="F19" s="41" t="s">
        <v>136</v>
      </c>
      <c r="G19" s="41" t="s">
        <v>137</v>
      </c>
    </row>
    <row r="20" spans="1:11" ht="20.100000000000001" customHeight="1" x14ac:dyDescent="0.25">
      <c r="A20" s="17" t="str">
        <f>HYPERLINK("#'Constants - Common'!A1", "Constants - Common")</f>
        <v>Constants - Common</v>
      </c>
      <c r="D20" s="1" t="s">
        <v>141</v>
      </c>
      <c r="E20" s="68">
        <v>10.4</v>
      </c>
      <c r="F20" s="68">
        <v>10.8</v>
      </c>
      <c r="G20" s="68">
        <v>8.1999999999999993</v>
      </c>
      <c r="H20" s="2" t="s">
        <v>105</v>
      </c>
      <c r="I20" s="2"/>
      <c r="J20" s="2"/>
      <c r="K20" s="2"/>
    </row>
    <row r="21" spans="1:11" ht="20.100000000000001" customHeight="1" x14ac:dyDescent="0.25">
      <c r="A21" s="17" t="str">
        <f>HYPERLINK("#'Acknowledgements'!A1", "Acknowledgements")</f>
        <v>Acknowledgements</v>
      </c>
      <c r="D21" s="1" t="s">
        <v>17</v>
      </c>
      <c r="E21" s="68">
        <v>0.81</v>
      </c>
      <c r="F21" s="68">
        <v>0.81</v>
      </c>
      <c r="G21" s="68">
        <v>0.81</v>
      </c>
      <c r="H21" s="2" t="s">
        <v>322</v>
      </c>
      <c r="I21" s="2"/>
      <c r="J21" s="2"/>
      <c r="K21" s="2"/>
    </row>
    <row r="22" spans="1:11" ht="20.100000000000001" customHeight="1" x14ac:dyDescent="0.25">
      <c r="D22" s="1" t="s">
        <v>128</v>
      </c>
      <c r="E22" s="68">
        <v>0.14000000000000001</v>
      </c>
      <c r="F22" s="68">
        <v>0.12</v>
      </c>
      <c r="G22" s="68">
        <v>0.12</v>
      </c>
      <c r="H22" s="2" t="s">
        <v>322</v>
      </c>
      <c r="I22" s="2"/>
      <c r="J22" s="2"/>
      <c r="K22" s="2"/>
    </row>
    <row r="23" spans="1:11" ht="20.100000000000001" customHeight="1" x14ac:dyDescent="0.25">
      <c r="D23" s="1" t="s">
        <v>145</v>
      </c>
      <c r="E23" s="68">
        <v>20.399999999999999</v>
      </c>
      <c r="F23" s="68">
        <v>12.7</v>
      </c>
      <c r="G23" s="68">
        <v>7</v>
      </c>
      <c r="H23" s="2" t="s">
        <v>324</v>
      </c>
      <c r="I23" s="2"/>
      <c r="J23" s="2"/>
      <c r="K23" s="2"/>
    </row>
    <row r="24" spans="1:11" ht="20.100000000000001" customHeight="1" x14ac:dyDescent="0.25"/>
    <row r="25" spans="1:11" ht="20.100000000000001" customHeight="1" x14ac:dyDescent="0.25">
      <c r="A25" s="17"/>
      <c r="D25" s="6" t="s">
        <v>109</v>
      </c>
    </row>
    <row r="26" spans="1:11" ht="20.100000000000001" customHeight="1" x14ac:dyDescent="0.25">
      <c r="A26" s="17"/>
    </row>
    <row r="27" spans="1:11" ht="20.100000000000001" customHeight="1" x14ac:dyDescent="0.25">
      <c r="A27" s="17"/>
      <c r="D27" s="65" t="s">
        <v>103</v>
      </c>
      <c r="E27" s="100" t="s">
        <v>135</v>
      </c>
      <c r="F27" s="100" t="s">
        <v>136</v>
      </c>
      <c r="G27" s="100" t="s">
        <v>137</v>
      </c>
    </row>
    <row r="28" spans="1:11" ht="20.100000000000001" customHeight="1" x14ac:dyDescent="0.25">
      <c r="A28" s="17"/>
      <c r="D28" s="134" t="s">
        <v>98</v>
      </c>
      <c r="E28" s="101">
        <v>1</v>
      </c>
      <c r="F28" s="101">
        <v>1</v>
      </c>
      <c r="G28" s="101">
        <v>1</v>
      </c>
      <c r="H28" s="2" t="s">
        <v>323</v>
      </c>
      <c r="I28" s="2"/>
      <c r="J28" s="2"/>
      <c r="K28" s="2"/>
    </row>
    <row r="29" spans="1:11" ht="20.100000000000001" customHeight="1" x14ac:dyDescent="0.25">
      <c r="A29" s="17"/>
      <c r="D29" s="131" t="s">
        <v>315</v>
      </c>
    </row>
    <row r="30" spans="1:11" ht="20.100000000000001" customHeight="1" x14ac:dyDescent="0.25">
      <c r="A30" s="17"/>
      <c r="D30" s="132" t="s">
        <v>99</v>
      </c>
      <c r="E30" s="100" t="s">
        <v>135</v>
      </c>
      <c r="F30" s="100" t="s">
        <v>136</v>
      </c>
      <c r="G30" s="100" t="s">
        <v>137</v>
      </c>
      <c r="H30" s="137" t="s">
        <v>319</v>
      </c>
      <c r="I30" s="65" t="s">
        <v>326</v>
      </c>
      <c r="J30" s="65"/>
      <c r="K30" s="65"/>
    </row>
    <row r="31" spans="1:11" ht="20.100000000000001" customHeight="1" x14ac:dyDescent="0.25">
      <c r="A31" s="69"/>
      <c r="D31" s="135" t="str">
        <f>"From Stage 1: " &amp; $D$28 &amp; " to:"</f>
        <v>From Stage 1: Drylot (feed pad) to:</v>
      </c>
      <c r="E31" s="58"/>
      <c r="I31" s="125" t="s">
        <v>316</v>
      </c>
      <c r="J31" s="125" t="s">
        <v>317</v>
      </c>
      <c r="K31" s="125" t="s">
        <v>318</v>
      </c>
    </row>
    <row r="32" spans="1:11" ht="20.100000000000001" customHeight="1" x14ac:dyDescent="0.25">
      <c r="A32" s="69"/>
      <c r="D32" s="136" t="str">
        <f>'Constants - Feedlot'!D29</f>
        <v>Solid storage</v>
      </c>
      <c r="E32" s="49">
        <v>0.2</v>
      </c>
      <c r="F32" s="49">
        <v>0.2</v>
      </c>
      <c r="G32" s="49">
        <v>0.2</v>
      </c>
      <c r="H32" s="2" t="s">
        <v>323</v>
      </c>
      <c r="I32" s="49">
        <v>0.25</v>
      </c>
      <c r="J32" s="49">
        <v>0.25</v>
      </c>
      <c r="K32" s="101">
        <v>0.5</v>
      </c>
    </row>
    <row r="33" spans="1:11" ht="20.100000000000001" customHeight="1" x14ac:dyDescent="0.25">
      <c r="A33" s="17"/>
      <c r="D33" s="136" t="str">
        <f>'Constants - Feedlot'!D30</f>
        <v>Composting (passive windrow)</v>
      </c>
      <c r="E33" s="49">
        <v>0.2</v>
      </c>
      <c r="F33" s="49">
        <v>0.2</v>
      </c>
      <c r="G33" s="49">
        <v>0.2</v>
      </c>
      <c r="H33" s="2" t="s">
        <v>323</v>
      </c>
      <c r="I33" s="49">
        <v>0.25</v>
      </c>
      <c r="J33" s="49">
        <v>0.25</v>
      </c>
      <c r="K33" s="101">
        <v>0.5</v>
      </c>
    </row>
    <row r="34" spans="1:11" ht="20.100000000000001" customHeight="1" x14ac:dyDescent="0.25">
      <c r="D34" s="136" t="s">
        <v>314</v>
      </c>
      <c r="E34" s="101">
        <v>0.6</v>
      </c>
      <c r="F34" s="101">
        <v>0.6</v>
      </c>
      <c r="G34" s="101">
        <v>0.6</v>
      </c>
      <c r="H34" s="2" t="s">
        <v>323</v>
      </c>
      <c r="I34" s="101">
        <v>0</v>
      </c>
      <c r="J34" s="101">
        <v>0</v>
      </c>
      <c r="K34" s="101">
        <v>1</v>
      </c>
    </row>
    <row r="35" spans="1:11" ht="20.100000000000001" customHeight="1" x14ac:dyDescent="0.25"/>
    <row r="36" spans="1:11" ht="20.100000000000001" customHeight="1" x14ac:dyDescent="0.25">
      <c r="D36" s="133" t="s">
        <v>114</v>
      </c>
      <c r="E36" s="100" t="s">
        <v>135</v>
      </c>
      <c r="F36" s="100" t="s">
        <v>136</v>
      </c>
      <c r="G36" s="100" t="s">
        <v>137</v>
      </c>
      <c r="H36" s="137" t="s">
        <v>319</v>
      </c>
      <c r="I36" s="65" t="s">
        <v>325</v>
      </c>
      <c r="J36" s="65"/>
      <c r="K36" s="65"/>
    </row>
    <row r="37" spans="1:11" ht="20.100000000000001" customHeight="1" x14ac:dyDescent="0.25">
      <c r="D37" s="135" t="str">
        <f>"From Stage 1: " &amp; $D$28 &amp; " to:"</f>
        <v>From Stage 1: Drylot (feed pad) to:</v>
      </c>
      <c r="I37" s="125" t="s">
        <v>316</v>
      </c>
      <c r="J37" s="125" t="s">
        <v>317</v>
      </c>
      <c r="K37" s="125" t="s">
        <v>318</v>
      </c>
    </row>
    <row r="38" spans="1:11" ht="20.100000000000001" customHeight="1" x14ac:dyDescent="0.25">
      <c r="D38" s="136" t="str">
        <f>'Constants - Feedlot'!$D$32</f>
        <v>Anaerobic lagoon</v>
      </c>
      <c r="E38" s="101">
        <v>0.02</v>
      </c>
      <c r="F38" s="101">
        <v>0.02</v>
      </c>
      <c r="G38" s="101">
        <v>0.02</v>
      </c>
      <c r="H38" s="2" t="s">
        <v>323</v>
      </c>
      <c r="I38" s="49">
        <v>0.25</v>
      </c>
      <c r="J38" s="49">
        <v>0.25</v>
      </c>
      <c r="K38" s="101">
        <v>0.5</v>
      </c>
    </row>
    <row r="39" spans="1:11" ht="20.100000000000001" customHeight="1" x14ac:dyDescent="0.25">
      <c r="A39" s="17"/>
    </row>
    <row r="40" spans="1:11" ht="20.100000000000001" customHeight="1" x14ac:dyDescent="0.25"/>
    <row r="41" spans="1:11" ht="20.100000000000001" customHeight="1" x14ac:dyDescent="0.25">
      <c r="A41" s="47"/>
      <c r="D41" s="1" t="s">
        <v>302</v>
      </c>
      <c r="E41" s="42" t="s">
        <v>269</v>
      </c>
      <c r="F41" s="2" t="s">
        <v>10</v>
      </c>
    </row>
    <row r="42" spans="1:11" ht="20.100000000000001" customHeight="1" x14ac:dyDescent="0.25">
      <c r="E42" s="42" t="s">
        <v>273</v>
      </c>
      <c r="F42" s="2" t="s">
        <v>10</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abSelected="1" topLeftCell="A162" zoomScaleNormal="100" workbookViewId="0">
      <selection activeCell="N171" sqref="N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256</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25</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tr" cm="1">
        <f t="array" ref="E10">MMS_Feedlot_Methane_Equations.VEERG_4_1_1_1__5_VolatileSolidProduction_Variable()</f>
        <v>VS_j</v>
      </c>
    </row>
    <row r="11" spans="1:19" ht="20.100000000000001" customHeight="1" x14ac:dyDescent="0.25">
      <c r="A11" s="19" t="s">
        <v>74</v>
      </c>
      <c r="D11" s="56" t="s">
        <v>18</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146</v>
      </c>
      <c r="M17" s="104" t="s">
        <v>149</v>
      </c>
    </row>
    <row r="18" spans="1:16" ht="20.100000000000001" customHeight="1" x14ac:dyDescent="0.25">
      <c r="A18" s="17" t="str">
        <f>HYPERLINK("#'Constants - Feedlot'!A1", "Constants - Feedlot")</f>
        <v>Constants - Feedlot</v>
      </c>
      <c r="D18" s="103" t="s">
        <v>193</v>
      </c>
      <c r="M18" s="103" t="s">
        <v>194</v>
      </c>
    </row>
    <row r="19" spans="1:16" ht="20.100000000000001" customHeight="1" x14ac:dyDescent="0.25">
      <c r="A19" s="17" t="str">
        <f>HYPERLINK("#'Constants - Livestock'!A1", "Constants - Livestock")</f>
        <v>Constants - Livestock</v>
      </c>
      <c r="D19" s="41" t="s">
        <v>135</v>
      </c>
      <c r="E19" s="41" t="s">
        <v>136</v>
      </c>
      <c r="F19" s="41" t="s">
        <v>137</v>
      </c>
      <c r="M19" s="41" t="s">
        <v>135</v>
      </c>
      <c r="N19" s="41" t="s">
        <v>136</v>
      </c>
      <c r="O19" s="41" t="s">
        <v>137</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M20" s="55">
        <f>'Input - Feedlot'!$E$20</f>
        <v>10.4</v>
      </c>
      <c r="N20" s="55">
        <f>'Input - Feedlot'!$F$20</f>
        <v>10.8</v>
      </c>
      <c r="O20" s="55">
        <f>'Input - Feedlot'!$G$20</f>
        <v>8.1999999999999993</v>
      </c>
      <c r="P20" s="2" t="s">
        <v>101</v>
      </c>
    </row>
    <row r="21" spans="1:16" ht="20.100000000000001" customHeight="1" x14ac:dyDescent="0.25">
      <c r="A21" s="17" t="str">
        <f>HYPERLINK("#'Acknowledgements'!A1", "Acknowledgements")</f>
        <v>Acknowledgements</v>
      </c>
    </row>
    <row r="22" spans="1:16" ht="20.100000000000001" customHeight="1" x14ac:dyDescent="0.25">
      <c r="D22" s="104" t="s">
        <v>197</v>
      </c>
      <c r="M22" s="104" t="s">
        <v>201</v>
      </c>
    </row>
    <row r="23" spans="1:16" ht="20.100000000000001" customHeight="1" x14ac:dyDescent="0.25">
      <c r="D23" s="103" t="s">
        <v>200</v>
      </c>
      <c r="M23" s="103" t="s">
        <v>352</v>
      </c>
    </row>
    <row r="24" spans="1:16" ht="20.100000000000001" customHeight="1" x14ac:dyDescent="0.25">
      <c r="A24" s="17"/>
      <c r="D24" s="41" t="s">
        <v>135</v>
      </c>
      <c r="E24" s="41" t="s">
        <v>136</v>
      </c>
      <c r="F24" s="41" t="s">
        <v>137</v>
      </c>
      <c r="M24" s="41" t="s">
        <v>135</v>
      </c>
      <c r="N24" s="41" t="s">
        <v>136</v>
      </c>
      <c r="O24" s="41" t="s">
        <v>137</v>
      </c>
    </row>
    <row r="25" spans="1:16" ht="20.100000000000001" customHeight="1" x14ac:dyDescent="0.25">
      <c r="A25" s="17"/>
      <c r="D25" s="55">
        <f>'Input - Feedlot'!$E$15</f>
        <v>0.81</v>
      </c>
      <c r="E25" s="55">
        <f>'Input - Feedlot'!$F$15</f>
        <v>0.81</v>
      </c>
      <c r="F25" s="55">
        <f>'Input - Feedlot'!$G$15</f>
        <v>0.81</v>
      </c>
      <c r="G25" s="2" t="s">
        <v>322</v>
      </c>
      <c r="M25" s="55">
        <f>'Input - Feedlot'!$E$21</f>
        <v>0.81</v>
      </c>
      <c r="N25" s="55">
        <f>'Input - Feedlot'!$F$21</f>
        <v>0.81</v>
      </c>
      <c r="O25" s="55">
        <f>'Input - Feedlot'!$G$21</f>
        <v>0.81</v>
      </c>
      <c r="P25" s="2" t="s">
        <v>322</v>
      </c>
    </row>
    <row r="26" spans="1:16" ht="20.100000000000001" customHeight="1" x14ac:dyDescent="0.25"/>
    <row r="27" spans="1:16" ht="20.100000000000001" customHeight="1" x14ac:dyDescent="0.25">
      <c r="D27" s="104" t="s">
        <v>198</v>
      </c>
      <c r="M27" s="104" t="s">
        <v>202</v>
      </c>
    </row>
    <row r="28" spans="1:16" ht="20.100000000000001" customHeight="1" x14ac:dyDescent="0.25">
      <c r="D28" s="103" t="s">
        <v>199</v>
      </c>
      <c r="M28" s="103" t="s">
        <v>203</v>
      </c>
    </row>
    <row r="29" spans="1:16" ht="20.100000000000001" customHeight="1" x14ac:dyDescent="0.25">
      <c r="D29" s="54" t="s">
        <v>135</v>
      </c>
      <c r="E29" s="54" t="s">
        <v>136</v>
      </c>
      <c r="F29" s="54" t="s">
        <v>137</v>
      </c>
      <c r="M29" s="54" t="s">
        <v>135</v>
      </c>
      <c r="N29" s="54" t="s">
        <v>136</v>
      </c>
      <c r="O29" s="54" t="s">
        <v>137</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25</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28</v>
      </c>
      <c r="E39" s="1" t="str" cm="1">
        <f t="array" ref="E39">MMS_Feedlot_Methane_Equations.VEERG_4_1_1_1__2_Stage1MethaneProductionDrylot_Variable()</f>
        <v>M_jm5T1</v>
      </c>
    </row>
    <row r="40" spans="3:18" ht="20.100000000000001" customHeight="1" x14ac:dyDescent="0.25">
      <c r="D40" s="56" t="s">
        <v>18</v>
      </c>
      <c r="E40" s="57" t="str" cm="1">
        <f t="array" ref="E40">MMS_Feedlot_Methane_Equations.VEERG_4_1_1_1__2_Stage1MethaneProductionDrylot_Unit()</f>
        <v>kg CH4/head/day</v>
      </c>
      <c r="M40" s="97" t="s">
        <v>346</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108</v>
      </c>
    </row>
    <row r="50" spans="3:18" ht="20.100000000000001" customHeight="1" x14ac:dyDescent="0.25">
      <c r="D50" s="103" t="s">
        <v>106</v>
      </c>
    </row>
    <row r="51" spans="3:18" ht="20.100000000000001" customHeight="1" x14ac:dyDescent="0.25">
      <c r="D51" s="41" t="s">
        <v>103</v>
      </c>
      <c r="E51" s="41" t="s">
        <v>135</v>
      </c>
      <c r="F51" s="41" t="s">
        <v>136</v>
      </c>
      <c r="G51" s="41" t="s">
        <v>137</v>
      </c>
    </row>
    <row r="52" spans="3:18" ht="20.100000000000001" customHeight="1" x14ac:dyDescent="0.25">
      <c r="D52" s="55" t="str">
        <f>'Input - Feedlot'!$D$28</f>
        <v>Drylot (feed pad)</v>
      </c>
      <c r="E52" s="55">
        <f>'Input - Feedlot'!$E$28</f>
        <v>1</v>
      </c>
      <c r="F52" s="55">
        <f>'Input - Feedlot'!$F$28</f>
        <v>1</v>
      </c>
      <c r="G52" s="55">
        <f>'Input - Feedlot'!$G$28</f>
        <v>1</v>
      </c>
      <c r="H52" s="2" t="s">
        <v>322</v>
      </c>
    </row>
    <row r="53" spans="3:18" ht="20.100000000000001" customHeight="1" x14ac:dyDescent="0.25"/>
    <row r="54" spans="3:18" ht="20.100000000000001" customHeight="1" x14ac:dyDescent="0.25">
      <c r="D54" s="104" t="s">
        <v>204</v>
      </c>
      <c r="M54" s="104" t="s">
        <v>206</v>
      </c>
    </row>
    <row r="55" spans="3:18" ht="20.100000000000001" customHeight="1" x14ac:dyDescent="0.25">
      <c r="D55" s="103" t="s">
        <v>205</v>
      </c>
      <c r="M55" s="103" t="s">
        <v>207</v>
      </c>
    </row>
    <row r="56" spans="3:18" ht="20.100000000000001" customHeight="1" x14ac:dyDescent="0.25">
      <c r="D56" s="54" t="s">
        <v>103</v>
      </c>
      <c r="E56" s="54" t="s">
        <v>135</v>
      </c>
      <c r="F56" s="54" t="s">
        <v>136</v>
      </c>
      <c r="G56" s="54" t="s">
        <v>137</v>
      </c>
      <c r="M56" s="54" t="s">
        <v>103</v>
      </c>
      <c r="N56" s="54" t="s">
        <v>135</v>
      </c>
      <c r="O56" s="54" t="s">
        <v>136</v>
      </c>
      <c r="P56" s="54" t="s">
        <v>137</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25</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28</v>
      </c>
      <c r="E66" s="1" t="str" cm="1">
        <f t="array" ref="E66">MMS_Feedlot_Methane_Equations.VEERG_4_1_1_1__3_Stage2MethaneProduction_Variable()</f>
        <v>M_jmT2</v>
      </c>
    </row>
    <row r="67" spans="4:18" ht="20.100000000000001" customHeight="1" x14ac:dyDescent="0.25">
      <c r="D67" s="56" t="s">
        <v>18</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110</v>
      </c>
    </row>
    <row r="78" spans="4:18" ht="20.100000000000001" customHeight="1" x14ac:dyDescent="0.25">
      <c r="D78" s="103" t="s">
        <v>111</v>
      </c>
    </row>
    <row r="79" spans="4:18" ht="20.100000000000001" customHeight="1" x14ac:dyDescent="0.25">
      <c r="D79" s="41" t="s">
        <v>103</v>
      </c>
      <c r="E79" s="41" t="s">
        <v>99</v>
      </c>
      <c r="F79" s="41" t="s">
        <v>135</v>
      </c>
      <c r="G79" s="41" t="s">
        <v>136</v>
      </c>
      <c r="H79" s="41" t="s">
        <v>137</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355</v>
      </c>
      <c r="M84" s="104" t="s">
        <v>353</v>
      </c>
    </row>
    <row r="85" spans="4:17" ht="20.100000000000001" customHeight="1" x14ac:dyDescent="0.25">
      <c r="D85" s="103" t="s">
        <v>356</v>
      </c>
      <c r="M85" s="103" t="s">
        <v>354</v>
      </c>
    </row>
    <row r="86" spans="4:17" ht="20.100000000000001" customHeight="1" x14ac:dyDescent="0.25">
      <c r="D86" s="54" t="s">
        <v>103</v>
      </c>
      <c r="E86" s="54" t="s">
        <v>99</v>
      </c>
      <c r="F86" s="54" t="s">
        <v>96</v>
      </c>
      <c r="M86" s="54" t="s">
        <v>103</v>
      </c>
      <c r="N86" s="54" t="s">
        <v>99</v>
      </c>
      <c r="O86" s="54" t="s">
        <v>96</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345</v>
      </c>
      <c r="E91" s="98"/>
      <c r="F91" s="98"/>
      <c r="G91" s="98"/>
      <c r="H91" s="92"/>
    </row>
    <row r="92" spans="4:17" ht="20.100000000000001" customHeight="1" x14ac:dyDescent="0.25"/>
    <row r="93" spans="4:17" ht="20.100000000000001" customHeight="1" x14ac:dyDescent="0.25">
      <c r="D93" s="104" t="s">
        <v>208</v>
      </c>
      <c r="M93" s="104" t="s">
        <v>210</v>
      </c>
    </row>
    <row r="94" spans="4:17" ht="20.100000000000001" customHeight="1" x14ac:dyDescent="0.25">
      <c r="D94" s="103" t="s">
        <v>209</v>
      </c>
      <c r="M94" s="103" t="s">
        <v>211</v>
      </c>
    </row>
    <row r="95" spans="4:17" ht="20.100000000000001" customHeight="1" x14ac:dyDescent="0.25">
      <c r="D95" s="54" t="s">
        <v>99</v>
      </c>
      <c r="E95" s="54" t="s">
        <v>135</v>
      </c>
      <c r="F95" s="54" t="s">
        <v>136</v>
      </c>
      <c r="G95" s="54" t="s">
        <v>137</v>
      </c>
      <c r="M95" s="54" t="s">
        <v>99</v>
      </c>
      <c r="N95" s="54" t="s">
        <v>135</v>
      </c>
      <c r="O95" s="54" t="s">
        <v>136</v>
      </c>
      <c r="P95" s="54" t="s">
        <v>137</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25</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28</v>
      </c>
      <c r="E107" s="1" t="str" cm="1">
        <f t="array" ref="E107">MMS_Feedlot_Methane_Equations.VEERG_4_1_1_1__4_Stage3MethaneProductionAnaerobicLagoon_Variable()</f>
        <v>M_jm1T3</v>
      </c>
    </row>
    <row r="108" spans="3:18" ht="20.100000000000001" customHeight="1" x14ac:dyDescent="0.25">
      <c r="D108" s="56" t="s">
        <v>18</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113</v>
      </c>
    </row>
    <row r="118" spans="3:18" ht="20.100000000000001" customHeight="1" x14ac:dyDescent="0.25">
      <c r="D118" s="103" t="s">
        <v>115</v>
      </c>
    </row>
    <row r="119" spans="3:18" ht="20.100000000000001" customHeight="1" x14ac:dyDescent="0.25">
      <c r="D119" s="41" t="s">
        <v>114</v>
      </c>
      <c r="E119" s="41" t="s">
        <v>135</v>
      </c>
      <c r="F119" s="41" t="s">
        <v>136</v>
      </c>
      <c r="G119" s="41" t="s">
        <v>137</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212</v>
      </c>
      <c r="M122" s="104" t="s">
        <v>214</v>
      </c>
    </row>
    <row r="123" spans="3:18" ht="20.100000000000001" customHeight="1" x14ac:dyDescent="0.25">
      <c r="D123" s="103" t="s">
        <v>213</v>
      </c>
      <c r="M123" s="103" t="s">
        <v>215</v>
      </c>
    </row>
    <row r="124" spans="3:18" ht="20.100000000000001" customHeight="1" x14ac:dyDescent="0.25">
      <c r="D124" s="54" t="s">
        <v>114</v>
      </c>
      <c r="E124" s="54" t="s">
        <v>135</v>
      </c>
      <c r="F124" s="54" t="s">
        <v>136</v>
      </c>
      <c r="G124" s="54" t="s">
        <v>137</v>
      </c>
      <c r="M124" s="54" t="s">
        <v>114</v>
      </c>
      <c r="N124" s="54" t="s">
        <v>135</v>
      </c>
      <c r="O124" s="54" t="s">
        <v>136</v>
      </c>
      <c r="P124" s="54" t="s">
        <v>137</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25</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tr" cm="1">
        <f t="array" ref="E135">MMS_Feedlot_Methane_Equations.VEERG_4_1_1_1__1_TotalAnnualMethaneEmissions_Variable()</f>
        <v>E_CH4</v>
      </c>
    </row>
    <row r="136" spans="4:9" ht="20.100000000000001" customHeight="1" x14ac:dyDescent="0.25">
      <c r="D136" s="56" t="s">
        <v>18</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119</v>
      </c>
    </row>
    <row r="143" spans="4:9" ht="20.100000000000001" customHeight="1" x14ac:dyDescent="0.25">
      <c r="D143" s="103" t="s">
        <v>117</v>
      </c>
    </row>
    <row r="144" spans="4:9" ht="20.100000000000001" customHeight="1" x14ac:dyDescent="0.25">
      <c r="D144" s="41" t="s">
        <v>135</v>
      </c>
      <c r="E144" s="41" t="s">
        <v>136</v>
      </c>
      <c r="F144" s="41" t="s">
        <v>137</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216</v>
      </c>
      <c r="M147" s="104" t="s">
        <v>218</v>
      </c>
    </row>
    <row r="148" spans="4:18" ht="20.100000000000001" customHeight="1" x14ac:dyDescent="0.25">
      <c r="D148" s="103" t="s">
        <v>217</v>
      </c>
      <c r="M148" s="103" t="s">
        <v>219</v>
      </c>
    </row>
    <row r="149" spans="4:18" ht="20.100000000000001" customHeight="1" x14ac:dyDescent="0.25">
      <c r="D149" s="54" t="s">
        <v>123</v>
      </c>
      <c r="E149" s="54" t="s">
        <v>66</v>
      </c>
      <c r="F149" s="54" t="s">
        <v>135</v>
      </c>
      <c r="G149" s="54" t="s">
        <v>136</v>
      </c>
      <c r="H149" s="54" t="s">
        <v>137</v>
      </c>
      <c r="M149" s="54" t="s">
        <v>123</v>
      </c>
      <c r="N149" s="54" t="s">
        <v>66</v>
      </c>
      <c r="O149" s="54" t="s">
        <v>135</v>
      </c>
      <c r="P149" s="54" t="s">
        <v>136</v>
      </c>
      <c r="Q149" s="54" t="s">
        <v>137</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120</v>
      </c>
    </row>
    <row r="157" spans="4:18" ht="20.100000000000001" customHeight="1" x14ac:dyDescent="0.25">
      <c r="D157" s="103" t="s">
        <v>121</v>
      </c>
    </row>
    <row r="158" spans="4:18" ht="20.100000000000001" customHeight="1" x14ac:dyDescent="0.25">
      <c r="D158" s="41" t="s">
        <v>135</v>
      </c>
      <c r="E158" s="41" t="s">
        <v>136</v>
      </c>
      <c r="F158" s="41" t="s">
        <v>137</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125</v>
      </c>
      <c r="M161" s="104" t="s">
        <v>125</v>
      </c>
    </row>
    <row r="162" spans="4:18" ht="20.100000000000001" customHeight="1" x14ac:dyDescent="0.25">
      <c r="D162" s="103" t="s">
        <v>126</v>
      </c>
      <c r="M162" s="103" t="s">
        <v>126</v>
      </c>
    </row>
    <row r="163" spans="4:18" ht="20.100000000000001" customHeight="1" x14ac:dyDescent="0.25">
      <c r="D163" s="54" t="s">
        <v>123</v>
      </c>
      <c r="E163" s="54" t="s">
        <v>66</v>
      </c>
      <c r="F163" s="54" t="s">
        <v>135</v>
      </c>
      <c r="G163" s="54" t="s">
        <v>136</v>
      </c>
      <c r="H163" s="54" t="s">
        <v>137</v>
      </c>
      <c r="M163" s="54" t="s">
        <v>123</v>
      </c>
      <c r="N163" s="54" t="s">
        <v>66</v>
      </c>
      <c r="O163" s="54" t="s">
        <v>135</v>
      </c>
      <c r="P163" s="54" t="s">
        <v>136</v>
      </c>
      <c r="Q163" s="54" t="s">
        <v>137</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220</v>
      </c>
      <c r="E171" s="109">
        <f>SUM(F164:H168)</f>
        <v>2.6279077661491193</v>
      </c>
      <c r="F171" s="110" t="str">
        <f>$E$136</f>
        <v>t CH4</v>
      </c>
      <c r="M171" s="108" t="s">
        <v>221</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222</v>
      </c>
      <c r="E176" s="48" cm="1">
        <f t="array" ref="E176">Common_Equations.Common_ConvertCH4ToCO2e(G173,G174)</f>
        <v>73.581417452175344</v>
      </c>
      <c r="F176" s="112" t="str" cm="1">
        <f t="array" ref="F176">Common_Equations.Common_ConvertN2OToCO2e_Unit()</f>
        <v>t CO2e</v>
      </c>
      <c r="M176" s="48" t="s">
        <v>223</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6" zoomScaleNormal="100" workbookViewId="0">
      <selection activeCell="D30" sqref="D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257</v>
      </c>
    </row>
    <row r="2" spans="1:20" s="9" customFormat="1" ht="20.100000000000001" customHeight="1" x14ac:dyDescent="0.25"/>
    <row r="3" spans="1:20" ht="20.100000000000001" customHeight="1" x14ac:dyDescent="0.25">
      <c r="A3" s="17" t="str">
        <f>HYPERLINK("#'Home'!A1", "Home")</f>
        <v>Home</v>
      </c>
      <c r="C3" s="4"/>
      <c r="D3" s="4" t="s">
        <v>156</v>
      </c>
      <c r="E3" s="4"/>
      <c r="F3" s="4"/>
      <c r="G3" s="4"/>
      <c r="H3" s="4"/>
      <c r="I3" s="4"/>
      <c r="J3" s="4"/>
      <c r="K3" s="4"/>
      <c r="L3" s="4"/>
      <c r="N3" s="4"/>
      <c r="O3" s="4" t="s">
        <v>157</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127</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tr" cm="1">
        <f t="array" ref="E10">MMS_Feedlot_N2ODirect_Equations.VEERG_4_1_1_3__5_NitrogenIntake_Variable()</f>
        <v>NI_j</v>
      </c>
    </row>
    <row r="11" spans="1:20" ht="20.100000000000001" customHeight="1" x14ac:dyDescent="0.25">
      <c r="A11" s="19" t="s">
        <v>74</v>
      </c>
      <c r="D11" s="56" t="s">
        <v>18</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146</v>
      </c>
      <c r="O17" s="104" t="s">
        <v>149</v>
      </c>
    </row>
    <row r="18" spans="1:19" ht="20.100000000000001" customHeight="1" x14ac:dyDescent="0.25">
      <c r="A18" s="17" t="str">
        <f>HYPERLINK("#'Constants - Feedlot'!A1", "Constants - Feedlot")</f>
        <v>Constants - Feedlot</v>
      </c>
      <c r="D18" s="103" t="s">
        <v>193</v>
      </c>
      <c r="O18" s="103" t="s">
        <v>194</v>
      </c>
    </row>
    <row r="19" spans="1:19" ht="20.100000000000001" customHeight="1" x14ac:dyDescent="0.25">
      <c r="A19" s="17" t="str">
        <f>HYPERLINK("#'Constants - Livestock'!A1", "Constants - Livestock")</f>
        <v>Constants - Livestock</v>
      </c>
      <c r="D19" s="41" t="s">
        <v>135</v>
      </c>
      <c r="E19" s="41" t="s">
        <v>136</v>
      </c>
      <c r="F19" s="41" t="s">
        <v>137</v>
      </c>
      <c r="O19" s="41" t="s">
        <v>135</v>
      </c>
      <c r="P19" s="41" t="s">
        <v>136</v>
      </c>
      <c r="Q19" s="41" t="s">
        <v>137</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H20" s="2"/>
      <c r="I20" s="2"/>
      <c r="J20" s="2"/>
      <c r="K20" s="2"/>
      <c r="O20" s="55">
        <f>'Input - Feedlot'!$E$20</f>
        <v>10.4</v>
      </c>
      <c r="P20" s="55">
        <f>'Input - Feedlot'!$F$20</f>
        <v>10.8</v>
      </c>
      <c r="Q20" s="55">
        <f>'Input - Feedlot'!$G$20</f>
        <v>8.1999999999999993</v>
      </c>
      <c r="R20" s="2" t="s">
        <v>101</v>
      </c>
      <c r="S20" s="2"/>
    </row>
    <row r="21" spans="1:19" ht="20.100000000000001" customHeight="1" x14ac:dyDescent="0.25">
      <c r="A21" s="17" t="str">
        <f>HYPERLINK("#'Acknowledgements'!A1", "Acknowledgements")</f>
        <v>Acknowledgements</v>
      </c>
    </row>
    <row r="22" spans="1:19" ht="20.100000000000001" customHeight="1" x14ac:dyDescent="0.25">
      <c r="D22" s="104" t="s">
        <v>147</v>
      </c>
      <c r="O22" s="104" t="s">
        <v>150</v>
      </c>
    </row>
    <row r="23" spans="1:19" ht="20.100000000000001" customHeight="1" x14ac:dyDescent="0.25">
      <c r="D23" s="103" t="s">
        <v>192</v>
      </c>
      <c r="O23" s="103" t="s">
        <v>195</v>
      </c>
    </row>
    <row r="24" spans="1:19" ht="20.100000000000001" customHeight="1" x14ac:dyDescent="0.25">
      <c r="A24" s="17"/>
      <c r="D24" s="41" t="s">
        <v>135</v>
      </c>
      <c r="E24" s="41" t="s">
        <v>136</v>
      </c>
      <c r="F24" s="41" t="s">
        <v>137</v>
      </c>
      <c r="O24" s="41" t="s">
        <v>135</v>
      </c>
      <c r="P24" s="41" t="s">
        <v>136</v>
      </c>
      <c r="Q24" s="41" t="s">
        <v>137</v>
      </c>
    </row>
    <row r="25" spans="1:19" ht="20.100000000000001" customHeight="1" x14ac:dyDescent="0.25">
      <c r="A25" s="17"/>
      <c r="D25" s="55">
        <f>'Input - Feedlot'!$E$16</f>
        <v>0.14000000000000001</v>
      </c>
      <c r="E25" s="55">
        <f>'Input - Feedlot'!$F$16</f>
        <v>0.12</v>
      </c>
      <c r="F25" s="55">
        <f>'Input - Feedlot'!$G$16</f>
        <v>0.12</v>
      </c>
      <c r="G25" s="2" t="s">
        <v>322</v>
      </c>
      <c r="H25" s="2"/>
      <c r="I25" s="2"/>
      <c r="J25" s="2"/>
      <c r="K25" s="2"/>
      <c r="O25" s="55">
        <f>'Input - Feedlot'!$E$22</f>
        <v>0.14000000000000001</v>
      </c>
      <c r="P25" s="55">
        <f>'Input - Feedlot'!$F$22</f>
        <v>0.12</v>
      </c>
      <c r="Q25" s="55">
        <f>'Input - Feedlot'!$G$22</f>
        <v>0.12</v>
      </c>
      <c r="R25" s="2" t="s">
        <v>322</v>
      </c>
      <c r="S25" s="2"/>
    </row>
    <row r="26" spans="1:19" ht="20.100000000000001" customHeight="1" x14ac:dyDescent="0.25"/>
    <row r="27" spans="1:19" ht="20.100000000000001" customHeight="1" x14ac:dyDescent="0.25">
      <c r="D27" s="104" t="s">
        <v>148</v>
      </c>
      <c r="O27" s="104" t="s">
        <v>151</v>
      </c>
    </row>
    <row r="28" spans="1:19" ht="20.100000000000001" customHeight="1" x14ac:dyDescent="0.25">
      <c r="D28" s="103" t="s">
        <v>191</v>
      </c>
      <c r="O28" s="103" t="s">
        <v>196</v>
      </c>
    </row>
    <row r="29" spans="1:19" ht="20.100000000000001" customHeight="1" x14ac:dyDescent="0.25">
      <c r="D29" s="54" t="s">
        <v>135</v>
      </c>
      <c r="E29" s="54" t="s">
        <v>136</v>
      </c>
      <c r="F29" s="54" t="s">
        <v>137</v>
      </c>
      <c r="O29" s="54" t="s">
        <v>135</v>
      </c>
      <c r="P29" s="54" t="s">
        <v>136</v>
      </c>
      <c r="Q29" s="54" t="s">
        <v>137</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25</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tr" cm="1">
        <f t="array" ref="E40">MMS_Feedlot_N2ODirect_Equations.VEERG_4_1_1_3__4_NitrogenExcretionPerHead_Variable()</f>
        <v>NE_j</v>
      </c>
    </row>
    <row r="41" spans="3:20" ht="20.100000000000001" customHeight="1" x14ac:dyDescent="0.25">
      <c r="D41" s="56" t="s">
        <v>18</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152</v>
      </c>
      <c r="E46" s="2"/>
      <c r="F46" s="2"/>
      <c r="O46" s="104" t="s">
        <v>153</v>
      </c>
      <c r="P46" s="2"/>
      <c r="Q46" s="2"/>
    </row>
    <row r="47" spans="3:20" ht="20.100000000000001" customHeight="1" x14ac:dyDescent="0.25">
      <c r="D47" s="103" t="s">
        <v>189</v>
      </c>
      <c r="O47" s="103" t="s">
        <v>190</v>
      </c>
    </row>
    <row r="48" spans="3:20" ht="20.100000000000001" customHeight="1" x14ac:dyDescent="0.25">
      <c r="D48" s="41" t="s">
        <v>135</v>
      </c>
      <c r="E48" s="41" t="s">
        <v>136</v>
      </c>
      <c r="F48" s="41" t="s">
        <v>137</v>
      </c>
      <c r="O48" s="41" t="s">
        <v>135</v>
      </c>
      <c r="P48" s="41" t="s">
        <v>136</v>
      </c>
      <c r="Q48" s="41" t="s">
        <v>137</v>
      </c>
    </row>
    <row r="49" spans="3:20" ht="20.100000000000001" customHeight="1" x14ac:dyDescent="0.25">
      <c r="D49" s="55">
        <f>'Input - Feedlot'!$E$17/100</f>
        <v>0.20399999999999999</v>
      </c>
      <c r="E49" s="55">
        <f>'Input - Feedlot'!$F$17/100</f>
        <v>0.127</v>
      </c>
      <c r="F49" s="55">
        <f>'Input - Feedlot'!$G$17/100</f>
        <v>7.0000000000000007E-2</v>
      </c>
      <c r="G49" s="2" t="s">
        <v>158</v>
      </c>
      <c r="H49" s="2"/>
      <c r="I49" s="2"/>
      <c r="J49" s="2"/>
      <c r="K49" s="2"/>
      <c r="O49" s="55">
        <f>'Input - Feedlot'!$E$23/100</f>
        <v>0.20399999999999999</v>
      </c>
      <c r="P49" s="55">
        <f>'Input - Feedlot'!$F$23/100</f>
        <v>0.127</v>
      </c>
      <c r="Q49" s="55">
        <f>'Input - Feedlot'!$G$23/100</f>
        <v>7.0000000000000007E-2</v>
      </c>
      <c r="R49" s="2" t="s">
        <v>322</v>
      </c>
      <c r="S49" s="2"/>
    </row>
    <row r="50" spans="3:20" ht="20.100000000000001" customHeight="1" x14ac:dyDescent="0.25"/>
    <row r="51" spans="3:20" ht="20.100000000000001" customHeight="1" x14ac:dyDescent="0.25">
      <c r="D51" s="104" t="s">
        <v>154</v>
      </c>
      <c r="O51" s="104" t="s">
        <v>155</v>
      </c>
    </row>
    <row r="52" spans="3:20" ht="20.100000000000001" customHeight="1" x14ac:dyDescent="0.25">
      <c r="D52" s="103" t="s">
        <v>189</v>
      </c>
      <c r="O52" s="103" t="s">
        <v>190</v>
      </c>
    </row>
    <row r="53" spans="3:20" ht="20.100000000000001" customHeight="1" x14ac:dyDescent="0.25">
      <c r="D53" s="54" t="s">
        <v>135</v>
      </c>
      <c r="E53" s="54" t="s">
        <v>136</v>
      </c>
      <c r="F53" s="54" t="s">
        <v>137</v>
      </c>
      <c r="O53" s="54" t="s">
        <v>135</v>
      </c>
      <c r="P53" s="54" t="s">
        <v>136</v>
      </c>
      <c r="Q53" s="54" t="s">
        <v>137</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25</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28</v>
      </c>
      <c r="E63" s="1" t="str" cm="1">
        <f t="array" ref="E63">MMS_Feedlot_N2ODirect_Equations.VEERG_4_1_1_3__3_AnnualNitrogenExcretion_Variable()</f>
        <v>AE_j</v>
      </c>
    </row>
    <row r="64" spans="3:20" ht="20.100000000000001" customHeight="1" x14ac:dyDescent="0.25">
      <c r="D64" s="56" t="s">
        <v>18</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120</v>
      </c>
    </row>
    <row r="71" spans="4:15" ht="20.100000000000001" customHeight="1" x14ac:dyDescent="0.25">
      <c r="D71" s="103" t="s">
        <v>121</v>
      </c>
    </row>
    <row r="72" spans="4:15" ht="20.100000000000001" customHeight="1" x14ac:dyDescent="0.25">
      <c r="D72" s="41" t="s">
        <v>135</v>
      </c>
      <c r="E72" s="41" t="s">
        <v>136</v>
      </c>
      <c r="F72" s="41" t="s">
        <v>137</v>
      </c>
    </row>
    <row r="73" spans="4:15" ht="20.100000000000001" customHeight="1" x14ac:dyDescent="0.25">
      <c r="D73" s="107">
        <f>'Input - Feedlot'!$E$8</f>
        <v>1000</v>
      </c>
      <c r="E73" s="107">
        <f>'Input - Feedlot'!$F$8</f>
        <v>1000</v>
      </c>
      <c r="F73" s="107">
        <f>'Input - Feedlot'!$G$8</f>
        <v>1000</v>
      </c>
      <c r="G73" s="2" t="s">
        <v>122</v>
      </c>
      <c r="H73" s="2"/>
      <c r="I73" s="2"/>
      <c r="J73" s="2"/>
      <c r="K73" s="2"/>
    </row>
    <row r="74" spans="4:15" ht="20.100000000000001" customHeight="1" x14ac:dyDescent="0.25"/>
    <row r="75" spans="4:15" ht="20.100000000000001" customHeight="1" x14ac:dyDescent="0.25">
      <c r="D75" s="104" t="s">
        <v>119</v>
      </c>
    </row>
    <row r="76" spans="4:15" ht="20.100000000000001" customHeight="1" x14ac:dyDescent="0.25">
      <c r="D76" s="103" t="s">
        <v>117</v>
      </c>
    </row>
    <row r="77" spans="4:15" ht="20.100000000000001" customHeight="1" x14ac:dyDescent="0.25">
      <c r="D77" s="41" t="s">
        <v>135</v>
      </c>
      <c r="E77" s="41" t="s">
        <v>136</v>
      </c>
      <c r="F77" s="41" t="s">
        <v>137</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159</v>
      </c>
      <c r="O80" s="104" t="s">
        <v>160</v>
      </c>
    </row>
    <row r="81" spans="3:20" ht="20.100000000000001" customHeight="1" x14ac:dyDescent="0.25">
      <c r="D81" s="103" t="s">
        <v>187</v>
      </c>
      <c r="O81" s="103" t="s">
        <v>188</v>
      </c>
    </row>
    <row r="82" spans="3:20" ht="20.100000000000001" customHeight="1" x14ac:dyDescent="0.25">
      <c r="D82" s="54" t="s">
        <v>135</v>
      </c>
      <c r="E82" s="54" t="s">
        <v>136</v>
      </c>
      <c r="F82" s="54" t="s">
        <v>137</v>
      </c>
      <c r="O82" s="54" t="s">
        <v>135</v>
      </c>
      <c r="P82" s="54" t="s">
        <v>136</v>
      </c>
      <c r="Q82" s="54" t="s">
        <v>137</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25</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28</v>
      </c>
      <c r="E92" s="1" t="str" cm="1">
        <f t="array" ref="E92">MMS_Feedlot_N2ODirect_Equations.VEERG_4_1_1_3__2_Stage1NitrogenInMMSDrylot_Variable()</f>
        <v>MN_jm5T1</v>
      </c>
    </row>
    <row r="93" spans="3:20" ht="20.100000000000001" customHeight="1" x14ac:dyDescent="0.25">
      <c r="D93" s="56" t="s">
        <v>18</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161</v>
      </c>
    </row>
    <row r="99" spans="3:20" ht="20.100000000000001" customHeight="1" x14ac:dyDescent="0.25">
      <c r="D99" s="103" t="s">
        <v>106</v>
      </c>
    </row>
    <row r="100" spans="3:20" ht="20.100000000000001" customHeight="1" x14ac:dyDescent="0.25">
      <c r="D100" s="41" t="s">
        <v>103</v>
      </c>
      <c r="E100" s="41" t="s">
        <v>135</v>
      </c>
      <c r="F100" s="41" t="s">
        <v>136</v>
      </c>
      <c r="G100" s="41" t="s">
        <v>137</v>
      </c>
    </row>
    <row r="101" spans="3:20" ht="20.100000000000001" customHeight="1" x14ac:dyDescent="0.25">
      <c r="D101" s="55" t="str">
        <f>'Input - Feedlot'!$D$28</f>
        <v>Drylot (feed pad)</v>
      </c>
      <c r="E101" s="55">
        <f>'Input - Feedlot'!$E$28</f>
        <v>1</v>
      </c>
      <c r="F101" s="55">
        <f>'Input - Feedlot'!$F$28</f>
        <v>1</v>
      </c>
      <c r="G101" s="55">
        <f>'Input - Feedlot'!$G$28</f>
        <v>1</v>
      </c>
      <c r="H101" s="2" t="s">
        <v>322</v>
      </c>
      <c r="I101" s="2"/>
      <c r="J101" s="2"/>
      <c r="K101" s="2"/>
    </row>
    <row r="102" spans="3:20" ht="20.100000000000001" customHeight="1" x14ac:dyDescent="0.25"/>
    <row r="103" spans="3:20" ht="20.100000000000001" customHeight="1" x14ac:dyDescent="0.25">
      <c r="D103" s="104" t="s">
        <v>162</v>
      </c>
      <c r="O103" s="104" t="s">
        <v>163</v>
      </c>
    </row>
    <row r="104" spans="3:20" ht="20.100000000000001" customHeight="1" x14ac:dyDescent="0.25">
      <c r="D104" s="103" t="s">
        <v>185</v>
      </c>
      <c r="O104" s="103" t="s">
        <v>186</v>
      </c>
    </row>
    <row r="105" spans="3:20" ht="20.100000000000001" customHeight="1" x14ac:dyDescent="0.25">
      <c r="D105" s="54" t="s">
        <v>103</v>
      </c>
      <c r="E105" s="54" t="s">
        <v>135</v>
      </c>
      <c r="F105" s="54" t="s">
        <v>136</v>
      </c>
      <c r="G105" s="54" t="s">
        <v>137</v>
      </c>
      <c r="O105" s="54" t="s">
        <v>103</v>
      </c>
      <c r="P105" s="54" t="s">
        <v>135</v>
      </c>
      <c r="Q105" s="54" t="s">
        <v>136</v>
      </c>
      <c r="R105" s="54" t="s">
        <v>137</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25</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28</v>
      </c>
      <c r="E115" s="1" t="str" cm="1">
        <f t="array" ref="E115">MMS_Feedlot_N2ODirect_Equations.VEERG_4_1_1_3__8_Stage3NitrogenInMMSAnaerobicLagoon_Variable()</f>
        <v>MN_jm1T3</v>
      </c>
    </row>
    <row r="116" spans="4:18" ht="20.100000000000001" customHeight="1" x14ac:dyDescent="0.25">
      <c r="D116" s="56" t="s">
        <v>18</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166</v>
      </c>
    </row>
    <row r="122" spans="4:18" ht="20.100000000000001" customHeight="1" x14ac:dyDescent="0.25">
      <c r="D122" s="103" t="s">
        <v>165</v>
      </c>
    </row>
    <row r="123" spans="4:18" ht="20.100000000000001" customHeight="1" x14ac:dyDescent="0.25">
      <c r="D123" s="41" t="s">
        <v>114</v>
      </c>
      <c r="E123" s="41" t="s">
        <v>135</v>
      </c>
      <c r="F123" s="41" t="s">
        <v>136</v>
      </c>
      <c r="G123" s="41" t="s">
        <v>137</v>
      </c>
    </row>
    <row r="124" spans="4:18" ht="20.100000000000001" customHeight="1" x14ac:dyDescent="0.25">
      <c r="D124" s="55" t="str">
        <f>'Input - Feedlot'!$D$38</f>
        <v>Anaerobic lagoon</v>
      </c>
      <c r="E124" s="55">
        <f>'Input - Feedlot'!$E$38</f>
        <v>0.02</v>
      </c>
      <c r="F124" s="55">
        <f>'Input - Feedlot'!$F$38</f>
        <v>0.02</v>
      </c>
      <c r="G124" s="55">
        <f>'Input - Feedlot'!$G$38</f>
        <v>0.02</v>
      </c>
      <c r="H124" s="2" t="s">
        <v>322</v>
      </c>
      <c r="I124" s="2"/>
      <c r="J124" s="2"/>
      <c r="K124" s="2"/>
    </row>
    <row r="125" spans="4:18" ht="20.100000000000001" customHeight="1" x14ac:dyDescent="0.25"/>
    <row r="126" spans="4:18" ht="20.100000000000001" customHeight="1" x14ac:dyDescent="0.25">
      <c r="D126" s="104" t="s">
        <v>171</v>
      </c>
      <c r="O126" s="104" t="s">
        <v>172</v>
      </c>
    </row>
    <row r="127" spans="4:18" ht="20.100000000000001" customHeight="1" x14ac:dyDescent="0.25">
      <c r="D127" s="103" t="s">
        <v>183</v>
      </c>
      <c r="O127" s="103" t="s">
        <v>184</v>
      </c>
    </row>
    <row r="128" spans="4:18" ht="20.100000000000001" customHeight="1" x14ac:dyDescent="0.25">
      <c r="D128" s="54" t="s">
        <v>114</v>
      </c>
      <c r="E128" s="54" t="s">
        <v>135</v>
      </c>
      <c r="F128" s="54" t="s">
        <v>136</v>
      </c>
      <c r="G128" s="54" t="s">
        <v>137</v>
      </c>
      <c r="O128" s="54" t="s">
        <v>114</v>
      </c>
      <c r="P128" s="54" t="s">
        <v>135</v>
      </c>
      <c r="Q128" s="54" t="s">
        <v>136</v>
      </c>
      <c r="R128" s="54" t="s">
        <v>137</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25</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28</v>
      </c>
      <c r="E138" s="1" t="str" cm="1">
        <f t="array" ref="E138">MMS_Feedlot_N2ODirect_Equations.VEERG_4_1_1_3__7_NitrogenTransferredToStage2_Variable()</f>
        <v>NT_jmT2</v>
      </c>
    </row>
    <row r="139" spans="3:20" ht="20.100000000000001" customHeight="1" x14ac:dyDescent="0.25">
      <c r="D139" s="56" t="s">
        <v>18</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173</v>
      </c>
      <c r="O146" s="104" t="s">
        <v>174</v>
      </c>
    </row>
    <row r="147" spans="3:20" ht="20.100000000000001" customHeight="1" x14ac:dyDescent="0.25">
      <c r="D147" s="103" t="s">
        <v>181</v>
      </c>
      <c r="O147" s="103" t="s">
        <v>182</v>
      </c>
    </row>
    <row r="148" spans="3:20" ht="20.100000000000001" customHeight="1" x14ac:dyDescent="0.25">
      <c r="D148" s="54" t="s">
        <v>135</v>
      </c>
      <c r="E148" s="54" t="s">
        <v>136</v>
      </c>
      <c r="F148" s="54" t="s">
        <v>137</v>
      </c>
      <c r="O148" s="54" t="s">
        <v>135</v>
      </c>
      <c r="P148" s="54" t="s">
        <v>136</v>
      </c>
      <c r="Q148" s="54" t="s">
        <v>137</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25</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28</v>
      </c>
      <c r="E158" s="1" t="str" cm="1">
        <f t="array" ref="E158">MMS_Feedlot_N2ODirect_Equations.VEERG_4_1_1_3__6_Stage2NitrogenInMMS_Variable()</f>
        <v>MN_jmT2</v>
      </c>
    </row>
    <row r="159" spans="3:20" ht="20.100000000000001" customHeight="1" x14ac:dyDescent="0.25">
      <c r="D159" s="56" t="s">
        <v>18</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164</v>
      </c>
      <c r="L164" s="2"/>
    </row>
    <row r="165" spans="4:19" ht="20.100000000000001" customHeight="1" x14ac:dyDescent="0.25">
      <c r="D165" s="103" t="s">
        <v>111</v>
      </c>
    </row>
    <row r="166" spans="4:19" ht="20.100000000000001" customHeight="1" x14ac:dyDescent="0.25">
      <c r="D166" s="41" t="s">
        <v>99</v>
      </c>
      <c r="E166" s="41" t="s">
        <v>135</v>
      </c>
      <c r="F166" s="41" t="s">
        <v>136</v>
      </c>
      <c r="G166" s="41" t="s">
        <v>137</v>
      </c>
    </row>
    <row r="167" spans="4:19" ht="20.100000000000001" customHeight="1" x14ac:dyDescent="0.25">
      <c r="D167" s="55" t="str">
        <f>'Input - Feedlot'!$D$32</f>
        <v>Solid storage</v>
      </c>
      <c r="E167" s="55">
        <f>'Input - Feedlot'!$E$32</f>
        <v>0.2</v>
      </c>
      <c r="F167" s="55">
        <f>'Input - Feedlot'!$F$32</f>
        <v>0.2</v>
      </c>
      <c r="G167" s="55">
        <f>'Input - Feedlot'!$G$32</f>
        <v>0.2</v>
      </c>
      <c r="H167" s="2" t="s">
        <v>322</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322</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175</v>
      </c>
      <c r="O171" s="104" t="s">
        <v>175</v>
      </c>
    </row>
    <row r="172" spans="4:19" ht="20.100000000000001" customHeight="1" x14ac:dyDescent="0.25">
      <c r="D172" s="103" t="s">
        <v>179</v>
      </c>
      <c r="O172" s="103" t="s">
        <v>180</v>
      </c>
    </row>
    <row r="173" spans="4:19" ht="20.100000000000001" customHeight="1" x14ac:dyDescent="0.25">
      <c r="D173" s="54" t="s">
        <v>99</v>
      </c>
      <c r="E173" s="54" t="s">
        <v>135</v>
      </c>
      <c r="F173" s="54" t="s">
        <v>136</v>
      </c>
      <c r="G173" s="54" t="s">
        <v>137</v>
      </c>
      <c r="O173" s="54" t="s">
        <v>99</v>
      </c>
      <c r="P173" s="54" t="s">
        <v>135</v>
      </c>
      <c r="Q173" s="54" t="s">
        <v>136</v>
      </c>
      <c r="R173" s="54" t="s">
        <v>137</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25</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tr" cm="1">
        <f t="array" ref="E185">MMS_Feedlot_N2ODirect_Equations.VEERG_4_1_1_3__1_TotalAnnualDirectNitrousOxideEmissions_Variable()</f>
        <v>E_N2Odir</v>
      </c>
    </row>
    <row r="186" spans="3:20" ht="20.100000000000001" customHeight="1" x14ac:dyDescent="0.25">
      <c r="D186" s="56" t="s">
        <v>18</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167</v>
      </c>
    </row>
    <row r="193" spans="4:19" ht="20.100000000000001" customHeight="1" x14ac:dyDescent="0.25">
      <c r="D193" s="103" t="s">
        <v>168</v>
      </c>
    </row>
    <row r="194" spans="4:19" ht="20.100000000000001" customHeight="1" x14ac:dyDescent="0.25">
      <c r="D194" s="115" t="s">
        <v>66</v>
      </c>
      <c r="E194" s="115" t="s">
        <v>169</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344</v>
      </c>
      <c r="E200" s="94"/>
      <c r="F200" s="94"/>
      <c r="G200" s="90"/>
    </row>
    <row r="201" spans="4:19" ht="20.100000000000001" customHeight="1" x14ac:dyDescent="0.25">
      <c r="D201" s="96" t="s">
        <v>327</v>
      </c>
      <c r="E201" s="93"/>
      <c r="F201" s="93"/>
      <c r="G201" s="91"/>
    </row>
    <row r="202" spans="4:19" ht="20.100000000000001" customHeight="1" x14ac:dyDescent="0.25"/>
    <row r="203" spans="4:19" ht="20.100000000000001" customHeight="1" x14ac:dyDescent="0.25">
      <c r="D203" s="104" t="s">
        <v>176</v>
      </c>
      <c r="O203" s="104" t="s">
        <v>357</v>
      </c>
    </row>
    <row r="204" spans="4:19" ht="20.100000000000001" customHeight="1" x14ac:dyDescent="0.25">
      <c r="D204" s="103" t="s">
        <v>177</v>
      </c>
      <c r="O204" s="103" t="s">
        <v>178</v>
      </c>
    </row>
    <row r="205" spans="4:19" ht="20.100000000000001" customHeight="1" x14ac:dyDescent="0.25">
      <c r="D205" s="115" t="s">
        <v>66</v>
      </c>
      <c r="E205" s="54" t="s">
        <v>135</v>
      </c>
      <c r="F205" s="54" t="s">
        <v>136</v>
      </c>
      <c r="G205" s="54" t="s">
        <v>137</v>
      </c>
      <c r="O205" s="115" t="s">
        <v>66</v>
      </c>
      <c r="P205" s="54" t="s">
        <v>135</v>
      </c>
      <c r="Q205" s="54" t="s">
        <v>136</v>
      </c>
      <c r="R205" s="54" t="s">
        <v>137</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313</v>
      </c>
      <c r="F209" s="55" t="s">
        <v>313</v>
      </c>
      <c r="G209" s="55" t="s">
        <v>313</v>
      </c>
      <c r="H209" s="2" t="str">
        <f>$E$186</f>
        <v>t N2O</v>
      </c>
      <c r="I209" s="2"/>
      <c r="J209" s="2"/>
      <c r="K209" s="2"/>
      <c r="O209" s="55" t="str">
        <f>'Input - Feedlot'!$D$34</f>
        <v>Direct application</v>
      </c>
      <c r="P209" s="55" t="s">
        <v>313</v>
      </c>
      <c r="Q209" s="55" t="s">
        <v>313</v>
      </c>
      <c r="R209" s="55" t="s">
        <v>313</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170</v>
      </c>
      <c r="E212" s="109">
        <f>SUM(E206:G210)</f>
        <v>0.80616789491492569</v>
      </c>
      <c r="F212" s="110" t="str">
        <f>$E$186</f>
        <v>t N2O</v>
      </c>
      <c r="O212" s="108" t="s">
        <v>170</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124</v>
      </c>
      <c r="E217" s="48" cm="1">
        <f t="array" ref="E217">Common_Equations.Common_ConvertN2OToCO2e(G214,G215)</f>
        <v>213.63449215245529</v>
      </c>
      <c r="F217" s="112" t="str" cm="1">
        <f t="array" ref="F217">Common_Equations.Common_ConvertN2OToCO2e_Unit()</f>
        <v>t CO2e</v>
      </c>
      <c r="O217" s="48" t="s">
        <v>124</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34" zoomScale="85" zoomScaleNormal="85" workbookViewId="0">
      <selection activeCell="E70" sqref="E7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258</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25</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74</v>
      </c>
      <c r="D11" s="56" t="s">
        <v>28</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18</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328</v>
      </c>
      <c r="E17" s="94"/>
      <c r="F17" s="94"/>
      <c r="G17" s="90"/>
    </row>
    <row r="18" spans="1:18" ht="20.100000000000001" customHeight="1" x14ac:dyDescent="0.25">
      <c r="A18" s="17" t="str">
        <f>HYPERLINK("#'Constants - Feedlot'!A1", "Constants - Feedlot")</f>
        <v>Constants - Feedlot</v>
      </c>
      <c r="D18" s="96" t="s">
        <v>327</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259</v>
      </c>
      <c r="M20" s="104" t="s">
        <v>262</v>
      </c>
    </row>
    <row r="21" spans="1:18" ht="20.100000000000001" customHeight="1" x14ac:dyDescent="0.25">
      <c r="A21" s="17" t="str">
        <f>HYPERLINK("#'Acknowledgements'!A1", "Acknowledgements")</f>
        <v>Acknowledgements</v>
      </c>
      <c r="D21" s="103" t="s">
        <v>261</v>
      </c>
      <c r="M21" s="103" t="s">
        <v>263</v>
      </c>
    </row>
    <row r="22" spans="1:18" ht="20.100000000000001" customHeight="1" x14ac:dyDescent="0.25">
      <c r="D22" s="115" t="s">
        <v>66</v>
      </c>
      <c r="E22" s="54" t="s">
        <v>135</v>
      </c>
      <c r="F22" s="54" t="s">
        <v>136</v>
      </c>
      <c r="G22" s="54" t="s">
        <v>137</v>
      </c>
      <c r="M22" s="115" t="s">
        <v>66</v>
      </c>
      <c r="N22" s="54" t="s">
        <v>135</v>
      </c>
      <c r="O22" s="54" t="s">
        <v>136</v>
      </c>
      <c r="P22" s="54" t="s">
        <v>137</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313</v>
      </c>
      <c r="F26" s="55" t="s">
        <v>313</v>
      </c>
      <c r="G26" s="55" t="s">
        <v>313</v>
      </c>
      <c r="H26" s="2"/>
      <c r="I26" s="2"/>
      <c r="M26" s="55" t="str">
        <f>'Input - Feedlot'!$D$34</f>
        <v>Direct application</v>
      </c>
      <c r="N26" s="55" t="s">
        <v>313</v>
      </c>
      <c r="O26" s="55" t="s">
        <v>313</v>
      </c>
      <c r="P26" s="55" t="s">
        <v>313</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227</v>
      </c>
    </row>
    <row r="30" spans="1:18" ht="20.100000000000001" customHeight="1" x14ac:dyDescent="0.25">
      <c r="D30" s="103" t="s">
        <v>229</v>
      </c>
    </row>
    <row r="31" spans="1:18" ht="20.100000000000001" customHeight="1" x14ac:dyDescent="0.25">
      <c r="D31" s="115" t="s">
        <v>66</v>
      </c>
      <c r="E31" s="115" t="s">
        <v>169</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260</v>
      </c>
      <c r="M37" s="104" t="s">
        <v>358</v>
      </c>
    </row>
    <row r="38" spans="3:19" ht="20.100000000000001" customHeight="1" x14ac:dyDescent="0.25">
      <c r="D38" s="103" t="s">
        <v>261</v>
      </c>
      <c r="M38" s="103" t="s">
        <v>263</v>
      </c>
    </row>
    <row r="39" spans="3:19" ht="20.100000000000001" customHeight="1" x14ac:dyDescent="0.25">
      <c r="D39" s="115" t="s">
        <v>66</v>
      </c>
      <c r="E39" s="54" t="s">
        <v>135</v>
      </c>
      <c r="F39" s="54" t="s">
        <v>136</v>
      </c>
      <c r="G39" s="54" t="s">
        <v>137</v>
      </c>
      <c r="M39" s="115" t="s">
        <v>66</v>
      </c>
      <c r="N39" s="54" t="s">
        <v>135</v>
      </c>
      <c r="O39" s="54" t="s">
        <v>136</v>
      </c>
      <c r="P39" s="54" t="s">
        <v>137</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313</v>
      </c>
      <c r="F43" s="55" t="s">
        <v>313</v>
      </c>
      <c r="G43" s="55" t="s">
        <v>313</v>
      </c>
      <c r="H43" s="2"/>
      <c r="I43" s="2"/>
      <c r="M43" s="55" t="str">
        <f>'Input - Feedlot'!$D$34</f>
        <v>Direct application</v>
      </c>
      <c r="N43" s="55" t="s">
        <v>313</v>
      </c>
      <c r="O43" s="55" t="s">
        <v>313</v>
      </c>
      <c r="P43" s="55" t="s">
        <v>313</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264</v>
      </c>
      <c r="E46" s="48">
        <f>SUM(E40:G44)</f>
        <v>51562.512848332786</v>
      </c>
      <c r="F46" s="120" t="str">
        <f>$E$12</f>
        <v>kg N</v>
      </c>
      <c r="M46" s="122" t="s">
        <v>264</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25</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28</v>
      </c>
      <c r="E55" s="1" t="str" cm="1">
        <f t="array" ref="E55">MMS_Feedlot_AtmosphericDeposition_Equations.VEERG_4_1_1_5__1_TotalAnnualAtmosphericDepositionEmissions_Variable()</f>
        <v>E_N2Oad</v>
      </c>
    </row>
    <row r="56" spans="4:18" ht="20.100000000000001" customHeight="1" x14ac:dyDescent="0.25">
      <c r="D56" s="56" t="s">
        <v>18</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278</v>
      </c>
      <c r="E65" s="109" cm="1">
        <f t="array" ref="E65">MMS_Feedlot_AtmosphericDeposition_Equations.VEERG_4_1_1_5__1_TotalAnnualAtmosphericDepositionEmissions(I58,I59,I60)</f>
        <v>0.1458482506281413</v>
      </c>
      <c r="F65" s="110" t="str">
        <f>$E$56</f>
        <v>t N2O</v>
      </c>
      <c r="M65" s="108" t="s">
        <v>278</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124</v>
      </c>
      <c r="E70" s="48" cm="1">
        <f t="array" ref="E70">Common_Equations.Common_ConvertN2OToCO2e(G67,G68)</f>
        <v>38.649786416457445</v>
      </c>
      <c r="F70" s="112" t="str" cm="1">
        <f t="array" ref="F70">Common_Equations.Common_ConvertN2OToCO2e_Unit()</f>
        <v>t CO2e</v>
      </c>
      <c r="M70" s="48" t="s">
        <v>124</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opLeftCell="F91" zoomScaleNormal="100" workbookViewId="0">
      <selection activeCell="F109" sqref="F10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224</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K3" s="4"/>
      <c r="M3" s="4"/>
      <c r="N3" s="4" t="s">
        <v>157</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25</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74</v>
      </c>
      <c r="D11" s="56" t="s">
        <v>28</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18</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226</v>
      </c>
      <c r="N19" s="104" t="s">
        <v>234</v>
      </c>
    </row>
    <row r="20" spans="1:18" ht="20.100000000000001" customHeight="1" x14ac:dyDescent="0.25">
      <c r="A20" s="17" t="str">
        <f>HYPERLINK("#'Constants - Common'!A1", "Constants - Common")</f>
        <v>Constants - Common</v>
      </c>
      <c r="D20" s="103" t="s">
        <v>236</v>
      </c>
      <c r="N20" s="103" t="s">
        <v>235</v>
      </c>
    </row>
    <row r="21" spans="1:18" ht="20.100000000000001" customHeight="1" x14ac:dyDescent="0.25">
      <c r="A21" s="17" t="str">
        <f>HYPERLINK("#'Acknowledgements'!A1", "Acknowledgements")</f>
        <v>Acknowledgements</v>
      </c>
      <c r="D21" s="54" t="s">
        <v>66</v>
      </c>
      <c r="E21" s="54" t="s">
        <v>135</v>
      </c>
      <c r="F21" s="54" t="s">
        <v>136</v>
      </c>
      <c r="G21" s="54" t="s">
        <v>137</v>
      </c>
      <c r="N21" s="54" t="s">
        <v>66</v>
      </c>
      <c r="O21" s="54" t="s">
        <v>135</v>
      </c>
      <c r="P21" s="54" t="s">
        <v>136</v>
      </c>
      <c r="Q21" s="54" t="s">
        <v>137</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225</v>
      </c>
      <c r="I22" s="2"/>
      <c r="J22" s="2"/>
      <c r="N22" s="55" t="str">
        <f>'Input - Feedlot'!$D$32</f>
        <v>Solid storage</v>
      </c>
      <c r="O22" s="55">
        <f>'4.1.1.3-4 Direct N20'!$P$174</f>
        <v>1250.3589396480006</v>
      </c>
      <c r="P22" s="55">
        <f>'4.1.1.3-4 Direct N20'!$Q$174</f>
        <v>1898.7379568640001</v>
      </c>
      <c r="Q22" s="55">
        <f>'4.1.1.3-4 Direct N20'!$R$174</f>
        <v>2742.4316159999994</v>
      </c>
      <c r="R22" s="2" t="s">
        <v>225</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225</v>
      </c>
      <c r="I23" s="2"/>
      <c r="J23" s="2"/>
      <c r="N23" s="55" t="str">
        <f>'Input - Feedlot'!$D$33</f>
        <v>Composting (passive windrow)</v>
      </c>
      <c r="O23" s="55">
        <f>'4.1.1.3-4 Direct N20'!$P$175</f>
        <v>1250.3589396480006</v>
      </c>
      <c r="P23" s="55">
        <f>'4.1.1.3-4 Direct N20'!$Q$175</f>
        <v>1898.7379568640001</v>
      </c>
      <c r="Q23" s="55">
        <f>'4.1.1.3-4 Direct N20'!$R$175</f>
        <v>2742.4316159999994</v>
      </c>
      <c r="R23" s="2" t="s">
        <v>225</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225</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225</v>
      </c>
      <c r="I25" s="2"/>
      <c r="J25" s="2"/>
      <c r="N25" s="55" t="str">
        <f>'Input - Feedlot'!$D$38</f>
        <v>Anaerobic lagoon</v>
      </c>
      <c r="O25" s="55">
        <f>'4.1.1.3-4 Direct N20'!$P$129</f>
        <v>333.78508800000009</v>
      </c>
      <c r="P25" s="55">
        <f>'4.1.1.3-4 Direct N20'!$Q$129</f>
        <v>506.87078400000007</v>
      </c>
      <c r="Q25" s="55">
        <f>'4.1.1.3-4 Direct N20'!$R$129</f>
        <v>732.09599999999978</v>
      </c>
      <c r="R25" s="2" t="s">
        <v>225</v>
      </c>
    </row>
    <row r="26" spans="1:18" ht="20.100000000000001" customHeight="1" x14ac:dyDescent="0.25"/>
    <row r="27" spans="1:18" ht="20.100000000000001" customHeight="1" x14ac:dyDescent="0.25">
      <c r="D27" s="104" t="s">
        <v>228</v>
      </c>
    </row>
    <row r="28" spans="1:18" ht="20.100000000000001" customHeight="1" x14ac:dyDescent="0.25">
      <c r="D28" s="103" t="s">
        <v>168</v>
      </c>
    </row>
    <row r="29" spans="1:18" ht="20.100000000000001" customHeight="1" x14ac:dyDescent="0.25">
      <c r="D29" s="115" t="s">
        <v>66</v>
      </c>
      <c r="E29" s="115" t="s">
        <v>169</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232</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232</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232</v>
      </c>
    </row>
    <row r="33" spans="4:10" ht="20.100000000000001" customHeight="1" x14ac:dyDescent="0.25">
      <c r="D33" s="55" t="s">
        <v>314</v>
      </c>
      <c r="E33" s="55">
        <f>_xlfn.XLOOKUP($D$33, Table_SourceData_Feedlot_NO2EFs[NIR definition], Table_SourceData_Feedlot_NO2EFs[EF mT])</f>
        <v>0</v>
      </c>
      <c r="F33" s="2" t="s">
        <v>232</v>
      </c>
    </row>
    <row r="34" spans="4:10" ht="20.100000000000001" customHeight="1" x14ac:dyDescent="0.25">
      <c r="D34" s="55" t="str">
        <f>'Input - Feedlot'!$D$38</f>
        <v>Anaerobic lagoon</v>
      </c>
      <c r="E34" s="55">
        <f>_xlfn.XLOOKUP($D$34, Table_SourceData_Feedlot_NO2EFs[NIR definition], Table_SourceData_Feedlot_NO2EFs[EF mT])</f>
        <v>0</v>
      </c>
      <c r="F34" s="2" t="s">
        <v>232</v>
      </c>
    </row>
    <row r="35" spans="4:10" ht="20.100000000000001" customHeight="1" x14ac:dyDescent="0.25"/>
    <row r="36" spans="4:10" ht="20.100000000000001" customHeight="1" x14ac:dyDescent="0.25">
      <c r="D36" s="104" t="s">
        <v>227</v>
      </c>
    </row>
    <row r="37" spans="4:10" ht="20.100000000000001" customHeight="1" x14ac:dyDescent="0.25">
      <c r="D37" s="103" t="s">
        <v>229</v>
      </c>
    </row>
    <row r="38" spans="4:10" ht="20.100000000000001" customHeight="1" x14ac:dyDescent="0.25">
      <c r="D38" s="115" t="s">
        <v>66</v>
      </c>
      <c r="E38" s="115" t="s">
        <v>169</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233</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233</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233</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233</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233</v>
      </c>
    </row>
    <row r="44" spans="4:10" ht="20.100000000000001" customHeight="1" x14ac:dyDescent="0.25"/>
    <row r="45" spans="4:10" ht="20.100000000000001" customHeight="1" x14ac:dyDescent="0.25">
      <c r="D45" s="104" t="s">
        <v>230</v>
      </c>
    </row>
    <row r="46" spans="4:10" ht="20.100000000000001" customHeight="1" x14ac:dyDescent="0.25">
      <c r="D46" s="103" t="s">
        <v>231</v>
      </c>
    </row>
    <row r="47" spans="4:10" ht="20.100000000000001" customHeight="1" x14ac:dyDescent="0.25">
      <c r="D47" s="65" t="s">
        <v>66</v>
      </c>
      <c r="E47" s="65" t="s">
        <v>320</v>
      </c>
    </row>
    <row r="48" spans="4:10" ht="20.100000000000001" customHeight="1" x14ac:dyDescent="0.25">
      <c r="D48" s="55" t="str">
        <f>'Input - Feedlot'!$D$32</f>
        <v>Solid storage</v>
      </c>
      <c r="E48" s="55">
        <f>'Input - Feedlot'!J32+'Input - Feedlot'!K32</f>
        <v>0.75</v>
      </c>
      <c r="F48" s="2" t="s">
        <v>322</v>
      </c>
      <c r="H48" s="2"/>
      <c r="I48" s="2"/>
      <c r="J48" s="2"/>
    </row>
    <row r="49" spans="3:19" ht="20.100000000000001" customHeight="1" x14ac:dyDescent="0.25">
      <c r="D49" s="55" t="str">
        <f>'Input - Feedlot'!$D$33</f>
        <v>Composting (passive windrow)</v>
      </c>
      <c r="E49" s="55">
        <f>'Input - Feedlot'!J33+'Input - Feedlot'!K33</f>
        <v>0.75</v>
      </c>
      <c r="F49" s="2" t="s">
        <v>322</v>
      </c>
      <c r="H49" s="2"/>
      <c r="I49" s="2"/>
      <c r="J49" s="2"/>
    </row>
    <row r="50" spans="3:19" ht="20.100000000000001" customHeight="1" x14ac:dyDescent="0.25">
      <c r="D50" s="55" t="str">
        <f>'Input - Feedlot'!$D$34</f>
        <v>Direct application</v>
      </c>
      <c r="E50" s="55">
        <f>'Input - Feedlot'!J34+'Input - Feedlot'!K34</f>
        <v>1</v>
      </c>
      <c r="F50" s="2" t="s">
        <v>322</v>
      </c>
      <c r="H50" s="2"/>
      <c r="I50" s="2"/>
      <c r="J50" s="2"/>
    </row>
    <row r="51" spans="3:19" ht="20.100000000000001" customHeight="1" x14ac:dyDescent="0.25">
      <c r="D51" s="55" t="str">
        <f>'Input - Feedlot'!$D$38</f>
        <v>Anaerobic lagoon</v>
      </c>
      <c r="E51" s="55">
        <f>'Input - Feedlot'!J38+'Input - Feedlot'!K38</f>
        <v>0.75</v>
      </c>
      <c r="F51" s="2" t="s">
        <v>322</v>
      </c>
      <c r="H51" s="2"/>
      <c r="I51" s="2"/>
      <c r="J51" s="2"/>
    </row>
    <row r="52" spans="3:19" ht="20.100000000000001" customHeight="1" x14ac:dyDescent="0.25"/>
    <row r="53" spans="3:19" ht="20.100000000000001" customHeight="1" x14ac:dyDescent="0.25">
      <c r="D53" s="104" t="s">
        <v>237</v>
      </c>
      <c r="N53" s="104" t="s">
        <v>250</v>
      </c>
    </row>
    <row r="54" spans="3:19" ht="20.100000000000001" customHeight="1" x14ac:dyDescent="0.25">
      <c r="D54" s="103" t="s">
        <v>252</v>
      </c>
      <c r="N54" s="103" t="s">
        <v>251</v>
      </c>
    </row>
    <row r="55" spans="3:19" ht="20.100000000000001" customHeight="1" x14ac:dyDescent="0.25">
      <c r="D55" s="54" t="s">
        <v>66</v>
      </c>
      <c r="E55" s="54" t="s">
        <v>135</v>
      </c>
      <c r="F55" s="54" t="s">
        <v>136</v>
      </c>
      <c r="G55" s="54" t="s">
        <v>137</v>
      </c>
      <c r="N55" s="54" t="s">
        <v>66</v>
      </c>
      <c r="O55" s="54" t="s">
        <v>135</v>
      </c>
      <c r="P55" s="54" t="s">
        <v>136</v>
      </c>
      <c r="Q55" s="54" t="s">
        <v>137</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238</v>
      </c>
      <c r="E61" s="109">
        <f>SUM(E56:G59)</f>
        <v>24340.194998288636</v>
      </c>
      <c r="F61" s="110" t="str">
        <f>$E$12</f>
        <v>kg N</v>
      </c>
      <c r="N61" s="108" t="s">
        <v>238</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25</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tr" cm="1">
        <f t="array" ref="E71">MMS_Feedlot_ManureAppliedToSoils_Equations.VEERG_4_1_1_9__2_MassOfNitrogenAppliedToSoilsScope3_Variable()</f>
        <v>MNSoil_scope3</v>
      </c>
    </row>
    <row r="72" spans="4:14" ht="20.100000000000001" customHeight="1" x14ac:dyDescent="0.25">
      <c r="D72" s="56" t="s">
        <v>18</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241</v>
      </c>
      <c r="N79" s="104" t="s">
        <v>246</v>
      </c>
    </row>
    <row r="80" spans="4:14" ht="20.100000000000001" customHeight="1" x14ac:dyDescent="0.25">
      <c r="D80" s="103" t="s">
        <v>249</v>
      </c>
      <c r="N80" s="103" t="s">
        <v>247</v>
      </c>
    </row>
    <row r="81" spans="3:19" ht="20.100000000000001" customHeight="1" x14ac:dyDescent="0.25">
      <c r="D81" s="54" t="s">
        <v>66</v>
      </c>
      <c r="E81" s="54" t="s">
        <v>135</v>
      </c>
      <c r="F81" s="54" t="s">
        <v>136</v>
      </c>
      <c r="G81" s="54" t="s">
        <v>137</v>
      </c>
      <c r="N81" s="54" t="s">
        <v>66</v>
      </c>
      <c r="O81" s="54" t="s">
        <v>135</v>
      </c>
      <c r="P81" s="54" t="s">
        <v>136</v>
      </c>
      <c r="Q81" s="54" t="s">
        <v>137</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243</v>
      </c>
      <c r="E87" s="109">
        <f>SUM(E82:G85)</f>
        <v>2221.8698202508799</v>
      </c>
      <c r="F87" s="110" t="str">
        <f>$E$12</f>
        <v>kg N</v>
      </c>
      <c r="N87" s="108" t="s">
        <v>243</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253</v>
      </c>
      <c r="E92" s="93"/>
      <c r="F92" s="93"/>
      <c r="G92" s="93"/>
      <c r="H92" s="91"/>
    </row>
    <row r="93" spans="3:19" ht="20.100000000000001" customHeight="1" x14ac:dyDescent="0.25"/>
    <row r="94" spans="3:19" ht="20.100000000000001" customHeight="1" x14ac:dyDescent="0.25">
      <c r="D94" s="6" t="s">
        <v>303</v>
      </c>
    </row>
    <row r="95" spans="3:19" ht="20.100000000000001" customHeight="1" x14ac:dyDescent="0.25">
      <c r="D95" s="104" t="s">
        <v>239</v>
      </c>
    </row>
    <row r="96" spans="3:19" ht="20.100000000000001" customHeight="1" x14ac:dyDescent="0.25">
      <c r="D96" s="103" t="s">
        <v>240</v>
      </c>
    </row>
    <row r="97" spans="4:18" ht="20.100000000000001" customHeight="1" x14ac:dyDescent="0.25">
      <c r="D97" s="65" t="s">
        <v>66</v>
      </c>
      <c r="E97" s="65" t="s">
        <v>343</v>
      </c>
    </row>
    <row r="98" spans="4:18" ht="20.100000000000001" customHeight="1" x14ac:dyDescent="0.25">
      <c r="D98" s="55" t="str">
        <f>'Input - Feedlot'!$D$32</f>
        <v>Solid storage</v>
      </c>
      <c r="E98" s="55">
        <f>'Input - Feedlot'!J32</f>
        <v>0.25</v>
      </c>
      <c r="F98" s="2" t="s">
        <v>322</v>
      </c>
    </row>
    <row r="99" spans="4:18" ht="20.100000000000001" customHeight="1" x14ac:dyDescent="0.25">
      <c r="D99" s="55" t="str">
        <f>'Input - Feedlot'!$D$33</f>
        <v>Composting (passive windrow)</v>
      </c>
      <c r="E99" s="55">
        <f>'Input - Feedlot'!J33</f>
        <v>0.25</v>
      </c>
      <c r="F99" s="2" t="s">
        <v>322</v>
      </c>
    </row>
    <row r="100" spans="4:18" ht="20.100000000000001" customHeight="1" x14ac:dyDescent="0.25">
      <c r="D100" s="55" t="str">
        <f>'Input - Feedlot'!$D$34</f>
        <v>Direct application</v>
      </c>
      <c r="E100" s="55">
        <v>0</v>
      </c>
      <c r="F100" s="2" t="s">
        <v>322</v>
      </c>
    </row>
    <row r="101" spans="4:18" ht="20.100000000000001" customHeight="1" x14ac:dyDescent="0.25">
      <c r="D101" s="55" t="str">
        <f>'Input - Feedlot'!$D$38</f>
        <v>Anaerobic lagoon</v>
      </c>
      <c r="E101" s="55">
        <f>'Input - Feedlot'!J38</f>
        <v>0.25</v>
      </c>
      <c r="F101" s="2" t="s">
        <v>322</v>
      </c>
    </row>
    <row r="102" spans="4:18" ht="20.100000000000001" customHeight="1" x14ac:dyDescent="0.25"/>
    <row r="103" spans="4:18" ht="20.100000000000001" customHeight="1" x14ac:dyDescent="0.25">
      <c r="D103" s="104" t="s">
        <v>242</v>
      </c>
      <c r="N103" s="104" t="s">
        <v>244</v>
      </c>
    </row>
    <row r="104" spans="4:18" ht="20.100000000000001" customHeight="1" x14ac:dyDescent="0.25">
      <c r="D104" s="103" t="s">
        <v>248</v>
      </c>
      <c r="N104" s="103" t="s">
        <v>245</v>
      </c>
    </row>
    <row r="105" spans="4:18" ht="20.100000000000001" customHeight="1" x14ac:dyDescent="0.25">
      <c r="D105" s="54" t="s">
        <v>66</v>
      </c>
      <c r="E105" s="54" t="s">
        <v>135</v>
      </c>
      <c r="F105" s="54" t="s">
        <v>136</v>
      </c>
      <c r="G105" s="54" t="s">
        <v>137</v>
      </c>
      <c r="N105" s="54" t="s">
        <v>66</v>
      </c>
      <c r="O105" s="54" t="s">
        <v>135</v>
      </c>
      <c r="P105" s="54" t="s">
        <v>136</v>
      </c>
      <c r="Q105" s="54" t="s">
        <v>137</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254</v>
      </c>
      <c r="E111" s="109">
        <f>SUM(E106:G109)</f>
        <v>2221.8698202508799</v>
      </c>
      <c r="F111" s="110" t="str">
        <f>$E$12</f>
        <v>kg N</v>
      </c>
      <c r="N111" s="108" t="s">
        <v>254</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74</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112</v>
      </c>
      <c r="G25" s="6" t="s">
        <v>270</v>
      </c>
      <c r="J25" s="6" t="s">
        <v>272</v>
      </c>
      <c r="M25" s="1"/>
    </row>
    <row r="26" spans="1:13" ht="20.100000000000001" customHeight="1" x14ac:dyDescent="0.25">
      <c r="M26" s="1"/>
    </row>
    <row r="27" spans="1:13" ht="20.100000000000001" customHeight="1" x14ac:dyDescent="0.25">
      <c r="D27" s="102" t="s">
        <v>66</v>
      </c>
      <c r="E27" s="39" t="s">
        <v>79</v>
      </c>
      <c r="G27" s="39" t="s">
        <v>271</v>
      </c>
      <c r="J27" s="39" t="s">
        <v>268</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273</v>
      </c>
      <c r="M28" s="1"/>
    </row>
    <row r="29" spans="1:13" ht="20.100000000000001" customHeight="1" x14ac:dyDescent="0.25">
      <c r="D29" s="39" t="str">
        <f>'Constants - Livestock'!$E$15</f>
        <v>Solid storage</v>
      </c>
      <c r="E29" s="39" t="str">
        <f>'Constants - Livestock'!$F$15</f>
        <v>Solid storage (m=4)</v>
      </c>
      <c r="G29" s="1" t="str">
        <f>'Constants - Common'!$F$187</f>
        <v>Pasture</v>
      </c>
      <c r="J29" s="39" t="s">
        <v>274</v>
      </c>
      <c r="M29" s="1"/>
    </row>
    <row r="30" spans="1:13" ht="20.100000000000001" customHeight="1" x14ac:dyDescent="0.25">
      <c r="D30" s="39" t="str">
        <f>'Constants - Livestock'!$E$17</f>
        <v>Composting (passive windrow)</v>
      </c>
      <c r="E30" s="39" t="str">
        <f>'Constants - Livestock'!$F$17</f>
        <v>Composting (passive windrow) (m=6)</v>
      </c>
      <c r="J30" s="1" t="s">
        <v>275</v>
      </c>
      <c r="M30" s="1"/>
    </row>
    <row r="31" spans="1:13" ht="20.100000000000001" customHeight="1" x14ac:dyDescent="0.25">
      <c r="D31" s="39" t="str">
        <f>'Constants - Livestock'!$E$26</f>
        <v>Direct application</v>
      </c>
      <c r="E31" s="39" t="str">
        <f>'Constants - Livestock'!$F$26</f>
        <v>Direct application (m=13)</v>
      </c>
      <c r="J31" s="1" t="s">
        <v>276</v>
      </c>
      <c r="M31" s="1"/>
    </row>
    <row r="32" spans="1:13" ht="20.100000000000001" customHeight="1" x14ac:dyDescent="0.25">
      <c r="D32" s="1" t="str">
        <f>'Constants - Livestock'!$E$10</f>
        <v>Anaerobic lagoon</v>
      </c>
      <c r="E32" s="1" t="str">
        <f>'Constants - Livestock'!$F$10</f>
        <v>Anaerobic lagoon (m=1)</v>
      </c>
      <c r="J32" s="1" t="s">
        <v>277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129</v>
      </c>
      <c r="E38" s="39" t="s">
        <v>142</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129</v>
      </c>
      <c r="E49" s="39" t="s">
        <v>139</v>
      </c>
      <c r="F49" s="39" t="s">
        <v>18</v>
      </c>
      <c r="G49" s="39" t="s">
        <v>140</v>
      </c>
      <c r="H49" s="39" t="s">
        <v>131</v>
      </c>
      <c r="I49" s="39" t="s">
        <v>132</v>
      </c>
      <c r="J49" s="39" t="s">
        <v>133</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129</v>
      </c>
      <c r="E66" s="39" t="s">
        <v>130</v>
      </c>
      <c r="F66" s="39" t="s">
        <v>18</v>
      </c>
      <c r="G66" s="39" t="s">
        <v>131</v>
      </c>
      <c r="H66" s="39" t="s">
        <v>132</v>
      </c>
      <c r="I66" s="39" t="s">
        <v>133</v>
      </c>
      <c r="J66" s="39" t="s">
        <v>138</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107</v>
      </c>
      <c r="E88" s="39" t="s">
        <v>102</v>
      </c>
      <c r="F88" s="39" t="s">
        <v>81</v>
      </c>
      <c r="G88" s="39" t="s">
        <v>80</v>
      </c>
      <c r="H88" s="39" t="s">
        <v>83</v>
      </c>
      <c r="I88" s="39" t="s">
        <v>82</v>
      </c>
      <c r="J88" s="39" t="s">
        <v>84</v>
      </c>
      <c r="K88" s="39" t="s">
        <v>86</v>
      </c>
      <c r="L88" s="39" t="s">
        <v>87</v>
      </c>
      <c r="M88" s="39" t="s">
        <v>85</v>
      </c>
      <c r="N88" s="39" t="s">
        <v>97</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107</v>
      </c>
      <c r="E100" s="39" t="s">
        <v>102</v>
      </c>
      <c r="F100" s="39" t="s">
        <v>143</v>
      </c>
      <c r="G100" s="39" t="s">
        <v>97</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107</v>
      </c>
      <c r="E112" s="114" t="s">
        <v>102</v>
      </c>
      <c r="F112" s="114" t="s">
        <v>144</v>
      </c>
      <c r="G112" s="114" t="s">
        <v>97</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91</v>
      </c>
      <c r="E134" t="s">
        <v>92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296</v>
      </c>
      <c r="E142" s="39" t="s">
        <v>92</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265</v>
      </c>
      <c r="E186" s="39" t="s">
        <v>266</v>
      </c>
      <c r="F186" s="39" t="s">
        <v>267</v>
      </c>
      <c r="G186" s="39" t="s">
        <v>268</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297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299</v>
      </c>
      <c r="E212" s="39" t="s">
        <v>300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329</v>
      </c>
      <c r="F231" s="38" t="s">
        <v>330</v>
      </c>
      <c r="G231" s="39" t="s">
        <v>331</v>
      </c>
      <c r="H231" s="39" t="s">
        <v>332</v>
      </c>
      <c r="I231" s="39" t="s">
        <v>333</v>
      </c>
      <c r="J231" s="39" t="s">
        <v>334</v>
      </c>
      <c r="K231" s="39" t="s">
        <v>335</v>
      </c>
      <c r="L231" s="39" t="s">
        <v>336</v>
      </c>
      <c r="M231" s="39" t="s">
        <v>337</v>
      </c>
      <c r="N231" s="39" t="s">
        <v>338</v>
      </c>
      <c r="O231" s="39" t="s">
        <v>339</v>
      </c>
      <c r="P231" s="39" t="s">
        <v>340</v>
      </c>
      <c r="Q231" s="39" t="s">
        <v>314</v>
      </c>
      <c r="R231" s="39" t="s">
        <v>341</v>
      </c>
      <c r="S231" s="39" t="s">
        <v>342</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350</v>
      </c>
      <c r="E257" s="39" t="s">
        <v>351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78</v>
      </c>
      <c r="E9" s="39" t="s">
        <v>19</v>
      </c>
      <c r="F9" s="39" t="s">
        <v>79</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74</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76</v>
      </c>
    </row>
    <row r="17" spans="1:1" ht="20.100000000000001" customHeight="1" x14ac:dyDescent="0.25">
      <c r="A17" s="69" t="s">
        <v>72</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74</v>
      </c>
    </row>
    <row r="22" spans="1:1" ht="20.100000000000001" customHeight="1" x14ac:dyDescent="0.25">
      <c r="A22" s="69" t="s">
        <v>1</v>
      </c>
    </row>
    <row r="23" spans="1:1" ht="20.100000000000001" customHeight="1" x14ac:dyDescent="0.25">
      <c r="A23" s="69" t="s">
        <v>73</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76</v>
      </c>
    </row>
    <row r="32" spans="1:1" ht="20.100000000000001" customHeight="1" x14ac:dyDescent="0.25">
      <c r="A32" s="69" t="s">
        <v>72</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21</vt:i4>
      </vt:variant>
    </vt:vector>
  </HeadingPairs>
  <TitlesOfParts>
    <vt:vector size="35"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VEERG_4_1_1_1__1_TotalAnnualMethaneEmissions_Result_Method1</vt:lpstr>
      <vt:lpstr>VEERG_4_1_1_1__1_TotalAnnualMethaneEmissions_Result_Method2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2026-06-15T04:16:06Z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