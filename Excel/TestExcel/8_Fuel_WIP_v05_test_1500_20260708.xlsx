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58B7D6DE-2D19-42E3-94EC-4E55EA2CBC56}" xr6:coauthVersionLast="47" xr6:coauthVersionMax="47" xr10:uidLastSave="{00000000-0000-0000-0000-000000000000}"/>
  <bookViews>
    <workbookView xWindow="0" yWindow="0" windowWidth="28800" windowHeight="17280" firstSheet="1" activeTab="6"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3"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70" l="1" a="1"/>
  <c r="J21" i="70" s="1"/>
  <c r="J20" i="70" a="1"/>
  <c r="J20" i="70" s="1"/>
  <c r="J19" i="70" a="1"/>
  <c r="J19" i="70" s="1"/>
  <c r="J18" i="70" a="1"/>
  <c r="J18" i="70" s="1"/>
  <c r="J17" i="70" a="1"/>
  <c r="J17" i="70" s="1"/>
  <c r="I20" i="70"/>
  <c r="I18" i="70"/>
  <c r="H21" i="70"/>
  <c r="H20" i="70"/>
  <c r="H19" i="70"/>
  <c r="H18" i="70"/>
  <c r="P18" i="74"/>
  <c r="P17" i="74"/>
  <c r="E259" i="123"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a="1"/>
  <c r="D211" i="123" s="1"/>
  <c r="E208" i="123" a="1"/>
  <c r="E208" i="123" s="1"/>
  <c r="D208" i="123" a="1"/>
  <c r="D208" i="123" s="1"/>
  <c r="E207" i="123" a="1"/>
  <c r="E207" i="123" s="1"/>
  <c r="D207" i="123" a="1"/>
  <c r="D207" i="123" s="1"/>
  <c r="D205" i="123" a="1"/>
  <c r="D205" i="123" s="1"/>
  <c r="D204" i="123" a="1"/>
  <c r="D204" i="123" s="1"/>
  <c r="D203" i="123" a="1"/>
  <c r="D203" i="123" s="1"/>
  <c r="D202" i="123" a="1"/>
  <c r="D202" i="123" s="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a="1"/>
  <c r="D175" i="123" s="1"/>
  <c r="D174" i="123" a="1"/>
  <c r="D174" i="123" s="1"/>
  <c r="D173" i="123" a="1"/>
  <c r="D173" i="123" s="1"/>
  <c r="D170" i="123" a="1"/>
  <c r="D170" i="123" s="1"/>
  <c r="D169" i="123"/>
  <c r="D169" i="123" a="1"/>
  <c r="D168" i="123" a="1"/>
  <c r="D168" i="123" s="1"/>
  <c r="D167" i="123" a="1"/>
  <c r="D167" i="123" s="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c r="D140" i="123" a="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c r="D116" i="123" a="1"/>
  <c r="D115" i="123"/>
  <c r="D115" i="123" a="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a="1"/>
  <c r="D107" i="123" s="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H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H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c r="D34" i="123" a="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F7" i="123" a="1"/>
  <c r="F7" i="123" s="1"/>
  <c r="E7" i="123" a="1"/>
  <c r="E7" i="123" s="1"/>
  <c r="D7" i="123" a="1"/>
  <c r="D7" i="123" s="1"/>
  <c r="D5" i="123" a="1"/>
  <c r="D5" i="123" s="1"/>
  <c r="K7" i="74" a="1"/>
  <c r="K7" i="74" s="1"/>
  <c r="A15" i="122"/>
  <c r="A14" i="122"/>
  <c r="E13" i="122"/>
  <c r="A11" i="122"/>
  <c r="A8" i="122"/>
  <c r="A5" i="122"/>
  <c r="A4" i="122"/>
  <c r="A3" i="122"/>
  <c r="I21" i="70" l="1"/>
  <c r="I19" i="70"/>
  <c r="H50" i="123"/>
  <c r="H51" i="123"/>
  <c r="H48" i="123"/>
  <c r="H52" i="123"/>
  <c r="H54" i="123"/>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7" i="69" a="1"/>
  <c r="L8" i="74" a="1"/>
  <c r="L8" i="74" l="1"/>
  <c r="L7" i="69"/>
  <c r="H17" i="70" l="1"/>
  <c r="I17" i="70"/>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6" i="74"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A69" i="69"/>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7" i="69" a="1"/>
  <c r="K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J32" i="69" a="1"/>
  <c r="J32" i="69" s="1"/>
  <c r="M28" i="69" a="1"/>
  <c r="M28" i="69" s="1"/>
  <c r="M30" i="69" a="1"/>
  <c r="M30" i="69" s="1"/>
  <c r="M25" i="69" a="1"/>
  <c r="M25" i="69" s="1"/>
  <c r="L25" i="69" a="1"/>
  <c r="L25" i="69" s="1"/>
  <c r="M31" i="69" a="1"/>
  <c r="M31" i="69" s="1"/>
  <c r="G36" i="69" a="1"/>
  <c r="G36" i="69" s="1"/>
  <c r="G29" i="69" a="1"/>
  <c r="G29" i="69" s="1"/>
  <c r="I36" i="69" a="1"/>
  <c r="I36" i="69" s="1"/>
  <c r="H28" i="69" a="1"/>
  <c r="H28" i="69" s="1"/>
  <c r="M35" i="69" a="1"/>
  <c r="M35" i="69" s="1"/>
  <c r="J36" i="69" a="1"/>
  <c r="J36" i="69" s="1"/>
  <c r="I28" i="69" a="1"/>
  <c r="I28" i="69" s="1"/>
  <c r="M36" i="69" a="1"/>
  <c r="M36" i="69" s="1"/>
  <c r="G34" i="69" a="1"/>
  <c r="G34" i="69" s="1"/>
  <c r="M37" i="69" a="1"/>
  <c r="M37" i="69" s="1"/>
  <c r="G37" i="69" a="1"/>
  <c r="G37" i="69" s="1"/>
  <c r="H34" i="69" a="1"/>
  <c r="H34" i="69" s="1"/>
  <c r="M38" i="69" a="1"/>
  <c r="M38" i="69" s="1"/>
  <c r="I34" i="69" a="1"/>
  <c r="I34" i="69" s="1"/>
  <c r="M39" i="69" a="1"/>
  <c r="M39" i="69" s="1"/>
  <c r="J34" i="69" a="1"/>
  <c r="J34" i="69" s="1"/>
  <c r="J29" i="69" a="1"/>
  <c r="J29"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I30" i="69" l="1" a="1"/>
  <c r="I30" i="69" s="1"/>
  <c r="K29" i="69" a="1"/>
  <c r="K29" i="69" s="1"/>
  <c r="Q29" i="69" s="1" a="1"/>
  <c r="Q29" i="69" s="1"/>
  <c r="H29" i="69" a="1"/>
  <c r="H29" i="69" s="1"/>
  <c r="H30" i="69" a="1"/>
  <c r="H30" i="69" s="1"/>
  <c r="J37" i="69" a="1"/>
  <c r="J37" i="69" s="1"/>
  <c r="Q37" i="69" a="1"/>
  <c r="Q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O27" i="69" s="1" a="1"/>
  <c r="O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J26" i="69" a="1"/>
  <c r="J26" i="69" s="1"/>
  <c r="O34" i="69" a="1"/>
  <c r="O34" i="69" s="1"/>
  <c r="P37" i="69" a="1"/>
  <c r="P37" i="69" s="1"/>
  <c r="P34" i="69" a="1"/>
  <c r="P34" i="69" s="1"/>
  <c r="N37" i="69" a="1"/>
  <c r="N37" i="69" s="1"/>
  <c r="O37" i="69" a="1"/>
  <c r="O37" i="69" s="1"/>
  <c r="P27" i="69" a="1"/>
  <c r="P27" i="69" s="1"/>
  <c r="O35" i="69" a="1"/>
  <c r="O35" i="69" s="1"/>
  <c r="N35" i="69" a="1"/>
  <c r="N35" i="69" s="1"/>
  <c r="N36" i="69" a="1"/>
  <c r="N36" i="69" s="1"/>
  <c r="O36" i="69" a="1"/>
  <c r="O36" i="69" s="1"/>
  <c r="P36" i="69" a="1"/>
  <c r="P36" i="69" s="1"/>
  <c r="P35" i="69" a="1"/>
  <c r="P35" i="69" s="1"/>
  <c r="N28" i="69" a="1"/>
  <c r="N28" i="69" s="1"/>
  <c r="O28" i="69" a="1"/>
  <c r="O28" i="69" s="1"/>
  <c r="P28" i="69" a="1"/>
  <c r="P28" i="69" s="1"/>
  <c r="O29" i="69" a="1"/>
  <c r="O29" i="69" s="1"/>
  <c r="P29" i="69" a="1"/>
  <c r="P29" i="69" s="1"/>
  <c r="N29" i="69" a="1"/>
  <c r="N29" i="69" s="1"/>
  <c r="O38" i="69" l="1"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E64" i="69" s="1"/>
  <c r="Q30" i="69" a="1"/>
  <c r="Q30" i="69" s="1"/>
  <c r="Q26" i="69" a="1"/>
  <c r="Q26" i="69" s="1"/>
  <c r="E58" i="69"/>
  <c r="O25" i="69" a="1"/>
  <c r="O25" i="69" s="1"/>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6" i="69"/>
  <c r="E57" i="69"/>
  <c r="E55" i="69"/>
  <c r="E49" i="69"/>
  <c r="E62" i="69" l="1"/>
  <c r="E46" i="69"/>
  <c r="E70" i="69" s="1"/>
  <c r="E63" i="69"/>
  <c r="E61" i="69"/>
  <c r="E44" i="69"/>
  <c r="E58" i="74"/>
  <c r="E45" i="69"/>
  <c r="E45" i="74"/>
  <c r="E43" i="74"/>
  <c r="E44" i="74"/>
  <c r="E50" i="74"/>
  <c r="E51" i="74"/>
  <c r="E49" i="74"/>
  <c r="E43" i="69"/>
  <c r="E67" i="69" s="1"/>
  <c r="E9" i="13" s="1"/>
  <c r="E68" i="69" l="1"/>
  <c r="E10" i="13" s="1"/>
  <c r="F10" i="13" s="1"/>
  <c r="E69" i="69"/>
  <c r="E11" i="13" s="1"/>
  <c r="F11" i="13" s="1"/>
  <c r="F9" i="13"/>
  <c r="E56" i="74"/>
  <c r="E13" i="13" s="1"/>
  <c r="F13" i="13" s="1"/>
  <c r="E55" i="74"/>
  <c r="E12" i="13" s="1"/>
  <c r="F12" i="13" s="1"/>
  <c r="E57" i="74"/>
  <c r="E14" i="13" s="1"/>
  <c r="F14" i="13" s="1"/>
  <c r="F15" i="13" l="1"/>
  <c r="E15" i="13"/>
  <c r="A17" i="118"/>
  <c r="A5" i="118"/>
  <c r="A4" i="118"/>
  <c r="A3" i="118"/>
  <c r="A37" i="69" l="1"/>
  <c r="A83" i="69"/>
  <c r="A76" i="74"/>
  <c r="A38" i="7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<sst xmlns="http://schemas.openxmlformats.org/spreadsheetml/2006/main" count="357" uniqueCount="213">
  <si>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</si>
  <si>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</si>
  <si>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</si>
  <si>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</si>
  <si>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</si>
  <si>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</si>
  <si>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</si>
  <si>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</si>
  <si>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</si>
  <si>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</si>
  <si>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</si>
  <si>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</si>
  <si>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</si>
  <si>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</si>
  <si>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</si>
  <si>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</si>
  <si>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</si>
  <si>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</si>
  <si>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</si>
  <si>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</si>
  <si>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</si>
  <si>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</si>
  <si>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</si>
  <si>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</si>
  <si>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</si>
  <si>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</si>
  <si>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</si>
  <si>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</si>
  <si>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</si>
  <si>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</si>
  <si>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</si>
  <si>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</si>
  <si>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</si>
  <si>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</si>
  <si>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</si>
  <si>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</si>
  <si>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</si>
  <si>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</si>
  <si>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</si>
  <si>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</si>
  <si>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</si>
  <si>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</si>
  <si>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</si>
  <si>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</si>
  <si>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</si>
  <si>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</si>
  <si>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</si>
  <si>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</si>
  <si>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</si>
  <si>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</si>
  <si>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</si>
  <si>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</si>
  <si>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</si>
  <si>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</si>
  <si>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</si>
  <si>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</si>
  <si>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</si>
  <si>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</si>
  <si>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</si>
  <si>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</si>
  <si>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</si>
  <si>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</si>
  <si>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</si>
  <si>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</si>
  <si>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</si>
  <si>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</si>
  <si>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</si>
  <si>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</si>
  <si>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</si>
  <si>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</si>
  <si>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</si>
  <si>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</si>
  <si>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</si>
  <si>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</si>
  <si>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</si>
  <si>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</si>
  <si>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</si>
  <si>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</si>
  <si>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</si>
  <si>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</si>
  <si>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</si>
  <si>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</si>
  <si>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</si>
  <si>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</si>
  <si>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</si>
  <si>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</si>
  <si>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</si>
  <si>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</si>
  <si>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</si>
  <si>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</si>
  <si>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</si>
  <si>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</si>
  <si>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</si>
  <si>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</si>
  <si>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</si>
  <si>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</si>
  <si>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</si>
  <si>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</si>
  <si>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</si>
  <si>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</si>
  <si>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</si>
  <si>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</si>
  <si>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</si>
  <si>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</si>
  <si>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</si>
  <si>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</si>
  <si>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</si>
  <si>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</si>
  <si>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</si>
  <si>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</si>
  <si>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</si>
  <si>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</si>
  <si>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</si>
  <si>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</si>
  <si>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</si>
  <si>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</si>
  <si>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</si>
  <si>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</si>
  <si>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</si>
  <si>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</si>
  <si>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</si>
  <si>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</si>
  <si>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</si>
  <si>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</si>
  <si>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</si>
  <si>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</si>
  <si>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</si>
  <si>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</si>
  <si>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</si>
  <si>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</si>
  <si>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</si>
  <si>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</si>
  <si>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</si>
  <si>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</si>
  <si>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</si>
  <si>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</si>
  <si>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</si>
  <si>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</si>
  <si>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</si>
  <si>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</si>
  <si>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</si>
  <si>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</si>
  <si>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</si>
  <si>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</si>
  <si>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</si>
  <si>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</si>
  <si>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</si>
  <si>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</si>
  <si>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</si>
  <si>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</si>
  <si>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</si>
  <si>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</si>
  <si>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</si>
  <si>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</si>
  <si>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</si>
  <si>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</si>
  <si>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</si>
  <si>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</si>
  <si>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</si>
  <si>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</si>
  <si>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</si>
  <si>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</si>
  <si>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</si>
  <si>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</si>
  <si>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</si>
  <si>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</si>
  <si>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</si>
  <si>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</si>
  <si>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</si>
  <si>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</si>
  <si>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</si>
  <si>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</si>
  <si>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</si>
  <si>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</si>
  <si>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</si>
  <si>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</si>
  <si>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</si>
  <si>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</si>
  <si>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</si>
  <si>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</si>
  <si>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</si>
  <si>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</si>
  <si>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</si>
  <si>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</si>
  <si>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</si>
  <si>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</si>
  <si>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</si>
  <si>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</si>
  <si>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Reporting entity name</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</si>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</sst>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62">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xf numFmtId="9" fontId="26" fillId="4" borderId="2" xfId="52" applyNumberFormat="1">
      <alignment horizontal="center" vertical="center"/>
    </xf>
    <xf numFmtId="9" fontId="26" fillId="4" borderId="15" xfId="52" applyNumberFormat="1" applyBorder="1">
      <alignment horizontal="center"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2"/>
      <tableStyleElement type="headerRow" dxfId="121"/>
      <tableStyleElement type="totalRow" dxfId="120"/>
      <tableStyleElement type="firstColumn" dxfId="119"/>
      <tableStyleElement type="firstRowStripe" dxfId="118"/>
      <tableStyleElement type="secondRowStripe" dxfId="117"/>
    </tableStyle>
    <tableStyle name="Equation table" pivot="0" count="6" xr9:uid="{B247698E-E41D-4CCD-AA0A-C14817E9DE65}">
      <tableStyleElement type="wholeTable" dxfId="116"/>
      <tableStyleElement type="headerRow" dxfId="115"/>
      <tableStyleElement type="totalRow" dxfId="114"/>
      <tableStyleElement type="firstColumn" dxfId="113"/>
      <tableStyleElement type="firstRowStripe" dxfId="112"/>
      <tableStyleElement type="secondRowStripe" dxfId="11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11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109" dataCellStyle="Input select" totalsRowCellStyle="Input select"/>
    <tableColumn id="3" xr3:uid="{30909C53-73F3-46FE-93B7-F60E126CD84F}" name="Fuel type (select)" totalsRowDxfId="108" dataCellStyle="Input select" totalsRowCellStyle="Input select"/>
    <tableColumn id="4" xr3:uid="{9DFFE0DC-C289-47FB-8F0C-2D2F480EEE4C}" name="Amount purchased" totalsRowDxfId="107" totalsRowCellStyle="Content bold"/>
    <tableColumn id="6" xr3:uid="{29AE264C-132E-48F6-8BA3-262EAF9E4687}" name="Amount unit" totalsRowDxfId="106"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105" totalsRowCellStyle="Input percent">
      <calculatedColumnFormula>1</calculatedColumnFormula>
    </tableColumn>
    <tableColumn id="1" xr3:uid="{AE1D2D8C-400E-46F5-850E-2BBEDF1657F8}" name="Amount consumed" totalsRowFunction="custom" totalsRowDxfId="10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10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2" dataDxfId="1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0">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99">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98">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97">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96">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95">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94">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2" dataDxfId="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0">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89">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88">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87">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86">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85">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84">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83">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81" dataDxfId="80">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79"/>
    <tableColumn id="2" xr3:uid="{6E069153-6950-4C63-9ADE-F4A2F0DF67AF}" name="Power standalone machinery or heating" dataDxfId="78"/>
    <tableColumn id="3" xr3:uid="{3917BF44-833D-42F1-B3B3-C62FEF76A321}" name="Aviation" dataDxfId="77"/>
    <tableColumn id="5" xr3:uid="{4F35E2A0-90CD-4AC1-B52F-870485779A73}" name="Cars and light commercial vehicles" dataDxfId="76"/>
    <tableColumn id="7" xr3:uid="{1651A844-7E2B-435C-A7B4-4B0FFD5577CE}" name="Off-road Agriculture and forestry equipment" dataDxfId="75" dataCellStyle="Content bold"/>
    <tableColumn id="8" xr3:uid="{FCED622E-3FDD-4E8D-B2D1-E4C99EF7323A}" name="Vessels" dataDxfId="74"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3" dataDxfId="72">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1">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70">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69">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68">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67">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66">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65">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64" totalsRowDxfId="63">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2">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61">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60">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59"/>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868FF-DEFE-4F2A-BBC2-8CFB583605B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888B033-D4C3-4F54-AD13-F79A64C033D8}" name="State/Territory">
      <calculatedColumnFormula array="1">Common_InputFunctions.Utility_DisplayArrayInTable(Common_SourceData.Common_SourceData_AustralianStatesTerritories_Data(),Table_AustralianStates[[#Headers],[State/Territory]],0)</calculatedColumnFormula>
    </tableColumn>
    <tableColumn id="2" xr3:uid="{E18DD9BA-DB99-40DA-BCF4-0820EF8686E9}" name="Common Name">
      <calculatedColumnFormula array="1">Common_InputFunctions.Utility_DisplayArrayInTable(Common_SourceData.Common_SourceData_AustralianStatesTerritories_Data(),Table_AustralianStates[[#Headers],[State/Territory]],0)</calculatedColumnFormula>
    </tableColumn>
    <tableColumn id="3" xr3:uid="{0974923D-DF7A-4763-86CF-35CCBEC9D94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1C654A-204B-46EF-884D-107B750FE1C8}" name="Table_WASA4Areas" displayName="Table_WASA4Areas" ref="D20:D30" totalsRowShown="0">
  <autoFilter ref="D20:D30" xr:uid="{5FA81339-C6C8-4D36-BEEA-6C4AEDD9E676}">
    <filterColumn colId="0" hiddenButton="1"/>
  </autoFilter>
  <tableColumns count="1">
    <tableColumn id="1" xr3:uid="{18FCB515-E2BD-49D8-AB87-CF42BF6D3EC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E5A8BF-2469-430F-A289-FC17EEA0797E}" name="Table_GWPData" displayName="Table_GWPData" ref="D36:E43" totalsRowShown="0">
  <autoFilter ref="D36:E43" xr:uid="{B8E87A66-3E41-4AD3-925D-01EE21B43D7A}">
    <filterColumn colId="0" hiddenButton="1"/>
    <filterColumn colId="1" hiddenButton="1"/>
  </autoFilter>
  <tableColumns count="2">
    <tableColumn id="1" xr3:uid="{65AE068D-B090-4795-9000-82AFF06C29BA}" name="Gas">
      <calculatedColumnFormula array="1">Common_InputFunctions.Utility_DisplayArrayInTable(Common_SourceData.Common_SourceData_GWP_Data(), Table_GWPData[[#Headers],[Gas]], 0)</calculatedColumnFormula>
    </tableColumn>
    <tableColumn id="2" xr3:uid="{89B38382-646A-4BE2-B0ED-9CD3FA338D3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7F7206-F6DC-4977-8BA6-5B66E729F05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59113C9-3F34-4871-974E-A6CA1AE1B53D}" name="Gas">
      <calculatedColumnFormula array="1">Common_InputFunctions.Utility_DisplayArrayInTable(Common_SourceData.Common_SourceData_ConvertGasElementalToMolecular_Data(),Table_GasToMolecularConversionFactor[[#Headers],[Gas]], 0)</calculatedColumnFormula>
    </tableColumn>
    <tableColumn id="5" xr3:uid="{8A9A2E95-9422-4A2E-A829-CAB937EA66EA}" name="Conversion factor">
      <calculatedColumnFormula array="1">Common_InputFunctions.Utility_DisplayArrayInTable(Common_SourceData.Common_SourceData_ConvertGasElementalToMolecular_Data(),Table_GasToMolecularConversionFactor[[#Headers],[Gas]], 0)</calculatedColumnFormula>
    </tableColumn>
    <tableColumn id="2" xr3:uid="{6925339E-FC73-4750-89B5-E376C2FF4E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C2C2843-AAD7-4110-9425-B9A58D67B73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CA1F198-06FC-4A8C-A1C9-742052F2D9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54C8D8-81BC-405E-A5EB-33320553524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23B435-CB20-421F-925A-5C9C0166AD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EA7F381-8B0C-4FE2-AEC8-30DBAB357FF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D1DFDBA4-BF37-41DE-944A-29EAFC7C92F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8BFB4055-A48F-4099-9DAD-2B89CFA85D17}"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11B297D0-03A2-419E-94CC-954A849DF0A3}"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D2D67B8F-C337-4828-A293-DF4D210DA8E9}"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4F7D264F-6F68-4BE9-ABBF-BE097D0D650A}"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BA331108-B37D-41FA-8849-AB10B05EDB9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3A165571-B323-407F-8027-6CEB0101A9B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53DD25D2-17AD-4F79-8A01-6F22E9818AA2}"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D1DC7A68-991C-476A-9A7A-012CF00FBB12}"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8B2817D9-F13A-4EBF-87AA-C38A9412AF12}"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13C2F614-A341-4EC9-9C71-3EFC05D1EDDB}"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40102B61-423D-42CC-B871-28E9C2F94887}"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48651D3F-34AE-4FA6-8589-CAD0DF5C9CCC}"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FF8F39A2-33DF-4331-96AE-5DC7BBA54DD0}"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3177F8-5CEE-4447-AB6A-52F19E3BC38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0B116B5-85BD-4DEA-AC49-EAACB134EF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C91B39-498A-4099-B2B2-0A2938BF01D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E9786A-7B44-4964-805E-BC87E333ECF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154A0A0-F5C0-4F29-8725-0167CC3E02F2}" name="Temperature Zone">
      <calculatedColumnFormula array="1">Common_InputFunctions.Utility_DisplayArrayInTable(Common_SourceData.Common_SourceData_TemperatureZones_Data(),Table_SourceData_TemperatureZones[[#Headers],[Temperature Zone]],0)</calculatedColumnFormula>
    </tableColumn>
    <tableColumn id="2" xr3:uid="{349BD877-16FE-4478-A326-64617DF34C8D}" name="MAT">
      <calculatedColumnFormula array="1">Common_InputFunctions.Utility_DisplayArrayInTable(Common_SourceData.Common_SourceData_TemperatureZones_Data(),Table_SourceData_TemperatureZones[[#Headers],[Temperature Zone]],0)</calculatedColumnFormula>
    </tableColumn>
    <tableColumn id="3" xr3:uid="{F29B2C1E-3149-49A4-9147-00678EF218EE}" name="Min MAT">
      <calculatedColumnFormula array="1">Common_InputFunctions.Utility_DisplayArrayInTable(Common_SourceData.Common_SourceData_TemperatureZones_Data(),Table_SourceData_TemperatureZones[[#Headers],[Temperature Zone]],0)</calculatedColumnFormula>
    </tableColumn>
    <tableColumn id="4" xr3:uid="{36B82F82-E3CE-448E-A4B0-A3A38D261D0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39789D-4975-49C1-9E23-6338AD8C1C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9D8DA76-97FE-4CEC-9819-D9409622EB0D}" name="Rainfall Zone">
      <calculatedColumnFormula array="1">Common_InputFunctions.Utility_DisplayArrayInTable(Common_SourceData.Common_SourceData_RainfallZones_Data(),Table_SourceData_RainfallZones[[#Headers],[Rainfall Zone]],0)</calculatedColumnFormula>
    </tableColumn>
    <tableColumn id="2" xr3:uid="{3428040F-5055-46C1-8B55-2B36B5033E86}" name="Annual rainfall">
      <calculatedColumnFormula array="1">Common_InputFunctions.Utility_DisplayArrayInTable(Common_SourceData.Common_SourceData_RainfallZones_Data(),Table_SourceData_RainfallZones[[#Headers],[Rainfall Zone]],0)</calculatedColumnFormula>
    </tableColumn>
    <tableColumn id="3" xr3:uid="{FB0DCEE7-6054-45E7-89BE-354B397F6250}" name="Min rainfall">
      <calculatedColumnFormula array="1">Common_InputFunctions.Utility_DisplayArrayInTable(Common_SourceData.Common_SourceData_RainfallZones_Data(),Table_SourceData_RainfallZones[[#Headers],[Rainfall Zone]],0)</calculatedColumnFormula>
    </tableColumn>
    <tableColumn id="4" xr3:uid="{CDB75634-5F8A-4CD7-84D7-45D71CFA593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C0537B-4065-417C-BCFA-73F3A8D597A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FAF9520-9889-4AE9-B6CC-FDE2E10EAD98}" name="Leaching Zone">
      <calculatedColumnFormula array="1">Common_InputFunctions.Utility_DisplayArrayInTable(Common_SourceData.Common_SourceData_LeachingZones_Data(), Table_SourceData_LeachingZones[[#Headers],[Leaching Zone]], 0)</calculatedColumnFormula>
    </tableColumn>
    <tableColumn id="2" xr3:uid="{6C96956C-286E-4803-93B5-8D7A561FBE4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8FF86DD-0885-4976-BEEB-94AB1DD5314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B321226-8AD9-4746-AAFF-4041954CA60D}" name="Data source">
      <calculatedColumnFormula array="1">Common_InputFunctions.Utility_DisplayArrayInTable(Common_SourceData.Common_SourceData_DataScores_Scope3_Data(), Table_SourceData_DataScores_Scope3[[#Headers],[Data source]], 0)</calculatedColumnFormula>
    </tableColumn>
    <tableColumn id="2" xr3:uid="{1CC291CD-853F-4B67-B09F-804F187D6F9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02C1423-B5DE-4FA6-A257-8CDE4D4D2BBB}" name="Table_SourceData_FracWET" displayName="Table_SourceData_FracWET" ref="D134:E136" totalsRowShown="0">
  <autoFilter ref="D134:E136" xr:uid="{308E99BE-FE1F-47A4-B2CA-97217277C4E9}">
    <filterColumn colId="0" hiddenButton="1"/>
    <filterColumn colId="1" hiddenButton="1"/>
  </autoFilter>
  <tableColumns count="2">
    <tableColumn id="1" xr3:uid="{CB763BC9-0431-4076-9924-BEA84AD15106}" name="Is in leaching zone">
      <calculatedColumnFormula array="1">Common_InputFunctions.Utility_DisplayArrayInTable(Common_SourceData.Common_SourceData_FracWET_Data(),Table_SourceData_FracWET[[#Headers],[Is in leaching zone]],0)</calculatedColumnFormula>
    </tableColumn>
    <tableColumn id="2" xr3:uid="{00CA7AD8-9B48-4522-8A26-31B6312F3F99}"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AB5B1C-4113-45A9-B01E-845F3ABDF2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130E37A-5BE6-4352-8D8A-6A7D25A0FB7C}" name="Production system j">
      <calculatedColumnFormula array="1">Common_InputFunctions.Utility_DisplayArrayInTable(Common_SourceData.Common_SourceData_EFN2O_Data(), Table_SourceData_Common_EFN2O[[#Headers],[Production system j]], 0)</calculatedColumnFormula>
    </tableColumn>
    <tableColumn id="2" xr3:uid="{195770B7-FB42-4A96-BE05-896F123743B8}" name="EFN2O">
      <calculatedColumnFormula array="1">Common_InputFunctions.Utility_DisplayArrayInTable(Common_SourceData.Common_SourceData_EFN2O_Data(), Table_SourceData_Common_EFN2O[[#Headers],[Production system j]], 0)</calculatedColumnFormula>
    </tableColumn>
    <tableColumn id="3" xr3:uid="{59A910CC-53C7-4A58-BFD2-69858B6F92EA}" name="Production system only">
      <calculatedColumnFormula array="1">Common_InputFunctions.Utility_DisplayArrayInTable(Common_SourceData.Common_SourceData_EFN2O_Data(), Table_SourceData_Common_EFN2O[[#Headers],[Production system j]], 0)</calculatedColumnFormula>
    </tableColumn>
    <tableColumn id="4" xr3:uid="{5B5A42F2-1784-4DB3-BD73-6BB0D099DF09}" name="Irrigation method">
      <calculatedColumnFormula array="1">Common_InputFunctions.Utility_DisplayArrayInTable(Common_SourceData.Common_SourceData_EFN2O_Data(), Table_SourceData_Common_EFN2O[[#Headers],[Production system j]], 0)</calculatedColumnFormula>
    </tableColumn>
    <tableColumn id="5" xr3:uid="{18E56A98-FD2A-4EF9-9A00-D2E0006C64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128EAEF-C928-42FE-A611-01FE8E5BA56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7857C03-4A58-4397-80F2-B0BB055FF49E}" name="Irrigation type i">
      <calculatedColumnFormula array="1">Common_InputFunctions.Utility_DisplayArrayInTable(Common_SourceData.Common_SourceData_FracWETIrrigation_Data(), Table_SourceData_FracWETIrrigation[[#Headers],[Irrigation type i]], 0)</calculatedColumnFormula>
    </tableColumn>
    <tableColumn id="2" xr3:uid="{FEAAE811-F1F7-4D6F-AA27-D390271B59DC}"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21A5F8-968C-4D9D-BDB3-7979D09CA4E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656D55F-442D-402C-B490-2EB44EDBB42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BC5256-FAEA-4E28-9E5B-1655327AD263}"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E86F09-A7F7-4E4C-A84F-59B18397FB1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3342927-0035-4306-A62A-19C77A5CD2DF}" name="Month">
      <calculatedColumnFormula array="1">Common_InputFunctions.Utility_DisplayArrayInTable(Common_SourceData.Common_SourceData_MonthsToSeasons_Data(), Table_SourceData_Common_MonthToSeason[[#Headers],[Month]], 0)</calculatedColumnFormula>
    </tableColumn>
    <tableColumn id="2" xr3:uid="{3F5D2D37-7B1B-4CB5-BD4E-1C38384F3D09}"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6B35D2-B93A-4EAC-BC99-CB91AB9C21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D0F3F82-0CD5-4AFA-A517-A0B150A11F0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B8A111-9105-4D19-A179-50E19F58583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8B0319C-9CD7-4BB4-B498-66F0701E8ADC}"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421C61-4FA8-4172-B1F4-AC66552F1813}"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9451B4-B1FF-44F4-99B7-13FC79B56A94}"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5962E4-158F-4FB4-BBFC-FE1275CA56C5}"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C393134-A5CC-4085-842B-802B5081B2C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58A8699-29E9-46D3-8601-7CFAC2747B78}"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3152892-1F11-4FA3-B66E-5153616432AC}"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5F36153-D69E-4C94-B868-BB3EB0BF82B9}"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A5CC0F-177F-4A5D-9140-031C83C88617}"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7658789-4A27-4160-9F7D-D8900743476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4A74F03E-495F-470A-BA72-FD65D2C513E7}"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1A5436F-F31A-4FAF-AC6D-9167C126F2AA}"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3D669E2-7FDF-4EC4-956A-3F47E391595C}"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2C3877-73F4-460E-B3F4-3EFEB52CA427}"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86AF18F-C170-4EB8-81EF-1F6E61AFC8A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603888-B9CA-4327-ADAA-1B89202E4F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8E44BA1-BA32-4A72-938A-595C28A02C87}"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177</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179</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178</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169</v>
      </c>
      <c r="E9" s="65">
        <f>'8.1.1.1-2 Transport fuel'!E67</f>
        <v>83182</v>
      </c>
      <c r="F9" s="65">
        <f>E9</f>
        <v>83182</v>
      </c>
      <c r="G9" s="33" t="s">
        <v>59</v>
      </c>
      <c r="H9" s="19"/>
    </row>
    <row r="10" spans="1:8" ht="20.100000000000001" customHeight="1" x14ac:dyDescent="0.25">
      <c r="A10" s="16" t="s">
        <v>45</v>
      </c>
      <c r="C10" s="19"/>
      <c r="D10" s="1" t="s">
        <v>170</v>
      </c>
      <c r="E10" s="65">
        <f>'8.1.1.1-2 Transport fuel'!E68</f>
        <v>199.06</v>
      </c>
      <c r="F10" s="65">
        <f t="shared" ref="F10:F14" si="0">E10</f>
        <v>199.06</v>
      </c>
      <c r="G10" s="33" t="s">
        <v>59</v>
      </c>
      <c r="H10" s="19"/>
    </row>
    <row r="11" spans="1:8" ht="20.100000000000001" customHeight="1" x14ac:dyDescent="0.25">
      <c r="A11" s="14" t="str">
        <f>HYPERLINK("#'8.1.1.1-2 Transport fuel'!A1", "8.1.1.1-2 Transport fuel")</f>
        <v>8.1.1.1-2 Transport fuel</v>
      </c>
      <c r="C11" s="19"/>
      <c r="D11" s="1" t="s">
        <v>171</v>
      </c>
      <c r="E11" s="65">
        <f>'8.1.1.1-2 Transport fuel'!E69</f>
        <v>584.5</v>
      </c>
      <c r="F11" s="65">
        <f t="shared" si="0"/>
        <v>584.5</v>
      </c>
      <c r="G11" s="33" t="s">
        <v>59</v>
      </c>
      <c r="H11" s="19"/>
    </row>
    <row r="12" spans="1:8" ht="20.100000000000001" customHeight="1" x14ac:dyDescent="0.25">
      <c r="A12" s="14" t="str">
        <f>HYPERLINK("#'8.2.1.1-2 Stationary fuel'!A1", "8.2.1.1-2 Stationary fuel")</f>
        <v>8.2.1.1-2 Stationary fuel</v>
      </c>
      <c r="C12" s="19"/>
      <c r="D12" s="1" t="s">
        <v>172</v>
      </c>
      <c r="E12" s="65">
        <f>'8.2.1.1-2 Stationary fuel'!E55</f>
        <v>23056.820000000003</v>
      </c>
      <c r="F12" s="65">
        <f t="shared" si="0"/>
        <v>23056.820000000003</v>
      </c>
      <c r="G12" s="33" t="s">
        <v>59</v>
      </c>
      <c r="H12" s="19"/>
    </row>
    <row r="13" spans="1:8" ht="20.100000000000001" customHeight="1" x14ac:dyDescent="0.25">
      <c r="A13" s="14" t="str">
        <f>HYPERLINK("#'8.X.1.1-2 General use fuel'!A1", "8.X.1.1-2 General use fuel")</f>
        <v>8.X.1.1-2 General use fuel</v>
      </c>
      <c r="C13" s="19"/>
      <c r="D13" s="1" t="s">
        <v>173</v>
      </c>
      <c r="E13" s="65">
        <f>'8.2.1.1-2 Stationary fuel'!E56</f>
        <v>68.404000000000011</v>
      </c>
      <c r="F13" s="65">
        <f t="shared" si="0"/>
        <v>68.404000000000011</v>
      </c>
      <c r="G13" s="33" t="s">
        <v>59</v>
      </c>
      <c r="H13" s="19"/>
    </row>
    <row r="14" spans="1:8" ht="20.100000000000001" customHeight="1" x14ac:dyDescent="0.25">
      <c r="A14" s="14"/>
      <c r="C14" s="19"/>
      <c r="D14" s="1" t="s">
        <v>174</v>
      </c>
      <c r="E14" s="65">
        <f>'8.2.1.1-2 Stationary fuel'!E57</f>
        <v>68.403000000000006</v>
      </c>
      <c r="F14" s="65">
        <f t="shared" si="0"/>
        <v>68.403000000000006</v>
      </c>
      <c r="G14" s="33" t="s">
        <v>59</v>
      </c>
      <c r="H14" s="19"/>
    </row>
    <row r="15" spans="1:8" ht="20.100000000000001" customHeight="1" x14ac:dyDescent="0.3">
      <c r="A15" s="15" t="s">
        <v>2</v>
      </c>
      <c r="C15" s="19"/>
      <c r="D15" s="25" t="s">
        <v>55</v>
      </c>
      <c r="E15" s="46">
        <f>SUM(E9:E14)</f>
        <v>107159.18700000001</v>
      </c>
      <c r="F15" s="46">
        <f>SUM(F9:F14)</f>
        <v>107159.18700000001</v>
      </c>
      <c r="G15" s="44" t="s">
        <v>59</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186</v>
      </c>
      <c r="N5" s="116"/>
    </row>
    <row r="6" spans="1:24" ht="20.100000000000001" customHeight="1" x14ac:dyDescent="0.25">
      <c r="D6" s="117"/>
      <c r="N6" s="118"/>
    </row>
    <row r="7" spans="1:24" ht="20.100000000000001" customHeight="1" x14ac:dyDescent="0.25">
      <c r="A7" s="17" t="s">
        <v>1</v>
      </c>
      <c r="D7" s="1" t="s">
        <v>187</v>
      </c>
      <c r="E7" s="119" t="s">
        <v>211</v>
      </c>
      <c r="F7" s="2"/>
    </row>
    <row r="8" spans="1:24" ht="20.100000000000001" customHeight="1" x14ac:dyDescent="0.25">
      <c r="A8" s="14" t="str">
        <f>HYPERLINK("#'Input - Electricity'!A1", "Electricity")</f>
        <v>Electricity</v>
      </c>
      <c r="D8" s="120" t="s">
        <v>188</v>
      </c>
      <c r="E8" s="119" t="s">
        <v>212</v>
      </c>
    </row>
    <row r="9" spans="1:24" ht="20.100000000000001" customHeight="1" x14ac:dyDescent="0.25">
      <c r="A9" s="14"/>
      <c r="N9" s="121"/>
    </row>
    <row r="10" spans="1:24" ht="20.100000000000001" customHeight="1" x14ac:dyDescent="0.25">
      <c r="A10" s="16" t="s">
        <v>45</v>
      </c>
      <c r="D10" s="122" t="s">
        <v>189</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190</v>
      </c>
      <c r="E12" s="127">
        <v>45292</v>
      </c>
      <c r="F12" s="2" t="s">
        <v>191</v>
      </c>
    </row>
    <row r="13" spans="1:24" ht="20.100000000000001" customHeight="1" x14ac:dyDescent="0.25">
      <c r="A13" s="15" t="s">
        <v>2</v>
      </c>
      <c r="D13" s="120" t="s">
        <v>192</v>
      </c>
      <c r="E13" s="128">
        <f>DATE(YEAR(E12)+1,MONTH(E12),DAY(E12))-1</f>
        <v>45657</v>
      </c>
      <c r="F13" s="2" t="s">
        <v>193</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194</v>
      </c>
      <c r="N16" s="129"/>
      <c r="O16" s="129"/>
    </row>
    <row r="17" spans="1:25" ht="20.100000000000001" customHeight="1" x14ac:dyDescent="0.25">
      <c r="A17"/>
    </row>
    <row r="18" spans="1:25" ht="20.100000000000001" customHeight="1" x14ac:dyDescent="0.25">
      <c r="A18"/>
      <c r="D18" s="130" t="s">
        <v>195</v>
      </c>
      <c r="E18" s="40"/>
      <c r="F18" s="40"/>
      <c r="G18" s="37"/>
    </row>
    <row r="19" spans="1:25" ht="20.100000000000001" customHeight="1" x14ac:dyDescent="0.25">
      <c r="A19"/>
      <c r="D19" s="41" t="s">
        <v>196</v>
      </c>
      <c r="E19" s="39"/>
      <c r="F19" s="39"/>
      <c r="G19" s="38"/>
      <c r="N19" s="116"/>
    </row>
    <row r="20" spans="1:25" ht="20.100000000000001" customHeight="1" x14ac:dyDescent="0.25">
      <c r="A20"/>
      <c r="D20" s="1"/>
      <c r="E20" s="131"/>
      <c r="F20" s="2"/>
      <c r="N20" s="118"/>
    </row>
    <row r="21" spans="1:25" ht="20.100000000000001" customHeight="1" x14ac:dyDescent="0.25">
      <c r="A21"/>
      <c r="D21" s="1" t="s">
        <v>197</v>
      </c>
      <c r="E21" s="29" t="s">
        <v>198</v>
      </c>
      <c r="F21" s="2" t="s">
        <v>199</v>
      </c>
    </row>
    <row r="22" spans="1:25" ht="20.100000000000001" customHeight="1" x14ac:dyDescent="0.25">
      <c r="A22"/>
      <c r="D22" s="1" t="s">
        <v>200</v>
      </c>
      <c r="E22" s="29" t="s">
        <v>201</v>
      </c>
      <c r="F22" s="2" t="s">
        <v>199</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6" customFormat="1" ht="30" customHeight="1" x14ac:dyDescent="0.35">
      <c r="A1" s="36" t="e" vm="1">
        <v>#VALUE!</v>
      </c>
      <c r="C1" s="36" t="s">
        <v>86</v>
      </c>
    </row>
    <row r="2" spans="1:11" s="9" customFormat="1" ht="20.100000000000001" customHeight="1" x14ac:dyDescent="0.25"/>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108</v>
      </c>
      <c r="E5" s="3"/>
      <c r="F5" s="3"/>
      <c r="G5" s="3"/>
      <c r="H5" s="3"/>
    </row>
    <row r="6" spans="1:11" ht="20.100000000000001" customHeight="1" x14ac:dyDescent="0.25">
      <c r="A6" s="13"/>
      <c r="D6" s="19"/>
      <c r="E6" s="19"/>
      <c r="F6" s="19"/>
      <c r="G6" s="19"/>
      <c r="H6" s="19"/>
      <c r="I6" s="19"/>
      <c r="J6" s="19"/>
    </row>
    <row r="7" spans="1:11" ht="20.100000000000001" customHeight="1" x14ac:dyDescent="0.25">
      <c r="A7" s="17" t="s">
        <v>1</v>
      </c>
      <c r="D7" s="1" t="s">
        <v>203</v>
      </c>
    </row>
    <row r="8" spans="1:11" ht="20.100000000000001" customHeight="1" x14ac:dyDescent="0.25">
      <c r="A8" s="50" t="str">
        <f>HYPERLINK("#'Input - Fuel'!A1", "Fuel")</f>
        <v>Fuel</v>
      </c>
      <c r="D8" s="1" t="s">
        <v>202</v>
      </c>
    </row>
    <row r="9" spans="1:11" ht="20.100000000000001" customHeight="1" x14ac:dyDescent="0.25">
      <c r="A9" s="14"/>
      <c r="D9" s="1" t="s">
        <v>204</v>
      </c>
    </row>
    <row r="10" spans="1:11" ht="20.100000000000001" customHeight="1" x14ac:dyDescent="0.25">
      <c r="A10" s="16" t="s">
        <v>45</v>
      </c>
    </row>
    <row r="11" spans="1:11" ht="20.100000000000001" customHeight="1" x14ac:dyDescent="0.25">
      <c r="A11" s="14" t="str">
        <f>HYPERLINK("#'8.1.1.1-2 Transport fuel'!A1", "8.1.1.1-2 Transport fuel")</f>
        <v>8.1.1.1-2 Transport fuel</v>
      </c>
      <c r="D11" s="1" t="s">
        <v>205</v>
      </c>
      <c r="E11" s="29" t="s">
        <v>206</v>
      </c>
      <c r="F11" s="2" t="s">
        <v>199</v>
      </c>
    </row>
    <row r="12" spans="1:11" ht="20.100000000000001" customHeight="1" x14ac:dyDescent="0.25">
      <c r="A12" s="14" t="str">
        <f>HYPERLINK("#'8.2.1.1-2 Stationary fuel'!A1", "8.2.1.1-2 Stationary fuel")</f>
        <v>8.2.1.1-2 Stationary fuel</v>
      </c>
    </row>
    <row r="13" spans="1:11" ht="20.100000000000001" customHeight="1" x14ac:dyDescent="0.25">
      <c r="A13" s="14" t="str">
        <f>HYPERLINK("#'8.X.1.1-2 General use fuel'!A1", "8.X.1.1-2 General use fuel")</f>
        <v>8.X.1.1-2 General use fuel</v>
      </c>
      <c r="D13" s="49" t="s">
        <v>87</v>
      </c>
      <c r="E13" s="40"/>
      <c r="F13" s="40"/>
      <c r="G13" s="40"/>
      <c r="H13" s="37"/>
    </row>
    <row r="14" spans="1:11" ht="20.100000000000001" customHeight="1" x14ac:dyDescent="0.25">
      <c r="A14" s="14"/>
      <c r="D14" s="41" t="s">
        <v>88</v>
      </c>
      <c r="E14" s="39"/>
      <c r="F14" s="39"/>
      <c r="G14" s="39"/>
      <c r="H14" s="38"/>
    </row>
    <row r="15" spans="1:11" ht="20.100000000000001" customHeight="1" x14ac:dyDescent="0.25">
      <c r="A15" s="15" t="s">
        <v>2</v>
      </c>
      <c r="D15" s="19"/>
      <c r="E15" s="19"/>
      <c r="F15" s="19"/>
      <c r="G15" s="19"/>
      <c r="H15" s="19"/>
      <c r="I15" s="19"/>
      <c r="J15" s="19"/>
    </row>
    <row r="16" spans="1:11" ht="20.100000000000001" customHeight="1" x14ac:dyDescent="0.25">
      <c r="A16" s="14" t="str">
        <f>HYPERLINK("#'Constants - Fuel'!A1", "Constants - Fuel")</f>
        <v>Constants - Fuel</v>
      </c>
      <c r="D16" s="53" t="s">
        <v>89</v>
      </c>
      <c r="E16" s="53" t="s">
        <v>90</v>
      </c>
      <c r="F16" s="53" t="s">
        <v>91</v>
      </c>
      <c r="G16" s="53" t="s">
        <v>92</v>
      </c>
      <c r="H16" s="53" t="s">
        <v>93</v>
      </c>
      <c r="I16" s="53" t="s">
        <v>94</v>
      </c>
      <c r="J16" s="53" t="s">
        <v>210</v>
      </c>
    </row>
    <row r="17" spans="1:10" ht="20.100000000000001" customHeight="1" x14ac:dyDescent="0.25">
      <c r="A17" s="14" t="str">
        <f>HYPERLINK("#'Constants - Common'!A1", "Constants - Common")</f>
        <v>Constants - Common</v>
      </c>
      <c r="D17" s="29" t="s">
        <v>95</v>
      </c>
      <c r="E17" s="29" t="s">
        <v>107</v>
      </c>
      <c r="F17" s="73">
        <v>100</v>
      </c>
      <c r="G17" s="160">
        <v>1</v>
      </c>
      <c r="H17" s="74">
        <f>1</f>
        <v>1</v>
      </c>
      <c r="I17" s="31">
        <f>Table_Input_Fuel[[#This Row],[Amount purchased]]*Table_Input_Fuel[[#This Row],[Percent consumed]]*IF(Table_Input_Fuel[[#This Row],[Amount unit]]="L", 10^-3, 1)</f>
        <v>100</v>
      </c>
      <c r="J17" s="31" t="str" cm="1">
        <f t="array" ref="J17">Common_InputFunctions.Utility_LookupValueInTable(Table_Input_Fuel[[#This Row],[Fuel type (select)]],Table_FuelTypes_Units[Fuel type], Table_FuelTypes_Units[Unit])</f>
        <v>GJ</v>
      </c>
    </row>
    <row r="18" spans="1:10" ht="20.100000000000001" customHeight="1" x14ac:dyDescent="0.25">
      <c r="D18" s="29" t="s">
        <v>95</v>
      </c>
      <c r="E18" s="29" t="s">
        <v>98</v>
      </c>
      <c r="F18" s="73">
        <v>10000</v>
      </c>
      <c r="G18" s="160">
        <v>1</v>
      </c>
      <c r="H18" s="157">
        <f>1</f>
        <v>1</v>
      </c>
      <c r="I18" s="31">
        <f>Table_Input_Fuel[[#This Row],[Amount purchased]]*Table_Input_Fuel[[#This Row],[Percent consumed]]*IF(Table_Input_Fuel[[#This Row],[Amount unit]]="L", 10^-3, 1)</f>
        <v>10000</v>
      </c>
      <c r="J18" s="31" t="str" cm="1">
        <f t="array" ref="J18">Common_InputFunctions.Utility_LookupValueInTable(Table_Input_Fuel[[#This Row],[Fuel type (select)]],Table_FuelTypes_Units[Fuel type], Table_FuelTypes_Units[Unit])</f>
        <v>kL</v>
      </c>
    </row>
    <row r="19" spans="1:10" ht="20.100000000000001" customHeight="1" x14ac:dyDescent="0.25">
      <c r="D19" s="29" t="s">
        <v>104</v>
      </c>
      <c r="E19" s="29" t="s">
        <v>105</v>
      </c>
      <c r="F19" s="73">
        <v>10000</v>
      </c>
      <c r="G19" s="160">
        <v>1</v>
      </c>
      <c r="H19" s="157">
        <f>1</f>
        <v>1</v>
      </c>
      <c r="I19" s="31">
        <f>Table_Input_Fuel[[#This Row],[Amount purchased]]*Table_Input_Fuel[[#This Row],[Percent consumed]]*IF(Table_Input_Fuel[[#This Row],[Amount unit]]="L", 10^-3, 1)</f>
        <v>10000</v>
      </c>
      <c r="J19" s="31" t="str" cm="1">
        <f t="array" ref="J19">Common_InputFunctions.Utility_LookupValueInTable(Table_Input_Fuel[[#This Row],[Fuel type (select)]],Table_FuelTypes_Units[Fuel type], Table_FuelTypes_Units[Unit])</f>
        <v>kL</v>
      </c>
    </row>
    <row r="20" spans="1:10" ht="20.100000000000001" customHeight="1" x14ac:dyDescent="0.25">
      <c r="A20" s="14"/>
      <c r="D20" s="29" t="s">
        <v>144</v>
      </c>
      <c r="E20" s="29" t="s">
        <v>105</v>
      </c>
      <c r="F20" s="73">
        <v>10000</v>
      </c>
      <c r="G20" s="160">
        <v>1</v>
      </c>
      <c r="H20" s="157">
        <f>1</f>
        <v>1</v>
      </c>
      <c r="I20" s="31">
        <f>Table_Input_Fuel[[#This Row],[Amount purchased]]*Table_Input_Fuel[[#This Row],[Percent consumed]]*IF(Table_Input_Fuel[[#This Row],[Amount unit]]="L", 10^-3, 1)</f>
        <v>10000</v>
      </c>
      <c r="J20" s="31" t="str" cm="1">
        <f t="array" ref="J20">Common_InputFunctions.Utility_LookupValueInTable(Table_Input_Fuel[[#This Row],[Fuel type (select)]],Table_FuelTypes_Units[Fuel type], Table_FuelTypes_Units[Unit])</f>
        <v>kL</v>
      </c>
    </row>
    <row r="21" spans="1:10" ht="20.100000000000001" customHeight="1" x14ac:dyDescent="0.25">
      <c r="A21" s="14"/>
      <c r="D21" s="158" t="s">
        <v>145</v>
      </c>
      <c r="E21" s="158" t="s">
        <v>135</v>
      </c>
      <c r="F21" s="73">
        <v>10000</v>
      </c>
      <c r="G21" s="161">
        <v>1</v>
      </c>
      <c r="H21" s="159">
        <f>1</f>
        <v>1</v>
      </c>
      <c r="I21" s="101">
        <f>Table_Input_Fuel[[#This Row],[Amount purchased]]*Table_Input_Fuel[[#This Row],[Percent consumed]]*IF(Table_Input_Fuel[[#This Row],[Amount unit]]="L", 10^-3, 1)</f>
        <v>10000</v>
      </c>
      <c r="J21" s="31"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4"/>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4"/>
    </row>
    <row r="30" spans="1:10" ht="20.100000000000001" customHeight="1" x14ac:dyDescent="0.25">
      <c r="A30" s="14"/>
    </row>
    <row r="31" spans="1:10" ht="20.100000000000001" customHeight="1" x14ac:dyDescent="0.25">
      <c r="A31" s="35"/>
    </row>
    <row r="32" spans="1:10" ht="20.100000000000001" customHeight="1" x14ac:dyDescent="0.25">
      <c r="A32" s="35"/>
    </row>
    <row r="33" spans="1:11" ht="20.100000000000001" customHeight="1" x14ac:dyDescent="0.25">
      <c r="A33" s="14"/>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6"/>
      <c r="K38" s="56"/>
    </row>
    <row r="39" spans="1:11" ht="20.100000000000001" customHeight="1" x14ac:dyDescent="0.25">
      <c r="A39" s="14"/>
      <c r="C39" s="56"/>
      <c r="K39" s="56"/>
    </row>
    <row r="40" spans="1:11" s="57" customFormat="1" ht="20.100000000000001" customHeight="1" x14ac:dyDescent="0.25">
      <c r="C40" s="1"/>
      <c r="D40" s="1"/>
      <c r="E40" s="1"/>
      <c r="F40" s="1"/>
      <c r="G40" s="1"/>
      <c r="H40" s="1"/>
      <c r="I40" s="1"/>
      <c r="J40" s="1"/>
      <c r="K40" s="1"/>
    </row>
    <row r="41" spans="1:11" s="57" customFormat="1" ht="20.100000000000001" customHeight="1" x14ac:dyDescent="0.25">
      <c r="A41" s="58"/>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63"/>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5"/>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42"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109</v>
      </c>
    </row>
    <row r="2" spans="1:18" s="9" customFormat="1" ht="20.100000000000001" customHeight="1" x14ac:dyDescent="0.25"/>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2"/>
      <c r="P5" s="52"/>
      <c r="Q5" s="52"/>
    </row>
    <row r="6" spans="1:18" ht="20.100000000000001" customHeight="1" x14ac:dyDescent="0.25">
      <c r="A6" s="13"/>
      <c r="D6" s="5" t="str" cm="1">
        <f t="array" ref="D6">Fuel_Equations.VEERG_8_1_1_1__1_FuelCombustionTransport_Source()</f>
        <v>VEERG 2026: 8.1.1.1, Equation (1)</v>
      </c>
      <c r="K6" s="5" t="str" cm="1">
        <f t="array" ref="K6">Scope3_Equations.VEERG_15_11_1_1__2_UpstreamTransportFuelEmissions_Source()</f>
        <v>VEERG 2026: 15.11.1.1, Equation (2)</v>
      </c>
      <c r="O6" s="52"/>
      <c r="P6" s="52"/>
      <c r="Q6" s="52"/>
    </row>
    <row r="7" spans="1:18" ht="20.100000000000001" customHeight="1" x14ac:dyDescent="0.25">
      <c r="A7" s="17" t="s">
        <v>1</v>
      </c>
      <c r="D7" s="11" t="s">
        <v>10</v>
      </c>
      <c r="E7" s="11" t="str" cm="1">
        <f t="array" aca="1" ref="E7" ca="1">Common_InputFunctions.Utility_DisplayFunctionName(N25)</f>
        <v>=Fuel_Equations.VEERG_8_1_1_1__1_FuelCombustionTransport</v>
      </c>
      <c r="K7" s="11" t="s">
        <v>10</v>
      </c>
      <c r="L7" s="11" t="str" cm="1">
        <f t="array" aca="1" ref="L7" ca="1">Common_InputFunctions.Utility_DisplayFunctionName(Q25)</f>
        <v>=Scope3_Equations.VEERG_15_11_1_1__2_UpstreamTransportFuelEmissions</v>
      </c>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45</v>
      </c>
      <c r="O10" s="52"/>
      <c r="P10" s="52"/>
      <c r="Q10" s="52"/>
    </row>
    <row r="11" spans="1:18"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K11" s="32" t="s">
        <v>13</v>
      </c>
      <c r="L11" s="1" t="str" cm="1">
        <f t="array" ref="L11">Scope3_Equations.VEERG_15_11_1_1__2_UpstreamTransportFuelEmissions_Variable()</f>
        <v>E_WTTtransq</v>
      </c>
      <c r="O11" s="52"/>
      <c r="P11" s="52"/>
      <c r="Q11" s="52"/>
    </row>
    <row r="12" spans="1:18" ht="20.100000000000001" customHeight="1" x14ac:dyDescent="0.25">
      <c r="A12" s="14" t="str">
        <f>HYPERLINK("#'8.2.1.1-2 Stationary fuel'!A1", "8.2.1.1-2 Stationary fuel")</f>
        <v>8.2.1.1-2 Stationary fuel</v>
      </c>
      <c r="D12" s="32" t="s">
        <v>5</v>
      </c>
      <c r="E12" s="33" t="str" cm="1">
        <f t="array" ref="E12">Fuel_Equations.VEERG_8_1_1_1__1_FuelCombustionTransport_Unit()</f>
        <v>t CO2-e</v>
      </c>
      <c r="K12" s="32" t="s">
        <v>5</v>
      </c>
      <c r="L12" s="33" t="str" cm="1">
        <f t="array" ref="L12">Scope3_Equations.VEERG_15_11_1_1__2_UpstreamTransportFuelEmissions_Unit()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K14" s="60" t="str" cm="1">
        <f t="array" ref="K14:L16">_xlfn.CHOOSECOLS(Scope3_Equations.VEERG_15_11_1_1__2_UpstreamTransportFuelEmissions_Arguments(),1,2)</f>
        <v>Q_Transq</v>
      </c>
      <c r="L14" s="60" t="str">
        <v>amount of fuel q combusted for transport energy purposes</v>
      </c>
      <c r="M14" s="60"/>
      <c r="N14" s="60" t="str" cm="1">
        <f t="array" ref="N14:O16">_xlfn.CHOOSECOLS(Scope3_Equations.VEERG_15_11_1_1__2_UpstreamTransportFuelEmissions_Arguments(),3,4)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K15" s="60" t="str">
        <v>EC_Transq</v>
      </c>
      <c r="L15" s="60" t="str">
        <v>energy content factor for transport energy purposes</v>
      </c>
      <c r="M15" s="60"/>
      <c r="N15" s="60" t="str">
        <v>GJ/kL or GJ/m3</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K16" s="60" t="str">
        <v>EF_Trans3q</v>
      </c>
      <c r="L16" s="60" t="str">
        <v>scope 3 emission factor for transport energy purposes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P17" s="52"/>
      <c r="Q17" s="52"/>
    </row>
    <row r="18" spans="1:17" ht="20.100000000000001" customHeight="1" x14ac:dyDescent="0.25">
      <c r="D18" s="60" t="str">
        <v>Trans</v>
      </c>
      <c r="E18" s="62" t="str">
        <v>Transport combustion</v>
      </c>
      <c r="F18" s="61"/>
      <c r="G18" s="60" t="str">
        <v/>
      </c>
      <c r="H18" s="54" t="str">
        <v>Constant</v>
      </c>
      <c r="I18" s="59"/>
      <c r="J18" s="52"/>
      <c r="L18" s="52"/>
      <c r="M18" s="52"/>
      <c r="N18" s="52"/>
      <c r="O18" s="52"/>
      <c r="P18" s="52"/>
      <c r="Q18" s="52"/>
    </row>
    <row r="19" spans="1:17" ht="20.100000000000001" customHeight="1" x14ac:dyDescent="0.25">
      <c r="D19" s="60" t="str">
        <v>g</v>
      </c>
      <c r="E19" s="62" t="str">
        <v>Greenhouse gas</v>
      </c>
      <c r="F19" s="61"/>
      <c r="G19" s="60" t="str">
        <v/>
      </c>
      <c r="H19" s="54" t="str">
        <v>Constant</v>
      </c>
      <c r="I19" s="59"/>
      <c r="J19" s="52"/>
      <c r="L19" s="52"/>
      <c r="M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161</v>
      </c>
    </row>
    <row r="24" spans="1:17" ht="20.100000000000001" customHeight="1" x14ac:dyDescent="0.25">
      <c r="D24" s="30" t="s">
        <v>146</v>
      </c>
      <c r="E24" s="30" t="s">
        <v>159</v>
      </c>
      <c r="F24" s="30" t="s">
        <v>147</v>
      </c>
      <c r="G24" s="30" t="s">
        <v>148</v>
      </c>
      <c r="H24" s="30" t="s">
        <v>149</v>
      </c>
      <c r="I24" s="30" t="s">
        <v>150</v>
      </c>
      <c r="J24" s="30" t="s">
        <v>151</v>
      </c>
      <c r="K24" s="30" t="s">
        <v>180</v>
      </c>
      <c r="L24" s="53" t="s">
        <v>168</v>
      </c>
      <c r="M24" s="30" t="s">
        <v>152</v>
      </c>
      <c r="N24" s="30" t="s">
        <v>153</v>
      </c>
      <c r="O24" s="30" t="s">
        <v>154</v>
      </c>
      <c r="P24" s="30" t="s">
        <v>155</v>
      </c>
      <c r="Q24" s="30" t="s">
        <v>182</v>
      </c>
    </row>
    <row r="25" spans="1:17"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31" cm="1">
        <f t="array" ref="K25">IFERROR(_xlfn.XLOOKUP(1, (Table_Fuel_EFs_Transport[Fuel combusted]=$E25)*(Table_Fuel_EFs_Transport[Transport type]=$D$25), Table_Fuel_EFs_Transport[Scope 3 Emission Factor (kg CO2 - e / GJ)]), 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6" cm="1">
        <f t="array" ref="N25">Fuel_Equations.VEERG_8_1_1_1__1_FuelCombustionTransport($L25,$G25,$H25)</f>
        <v>0</v>
      </c>
      <c r="O25" s="106" cm="1">
        <f t="array" ref="O25">Fuel_Equations.VEERG_8_1_1_1__1_FuelCombustionTransport($L25,$G25,$I25)</f>
        <v>0</v>
      </c>
      <c r="P25" s="106" cm="1">
        <f t="array" ref="P25">Fuel_Equations.VEERG_8_1_1_1__1_FuelCombustionTransport($L25,$G25,$J25)</f>
        <v>0</v>
      </c>
      <c r="Q25" s="106" cm="1">
        <f t="array" ref="Q25">Scope3_Equations.VEERG_15_11_1_1__2_UpstreamTransportFuelEmissions(L25,G25,K25)</f>
        <v>0</v>
      </c>
    </row>
    <row r="26" spans="1:17"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31" cm="1">
        <f t="array" ref="K26">IFERROR(_xlfn.XLOOKUP(1, (Table_Fuel_EFs_Transport[Fuel combusted]=$E26)*(Table_Fuel_EFs_Transport[Transport type]=$D$25), Table_Fuel_EFs_Transport[Scope 3 Emission Factor (kg CO2 - e / GJ)]), 0)</f>
        <v>17.3</v>
      </c>
      <c r="L26" s="64" cm="1">
        <f t="array" ref="L26">Fuel_InputFunctions.Fuel_TotalConsumption(Table_Input_Fuel[Amount consumed], Table_Input_Fuel[Fuel use (select)], D26, Table_Input_Fuel[Fuel type (select)],F26)</f>
        <v>10000</v>
      </c>
      <c r="M26" s="64" t="str" cm="1">
        <f t="array" ref="M26">Common_InputFunctions.Utility_LookupValueInTable(F26,Table_FuelTypes_Units[Fuel type],Table_FuelTypes_Units[Unit])</f>
        <v>kL</v>
      </c>
      <c r="N26" s="106" cm="1">
        <f t="array" ref="N26">Fuel_Equations.VEERG_8_1_1_1__1_FuelCombustionTransport($L26,$G26,$H26)</f>
        <v>26981.400000000005</v>
      </c>
      <c r="O26" s="106" cm="1">
        <f t="array" ref="O26">Fuel_Equations.VEERG_8_1_1_1__1_FuelCombustionTransport($L26,$G26,$I26)</f>
        <v>3.86</v>
      </c>
      <c r="P26" s="106" cm="1">
        <f t="array" ref="P26">Fuel_Equations.VEERG_8_1_1_1__1_FuelCombustionTransport($L26,$G26,$J26)</f>
        <v>193</v>
      </c>
      <c r="Q26" s="106" cm="1">
        <f t="array" ref="Q26">Scope3_Equations.VEERG_15_11_1_1__2_UpstreamTransportFuelEmissions(L26,G26,K26)</f>
        <v>6677.8</v>
      </c>
    </row>
    <row r="27" spans="1:17"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31" cm="1">
        <f t="array" ref="K27">IFERROR(_xlfn.XLOOKUP(1, (Table_Fuel_EFs_Transport[Fuel combusted]=$E27)*(Table_Fuel_EFs_Transport[Transport type]=$D$25), Table_Fuel_EFs_Transport[Scope 3 Emission Factor (kg CO2 - e / GJ)]), 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6" cm="1">
        <f t="array" ref="N27">Fuel_Equations.VEERG_8_1_1_1__1_FuelCombustionTransport($L27,$G27,$H27)</f>
        <v>0</v>
      </c>
      <c r="O27" s="106" cm="1">
        <f t="array" ref="O27">Fuel_Equations.VEERG_8_1_1_1__1_FuelCombustionTransport($L27,$G27,$I27)</f>
        <v>0</v>
      </c>
      <c r="P27" s="106" cm="1">
        <f t="array" ref="P27">Fuel_Equations.VEERG_8_1_1_1__1_FuelCombustionTransport($L27,$G27,$J27)</f>
        <v>0</v>
      </c>
      <c r="Q27" s="106" cm="1">
        <f t="array" ref="Q27">Scope3_Equations.VEERG_15_11_1_1__2_UpstreamTransportFuelEmissions(L27,G27,K27)</f>
        <v>0</v>
      </c>
    </row>
    <row r="28" spans="1:17"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31" cm="1">
        <f t="array" ref="K28">IFERROR(_xlfn.XLOOKUP(1, (Table_Fuel_EFs_Transport[Fuel combusted]=$E28)*(Table_Fuel_EFs_Transport[Transport type]=$D$25), Table_Fuel_EFs_Transport[Scope 3 Emission Factor (kg CO2 - e / GJ)]), 0)</f>
        <v>18</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6" cm="1">
        <f t="array" ref="N28">Fuel_Equations.VEERG_8_1_1_1__1_FuelCombustionTransport($L28,$G28,$H28)</f>
        <v>0</v>
      </c>
      <c r="O28" s="106" cm="1">
        <f t="array" ref="O28">Fuel_Equations.VEERG_8_1_1_1__1_FuelCombustionTransport($L28,$G28,$I28)</f>
        <v>0</v>
      </c>
      <c r="P28" s="106" cm="1">
        <f t="array" ref="P28">Fuel_Equations.VEERG_8_1_1_1__1_FuelCombustionTransport($L28,$G28,$J28)</f>
        <v>0</v>
      </c>
      <c r="Q28" s="106" cm="1">
        <f t="array" ref="Q28">Scope3_Equations.VEERG_15_11_1_1__2_UpstreamTransportFuelEmissions(L28,G28,K28)</f>
        <v>0</v>
      </c>
    </row>
    <row r="29" spans="1:17"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31" t="str" cm="1">
        <f t="array" ref="K29">IFERROR(_xlfn.XLOOKUP(1, (Table_Fuel_EFs_Transport[Fuel combusted]=$E29)*(Table_Fuel_EFs_Transport[Transport type]=$D$25), Table_Fuel_EFs_Transport[Scope 3 Emission Factor (kg CO2 - e / GJ)]), 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6" cm="1">
        <f t="array" ref="N29">Fuel_Equations.VEERG_8_1_1_1__1_FuelCombustionTransport($L29,$G29,$H29)</f>
        <v>0</v>
      </c>
      <c r="O29" s="106" cm="1">
        <f t="array" ref="O29">Fuel_Equations.VEERG_8_1_1_1__1_FuelCombustionTransport($L29,$G29,$I29)</f>
        <v>0</v>
      </c>
      <c r="P29" s="106" cm="1">
        <f t="array" ref="P29">Fuel_Equations.VEERG_8_1_1_1__1_FuelCombustionTransport($L29,$G29,$J29)</f>
        <v>0</v>
      </c>
      <c r="Q29" s="106" cm="1">
        <f t="array" ref="Q29">Scope3_Equations.VEERG_15_11_1_1__2_UpstreamTransportFuelEmissions(L29,G29,IF(ISNUMBER(K29),K29,0))</f>
        <v>0</v>
      </c>
    </row>
    <row r="30" spans="1:17"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31" t="str" cm="1">
        <f t="array" ref="K30">IFERROR(_xlfn.XLOOKUP(1, (Table_Fuel_EFs_Transport[Fuel combusted]=$E30)*(Table_Fuel_EFs_Transport[Transport type]=$D$25), Table_Fuel_EFs_Transport[Scope 3 Emission Factor (kg CO2 - e / GJ)]), 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6" cm="1">
        <f t="array" ref="N30">Fuel_Equations.VEERG_8_1_1_1__1_FuelCombustionTransport($L30,$G30,$H30)</f>
        <v>0</v>
      </c>
      <c r="O30" s="106" cm="1">
        <f t="array" ref="O30">Fuel_Equations.VEERG_8_1_1_1__1_FuelCombustionTransport($L30,$G30,$I30)</f>
        <v>0</v>
      </c>
      <c r="P30" s="106" cm="1">
        <f t="array" ref="P30">Fuel_Equations.VEERG_8_1_1_1__1_FuelCombustionTransport($L30,$G30,$J30)</f>
        <v>0</v>
      </c>
      <c r="Q30" s="106" cm="1">
        <f t="array" ref="Q30">Scope3_Equations.VEERG_15_11_1_1__2_UpstreamTransportFuelEmissions(L30,G30,IF(ISNUMBER(K30),K30,0))</f>
        <v>0</v>
      </c>
    </row>
    <row r="31" spans="1:17"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31" t="str" cm="1">
        <f t="array" ref="K31">IFERROR(_xlfn.XLOOKUP(1, (Table_Fuel_EFs_Transport[Fuel combusted]=$E31)*(Table_Fuel_EFs_Transport[Transport type]=$D$25), Table_Fuel_EFs_Transport[Scope 3 Emission Factor (kg CO2 - e / GJ)]), 0)</f>
        <v>NE</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cm="1">
        <f t="array" ref="N31">Fuel_Equations.VEERG_8_1_1_1__1_FuelCombustionTransport($L31,$G31,$H31)</f>
        <v>0</v>
      </c>
      <c r="O31" s="106" cm="1">
        <f t="array" ref="O31">Fuel_Equations.VEERG_8_1_1_1__1_FuelCombustionTransport($L31,$G31,$I31)</f>
        <v>0</v>
      </c>
      <c r="P31" s="106" cm="1">
        <f t="array" ref="P31">Fuel_Equations.VEERG_8_1_1_1__1_FuelCombustionTransport($L31,$G31,$J31)</f>
        <v>0</v>
      </c>
      <c r="Q31" s="106" cm="1">
        <f t="array" ref="Q31">Scope3_Equations.VEERG_15_11_1_1__2_UpstreamTransportFuelEmissions(L31,G31,IF(ISNUMBER(K31),K31,0))</f>
        <v>0</v>
      </c>
    </row>
    <row r="32" spans="1:17"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101" t="str" cm="1">
        <f t="array" ref="K32">IFERROR(_xlfn.XLOOKUP(1, (Table_Fuel_EFs_Transport[Fuel combusted]=$E32)*(Table_Fuel_EFs_Transport[Transport type]=$D$25), Table_Fuel_EFs_Transport[Scope 3 Emission Factor (kg CO2 - e / GJ)]), 0)</f>
        <v>NE</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cm="1">
        <f t="array" ref="N32">Fuel_Equations.VEERG_8_1_1_1__1_FuelCombustionTransport($L32,$G32,$H32)</f>
        <v>0</v>
      </c>
      <c r="O32" s="107" cm="1">
        <f t="array" ref="O32">Fuel_Equations.VEERG_8_1_1_1__1_FuelCombustionTransport($L32,$G32,$I32)</f>
        <v>0</v>
      </c>
      <c r="P32" s="107" cm="1">
        <f t="array" ref="P32">Fuel_Equations.VEERG_8_1_1_1__1_FuelCombustionTransport($L32,$G32,$J32)</f>
        <v>0</v>
      </c>
      <c r="Q32" s="106" cm="1">
        <f t="array" ref="Q32">Scope3_Equations.VEERG_15_11_1_1__2_UpstreamTransportFuelEmissions(L32,G32,IF(ISNUMBER(K32),K32,0))</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17.3</v>
      </c>
      <c r="L33" s="104" cm="1">
        <f t="array" ref="L33">Fuel_InputFunctions.Fuel_TotalConsumption(Table_Input_Fuel[Amount consumed], Table_Input_Fuel[Fuel use (select)], D33, Table_Input_Fuel[Fuel type (select)],F33)</f>
        <v>10000</v>
      </c>
      <c r="M33" s="92" t="str" cm="1">
        <f t="array" ref="M33">Common_InputFunctions.Utility_LookupValueInTable(F33,Table_FuelTypes_Units[Fuel type],Table_FuelTypes_Units[Unit])</f>
        <v>kL</v>
      </c>
      <c r="N33" s="108" cm="1">
        <f t="array" ref="N33">Fuel_Equations.VEERG_8_1_1_1__1_FuelCombustionTransport($L33,$G33,$H33)</f>
        <v>26981.400000000005</v>
      </c>
      <c r="O33" s="108" cm="1">
        <f t="array" ref="O33">Fuel_Equations.VEERG_8_1_1_1__1_FuelCombustionTransport($L33,$G33,$I33)</f>
        <v>115.8</v>
      </c>
      <c r="P33" s="108" cm="1">
        <f t="array" ref="P33">Fuel_Equations.VEERG_8_1_1_1__1_FuelCombustionTransport($L33,$G33,$J33)</f>
        <v>193</v>
      </c>
      <c r="Q33" s="113" cm="1">
        <f t="array" ref="Q33">Scope3_Equations.VEERG_15_11_1_1__2_UpstreamTransportFuelEmissions(L33,G33,K33)</f>
        <v>6677.8</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cm="1">
        <f t="array" ref="N34">Fuel_Equations.VEERG_8_1_1_1__1_FuelCombustionTransport($L34,$G34,$H34)</f>
        <v>0</v>
      </c>
      <c r="O34" s="108" cm="1">
        <f t="array" ref="O34">Fuel_Equations.VEERG_8_1_1_1__1_FuelCombustionTransport($L34,$G34,$I34)</f>
        <v>0</v>
      </c>
      <c r="P34" s="108" cm="1">
        <f t="array" ref="P34">Fuel_Equations.VEERG_8_1_1_1__1_FuelCombustionTransport($L34,$G34,$J34)</f>
        <v>0</v>
      </c>
      <c r="Q34" s="108" cm="1">
        <f t="array" ref="Q34">Scope3_Equations.VEERG_15_11_1_1__2_UpstreamTransportFuelEmissions(L34,G34,K34)</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cm="1">
        <f t="array" ref="N35">Fuel_Equations.VEERG_8_1_1_1__1_FuelCombustionTransport($L35,$G35,$H35)</f>
        <v>0</v>
      </c>
      <c r="O35" s="106" cm="1">
        <f t="array" ref="O35">Fuel_Equations.VEERG_8_1_1_1__1_FuelCombustionTransport($L35,$G35,$I35)</f>
        <v>0</v>
      </c>
      <c r="P35" s="106" cm="1">
        <f t="array" ref="P35">Fuel_Equations.VEERG_8_1_1_1__1_FuelCombustionTransport($L35,$G35,$J35)</f>
        <v>0</v>
      </c>
      <c r="Q35" s="106" cm="1">
        <f t="array" ref="Q35">Scope3_Equations.VEERG_15_11_1_1__2_UpstreamTransportFuelEmissions(L35,G35,K35)</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cm="1">
        <f t="array" ref="N36">Fuel_Equations.VEERG_8_1_1_1__1_FuelCombustionTransport($L36,$G36,$H36)</f>
        <v>0</v>
      </c>
      <c r="O36" s="106" cm="1">
        <f t="array" ref="O36">Fuel_Equations.VEERG_8_1_1_1__1_FuelCombustionTransport($L36,$G36,$I36)</f>
        <v>0</v>
      </c>
      <c r="P36" s="106" cm="1">
        <f t="array" ref="P36">Fuel_Equations.VEERG_8_1_1_1__1_FuelCombustionTransport($L36,$G36,$J36)</f>
        <v>0</v>
      </c>
      <c r="Q36" s="107" cm="1">
        <f t="array" ref="Q36">Scope3_Equations.VEERG_15_11_1_1__2_UpstreamTransportFuelEmissions(L36,G36,K36)</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17.2</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cm="1">
        <f t="array" ref="N37">Fuel_Equations.VEERG_8_1_1_1__1_FuelCombustionTransport($L37,$G37,$H37)</f>
        <v>0</v>
      </c>
      <c r="O37" s="108" cm="1">
        <f t="array" ref="O37">Fuel_Equations.VEERG_8_1_1_1__1_FuelCombustionTransport($L37,$G37,$I37)</f>
        <v>0</v>
      </c>
      <c r="P37" s="108" cm="1">
        <f t="array" ref="P37">Fuel_Equations.VEERG_8_1_1_1__1_FuelCombustionTransport($L37,$G37,$J37)</f>
        <v>0</v>
      </c>
      <c r="Q37" s="108" cm="1">
        <f t="array" ref="Q37">Scope3_Equations.VEERG_15_11_1_1__2_UpstreamTransportFuelEmissions(L37,G37,K37)</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17.3</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cm="1">
        <f t="array" ref="N38">Fuel_Equations.VEERG_8_1_1_1__1_FuelCombustionTransport($L38,$G38,$H38)</f>
        <v>0</v>
      </c>
      <c r="O38" s="106" cm="1">
        <f t="array" ref="O38">Fuel_Equations.VEERG_8_1_1_1__1_FuelCombustionTransport($L38,$G38,$I38)</f>
        <v>0</v>
      </c>
      <c r="P38" s="106" cm="1">
        <f t="array" ref="P38">Fuel_Equations.VEERG_8_1_1_1__1_FuelCombustionTransport($L38,$G38,$J38)</f>
        <v>0</v>
      </c>
      <c r="Q38" s="106" cm="1">
        <f t="array" ref="Q38">Scope3_Equations.VEERG_15_11_1_1__2_UpstreamTransportFuelEmissions(L38,G38,K38)</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18</v>
      </c>
      <c r="L39" s="64" cm="1">
        <f t="array" ref="L39">Fuel_InputFunctions.Fuel_TotalConsumption(Table_Input_Fuel[Amount consumed], Table_Input_Fuel[Fuel use (select)], D39, Table_Input_Fuel[Fuel type (select)],F39)</f>
        <v>10000</v>
      </c>
      <c r="M39" s="64" t="str" cm="1">
        <f t="array" ref="M39">Common_InputFunctions.Utility_LookupValueInTable(F39,Table_FuelTypes_Units[Fuel type],Table_FuelTypes_Units[Unit])</f>
        <v>kL</v>
      </c>
      <c r="N39" s="106" cm="1">
        <f t="array" ref="N39">Fuel_Equations.VEERG_8_1_1_1__1_FuelCombustionTransport($L39,$G39,$H39)</f>
        <v>29219.199999999997</v>
      </c>
      <c r="O39" s="106" cm="1">
        <f t="array" ref="O39">Fuel_Equations.VEERG_8_1_1_1__1_FuelCombustionTransport($L39,$G39,$I39)</f>
        <v>79.400000000000006</v>
      </c>
      <c r="P39" s="106" cm="1">
        <f t="array" ref="P39">Fuel_Equations.VEERG_8_1_1_1__1_FuelCombustionTransport($L39,$G39,$J39)</f>
        <v>198.5</v>
      </c>
      <c r="Q39" s="106" cm="1">
        <f t="array" ref="Q39">Scope3_Equations.VEERG_15_11_1_1__2_UpstreamTransportFuelEmissions(L39,G39,K39)</f>
        <v>7146</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Cars and light commercial vehicles</v>
      </c>
      <c r="E42" s="95"/>
      <c r="F42" s="96"/>
    </row>
    <row r="43" spans="1:17" ht="20.100000000000001" customHeight="1" x14ac:dyDescent="0.25">
      <c r="D43" s="3" t="s">
        <v>156</v>
      </c>
      <c r="E43" s="105">
        <f>SUM(N25:N32)</f>
        <v>26981.400000000005</v>
      </c>
      <c r="F43" s="2" t="str">
        <f>$E$12</f>
        <v>t CO2-e</v>
      </c>
    </row>
    <row r="44" spans="1:17" ht="20.100000000000001" customHeight="1" x14ac:dyDescent="0.25">
      <c r="D44" s="3" t="s">
        <v>157</v>
      </c>
      <c r="E44" s="105">
        <f>SUM(O25:O32)</f>
        <v>3.86</v>
      </c>
      <c r="F44" s="2" t="str">
        <f t="shared" ref="F44:F46" si="1">$E$12</f>
        <v>t CO2-e</v>
      </c>
    </row>
    <row r="45" spans="1:17" ht="20.100000000000001" customHeight="1" x14ac:dyDescent="0.25">
      <c r="D45" s="3" t="s">
        <v>158</v>
      </c>
      <c r="E45" s="105">
        <f>SUM(P25:P32)</f>
        <v>193</v>
      </c>
      <c r="F45" s="2" t="str">
        <f t="shared" si="1"/>
        <v>t CO2-e</v>
      </c>
    </row>
    <row r="46" spans="1:17" ht="20.100000000000001" customHeight="1" x14ac:dyDescent="0.25">
      <c r="D46" s="3" t="s">
        <v>181</v>
      </c>
      <c r="E46" s="105">
        <f>SUM(Q25:Q32)</f>
        <v>6677.8</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156</v>
      </c>
      <c r="E49" s="105">
        <f>SUM(N33:N33)</f>
        <v>26981.400000000005</v>
      </c>
      <c r="F49" s="2" t="str">
        <f t="shared" ref="F49:F52" si="2">$E$12</f>
        <v>t CO2-e</v>
      </c>
      <c r="H49" s="52"/>
      <c r="I49" s="52"/>
      <c r="J49" s="52"/>
      <c r="L49" s="52"/>
      <c r="M49" s="52"/>
      <c r="N49" s="52"/>
      <c r="O49" s="52"/>
      <c r="P49" s="52"/>
      <c r="Q49" s="52"/>
    </row>
    <row r="50" spans="4:17" ht="20.100000000000001" customHeight="1" x14ac:dyDescent="0.25">
      <c r="D50" s="3" t="s">
        <v>157</v>
      </c>
      <c r="E50" s="105">
        <f>SUM(O33:O33)</f>
        <v>115.8</v>
      </c>
      <c r="F50" s="2" t="str">
        <f t="shared" si="2"/>
        <v>t CO2-e</v>
      </c>
      <c r="H50" s="52"/>
      <c r="I50" s="52"/>
      <c r="J50" s="52"/>
      <c r="L50" s="52"/>
      <c r="M50" s="52"/>
      <c r="N50" s="52"/>
      <c r="O50" s="52"/>
      <c r="P50" s="52"/>
      <c r="Q50" s="52"/>
    </row>
    <row r="51" spans="4:17" ht="20.100000000000001" customHeight="1" x14ac:dyDescent="0.25">
      <c r="D51" s="3" t="s">
        <v>158</v>
      </c>
      <c r="E51" s="105">
        <f>SUM(P33:P33)</f>
        <v>193</v>
      </c>
      <c r="F51" s="2" t="str">
        <f t="shared" si="2"/>
        <v>t CO2-e</v>
      </c>
      <c r="H51" s="52"/>
      <c r="I51" s="52"/>
      <c r="J51" s="52"/>
      <c r="L51" s="52"/>
      <c r="M51" s="52"/>
      <c r="N51" s="52"/>
      <c r="O51" s="52"/>
      <c r="P51" s="52"/>
      <c r="Q51" s="52"/>
    </row>
    <row r="52" spans="4:17" ht="20.100000000000001" customHeight="1" x14ac:dyDescent="0.25">
      <c r="D52" s="3" t="s">
        <v>181</v>
      </c>
      <c r="E52" s="105">
        <f>SUM(Q33)</f>
        <v>6677.8</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156</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157</v>
      </c>
      <c r="E56" s="105">
        <f>SUM(O34:O36)</f>
        <v>0</v>
      </c>
      <c r="F56" s="2" t="str">
        <f t="shared" si="3"/>
        <v>t CO2-e</v>
      </c>
      <c r="G56" s="52"/>
      <c r="H56" s="52"/>
      <c r="I56" s="52"/>
      <c r="J56" s="52"/>
      <c r="L56" s="52"/>
      <c r="M56" s="52"/>
      <c r="N56" s="52"/>
      <c r="O56" s="52"/>
      <c r="P56" s="52"/>
      <c r="Q56" s="52"/>
    </row>
    <row r="57" spans="4:17" ht="20.100000000000001" customHeight="1" x14ac:dyDescent="0.25">
      <c r="D57" s="3" t="s">
        <v>158</v>
      </c>
      <c r="E57" s="105">
        <f>SUM(P34:P36)</f>
        <v>0</v>
      </c>
      <c r="F57" s="2" t="str">
        <f t="shared" si="3"/>
        <v>t CO2-e</v>
      </c>
      <c r="G57" s="52"/>
      <c r="H57" s="52"/>
      <c r="I57" s="52"/>
      <c r="J57" s="52"/>
      <c r="L57" s="52"/>
      <c r="M57" s="52"/>
      <c r="N57" s="52"/>
      <c r="O57" s="52"/>
      <c r="P57" s="52"/>
      <c r="Q57" s="52"/>
    </row>
    <row r="58" spans="4:17" ht="20.100000000000001" customHeight="1" x14ac:dyDescent="0.25">
      <c r="D58" s="3" t="s">
        <v>181</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156</v>
      </c>
      <c r="E61" s="105">
        <f>SUM(N37:N39)</f>
        <v>29219.199999999997</v>
      </c>
      <c r="F61" s="2" t="str">
        <f t="shared" ref="F61:F64" si="4">$E$12</f>
        <v>t CO2-e</v>
      </c>
      <c r="G61" s="52"/>
      <c r="H61" s="52"/>
      <c r="I61" s="52"/>
      <c r="J61" s="52"/>
      <c r="L61" s="52"/>
      <c r="M61" s="52"/>
      <c r="N61" s="52"/>
      <c r="O61" s="52"/>
      <c r="P61" s="52"/>
      <c r="Q61" s="52"/>
    </row>
    <row r="62" spans="4:17" ht="20.100000000000001" customHeight="1" x14ac:dyDescent="0.25">
      <c r="D62" s="3" t="s">
        <v>157</v>
      </c>
      <c r="E62" s="105">
        <f>SUM(O37:O39)</f>
        <v>79.400000000000006</v>
      </c>
      <c r="F62" s="2" t="str">
        <f t="shared" si="4"/>
        <v>t CO2-e</v>
      </c>
      <c r="G62" s="52"/>
      <c r="H62" s="52"/>
      <c r="I62" s="52"/>
      <c r="J62" s="52"/>
      <c r="L62" s="52"/>
      <c r="M62" s="52"/>
      <c r="N62" s="52"/>
      <c r="O62" s="52"/>
      <c r="P62" s="52"/>
      <c r="Q62" s="52"/>
    </row>
    <row r="63" spans="4:17" ht="20.100000000000001" customHeight="1" x14ac:dyDescent="0.25">
      <c r="D63" s="3" t="s">
        <v>158</v>
      </c>
      <c r="E63" s="105">
        <f>SUM(P37:P39)</f>
        <v>198.5</v>
      </c>
      <c r="F63" s="2" t="str">
        <f t="shared" si="4"/>
        <v>t CO2-e</v>
      </c>
      <c r="G63" s="52"/>
      <c r="H63" s="52"/>
      <c r="I63" s="52"/>
      <c r="J63" s="52"/>
      <c r="L63" s="52"/>
      <c r="M63" s="52"/>
      <c r="N63" s="52"/>
      <c r="O63" s="52"/>
      <c r="P63" s="52"/>
      <c r="Q63" s="52"/>
    </row>
    <row r="64" spans="4:17" ht="20.100000000000001" customHeight="1" x14ac:dyDescent="0.25">
      <c r="D64" s="3" t="s">
        <v>181</v>
      </c>
      <c r="E64" s="105">
        <f>SUM(Q37:Q39)</f>
        <v>7146</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176</v>
      </c>
      <c r="E66" s="99"/>
      <c r="F66" s="96"/>
      <c r="G66" s="52"/>
      <c r="H66" s="52"/>
      <c r="I66" s="52"/>
      <c r="J66" s="52"/>
      <c r="L66" s="52"/>
      <c r="M66" s="52"/>
      <c r="N66" s="52"/>
      <c r="O66" s="52"/>
      <c r="P66" s="52"/>
      <c r="Q66" s="52"/>
    </row>
    <row r="67" spans="1:17" ht="20.100000000000001" customHeight="1" x14ac:dyDescent="0.25">
      <c r="D67" s="3" t="s">
        <v>156</v>
      </c>
      <c r="E67" s="105">
        <f>E43+E49+E55+E61</f>
        <v>83182</v>
      </c>
      <c r="F67" s="2" t="str">
        <f t="shared" ref="F67:F70" si="5">$E$12</f>
        <v>t CO2-e</v>
      </c>
      <c r="G67" s="52"/>
    </row>
    <row r="68" spans="1:17" ht="20.100000000000001" customHeight="1" x14ac:dyDescent="0.25">
      <c r="D68" s="3" t="s">
        <v>157</v>
      </c>
      <c r="E68" s="105">
        <f t="shared" ref="E68:E70" si="6">E44+E50+E56+E62</f>
        <v>199.06</v>
      </c>
      <c r="F68" s="2" t="str">
        <f t="shared" si="5"/>
        <v>t CO2-e</v>
      </c>
      <c r="G68" s="52"/>
    </row>
    <row r="69" spans="1:17" ht="20.100000000000001" customHeight="1" x14ac:dyDescent="0.25">
      <c r="A69" s="63" t="str">
        <f>HYPERLINK("#A1", "▲ Back to top")</f>
        <v>▲ Back to top</v>
      </c>
      <c r="D69" s="3" t="s">
        <v>158</v>
      </c>
      <c r="E69" s="105">
        <f t="shared" si="6"/>
        <v>584.5</v>
      </c>
      <c r="F69" s="2" t="str">
        <f t="shared" si="5"/>
        <v>t CO2-e</v>
      </c>
      <c r="G69" s="52"/>
    </row>
    <row r="70" spans="1:17" ht="20.100000000000001" customHeight="1" x14ac:dyDescent="0.25">
      <c r="D70" s="3" t="s">
        <v>181</v>
      </c>
      <c r="E70" s="105">
        <f t="shared" si="6"/>
        <v>20501.599999999999</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abSelected="1" topLeftCell="A33" zoomScaleNormal="100" workbookViewId="0">
      <selection activeCell="E58" sqref="E58"/>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110</v>
      </c>
    </row>
    <row r="2" spans="1:18" s="9" customFormat="1" ht="20.100000000000001" customHeight="1" x14ac:dyDescent="0.25">
      <c r="A2"/>
    </row>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2"/>
      <c r="P5" s="52"/>
      <c r="Q5" s="52"/>
      <c r="R5" s="52"/>
    </row>
    <row r="6" spans="1:18" ht="20.100000000000001" customHeight="1" x14ac:dyDescent="0.25">
      <c r="A6" s="13"/>
      <c r="D6" s="5" t="str" cm="1">
        <f t="array" ref="D6">Fuel_Equations.VEERG_8_2_1_1__1_FuelCombustionStationary_Source()</f>
        <v>VEERG 2026: 8.2.1.1, Equation (1)</v>
      </c>
      <c r="K6" s="5" t="str" cm="1">
        <f t="array" ref="K6">Scope3_Equations.VEERG_15_11_1_1__3_UpstreamStationaryFuelEmissions_Source()</f>
        <v>VEERG 2026: 15.11.1.1, Equation (3)</v>
      </c>
      <c r="O6" s="52"/>
      <c r="P6" s="52"/>
      <c r="Q6" s="52"/>
      <c r="R6" s="52"/>
    </row>
    <row r="7" spans="1:18" ht="20.100000000000001" customHeight="1" x14ac:dyDescent="0.25">
      <c r="A7" s="17" t="s">
        <v>1</v>
      </c>
      <c r="D7" s="11" t="s">
        <v>10</v>
      </c>
      <c r="E7" s="11" t="str" cm="1">
        <f t="array" aca="1" ref="E7" ca="1">Common_InputFunctions.Utility_DisplayFunctionName(N25)</f>
        <v>=Fuel_Equations.VEERG_8_2_1_1__1_FuelCombustionStationary</v>
      </c>
      <c r="K7" s="34" t="str" cm="1">
        <f t="array" ref="K7">Scope3_Equations.VEERG_15_11_1_1__3_UpstreamStationaryFuelEmissions_Variation()</f>
        <v>VARIATION ON SOURCE: Added 'state' and 'metro/non-metro' arguments as gaseous scope 3 EFs are state and metro/non-metro location-based.</v>
      </c>
      <c r="O7" s="52"/>
      <c r="P7" s="52"/>
      <c r="Q7" s="52"/>
      <c r="R7" s="52"/>
    </row>
    <row r="8" spans="1:18" ht="20.100000000000001" customHeight="1" x14ac:dyDescent="0.25">
      <c r="A8" s="14" t="str">
        <f>HYPERLINK("#'Input - Fuel'!A1", "Fuel")</f>
        <v>Fuel</v>
      </c>
      <c r="K8" s="11" t="s">
        <v>10</v>
      </c>
      <c r="L8" s="11" t="str" cm="1">
        <f t="array" aca="1" ref="L8" ca="1">Common_InputFunctions.Utility_DisplayFunctionName(Q25)</f>
        <v>=Fuel_Equations.VEERG_8_2_1_1__1_FuelCombustionStationary</v>
      </c>
      <c r="O8" s="52"/>
      <c r="P8" s="52"/>
      <c r="Q8" s="52"/>
      <c r="R8" s="52"/>
    </row>
    <row r="9" spans="1:18" ht="20.100000000000001" customHeight="1" x14ac:dyDescent="0.25">
      <c r="A9" s="14"/>
      <c r="G9" s="5"/>
      <c r="O9" s="52"/>
      <c r="P9" s="52"/>
      <c r="Q9" s="52"/>
      <c r="R9" s="52"/>
    </row>
    <row r="10" spans="1:18" ht="20.100000000000001" customHeight="1" x14ac:dyDescent="0.25">
      <c r="A10" s="16" t="s">
        <v>45</v>
      </c>
      <c r="O10" s="52"/>
      <c r="P10" s="52"/>
      <c r="Q10" s="52"/>
      <c r="R10" s="52"/>
    </row>
    <row r="11" spans="1:18"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K11" s="32" t="s">
        <v>13</v>
      </c>
      <c r="L11" s="1" t="str" cm="1">
        <f t="array" ref="L11">Scope3_Equations.VEERG_15_11_1_1__3_UpstreamStationaryFuelEmissions_Variable()</f>
        <v>E_WTTSCq</v>
      </c>
      <c r="O11" s="52"/>
      <c r="P11" s="52"/>
      <c r="Q11" s="52"/>
      <c r="R11" s="52"/>
    </row>
    <row r="12" spans="1:18"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c r="K12" s="32" t="s">
        <v>5</v>
      </c>
      <c r="L12" s="33" t="str" cm="1">
        <f t="array" ref="L12">Scope3_Equations.VEERG_15_11_1_1__3_UpstreamStationaryFuelEmissions_Unit()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K14" s="60" t="str" cm="1">
        <f t="array" ref="K14:L18">_xlfn.CHOOSECOLS(Scope3_Equations.VEERG_15_11_1_1__3_UpstreamStationaryFuelEmissions_Arguments(),1,2)</f>
        <v>Q_SCq</v>
      </c>
      <c r="L14" s="60" t="str">
        <v>amount of fuel q used for stationary combustion operations</v>
      </c>
      <c r="M14" s="60"/>
      <c r="N14" s="60" t="str" cm="1">
        <f t="array" ref="N14:O18">_xlfn.CHOOSECOLS(Scope3_Equations.VEERG_15_11_1_1__3_UpstreamStationaryFuelEmissions_Arguments(),3,4)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K15" s="60" t="str">
        <v>EC_SCq</v>
      </c>
      <c r="L15" s="60" t="str">
        <v>energy content factor for stationary combustion operations</v>
      </c>
      <c r="M15" s="60"/>
      <c r="N15" s="60" t="str">
        <v>GJ/kL</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K16" s="60" t="str">
        <v>EF_SC3q</v>
      </c>
      <c r="L16" s="60" t="str">
        <v>scope 3 emission factor for stationary combustion operations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K17" s="60" t="str">
        <v>i</v>
      </c>
      <c r="L17" s="62" t="str">
        <v>state</v>
      </c>
      <c r="M17" s="61"/>
      <c r="N17" s="60" t="str">
        <v/>
      </c>
      <c r="O17" s="55" t="str">
        <v>Input</v>
      </c>
      <c r="P17" s="60" t="str">
        <f>X_Cell_Site_State</f>
        <v>Western Australia</v>
      </c>
      <c r="Q17" s="52"/>
    </row>
    <row r="18" spans="1:17" ht="20.100000000000001" customHeight="1" x14ac:dyDescent="0.25">
      <c r="D18" s="60" t="str">
        <v>SC</v>
      </c>
      <c r="E18" s="62" t="str">
        <v>Stationary combustion</v>
      </c>
      <c r="F18" s="61"/>
      <c r="G18" s="60" t="str">
        <v/>
      </c>
      <c r="H18" s="54" t="str">
        <v>Constant</v>
      </c>
      <c r="I18" s="59"/>
      <c r="J18" s="52"/>
      <c r="K18" s="60" t="str">
        <v>m</v>
      </c>
      <c r="L18" s="62" t="str">
        <v>metropolitan/non-metropolitan location</v>
      </c>
      <c r="M18" s="61"/>
      <c r="N18" s="60" t="str">
        <v/>
      </c>
      <c r="O18" s="55" t="str">
        <v>Input</v>
      </c>
      <c r="P18" s="60" t="str">
        <f>X_Cell_Fuel_IsMetroLocation</f>
        <v>Metro</v>
      </c>
      <c r="Q18" s="52"/>
    </row>
    <row r="19" spans="1:17" ht="20.100000000000001" customHeight="1" x14ac:dyDescent="0.25">
      <c r="D19" s="60" t="str">
        <v>g</v>
      </c>
      <c r="E19" s="62" t="str">
        <v>Greenhouse gas</v>
      </c>
      <c r="F19" s="61"/>
      <c r="G19" s="60" t="str">
        <v/>
      </c>
      <c r="H19" s="54" t="str">
        <v>Constant</v>
      </c>
      <c r="I19" s="59"/>
      <c r="J19" s="52"/>
      <c r="L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162</v>
      </c>
    </row>
    <row r="24" spans="1:17" ht="20.100000000000001" customHeight="1" x14ac:dyDescent="0.25">
      <c r="D24" s="30" t="s">
        <v>146</v>
      </c>
      <c r="E24" s="30" t="s">
        <v>159</v>
      </c>
      <c r="F24" s="30" t="s">
        <v>147</v>
      </c>
      <c r="G24" s="30" t="s">
        <v>163</v>
      </c>
      <c r="H24" s="30" t="s">
        <v>164</v>
      </c>
      <c r="I24" s="30" t="s">
        <v>165</v>
      </c>
      <c r="J24" s="30" t="s">
        <v>166</v>
      </c>
      <c r="K24" s="30" t="s">
        <v>183</v>
      </c>
      <c r="L24" s="53" t="s">
        <v>167</v>
      </c>
      <c r="M24" s="30" t="s">
        <v>152</v>
      </c>
      <c r="N24" s="30" t="s">
        <v>153</v>
      </c>
      <c r="O24" s="30" t="s">
        <v>154</v>
      </c>
      <c r="P24" s="30" t="s">
        <v>155</v>
      </c>
      <c r="Q24" s="30" t="s">
        <v>184</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cm="1">
        <f t="array" ref="N25">Fuel_Equations.VEERG_8_2_1_1__1_FuelCombustionStationary($L25,$G25,H25)</f>
        <v>0</v>
      </c>
      <c r="O25" s="109" cm="1">
        <f t="array" ref="O25">Fuel_Equations.VEERG_8_2_1_1__1_FuelCombustionStationary($L25,$G25,I25)</f>
        <v>0</v>
      </c>
      <c r="P25" s="109" cm="1">
        <f t="array" ref="P25">Fuel_Equations.VEERG_8_2_1_1__1_FuelCombustionStationary($L25,$G25,J25)</f>
        <v>0</v>
      </c>
      <c r="Q25" s="109" cm="1">
        <f t="array" ref="Q25">Fuel_Equations.VEERG_8_2_1_1__1_FuelCombustionStationary($L25,$G25,IF(ISNUMBER(K25), K25, 0))</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cm="1">
        <f t="array" ref="N26">Fuel_Equations.VEERG_8_2_1_1__1_FuelCombustionStationary($L26,$G26,H26)</f>
        <v>0</v>
      </c>
      <c r="O26" s="109" cm="1">
        <f t="array" ref="O26">Fuel_Equations.VEERG_8_2_1_1__1_FuelCombustionStationary($L26,$G26,I26)</f>
        <v>0</v>
      </c>
      <c r="P26" s="109" cm="1">
        <f t="array" ref="P26">Fuel_Equations.VEERG_8_2_1_1__1_FuelCombustionStationary($L26,$G26,J26)</f>
        <v>0</v>
      </c>
      <c r="Q26" s="109" cm="1">
        <f t="array" ref="Q26">Fuel_Equations.VEERG_8_2_1_1__1_FuelCombustionStationary($L26,$G26,IF(ISNUMBER(K26), K26, 0))</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cm="1">
        <f t="array" ref="N27">Fuel_Equations.VEERG_8_2_1_1__1_FuelCombustionStationary($L27,$G27,H27)</f>
        <v>0</v>
      </c>
      <c r="O27" s="109" cm="1">
        <f t="array" ref="O27">Fuel_Equations.VEERG_8_2_1_1__1_FuelCombustionStationary($L27,$G27,I27)</f>
        <v>0</v>
      </c>
      <c r="P27" s="109" cm="1">
        <f t="array" ref="P27">Fuel_Equations.VEERG_8_2_1_1__1_FuelCombustionStationary($L27,$G27,J27)</f>
        <v>0</v>
      </c>
      <c r="Q27" s="109" cm="1">
        <f t="array" ref="Q27">Fuel_Equations.VEERG_8_2_1_1__1_FuelCombustionStationary($L27,$G27,IF(ISNUMBER(K27), K27, 0))</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cm="1">
        <f t="array" ref="N28">Fuel_Equations.VEERG_8_2_1_1__1_FuelCombustionStationary($L28,$G28,H28)</f>
        <v>0</v>
      </c>
      <c r="O28" s="109" cm="1">
        <f t="array" ref="O28">Fuel_Equations.VEERG_8_2_1_1__1_FuelCombustionStationary($L28,$G28,I28)</f>
        <v>0</v>
      </c>
      <c r="P28" s="109" cm="1">
        <f t="array" ref="P28">Fuel_Equations.VEERG_8_2_1_1__1_FuelCombustionStationary($L28,$G28,J28)</f>
        <v>0</v>
      </c>
      <c r="Q28" s="109" cm="1">
        <f t="array" ref="Q28">Fuel_Equations.VEERG_8_2_1_1__1_FuelCombustionStationary($L28,$G28,IF(ISNUMBER(K28), K28, 0))</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cm="1">
        <f t="array" ref="N29">Fuel_Equations.VEERG_8_2_1_1__1_FuelCombustionStationary($L29,$G29,H29)</f>
        <v>0</v>
      </c>
      <c r="O29" s="109" cm="1">
        <f t="array" ref="O29">Fuel_Equations.VEERG_8_2_1_1__1_FuelCombustionStationary($L29,$G29,I29)</f>
        <v>0</v>
      </c>
      <c r="P29" s="109" cm="1">
        <f t="array" ref="P29">Fuel_Equations.VEERG_8_2_1_1__1_FuelCombustionStationary($L29,$G29,J29)</f>
        <v>0</v>
      </c>
      <c r="Q29" s="109" cm="1">
        <f t="array" ref="Q29">Fuel_Equations.VEERG_8_2_1_1__1_FuelCombustionStationary($L29,$G29,IF(ISNUMBER(K29), K29, 0))</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cm="1">
        <f t="array" ref="N30">Fuel_Equations.VEERG_8_2_1_1__1_FuelCombustionStationary($L30,$G30,H30)</f>
        <v>0</v>
      </c>
      <c r="O30" s="109" cm="1">
        <f t="array" ref="O30">Fuel_Equations.VEERG_8_2_1_1__1_FuelCombustionStationary($L30,$G30,I30)</f>
        <v>0</v>
      </c>
      <c r="P30" s="109" cm="1">
        <f t="array" ref="P30">Fuel_Equations.VEERG_8_2_1_1__1_FuelCombustionStationary($L30,$G30,J30)</f>
        <v>0</v>
      </c>
      <c r="Q30" s="109" cm="1">
        <f t="array" ref="Q30">Fuel_Equations.VEERG_8_2_1_1__1_FuelCombustionStationary($L30,$G30,IF(ISNUMBER(K30), K30, 0))</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cm="1">
        <f t="array" ref="N31">Fuel_Equations.VEERG_8_2_1_1__1_FuelCombustionStationary($L31,$G31,H31)</f>
        <v>0</v>
      </c>
      <c r="O31" s="110" cm="1">
        <f t="array" ref="O31">Fuel_Equations.VEERG_8_2_1_1__1_FuelCombustionStationary($L31,$G31,I31)</f>
        <v>0</v>
      </c>
      <c r="P31" s="110" cm="1">
        <f t="array" ref="P31">Fuel_Equations.VEERG_8_2_1_1__1_FuelCombustionStationary($L31,$G31,J31)</f>
        <v>0</v>
      </c>
      <c r="Q31" s="110" cm="1">
        <f t="array" ref="Q31">Fuel_Equations.VEERG_8_2_1_1__1_FuelCombustionStationary($L31,$G31,IF(ISNUMBER(K31), K31, 0))</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10000</v>
      </c>
      <c r="M32" s="92" t="str" cm="1">
        <f t="array" ref="M32">Common_InputFunctions.Utility_LookupValueInTable(F32,Table_FuelTypes_Units[Fuel type],Table_FuelTypes_Units[Unit])</f>
        <v>kL</v>
      </c>
      <c r="N32" s="111" cm="1">
        <f t="array" ref="N32">Fuel_Equations.VEERG_8_2_1_1__1_FuelCombustionStationary($L32,$G32,H32)</f>
        <v>23050.800000000003</v>
      </c>
      <c r="O32" s="111" cm="1">
        <f t="array" ref="O32">Fuel_Equations.VEERG_8_2_1_1__1_FuelCombustionStationary($L32,$G32,I32)</f>
        <v>68.400000000000006</v>
      </c>
      <c r="P32" s="111" cm="1">
        <f t="array" ref="P32">Fuel_Equations.VEERG_8_2_1_1__1_FuelCombustionStationary($L32,$G32,J32)</f>
        <v>68.400000000000006</v>
      </c>
      <c r="Q32" s="111" cm="1">
        <f t="array" ref="Q32">Fuel_Equations.VEERG_8_2_1_1__1_FuelCombustionStationary($L32,$G32,IF(ISNUMBER(K32), K32, 0))</f>
        <v>5882.4000000000005</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cm="1">
        <f t="array" ref="N33">Fuel_Equations.VEERG_8_2_1_1__1_FuelCombustionStationary($L33,$G33,H33)</f>
        <v>0</v>
      </c>
      <c r="O33" s="109" cm="1">
        <f t="array" ref="O33">Fuel_Equations.VEERG_8_2_1_1__1_FuelCombustionStationary($L33,$G33,I33)</f>
        <v>0</v>
      </c>
      <c r="P33" s="109" cm="1">
        <f t="array" ref="P33">Fuel_Equations.VEERG_8_2_1_1__1_FuelCombustionStationary($L33,$G33,J33)</f>
        <v>0</v>
      </c>
      <c r="Q33" s="109" cm="1">
        <f t="array" ref="Q33">Fuel_Equations.VEERG_8_2_1_1__1_FuelCombustionStationary($L33,$G33,IF(ISNUMBER(K33), K33, 0))</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cm="1">
        <f t="array" ref="N34">Fuel_Equations.VEERG_8_2_1_1__1_FuelCombustionStationary($L34,$G34,H34)</f>
        <v>0</v>
      </c>
      <c r="O34" s="109" cm="1">
        <f t="array" ref="O34">Fuel_Equations.VEERG_8_2_1_1__1_FuelCombustionStationary($L34,$G34,I34)</f>
        <v>0</v>
      </c>
      <c r="P34" s="109" cm="1">
        <f t="array" ref="P34">Fuel_Equations.VEERG_8_2_1_1__1_FuelCombustionStationary($L34,$G34,J34)</f>
        <v>0</v>
      </c>
      <c r="Q34" s="109" cm="1">
        <f t="array" ref="Q34">Fuel_Equations.VEERG_8_2_1_1__1_FuelCombustionStationary($L34,$G34,IF(ISNUMBER(K34), K34, 0))</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cm="1">
        <f t="array" ref="N35">Fuel_Equations.VEERG_8_2_1_1__1_FuelCombustionStationary($L35,$G35,H35)</f>
        <v>0</v>
      </c>
      <c r="O35" s="109" cm="1">
        <f t="array" ref="O35">Fuel_Equations.VEERG_8_2_1_1__1_FuelCombustionStationary($L35,$G35,I35)</f>
        <v>0</v>
      </c>
      <c r="P35" s="109" cm="1">
        <f t="array" ref="P35">Fuel_Equations.VEERG_8_2_1_1__1_FuelCombustionStationary($L35,$G35,J35)</f>
        <v>0</v>
      </c>
      <c r="Q35" s="109" cm="1">
        <f t="array" ref="Q35">Fuel_Equations.VEERG_8_2_1_1__1_FuelCombustionStationary($L35,$G35,IF(ISNUMBER(K35), K35, 0))</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cm="1">
        <f t="array" ref="N36">Fuel_Equations.VEERG_8_2_1_1__1_FuelCombustionStationary($L36,$G36,H36)</f>
        <v>0</v>
      </c>
      <c r="O36" s="109" cm="1">
        <f t="array" ref="O36">Fuel_Equations.VEERG_8_2_1_1__1_FuelCombustionStationary($L36,$G36,I36)</f>
        <v>0</v>
      </c>
      <c r="P36" s="109" cm="1">
        <f t="array" ref="P36">Fuel_Equations.VEERG_8_2_1_1__1_FuelCombustionStationary($L36,$G36,J36)</f>
        <v>0</v>
      </c>
      <c r="Q36" s="109" cm="1">
        <f t="array" ref="Q36">Fuel_Equations.VEERG_8_2_1_1__1_FuelCombustionStationary($L36,$G36,IF(ISNUMBER(K36), K36, 0))</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cm="1">
        <f t="array" ref="N37">Fuel_Equations.VEERG_8_2_1_1__1_FuelCombustionStationary($L37,$G37,H37)</f>
        <v>0</v>
      </c>
      <c r="O37" s="109" cm="1">
        <f t="array" ref="O37">Fuel_Equations.VEERG_8_2_1_1__1_FuelCombustionStationary($L37,$G37,I37)</f>
        <v>0</v>
      </c>
      <c r="P37" s="109" cm="1">
        <f t="array" ref="P37">Fuel_Equations.VEERG_8_2_1_1__1_FuelCombustionStationary($L37,$G37,J37)</f>
        <v>0</v>
      </c>
      <c r="Q37" s="109" cm="1">
        <f t="array" ref="Q37">Fuel_Equations.VEERG_8_2_1_1__1_FuelCombustionStationary($L37,$G37,IF(ISNUMBER(K37), K37, 0))</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cm="1">
        <f t="array" ref="N38">Fuel_Equations.VEERG_8_2_1_1__1_FuelCombustionStationary($L38,$G38,H38)</f>
        <v>0</v>
      </c>
      <c r="O38" s="109" cm="1">
        <f t="array" ref="O38">Fuel_Equations.VEERG_8_2_1_1__1_FuelCombustionStationary($L38,$G38,I38)</f>
        <v>0</v>
      </c>
      <c r="P38" s="109" cm="1">
        <f t="array" ref="P38">Fuel_Equations.VEERG_8_2_1_1__1_FuelCombustionStationary($L38,$G38,J38)</f>
        <v>0</v>
      </c>
      <c r="Q38" s="109" cm="1">
        <f t="array" ref="Q38">Fuel_Equations.VEERG_8_2_1_1__1_FuelCombustionStationary($L38,$G38,IF(ISNUMBER(K38), K38, 0))</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cm="1">
        <f t="array" ref="N39">Fuel_Equations.VEERG_8_2_1_1__1_FuelCombustionStationary($L39,$G39,H39)</f>
        <v>0</v>
      </c>
      <c r="O39" s="109" cm="1">
        <f t="array" ref="O39">Fuel_Equations.VEERG_8_2_1_1__1_FuelCombustionStationary($L39,$G39,I39)</f>
        <v>0</v>
      </c>
      <c r="P39" s="109" cm="1">
        <f t="array" ref="P39">Fuel_Equations.VEERG_8_2_1_1__1_FuelCombustionStationary($L39,$G39,J39)</f>
        <v>0</v>
      </c>
      <c r="Q39" s="109" cm="1">
        <f t="array" ref="Q39">Fuel_Equations.VEERG_8_2_1_1__1_FuelCombustionStationary($L39,$G39,IF(ISNUMBER(K39), K39, 0))</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100</v>
      </c>
      <c r="M40" s="64" t="str" cm="1">
        <f t="array" ref="M40">Common_InputFunctions.Utility_LookupValueInTable(F40,Table_FuelTypes_Units[Fuel type],Table_FuelTypes_Units[Unit])</f>
        <v>GJ</v>
      </c>
      <c r="N40" s="109" cm="1">
        <f t="array" ref="N40">Fuel_Equations.VEERG_8_2_1_1__1_FuelCombustionStationary($L40,$G40,H40)</f>
        <v>6.0200000000000005</v>
      </c>
      <c r="O40" s="109" cm="1">
        <f t="array" ref="O40">Fuel_Equations.VEERG_8_2_1_1__1_FuelCombustionStationary($L40,$G40,I40)</f>
        <v>4.0000000000000001E-3</v>
      </c>
      <c r="P40" s="109" cm="1">
        <f t="array" ref="P40">Fuel_Equations.VEERG_8_2_1_1__1_FuelCombustionStationary($L40,$G40,J40)</f>
        <v>3.0000000000000001E-3</v>
      </c>
      <c r="Q40" s="109" cm="1">
        <f t="array" ref="Q40">Fuel_Equations.VEERG_8_2_1_1__1_FuelCombustionStationary($L40,$G40,IF(ISNUMBER(K40), K40, 0))</f>
        <v>0.41</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156</v>
      </c>
      <c r="E43" s="105">
        <f>SUM(N25:N31)</f>
        <v>0</v>
      </c>
      <c r="F43" s="2" t="str">
        <f>$E$12</f>
        <v>t CO2-e</v>
      </c>
    </row>
    <row r="44" spans="1:17" ht="20.100000000000001" customHeight="1" x14ac:dyDescent="0.25">
      <c r="D44" s="3" t="s">
        <v>157</v>
      </c>
      <c r="E44" s="105">
        <f>SUM(O25:O31)</f>
        <v>0</v>
      </c>
      <c r="F44" s="2" t="str">
        <f t="shared" ref="F44:F46" si="2">$E$12</f>
        <v>t CO2-e</v>
      </c>
    </row>
    <row r="45" spans="1:17" ht="20.100000000000001" customHeight="1" x14ac:dyDescent="0.25">
      <c r="D45" s="3" t="s">
        <v>158</v>
      </c>
      <c r="E45" s="105">
        <f>SUM(P25:P31)</f>
        <v>0</v>
      </c>
      <c r="F45" s="2" t="str">
        <f t="shared" si="2"/>
        <v>t CO2-e</v>
      </c>
    </row>
    <row r="46" spans="1:17" ht="20.100000000000001" customHeight="1" x14ac:dyDescent="0.25">
      <c r="D46" s="3" t="s">
        <v>181</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156</v>
      </c>
      <c r="E49" s="105">
        <f>SUM(N32:N40)</f>
        <v>23056.820000000003</v>
      </c>
      <c r="F49" s="2" t="str">
        <f t="shared" ref="F49:F52" si="3">$E$12</f>
        <v>t CO2-e</v>
      </c>
      <c r="H49" s="52"/>
      <c r="I49" s="52"/>
      <c r="J49" s="52"/>
      <c r="L49" s="52"/>
      <c r="N49" s="52"/>
      <c r="O49" s="52"/>
      <c r="P49" s="52"/>
      <c r="Q49" s="52"/>
    </row>
    <row r="50" spans="4:17" ht="20.100000000000001" customHeight="1" x14ac:dyDescent="0.25">
      <c r="D50" s="3" t="s">
        <v>157</v>
      </c>
      <c r="E50" s="105">
        <f>SUM(O32:O40)</f>
        <v>68.404000000000011</v>
      </c>
      <c r="F50" s="2" t="str">
        <f t="shared" si="3"/>
        <v>t CO2-e</v>
      </c>
      <c r="H50" s="52"/>
      <c r="I50" s="52"/>
      <c r="J50" s="52"/>
      <c r="L50" s="52"/>
      <c r="N50" s="52"/>
      <c r="O50" s="52"/>
      <c r="P50" s="52"/>
      <c r="Q50" s="52"/>
    </row>
    <row r="51" spans="4:17" ht="20.100000000000001" customHeight="1" x14ac:dyDescent="0.25">
      <c r="D51" s="3" t="s">
        <v>158</v>
      </c>
      <c r="E51" s="105">
        <f>SUM(P32:P40)</f>
        <v>68.403000000000006</v>
      </c>
      <c r="F51" s="2" t="str">
        <f t="shared" si="3"/>
        <v>t CO2-e</v>
      </c>
      <c r="H51" s="52"/>
      <c r="I51" s="52"/>
      <c r="J51" s="52"/>
      <c r="L51" s="52"/>
      <c r="N51" s="52"/>
      <c r="O51" s="52"/>
      <c r="P51" s="52"/>
      <c r="Q51" s="52"/>
    </row>
    <row r="52" spans="4:17" ht="20.100000000000001" customHeight="1" x14ac:dyDescent="0.25">
      <c r="D52" s="3" t="s">
        <v>181</v>
      </c>
      <c r="E52" s="105">
        <f>SUM(Q32:Q40)</f>
        <v>5882.81</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175</v>
      </c>
      <c r="E54" s="97"/>
      <c r="F54" s="96"/>
      <c r="G54" s="52"/>
      <c r="H54" s="52"/>
      <c r="I54" s="52"/>
      <c r="J54" s="52"/>
      <c r="L54" s="52"/>
      <c r="N54" s="52"/>
      <c r="O54" s="52"/>
      <c r="P54" s="52"/>
      <c r="Q54" s="52"/>
    </row>
    <row r="55" spans="4:17" ht="20.100000000000001" customHeight="1" x14ac:dyDescent="0.25">
      <c r="D55" s="3" t="s">
        <v>156</v>
      </c>
      <c r="E55" s="105">
        <f>E43+E49</f>
        <v>23056.820000000003</v>
      </c>
      <c r="F55" s="2" t="str">
        <f t="shared" ref="F55:F58" si="4">$E$12</f>
        <v>t CO2-e</v>
      </c>
      <c r="G55" s="52"/>
      <c r="H55" s="52"/>
      <c r="I55" s="52"/>
      <c r="J55" s="52"/>
      <c r="L55" s="52"/>
      <c r="N55" s="52"/>
      <c r="O55" s="52"/>
      <c r="P55" s="52"/>
      <c r="Q55" s="52"/>
    </row>
    <row r="56" spans="4:17" ht="20.100000000000001" customHeight="1" x14ac:dyDescent="0.25">
      <c r="D56" s="3" t="s">
        <v>157</v>
      </c>
      <c r="E56" s="105">
        <f>E44+E50</f>
        <v>68.404000000000011</v>
      </c>
      <c r="F56" s="2" t="str">
        <f t="shared" si="4"/>
        <v>t CO2-e</v>
      </c>
      <c r="H56" s="52"/>
    </row>
    <row r="57" spans="4:17" ht="20.100000000000001" customHeight="1" x14ac:dyDescent="0.25">
      <c r="D57" s="3" t="s">
        <v>158</v>
      </c>
      <c r="E57" s="105">
        <f>E45+E51</f>
        <v>68.403000000000006</v>
      </c>
      <c r="F57" s="2" t="str">
        <f t="shared" si="4"/>
        <v>t CO2-e</v>
      </c>
      <c r="G57" s="52"/>
      <c r="H57" s="52"/>
      <c r="I57" s="52"/>
      <c r="J57" s="52"/>
      <c r="L57" s="52"/>
      <c r="N57" s="52"/>
      <c r="O57" s="52"/>
      <c r="P57" s="52"/>
      <c r="Q57" s="52"/>
    </row>
    <row r="58" spans="4:17" ht="20.100000000000001" customHeight="1" x14ac:dyDescent="0.25">
      <c r="D58" s="3" t="s">
        <v>181</v>
      </c>
      <c r="E58" s="105">
        <f>E46+E52</f>
        <v>5882.81</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F143" sqref="F14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0" t="str" cm="1">
        <f t="array" ref="D32">Common_InputFunctions.Utility_DisplayArrayInTable(Fuel_SourceData.Fuel_Scope1Scope3EmissionFactorsTransport_Data(), Table_Fuel_EFs_Transport[[#Headers],[Transport type]], 0)</f>
        <v>Vessels</v>
      </c>
      <c r="E32" s="100" t="str" cm="1">
        <f t="array" ref="E32">Common_InputFunctions.Utility_DisplayArrayInTable(Fuel_SourceData.Fuel_Scope1Scope3EmissionFactorsTransport_Data(), Table_Fuel_EFs_Transport[[#Headers],[Transport type]], 0)</f>
        <v>Diesel oil</v>
      </c>
      <c r="F32" s="100" cm="1">
        <f t="array" ref="F32">Common_InputFunctions.Utility_DisplayArrayInTable(Fuel_SourceData.Fuel_Scope1Scope3EmissionFactorsTransport_Data(), Table_Fuel_EFs_Transport[[#Headers],[Transport type]], 0)</f>
        <v>38.6</v>
      </c>
      <c r="G32" s="100" t="str" cm="1">
        <f t="array" ref="G32">Common_InputFunctions.Utility_DisplayArrayInTable(Fuel_SourceData.Fuel_Scope1Scope3EmissionFactorsTransport_Data(), Table_Fuel_EFs_Transport[[#Headers],[Transport type]], 0)</f>
        <v>kL</v>
      </c>
      <c r="H32" s="100" cm="1">
        <f t="array" ref="H32">Common_InputFunctions.Utility_DisplayArrayInTable(Fuel_SourceData.Fuel_Scope1Scope3EmissionFactorsTransport_Data(), Table_Fuel_EFs_Transport[[#Headers],[Transport type]], 0)</f>
        <v>69.900000000000006</v>
      </c>
      <c r="I32" s="100" cm="1">
        <f t="array" ref="I32">Common_InputFunctions.Utility_DisplayArrayInTable(Fuel_SourceData.Fuel_Scope1Scope3EmissionFactorsTransport_Data(), Table_Fuel_EFs_Transport[[#Headers],[Transport type]], 0)</f>
        <v>0.2</v>
      </c>
      <c r="J32" s="100" cm="1">
        <f t="array" ref="J32">Common_InputFunctions.Utility_DisplayArrayInTable(Fuel_SourceData.Fuel_Scope1Scope3EmissionFactorsTransport_Data(), Table_Fuel_EFs_Transport[[#Headers],[Transport type]], 0)</f>
        <v>0.5</v>
      </c>
      <c r="K32" s="100" t="str" cm="1">
        <f t="array" ref="K32">Common_InputFunctions.Utility_DisplayArrayInTable(Fuel_SourceData.Fuel_Scope1Scope3EmissionFactorsTransport_Data(), Table_Fuel_EFs_Transport[[#Headers],[Transport type]], 0)</f>
        <v/>
      </c>
      <c r="L32" s="100" cm="1">
        <f t="array" ref="L32">Common_InputFunctions.Utility_DisplayArrayInTable(Fuel_SourceData.Fuel_Scope1Scope3EmissionFactorsTransport_Data(), Table_Fuel_EFs_Transport[[#Headers],[Transport type]], 0)</f>
        <v>17.3</v>
      </c>
    </row>
    <row r="33" spans="4:12" ht="20.100000000000001" customHeight="1" x14ac:dyDescent="0.25">
      <c r="D33" s="100" t="str" cm="1">
        <f t="array" ref="D33">Common_InputFunctions.Utility_DisplayArrayInTable(Fuel_SourceData.Fuel_Scope1Scope3EmissionFactorsTransport_Data(), Table_Fuel_EFs_Transport[[#Headers],[Transport type]], 0)</f>
        <v>Vessels</v>
      </c>
      <c r="E33" s="100" t="str" cm="1">
        <f t="array" ref="E33">Common_InputFunctions.Utility_DisplayArrayInTable(Fuel_SourceData.Fuel_Scope1Scope3EmissionFactorsTransport_Data(), Table_Fuel_EFs_Transport[[#Headers],[Transport type]], 0)</f>
        <v>Fuel Oil</v>
      </c>
      <c r="F33" s="100" cm="1">
        <f t="array" ref="F33">Common_InputFunctions.Utility_DisplayArrayInTable(Fuel_SourceData.Fuel_Scope1Scope3EmissionFactorsTransport_Data(), Table_Fuel_EFs_Transport[[#Headers],[Transport type]], 0)</f>
        <v>39.700000000000003</v>
      </c>
      <c r="G33" s="100" t="str" cm="1">
        <f t="array" ref="G33">Common_InputFunctions.Utility_DisplayArrayInTable(Fuel_SourceData.Fuel_Scope1Scope3EmissionFactorsTransport_Data(), Table_Fuel_EFs_Transport[[#Headers],[Transport type]], 0)</f>
        <v>kL</v>
      </c>
      <c r="H33" s="100" cm="1">
        <f t="array" ref="H33">Common_InputFunctions.Utility_DisplayArrayInTable(Fuel_SourceData.Fuel_Scope1Scope3EmissionFactorsTransport_Data(), Table_Fuel_EFs_Transport[[#Headers],[Transport type]], 0)</f>
        <v>73.599999999999994</v>
      </c>
      <c r="I33" s="100" cm="1">
        <f t="array" ref="I33">Common_InputFunctions.Utility_DisplayArrayInTable(Fuel_SourceData.Fuel_Scope1Scope3EmissionFactorsTransport_Data(), Table_Fuel_EFs_Transport[[#Headers],[Transport type]], 0)</f>
        <v>0.2</v>
      </c>
      <c r="J33" s="100" cm="1">
        <f t="array" ref="J33">Common_InputFunctions.Utility_DisplayArrayInTable(Fuel_SourceData.Fuel_Scope1Scope3EmissionFactorsTransport_Data(), Table_Fuel_EFs_Transport[[#Headers],[Transport type]], 0)</f>
        <v>0.5</v>
      </c>
      <c r="K33" s="100" t="str" cm="1">
        <f t="array" ref="K33">Common_InputFunctions.Utility_DisplayArrayInTable(Fuel_SourceData.Fuel_Scope1Scope3EmissionFactorsTransport_Data(), Table_Fuel_EFs_Transport[[#Headers],[Transport type]], 0)</f>
        <v/>
      </c>
      <c r="L33" s="100" cm="1">
        <f t="array" ref="L33">Common_InputFunctions.Utility_DisplayArrayInTable(Fuel_SourceData.Fuel_Scope1Scope3EmissionFactorsTransport_Data(), Table_Fuel_EFs_Transport[[#Headers],[Transport type]], 0)</f>
        <v>18</v>
      </c>
    </row>
    <row r="34" spans="4:12" ht="20.100000000000001" customHeight="1" x14ac:dyDescent="0.25">
      <c r="D34" s="100" t="str" cm="1">
        <f t="array" ref="D34">Common_InputFunctions.Utility_DisplayArrayInTable(Fuel_SourceData.Fuel_Scope1Scope3EmissionFactorsTransport_Data(), Table_Fuel_EFs_Transport[[#Headers],[Transport type]], 0)</f>
        <v>Off-road Agriculture and forestry equipment</v>
      </c>
      <c r="E34" s="100" t="str" cm="1">
        <f t="array" ref="E34">Common_InputFunctions.Utility_DisplayArrayInTable(Fuel_SourceData.Fuel_Scope1Scope3EmissionFactorsTransport_Data(), Table_Fuel_EFs_Transport[[#Headers],[Transport type]], 0)</f>
        <v>Diesel oil</v>
      </c>
      <c r="F34" s="100" cm="1">
        <f t="array" ref="F34">Common_InputFunctions.Utility_DisplayArrayInTable(Fuel_SourceData.Fuel_Scope1Scope3EmissionFactorsTransport_Data(), Table_Fuel_EFs_Transport[[#Headers],[Transport type]], 0)</f>
        <v>38.6</v>
      </c>
      <c r="G34" s="100" t="str" cm="1">
        <f t="array" ref="G34">Common_InputFunctions.Utility_DisplayArrayInTable(Fuel_SourceData.Fuel_Scope1Scope3EmissionFactorsTransport_Data(), Table_Fuel_EFs_Transport[[#Headers],[Transport type]], 0)</f>
        <v>kL</v>
      </c>
      <c r="H34" s="100" cm="1">
        <f t="array" ref="H34">Common_InputFunctions.Utility_DisplayArrayInTable(Fuel_SourceData.Fuel_Scope1Scope3EmissionFactorsTransport_Data(), Table_Fuel_EFs_Transport[[#Headers],[Transport type]], 0)</f>
        <v>69.900000000000006</v>
      </c>
      <c r="I34" s="100" cm="1">
        <f t="array" ref="I34">Common_InputFunctions.Utility_DisplayArrayInTable(Fuel_SourceData.Fuel_Scope1Scope3EmissionFactorsTransport_Data(), Table_Fuel_EFs_Transport[[#Headers],[Transport type]], 0)</f>
        <v>0.3</v>
      </c>
      <c r="J34" s="100" cm="1">
        <f t="array" ref="J34">Common_InputFunctions.Utility_DisplayArrayInTable(Fuel_SourceData.Fuel_Scope1Scope3EmissionFactorsTransport_Data(), Table_Fuel_EFs_Transport[[#Headers],[Transport type]], 0)</f>
        <v>0.5</v>
      </c>
      <c r="K34" s="100" t="str" cm="1">
        <f t="array" ref="K34">Common_InputFunctions.Utility_DisplayArrayInTable(Fuel_SourceData.Fuel_Scope1Scope3EmissionFactorsTransport_Data(), Table_Fuel_EFs_Transport[[#Headers],[Transport type]], 0)</f>
        <v/>
      </c>
      <c r="L34" s="10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137</v>
      </c>
      <c r="E39" s="28" t="s">
        <v>138</v>
      </c>
      <c r="F39" s="28" t="s">
        <v>139</v>
      </c>
      <c r="G39" s="28" t="s">
        <v>140</v>
      </c>
      <c r="H39" s="28" t="s">
        <v>141</v>
      </c>
      <c r="I39" s="28" t="s">
        <v>142</v>
      </c>
      <c r="J39" s="28" t="s">
        <v>143</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206</v>
      </c>
      <c r="F112" s="75" t="s">
        <v>207</v>
      </c>
      <c r="G112" s="52"/>
      <c r="H112" s="32" t="s">
        <v>122</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144</v>
      </c>
      <c r="I130" s="83" t="s">
        <v>145</v>
      </c>
      <c r="J130" s="52"/>
      <c r="K130" s="52"/>
      <c r="L130" s="52"/>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52"/>
      <c r="K131" s="52"/>
      <c r="L131" s="52"/>
    </row>
    <row r="132" spans="4:33" ht="20.100000000000001" customHeight="1" x14ac:dyDescent="0.25">
      <c r="D132" s="84" t="str">
        <f>$D$144</f>
        <v>Diesel</v>
      </c>
      <c r="E132" s="84" t="str">
        <f>$D$144</f>
        <v>Diesel</v>
      </c>
      <c r="F132" s="84" t="str">
        <f>$D$151</f>
        <v>Jet A1, Jet B</v>
      </c>
      <c r="G132" s="84" t="str">
        <f>$D$144</f>
        <v>Diesel</v>
      </c>
      <c r="H132" s="84"/>
      <c r="I132" s="84" t="str">
        <f>$D$144</f>
        <v>Diesel</v>
      </c>
      <c r="J132" s="52"/>
      <c r="K132" s="52"/>
      <c r="L132" s="52"/>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135</v>
      </c>
      <c r="J133" s="52"/>
      <c r="K133" s="52"/>
      <c r="L133" s="52"/>
    </row>
    <row r="134" spans="4:33" ht="20.100000000000001" customHeight="1" x14ac:dyDescent="0.25">
      <c r="D134" s="84" t="str">
        <f>$D$146</f>
        <v>Biodiesel</v>
      </c>
      <c r="E134" s="84" t="str">
        <f>$D$146</f>
        <v>Biodiesel</v>
      </c>
      <c r="F134" s="83"/>
      <c r="G134" s="84" t="str">
        <f>$D$160</f>
        <v>Fuel oil</v>
      </c>
      <c r="H134" s="84"/>
      <c r="I134" s="84"/>
      <c r="J134" s="52"/>
      <c r="K134" s="52"/>
      <c r="L134" s="52"/>
    </row>
    <row r="135" spans="4:33" ht="20.100000000000001" customHeight="1" x14ac:dyDescent="0.25">
      <c r="D135" s="84" t="str">
        <f>$D$147</f>
        <v>Ethanol</v>
      </c>
      <c r="E135" s="84" t="str">
        <f>$D$147</f>
        <v>Ethanol</v>
      </c>
      <c r="F135" s="83"/>
      <c r="G135" s="84" t="str">
        <f>$D$147</f>
        <v>Ethanol</v>
      </c>
      <c r="H135" s="84"/>
      <c r="I135" s="84"/>
      <c r="J135" s="52"/>
      <c r="K135" s="52"/>
      <c r="L135" s="52"/>
    </row>
    <row r="136" spans="4:33" ht="20.100000000000001" customHeight="1" x14ac:dyDescent="0.25">
      <c r="D136" s="84" t="str">
        <f>$D$148</f>
        <v>Other biofuels</v>
      </c>
      <c r="E136" s="84" t="str">
        <f>$D$148</f>
        <v>Other biofuels</v>
      </c>
      <c r="F136" s="83"/>
      <c r="G136" s="84" t="str">
        <f>$D$146</f>
        <v>Biodiesel</v>
      </c>
      <c r="H136" s="84"/>
      <c r="I136" s="84"/>
      <c r="J136" s="52"/>
      <c r="K136" s="52"/>
      <c r="L136" s="52"/>
    </row>
    <row r="137" spans="4:33" ht="20.100000000000001" customHeight="1" x14ac:dyDescent="0.25">
      <c r="D137" s="84" t="str">
        <f>$D$149</f>
        <v>Renewable diesel</v>
      </c>
      <c r="E137" s="84" t="str">
        <f>$D$149</f>
        <v>Renewable diesel</v>
      </c>
      <c r="F137" s="83"/>
      <c r="G137" s="84" t="str">
        <f>$D$149</f>
        <v>Renewable diesel</v>
      </c>
      <c r="H137" s="84"/>
      <c r="I137" s="84"/>
      <c r="J137" s="52"/>
      <c r="K137" s="52"/>
      <c r="L137" s="52"/>
    </row>
    <row r="138" spans="4:33" ht="20.100000000000001" customHeight="1" x14ac:dyDescent="0.25">
      <c r="D138" s="83"/>
      <c r="E138" s="85" t="str">
        <f>$D$161</f>
        <v>Natural gas (via pipeline) in GJ</v>
      </c>
      <c r="F138" s="85"/>
      <c r="G138" s="84" t="str">
        <f>$D$148</f>
        <v>Other biofuels</v>
      </c>
      <c r="H138" s="84"/>
      <c r="I138" s="84"/>
      <c r="J138" s="52"/>
      <c r="K138" s="52"/>
      <c r="L138" s="52"/>
    </row>
    <row r="139" spans="4:33" ht="20.100000000000001" customHeight="1" x14ac:dyDescent="0.25">
      <c r="D139" s="85"/>
      <c r="E139" s="85" t="str">
        <f>$D$162</f>
        <v>Town gas in GJ</v>
      </c>
      <c r="F139" s="85"/>
      <c r="G139" s="85"/>
      <c r="H139" s="85"/>
      <c r="I139" s="85"/>
      <c r="J139" s="52"/>
      <c r="K139" s="52"/>
      <c r="L139" s="52"/>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123</v>
      </c>
      <c r="E142" t="s">
        <v>5</v>
      </c>
      <c r="F142" t="s">
        <v>209</v>
      </c>
      <c r="G142" s="52"/>
      <c r="H142" s="52"/>
      <c r="I142" s="52"/>
      <c r="J142" s="52"/>
      <c r="K142" s="52"/>
      <c r="L142" s="52"/>
      <c r="M142" s="52"/>
      <c r="AG142" s="1"/>
    </row>
    <row r="143" spans="4:33" ht="20.100000000000001" customHeight="1" x14ac:dyDescent="0.25">
      <c r="D143" s="84" t="s">
        <v>98</v>
      </c>
      <c r="E143" t="s">
        <v>124</v>
      </c>
      <c r="F143" t="s">
        <v>208</v>
      </c>
      <c r="G143" s="52"/>
      <c r="H143" s="52"/>
      <c r="I143" s="52"/>
      <c r="J143" s="52"/>
      <c r="K143" s="52"/>
      <c r="L143" s="52"/>
      <c r="M143" s="52"/>
      <c r="AG143" s="1"/>
    </row>
    <row r="144" spans="4:33" ht="20.100000000000001" customHeight="1" x14ac:dyDescent="0.25">
      <c r="D144" s="84" t="s">
        <v>105</v>
      </c>
      <c r="E144" t="s">
        <v>124</v>
      </c>
      <c r="F144" t="s">
        <v>208</v>
      </c>
      <c r="G144" s="52"/>
      <c r="H144" s="52"/>
      <c r="I144" s="52"/>
      <c r="J144" s="52"/>
      <c r="K144" s="52"/>
      <c r="L144" s="52"/>
      <c r="M144" s="52"/>
      <c r="AG144" s="1"/>
    </row>
    <row r="145" spans="4:33" ht="20.100000000000001" customHeight="1" x14ac:dyDescent="0.25">
      <c r="D145" s="84" t="s">
        <v>106</v>
      </c>
      <c r="E145" t="s">
        <v>124</v>
      </c>
      <c r="F145" t="s">
        <v>208</v>
      </c>
      <c r="G145" s="52"/>
      <c r="H145" s="52"/>
      <c r="I145" s="52"/>
      <c r="J145" s="52"/>
      <c r="K145" s="52"/>
      <c r="L145" s="52"/>
      <c r="M145" s="52"/>
      <c r="AG145" s="1"/>
    </row>
    <row r="146" spans="4:33" ht="20.100000000000001" customHeight="1" x14ac:dyDescent="0.25">
      <c r="D146" s="84" t="s">
        <v>125</v>
      </c>
      <c r="E146" t="s">
        <v>124</v>
      </c>
      <c r="F146" t="s">
        <v>208</v>
      </c>
      <c r="G146" s="52"/>
      <c r="H146" s="52"/>
      <c r="I146" s="52"/>
      <c r="J146" s="52"/>
      <c r="K146" s="52"/>
      <c r="L146" s="52"/>
      <c r="M146" s="52"/>
      <c r="AG146" s="1"/>
    </row>
    <row r="147" spans="4:33" ht="20.100000000000001" customHeight="1" x14ac:dyDescent="0.25">
      <c r="D147" s="84" t="s">
        <v>96</v>
      </c>
      <c r="E147" t="s">
        <v>124</v>
      </c>
      <c r="F147" t="s">
        <v>208</v>
      </c>
      <c r="G147" s="52"/>
      <c r="H147" s="52"/>
      <c r="I147" s="52"/>
      <c r="J147" s="52"/>
      <c r="K147" s="52"/>
      <c r="L147" s="52"/>
      <c r="M147" s="52"/>
      <c r="AG147" s="1"/>
    </row>
    <row r="148" spans="4:33" ht="20.100000000000001" customHeight="1" x14ac:dyDescent="0.25">
      <c r="D148" s="84" t="s">
        <v>126</v>
      </c>
      <c r="E148" t="s">
        <v>124</v>
      </c>
      <c r="F148" t="s">
        <v>208</v>
      </c>
      <c r="G148" s="52"/>
      <c r="H148" s="52"/>
      <c r="I148" s="52"/>
      <c r="J148" s="52"/>
      <c r="K148" s="52"/>
      <c r="L148" s="52"/>
      <c r="M148" s="52"/>
      <c r="AG148" s="1"/>
    </row>
    <row r="149" spans="4:33" ht="20.100000000000001" customHeight="1" x14ac:dyDescent="0.25">
      <c r="D149" s="84" t="s">
        <v>127</v>
      </c>
      <c r="E149" t="s">
        <v>124</v>
      </c>
      <c r="F149" t="s">
        <v>208</v>
      </c>
      <c r="G149" s="52"/>
      <c r="H149" s="52"/>
      <c r="I149" s="52"/>
      <c r="J149" s="52"/>
      <c r="K149" s="52"/>
      <c r="L149" s="52"/>
      <c r="M149" s="52"/>
      <c r="AG149" s="1"/>
    </row>
    <row r="150" spans="4:33" ht="20.100000000000001" customHeight="1" x14ac:dyDescent="0.25">
      <c r="D150" s="84" t="s">
        <v>128</v>
      </c>
      <c r="E150" t="s">
        <v>124</v>
      </c>
      <c r="F150" t="s">
        <v>208</v>
      </c>
      <c r="G150" s="52"/>
      <c r="H150" s="52"/>
      <c r="I150" s="52"/>
      <c r="J150" s="52"/>
      <c r="K150" s="52"/>
      <c r="L150" s="52"/>
      <c r="M150" s="52"/>
      <c r="AG150" s="1"/>
    </row>
    <row r="151" spans="4:33" ht="20.100000000000001" customHeight="1" x14ac:dyDescent="0.25">
      <c r="D151" s="84" t="s">
        <v>101</v>
      </c>
      <c r="E151" t="s">
        <v>124</v>
      </c>
      <c r="F151" t="s">
        <v>208</v>
      </c>
      <c r="G151" s="52"/>
      <c r="H151" s="52"/>
      <c r="I151" s="52"/>
      <c r="J151" s="52"/>
      <c r="K151" s="52"/>
      <c r="L151" s="52"/>
      <c r="M151" s="52"/>
      <c r="AG151" s="1"/>
    </row>
    <row r="152" spans="4:33" ht="20.100000000000001" customHeight="1" x14ac:dyDescent="0.25">
      <c r="D152" s="86" t="s">
        <v>129</v>
      </c>
      <c r="E152" s="19" t="s">
        <v>124</v>
      </c>
      <c r="F152" t="s">
        <v>208</v>
      </c>
      <c r="G152" s="52"/>
      <c r="H152" s="52"/>
      <c r="I152" s="52"/>
      <c r="J152" s="52"/>
      <c r="K152" s="52"/>
      <c r="L152" s="52"/>
      <c r="M152" s="52"/>
      <c r="AG152" s="1"/>
    </row>
    <row r="153" spans="4:33" ht="20.100000000000001" customHeight="1" x14ac:dyDescent="0.25">
      <c r="D153" s="86" t="s">
        <v>102</v>
      </c>
      <c r="E153" s="19" t="s">
        <v>124</v>
      </c>
      <c r="F153" t="s">
        <v>208</v>
      </c>
      <c r="G153" s="52"/>
      <c r="H153" s="52"/>
      <c r="I153" s="52"/>
      <c r="J153" s="52"/>
      <c r="K153" s="52"/>
      <c r="L153" s="52"/>
      <c r="M153" s="52"/>
      <c r="AG153" s="1"/>
    </row>
    <row r="154" spans="4:33" ht="20.100000000000001" customHeight="1" x14ac:dyDescent="0.25">
      <c r="D154" s="86" t="s">
        <v>103</v>
      </c>
      <c r="E154" s="19" t="s">
        <v>124</v>
      </c>
      <c r="F154" t="s">
        <v>208</v>
      </c>
      <c r="G154" s="52"/>
      <c r="H154" s="52"/>
      <c r="I154" s="52"/>
      <c r="J154" s="52"/>
      <c r="K154" s="52"/>
      <c r="L154" s="52"/>
      <c r="M154" s="52"/>
      <c r="AG154" s="1"/>
    </row>
    <row r="155" spans="4:33" ht="20.100000000000001" customHeight="1" x14ac:dyDescent="0.25">
      <c r="D155" s="86" t="s">
        <v>130</v>
      </c>
      <c r="E155" s="19" t="s">
        <v>124</v>
      </c>
      <c r="F155" t="s">
        <v>208</v>
      </c>
      <c r="G155" s="52"/>
      <c r="H155" s="52"/>
      <c r="I155" s="52"/>
      <c r="J155" s="52"/>
      <c r="K155" s="52"/>
      <c r="L155" s="52"/>
      <c r="M155" s="52"/>
      <c r="AG155" s="1"/>
    </row>
    <row r="156" spans="4:33" ht="20.100000000000001" customHeight="1" x14ac:dyDescent="0.25">
      <c r="D156" s="86" t="s">
        <v>131</v>
      </c>
      <c r="E156" s="19" t="s">
        <v>124</v>
      </c>
      <c r="F156" t="s">
        <v>208</v>
      </c>
      <c r="G156" s="52"/>
      <c r="H156" s="52"/>
      <c r="I156" s="52"/>
      <c r="J156" s="52"/>
      <c r="K156" s="52"/>
      <c r="L156" s="52"/>
      <c r="M156" s="52"/>
      <c r="AG156" s="1"/>
    </row>
    <row r="157" spans="4:33" ht="20.100000000000001" customHeight="1" x14ac:dyDescent="0.25">
      <c r="D157" s="86" t="s">
        <v>132</v>
      </c>
      <c r="E157" s="19" t="s">
        <v>124</v>
      </c>
      <c r="F157" t="s">
        <v>208</v>
      </c>
      <c r="G157" s="52"/>
      <c r="H157" s="52"/>
      <c r="I157" s="52"/>
      <c r="J157" s="52"/>
      <c r="K157" s="52"/>
      <c r="L157" s="52"/>
      <c r="M157" s="52"/>
      <c r="AG157" s="1"/>
    </row>
    <row r="158" spans="4:33" ht="20.100000000000001" customHeight="1" x14ac:dyDescent="0.25">
      <c r="D158" s="86" t="s">
        <v>133</v>
      </c>
      <c r="E158" s="19" t="s">
        <v>124</v>
      </c>
      <c r="F158" t="s">
        <v>208</v>
      </c>
      <c r="G158" s="52"/>
      <c r="H158" s="52"/>
      <c r="I158" s="52"/>
      <c r="J158" s="52"/>
      <c r="K158" s="52"/>
      <c r="L158" s="52"/>
      <c r="M158" s="52"/>
      <c r="AG158" s="1"/>
    </row>
    <row r="159" spans="4:33" ht="20.100000000000001" customHeight="1" x14ac:dyDescent="0.25">
      <c r="D159" s="86" t="s">
        <v>134</v>
      </c>
      <c r="E159" s="19" t="s">
        <v>124</v>
      </c>
      <c r="F159" t="s">
        <v>208</v>
      </c>
      <c r="G159" s="52"/>
      <c r="H159" s="52"/>
      <c r="I159" s="52"/>
      <c r="J159" s="52"/>
      <c r="K159" s="52"/>
      <c r="L159" s="52"/>
      <c r="M159" s="52"/>
      <c r="AG159" s="1"/>
    </row>
    <row r="160" spans="4:33" ht="20.100000000000001" customHeight="1" x14ac:dyDescent="0.25">
      <c r="D160" s="86" t="s">
        <v>135</v>
      </c>
      <c r="E160" s="19" t="s">
        <v>124</v>
      </c>
      <c r="F160" t="s">
        <v>208</v>
      </c>
      <c r="G160" s="52"/>
      <c r="H160" s="52"/>
      <c r="I160" s="52"/>
      <c r="J160" s="52"/>
      <c r="K160" s="52"/>
      <c r="L160" s="52"/>
      <c r="M160" s="52"/>
      <c r="AG160" s="1"/>
    </row>
    <row r="161" spans="4:33" ht="20.100000000000001" customHeight="1" x14ac:dyDescent="0.25">
      <c r="D161" s="85" t="s">
        <v>99</v>
      </c>
      <c r="E161" s="52" t="s">
        <v>136</v>
      </c>
      <c r="F161" s="52" t="s">
        <v>136</v>
      </c>
      <c r="G161" s="52"/>
      <c r="H161" s="52"/>
      <c r="I161" s="52"/>
      <c r="J161" s="52"/>
      <c r="K161" s="52"/>
      <c r="L161" s="52"/>
      <c r="M161" s="52"/>
      <c r="AG161" s="1"/>
    </row>
    <row r="162" spans="4:33" ht="20.100000000000001" customHeight="1" x14ac:dyDescent="0.25">
      <c r="D162" s="52" t="s">
        <v>107</v>
      </c>
      <c r="E162" s="52" t="s">
        <v>136</v>
      </c>
      <c r="F162" s="52" t="s">
        <v>136</v>
      </c>
      <c r="G162" s="52"/>
      <c r="H162" s="52"/>
      <c r="I162" s="52"/>
      <c r="J162" s="52"/>
      <c r="K162" s="52"/>
      <c r="L162" s="52"/>
      <c r="M162" s="52"/>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7FC7-4EBC-403C-963C-03C31DE9D523}">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row r="99" spans="4:20" ht="20.100000000000001" customHeight="1" x14ac:dyDescent="0.25">
      <c r="D99" s="33" t="str" cm="1">
        <f t="array" ref="D99:D102">Common_SourceData.Common_SourceData_ClimateZones_Appendices()</f>
        <v>Note:</v>
      </c>
    </row>
    <row r="100" spans="4:20" ht="20.100000000000001" customHeight="1" x14ac:dyDescent="0.25">
      <c r="D100" s="33" t="str">
        <v>MAT = mean annual temperature</v>
      </c>
    </row>
    <row r="101" spans="4:20" ht="20.100000000000001" customHeight="1" x14ac:dyDescent="0.25">
      <c r="D101" s="33" t="str">
        <v>MAP = mean annual precipitation</v>
      </c>
    </row>
    <row r="102" spans="4:20" ht="20.100000000000001" customHeight="1" x14ac:dyDescent="0.25">
      <c r="D102" s="33" t="str">
        <v>PET = potential evapotranspiration</v>
      </c>
    </row>
    <row r="103" spans="4:20" ht="20.100000000000001" customHeight="1" x14ac:dyDescent="0.25">
      <c r="D103" s="3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EAXwAxAF8AMQBfAF8AMwBfAFUAcABzAHQAcgBlAGEAbQBTAHQAYQB0AGkAbwBuAGEAcgB5AEYAdQBlAGwARQBtAGkAcwBzAGkAbwBuAHMAXwBWAGEAcgBpAGEAdABpAG8Abg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Home</vt:lpstr>
      <vt:lpstr>Overview</vt:lpstr>
      <vt:lpstr>Results</vt:lpstr>
      <vt:lpstr>Input - Site</vt:lpstr>
      <vt:lpstr>Input - Fuel</vt:lpstr>
      <vt:lpstr>8.1.1.1-2 Transport fuel</vt:lpstr>
      <vt:lpstr>8.2.1.1-2 Stationary fuel</vt:lpstr>
      <vt:lpstr>Constants - Fuel</vt:lpstr>
      <vt:lpstr>Constants - Common</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2026-07-08T05:00:51Z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