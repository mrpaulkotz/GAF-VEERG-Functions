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96A26178-1B23-4F6E-ACFD-C30F5B209289}" xr6:coauthVersionLast="47" xr6:coauthVersionMax="47" xr10:uidLastSave="{00000000-0000-0000-0000-000000000000}"/>
  <bookViews>
    <workbookView xWindow="1200" yWindow="105"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X_Cell_PastureBeef_Breed">'Input - Pasture Beef'!$E$9</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73" i="69" a="1"/>
  <c r="E94"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F150" i="70" l="1"/>
  <c r="L148" i="70"/>
  <c r="H147" i="70"/>
  <c r="N127" i="70"/>
  <c r="J126" i="70"/>
  <c r="F125" i="70"/>
  <c r="L84" i="70"/>
  <c r="H83" i="70"/>
  <c r="N63" i="70"/>
  <c r="J62" i="70"/>
  <c r="F61" i="70"/>
  <c r="H128" i="70"/>
  <c r="E150" i="70"/>
  <c r="K148" i="70"/>
  <c r="G147" i="70"/>
  <c r="M127" i="70"/>
  <c r="I126" i="70"/>
  <c r="E125" i="70"/>
  <c r="K84" i="70"/>
  <c r="G83" i="70"/>
  <c r="M63" i="70"/>
  <c r="I62" i="70"/>
  <c r="E61" i="70"/>
  <c r="F126" i="70"/>
  <c r="H84" i="70"/>
  <c r="N82" i="70"/>
  <c r="L60" i="70"/>
  <c r="F85" i="70"/>
  <c r="N149" i="70"/>
  <c r="J148" i="70"/>
  <c r="F147" i="70"/>
  <c r="L127" i="70"/>
  <c r="H126" i="70"/>
  <c r="N85" i="70"/>
  <c r="J84" i="70"/>
  <c r="F83" i="70"/>
  <c r="L63" i="70"/>
  <c r="H62" i="70"/>
  <c r="N60" i="70"/>
  <c r="J127" i="70"/>
  <c r="L85" i="70"/>
  <c r="J63" i="70"/>
  <c r="F62" i="70"/>
  <c r="F60" i="70"/>
  <c r="M149" i="70"/>
  <c r="I148" i="70"/>
  <c r="E147" i="70"/>
  <c r="K127" i="70"/>
  <c r="G126" i="70"/>
  <c r="M85" i="70"/>
  <c r="I84" i="70"/>
  <c r="E83" i="70"/>
  <c r="K63" i="70"/>
  <c r="G62" i="70"/>
  <c r="M60" i="70"/>
  <c r="J150" i="70"/>
  <c r="E173" i="70"/>
  <c r="L149" i="70"/>
  <c r="H148" i="70"/>
  <c r="N128" i="70"/>
  <c r="E172" i="70"/>
  <c r="K149" i="70"/>
  <c r="G148" i="70"/>
  <c r="M128" i="70"/>
  <c r="I127" i="70"/>
  <c r="E126" i="70"/>
  <c r="K85" i="70"/>
  <c r="G84" i="70"/>
  <c r="M82" i="70"/>
  <c r="I63" i="70"/>
  <c r="E62" i="70"/>
  <c r="K60" i="70"/>
  <c r="J85" i="70"/>
  <c r="F84" i="70"/>
  <c r="L82" i="70"/>
  <c r="H63" i="70"/>
  <c r="N61" i="70"/>
  <c r="J60" i="70"/>
  <c r="L147" i="70"/>
  <c r="H82" i="70"/>
  <c r="N150" i="70"/>
  <c r="J149" i="70"/>
  <c r="F148" i="70"/>
  <c r="L128" i="70"/>
  <c r="H127" i="70"/>
  <c r="N125" i="70"/>
  <c r="M150" i="70"/>
  <c r="I149" i="70"/>
  <c r="E148" i="70"/>
  <c r="K128" i="70"/>
  <c r="G127" i="70"/>
  <c r="M125" i="70"/>
  <c r="I85" i="70"/>
  <c r="E84" i="70"/>
  <c r="K82" i="70"/>
  <c r="G63" i="70"/>
  <c r="M61" i="70"/>
  <c r="I60" i="70"/>
  <c r="K150" i="70"/>
  <c r="I128" i="70"/>
  <c r="L150" i="70"/>
  <c r="H149" i="70"/>
  <c r="N147" i="70"/>
  <c r="J128" i="70"/>
  <c r="F127" i="70"/>
  <c r="L125" i="70"/>
  <c r="H85" i="70"/>
  <c r="N83" i="70"/>
  <c r="J82" i="70"/>
  <c r="F63" i="70"/>
  <c r="L61" i="70"/>
  <c r="H60" i="70"/>
  <c r="G149" i="70"/>
  <c r="M147" i="70"/>
  <c r="E127" i="70"/>
  <c r="K125" i="70"/>
  <c r="G85" i="70"/>
  <c r="M83" i="70"/>
  <c r="I82" i="70"/>
  <c r="E63" i="70"/>
  <c r="K61" i="70"/>
  <c r="G60" i="70"/>
  <c r="J125" i="70"/>
  <c r="I150" i="70"/>
  <c r="E149" i="70"/>
  <c r="K147" i="70"/>
  <c r="G128" i="70"/>
  <c r="M126" i="70"/>
  <c r="I125" i="70"/>
  <c r="E85" i="70"/>
  <c r="K83" i="70"/>
  <c r="G82" i="70"/>
  <c r="M62" i="70"/>
  <c r="I61" i="70"/>
  <c r="E60" i="70"/>
  <c r="F149" i="70"/>
  <c r="N62" i="70"/>
  <c r="H150" i="70"/>
  <c r="N148" i="70"/>
  <c r="J147" i="70"/>
  <c r="F128" i="70"/>
  <c r="L126" i="70"/>
  <c r="H125" i="70"/>
  <c r="N84" i="70"/>
  <c r="J83" i="70"/>
  <c r="F82" i="70"/>
  <c r="L62" i="70"/>
  <c r="H61" i="70"/>
  <c r="L83" i="70"/>
  <c r="G150" i="70"/>
  <c r="M148" i="70"/>
  <c r="I147" i="70"/>
  <c r="E128" i="70"/>
  <c r="K126" i="70"/>
  <c r="G125" i="70"/>
  <c r="M84" i="70"/>
  <c r="I83" i="70"/>
  <c r="E82" i="70"/>
  <c r="K62" i="70"/>
  <c r="G61" i="70"/>
  <c r="N126" i="70"/>
  <c r="J61" i="70"/>
  <c r="K132" i="70"/>
  <c r="J133" i="70"/>
  <c r="F157" i="70"/>
  <c r="N134" i="70"/>
  <c r="J158" i="70"/>
  <c r="J159" i="70"/>
  <c r="J154" i="70"/>
  <c r="N156" i="70"/>
  <c r="L160" i="70"/>
  <c r="H137" i="70"/>
  <c r="H138" i="70"/>
  <c r="N162" i="70"/>
  <c r="M139" i="70"/>
  <c r="L164" i="70"/>
  <c r="H140" i="70"/>
  <c r="I142" i="70"/>
  <c r="N131" i="70"/>
  <c r="E153" i="70"/>
  <c r="K160" i="70"/>
  <c r="G137" i="70"/>
  <c r="G138" i="70"/>
  <c r="M162" i="70"/>
  <c r="L139" i="70"/>
  <c r="K164" i="70"/>
  <c r="G140" i="70"/>
  <c r="H142" i="70"/>
  <c r="M131" i="70"/>
  <c r="N153" i="70"/>
  <c r="N163" i="70"/>
  <c r="I153" i="70"/>
  <c r="N164" i="70"/>
  <c r="G153" i="70"/>
  <c r="K154" i="70"/>
  <c r="N139" i="70"/>
  <c r="F153" i="70"/>
  <c r="J132" i="70"/>
  <c r="I133" i="70"/>
  <c r="E157" i="70"/>
  <c r="M134" i="70"/>
  <c r="I158" i="70"/>
  <c r="I159" i="70"/>
  <c r="I154" i="70"/>
  <c r="M156" i="70"/>
  <c r="E156" i="70"/>
  <c r="E162" i="70"/>
  <c r="E131" i="70"/>
  <c r="I132" i="70"/>
  <c r="H133" i="70"/>
  <c r="G155" i="70"/>
  <c r="L134" i="70"/>
  <c r="H158" i="70"/>
  <c r="H159" i="70"/>
  <c r="H154" i="70"/>
  <c r="M136" i="70"/>
  <c r="J160" i="70"/>
  <c r="F137" i="70"/>
  <c r="F138" i="70"/>
  <c r="L162" i="70"/>
  <c r="L163" i="70"/>
  <c r="J164" i="70"/>
  <c r="F140" i="70"/>
  <c r="G142" i="70"/>
  <c r="L131" i="70"/>
  <c r="I162" i="70"/>
  <c r="N141" i="70"/>
  <c r="I131" i="70"/>
  <c r="M142" i="70"/>
  <c r="K142" i="70"/>
  <c r="J155" i="70"/>
  <c r="I156" i="70"/>
  <c r="I138" i="70"/>
  <c r="J141" i="70"/>
  <c r="J153" i="70"/>
  <c r="N158" i="70"/>
  <c r="E136" i="70"/>
  <c r="H162" i="70"/>
  <c r="L140" i="70"/>
  <c r="L154" i="70"/>
  <c r="J140" i="70"/>
  <c r="K158" i="70"/>
  <c r="I140" i="70"/>
  <c r="H132" i="70"/>
  <c r="G133" i="70"/>
  <c r="F155" i="70"/>
  <c r="K134" i="70"/>
  <c r="G158" i="70"/>
  <c r="G159" i="70"/>
  <c r="G154" i="70"/>
  <c r="L136" i="70"/>
  <c r="I160" i="70"/>
  <c r="E137" i="70"/>
  <c r="E138" i="70"/>
  <c r="K162" i="70"/>
  <c r="K163" i="70"/>
  <c r="I164" i="70"/>
  <c r="E140" i="70"/>
  <c r="F142" i="70"/>
  <c r="K131" i="70"/>
  <c r="M161" i="70"/>
  <c r="I163" i="70"/>
  <c r="G164" i="70"/>
  <c r="N142" i="70"/>
  <c r="M141" i="70"/>
  <c r="M153" i="70"/>
  <c r="K153" i="70"/>
  <c r="E158" i="70"/>
  <c r="M137" i="70"/>
  <c r="E163" i="70"/>
  <c r="N133" i="70"/>
  <c r="M135" i="70"/>
  <c r="H156" i="70"/>
  <c r="H161" i="70"/>
  <c r="J137" i="70"/>
  <c r="F131" i="70"/>
  <c r="J135" i="70"/>
  <c r="I137" i="70"/>
  <c r="F141" i="70"/>
  <c r="G132" i="70"/>
  <c r="F133" i="70"/>
  <c r="E155" i="70"/>
  <c r="J134" i="70"/>
  <c r="I135" i="70"/>
  <c r="F159" i="70"/>
  <c r="F154" i="70"/>
  <c r="K136" i="70"/>
  <c r="H160" i="70"/>
  <c r="N161" i="70"/>
  <c r="N138" i="70"/>
  <c r="J162" i="70"/>
  <c r="J163" i="70"/>
  <c r="H164" i="70"/>
  <c r="E141" i="70"/>
  <c r="E142" i="70"/>
  <c r="J131" i="70"/>
  <c r="M138" i="70"/>
  <c r="L153" i="70"/>
  <c r="K157" i="70"/>
  <c r="K159" i="70"/>
  <c r="I161" i="70"/>
  <c r="M140" i="70"/>
  <c r="J142" i="70"/>
  <c r="J157" i="70"/>
  <c r="N154" i="70"/>
  <c r="L137" i="70"/>
  <c r="H131" i="70"/>
  <c r="N160" i="70"/>
  <c r="F132" i="70"/>
  <c r="E133" i="70"/>
  <c r="N155" i="70"/>
  <c r="I134" i="70"/>
  <c r="H135" i="70"/>
  <c r="E159" i="70"/>
  <c r="E154" i="70"/>
  <c r="J136" i="70"/>
  <c r="G160" i="70"/>
  <c r="E132" i="70"/>
  <c r="N157" i="70"/>
  <c r="M155" i="70"/>
  <c r="H134" i="70"/>
  <c r="G135" i="70"/>
  <c r="N159" i="70"/>
  <c r="L156" i="70"/>
  <c r="I136" i="70"/>
  <c r="F160" i="70"/>
  <c r="L161" i="70"/>
  <c r="L138" i="70"/>
  <c r="K139" i="70"/>
  <c r="H163" i="70"/>
  <c r="F164" i="70"/>
  <c r="H139" i="70"/>
  <c r="I155" i="70"/>
  <c r="G139" i="70"/>
  <c r="I141" i="70"/>
  <c r="F161" i="70"/>
  <c r="E139" i="70"/>
  <c r="G157" i="70"/>
  <c r="E161" i="70"/>
  <c r="N132" i="70"/>
  <c r="M157" i="70"/>
  <c r="L155" i="70"/>
  <c r="G134" i="70"/>
  <c r="F135" i="70"/>
  <c r="M159" i="70"/>
  <c r="K156" i="70"/>
  <c r="H136" i="70"/>
  <c r="E160" i="70"/>
  <c r="K161" i="70"/>
  <c r="K138" i="70"/>
  <c r="J139" i="70"/>
  <c r="G163" i="70"/>
  <c r="E164" i="70"/>
  <c r="L141" i="70"/>
  <c r="L142" i="70"/>
  <c r="L132" i="70"/>
  <c r="N135" i="70"/>
  <c r="F136" i="70"/>
  <c r="F162" i="70"/>
  <c r="K133" i="70"/>
  <c r="M160" i="70"/>
  <c r="M132" i="70"/>
  <c r="L157" i="70"/>
  <c r="K155" i="70"/>
  <c r="F158" i="70"/>
  <c r="E135" i="70"/>
  <c r="L159" i="70"/>
  <c r="J156" i="70"/>
  <c r="G136" i="70"/>
  <c r="N137" i="70"/>
  <c r="J161" i="70"/>
  <c r="J138" i="70"/>
  <c r="I139" i="70"/>
  <c r="F163" i="70"/>
  <c r="N140" i="70"/>
  <c r="K141" i="70"/>
  <c r="M133" i="70"/>
  <c r="I157" i="70"/>
  <c r="H155" i="70"/>
  <c r="M158" i="70"/>
  <c r="L135" i="70"/>
  <c r="M154" i="70"/>
  <c r="G156" i="70"/>
  <c r="N136" i="70"/>
  <c r="K137" i="70"/>
  <c r="G161" i="70"/>
  <c r="G162" i="70"/>
  <c r="F139" i="70"/>
  <c r="M163" i="70"/>
  <c r="K140" i="70"/>
  <c r="H141" i="70"/>
  <c r="G131" i="70"/>
  <c r="H153" i="70"/>
  <c r="L133" i="70"/>
  <c r="H157" i="70"/>
  <c r="F134" i="70"/>
  <c r="L158" i="70"/>
  <c r="K135" i="70"/>
  <c r="F156" i="70"/>
  <c r="G141" i="70"/>
  <c r="E134" i="70"/>
  <c r="M164" i="70"/>
  <c r="M91" i="70"/>
  <c r="K91" i="70"/>
  <c r="J91" i="70"/>
  <c r="I91" i="70"/>
  <c r="H91" i="70"/>
  <c r="G91" i="70"/>
  <c r="F91" i="70"/>
  <c r="E91" i="70"/>
  <c r="L91" i="70"/>
  <c r="N91" i="70"/>
  <c r="N92" i="70"/>
  <c r="M92" i="70"/>
  <c r="L92" i="70"/>
  <c r="K92" i="70"/>
  <c r="J92" i="70"/>
  <c r="I92" i="70"/>
  <c r="H92" i="70"/>
  <c r="G92" i="70"/>
  <c r="F92" i="70"/>
  <c r="E92" i="70"/>
  <c r="G93" i="70"/>
  <c r="F93" i="70"/>
  <c r="E93" i="70"/>
  <c r="N93" i="70"/>
  <c r="M93" i="70"/>
  <c r="L93" i="70"/>
  <c r="K93" i="70"/>
  <c r="J93" i="70"/>
  <c r="I93" i="70"/>
  <c r="H93" i="70"/>
  <c r="K77" i="70"/>
  <c r="J77" i="70"/>
  <c r="I77" i="70"/>
  <c r="H77" i="70"/>
  <c r="G77" i="70"/>
  <c r="F77" i="70"/>
  <c r="E77" i="70"/>
  <c r="L77" i="70"/>
  <c r="N77" i="70"/>
  <c r="M77" i="70"/>
  <c r="L94" i="70"/>
  <c r="K94" i="70"/>
  <c r="J94" i="70"/>
  <c r="I94" i="70"/>
  <c r="H94" i="70"/>
  <c r="G94" i="70"/>
  <c r="F94" i="70"/>
  <c r="E94" i="70"/>
  <c r="N94" i="70"/>
  <c r="M94" i="70"/>
  <c r="J90" i="70"/>
  <c r="I90" i="70"/>
  <c r="H90" i="70"/>
  <c r="G90" i="70"/>
  <c r="F90" i="70"/>
  <c r="E90" i="70"/>
  <c r="N90" i="70"/>
  <c r="M90" i="70"/>
  <c r="L90" i="70"/>
  <c r="K90" i="70"/>
  <c r="F76" i="70"/>
  <c r="G76" i="70"/>
  <c r="E76" i="70"/>
  <c r="N76" i="70"/>
  <c r="M76" i="70"/>
  <c r="L76" i="70"/>
  <c r="K76" i="70"/>
  <c r="J76" i="70"/>
  <c r="I76" i="70"/>
  <c r="H76" i="70"/>
  <c r="I66" i="70"/>
  <c r="H66" i="70"/>
  <c r="G66" i="70"/>
  <c r="L66" i="70"/>
  <c r="F66" i="70"/>
  <c r="E66" i="70"/>
  <c r="N66" i="70"/>
  <c r="M66" i="70"/>
  <c r="K66" i="70"/>
  <c r="J66" i="70"/>
  <c r="N95" i="70"/>
  <c r="M95" i="70"/>
  <c r="L95" i="70"/>
  <c r="K95" i="70"/>
  <c r="J95" i="70"/>
  <c r="I95" i="70"/>
  <c r="H95" i="70"/>
  <c r="G95" i="70"/>
  <c r="F95" i="70"/>
  <c r="E95" i="70"/>
  <c r="M67" i="70"/>
  <c r="K67" i="70"/>
  <c r="H67" i="70"/>
  <c r="G67" i="70"/>
  <c r="N67" i="70"/>
  <c r="F67" i="70"/>
  <c r="E67" i="70"/>
  <c r="J67" i="70"/>
  <c r="L67" i="70"/>
  <c r="I67" i="70"/>
  <c r="E96" i="70"/>
  <c r="N96" i="70"/>
  <c r="M96" i="70"/>
  <c r="L96" i="70"/>
  <c r="K96" i="70"/>
  <c r="J96" i="70"/>
  <c r="I96" i="70"/>
  <c r="H96" i="70"/>
  <c r="G96" i="70"/>
  <c r="F96" i="70"/>
  <c r="L68" i="70"/>
  <c r="K68" i="70"/>
  <c r="J68" i="70"/>
  <c r="I68" i="70"/>
  <c r="M68" i="70"/>
  <c r="H68" i="70"/>
  <c r="G68" i="70"/>
  <c r="F68" i="70"/>
  <c r="N68" i="70"/>
  <c r="E68" i="70"/>
  <c r="I97" i="70"/>
  <c r="H97" i="70"/>
  <c r="G97" i="70"/>
  <c r="F97" i="70"/>
  <c r="E97" i="70"/>
  <c r="N97" i="70"/>
  <c r="M97" i="70"/>
  <c r="L97" i="70"/>
  <c r="K97" i="70"/>
  <c r="J97" i="70"/>
  <c r="G69" i="70"/>
  <c r="E69" i="70"/>
  <c r="N69" i="70"/>
  <c r="J69" i="70"/>
  <c r="M69" i="70"/>
  <c r="F69" i="70"/>
  <c r="L69" i="70"/>
  <c r="K69" i="70"/>
  <c r="H69" i="70"/>
  <c r="I69" i="70"/>
  <c r="M98" i="70"/>
  <c r="L98" i="70"/>
  <c r="K98" i="70"/>
  <c r="J98" i="70"/>
  <c r="I98" i="70"/>
  <c r="H98" i="70"/>
  <c r="G98" i="70"/>
  <c r="F98" i="70"/>
  <c r="E98" i="70"/>
  <c r="N98" i="70"/>
  <c r="H70" i="70"/>
  <c r="K70" i="70"/>
  <c r="I70" i="70"/>
  <c r="G70" i="70"/>
  <c r="F70" i="70"/>
  <c r="E70" i="70"/>
  <c r="J70" i="70"/>
  <c r="N70" i="70"/>
  <c r="M70" i="70"/>
  <c r="L70" i="70"/>
  <c r="N99" i="70"/>
  <c r="M99" i="70"/>
  <c r="L99" i="70"/>
  <c r="K99" i="70"/>
  <c r="J99" i="70"/>
  <c r="I99" i="70"/>
  <c r="H99" i="70"/>
  <c r="G99" i="70"/>
  <c r="F99" i="70"/>
  <c r="E99" i="70"/>
  <c r="N71" i="70"/>
  <c r="M71" i="70"/>
  <c r="L71" i="70"/>
  <c r="J71" i="70"/>
  <c r="I71" i="70"/>
  <c r="H71" i="70"/>
  <c r="G71" i="70"/>
  <c r="F71" i="70"/>
  <c r="K71" i="70"/>
  <c r="E71" i="70"/>
  <c r="F72" i="70"/>
  <c r="E72" i="70"/>
  <c r="N72" i="70"/>
  <c r="M72" i="70"/>
  <c r="L72" i="70"/>
  <c r="H72" i="70"/>
  <c r="K72" i="70"/>
  <c r="J72" i="70"/>
  <c r="I72" i="70"/>
  <c r="G72" i="70"/>
  <c r="N75" i="70"/>
  <c r="L75" i="70"/>
  <c r="K75" i="70"/>
  <c r="J75" i="70"/>
  <c r="I75" i="70"/>
  <c r="H75" i="70"/>
  <c r="M75" i="70"/>
  <c r="G75" i="70"/>
  <c r="F75" i="70"/>
  <c r="E75" i="70"/>
  <c r="I73" i="70"/>
  <c r="G73" i="70"/>
  <c r="F73" i="70"/>
  <c r="E73" i="70"/>
  <c r="H73" i="70"/>
  <c r="N73" i="70"/>
  <c r="M73" i="70"/>
  <c r="L73" i="70"/>
  <c r="J73" i="70"/>
  <c r="K73" i="70"/>
  <c r="M88" i="70"/>
  <c r="L88" i="70"/>
  <c r="K88" i="70"/>
  <c r="J88" i="70"/>
  <c r="I88" i="70"/>
  <c r="N88" i="70"/>
  <c r="H88" i="70"/>
  <c r="G88" i="70"/>
  <c r="F88" i="70"/>
  <c r="E88" i="70"/>
  <c r="M74" i="70"/>
  <c r="K74" i="70"/>
  <c r="J74" i="70"/>
  <c r="H74" i="70"/>
  <c r="I74" i="70"/>
  <c r="G74" i="70"/>
  <c r="N74" i="70"/>
  <c r="F74" i="70"/>
  <c r="E74" i="70"/>
  <c r="L74" i="70"/>
  <c r="E89" i="70"/>
  <c r="N89" i="70"/>
  <c r="M89" i="70"/>
  <c r="L89" i="70"/>
  <c r="K89" i="70"/>
  <c r="F89" i="70"/>
  <c r="J89" i="70"/>
  <c r="I89" i="70"/>
  <c r="H89" i="70"/>
  <c r="G89" i="70"/>
  <c r="AH39" i="69"/>
  <c r="AH38" i="69"/>
  <c r="AH37" i="69"/>
  <c r="AH36" i="69"/>
  <c r="AH35" i="69"/>
  <c r="AH34" i="69"/>
  <c r="AH33" i="69"/>
  <c r="AH32" i="69"/>
  <c r="AH31" i="69"/>
  <c r="AH30" i="69"/>
  <c r="J14" i="69" a="1"/>
  <c r="J14" i="69" s="1"/>
  <c r="J15" i="69" a="1"/>
  <c r="J15" i="69" s="1"/>
  <c r="AE140" i="69"/>
  <c r="AD141" i="69"/>
  <c r="AC142" i="69"/>
  <c r="AB143" i="69"/>
  <c r="V144" i="69"/>
  <c r="AE139" i="69"/>
  <c r="K33" i="70"/>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F32" i="70"/>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AE83" i="69" l="1" a="1"/>
  <c r="AE83" i="69" s="1"/>
  <c r="AE104" i="69" s="1" a="1"/>
  <c r="AE104" i="69" s="1"/>
  <c r="AE156" i="69" s="1" a="1"/>
  <c r="AE156" i="69" s="1"/>
  <c r="Y77" i="69"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<sst xmlns="http://schemas.openxmlformats.org/spreadsheetml/2006/main" count="1088" uniqueCount="271">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</sst>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56.306277717152973</v>
      </c>
      <c r="F7" s="105">
        <f>'3.2.1.1-2 Enteric Methane'!V161</f>
        <v>56.009352251962476</v>
      </c>
      <c r="G7" s="53" t="s">
        <v>115</v>
      </c>
      <c r="H7" s="105">
        <f>'3.2.1.1-2 Enteric Methane'!E133</f>
        <v>1576.5757760802833</v>
      </c>
      <c r="I7" s="105">
        <f>'3.2.1.1-2 Enteric Methane'!V166</f>
        <v>1568.2618630549493</v>
      </c>
      <c r="J7" s="53" t="s">
        <v>118</v>
      </c>
      <c r="K7" s="22"/>
    </row>
    <row r="8" spans="1:11" ht="20.100000000000001" customHeight="1" x14ac:dyDescent="0.3">
      <c r="A8" s="17" t="str">
        <f>HYPERLINK("#'Input - Pasture Beef'!A1", "Pasture Beef")</f>
        <v>Pasture Beef</v>
      </c>
      <c r="C8" s="22"/>
      <c r="D8" s="29" t="s">
        <v>97</v>
      </c>
      <c r="E8" s="23"/>
      <c r="F8" s="23"/>
      <c r="G8" s="29"/>
      <c r="H8" s="106">
        <f>SUM(H7:H7)</f>
        <v>1576.5757760802833</v>
      </c>
      <c r="I8" s="106">
        <f>SUM(I7:I7)</f>
        <v>1568.2618630549493</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 zoomScale="85" zoomScaleNormal="85" workbookViewId="0">
      <selection activeCell="D19" sqref="D19"/>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90.25</v>
      </c>
      <c r="F16" s="51">
        <v>90.25</v>
      </c>
      <c r="G16" s="51">
        <v>90.25</v>
      </c>
      <c r="H16" s="51">
        <v>90.25</v>
      </c>
      <c r="I16" s="51">
        <v>90.25</v>
      </c>
      <c r="J16" s="51">
        <v>90.25</v>
      </c>
      <c r="K16" s="51">
        <v>90.25</v>
      </c>
      <c r="L16" s="51">
        <v>90.25</v>
      </c>
      <c r="M16" s="51">
        <v>90.25</v>
      </c>
      <c r="N16" s="51">
        <v>90.25</v>
      </c>
      <c r="O16" s="2" t="s">
        <v>46</v>
      </c>
      <c r="T16" s="37"/>
    </row>
    <row r="17" spans="1:20" ht="20.100000000000001" customHeight="1" x14ac:dyDescent="0.25">
      <c r="A17" s="17" t="str">
        <f>HYPERLINK("#'Acknowledgements'!A1", "Acknowledgements")</f>
        <v>Acknowledgements</v>
      </c>
      <c r="D17" s="1" t="s">
        <v>134</v>
      </c>
      <c r="E17" s="51">
        <v>92.25</v>
      </c>
      <c r="F17" s="51">
        <v>92.25</v>
      </c>
      <c r="G17" s="51">
        <v>92.25</v>
      </c>
      <c r="H17" s="51">
        <v>92.25</v>
      </c>
      <c r="I17" s="51">
        <v>92.25</v>
      </c>
      <c r="J17" s="51">
        <v>92.25</v>
      </c>
      <c r="K17" s="51">
        <v>92.25</v>
      </c>
      <c r="L17" s="51">
        <v>92.25</v>
      </c>
      <c r="M17" s="51">
        <v>92.25</v>
      </c>
      <c r="N17" s="51">
        <v>92.25</v>
      </c>
      <c r="O17" s="2" t="s">
        <v>46</v>
      </c>
      <c r="T17" s="7"/>
    </row>
    <row r="18" spans="1:20" ht="20.100000000000001" customHeight="1" x14ac:dyDescent="0.25">
      <c r="D18" s="1" t="s">
        <v>135</v>
      </c>
      <c r="E18" s="51">
        <v>93.25</v>
      </c>
      <c r="F18" s="51">
        <v>93.25</v>
      </c>
      <c r="G18" s="51">
        <v>93.25</v>
      </c>
      <c r="H18" s="51">
        <v>93.25</v>
      </c>
      <c r="I18" s="51">
        <v>93.25</v>
      </c>
      <c r="J18" s="51">
        <v>93.25</v>
      </c>
      <c r="K18" s="51">
        <v>93.25</v>
      </c>
      <c r="L18" s="51">
        <v>93.25</v>
      </c>
      <c r="M18" s="51">
        <v>93.25</v>
      </c>
      <c r="N18" s="51">
        <v>93.25</v>
      </c>
      <c r="O18" s="2" t="s">
        <v>46</v>
      </c>
      <c r="T18" s="7"/>
    </row>
    <row r="19" spans="1:20" ht="20.100000000000001" customHeight="1" x14ac:dyDescent="0.25">
      <c r="A19" s="17"/>
      <c r="D19" s="1" t="s">
        <v>136</v>
      </c>
      <c r="E19" s="51">
        <v>94.25</v>
      </c>
      <c r="F19" s="51">
        <v>94.25</v>
      </c>
      <c r="G19" s="51">
        <v>94.25</v>
      </c>
      <c r="H19" s="51">
        <v>94.25</v>
      </c>
      <c r="I19" s="51">
        <v>94.25</v>
      </c>
      <c r="J19" s="51">
        <v>94.25</v>
      </c>
      <c r="K19" s="51">
        <v>94.25</v>
      </c>
      <c r="L19" s="51">
        <v>94.25</v>
      </c>
      <c r="M19" s="51">
        <v>94.25</v>
      </c>
      <c r="N19" s="51">
        <v>94.25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f t="shared" ref="E22:N33" si="0">DAY(EOMONTH($D22,0))</f>
        <v>31</v>
      </c>
      <c r="F22" s="64">
        <f t="shared" si="0"/>
        <v>31</v>
      </c>
      <c r="G22" s="64">
        <f t="shared" si="0"/>
        <v>31</v>
      </c>
      <c r="H22" s="64">
        <f t="shared" si="0"/>
        <v>31</v>
      </c>
      <c r="I22" s="64">
        <f t="shared" si="0"/>
        <v>31</v>
      </c>
      <c r="J22" s="64">
        <f t="shared" si="0"/>
        <v>31</v>
      </c>
      <c r="K22" s="64">
        <f t="shared" si="0"/>
        <v>31</v>
      </c>
      <c r="L22" s="64">
        <f t="shared" si="0"/>
        <v>31</v>
      </c>
      <c r="M22" s="64">
        <f t="shared" si="0"/>
        <v>31</v>
      </c>
      <c r="N22" s="64">
        <f t="shared" si="0"/>
        <v>31</v>
      </c>
      <c r="O22" s="2" t="s">
        <v>46</v>
      </c>
      <c r="T22" s="7"/>
    </row>
    <row r="23" spans="1:20" ht="20.100000000000001" customHeight="1" x14ac:dyDescent="0.25">
      <c r="A23" s="17"/>
      <c r="D23" s="1" t="str">
        <f>TEXT(EDATE('Input - Site'!$E$12,1), "mmmm yyyy")</f>
        <v>February 2025</v>
      </c>
      <c r="E23" s="64">
        <f t="shared" si="0"/>
        <v>28</v>
      </c>
      <c r="F23" s="64">
        <f t="shared" si="0"/>
        <v>28</v>
      </c>
      <c r="G23" s="64">
        <f t="shared" si="0"/>
        <v>28</v>
      </c>
      <c r="H23" s="64">
        <f t="shared" si="0"/>
        <v>28</v>
      </c>
      <c r="I23" s="64">
        <f t="shared" si="0"/>
        <v>28</v>
      </c>
      <c r="J23" s="64">
        <f t="shared" si="0"/>
        <v>28</v>
      </c>
      <c r="K23" s="64">
        <f t="shared" si="0"/>
        <v>28</v>
      </c>
      <c r="L23" s="64">
        <f t="shared" si="0"/>
        <v>28</v>
      </c>
      <c r="M23" s="64">
        <f t="shared" si="0"/>
        <v>28</v>
      </c>
      <c r="N23" s="64">
        <f t="shared" si="0"/>
        <v>28</v>
      </c>
      <c r="O23" s="2" t="s">
        <v>46</v>
      </c>
      <c r="T23" s="7"/>
    </row>
    <row r="24" spans="1:20" ht="20.100000000000001" customHeight="1" x14ac:dyDescent="0.25">
      <c r="A24" s="17"/>
      <c r="D24" s="1" t="str">
        <f>TEXT(EDATE('Input - Site'!$E$12,2), "mmmm yyyy")</f>
        <v>March 2025</v>
      </c>
      <c r="E24" s="64">
        <f t="shared" si="0"/>
        <v>31</v>
      </c>
      <c r="F24" s="64">
        <f t="shared" si="0"/>
        <v>31</v>
      </c>
      <c r="G24" s="64">
        <f t="shared" si="0"/>
        <v>31</v>
      </c>
      <c r="H24" s="64">
        <f t="shared" si="0"/>
        <v>31</v>
      </c>
      <c r="I24" s="64">
        <f t="shared" si="0"/>
        <v>31</v>
      </c>
      <c r="J24" s="64">
        <f t="shared" si="0"/>
        <v>31</v>
      </c>
      <c r="K24" s="64">
        <f t="shared" si="0"/>
        <v>31</v>
      </c>
      <c r="L24" s="64">
        <f t="shared" si="0"/>
        <v>31</v>
      </c>
      <c r="M24" s="64">
        <f t="shared" si="0"/>
        <v>31</v>
      </c>
      <c r="N24" s="64">
        <f t="shared" si="0"/>
        <v>31</v>
      </c>
      <c r="O24" s="2" t="s">
        <v>46</v>
      </c>
      <c r="T24" s="7"/>
    </row>
    <row r="25" spans="1:20" ht="20.100000000000001" customHeight="1" x14ac:dyDescent="0.25">
      <c r="D25" s="1" t="str">
        <f>TEXT(EDATE('Input - Site'!$E$12,3), "mmmm yyyy")</f>
        <v>April 2025</v>
      </c>
      <c r="E25" s="64">
        <f t="shared" si="0"/>
        <v>30</v>
      </c>
      <c r="F25" s="64">
        <f t="shared" si="0"/>
        <v>30</v>
      </c>
      <c r="G25" s="64">
        <f t="shared" si="0"/>
        <v>30</v>
      </c>
      <c r="H25" s="64">
        <f t="shared" si="0"/>
        <v>30</v>
      </c>
      <c r="I25" s="64">
        <f t="shared" si="0"/>
        <v>30</v>
      </c>
      <c r="J25" s="64">
        <f t="shared" si="0"/>
        <v>30</v>
      </c>
      <c r="K25" s="64">
        <f t="shared" si="0"/>
        <v>30</v>
      </c>
      <c r="L25" s="64">
        <f t="shared" si="0"/>
        <v>30</v>
      </c>
      <c r="M25" s="64">
        <f t="shared" si="0"/>
        <v>30</v>
      </c>
      <c r="N25" s="64">
        <f t="shared" si="0"/>
        <v>30</v>
      </c>
      <c r="O25" s="2" t="s">
        <v>46</v>
      </c>
      <c r="T25" s="7"/>
    </row>
    <row r="26" spans="1:20" ht="20.100000000000001" customHeight="1" x14ac:dyDescent="0.25">
      <c r="A26" s="17"/>
      <c r="D26" s="1" t="str">
        <f>TEXT(EDATE('Input - Site'!$E$12,4), "mmmm yyyy")</f>
        <v>May 2025</v>
      </c>
      <c r="E26" s="64">
        <f t="shared" si="0"/>
        <v>31</v>
      </c>
      <c r="F26" s="64">
        <f t="shared" si="0"/>
        <v>31</v>
      </c>
      <c r="G26" s="64">
        <f t="shared" si="0"/>
        <v>31</v>
      </c>
      <c r="H26" s="64">
        <f t="shared" si="0"/>
        <v>31</v>
      </c>
      <c r="I26" s="64">
        <f t="shared" si="0"/>
        <v>31</v>
      </c>
      <c r="J26" s="64">
        <f t="shared" si="0"/>
        <v>31</v>
      </c>
      <c r="K26" s="64">
        <f t="shared" si="0"/>
        <v>31</v>
      </c>
      <c r="L26" s="64">
        <f t="shared" si="0"/>
        <v>31</v>
      </c>
      <c r="M26" s="64">
        <f t="shared" si="0"/>
        <v>31</v>
      </c>
      <c r="N26" s="64">
        <f t="shared" si="0"/>
        <v>31</v>
      </c>
      <c r="O26" s="2" t="s">
        <v>46</v>
      </c>
      <c r="T26" s="7"/>
    </row>
    <row r="27" spans="1:20" ht="20.100000000000001" customHeight="1" x14ac:dyDescent="0.25">
      <c r="A27" s="17"/>
      <c r="D27" s="1" t="str">
        <f>TEXT(EDATE('Input - Site'!$E$12,5), "mmmm yyyy")</f>
        <v>June 2025</v>
      </c>
      <c r="E27" s="64">
        <f t="shared" si="0"/>
        <v>30</v>
      </c>
      <c r="F27" s="64">
        <f t="shared" si="0"/>
        <v>30</v>
      </c>
      <c r="G27" s="64">
        <f t="shared" si="0"/>
        <v>30</v>
      </c>
      <c r="H27" s="64">
        <f t="shared" si="0"/>
        <v>30</v>
      </c>
      <c r="I27" s="64">
        <f t="shared" si="0"/>
        <v>30</v>
      </c>
      <c r="J27" s="64">
        <f t="shared" si="0"/>
        <v>30</v>
      </c>
      <c r="K27" s="64">
        <f t="shared" si="0"/>
        <v>30</v>
      </c>
      <c r="L27" s="64">
        <f t="shared" si="0"/>
        <v>30</v>
      </c>
      <c r="M27" s="64">
        <f t="shared" si="0"/>
        <v>30</v>
      </c>
      <c r="N27" s="64">
        <f t="shared" si="0"/>
        <v>30</v>
      </c>
      <c r="O27" s="2" t="s">
        <v>46</v>
      </c>
      <c r="T27" s="7"/>
    </row>
    <row r="28" spans="1:20" ht="20.100000000000001" customHeight="1" x14ac:dyDescent="0.25">
      <c r="A28" s="17"/>
      <c r="D28" s="1" t="str">
        <f>TEXT(EDATE('Input - Site'!$E$12,6), "mmmm yyyy")</f>
        <v>July 2025</v>
      </c>
      <c r="E28" s="64">
        <f t="shared" si="0"/>
        <v>31</v>
      </c>
      <c r="F28" s="64">
        <f t="shared" si="0"/>
        <v>31</v>
      </c>
      <c r="G28" s="64">
        <f t="shared" si="0"/>
        <v>31</v>
      </c>
      <c r="H28" s="64">
        <f t="shared" si="0"/>
        <v>31</v>
      </c>
      <c r="I28" s="64">
        <f t="shared" si="0"/>
        <v>31</v>
      </c>
      <c r="J28" s="64">
        <f t="shared" si="0"/>
        <v>31</v>
      </c>
      <c r="K28" s="64">
        <f t="shared" si="0"/>
        <v>31</v>
      </c>
      <c r="L28" s="64">
        <f t="shared" si="0"/>
        <v>31</v>
      </c>
      <c r="M28" s="64">
        <f t="shared" si="0"/>
        <v>31</v>
      </c>
      <c r="N28" s="64">
        <f t="shared" si="0"/>
        <v>31</v>
      </c>
      <c r="O28" s="2" t="s">
        <v>46</v>
      </c>
      <c r="T28" s="7"/>
    </row>
    <row r="29" spans="1:20" ht="20.100000000000001" customHeight="1" x14ac:dyDescent="0.25">
      <c r="A29" s="17"/>
      <c r="D29" s="1" t="str">
        <f>TEXT(EDATE('Input - Site'!$E$12,7), "mmmm yyyy")</f>
        <v>August 2025</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46</v>
      </c>
      <c r="T29" s="7"/>
    </row>
    <row r="30" spans="1:20" ht="20.100000000000001" customHeight="1" x14ac:dyDescent="0.25">
      <c r="A30" s="17"/>
      <c r="D30" s="1" t="str">
        <f>TEXT(EDATE('Input - Site'!$E$12,8), "mmmm yyyy")</f>
        <v>September 2025</v>
      </c>
      <c r="E30" s="64">
        <f t="shared" si="0"/>
        <v>30</v>
      </c>
      <c r="F30" s="64">
        <f t="shared" si="0"/>
        <v>30</v>
      </c>
      <c r="G30" s="64">
        <f t="shared" si="0"/>
        <v>30</v>
      </c>
      <c r="H30" s="64">
        <f t="shared" si="0"/>
        <v>30</v>
      </c>
      <c r="I30" s="64">
        <f t="shared" si="0"/>
        <v>30</v>
      </c>
      <c r="J30" s="64">
        <f t="shared" si="0"/>
        <v>30</v>
      </c>
      <c r="K30" s="64">
        <f t="shared" si="0"/>
        <v>30</v>
      </c>
      <c r="L30" s="64">
        <f t="shared" si="0"/>
        <v>30</v>
      </c>
      <c r="M30" s="64">
        <f t="shared" si="0"/>
        <v>30</v>
      </c>
      <c r="N30" s="64">
        <f t="shared" si="0"/>
        <v>30</v>
      </c>
      <c r="O30" s="2" t="s">
        <v>46</v>
      </c>
      <c r="T30" s="7"/>
    </row>
    <row r="31" spans="1:20" ht="20.100000000000001" customHeight="1" x14ac:dyDescent="0.25">
      <c r="A31" s="65"/>
      <c r="D31" s="1" t="str">
        <f>TEXT(EDATE('Input - Site'!$E$12,9), "mmmm yyyy")</f>
        <v>October 2025</v>
      </c>
      <c r="E31" s="64">
        <f t="shared" si="0"/>
        <v>31</v>
      </c>
      <c r="F31" s="64">
        <f t="shared" si="0"/>
        <v>31</v>
      </c>
      <c r="G31" s="64">
        <f t="shared" si="0"/>
        <v>31</v>
      </c>
      <c r="H31" s="64">
        <f t="shared" si="0"/>
        <v>31</v>
      </c>
      <c r="I31" s="64">
        <f t="shared" si="0"/>
        <v>31</v>
      </c>
      <c r="J31" s="64">
        <f t="shared" si="0"/>
        <v>31</v>
      </c>
      <c r="K31" s="64">
        <f t="shared" si="0"/>
        <v>31</v>
      </c>
      <c r="L31" s="64">
        <f t="shared" si="0"/>
        <v>31</v>
      </c>
      <c r="M31" s="64">
        <f t="shared" si="0"/>
        <v>31</v>
      </c>
      <c r="N31" s="64">
        <f t="shared" si="0"/>
        <v>31</v>
      </c>
      <c r="O31" s="2" t="s">
        <v>46</v>
      </c>
      <c r="T31" s="7"/>
    </row>
    <row r="32" spans="1:20" ht="20.100000000000001" customHeight="1" x14ac:dyDescent="0.25">
      <c r="A32" s="65"/>
      <c r="D32" s="1" t="str">
        <f>TEXT(EDATE('Input - Site'!$E$12,10), "mmmm yyyy")</f>
        <v>November 2025</v>
      </c>
      <c r="E32" s="64">
        <f t="shared" si="0"/>
        <v>30</v>
      </c>
      <c r="F32" s="64">
        <f t="shared" si="0"/>
        <v>30</v>
      </c>
      <c r="G32" s="64">
        <f t="shared" si="0"/>
        <v>30</v>
      </c>
      <c r="H32" s="64">
        <f t="shared" si="0"/>
        <v>30</v>
      </c>
      <c r="I32" s="64">
        <f t="shared" si="0"/>
        <v>30</v>
      </c>
      <c r="J32" s="64">
        <f t="shared" si="0"/>
        <v>30</v>
      </c>
      <c r="K32" s="64">
        <f t="shared" si="0"/>
        <v>30</v>
      </c>
      <c r="L32" s="64">
        <f t="shared" si="0"/>
        <v>30</v>
      </c>
      <c r="M32" s="64">
        <f t="shared" si="0"/>
        <v>30</v>
      </c>
      <c r="N32" s="64">
        <f t="shared" si="0"/>
        <v>30</v>
      </c>
      <c r="O32" s="2" t="s">
        <v>46</v>
      </c>
      <c r="T32" s="7"/>
    </row>
    <row r="33" spans="1:20" ht="20.100000000000001" customHeight="1" x14ac:dyDescent="0.25">
      <c r="A33" s="17"/>
      <c r="D33" s="1" t="str">
        <f>TEXT(EDATE('Input - Site'!$E$12,11), "mmmm yyyy")</f>
        <v>December 2025</v>
      </c>
      <c r="E33" s="64">
        <f t="shared" si="0"/>
        <v>31</v>
      </c>
      <c r="F33" s="64">
        <f t="shared" si="0"/>
        <v>31</v>
      </c>
      <c r="G33" s="64">
        <f t="shared" si="0"/>
        <v>31</v>
      </c>
      <c r="H33" s="64">
        <f t="shared" si="0"/>
        <v>31</v>
      </c>
      <c r="I33" s="64">
        <f t="shared" si="0"/>
        <v>31</v>
      </c>
      <c r="J33" s="64">
        <f t="shared" si="0"/>
        <v>31</v>
      </c>
      <c r="K33" s="64">
        <f t="shared" si="0"/>
        <v>31</v>
      </c>
      <c r="L33" s="64">
        <f t="shared" si="0"/>
        <v>31</v>
      </c>
      <c r="M33" s="64">
        <f t="shared" si="0"/>
        <v>31</v>
      </c>
      <c r="N33" s="64">
        <f t="shared" si="0"/>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104</v>
      </c>
      <c r="P60" s="3"/>
      <c r="T60" s="7"/>
    </row>
    <row r="61" spans="4:20" ht="20.100000000000001" customHeight="1" x14ac:dyDescent="0.25">
      <c r="D61" s="1" t="s">
        <v>134</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104</v>
      </c>
      <c r="P61" s="3"/>
      <c r="T61" s="7"/>
    </row>
    <row r="62" spans="4:20" ht="20.100000000000001" customHeight="1" x14ac:dyDescent="0.25">
      <c r="D62" s="1" t="s">
        <v>135</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104</v>
      </c>
      <c r="P62" s="3"/>
      <c r="T62" s="7"/>
    </row>
    <row r="63" spans="4:20" ht="20.100000000000001" customHeight="1" x14ac:dyDescent="0.25">
      <c r="D63" s="1" t="s">
        <v>136</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104</v>
      </c>
      <c r="P66" s="3"/>
      <c r="T66" s="7"/>
    </row>
    <row r="67" spans="4:20" ht="20.100000000000001" customHeight="1" x14ac:dyDescent="0.25">
      <c r="D67" s="1" t="str">
        <f>TEXT(EDATE('Input - Site'!$E$12,1), "mmmm yyyy")</f>
        <v>February 2025</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104</v>
      </c>
      <c r="P67" s="3"/>
      <c r="T67" s="7"/>
    </row>
    <row r="68" spans="4:20" ht="20.100000000000001" customHeight="1" x14ac:dyDescent="0.25">
      <c r="D68" s="1" t="str">
        <f>TEXT(EDATE('Input - Site'!$E$12,2), "mmmm yyyy")</f>
        <v>March 2025</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104</v>
      </c>
      <c r="P68" s="3"/>
      <c r="T68" s="7"/>
    </row>
    <row r="69" spans="4:20" ht="20.100000000000001" customHeight="1" x14ac:dyDescent="0.25">
      <c r="D69" s="1" t="str">
        <f>TEXT(EDATE('Input - Site'!$E$12,3), "mmmm yyyy")</f>
        <v>April 2025</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104</v>
      </c>
      <c r="P69" s="3"/>
      <c r="T69" s="7"/>
    </row>
    <row r="70" spans="4:20" ht="20.100000000000001" customHeight="1" x14ac:dyDescent="0.25">
      <c r="D70" s="1" t="str">
        <f>TEXT(EDATE('Input - Site'!$E$12,4), "mmmm yyyy")</f>
        <v>May 2025</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104</v>
      </c>
      <c r="P70" s="3"/>
      <c r="T70" s="7"/>
    </row>
    <row r="71" spans="4:20" ht="20.100000000000001" customHeight="1" x14ac:dyDescent="0.25">
      <c r="D71" s="1" t="str">
        <f>TEXT(EDATE('Input - Site'!$E$12,5), "mmmm yyyy")</f>
        <v>June 2025</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104</v>
      </c>
      <c r="P71" s="3"/>
      <c r="T71" s="7"/>
    </row>
    <row r="72" spans="4:20" ht="20.100000000000001" customHeight="1" x14ac:dyDescent="0.25">
      <c r="D72" s="1" t="str">
        <f>TEXT(EDATE('Input - Site'!$E$12,6), "mmmm yyyy")</f>
        <v>July 2025</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104</v>
      </c>
      <c r="T72" s="7"/>
    </row>
    <row r="73" spans="4:20" ht="20.100000000000001" customHeight="1" x14ac:dyDescent="0.25">
      <c r="D73" s="1" t="str">
        <f>TEXT(EDATE('Input - Site'!$E$12,7), "mmmm yyyy")</f>
        <v>August 2025</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104</v>
      </c>
      <c r="T73" s="7"/>
    </row>
    <row r="74" spans="4:20" ht="20.100000000000001" customHeight="1" x14ac:dyDescent="0.25">
      <c r="D74" s="1" t="str">
        <f>TEXT(EDATE('Input - Site'!$E$12,8), "mmmm yyyy")</f>
        <v>September 2025</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104</v>
      </c>
      <c r="T74" s="7"/>
    </row>
    <row r="75" spans="4:20" ht="20.100000000000001" customHeight="1" x14ac:dyDescent="0.25">
      <c r="D75" s="1" t="str">
        <f>TEXT(EDATE('Input - Site'!$E$12,9), "mmmm yyyy")</f>
        <v>October 2025</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104</v>
      </c>
      <c r="T75" s="7"/>
    </row>
    <row r="76" spans="4:20" ht="20.100000000000001" customHeight="1" x14ac:dyDescent="0.25">
      <c r="D76" s="1" t="str">
        <f>TEXT(EDATE('Input - Site'!$E$12,10), "mmmm yyyy")</f>
        <v>November 2025</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104</v>
      </c>
      <c r="T76" s="7"/>
    </row>
    <row r="77" spans="4:20" ht="20.100000000000001" customHeight="1" x14ac:dyDescent="0.25">
      <c r="D77" s="1" t="str">
        <f>TEXT(EDATE('Input - Site'!$E$12,11), "mmmm yyyy")</f>
        <v>December 2025</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105</v>
      </c>
      <c r="T82" s="7"/>
    </row>
    <row r="83" spans="4:20" ht="20.100000000000001" customHeight="1" x14ac:dyDescent="0.25">
      <c r="D83" s="1" t="s">
        <v>134</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105</v>
      </c>
      <c r="T83" s="7"/>
    </row>
    <row r="84" spans="4:20" ht="20.100000000000001" customHeight="1" x14ac:dyDescent="0.25">
      <c r="D84" s="1" t="s">
        <v>135</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105</v>
      </c>
      <c r="T84" s="7"/>
    </row>
    <row r="85" spans="4:20" ht="20.100000000000001" customHeight="1" x14ac:dyDescent="0.25">
      <c r="D85" s="1" t="s">
        <v>136</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105</v>
      </c>
      <c r="T88" s="7"/>
    </row>
    <row r="89" spans="4:20" ht="20.100000000000001" customHeight="1" x14ac:dyDescent="0.25">
      <c r="D89" s="1" t="str">
        <f>TEXT(EDATE('Input - Site'!$E$12,1), "mmmm yyyy")</f>
        <v>February 2025</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105</v>
      </c>
      <c r="T89" s="7"/>
    </row>
    <row r="90" spans="4:20" ht="20.100000000000001" customHeight="1" x14ac:dyDescent="0.25">
      <c r="D90" s="1" t="str">
        <f>TEXT(EDATE('Input - Site'!$E$12,2), "mmmm yyyy")</f>
        <v>March 2025</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105</v>
      </c>
      <c r="T90" s="7"/>
    </row>
    <row r="91" spans="4:20" ht="20.100000000000001" customHeight="1" x14ac:dyDescent="0.25">
      <c r="D91" s="1" t="str">
        <f>TEXT(EDATE('Input - Site'!$E$12,3), "mmmm yyyy")</f>
        <v>April 2025</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105</v>
      </c>
      <c r="T91" s="7"/>
    </row>
    <row r="92" spans="4:20" ht="20.100000000000001" customHeight="1" x14ac:dyDescent="0.25">
      <c r="D92" s="1" t="str">
        <f>TEXT(EDATE('Input - Site'!$E$12,4), "mmmm yyyy")</f>
        <v>May 2025</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105</v>
      </c>
      <c r="T92" s="7"/>
    </row>
    <row r="93" spans="4:20" ht="20.100000000000001" customHeight="1" x14ac:dyDescent="0.25">
      <c r="D93" s="1" t="str">
        <f>TEXT(EDATE('Input - Site'!$E$12,5), "mmmm yyyy")</f>
        <v>June 2025</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105</v>
      </c>
      <c r="T93" s="7"/>
    </row>
    <row r="94" spans="4:20" ht="20.100000000000001" customHeight="1" x14ac:dyDescent="0.25">
      <c r="D94" s="1" t="str">
        <f>TEXT(EDATE('Input - Site'!$E$12,6), "mmmm yyyy")</f>
        <v>July 2025</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105</v>
      </c>
      <c r="T94" s="7"/>
    </row>
    <row r="95" spans="4:20" ht="20.100000000000001" customHeight="1" x14ac:dyDescent="0.25">
      <c r="D95" s="1" t="str">
        <f>TEXT(EDATE('Input - Site'!$E$12,7), "mmmm yyyy")</f>
        <v>August 2025</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105</v>
      </c>
      <c r="T95" s="7"/>
    </row>
    <row r="96" spans="4:20" ht="20.100000000000001" customHeight="1" x14ac:dyDescent="0.25">
      <c r="D96" s="1" t="str">
        <f>TEXT(EDATE('Input - Site'!$E$12,8), "mmmm yyyy")</f>
        <v>September 2025</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105</v>
      </c>
      <c r="T96" s="7"/>
    </row>
    <row r="97" spans="4:20" ht="20.100000000000001" customHeight="1" x14ac:dyDescent="0.25">
      <c r="D97" s="1" t="str">
        <f>TEXT(EDATE('Input - Site'!$E$12,9), "mmmm yyyy")</f>
        <v>October 2025</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105</v>
      </c>
      <c r="T97" s="7"/>
    </row>
    <row r="98" spans="4:20" ht="20.100000000000001" customHeight="1" x14ac:dyDescent="0.25">
      <c r="D98" s="1" t="str">
        <f>TEXT(EDATE('Input - Site'!$E$12,10), "mmmm yyyy")</f>
        <v>November 2025</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105</v>
      </c>
      <c r="T98" s="7"/>
    </row>
    <row r="99" spans="4:20" ht="20.100000000000001" customHeight="1" x14ac:dyDescent="0.25">
      <c r="D99" s="1" t="str">
        <f>TEXT(EDATE('Input - Site'!$E$12,11), "mmmm yyyy")</f>
        <v>December 2025</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111</v>
      </c>
    </row>
    <row r="126" spans="4:15" ht="20.100000000000001" customHeight="1" x14ac:dyDescent="0.25">
      <c r="D126" s="1" t="s">
        <v>134</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111</v>
      </c>
    </row>
    <row r="127" spans="4:15" ht="20.100000000000001" customHeight="1" x14ac:dyDescent="0.25">
      <c r="D127" s="1" t="s">
        <v>135</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111</v>
      </c>
    </row>
    <row r="128" spans="4:15" ht="20.100000000000001" customHeight="1" x14ac:dyDescent="0.25">
      <c r="D128" s="1" t="s">
        <v>136</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111</v>
      </c>
    </row>
    <row r="132" spans="4:15" ht="20.100000000000001" customHeight="1" x14ac:dyDescent="0.25">
      <c r="D132" s="1" t="str">
        <f>TEXT(EDATE('Input - Site'!$E$12,1), "mmmm yyyy")</f>
        <v>February 2025</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111</v>
      </c>
    </row>
    <row r="133" spans="4:15" ht="20.100000000000001" customHeight="1" x14ac:dyDescent="0.25">
      <c r="D133" s="1" t="str">
        <f>TEXT(EDATE('Input - Site'!$E$12,2), "mmmm yyyy")</f>
        <v>March 2025</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111</v>
      </c>
    </row>
    <row r="134" spans="4:15" ht="20.100000000000001" customHeight="1" x14ac:dyDescent="0.25">
      <c r="D134" s="1" t="str">
        <f>TEXT(EDATE('Input - Site'!$E$12,3), "mmmm yyyy")</f>
        <v>April 2025</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111</v>
      </c>
    </row>
    <row r="135" spans="4:15" ht="20.100000000000001" customHeight="1" x14ac:dyDescent="0.25">
      <c r="D135" s="1" t="str">
        <f>TEXT(EDATE('Input - Site'!$E$12,4), "mmmm yyyy")</f>
        <v>May 2025</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111</v>
      </c>
    </row>
    <row r="136" spans="4:15" ht="20.100000000000001" customHeight="1" x14ac:dyDescent="0.25">
      <c r="D136" s="1" t="str">
        <f>TEXT(EDATE('Input - Site'!$E$12,5), "mmmm yyyy")</f>
        <v>June 2025</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111</v>
      </c>
    </row>
    <row r="137" spans="4:15" ht="20.100000000000001" customHeight="1" x14ac:dyDescent="0.25">
      <c r="D137" s="1" t="str">
        <f>TEXT(EDATE('Input - Site'!$E$12,6), "mmmm yyyy")</f>
        <v>July 2025</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111</v>
      </c>
    </row>
    <row r="138" spans="4:15" ht="20.100000000000001" customHeight="1" x14ac:dyDescent="0.25">
      <c r="D138" s="1" t="str">
        <f>TEXT(EDATE('Input - Site'!$E$12,7), "mmmm yyyy")</f>
        <v>August 2025</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111</v>
      </c>
    </row>
    <row r="139" spans="4:15" ht="20.100000000000001" customHeight="1" x14ac:dyDescent="0.25">
      <c r="D139" s="1" t="str">
        <f>TEXT(EDATE('Input - Site'!$E$12,8), "mmmm yyyy")</f>
        <v>September 2025</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111</v>
      </c>
    </row>
    <row r="140" spans="4:15" ht="20.100000000000001" customHeight="1" x14ac:dyDescent="0.25">
      <c r="D140" s="1" t="str">
        <f>TEXT(EDATE('Input - Site'!$E$12,9), "mmmm yyyy")</f>
        <v>October 2025</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111</v>
      </c>
    </row>
    <row r="141" spans="4:15" ht="20.100000000000001" customHeight="1" x14ac:dyDescent="0.25">
      <c r="D141" s="1" t="str">
        <f>TEXT(EDATE('Input - Site'!$E$12,10), "mmmm yyyy")</f>
        <v>November 2025</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111</v>
      </c>
    </row>
    <row r="142" spans="4:15" ht="20.100000000000001" customHeight="1" x14ac:dyDescent="0.25">
      <c r="D142" s="1" t="str">
        <f>TEXT(EDATE('Input - Site'!$E$12,11), "mmmm yyyy")</f>
        <v>December 2025</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111</v>
      </c>
    </row>
    <row r="148" spans="4:15" ht="20.100000000000001" customHeight="1" x14ac:dyDescent="0.25">
      <c r="D148" s="1" t="s">
        <v>134</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111</v>
      </c>
    </row>
    <row r="149" spans="4:15" ht="20.100000000000001" customHeight="1" x14ac:dyDescent="0.25">
      <c r="D149" s="1" t="s">
        <v>135</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111</v>
      </c>
    </row>
    <row r="150" spans="4:15" ht="20.100000000000001" customHeight="1" x14ac:dyDescent="0.25">
      <c r="D150" s="1" t="s">
        <v>136</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111</v>
      </c>
    </row>
    <row r="154" spans="4:15" ht="20.100000000000001" customHeight="1" x14ac:dyDescent="0.25">
      <c r="D154" s="1" t="str">
        <f>TEXT(EDATE('Input - Site'!$E$12,1), "mmmm yyyy")</f>
        <v>February 2025</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111</v>
      </c>
    </row>
    <row r="155" spans="4:15" ht="20.100000000000001" customHeight="1" x14ac:dyDescent="0.25">
      <c r="D155" s="1" t="str">
        <f>TEXT(EDATE('Input - Site'!$E$12,2), "mmmm yyyy")</f>
        <v>March 2025</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111</v>
      </c>
    </row>
    <row r="156" spans="4:15" ht="20.100000000000001" customHeight="1" x14ac:dyDescent="0.25">
      <c r="D156" s="1" t="str">
        <f>TEXT(EDATE('Input - Site'!$E$12,3), "mmmm yyyy")</f>
        <v>April 2025</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111</v>
      </c>
    </row>
    <row r="157" spans="4:15" ht="20.100000000000001" customHeight="1" x14ac:dyDescent="0.25">
      <c r="D157" s="1" t="str">
        <f>TEXT(EDATE('Input - Site'!$E$12,4), "mmmm yyyy")</f>
        <v>May 2025</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111</v>
      </c>
    </row>
    <row r="158" spans="4:15" ht="20.100000000000001" customHeight="1" x14ac:dyDescent="0.25">
      <c r="D158" s="1" t="str">
        <f>TEXT(EDATE('Input - Site'!$E$12,5), "mmmm yyyy")</f>
        <v>June 2025</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111</v>
      </c>
    </row>
    <row r="159" spans="4:15" ht="20.100000000000001" customHeight="1" x14ac:dyDescent="0.25">
      <c r="D159" s="1" t="str">
        <f>TEXT(EDATE('Input - Site'!$E$12,6), "mmmm yyyy")</f>
        <v>July 2025</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111</v>
      </c>
    </row>
    <row r="160" spans="4:15" ht="20.100000000000001" customHeight="1" x14ac:dyDescent="0.25">
      <c r="D160" s="1" t="str">
        <f>TEXT(EDATE('Input - Site'!$E$12,7), "mmmm yyyy")</f>
        <v>August 2025</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111</v>
      </c>
    </row>
    <row r="161" spans="4:15" ht="20.100000000000001" customHeight="1" x14ac:dyDescent="0.25">
      <c r="D161" s="1" t="str">
        <f>TEXT(EDATE('Input - Site'!$E$12,8), "mmmm yyyy")</f>
        <v>September 2025</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111</v>
      </c>
    </row>
    <row r="162" spans="4:15" ht="20.100000000000001" customHeight="1" x14ac:dyDescent="0.25">
      <c r="D162" s="1" t="str">
        <f>TEXT(EDATE('Input - Site'!$E$12,9), "mmmm yyyy")</f>
        <v>October 2025</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111</v>
      </c>
    </row>
    <row r="163" spans="4:15" ht="20.100000000000001" customHeight="1" x14ac:dyDescent="0.25">
      <c r="D163" s="1" t="str">
        <f>TEXT(EDATE('Input - Site'!$E$12,10), "mmmm yyyy")</f>
        <v>November 2025</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111</v>
      </c>
    </row>
    <row r="164" spans="4:15" ht="20.100000000000001" customHeight="1" x14ac:dyDescent="0.25">
      <c r="D164" s="1" t="str">
        <f>TEXT(EDATE('Input - Site'!$E$12,11), "mmmm yyyy")</f>
        <v>December 2025</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disablePrompts="1"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109"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90.25</v>
      </c>
      <c r="F115" s="51">
        <f>'Input - Pasture Beef'!F16</f>
        <v>90.25</v>
      </c>
      <c r="G115" s="51">
        <f>'Input - Pasture Beef'!G16</f>
        <v>90.25</v>
      </c>
      <c r="H115" s="51">
        <f>'Input - Pasture Beef'!H16</f>
        <v>90.25</v>
      </c>
      <c r="I115" s="51">
        <f>'Input - Pasture Beef'!I16</f>
        <v>90.25</v>
      </c>
      <c r="J115" s="51">
        <f>'Input - Pasture Beef'!J16</f>
        <v>90.25</v>
      </c>
      <c r="K115" s="51">
        <f>'Input - Pasture Beef'!K16</f>
        <v>90.25</v>
      </c>
      <c r="L115" s="51">
        <f>'Input - Pasture Beef'!L16</f>
        <v>90.25</v>
      </c>
      <c r="M115" s="51">
        <f>'Input - Pasture Beef'!M16</f>
        <v>90.25</v>
      </c>
      <c r="N115" s="51">
        <f>'Input - Pasture Beef'!N16</f>
        <v>90.25</v>
      </c>
      <c r="O115" s="2" t="str">
        <f>G100</f>
        <v>days</v>
      </c>
      <c r="U115" s="95" t="s">
        <v>227</v>
      </c>
      <c r="AH115" s="2"/>
    </row>
    <row r="116" spans="4:34" ht="20.100000000000001" customHeight="1" x14ac:dyDescent="0.25">
      <c r="D116" s="51" t="s">
        <v>134</v>
      </c>
      <c r="E116" s="51">
        <f>'Input - Pasture Beef'!E17</f>
        <v>92.25</v>
      </c>
      <c r="F116" s="51">
        <f>'Input - Pasture Beef'!F17</f>
        <v>92.25</v>
      </c>
      <c r="G116" s="51">
        <f>'Input - Pasture Beef'!G17</f>
        <v>92.25</v>
      </c>
      <c r="H116" s="51">
        <f>'Input - Pasture Beef'!H17</f>
        <v>92.25</v>
      </c>
      <c r="I116" s="51">
        <f>'Input - Pasture Beef'!I17</f>
        <v>92.25</v>
      </c>
      <c r="J116" s="51">
        <f>'Input - Pasture Beef'!J17</f>
        <v>92.25</v>
      </c>
      <c r="K116" s="51">
        <f>'Input - Pasture Beef'!K17</f>
        <v>92.25</v>
      </c>
      <c r="L116" s="51">
        <f>'Input - Pasture Beef'!L17</f>
        <v>92.25</v>
      </c>
      <c r="M116" s="51">
        <f>'Input - Pasture Beef'!M17</f>
        <v>92.25</v>
      </c>
      <c r="N116" s="51">
        <f>'Input - Pasture Beef'!N17</f>
        <v>92.25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93.25</v>
      </c>
      <c r="F117" s="51">
        <f>'Input - Pasture Beef'!F18</f>
        <v>93.25</v>
      </c>
      <c r="G117" s="51">
        <f>'Input - Pasture Beef'!G18</f>
        <v>93.25</v>
      </c>
      <c r="H117" s="51">
        <f>'Input - Pasture Beef'!H18</f>
        <v>93.25</v>
      </c>
      <c r="I117" s="51">
        <f>'Input - Pasture Beef'!I18</f>
        <v>93.25</v>
      </c>
      <c r="J117" s="51">
        <f>'Input - Pasture Beef'!J18</f>
        <v>93.25</v>
      </c>
      <c r="K117" s="51">
        <f>'Input - Pasture Beef'!K18</f>
        <v>93.25</v>
      </c>
      <c r="L117" s="51">
        <f>'Input - Pasture Beef'!L18</f>
        <v>93.25</v>
      </c>
      <c r="M117" s="51">
        <f>'Input - Pasture Beef'!M18</f>
        <v>93.25</v>
      </c>
      <c r="N117" s="51">
        <f>'Input - Pasture Beef'!N18</f>
        <v>93.25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94.25</v>
      </c>
      <c r="F118" s="51">
        <f>'Input - Pasture Beef'!F19</f>
        <v>94.25</v>
      </c>
      <c r="G118" s="51">
        <f>'Input - Pasture Beef'!G19</f>
        <v>94.25</v>
      </c>
      <c r="H118" s="51">
        <f>'Input - Pasture Beef'!H19</f>
        <v>94.25</v>
      </c>
      <c r="I118" s="51">
        <f>'Input - Pasture Beef'!I19</f>
        <v>94.25</v>
      </c>
      <c r="J118" s="51">
        <f>'Input - Pasture Beef'!J19</f>
        <v>94.25</v>
      </c>
      <c r="K118" s="51">
        <f>'Input - Pasture Beef'!K19</f>
        <v>94.25</v>
      </c>
      <c r="L118" s="51">
        <f>'Input - Pasture Beef'!L19</f>
        <v>94.25</v>
      </c>
      <c r="M118" s="51">
        <f>'Input - Pasture Beef'!M19</f>
        <v>94.25</v>
      </c>
      <c r="N118" s="51">
        <f>'Input - Pasture Beef'!N19</f>
        <v>94.25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1.6198767443220479</v>
      </c>
      <c r="F123" s="51" cm="1">
        <f t="array" ref="F123">EntericMethane_PastureBeef_Equations.VEERG_3_2_1_1__1_TotalAnnualMethaneFromEntericFermentation(F115,F85,F107)</f>
        <v>2.2878605604543756</v>
      </c>
      <c r="G123" s="51" cm="1">
        <f t="array" ref="G123">EntericMethane_PastureBeef_Equations.VEERG_3_2_1_1__1_TotalAnnualMethaneFromEntericFermentation(G115,G85,G107)</f>
        <v>1.234669613483302</v>
      </c>
      <c r="H123" s="51" cm="1">
        <f t="array" ref="H123">EntericMethane_PastureBeef_Equations.VEERG_3_2_1_1__1_TotalAnnualMethaneFromEntericFermentation(H115,H85,H107)</f>
        <v>1.7661093981425564</v>
      </c>
      <c r="I123" s="51" cm="1">
        <f t="array" ref="I123">EntericMethane_PastureBeef_Equations.VEERG_3_2_1_1__1_TotalAnnualMethaneFromEntericFermentation(I115,I85,I107)</f>
        <v>1.8892192698858152</v>
      </c>
      <c r="J123" s="51" cm="1">
        <f t="array" ref="J123">EntericMethane_PastureBeef_Equations.VEERG_3_2_1_1__1_TotalAnnualMethaneFromEntericFermentation(J115,J85,J107)</f>
        <v>1.8892192698858152</v>
      </c>
      <c r="K123" s="51" cm="1">
        <f t="array" ref="K123">EntericMethane_PastureBeef_Equations.VEERG_3_2_1_1__1_TotalAnnualMethaneFromEntericFermentation(K115,K85,K107)</f>
        <v>1.4234103745935747</v>
      </c>
      <c r="L123" s="51" cm="1">
        <f t="array" ref="L123">EntericMethane_PastureBeef_Equations.VEERG_3_2_1_1__1_TotalAnnualMethaneFromEntericFermentation(L115,L85,L107)</f>
        <v>1.8088469845953026</v>
      </c>
      <c r="M123" s="51" cm="1">
        <f t="array" ref="M123">EntericMethane_PastureBeef_Equations.VEERG_3_2_1_1__1_TotalAnnualMethaneFromEntericFermentation(M115,M85,M107)</f>
        <v>1.8088469845953026</v>
      </c>
      <c r="N123" s="51" cm="1">
        <f t="array" ref="N123">EntericMethane_PastureBeef_Equations.VEERG_3_2_1_1__1_TotalAnnualMethaneFromEntericFermentation(N115,N85,N107)</f>
        <v>1.8088469845953026</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1.3647453134317908</v>
      </c>
      <c r="F124" s="51" cm="1">
        <f t="array" ref="F124">EntericMethane_PastureBeef_Equations.VEERG_3_2_1_1__1_TotalAnnualMethaneFromEntericFermentation(F116,F86,F108)</f>
        <v>1.8056929749424473</v>
      </c>
      <c r="G124" s="51" cm="1">
        <f t="array" ref="G124">EntericMethane_PastureBeef_Equations.VEERG_3_2_1_1__1_TotalAnnualMethaneFromEntericFermentation(G116,G86,G108)</f>
        <v>1.1477199894011996</v>
      </c>
      <c r="H124" s="51" cm="1">
        <f t="array" ref="H124">EntericMethane_PastureBeef_Equations.VEERG_3_2_1_1__1_TotalAnnualMethaneFromEntericFermentation(H116,H86,H108)</f>
        <v>1.5029404948151437</v>
      </c>
      <c r="I124" s="51" cm="1">
        <f t="array" ref="I124">EntericMethane_PastureBeef_Equations.VEERG_3_2_1_1__1_TotalAnnualMethaneFromEntericFermentation(I116,I86,I108)</f>
        <v>1.4880949873101719</v>
      </c>
      <c r="J124" s="51" cm="1">
        <f t="array" ref="J124">EntericMethane_PastureBeef_Equations.VEERG_3_2_1_1__1_TotalAnnualMethaneFromEntericFermentation(J116,J86,J108)</f>
        <v>1.4880949873101719</v>
      </c>
      <c r="K124" s="51" cm="1">
        <f t="array" ref="K124">EntericMethane_PastureBeef_Equations.VEERG_3_2_1_1__1_TotalAnnualMethaneFromEntericFermentation(K116,K86,K108)</f>
        <v>1.2579594351757919</v>
      </c>
      <c r="L124" s="51" cm="1">
        <f t="array" ref="L124">EntericMethane_PastureBeef_Equations.VEERG_3_2_1_1__1_TotalAnnualMethaneFromEntericFermentation(L116,L86,L108)</f>
        <v>1.4022143346100659</v>
      </c>
      <c r="M124" s="51" cm="1">
        <f t="array" ref="M124">EntericMethane_PastureBeef_Equations.VEERG_3_2_1_1__1_TotalAnnualMethaneFromEntericFermentation(M116,M86,M108)</f>
        <v>1.4022143346100659</v>
      </c>
      <c r="N124" s="51" cm="1">
        <f t="array" ref="N124">EntericMethane_PastureBeef_Equations.VEERG_3_2_1_1__1_TotalAnnualMethaneFromEntericFermentation(N116,N86,N108)</f>
        <v>1.4022143346100659</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0.62679967011000004</v>
      </c>
      <c r="F125" s="51" cm="1">
        <f t="array" ref="F125">EntericMethane_PastureBeef_Equations.VEERG_3_2_1_1__1_TotalAnnualMethaneFromEntericFermentation(F117,F87,F109)</f>
        <v>1.819217477504844</v>
      </c>
      <c r="G125" s="51" cm="1">
        <f t="array" ref="G125">EntericMethane_PastureBeef_Equations.VEERG_3_2_1_1__1_TotalAnnualMethaneFromEntericFermentation(G117,G87,G109)</f>
        <v>0.57142446470942398</v>
      </c>
      <c r="H125" s="51" cm="1">
        <f t="array" ref="H125">EntericMethane_PastureBeef_Equations.VEERG_3_2_1_1__1_TotalAnnualMethaneFromEntericFermentation(H117,H87,H109)</f>
        <v>1.150018764575139</v>
      </c>
      <c r="I125" s="51" cm="1">
        <f t="array" ref="I125">EntericMethane_PastureBeef_Equations.VEERG_3_2_1_1__1_TotalAnnualMethaneFromEntericFermentation(I117,I87,I109)</f>
        <v>1.2967582524131227</v>
      </c>
      <c r="J125" s="51" cm="1">
        <f t="array" ref="J125">EntericMethane_PastureBeef_Equations.VEERG_3_2_1_1__1_TotalAnnualMethaneFromEntericFermentation(J117,J87,J109)</f>
        <v>1.2967582524131227</v>
      </c>
      <c r="K125" s="51" cm="1">
        <f t="array" ref="K125">EntericMethane_PastureBeef_Equations.VEERG_3_2_1_1__1_TotalAnnualMethaneFromEntericFermentation(K117,K87,K109)</f>
        <v>0.62679967011000004</v>
      </c>
      <c r="L125" s="51" cm="1">
        <f t="array" ref="L125">EntericMethane_PastureBeef_Equations.VEERG_3_2_1_1__1_TotalAnnualMethaneFromEntericFermentation(L117,L87,L109)</f>
        <v>1.1379701235304442</v>
      </c>
      <c r="M125" s="51" cm="1">
        <f t="array" ref="M125">EntericMethane_PastureBeef_Equations.VEERG_3_2_1_1__1_TotalAnnualMethaneFromEntericFermentation(M117,M87,M109)</f>
        <v>1.1379701235304442</v>
      </c>
      <c r="N125" s="51" cm="1">
        <f t="array" ref="N125">EntericMethane_PastureBeef_Equations.VEERG_3_2_1_1__1_TotalAnnualMethaneFromEntericFermentation(N117,N87,N109)</f>
        <v>1.1379701235304442</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1.0014155769391899</v>
      </c>
      <c r="F126" s="51" cm="1">
        <f t="array" ref="F126">EntericMethane_PastureBeef_Equations.VEERG_3_2_1_1__1_TotalAnnualMethaneFromEntericFermentation(F118,F88,F110)</f>
        <v>1.9460700322917746</v>
      </c>
      <c r="G126" s="51" cm="1">
        <f t="array" ref="G126">EntericMethane_PastureBeef_Equations.VEERG_3_2_1_1__1_TotalAnnualMethaneFromEntericFermentation(G118,G88,G110)</f>
        <v>0.81993723922524386</v>
      </c>
      <c r="H126" s="51" cm="1">
        <f t="array" ref="H126">EntericMethane_PastureBeef_Equations.VEERG_3_2_1_1__1_TotalAnnualMethaneFromEntericFermentation(H118,H88,H110)</f>
        <v>1.4687568474003565</v>
      </c>
      <c r="I126" s="51" cm="1">
        <f t="array" ref="I126">EntericMethane_PastureBeef_Equations.VEERG_3_2_1_1__1_TotalAnnualMethaneFromEntericFermentation(I118,I88,I110)</f>
        <v>1.7842047088485857</v>
      </c>
      <c r="J126" s="51" cm="1">
        <f t="array" ref="J126">EntericMethane_PastureBeef_Equations.VEERG_3_2_1_1__1_TotalAnnualMethaneFromEntericFermentation(J118,J88,J110)</f>
        <v>1.7842047088485857</v>
      </c>
      <c r="K126" s="51" cm="1">
        <f t="array" ref="K126">EntericMethane_PastureBeef_Equations.VEERG_3_2_1_1__1_TotalAnnualMethaneFromEntericFermentation(K118,K88,K110)</f>
        <v>0.88033223034159935</v>
      </c>
      <c r="L126" s="51" cm="1">
        <f t="array" ref="L126">EntericMethane_PastureBeef_Equations.VEERG_3_2_1_1__1_TotalAnnualMethaneFromEntericFermentation(L118,L88,L110)</f>
        <v>1.3402906933534557</v>
      </c>
      <c r="M126" s="51" cm="1">
        <f t="array" ref="M126">EntericMethane_PastureBeef_Equations.VEERG_3_2_1_1__1_TotalAnnualMethaneFromEntericFermentation(M118,M88,M110)</f>
        <v>1.3402906933534557</v>
      </c>
      <c r="N126" s="51" cm="1">
        <f t="array" ref="N126">EntericMethane_PastureBeef_Equations.VEERG_3_2_1_1__1_TotalAnnualMethaneFromEntericFermentation(N118,N88,N110)</f>
        <v>1.3402906933534557</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56.306277717152973</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56.306277717152973</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1576.5757760802833</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28</v>
      </c>
      <c r="W134" s="51">
        <f>'Input - Pasture Beef'!F23</f>
        <v>28</v>
      </c>
      <c r="X134" s="51">
        <f>'Input - Pasture Beef'!G23</f>
        <v>28</v>
      </c>
      <c r="Y134" s="51">
        <f>'Input - Pasture Beef'!H23</f>
        <v>28</v>
      </c>
      <c r="Z134" s="51">
        <f>'Input - Pasture Beef'!I23</f>
        <v>28</v>
      </c>
      <c r="AA134" s="51">
        <f>'Input - Pasture Beef'!J23</f>
        <v>28</v>
      </c>
      <c r="AB134" s="51">
        <f>'Input - Pasture Beef'!K23</f>
        <v>28</v>
      </c>
      <c r="AC134" s="51">
        <f>'Input - Pasture Beef'!L23</f>
        <v>28</v>
      </c>
      <c r="AD134" s="51">
        <f>'Input - Pasture Beef'!M23</f>
        <v>28</v>
      </c>
      <c r="AE134" s="51">
        <f>'Input - Pasture Beef'!N23</f>
        <v>28</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0.41423163984921568</v>
      </c>
      <c r="W150" s="51" cm="1">
        <f t="array" ref="W150">EntericMethane_PastureBeef_Equations.VEERG_3_2_1_1__1_TotalAnnualMethaneFromEntericFermentation(W134,W98,W118)</f>
        <v>0.54806941244865603</v>
      </c>
      <c r="X150" s="51" cm="1">
        <f t="array" ref="X150">EntericMethane_PastureBeef_Equations.VEERG_3_2_1_1__1_TotalAnnualMethaneFromEntericFermentation(X134,X98,X118)</f>
        <v>0.34835945477759989</v>
      </c>
      <c r="Y150" s="51" cm="1">
        <f t="array" ref="Y150">EntericMethane_PastureBeef_Equations.VEERG_3_2_1_1__1_TotalAnnualMethaneFromEntericFermentation(Y134,Y98,Y118)</f>
        <v>0.45617706075690007</v>
      </c>
      <c r="Z150" s="51" cm="1">
        <f t="array" ref="Z150">EntericMethane_PastureBeef_Equations.VEERG_3_2_1_1__1_TotalAnnualMethaneFromEntericFermentation(Z134,Z98,Z118)</f>
        <v>0.45167110725945586</v>
      </c>
      <c r="AA150" s="51" cm="1">
        <f t="array" ref="AA150">EntericMethane_PastureBeef_Equations.VEERG_3_2_1_1__1_TotalAnnualMethaneFromEntericFermentation(AA134,AA98,AA118)</f>
        <v>0.45167110725945586</v>
      </c>
      <c r="AB150" s="51" cm="1">
        <f t="array" ref="AB150">EntericMethane_PastureBeef_Equations.VEERG_3_2_1_1__1_TotalAnnualMethaneFromEntericFermentation(AB134,AB98,AB118)</f>
        <v>0.38181966596121603</v>
      </c>
      <c r="AC150" s="51" cm="1">
        <f t="array" ref="AC150">EntericMethane_PastureBeef_Equations.VEERG_3_2_1_1__1_TotalAnnualMethaneFromEntericFermentation(AC134,AC98,AC118)</f>
        <v>0.425604350884356</v>
      </c>
      <c r="AD150" s="51" cm="1">
        <f t="array" ref="AD150">EntericMethane_PastureBeef_Equations.VEERG_3_2_1_1__1_TotalAnnualMethaneFromEntericFermentation(AD134,AD98,AD118)</f>
        <v>0.425604350884356</v>
      </c>
      <c r="AE150" s="51" cm="1">
        <f t="array" ref="AE150">EntericMethane_PastureBeef_Equations.VEERG_3_2_1_1__1_TotalAnnualMethaneFromEntericFermentation(AE134,AE98,AE118)</f>
        <v>0.425604350884356</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56.009352251962476</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56.009352251962476</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1568.2618630549493</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23</vt:i4>
      </vt:variant>
    </vt:vector>
  </HeadingPairs>
  <TitlesOfParts>
    <vt:vector size="32"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X_Cell_PastureBeef_Breed</vt:lpstr>
      <vt:lpstr>X_Cell_PastureBeef_ProductionRegion</vt:lpstr>
      <vt:lpstr>X_Cell_Site_FarmName</vt:lpstr>
      <vt:lpstr>X_Cell_Site_ReportingEntityName</vt:lpstr>
      <vt:lpstr>X_Cell_Site_StartDate</vt:lpstr>
      <vt:lpstr>X_Cell_Site_State</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2026-06-11T08:30:29Z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