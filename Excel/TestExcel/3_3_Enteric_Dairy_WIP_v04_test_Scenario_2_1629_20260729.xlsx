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D4382D10-6B12-43FC-BD0A-C0AD10A04FFD}"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10"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tep1">#REF!</definedName>
    <definedName name="Step2">#REF!</definedName>
    <definedName name="Step3">#REF!</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Dairy'!$E$52</definedName>
    <definedName name="X_Cell_Dairy_MilkProductionUnit">'Input - Dairy'!$E$49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72" l="1"/>
  <c r="A20" i="72"/>
  <c r="A19" i="72"/>
  <c r="A18" i="72"/>
  <c r="A14" i="72"/>
  <c r="A10" i="72"/>
  <c r="A9" i="72"/>
  <c r="A5" i="72"/>
  <c r="A4" i="72"/>
  <c r="A3" i="72"/>
  <c r="A21" i="43"/>
  <c r="A20" i="43"/>
  <c r="A19" i="43"/>
  <c r="A18" i="43"/>
  <c r="A14" i="43"/>
  <c r="A10" i="43"/>
  <c r="A9" i="43"/>
  <c r="A5" i="43"/>
  <c r="A4" i="43"/>
  <c r="A3" i="43"/>
  <c r="A21" i="110"/>
  <c r="A20" i="110"/>
  <c r="A19" i="110"/>
  <c r="A18" i="110"/>
  <c r="A14" i="110"/>
  <c r="A10" i="110"/>
  <c r="A9" i="110"/>
  <c r="A5" i="110"/>
  <c r="A4" i="110"/>
  <c r="A3" i="110"/>
  <c r="A21" i="79"/>
  <c r="A20" i="79"/>
  <c r="A19" i="79"/>
  <c r="A18" i="79"/>
  <c r="A14" i="79"/>
  <c r="A10" i="79"/>
  <c r="A9" i="79"/>
  <c r="A5" i="79"/>
  <c r="A4" i="79"/>
  <c r="A3" i="79"/>
  <c r="A21" i="69"/>
  <c r="A20" i="69"/>
  <c r="A19" i="69"/>
  <c r="A18" i="69"/>
  <c r="A14" i="69"/>
  <c r="A10" i="69"/>
  <c r="A9" i="69"/>
  <c r="A5" i="69"/>
  <c r="A4" i="69"/>
  <c r="A3" i="69"/>
  <c r="A21" i="70"/>
  <c r="A20" i="70"/>
  <c r="A19" i="70"/>
  <c r="A18" i="70"/>
  <c r="A14" i="70"/>
  <c r="A10" i="70"/>
  <c r="A9" i="70"/>
  <c r="A5" i="70"/>
  <c r="A4" i="70"/>
  <c r="A3" i="70"/>
  <c r="A21" i="15"/>
  <c r="A20" i="15"/>
  <c r="A19" i="15"/>
  <c r="A18" i="15"/>
  <c r="A14" i="15"/>
  <c r="A10" i="15"/>
  <c r="A9" i="15"/>
  <c r="A5" i="15"/>
  <c r="A4" i="15"/>
  <c r="A3" i="15"/>
  <c r="A21" i="13"/>
  <c r="A20" i="13"/>
  <c r="A19" i="13"/>
  <c r="A18" i="13"/>
  <c r="A14" i="13"/>
  <c r="A10" i="13"/>
  <c r="A9" i="13"/>
  <c r="A5" i="13"/>
  <c r="A4" i="13"/>
  <c r="A3" i="13"/>
  <c r="A21" i="106"/>
  <c r="A20" i="106"/>
  <c r="A19" i="106"/>
  <c r="A18" i="106"/>
  <c r="A14" i="106"/>
  <c r="A10" i="106"/>
  <c r="A9" i="106"/>
  <c r="A5" i="106"/>
  <c r="A4" i="106"/>
  <c r="A3" i="106"/>
  <c r="A21" i="71"/>
  <c r="A20" i="71"/>
  <c r="A19" i="71"/>
  <c r="A18" i="71"/>
  <c r="A14" i="71"/>
  <c r="A10" i="71"/>
  <c r="A9" i="71"/>
  <c r="A5" i="71"/>
  <c r="A4" i="71"/>
  <c r="A3" i="71"/>
  <c r="G9" i="79"/>
  <c r="G8" i="79"/>
  <c r="E30" i="15"/>
  <c r="E33" i="15"/>
  <c r="P185" i="69"/>
  <c r="G185"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c r="D228" i="110" a="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c r="E175" i="110" a="1"/>
  <c r="D175" i="110"/>
  <c r="D175" i="110" a="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a="1"/>
  <c r="D45" i="110" s="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a="1"/>
  <c r="D35" i="110" s="1"/>
  <c r="D34" i="110" a="1"/>
  <c r="D34" i="110" s="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a="1"/>
  <c r="D5" i="110" s="1"/>
  <c r="P37" i="69" a="1"/>
  <c r="P37" i="69" s="1"/>
  <c r="M37" i="69" a="1"/>
  <c r="M37" i="69" s="1"/>
  <c r="I64" i="69"/>
  <c r="I37" i="69"/>
  <c r="H53" i="110" l="1"/>
  <c r="H51" i="110"/>
  <c r="H52" i="110"/>
  <c r="H54" i="110"/>
  <c r="H48" i="110"/>
  <c r="H49" i="110"/>
  <c r="H50" i="110"/>
  <c r="D6" i="69" a="1"/>
  <c r="D6" i="69" s="1"/>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R39" i="69" l="1"/>
  <c r="I39" i="69"/>
  <c r="I40" i="69"/>
  <c r="R40" i="69"/>
  <c r="D56" i="69" a="1"/>
  <c r="D56" i="69" s="1"/>
  <c r="D75" i="69"/>
  <c r="I66" i="69" a="1"/>
  <c r="I66" i="69" s="1"/>
  <c r="I38" i="69" a="1"/>
  <c r="I38" i="69" s="1"/>
  <c r="D30" i="69" a="1"/>
  <c r="D30" i="69" s="1"/>
  <c r="D45" i="69"/>
  <c r="F52" i="70"/>
  <c r="G37" i="69" a="1"/>
  <c r="G37" i="69" s="1"/>
  <c r="D37" i="69" a="1"/>
  <c r="D37" i="69" s="1"/>
  <c r="E35" i="69" a="1"/>
  <c r="E35" i="69" s="1"/>
  <c r="E34" i="69" a="1"/>
  <c r="E34" i="69" s="1"/>
  <c r="D29" i="69" a="1"/>
  <c r="D29" i="69" s="1"/>
  <c r="D28" i="69" a="1"/>
  <c r="D28" i="69" s="1"/>
  <c r="E139" i="69" a="1"/>
  <c r="E31" i="69" a="1"/>
  <c r="D50" i="69" l="1" a="1"/>
  <c r="D50" i="69" s="1"/>
  <c r="M50" i="69" a="1"/>
  <c r="M50" i="69" s="1"/>
  <c r="E31" i="69"/>
  <c r="E139" i="69"/>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E121" i="69" a="1"/>
  <c r="O182" i="69" l="1"/>
  <c r="F182" i="69"/>
  <c r="G7" i="13" s="1"/>
  <c r="I180" i="69"/>
  <c r="R180" i="69"/>
  <c r="F175" i="69"/>
  <c r="R165" i="69"/>
  <c r="R170" i="69"/>
  <c r="I165" i="69"/>
  <c r="I170" i="69"/>
  <c r="E121" i="69"/>
  <c r="I132" i="69"/>
  <c r="A178" i="69" l="1"/>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E8" i="69" a="1"/>
  <c r="E57" i="69" a="1"/>
  <c r="E86" i="69" a="1"/>
  <c r="N19" i="69" l="1"/>
  <c r="N24" i="69" s="1" a="1"/>
  <c r="N24" i="69" s="1"/>
  <c r="N80" i="69" s="1" a="1"/>
  <c r="N80" i="69" s="1"/>
  <c r="Q19" i="69"/>
  <c r="Q24" i="69" s="1" a="1"/>
  <c r="Q24" i="69" s="1"/>
  <c r="Q80" i="69" s="1" a="1"/>
  <c r="Q80" i="69" s="1"/>
  <c r="D19" i="69"/>
  <c r="D24" i="69" s="1" a="1"/>
  <c r="D24" i="69" s="1"/>
  <c r="M19" i="69"/>
  <c r="M24" i="69" s="1" a="1"/>
  <c r="M24" i="69" s="1"/>
  <c r="H19" i="69"/>
  <c r="O19" i="69"/>
  <c r="O24" i="69" s="1" a="1"/>
  <c r="O24" i="69" s="1"/>
  <c r="O80" i="69" s="1" a="1"/>
  <c r="O80" i="69" s="1"/>
  <c r="G19" i="69"/>
  <c r="F19" i="69"/>
  <c r="E19" i="69"/>
  <c r="P19" i="69"/>
  <c r="P24" i="69" s="1" a="1"/>
  <c r="P24" i="69" s="1"/>
  <c r="P80" i="69" s="1" a="1"/>
  <c r="P80" i="69" s="1"/>
  <c r="R115" i="69"/>
  <c r="I24" i="69"/>
  <c r="R24" i="69"/>
  <c r="E86" i="69"/>
  <c r="I80" i="69"/>
  <c r="E57" i="69"/>
  <c r="E8" i="69"/>
  <c r="D80" i="69" l="1" a="1"/>
  <c r="D80" i="69" s="1"/>
  <c r="M80" i="69" a="1"/>
  <c r="M80" i="69" s="1"/>
  <c r="H24" i="69"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M165" i="69" l="1"/>
  <c r="O165" i="69"/>
  <c r="P165" i="69"/>
  <c r="N165" i="69"/>
  <c r="D165" i="69"/>
  <c r="Q165" i="69"/>
  <c r="E165" i="69"/>
  <c r="F165" i="69"/>
  <c r="G165" i="69"/>
  <c r="H165" i="69"/>
  <c r="D170" i="69"/>
  <c r="M170" i="69" l="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F9" i="43" a="1"/>
  <c r="F9" i="43" s="1"/>
  <c r="E9" i="43" a="1"/>
  <c r="E9" i="43" s="1"/>
  <c r="D8" i="79" s="1"/>
  <c r="D9" i="43" a="1"/>
  <c r="D9" i="43" s="1"/>
  <c r="D7" i="43" a="1"/>
  <c r="D7" i="43" s="1"/>
  <c r="D6" i="43" a="1"/>
  <c r="D6" i="43" s="1"/>
  <c r="D5" i="43" a="1"/>
  <c r="D5" i="43" s="1"/>
  <c r="E8" i="79" l="1"/>
  <c r="D11" i="79"/>
  <c r="D9" i="79"/>
  <c r="E11" i="79"/>
  <c r="E9" i="79"/>
  <c r="D10" i="79"/>
  <c r="E10" i="79"/>
  <c r="E29" i="15"/>
  <c r="E31" i="15" s="1"/>
  <c r="E32" i="15" s="1"/>
  <c r="E13" i="15" l="1"/>
  <c r="D24" i="70" l="1"/>
  <c r="D25" i="70"/>
  <c r="D10" i="70"/>
  <c r="D29" i="70"/>
  <c r="D28"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<sst xmlns="http://schemas.openxmlformats.org/spreadsheetml/2006/main" count="529" uniqueCount="251">
  <si>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</si>
  <si>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</si>
  <si>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</si>
  <si>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</si>
  <si>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</si>
  <si>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</si>
  <si>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</si>
  <si>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</si>
  <si>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</si>
  <si>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</si>
  <si>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</si>
  <si>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</si>
  <si>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</si>
  <si>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</si>
  <si>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</si>
  <si>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</si>
  <si>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</si>
  <si>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</si>
  <si>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</si>
  <si>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</si>
  <si>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</si>
  <si>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</si>
  <si>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</si>
  <si>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</si>
  <si>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</si>
  <si>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</si>
  <si>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</si>
  <si>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</si>
  <si>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</si>
  <si>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</si>
  <si>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</si>
  <si>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</si>
  <si>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</si>
  <si>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</si>
  <si>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</si>
  <si>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</si>
  <si>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</si>
  <si>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</si>
  <si>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</si>
  <si>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</si>
  <si>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</si>
  <si>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</si>
  <si>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</si>
  <si>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</si>
  <si>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</si>
  <si>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</si>
  <si>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</si>
  <si>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</si>
  <si>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</si>
  <si>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</si>
  <si>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</si>
  <si>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</si>
  <si>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</si>
  <si>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</si>
  <si>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</si>
  <si>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</si>
  <si>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</si>
  <si>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</si>
  <si>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</si>
  <si>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</si>
  <si>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</si>
  <si>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</si>
  <si>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</si>
  <si>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</si>
  <si>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</si>
  <si>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</si>
  <si>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</si>
  <si>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</si>
  <si>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</si>
  <si>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</si>
  <si>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</si>
  <si>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</si>
  <si>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</si>
  <si>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</si>
  <si>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</si>
  <si>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</si>
  <si>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</si>
  <si>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</si>
  <si>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</si>
  <si>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</si>
  <si>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</si>
  <si>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</si>
  <si>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</si>
  <si>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</si>
  <si>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</si>
  <si>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</si>
  <si>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</si>
  <si>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</si>
  <si>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</si>
  <si>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</si>
  <si>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</si>
  <si>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</si>
  <si>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</si>
  <si>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</si>
  <si>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</si>
  <si>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</si>
  <si>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</si>
  <si>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</si>
  <si>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</si>
  <si>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</si>
  <si>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</si>
  <si>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</si>
  <si>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</si>
  <si>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</si>
  <si>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</si>
  <si>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</si>
  <si>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</si>
  <si>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</si>
  <si>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</si>
  <si>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</si>
  <si>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</si>
  <si>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</si>
  <si>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</si>
  <si>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</si>
  <si>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</si>
  <si>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</si>
  <si>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</si>
  <si>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</si>
  <si>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</si>
  <si>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</si>
  <si>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</si>
  <si>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</si>
  <si>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</si>
  <si>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</si>
  <si>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</si>
  <si>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</si>
  <si>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</si>
  <si>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</si>
  <si>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</si>
  <si>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</si>
  <si>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</si>
  <si>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</si>
  <si>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</si>
  <si>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</si>
  <si>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</si>
  <si>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</si>
  <si>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</si>
  <si>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</si>
  <si>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</si>
  <si>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</si>
  <si>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</si>
  <si>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</si>
  <si>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</si>
  <si>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</si>
  <si>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</si>
  <si>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</si>
  <si>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</si>
  <si>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</si>
  <si>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</si>
  <si>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</si>
  <si>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</si>
  <si>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</si>
  <si>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</si>
  <si>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</si>
  <si>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</si>
  <si>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</si>
  <si>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</si>
  <si>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</si>
  <si>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</si>
  <si>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</si>
  <si>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</si>
  <si>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</si>
  <si>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</si>
  <si>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</si>
  <si>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</si>
  <si>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</si>
  <si>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</si>
  <si>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</si>
  <si>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</si>
  <si>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</si>
  <si>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</si>
  <si>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</si>
  <si>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</si>
  <si>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</si>
  <si>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</si>
  <si>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</si>
  <si>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</si>
  <si>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</si>
  <si>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</si>
  <si>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</si>
  <si>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</si>
  <si>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</si>
  <si>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</si>
  <si>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</si>
  <si>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</si>
  <si>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</si>
  <si>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</si>
  <si>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</si>
  <si>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</si>
  <si>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</si>
  <si>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</si>
  <si>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</si>
  <si>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</si>
  <si>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</si>
  <si>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</si>
  <si>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</si>
  <si>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</si>
  <si>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</si>
  <si>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</si>
  <si>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</si>
  <si>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</si>
  <si>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</si>
  <si>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</si>
  <si>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</si>
  <si>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</si>
  <si>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</si>
  <si>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</si>
  <si>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</si>
  <si>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</si>
  <si>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</si>
  <si>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</si>
  <si>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</si>
  <si>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</si>
  <si>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</si>
  <si>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</si>
  <si>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</si>
  <si>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</si>
  <si>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</si>
  <si>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</si>
  <si>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</si>
  <si>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</si>
  <si>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</si>
  <si>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</si>
  <si>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</si>
  <si>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</si>
  <si>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</si>
  <si>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</si>
  <si>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</si>
  <si>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</si>
  <si>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</si>
  <si>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</si>
  <si>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</si>
  <si>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</si>
  <si>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</si>
  <si>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</si>
  <si>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</si>
  <si>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</si>
  <si>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</si>
  <si>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</si>
  <si>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</si>
  <si>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</si>
  <si>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</si>
  <si>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</si>
  <si>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</si>
  <si>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</si>
  <si>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</si>
  <si>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</si>
  <si>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</si>
  <si>
    <t>My test farm</t>
  </si>
  <si>
    <t>My test Farms Pty Ltd</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</si>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</sst>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5" borderId="2">
      <alignment horizontal="center" vertical="center"/>
    </xf>
    <xf numFmtId="0" fontId="58" fillId="4" borderId="2">
      <alignment horizontal="left" vertical="center"/>
    </xf>
    <xf numFmtId="0" fontId="59" fillId="16" borderId="2">
      <alignment horizontal="center" vertical="center"/>
    </xf>
    <xf numFmtId="0" fontId="35" fillId="4" borderId="2">
      <alignment horizontal="left" vertical="center"/>
    </xf>
    <xf numFmtId="0" fontId="60" fillId="0" borderId="0"/>
  </cellStyleXfs>
  <cellXfs count="130">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52"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0" fontId="0" fillId="0" borderId="0" xfId="1" applyFont="1" applyFill="1">
      <alignment horizontal="left" vertical="center" indent="1"/>
      <protection locked="0"/>
    </xf>
    <xf numFmtId="0" fontId="47" fillId="4" borderId="0" xfId="61">
      <alignment horizontal="left" vertical="center"/>
    </xf>
    <xf numFmtId="0" fontId="46" fillId="4" borderId="0" xfId="60">
      <alignment horizontal="left" vertical="center"/>
    </xf>
    <xf numFmtId="3" fontId="2" fillId="0" borderId="2" xfId="19">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39" fillId="14" borderId="0" xfId="8" applyFill="1">
      <alignment horizontal="left" vertical="center"/>
    </xf>
    <xf numFmtId="0" fontId="43"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22" fillId="11" borderId="0" xfId="64">
      <alignment horizontal="left" vertical="center" indent="1"/>
    </xf>
    <xf numFmtId="0" fontId="56" fillId="0" borderId="0" xfId="2" applyFont="1"/>
    <xf numFmtId="0" fontId="54" fillId="2" borderId="0" xfId="8" applyFont="1" applyFill="1">
      <alignment horizontal="left" vertical="center"/>
    </xf>
    <xf numFmtId="0" fontId="17" fillId="4" borderId="0" xfId="32" applyFill="1">
      <alignment vertical="center"/>
    </xf>
    <xf numFmtId="0" fontId="57" fillId="15" borderId="2" xfId="65">
      <alignment horizontal="center" vertical="center"/>
    </xf>
    <xf numFmtId="0" fontId="58" fillId="4" borderId="2" xfId="66">
      <alignment horizontal="left" vertical="center"/>
    </xf>
    <xf numFmtId="0" fontId="59"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0" fillId="0" borderId="0" xfId="69"/>
    <xf numFmtId="0" fontId="61" fillId="9" borderId="0" xfId="33" applyFont="1" applyFill="1"/>
    <xf numFmtId="0" fontId="39" fillId="9" borderId="0" xfId="8" applyFill="1">
      <alignment horizontal="left" vertical="center"/>
    </xf>
    <xf numFmtId="0" fontId="17" fillId="11" borderId="0" xfId="32" applyFill="1">
      <alignment vertical="center"/>
    </xf>
    <xf numFmtId="0" fontId="43" fillId="13" borderId="21" xfId="41" applyBorder="1">
      <alignment horizontal="left" vertical="center"/>
    </xf>
    <xf numFmtId="0" fontId="43" fillId="13" borderId="20" xfId="41" applyBorder="1">
      <alignment horizontal="left" vertical="center"/>
    </xf>
    <xf numFmtId="0" fontId="44" fillId="13" borderId="21" xfId="41" applyFont="1" applyBorder="1">
      <alignment horizontal="left" vertical="center"/>
    </xf>
    <xf numFmtId="170" fontId="2" fillId="0" borderId="2" xfId="17" applyNumberFormat="1">
      <alignment horizontal="center" vertical="center"/>
    </xf>
    <xf numFmtId="0" fontId="62" fillId="9" borderId="5" xfId="36" applyFont="1">
      <alignment horizontal="left" vertical="center" indent="1"/>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3"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2"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1"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40"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39"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38"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37"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36"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35"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34"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3"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2"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1"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30"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29"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28"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7"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6"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5"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4"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3"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2"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1"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20"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19"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18"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7"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6"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5"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4"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10"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9"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8"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7"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967E236-752F-4A25-975B-400E88D4949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48A5079-5817-4812-9A90-A26F9FB16CF6}" name="State/Territory">
      <calculatedColumnFormula array="1">Common_InputFunctions.Utility_DisplayArrayInTable(Common_SourceData.Common_SourceData_AustralianStatesTerritories_Data(),Table_AustralianStates[[#Headers],[State/Territory]],0)</calculatedColumnFormula>
    </tableColumn>
    <tableColumn id="2" xr3:uid="{B680D223-0D29-4816-97F5-16CF749FC2EA}" name="Common Name">
      <calculatedColumnFormula array="1">Common_InputFunctions.Utility_DisplayArrayInTable(Common_SourceData.Common_SourceData_AustralianStatesTerritories_Data(),Table_AustralianStates[[#Headers],[State/Territory]],0)</calculatedColumnFormula>
    </tableColumn>
    <tableColumn id="3" xr3:uid="{DD6715F7-9A8C-482D-8750-08A3963E5A0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C1AFC1E-172F-4583-853A-ED2A66CBA5A6}" name="Table_WASA4Areas" displayName="Table_WASA4Areas" ref="D20:D30" totalsRowShown="0">
  <autoFilter ref="D20:D30" xr:uid="{5FA81339-C6C8-4D36-BEEA-6C4AEDD9E676}">
    <filterColumn colId="0" hiddenButton="1"/>
  </autoFilter>
  <tableColumns count="1">
    <tableColumn id="1" xr3:uid="{1936C612-762F-4BEE-A4D4-038FAA7CEC1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CA9E2FE-855B-409F-9561-D2BB52D66C11}" name="Table_GWPData" displayName="Table_GWPData" ref="D36:E43" totalsRowShown="0">
  <autoFilter ref="D36:E43" xr:uid="{B8E87A66-3E41-4AD3-925D-01EE21B43D7A}">
    <filterColumn colId="0" hiddenButton="1"/>
    <filterColumn colId="1" hiddenButton="1"/>
  </autoFilter>
  <tableColumns count="2">
    <tableColumn id="1" xr3:uid="{1A1F60D4-C599-4D88-8C3C-040F3F1D826D}" name="Gas">
      <calculatedColumnFormula array="1">Common_InputFunctions.Utility_DisplayArrayInTable(Common_SourceData.Common_SourceData_GWP_Data(), Table_GWPData[[#Headers],[Gas]], 0)</calculatedColumnFormula>
    </tableColumn>
    <tableColumn id="2" xr3:uid="{56D891F3-0C5C-4E10-B11B-217F46B162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7BE32D2-DBFC-4EB1-B877-3886BDB57DB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CDD55BD-4611-45F4-91F7-DA9F3784144D}" name="Gas">
      <calculatedColumnFormula array="1">Common_InputFunctions.Utility_DisplayArrayInTable(Common_SourceData.Common_SourceData_ConvertGasElementalToMolecular_Data(),Table_GasToMolecularConversionFactor[[#Headers],[Gas]], 0)</calculatedColumnFormula>
    </tableColumn>
    <tableColumn id="5" xr3:uid="{171FD4B7-9971-4E86-92A3-89A902CEB984}" name="Conversion factor">
      <calculatedColumnFormula array="1">Common_InputFunctions.Utility_DisplayArrayInTable(Common_SourceData.Common_SourceData_ConvertGasElementalToMolecular_Data(),Table_GasToMolecularConversionFactor[[#Headers],[Gas]], 0)</calculatedColumnFormula>
    </tableColumn>
    <tableColumn id="2" xr3:uid="{B5F4050A-1057-44EE-97E0-4FB27829D8D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2922E67-689F-49D1-9AC7-E2ABACB2499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1DB00E8-1500-4984-93AA-6D2812B507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F8E62AC-6664-4F53-A138-BFDA993BA9C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C8B046E-693F-416E-B23F-18FC27E32B5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A3EAA01-F25D-462D-BA96-B7B4CB99562B}"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B6FC491B-0FE8-4BBC-BF8E-08B7115A1785}"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55883A40-C0BD-4C57-895A-A14078783B88}"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011EA866-D209-4A30-A492-5E6921CAAA8F}"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DC54C7D6-0D3C-4697-80C3-BEEA9B95C2A8}"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33B35725-0031-4EF7-9C0B-55FF30B8EAD5}"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43940297-5590-44FC-A72E-FD441D3FC47D}"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40E68101-FE4C-49DE-83C0-C158E308997A}"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A1785251-973E-4CC5-85DE-101A7D3F49E8}"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C66FB744-44E4-4ADC-A9DC-7233E32E9FD3}"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84608646-367C-44FD-8B52-10DBADA161B3}"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6E9B45E6-618E-4B75-8D6C-8F6E6380947A}"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EFF744E0-E24F-48DA-8B4D-3B2F3129E476}"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0EAA36C3-CD55-4BE8-8379-3B3977C75B6E}"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FC138699-C5B8-43F7-907F-E1D3308E2973}"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F2393AD-CFB6-4066-B4A7-363349742A8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6CF662C-A5E5-4DEC-9239-4CB002C0E0A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D6943B3-B254-4069-8F97-5CBFC91888FF}"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22C37E1-85CC-4916-880E-08FDCFFFE2F2}"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8B390CF-5E10-443A-9F09-0C221FF01EAA}" name="Temperature Zone">
      <calculatedColumnFormula array="1">Common_InputFunctions.Utility_DisplayArrayInTable(Common_SourceData.Common_SourceData_TemperatureZones_Data(),Table_SourceData_TemperatureZones[[#Headers],[Temperature Zone]],0)</calculatedColumnFormula>
    </tableColumn>
    <tableColumn id="2" xr3:uid="{81187E32-8D15-4426-8DF7-42FC1598E209}" name="MAT">
      <calculatedColumnFormula array="1">Common_InputFunctions.Utility_DisplayArrayInTable(Common_SourceData.Common_SourceData_TemperatureZones_Data(),Table_SourceData_TemperatureZones[[#Headers],[Temperature Zone]],0)</calculatedColumnFormula>
    </tableColumn>
    <tableColumn id="3" xr3:uid="{AB829FD2-6359-4DC6-A07B-17108EE0C679}" name="Min MAT">
      <calculatedColumnFormula array="1">Common_InputFunctions.Utility_DisplayArrayInTable(Common_SourceData.Common_SourceData_TemperatureZones_Data(),Table_SourceData_TemperatureZones[[#Headers],[Temperature Zone]],0)</calculatedColumnFormula>
    </tableColumn>
    <tableColumn id="4" xr3:uid="{4A1EAABC-ED68-4679-BD8A-FAA18A02E85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60D54FD-2935-4ECD-811D-1B2640E5CE5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178316A-5D20-477F-BACB-52B63732A7B6}" name="Rainfall Zone">
      <calculatedColumnFormula array="1">Common_InputFunctions.Utility_DisplayArrayInTable(Common_SourceData.Common_SourceData_RainfallZones_Data(),Table_SourceData_RainfallZones[[#Headers],[Rainfall Zone]],0)</calculatedColumnFormula>
    </tableColumn>
    <tableColumn id="2" xr3:uid="{ABCE42F0-6F6B-4A1E-9DB0-8F0A97B5A86E}" name="Annual rainfall">
      <calculatedColumnFormula array="1">Common_InputFunctions.Utility_DisplayArrayInTable(Common_SourceData.Common_SourceData_RainfallZones_Data(),Table_SourceData_RainfallZones[[#Headers],[Rainfall Zone]],0)</calculatedColumnFormula>
    </tableColumn>
    <tableColumn id="3" xr3:uid="{9C219E67-6DBF-41BA-BE97-04ADE8052B84}" name="Min rainfall">
      <calculatedColumnFormula array="1">Common_InputFunctions.Utility_DisplayArrayInTable(Common_SourceData.Common_SourceData_RainfallZones_Data(),Table_SourceData_RainfallZones[[#Headers],[Rainfall Zone]],0)</calculatedColumnFormula>
    </tableColumn>
    <tableColumn id="4" xr3:uid="{D586FBE2-1BAE-469E-AFCC-DBCBE80BCC80}"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6D91556-6041-4D39-859B-496ABDBC50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7A7614F-B67B-40CE-BC16-EE9FDFB7C033}" name="Leaching Zone">
      <calculatedColumnFormula array="1">Common_InputFunctions.Utility_DisplayArrayInTable(Common_SourceData.Common_SourceData_LeachingZones_Data(), Table_SourceData_LeachingZones[[#Headers],[Leaching Zone]], 0)</calculatedColumnFormula>
    </tableColumn>
    <tableColumn id="2" xr3:uid="{B0024B57-DA9F-455C-807D-2CE7317B04B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7DBD304-C923-4767-94AA-F5392A21868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F6825E3-926C-4E33-BF0F-6EA0CBE142DB}" name="Data source">
      <calculatedColumnFormula array="1">Common_InputFunctions.Utility_DisplayArrayInTable(Common_SourceData.Common_SourceData_DataScores_Scope3_Data(), Table_SourceData_DataScores_Scope3[[#Headers],[Data source]], 0)</calculatedColumnFormula>
    </tableColumn>
    <tableColumn id="2" xr3:uid="{03C4E97A-E053-4591-92C7-3E1BC918576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346920B-7594-41BD-B864-BC0787F80039}" name="Table_SourceData_FracWET" displayName="Table_SourceData_FracWET" ref="D134:E136" totalsRowShown="0">
  <autoFilter ref="D134:E136" xr:uid="{308E99BE-FE1F-47A4-B2CA-97217277C4E9}">
    <filterColumn colId="0" hiddenButton="1"/>
    <filterColumn colId="1" hiddenButton="1"/>
  </autoFilter>
  <tableColumns count="2">
    <tableColumn id="1" xr3:uid="{A509C156-2300-4F59-ACB2-A4595093A2EA}" name="Is in leaching zone">
      <calculatedColumnFormula array="1">Common_InputFunctions.Utility_DisplayArrayInTable(Common_SourceData.Common_SourceData_FracWET_Data(),Table_SourceData_FracWET[[#Headers],[Is in leaching zone]],0)</calculatedColumnFormula>
    </tableColumn>
    <tableColumn id="2" xr3:uid="{9336E485-6CCE-4ED5-BB4F-2A0B4FB17FAC}"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E5BB734-49E5-4C93-8FCB-7FBE3A2C3E3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D66C431-63FE-4C8B-AA11-C8E26CD568EE}" name="Production system j">
      <calculatedColumnFormula array="1">Common_InputFunctions.Utility_DisplayArrayInTable(Common_SourceData.Common_SourceData_EFN2O_Data(), Table_SourceData_Common_EFN2O[[#Headers],[Production system j]], 0)</calculatedColumnFormula>
    </tableColumn>
    <tableColumn id="2" xr3:uid="{450828CF-04A2-42F4-BFAF-F76E5D201F25}" name="EFN2O">
      <calculatedColumnFormula array="1">Common_InputFunctions.Utility_DisplayArrayInTable(Common_SourceData.Common_SourceData_EFN2O_Data(), Table_SourceData_Common_EFN2O[[#Headers],[Production system j]], 0)</calculatedColumnFormula>
    </tableColumn>
    <tableColumn id="3" xr3:uid="{EF1E7475-B1E9-4124-B9E6-9CF9872C6284}" name="Production system only">
      <calculatedColumnFormula array="1">Common_InputFunctions.Utility_DisplayArrayInTable(Common_SourceData.Common_SourceData_EFN2O_Data(), Table_SourceData_Common_EFN2O[[#Headers],[Production system j]], 0)</calculatedColumnFormula>
    </tableColumn>
    <tableColumn id="4" xr3:uid="{6B182603-13D0-427E-BA71-DC23BCAB9802}" name="Irrigation method">
      <calculatedColumnFormula array="1">Common_InputFunctions.Utility_DisplayArrayInTable(Common_SourceData.Common_SourceData_EFN2O_Data(), Table_SourceData_Common_EFN2O[[#Headers],[Production system j]], 0)</calculatedColumnFormula>
    </tableColumn>
    <tableColumn id="5" xr3:uid="{D2AE8663-B860-4F78-9912-BC5F2D7DD62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87CFC8F-DBEC-4AC7-AF47-6CB213F53A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164AA51-A5A1-4E5D-92FE-56AFDF2289A9}" name="Irrigation type i">
      <calculatedColumnFormula array="1">Common_InputFunctions.Utility_DisplayArrayInTable(Common_SourceData.Common_SourceData_FracWETIrrigation_Data(), Table_SourceData_FracWETIrrigation[[#Headers],[Irrigation type i]], 0)</calculatedColumnFormula>
    </tableColumn>
    <tableColumn id="2" xr3:uid="{AEC42C36-F3E4-47D0-8120-D6616131AD6D}"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10DBAA8-85CF-4B2D-9C24-908BF4E6AD2B}"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22BE605-15DD-4029-9C40-CCFCF783720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43D9844-A9CD-45FD-8FC0-537592119D97}"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8365E56-91AB-44EA-9051-27318E00FC3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2E97CC9-F1D6-46EA-B114-90C0CA45EFBE}" name="Month">
      <calculatedColumnFormula array="1">Common_InputFunctions.Utility_DisplayArrayInTable(Common_SourceData.Common_SourceData_MonthsToSeasons_Data(), Table_SourceData_Common_MonthToSeason[[#Headers],[Month]], 0)</calculatedColumnFormula>
    </tableColumn>
    <tableColumn id="2" xr3:uid="{DAA011C6-D7B3-4F13-B4E8-E15F8912E722}"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0584D3C-48A0-4398-9842-C522CDAA02E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A3DC107-6C47-44FF-87B5-2A6CE13D280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5DB6E98-694B-45AA-8937-DB55FA0D8C26}"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23B4300-11F0-471F-A585-18582E7C075A}"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D37A7AE-8B67-4DF0-8763-6CDE3799ABDF}"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A13DDCF-E05B-49C3-96FA-E3F92DEE0475}"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53893EA-BFAF-490D-B54B-41BF3A793E7B}"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8720A28-3C54-4788-BB84-5E69FBC36345}"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E6E27AC-E1C2-4E80-A548-CD093BDA9B78}"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A8F41DBC-E4D2-4E3F-89DB-C52552BE0EC6}"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5CAC5CA-114C-41BD-8823-6E3FAC002C2E}"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268B7D2-9F2D-4085-8E81-2A4FD1305075}"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7FBD043-3166-4056-B6F3-33E8243C87CD}"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0DB9D-9A0D-4BB2-9724-A41FEF1E07A7}"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B743123-9DAA-41E6-8BA4-D1A05B9012F4}"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7DEBA54-0143-49E3-9737-BD54213DC226}"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97B7FB5-A4ED-4A69-9F08-E1144CB16E77}"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3E91874-AD42-4480-BA75-1A2818937C7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59A749F-9D6F-43F5-8F32-7928E25410F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B26F9A9-A25D-42FE-801E-E28EAB2A428B}"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1"/>
  <sheetViews>
    <sheetView zoomScaleNormal="100" workbookViewId="0">
      <selection activeCell="A21" sqref="A21"/>
    </sheetView>
  </sheetViews>
  <sheetFormatPr defaultRowHeight="15" x14ac:dyDescent="0.25"/>
  <sheetData>
    <row r="1" spans="1:1" ht="25.5" x14ac:dyDescent="0.35">
      <c r="A1" s="65" t="e" vm="1">
        <v>#VALUE!</v>
      </c>
    </row>
    <row r="3" spans="1:1" ht="15.75" x14ac:dyDescent="0.25">
      <c r="A3" s="110"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69</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A21" sqref="A21"/>
    </sheetView>
  </sheetViews>
  <sheetFormatPr defaultRowHeight="15" x14ac:dyDescent="0.25"/>
  <cols>
    <col min="1" max="1" width="30.7109375" customWidth="1"/>
    <col min="2" max="3" width="4.7109375" customWidth="1"/>
  </cols>
  <sheetData>
    <row r="1" spans="1:33" ht="30" customHeight="1" x14ac:dyDescent="0.35">
      <c r="A1" s="65" t="e" vm="1">
        <v>#VALUE!</v>
      </c>
      <c r="C1" s="122" t="s">
        <v>211</v>
      </c>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row>
    <row r="2" spans="1:33" ht="20.100000000000001" customHeight="1" x14ac:dyDescent="0.25">
      <c r="C2" s="123"/>
      <c r="D2" s="123"/>
      <c r="E2" s="123"/>
      <c r="F2" s="123"/>
      <c r="G2" s="123"/>
      <c r="H2" s="123"/>
      <c r="I2" s="123"/>
      <c r="J2" s="123"/>
      <c r="K2" s="123"/>
      <c r="L2" s="123"/>
      <c r="M2" s="123"/>
      <c r="N2" s="123"/>
      <c r="O2" s="123"/>
      <c r="P2" s="123"/>
      <c r="Q2" s="123"/>
      <c r="R2" s="123"/>
      <c r="S2" s="123"/>
      <c r="T2" s="123"/>
      <c r="U2" s="123"/>
      <c r="V2" s="123"/>
      <c r="W2" s="123"/>
    </row>
    <row r="3" spans="1:33" ht="20.100000000000001" customHeight="1" x14ac:dyDescent="0.25">
      <c r="A3" s="17" t="str">
        <f>HYPERLINK("#'Home'!A1", "Home")</f>
        <v>Home</v>
      </c>
      <c r="C3" s="124"/>
      <c r="D3" s="124"/>
      <c r="E3" s="124"/>
      <c r="F3" s="124"/>
      <c r="G3" s="124"/>
      <c r="H3" s="124"/>
      <c r="I3" s="124"/>
      <c r="J3" s="124"/>
      <c r="K3" s="124"/>
      <c r="L3" s="124"/>
      <c r="M3" s="124"/>
      <c r="N3" s="124"/>
      <c r="O3" s="124"/>
      <c r="P3" s="124"/>
      <c r="Q3" s="124"/>
      <c r="R3" s="124"/>
      <c r="S3" s="124"/>
      <c r="T3" s="124"/>
      <c r="U3" s="124"/>
      <c r="V3" s="124"/>
      <c r="W3" s="124"/>
    </row>
    <row r="4" spans="1:33" ht="20.100000000000001" customHeight="1" x14ac:dyDescent="0.25">
      <c r="A4" s="110"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26" t="s">
        <v>230</v>
      </c>
      <c r="E5" s="126"/>
      <c r="F5" s="126"/>
      <c r="G5" s="126"/>
      <c r="H5" s="126"/>
      <c r="I5" s="105"/>
      <c r="J5" s="89"/>
      <c r="K5" s="89"/>
      <c r="L5" s="89"/>
      <c r="M5" s="89"/>
      <c r="N5" s="89"/>
      <c r="O5" s="89"/>
      <c r="P5" s="85"/>
      <c r="Q5" s="1"/>
      <c r="R5" s="1"/>
      <c r="S5" s="1"/>
      <c r="T5" s="1"/>
      <c r="U5" s="1"/>
      <c r="V5" s="1"/>
      <c r="W5" s="1"/>
    </row>
    <row r="6" spans="1:33" ht="20.100000000000001" customHeight="1" x14ac:dyDescent="0.25">
      <c r="C6" s="1"/>
      <c r="D6" s="127" t="s">
        <v>210</v>
      </c>
      <c r="E6" s="125"/>
      <c r="F6" s="125"/>
      <c r="G6" s="125"/>
      <c r="H6" s="125"/>
      <c r="I6" s="91"/>
      <c r="J6" s="88"/>
      <c r="K6" s="88"/>
      <c r="L6" s="88"/>
      <c r="M6" s="88"/>
      <c r="N6" s="88"/>
      <c r="O6" s="88"/>
      <c r="P6" s="86"/>
      <c r="Q6" s="1"/>
      <c r="R6" s="1"/>
      <c r="S6" s="1"/>
      <c r="T6" s="1"/>
      <c r="U6" s="1"/>
      <c r="V6" s="1"/>
      <c r="W6" s="1"/>
    </row>
    <row r="7" spans="1:33" ht="20.100000000000001" customHeight="1" x14ac:dyDescent="0.25">
      <c r="C7" s="1"/>
      <c r="D7" s="1"/>
      <c r="E7" s="1"/>
      <c r="F7" s="1"/>
      <c r="G7" s="1"/>
      <c r="H7" s="1"/>
      <c r="I7" s="1"/>
      <c r="J7" s="1"/>
      <c r="K7" s="1"/>
      <c r="L7" s="1"/>
      <c r="M7" s="1"/>
      <c r="N7" s="1"/>
      <c r="O7" s="1"/>
      <c r="P7" s="1"/>
      <c r="Q7" s="1"/>
      <c r="R7" s="1"/>
      <c r="S7" s="1"/>
      <c r="T7" s="1"/>
      <c r="U7" s="1"/>
      <c r="V7" s="1"/>
      <c r="W7" s="1"/>
    </row>
    <row r="8" spans="1:33" ht="20.100000000000001" customHeight="1" x14ac:dyDescent="0.25">
      <c r="A8" s="19" t="s">
        <v>0</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row>
    <row r="10" spans="1:33"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8" t="s">
        <v>69</v>
      </c>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7" t="str">
        <f>HYPERLINK("#'3.3.1.1-2 Enteric Methane'!A1", "3.3.1.1-2 Enteric Methane")</f>
        <v>3.3.1.1-2 Enteric Methane</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29" t="s">
        <v>1</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HYPERLINK("#'Constants - Dairy'!A1", "Constants - Dairy")</f>
        <v>Constants - Dairy</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3"/>
      <c r="D65" s="23"/>
      <c r="E65" s="23"/>
      <c r="F65" s="23"/>
      <c r="G65" s="23"/>
      <c r="H65" s="23"/>
      <c r="I65" s="23"/>
      <c r="J65" s="23"/>
      <c r="K65" s="23"/>
      <c r="L65" s="23"/>
      <c r="M65" s="23"/>
      <c r="N65" s="23"/>
      <c r="O65" s="23"/>
      <c r="P65" s="23"/>
      <c r="Q65" s="23"/>
      <c r="R65" s="23"/>
      <c r="S65" s="23"/>
      <c r="T65" s="23"/>
      <c r="U65" s="23"/>
      <c r="V65" s="23"/>
      <c r="W65" s="23"/>
    </row>
    <row r="66" spans="3:23" x14ac:dyDescent="0.25">
      <c r="C66" s="23"/>
      <c r="D66" s="23"/>
      <c r="E66" s="23"/>
      <c r="F66" s="23"/>
      <c r="G66" s="23"/>
      <c r="H66" s="23"/>
      <c r="I66" s="23"/>
      <c r="J66" s="23"/>
      <c r="K66" s="23"/>
      <c r="L66" s="23"/>
      <c r="M66" s="23"/>
      <c r="N66" s="23"/>
      <c r="O66" s="23"/>
      <c r="P66" s="23"/>
      <c r="Q66" s="23"/>
      <c r="R66" s="23"/>
      <c r="S66" s="23"/>
      <c r="T66" s="23"/>
      <c r="U66" s="23"/>
      <c r="V66" s="23"/>
      <c r="W66" s="23"/>
    </row>
    <row r="67" spans="3:23" x14ac:dyDescent="0.25">
      <c r="C67" s="23"/>
      <c r="D67" s="23"/>
      <c r="E67" s="23"/>
      <c r="F67" s="23"/>
      <c r="G67" s="23"/>
      <c r="H67" s="23"/>
      <c r="I67" s="23"/>
      <c r="J67" s="23"/>
      <c r="K67" s="23"/>
      <c r="L67" s="23"/>
      <c r="M67" s="23"/>
      <c r="N67" s="23"/>
      <c r="O67" s="23"/>
      <c r="P67" s="23"/>
      <c r="Q67" s="23"/>
      <c r="R67" s="23"/>
      <c r="S67" s="23"/>
      <c r="T67" s="23"/>
      <c r="U67" s="23"/>
      <c r="V67" s="23"/>
      <c r="W67" s="23"/>
    </row>
    <row r="68" spans="3:23" x14ac:dyDescent="0.25">
      <c r="C68" s="23"/>
      <c r="D68" s="23"/>
      <c r="E68" s="23"/>
      <c r="F68" s="23"/>
      <c r="G68" s="23"/>
      <c r="H68" s="23"/>
      <c r="I68" s="23"/>
      <c r="J68" s="23"/>
      <c r="K68" s="23"/>
      <c r="L68" s="23"/>
      <c r="M68" s="23"/>
      <c r="N68" s="23"/>
      <c r="O68" s="23"/>
      <c r="P68" s="23"/>
      <c r="Q68" s="23"/>
      <c r="R68" s="23"/>
      <c r="S68" s="23"/>
      <c r="T68" s="23"/>
      <c r="U68" s="23"/>
      <c r="V68" s="23"/>
      <c r="W68" s="23"/>
    </row>
    <row r="69" spans="3:23" x14ac:dyDescent="0.25">
      <c r="C69" s="23"/>
      <c r="D69" s="23"/>
      <c r="E69" s="23"/>
      <c r="F69" s="23"/>
      <c r="G69" s="23"/>
      <c r="H69" s="23"/>
      <c r="I69" s="23"/>
      <c r="J69" s="23"/>
      <c r="K69" s="23"/>
      <c r="L69" s="23"/>
      <c r="M69" s="23"/>
      <c r="N69" s="23"/>
      <c r="O69" s="23"/>
      <c r="P69" s="23"/>
      <c r="Q69" s="23"/>
      <c r="R69" s="23"/>
      <c r="S69" s="23"/>
      <c r="T69" s="23"/>
      <c r="U69" s="23"/>
      <c r="V69" s="23"/>
      <c r="W69" s="23"/>
    </row>
    <row r="70" spans="3:23" x14ac:dyDescent="0.25">
      <c r="C70" s="23"/>
      <c r="D70" s="23"/>
      <c r="E70" s="23"/>
      <c r="F70" s="23"/>
      <c r="G70" s="23"/>
      <c r="H70" s="23"/>
      <c r="I70" s="23"/>
      <c r="J70" s="23"/>
      <c r="K70" s="23"/>
      <c r="L70" s="23"/>
      <c r="M70" s="23"/>
      <c r="N70" s="23"/>
      <c r="O70" s="23"/>
      <c r="P70" s="23"/>
      <c r="Q70" s="23"/>
      <c r="R70" s="23"/>
      <c r="S70" s="23"/>
      <c r="T70" s="23"/>
      <c r="U70" s="23"/>
      <c r="V70" s="23"/>
      <c r="W70" s="23"/>
    </row>
    <row r="71" spans="3:23" x14ac:dyDescent="0.25">
      <c r="C71" s="23"/>
      <c r="D71" s="23"/>
      <c r="E71" s="23"/>
      <c r="F71" s="23"/>
      <c r="G71" s="23"/>
      <c r="H71" s="23"/>
      <c r="I71" s="23"/>
      <c r="J71" s="23"/>
      <c r="K71" s="23"/>
      <c r="L71" s="23"/>
      <c r="M71" s="23"/>
      <c r="N71" s="23"/>
      <c r="O71" s="23"/>
      <c r="P71" s="23"/>
      <c r="Q71" s="23"/>
      <c r="R71" s="23"/>
      <c r="S71" s="23"/>
      <c r="T71" s="23"/>
      <c r="U71" s="23"/>
      <c r="V71" s="23"/>
      <c r="W71" s="23"/>
    </row>
    <row r="72" spans="3:23" x14ac:dyDescent="0.25">
      <c r="C72" s="23"/>
      <c r="D72" s="23"/>
      <c r="E72" s="23"/>
      <c r="F72" s="23"/>
      <c r="G72" s="23"/>
      <c r="H72" s="23"/>
      <c r="I72" s="23"/>
      <c r="J72" s="23"/>
      <c r="K72" s="23"/>
      <c r="L72" s="23"/>
      <c r="M72" s="23"/>
      <c r="N72" s="23"/>
      <c r="O72" s="23"/>
      <c r="P72" s="23"/>
      <c r="Q72" s="23"/>
      <c r="R72" s="23"/>
      <c r="S72" s="23"/>
      <c r="T72" s="23"/>
      <c r="U72" s="23"/>
      <c r="V72" s="23"/>
      <c r="W72" s="23"/>
    </row>
    <row r="73" spans="3:23" x14ac:dyDescent="0.25">
      <c r="C73" s="23"/>
      <c r="D73" s="23"/>
      <c r="E73" s="23"/>
      <c r="F73" s="23"/>
      <c r="G73" s="23"/>
      <c r="H73" s="23"/>
      <c r="I73" s="23"/>
      <c r="J73" s="23"/>
      <c r="K73" s="23"/>
      <c r="L73" s="23"/>
      <c r="M73" s="23"/>
      <c r="N73" s="23"/>
      <c r="O73" s="23"/>
      <c r="P73" s="23"/>
      <c r="Q73" s="23"/>
      <c r="R73" s="23"/>
      <c r="S73" s="23"/>
      <c r="T73" s="23"/>
      <c r="U73" s="23"/>
      <c r="V73" s="23"/>
      <c r="W73"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1" sqref="A21"/>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5" t="e" vm="1">
        <v>#VALUE!</v>
      </c>
      <c r="C1" s="111" t="s">
        <v>212</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0" t="str">
        <f>HYPERLINK("#'Results'!A1", "Results")</f>
        <v>Results</v>
      </c>
      <c r="C5" s="23"/>
      <c r="D5" s="27"/>
      <c r="E5" s="28"/>
      <c r="F5" s="28"/>
      <c r="G5" s="28"/>
      <c r="H5" s="25"/>
      <c r="I5" s="23"/>
      <c r="J5" s="23"/>
      <c r="K5" s="23"/>
    </row>
    <row r="6" spans="1:11" ht="20.100000000000001" customHeight="1" x14ac:dyDescent="0.25">
      <c r="C6" s="23"/>
      <c r="D6" s="109" t="s">
        <v>105</v>
      </c>
      <c r="E6" s="109" t="s">
        <v>189</v>
      </c>
      <c r="F6" s="109" t="s">
        <v>190</v>
      </c>
      <c r="G6" s="109" t="s">
        <v>119</v>
      </c>
      <c r="H6" s="109" t="s">
        <v>191</v>
      </c>
      <c r="I6" s="109" t="s">
        <v>192</v>
      </c>
      <c r="J6" s="109" t="s">
        <v>120</v>
      </c>
      <c r="K6" s="23"/>
    </row>
    <row r="7" spans="1:11" ht="20.100000000000001" customHeight="1" x14ac:dyDescent="0.25">
      <c r="C7" s="23"/>
      <c r="D7" s="1" t="s">
        <v>229</v>
      </c>
      <c r="E7" s="107">
        <f>'3.3.1.1-2 Enteric Methane'!E182</f>
        <v>32.464682683989999</v>
      </c>
      <c r="F7" s="107">
        <f>'3.3.1.1-2 Enteric Methane'!N182</f>
        <v>32.464682683989999</v>
      </c>
      <c r="G7" s="54" t="str">
        <f>'3.3.1.1-2 Enteric Methane'!$F$182</f>
        <v>t CH4</v>
      </c>
      <c r="H7" s="107">
        <f>'3.3.1.1-2 Enteric Methane'!E187</f>
        <v>909.01111515171999</v>
      </c>
      <c r="I7" s="107">
        <f>'3.3.1.1-2 Enteric Methane'!N187</f>
        <v>909.01111515171999</v>
      </c>
      <c r="J7" s="54" t="s">
        <v>187</v>
      </c>
      <c r="K7" s="23"/>
    </row>
    <row r="8" spans="1:11" ht="20.100000000000001" customHeight="1" x14ac:dyDescent="0.3">
      <c r="A8" s="19" t="s">
        <v>0</v>
      </c>
      <c r="C8" s="23"/>
      <c r="D8" s="30" t="s">
        <v>118</v>
      </c>
      <c r="E8" s="24"/>
      <c r="F8" s="24"/>
      <c r="G8" s="30"/>
      <c r="H8" s="108">
        <f>SUM(H7)</f>
        <v>909.01111515171999</v>
      </c>
      <c r="I8" s="108">
        <f>SUM(I7:I7)</f>
        <v>909.01111515171999</v>
      </c>
      <c r="J8" s="103" t="s">
        <v>187</v>
      </c>
      <c r="K8" s="23"/>
    </row>
    <row r="9" spans="1:11" ht="20.100000000000001" customHeight="1" x14ac:dyDescent="0.25">
      <c r="A9" s="17" t="str">
        <f>HYPERLINK("#'Input - Site'!A1", "Site")</f>
        <v>Site</v>
      </c>
      <c r="C9" s="23"/>
      <c r="D9" s="1"/>
      <c r="E9" s="107"/>
      <c r="F9" s="107"/>
      <c r="G9" s="54"/>
      <c r="H9" s="107"/>
      <c r="I9" s="107"/>
      <c r="J9" s="54"/>
      <c r="K9" s="23"/>
    </row>
    <row r="10" spans="1:11" ht="20.100000000000001" customHeight="1" x14ac:dyDescent="0.25">
      <c r="A10" s="17" t="str">
        <f>HYPERLINK("#'Input - Dairy'!A1", "Dairy")</f>
        <v>Dairy</v>
      </c>
      <c r="C10" s="23"/>
      <c r="D10" s="1"/>
      <c r="E10" s="107"/>
      <c r="F10" s="107"/>
      <c r="G10" s="54"/>
      <c r="H10" s="107"/>
      <c r="I10" s="107"/>
      <c r="J10" s="54"/>
      <c r="K10" s="23"/>
    </row>
    <row r="11" spans="1:11" ht="20.100000000000001" customHeight="1" x14ac:dyDescent="0.25">
      <c r="C11" s="23"/>
      <c r="D11" s="107"/>
      <c r="E11" s="107"/>
      <c r="F11" s="107"/>
      <c r="G11" s="107"/>
      <c r="H11" s="107"/>
      <c r="I11" s="107"/>
      <c r="J11" s="107"/>
      <c r="K11" s="23"/>
    </row>
    <row r="12" spans="1:11" ht="20.100000000000001" customHeight="1" x14ac:dyDescent="0.25">
      <c r="C12" s="23"/>
      <c r="D12" s="107"/>
      <c r="E12" s="107"/>
      <c r="F12" s="107"/>
      <c r="G12" s="107"/>
      <c r="H12" s="107"/>
      <c r="I12" s="107"/>
      <c r="J12" s="107"/>
      <c r="K12" s="23"/>
    </row>
    <row r="13" spans="1:11" ht="20.100000000000001" customHeight="1" x14ac:dyDescent="0.25">
      <c r="A13" s="18" t="s">
        <v>69</v>
      </c>
      <c r="C13" s="23"/>
      <c r="D13" s="107"/>
      <c r="E13" s="107"/>
      <c r="F13" s="107"/>
      <c r="G13" s="107"/>
      <c r="H13" s="107"/>
      <c r="I13" s="107"/>
      <c r="J13" s="107"/>
      <c r="K13" s="23"/>
    </row>
    <row r="14" spans="1:11" ht="20.100000000000001" customHeight="1" x14ac:dyDescent="0.25">
      <c r="A14" s="17" t="str">
        <f>HYPERLINK("#'3.3.1.1-2 Enteric Methane'!A1", "3.3.1.1-2 Enteric Methane")</f>
        <v>3.3.1.1-2 Enteric Methane</v>
      </c>
      <c r="C14" s="23"/>
      <c r="D14" s="107"/>
      <c r="E14" s="107"/>
      <c r="F14" s="107"/>
      <c r="G14" s="107"/>
      <c r="H14" s="107"/>
      <c r="I14" s="107"/>
      <c r="J14" s="107"/>
      <c r="K14" s="23"/>
    </row>
    <row r="15" spans="1:11" ht="20.100000000000001" customHeight="1" x14ac:dyDescent="0.25">
      <c r="C15" s="23"/>
      <c r="D15" s="107"/>
      <c r="E15" s="107"/>
      <c r="F15" s="107"/>
      <c r="G15" s="107"/>
      <c r="H15" s="107"/>
      <c r="I15" s="107"/>
      <c r="J15" s="107"/>
      <c r="K15" s="23"/>
    </row>
    <row r="16" spans="1:11" ht="20.100000000000001" customHeight="1" x14ac:dyDescent="0.25">
      <c r="C16" s="23"/>
      <c r="D16" s="1"/>
      <c r="E16" s="1"/>
      <c r="F16" s="1"/>
      <c r="G16" s="1"/>
      <c r="H16" s="1"/>
      <c r="I16" s="1"/>
      <c r="J16" s="1"/>
      <c r="K16" s="23"/>
    </row>
    <row r="17" spans="1:11" ht="20.100000000000001" customHeight="1" x14ac:dyDescent="0.25">
      <c r="A17" s="129" t="s">
        <v>1</v>
      </c>
      <c r="C17" s="23"/>
      <c r="D17" s="1"/>
      <c r="E17" s="1"/>
      <c r="F17" s="1"/>
      <c r="G17" s="1"/>
      <c r="H17" s="1"/>
      <c r="I17" s="1"/>
      <c r="J17" s="1"/>
      <c r="K17" s="23"/>
    </row>
    <row r="18" spans="1:11" ht="20.100000000000001" customHeight="1" x14ac:dyDescent="0.25">
      <c r="A18" s="17" t="str">
        <f>HYPERLINK("#'Constants - Dairy'!A1", "Constants - Dairy")</f>
        <v>Constants - Dairy</v>
      </c>
      <c r="C18" s="23"/>
      <c r="D18" s="1"/>
      <c r="E18" s="1"/>
      <c r="F18" s="1"/>
      <c r="G18" s="1"/>
      <c r="H18" s="1"/>
      <c r="I18" s="1"/>
      <c r="J18" s="1"/>
      <c r="K18" s="23"/>
    </row>
    <row r="19" spans="1:11" ht="20.100000000000001" customHeight="1" x14ac:dyDescent="0.25">
      <c r="A19" s="17" t="str">
        <f>HYPERLINK("#'Constants - Common'!A1", "Constants - Common")</f>
        <v>Constants - Common</v>
      </c>
      <c r="C19" s="23"/>
      <c r="D19" s="1"/>
      <c r="E19" s="1"/>
      <c r="F19" s="1"/>
      <c r="G19" s="1"/>
      <c r="H19" s="1"/>
      <c r="I19" s="1"/>
      <c r="J19" s="1"/>
      <c r="K19" s="23"/>
    </row>
    <row r="20" spans="1:11" ht="20.100000000000001" customHeight="1" x14ac:dyDescent="0.25">
      <c r="A20" s="17" t="str">
        <f>HYPERLINK("#'Constants - Livestock'!A1", "Constants - Livestock")</f>
        <v>Constants - Livestock</v>
      </c>
      <c r="C20" s="23"/>
      <c r="D20" s="1"/>
      <c r="E20" s="1"/>
      <c r="F20" s="1"/>
      <c r="G20" s="1"/>
      <c r="H20" s="1"/>
      <c r="I20" s="1"/>
      <c r="J20" s="1"/>
      <c r="K20" s="23"/>
    </row>
    <row r="21" spans="1:11" ht="20.100000000000001" customHeight="1" x14ac:dyDescent="0.25">
      <c r="A21" s="17" t="str">
        <f>HYPERLINK("#'Acknowledgements'!A1", "Acknowledgements")</f>
        <v>Acknowledgements</v>
      </c>
      <c r="C21" s="23"/>
      <c r="D21" s="1"/>
      <c r="E21" s="1"/>
      <c r="F21" s="1"/>
      <c r="G21" s="1"/>
      <c r="H21" s="1"/>
      <c r="I21" s="1"/>
      <c r="J21" s="1"/>
      <c r="K21" s="23"/>
    </row>
    <row r="22" spans="1:11" ht="20.100000000000001" customHeight="1" x14ac:dyDescent="0.25">
      <c r="C22" s="23"/>
      <c r="D22" s="1"/>
      <c r="E22" s="1"/>
      <c r="F22" s="1"/>
      <c r="G22" s="1"/>
      <c r="H22" s="1"/>
      <c r="I22" s="1"/>
      <c r="J22" s="1"/>
      <c r="K22" s="23"/>
    </row>
    <row r="23" spans="1:11" ht="20.100000000000001" customHeight="1" x14ac:dyDescent="0.25">
      <c r="C23" s="23"/>
      <c r="D23" s="1"/>
      <c r="E23" s="1"/>
      <c r="F23" s="1"/>
      <c r="G23" s="1"/>
      <c r="H23" s="1"/>
      <c r="I23" s="1"/>
      <c r="J23" s="1"/>
      <c r="K23" s="23"/>
    </row>
    <row r="24" spans="1:11" ht="20.100000000000001" customHeight="1" x14ac:dyDescent="0.25">
      <c r="C24" s="23"/>
      <c r="D24" s="1"/>
      <c r="E24" s="1"/>
      <c r="F24" s="1"/>
      <c r="G24" s="1"/>
      <c r="H24" s="25"/>
      <c r="I24" s="23"/>
      <c r="J24" s="23"/>
      <c r="K24" s="23"/>
    </row>
    <row r="25" spans="1:11" ht="20.100000000000001" customHeight="1" x14ac:dyDescent="0.3">
      <c r="C25" s="23"/>
      <c r="D25" s="1"/>
      <c r="E25" s="1"/>
      <c r="F25" s="1"/>
      <c r="G25" s="1"/>
      <c r="H25" s="28"/>
      <c r="I25" s="23"/>
      <c r="J25" s="23"/>
      <c r="K25" s="23"/>
    </row>
    <row r="26" spans="1:11" ht="20.100000000000001" customHeight="1" x14ac:dyDescent="0.25">
      <c r="C26" s="23"/>
      <c r="D26" s="1"/>
      <c r="E26" s="1"/>
      <c r="F26" s="1"/>
      <c r="G26" s="1"/>
      <c r="H26" s="1"/>
      <c r="I26" s="1"/>
      <c r="J26" s="1"/>
      <c r="K26" s="23"/>
    </row>
    <row r="27" spans="1:11" ht="20.100000000000001" customHeight="1" x14ac:dyDescent="0.25">
      <c r="C27" s="23"/>
      <c r="D27" s="1"/>
      <c r="E27" s="1"/>
      <c r="F27" s="1"/>
      <c r="G27" s="1"/>
      <c r="H27" s="1"/>
      <c r="I27" s="1"/>
      <c r="J27" s="23"/>
      <c r="K27" s="23"/>
    </row>
    <row r="28" spans="1:11" ht="20.100000000000001" customHeight="1" x14ac:dyDescent="0.25">
      <c r="C28" s="23"/>
      <c r="D28" s="1"/>
      <c r="E28" s="1"/>
      <c r="F28" s="1"/>
      <c r="G28" s="1"/>
      <c r="H28" s="1"/>
      <c r="I28" s="1"/>
      <c r="J28" s="23"/>
      <c r="K28" s="23"/>
    </row>
    <row r="29" spans="1:11" ht="20.100000000000001" customHeight="1" x14ac:dyDescent="0.25">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06"/>
      <c r="J38" s="106"/>
      <c r="K38" s="23"/>
    </row>
    <row r="39" spans="3:11" ht="20.100000000000001" customHeight="1" x14ac:dyDescent="0.25">
      <c r="C39" s="23"/>
      <c r="D39" s="1"/>
      <c r="E39" s="1"/>
      <c r="F39" s="1"/>
      <c r="G39" s="1"/>
      <c r="H39" s="1"/>
      <c r="I39" s="106"/>
      <c r="J39" s="106"/>
      <c r="K39" s="23"/>
    </row>
    <row r="40" spans="3:11" ht="20.100000000000001" customHeight="1" x14ac:dyDescent="0.25">
      <c r="C40" s="23"/>
      <c r="D40" s="1"/>
      <c r="E40" s="1"/>
      <c r="F40" s="1"/>
      <c r="G40" s="1"/>
      <c r="H40" s="1"/>
      <c r="I40" s="106"/>
      <c r="J40" s="106"/>
      <c r="K40" s="23"/>
    </row>
    <row r="41" spans="3:11" ht="20.100000000000001" customHeight="1" x14ac:dyDescent="0.25">
      <c r="C41" s="23"/>
      <c r="D41" s="1"/>
      <c r="E41" s="1"/>
      <c r="F41" s="1"/>
      <c r="G41" s="1"/>
      <c r="H41" s="1"/>
      <c r="I41" s="106"/>
      <c r="J41" s="106"/>
      <c r="K41" s="23"/>
    </row>
    <row r="42" spans="3:11" ht="20.100000000000001" customHeight="1" x14ac:dyDescent="0.25">
      <c r="C42" s="23"/>
      <c r="D42" s="1"/>
      <c r="E42" s="1"/>
      <c r="F42" s="1"/>
      <c r="G42" s="1"/>
      <c r="H42" s="1"/>
      <c r="I42" s="106"/>
      <c r="J42" s="106"/>
      <c r="K42" s="23"/>
    </row>
    <row r="43" spans="3:11" ht="20.100000000000001" customHeight="1" x14ac:dyDescent="0.25">
      <c r="C43" s="23"/>
      <c r="D43" s="1"/>
      <c r="E43" s="1"/>
      <c r="F43" s="1"/>
      <c r="G43" s="1"/>
      <c r="H43" s="1"/>
      <c r="I43" s="106"/>
      <c r="J43" s="106"/>
      <c r="K43" s="23"/>
    </row>
    <row r="44" spans="3:11" ht="20.100000000000001" customHeight="1" x14ac:dyDescent="0.25">
      <c r="C44" s="23"/>
      <c r="D44" s="1"/>
      <c r="E44" s="1"/>
      <c r="F44" s="1"/>
      <c r="G44" s="1"/>
      <c r="H44" s="1"/>
      <c r="I44" s="106"/>
      <c r="J44" s="106"/>
      <c r="K44" s="23"/>
    </row>
    <row r="45" spans="3:11" ht="20.100000000000001" customHeight="1" x14ac:dyDescent="0.25">
      <c r="C45" s="23"/>
      <c r="D45" s="1"/>
      <c r="E45" s="1"/>
      <c r="F45" s="1"/>
      <c r="G45" s="1"/>
      <c r="H45" s="1"/>
      <c r="I45" s="106"/>
      <c r="J45" s="106"/>
      <c r="K45" s="23"/>
    </row>
    <row r="46" spans="3:11" ht="20.100000000000001" customHeight="1" x14ac:dyDescent="0.25">
      <c r="C46" s="23"/>
      <c r="D46" s="1"/>
      <c r="E46" s="1"/>
      <c r="F46" s="1"/>
      <c r="G46" s="1"/>
      <c r="H46" s="1"/>
      <c r="I46" s="106"/>
      <c r="J46" s="106"/>
      <c r="K46" s="23"/>
    </row>
    <row r="47" spans="3:11" ht="20.100000000000001" customHeight="1" x14ac:dyDescent="0.25">
      <c r="C47" s="23"/>
      <c r="D47" s="1"/>
      <c r="E47" s="1"/>
      <c r="F47" s="1"/>
      <c r="G47" s="1"/>
      <c r="H47" s="1"/>
      <c r="I47" s="106"/>
      <c r="J47" s="106"/>
      <c r="K47" s="23"/>
    </row>
    <row r="48" spans="3:11" ht="20.100000000000001" customHeight="1" x14ac:dyDescent="0.25">
      <c r="C48" s="23"/>
      <c r="D48" s="1"/>
      <c r="E48" s="1"/>
      <c r="F48" s="1"/>
      <c r="G48" s="1"/>
      <c r="H48" s="1"/>
      <c r="I48" s="106"/>
      <c r="J48" s="106"/>
      <c r="K48" s="23"/>
    </row>
    <row r="49" spans="3:11" ht="20.100000000000001" customHeight="1" x14ac:dyDescent="0.25">
      <c r="C49" s="23"/>
      <c r="D49" s="1"/>
      <c r="E49" s="1"/>
      <c r="F49" s="1"/>
      <c r="G49" s="1"/>
      <c r="H49" s="106"/>
      <c r="I49" s="106"/>
      <c r="J49" s="106"/>
      <c r="K49" s="23"/>
    </row>
    <row r="50" spans="3:11" ht="20.100000000000001" customHeight="1" x14ac:dyDescent="0.25">
      <c r="C50" s="23"/>
      <c r="D50" s="1"/>
      <c r="E50" s="1"/>
      <c r="F50" s="1"/>
      <c r="G50" s="1"/>
      <c r="H50" s="106"/>
      <c r="I50" s="106"/>
      <c r="J50" s="106"/>
      <c r="K50" s="23"/>
    </row>
    <row r="51" spans="3:11" ht="20.100000000000001" customHeight="1" x14ac:dyDescent="0.25">
      <c r="C51" s="23"/>
      <c r="D51" s="1"/>
      <c r="E51" s="1"/>
      <c r="F51" s="1"/>
      <c r="G51" s="1"/>
      <c r="H51" s="106"/>
      <c r="I51" s="106"/>
      <c r="J51" s="106"/>
      <c r="K51" s="23"/>
    </row>
    <row r="52" spans="3:11" ht="20.100000000000001" customHeight="1" x14ac:dyDescent="0.25">
      <c r="C52" s="23"/>
      <c r="D52" s="1"/>
      <c r="E52" s="1"/>
      <c r="F52" s="1"/>
      <c r="G52" s="1"/>
      <c r="H52" s="106"/>
      <c r="I52" s="106"/>
      <c r="J52" s="106"/>
      <c r="K52" s="23"/>
    </row>
    <row r="53" spans="3:11" ht="20.100000000000001" customHeight="1" x14ac:dyDescent="0.25">
      <c r="C53" s="23"/>
      <c r="D53" s="1"/>
      <c r="E53" s="1"/>
      <c r="F53" s="1"/>
      <c r="G53" s="1"/>
      <c r="H53" s="106"/>
      <c r="I53" s="106"/>
      <c r="J53" s="106"/>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1" sqref="A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5" t="e" vm="1">
        <v>#VALUE!</v>
      </c>
      <c r="C1" s="12" t="s">
        <v>83</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7"/>
      <c r="D4" s="67"/>
      <c r="E4" s="67"/>
      <c r="F4" s="67"/>
      <c r="G4" s="67"/>
      <c r="H4" s="67"/>
      <c r="I4" s="67"/>
      <c r="J4" s="67"/>
      <c r="K4" s="67"/>
    </row>
    <row r="5" spans="1:24" ht="20.100000000000001" customHeight="1" x14ac:dyDescent="0.25">
      <c r="A5" s="17" t="str">
        <f>HYPERLINK("#'Results'!A1", "Results")</f>
        <v>Results</v>
      </c>
      <c r="D5" s="6" t="s">
        <v>11</v>
      </c>
      <c r="N5" s="42"/>
    </row>
    <row r="6" spans="1:24" ht="20.100000000000001" customHeight="1" x14ac:dyDescent="0.25">
      <c r="A6"/>
      <c r="D6" s="14"/>
      <c r="N6" s="43"/>
    </row>
    <row r="7" spans="1:24" ht="20.100000000000001" customHeight="1" x14ac:dyDescent="0.25">
      <c r="A7"/>
      <c r="D7" s="1" t="s">
        <v>3</v>
      </c>
      <c r="E7" s="34" t="s">
        <v>248</v>
      </c>
      <c r="F7" s="2"/>
    </row>
    <row r="8" spans="1:24" ht="20.100000000000001" customHeight="1" x14ac:dyDescent="0.25">
      <c r="A8" s="19" t="s">
        <v>0</v>
      </c>
      <c r="D8" s="10" t="s">
        <v>68</v>
      </c>
      <c r="E8" s="34" t="s">
        <v>249</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2" t="s">
        <v>82</v>
      </c>
      <c r="E10" s="90"/>
      <c r="F10" s="93"/>
      <c r="G10" s="87"/>
      <c r="N10" s="44"/>
    </row>
    <row r="11" spans="1:24" ht="20.100000000000001" customHeight="1" x14ac:dyDescent="0.25">
      <c r="A11"/>
      <c r="N11" s="45"/>
    </row>
    <row r="12" spans="1:24" ht="20.100000000000001" customHeight="1" x14ac:dyDescent="0.25">
      <c r="A12"/>
      <c r="D12" s="10" t="s">
        <v>88</v>
      </c>
      <c r="E12" s="63">
        <v>45658</v>
      </c>
      <c r="F12" s="2" t="s">
        <v>66</v>
      </c>
    </row>
    <row r="13" spans="1:24" ht="20.100000000000001" customHeight="1" x14ac:dyDescent="0.25">
      <c r="A13" s="18" t="s">
        <v>69</v>
      </c>
      <c r="D13" s="10" t="s">
        <v>89</v>
      </c>
      <c r="E13" s="68">
        <f>DATE(YEAR(E12)+1,MONTH(E12),DAY(E12))-1</f>
        <v>46022</v>
      </c>
      <c r="F13" s="2" t="s">
        <v>13</v>
      </c>
      <c r="N13" s="39"/>
      <c r="O13" s="39"/>
    </row>
    <row r="14" spans="1:24" ht="20.100000000000001" customHeight="1" x14ac:dyDescent="0.25">
      <c r="A14" s="17" t="str">
        <f>HYPERLINK("#'3.3.1.1-2 Enteric Methane'!A1", "3.3.1.1-2 Enteric Methane")</f>
        <v>3.3.1.1-2 Enteric Methane</v>
      </c>
      <c r="N14" s="39"/>
      <c r="O14" s="39"/>
    </row>
    <row r="15" spans="1:24" ht="20.100000000000001" customHeight="1" x14ac:dyDescent="0.25">
      <c r="A15"/>
      <c r="N15" s="39"/>
      <c r="O15" s="39"/>
    </row>
    <row r="16" spans="1:24" ht="20.100000000000001" customHeight="1" x14ac:dyDescent="0.25">
      <c r="A16"/>
      <c r="D16" s="6" t="s">
        <v>10</v>
      </c>
      <c r="N16" s="39"/>
      <c r="O16" s="39"/>
    </row>
    <row r="17" spans="1:25" ht="20.100000000000001" customHeight="1" x14ac:dyDescent="0.25">
      <c r="A17" s="129" t="s">
        <v>1</v>
      </c>
    </row>
    <row r="18" spans="1:25" ht="20.100000000000001" customHeight="1" x14ac:dyDescent="0.25">
      <c r="A18" s="17" t="str">
        <f>HYPERLINK("#'Constants - Dairy'!A1", "Constants - Dairy")</f>
        <v>Constants - Dairy</v>
      </c>
      <c r="D18" s="94" t="s">
        <v>12</v>
      </c>
      <c r="E18" s="89"/>
      <c r="F18" s="89"/>
      <c r="G18" s="85"/>
    </row>
    <row r="19" spans="1:25" ht="20.100000000000001" customHeight="1" x14ac:dyDescent="0.25">
      <c r="A19" s="17" t="str">
        <f>HYPERLINK("#'Constants - Common'!A1", "Constants - Common")</f>
        <v>Constants - Common</v>
      </c>
      <c r="D19" s="91" t="s">
        <v>67</v>
      </c>
      <c r="E19" s="88"/>
      <c r="F19" s="88"/>
      <c r="G19" s="86"/>
      <c r="N19" s="42"/>
    </row>
    <row r="20" spans="1:25" ht="20.100000000000001" customHeight="1" x14ac:dyDescent="0.25">
      <c r="A20" s="17" t="str">
        <f>HYPERLINK("#'Constants - Livestock'!A1", "Constants - Livestock")</f>
        <v>Constants - Livestock</v>
      </c>
      <c r="D20" s="1"/>
      <c r="E20" s="32"/>
      <c r="F20" s="2"/>
      <c r="N20" s="43"/>
    </row>
    <row r="21" spans="1:25" ht="20.100000000000001" customHeight="1" x14ac:dyDescent="0.25">
      <c r="A21" s="17" t="str">
        <f>HYPERLINK("#'Acknowledgements'!A1", "Acknowledgements")</f>
        <v>Acknowledgements</v>
      </c>
      <c r="D21" s="1" t="s">
        <v>4</v>
      </c>
      <c r="E21" s="41" t="s">
        <v>250</v>
      </c>
      <c r="F21" s="2" t="s">
        <v>7</v>
      </c>
    </row>
    <row r="22" spans="1:25" ht="20.100000000000001" customHeight="1" x14ac:dyDescent="0.25">
      <c r="A22"/>
      <c r="D22" s="1" t="s">
        <v>21</v>
      </c>
      <c r="E22" s="41" t="s">
        <v>30</v>
      </c>
      <c r="F22" s="2" t="s">
        <v>7</v>
      </c>
      <c r="G22" s="1"/>
    </row>
    <row r="23" spans="1:25" ht="20.100000000000001" customHeight="1" x14ac:dyDescent="0.25">
      <c r="A23"/>
      <c r="D23" s="1" t="s">
        <v>5</v>
      </c>
      <c r="E23" s="41" t="s">
        <v>87</v>
      </c>
      <c r="F23" s="2" t="s">
        <v>7</v>
      </c>
    </row>
    <row r="24" spans="1:25" ht="20.100000000000001" customHeight="1" x14ac:dyDescent="0.25">
      <c r="A24"/>
      <c r="D24" s="1" t="s">
        <v>35</v>
      </c>
      <c r="E24" s="34">
        <v>307.7</v>
      </c>
      <c r="F24" s="2" t="s">
        <v>49</v>
      </c>
    </row>
    <row r="25" spans="1:25" ht="20.100000000000001" customHeight="1" x14ac:dyDescent="0.25">
      <c r="A25"/>
      <c r="D25" s="1" t="s">
        <v>57</v>
      </c>
      <c r="E25" s="34">
        <v>18</v>
      </c>
      <c r="F25" s="2" t="s">
        <v>8</v>
      </c>
      <c r="N25" s="43"/>
    </row>
    <row r="26" spans="1:25" ht="20.100000000000001" customHeight="1" x14ac:dyDescent="0.25">
      <c r="A26"/>
      <c r="D26" s="1" t="s">
        <v>58</v>
      </c>
      <c r="E26" s="34">
        <v>601</v>
      </c>
      <c r="F26" s="2" t="s">
        <v>9</v>
      </c>
    </row>
    <row r="27" spans="1:25" ht="20.100000000000001" customHeight="1" x14ac:dyDescent="0.25">
      <c r="A27"/>
      <c r="D27" s="10" t="s">
        <v>59</v>
      </c>
      <c r="E27" s="34">
        <v>1326</v>
      </c>
      <c r="F27" s="2" t="s">
        <v>9</v>
      </c>
    </row>
    <row r="28" spans="1:25" ht="20.100000000000001" customHeight="1" x14ac:dyDescent="0.25">
      <c r="A28"/>
      <c r="D28" s="1" t="s">
        <v>60</v>
      </c>
      <c r="E28" s="34">
        <v>7</v>
      </c>
      <c r="F28" s="2" t="s">
        <v>50</v>
      </c>
    </row>
    <row r="29" spans="1:25" ht="20.100000000000001" customHeight="1" x14ac:dyDescent="0.25">
      <c r="A29"/>
      <c r="D29" s="10" t="s">
        <v>56</v>
      </c>
      <c r="E29" s="52">
        <f>E26/E27</f>
        <v>0.45324283559577677</v>
      </c>
      <c r="F29" s="2"/>
    </row>
    <row r="30" spans="1:25" ht="20.100000000000001" customHeight="1" x14ac:dyDescent="0.25">
      <c r="A30"/>
      <c r="D30" s="10" t="s">
        <v>31</v>
      </c>
      <c r="E30" s="52" t="str">
        <f>Common_InputFunctions.Utility_LookupItemFromMinMax(E26,Table_SourceData_RainfallZones[Min rainfall],Table_SourceData_RainfallZones[Max rainfall],Table_SourceData_RainfallZones[Rainfall Zone])</f>
        <v>High rainfall</v>
      </c>
      <c r="G30" s="33"/>
      <c r="L30" s="49"/>
      <c r="M30" s="49"/>
      <c r="N30" s="49"/>
      <c r="O30" s="49"/>
      <c r="P30" s="49"/>
      <c r="Q30" s="49"/>
      <c r="R30" s="49"/>
      <c r="S30" s="49"/>
      <c r="T30" s="49"/>
      <c r="U30" s="49"/>
      <c r="V30" s="49"/>
      <c r="W30" s="49"/>
      <c r="X30" s="49"/>
      <c r="Y30" s="49"/>
    </row>
    <row r="31" spans="1:25" ht="20.100000000000001" customHeight="1" x14ac:dyDescent="0.25">
      <c r="A31"/>
      <c r="D31" s="1" t="s">
        <v>6</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7"/>
      <c r="M31" s="47"/>
      <c r="N31" s="47"/>
      <c r="O31" s="47"/>
      <c r="P31" s="47"/>
      <c r="Q31" s="47"/>
      <c r="R31" s="47"/>
      <c r="S31" s="47"/>
      <c r="T31" s="47"/>
      <c r="U31" s="47"/>
      <c r="V31" s="47"/>
      <c r="W31" s="47"/>
      <c r="X31" s="47"/>
      <c r="Y31" s="47"/>
    </row>
    <row r="32" spans="1:25" ht="20.100000000000001" customHeight="1" x14ac:dyDescent="0.25">
      <c r="A32"/>
      <c r="D32" s="1" t="s">
        <v>84</v>
      </c>
      <c r="E32" s="52" t="str">
        <f>Common_InputFunctions.Utility_LookupValueInTable($E$31,Table_SourceData_WetDryZones[Climate zone],Table_SourceData_WetDryZones[Wet or Dry Zone])</f>
        <v>Dry climate zone</v>
      </c>
      <c r="F32" s="1"/>
      <c r="G32" s="32"/>
      <c r="L32" s="47"/>
      <c r="M32" s="47"/>
      <c r="N32" s="47"/>
      <c r="O32" s="47"/>
      <c r="P32" s="47"/>
      <c r="Q32" s="47"/>
      <c r="R32" s="47"/>
      <c r="S32" s="47"/>
      <c r="T32" s="47"/>
      <c r="U32" s="47"/>
      <c r="V32" s="47"/>
      <c r="W32" s="47"/>
      <c r="X32" s="47"/>
      <c r="Y32" s="47"/>
    </row>
    <row r="33" spans="1:25" ht="20.100000000000001" customHeight="1" x14ac:dyDescent="0.25">
      <c r="A33"/>
      <c r="D33" s="1" t="s">
        <v>48</v>
      </c>
      <c r="E33" s="52" t="str">
        <f>Common_InputFunctions.Utility_LookupItemFromMinMax(E25,Table_SourceData_TemperatureZones[Min MAT],Table_SourceData_TemperatureZones[Max MAT],Table_SourceData_TemperatureZones[Temperature Zone])</f>
        <v>Temperate</v>
      </c>
      <c r="G33" s="69"/>
      <c r="L33" s="47"/>
      <c r="M33" s="47"/>
      <c r="N33" s="47"/>
      <c r="O33" s="47"/>
      <c r="P33" s="47"/>
      <c r="Q33" s="47"/>
      <c r="R33" s="47"/>
      <c r="S33" s="47"/>
      <c r="T33" s="47"/>
      <c r="U33" s="47"/>
      <c r="V33" s="47"/>
      <c r="W33" s="47"/>
      <c r="X33" s="47"/>
      <c r="Y33" s="47"/>
    </row>
    <row r="34" spans="1:25" ht="20.100000000000001" customHeight="1" x14ac:dyDescent="0.25">
      <c r="A34"/>
      <c r="J34" s="60"/>
      <c r="K34" s="72"/>
      <c r="L34" s="47"/>
      <c r="M34" s="47"/>
      <c r="N34" s="47"/>
      <c r="O34" s="47"/>
      <c r="P34" s="47"/>
      <c r="Q34" s="47"/>
      <c r="R34" s="47"/>
      <c r="S34" s="47"/>
      <c r="T34" s="47"/>
      <c r="U34" s="47"/>
      <c r="V34" s="47"/>
      <c r="W34" s="47"/>
      <c r="X34" s="47"/>
      <c r="Y34" s="47"/>
    </row>
    <row r="35" spans="1:25" ht="20.100000000000001" customHeight="1" x14ac:dyDescent="0.25">
      <c r="A35"/>
      <c r="J35" s="60"/>
      <c r="K35" s="72"/>
      <c r="L35" s="47"/>
      <c r="M35" s="47"/>
      <c r="N35" s="47"/>
      <c r="O35" s="47"/>
      <c r="P35" s="47"/>
      <c r="Q35" s="47"/>
      <c r="R35" s="47"/>
      <c r="S35" s="47"/>
      <c r="T35" s="47"/>
      <c r="U35" s="47"/>
      <c r="V35" s="47"/>
      <c r="W35" s="47"/>
      <c r="X35" s="47"/>
      <c r="Y35" s="47"/>
    </row>
    <row r="36" spans="1:25" ht="20.100000000000001" customHeight="1" x14ac:dyDescent="0.25">
      <c r="A36"/>
      <c r="D36" s="70"/>
      <c r="E36" s="70"/>
      <c r="F36" s="71"/>
      <c r="G36" s="60"/>
      <c r="H36" s="60"/>
      <c r="I36" s="61"/>
      <c r="J36" s="60"/>
      <c r="K36" s="72"/>
      <c r="L36" s="47"/>
      <c r="M36" s="47"/>
      <c r="N36" s="47"/>
      <c r="O36" s="47"/>
      <c r="P36" s="47"/>
      <c r="Q36" s="47"/>
      <c r="R36" s="47"/>
      <c r="S36" s="47"/>
      <c r="T36" s="47"/>
      <c r="U36" s="47"/>
      <c r="V36" s="47"/>
      <c r="W36" s="47"/>
      <c r="X36" s="47"/>
      <c r="Y36" s="47"/>
    </row>
    <row r="37" spans="1:25" ht="20.100000000000001" customHeight="1" x14ac:dyDescent="0.25">
      <c r="A37"/>
      <c r="D37" s="70"/>
      <c r="E37" s="70"/>
      <c r="F37" s="71"/>
      <c r="G37" s="60"/>
      <c r="H37" s="60"/>
      <c r="I37" s="61"/>
      <c r="J37" s="60"/>
      <c r="K37" s="72"/>
      <c r="L37" s="47"/>
      <c r="M37" s="47"/>
      <c r="N37" s="47"/>
      <c r="O37" s="47"/>
      <c r="P37" s="47"/>
      <c r="Q37" s="47"/>
      <c r="R37" s="47"/>
      <c r="S37" s="47"/>
      <c r="T37" s="47"/>
      <c r="U37" s="47"/>
      <c r="V37" s="47"/>
      <c r="W37" s="47"/>
      <c r="X37" s="47"/>
      <c r="Y37" s="47"/>
    </row>
    <row r="38" spans="1:25" ht="20.100000000000001" customHeight="1" x14ac:dyDescent="0.25">
      <c r="A38"/>
      <c r="D38" s="70"/>
      <c r="E38" s="70"/>
      <c r="F38" s="71"/>
      <c r="G38" s="60"/>
      <c r="H38" s="60"/>
      <c r="I38" s="61"/>
      <c r="J38" s="60"/>
      <c r="K38" s="72"/>
      <c r="L38" s="47"/>
      <c r="M38" s="47"/>
      <c r="N38" s="47"/>
      <c r="O38" s="47"/>
      <c r="P38" s="47"/>
      <c r="Q38" s="47"/>
      <c r="R38" s="47"/>
      <c r="S38" s="47"/>
      <c r="T38" s="47"/>
      <c r="U38" s="47"/>
      <c r="V38" s="47"/>
      <c r="W38" s="47"/>
      <c r="X38" s="47"/>
      <c r="Y38" s="47"/>
    </row>
    <row r="39" spans="1:25" ht="20.100000000000001" customHeight="1" x14ac:dyDescent="0.25">
      <c r="A39"/>
      <c r="D39" s="70"/>
      <c r="E39" s="70"/>
      <c r="F39" s="71"/>
      <c r="G39" s="60"/>
      <c r="H39" s="60"/>
      <c r="I39" s="61"/>
      <c r="J39" s="60"/>
      <c r="K39" s="72"/>
      <c r="L39" s="47"/>
      <c r="M39" s="47"/>
      <c r="N39" s="47"/>
      <c r="O39" s="47"/>
      <c r="P39" s="47"/>
      <c r="Q39" s="47"/>
      <c r="R39" s="47"/>
      <c r="S39" s="47"/>
      <c r="T39" s="47"/>
      <c r="U39" s="47"/>
      <c r="V39" s="47"/>
      <c r="W39" s="47"/>
      <c r="X39" s="47"/>
      <c r="Y39" s="47"/>
    </row>
    <row r="40" spans="1:25" ht="20.100000000000001" customHeight="1" x14ac:dyDescent="0.25">
      <c r="A40"/>
      <c r="D40" s="73"/>
      <c r="E40" s="73"/>
      <c r="F40" s="73"/>
      <c r="G40" s="74"/>
      <c r="H40" s="75"/>
      <c r="I40" s="75"/>
      <c r="J40" s="75"/>
      <c r="K40" s="75"/>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6"/>
      <c r="E47" s="76"/>
      <c r="F47" s="76"/>
      <c r="G47" s="76"/>
      <c r="H47" s="76"/>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7"/>
      <c r="E51" s="78"/>
      <c r="F51" s="78"/>
      <c r="G51" s="78"/>
      <c r="H51" s="79"/>
    </row>
    <row r="52" spans="1:8" ht="20.100000000000001" customHeight="1" x14ac:dyDescent="0.25">
      <c r="A52"/>
    </row>
    <row r="53" spans="1:8" ht="20.100000000000001" customHeight="1" x14ac:dyDescent="0.25">
      <c r="A53"/>
    </row>
    <row r="54" spans="1:8" ht="20.100000000000001" customHeight="1" x14ac:dyDescent="0.25">
      <c r="A54"/>
      <c r="G54" s="80"/>
    </row>
    <row r="55" spans="1:8" ht="20.100000000000001" customHeight="1" x14ac:dyDescent="0.25">
      <c r="A55"/>
      <c r="D55" s="6"/>
    </row>
    <row r="56" spans="1:8" ht="20.100000000000001" customHeight="1" x14ac:dyDescent="0.25">
      <c r="A56"/>
    </row>
    <row r="57" spans="1:8" ht="20.100000000000001" customHeight="1" x14ac:dyDescent="0.25">
      <c r="A57"/>
      <c r="D57" s="22"/>
      <c r="F57" s="81"/>
    </row>
    <row r="58" spans="1:8" ht="20.100000000000001" customHeight="1" x14ac:dyDescent="0.25">
      <c r="A58"/>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59"/>
      <c r="E69" s="59"/>
      <c r="F69" s="59"/>
      <c r="G69" s="59"/>
      <c r="H69" s="59"/>
      <c r="I69" s="59"/>
    </row>
    <row r="70" spans="1:9" ht="20.100000000000001" customHeight="1" x14ac:dyDescent="0.25">
      <c r="A70"/>
      <c r="D70" s="59"/>
      <c r="E70" s="59"/>
      <c r="F70" s="59"/>
      <c r="G70" s="59"/>
      <c r="H70" s="59"/>
      <c r="I70" s="59"/>
    </row>
    <row r="71" spans="1:9" ht="20.100000000000001" customHeight="1" x14ac:dyDescent="0.25">
      <c r="A71"/>
      <c r="D71" s="59"/>
      <c r="E71" s="59"/>
      <c r="F71" s="59"/>
      <c r="G71" s="59"/>
      <c r="H71" s="59"/>
      <c r="I71" s="59"/>
    </row>
    <row r="72" spans="1:9" ht="20.100000000000001" customHeight="1" x14ac:dyDescent="0.25">
      <c r="A72"/>
      <c r="D72" s="59"/>
      <c r="E72" s="59"/>
      <c r="F72" s="59"/>
      <c r="G72" s="59"/>
      <c r="H72" s="59"/>
      <c r="I72" s="59"/>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4"/>
    </row>
    <row r="79" spans="1:9" ht="20.100000000000001" customHeight="1" x14ac:dyDescent="0.25">
      <c r="A79"/>
      <c r="D79" s="84"/>
    </row>
    <row r="80" spans="1:9" ht="20.100000000000001" customHeight="1" x14ac:dyDescent="0.25">
      <c r="A80"/>
      <c r="D80" s="84"/>
    </row>
    <row r="81" spans="1:4" ht="20.100000000000001" customHeight="1" x14ac:dyDescent="0.25">
      <c r="A81"/>
      <c r="D81" s="84"/>
    </row>
    <row r="82" spans="1:4" ht="20.100000000000001" customHeight="1" x14ac:dyDescent="0.25">
      <c r="A82"/>
      <c r="D82" s="84"/>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9"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6" customWidth="1"/>
    <col min="17" max="22" width="30.7109375" style="56" customWidth="1"/>
    <col min="23" max="23" width="4.7109375" style="56" customWidth="1"/>
  </cols>
  <sheetData>
    <row r="1" spans="1:23" s="65" customFormat="1" ht="30" customHeight="1" x14ac:dyDescent="0.35">
      <c r="A1" s="65" t="e" vm="1">
        <v>#VALUE!</v>
      </c>
      <c r="C1" s="65" t="s">
        <v>145</v>
      </c>
      <c r="O1" s="56"/>
      <c r="P1" s="56"/>
      <c r="Q1" s="56"/>
      <c r="R1" s="56"/>
      <c r="S1" s="56"/>
      <c r="T1" s="56"/>
      <c r="U1" s="56"/>
      <c r="V1" s="56"/>
      <c r="W1" s="56"/>
    </row>
    <row r="2" spans="1:23" s="9" customFormat="1" ht="20.100000000000001" customHeight="1" x14ac:dyDescent="0.25">
      <c r="A2"/>
      <c r="O2" s="56"/>
      <c r="P2" s="56"/>
      <c r="Q2" s="56"/>
      <c r="R2" s="56"/>
      <c r="S2" s="56"/>
      <c r="T2" s="56"/>
      <c r="U2" s="56"/>
      <c r="V2" s="56"/>
      <c r="W2" s="56"/>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92</v>
      </c>
      <c r="N5" s="3"/>
      <c r="R5" s="7"/>
    </row>
    <row r="6" spans="1:23" ht="20.100000000000001" customHeight="1" x14ac:dyDescent="0.25">
      <c r="N6" s="3"/>
      <c r="R6" s="7"/>
    </row>
    <row r="7" spans="1:23" ht="20.100000000000001" customHeight="1" x14ac:dyDescent="0.25">
      <c r="D7" s="1" t="s">
        <v>123</v>
      </c>
      <c r="E7" s="41" t="s">
        <v>159</v>
      </c>
      <c r="F7" s="2" t="s">
        <v>7</v>
      </c>
      <c r="N7" s="3"/>
      <c r="R7" s="7"/>
    </row>
    <row r="8" spans="1:23" ht="20.100000000000001" customHeight="1" x14ac:dyDescent="0.25">
      <c r="A8" s="19" t="s">
        <v>0</v>
      </c>
      <c r="N8" s="3"/>
      <c r="R8" s="7"/>
    </row>
    <row r="9" spans="1:23" ht="20.100000000000001" customHeight="1" x14ac:dyDescent="0.25">
      <c r="A9" s="17" t="str">
        <f>HYPERLINK("#'Input - Site'!A1", "Site")</f>
        <v>Site</v>
      </c>
      <c r="D9" s="62"/>
      <c r="E9" s="40" t="s">
        <v>124</v>
      </c>
      <c r="F9" s="40" t="s">
        <v>141</v>
      </c>
      <c r="G9" s="40" t="s">
        <v>142</v>
      </c>
      <c r="H9" s="40" t="s">
        <v>143</v>
      </c>
      <c r="I9" s="40" t="s">
        <v>144</v>
      </c>
      <c r="R9" s="7"/>
    </row>
    <row r="10" spans="1:23" ht="20.100000000000001" customHeight="1" x14ac:dyDescent="0.25">
      <c r="A10" s="20" t="str">
        <f>HYPERLINK("#'Input - Dairy'!A1", "Dairy")</f>
        <v>Dairy</v>
      </c>
      <c r="D10" s="1" t="str">
        <f>"Average number of head between " &amp; TEXT('Input - Site'!$E$12, "dd mmm yy") &amp; " and " &amp; TEXT('Input - Site'!$E$13, "dd mmm yy")</f>
        <v>Average number of head between 01 Jan 25 and 31 Dec 25</v>
      </c>
      <c r="E10" s="98">
        <v>100</v>
      </c>
      <c r="F10" s="98">
        <v>100</v>
      </c>
      <c r="G10" s="98">
        <v>100</v>
      </c>
      <c r="H10" s="98">
        <v>100</v>
      </c>
      <c r="I10" s="98">
        <v>100</v>
      </c>
      <c r="J10" s="2" t="s">
        <v>94</v>
      </c>
      <c r="K10" s="2"/>
      <c r="L10" s="2"/>
      <c r="M10" s="2"/>
      <c r="R10" s="7"/>
    </row>
    <row r="11" spans="1:23" ht="20.100000000000001" customHeight="1" x14ac:dyDescent="0.25">
      <c r="R11" s="7"/>
    </row>
    <row r="12" spans="1:23" ht="20.100000000000001" customHeight="1" x14ac:dyDescent="0.25">
      <c r="D12" s="48" t="s">
        <v>156</v>
      </c>
      <c r="R12" s="7"/>
    </row>
    <row r="13" spans="1:23" ht="20.100000000000001" customHeight="1" x14ac:dyDescent="0.25">
      <c r="A13" s="18" t="s">
        <v>69</v>
      </c>
      <c r="D13" s="62" t="s">
        <v>154</v>
      </c>
      <c r="E13" s="40" t="s">
        <v>124</v>
      </c>
      <c r="F13" s="40" t="s">
        <v>141</v>
      </c>
      <c r="G13" s="40" t="s">
        <v>142</v>
      </c>
      <c r="H13" s="40" t="s">
        <v>143</v>
      </c>
      <c r="I13" s="40" t="s">
        <v>144</v>
      </c>
      <c r="R13" s="39"/>
    </row>
    <row r="14" spans="1:23" ht="20.100000000000001" customHeight="1" x14ac:dyDescent="0.25">
      <c r="A14" s="17" t="str">
        <f>HYPERLINK("#'3.3.1.1-2 Enteric Methane'!A1", "3.3.1.1-2 Enteric Methane")</f>
        <v>3.3.1.1-2 Enteric Methane</v>
      </c>
      <c r="D14" s="1" t="s">
        <v>157</v>
      </c>
      <c r="E14" s="52">
        <v>550</v>
      </c>
      <c r="F14" s="52">
        <v>380</v>
      </c>
      <c r="G14" s="52">
        <v>155</v>
      </c>
      <c r="H14" s="52">
        <v>600</v>
      </c>
      <c r="I14" s="52">
        <v>225</v>
      </c>
      <c r="J14" s="2" t="s">
        <v>146</v>
      </c>
      <c r="K14" s="2"/>
      <c r="L14" s="2"/>
      <c r="M14" s="2"/>
      <c r="R14" s="39"/>
    </row>
    <row r="15" spans="1:23" ht="20.100000000000001" customHeight="1" x14ac:dyDescent="0.25">
      <c r="D15" s="1" t="s">
        <v>158</v>
      </c>
      <c r="E15" s="52">
        <v>1.6E-2</v>
      </c>
      <c r="F15" s="52">
        <v>0.6</v>
      </c>
      <c r="G15" s="52">
        <v>0.56999999999999995</v>
      </c>
      <c r="H15" s="52">
        <v>0.1</v>
      </c>
      <c r="I15" s="52">
        <v>0.8</v>
      </c>
      <c r="J15" s="2" t="s">
        <v>147</v>
      </c>
      <c r="K15" s="2"/>
      <c r="L15" s="2"/>
      <c r="M15" s="2"/>
      <c r="R15" s="39"/>
    </row>
    <row r="16" spans="1:23" ht="20.100000000000001" customHeight="1" x14ac:dyDescent="0.25">
      <c r="R16" s="39"/>
    </row>
    <row r="17" spans="1:18" ht="20.100000000000001" customHeight="1" x14ac:dyDescent="0.25">
      <c r="A17" s="129" t="s">
        <v>1</v>
      </c>
      <c r="D17" s="62" t="s">
        <v>153</v>
      </c>
      <c r="E17" s="40" t="s">
        <v>124</v>
      </c>
      <c r="F17" s="40" t="s">
        <v>141</v>
      </c>
      <c r="G17" s="40" t="s">
        <v>142</v>
      </c>
      <c r="H17" s="40" t="s">
        <v>143</v>
      </c>
      <c r="I17" s="40" t="s">
        <v>144</v>
      </c>
      <c r="R17" s="7"/>
    </row>
    <row r="18" spans="1:18" ht="20.100000000000001" customHeight="1" x14ac:dyDescent="0.25">
      <c r="A18" s="17" t="str">
        <f>HYPERLINK("#'Constants - Dairy'!A1", "Constants - Dairy")</f>
        <v>Constants - Dairy</v>
      </c>
      <c r="D18" s="1" t="s">
        <v>157</v>
      </c>
      <c r="E18" s="64">
        <v>550</v>
      </c>
      <c r="F18" s="64">
        <v>380</v>
      </c>
      <c r="G18" s="64">
        <v>155</v>
      </c>
      <c r="H18" s="64">
        <v>600</v>
      </c>
      <c r="I18" s="64">
        <v>225</v>
      </c>
      <c r="J18" s="2" t="s">
        <v>146</v>
      </c>
      <c r="K18" s="2"/>
      <c r="L18" s="2"/>
      <c r="M18" s="2"/>
      <c r="R18" s="7"/>
    </row>
    <row r="19" spans="1:18" ht="20.100000000000001" customHeight="1" x14ac:dyDescent="0.25">
      <c r="A19" s="17" t="str">
        <f>HYPERLINK("#'Constants - Common'!A1", "Constants - Common")</f>
        <v>Constants - Common</v>
      </c>
      <c r="D19" s="1" t="s">
        <v>158</v>
      </c>
      <c r="E19" s="64">
        <v>1.6E-2</v>
      </c>
      <c r="F19" s="64">
        <v>0.6</v>
      </c>
      <c r="G19" s="64">
        <v>0.56999999999999995</v>
      </c>
      <c r="H19" s="64">
        <v>0.1</v>
      </c>
      <c r="I19" s="64">
        <v>0.8</v>
      </c>
      <c r="J19" s="2" t="s">
        <v>147</v>
      </c>
      <c r="K19" s="2"/>
      <c r="L19" s="2"/>
      <c r="M19" s="2"/>
      <c r="R19" s="7"/>
    </row>
    <row r="20" spans="1:18" ht="20.100000000000001" customHeight="1" x14ac:dyDescent="0.25">
      <c r="A20" s="17" t="str">
        <f>HYPERLINK("#'Constants - Livestock'!A1", "Constants - Livestock")</f>
        <v>Constants - Livestock</v>
      </c>
      <c r="R20" s="7"/>
    </row>
    <row r="21" spans="1:18" ht="20.100000000000001" customHeight="1" x14ac:dyDescent="0.25">
      <c r="A21" s="17" t="str">
        <f>HYPERLINK("#'Acknowledgements'!A1", "Acknowledgements")</f>
        <v>Acknowledgements</v>
      </c>
      <c r="D21" s="48" t="s">
        <v>93</v>
      </c>
      <c r="R21" s="7"/>
    </row>
    <row r="22" spans="1:18" ht="20.100000000000001" customHeight="1" x14ac:dyDescent="0.25">
      <c r="R22" s="7"/>
    </row>
    <row r="23" spans="1:18" ht="20.100000000000001" customHeight="1" x14ac:dyDescent="0.25">
      <c r="D23" s="62" t="s">
        <v>154</v>
      </c>
      <c r="E23" s="40" t="s">
        <v>124</v>
      </c>
      <c r="F23" s="40" t="s">
        <v>141</v>
      </c>
      <c r="G23" s="40" t="s">
        <v>142</v>
      </c>
      <c r="H23" s="40" t="s">
        <v>143</v>
      </c>
      <c r="I23" s="40" t="s">
        <v>144</v>
      </c>
      <c r="R23" s="7"/>
    </row>
    <row r="24" spans="1:18" ht="20.100000000000001" customHeight="1" x14ac:dyDescent="0.25">
      <c r="D24" s="1" t="str">
        <f>"Average duration of stay between " &amp; TEXT('Input - Site'!$E$12, "dd mmm yy") &amp; " and " &amp; TEXT('Input - Site'!$E$13, "dd mmm yy") &amp; " weaned livestock"</f>
        <v>Average duration of stay between 01 Jan 25 and 31 Dec 25 weaned livestock</v>
      </c>
      <c r="E24" s="52">
        <v>365</v>
      </c>
      <c r="F24" s="52">
        <v>365</v>
      </c>
      <c r="G24" s="52">
        <v>281</v>
      </c>
      <c r="H24" s="52">
        <v>365</v>
      </c>
      <c r="I24" s="52">
        <v>281</v>
      </c>
      <c r="J24" s="2" t="s">
        <v>50</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25 and 31 Dec 25 pre-weaned livestock</v>
      </c>
      <c r="E25" s="52">
        <v>0</v>
      </c>
      <c r="F25" s="52">
        <v>0</v>
      </c>
      <c r="G25" s="52">
        <v>84</v>
      </c>
      <c r="H25" s="52">
        <v>0</v>
      </c>
      <c r="I25" s="52">
        <v>84</v>
      </c>
      <c r="J25" s="2" t="s">
        <v>50</v>
      </c>
      <c r="K25" s="2"/>
      <c r="L25" s="2"/>
      <c r="M25" s="2"/>
      <c r="R25" s="7"/>
    </row>
    <row r="26" spans="1:18" ht="20.100000000000001" customHeight="1" x14ac:dyDescent="0.25">
      <c r="R26" s="7"/>
    </row>
    <row r="27" spans="1:18" ht="20.100000000000001" customHeight="1" x14ac:dyDescent="0.25">
      <c r="D27" s="62" t="s">
        <v>153</v>
      </c>
      <c r="E27" s="40" t="s">
        <v>124</v>
      </c>
      <c r="F27" s="40" t="s">
        <v>141</v>
      </c>
      <c r="G27" s="40" t="s">
        <v>142</v>
      </c>
      <c r="H27" s="40" t="s">
        <v>143</v>
      </c>
      <c r="I27" s="40" t="s">
        <v>144</v>
      </c>
      <c r="R27" s="7"/>
    </row>
    <row r="28" spans="1:18" ht="20.100000000000001" customHeight="1" x14ac:dyDescent="0.25">
      <c r="D28" s="1" t="str">
        <f>"Average duration of stay between " &amp; TEXT('Input - Site'!$E$12, "dd mmm yy") &amp; " and " &amp; TEXT('Input - Site'!$E$13, "dd mmm yy") &amp; " weaned livestock"</f>
        <v>Average duration of stay between 01 Jan 25 and 31 Dec 25 weaned livestock</v>
      </c>
      <c r="E28" s="64">
        <v>365</v>
      </c>
      <c r="F28" s="64">
        <v>365</v>
      </c>
      <c r="G28" s="64">
        <v>281</v>
      </c>
      <c r="H28" s="64">
        <v>365</v>
      </c>
      <c r="I28" s="64">
        <v>281</v>
      </c>
      <c r="J28" s="2" t="s">
        <v>50</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25 and 31 Dec 25 pre-weaned livestock</v>
      </c>
      <c r="E29" s="52">
        <v>0</v>
      </c>
      <c r="F29" s="52">
        <v>0</v>
      </c>
      <c r="G29" s="52">
        <v>84</v>
      </c>
      <c r="H29" s="52">
        <v>0</v>
      </c>
      <c r="I29" s="52">
        <v>84</v>
      </c>
      <c r="J29" s="2" t="s">
        <v>50</v>
      </c>
      <c r="K29" s="2"/>
      <c r="L29" s="2"/>
      <c r="M29" s="2"/>
      <c r="R29" s="7"/>
    </row>
    <row r="30" spans="1:18" ht="20.100000000000001" customHeight="1" x14ac:dyDescent="0.25">
      <c r="R30" s="7"/>
    </row>
    <row r="31" spans="1:18" ht="20.100000000000001" customHeight="1" x14ac:dyDescent="0.25">
      <c r="R31" s="7"/>
    </row>
    <row r="32" spans="1:18" ht="20.100000000000001" customHeight="1" x14ac:dyDescent="0.25">
      <c r="C32" s="46"/>
      <c r="D32" s="46"/>
      <c r="E32" s="46"/>
      <c r="F32" s="46"/>
      <c r="G32" s="46"/>
      <c r="H32" s="46"/>
      <c r="I32" s="46"/>
      <c r="J32" s="46"/>
      <c r="K32" s="46"/>
      <c r="L32" s="46"/>
      <c r="M32" s="46"/>
      <c r="N32" s="46"/>
      <c r="R32" s="7"/>
    </row>
    <row r="33" spans="3:18" ht="20.100000000000001" customHeight="1" x14ac:dyDescent="0.25">
      <c r="D33" s="6" t="s">
        <v>155</v>
      </c>
      <c r="R33" s="7"/>
    </row>
    <row r="34" spans="3:18" ht="20.100000000000001" customHeight="1" x14ac:dyDescent="0.25">
      <c r="D34" s="48"/>
      <c r="R34" s="7"/>
    </row>
    <row r="35" spans="3:18" ht="20.100000000000001" customHeight="1" x14ac:dyDescent="0.25">
      <c r="D35" s="62" t="s">
        <v>154</v>
      </c>
      <c r="E35" s="40" t="s">
        <v>124</v>
      </c>
      <c r="F35" s="40" t="s">
        <v>141</v>
      </c>
      <c r="G35" s="40" t="s">
        <v>142</v>
      </c>
      <c r="H35" s="40" t="s">
        <v>143</v>
      </c>
      <c r="I35" s="40" t="s">
        <v>144</v>
      </c>
      <c r="R35" s="7"/>
    </row>
    <row r="36" spans="3:18" ht="20.100000000000001" customHeight="1" x14ac:dyDescent="0.25">
      <c r="D36" s="1" t="s">
        <v>14</v>
      </c>
      <c r="E36" s="52">
        <v>0.75</v>
      </c>
      <c r="F36" s="52">
        <v>0.75</v>
      </c>
      <c r="G36" s="52">
        <v>0.75</v>
      </c>
      <c r="H36" s="52">
        <v>0.75</v>
      </c>
      <c r="I36" s="52">
        <v>0.75</v>
      </c>
      <c r="J36" s="2" t="s">
        <v>90</v>
      </c>
      <c r="K36" s="2"/>
      <c r="L36" s="2"/>
      <c r="M36" s="2"/>
      <c r="R36" s="7"/>
    </row>
    <row r="37" spans="3:18" ht="20.100000000000001" customHeight="1" x14ac:dyDescent="0.25">
      <c r="D37" s="1" t="s">
        <v>97</v>
      </c>
      <c r="E37" s="52">
        <v>0.2</v>
      </c>
      <c r="F37" s="52">
        <v>0.2</v>
      </c>
      <c r="G37" s="52">
        <v>0.2</v>
      </c>
      <c r="H37" s="52">
        <v>0.2</v>
      </c>
      <c r="I37" s="52">
        <v>0.2</v>
      </c>
      <c r="J37" s="2" t="s">
        <v>90</v>
      </c>
      <c r="K37" s="2"/>
      <c r="L37" s="2"/>
      <c r="M37" s="2"/>
      <c r="R37" s="7"/>
    </row>
    <row r="38" spans="3:18" ht="20.100000000000001" customHeight="1" x14ac:dyDescent="0.25">
      <c r="K38" s="2"/>
      <c r="L38" s="2"/>
      <c r="M38" s="2"/>
      <c r="R38" s="7"/>
    </row>
    <row r="39" spans="3:18" ht="20.100000000000001" customHeight="1" x14ac:dyDescent="0.25">
      <c r="D39" s="62" t="s">
        <v>153</v>
      </c>
      <c r="E39" s="40" t="s">
        <v>124</v>
      </c>
      <c r="F39" s="40" t="s">
        <v>141</v>
      </c>
      <c r="G39" s="40" t="s">
        <v>142</v>
      </c>
      <c r="H39" s="40" t="s">
        <v>143</v>
      </c>
      <c r="I39" s="40" t="s">
        <v>144</v>
      </c>
      <c r="R39" s="7"/>
    </row>
    <row r="40" spans="3:18" ht="20.100000000000001" customHeight="1" x14ac:dyDescent="0.25">
      <c r="D40" s="1" t="s">
        <v>14</v>
      </c>
      <c r="E40" s="64">
        <v>0.75</v>
      </c>
      <c r="F40" s="64">
        <v>0.75</v>
      </c>
      <c r="G40" s="64">
        <v>0.75</v>
      </c>
      <c r="H40" s="64">
        <v>0.75</v>
      </c>
      <c r="I40" s="64">
        <v>0.75</v>
      </c>
      <c r="J40" s="2" t="s">
        <v>90</v>
      </c>
      <c r="K40" s="2"/>
      <c r="R40" s="7"/>
    </row>
    <row r="41" spans="3:18" ht="20.100000000000001" customHeight="1" x14ac:dyDescent="0.25">
      <c r="D41" s="1" t="s">
        <v>97</v>
      </c>
      <c r="E41" s="64">
        <v>0.2</v>
      </c>
      <c r="F41" s="64">
        <v>0.2</v>
      </c>
      <c r="G41" s="64">
        <v>0.2</v>
      </c>
      <c r="H41" s="64">
        <v>0.2</v>
      </c>
      <c r="I41" s="64">
        <v>0.2</v>
      </c>
      <c r="J41" s="2" t="s">
        <v>90</v>
      </c>
      <c r="K41" s="2"/>
      <c r="L41" s="2"/>
      <c r="M41" s="2"/>
      <c r="R41" s="7"/>
    </row>
    <row r="42" spans="3:18" ht="20.100000000000001" customHeight="1" x14ac:dyDescent="0.25">
      <c r="K42" s="2"/>
      <c r="L42" s="2"/>
      <c r="M42" s="2"/>
      <c r="R42" s="7"/>
    </row>
    <row r="43" spans="3:18" ht="20.100000000000001" customHeight="1" x14ac:dyDescent="0.25">
      <c r="L43" s="2"/>
      <c r="M43" s="2"/>
      <c r="R43" s="7"/>
    </row>
    <row r="44" spans="3:18" ht="20.100000000000001" customHeight="1" x14ac:dyDescent="0.25">
      <c r="R44" s="7"/>
    </row>
    <row r="45" spans="3:18" ht="20.100000000000001" customHeight="1" x14ac:dyDescent="0.25">
      <c r="R45" s="7"/>
    </row>
    <row r="46" spans="3:18" ht="20.100000000000001" customHeight="1" x14ac:dyDescent="0.25">
      <c r="C46" s="46"/>
      <c r="D46" s="46"/>
      <c r="E46" s="46"/>
      <c r="F46" s="46"/>
      <c r="G46" s="46"/>
      <c r="H46" s="46"/>
      <c r="I46" s="46"/>
      <c r="J46" s="46"/>
      <c r="K46" s="46"/>
      <c r="L46" s="46"/>
      <c r="M46" s="46"/>
      <c r="N46" s="46"/>
      <c r="R46" s="7"/>
    </row>
    <row r="47" spans="3:18" ht="20.100000000000001" customHeight="1" x14ac:dyDescent="0.25">
      <c r="D47" s="6" t="s">
        <v>148</v>
      </c>
      <c r="E47" s="3"/>
      <c r="F47" s="3"/>
      <c r="G47" s="3"/>
      <c r="H47" s="3"/>
      <c r="I47" s="3"/>
      <c r="J47" s="3"/>
      <c r="K47" s="3"/>
      <c r="L47" s="3"/>
      <c r="M47" s="3"/>
      <c r="R47" s="7"/>
    </row>
    <row r="48" spans="3:18" ht="20.100000000000001" customHeight="1" x14ac:dyDescent="0.25">
      <c r="G48" s="6"/>
      <c r="H48" s="6"/>
      <c r="I48" s="6"/>
      <c r="J48" s="113"/>
      <c r="K48" s="113"/>
      <c r="L48" s="113"/>
      <c r="M48" s="113"/>
      <c r="R48" s="7"/>
    </row>
    <row r="49" spans="4:18" ht="20.100000000000001" customHeight="1" x14ac:dyDescent="0.25">
      <c r="D49" s="1" t="s">
        <v>232</v>
      </c>
      <c r="E49" s="41" t="s">
        <v>245</v>
      </c>
      <c r="F49" s="2" t="s">
        <v>7</v>
      </c>
      <c r="H49" s="3"/>
      <c r="I49" s="3"/>
      <c r="J49" s="3"/>
      <c r="K49" s="3"/>
      <c r="L49" s="3"/>
      <c r="M49" s="3"/>
      <c r="R49" s="7"/>
    </row>
    <row r="50" spans="4:18" ht="20.100000000000001" customHeight="1" x14ac:dyDescent="0.25">
      <c r="R50" s="7"/>
    </row>
    <row r="51" spans="4:18" ht="20.100000000000001" customHeight="1" x14ac:dyDescent="0.25">
      <c r="E51" s="40" t="s">
        <v>124</v>
      </c>
      <c r="R51" s="7"/>
    </row>
    <row r="52" spans="4:18" ht="20.100000000000001" customHeight="1" x14ac:dyDescent="0.25">
      <c r="D52" s="1" t="s">
        <v>149</v>
      </c>
      <c r="E52" s="64">
        <v>20</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3" t="s">
        <v>242</v>
      </c>
      <c r="E54" s="40" t="s">
        <v>239</v>
      </c>
      <c r="F54" s="40" t="s">
        <v>240</v>
      </c>
      <c r="R54" s="7"/>
    </row>
    <row r="55" spans="4:18" ht="20.100000000000001" customHeight="1" x14ac:dyDescent="0.25">
      <c r="D55" s="1" t="s">
        <v>237</v>
      </c>
      <c r="E55" s="120">
        <v>0.04</v>
      </c>
      <c r="F55" s="128">
        <v>0.04</v>
      </c>
      <c r="G55" s="2" t="s">
        <v>241</v>
      </c>
      <c r="R55" s="7"/>
    </row>
    <row r="56" spans="4:18" ht="20.100000000000001" customHeight="1" x14ac:dyDescent="0.25">
      <c r="D56" s="1" t="s">
        <v>238</v>
      </c>
      <c r="E56" s="120">
        <v>3.3000000000000002E-2</v>
      </c>
      <c r="F56" s="128">
        <v>3.3000000000000002E-2</v>
      </c>
      <c r="G56" s="2" t="s">
        <v>241</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3 K42 O43:P43 N44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opLeftCell="A24"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5" t="e" vm="1">
        <v>#VALUE!</v>
      </c>
      <c r="C1" s="8" t="s">
        <v>213</v>
      </c>
      <c r="K1"/>
    </row>
    <row r="2" spans="1:19" s="9" customFormat="1" ht="20.100000000000001" customHeight="1" x14ac:dyDescent="0.25">
      <c r="A2"/>
      <c r="K2"/>
    </row>
    <row r="3" spans="1:19" ht="20.100000000000001" customHeight="1" x14ac:dyDescent="0.25">
      <c r="A3" s="17" t="str">
        <f>HYPERLINK("#'Home'!A1", "Home")</f>
        <v>Home</v>
      </c>
      <c r="C3" s="4"/>
      <c r="D3" s="4" t="s">
        <v>100</v>
      </c>
      <c r="E3" s="4"/>
      <c r="F3" s="4"/>
      <c r="G3" s="4"/>
      <c r="H3" s="4"/>
      <c r="I3" s="4"/>
      <c r="J3" s="4"/>
      <c r="L3" s="4"/>
      <c r="M3" s="4" t="s">
        <v>101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D6" s="55"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D7" s="5" t="str" cm="1">
        <f t="array" ref="D7">EntericMethane_Dairy_Equations.VEERG_3_3_1_1__6_MetabolisabilityOfDiet_Source()</f>
        <v>VEERG 2026: 3.3.1.1, Equation (6)</v>
      </c>
    </row>
    <row r="8" spans="1:19" ht="20.100000000000001" customHeight="1" x14ac:dyDescent="0.25">
      <c r="A8" s="19" t="s">
        <v>0</v>
      </c>
      <c r="D8" s="13" t="s">
        <v>22</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Site'!A1", "Site")</f>
        <v>Site</v>
      </c>
    </row>
    <row r="10" spans="1:19" ht="20.100000000000001" customHeight="1" x14ac:dyDescent="0.25">
      <c r="A10" s="17" t="str">
        <f>HYPERLINK("#'Input - Dairy'!A1", "Dairy")</f>
        <v>Dairy</v>
      </c>
    </row>
    <row r="11" spans="1:19" ht="20.100000000000001" customHeight="1" x14ac:dyDescent="0.25">
      <c r="D11" s="53" t="s">
        <v>25</v>
      </c>
      <c r="E11" s="1" t="str" cm="1">
        <f t="array" ref="E11">EntericMethane_Dairy_Equations.VEERG_3_3_1_1__6_MetabolisabilityOfDiet_Variable()</f>
        <v>qm_j</v>
      </c>
    </row>
    <row r="12" spans="1:19" ht="20.100000000000001" customHeight="1" x14ac:dyDescent="0.25">
      <c r="D12" s="53" t="s">
        <v>15</v>
      </c>
      <c r="E12" s="54" t="str" cm="1">
        <f t="array" ref="E12">EntericMethane_Dairy_Equations.VEERG_3_3_1_1__6_MetabolisabilityOfDiet_Unit()</f>
        <v>fraction</v>
      </c>
    </row>
    <row r="13" spans="1:19" ht="20.100000000000001" customHeight="1" x14ac:dyDescent="0.25">
      <c r="A13" s="18" t="s">
        <v>69</v>
      </c>
    </row>
    <row r="14" spans="1:19" ht="20.100000000000001" customHeight="1" x14ac:dyDescent="0.25">
      <c r="A14" s="21" t="str">
        <f>HYPERLINK("#'3.3.1.1-2 Enteric Methane'!A1", "3.3.1.1-2 Enteric Methane")</f>
        <v>3.3.1.1-2 Enteric Methane</v>
      </c>
      <c r="D14" s="118" t="str" cm="1">
        <f t="array" ref="D14:E14">_xlfn.CHOOSECOLS(EntericMethane_Dairy_Equations.VEERG_3_3_1_1__6_MetabolisabilityOfDiet_Arguments(), 1,2)</f>
        <v>DMD_j</v>
      </c>
      <c r="E14" s="118" t="str">
        <v>dry matter digestibility expressed as a fraction</v>
      </c>
      <c r="F14" s="118"/>
      <c r="G14" s="118" t="str" cm="1">
        <f t="array" ref="G14:H14">_xlfn.CHOOSECOLS(EntericMethane_Dairy_Equations.VEERG_3_3_1_1__6_MetabolisabilityOfDiet_Arguments(), 3,4)</f>
        <v>fraction</v>
      </c>
      <c r="H14" s="116" t="str">
        <v>Input</v>
      </c>
      <c r="I14" s="118" t="str">
        <f>"See " &amp; D16</f>
        <v>See M1_Table_DMD_j</v>
      </c>
    </row>
    <row r="15" spans="1:19" ht="20.100000000000001" customHeight="1" x14ac:dyDescent="0.25"/>
    <row r="16" spans="1:19" ht="20.100000000000001" customHeight="1" x14ac:dyDescent="0.25">
      <c r="D16" s="97" t="s">
        <v>102</v>
      </c>
      <c r="M16" s="97" t="s">
        <v>104</v>
      </c>
    </row>
    <row r="17" spans="1:19" ht="20.100000000000001" customHeight="1" x14ac:dyDescent="0.25">
      <c r="A17" s="129" t="s">
        <v>1</v>
      </c>
      <c r="D17" s="96" t="s">
        <v>103</v>
      </c>
      <c r="M17" s="96" t="s">
        <v>181</v>
      </c>
    </row>
    <row r="18" spans="1:19" ht="20.100000000000001" customHeight="1" x14ac:dyDescent="0.25">
      <c r="A18" s="17" t="str">
        <f>HYPERLINK("#'Constants - Dairy'!A1", "Constants - Dairy")</f>
        <v>Constants - Dairy</v>
      </c>
      <c r="D18" s="40" t="s">
        <v>124</v>
      </c>
      <c r="E18" s="40" t="s">
        <v>141</v>
      </c>
      <c r="F18" s="40" t="s">
        <v>142</v>
      </c>
      <c r="G18" s="40" t="s">
        <v>143</v>
      </c>
      <c r="H18" s="40" t="s">
        <v>144</v>
      </c>
      <c r="M18" s="40" t="s">
        <v>124</v>
      </c>
      <c r="N18" s="40" t="s">
        <v>141</v>
      </c>
      <c r="O18" s="40" t="s">
        <v>142</v>
      </c>
      <c r="P18" s="40" t="s">
        <v>143</v>
      </c>
      <c r="Q18" s="40" t="s">
        <v>144</v>
      </c>
    </row>
    <row r="19" spans="1:19" ht="20.100000000000001" customHeight="1" x14ac:dyDescent="0.25">
      <c r="A19" s="17" t="str">
        <f>HYPERLINK("#'Constants - Common'!A1", "Constants - Common")</f>
        <v>Constants - Common</v>
      </c>
      <c r="D19" s="52">
        <f>INDEX(X_Table_Dairy_Diet_Method1,2,2)</f>
        <v>0.75</v>
      </c>
      <c r="E19" s="52">
        <f>INDEX(X_Table_Dairy_Diet_Method1,2,3)</f>
        <v>0.75</v>
      </c>
      <c r="F19" s="52">
        <f>INDEX(X_Table_Dairy_Diet_Method1,2,4)</f>
        <v>0.75</v>
      </c>
      <c r="G19" s="52">
        <f>INDEX(X_Table_Dairy_Diet_Method1,2,5)</f>
        <v>0.75</v>
      </c>
      <c r="H19" s="52">
        <f>INDEX(X_Table_Dairy_Diet_Method1,2,6)</f>
        <v>0.75</v>
      </c>
      <c r="I19" s="2" t="s">
        <v>170</v>
      </c>
      <c r="M19" s="52">
        <f>INDEX(X_Table_Dairy_Diet_Method2,2,2)</f>
        <v>0.75</v>
      </c>
      <c r="N19" s="52">
        <f>INDEX(X_Table_Dairy_Diet_Method2,2,3)</f>
        <v>0.75</v>
      </c>
      <c r="O19" s="52">
        <f>INDEX(X_Table_Dairy_Diet_Method2,2,4)</f>
        <v>0.75</v>
      </c>
      <c r="P19" s="52">
        <f>INDEX(X_Table_Dairy_Diet_Method2,2,5)</f>
        <v>0.75</v>
      </c>
      <c r="Q19" s="52">
        <f>INDEX(X_Table_Dairy_Diet_Method2,2,6)</f>
        <v>0.75</v>
      </c>
      <c r="R19" s="2" t="s">
        <v>170</v>
      </c>
    </row>
    <row r="20" spans="1:19" ht="20.100000000000001" customHeight="1" x14ac:dyDescent="0.25">
      <c r="A20" s="17" t="str">
        <f>HYPERLINK("#'Constants - Livestock'!A1", "Constants - Livestock")</f>
        <v>Constants - Livestock</v>
      </c>
    </row>
    <row r="21" spans="1:19" ht="20.100000000000001" customHeight="1" x14ac:dyDescent="0.25">
      <c r="A21" s="17" t="str">
        <f>HYPERLINK("#'Acknowledgements'!A1", "Acknowledgements")</f>
        <v>Acknowledgements</v>
      </c>
      <c r="D21" s="97" t="s">
        <v>171</v>
      </c>
      <c r="M21" s="97" t="s">
        <v>173</v>
      </c>
    </row>
    <row r="22" spans="1:19" ht="20.100000000000001" customHeight="1" x14ac:dyDescent="0.25">
      <c r="D22" s="96" t="s">
        <v>172</v>
      </c>
      <c r="M22" s="96" t="s">
        <v>174</v>
      </c>
    </row>
    <row r="23" spans="1:19" ht="20.100000000000001" customHeight="1" x14ac:dyDescent="0.25">
      <c r="D23" s="51" t="s">
        <v>124</v>
      </c>
      <c r="E23" s="51" t="s">
        <v>141</v>
      </c>
      <c r="F23" s="51" t="s">
        <v>142</v>
      </c>
      <c r="G23" s="51" t="s">
        <v>143</v>
      </c>
      <c r="H23" s="51" t="s">
        <v>144</v>
      </c>
      <c r="M23" s="51" t="s">
        <v>124</v>
      </c>
      <c r="N23" s="51" t="s">
        <v>141</v>
      </c>
      <c r="O23" s="51" t="s">
        <v>142</v>
      </c>
      <c r="P23" s="51" t="s">
        <v>143</v>
      </c>
      <c r="Q23" s="51" t="s">
        <v>144</v>
      </c>
    </row>
    <row r="24" spans="1:19" ht="20.100000000000001" customHeight="1" x14ac:dyDescent="0.25">
      <c r="D24" s="52" cm="1">
        <f t="array" ref="D24">EntericMethane_Dairy_Equations.VEERG_3_3_1_1__6_MetabolisabilityOfDietVariation(D19)</f>
        <v>0.5948500000000001</v>
      </c>
      <c r="E24" s="52" cm="1">
        <f t="array" ref="E24">EntericMethane_Dairy_Equations.VEERG_3_3_1_1__6_MetabolisabilityOfDietVariation(E19)</f>
        <v>0.5948500000000001</v>
      </c>
      <c r="F24" s="52" cm="1">
        <f t="array" ref="F24">EntericMethane_Dairy_Equations.VEERG_3_3_1_1__6_MetabolisabilityOfDietVariation(F19)</f>
        <v>0.5948500000000001</v>
      </c>
      <c r="G24" s="52" cm="1">
        <f t="array" ref="G24">EntericMethane_Dairy_Equations.VEERG_3_3_1_1__6_MetabolisabilityOfDietVariation(G19)</f>
        <v>0.5948500000000001</v>
      </c>
      <c r="H24" s="52" cm="1">
        <f t="array" ref="H24">EntericMethane_Dairy_Equations.VEERG_3_3_1_1__6_MetabolisabilityOfDietVariation(H19)</f>
        <v>0.5948500000000001</v>
      </c>
      <c r="I24" s="2" t="str">
        <f>$E$12</f>
        <v>fraction</v>
      </c>
      <c r="M24" s="52" cm="1">
        <f t="array" ref="M24">EntericMethane_Dairy_Equations.VEERG_3_3_1_1__6_MetabolisabilityOfDietVariation(M19)</f>
        <v>0.5948500000000001</v>
      </c>
      <c r="N24" s="52" cm="1">
        <f t="array" ref="N24">EntericMethane_Dairy_Equations.VEERG_3_3_1_1__6_MetabolisabilityOfDietVariation(N19)</f>
        <v>0.5948500000000001</v>
      </c>
      <c r="O24" s="52" cm="1">
        <f t="array" ref="O24">EntericMethane_Dairy_Equations.VEERG_3_3_1_1__6_MetabolisabilityOfDietVariation(O19)</f>
        <v>0.5948500000000001</v>
      </c>
      <c r="P24" s="52" cm="1">
        <f t="array" ref="P24">EntericMethane_Dairy_Equations.VEERG_3_3_1_1__6_MetabolisabilityOfDietVariation(P19)</f>
        <v>0.5948500000000001</v>
      </c>
      <c r="Q24" s="52"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6"/>
      <c r="D27" s="46"/>
      <c r="E27" s="46"/>
      <c r="F27" s="46"/>
      <c r="G27" s="46"/>
      <c r="H27" s="46"/>
      <c r="I27" s="46"/>
      <c r="J27" s="46"/>
      <c r="L27" s="46"/>
      <c r="M27" s="46"/>
      <c r="N27" s="46"/>
      <c r="O27" s="46"/>
      <c r="P27" s="46"/>
      <c r="Q27" s="46"/>
      <c r="R27" s="46"/>
      <c r="S27" s="46"/>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22</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3" t="s">
        <v>25</v>
      </c>
      <c r="E34" s="1" t="str" cm="1">
        <f t="array" ref="E34">EntericMethane_Dairy_Equations.VEERG_3_3_1_1__5_MilkProductionFromMilkSolids_Variable()</f>
        <v>MP_j</v>
      </c>
    </row>
    <row r="35" spans="4:18" ht="20.100000000000001" customHeight="1" x14ac:dyDescent="0.25">
      <c r="D35" s="53" t="s">
        <v>15</v>
      </c>
      <c r="E35" s="54" t="str" cm="1">
        <f t="array" ref="E35">EntericMethane_Dairy_Equations.VEERG_3_3_1_1__5_MilkProductionFromMilkSolids_Unit()</f>
        <v>L/head/day</v>
      </c>
    </row>
    <row r="36" spans="4:18" ht="20.100000000000001" customHeight="1" x14ac:dyDescent="0.25"/>
    <row r="37" spans="4:18" ht="20.100000000000001" customHeight="1" x14ac:dyDescent="0.25">
      <c r="D37" s="118" t="str" cm="1">
        <f t="array" ref="D37:E40">_xlfn.CHOOSECOLS(EntericMethane_Dairy_Equations.VEERG_3_3_1_1__5_MilkProductionFromMilkSolids_Arguments(),1,2)</f>
        <v>MPU</v>
      </c>
      <c r="E37" s="117" t="str">
        <v>input milk production unit</v>
      </c>
      <c r="F37" s="119"/>
      <c r="G37" s="118" t="str" cm="1">
        <f t="array" ref="G37:H40">_xlfn.CHOOSECOLS(EntericMethane_Dairy_Equations.VEERG_3_3_1_1__5_MilkProductionFromMilkSolids_Arguments(),3,4)</f>
        <v/>
      </c>
      <c r="H37" s="116" t="str">
        <v>Input</v>
      </c>
      <c r="I37" s="118" t="str">
        <f>X_Cell_Dairy_MilkProductionUnit</f>
        <v>Litres of milk</v>
      </c>
      <c r="M37" s="118" t="str" cm="1">
        <f t="array" ref="M37:N40">_xlfn.CHOOSECOLS(EntericMethane_Dairy_Equations.VEERG_3_3_1_1__5_MilkProductionFromMilkSolids_Arguments_Method2(),1,2)</f>
        <v>MPU</v>
      </c>
      <c r="N37" s="117" t="str">
        <v>milk production unit</v>
      </c>
      <c r="O37" s="119"/>
      <c r="P37" s="118" t="str" cm="1">
        <f t="array" ref="P37:Q40">_xlfn.CHOOSECOLS(EntericMethane_Dairy_Equations.VEERG_3_3_1_1__5_MilkProductionFromMilkSolids_Arguments_Method2(),3,4)</f>
        <v/>
      </c>
      <c r="Q37" s="116" t="str">
        <v>Input</v>
      </c>
      <c r="R37" s="118"/>
    </row>
    <row r="38" spans="4:18" ht="20.100000000000001" customHeight="1" x14ac:dyDescent="0.25">
      <c r="D38" s="118" t="str">
        <v>MS_j</v>
      </c>
      <c r="E38" s="117" t="str">
        <v>daily production of milk solids</v>
      </c>
      <c r="F38" s="119"/>
      <c r="G38" s="118" t="str">
        <v>kg MS/head/day</v>
      </c>
      <c r="H38" s="116" t="str">
        <v>Input</v>
      </c>
      <c r="I38" s="115" t="str" cm="1">
        <f t="array" aca="1" ref="I38" ca="1">HYPERLINK(Common_InputFunctions.Utility_SourceHyperlink($D$42),$D$42)</f>
        <v>M1_Table_MS_j</v>
      </c>
      <c r="M38" s="118" t="str">
        <v>MS_j</v>
      </c>
      <c r="N38" s="117" t="str">
        <v>daily production of milk solids</v>
      </c>
      <c r="O38" s="119"/>
      <c r="P38" s="118" t="str">
        <v>kg MS/head/day</v>
      </c>
      <c r="Q38" s="116" t="str">
        <v>Input</v>
      </c>
      <c r="R38" s="115"/>
    </row>
    <row r="39" spans="4:18" ht="20.100000000000001" customHeight="1" x14ac:dyDescent="0.25">
      <c r="D39" s="118" t="str">
        <v>FC_j</v>
      </c>
      <c r="E39" s="117" t="str">
        <v>fat content in fat and protein corrected milk</v>
      </c>
      <c r="F39" s="119"/>
      <c r="G39" s="118" t="str">
        <v>per cent</v>
      </c>
      <c r="H39" s="116" t="str">
        <v>Input</v>
      </c>
      <c r="I39" s="118">
        <f>INDEX(X_Table_Dairy_MilkSolidAttributes,2,2)*100</f>
        <v>4</v>
      </c>
      <c r="M39" s="118" t="str">
        <v>FC_j</v>
      </c>
      <c r="N39" s="117" t="str">
        <v>fat content in fat and protein corrected milk</v>
      </c>
      <c r="O39" s="119"/>
      <c r="P39" s="118" t="str">
        <v>per cent</v>
      </c>
      <c r="Q39" s="116" t="str">
        <v>Input</v>
      </c>
      <c r="R39" s="118">
        <f>INDEX(X_Table_Dairy_MilkSolidAttributes,2,3)*100</f>
        <v>4</v>
      </c>
    </row>
    <row r="40" spans="4:18" ht="20.100000000000001" customHeight="1" x14ac:dyDescent="0.25">
      <c r="D40" s="118" t="str">
        <v>PC_j</v>
      </c>
      <c r="E40" s="118" t="str">
        <v>protein content in fat and protein corrected milk</v>
      </c>
      <c r="F40" s="118"/>
      <c r="G40" s="118" t="str">
        <v>per cent</v>
      </c>
      <c r="H40" s="116" t="str">
        <v>Input</v>
      </c>
      <c r="I40" s="118">
        <f>INDEX(X_Table_Dairy_MilkSolidAttributes,3,2)*100</f>
        <v>3.3000000000000003</v>
      </c>
      <c r="M40" s="118" t="str">
        <v>PC_j</v>
      </c>
      <c r="N40" s="118" t="str">
        <v>protein content in fat and protein corrected milk</v>
      </c>
      <c r="O40" s="118"/>
      <c r="P40" s="118" t="str">
        <v>per cent</v>
      </c>
      <c r="Q40" s="116" t="str">
        <v>Input</v>
      </c>
      <c r="R40" s="118">
        <f>INDEX(X_Table_Dairy_MilkSolidAttributes,3,3)*100</f>
        <v>3.3000000000000003</v>
      </c>
    </row>
    <row r="41" spans="4:18" ht="20.100000000000001" customHeight="1" x14ac:dyDescent="0.25"/>
    <row r="42" spans="4:18" ht="20.100000000000001" customHeight="1" x14ac:dyDescent="0.25">
      <c r="D42" s="97" t="s">
        <v>233</v>
      </c>
    </row>
    <row r="43" spans="4:18" ht="20.100000000000001" customHeight="1" x14ac:dyDescent="0.25">
      <c r="D43" s="96" t="s">
        <v>234</v>
      </c>
    </row>
    <row r="44" spans="4:18" ht="20.100000000000001" customHeight="1" x14ac:dyDescent="0.25">
      <c r="D44" s="40" t="s">
        <v>124</v>
      </c>
      <c r="E44" s="40" t="s">
        <v>141</v>
      </c>
      <c r="F44" s="40" t="s">
        <v>142</v>
      </c>
      <c r="G44" s="40" t="s">
        <v>143</v>
      </c>
      <c r="H44" s="40" t="s">
        <v>144</v>
      </c>
    </row>
    <row r="45" spans="4:18" ht="20.100000000000001" customHeight="1" x14ac:dyDescent="0.25">
      <c r="D45" s="52">
        <f>IF($I$37="Milk solids", 'Input - Dairy'!$E$52, 0)</f>
        <v>0</v>
      </c>
      <c r="E45" s="52">
        <v>0</v>
      </c>
      <c r="F45" s="52">
        <v>0</v>
      </c>
      <c r="G45" s="52">
        <v>0</v>
      </c>
      <c r="H45" s="52">
        <v>0</v>
      </c>
      <c r="I45" s="2" t="s">
        <v>177</v>
      </c>
    </row>
    <row r="46" spans="4:18" ht="20.100000000000001" customHeight="1" x14ac:dyDescent="0.25"/>
    <row r="47" spans="4:18" ht="20.100000000000001" customHeight="1" x14ac:dyDescent="0.25">
      <c r="D47" s="97" t="s">
        <v>235</v>
      </c>
      <c r="M47" s="97" t="s">
        <v>243</v>
      </c>
    </row>
    <row r="48" spans="4:18" ht="20.100000000000001" customHeight="1" x14ac:dyDescent="0.25">
      <c r="D48" s="96" t="s">
        <v>236</v>
      </c>
      <c r="M48" s="96" t="s">
        <v>244</v>
      </c>
    </row>
    <row r="49" spans="3:19" ht="20.100000000000001" customHeight="1" x14ac:dyDescent="0.25">
      <c r="D49" s="51" t="s">
        <v>124</v>
      </c>
      <c r="E49" s="51" t="s">
        <v>141</v>
      </c>
      <c r="F49" s="51" t="s">
        <v>142</v>
      </c>
      <c r="G49" s="51" t="s">
        <v>143</v>
      </c>
      <c r="H49" s="51" t="s">
        <v>144</v>
      </c>
      <c r="M49" s="51" t="s">
        <v>124</v>
      </c>
      <c r="N49" s="51" t="s">
        <v>141</v>
      </c>
      <c r="O49" s="51" t="s">
        <v>142</v>
      </c>
      <c r="P49" s="51" t="s">
        <v>143</v>
      </c>
      <c r="Q49" s="51" t="s">
        <v>144</v>
      </c>
    </row>
    <row r="50" spans="3:19" ht="20.100000000000001" customHeight="1" x14ac:dyDescent="0.25">
      <c r="D50" s="52" cm="1">
        <f t="array" ref="D50">EntericMethane_Dairy_Equations.VEERG_3_3_1_1__5_MilkProductionFromMilkSolids(D45,I39,I40)</f>
        <v>0</v>
      </c>
      <c r="E50" s="52">
        <v>0</v>
      </c>
      <c r="F50" s="52">
        <v>0</v>
      </c>
      <c r="G50" s="52">
        <v>0</v>
      </c>
      <c r="H50" s="52">
        <v>0</v>
      </c>
      <c r="I50" s="2" t="s">
        <v>177</v>
      </c>
      <c r="M50" s="52" cm="1">
        <f t="array" ref="M50">EntericMethane_Dairy_Equations.VEERG_3_3_1_1__5_MilkProductionFromMilkSolids(D45,R39,R40)</f>
        <v>0</v>
      </c>
      <c r="N50" s="52">
        <v>0</v>
      </c>
      <c r="O50" s="52">
        <v>0</v>
      </c>
      <c r="P50" s="52">
        <v>0</v>
      </c>
      <c r="Q50" s="52">
        <v>0</v>
      </c>
      <c r="R50" s="2" t="s">
        <v>177</v>
      </c>
    </row>
    <row r="51" spans="3:19" ht="20.100000000000001" customHeight="1" x14ac:dyDescent="0.25"/>
    <row r="52" spans="3:19" ht="20.100000000000001" customHeight="1" x14ac:dyDescent="0.25"/>
    <row r="53" spans="3:19" ht="20.100000000000001" customHeight="1" x14ac:dyDescent="0.25">
      <c r="C53" s="46"/>
      <c r="D53" s="46"/>
      <c r="E53" s="46"/>
      <c r="F53" s="46"/>
      <c r="G53" s="46"/>
      <c r="H53" s="46"/>
      <c r="I53" s="46"/>
      <c r="J53" s="46"/>
      <c r="L53" s="46"/>
      <c r="M53" s="46"/>
      <c r="N53" s="46"/>
      <c r="O53" s="46"/>
      <c r="P53" s="46"/>
      <c r="Q53" s="46"/>
      <c r="R53" s="46"/>
      <c r="S53" s="46"/>
    </row>
    <row r="54" spans="3:19" ht="20.100000000000001" customHeight="1" x14ac:dyDescent="0.25">
      <c r="D54" s="6" t="str" cm="1">
        <f t="array" ref="D54">EntericMethane_Dairy_Equations.VEERG_3_3_1_1__4_AdditionalIntakeForMilkProduction_Title()</f>
        <v>Additional intake required for milk production</v>
      </c>
    </row>
    <row r="55" spans="3:19" ht="20.100000000000001" customHeight="1" x14ac:dyDescent="0.25">
      <c r="D55" s="5" t="str" cm="1">
        <f t="array" ref="D55">EntericMethane_Dairy_Equations.VEERG_3_3_1_1__4_AdditionalIntakeForMilkProduction_Source()</f>
        <v>VEERG 2026: 3.3.1.1, Equation (4)</v>
      </c>
    </row>
    <row r="56" spans="3:19" ht="20.100000000000001" customHeight="1" x14ac:dyDescent="0.25">
      <c r="D56" s="55" t="str" cm="1">
        <f t="array" ref="D56">EntericMethane_Dairy_Equations.VEERG_3_3_1_1__4_AdditionalIntakeForMilkProduction_Variation()</f>
        <v>VARATION ON SOURCE: Added milk production unit variable to allow for use of either milk solids or litres of milk.</v>
      </c>
    </row>
    <row r="57" spans="3:19" ht="20.100000000000001" customHeight="1" x14ac:dyDescent="0.25">
      <c r="D57" s="13" t="s">
        <v>22</v>
      </c>
      <c r="E57" s="13" t="str" cm="1">
        <f t="array" aca="1" ref="E57" ca="1">Common_InputFunctions.Utility_DisplayFunctionName(D80)</f>
        <v>=EntericMethane_Dairy_Equations.VEERG_3_3_1_1__4_AdditionalIntakeForMilkProduction</v>
      </c>
    </row>
    <row r="58" spans="3:19" ht="20.100000000000001" customHeight="1" x14ac:dyDescent="0.25">
      <c r="D58" s="6"/>
    </row>
    <row r="59" spans="3:19" ht="20.100000000000001" customHeight="1" x14ac:dyDescent="0.25"/>
    <row r="60" spans="3:19" ht="20.100000000000001" customHeight="1" x14ac:dyDescent="0.25"/>
    <row r="61" spans="3:19" ht="20.100000000000001" customHeight="1" x14ac:dyDescent="0.25">
      <c r="D61" s="53" t="s">
        <v>25</v>
      </c>
      <c r="E61" s="1" t="str" cm="1">
        <f t="array" ref="E61">EntericMethane_Dairy_Equations.VEERG_3_3_1_1__4_AdditionalIntakeForMilkProduction_Variable()</f>
        <v>MI_j</v>
      </c>
    </row>
    <row r="62" spans="3:19" ht="20.100000000000001" customHeight="1" x14ac:dyDescent="0.25">
      <c r="D62" s="53" t="s">
        <v>15</v>
      </c>
      <c r="E62" s="54" t="str" cm="1">
        <f t="array" ref="E62">EntericMethane_Dairy_Equations.VEERG_3_3_1_1__4_AdditionalIntakeForMilkProduction_Unit()</f>
        <v>kg DM/head/day</v>
      </c>
    </row>
    <row r="63" spans="3:19" ht="20.100000000000001" customHeight="1" x14ac:dyDescent="0.25"/>
    <row r="64" spans="3:19" ht="20.100000000000001" customHeight="1" x14ac:dyDescent="0.25">
      <c r="D64" s="118" t="str" cm="1">
        <f t="array" ref="D64:E70">_xlfn.CHOOSECOLS(EntericMethane_Dairy_Equations.VEERG_3_3_1_1__4_AdditionalIntakeForMilkProduction_Arguments(), 1,2)</f>
        <v>MPU</v>
      </c>
      <c r="E64" s="117" t="str">
        <v>input milk production unit</v>
      </c>
      <c r="F64" s="119"/>
      <c r="G64" s="118" t="str" cm="1">
        <f t="array" ref="G64:H70">_xlfn.CHOOSECOLS(EntericMethane_Dairy_Equations.VEERG_3_3_1_1__4_AdditionalIntakeForMilkProduction_Arguments(), 3,4)</f>
        <v/>
      </c>
      <c r="H64" s="116" t="str">
        <v>Input</v>
      </c>
      <c r="I64" s="118" t="str">
        <f>X_Cell_Dairy_MilkProductionUnit</f>
        <v>Litres of milk</v>
      </c>
    </row>
    <row r="65" spans="4:18" ht="20.100000000000001" customHeight="1" x14ac:dyDescent="0.25">
      <c r="D65" s="118" t="str">
        <v>MP_j</v>
      </c>
      <c r="E65" s="117" t="str">
        <v>milk production (if input as litres of milk)</v>
      </c>
      <c r="F65" s="119"/>
      <c r="G65" s="118" t="str">
        <v>L/head/day</v>
      </c>
      <c r="H65" s="116" t="str">
        <v>Input</v>
      </c>
      <c r="I65" s="115" t="str" cm="1">
        <f t="array" aca="1" ref="I65" ca="1">HYPERLINK(Common_InputFunctions.Utility_SourceHyperlink($D$72), $D$72)</f>
        <v>Table_MP_j</v>
      </c>
    </row>
    <row r="66" spans="4:18" ht="20.100000000000001" customHeight="1" x14ac:dyDescent="0.25">
      <c r="D66" s="118" t="str">
        <v>MP_j</v>
      </c>
      <c r="E66" s="117" t="str">
        <v>milk production (if input as milk solids)</v>
      </c>
      <c r="F66" s="119"/>
      <c r="G66" s="118" t="str">
        <v>L/head/day</v>
      </c>
      <c r="H66" s="114" t="str">
        <v>Calculated from 3.3.1.1 (5)</v>
      </c>
      <c r="I66" s="115" t="str" cm="1">
        <f t="array" aca="1" ref="I66" ca="1">HYPERLINK(Common_InputFunctions.Utility_SourceHyperlink($D$47),$D$47)</f>
        <v>M1_Table_MP_j_from_solids</v>
      </c>
    </row>
    <row r="67" spans="4:18" ht="20.100000000000001" customHeight="1" x14ac:dyDescent="0.25">
      <c r="D67" s="118" t="str">
        <v>NE</v>
      </c>
      <c r="E67" s="117" t="str">
        <v>net energy</v>
      </c>
      <c r="F67" s="119"/>
      <c r="G67" s="118" t="str">
        <v>MJ net energy/kg milk</v>
      </c>
      <c r="H67" s="114" t="str">
        <v>Constant</v>
      </c>
      <c r="I67" s="118">
        <f>SourceData_Dairy_NetEnergy_Data</f>
        <v>3.0539999999999998</v>
      </c>
    </row>
    <row r="68" spans="4:18" ht="20.100000000000001" customHeight="1" x14ac:dyDescent="0.25">
      <c r="D68" s="118" t="str">
        <v>GEC</v>
      </c>
      <c r="E68" s="117" t="str">
        <v>gross energy content</v>
      </c>
      <c r="F68" s="119"/>
      <c r="G68" s="118" t="str">
        <v>MJ/kgDM</v>
      </c>
      <c r="H68" s="114" t="str">
        <v>Constant</v>
      </c>
      <c r="I68" s="118">
        <f>SourceData_Dairy_GrossEnergyContent_Data</f>
        <v>18.399999999999999</v>
      </c>
    </row>
    <row r="69" spans="4:18" ht="20.100000000000001" customHeight="1" x14ac:dyDescent="0.25">
      <c r="D69" s="118" t="str">
        <v>k</v>
      </c>
      <c r="E69" s="117" t="str">
        <v>efficiency of metabolizable energy use for milk production</v>
      </c>
      <c r="F69" s="119"/>
      <c r="G69" s="118" t="str">
        <v>fraction</v>
      </c>
      <c r="H69" s="114" t="str">
        <v>Constant</v>
      </c>
      <c r="I69" s="118">
        <f>SourceData_Dairy_EfficiencyOfUseOfMetabolizableEnergy_Data</f>
        <v>0.6</v>
      </c>
    </row>
    <row r="70" spans="4:18" ht="20.100000000000001" customHeight="1" x14ac:dyDescent="0.25">
      <c r="D70" s="118" t="str">
        <v>qm_j</v>
      </c>
      <c r="E70" s="117" t="str">
        <v>metabolisability of the diet</v>
      </c>
      <c r="F70" s="119"/>
      <c r="G70" s="118" t="str">
        <v>fraction</v>
      </c>
      <c r="H70" s="114" t="str">
        <v>Calculated from 3.3.1.1 (6)</v>
      </c>
      <c r="I70" s="115" t="str" cm="1">
        <f t="array" aca="1" ref="I70" ca="1">HYPERLINK(Common_InputFunctions.Utility_SourceHyperlink($D$21), $D$21)</f>
        <v>M1_Table_qm_j</v>
      </c>
    </row>
    <row r="71" spans="4:18" ht="20.100000000000001" customHeight="1" x14ac:dyDescent="0.25"/>
    <row r="72" spans="4:18" ht="20.100000000000001" customHeight="1" x14ac:dyDescent="0.25">
      <c r="D72" s="97" t="s">
        <v>180</v>
      </c>
    </row>
    <row r="73" spans="4:18" ht="20.100000000000001" customHeight="1" x14ac:dyDescent="0.25">
      <c r="D73" s="96" t="s">
        <v>148</v>
      </c>
    </row>
    <row r="74" spans="4:18" ht="20.100000000000001" customHeight="1" x14ac:dyDescent="0.25">
      <c r="D74" s="40" t="s">
        <v>124</v>
      </c>
      <c r="E74" s="40" t="s">
        <v>141</v>
      </c>
      <c r="F74" s="40" t="s">
        <v>142</v>
      </c>
      <c r="G74" s="40" t="s">
        <v>143</v>
      </c>
      <c r="H74" s="40" t="s">
        <v>144</v>
      </c>
    </row>
    <row r="75" spans="4:18" ht="20.100000000000001" customHeight="1" x14ac:dyDescent="0.25">
      <c r="D75" s="52">
        <f>IF(I64="Milk solids", 0, 'Input - Dairy'!$E$52)</f>
        <v>20</v>
      </c>
      <c r="E75" s="52">
        <v>0</v>
      </c>
      <c r="F75" s="52">
        <v>0</v>
      </c>
      <c r="G75" s="52">
        <v>0</v>
      </c>
      <c r="H75" s="52">
        <v>0</v>
      </c>
      <c r="I75" s="2" t="s">
        <v>177</v>
      </c>
    </row>
    <row r="76" spans="4:18" ht="20.100000000000001" customHeight="1" x14ac:dyDescent="0.25"/>
    <row r="77" spans="4:18" ht="20.100000000000001" customHeight="1" x14ac:dyDescent="0.25">
      <c r="D77" s="97" t="s">
        <v>175</v>
      </c>
      <c r="M77" s="97" t="s">
        <v>178</v>
      </c>
    </row>
    <row r="78" spans="4:18" ht="20.100000000000001" customHeight="1" x14ac:dyDescent="0.25">
      <c r="D78" s="96" t="s">
        <v>176</v>
      </c>
      <c r="M78" s="96" t="s">
        <v>179</v>
      </c>
    </row>
    <row r="79" spans="4:18" ht="20.100000000000001" customHeight="1" x14ac:dyDescent="0.25">
      <c r="D79" s="51" t="s">
        <v>124</v>
      </c>
      <c r="E79" s="51" t="s">
        <v>141</v>
      </c>
      <c r="F79" s="51" t="s">
        <v>142</v>
      </c>
      <c r="G79" s="51" t="s">
        <v>143</v>
      </c>
      <c r="H79" s="51" t="s">
        <v>144</v>
      </c>
      <c r="M79" s="51" t="s">
        <v>124</v>
      </c>
      <c r="N79" s="51" t="s">
        <v>141</v>
      </c>
      <c r="O79" s="51" t="s">
        <v>142</v>
      </c>
      <c r="P79" s="51" t="s">
        <v>143</v>
      </c>
      <c r="Q79" s="51" t="s">
        <v>144</v>
      </c>
    </row>
    <row r="80" spans="4:18" ht="20.100000000000001" customHeight="1" x14ac:dyDescent="0.25">
      <c r="D80" s="52" cm="1">
        <f t="array" ref="D80">EntericMethane_Dairy_Equations.VEERG_3_3_1_1__4_AdditionalIntakeForMilkProduction(IF(I64="Milk solids", D50, D75),$I$67,$I$68,$I$69,D24)</f>
        <v>9.5798721636071917</v>
      </c>
      <c r="E80" s="52" cm="1">
        <f t="array" ref="E80">EntericMethane_Dairy_Equations.VEERG_3_3_1_1__4_AdditionalIntakeForMilkProduction(E75, $I$67,$I$68,$I$69,E24)</f>
        <v>0</v>
      </c>
      <c r="F80" s="52" cm="1">
        <f t="array" ref="F80">EntericMethane_Dairy_Equations.VEERG_3_3_1_1__4_AdditionalIntakeForMilkProduction(F75, $I$67,$I$68,$I$69,F24)</f>
        <v>0</v>
      </c>
      <c r="G80" s="52" cm="1">
        <f t="array" ref="G80">EntericMethane_Dairy_Equations.VEERG_3_3_1_1__4_AdditionalIntakeForMilkProduction(G75, $I$67,$I$68,$I$69,G24)</f>
        <v>0</v>
      </c>
      <c r="H80" s="52" cm="1">
        <f t="array" ref="H80">EntericMethane_Dairy_Equations.VEERG_3_3_1_1__4_AdditionalIntakeForMilkProduction(H75, $I$67,$I$68,$I$69,H24)</f>
        <v>0</v>
      </c>
      <c r="I80" s="2" t="str">
        <f>$E$62</f>
        <v>kg DM/head/day</v>
      </c>
      <c r="M80" s="52" cm="1">
        <f t="array" ref="M80">EntericMethane_Dairy_Equations.VEERG_3_3_1_1__4_AdditionalIntakeForMilkProduction(IF(I64="Milk solids", M50, D75),$I$67,$I$68,$I$69,D24)</f>
        <v>9.5798721636071917</v>
      </c>
      <c r="N80" s="52" cm="1">
        <f t="array" ref="N80">EntericMethane_Dairy_Equations.VEERG_3_3_1_1__4_AdditionalIntakeForMilkProduction(E75, $I$67,$I$68,$I$69,N24)</f>
        <v>0</v>
      </c>
      <c r="O80" s="52" cm="1">
        <f t="array" ref="O80">EntericMethane_Dairy_Equations.VEERG_3_3_1_1__4_AdditionalIntakeForMilkProduction(F75, $I$67,$I$68,$I$69,O24)</f>
        <v>0</v>
      </c>
      <c r="P80" s="52" cm="1">
        <f t="array" ref="P80">EntericMethane_Dairy_Equations.VEERG_3_3_1_1__4_AdditionalIntakeForMilkProduction(G75, $I$67,$I$68,$I$69,P24)</f>
        <v>0</v>
      </c>
      <c r="Q80" s="52"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6"/>
      <c r="D83" s="46"/>
      <c r="E83" s="46"/>
      <c r="F83" s="46"/>
      <c r="G83" s="46"/>
      <c r="H83" s="46"/>
      <c r="I83" s="46"/>
      <c r="J83" s="46"/>
      <c r="L83" s="46"/>
      <c r="M83" s="46"/>
      <c r="N83" s="46"/>
      <c r="O83" s="46"/>
      <c r="P83" s="46"/>
      <c r="Q83" s="46"/>
      <c r="R83" s="46"/>
      <c r="S83" s="46"/>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22</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3" t="s">
        <v>25</v>
      </c>
      <c r="E89" s="1" t="str" cm="1">
        <f t="array" ref="E89">EntericMethane_Dairy_Equations.VEERG_3_3_1_1__3_DryMatterFeedIntake_Variable()</f>
        <v>I_j</v>
      </c>
    </row>
    <row r="90" spans="3:19" ht="20.100000000000001" customHeight="1" x14ac:dyDescent="0.25">
      <c r="D90" s="53" t="s">
        <v>15</v>
      </c>
      <c r="E90" s="54" t="str" cm="1">
        <f t="array" ref="E90">EntericMethane_Dairy_Equations.VEERG_3_3_1_1__3_DryMatterFeedIntake_Unit()</f>
        <v>kg DM/head/day</v>
      </c>
    </row>
    <row r="91" spans="3:19" ht="20.100000000000001" customHeight="1" x14ac:dyDescent="0.25"/>
    <row r="92" spans="3:19" ht="20.100000000000001" customHeight="1" x14ac:dyDescent="0.25">
      <c r="D92" s="118" t="str" cm="1">
        <f t="array" ref="D92:E95">_xlfn.CHOOSECOLS(EntericMethane_Dairy_Equations.VEERG_3_3_1_1__3_DryMatterFeedIntake_Arguments(),1,2)</f>
        <v>W_j</v>
      </c>
      <c r="E92" s="117" t="str">
        <v>liveweight</v>
      </c>
      <c r="F92" s="119"/>
      <c r="G92" s="118" t="str" cm="1">
        <f t="array" ref="G92:H95">_xlfn.CHOOSECOLS(EntericMethane_Dairy_Equations.VEERG_3_3_1_1__3_DryMatterFeedIntake_Arguments(),3,4)</f>
        <v>kg</v>
      </c>
      <c r="H92" s="116" t="str">
        <v>Input</v>
      </c>
      <c r="I92" s="115" t="str" cm="1">
        <f t="array" aca="1" ref="I92" ca="1">HYPERLINK(Common_InputFunctions.Utility_SourceHyperlink($D$97), $D$97)</f>
        <v>M1_Table_W_j</v>
      </c>
    </row>
    <row r="93" spans="3:19" ht="20.100000000000001" customHeight="1" x14ac:dyDescent="0.25">
      <c r="D93" s="118" t="str">
        <v>LWG_j</v>
      </c>
      <c r="E93" s="117" t="str">
        <v>liveweight gain</v>
      </c>
      <c r="F93" s="119"/>
      <c r="G93" s="118" t="str">
        <v>kg/head/day</v>
      </c>
      <c r="H93" s="116" t="str">
        <v>Input</v>
      </c>
      <c r="I93" s="115" t="str" cm="1">
        <f t="array" aca="1" ref="I93" ca="1">HYPERLINK(Common_InputFunctions.Utility_SourceHyperlink($D$102), $D$102)</f>
        <v>M1_Table_LWG_j</v>
      </c>
    </row>
    <row r="94" spans="3:19" ht="20.100000000000001" customHeight="1" x14ac:dyDescent="0.25">
      <c r="D94" s="118" t="str">
        <v>MR_j</v>
      </c>
      <c r="E94" s="117" t="str">
        <v>increase in metabolic rate when producing milk</v>
      </c>
      <c r="F94" s="119"/>
      <c r="G94" s="118" t="str">
        <v>fraction</v>
      </c>
      <c r="H94" s="114" t="str">
        <v>Constant</v>
      </c>
      <c r="I94" s="115" t="str" cm="1">
        <f t="array" aca="1" ref="I94" ca="1">HYPERLINK(Common_InputFunctions.Utility_SourceHyperlink($D$107), $D$107)</f>
        <v>Table_MR_j</v>
      </c>
    </row>
    <row r="95" spans="3:19" ht="20.100000000000001" customHeight="1" x14ac:dyDescent="0.25">
      <c r="D95" s="118" t="str">
        <v>MI_j</v>
      </c>
      <c r="E95" s="117" t="str">
        <v>additional intake required for milk production</v>
      </c>
      <c r="F95" s="119"/>
      <c r="G95" s="118" t="str">
        <v>kg DM/head/day</v>
      </c>
      <c r="H95" s="114" t="str">
        <v>Calculated from 3.3.1.1 (4)</v>
      </c>
      <c r="I95" s="115" t="str" cm="1">
        <f t="array" aca="1" ref="I95" ca="1">HYPERLINK(Common_InputFunctions.Utility_SourceHyperlink($D$77), $D$77)</f>
        <v>M1_Table_MI_j</v>
      </c>
    </row>
    <row r="96" spans="3:19" ht="20.100000000000001" customHeight="1" x14ac:dyDescent="0.25"/>
    <row r="97" spans="4:18" ht="20.100000000000001" customHeight="1" x14ac:dyDescent="0.25">
      <c r="D97" s="97" t="s">
        <v>160</v>
      </c>
      <c r="M97" s="97" t="s">
        <v>162</v>
      </c>
    </row>
    <row r="98" spans="4:18" ht="20.100000000000001" customHeight="1" x14ac:dyDescent="0.25">
      <c r="D98" s="96" t="s">
        <v>161</v>
      </c>
      <c r="M98" s="96" t="s">
        <v>163</v>
      </c>
    </row>
    <row r="99" spans="4:18" ht="20.100000000000001" customHeight="1" x14ac:dyDescent="0.25">
      <c r="D99" s="40" t="s">
        <v>124</v>
      </c>
      <c r="E99" s="40" t="s">
        <v>141</v>
      </c>
      <c r="F99" s="40" t="s">
        <v>142</v>
      </c>
      <c r="G99" s="40" t="s">
        <v>143</v>
      </c>
      <c r="H99" s="40" t="s">
        <v>144</v>
      </c>
      <c r="M99" s="40" t="s">
        <v>124</v>
      </c>
      <c r="N99" s="40" t="s">
        <v>141</v>
      </c>
      <c r="O99" s="40" t="s">
        <v>142</v>
      </c>
      <c r="P99" s="40" t="s">
        <v>143</v>
      </c>
      <c r="Q99" s="40" t="s">
        <v>144</v>
      </c>
    </row>
    <row r="100" spans="4:18" ht="20.100000000000001" customHeight="1" x14ac:dyDescent="0.25">
      <c r="D100" s="52">
        <f>'Input - Dairy'!$E$14</f>
        <v>550</v>
      </c>
      <c r="E100" s="52">
        <f>'Input - Dairy'!$F$14</f>
        <v>380</v>
      </c>
      <c r="F100" s="52">
        <f>'Input - Dairy'!$G$14</f>
        <v>155</v>
      </c>
      <c r="G100" s="52">
        <f>'Input - Dairy'!$H$14</f>
        <v>600</v>
      </c>
      <c r="H100" s="52">
        <f>'Input - Dairy'!$I$14</f>
        <v>225</v>
      </c>
      <c r="I100" s="2" t="s">
        <v>146</v>
      </c>
      <c r="M100" s="52">
        <f>'Input - Dairy'!$E$18</f>
        <v>550</v>
      </c>
      <c r="N100" s="52">
        <f>'Input - Dairy'!$F$18</f>
        <v>380</v>
      </c>
      <c r="O100" s="52">
        <f>'Input - Dairy'!$G$18</f>
        <v>155</v>
      </c>
      <c r="P100" s="52">
        <f>'Input - Dairy'!$H$18</f>
        <v>600</v>
      </c>
      <c r="Q100" s="52">
        <f>'Input - Dairy'!$I$18</f>
        <v>225</v>
      </c>
      <c r="R100" s="2" t="s">
        <v>146</v>
      </c>
    </row>
    <row r="101" spans="4:18" ht="20.100000000000001" customHeight="1" x14ac:dyDescent="0.25"/>
    <row r="102" spans="4:18" ht="20.100000000000001" customHeight="1" x14ac:dyDescent="0.25">
      <c r="D102" s="97" t="s">
        <v>164</v>
      </c>
      <c r="M102" s="97" t="s">
        <v>166</v>
      </c>
    </row>
    <row r="103" spans="4:18" ht="20.100000000000001" customHeight="1" x14ac:dyDescent="0.25">
      <c r="D103" s="96" t="s">
        <v>165</v>
      </c>
      <c r="M103" s="96" t="s">
        <v>167</v>
      </c>
    </row>
    <row r="104" spans="4:18" ht="20.100000000000001" customHeight="1" x14ac:dyDescent="0.25">
      <c r="D104" s="40" t="s">
        <v>124</v>
      </c>
      <c r="E104" s="40" t="s">
        <v>141</v>
      </c>
      <c r="F104" s="40" t="s">
        <v>142</v>
      </c>
      <c r="G104" s="40" t="s">
        <v>143</v>
      </c>
      <c r="H104" s="40" t="s">
        <v>144</v>
      </c>
      <c r="M104" s="40" t="s">
        <v>124</v>
      </c>
      <c r="N104" s="40" t="s">
        <v>141</v>
      </c>
      <c r="O104" s="40" t="s">
        <v>142</v>
      </c>
      <c r="P104" s="40" t="s">
        <v>143</v>
      </c>
      <c r="Q104" s="40" t="s">
        <v>144</v>
      </c>
    </row>
    <row r="105" spans="4:18" ht="20.100000000000001" customHeight="1" x14ac:dyDescent="0.25">
      <c r="D105" s="52">
        <f>'Input - Dairy'!$E$15</f>
        <v>1.6E-2</v>
      </c>
      <c r="E105" s="52">
        <f>'Input - Dairy'!$F$15</f>
        <v>0.6</v>
      </c>
      <c r="F105" s="52">
        <f>'Input - Dairy'!$G$15</f>
        <v>0.56999999999999995</v>
      </c>
      <c r="G105" s="52">
        <f>'Input - Dairy'!$H$15</f>
        <v>0.1</v>
      </c>
      <c r="H105" s="52">
        <f>'Input - Dairy'!$I$15</f>
        <v>0.8</v>
      </c>
      <c r="I105" s="2" t="s">
        <v>147</v>
      </c>
      <c r="M105" s="52">
        <f>'Input - Dairy'!$E$19</f>
        <v>1.6E-2</v>
      </c>
      <c r="N105" s="52">
        <f>'Input - Dairy'!$F$19</f>
        <v>0.6</v>
      </c>
      <c r="O105" s="52">
        <f>'Input - Dairy'!$G$19</f>
        <v>0.56999999999999995</v>
      </c>
      <c r="P105" s="52">
        <f>'Input - Dairy'!$H$19</f>
        <v>0.1</v>
      </c>
      <c r="Q105" s="52">
        <f>'Input - Dairy'!$I$19</f>
        <v>0.8</v>
      </c>
      <c r="R105" s="2" t="s">
        <v>147</v>
      </c>
    </row>
    <row r="106" spans="4:18" ht="20.100000000000001" customHeight="1" x14ac:dyDescent="0.25"/>
    <row r="107" spans="4:18" ht="20.100000000000001" customHeight="1" x14ac:dyDescent="0.25">
      <c r="D107" s="97" t="s">
        <v>168</v>
      </c>
    </row>
    <row r="108" spans="4:18" ht="20.100000000000001" customHeight="1" x14ac:dyDescent="0.25">
      <c r="D108" s="96" t="s">
        <v>169</v>
      </c>
    </row>
    <row r="109" spans="4:18" ht="20.100000000000001" customHeight="1" x14ac:dyDescent="0.25">
      <c r="D109" s="51" t="s">
        <v>124</v>
      </c>
      <c r="E109" s="51" t="s">
        <v>141</v>
      </c>
      <c r="F109" s="51" t="s">
        <v>142</v>
      </c>
      <c r="G109" s="51" t="s">
        <v>143</v>
      </c>
      <c r="H109" s="51" t="s">
        <v>144</v>
      </c>
    </row>
    <row r="110" spans="4:18" ht="20.100000000000001" customHeight="1" x14ac:dyDescent="0.25">
      <c r="D110" s="52">
        <f>'Constants - Dairy'!$E$108</f>
        <v>1.1000000000000001</v>
      </c>
      <c r="E110" s="52">
        <f>'Constants - Dairy'!$E$109</f>
        <v>1</v>
      </c>
      <c r="F110" s="52">
        <f>'Constants - Dairy'!$E$109</f>
        <v>1</v>
      </c>
      <c r="G110" s="52">
        <f>'Constants - Dairy'!$E$109</f>
        <v>1</v>
      </c>
      <c r="H110" s="52">
        <f>'Constants - Dairy'!$E$109</f>
        <v>1</v>
      </c>
      <c r="I110" s="2" t="s">
        <v>90</v>
      </c>
    </row>
    <row r="111" spans="4:18" ht="20.100000000000001" customHeight="1" x14ac:dyDescent="0.25"/>
    <row r="112" spans="4:18" ht="20.100000000000001" customHeight="1" x14ac:dyDescent="0.25">
      <c r="D112" s="97" t="s">
        <v>98</v>
      </c>
      <c r="M112" s="97" t="s">
        <v>99</v>
      </c>
    </row>
    <row r="113" spans="3:19" ht="20.100000000000001" customHeight="1" x14ac:dyDescent="0.25">
      <c r="D113" s="96" t="s">
        <v>183</v>
      </c>
      <c r="M113" s="96" t="s">
        <v>182</v>
      </c>
    </row>
    <row r="114" spans="3:19" ht="20.100000000000001" customHeight="1" x14ac:dyDescent="0.25">
      <c r="D114" s="51" t="s">
        <v>124</v>
      </c>
      <c r="E114" s="51" t="s">
        <v>141</v>
      </c>
      <c r="F114" s="51" t="s">
        <v>142</v>
      </c>
      <c r="G114" s="51" t="s">
        <v>143</v>
      </c>
      <c r="H114" s="51" t="s">
        <v>144</v>
      </c>
      <c r="M114" s="51" t="s">
        <v>124</v>
      </c>
      <c r="N114" s="51" t="s">
        <v>141</v>
      </c>
      <c r="O114" s="51" t="s">
        <v>142</v>
      </c>
      <c r="P114" s="51" t="s">
        <v>143</v>
      </c>
      <c r="Q114" s="51" t="s">
        <v>144</v>
      </c>
    </row>
    <row r="115" spans="3:19" ht="20.100000000000001" customHeight="1" x14ac:dyDescent="0.25">
      <c r="D115" s="52" cm="1">
        <f t="array" ref="D115">EntericMethane_Dairy_Equations.VEERG_3_3_1_1__3_DryMatterFeedIntake(D100,D105,D110,D80)</f>
        <v>18.834317684367193</v>
      </c>
      <c r="E115" s="52" cm="1">
        <f t="array" ref="E115">EntericMethane_Dairy_Equations.VEERG_3_3_1_1__3_DryMatterFeedIntake(E100,E105,E110,E80)</f>
        <v>7.4188685375999972</v>
      </c>
      <c r="F115" s="52" cm="1">
        <f t="array" ref="F115">EntericMethane_Dairy_Equations.VEERG_3_3_1_1__3_DryMatterFeedIntake(F100,F105,F110,F80)</f>
        <v>4.0231734662249998</v>
      </c>
      <c r="G115" s="52" cm="1">
        <f t="array" ref="G115">EntericMethane_Dairy_Equations.VEERG_3_3_1_1__3_DryMatterFeedIntake(G100,G105,G110,G80)</f>
        <v>9.0270202499999979</v>
      </c>
      <c r="H115" s="52" cm="1">
        <f t="array" ref="H115">EntericMethane_Dairy_Equations.VEERG_3_3_1_1__3_DryMatterFeedIntake(H100,H105,H110,H80)</f>
        <v>5.4143472656250013</v>
      </c>
      <c r="I115" s="2" t="str">
        <f>$E$90</f>
        <v>kg DM/head/day</v>
      </c>
      <c r="M115" s="52" cm="1">
        <f t="array" ref="M115">EntericMethane_Dairy_Equations.VEERG_3_3_1_1__3_DryMatterFeedIntake(M100,M105,D110,M80)</f>
        <v>18.834317684367193</v>
      </c>
      <c r="N115" s="52" cm="1">
        <f t="array" ref="N115">EntericMethane_Dairy_Equations.VEERG_3_3_1_1__3_DryMatterFeedIntake(N100,N105,E110,N80)</f>
        <v>7.4188685375999972</v>
      </c>
      <c r="O115" s="52" cm="1">
        <f t="array" ref="O115">EntericMethane_Dairy_Equations.VEERG_3_3_1_1__3_DryMatterFeedIntake(O100,O105,F110,O80)</f>
        <v>4.0231734662249998</v>
      </c>
      <c r="P115" s="52" cm="1">
        <f t="array" ref="P115">EntericMethane_Dairy_Equations.VEERG_3_3_1_1__3_DryMatterFeedIntake(P100,P105,G110,P80)</f>
        <v>9.0270202499999979</v>
      </c>
      <c r="Q115" s="52"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6"/>
      <c r="D118" s="46"/>
      <c r="E118" s="46"/>
      <c r="F118" s="46"/>
      <c r="G118" s="46"/>
      <c r="H118" s="46"/>
      <c r="I118" s="46"/>
      <c r="J118" s="46"/>
      <c r="L118" s="46"/>
      <c r="M118" s="46"/>
      <c r="N118" s="46"/>
      <c r="O118" s="46"/>
      <c r="P118" s="46"/>
      <c r="Q118" s="46"/>
      <c r="R118" s="46"/>
      <c r="S118" s="46"/>
    </row>
    <row r="119" spans="3:19" ht="20.100000000000001" customHeight="1" x14ac:dyDescent="0.25">
      <c r="D119" s="48"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22</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3" t="s">
        <v>25</v>
      </c>
      <c r="E124" s="1" t="str" cm="1">
        <f t="array" ref="E124">EntericMethane_Dairy_Equations.VEERG_3_3_1_1__2_DailyEntericMethaneProduction_Variable()</f>
        <v>M_j</v>
      </c>
    </row>
    <row r="125" spans="3:19" ht="20.100000000000001" customHeight="1" x14ac:dyDescent="0.25">
      <c r="D125" s="53" t="s">
        <v>15</v>
      </c>
      <c r="E125" s="54"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18" t="str" cm="1">
        <f t="array" ref="D127:G127">EntericMethane_Dairy_Equations.VEERG_3_3_1_1__2_DailyEntericMethaneProduction_Arguments()</f>
        <v>I_j</v>
      </c>
      <c r="E127" s="118" t="str">
        <v>dry matter feed intake</v>
      </c>
      <c r="F127" s="118" t="str">
        <v>kg DM/head/day</v>
      </c>
      <c r="G127" s="114" t="str">
        <v>Calculated from 3.3.1.1 (3)</v>
      </c>
      <c r="H127" s="115" t="str" cm="1">
        <f t="array" aca="1" ref="H127" ca="1">HYPERLINK(Common_InputFunctions.Utility_SourceHyperlink($D$112),$D$112)</f>
        <v>M1_Table_I_j</v>
      </c>
    </row>
    <row r="128" spans="3:19" ht="20.100000000000001" customHeight="1" x14ac:dyDescent="0.25"/>
    <row r="129" spans="3:19" ht="20.100000000000001" customHeight="1" x14ac:dyDescent="0.25">
      <c r="D129" s="97" t="s">
        <v>214</v>
      </c>
      <c r="M129" s="97" t="s">
        <v>216</v>
      </c>
    </row>
    <row r="130" spans="3:19" ht="20.100000000000001" customHeight="1" x14ac:dyDescent="0.25">
      <c r="D130" s="96" t="s">
        <v>215</v>
      </c>
      <c r="M130" s="96" t="s">
        <v>217</v>
      </c>
    </row>
    <row r="131" spans="3:19" ht="20.100000000000001" customHeight="1" x14ac:dyDescent="0.25">
      <c r="D131" s="51" t="s">
        <v>124</v>
      </c>
      <c r="E131" s="51" t="s">
        <v>141</v>
      </c>
      <c r="F131" s="51" t="s">
        <v>142</v>
      </c>
      <c r="G131" s="51" t="s">
        <v>143</v>
      </c>
      <c r="H131" s="51" t="s">
        <v>144</v>
      </c>
      <c r="M131" s="51" t="s">
        <v>124</v>
      </c>
      <c r="N131" s="51" t="s">
        <v>141</v>
      </c>
      <c r="O131" s="51" t="s">
        <v>142</v>
      </c>
      <c r="P131" s="51" t="s">
        <v>143</v>
      </c>
      <c r="Q131" s="51" t="s">
        <v>144</v>
      </c>
    </row>
    <row r="132" spans="3:19" ht="20.100000000000001" customHeight="1" x14ac:dyDescent="0.25">
      <c r="D132" s="52" cm="1">
        <f t="array" ref="D132">EntericMethane_Dairy_Equations.VEERG_3_3_1_1__2_DailyEntericMethaneProduction(D115)</f>
        <v>0.38987037606640085</v>
      </c>
      <c r="E132" s="52" cm="1">
        <f t="array" ref="E132">EntericMethane_Dairy_Equations.VEERG_3_3_1_1__2_DailyEntericMethaneProduction(E115)</f>
        <v>0.15357057872831995</v>
      </c>
      <c r="F132" s="52" cm="1">
        <f t="array" ref="F132">EntericMethane_Dairy_Equations.VEERG_3_3_1_1__2_DailyEntericMethaneProduction(F115)</f>
        <v>8.3279690750857505E-2</v>
      </c>
      <c r="G132" s="52" cm="1">
        <f t="array" ref="G132">EntericMethane_Dairy_Equations.VEERG_3_3_1_1__2_DailyEntericMethaneProduction(G115)</f>
        <v>0.18685931917499995</v>
      </c>
      <c r="H132" s="52" cm="1">
        <f t="array" ref="H132">EntericMethane_Dairy_Equations.VEERG_3_3_1_1__2_DailyEntericMethaneProduction(H115)</f>
        <v>0.11207698839843752</v>
      </c>
      <c r="I132" s="2" t="str">
        <f>$E$125</f>
        <v>kg CH4/head/day</v>
      </c>
      <c r="M132" s="52" cm="1">
        <f t="array" ref="M132">EntericMethane_Dairy_Equations.VEERG_3_3_1_1__2_DailyEntericMethaneProduction(M115)</f>
        <v>0.38987037606640085</v>
      </c>
      <c r="N132" s="52" cm="1">
        <f t="array" ref="N132">EntericMethane_Dairy_Equations.VEERG_3_3_1_1__2_DailyEntericMethaneProduction(N115)</f>
        <v>0.15357057872831995</v>
      </c>
      <c r="O132" s="52" cm="1">
        <f t="array" ref="O132">EntericMethane_Dairy_Equations.VEERG_3_3_1_1__2_DailyEntericMethaneProduction(O115)</f>
        <v>8.3279690750857505E-2</v>
      </c>
      <c r="P132" s="52" cm="1">
        <f t="array" ref="P132">EntericMethane_Dairy_Equations.VEERG_3_3_1_1__2_DailyEntericMethaneProduction(P115)</f>
        <v>0.18685931917499995</v>
      </c>
      <c r="Q132" s="52"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6"/>
      <c r="D135" s="46"/>
      <c r="E135" s="46"/>
      <c r="F135" s="46"/>
      <c r="G135" s="46"/>
      <c r="H135" s="46"/>
      <c r="I135" s="46"/>
      <c r="J135" s="46"/>
      <c r="L135" s="46"/>
      <c r="M135" s="46"/>
      <c r="N135" s="46"/>
      <c r="O135" s="46"/>
      <c r="P135" s="46"/>
      <c r="Q135" s="46"/>
      <c r="R135" s="46"/>
      <c r="S135" s="46"/>
    </row>
    <row r="136" spans="3:19" ht="20.100000000000001" customHeight="1" x14ac:dyDescent="0.25">
      <c r="D136" s="48"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5"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22</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4:9" ht="20.100000000000001" customHeight="1" x14ac:dyDescent="0.25">
      <c r="D145" s="53" t="s">
        <v>25</v>
      </c>
      <c r="E145" s="1" t="str" cm="1">
        <f t="array" ref="E145">EntericMethane_Dairy_Equations.VEERG_3_3_1_1__1_TotalAnnualMethaneFromEntericFermentation_Variable()</f>
        <v>E_enteric</v>
      </c>
    </row>
    <row r="146" spans="4:9" ht="20.100000000000001" customHeight="1" x14ac:dyDescent="0.25">
      <c r="D146" s="53" t="s">
        <v>15</v>
      </c>
      <c r="E146" s="54" t="str" cm="1">
        <f t="array" ref="E146">EntericMethane_Dairy_Equations.VEERG_3_3_1_1__1_TotalAnnualMethaneFromEntericFermentation_Unit()</f>
        <v>t CH4</v>
      </c>
    </row>
    <row r="147" spans="4:9" ht="20.100000000000001" customHeight="1" x14ac:dyDescent="0.25"/>
    <row r="148" spans="4:9" ht="20.100000000000001" customHeight="1" x14ac:dyDescent="0.25">
      <c r="D148" s="118" t="str" cm="1">
        <f t="array" ref="D148:E155">_xlfn.CHOOSECOLS(EntericMethane_Dairy_Equations.VEERG_3_3_1_1__1_TotalAnnualMethaneFromEntericFermentation_Arguments(),1,2)</f>
        <v>N_j124</v>
      </c>
      <c r="E148" s="117" t="str">
        <v>number of dairy cattle in classes j=1,2,4</v>
      </c>
      <c r="F148" s="119"/>
      <c r="G148" s="118" t="str" cm="1">
        <f t="array" ref="G148:H155">_xlfn.CHOOSECOLS(EntericMethane_Dairy_Equations.VEERG_3_3_1_1__1_TotalAnnualMethaneFromEntericFermentation_Arguments(),3,4)</f>
        <v>head</v>
      </c>
      <c r="H148" s="116" t="str">
        <v>Input</v>
      </c>
      <c r="I148" s="115" t="str" cm="1">
        <f t="array" aca="1" ref="I148" ca="1">HYPERLINK(Common_InputFunctions.Utility_SourceHyperlink($D$157),$D$157)</f>
        <v>Table_N_j</v>
      </c>
    </row>
    <row r="149" spans="4:9" ht="20.100000000000001" customHeight="1" x14ac:dyDescent="0.25">
      <c r="D149" s="118" t="str">
        <v>M_j124</v>
      </c>
      <c r="E149" s="117" t="str">
        <v>daily enteric methane production for classes j=1,2,4</v>
      </c>
      <c r="F149" s="119"/>
      <c r="G149" s="118" t="str">
        <v>kg CH4/head/day</v>
      </c>
      <c r="H149" s="114" t="str">
        <v>Calculated from 3.3.1.1 (2)</v>
      </c>
      <c r="I149" s="115" t="str" cm="1">
        <f t="array" aca="1" ref="I149" ca="1">HYPERLINK(Common_InputFunctions.Utility_SourceHyperlink($D$129),$D$129)</f>
        <v>M1_Table_M_j</v>
      </c>
    </row>
    <row r="150" spans="4:9" ht="20.100000000000001" customHeight="1" x14ac:dyDescent="0.25">
      <c r="D150" s="118" t="str">
        <v>D_j124</v>
      </c>
      <c r="E150" s="117" t="str">
        <v>duration of stay on the farm for classes j=1,2,4</v>
      </c>
      <c r="F150" s="119"/>
      <c r="G150" s="118" t="str">
        <v>days</v>
      </c>
      <c r="H150" s="116" t="str">
        <v>Input</v>
      </c>
      <c r="I150" s="115" t="str" cm="1">
        <f t="array" aca="1" ref="I150" ca="1">HYPERLINK(Common_InputFunctions.Utility_SourceHyperlink($D$162),$D$162)</f>
        <v>M1_Table_D_j</v>
      </c>
    </row>
    <row r="151" spans="4:9" ht="20.100000000000001" customHeight="1" x14ac:dyDescent="0.25">
      <c r="D151" s="118" t="str">
        <v>N_j35</v>
      </c>
      <c r="E151" s="117" t="str">
        <v>number of dairy cattle in classes j=3,5</v>
      </c>
      <c r="F151" s="119"/>
      <c r="G151" s="118" t="str">
        <v>head</v>
      </c>
      <c r="H151" s="116" t="str">
        <v>Input</v>
      </c>
      <c r="I151" s="115" t="str" cm="1">
        <f t="array" aca="1" ref="I151" ca="1">HYPERLINK(Common_InputFunctions.Utility_SourceHyperlink($D$157),$D$157)</f>
        <v>Table_N_j</v>
      </c>
    </row>
    <row r="152" spans="4:9" ht="20.100000000000001" customHeight="1" x14ac:dyDescent="0.25">
      <c r="D152" s="118" t="str">
        <v>M_j35</v>
      </c>
      <c r="E152" s="117" t="str">
        <v>daily enteric methane production for weaned classes j=3,5</v>
      </c>
      <c r="F152" s="119"/>
      <c r="G152" s="118" t="str">
        <v>kg CH4/head/day</v>
      </c>
      <c r="H152" s="114" t="str">
        <v>Calculated from 3.3.1.1 (2)</v>
      </c>
      <c r="I152" s="115" t="str" cm="1">
        <f t="array" aca="1" ref="I152" ca="1">HYPERLINK(Common_InputFunctions.Utility_SourceHyperlink($D$129),$D$129)</f>
        <v>M1_Table_M_j</v>
      </c>
    </row>
    <row r="153" spans="4:9" ht="20.100000000000001" customHeight="1" x14ac:dyDescent="0.25">
      <c r="D153" s="118" t="str">
        <v>D_j35</v>
      </c>
      <c r="E153" s="117" t="str">
        <v>duration of stay on the farm for weaned classes j=3,5</v>
      </c>
      <c r="F153" s="119"/>
      <c r="G153" s="118" t="str">
        <v>days</v>
      </c>
      <c r="H153" s="116" t="str">
        <v>Input</v>
      </c>
      <c r="I153" s="115" t="str" cm="1">
        <f t="array" aca="1" ref="I153" ca="1">HYPERLINK(Common_InputFunctions.Utility_SourceHyperlink($D$162),$D$162)</f>
        <v>M1_Table_D_j</v>
      </c>
    </row>
    <row r="154" spans="4:9" ht="20.100000000000001" customHeight="1" x14ac:dyDescent="0.25">
      <c r="D154" s="118" t="str">
        <v>DPW_j35</v>
      </c>
      <c r="E154" s="117" t="str">
        <v>duration of stay on the farm for pre-weaned heifer and bull calves</v>
      </c>
      <c r="F154" s="119"/>
      <c r="G154" s="118" t="str">
        <v>days</v>
      </c>
      <c r="H154" s="116" t="str">
        <v>Input</v>
      </c>
      <c r="I154" s="115" t="str" cm="1">
        <f t="array" aca="1" ref="I154" ca="1">HYPERLINK(Common_InputFunctions.Utility_SourceHyperlink($D$167),$D$167)</f>
        <v>M1_Table_DPW_j-3-5</v>
      </c>
    </row>
    <row r="155" spans="4:9" ht="20.100000000000001" customHeight="1" x14ac:dyDescent="0.25">
      <c r="D155" s="118" t="str">
        <v>MPW_ENTERIC_j35</v>
      </c>
      <c r="E155" s="118" t="str">
        <v>daily methane production for pre-weaned heifer and bull calves</v>
      </c>
      <c r="F155" s="118"/>
      <c r="G155" s="118" t="str">
        <v>kg CH4/head/day</v>
      </c>
      <c r="H155" s="114" t="str">
        <v>Constant</v>
      </c>
      <c r="I155" s="115" t="str" cm="1">
        <f t="array" aca="1" ref="I155" ca="1">HYPERLINK(Common_InputFunctions.Utility_SourceHyperlink($D$172),$D$172)</f>
        <v>M1_Table_MPW_j-3-5</v>
      </c>
    </row>
    <row r="156" spans="4:9" ht="20.100000000000001" customHeight="1" x14ac:dyDescent="0.25"/>
    <row r="157" spans="4:9" ht="20.100000000000001" customHeight="1" x14ac:dyDescent="0.25">
      <c r="D157" s="97" t="s">
        <v>95</v>
      </c>
    </row>
    <row r="158" spans="4:9" ht="20.100000000000001" customHeight="1" x14ac:dyDescent="0.25">
      <c r="D158" s="96" t="s">
        <v>218</v>
      </c>
    </row>
    <row r="159" spans="4:9" ht="20.100000000000001" customHeight="1" x14ac:dyDescent="0.25">
      <c r="D159" s="40" t="s">
        <v>124</v>
      </c>
      <c r="E159" s="40" t="s">
        <v>141</v>
      </c>
      <c r="F159" s="40" t="s">
        <v>142</v>
      </c>
      <c r="G159" s="40" t="s">
        <v>143</v>
      </c>
      <c r="H159" s="40" t="s">
        <v>144</v>
      </c>
    </row>
    <row r="160" spans="4:9" ht="20.100000000000001" customHeight="1" x14ac:dyDescent="0.25">
      <c r="D160" s="52">
        <f>'Input - Dairy'!E10</f>
        <v>100</v>
      </c>
      <c r="E160" s="52">
        <f>'Input - Dairy'!F10</f>
        <v>100</v>
      </c>
      <c r="F160" s="52">
        <f>'Input - Dairy'!G10</f>
        <v>100</v>
      </c>
      <c r="G160" s="52">
        <f>'Input - Dairy'!H10</f>
        <v>100</v>
      </c>
      <c r="H160" s="52">
        <f>'Input - Dairy'!I10</f>
        <v>100</v>
      </c>
      <c r="I160" s="54" t="str">
        <f>$G$148</f>
        <v>head</v>
      </c>
    </row>
    <row r="161" spans="4:18" ht="20.100000000000001" customHeight="1" x14ac:dyDescent="0.25"/>
    <row r="162" spans="4:18" ht="20.100000000000001" customHeight="1" x14ac:dyDescent="0.25">
      <c r="D162" s="97" t="s">
        <v>184</v>
      </c>
      <c r="M162" s="97" t="s">
        <v>185</v>
      </c>
    </row>
    <row r="163" spans="4:18" ht="20.100000000000001" customHeight="1" x14ac:dyDescent="0.25">
      <c r="D163" s="96" t="s">
        <v>219</v>
      </c>
      <c r="M163" s="96" t="s">
        <v>221</v>
      </c>
    </row>
    <row r="164" spans="4:18" ht="20.100000000000001" customHeight="1" x14ac:dyDescent="0.25">
      <c r="D164" s="40" t="s">
        <v>124</v>
      </c>
      <c r="E164" s="40" t="s">
        <v>141</v>
      </c>
      <c r="F164" s="40" t="s">
        <v>142</v>
      </c>
      <c r="G164" s="40" t="s">
        <v>143</v>
      </c>
      <c r="H164" s="40" t="s">
        <v>144</v>
      </c>
      <c r="M164" s="40" t="s">
        <v>124</v>
      </c>
      <c r="N164" s="40" t="s">
        <v>141</v>
      </c>
      <c r="O164" s="40" t="s">
        <v>142</v>
      </c>
      <c r="P164" s="40" t="s">
        <v>143</v>
      </c>
      <c r="Q164" s="40" t="s">
        <v>144</v>
      </c>
    </row>
    <row r="165" spans="4:18" ht="20.100000000000001" customHeight="1" x14ac:dyDescent="0.25">
      <c r="D165" s="52">
        <f>'Input - Dairy'!E24</f>
        <v>365</v>
      </c>
      <c r="E165" s="52">
        <f>'Input - Dairy'!F24</f>
        <v>365</v>
      </c>
      <c r="F165" s="52">
        <f>'Input - Dairy'!G24</f>
        <v>281</v>
      </c>
      <c r="G165" s="52">
        <f>'Input - Dairy'!H24</f>
        <v>365</v>
      </c>
      <c r="H165" s="52">
        <f>'Input - Dairy'!I24</f>
        <v>281</v>
      </c>
      <c r="I165" s="54" t="str">
        <f>$G$150</f>
        <v>days</v>
      </c>
      <c r="M165" s="52">
        <f>'Input - Dairy'!E28</f>
        <v>365</v>
      </c>
      <c r="N165" s="52">
        <f>'Input - Dairy'!F28</f>
        <v>365</v>
      </c>
      <c r="O165" s="52">
        <f>'Input - Dairy'!G28</f>
        <v>281</v>
      </c>
      <c r="P165" s="52">
        <f>'Input - Dairy'!H28</f>
        <v>365</v>
      </c>
      <c r="Q165" s="52">
        <f>'Input - Dairy'!I28</f>
        <v>281</v>
      </c>
      <c r="R165" s="54" t="str">
        <f>$G$150</f>
        <v>days</v>
      </c>
    </row>
    <row r="166" spans="4:18" ht="20.100000000000001" customHeight="1" x14ac:dyDescent="0.25"/>
    <row r="167" spans="4:18" ht="20.100000000000001" customHeight="1" x14ac:dyDescent="0.25">
      <c r="D167" s="97" t="s">
        <v>224</v>
      </c>
      <c r="M167" s="97" t="s">
        <v>222</v>
      </c>
    </row>
    <row r="168" spans="4:18" ht="20.100000000000001" customHeight="1" x14ac:dyDescent="0.25">
      <c r="D168" s="96" t="s">
        <v>220</v>
      </c>
      <c r="M168" s="96" t="s">
        <v>223</v>
      </c>
    </row>
    <row r="169" spans="4:18" ht="20.100000000000001" customHeight="1" x14ac:dyDescent="0.25">
      <c r="D169" s="40" t="s">
        <v>124</v>
      </c>
      <c r="E169" s="40" t="s">
        <v>141</v>
      </c>
      <c r="F169" s="40" t="s">
        <v>142</v>
      </c>
      <c r="G169" s="40" t="s">
        <v>143</v>
      </c>
      <c r="H169" s="40" t="s">
        <v>144</v>
      </c>
      <c r="M169" s="40" t="s">
        <v>124</v>
      </c>
      <c r="N169" s="40" t="s">
        <v>141</v>
      </c>
      <c r="O169" s="40" t="s">
        <v>142</v>
      </c>
      <c r="P169" s="40" t="s">
        <v>143</v>
      </c>
      <c r="Q169" s="40" t="s">
        <v>144</v>
      </c>
    </row>
    <row r="170" spans="4:18" ht="20.100000000000001" customHeight="1" x14ac:dyDescent="0.25">
      <c r="D170" s="52">
        <f>'Input - Dairy'!E25</f>
        <v>0</v>
      </c>
      <c r="E170" s="52">
        <f>'Input - Dairy'!F29</f>
        <v>0</v>
      </c>
      <c r="F170" s="52">
        <f>'Input - Dairy'!G29</f>
        <v>84</v>
      </c>
      <c r="G170" s="52">
        <f>'Input - Dairy'!H29</f>
        <v>0</v>
      </c>
      <c r="H170" s="52">
        <f>'Input - Dairy'!I29</f>
        <v>84</v>
      </c>
      <c r="I170" s="54" t="str">
        <f>$G$150</f>
        <v>days</v>
      </c>
      <c r="M170" s="52">
        <f>'Input - Dairy'!E29</f>
        <v>0</v>
      </c>
      <c r="N170" s="52">
        <f>'Input - Dairy'!F29</f>
        <v>0</v>
      </c>
      <c r="O170" s="52">
        <f>'Input - Dairy'!G29</f>
        <v>84</v>
      </c>
      <c r="P170" s="52">
        <f>'Input - Dairy'!H29</f>
        <v>0</v>
      </c>
      <c r="Q170" s="52">
        <f>'Input - Dairy'!I29</f>
        <v>84</v>
      </c>
      <c r="R170" s="54" t="str">
        <f>$G$150</f>
        <v>days</v>
      </c>
    </row>
    <row r="171" spans="4:18" ht="20.100000000000001" customHeight="1" x14ac:dyDescent="0.25"/>
    <row r="172" spans="4:18" ht="20.100000000000001" customHeight="1" x14ac:dyDescent="0.25">
      <c r="D172" s="97" t="s">
        <v>225</v>
      </c>
    </row>
    <row r="173" spans="4:18" ht="20.100000000000001" customHeight="1" x14ac:dyDescent="0.25">
      <c r="D173" s="96" t="s">
        <v>220</v>
      </c>
    </row>
    <row r="174" spans="4:18" ht="20.100000000000001" customHeight="1" x14ac:dyDescent="0.25">
      <c r="D174" s="51" t="s">
        <v>142</v>
      </c>
      <c r="E174" s="51" t="s">
        <v>144</v>
      </c>
    </row>
    <row r="175" spans="4:18" ht="20.100000000000001" customHeight="1" x14ac:dyDescent="0.25">
      <c r="D175" s="52">
        <f>'Constants - Dairy'!$E$99</f>
        <v>1.7600000000000001E-2</v>
      </c>
      <c r="E175" s="52">
        <f>'Constants - Dairy'!$E$100</f>
        <v>2.0400000000000001E-2</v>
      </c>
      <c r="F175" s="54" t="str">
        <f>G155</f>
        <v>kg CH4/head/day</v>
      </c>
    </row>
    <row r="176" spans="4:18" ht="20.100000000000001" customHeight="1" x14ac:dyDescent="0.25"/>
    <row r="177" spans="1:18" ht="20.100000000000001" customHeight="1" x14ac:dyDescent="0.25">
      <c r="D177" s="97" t="s">
        <v>226</v>
      </c>
      <c r="M177" s="97" t="s">
        <v>226</v>
      </c>
    </row>
    <row r="178" spans="1:18" ht="20.100000000000001" customHeight="1" x14ac:dyDescent="0.25">
      <c r="A178" s="121" t="str">
        <f>HYPERLINK("#A1", "▲ Back to top")</f>
        <v>▲ Back to top</v>
      </c>
      <c r="D178" s="96" t="s">
        <v>227</v>
      </c>
      <c r="M178" s="96" t="s">
        <v>227</v>
      </c>
    </row>
    <row r="179" spans="1:18" ht="20.100000000000001" customHeight="1" x14ac:dyDescent="0.25">
      <c r="D179" s="51" t="s">
        <v>124</v>
      </c>
      <c r="E179" s="51" t="s">
        <v>141</v>
      </c>
      <c r="F179" s="51" t="s">
        <v>142</v>
      </c>
      <c r="G179" s="51" t="s">
        <v>143</v>
      </c>
      <c r="H179" s="51" t="s">
        <v>144</v>
      </c>
      <c r="M179" s="51" t="s">
        <v>124</v>
      </c>
      <c r="N179" s="51" t="s">
        <v>141</v>
      </c>
      <c r="O179" s="51" t="s">
        <v>142</v>
      </c>
      <c r="P179" s="51" t="s">
        <v>143</v>
      </c>
      <c r="Q179" s="51" t="s">
        <v>144</v>
      </c>
    </row>
    <row r="180" spans="1:18" ht="20.100000000000001" customHeight="1" x14ac:dyDescent="0.25">
      <c r="D180" s="52" cm="1">
        <f t="array" ref="D180">EntericMethane_Dairy_Equations.VEERG_3_3_1_1__1_TotalAnnualMethaneFromEntericFermentationVariation(D160,D132,D165,0,0,0,0,0)</f>
        <v>14.230268726423633</v>
      </c>
      <c r="E180" s="52" cm="1">
        <f t="array" ref="E180">EntericMethane_Dairy_Equations.VEERG_3_3_1_1__1_TotalAnnualMethaneFromEntericFermentationVariation(E160,E132,E165,0,0,0,0,0)</f>
        <v>5.6053261235836782</v>
      </c>
      <c r="F180" s="52" cm="1">
        <f t="array" ref="F180">EntericMethane_Dairy_Equations.VEERG_3_3_1_1__1_TotalAnnualMethaneFromEntericFermentationVariation(0,0,0,F160,F132,F165,F170,$D$175)</f>
        <v>2.487999310099096</v>
      </c>
      <c r="G180" s="52" cm="1">
        <f t="array" ref="G180">EntericMethane_Dairy_Equations.VEERG_3_3_1_1__1_TotalAnnualMethaneFromEntericFermentationVariation(G160,G132,G165,0,0,0,0,0)</f>
        <v>6.8203651498874986</v>
      </c>
      <c r="H180" s="52" cm="1">
        <f t="array" ref="H180">EntericMethane_Dairy_Equations.VEERG_3_3_1_1__1_TotalAnnualMethaneFromEntericFermentationVariation(0,0,0,H160,H132,H165,H170,$E$175)</f>
        <v>3.3207233739960946</v>
      </c>
      <c r="I180" s="54" t="str">
        <f>$E$146</f>
        <v>t CH4</v>
      </c>
      <c r="M180" s="52" cm="1">
        <f t="array" ref="M180">EntericMethane_Dairy_Equations.VEERG_3_3_1_1__1_TotalAnnualMethaneFromEntericFermentationVariation(D160,M132,M165,0,0,0,0,0)</f>
        <v>14.230268726423633</v>
      </c>
      <c r="N180" s="52" cm="1">
        <f t="array" ref="N180">EntericMethane_Dairy_Equations.VEERG_3_3_1_1__1_TotalAnnualMethaneFromEntericFermentationVariation(E160,N132,N165,0,0,0,0,0)</f>
        <v>5.6053261235836782</v>
      </c>
      <c r="O180" s="52" cm="1">
        <f t="array" ref="O180">EntericMethane_Dairy_Equations.VEERG_3_3_1_1__1_TotalAnnualMethaneFromEntericFermentationVariation(0,0,0,F160,O132,O165,O170,$D$175)</f>
        <v>2.487999310099096</v>
      </c>
      <c r="P180" s="52" cm="1">
        <f t="array" ref="P180">EntericMethane_Dairy_Equations.VEERG_3_3_1_1__1_TotalAnnualMethaneFromEntericFermentationVariation(G160,P132,P165,0,0,0,0,0)</f>
        <v>6.8203651498874986</v>
      </c>
      <c r="Q180" s="52" cm="1">
        <f t="array" ref="Q180">EntericMethane_Dairy_Equations.VEERG_3_3_1_1__1_TotalAnnualMethaneFromEntericFermentationVariation(0,0,0,H160,Q132,Q165,Q170,$E$175)</f>
        <v>3.3207233739960946</v>
      </c>
      <c r="R180" s="54" t="str">
        <f>$E$146</f>
        <v>t CH4</v>
      </c>
    </row>
    <row r="181" spans="1:18" ht="20.100000000000001" customHeight="1" x14ac:dyDescent="0.25"/>
    <row r="182" spans="1:18" ht="20.100000000000001" customHeight="1" x14ac:dyDescent="0.25">
      <c r="D182" s="99" t="s">
        <v>228</v>
      </c>
      <c r="E182" s="100">
        <f>SUM(D180:H180)</f>
        <v>32.464682683989999</v>
      </c>
      <c r="F182" s="101" t="str">
        <f>$E$146</f>
        <v>t CH4</v>
      </c>
      <c r="M182" s="99" t="s">
        <v>228</v>
      </c>
      <c r="N182" s="100">
        <f>SUM(M180:Q180)</f>
        <v>32.464682683989999</v>
      </c>
      <c r="O182" s="101" t="str">
        <f>$E$146</f>
        <v>t CH4</v>
      </c>
    </row>
    <row r="183" spans="1:18" ht="20.100000000000001" customHeight="1" x14ac:dyDescent="0.25"/>
    <row r="184" spans="1:18" ht="20.100000000000001" customHeight="1" x14ac:dyDescent="0.25">
      <c r="D184" s="57" t="str" cm="1">
        <f t="array" ref="D184:E185">Common_Equations.Common_ConvertCH4ToCO2e_Arguments()</f>
        <v>ECH4</v>
      </c>
      <c r="E184" s="58" t="str">
        <v>Methane emissions (t CH4)</v>
      </c>
      <c r="F184" s="102"/>
      <c r="G184" s="52">
        <f>E182</f>
        <v>32.464682683989999</v>
      </c>
      <c r="M184" s="57" t="str" cm="1">
        <f t="array" ref="M184:N185">Common_Equations.Common_ConvertCH4ToCO2e_Arguments()</f>
        <v>ECH4</v>
      </c>
      <c r="N184" s="58" t="str">
        <v>Methane emissions (t CH4)</v>
      </c>
      <c r="O184" s="102"/>
      <c r="P184" s="52">
        <f>N182</f>
        <v>32.464682683989999</v>
      </c>
    </row>
    <row r="185" spans="1:18" ht="20.100000000000001" customHeight="1" x14ac:dyDescent="0.25">
      <c r="D185" s="57" t="str">
        <v>GWPCH4</v>
      </c>
      <c r="E185" s="58" t="str">
        <v>Global warming potential for methane (t CO2-e / t CH4)</v>
      </c>
      <c r="F185" s="102"/>
      <c r="G185" s="52">
        <f>Common_InputFunctions.Utility_LookupValueInTableNumber("CH4",Table_GWPData[Gas],Table_GWPData[CO2-e factor])</f>
        <v>28</v>
      </c>
      <c r="M185" s="57" t="str">
        <v>GWPCH4</v>
      </c>
      <c r="N185" s="58" t="str">
        <v>Global warming potential for methane (t CO2-e / t CH4)</v>
      </c>
      <c r="O185" s="102"/>
      <c r="P185" s="52">
        <f>Common_InputFunctions.Utility_LookupValueInTableNumber("CH4",Table_GWPData[Gas],Table_GWPData[CO2-e factor])</f>
        <v>28</v>
      </c>
    </row>
    <row r="186" spans="1:18" ht="20.100000000000001" customHeight="1" x14ac:dyDescent="0.25"/>
    <row r="187" spans="1:18" ht="20.100000000000001" customHeight="1" x14ac:dyDescent="0.25">
      <c r="D187" s="46" t="s">
        <v>96</v>
      </c>
      <c r="E187" s="46" cm="1">
        <f t="array" ref="E187">Common_Equations.Common_ConvertN2OToCO2e(G184,G185)</f>
        <v>909.01111515171999</v>
      </c>
      <c r="F187" s="103" t="str" cm="1">
        <f t="array" ref="F187">Common_Equations.Common_ConvertN2OToCO2e_Unit()</f>
        <v>t CO2e</v>
      </c>
      <c r="M187" s="46" t="s">
        <v>96</v>
      </c>
      <c r="N187" s="46" cm="1">
        <f t="array" ref="N187">Common_Equations.Common_ConvertN2OToCO2e(P184,P185)</f>
        <v>909.01111515171999</v>
      </c>
      <c r="O187" s="103"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1"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1"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5" t="e" vm="1">
        <v>#VALUE!</v>
      </c>
      <c r="C1" s="8" t="s">
        <v>231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121</v>
      </c>
      <c r="G5" s="6" t="s">
        <v>122</v>
      </c>
      <c r="J5" s="6" t="s">
        <v>112</v>
      </c>
      <c r="M5" s="1"/>
    </row>
    <row r="6" spans="1:21" ht="20.100000000000001" customHeight="1" x14ac:dyDescent="0.25">
      <c r="M6" s="1"/>
    </row>
    <row r="7" spans="1:21" ht="20.100000000000001" customHeight="1" x14ac:dyDescent="0.25">
      <c r="D7" s="95" t="s">
        <v>63</v>
      </c>
      <c r="E7" s="38" t="s">
        <v>73</v>
      </c>
      <c r="G7" s="38" t="s">
        <v>111</v>
      </c>
      <c r="J7" s="38" t="s">
        <v>109</v>
      </c>
      <c r="M7" s="1"/>
    </row>
    <row r="8" spans="1:21" ht="20.100000000000001" customHeight="1" x14ac:dyDescent="0.25">
      <c r="A8" s="19" t="s">
        <v>0</v>
      </c>
      <c r="D8" s="38" t="str">
        <f>'Constants - Livestock'!$E$9</f>
        <v>Anaerobic lagoon</v>
      </c>
      <c r="E8" s="38" t="str">
        <f>'Constants - Livestock'!$F$9</f>
        <v>Anaerobic lagoon (m=1)</v>
      </c>
      <c r="G8" s="38" t="str">
        <f>'Constants - Common'!$F$187</f>
        <v>Pasture</v>
      </c>
      <c r="J8" s="38" t="s">
        <v>113</v>
      </c>
      <c r="M8" s="1"/>
    </row>
    <row r="9" spans="1:21" ht="20.100000000000001" customHeight="1" x14ac:dyDescent="0.25">
      <c r="A9" s="17" t="str">
        <f>HYPERLINK("#'Input - Site'!A1", "Site")</f>
        <v>Site</v>
      </c>
      <c r="D9" s="38" t="str">
        <f>'Constants - Livestock'!$E$12</f>
        <v>Sump and dispersal system</v>
      </c>
      <c r="E9" s="38" t="str">
        <f>'Constants - Livestock'!$F$12</f>
        <v>Sump and dispersal system (m=3a)</v>
      </c>
      <c r="G9" s="1" t="str">
        <f>'Constants - Common'!$F$188</f>
        <v>Crop</v>
      </c>
      <c r="J9" s="38" t="s">
        <v>114</v>
      </c>
      <c r="M9" s="1"/>
    </row>
    <row r="10" spans="1:21" ht="20.100000000000001" customHeight="1" x14ac:dyDescent="0.25">
      <c r="A10" s="17" t="str">
        <f>HYPERLINK("#'Input - Dairy'!A1", "Dairy")</f>
        <v>Dairy</v>
      </c>
      <c r="D10" s="38" t="str">
        <f>'Constants - Livestock'!$E$13</f>
        <v>Drains to paddock</v>
      </c>
      <c r="E10" s="38" t="str">
        <f>'Constants - Livestock'!$F$13</f>
        <v>Drains to paddock (m=3b)</v>
      </c>
      <c r="J10" s="1" t="s">
        <v>115</v>
      </c>
      <c r="M10" s="1"/>
    </row>
    <row r="11" spans="1:21" ht="20.100000000000001" customHeight="1" x14ac:dyDescent="0.25">
      <c r="D11" s="38" t="str">
        <f>'Constants - Livestock'!$E$14</f>
        <v>Solid storage</v>
      </c>
      <c r="E11" s="38" t="str">
        <f>'Constants - Livestock'!$F$14</f>
        <v>Solid storage (m=4)</v>
      </c>
      <c r="J11" s="1" t="s">
        <v>116</v>
      </c>
      <c r="M11" s="1"/>
    </row>
    <row r="12" spans="1:21" ht="20.100000000000001" customHeight="1" x14ac:dyDescent="0.25">
      <c r="J12" s="1" t="s">
        <v>117</v>
      </c>
      <c r="M12" s="1"/>
    </row>
    <row r="13" spans="1:21" ht="20.100000000000001" customHeight="1" x14ac:dyDescent="0.25">
      <c r="A13" s="18" t="s">
        <v>69</v>
      </c>
      <c r="M13" s="1"/>
    </row>
    <row r="14" spans="1:21" ht="20.100000000000001" customHeight="1" x14ac:dyDescent="0.25">
      <c r="A14" s="17" t="str">
        <f>HYPERLINK("#'3.3.1.1-2 Enteric Methane'!A1", "3.3.1.1-2 Enteric Methane")</f>
        <v>3.3.1.1-2 Enteric Methane</v>
      </c>
      <c r="M14" s="1"/>
    </row>
    <row r="15" spans="1:21" ht="20.100000000000001" customHeight="1" x14ac:dyDescent="0.25">
      <c r="M15" s="1"/>
    </row>
    <row r="16" spans="1:21" ht="20.100000000000001" customHeight="1" x14ac:dyDescent="0.25">
      <c r="D16" s="6" t="str" cm="1">
        <f t="array" ref="D16">SourceData_Dairy.SourceData_Dairy_LiveweightCowsAndHeifers_Title()</f>
        <v>Table A.1.3.1: Dairy cattle - Liveweight (kg) - Cows and Heifers (Wj)</v>
      </c>
      <c r="M16" s="1"/>
    </row>
    <row r="17" spans="1:13" ht="20.100000000000001" customHeight="1" x14ac:dyDescent="0.25">
      <c r="A17" s="129" t="s">
        <v>1</v>
      </c>
      <c r="D17" s="5" t="str" cm="1">
        <f t="array" ref="D17">SourceData_Dairy.SourceData_Dairy_LiveweightCowsAndHeifers_Source()</f>
        <v>VEERG 2026: Table A.1.3.1</v>
      </c>
      <c r="M17" s="1"/>
    </row>
    <row r="18" spans="1:13" ht="20.100000000000001" customHeight="1" x14ac:dyDescent="0.25">
      <c r="A18" s="66" t="str">
        <f>HYPERLINK("#'Constants - Dairy'!A1", "Constants - Dairy")</f>
        <v>Constants - Dairy</v>
      </c>
      <c r="D18" s="1" t="str" cm="1">
        <f t="array" ref="D18">SourceData_Dairy.SourceData_Dairy_LiveweightCowsAndHeifers_Variable()</f>
        <v>Wj</v>
      </c>
      <c r="M18" s="1"/>
    </row>
    <row r="19" spans="1:13" ht="20.100000000000001" customHeight="1" x14ac:dyDescent="0.25">
      <c r="A19" s="17" t="str">
        <f>HYPERLINK("#'Constants - Common'!A1", "Constants - Common")</f>
        <v>Constants - Common</v>
      </c>
      <c r="D19" s="54" t="str" cm="1">
        <f t="array" ref="D19">SourceData_Dairy.SourceData_Dairy_LiveweightCowsAndHeifers_Unit()</f>
        <v>kg</v>
      </c>
      <c r="M19" s="1"/>
    </row>
    <row r="20" spans="1:13" ht="20.100000000000001" customHeight="1" x14ac:dyDescent="0.25">
      <c r="A20" s="17" t="str">
        <f>HYPERLINK("#'Constants - Livestock'!A1", "Constants - Livestock")</f>
        <v>Constants - Livestock</v>
      </c>
      <c r="D20" s="55"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HYPERLINK("#'Acknowledgements'!A1", "Acknowledgements")</f>
        <v>Acknowledgements</v>
      </c>
      <c r="D21" s="38" t="s">
        <v>123</v>
      </c>
      <c r="E21" s="38" t="s">
        <v>124</v>
      </c>
      <c r="F21" s="38" t="s">
        <v>125</v>
      </c>
      <c r="G21" s="38" t="s">
        <v>126</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4" t="str" cm="1">
        <f t="array" ref="D37">SourceData_Dairy.SourceData_Dairy_LiveweightBulls_Unit()</f>
        <v>kg</v>
      </c>
      <c r="M37" s="1"/>
    </row>
    <row r="38" spans="4:13" ht="20.100000000000001" customHeight="1" x14ac:dyDescent="0.25">
      <c r="D38" s="38" t="s">
        <v>123</v>
      </c>
      <c r="E38" s="38" t="s">
        <v>128</v>
      </c>
      <c r="F38" s="38" t="s">
        <v>127</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4" t="str" cm="1">
        <f t="array" ref="D45">SourceData_Dairy.SourceData_Dairy_LiveweightGain_Unit()</f>
        <v>kg</v>
      </c>
      <c r="M45" s="1"/>
    </row>
    <row r="46" spans="4:13" ht="20.100000000000001" customHeight="1" x14ac:dyDescent="0.25">
      <c r="D46" s="38" t="s">
        <v>124</v>
      </c>
      <c r="E46" s="38" t="s">
        <v>125</v>
      </c>
      <c r="F46" s="38" t="s">
        <v>126</v>
      </c>
      <c r="G46" s="38" t="s">
        <v>128</v>
      </c>
      <c r="H46" s="38" t="s">
        <v>127</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4" t="str" cm="1">
        <f t="array" ref="D53">SourceData_Dairy.SourceData_Dairy_ReferenceWeights_Unit()</f>
        <v>kg</v>
      </c>
      <c r="M53" s="1"/>
    </row>
    <row r="54" spans="4:13" ht="20.100000000000001" customHeight="1" x14ac:dyDescent="0.25">
      <c r="D54" s="112" t="s">
        <v>124</v>
      </c>
      <c r="E54" s="112" t="s">
        <v>125</v>
      </c>
      <c r="F54" s="112" t="s">
        <v>126</v>
      </c>
      <c r="G54" s="112" t="s">
        <v>128</v>
      </c>
      <c r="H54" s="112" t="s">
        <v>127</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4" t="str" cm="1">
        <f t="array" ref="D61">SourceData_Dairy.SourceData_Dairy_PreWeanedCalves_Unit()</f>
        <v>kg/day</v>
      </c>
      <c r="M61" s="1"/>
    </row>
    <row r="62" spans="4:13" ht="20.100000000000001" customHeight="1" x14ac:dyDescent="0.25">
      <c r="D62" s="38" t="s">
        <v>129</v>
      </c>
      <c r="E62" s="38" t="s">
        <v>130</v>
      </c>
      <c r="F62" s="38" t="s">
        <v>131</v>
      </c>
      <c r="G62" s="38" t="s">
        <v>132</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4" t="str" cm="1">
        <f t="array" ref="D70">SourceData_Dairy.SourceData_Dairy_MCF_Unit()</f>
        <v>fraction</v>
      </c>
      <c r="M70" s="1"/>
    </row>
    <row r="71" spans="4:22" ht="20.100000000000001" customHeight="1" x14ac:dyDescent="0.25">
      <c r="D71" s="55" t="str" cm="1">
        <f t="array" ref="D71">SourceData_Dairy.SourceData_Dairy_MCF_Variation()</f>
        <v>VARIATION OF SOURCE: Added 'NIR reference' column to aid lookup</v>
      </c>
      <c r="M71" s="1"/>
      <c r="V71" s="1"/>
    </row>
    <row r="72" spans="4:22" ht="20.100000000000001" customHeight="1" x14ac:dyDescent="0.25">
      <c r="D72" s="38" t="s">
        <v>91</v>
      </c>
      <c r="E72" s="38" t="s">
        <v>74</v>
      </c>
      <c r="F72" s="38" t="s">
        <v>75</v>
      </c>
      <c r="G72" s="38" t="s">
        <v>76</v>
      </c>
      <c r="H72" s="38" t="s">
        <v>77</v>
      </c>
      <c r="I72" s="38" t="s">
        <v>78</v>
      </c>
      <c r="J72" s="38" t="s">
        <v>79</v>
      </c>
      <c r="K72" s="38" t="s">
        <v>80</v>
      </c>
      <c r="L72" s="38" t="s">
        <v>81</v>
      </c>
      <c r="M72" s="38" t="s">
        <v>140</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4" t="str" cm="1">
        <f t="array" ref="D84">SourceData_Dairy.SourceData_Dairy_NitrousOxideEFsAndFracGASM_Unit()</f>
        <v>kg N2O-N/kg N excreted</v>
      </c>
      <c r="M84" s="1"/>
    </row>
    <row r="85" spans="4:22" ht="20.100000000000001" customHeight="1" x14ac:dyDescent="0.25">
      <c r="D85" s="55" t="str" cm="1">
        <f t="array" ref="D85">SourceData_Dairy.SourceData_Dairy_NitrousOxideEFsAndFracGASM_Variation()</f>
        <v>VARIATION OF SOURCE: Added 'NIR reference' column to aid lookup</v>
      </c>
      <c r="M85" s="1"/>
      <c r="V85" s="1"/>
    </row>
    <row r="86" spans="4:22" ht="20.100000000000001" customHeight="1" x14ac:dyDescent="0.25">
      <c r="D86" s="38" t="s">
        <v>91</v>
      </c>
      <c r="E86" s="38" t="s">
        <v>133</v>
      </c>
      <c r="F86" s="38" t="s">
        <v>134</v>
      </c>
      <c r="G86" s="38" t="s">
        <v>140</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4" t="str" cm="1">
        <f t="array" ref="D97">SourceData_Dairy.SourceData_Dairy_MethaneProductionPreWeanedCalves_Unit()</f>
        <v>kg CH4/head/day</v>
      </c>
      <c r="M97" s="1"/>
    </row>
    <row r="98" spans="4:13" ht="20.100000000000001" customHeight="1" x14ac:dyDescent="0.25">
      <c r="D98" s="38" t="s">
        <v>129</v>
      </c>
      <c r="E98" s="38" t="s">
        <v>135</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4" t="str" cm="1">
        <f t="array" ref="D106">SourceData_Dairy.SourceData_Dairy_IncreasedMetabolicRateMilk_Unit()</f>
        <v/>
      </c>
      <c r="M106" s="1"/>
    </row>
    <row r="107" spans="4:13" ht="20.100000000000001" customHeight="1" x14ac:dyDescent="0.25">
      <c r="D107" s="38" t="s">
        <v>129</v>
      </c>
      <c r="E107" s="38" t="s">
        <v>136</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4" t="str" cm="1">
        <f t="array" ref="D115">SourceData_Dairy.SourceData_Dairy_FractionVolatileSolidsVoidedMMS_Unit()</f>
        <v>fraction</v>
      </c>
      <c r="M115" s="1"/>
      <c r="V115" s="1"/>
    </row>
    <row r="116" spans="4:22" ht="20.100000000000001" customHeight="1" x14ac:dyDescent="0.25">
      <c r="D116" s="38" t="s">
        <v>137</v>
      </c>
      <c r="E116" s="38" t="s">
        <v>110</v>
      </c>
      <c r="F116" s="38" t="s">
        <v>138</v>
      </c>
      <c r="G116" s="38" t="s">
        <v>139</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4" t="str" cm="1">
        <f t="array" ref="D126">SourceData_Dairy.SourceData_Dairy_EFNitrousOxidePerMMS_Unit()</f>
        <v>kg N2O-N/kg N</v>
      </c>
      <c r="M126" s="1"/>
      <c r="V126" s="1"/>
    </row>
    <row r="127" spans="4:22" ht="20.100000000000001" customHeight="1" x14ac:dyDescent="0.25">
      <c r="D127" s="55" t="str" cm="1">
        <f t="array" ref="D127">SourceData_Dairy.SourceData_Dairy_EFNitrousOxidePerMMS_Variation()</f>
        <v>VARIATION OF SOURCE: Added 'NIR reference' column to aid lookup</v>
      </c>
      <c r="M127" s="1"/>
      <c r="V127" s="1"/>
    </row>
    <row r="128" spans="4:22" ht="20.100000000000001" customHeight="1" x14ac:dyDescent="0.25">
      <c r="D128" s="38" t="s">
        <v>91</v>
      </c>
      <c r="E128" s="38" t="s">
        <v>133</v>
      </c>
      <c r="F128" s="38" t="s">
        <v>140</v>
      </c>
      <c r="G128" s="104" t="s">
        <v>152</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4" t="str" cm="1">
        <f t="array" ref="D139">SourceData_Dairy.SourceData_Dairy_DurationOfStay_Unit()</f>
        <v>days</v>
      </c>
      <c r="M139" s="23"/>
    </row>
    <row r="140" spans="4:22" ht="20.100000000000001" customHeight="1" x14ac:dyDescent="0.25">
      <c r="D140" s="55"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129</v>
      </c>
      <c r="E141" s="38" t="s">
        <v>150</v>
      </c>
      <c r="F141" s="38" t="s">
        <v>151</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4" t="str" cm="1">
        <f t="array" ref="D152">SourceData_Dairy.SourceData_Dairy_CrudeProtein_Unit()</f>
        <v>fraction</v>
      </c>
      <c r="M152" s="23"/>
    </row>
    <row r="153" spans="4:13" ht="20.100000000000001" customHeight="1" x14ac:dyDescent="0.25">
      <c r="D153" s="53"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4" t="str" cm="1">
        <f t="array" ref="D159">SourceData_Dairy.SourceData_Dairy_DryMatterDigestibility_Unit()</f>
        <v>fraction</v>
      </c>
      <c r="M159" s="23"/>
    </row>
    <row r="160" spans="4:13" ht="20.100000000000001" customHeight="1" x14ac:dyDescent="0.25">
      <c r="D160" s="53"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4" t="str" cm="1">
        <f t="array" ref="D166">SourceData_Dairy.SourceData_Dairy_NetEnergy_Unit()</f>
        <v>MJ net energy / kg milk</v>
      </c>
      <c r="M166" s="23"/>
    </row>
    <row r="167" spans="1:13" x14ac:dyDescent="0.25">
      <c r="D167" s="53"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4" t="str" cm="1">
        <f t="array" ref="D173">SourceData_Dairy.SourceData_Dairy_GrossEnergyContent_Unit()</f>
        <v>MJ / kgDM</v>
      </c>
      <c r="M173" s="23"/>
    </row>
    <row r="174" spans="1:13" x14ac:dyDescent="0.25">
      <c r="A174" s="121" t="str">
        <f>HYPERLINK("#A1", "▲ Back to top")</f>
        <v>▲ Back to top</v>
      </c>
      <c r="D174" s="53"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4" t="str" cm="1">
        <f t="array" ref="D180">SourceData_Dairy.SourceData_Dairy_EfficiencyOfUseOfMetabolizableEnergy_Unit()</f>
        <v>fraction</v>
      </c>
      <c r="M180" s="23"/>
    </row>
    <row r="181" spans="4:13" x14ac:dyDescent="0.25">
      <c r="D181" s="53"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4" t="str" cm="1">
        <f t="array" ref="D187">SourceData_Dairy.SourceData_Dairy_AshContent_Unit()</f>
        <v>fraction</v>
      </c>
      <c r="M187" s="23"/>
    </row>
    <row r="188" spans="4:13" x14ac:dyDescent="0.25">
      <c r="D188" s="53"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4" t="str" cm="1">
        <f t="array" ref="D194">SourceData_Dairy.SourceData_Dairy_MethaneEmissionsPotential_Unit()</f>
        <v>m3 CH4/kgVS</v>
      </c>
      <c r="M194" s="23"/>
    </row>
    <row r="195" spans="4:13" x14ac:dyDescent="0.25">
      <c r="D195" s="53"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4" t="str" cm="1">
        <f t="array" ref="D201">SourceData_Dairy.SourceData_Dairy_EmissionFactorForLeachingAndRunoff_Unit()</f>
        <v>kg N2O-N/kg N</v>
      </c>
      <c r="M201" s="23"/>
    </row>
    <row r="202" spans="4:13" x14ac:dyDescent="0.25">
      <c r="D202" s="53"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4" t="str" cm="1">
        <f t="array" ref="D208">SourceData_Dairy.SourceData_Dairy_FractionOfNitrogenLostThroughLeachingAndRunoff_Unit()</f>
        <v>Fraction</v>
      </c>
      <c r="M208" s="23"/>
    </row>
    <row r="209" spans="1:13" x14ac:dyDescent="0.25">
      <c r="D209" s="53"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SourceData_Dairy.SourceData_Dairy_FracGASMSoil_Title()</f>
        <v>Fraction of nitrogen volatilized from urine and faeces deposited on pasture</v>
      </c>
      <c r="M211" s="23"/>
    </row>
    <row r="212" spans="1:13" x14ac:dyDescent="0.25">
      <c r="D212" s="5" t="str" cm="1">
        <f t="array" ref="D212">SourceData_Dairy.SourceData_Dairy_FracGASMSoil_Source()</f>
        <v>VEERG 2026: 4.3.2.3 CONSTANTS</v>
      </c>
      <c r="M212" s="23"/>
    </row>
    <row r="213" spans="1:13" x14ac:dyDescent="0.25">
      <c r="D213" s="1" t="str" cm="1">
        <f t="array" ref="D213">SourceData_Dairy.SourceData_Dairy_FracGASMSoil_Variable()</f>
        <v>FracGASMsoil</v>
      </c>
      <c r="M213" s="23"/>
    </row>
    <row r="214" spans="1:13" x14ac:dyDescent="0.25">
      <c r="D214" s="54" t="str" cm="1">
        <f t="array" ref="D214">SourceData_Dairy.SourceData_Dairy_FracGASMSoil_Unit()</f>
        <v>(kg NH3-N + NOx-N)/kg N</v>
      </c>
      <c r="M214" s="23"/>
    </row>
    <row r="215" spans="1:13" x14ac:dyDescent="0.25">
      <c r="A215" s="121" t="str">
        <f>HYPERLINK("#A1", "▲ Back to top")</f>
        <v>▲ Back to top</v>
      </c>
      <c r="D215" s="53" cm="1">
        <f t="array" ref="D215">SourceData_Dairy.SourceData_Dairy_FracGASMSoil_Data()</f>
        <v>0.21</v>
      </c>
      <c r="M215" s="23"/>
    </row>
    <row r="216" spans="1:13" x14ac:dyDescent="0.25">
      <c r="M216" s="23"/>
    </row>
    <row r="217" spans="1:13" ht="23.25" x14ac:dyDescent="0.25">
      <c r="D217" s="6" t="str" cm="1">
        <f t="array" ref="D217">SourceData_Dairy.SourceData_Dairy_FatContentInMilk_Title()</f>
        <v>Fat content in fat and protein corrected milk</v>
      </c>
      <c r="M217" s="23"/>
    </row>
    <row r="218" spans="1:13" x14ac:dyDescent="0.25">
      <c r="D218" s="5" t="str" cm="1">
        <f t="array" ref="D218">SourceData_Dairy.SourceData_Dairy_FatContentInMilk_Source()</f>
        <v>VEERG 2026: 3.3.2.2 DATA (METHOD 1 AND 2 OPTIONS)</v>
      </c>
      <c r="M218" s="23"/>
    </row>
    <row r="219" spans="1:13" x14ac:dyDescent="0.25">
      <c r="D219" s="1" t="str" cm="1">
        <f t="array" ref="D219">SourceData_Dairy.SourceData_Dairy_FatContentInMilk_Variable()</f>
        <v>FC_j</v>
      </c>
      <c r="M219" s="23"/>
    </row>
    <row r="220" spans="1:13" x14ac:dyDescent="0.25">
      <c r="D220" s="54" t="str" cm="1">
        <f t="array" ref="D220">SourceData_Dairy.SourceData_Dairy_FatContentInMilk_Unit()</f>
        <v>percent</v>
      </c>
      <c r="M220" s="23"/>
    </row>
    <row r="221" spans="1:13" x14ac:dyDescent="0.25">
      <c r="D221" s="53" cm="1">
        <f t="array" ref="D221">SourceData_Dairy.SourceData_Dairy_FatContentInMilk_Data()</f>
        <v>4</v>
      </c>
      <c r="M221" s="23"/>
    </row>
    <row r="222" spans="1:13" x14ac:dyDescent="0.25">
      <c r="M222" s="23"/>
    </row>
    <row r="223" spans="1:13" ht="23.25" x14ac:dyDescent="0.25">
      <c r="D223" s="6" t="str" cm="1">
        <f t="array" ref="D223">SourceData_Dairy.SourceData_Dairy_ProteinContentInMilk_Title()</f>
        <v>Protein content in fat and protein corrected milk</v>
      </c>
      <c r="M223" s="23"/>
    </row>
    <row r="224" spans="1:13" x14ac:dyDescent="0.25">
      <c r="D224" s="5" t="str" cm="1">
        <f t="array" ref="D224">SourceData_Dairy.SourceData_Dairy_ProteinContentInMilk_Source()</f>
        <v>VEERG 2026: 3.3.2.2 DATA (METHOD 1 AND 2 OPTIONS)</v>
      </c>
      <c r="M224" s="23"/>
    </row>
    <row r="225" spans="4:13" x14ac:dyDescent="0.25">
      <c r="D225" s="1" t="str" cm="1">
        <f t="array" ref="D225">SourceData_Dairy.SourceData_Dairy_ProteinContentInMilk_Variable()</f>
        <v>PC_j</v>
      </c>
      <c r="M225" s="23"/>
    </row>
    <row r="226" spans="4:13" x14ac:dyDescent="0.25">
      <c r="D226" s="54" t="str" cm="1">
        <f t="array" ref="D226">SourceData_Dairy.SourceData_Dairy_ProteinContentInMilk_Unit()</f>
        <v>percent</v>
      </c>
      <c r="M226" s="23"/>
    </row>
    <row r="227" spans="4:13" x14ac:dyDescent="0.25">
      <c r="D227" s="53" cm="1">
        <f t="array" ref="D227">SourceData_Dairy.SourceData_Dairy_ProteinContentInMilk_Data()</f>
        <v>3.3</v>
      </c>
      <c r="M227" s="23"/>
    </row>
    <row r="228" spans="4:13" x14ac:dyDescent="0.25">
      <c r="M228" s="23"/>
    </row>
    <row r="229" spans="4:13" x14ac:dyDescent="0.25">
      <c r="M229" s="23"/>
    </row>
    <row r="230" spans="4:13" x14ac:dyDescent="0.25">
      <c r="M230" s="23"/>
    </row>
    <row r="231" spans="4:13" x14ac:dyDescent="0.25">
      <c r="M231" s="23"/>
    </row>
    <row r="232" spans="4:13" x14ac:dyDescent="0.25">
      <c r="M232" s="23"/>
    </row>
    <row r="233" spans="4:13" x14ac:dyDescent="0.25">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3D428-406B-4CCC-8C42-FF05F2282F56}">
  <dimension ref="A1:BY259"/>
  <sheetViews>
    <sheetView showGridLines="0" tabSelected="1" topLeftCell="A86" zoomScaleNormal="100" workbookViewId="0">
      <selection activeCell="A20" sqref="A2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5" t="e" vm="1">
        <v>#VALUE!</v>
      </c>
      <c r="C1" s="8" t="s">
        <v>70</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17</v>
      </c>
      <c r="E6" s="38" t="s">
        <v>18</v>
      </c>
      <c r="F6" s="38" t="s">
        <v>19</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Dairy'!A1", "Dairy")</f>
        <v>Dairy</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69</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HYPERLINK("#'3.3.1.1-2 Enteric Methane'!A1", "3.3.1.1-2 Enteric Methane")</f>
        <v>3.3.1.1-2 Enteric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29" t="s">
        <v>1</v>
      </c>
    </row>
    <row r="18" spans="1:4" ht="20.100000000000001" customHeight="1" x14ac:dyDescent="0.25">
      <c r="A18" s="17" t="str">
        <f>HYPERLINK("#'Constants - Dairy'!A1", "Constants - Dairy")</f>
        <v>Constants - Dairy</v>
      </c>
      <c r="D18" s="6" t="str" cm="1">
        <f t="array" ref="D18">Common_SourceData.Common_SourceData_WASA4Areas_Title()</f>
        <v>ABS Statistcal Areas Level 4 - Western Australia</v>
      </c>
    </row>
    <row r="19" spans="1:4" ht="20.100000000000001" customHeight="1" x14ac:dyDescent="0.25">
      <c r="A19" s="66"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Livestock'!A1", "Constants - Livestock")</f>
        <v>Constants - Livestock</v>
      </c>
      <c r="D20" s="38" t="s">
        <v>20</v>
      </c>
    </row>
    <row r="21" spans="1:4" ht="20.100000000000001" customHeight="1" x14ac:dyDescent="0.25">
      <c r="A21" s="17" t="str">
        <f>HYPERLINK("#'Acknowledgements'!A1", "Acknowledgements")</f>
        <v>Acknowledgements</v>
      </c>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c r="D24" s="38" t="str" cm="1">
        <f t="array" ref="D24">Common_InputFunctions.Utility_DisplayArrayInTable(Common_SourceData.Common_SourceData_WASA4Areas_Data(), Table_WASA4Areas[[#Headers],[SA 4 Name]], 0)</f>
        <v>Perth - North East</v>
      </c>
    </row>
    <row r="25" spans="1:4" ht="20.100000000000001" customHeight="1" x14ac:dyDescent="0.25">
      <c r="A25"/>
      <c r="D25" s="38" t="str" cm="1">
        <f t="array" ref="D25">Common_InputFunctions.Utility_DisplayArrayInTable(Common_SourceData.Common_SourceData_WASA4Areas_Data(), Table_WASA4Areas[[#Headers],[SA 4 Name]], 0)</f>
        <v>Perth - North West</v>
      </c>
    </row>
    <row r="26" spans="1:4" ht="20.100000000000001" customHeight="1" x14ac:dyDescent="0.25">
      <c r="A26"/>
      <c r="D26" s="38" t="str" cm="1">
        <f t="array" ref="D26">Common_InputFunctions.Utility_DisplayArrayInTable(Common_SourceData.Common_SourceData_WASA4Areas_Data(), Table_WASA4Areas[[#Headers],[SA 4 Name]], 0)</f>
        <v>Perth - South East</v>
      </c>
    </row>
    <row r="27" spans="1:4" ht="20.100000000000001" customHeight="1" x14ac:dyDescent="0.25">
      <c r="A27"/>
      <c r="D27" s="38" t="str" cm="1">
        <f t="array" ref="D27">Common_InputFunctions.Utility_DisplayArrayInTable(Common_SourceData.Common_SourceData_WASA4Areas_Data(), Table_WASA4Areas[[#Headers],[SA 4 Name]], 0)</f>
        <v>Perth - South West</v>
      </c>
    </row>
    <row r="28" spans="1:4" ht="20.100000000000001" customHeight="1" x14ac:dyDescent="0.25">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23</v>
      </c>
      <c r="E36" s="38" t="s">
        <v>24</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23</v>
      </c>
      <c r="E47" s="38" t="s">
        <v>26</v>
      </c>
      <c r="F47" s="38" t="s">
        <v>27</v>
      </c>
      <c r="G47" s="38" t="s">
        <v>28</v>
      </c>
      <c r="H47" s="38" t="s">
        <v>29</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5" t="str" cm="1">
        <f t="array" ref="D59:D61">"⚠️" &amp; Common_SourceData.Common_SourceData_WetAndDryZones_Variation()</f>
        <v>⚠️VARIATION OF SOURCE DATA:</v>
      </c>
    </row>
    <row r="60" spans="1:8" ht="20.100000000000001" customHeight="1" x14ac:dyDescent="0.25">
      <c r="A60"/>
      <c r="D60" s="55" t="str">
        <v>⚠️Added warm / cool temperate moist / dry - low frost and high temp classes to accommodate climate scenarios excluded by VEERG criteria.</v>
      </c>
    </row>
    <row r="61" spans="1:8" ht="20.100000000000001" customHeight="1" x14ac:dyDescent="0.25">
      <c r="A61"/>
      <c r="D61" s="55" t="str">
        <v>⚠️Fixed typo - Changed 'Fry' to 'Dry'.</v>
      </c>
    </row>
    <row r="62" spans="1:8" ht="20.100000000000001" customHeight="1" x14ac:dyDescent="0.25">
      <c r="A62"/>
    </row>
    <row r="63" spans="1:8" ht="20.100000000000001" customHeight="1" x14ac:dyDescent="0.25">
      <c r="A63"/>
      <c r="D63" s="38" t="s">
        <v>6</v>
      </c>
      <c r="E63" s="38" t="s">
        <v>44</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5" t="str" cm="1">
        <f t="array" ref="D83:D87">"⚠️" &amp; Common_SourceData.Common_SourceData_ClimateZones_Variation()</f>
        <v>⚠️VARIATION OF SOURCE DATA:</v>
      </c>
    </row>
    <row r="84" spans="1:20" ht="20.100000000000001" customHeight="1" x14ac:dyDescent="0.25">
      <c r="A84"/>
      <c r="D84" s="55" t="str">
        <v>⚠️Added warm / cool temperate moist / dry - low frost and high temp classes to accommodate climate scenarios excluded by VEERG criteria.</v>
      </c>
    </row>
    <row r="85" spans="1:20" ht="20.100000000000001" customHeight="1" x14ac:dyDescent="0.25">
      <c r="A85"/>
      <c r="D85" s="55" t="str">
        <v>⚠️Fixed typo in MAT value for warm temperate dry - changed 10 to 11.</v>
      </c>
    </row>
    <row r="86" spans="1:20" ht="20.100000000000001" customHeight="1" x14ac:dyDescent="0.25">
      <c r="A86"/>
      <c r="D86" s="55" t="str">
        <v>⚠️Added min and max columns for MAT, MAP, frost days per year, elevation, MAP:PET to calculate zones from real climate data.</v>
      </c>
    </row>
    <row r="87" spans="1:20" ht="20.100000000000001" customHeight="1" x14ac:dyDescent="0.25">
      <c r="A87"/>
      <c r="D87" s="55" t="str">
        <v>⚠️GAF accepts rainfall as a proxy for precipitation.</v>
      </c>
    </row>
    <row r="88" spans="1:20" ht="20.100000000000001" customHeight="1" x14ac:dyDescent="0.25">
      <c r="A88"/>
    </row>
    <row r="89" spans="1:20" ht="20.100000000000001" customHeight="1" x14ac:dyDescent="0.25">
      <c r="A89"/>
      <c r="D89" s="38" t="s">
        <v>6</v>
      </c>
      <c r="E89" s="38" t="s">
        <v>32</v>
      </c>
      <c r="F89" s="38" t="s">
        <v>33</v>
      </c>
      <c r="G89" s="38" t="s">
        <v>34</v>
      </c>
      <c r="H89" s="38" t="s">
        <v>35</v>
      </c>
      <c r="I89" s="38" t="s">
        <v>36</v>
      </c>
      <c r="J89" s="38" t="s">
        <v>37</v>
      </c>
      <c r="K89" s="38" t="s">
        <v>38</v>
      </c>
      <c r="L89" s="38" t="s">
        <v>39</v>
      </c>
      <c r="M89" s="38" t="s">
        <v>40</v>
      </c>
      <c r="N89" s="38" t="s">
        <v>41</v>
      </c>
      <c r="O89" s="38" t="s">
        <v>45</v>
      </c>
      <c r="P89" s="38" t="s">
        <v>42</v>
      </c>
      <c r="Q89" s="38" t="s">
        <v>46</v>
      </c>
      <c r="R89" s="38" t="s">
        <v>43</v>
      </c>
      <c r="S89" s="38" t="s">
        <v>47</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4" t="str" cm="1">
        <f t="array" ref="D99:D102">Common_SourceData.Common_SourceData_ClimateZones_Appendices()</f>
        <v>Note:</v>
      </c>
    </row>
    <row r="100" spans="1:20" ht="20.100000000000001" customHeight="1" x14ac:dyDescent="0.25">
      <c r="A100"/>
      <c r="D100" s="54" t="str">
        <v>MAT = mean annual temperature</v>
      </c>
    </row>
    <row r="101" spans="1:20" ht="20.100000000000001" customHeight="1" x14ac:dyDescent="0.25">
      <c r="A101"/>
      <c r="D101" s="54" t="str">
        <v>MAP = mean annual precipitation</v>
      </c>
    </row>
    <row r="102" spans="1:20" ht="20.100000000000001" customHeight="1" x14ac:dyDescent="0.25">
      <c r="A102"/>
      <c r="D102" s="54" t="str">
        <v>PET = potential evapotranspiration</v>
      </c>
    </row>
    <row r="103" spans="1:20" ht="20.100000000000001" customHeight="1" x14ac:dyDescent="0.25">
      <c r="A103"/>
      <c r="D103" s="54"/>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51</v>
      </c>
      <c r="E109" s="38" t="s">
        <v>32</v>
      </c>
      <c r="F109" s="38" t="s">
        <v>52</v>
      </c>
      <c r="G109" s="38" t="s">
        <v>53</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5"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54</v>
      </c>
      <c r="E119" s="38" t="s">
        <v>55</v>
      </c>
      <c r="F119" s="38" t="s">
        <v>39</v>
      </c>
      <c r="G119" s="38" t="s">
        <v>40</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61</v>
      </c>
      <c r="E127" s="38" t="s">
        <v>62</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85</v>
      </c>
      <c r="E134" t="s">
        <v>86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186</v>
      </c>
      <c r="E142" s="38" t="s">
        <v>86</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64</v>
      </c>
      <c r="E153" s="38" t="s">
        <v>65</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8" t="s">
        <v>106</v>
      </c>
      <c r="E186" s="38" t="s">
        <v>107</v>
      </c>
      <c r="F186" s="38" t="s">
        <v>108</v>
      </c>
      <c r="G186" s="38" t="s">
        <v>109</v>
      </c>
      <c r="H186" s="38" t="s">
        <v>31</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8" t="s">
        <v>6</v>
      </c>
      <c r="E206" s="38" t="s">
        <v>188</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193</v>
      </c>
      <c r="E212" s="38" t="s">
        <v>194</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48</v>
      </c>
      <c r="E231" s="38" t="s">
        <v>195</v>
      </c>
      <c r="F231" s="37" t="s">
        <v>196</v>
      </c>
      <c r="G231" s="38" t="s">
        <v>197</v>
      </c>
      <c r="H231" s="38" t="s">
        <v>198</v>
      </c>
      <c r="I231" s="38" t="s">
        <v>199</v>
      </c>
      <c r="J231" s="38" t="s">
        <v>200</v>
      </c>
      <c r="K231" s="38" t="s">
        <v>201</v>
      </c>
      <c r="L231" s="38" t="s">
        <v>202</v>
      </c>
      <c r="M231" s="38" t="s">
        <v>203</v>
      </c>
      <c r="N231" s="38" t="s">
        <v>204</v>
      </c>
      <c r="O231" s="38" t="s">
        <v>205</v>
      </c>
      <c r="P231" s="38" t="s">
        <v>206</v>
      </c>
      <c r="Q231" s="38" t="s">
        <v>207</v>
      </c>
      <c r="R231" s="38" t="s">
        <v>208</v>
      </c>
      <c r="S231" s="38" t="s">
        <v>209</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8" t="s">
        <v>246</v>
      </c>
      <c r="E257" s="38" t="s">
        <v>247</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71</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tr" cm="1">
        <f t="array" ref="D5">CommonLivestock_SourceData.SourceData_Livestock_Common_SymbolsMMS_Title()</f>
        <v>Table 5.12 Additional symbols used in algorithms for manure related emissions</v>
      </c>
      <c r="E5" s="3"/>
      <c r="F5" s="3"/>
      <c r="G5" s="3"/>
    </row>
    <row r="6" spans="1:13" ht="20.100000000000001" customHeight="1" x14ac:dyDescent="0.25">
      <c r="D6" s="3" t="str" cm="1">
        <f t="array" ref="D6">CommonLivestock_SourceData.SourceData_Livestock_Common_SymbolsMMS_Vairable()</f>
        <v>MMS</v>
      </c>
      <c r="E6" s="3"/>
      <c r="F6" s="3"/>
      <c r="G6" s="3"/>
      <c r="H6" s="3"/>
    </row>
    <row r="7" spans="1:13" ht="20.100000000000001" customHeight="1" x14ac:dyDescent="0.25">
      <c r="D7" s="5" t="str" cm="1">
        <f t="array" ref="D7">CommonLivestock_SourceData.SourceData_Livestock_Common_SymbolsMMS_Source()</f>
        <v>National Inventory Report 2023 Volume 1: Table 5.12</v>
      </c>
      <c r="E7" s="3"/>
      <c r="F7" s="3"/>
      <c r="G7" s="3"/>
      <c r="H7" s="3"/>
    </row>
    <row r="8" spans="1:13" ht="20.100000000000001" customHeight="1" x14ac:dyDescent="0.25">
      <c r="A8" s="19" t="s">
        <v>0</v>
      </c>
      <c r="D8" s="37" t="s">
        <v>72</v>
      </c>
      <c r="E8" s="38" t="s">
        <v>16</v>
      </c>
      <c r="F8" s="38" t="s">
        <v>73</v>
      </c>
      <c r="G8" s="3"/>
      <c r="H8" s="3"/>
    </row>
    <row r="9" spans="1:13" ht="20.100000000000001" customHeight="1" x14ac:dyDescent="0.25">
      <c r="A9" s="17" t="str">
        <f>HYPERLINK("#'Input - Site'!A1", "Site")</f>
        <v>Site</v>
      </c>
      <c r="D9" s="37" t="str" cm="1">
        <f t="array" ref="D9">Common_InputFunctions.Utility_DisplayArrayInTable(CommonLivestock_SourceData.SourceData_Livestock_Common_SymbolsMMS_Data(), Table_Data_MMSSymbols[[#Headers],[Symbol]], 0)</f>
        <v>1</v>
      </c>
      <c r="E9" s="37" t="str" cm="1">
        <f t="array" ref="E9">Common_InputFunctions.Utility_DisplayArrayInTable(CommonLivestock_SourceData.SourceData_Livestock_Common_SymbolsMMS_Data(), Table_Data_MMSSymbols[[#Headers],[Symbol]], 0)</f>
        <v>Anaerobic lagoon</v>
      </c>
      <c r="F9" s="37" t="str" cm="1">
        <f t="array" ref="F9">Common_InputFunctions.Utility_DisplayArrayInTable(CommonLivestock_SourceData.SourceData_Livestock_Common_SymbolsMMS_Data(), Table_Data_MMSSymbols[[#Headers],[Symbol]], 0)</f>
        <v>Anaerobic lagoon (m=1)</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2</v>
      </c>
      <c r="E10" s="37" t="str" cm="1">
        <f t="array" ref="E10">Common_InputFunctions.Utility_DisplayArrayInTable(CommonLivestock_SourceData.SourceData_Livestock_Common_SymbolsMMS_Data(), Table_Data_MMSSymbols[[#Headers],[Symbol]], 0)</f>
        <v>Liquid systems</v>
      </c>
      <c r="F10" s="37" t="str" cm="1">
        <f t="array" ref="F10">Common_InputFunctions.Utility_DisplayArrayInTable(CommonLivestock_SourceData.SourceData_Livestock_Common_SymbolsMMS_Data(), Table_Data_MMSSymbols[[#Headers],[Symbol]], 0)</f>
        <v>Liquid systems (m=2)</v>
      </c>
      <c r="G10" s="3"/>
    </row>
    <row r="11" spans="1:13" ht="20.100000000000001" customHeight="1" x14ac:dyDescent="0.25">
      <c r="D11" s="38" t="str" cm="1">
        <f t="array" ref="D11">Common_InputFunctions.Utility_DisplayArrayInTable(CommonLivestock_SourceData.SourceData_Livestock_Common_SymbolsMMS_Data(), Table_Data_MMSSymbols[[#Headers],[Symbol]], 0)</f>
        <v>3</v>
      </c>
      <c r="E11" s="38" t="str" cm="1">
        <f t="array" ref="E11">Common_InputFunctions.Utility_DisplayArrayInTable(CommonLivestock_SourceData.SourceData_Livestock_Common_SymbolsMMS_Data(), Table_Data_MMSSymbols[[#Headers],[Symbol]], 0)</f>
        <v>Daily spread</v>
      </c>
      <c r="F11" s="38" t="str" cm="1">
        <f t="array" ref="F11">Common_InputFunctions.Utility_DisplayArrayInTable(CommonLivestock_SourceData.SourceData_Livestock_Common_SymbolsMMS_Data(), Table_Data_MMSSymbols[[#Headers],[Symbol]], 0)</f>
        <v>Daily spread (m=3)</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3a</v>
      </c>
      <c r="E12" s="38" t="str" cm="1">
        <f t="array" ref="E12">Common_InputFunctions.Utility_DisplayArrayInTable(CommonLivestock_SourceData.SourceData_Livestock_Common_SymbolsMMS_Data(), Table_Data_MMSSymbols[[#Headers],[Symbol]], 0)</f>
        <v>Sump and dispersal system</v>
      </c>
      <c r="F12" s="38" t="str" cm="1">
        <f t="array" ref="F12">Common_InputFunctions.Utility_DisplayArrayInTable(CommonLivestock_SourceData.SourceData_Livestock_Common_SymbolsMMS_Data(), Table_Data_MMSSymbols[[#Headers],[Symbol]], 0)</f>
        <v>Sump and dispersal system (m=3a)</v>
      </c>
      <c r="G12" s="3"/>
    </row>
    <row r="13" spans="1:13" ht="20.100000000000001" customHeight="1" x14ac:dyDescent="0.25">
      <c r="A13" s="18" t="s">
        <v>69</v>
      </c>
      <c r="D13" s="38" t="str" cm="1">
        <f t="array" ref="D13">Common_InputFunctions.Utility_DisplayArrayInTable(CommonLivestock_SourceData.SourceData_Livestock_Common_SymbolsMMS_Data(), Table_Data_MMSSymbols[[#Headers],[Symbol]], 0)</f>
        <v>3b</v>
      </c>
      <c r="E13" s="38" t="str" cm="1">
        <f t="array" ref="E13">Common_InputFunctions.Utility_DisplayArrayInTable(CommonLivestock_SourceData.SourceData_Livestock_Common_SymbolsMMS_Data(), Table_Data_MMSSymbols[[#Headers],[Symbol]], 0)</f>
        <v>Drains to paddock</v>
      </c>
      <c r="F13" s="38" t="str" cm="1">
        <f t="array" ref="F13">Common_InputFunctions.Utility_DisplayArrayInTable(CommonLivestock_SourceData.SourceData_Livestock_Common_SymbolsMMS_Data(), Table_Data_MMSSymbols[[#Headers],[Symbol]], 0)</f>
        <v>Drains to paddock (m=3b)</v>
      </c>
      <c r="G13" s="3"/>
    </row>
    <row r="14" spans="1:13" ht="20.100000000000001" customHeight="1" x14ac:dyDescent="0.25">
      <c r="A14" s="17" t="str">
        <f>HYPERLINK("#'3.3.1.1-2 Enteric Methane'!A1", "3.3.1.1-2 Enteric Methane")</f>
        <v>3.3.1.1-2 Enteric Methane</v>
      </c>
      <c r="D14" s="38" t="str" cm="1">
        <f t="array" ref="D14">Common_InputFunctions.Utility_DisplayArrayInTable(CommonLivestock_SourceData.SourceData_Livestock_Common_SymbolsMMS_Data(), Table_Data_MMSSymbols[[#Headers],[Symbol]], 0)</f>
        <v>4</v>
      </c>
      <c r="E14" s="38" t="str" cm="1">
        <f t="array" ref="E14">Common_InputFunctions.Utility_DisplayArrayInTable(CommonLivestock_SourceData.SourceData_Livestock_Common_SymbolsMMS_Data(), Table_Data_MMSSymbols[[#Headers],[Symbol]], 0)</f>
        <v>Solid storage</v>
      </c>
      <c r="F14" s="38" t="str" cm="1">
        <f t="array" ref="F14">Common_InputFunctions.Utility_DisplayArrayInTable(CommonLivestock_SourceData.SourceData_Livestock_Common_SymbolsMMS_Data(), Table_Data_MMSSymbols[[#Headers],[Symbol]], 0)</f>
        <v>Solid storage (m=4)</v>
      </c>
      <c r="G14" s="3"/>
    </row>
    <row r="15" spans="1:13" ht="20.100000000000001" customHeight="1" x14ac:dyDescent="0.25">
      <c r="D15" s="38" t="str" cm="1">
        <f t="array" ref="D15">Common_InputFunctions.Utility_DisplayArrayInTable(CommonLivestock_SourceData.SourceData_Livestock_Common_SymbolsMMS_Data(), Table_Data_MMSSymbols[[#Headers],[Symbol]], 0)</f>
        <v>5</v>
      </c>
      <c r="E15" s="38" t="str" cm="1">
        <f t="array" ref="E15">Common_InputFunctions.Utility_DisplayArrayInTable(CommonLivestock_SourceData.SourceData_Livestock_Common_SymbolsMMS_Data(), Table_Data_MMSSymbols[[#Headers],[Symbol]], 0)</f>
        <v>Drylot (feed pad)</v>
      </c>
      <c r="F15" s="38" t="str" cm="1">
        <f t="array" ref="F15">Common_InputFunctions.Utility_DisplayArrayInTable(CommonLivestock_SourceData.SourceData_Livestock_Common_SymbolsMMS_Data(), Table_Data_MMSSymbols[[#Headers],[Symbol]], 0)</f>
        <v>Drylot (feed pad) (m=5)</v>
      </c>
      <c r="G15" s="3"/>
    </row>
    <row r="16" spans="1:13" ht="20.100000000000001" customHeight="1" x14ac:dyDescent="0.25">
      <c r="D16" s="38" t="str" cm="1">
        <f t="array" ref="D16">Common_InputFunctions.Utility_DisplayArrayInTable(CommonLivestock_SourceData.SourceData_Livestock_Common_SymbolsMMS_Data(), Table_Data_MMSSymbols[[#Headers],[Symbol]], 0)</f>
        <v>6</v>
      </c>
      <c r="E16" s="38" t="str" cm="1">
        <f t="array" ref="E16">Common_InputFunctions.Utility_DisplayArrayInTable(CommonLivestock_SourceData.SourceData_Livestock_Common_SymbolsMMS_Data(), Table_Data_MMSSymbols[[#Headers],[Symbol]], 0)</f>
        <v>Composting (passive windrow)</v>
      </c>
      <c r="F16" s="38" t="str" cm="1">
        <f t="array" ref="F16">Common_InputFunctions.Utility_DisplayArrayInTable(CommonLivestock_SourceData.SourceData_Livestock_Common_SymbolsMMS_Data(), Table_Data_MMSSymbols[[#Headers],[Symbol]], 0)</f>
        <v>Composting (passive windrow) (m=6)</v>
      </c>
      <c r="G16" s="3"/>
    </row>
    <row r="17" spans="1:8" ht="20.100000000000001" customHeight="1" x14ac:dyDescent="0.25">
      <c r="A17" s="129" t="s">
        <v>1</v>
      </c>
      <c r="D17" s="38" t="str" cm="1">
        <f t="array" ref="D17">Common_InputFunctions.Utility_DisplayArrayInTable(CommonLivestock_SourceData.SourceData_Livestock_Common_SymbolsMMS_Data(), Table_Data_MMSSymbols[[#Headers],[Symbol]], 0)</f>
        <v>7</v>
      </c>
      <c r="E17" s="38" t="str" cm="1">
        <f t="array" ref="E17">Common_InputFunctions.Utility_DisplayArrayInTable(CommonLivestock_SourceData.SourceData_Livestock_Common_SymbolsMMS_Data(), Table_Data_MMSSymbols[[#Headers],[Symbol]], 0)</f>
        <v>Digester / covered lagoons</v>
      </c>
      <c r="F17" s="38" t="str" cm="1">
        <f t="array" ref="F17">Common_InputFunctions.Utility_DisplayArrayInTable(CommonLivestock_SourceData.SourceData_Livestock_Common_SymbolsMMS_Data(), Table_Data_MMSSymbols[[#Headers],[Symbol]], 0)</f>
        <v>Digester / covered lagoons (m=7)</v>
      </c>
      <c r="G17" s="3"/>
    </row>
    <row r="18" spans="1:8" ht="20.100000000000001" customHeight="1" x14ac:dyDescent="0.25">
      <c r="A18" s="17" t="str">
        <f>HYPERLINK("#'Constants - Dairy'!A1", "Constants - Dairy")</f>
        <v>Constants - Dairy</v>
      </c>
      <c r="D18" s="38" t="str" cm="1">
        <f t="array" ref="D18">Common_InputFunctions.Utility_DisplayArrayInTable(CommonLivestock_SourceData.SourceData_Livestock_Common_SymbolsMMS_Data(), Table_Data_MMSSymbols[[#Headers],[Symbol]], 0)</f>
        <v>8</v>
      </c>
      <c r="E18" s="38" t="str" cm="1">
        <f t="array" ref="E18">Common_InputFunctions.Utility_DisplayArrayInTable(CommonLivestock_SourceData.SourceData_Livestock_Common_SymbolsMMS_Data(), Table_Data_MMSSymbols[[#Headers],[Symbol]], 0)</f>
        <v>Deep litter</v>
      </c>
      <c r="F18" s="38" t="str" cm="1">
        <f t="array" ref="F18">Common_InputFunctions.Utility_DisplayArrayInTable(CommonLivestock_SourceData.SourceData_Livestock_Common_SymbolsMMS_Data(), Table_Data_MMSSymbols[[#Headers],[Symbol]], 0)</f>
        <v>Deep litter (m=8)</v>
      </c>
      <c r="G18" s="3"/>
    </row>
    <row r="19" spans="1:8" ht="20.100000000000001" customHeight="1" x14ac:dyDescent="0.25">
      <c r="A19" s="17" t="str">
        <f>HYPERLINK("#'Constants - Common'!A1", "Constants - Common")</f>
        <v>Constants - Common</v>
      </c>
      <c r="D19" s="38" t="str" cm="1">
        <f t="array" ref="D19">Common_InputFunctions.Utility_DisplayArrayInTable(CommonLivestock_SourceData.SourceData_Livestock_Common_SymbolsMMS_Data(), Table_Data_MMSSymbols[[#Headers],[Symbol]], 0)</f>
        <v>9</v>
      </c>
      <c r="E19" s="38" t="str" cm="1">
        <f t="array" ref="E19">Common_InputFunctions.Utility_DisplayArrayInTable(CommonLivestock_SourceData.SourceData_Livestock_Common_SymbolsMMS_Data(), Table_Data_MMSSymbols[[#Headers],[Symbol]], 0)</f>
        <v>Pit storage</v>
      </c>
      <c r="F19" s="38" t="str" cm="1">
        <f t="array" ref="F19">Common_InputFunctions.Utility_DisplayArrayInTable(CommonLivestock_SourceData.SourceData_Livestock_Common_SymbolsMMS_Data(), Table_Data_MMSSymbols[[#Headers],[Symbol]], 0)</f>
        <v>Pit storage (m=9)</v>
      </c>
      <c r="G19" s="3"/>
    </row>
    <row r="20" spans="1:8" ht="20.100000000000001" customHeight="1" x14ac:dyDescent="0.25">
      <c r="A20" s="66" t="str">
        <f>HYPERLINK("#'Constants - Livestock'!A1", "Constants - Livestock")</f>
        <v>Constants - Livestock</v>
      </c>
      <c r="D20" s="38" t="str" cm="1">
        <f t="array" ref="D20">Common_InputFunctions.Utility_DisplayArrayInTable(CommonLivestock_SourceData.SourceData_Livestock_Common_SymbolsMMS_Data(), Table_Data_MMSSymbols[[#Headers],[Symbol]], 0)</f>
        <v>10</v>
      </c>
      <c r="E20" s="38" t="str" cm="1">
        <f t="array" ref="E20">Common_InputFunctions.Utility_DisplayArrayInTable(CommonLivestock_SourceData.SourceData_Livestock_Common_SymbolsMMS_Data(), Table_Data_MMSSymbols[[#Headers],[Symbol]], 0)</f>
        <v>Poultry manure with bedding</v>
      </c>
      <c r="F20" s="38" t="str" cm="1">
        <f t="array" ref="F20">Common_InputFunctions.Utility_DisplayArrayInTable(CommonLivestock_SourceData.SourceData_Livestock_Common_SymbolsMMS_Data(), Table_Data_MMSSymbols[[#Headers],[Symbol]], 0)</f>
        <v>Poultry manure with bedding (m=10)</v>
      </c>
      <c r="G20" s="3"/>
    </row>
    <row r="21" spans="1:8" ht="20.100000000000001" customHeight="1" x14ac:dyDescent="0.25">
      <c r="A21" s="17" t="str">
        <f>HYPERLINK("#'Acknowledgements'!A1", "Acknowledgements")</f>
        <v>Acknowledgements</v>
      </c>
      <c r="D21" s="38" t="str" cm="1">
        <f t="array" ref="D21">Common_InputFunctions.Utility_DisplayArrayInTable(CommonLivestock_SourceData.SourceData_Livestock_Common_SymbolsMMS_Data(), Table_Data_MMSSymbols[[#Headers],[Symbol]], 0)</f>
        <v>11</v>
      </c>
      <c r="E21" s="38" t="str" cm="1">
        <f t="array" ref="E21">Common_InputFunctions.Utility_DisplayArrayInTable(CommonLivestock_SourceData.SourceData_Livestock_Common_SymbolsMMS_Data(), Table_Data_MMSSymbols[[#Headers],[Symbol]], 0)</f>
        <v>Poultry manure without bedding</v>
      </c>
      <c r="F21" s="38" t="str" cm="1">
        <f t="array" ref="F21">Common_InputFunctions.Utility_DisplayArrayInTable(CommonLivestock_SourceData.SourceData_Livestock_Common_SymbolsMMS_Data(), Table_Data_MMSSymbols[[#Headers],[Symbol]], 0)</f>
        <v>Poultry manure without bedding (m=11)</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11a</v>
      </c>
      <c r="E22" s="38" t="str" cm="1">
        <f t="array" ref="E22">Common_InputFunctions.Utility_DisplayArrayInTable(CommonLivestock_SourceData.SourceData_Livestock_Common_SymbolsMMS_Data(), Table_Data_MMSSymbols[[#Headers],[Symbol]], 0)</f>
        <v>Belt manure removal</v>
      </c>
      <c r="F22" s="38" t="str" cm="1">
        <f t="array" ref="F22">Common_InputFunctions.Utility_DisplayArrayInTable(CommonLivestock_SourceData.SourceData_Livestock_Common_SymbolsMMS_Data(), Table_Data_MMSSymbols[[#Headers],[Symbol]], 0)</f>
        <v>Belt manure removal (m=11a)</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11b</v>
      </c>
      <c r="E23" s="38" t="str" cm="1">
        <f t="array" ref="E23">Common_InputFunctions.Utility_DisplayArrayInTable(CommonLivestock_SourceData.SourceData_Livestock_Common_SymbolsMMS_Data(), Table_Data_MMSSymbols[[#Headers],[Symbol]], 0)</f>
        <v>Manure stored in house</v>
      </c>
      <c r="F23" s="38" t="str" cm="1">
        <f t="array" ref="F23">Common_InputFunctions.Utility_DisplayArrayInTable(CommonLivestock_SourceData.SourceData_Livestock_Common_SymbolsMMS_Data(), Table_Data_MMSSymbols[[#Headers],[Symbol]], 0)</f>
        <v>Manure stored in house (m=11b)</v>
      </c>
      <c r="G23" s="3"/>
    </row>
    <row r="24" spans="1:8" ht="20.100000000000001" customHeight="1" x14ac:dyDescent="0.25">
      <c r="D24" s="38" t="str" cm="1">
        <f t="array" ref="D24">Common_InputFunctions.Utility_DisplayArrayInTable(CommonLivestock_SourceData.SourceData_Livestock_Common_SymbolsMMS_Data(), Table_Data_MMSSymbols[[#Headers],[Symbol]], 0)</f>
        <v>12</v>
      </c>
      <c r="E24" s="38" t="str" cm="1">
        <f t="array" ref="E24">Common_InputFunctions.Utility_DisplayArrayInTable(CommonLivestock_SourceData.SourceData_Livestock_Common_SymbolsMMS_Data(), Table_Data_MMSSymbols[[#Headers],[Symbol]], 0)</f>
        <v>Direct processing</v>
      </c>
      <c r="F24" s="38" t="str" cm="1">
        <f t="array" ref="F24">Common_InputFunctions.Utility_DisplayArrayInTable(CommonLivestock_SourceData.SourceData_Livestock_Common_SymbolsMMS_Data(), Table_Data_MMSSymbols[[#Headers],[Symbol]], 0)</f>
        <v>Direct processing (m=12)</v>
      </c>
      <c r="G24" s="3"/>
    </row>
    <row r="25" spans="1:8" ht="20.100000000000001" customHeight="1" x14ac:dyDescent="0.25">
      <c r="D25" s="38" t="str" cm="1">
        <f t="array" ref="D25">Common_InputFunctions.Utility_DisplayArrayInTable(CommonLivestock_SourceData.SourceData_Livestock_Common_SymbolsMMS_Data(), Table_Data_MMSSymbols[[#Headers],[Symbol]], 0)</f>
        <v>13</v>
      </c>
      <c r="E25" s="38" t="str" cm="1">
        <f t="array" ref="E25">Common_InputFunctions.Utility_DisplayArrayInTable(CommonLivestock_SourceData.SourceData_Livestock_Common_SymbolsMMS_Data(), Table_Data_MMSSymbols[[#Headers],[Symbol]], 0)</f>
        <v>Direct application</v>
      </c>
      <c r="F25" s="38" t="str" cm="1">
        <f t="array" ref="F25">Common_InputFunctions.Utility_DisplayArrayInTable(CommonLivestock_SourceData.SourceData_Livestock_Common_SymbolsMMS_Data(), Table_Data_MMSSymbols[[#Headers],[Symbol]], 0)</f>
        <v>Direct application (m=13)</v>
      </c>
      <c r="G25" s="3"/>
    </row>
    <row r="26" spans="1:8" ht="20.100000000000001" customHeight="1" x14ac:dyDescent="0.25">
      <c r="D26" s="38" t="str" cm="1">
        <f t="array" ref="D26">Common_InputFunctions.Utility_DisplayArrayInTable(CommonLivestock_SourceData.SourceData_Livestock_Common_SymbolsMMS_Data(), Table_Data_MMSSymbols[[#Headers],[Symbol]], 0)</f>
        <v>14</v>
      </c>
      <c r="E26" s="38" t="str" cm="1">
        <f t="array" ref="E26">Common_InputFunctions.Utility_DisplayArrayInTable(CommonLivestock_SourceData.SourceData_Livestock_Common_SymbolsMMS_Data(), Table_Data_MMSSymbols[[#Headers],[Symbol]], 0)</f>
        <v>Pasture range and paddock</v>
      </c>
      <c r="F26" s="38" t="str" cm="1">
        <f t="array" ref="F26">Common_InputFunctions.Utility_DisplayArrayInTable(CommonLivestock_SourceData.SourceData_Livestock_Common_SymbolsMMS_Data(), Table_Data_MMSSymbols[[#Headers],[Symbol]], 0)</f>
        <v>Pasture range and paddock (m=14)</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1"/>
  <sheetViews>
    <sheetView zoomScaleNormal="100" workbookViewId="0">
      <selection activeCell="A21" sqref="A21"/>
    </sheetView>
  </sheetViews>
  <sheetFormatPr defaultRowHeight="15" x14ac:dyDescent="0.25"/>
  <sheetData>
    <row r="1" spans="1:1" ht="25.5" x14ac:dyDescent="0.35">
      <c r="A1" s="65"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69</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6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70</vt:i4>
      </vt:variant>
    </vt:vector>
  </HeadingPairs>
  <TitlesOfParts>
    <vt:vector size="8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lpstr>Common_SourceData_DensityOfMethane_Data</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