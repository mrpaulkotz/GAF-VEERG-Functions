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B12AFCEA-2C3F-4D38-849E-20555418160B}" xr6:coauthVersionLast="47" xr6:coauthVersionMax="47" xr10:uidLastSave="{00000000-0000-0000-0000-000000000000}"/>
  <bookViews>
    <workbookView xWindow="1020" yWindow="0" windowWidth="37140" windowHeight="20475" firstSheet="2"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7" i="96" a="1"/>
  <c r="E7" i="95" a="1"/>
  <c r="E7" i="97" a="1"/>
  <c r="E32" i="97" a="1"/>
  <c r="E37" i="98" a="1"/>
  <c r="E55" i="82" a="1"/>
  <c r="E91" i="81" a="1"/>
  <c r="E7" i="98" a="1"/>
  <c r="E7" i="81" a="1"/>
  <c r="E37" i="96" a="1"/>
  <c r="E36" i="95"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83" i="76" a="1"/>
  <c r="E212" i="69" a="1"/>
  <c r="E186" i="69" a="1"/>
  <c r="E153" i="76" a="1"/>
  <c r="E56" i="69" a="1"/>
  <c r="E252" i="69" a="1"/>
  <c r="E85" i="69" a="1"/>
  <c r="E7" i="76" a="1"/>
  <c r="E109" i="76" a="1"/>
  <c r="E120" i="69" a="1"/>
  <c r="E139" i="69" a="1"/>
  <c r="E8" i="69" a="1"/>
  <c r="E72" i="76" a="1"/>
  <c r="E7" i="82" a="1"/>
  <c r="E256" i="76" a="1"/>
  <c r="E219" i="76" a="1"/>
  <c r="E35" i="76" a="1"/>
  <c r="E132"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E10" i="13" l="1"/>
  <c r="P85" i="8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<sst xmlns="http://schemas.openxmlformats.org/spreadsheetml/2006/main" count="1636" uniqueCount="476">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</sst>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435</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424</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'4.3.1.1-2 Methane'!$E$300</f>
        <v>9.7003441774240233</v>
      </c>
      <c r="F7" s="117">
        <f>'4.3.1.1-2 Methane'!$P$300</f>
        <v>10.018407952436421</v>
      </c>
      <c r="G7" s="57" t="str">
        <f>'4.3.1.1-2 Methane'!$F$300</f>
        <v>t CH4</v>
      </c>
      <c r="H7" s="117">
        <f>'4.3.1.1-2 Methane'!$E$305</f>
        <v>271.60963696787263</v>
      </c>
      <c r="I7" s="117">
        <f>'4.3.1.1-2 Methane'!$P$305</f>
        <v>280.5154226682198</v>
      </c>
      <c r="J7" s="57" t="str">
        <f>'4.3.1.1-2 Methane'!$F$305</f>
        <v>t CO2e</v>
      </c>
      <c r="K7" s="24"/>
    </row>
    <row r="8" spans="1:11" ht="20.100000000000001" customHeight="1" x14ac:dyDescent="0.25">
      <c r="A8" s="17" t="str">
        <f>HYPERLINK("#'Input - Site'!A1", "Site")</f>
        <v>Site</v>
      </c>
      <c r="C8" s="24"/>
      <c r="D8" s="1" t="s">
        <v>383</v>
      </c>
      <c r="E8" s="117">
        <f>'4.3.1.3-4 Direct N20'!$E$287</f>
        <v>6.7780806469274146E-2</v>
      </c>
      <c r="F8" s="117">
        <f>'4.3.1.3-4 Direct N20'!$O$287</f>
        <v>6.7780806469274146E-2</v>
      </c>
      <c r="G8" s="57" t="str">
        <f>'4.3.1.3-4 Direct N20'!$F$287</f>
        <v>t N2O</v>
      </c>
      <c r="H8" s="117">
        <f>'4.3.1.3-4 Direct N20'!$E$292</f>
        <v>17.961913714357649</v>
      </c>
      <c r="I8" s="117">
        <f>'4.3.1.3-4 Direct N20'!$O$292</f>
        <v>17.961913714357649</v>
      </c>
      <c r="J8" s="57" t="str">
        <f>'4.3.1.3-4 Direct N20'!$F$292</f>
        <v>t CO2e</v>
      </c>
      <c r="K8" s="24"/>
    </row>
    <row r="9" spans="1:11" ht="20.100000000000001" customHeight="1" x14ac:dyDescent="0.25">
      <c r="A9" s="17" t="str">
        <f>HYPERLINK("#'Input - Dairy'!A1", "Dairy")</f>
        <v>Dairy</v>
      </c>
      <c r="C9" s="24"/>
      <c r="D9" s="1" t="s">
        <v>384</v>
      </c>
      <c r="E9" s="117">
        <f>'4.3.1.5 Atmos deposition'!$E$68</f>
        <v>5.0393557091555838E-2</v>
      </c>
      <c r="F9" s="117">
        <f>'4.3.1.5 Atmos deposition'!$P$68</f>
        <v>5.0393557091555838E-2</v>
      </c>
      <c r="G9" s="57" t="str">
        <f>'4.3.1.5 Atmos deposition'!$F$68</f>
        <v>t N2O</v>
      </c>
      <c r="H9" s="117">
        <f>'4.3.1.5 Atmos deposition'!$E$73</f>
        <v>13.354292629262297</v>
      </c>
      <c r="I9" s="117">
        <f>'4.3.1.5 Atmos deposition'!$P$73</f>
        <v>13.354292629262297</v>
      </c>
      <c r="J9" s="57" t="str">
        <f>'4.3.1.5 Atmos deposition'!$F$73</f>
        <v>t CO2e</v>
      </c>
      <c r="K9" s="24"/>
    </row>
    <row r="10" spans="1:11" ht="20.100000000000001" customHeight="1" x14ac:dyDescent="0.25">
      <c r="A10" s="17"/>
      <c r="C10" s="24"/>
      <c r="D10" s="1" t="s">
        <v>385</v>
      </c>
      <c r="E10" s="117">
        <f>'4.3.1.6-7 Leaching and runoff'!$E$52</f>
        <v>2.9823554846480625E-3</v>
      </c>
      <c r="F10" s="117">
        <f>'4.3.1.6-7 Leaching and runoff'!$P$52</f>
        <v>2.9823554846480625E-3</v>
      </c>
      <c r="G10" s="57" t="str">
        <f>'4.3.1.6-7 Leaching and runoff'!$F$52</f>
        <v>t N2O</v>
      </c>
      <c r="H10" s="117">
        <f>'4.3.1.6-7 Leaching and runoff'!$E$57</f>
        <v>0.79032420343173659</v>
      </c>
      <c r="I10" s="117">
        <f>'4.3.1.6-7 Leaching and runoff'!$P$57</f>
        <v>0.79032420343173659</v>
      </c>
      <c r="J10" s="57" t="str">
        <f>'4.3.1.6-7 Leaching and runoff'!$F$57</f>
        <v>t CO2e</v>
      </c>
      <c r="K10" s="24"/>
    </row>
    <row r="11" spans="1:11" ht="20.100000000000001" customHeight="1" x14ac:dyDescent="0.25">
      <c r="A11" s="19" t="s">
        <v>76</v>
      </c>
      <c r="C11" s="24"/>
      <c r="D11" s="1" t="s">
        <v>352</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368</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369</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SUM(H7:H13)</f>
        <v>366.05931892240073</v>
      </c>
      <c r="I14" s="119">
        <f>SUM(I7:I13)</f>
        <v>374.9651046227479</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'4.3.1.8 Manure applied to soils'!$E$85</f>
        <v>12428.471282831411</v>
      </c>
      <c r="F20" s="121">
        <f>'4.3.1.8 Manure applied to soils'!$P$85</f>
        <v>12428.471282831411</v>
      </c>
      <c r="G20" s="57" t="s">
        <v>130</v>
      </c>
      <c r="H20" s="1" t="s">
        <v>388</v>
      </c>
      <c r="I20" s="1" t="s">
        <v>165</v>
      </c>
      <c r="J20" s="1"/>
      <c r="K20" s="24"/>
    </row>
    <row r="21" spans="1:11" ht="20.100000000000001" customHeight="1" x14ac:dyDescent="0.25">
      <c r="A21" s="18" t="s">
        <v>4</v>
      </c>
      <c r="C21" s="24"/>
      <c r="D21" s="1" t="s">
        <v>163</v>
      </c>
      <c r="E21" s="121">
        <f>'4.3.1.8 Manure applied to soils'!$E$148</f>
        <v>4142.8237609438038</v>
      </c>
      <c r="F21" s="121">
        <f>'4.3.1.8 Manure applied to soils'!$P$148</f>
        <v>4142.8237609438038</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'4.3.1.8 Manure applied to soils'!$E$115</f>
        <v>4142.8237609438038</v>
      </c>
      <c r="F22" s="121">
        <f>'4.3.1.8 Manure applied to soils'!$P$115</f>
        <v>4142.8237609438038</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topLeftCell="C1" workbookViewId="0">
      <selection activeCell="E7" sqref="E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192</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103</v>
      </c>
      <c r="N5" s="3"/>
      <c r="R5" s="7"/>
    </row>
    <row r="6" spans="1:23" ht="20.100000000000001" customHeight="1" x14ac:dyDescent="0.25">
      <c r="A6" s="16"/>
      <c r="N6" s="3"/>
      <c r="R6" s="7"/>
    </row>
    <row r="7" spans="1:23" ht="20.100000000000001" customHeight="1" x14ac:dyDescent="0.25">
      <c r="A7" s="20" t="s">
        <v>3</v>
      </c>
      <c r="D7" s="1" t="s">
        <v>170</v>
      </c>
      <c r="E7" s="42" t="s">
        <v>213</v>
      </c>
      <c r="F7" s="2" t="s">
        <v>10</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171</v>
      </c>
      <c r="F9" s="41" t="s">
        <v>188</v>
      </c>
      <c r="G9" s="41" t="s">
        <v>189</v>
      </c>
      <c r="H9" s="41" t="s">
        <v>190</v>
      </c>
      <c r="I9" s="41" t="s">
        <v>191</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R10" s="7"/>
    </row>
    <row r="11" spans="1:23" ht="20.100000000000001" customHeight="1" x14ac:dyDescent="0.25">
      <c r="A11" s="19" t="s">
        <v>76</v>
      </c>
      <c r="R11" s="7"/>
    </row>
    <row r="12" spans="1:23" ht="20.100000000000001" customHeight="1" x14ac:dyDescent="0.25">
      <c r="A12" s="17" t="str">
        <f>HYPERLINK("#'4.3.1.1-2 Methane'!A1", "4.3.1.1-2 Methane")</f>
        <v>4.3.1.1-2 Methane</v>
      </c>
      <c r="D12" s="51" t="s">
        <v>210</v>
      </c>
      <c r="R12" s="7"/>
    </row>
    <row r="13" spans="1:23" ht="20.100000000000001" customHeight="1" x14ac:dyDescent="0.25">
      <c r="A13" s="17" t="str">
        <f>HYPERLINK("#'4.3.1.3-4 Direct N20'!A1", "4.3.1.3-4 Direct N2O")</f>
        <v>4.3.1.3-4 Direct N2O</v>
      </c>
      <c r="D13" s="66" t="s">
        <v>204</v>
      </c>
      <c r="E13" s="41" t="s">
        <v>171</v>
      </c>
      <c r="F13" s="41" t="s">
        <v>188</v>
      </c>
      <c r="G13" s="41" t="s">
        <v>189</v>
      </c>
      <c r="H13" s="41" t="s">
        <v>190</v>
      </c>
      <c r="I13" s="41" t="s">
        <v>191</v>
      </c>
      <c r="R13" s="40"/>
    </row>
    <row r="14" spans="1:23"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R14" s="40"/>
    </row>
    <row r="15" spans="1:23"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R17" s="7"/>
    </row>
    <row r="18" spans="1:18"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R18" s="7"/>
    </row>
    <row r="19" spans="1:18"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R19" s="7"/>
    </row>
    <row r="20" spans="1:18" ht="20.100000000000001" customHeight="1" x14ac:dyDescent="0.25">
      <c r="A20" s="17"/>
      <c r="R20" s="7"/>
    </row>
    <row r="21" spans="1:18" ht="20.100000000000001" customHeight="1" x14ac:dyDescent="0.25">
      <c r="A21" s="18" t="s">
        <v>4</v>
      </c>
      <c r="D21" s="51" t="s">
        <v>104</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R25" s="7"/>
    </row>
    <row r="26" spans="1:18" ht="20.100000000000001" customHeight="1" x14ac:dyDescent="0.25">
      <c r="R26" s="7"/>
    </row>
    <row r="27" spans="1:18" ht="20.100000000000001" customHeight="1" x14ac:dyDescent="0.25">
      <c r="D27" s="66" t="s">
        <v>203</v>
      </c>
      <c r="E27" s="41" t="s">
        <v>171</v>
      </c>
      <c r="F27" s="41" t="s">
        <v>188</v>
      </c>
      <c r="G27" s="41" t="s">
        <v>189</v>
      </c>
      <c r="H27" s="41" t="s">
        <v>190</v>
      </c>
      <c r="I27" s="41" t="s">
        <v>191</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209</v>
      </c>
      <c r="R33" s="7"/>
    </row>
    <row r="34" spans="1:18" ht="20.100000000000001" customHeight="1" x14ac:dyDescent="0.25">
      <c r="D34" s="51"/>
      <c r="R34" s="7"/>
    </row>
    <row r="35" spans="1:18" ht="20.100000000000001" customHeight="1" x14ac:dyDescent="0.25">
      <c r="D35" s="66" t="s">
        <v>204</v>
      </c>
      <c r="E35" s="41" t="s">
        <v>171</v>
      </c>
      <c r="F35" s="41" t="s">
        <v>188</v>
      </c>
      <c r="G35" s="41" t="s">
        <v>189</v>
      </c>
      <c r="H35" s="41" t="s">
        <v>190</v>
      </c>
      <c r="I35" s="41" t="s">
        <v>191</v>
      </c>
      <c r="R35" s="7"/>
    </row>
    <row r="36" spans="1:18" ht="20.100000000000001" customHeight="1" x14ac:dyDescent="0.25">
      <c r="D36" s="1" t="s">
        <v>18</v>
      </c>
      <c r="E36" s="55">
        <v>0.75</v>
      </c>
      <c r="F36" s="55">
        <v>0.75</v>
      </c>
      <c r="G36" s="55">
        <v>0.75</v>
      </c>
      <c r="H36" s="55">
        <v>0.75</v>
      </c>
      <c r="I36" s="55">
        <v>0.75</v>
      </c>
      <c r="J36" s="2" t="s">
        <v>99</v>
      </c>
      <c r="K36" s="2"/>
      <c r="L36" s="2"/>
      <c r="M36" s="2"/>
      <c r="R36" s="7"/>
    </row>
    <row r="37" spans="1:18" ht="20.100000000000001" customHeight="1" x14ac:dyDescent="0.25">
      <c r="D37" s="1" t="s">
        <v>110</v>
      </c>
      <c r="E37" s="55">
        <v>0.2</v>
      </c>
      <c r="F37" s="55">
        <v>0.2</v>
      </c>
      <c r="G37" s="55">
        <v>0.2</v>
      </c>
      <c r="H37" s="55">
        <v>0.2</v>
      </c>
      <c r="I37" s="55">
        <v>0.2</v>
      </c>
      <c r="J37" s="2" t="s">
        <v>99</v>
      </c>
      <c r="K37" s="2"/>
      <c r="L37" s="2"/>
      <c r="M37" s="2"/>
      <c r="R37" s="7"/>
    </row>
    <row r="38" spans="1:18" ht="20.100000000000001" customHeight="1" x14ac:dyDescent="0.25">
      <c r="L38" s="2"/>
      <c r="M38" s="2"/>
      <c r="R38" s="7"/>
    </row>
    <row r="39" spans="1:18" ht="20.100000000000001" customHeight="1" x14ac:dyDescent="0.25">
      <c r="A39" s="17"/>
      <c r="D39" s="66" t="s">
        <v>203</v>
      </c>
      <c r="E39" s="41" t="s">
        <v>171</v>
      </c>
      <c r="F39" s="41" t="s">
        <v>188</v>
      </c>
      <c r="G39" s="41" t="s">
        <v>189</v>
      </c>
      <c r="H39" s="41" t="s">
        <v>190</v>
      </c>
      <c r="I39" s="41" t="s">
        <v>191</v>
      </c>
      <c r="R39" s="7"/>
    </row>
    <row r="40" spans="1:18" ht="20.100000000000001" customHeight="1" x14ac:dyDescent="0.25">
      <c r="D40" s="1" t="s">
        <v>18</v>
      </c>
      <c r="E40" s="69">
        <v>0.75</v>
      </c>
      <c r="F40" s="69">
        <v>0.75</v>
      </c>
      <c r="G40" s="69">
        <v>0.75</v>
      </c>
      <c r="H40" s="69">
        <v>0.75</v>
      </c>
      <c r="I40" s="69">
        <v>0.75</v>
      </c>
      <c r="J40" s="2" t="s">
        <v>99</v>
      </c>
      <c r="K40" s="2"/>
      <c r="R40" s="7"/>
    </row>
    <row r="41" spans="1:18" ht="20.100000000000001" customHeight="1" x14ac:dyDescent="0.25">
      <c r="A41" s="47"/>
      <c r="D41" s="1" t="s">
        <v>110</v>
      </c>
      <c r="E41" s="69">
        <v>0.2</v>
      </c>
      <c r="F41" s="69">
        <v>0.2</v>
      </c>
      <c r="G41" s="69">
        <v>0.2</v>
      </c>
      <c r="H41" s="69">
        <v>0.2</v>
      </c>
      <c r="I41" s="69">
        <v>0.2</v>
      </c>
      <c r="J41" s="2" t="s">
        <v>99</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195</v>
      </c>
      <c r="E47" s="3"/>
      <c r="F47" s="3"/>
      <c r="G47" s="3"/>
      <c r="H47" s="3"/>
      <c r="I47" s="3"/>
      <c r="J47" s="3"/>
      <c r="K47" s="3"/>
      <c r="L47" s="3"/>
      <c r="M47" s="3"/>
      <c r="R47" s="7"/>
    </row>
    <row r="48" spans="1:18" ht="20.100000000000001" customHeight="1" x14ac:dyDescent="0.25">
      <c r="D48" s="23" t="s">
        <v>452</v>
      </c>
      <c r="G48" s="6"/>
      <c r="H48" s="6"/>
      <c r="I48" s="6"/>
      <c r="J48" s="126"/>
      <c r="K48" s="126"/>
      <c r="L48" s="126"/>
      <c r="M48" s="126"/>
      <c r="R48" s="7"/>
    </row>
    <row r="49" spans="3:18" ht="20.100000000000001" customHeight="1" x14ac:dyDescent="0.25">
      <c r="D49" s="1" t="s">
        <v>437</v>
      </c>
      <c r="E49" s="42" t="s">
        <v>450</v>
      </c>
      <c r="F49" s="2" t="s">
        <v>10</v>
      </c>
      <c r="R49" s="7"/>
    </row>
    <row r="50" spans="3:18" ht="20.100000000000001" customHeight="1" x14ac:dyDescent="0.25">
      <c r="R50" s="7"/>
    </row>
    <row r="51" spans="3:18" ht="20.100000000000001" customHeight="1" x14ac:dyDescent="0.25">
      <c r="E51" s="41" t="s">
        <v>171</v>
      </c>
      <c r="R51" s="7"/>
    </row>
    <row r="52" spans="3:18" ht="20.100000000000001" customHeight="1" x14ac:dyDescent="0.25">
      <c r="D52" s="1" t="s">
        <v>196</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438</v>
      </c>
      <c r="E54" s="41" t="s">
        <v>439</v>
      </c>
      <c r="F54" s="41" t="s">
        <v>440</v>
      </c>
      <c r="R54" s="7"/>
    </row>
    <row r="55" spans="3:18" ht="20.100000000000001" customHeight="1" x14ac:dyDescent="0.25">
      <c r="D55" s="1" t="s">
        <v>441</v>
      </c>
      <c r="E55" s="140">
        <v>0.04</v>
      </c>
      <c r="F55" s="155">
        <v>0.04</v>
      </c>
      <c r="G55" s="2" t="s">
        <v>442</v>
      </c>
      <c r="R55" s="7"/>
    </row>
    <row r="56" spans="3:18" ht="20.100000000000001" customHeight="1" x14ac:dyDescent="0.25">
      <c r="D56" s="1" t="s">
        <v>443</v>
      </c>
      <c r="E56" s="140">
        <v>3.3000000000000002E-2</v>
      </c>
      <c r="F56" s="155">
        <v>3.3000000000000002E-2</v>
      </c>
      <c r="G56" s="2" t="s">
        <v>442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206</v>
      </c>
      <c r="R60" s="7"/>
    </row>
    <row r="61" spans="3:18" ht="20.100000000000001" customHeight="1" x14ac:dyDescent="0.25">
      <c r="D61" s="51" t="s">
        <v>199</v>
      </c>
      <c r="R61" s="7"/>
    </row>
    <row r="62" spans="3:18" ht="20.100000000000001" customHeight="1" x14ac:dyDescent="0.25">
      <c r="D62" s="1" t="s">
        <v>201</v>
      </c>
      <c r="E62" s="42" t="s">
        <v>208</v>
      </c>
      <c r="F62" s="2" t="s">
        <v>10</v>
      </c>
      <c r="N62" s="3"/>
      <c r="R62" s="7"/>
    </row>
    <row r="63" spans="3:18" ht="20.100000000000001" customHeight="1" x14ac:dyDescent="0.25">
      <c r="N63" s="3"/>
      <c r="R63" s="7"/>
    </row>
    <row r="64" spans="3:18" ht="20.100000000000001" customHeight="1" x14ac:dyDescent="0.25">
      <c r="D64" s="66" t="s">
        <v>204</v>
      </c>
      <c r="E64" s="41" t="s">
        <v>171</v>
      </c>
      <c r="F64" s="41" t="s">
        <v>188</v>
      </c>
      <c r="G64" s="41" t="s">
        <v>189</v>
      </c>
      <c r="H64" s="41" t="s">
        <v>190</v>
      </c>
      <c r="I64" s="41" t="s">
        <v>191</v>
      </c>
      <c r="N64" s="3"/>
      <c r="R64" s="7"/>
    </row>
    <row r="65" spans="3:18" ht="20.100000000000001" customHeight="1" x14ac:dyDescent="0.25">
      <c r="D65" s="1" t="s">
        <v>145</v>
      </c>
      <c r="E65" s="140">
        <v>0.53400000000000003</v>
      </c>
      <c r="F65" s="140">
        <v>0.53400000000000003</v>
      </c>
      <c r="G65" s="140">
        <v>0.53400000000000003</v>
      </c>
      <c r="H65" s="140">
        <v>0.53400000000000003</v>
      </c>
      <c r="I65" s="140">
        <v>0.53400000000000003</v>
      </c>
      <c r="J65" s="2" t="s">
        <v>19</v>
      </c>
      <c r="K65" s="2"/>
      <c r="L65" s="2"/>
      <c r="M65" s="2"/>
      <c r="N65" s="3"/>
    </row>
    <row r="66" spans="3:18" ht="20.100000000000001" customHeight="1" x14ac:dyDescent="0.25">
      <c r="D66" s="1" t="s">
        <v>185</v>
      </c>
      <c r="E66" s="140">
        <v>0.11</v>
      </c>
      <c r="F66" s="140">
        <v>0.11</v>
      </c>
      <c r="G66" s="140">
        <v>0.11</v>
      </c>
      <c r="H66" s="140">
        <v>0.11</v>
      </c>
      <c r="I66" s="140">
        <v>0.11</v>
      </c>
      <c r="J66" s="2" t="s">
        <v>19</v>
      </c>
      <c r="K66" s="2"/>
      <c r="L66" s="2"/>
      <c r="M66" s="2"/>
      <c r="N66" s="3"/>
    </row>
    <row r="67" spans="3:18" ht="20.100000000000001" customHeight="1" x14ac:dyDescent="0.25">
      <c r="D67" s="1" t="s">
        <v>200</v>
      </c>
      <c r="E67" s="140">
        <v>0.35599999999999998</v>
      </c>
      <c r="F67" s="140">
        <v>0.35599999999999998</v>
      </c>
      <c r="G67" s="140">
        <v>0.35599999999999998</v>
      </c>
      <c r="H67" s="140">
        <v>0.35599999999999998</v>
      </c>
      <c r="I67" s="140">
        <v>0.35599999999999998</v>
      </c>
      <c r="J67" s="2" t="s">
        <v>19</v>
      </c>
      <c r="K67" s="2"/>
      <c r="L67" s="2"/>
      <c r="M67" s="2"/>
      <c r="N67" s="3"/>
    </row>
    <row r="68" spans="3:18" ht="20.100000000000001" customHeight="1" x14ac:dyDescent="0.25">
      <c r="N68" s="3"/>
    </row>
    <row r="69" spans="3:18" ht="20.100000000000001" customHeight="1" x14ac:dyDescent="0.25">
      <c r="D69" s="66" t="s">
        <v>203</v>
      </c>
      <c r="E69" s="41" t="s">
        <v>171</v>
      </c>
      <c r="F69" s="41" t="s">
        <v>188</v>
      </c>
      <c r="G69" s="41" t="s">
        <v>189</v>
      </c>
      <c r="H69" s="41" t="s">
        <v>190</v>
      </c>
      <c r="I69" s="41" t="s">
        <v>191</v>
      </c>
      <c r="N69" s="3"/>
    </row>
    <row r="70" spans="3:18" ht="20.100000000000001" customHeight="1" x14ac:dyDescent="0.25">
      <c r="D70" s="1" t="s">
        <v>145</v>
      </c>
      <c r="E70" s="139">
        <v>0.53400000000000003</v>
      </c>
      <c r="F70" s="139">
        <v>0.53400000000000003</v>
      </c>
      <c r="G70" s="139">
        <v>0.53400000000000003</v>
      </c>
      <c r="H70" s="139">
        <v>0.53400000000000003</v>
      </c>
      <c r="I70" s="139">
        <v>0.53400000000000003</v>
      </c>
      <c r="J70" s="2" t="s">
        <v>19</v>
      </c>
      <c r="K70" s="2"/>
      <c r="L70" s="2"/>
      <c r="M70" s="2"/>
      <c r="N70" s="3"/>
    </row>
    <row r="71" spans="3:18" ht="20.100000000000001" customHeight="1" x14ac:dyDescent="0.25">
      <c r="D71" s="1" t="s">
        <v>185</v>
      </c>
      <c r="E71" s="139">
        <v>0.11</v>
      </c>
      <c r="F71" s="139">
        <v>0.11</v>
      </c>
      <c r="G71" s="139">
        <v>0.11</v>
      </c>
      <c r="H71" s="139">
        <v>0.11</v>
      </c>
      <c r="I71" s="139">
        <v>0.11</v>
      </c>
      <c r="J71" s="2" t="s">
        <v>19</v>
      </c>
      <c r="K71" s="2"/>
      <c r="L71" s="2"/>
      <c r="M71" s="2"/>
      <c r="N71" s="3"/>
    </row>
    <row r="72" spans="3:18" ht="20.100000000000001" customHeight="1" x14ac:dyDescent="0.25">
      <c r="D72" s="1" t="s">
        <v>200</v>
      </c>
      <c r="E72" s="139">
        <v>0.35599999999999998</v>
      </c>
      <c r="F72" s="139">
        <v>0.35599999999999998</v>
      </c>
      <c r="G72" s="139">
        <v>0.35599999999999998</v>
      </c>
      <c r="H72" s="139">
        <v>0.35599999999999998</v>
      </c>
      <c r="I72" s="139">
        <v>0.35599999999999998</v>
      </c>
      <c r="J72" s="2" t="s">
        <v>19</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102</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101</v>
      </c>
      <c r="E79" s="41" t="s">
        <v>171</v>
      </c>
      <c r="F79" s="41" t="s">
        <v>188</v>
      </c>
      <c r="G79" s="41" t="s">
        <v>189</v>
      </c>
      <c r="H79" s="41" t="s">
        <v>190</v>
      </c>
      <c r="I79" s="41" t="s">
        <v>191</v>
      </c>
      <c r="J79" s="146" t="s">
        <v>427</v>
      </c>
      <c r="K79" s="66" t="s">
        <v>426</v>
      </c>
      <c r="L79" s="66"/>
      <c r="M79" s="41"/>
      <c r="N79" s="3"/>
    </row>
    <row r="80" spans="3:18" ht="20.100000000000001" customHeight="1" x14ac:dyDescent="0.25">
      <c r="K80" s="121" t="s">
        <v>428</v>
      </c>
      <c r="L80" s="121" t="s">
        <v>429</v>
      </c>
      <c r="M80" s="121" t="s">
        <v>430</v>
      </c>
      <c r="N80" s="3"/>
      <c r="R80" s="7"/>
    </row>
    <row r="81" spans="4:18" ht="20.100000000000001" customHeight="1" x14ac:dyDescent="0.25">
      <c r="D81" s="149" t="str">
        <f>'Constants - Dairy'!$D$8</f>
        <v>Anaerobic lagoon</v>
      </c>
      <c r="E81" s="49">
        <v>0.25</v>
      </c>
      <c r="F81" s="49">
        <v>0.25</v>
      </c>
      <c r="G81" s="49">
        <v>0.25</v>
      </c>
      <c r="H81" s="49">
        <v>0.25</v>
      </c>
      <c r="I81" s="49">
        <v>0.25</v>
      </c>
      <c r="J81" s="2" t="s">
        <v>19</v>
      </c>
      <c r="K81" s="49">
        <v>0.25</v>
      </c>
      <c r="L81" s="49">
        <v>0.25</v>
      </c>
      <c r="M81" s="101">
        <v>0.5</v>
      </c>
      <c r="N81" s="3"/>
      <c r="R81" s="7"/>
    </row>
    <row r="82" spans="4:18" ht="20.100000000000001" customHeight="1" x14ac:dyDescent="0.25">
      <c r="D82" s="156" t="str">
        <f>"Were solids separated from " &amp; D81 &amp; "?"</f>
        <v>Were solids separated from Anaerobic lagoon?</v>
      </c>
      <c r="E82" s="42" t="s">
        <v>207</v>
      </c>
      <c r="N82" s="3"/>
      <c r="R82" s="7"/>
    </row>
    <row r="83" spans="4:18" ht="20.100000000000001" customHeight="1" x14ac:dyDescent="0.25">
      <c r="D83" s="156" t="str">
        <f>"Percent solids separated from " &amp; D81 &amp; " (Method 1)"</f>
        <v>Percent solids separated from Anaerobic lagoon (Method 1)</v>
      </c>
      <c r="E83" s="101">
        <v>0</v>
      </c>
      <c r="N83" s="3"/>
      <c r="R83" s="7"/>
    </row>
    <row r="84" spans="4:18" ht="20.100000000000001" customHeight="1" x14ac:dyDescent="0.25">
      <c r="D84" s="156" t="str">
        <f>"Percent solids separated from " &amp; D81 &amp; " (Method 2)"</f>
        <v>Percent solids separated from Anaerobic lagoon (Method 2)</v>
      </c>
      <c r="E84" s="49">
        <v>0</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19</v>
      </c>
      <c r="K86" s="49">
        <v>0.25</v>
      </c>
      <c r="L86" s="49">
        <v>0.25</v>
      </c>
      <c r="M86" s="101">
        <v>0.5</v>
      </c>
      <c r="R86" s="7"/>
    </row>
    <row r="87" spans="4:18" ht="20.100000000000001" customHeight="1" x14ac:dyDescent="0.25">
      <c r="D87" s="156" t="str">
        <f>"Were solids separated from " &amp; D86 &amp; "?"</f>
        <v>Were solids separated from Sump and dispersal system?</v>
      </c>
      <c r="E87" s="42" t="s">
        <v>205</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19</v>
      </c>
      <c r="K91" s="49">
        <v>0.25</v>
      </c>
      <c r="L91" s="49">
        <v>0.25</v>
      </c>
      <c r="M91" s="101">
        <v>0.5</v>
      </c>
      <c r="R91" s="7"/>
    </row>
    <row r="92" spans="4:18" ht="20.100000000000001" customHeight="1" x14ac:dyDescent="0.25">
      <c r="D92" s="156" t="str">
        <f>"Were solids separated from " &amp; D91 &amp; "?"</f>
        <v>Were solids separated from Drains to paddock?</v>
      </c>
      <c r="E92" s="42" t="s">
        <v>205</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19</v>
      </c>
      <c r="K96" s="49">
        <v>0.25</v>
      </c>
      <c r="L96" s="49">
        <v>0.25</v>
      </c>
      <c r="M96" s="101">
        <v>0.5</v>
      </c>
      <c r="R96" s="7"/>
    </row>
    <row r="97" spans="4:18" ht="20.100000000000001" customHeight="1" x14ac:dyDescent="0.25">
      <c r="D97" s="150" t="s">
        <v>433</v>
      </c>
      <c r="E97" s="101">
        <f>E96+(E81*$E83)+(E86*$E88)+(E91*$E93)</f>
        <v>0.35</v>
      </c>
      <c r="F97" s="101">
        <f>F96+(F81*$E83)+(F86*$E88)+(F91*$E93)</f>
        <v>0.35</v>
      </c>
      <c r="G97" s="101">
        <f>G96+(G81*$E83)+(G86*$E88)+(G91*$E93)</f>
        <v>0.35</v>
      </c>
      <c r="H97" s="101">
        <f>H96+(H81*$E83)+(H86*$E88)+(H91*$E93)</f>
        <v>0.35</v>
      </c>
      <c r="I97" s="101">
        <f>I96+(I81*$E83)+(I86*$E88)+(I91*$E93)</f>
        <v>0.35</v>
      </c>
      <c r="J97" s="2" t="s">
        <v>19</v>
      </c>
      <c r="K97" s="2"/>
      <c r="L97" s="2"/>
      <c r="M97" s="2"/>
      <c r="R97" s="7"/>
    </row>
    <row r="98" spans="4:18" ht="20.100000000000001" customHeight="1" x14ac:dyDescent="0.25">
      <c r="D98" s="150" t="s">
        <v>434</v>
      </c>
      <c r="E98" s="101">
        <f>E96+(E81*$E84)+(E86*$E89)+(E91*$E94)</f>
        <v>0.35</v>
      </c>
      <c r="F98" s="101">
        <f>F96+(F81*$E84)+(F86*$E89)+(F91*$E94)</f>
        <v>0.35</v>
      </c>
      <c r="G98" s="101">
        <f>G96+(G81*$E84)+(G86*$E89)+(G91*$E94)</f>
        <v>0.35</v>
      </c>
      <c r="H98" s="101">
        <f>H96+(H81*$E84)+(H86*$E89)+(H91*$E94)</f>
        <v>0.35</v>
      </c>
      <c r="I98" s="101">
        <f>I96+(I81*$E84)+(I86*$E89)+(I91*$E94)</f>
        <v>0.35</v>
      </c>
      <c r="J98" s="2" t="s">
        <v>19</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101</v>
      </c>
      <c r="E103" s="41" t="s">
        <v>171</v>
      </c>
      <c r="F103" s="41" t="s">
        <v>188</v>
      </c>
      <c r="G103" s="41" t="s">
        <v>189</v>
      </c>
      <c r="H103" s="41" t="s">
        <v>190</v>
      </c>
      <c r="I103" s="41" t="s">
        <v>191</v>
      </c>
      <c r="J103" s="146" t="s">
        <v>427</v>
      </c>
      <c r="K103" s="66" t="s">
        <v>426</v>
      </c>
      <c r="L103" s="66"/>
      <c r="M103" s="41"/>
      <c r="R103" s="7"/>
    </row>
    <row r="104" spans="4:18" ht="20.100000000000001" customHeight="1" x14ac:dyDescent="0.25">
      <c r="D104" s="150"/>
      <c r="K104" s="121" t="s">
        <v>428</v>
      </c>
      <c r="L104" s="121" t="s">
        <v>429</v>
      </c>
      <c r="M104" s="121" t="s">
        <v>430</v>
      </c>
      <c r="R104" s="7"/>
    </row>
    <row r="105" spans="4:18" ht="20.100000000000001" customHeight="1" x14ac:dyDescent="0.25">
      <c r="D105" s="149" t="str">
        <f>'Constants - Dairy'!$D$8</f>
        <v>Anaerobic lagoon</v>
      </c>
      <c r="E105" s="49">
        <v>0.25</v>
      </c>
      <c r="F105" s="49">
        <v>0.25</v>
      </c>
      <c r="G105" s="49">
        <v>0.25</v>
      </c>
      <c r="H105" s="49">
        <v>0.25</v>
      </c>
      <c r="I105" s="49">
        <v>0.25</v>
      </c>
      <c r="J105" s="2" t="s">
        <v>19</v>
      </c>
      <c r="K105" s="49">
        <v>0.25</v>
      </c>
      <c r="L105" s="49">
        <v>0.25</v>
      </c>
      <c r="M105" s="101">
        <v>0.5</v>
      </c>
      <c r="R105" s="7"/>
    </row>
    <row r="106" spans="4:18" ht="20.100000000000001" customHeight="1" x14ac:dyDescent="0.25">
      <c r="D106" s="156" t="str">
        <f>"Were solids separated from " &amp; D105 &amp; "?"</f>
        <v>Were solids separated from Anaerobic lagoon?</v>
      </c>
      <c r="E106" s="42" t="s">
        <v>205</v>
      </c>
      <c r="R106" s="7"/>
    </row>
    <row r="107" spans="4:18" ht="20.100000000000001" customHeight="1" x14ac:dyDescent="0.25">
      <c r="D107" s="156" t="str">
        <f>"Percent solids separated from " &amp; D105 &amp; " (Method 1)"</f>
        <v>Percent solids separated from Anaerobic lagoon (Method 1)</v>
      </c>
      <c r="E107" s="101">
        <v>0.2</v>
      </c>
    </row>
    <row r="108" spans="4:18" ht="20.100000000000001" customHeight="1" x14ac:dyDescent="0.25">
      <c r="D108" s="156" t="str">
        <f>"Percent solids separated from " &amp; D105 &amp; " (Method 2)"</f>
        <v>Percent solids separated from Anaerobic lagoon (Method 2)</v>
      </c>
      <c r="E108" s="49">
        <v>0.2</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19</v>
      </c>
      <c r="K110" s="49">
        <v>0.25</v>
      </c>
      <c r="L110" s="49">
        <v>0.25</v>
      </c>
      <c r="M110" s="101">
        <v>0.5</v>
      </c>
    </row>
    <row r="111" spans="4:18" ht="20.100000000000001" customHeight="1" x14ac:dyDescent="0.25">
      <c r="D111" s="156" t="str">
        <f>"Were solids separated from " &amp; D110 &amp; "?"</f>
        <v>Were solids separated from Sump and dispersal system?</v>
      </c>
      <c r="E111" s="42" t="s">
        <v>205</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19</v>
      </c>
      <c r="K115" s="49">
        <v>0.25</v>
      </c>
      <c r="L115" s="49">
        <v>0.25</v>
      </c>
      <c r="M115" s="101">
        <v>0.5</v>
      </c>
    </row>
    <row r="116" spans="4:13" ht="20.100000000000001" customHeight="1" x14ac:dyDescent="0.25">
      <c r="D116" s="156" t="str">
        <f>"Were solids separated from " &amp; D115 &amp; "?"</f>
        <v>Were solids separated from Drains to paddock?</v>
      </c>
      <c r="E116" s="42" t="s">
        <v>205</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19</v>
      </c>
      <c r="K120" s="49">
        <v>0.25</v>
      </c>
      <c r="L120" s="49">
        <v>0.25</v>
      </c>
      <c r="M120" s="101">
        <v>0.5</v>
      </c>
    </row>
    <row r="121" spans="4:13" ht="20.100000000000001" customHeight="1" x14ac:dyDescent="0.25">
      <c r="D121" s="150" t="s">
        <v>433</v>
      </c>
      <c r="E121" s="101">
        <f>E120+(E105*$E107)+(E110*$E112)+(E115*$E117)</f>
        <v>0.39999999999999997</v>
      </c>
      <c r="F121" s="101">
        <f>F120+(F105*$E107)+(F110*$E112)+(F115*$E117)</f>
        <v>0.39999999999999997</v>
      </c>
      <c r="G121" s="101">
        <f>G120+(G105*$E107)+(G110*$E112)+(G115*$E117)</f>
        <v>0.39999999999999997</v>
      </c>
      <c r="H121" s="101">
        <f>H120+(H105*$E107)+(H110*$E112)+(H115*$E117)</f>
        <v>0.39999999999999997</v>
      </c>
      <c r="I121" s="101">
        <f>I120+(I105*$E107)+(I110*$E112)+(I115*$E117)</f>
        <v>0.39999999999999997</v>
      </c>
      <c r="J121" s="2" t="s">
        <v>19</v>
      </c>
      <c r="K121" s="2"/>
      <c r="L121" s="2"/>
      <c r="M121" s="2"/>
    </row>
    <row r="122" spans="4:13" ht="20.100000000000001" customHeight="1" x14ac:dyDescent="0.25">
      <c r="D122" s="150" t="s">
        <v>434</v>
      </c>
      <c r="E122" s="101">
        <f>E120+(E105*$E108)+(E110*$E113)+(E115*$E118)</f>
        <v>0.39999999999999997</v>
      </c>
      <c r="F122" s="101">
        <f>F120+(F105*$E108)+(F110*$E113)+(F115*$E118)</f>
        <v>0.39999999999999997</v>
      </c>
      <c r="G122" s="101">
        <f>G120+(G105*$E108)+(G110*$E113)+(G115*$E118)</f>
        <v>0.39999999999999997</v>
      </c>
      <c r="H122" s="101">
        <f>H120+(H105*$E108)+(H110*$E113)+(H115*$E118)</f>
        <v>0.39999999999999997</v>
      </c>
      <c r="I122" s="101">
        <f>I120+(I105*$E108)+(I110*$E113)+(I115*$E118)</f>
        <v>0.39999999999999997</v>
      </c>
      <c r="J122" s="2" t="s">
        <v>19</v>
      </c>
    </row>
    <row r="123" spans="4:13" ht="20.100000000000001" customHeight="1" x14ac:dyDescent="0.25"/>
    <row r="124" spans="4:13" ht="20.100000000000001" customHeight="1" x14ac:dyDescent="0.25"/>
    <row r="125" spans="4:13" ht="20.100000000000001" customHeight="1" x14ac:dyDescent="0.25">
      <c r="D125" s="1" t="s">
        <v>140</v>
      </c>
      <c r="E125" s="42" t="s">
        <v>145</v>
      </c>
      <c r="F125" s="2" t="s">
        <v>10</v>
      </c>
    </row>
    <row r="126" spans="4:13" ht="20.100000000000001" customHeight="1" x14ac:dyDescent="0.25">
      <c r="E126" s="42" t="s">
        <v>475</v>
      </c>
      <c r="F126" s="2" t="s">
        <v>10</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58" zoomScale="85" zoomScaleNormal="85" workbookViewId="0">
      <selection activeCell="P300" sqref="P30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'Input - Dairy'!$E$36</f>
        <v>0.75</v>
      </c>
      <c r="E19" s="55">
        <f>'Input - Dairy'!$F$36</f>
        <v>0.75</v>
      </c>
      <c r="F19" s="55">
        <f>'Input - Dairy'!$G$36</f>
        <v>0.75</v>
      </c>
      <c r="G19" s="55">
        <f>'Input - Dairy'!$H$36</f>
        <v>0.75</v>
      </c>
      <c r="H19" s="55">
        <f>'Input - Dairy'!$I$36</f>
        <v>0.75</v>
      </c>
      <c r="I19" s="2" t="s">
        <v>224</v>
      </c>
      <c r="J19" s="2"/>
      <c r="K19" s="2"/>
      <c r="O19" s="55">
        <f>'Input - Dairy'!$E$40</f>
        <v>0.75</v>
      </c>
      <c r="P19" s="55">
        <f>'Input - Dairy'!$F$40</f>
        <v>0.75</v>
      </c>
      <c r="Q19" s="55">
        <f>'Input - Dairy'!$G$40</f>
        <v>0.75</v>
      </c>
      <c r="R19" s="55">
        <f>'Input - Dairy'!$H$40</f>
        <v>0.75</v>
      </c>
      <c r="S19" s="55">
        <f>'Input - Dairy'!$I$40</f>
        <v>0.75</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'Input - Dairy'!$E$52)</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'Input - Dairy'!$E$14</f>
        <v>550</v>
      </c>
      <c r="E99" s="55">
        <f>'Input - Dairy'!$F$14</f>
        <v>380</v>
      </c>
      <c r="F99" s="55">
        <f>'Input - Dairy'!$G$14</f>
        <v>155</v>
      </c>
      <c r="G99" s="55">
        <f>'Input - Dairy'!$H$14</f>
        <v>600</v>
      </c>
      <c r="H99" s="55">
        <f>'Input - Dairy'!$I$14</f>
        <v>225</v>
      </c>
      <c r="I99" s="2" t="s">
        <v>193</v>
      </c>
      <c r="J99" s="2"/>
      <c r="K99" s="2"/>
      <c r="O99" s="55">
        <f>'Input - Dairy'!$E$18</f>
        <v>550</v>
      </c>
      <c r="P99" s="55">
        <f>'Input - Dairy'!$F$18</f>
        <v>380</v>
      </c>
      <c r="Q99" s="55">
        <f>'Input - Dairy'!$G$18</f>
        <v>155</v>
      </c>
      <c r="R99" s="55">
        <f>'Input - Dairy'!$H$18</f>
        <v>600</v>
      </c>
      <c r="S99" s="55">
        <f>'Input - Dairy'!$I$18</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194</v>
      </c>
      <c r="J104" s="2"/>
      <c r="K104" s="2"/>
      <c r="O104" s="55">
        <f>'Input - Dairy'!$E$19</f>
        <v>1.6E-2</v>
      </c>
      <c r="P104" s="55">
        <f>'Input - Dairy'!$F$19</f>
        <v>0.6</v>
      </c>
      <c r="Q104" s="55">
        <f>'Input - Dairy'!$G$19</f>
        <v>0.56999999999999995</v>
      </c>
      <c r="R104" s="55">
        <f>'Input - Dairy'!$H$19</f>
        <v>0.1</v>
      </c>
      <c r="S104" s="55">
        <f>'Input - Dairy'!$I$19</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v>
      </c>
      <c r="O163" s="55" t="str">
        <f>'Input - Dairy'!$D$66</f>
        <v>Milking shed</v>
      </c>
      <c r="P163" s="55" t="str">
        <f>'Input - Dairy'!$D$81</f>
        <v>Anaerobic lagoon</v>
      </c>
      <c r="Q163" s="55">
        <f>'Input - Dairy'!$E$84</f>
        <v>0</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0.2</v>
      </c>
      <c r="G166" s="2"/>
      <c r="O166" s="55" t="str">
        <f>'Input - Dairy'!$D$67</f>
        <v>Feed pad</v>
      </c>
      <c r="P166" s="55" t="str">
        <f>'Input - Dairy'!$D$105</f>
        <v>Anaerobic lagoon</v>
      </c>
      <c r="Q166" s="55">
        <f>'Input - Dairy'!$E$108</f>
        <v>0.2</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2.75E-2</v>
      </c>
      <c r="G174" s="55" cm="1">
        <f t="array" ref="G174">MMS_Dairy_Methane_Equations.VEERG_4_3_1_1__4_FractionVolatileSolidsNotSolidStorage(G152,$F163)</f>
        <v>2.75E-2</v>
      </c>
      <c r="H174" s="55" cm="1">
        <f t="array" ref="H174">MMS_Dairy_Methane_Equations.VEERG_4_3_1_1__4_FractionVolatileSolidsNotSolidStorage(H152,$F163)</f>
        <v>2.75E-2</v>
      </c>
      <c r="I174" s="55" cm="1">
        <f t="array" ref="I174">MMS_Dairy_Methane_Equations.VEERG_4_3_1_1__4_FractionVolatileSolidsNotSolidStorage(I152,$F163)</f>
        <v>2.75E-2</v>
      </c>
      <c r="J174" s="55" cm="1">
        <f t="array" ref="J174">MMS_Dairy_Methane_Equations.VEERG_4_3_1_1__4_FractionVolatileSolidsNotSolidStorage(J152,$F163)</f>
        <v>2.75E-2</v>
      </c>
      <c r="O174" s="55" t="str">
        <f>'Input - Dairy'!$D$66</f>
        <v>Milking shed</v>
      </c>
      <c r="P174" s="55" t="str">
        <f>'Input - Dairy'!$D$81</f>
        <v>Anaerobic lagoon</v>
      </c>
      <c r="Q174" s="55" cm="1">
        <f t="array" ref="Q174">MMS_Dairy_Methane_Equations.VEERG_4_3_1_1__4_FractionVolatileSolidsNotSolidStorage(Q152,$Q163)</f>
        <v>2.75E-2</v>
      </c>
      <c r="R174" s="55" cm="1">
        <f t="array" ref="R174">MMS_Dairy_Methane_Equations.VEERG_4_3_1_1__4_FractionVolatileSolidsNotSolidStorage(R152,$Q163)</f>
        <v>2.75E-2</v>
      </c>
      <c r="S174" s="55" cm="1">
        <f t="array" ref="S174">MMS_Dairy_Methane_Equations.VEERG_4_3_1_1__4_FractionVolatileSolidsNotSolidStorage(S152,$Q163)</f>
        <v>2.75E-2</v>
      </c>
      <c r="T174" s="55" cm="1">
        <f t="array" ref="T174">MMS_Dairy_Methane_Equations.VEERG_4_3_1_1__4_FractionVolatileSolidsNotSolidStorage(T152,$Q163)</f>
        <v>2.75E-2</v>
      </c>
      <c r="U174" s="55" cm="1">
        <f t="array" ref="U174">MMS_Dairy_Methane_Equations.VEERG_4_3_1_1__4_FractionVolatileSolidsNotSolidStorage(U152,$Q163)</f>
        <v>2.75E-2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7.1199999999999999E-2</v>
      </c>
      <c r="G177" s="55" cm="1">
        <f t="array" ref="G177">MMS_Dairy_Methane_Equations.VEERG_4_3_1_1__4_FractionVolatileSolidsNotSolidStorage(G155,$F166)</f>
        <v>7.1199999999999999E-2</v>
      </c>
      <c r="H177" s="55" cm="1">
        <f t="array" ref="H177">MMS_Dairy_Methane_Equations.VEERG_4_3_1_1__4_FractionVolatileSolidsNotSolidStorage(H155,$F166)</f>
        <v>7.1199999999999999E-2</v>
      </c>
      <c r="I177" s="55" cm="1">
        <f t="array" ref="I177">MMS_Dairy_Methane_Equations.VEERG_4_3_1_1__4_FractionVolatileSolidsNotSolidStorage(I155,$F166)</f>
        <v>7.1199999999999999E-2</v>
      </c>
      <c r="J177" s="55" cm="1">
        <f t="array" ref="J177">MMS_Dairy_Methane_Equations.VEERG_4_3_1_1__4_FractionVolatileSolidsNotSolidStorage(J155,$F166)</f>
        <v>7.1199999999999999E-2</v>
      </c>
      <c r="K177" s="2"/>
      <c r="O177" s="55" t="str">
        <f>'Input - Dairy'!$D$67</f>
        <v>Feed pad</v>
      </c>
      <c r="P177" s="55" t="str">
        <f>'Input - Dairy'!$D$105</f>
        <v>Anaerobic lagoon</v>
      </c>
      <c r="Q177" s="55" cm="1">
        <f t="array" ref="Q177">MMS_Dairy_Methane_Equations.VEERG_4_3_1_1__4_FractionVolatileSolidsNotSolidStorage(Q155,$Q166)</f>
        <v>7.1199999999999999E-2</v>
      </c>
      <c r="R177" s="55" cm="1">
        <f t="array" ref="R177">MMS_Dairy_Methane_Equations.VEERG_4_3_1_1__4_FractionVolatileSolidsNotSolidStorage(R155,$Q166)</f>
        <v>7.1199999999999999E-2</v>
      </c>
      <c r="S177" s="55" cm="1">
        <f t="array" ref="S177">MMS_Dairy_Methane_Equations.VEERG_4_3_1_1__4_FractionVolatileSolidsNotSolidStorage(S155,$Q166)</f>
        <v>7.1199999999999999E-2</v>
      </c>
      <c r="T177" s="55" cm="1">
        <f t="array" ref="T177">MMS_Dairy_Methane_Equations.VEERG_4_3_1_1__4_FractionVolatileSolidsNotSolidStorage(T155,$Q166)</f>
        <v>7.1199999999999999E-2</v>
      </c>
      <c r="U177" s="55" cm="1">
        <f t="array" ref="U177">MMS_Dairy_Methane_Equations.VEERG_4_3_1_1__4_FractionVolatileSolidsNotSolidStorage(U155,$Q166)</f>
        <v>7.1199999999999999E-2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99</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99</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99</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'Input - Dairy'!$D$66</f>
        <v>Milking shed</v>
      </c>
      <c r="E205" s="55" t="s">
        <v>405</v>
      </c>
      <c r="F205" s="55" cm="1">
        <f t="array" ref="F205">MMS_Dairy_Methane_Equations.VEERG_4_3_1_1__5_FractionVolatileSolidsSolidStorageVariation(F199,F152,$F163,F153,$F164,F154,$F165)</f>
        <v>3.85E-2</v>
      </c>
      <c r="G205" s="55" cm="1">
        <f t="array" ref="G205">MMS_Dairy_Methane_Equations.VEERG_4_3_1_1__5_FractionVolatileSolidsSolidStorageVariation(G199,G152,$F163,G153,$F164,G154,$F165)</f>
        <v>3.85E-2</v>
      </c>
      <c r="H205" s="55" cm="1">
        <f t="array" ref="H205">MMS_Dairy_Methane_Equations.VEERG_4_3_1_1__5_FractionVolatileSolidsSolidStorageVariation(H199,H152,$F163,H153,$F164,H154,$F165)</f>
        <v>3.85E-2</v>
      </c>
      <c r="I205" s="55" cm="1">
        <f t="array" ref="I205">MMS_Dairy_Methane_Equations.VEERG_4_3_1_1__5_FractionVolatileSolidsSolidStorageVariation(I199,I152,$F163,I153,$F164,I154,$F165)</f>
        <v>3.85E-2</v>
      </c>
      <c r="J205" s="55" cm="1">
        <f t="array" ref="J205">MMS_Dairy_Methane_Equations.VEERG_4_3_1_1__5_FractionVolatileSolidsSolidStorageVariation(J199,J152,$F163,J153,$F164,J154,$F165)</f>
        <v>3.85E-2</v>
      </c>
      <c r="K205" s="2" t="str">
        <f>$E$190</f>
        <v>fraction</v>
      </c>
      <c r="O205" s="55" t="str">
        <f>'Input - Dairy'!$D$66</f>
        <v>Milking shed</v>
      </c>
      <c r="P205" s="55" t="s">
        <v>405</v>
      </c>
      <c r="Q205" s="55" cm="1">
        <f t="array" ref="Q205">MMS_Dairy_Methane_Equations.VEERG_4_3_1_1__5_FractionVolatileSolidsSolidStorageVariation(Q199,Q152,$Q163,Q153,$Q164,Q154,$Q165)</f>
        <v>3.85E-2</v>
      </c>
      <c r="R205" s="55" cm="1">
        <f t="array" ref="R205">MMS_Dairy_Methane_Equations.VEERG_4_3_1_1__5_FractionVolatileSolidsSolidStorageVariation(R199,R152,$Q163,R153,$Q164,R154,$Q165)</f>
        <v>3.85E-2</v>
      </c>
      <c r="S205" s="55" cm="1">
        <f t="array" ref="S205">MMS_Dairy_Methane_Equations.VEERG_4_3_1_1__5_FractionVolatileSolidsSolidStorageVariation(S199,S152,$Q163,S153,$Q164,S154,$Q165)</f>
        <v>3.85E-2</v>
      </c>
      <c r="T205" s="55" cm="1">
        <f t="array" ref="T205">MMS_Dairy_Methane_Equations.VEERG_4_3_1_1__5_FractionVolatileSolidsSolidStorageVariation(T199,T152,$Q163,T153,$Q164,T154,$Q165)</f>
        <v>3.85E-2</v>
      </c>
      <c r="U205" s="55" cm="1">
        <f t="array" ref="U205">MMS_Dairy_Methane_Equations.VEERG_4_3_1_1__5_FractionVolatileSolidsSolidStorageVariation(U199,U152,$Q163,U153,$Q164,U154,$Q165)</f>
        <v>3.85E-2</v>
      </c>
      <c r="V205" s="2" t="str">
        <f>$E$190</f>
        <v>fraction</v>
      </c>
    </row>
    <row r="206" spans="4:22" ht="20.100000000000001" customHeight="1" x14ac:dyDescent="0.25">
      <c r="D206" s="55" t="str">
        <f>'Input - Dairy'!$D$67</f>
        <v>Feed pad</v>
      </c>
      <c r="E206" s="55" t="s">
        <v>405</v>
      </c>
      <c r="F206" s="55" cm="1">
        <f t="array" ref="F206">MMS_Dairy_Methane_Equations.VEERG_4_3_1_1__5_FractionVolatileSolidsSolidStorageVariation(F200,F155,$F166,F156,$F167,F157,$F168)</f>
        <v>0.1424</v>
      </c>
      <c r="G206" s="55" cm="1">
        <f t="array" ref="G206">MMS_Dairy_Methane_Equations.VEERG_4_3_1_1__5_FractionVolatileSolidsSolidStorageVariation(G200,G155,$F166,G156,$F167,G157,$F168)</f>
        <v>0.1424</v>
      </c>
      <c r="H206" s="55" cm="1">
        <f t="array" ref="H206">MMS_Dairy_Methane_Equations.VEERG_4_3_1_1__5_FractionVolatileSolidsSolidStorageVariation(H200,H155,$F166,H156,$F167,H157,$F168)</f>
        <v>0.1424</v>
      </c>
      <c r="I206" s="55" cm="1">
        <f t="array" ref="I206">MMS_Dairy_Methane_Equations.VEERG_4_3_1_1__5_FractionVolatileSolidsSolidStorageVariation(I200,I155,$F166,I156,$F167,I157,$F168)</f>
        <v>0.1424</v>
      </c>
      <c r="J206" s="55" cm="1">
        <f t="array" ref="J206">MMS_Dairy_Methane_Equations.VEERG_4_3_1_1__5_FractionVolatileSolidsSolidStorageVariation(J200,J155,$F166,J156,$F167,J157,$F168)</f>
        <v>0.1424</v>
      </c>
      <c r="K206" s="2" t="str">
        <f>$E$190</f>
        <v>fraction</v>
      </c>
      <c r="O206" s="55" t="str">
        <f>'Input - Dairy'!$D$67</f>
        <v>Feed pad</v>
      </c>
      <c r="P206" s="55" t="s">
        <v>405</v>
      </c>
      <c r="Q206" s="55" cm="1">
        <f t="array" ref="Q206">MMS_Dairy_Methane_Equations.VEERG_4_3_1_1__5_FractionVolatileSolidsSolidStorageVariation(Q200,Q155,$Q166,Q156,$Q167,Q157,$Q168)</f>
        <v>0.1424</v>
      </c>
      <c r="R206" s="55" cm="1">
        <f t="array" ref="R206">MMS_Dairy_Methane_Equations.VEERG_4_3_1_1__5_FractionVolatileSolidsSolidStorageVariation(R200,R155,$Q166,R156,$Q167,R157,$Q168)</f>
        <v>0.1424</v>
      </c>
      <c r="S206" s="55" cm="1">
        <f t="array" ref="S206">MMS_Dairy_Methane_Equations.VEERG_4_3_1_1__5_FractionVolatileSolidsSolidStorageVariation(S200,S155,$Q166,S156,$Q167,S157,$Q168)</f>
        <v>0.1424</v>
      </c>
      <c r="T206" s="55" cm="1">
        <f t="array" ref="T206">MMS_Dairy_Methane_Equations.VEERG_4_3_1_1__5_FractionVolatileSolidsSolidStorageVariation(T200,T155,$Q166,T156,$Q167,T157,$Q168)</f>
        <v>0.1424</v>
      </c>
      <c r="U206" s="55" cm="1">
        <f t="array" ref="U206">MMS_Dairy_Methane_Equations.VEERG_4_3_1_1__5_FractionVolatileSolidsSolidStorageVariation(U200,U155,$Q166,U156,$Q167,U157,$Q168)</f>
        <v>0.1424</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1.7099329606306224E-2</v>
      </c>
      <c r="G238" s="55" cm="1">
        <f t="array" ref="G238">MMS_Dairy_Methane_Equations.VEERG_4_3_1_1__2_MethaneFromManureProduction(E$133,G174,_xlfn.XLOOKUP($E238,$D$228:$D$232,$E$228:$E$232),$I$221,$I$222)</f>
        <v>6.735453896244482E-3</v>
      </c>
      <c r="H238" s="55" cm="1">
        <f t="array" ref="H238">MMS_Dairy_Methane_Equations.VEERG_4_3_1_1__2_MethaneFromManureProduction(F$133,H174,_xlfn.XLOOKUP($E238,$D$228:$D$232,$E$228:$E$232),$I$221,$I$222)</f>
        <v>3.6525649782060657E-3</v>
      </c>
      <c r="I238" s="55" cm="1">
        <f t="array" ref="I238">MMS_Dairy_Methane_Equations.VEERG_4_3_1_1__2_MethaneFromManureProduction(G$133,I174,_xlfn.XLOOKUP($E238,$D$228:$D$232,$E$228:$E$232),$I$221,$I$222)</f>
        <v>8.1954651718373055E-3</v>
      </c>
      <c r="J238" s="55" cm="1">
        <f t="array" ref="J238">MMS_Dairy_Methane_Equations.VEERG_4_3_1_1__2_MethaneFromManureProduction(H$133,J174,_xlfn.XLOOKUP($E238,$D$228:$D$232,$E$228:$E$232),$I$221,$I$222)</f>
        <v>4.9155860089781303E-3</v>
      </c>
      <c r="O238" s="55" t="str">
        <f>'Input - Dairy'!$D$66</f>
        <v>Milking shed</v>
      </c>
      <c r="P238" s="55" t="str">
        <f>'Input - Dairy'!$D$81</f>
        <v>Anaerobic lagoon</v>
      </c>
      <c r="Q238" s="55" cm="1">
        <f t="array" ref="Q238">MMS_Dairy_Methane_Equations.VEERG_4_3_1_1__2_MethaneFromManureProduction(O$133,Q174,_xlfn.XLOOKUP($P238,$O$228:$O$232,$P$228:$P$232),$I$221,$I$222)</f>
        <v>1.7324320785336567E-2</v>
      </c>
      <c r="R238" s="55" cm="1">
        <f t="array" ref="R238">MMS_Dairy_Methane_Equations.VEERG_4_3_1_1__2_MethaneFromManureProduction(P$133,R174,_xlfn.XLOOKUP($P238,$O$228:$O$232,$P$228:$P$232),$I$221,$I$222)</f>
        <v>6.8240782896161218E-3</v>
      </c>
      <c r="S238" s="55" cm="1">
        <f t="array" ref="S238">MMS_Dairy_Methane_Equations.VEERG_4_3_1_1__2_MethaneFromManureProduction(Q$133,S174,_xlfn.XLOOKUP($P238,$O$228:$O$232,$P$228:$P$232),$I$221,$I$222)</f>
        <v>3.700625043708777E-3</v>
      </c>
      <c r="T238" s="55" cm="1">
        <f t="array" ref="T238">MMS_Dairy_Methane_Equations.VEERG_4_3_1_1__2_MethaneFromManureProduction(R$133,T174,_xlfn.XLOOKUP($P238,$O$228:$O$232,$P$228:$P$232),$I$221,$I$222)</f>
        <v>8.3033002398877967E-3</v>
      </c>
      <c r="U238" s="55" cm="1">
        <f t="array" ref="U238">MMS_Dairy_Methane_Equations.VEERG_4_3_1_1__2_MethaneFromManureProduction(S$133,U174,_xlfn.XLOOKUP($P238,$O$228:$O$232,$P$228:$P$232),$I$221,$I$222)</f>
        <v>4.9802647722541581E-3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405</v>
      </c>
      <c r="F241" s="55" cm="1">
        <f t="array" ref="F241">MMS_Dairy_Methane_Equations.VEERG_4_3_1_1__2_MethaneFromManureProduction(D$133,F205,_xlfn.XLOOKUP($E241,$D$228:$D$232,$E$228:$E$232),$I$221,$I$222)</f>
        <v>6.2997530128496612E-4</v>
      </c>
      <c r="G241" s="55" cm="1">
        <f t="array" ref="G241">MMS_Dairy_Methane_Equations.VEERG_4_3_1_1__2_MethaneFromManureProduction(E$133,G205,_xlfn.XLOOKUP($E241,$D$228:$D$232,$E$228:$E$232),$I$221,$I$222)</f>
        <v>2.4814830144058621E-4</v>
      </c>
      <c r="H241" s="55" cm="1">
        <f t="array" ref="H241">MMS_Dairy_Methane_Equations.VEERG_4_3_1_1__2_MethaneFromManureProduction(F$133,H205,_xlfn.XLOOKUP($E241,$D$228:$D$232,$E$228:$E$232),$I$221,$I$222)</f>
        <v>1.3456818340759188E-4</v>
      </c>
      <c r="I241" s="55" cm="1">
        <f t="array" ref="I241">MMS_Dairy_Methane_Equations.VEERG_4_3_1_1__2_MethaneFromManureProduction(G$133,I205,_xlfn.XLOOKUP($E241,$D$228:$D$232,$E$228:$E$232),$I$221,$I$222)</f>
        <v>3.0193819054137442E-4</v>
      </c>
      <c r="J241" s="55" cm="1">
        <f t="array" ref="J241">MMS_Dairy_Methane_Equations.VEERG_4_3_1_1__2_MethaneFromManureProduction(H$133,J205,_xlfn.XLOOKUP($E241,$D$228:$D$232,$E$228:$E$232),$I$221,$I$222)</f>
        <v>1.8110053717287848E-4</v>
      </c>
      <c r="K241" s="2"/>
      <c r="O241" s="55" t="str">
        <f>'Input - Dairy'!$D$66</f>
        <v>Milking shed</v>
      </c>
      <c r="P241" s="55" t="s">
        <v>405</v>
      </c>
      <c r="Q241" s="55" cm="1">
        <f t="array" ref="Q241">MMS_Dairy_Methane_Equations.VEERG_4_3_1_1__2_MethaneFromManureProduction(O$133,Q205,_xlfn.XLOOKUP($P241,$O$228:$O$232,$P$228:$P$232),$I$221,$I$222)</f>
        <v>6.2997530128496612E-4</v>
      </c>
      <c r="R241" s="55" cm="1">
        <f t="array" ref="R241">MMS_Dairy_Methane_Equations.VEERG_4_3_1_1__2_MethaneFromManureProduction(P$133,R205,_xlfn.XLOOKUP($P241,$O$228:$O$232,$P$228:$P$232),$I$221,$I$222)</f>
        <v>2.4814830144058621E-4</v>
      </c>
      <c r="S241" s="55" cm="1">
        <f t="array" ref="S241">MMS_Dairy_Methane_Equations.VEERG_4_3_1_1__2_MethaneFromManureProduction(Q$133,S205,_xlfn.XLOOKUP($P241,$O$228:$O$232,$P$228:$P$232),$I$221,$I$222)</f>
        <v>1.3456818340759188E-4</v>
      </c>
      <c r="T241" s="55" cm="1">
        <f t="array" ref="T241">MMS_Dairy_Methane_Equations.VEERG_4_3_1_1__2_MethaneFromManureProduction(R$133,T205,_xlfn.XLOOKUP($P241,$O$228:$O$232,$P$228:$P$232),$I$221,$I$222)</f>
        <v>3.0193819054137442E-4</v>
      </c>
      <c r="U241" s="55" cm="1">
        <f t="array" ref="U241">MMS_Dairy_Methane_Equations.VEERG_4_3_1_1__2_MethaneFromManureProduction(S$133,U205,_xlfn.XLOOKUP($P241,$O$228:$O$232,$P$228:$P$232),$I$221,$I$222)</f>
        <v>1.8110053717287848E-4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4.4271718835236465E-2</v>
      </c>
      <c r="G242" s="55" cm="1">
        <f t="array" ref="G242">MMS_Dairy_Methane_Equations.VEERG_4_3_1_1__2_MethaneFromManureProduction(E$133,G177,_xlfn.XLOOKUP($E242,$D$228:$D$232,$E$228:$E$232),$I$221,$I$222)</f>
        <v>1.7438702451367534E-2</v>
      </c>
      <c r="H242" s="55" cm="1">
        <f t="array" ref="H242">MMS_Dairy_Methane_Equations.VEERG_4_3_1_1__2_MethaneFromManureProduction(F$133,H177,_xlfn.XLOOKUP($E242,$D$228:$D$232,$E$228:$E$232),$I$221,$I$222)</f>
        <v>9.4568227799371584E-3</v>
      </c>
      <c r="I242" s="55" cm="1">
        <f t="array" ref="I242">MMS_Dairy_Methane_Equations.VEERG_4_3_1_1__2_MethaneFromManureProduction(G$133,I177,_xlfn.XLOOKUP($E242,$D$228:$D$232,$E$228:$E$232),$I$221,$I$222)</f>
        <v>2.1218804372175128E-2</v>
      </c>
      <c r="J242" s="55" cm="1">
        <f t="array" ref="J242">MMS_Dairy_Methane_Equations.VEERG_4_3_1_1__2_MethaneFromManureProduction(H$133,J177,_xlfn.XLOOKUP($E242,$D$228:$D$232,$E$228:$E$232),$I$221,$I$222)</f>
        <v>1.2726899048699737E-2</v>
      </c>
      <c r="K242" s="2"/>
      <c r="O242" s="55" t="str">
        <f>'Input - Dairy'!$D$67</f>
        <v>Feed pad</v>
      </c>
      <c r="P242" s="55" t="str">
        <f>'Input - Dairy'!$D$105</f>
        <v>Anaerobic lagoon</v>
      </c>
      <c r="Q242" s="55" cm="1">
        <f t="array" ref="Q242">MMS_Dairy_Methane_Equations.VEERG_4_3_1_1__2_MethaneFromManureProduction(O$133,Q177,_xlfn.XLOOKUP($P242,$O$228:$O$232,$P$228:$P$232),$I$221,$I$222)</f>
        <v>4.4854241451489585E-2</v>
      </c>
      <c r="R242" s="55" cm="1">
        <f t="array" ref="R242">MMS_Dairy_Methane_Equations.VEERG_4_3_1_1__2_MethaneFromManureProduction(P$133,R177,_xlfn.XLOOKUP($P242,$O$228:$O$232,$P$228:$P$232),$I$221,$I$222)</f>
        <v>1.7668159062569737E-2</v>
      </c>
      <c r="S242" s="55" cm="1">
        <f t="array" ref="S242">MMS_Dairy_Methane_Equations.VEERG_4_3_1_1__2_MethaneFromManureProduction(Q$133,S177,_xlfn.XLOOKUP($P242,$O$228:$O$232,$P$228:$P$232),$I$221,$I$222)</f>
        <v>9.5812546586205409E-3</v>
      </c>
      <c r="T242" s="55" cm="1">
        <f t="array" ref="T242">MMS_Dairy_Methane_Equations.VEERG_4_3_1_1__2_MethaneFromManureProduction(R$133,T177,_xlfn.XLOOKUP($P242,$O$228:$O$232,$P$228:$P$232),$I$221,$I$222)</f>
        <v>2.1497999166545854E-2</v>
      </c>
      <c r="U242" s="55" cm="1">
        <f t="array" ref="U242">MMS_Dairy_Methane_Equations.VEERG_4_3_1_1__2_MethaneFromManureProduction(S$133,U177,_xlfn.XLOOKUP($P242,$O$228:$O$232,$P$228:$P$232),$I$221,$I$222)</f>
        <v>1.2894358246708947E-2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405</v>
      </c>
      <c r="F245" s="55" cm="1">
        <f t="array" ref="F245">MMS_Dairy_Methane_Equations.VEERG_4_3_1_1__2_MethaneFromManureProduction(D$133,F206,_xlfn.XLOOKUP($E245,$D$228:$D$232,$E$228:$E$232),$I$221,$I$222)</f>
        <v>2.330090465012446E-3</v>
      </c>
      <c r="G245" s="55" cm="1">
        <f t="array" ref="G245">MMS_Dairy_Methane_Equations.VEERG_4_3_1_1__2_MethaneFromManureProduction(E$133,G206,_xlfn.XLOOKUP($E245,$D$228:$D$232,$E$228:$E$232),$I$221,$I$222)</f>
        <v>9.1782644480881744E-4</v>
      </c>
      <c r="H245" s="55" cm="1">
        <f t="array" ref="H245">MMS_Dairy_Methane_Equations.VEERG_4_3_1_1__2_MethaneFromManureProduction(F$133,H206,_xlfn.XLOOKUP($E245,$D$228:$D$232,$E$228:$E$232),$I$221,$I$222)</f>
        <v>4.9772751473353466E-4</v>
      </c>
      <c r="I245" s="55" cm="1">
        <f t="array" ref="I245">MMS_Dairy_Methane_Equations.VEERG_4_3_1_1__2_MethaneFromManureProduction(G$133,I206,_xlfn.XLOOKUP($E245,$D$228:$D$232,$E$228:$E$232),$I$221,$I$222)</f>
        <v>1.1167791774829015E-3</v>
      </c>
      <c r="J245" s="55" cm="1">
        <f t="array" ref="J245">MMS_Dairy_Methane_Equations.VEERG_4_3_1_1__2_MethaneFromManureProduction(H$133,J206,_xlfn.XLOOKUP($E245,$D$228:$D$232,$E$228:$E$232),$I$221,$I$222)</f>
        <v>6.6983679203682842E-4</v>
      </c>
      <c r="K245" s="2"/>
      <c r="O245" s="55" t="str">
        <f>'Input - Dairy'!$D$67</f>
        <v>Feed pad</v>
      </c>
      <c r="P245" s="55" t="s">
        <v>405</v>
      </c>
      <c r="Q245" s="55" cm="1">
        <f t="array" ref="Q245">MMS_Dairy_Methane_Equations.VEERG_4_3_1_1__2_MethaneFromManureProduction(O$133,Q206,_xlfn.XLOOKUP($P245,$O$228:$O$232,$P$228:$P$232),$I$221,$I$222)</f>
        <v>2.330090465012446E-3</v>
      </c>
      <c r="R245" s="55" cm="1">
        <f t="array" ref="R245">MMS_Dairy_Methane_Equations.VEERG_4_3_1_1__2_MethaneFromManureProduction(P$133,R206,_xlfn.XLOOKUP($P245,$O$228:$O$232,$P$228:$P$232),$I$221,$I$222)</f>
        <v>9.1782644480881744E-4</v>
      </c>
      <c r="S245" s="55" cm="1">
        <f t="array" ref="S245">MMS_Dairy_Methane_Equations.VEERG_4_3_1_1__2_MethaneFromManureProduction(Q$133,S206,_xlfn.XLOOKUP($P245,$O$228:$O$232,$P$228:$P$232),$I$221,$I$222)</f>
        <v>4.9772751473353466E-4</v>
      </c>
      <c r="T245" s="55" cm="1">
        <f t="array" ref="T245">MMS_Dairy_Methane_Equations.VEERG_4_3_1_1__2_MethaneFromManureProduction(R$133,T206,_xlfn.XLOOKUP($P245,$O$228:$O$232,$P$228:$P$232),$I$221,$I$222)</f>
        <v>1.1167791774829015E-3</v>
      </c>
      <c r="U245" s="55" cm="1">
        <f t="array" ref="U245">MMS_Dairy_Methane_Equations.VEERG_4_3_1_1__2_MethaneFromManureProduction(S$133,U206,_xlfn.XLOOKUP($P245,$O$228:$O$232,$P$228:$P$232),$I$221,$I$222)</f>
        <v>6.6983679203682842E-4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0.62412553063017717</v>
      </c>
      <c r="G291" s="55" cm="1">
        <f t="array" ref="G291">MMS_Dairy_Methane_Equations.VEERG_4_3_1_1__1_TotalAnnualMethaneFromManureManagementVariation(E$270,G238,E$275,0,0,0,0,0)</f>
        <v>0.24584406721292359</v>
      </c>
      <c r="H291" s="55" cm="1">
        <f t="array" ref="H291">MMS_Dairy_Methane_Equations.VEERG_4_3_1_1__1_TotalAnnualMethaneFromManureManagementVariation(0,0,0,F$270,H238,F$275,F$280,F$285)</f>
        <v>0.25047707588759044</v>
      </c>
      <c r="I291" s="55" cm="1">
        <f t="array" ref="I291">MMS_Dairy_Methane_Equations.VEERG_4_3_1_1__1_TotalAnnualMethaneFromManureManagementVariation(G$270,I238,G$275,0,0,0,0,0)</f>
        <v>0.29913447877206167</v>
      </c>
      <c r="J291" s="55" cm="1">
        <f t="array" ref="J291">MMS_Dairy_Methane_Equations.VEERG_4_3_1_1__1_TotalAnnualMethaneFromManureManagementVariation(0,0,0,H$270,J238,H$275,H$280,H$285)</f>
        <v>0.30948796685228547</v>
      </c>
      <c r="O291" s="55" t="str">
        <f>'Input - Dairy'!$D$66</f>
        <v>Milking shed</v>
      </c>
      <c r="P291" s="55" t="str">
        <f>'Input - Dairy'!$D$81</f>
        <v>Anaerobic lagoon</v>
      </c>
      <c r="Q291" s="55" cm="1">
        <f t="array" ref="Q291">MMS_Dairy_Methane_Equations.VEERG_4_3_1_1__1_TotalAnnualMethaneFromManureManagementVariation(D$270,Q238,O$275,0,0,0,0,0)</f>
        <v>0.63233770866478478</v>
      </c>
      <c r="R291" s="55" cm="1">
        <f t="array" ref="R291">MMS_Dairy_Methane_Equations.VEERG_4_3_1_1__1_TotalAnnualMethaneFromManureManagementVariation(E$270,R238,P$275,0,0,0,0,0)</f>
        <v>0.24907885757098849</v>
      </c>
      <c r="S291" s="55" cm="1">
        <f t="array" ref="S291">MMS_Dairy_Methane_Equations.VEERG_4_3_1_1__1_TotalAnnualMethaneFromManureManagementVariation(0,0,0,F$270,S238,Q$275,F$280,Q$285)</f>
        <v>0.25182756372821663</v>
      </c>
      <c r="T291" s="55" cm="1">
        <f t="array" ref="T291">MMS_Dairy_Methane_Equations.VEERG_4_3_1_1__1_TotalAnnualMethaneFromManureManagementVariation(G$270,T238,R$275,0,0,0,0,0)</f>
        <v>0.30307045875590455</v>
      </c>
      <c r="U291" s="55" cm="1">
        <f t="array" ref="U291">MMS_Dairy_Methane_Equations.VEERG_4_3_1_1__1_TotalAnnualMethaneFromManureManagementVariation(0,0,0,H$270,U238,S$275,H$280,S$285)</f>
        <v>0.31130544010034183</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405</v>
      </c>
      <c r="F294" s="55" cm="1">
        <f t="array" ref="F294">MMS_Dairy_Methane_Equations.VEERG_4_3_1_1__1_TotalAnnualMethaneFromManureManagementVariation(D$270,F241,D$275,0,0,0,0,0)</f>
        <v>2.2994098496901264E-2</v>
      </c>
      <c r="G294" s="55" cm="1">
        <f t="array" ref="G294">MMS_Dairy_Methane_Equations.VEERG_4_3_1_1__1_TotalAnnualMethaneFromManureManagementVariation(E$270,G241,E$275,0,0,0,0,0)</f>
        <v>9.0574130025813972E-3</v>
      </c>
      <c r="H294" s="55" cm="1">
        <f t="array" ref="H294">MMS_Dairy_Methane_Equations.VEERG_4_3_1_1__1_TotalAnnualMethaneFromManureManagementVariation(0,0,0,F$270,H241,F$275,F$280,F$285)</f>
        <v>0.15162136595375333</v>
      </c>
      <c r="I294" s="55" cm="1">
        <f t="array" ref="I294">MMS_Dairy_Methane_Equations.VEERG_4_3_1_1__1_TotalAnnualMethaneFromManureManagementVariation(G$270,I241,G$275,0,0,0,0,0)</f>
        <v>1.1020743954760166E-2</v>
      </c>
      <c r="J294" s="55" cm="1">
        <f t="array" ref="J294">MMS_Dairy_Methane_Equations.VEERG_4_3_1_1__1_TotalAnnualMethaneFromManureManagementVariation(0,0,0,H$270,J241,H$275,H$280,H$285)</f>
        <v>0.1764489250945579</v>
      </c>
      <c r="O294" s="55" t="str">
        <f>'Input - Dairy'!$D$66</f>
        <v>Milking shed</v>
      </c>
      <c r="P294" s="55" t="s">
        <v>405</v>
      </c>
      <c r="Q294" s="55" cm="1">
        <f t="array" ref="Q294">MMS_Dairy_Methane_Equations.VEERG_4_3_1_1__1_TotalAnnualMethaneFromManureManagementVariation(D$270,Q241,O$275,0,0,0,0,0)</f>
        <v>2.2994098496901264E-2</v>
      </c>
      <c r="R294" s="55" cm="1">
        <f t="array" ref="R294">MMS_Dairy_Methane_Equations.VEERG_4_3_1_1__1_TotalAnnualMethaneFromManureManagementVariation(E$270,R241,P$275,0,0,0,0,0)</f>
        <v>9.0574130025813972E-3</v>
      </c>
      <c r="S294" s="55" cm="1">
        <f t="array" ref="S294">MMS_Dairy_Methane_Equations.VEERG_4_3_1_1__1_TotalAnnualMethaneFromManureManagementVariation(0,0,0,F$270,S241,Q$275,F$280,Q$285)</f>
        <v>0.15162136595375333</v>
      </c>
      <c r="T294" s="55" cm="1">
        <f t="array" ref="T294">MMS_Dairy_Methane_Equations.VEERG_4_3_1_1__1_TotalAnnualMethaneFromManureManagementVariation(G$270,T241,R$275,0,0,0,0,0)</f>
        <v>1.1020743954760166E-2</v>
      </c>
      <c r="U294" s="55" cm="1">
        <f t="array" ref="U294">MMS_Dairy_Methane_Equations.VEERG_4_3_1_1__1_TotalAnnualMethaneFromManureManagementVariation(0,0,0,H$270,U241,S$275,H$280,S$285)</f>
        <v>0.1764489250945579</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1.6159177374861311</v>
      </c>
      <c r="G295" s="55" cm="1">
        <f t="array" ref="G295">MMS_Dairy_Methane_Equations.VEERG_4_3_1_1__1_TotalAnnualMethaneFromManureManagementVariation(E$270,G242,E$275,0,0,0,0,0)</f>
        <v>0.63651263947491499</v>
      </c>
      <c r="H295" s="55" cm="1">
        <f t="array" ref="H295">MMS_Dairy_Methane_Equations.VEERG_4_3_1_1__1_TotalAnnualMethaneFromManureManagementVariation(0,0,0,F$270,H242,F$275,F$280,F$285)</f>
        <v>0.41357672011623414</v>
      </c>
      <c r="I295" s="55" cm="1">
        <f t="array" ref="I295">MMS_Dairy_Methane_Equations.VEERG_4_3_1_1__1_TotalAnnualMethaneFromManureManagementVariation(G$270,I242,G$275,0,0,0,0,0)</f>
        <v>0.77448635958439216</v>
      </c>
      <c r="J295" s="55" cm="1">
        <f t="array" ref="J295">MMS_Dairy_Methane_Equations.VEERG_4_3_1_1__1_TotalAnnualMethaneFromManureManagementVariation(0,0,0,H$270,J242,H$275,H$280,H$285)</f>
        <v>0.52898586326846264</v>
      </c>
      <c r="O295" s="55" t="str">
        <f>'Input - Dairy'!$D$67</f>
        <v>Feed pad</v>
      </c>
      <c r="P295" s="55" t="str">
        <f>'Input - Dairy'!$D$105</f>
        <v>Anaerobic lagoon</v>
      </c>
      <c r="Q295" s="55" cm="1">
        <f t="array" ref="Q295">MMS_Dairy_Methane_Equations.VEERG_4_3_1_1__1_TotalAnnualMethaneFromManureManagementVariation(D$270,Q242,O$275,0,0,0,0,0)</f>
        <v>1.63717981297937</v>
      </c>
      <c r="R295" s="55" cm="1">
        <f t="array" ref="R295">MMS_Dairy_Methane_Equations.VEERG_4_3_1_1__1_TotalAnnualMethaneFromManureManagementVariation(E$270,R242,P$275,0,0,0,0,0)</f>
        <v>0.64488780578379545</v>
      </c>
      <c r="S295" s="55" cm="1">
        <f t="array" ref="S295">MMS_Dairy_Methane_Equations.VEERG_4_3_1_1__1_TotalAnnualMethaneFromManureManagementVariation(0,0,0,F$270,S242,Q$275,F$280,Q$285)</f>
        <v>0.41707325590723726</v>
      </c>
      <c r="T295" s="55" cm="1">
        <f t="array" ref="T295">MMS_Dairy_Methane_Equations.VEERG_4_3_1_1__1_TotalAnnualMethaneFromManureManagementVariation(G$270,T242,R$275,0,0,0,0,0)</f>
        <v>0.78467696957892363</v>
      </c>
      <c r="U295" s="55" cm="1">
        <f t="array" ref="U295">MMS_Dairy_Methane_Equations.VEERG_4_3_1_1__1_TotalAnnualMethaneFromManureManagementVariation(0,0,0,H$270,U242,S$275,H$280,S$285)</f>
        <v>0.53369146673252132</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405</v>
      </c>
      <c r="F298" s="55" cm="1">
        <f t="array" ref="F298">MMS_Dairy_Methane_Equations.VEERG_4_3_1_1__1_TotalAnnualMethaneFromManureManagementVariation(D$270,F245,D$275,0,0,0,0,0)</f>
        <v>8.5048301972954279E-2</v>
      </c>
      <c r="G298" s="55" cm="1">
        <f t="array" ref="G298">MMS_Dairy_Methane_Equations.VEERG_4_3_1_1__1_TotalAnnualMethaneFromManureManagementVariation(E$270,G245,E$275,0,0,0,0,0)</f>
        <v>3.3500665235521837E-2</v>
      </c>
      <c r="H298" s="55" cm="1">
        <f t="array" ref="H298">MMS_Dairy_Methane_Equations.VEERG_4_3_1_1__1_TotalAnnualMethaneFromManureManagementVariation(0,0,0,F$270,H245,F$275,F$280,F$285)</f>
        <v>0.16182614316401234</v>
      </c>
      <c r="I298" s="55" cm="1">
        <f t="array" ref="I298">MMS_Dairy_Methane_Equations.VEERG_4_3_1_1__1_TotalAnnualMethaneFromManureManagementVariation(G$270,I245,G$275,0,0,0,0,0)</f>
        <v>4.0762439978125904E-2</v>
      </c>
      <c r="J298" s="55" cm="1">
        <f t="array" ref="J298">MMS_Dairy_Methane_Equations.VEERG_4_3_1_1__1_TotalAnnualMethaneFromManureManagementVariation(0,0,0,H$270,J245,H$275,H$280,H$285)</f>
        <v>0.19018241385623488</v>
      </c>
      <c r="O298" s="55" t="str">
        <f>'Input - Dairy'!$D$67</f>
        <v>Feed pad</v>
      </c>
      <c r="P298" s="55" t="s">
        <v>405</v>
      </c>
      <c r="Q298" s="55" cm="1">
        <f t="array" ref="Q298">MMS_Dairy_Methane_Equations.VEERG_4_3_1_1__1_TotalAnnualMethaneFromManureManagementVariation(D$270,Q245,O$275,0,0,0,0,0)</f>
        <v>8.5048301972954279E-2</v>
      </c>
      <c r="R298" s="55" cm="1">
        <f t="array" ref="R298">MMS_Dairy_Methane_Equations.VEERG_4_3_1_1__1_TotalAnnualMethaneFromManureManagementVariation(E$270,R245,P$275,0,0,0,0,0)</f>
        <v>3.3500665235521837E-2</v>
      </c>
      <c r="S298" s="55" cm="1">
        <f t="array" ref="S298">MMS_Dairy_Methane_Equations.VEERG_4_3_1_1__1_TotalAnnualMethaneFromManureManagementVariation(0,0,0,F$270,S245,Q$275,F$280,Q$285)</f>
        <v>0.16182614316401234</v>
      </c>
      <c r="T298" s="55" cm="1">
        <f t="array" ref="T298">MMS_Dairy_Methane_Equations.VEERG_4_3_1_1__1_TotalAnnualMethaneFromManureManagementVariation(G$270,T245,R$275,0,0,0,0,0)</f>
        <v>4.0762439978125904E-2</v>
      </c>
      <c r="U298" s="55" cm="1">
        <f t="array" ref="U298">MMS_Dairy_Methane_Equations.VEERG_4_3_1_1__1_TotalAnnualMethaneFromManureManagementVariation(0,0,0,H$270,U245,S$275,H$280,S$285)</f>
        <v>0.19018241385623488</v>
      </c>
    </row>
    <row r="300" spans="4:21" ht="20.25" x14ac:dyDescent="0.25">
      <c r="D300" s="108" t="s">
        <v>128</v>
      </c>
      <c r="E300" s="109">
        <f>SUM(F290:J298)</f>
        <v>9.7003441774240233</v>
      </c>
      <c r="F300" s="110" t="str">
        <f>$E$256</f>
        <v>t CH4</v>
      </c>
      <c r="O300" s="108" t="s">
        <v>420</v>
      </c>
      <c r="P300" s="109">
        <f>SUM(Q290:U298)</f>
        <v>10.018407952436421</v>
      </c>
      <c r="Q300" s="110" t="str">
        <f>$E$256</f>
        <v>t CH4</v>
      </c>
    </row>
    <row r="302" spans="4:21" x14ac:dyDescent="0.25">
      <c r="D302" s="60" t="str" cm="1">
        <f t="array" ref="D302:E303">Common_Equations.Common_ConvertCH4ToCO2e_Arguments()</f>
        <v>ECH4</v>
      </c>
      <c r="E302" s="61" t="str">
        <v>Methane emissions (t CH4)</v>
      </c>
      <c r="F302" s="111"/>
      <c r="G302" s="55">
        <f>E300</f>
        <v>9.7003441774240233</v>
      </c>
      <c r="H302" s="2"/>
      <c r="O302" s="60" t="str" cm="1">
        <f t="array" ref="O302:P303">Common_Equations.Common_ConvertCH4ToCO2e_Arguments()</f>
        <v>ECH4</v>
      </c>
      <c r="P302" s="61" t="str">
        <v>Methane emissions (t CH4)</v>
      </c>
      <c r="Q302" s="111"/>
      <c r="R302" s="55">
        <f>P300</f>
        <v>10.018407952436421</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ref="E305">Common_Equations.Common_ConvertCH4ToCO2e(G302,G303)</f>
        <v>271.60963696787263</v>
      </c>
      <c r="F305" s="112" t="str" cm="1">
        <f t="array" ref="F305">Common_Equations.Common_ConvertN2OToCO2e_Unit()</f>
        <v>t CO2e</v>
      </c>
      <c r="O305" s="48" t="s">
        <v>419</v>
      </c>
      <c r="P305" s="48" cm="1">
        <f t="array" ref="P305">Common_Equations.Common_ConvertCH4ToCO2e(R302,R303)</f>
        <v>280.5154226682198</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193</v>
      </c>
      <c r="N19" s="55">
        <f>'Input - Dairy'!$E$18</f>
        <v>550</v>
      </c>
      <c r="O19" s="55">
        <f>'Input - Dairy'!$F$18</f>
        <v>380</v>
      </c>
      <c r="P19" s="55">
        <f>'Input - Dairy'!$G$18</f>
        <v>155</v>
      </c>
      <c r="Q19" s="55">
        <f>'Input - Dairy'!$H$18</f>
        <v>600</v>
      </c>
      <c r="R19" s="55">
        <f>'Input - Dairy'!$I$18</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2.75E-2</v>
      </c>
      <c r="G231" s="55" cm="1">
        <f t="array" ref="G231">InputFunctions_Dairy.CalculateFractionInMMSAfterSolidSeparation('Input - Dairy'!F66,'Input - Dairy'!F81,'Input - Dairy'!$E$83)</f>
        <v>2.75E-2</v>
      </c>
      <c r="H231" s="55" cm="1">
        <f t="array" ref="H231">InputFunctions_Dairy.CalculateFractionInMMSAfterSolidSeparation('Input - Dairy'!G66,'Input - Dairy'!G81,'Input - Dairy'!$E$83)</f>
        <v>2.75E-2</v>
      </c>
      <c r="I231" s="55" cm="1">
        <f t="array" ref="I231">InputFunctions_Dairy.CalculateFractionInMMSAfterSolidSeparation('Input - Dairy'!H66,'Input - Dairy'!H81,'Input - Dairy'!$E$83)</f>
        <v>2.75E-2</v>
      </c>
      <c r="J231" s="55" cm="1">
        <f t="array" ref="J231">InputFunctions_Dairy.CalculateFractionInMMSAfterSolidSeparation('Input - Dairy'!I66,'Input - Dairy'!I81,'Input - Dairy'!$E$83)</f>
        <v>2.75E-2</v>
      </c>
      <c r="N231" s="55" t="str">
        <f>'Input - Dairy'!$D$66</f>
        <v>Milking shed</v>
      </c>
      <c r="O231" s="55" t="str">
        <f>'Input - Dairy'!$D$81</f>
        <v>Anaerobic lagoon</v>
      </c>
      <c r="P231" s="55" cm="1">
        <f t="array" ref="P231">InputFunctions_Dairy.CalculateFractionInMMSAfterSolidSeparation('Input - Dairy'!E71,'Input - Dairy'!E81,'Input - Dairy'!$E$84)</f>
        <v>2.75E-2</v>
      </c>
      <c r="Q231" s="55" cm="1">
        <f t="array" ref="Q231">InputFunctions_Dairy.CalculateFractionInMMSAfterSolidSeparation('Input - Dairy'!F71,'Input - Dairy'!F81,'Input - Dairy'!$E$84)</f>
        <v>2.75E-2</v>
      </c>
      <c r="R231" s="55" cm="1">
        <f t="array" ref="R231">InputFunctions_Dairy.CalculateFractionInMMSAfterSolidSeparation('Input - Dairy'!G71,'Input - Dairy'!G81,'Input - Dairy'!$E$84)</f>
        <v>2.75E-2</v>
      </c>
      <c r="S231" s="55" cm="1">
        <f t="array" ref="S231">InputFunctions_Dairy.CalculateFractionInMMSAfterSolidSeparation('Input - Dairy'!H71,'Input - Dairy'!H81,'Input - Dairy'!$E$84)</f>
        <v>2.75E-2</v>
      </c>
      <c r="T231" s="55" cm="1">
        <f t="array" ref="T231">InputFunctions_Dairy.CalculateFractionInMMSAfterSolidSeparation('Input - Dairy'!I71,'Input - Dairy'!I81,'Input - Dairy'!$E$84)</f>
        <v>2.75E-2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405</v>
      </c>
      <c r="F234" s="55" cm="1">
        <f t="array" ref="F234">InputFunctions_Dairy.CalculateFractionInSolidStorage('Input - Dairy'!E66,'Input - Dairy'!E96,'Input - Dairy'!E81,'Input - Dairy'!$E$83,'Input - Dairy'!E86,'Input - Dairy'!$E$88,'Input - Dairy'!E91,'Input - Dairy'!$E$93)</f>
        <v>3.85E-2</v>
      </c>
      <c r="G234" s="55" cm="1">
        <f t="array" ref="G234">InputFunctions_Dairy.CalculateFractionInSolidStorage('Input - Dairy'!F66,'Input - Dairy'!F96,'Input - Dairy'!F81,'Input - Dairy'!$E$83,'Input - Dairy'!F86,'Input - Dairy'!$E$88,'Input - Dairy'!F91,'Input - Dairy'!$E$93)</f>
        <v>3.85E-2</v>
      </c>
      <c r="H234" s="55" cm="1">
        <f t="array" ref="H234">InputFunctions_Dairy.CalculateFractionInSolidStorage('Input - Dairy'!G66,'Input - Dairy'!G96,'Input - Dairy'!G81,'Input - Dairy'!$E$83,'Input - Dairy'!G86,'Input - Dairy'!$E$88,'Input - Dairy'!G91,'Input - Dairy'!$E$93)</f>
        <v>3.85E-2</v>
      </c>
      <c r="I234" s="55" cm="1">
        <f t="array" ref="I234">InputFunctions_Dairy.CalculateFractionInSolidStorage('Input - Dairy'!H66,'Input - Dairy'!H96,'Input - Dairy'!H81,'Input - Dairy'!$E$83,'Input - Dairy'!H86,'Input - Dairy'!$E$88,'Input - Dairy'!H91,'Input - Dairy'!$E$93)</f>
        <v>3.85E-2</v>
      </c>
      <c r="J234" s="55" cm="1">
        <f t="array" ref="J234">InputFunctions_Dairy.CalculateFractionInSolidStorage('Input - Dairy'!I66,'Input - Dairy'!I96,'Input - Dairy'!I81,'Input - Dairy'!$E$83,'Input - Dairy'!I86,'Input - Dairy'!$E$88,'Input - Dairy'!I91,'Input - Dairy'!$E$93)</f>
        <v>3.85E-2</v>
      </c>
      <c r="N234" s="55" t="str">
        <f>'Input - Dairy'!$D$66</f>
        <v>Milking shed</v>
      </c>
      <c r="O234" s="55" t="s">
        <v>405</v>
      </c>
      <c r="P234" s="55" cm="1">
        <f t="array" ref="P234">InputFunctions_Dairy.CalculateFractionInSolidStorage('Input - Dairy'!E71,'Input - Dairy'!E96,'Input - Dairy'!E81,'Input - Dairy'!$E$84,'Input - Dairy'!E86,'Input - Dairy'!$E$89,'Input - Dairy'!E91,'Input - Dairy'!$E$94)</f>
        <v>3.85E-2</v>
      </c>
      <c r="Q234" s="55" cm="1">
        <f t="array" ref="Q234">InputFunctions_Dairy.CalculateFractionInSolidStorage('Input - Dairy'!F71,'Input - Dairy'!F96,'Input - Dairy'!F81,'Input - Dairy'!$E$84,'Input - Dairy'!F86,'Input - Dairy'!$E$89,'Input - Dairy'!F91,'Input - Dairy'!$E$94)</f>
        <v>3.85E-2</v>
      </c>
      <c r="R234" s="55" cm="1">
        <f t="array" ref="R234">InputFunctions_Dairy.CalculateFractionInSolidStorage('Input - Dairy'!G71,'Input - Dairy'!G96,'Input - Dairy'!G81,'Input - Dairy'!$E$84,'Input - Dairy'!G86,'Input - Dairy'!$E$89,'Input - Dairy'!G91,'Input - Dairy'!$E$94)</f>
        <v>3.85E-2</v>
      </c>
      <c r="S234" s="55" cm="1">
        <f t="array" ref="S234">InputFunctions_Dairy.CalculateFractionInSolidStorage('Input - Dairy'!H71,'Input - Dairy'!H96,'Input - Dairy'!H81,'Input - Dairy'!$E$84,'Input - Dairy'!H86,'Input - Dairy'!$E$89,'Input - Dairy'!H91,'Input - Dairy'!$E$94)</f>
        <v>3.85E-2</v>
      </c>
      <c r="T234" s="55" cm="1">
        <f t="array" ref="T234">InputFunctions_Dairy.CalculateFractionInSolidStorage('Input - Dairy'!I71,'Input - Dairy'!I96,'Input - Dairy'!I81,'Input - Dairy'!$E$84,'Input - Dairy'!I86,'Input - Dairy'!$E$89,'Input - Dairy'!I91,'Input - Dairy'!$E$94)</f>
        <v>3.85E-2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7.1199999999999999E-2</v>
      </c>
      <c r="G235" s="55" cm="1">
        <f t="array" ref="G235">InputFunctions_Dairy.CalculateFractionInMMSAfterSolidSeparation('Input - Dairy'!F67,'Input - Dairy'!F105,'Input - Dairy'!$E$107)</f>
        <v>7.1199999999999999E-2</v>
      </c>
      <c r="H235" s="55" cm="1">
        <f t="array" ref="H235">InputFunctions_Dairy.CalculateFractionInMMSAfterSolidSeparation('Input - Dairy'!G67,'Input - Dairy'!G105,'Input - Dairy'!$E$107)</f>
        <v>7.1199999999999999E-2</v>
      </c>
      <c r="I235" s="55" cm="1">
        <f t="array" ref="I235">InputFunctions_Dairy.CalculateFractionInMMSAfterSolidSeparation('Input - Dairy'!H67,'Input - Dairy'!H105,'Input - Dairy'!$E$107)</f>
        <v>7.1199999999999999E-2</v>
      </c>
      <c r="J235" s="55" cm="1">
        <f t="array" ref="J235">InputFunctions_Dairy.CalculateFractionInMMSAfterSolidSeparation('Input - Dairy'!I67,'Input - Dairy'!I105,'Input - Dairy'!$E$107)</f>
        <v>7.1199999999999999E-2</v>
      </c>
      <c r="N235" s="55" t="str">
        <f>'Input - Dairy'!$D$67</f>
        <v>Feed pad</v>
      </c>
      <c r="O235" s="55" t="str">
        <f>'Input - Dairy'!$D$105</f>
        <v>Anaerobic lagoon</v>
      </c>
      <c r="P235" s="55" cm="1">
        <f t="array" ref="P235">InputFunctions_Dairy.CalculateFractionInMMSAfterSolidSeparation('Input - Dairy'!E72,'Input - Dairy'!E105,'Input - Dairy'!$E$108)</f>
        <v>7.1199999999999999E-2</v>
      </c>
      <c r="Q235" s="55" cm="1">
        <f t="array" ref="Q235">InputFunctions_Dairy.CalculateFractionInMMSAfterSolidSeparation('Input - Dairy'!F72,'Input - Dairy'!F105,'Input - Dairy'!$E$108)</f>
        <v>7.1199999999999999E-2</v>
      </c>
      <c r="R235" s="55" cm="1">
        <f t="array" ref="R235">InputFunctions_Dairy.CalculateFractionInMMSAfterSolidSeparation('Input - Dairy'!G72,'Input - Dairy'!G105,'Input - Dairy'!$E$108)</f>
        <v>7.1199999999999999E-2</v>
      </c>
      <c r="S235" s="55" cm="1">
        <f t="array" ref="S235">InputFunctions_Dairy.CalculateFractionInMMSAfterSolidSeparation('Input - Dairy'!H72,'Input - Dairy'!H105,'Input - Dairy'!$E$108)</f>
        <v>7.1199999999999999E-2</v>
      </c>
      <c r="T235" s="55" cm="1">
        <f t="array" ref="T235">InputFunctions_Dairy.CalculateFractionInMMSAfterSolidSeparation('Input - Dairy'!I72,'Input - Dairy'!I105,'Input - Dairy'!$E$108)</f>
        <v>7.1199999999999999E-2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405</v>
      </c>
      <c r="F238" s="55" cm="1">
        <f t="array" ref="F238">InputFunctions_Dairy.CalculateFractionInSolidStorage('Input - Dairy'!E67,'Input - Dairy'!E120,'Input - Dairy'!E105,'Input - Dairy'!$E$107,'Input - Dairy'!E110,'Input - Dairy'!$E$112,'Input - Dairy'!E115,'Input - Dairy'!$E$117)</f>
        <v>0.14239999999999997</v>
      </c>
      <c r="G238" s="55" cm="1">
        <f t="array" ref="G238">InputFunctions_Dairy.CalculateFractionInSolidStorage('Input - Dairy'!F67,'Input - Dairy'!F120,'Input - Dairy'!F105,'Input - Dairy'!$E$107,'Input - Dairy'!F110,'Input - Dairy'!$E$112,'Input - Dairy'!F115,'Input - Dairy'!$E$117)</f>
        <v>0.14239999999999997</v>
      </c>
      <c r="H238" s="55" cm="1">
        <f t="array" ref="H238">InputFunctions_Dairy.CalculateFractionInSolidStorage('Input - Dairy'!G67,'Input - Dairy'!G120,'Input - Dairy'!G105,'Input - Dairy'!$E$107,'Input - Dairy'!G110,'Input - Dairy'!$E$112,'Input - Dairy'!G115,'Input - Dairy'!$E$117)</f>
        <v>0.14239999999999997</v>
      </c>
      <c r="I238" s="55" cm="1">
        <f t="array" ref="I238">InputFunctions_Dairy.CalculateFractionInSolidStorage('Input - Dairy'!H67,'Input - Dairy'!H120,'Input - Dairy'!H105,'Input - Dairy'!$E$107,'Input - Dairy'!H110,'Input - Dairy'!$E$112,'Input - Dairy'!H115,'Input - Dairy'!$E$117)</f>
        <v>0.14239999999999997</v>
      </c>
      <c r="J238" s="55" cm="1">
        <f t="array" ref="J238">InputFunctions_Dairy.CalculateFractionInSolidStorage('Input - Dairy'!I67,'Input - Dairy'!I120,'Input - Dairy'!I105,'Input - Dairy'!$E$107,'Input - Dairy'!I110,'Input - Dairy'!$E$112,'Input - Dairy'!I115,'Input - Dairy'!$E$117)</f>
        <v>0.14239999999999997</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0.14239999999999997</v>
      </c>
      <c r="Q238" s="55" cm="1">
        <f t="array" ref="Q238">InputFunctions_Dairy.CalculateFractionInSolidStorage('Input - Dairy'!F72,'Input - Dairy'!F120,'Input - Dairy'!F105,'Input - Dairy'!$E$108, 'Input - Dairy'!F110,'Input - Dairy'!$E$113,'Input - Dairy'!F115,'Input - Dairy'!$E$118)</f>
        <v>0.14239999999999997</v>
      </c>
      <c r="R238" s="55" cm="1">
        <f t="array" ref="R238">InputFunctions_Dairy.CalculateFractionInSolidStorage('Input - Dairy'!G72,'Input - Dairy'!G120,'Input - Dairy'!G105,'Input - Dairy'!$E$108, 'Input - Dairy'!G110,'Input - Dairy'!$E$113,'Input - Dairy'!G115,'Input - Dairy'!$E$118)</f>
        <v>0.14239999999999997</v>
      </c>
      <c r="S238" s="55" cm="1">
        <f t="array" ref="S238">InputFunctions_Dairy.CalculateFractionInSolidStorage('Input - Dairy'!H72,'Input - Dairy'!H120,'Input - Dairy'!H105,'Input - Dairy'!$E$108, 'Input - Dairy'!H110,'Input - Dairy'!$E$113,'Input - Dairy'!H115,'Input - Dairy'!$E$118)</f>
        <v>0.14239999999999997</v>
      </c>
      <c r="T238" s="55" cm="1">
        <f t="array" ref="T238">InputFunctions_Dairy.CalculateFractionInSolidStorage('Input - Dairy'!I72,'Input - Dairy'!I120,'Input - Dairy'!I105,'Input - Dairy'!$E$108, 'Input - Dairy'!I110,'Input - Dairy'!$E$113,'Input - Dairy'!I115,'Input - Dairy'!$E$118)</f>
        <v>0.14239999999999997</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586.17426071450575</v>
      </c>
      <c r="G243" s="55" cm="1">
        <f t="array" ref="G243">MMS_Dairy_N2ODirect_Equations.VEERG_4_3_1_3__2_TotalNitrogenInEachMMS(E$176,G231)</f>
        <v>227.94737834727596</v>
      </c>
      <c r="H243" s="55" cm="1">
        <f t="array" ref="H243">MMS_Dairy_N2ODirect_Equations.VEERG_4_3_1_3__2_TotalNitrogenInEachMMS(F$213,H231)</f>
        <v>90.78903015480428</v>
      </c>
      <c r="I243" s="55" cm="1">
        <f t="array" ref="I243">MMS_Dairy_N2ODirect_Equations.VEERG_4_3_1_3__2_TotalNitrogenInEachMMS(G$176,I231)</f>
        <v>286.53886967483555</v>
      </c>
      <c r="J243" s="55" cm="1">
        <f t="array" ref="J243">MMS_Dairy_N2ODirect_Equations.VEERG_4_3_1_3__2_TotalNitrogenInEachMMS(H$213,J231)</f>
        <v>119.95357134881925</v>
      </c>
      <c r="N243" s="55" t="str">
        <f>'Input - Dairy'!$D$66</f>
        <v>Milking shed</v>
      </c>
      <c r="O243" s="55" t="str">
        <f>'Input - Dairy'!$D$81</f>
        <v>Anaerobic lagoon</v>
      </c>
      <c r="P243" s="55" cm="1">
        <f t="array" ref="P243">MMS_Dairy_N2ODirect_Equations.VEERG_4_3_1_3__2_TotalNitrogenInEachMMS(N$176,P231)</f>
        <v>586.17426071450575</v>
      </c>
      <c r="Q243" s="55" cm="1">
        <f t="array" ref="Q243">MMS_Dairy_N2ODirect_Equations.VEERG_4_3_1_3__2_TotalNitrogenInEachMMS(O$176,Q231)</f>
        <v>227.94737834727596</v>
      </c>
      <c r="R243" s="55" cm="1">
        <f t="array" ref="R243">MMS_Dairy_N2ODirect_Equations.VEERG_4_3_1_3__2_TotalNitrogenInEachMMS(P$213,R231)</f>
        <v>90.78903015480428</v>
      </c>
      <c r="S243" s="55" cm="1">
        <f t="array" ref="S243">MMS_Dairy_N2ODirect_Equations.VEERG_4_3_1_3__2_TotalNitrogenInEachMMS(Q$176,S231)</f>
        <v>286.53886967483555</v>
      </c>
      <c r="T243" s="55" cm="1">
        <f t="array" ref="T243">MMS_Dairy_N2ODirect_Equations.VEERG_4_3_1_3__2_TotalNitrogenInEachMMS(R$213,T231)</f>
        <v>119.95357134881925</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405</v>
      </c>
      <c r="F246" s="55" cm="1">
        <f t="array" ref="F246">MMS_Dairy_N2ODirect_Equations.VEERG_4_3_1_3__2_TotalNitrogenInEachMMS(D$176,F234)</f>
        <v>820.64396500030807</v>
      </c>
      <c r="G246" s="55" cm="1">
        <f t="array" ref="G246">MMS_Dairy_N2ODirect_Equations.VEERG_4_3_1_3__2_TotalNitrogenInEachMMS(E$176,G234)</f>
        <v>319.12632968618635</v>
      </c>
      <c r="H246" s="55" cm="1">
        <f t="array" ref="H246">MMS_Dairy_N2ODirect_Equations.VEERG_4_3_1_3__2_TotalNitrogenInEachMMS(F$213,H234)</f>
        <v>127.10464221672598</v>
      </c>
      <c r="I246" s="55" cm="1">
        <f t="array" ref="I246">MMS_Dairy_N2ODirect_Equations.VEERG_4_3_1_3__2_TotalNitrogenInEachMMS(G$176,I234)</f>
        <v>401.15441754476973</v>
      </c>
      <c r="J246" s="55" cm="1">
        <f t="array" ref="J246">MMS_Dairy_N2ODirect_Equations.VEERG_4_3_1_3__2_TotalNitrogenInEachMMS(H$213,J234)</f>
        <v>167.93499988834694</v>
      </c>
      <c r="N246" s="55" t="str">
        <f>'Input - Dairy'!$D$66</f>
        <v>Milking shed</v>
      </c>
      <c r="O246" s="55" t="s">
        <v>405</v>
      </c>
      <c r="P246" s="55" cm="1">
        <f t="array" ref="P246">MMS_Dairy_N2ODirect_Equations.VEERG_4_3_1_3__2_TotalNitrogenInEachMMS(N$176,P234)</f>
        <v>820.64396500030807</v>
      </c>
      <c r="Q246" s="55" cm="1">
        <f t="array" ref="Q246">MMS_Dairy_N2ODirect_Equations.VEERG_4_3_1_3__2_TotalNitrogenInEachMMS(O$176,Q234)</f>
        <v>319.12632968618635</v>
      </c>
      <c r="R246" s="55" cm="1">
        <f t="array" ref="R246">MMS_Dairy_N2ODirect_Equations.VEERG_4_3_1_3__2_TotalNitrogenInEachMMS(P$213,R234)</f>
        <v>127.10464221672598</v>
      </c>
      <c r="S246" s="55" cm="1">
        <f t="array" ref="S246">MMS_Dairy_N2ODirect_Equations.VEERG_4_3_1_3__2_TotalNitrogenInEachMMS(Q$176,S234)</f>
        <v>401.15441754476973</v>
      </c>
      <c r="T246" s="55" cm="1">
        <f t="array" ref="T246">MMS_Dairy_N2ODirect_Equations.VEERG_4_3_1_3__2_TotalNitrogenInEachMMS(R$213,T234)</f>
        <v>167.93499988834694</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1517.6584495590114</v>
      </c>
      <c r="G247" s="55" cm="1">
        <f t="array" ref="G247">MMS_Dairy_N2ODirect_Equations.VEERG_4_3_1_3__2_TotalNitrogenInEachMMS(E$176,G235)</f>
        <v>590.17648503003818</v>
      </c>
      <c r="H247" s="55" cm="1">
        <f t="array" ref="H247">MMS_Dairy_N2ODirect_Equations.VEERG_4_3_1_3__2_TotalNitrogenInEachMMS(F$213,H235)</f>
        <v>235.06105261898415</v>
      </c>
      <c r="I247" s="55" cm="1">
        <f t="array" ref="I247">MMS_Dairy_N2ODirect_Equations.VEERG_4_3_1_3__2_TotalNitrogenInEachMMS(G$176,I235)</f>
        <v>741.87518257630143</v>
      </c>
      <c r="J247" s="55" cm="1">
        <f t="array" ref="J247">MMS_Dairy_N2ODirect_Equations.VEERG_4_3_1_3__2_TotalNitrogenInEachMMS(H$213,J235)</f>
        <v>310.57070109221564</v>
      </c>
      <c r="N247" s="55" t="str">
        <f>'Input - Dairy'!$D$67</f>
        <v>Feed pad</v>
      </c>
      <c r="O247" s="55" t="str">
        <f>'Input - Dairy'!$D$105</f>
        <v>Anaerobic lagoon</v>
      </c>
      <c r="P247" s="55" cm="1">
        <f t="array" ref="P247">MMS_Dairy_N2ODirect_Equations.VEERG_4_3_1_3__2_TotalNitrogenInEachMMS(N$176,P235)</f>
        <v>1517.6584495590114</v>
      </c>
      <c r="Q247" s="55" cm="1">
        <f t="array" ref="Q247">MMS_Dairy_N2ODirect_Equations.VEERG_4_3_1_3__2_TotalNitrogenInEachMMS(O$176,Q235)</f>
        <v>590.17648503003818</v>
      </c>
      <c r="R247" s="55" cm="1">
        <f t="array" ref="R247">MMS_Dairy_N2ODirect_Equations.VEERG_4_3_1_3__2_TotalNitrogenInEachMMS(P$213,R235)</f>
        <v>235.06105261898415</v>
      </c>
      <c r="S247" s="55" cm="1">
        <f t="array" ref="S247">MMS_Dairy_N2ODirect_Equations.VEERG_4_3_1_3__2_TotalNitrogenInEachMMS(Q$176,S235)</f>
        <v>741.87518257630143</v>
      </c>
      <c r="T247" s="55" cm="1">
        <f t="array" ref="T247">MMS_Dairy_N2ODirect_Equations.VEERG_4_3_1_3__2_TotalNitrogenInEachMMS(R$213,T235)</f>
        <v>310.57070109221564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405</v>
      </c>
      <c r="F250" s="55" cm="1">
        <f t="array" ref="F250">MMS_Dairy_N2ODirect_Equations.VEERG_4_3_1_3__2_TotalNitrogenInEachMMS(D$176,F238)</f>
        <v>3035.3168991180219</v>
      </c>
      <c r="G250" s="55" cm="1">
        <f t="array" ref="G250">MMS_Dairy_N2ODirect_Equations.VEERG_4_3_1_3__2_TotalNitrogenInEachMMS(E$176,G238)</f>
        <v>1180.3529700600759</v>
      </c>
      <c r="H250" s="55" cm="1">
        <f t="array" ref="H250">MMS_Dairy_N2ODirect_Equations.VEERG_4_3_1_3__2_TotalNitrogenInEachMMS(F$213,H238)</f>
        <v>470.12210523796824</v>
      </c>
      <c r="I250" s="55" cm="1">
        <f t="array" ref="I250">MMS_Dairy_N2ODirect_Equations.VEERG_4_3_1_3__2_TotalNitrogenInEachMMS(G$176,I238)</f>
        <v>1483.7503651526026</v>
      </c>
      <c r="J250" s="55" cm="1">
        <f t="array" ref="J250">MMS_Dairy_N2ODirect_Equations.VEERG_4_3_1_3__2_TotalNitrogenInEachMMS(H$213,J238)</f>
        <v>621.14140218443117</v>
      </c>
      <c r="N250" s="55" t="str">
        <f>'Input - Dairy'!$D$67</f>
        <v>Feed pad</v>
      </c>
      <c r="O250" s="55" t="s">
        <v>405</v>
      </c>
      <c r="P250" s="55" cm="1">
        <f t="array" ref="P250">MMS_Dairy_N2ODirect_Equations.VEERG_4_3_1_3__2_TotalNitrogenInEachMMS(N$176,P238)</f>
        <v>3035.3168991180219</v>
      </c>
      <c r="Q250" s="55" cm="1">
        <f t="array" ref="Q250">MMS_Dairy_N2ODirect_Equations.VEERG_4_3_1_3__2_TotalNitrogenInEachMMS(O$176,Q238)</f>
        <v>1180.3529700600759</v>
      </c>
      <c r="R250" s="55" cm="1">
        <f t="array" ref="R250">MMS_Dairy_N2ODirect_Equations.VEERG_4_3_1_3__2_TotalNitrogenInEachMMS(P$213,R238)</f>
        <v>470.12210523796824</v>
      </c>
      <c r="S250" s="55" cm="1">
        <f t="array" ref="S250">MMS_Dairy_N2ODirect_Equations.VEERG_4_3_1_3__2_TotalNitrogenInEachMMS(Q$176,S238)</f>
        <v>1483.7503651526026</v>
      </c>
      <c r="T250" s="55" cm="1">
        <f t="array" ref="T250">MMS_Dairy_N2ODirect_Equations.VEERG_4_3_1_3__2_TotalNitrogenInEachMMS(R$213,T238)</f>
        <v>621.14140218443117</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405</v>
      </c>
      <c r="F281" s="55" cm="1">
        <f t="array" ref="F281">MMS_Dairy_N2ODirect_Equations.VEERG_4_3_1_3__1_TotalAnnualDirectNitrousOxideEmissionsFromMMS(F246,$E273,$I$264)</f>
        <v>6.4479168678595634E-3</v>
      </c>
      <c r="G281" s="55" cm="1">
        <f t="array" ref="G281">MMS_Dairy_N2ODirect_Equations.VEERG_4_3_1_3__1_TotalAnnualDirectNitrousOxideEmissionsFromMMS(G246,$E273,$I$264)</f>
        <v>2.5074211618200358E-3</v>
      </c>
      <c r="H281" s="55" cm="1">
        <f t="array" ref="H281">MMS_Dairy_N2ODirect_Equations.VEERG_4_3_1_3__1_TotalAnnualDirectNitrousOxideEmissionsFromMMS(H246,$E273,$I$264)</f>
        <v>9.9867933170284698E-4</v>
      </c>
      <c r="I281" s="55" cm="1">
        <f t="array" ref="I281">MMS_Dairy_N2ODirect_Equations.VEERG_4_3_1_3__1_TotalAnnualDirectNitrousOxideEmissionsFromMMS(I246,$E273,$I$264)</f>
        <v>3.1519275664231901E-3</v>
      </c>
      <c r="J281" s="55" cm="1">
        <f t="array" ref="J281">MMS_Dairy_N2ODirect_Equations.VEERG_4_3_1_3__1_TotalAnnualDirectNitrousOxideEmissionsFromMMS(J246,$E273,$I$264)</f>
        <v>1.3194892848370117E-3</v>
      </c>
      <c r="N281" s="55" t="str">
        <f>'Input - Dairy'!$D$66</f>
        <v>Milking shed</v>
      </c>
      <c r="O281" s="55" t="s">
        <v>405</v>
      </c>
      <c r="P281" s="55" cm="1">
        <f t="array" ref="P281">MMS_Dairy_N2ODirect_Equations.VEERG_4_3_1_3__1_TotalAnnualDirectNitrousOxideEmissionsFromMMS(P246,$E273,$I$264)</f>
        <v>6.4479168678595634E-3</v>
      </c>
      <c r="Q281" s="55" cm="1">
        <f t="array" ref="Q281">MMS_Dairy_N2ODirect_Equations.VEERG_4_3_1_3__1_TotalAnnualDirectNitrousOxideEmissionsFromMMS(Q246,$E273,$I$264)</f>
        <v>2.5074211618200358E-3</v>
      </c>
      <c r="R281" s="55" cm="1">
        <f t="array" ref="R281">MMS_Dairy_N2ODirect_Equations.VEERG_4_3_1_3__1_TotalAnnualDirectNitrousOxideEmissionsFromMMS(R246,$E273,$I$264)</f>
        <v>9.9867933170284698E-4</v>
      </c>
      <c r="S281" s="55" cm="1">
        <f t="array" ref="S281">MMS_Dairy_N2ODirect_Equations.VEERG_4_3_1_3__1_TotalAnnualDirectNitrousOxideEmissionsFromMMS(S246,$E273,$I$264)</f>
        <v>3.1519275664231901E-3</v>
      </c>
      <c r="T281" s="55" cm="1">
        <f t="array" ref="T281">MMS_Dairy_N2ODirect_Equations.VEERG_4_3_1_3__1_TotalAnnualDirectNitrousOxideEmissionsFromMMS(T246,$E273,$I$264)</f>
        <v>1.3194892848370117E-3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405</v>
      </c>
      <c r="F285" s="55" cm="1">
        <f t="array" ref="F285">MMS_Dairy_N2ODirect_Equations.VEERG_4_3_1_3__1_TotalAnnualDirectNitrousOxideEmissionsFromMMS(F250,$E273,$I$264)</f>
        <v>2.3848918493070172E-2</v>
      </c>
      <c r="G285" s="55" cm="1">
        <f t="array" ref="G285">MMS_Dairy_N2ODirect_Equations.VEERG_4_3_1_3__1_TotalAnnualDirectNitrousOxideEmissionsFromMMS(G250,$E273,$I$264)</f>
        <v>9.2742019076148818E-3</v>
      </c>
      <c r="H285" s="55" cm="1">
        <f t="array" ref="H285">MMS_Dairy_N2ODirect_Equations.VEERG_4_3_1_3__1_TotalAnnualDirectNitrousOxideEmissionsFromMMS(H250,$E273,$I$264)</f>
        <v>3.6938165411554646E-3</v>
      </c>
      <c r="I285" s="55" cm="1">
        <f t="array" ref="I285">MMS_Dairy_N2ODirect_Equations.VEERG_4_3_1_3__1_TotalAnnualDirectNitrousOxideEmissionsFromMMS(I250,$E273,$I$264)</f>
        <v>1.1658038583341877E-2</v>
      </c>
      <c r="J285" s="55" cm="1">
        <f t="array" ref="J285">MMS_Dairy_N2ODirect_Equations.VEERG_4_3_1_3__1_TotalAnnualDirectNitrousOxideEmissionsFromMMS(J250,$E273,$I$264)</f>
        <v>4.8803967314491022E-3</v>
      </c>
      <c r="N285" s="55" t="str">
        <f>'Input - Dairy'!$D$67</f>
        <v>Feed pad</v>
      </c>
      <c r="O285" s="55" t="s">
        <v>405</v>
      </c>
      <c r="P285" s="55" cm="1">
        <f t="array" ref="P285">MMS_Dairy_N2ODirect_Equations.VEERG_4_3_1_3__1_TotalAnnualDirectNitrousOxideEmissionsFromMMS(P250,$E273,$I$264)</f>
        <v>2.3848918493070172E-2</v>
      </c>
      <c r="Q285" s="55" cm="1">
        <f t="array" ref="Q285">MMS_Dairy_N2ODirect_Equations.VEERG_4_3_1_3__1_TotalAnnualDirectNitrousOxideEmissionsFromMMS(Q250,$E273,$I$264)</f>
        <v>9.2742019076148818E-3</v>
      </c>
      <c r="R285" s="55" cm="1">
        <f t="array" ref="R285">MMS_Dairy_N2ODirect_Equations.VEERG_4_3_1_3__1_TotalAnnualDirectNitrousOxideEmissionsFromMMS(R250,$E273,$I$264)</f>
        <v>3.6938165411554646E-3</v>
      </c>
      <c r="S285" s="55" cm="1">
        <f t="array" ref="S285">MMS_Dairy_N2ODirect_Equations.VEERG_4_3_1_3__1_TotalAnnualDirectNitrousOxideEmissionsFromMMS(S250,$E273,$I$264)</f>
        <v>1.1658038583341877E-2</v>
      </c>
      <c r="T285" s="55" cm="1">
        <f t="array" ref="T285">MMS_Dairy_N2ODirect_Equations.VEERG_4_3_1_3__1_TotalAnnualDirectNitrousOxideEmissionsFromMMS(T250,$E273,$I$264)</f>
        <v>4.8803967314491022E-3</v>
      </c>
    </row>
    <row r="286" spans="1:20" ht="20.100000000000001" customHeight="1" x14ac:dyDescent="0.25"/>
    <row r="287" spans="1:20" ht="20.100000000000001" customHeight="1" x14ac:dyDescent="0.25">
      <c r="D287" s="108" t="s">
        <v>121</v>
      </c>
      <c r="E287" s="109">
        <f>SUM(F278:J285)</f>
        <v>6.7780806469274146E-2</v>
      </c>
      <c r="F287" s="110" t="str">
        <f>$E$260</f>
        <v>t N2O</v>
      </c>
      <c r="N287" s="108" t="s">
        <v>121</v>
      </c>
      <c r="O287" s="109">
        <f>SUM(P278:T285)</f>
        <v>6.7780806469274146E-2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6.7780806469274146E-2</v>
      </c>
      <c r="N289" s="60" t="str" cm="1">
        <f t="array" ref="N289:O290">Common_Equations.Common_ConvertN2OToCO2e_Arguments()</f>
        <v>EN2O</v>
      </c>
      <c r="O289" s="61" t="str">
        <v>Nitrous oxide emissions (t N2O)</v>
      </c>
      <c r="P289" s="111"/>
      <c r="Q289" s="55">
        <f>O287</f>
        <v>6.7780806469274146E-2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17.961913714357649</v>
      </c>
      <c r="F292" s="112" t="str" cm="1">
        <f t="array" ref="F292">Common_Equations.Common_ConvertN2OToCO2e_Unit()</f>
        <v>t CO2e</v>
      </c>
      <c r="N292" s="48" t="s">
        <v>108</v>
      </c>
      <c r="O292" s="48" cm="1">
        <f t="array" ref="O292">Common_Equations.Common_ConvertN2OToCO2e(Q289,Q290)</f>
        <v>17.961913714357649</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586.17426071450575</v>
      </c>
      <c r="G19" s="55">
        <f>'4.3.1.3-4 Direct N20'!$G$243</f>
        <v>227.94737834727596</v>
      </c>
      <c r="H19" s="55">
        <f>'4.3.1.3-4 Direct N20'!$H$243</f>
        <v>90.78903015480428</v>
      </c>
      <c r="I19" s="55">
        <f>'4.3.1.3-4 Direct N20'!$I$243</f>
        <v>286.53886967483555</v>
      </c>
      <c r="J19" s="55">
        <f>'4.3.1.3-4 Direct N20'!$J$243</f>
        <v>119.95357134881925</v>
      </c>
      <c r="K19" s="2" t="str">
        <f>$G$13</f>
        <v>kg N</v>
      </c>
      <c r="O19" s="55" t="str">
        <f>'Input - Dairy'!$D$66</f>
        <v>Milking shed</v>
      </c>
      <c r="P19" s="55" t="str">
        <f>'Input - Dairy'!$D$81</f>
        <v>Anaerobic lagoon</v>
      </c>
      <c r="Q19" s="55">
        <f>'4.3.1.3-4 Direct N20'!$P$243</f>
        <v>586.17426071450575</v>
      </c>
      <c r="R19" s="55">
        <f>'4.3.1.3-4 Direct N20'!$Q$243</f>
        <v>227.94737834727596</v>
      </c>
      <c r="S19" s="55">
        <f>'4.3.1.3-4 Direct N20'!$R$243</f>
        <v>90.78903015480428</v>
      </c>
      <c r="T19" s="55">
        <f>'4.3.1.3-4 Direct N20'!$S$243</f>
        <v>286.53886967483555</v>
      </c>
      <c r="U19" s="55">
        <f>'4.3.1.3-4 Direct N20'!$T$243</f>
        <v>119.95357134881925</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405</v>
      </c>
      <c r="F22" s="55">
        <f>'4.3.1.3-4 Direct N20'!$F$246</f>
        <v>820.64396500030807</v>
      </c>
      <c r="G22" s="55">
        <f>'4.3.1.3-4 Direct N20'!$G$246</f>
        <v>319.12632968618635</v>
      </c>
      <c r="H22" s="55">
        <f>'4.3.1.3-4 Direct N20'!$H$246</f>
        <v>127.10464221672598</v>
      </c>
      <c r="I22" s="55">
        <f>'4.3.1.3-4 Direct N20'!$I$246</f>
        <v>401.15441754476973</v>
      </c>
      <c r="J22" s="55">
        <f>'4.3.1.3-4 Direct N20'!$J$246</f>
        <v>167.93499988834694</v>
      </c>
      <c r="K22" s="2"/>
      <c r="O22" s="55" t="str">
        <f>'Input - Dairy'!$D$66</f>
        <v>Milking shed</v>
      </c>
      <c r="P22" s="55" t="s">
        <v>405</v>
      </c>
      <c r="Q22" s="55">
        <f>'4.3.1.3-4 Direct N20'!$P$246</f>
        <v>820.64396500030807</v>
      </c>
      <c r="R22" s="55">
        <f>'4.3.1.3-4 Direct N20'!$Q$246</f>
        <v>319.12632968618635</v>
      </c>
      <c r="S22" s="55">
        <f>'4.3.1.3-4 Direct N20'!$R$246</f>
        <v>127.10464221672598</v>
      </c>
      <c r="T22" s="55">
        <f>'4.3.1.3-4 Direct N20'!$S$246</f>
        <v>401.15441754476973</v>
      </c>
      <c r="U22" s="55">
        <f>'4.3.1.3-4 Direct N20'!$T$246</f>
        <v>167.93499988834694</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1517.6584495590114</v>
      </c>
      <c r="G23" s="55">
        <f>'4.3.1.3-4 Direct N20'!$G$247</f>
        <v>590.17648503003818</v>
      </c>
      <c r="H23" s="55">
        <f>'4.3.1.3-4 Direct N20'!$H$247</f>
        <v>235.06105261898415</v>
      </c>
      <c r="I23" s="55">
        <f>'4.3.1.3-4 Direct N20'!$I$247</f>
        <v>741.87518257630143</v>
      </c>
      <c r="J23" s="55">
        <f>'4.3.1.3-4 Direct N20'!$J$247</f>
        <v>310.57070109221564</v>
      </c>
      <c r="K23" s="2"/>
      <c r="O23" s="55" t="str">
        <f>'Input - Dairy'!$D$67</f>
        <v>Feed pad</v>
      </c>
      <c r="P23" s="55" t="str">
        <f>'Input - Dairy'!$D$105</f>
        <v>Anaerobic lagoon</v>
      </c>
      <c r="Q23" s="55">
        <f>'4.3.1.3-4 Direct N20'!$P$247</f>
        <v>1517.6584495590114</v>
      </c>
      <c r="R23" s="55">
        <f>'4.3.1.3-4 Direct N20'!$Q$247</f>
        <v>590.17648503003818</v>
      </c>
      <c r="S23" s="55">
        <f>'4.3.1.3-4 Direct N20'!$R$247</f>
        <v>235.06105261898415</v>
      </c>
      <c r="T23" s="55">
        <f>'4.3.1.3-4 Direct N20'!$S$247</f>
        <v>741.87518257630143</v>
      </c>
      <c r="U23" s="55">
        <f>'4.3.1.3-4 Direct N20'!$T$247</f>
        <v>310.57070109221564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405</v>
      </c>
      <c r="F26" s="55">
        <f>'4.3.1.3-4 Direct N20'!$F$250</f>
        <v>3035.3168991180219</v>
      </c>
      <c r="G26" s="55">
        <f>'4.3.1.3-4 Direct N20'!$G$250</f>
        <v>1180.3529700600759</v>
      </c>
      <c r="H26" s="55">
        <f>'4.3.1.3-4 Direct N20'!$H$250</f>
        <v>470.12210523796824</v>
      </c>
      <c r="I26" s="55">
        <f>'4.3.1.3-4 Direct N20'!$I$250</f>
        <v>1483.7503651526026</v>
      </c>
      <c r="J26" s="55">
        <f>'4.3.1.3-4 Direct N20'!$J$250</f>
        <v>621.14140218443117</v>
      </c>
      <c r="K26" s="2"/>
      <c r="O26" s="55" t="str">
        <f>'Input - Dairy'!$D$67</f>
        <v>Feed pad</v>
      </c>
      <c r="P26" s="55" t="s">
        <v>405</v>
      </c>
      <c r="Q26" s="55">
        <f>'4.3.1.3-4 Direct N20'!$P$250</f>
        <v>3035.3168991180219</v>
      </c>
      <c r="R26" s="55">
        <f>'4.3.1.3-4 Direct N20'!$Q$250</f>
        <v>1180.3529700600759</v>
      </c>
      <c r="S26" s="55">
        <f>'4.3.1.3-4 Direct N20'!$R$250</f>
        <v>470.12210523796824</v>
      </c>
      <c r="T26" s="55">
        <f>'4.3.1.3-4 Direct N20'!$S$250</f>
        <v>1483.7503651526026</v>
      </c>
      <c r="U26" s="55">
        <f>'4.3.1.3-4 Direct N20'!$T$250</f>
        <v>621.14140218443117</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205.16099125007699</v>
      </c>
      <c r="G40" s="55" cm="1">
        <f t="array" ref="G40">MMS_Dairy_AtmosphericDeposition_Equations.VEERG_4_3_1_5__2_TotalNitrogenVolatilisedFromMMS(G19,$E32)</f>
        <v>79.781582421546574</v>
      </c>
      <c r="H40" s="55" cm="1">
        <f t="array" ref="H40">MMS_Dairy_AtmosphericDeposition_Equations.VEERG_4_3_1_5__2_TotalNitrogenVolatilisedFromMMS(H19,$E32)</f>
        <v>31.776160554181494</v>
      </c>
      <c r="I40" s="55" cm="1">
        <f t="array" ref="I40">MMS_Dairy_AtmosphericDeposition_Equations.VEERG_4_3_1_5__2_TotalNitrogenVolatilisedFromMMS(I19,$E32)</f>
        <v>100.28860438619243</v>
      </c>
      <c r="J40" s="55" cm="1">
        <f t="array" ref="J40">MMS_Dairy_AtmosphericDeposition_Equations.VEERG_4_3_1_5__2_TotalNitrogenVolatilisedFromMMS(J19,$E32)</f>
        <v>41.983749972086734</v>
      </c>
      <c r="K40" s="2" t="str">
        <f>$E$11</f>
        <v>kg N</v>
      </c>
      <c r="O40" s="55" t="str">
        <f>'Input - Dairy'!$D$66</f>
        <v>Milking shed</v>
      </c>
      <c r="P40" s="55" t="str">
        <f>'Input - Dairy'!$D$81</f>
        <v>Anaerobic lagoon</v>
      </c>
      <c r="Q40" s="55" cm="1">
        <f t="array" ref="Q40">MMS_Dairy_AtmosphericDeposition_Equations.VEERG_4_3_1_5__2_TotalNitrogenVolatilisedFromMMS(Q19,$E32)</f>
        <v>205.16099125007699</v>
      </c>
      <c r="R40" s="55" cm="1">
        <f t="array" ref="R40">MMS_Dairy_AtmosphericDeposition_Equations.VEERG_4_3_1_5__2_TotalNitrogenVolatilisedFromMMS(R19,$E32)</f>
        <v>79.781582421546574</v>
      </c>
      <c r="S40" s="55" cm="1">
        <f t="array" ref="S40">MMS_Dairy_AtmosphericDeposition_Equations.VEERG_4_3_1_5__2_TotalNitrogenVolatilisedFromMMS(S19,$E32)</f>
        <v>31.776160554181494</v>
      </c>
      <c r="T40" s="55" cm="1">
        <f t="array" ref="T40">MMS_Dairy_AtmosphericDeposition_Equations.VEERG_4_3_1_5__2_TotalNitrogenVolatilisedFromMMS(T19,$E32)</f>
        <v>100.28860438619243</v>
      </c>
      <c r="U40" s="55" cm="1">
        <f t="array" ref="U40">MMS_Dairy_AtmosphericDeposition_Equations.VEERG_4_3_1_5__2_TotalNitrogenVolatilisedFromMMS(U19,$E32)</f>
        <v>41.983749972086734</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405</v>
      </c>
      <c r="F43" s="55" cm="1">
        <f t="array" ref="F43">MMS_Dairy_AtmosphericDeposition_Equations.VEERG_4_3_1_5__2_TotalNitrogenVolatilisedFromMMS(F22,$E35)</f>
        <v>246.19318950009242</v>
      </c>
      <c r="G43" s="55" cm="1">
        <f t="array" ref="G43">MMS_Dairy_AtmosphericDeposition_Equations.VEERG_4_3_1_5__2_TotalNitrogenVolatilisedFromMMS(G22,$E35)</f>
        <v>95.7378989058559</v>
      </c>
      <c r="H43" s="55" cm="1">
        <f t="array" ref="H43">MMS_Dairy_AtmosphericDeposition_Equations.VEERG_4_3_1_5__2_TotalNitrogenVolatilisedFromMMS(H22,$E35)</f>
        <v>38.131392665017792</v>
      </c>
      <c r="I43" s="55" cm="1">
        <f t="array" ref="I43">MMS_Dairy_AtmosphericDeposition_Equations.VEERG_4_3_1_5__2_TotalNitrogenVolatilisedFromMMS(I22,$E35)</f>
        <v>120.34632526343091</v>
      </c>
      <c r="J43" s="55" cm="1">
        <f t="array" ref="J43">MMS_Dairy_AtmosphericDeposition_Equations.VEERG_4_3_1_5__2_TotalNitrogenVolatilisedFromMMS(J22,$E35)</f>
        <v>50.380499966504082</v>
      </c>
      <c r="K43" s="2"/>
      <c r="O43" s="55" t="str">
        <f>'Input - Dairy'!$D$66</f>
        <v>Milking shed</v>
      </c>
      <c r="P43" s="55" t="s">
        <v>405</v>
      </c>
      <c r="Q43" s="55" cm="1">
        <f t="array" ref="Q43">MMS_Dairy_AtmosphericDeposition_Equations.VEERG_4_3_1_5__2_TotalNitrogenVolatilisedFromMMS(Q22,$E35)</f>
        <v>246.19318950009242</v>
      </c>
      <c r="R43" s="55" cm="1">
        <f t="array" ref="R43">MMS_Dairy_AtmosphericDeposition_Equations.VEERG_4_3_1_5__2_TotalNitrogenVolatilisedFromMMS(R22,$E35)</f>
        <v>95.7378989058559</v>
      </c>
      <c r="S43" s="55" cm="1">
        <f t="array" ref="S43">MMS_Dairy_AtmosphericDeposition_Equations.VEERG_4_3_1_5__2_TotalNitrogenVolatilisedFromMMS(S22,$E35)</f>
        <v>38.131392665017792</v>
      </c>
      <c r="T43" s="55" cm="1">
        <f t="array" ref="T43">MMS_Dairy_AtmosphericDeposition_Equations.VEERG_4_3_1_5__2_TotalNitrogenVolatilisedFromMMS(T22,$E35)</f>
        <v>120.34632526343091</v>
      </c>
      <c r="U43" s="55" cm="1">
        <f t="array" ref="U43">MMS_Dairy_AtmosphericDeposition_Equations.VEERG_4_3_1_5__2_TotalNitrogenVolatilisedFromMMS(U22,$E35)</f>
        <v>50.380499966504082</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531.18045734565396</v>
      </c>
      <c r="G44" s="55" cm="1">
        <f t="array" ref="G44">MMS_Dairy_AtmosphericDeposition_Equations.VEERG_4_3_1_5__2_TotalNitrogenVolatilisedFromMMS(G23, $E32)</f>
        <v>206.56176976051336</v>
      </c>
      <c r="H44" s="55" cm="1">
        <f t="array" ref="H44">MMS_Dairy_AtmosphericDeposition_Equations.VEERG_4_3_1_5__2_TotalNitrogenVolatilisedFromMMS(H23, $E32)</f>
        <v>82.271368416644449</v>
      </c>
      <c r="I44" s="55" cm="1">
        <f t="array" ref="I44">MMS_Dairy_AtmosphericDeposition_Equations.VEERG_4_3_1_5__2_TotalNitrogenVolatilisedFromMMS(I23, $E32)</f>
        <v>259.65631390170546</v>
      </c>
      <c r="J44" s="55" cm="1">
        <f t="array" ref="J44">MMS_Dairy_AtmosphericDeposition_Equations.VEERG_4_3_1_5__2_TotalNitrogenVolatilisedFromMMS(J23, $E32)</f>
        <v>108.69974538227547</v>
      </c>
      <c r="K44" s="2"/>
      <c r="O44" s="55" t="str">
        <f>'Input - Dairy'!$D$67</f>
        <v>Feed pad</v>
      </c>
      <c r="P44" s="55" t="str">
        <f>'Input - Dairy'!$D$105</f>
        <v>Anaerobic lagoon</v>
      </c>
      <c r="Q44" s="55" cm="1">
        <f t="array" ref="Q44">MMS_Dairy_AtmosphericDeposition_Equations.VEERG_4_3_1_5__2_TotalNitrogenVolatilisedFromMMS(Q23, $E32)</f>
        <v>531.18045734565396</v>
      </c>
      <c r="R44" s="55" cm="1">
        <f t="array" ref="R44">MMS_Dairy_AtmosphericDeposition_Equations.VEERG_4_3_1_5__2_TotalNitrogenVolatilisedFromMMS(R23, $E32)</f>
        <v>206.56176976051336</v>
      </c>
      <c r="S44" s="55" cm="1">
        <f t="array" ref="S44">MMS_Dairy_AtmosphericDeposition_Equations.VEERG_4_3_1_5__2_TotalNitrogenVolatilisedFromMMS(S23, $E32)</f>
        <v>82.271368416644449</v>
      </c>
      <c r="T44" s="55" cm="1">
        <f t="array" ref="T44">MMS_Dairy_AtmosphericDeposition_Equations.VEERG_4_3_1_5__2_TotalNitrogenVolatilisedFromMMS(T23, $E32)</f>
        <v>259.65631390170546</v>
      </c>
      <c r="U44" s="55" cm="1">
        <f t="array" ref="U44">MMS_Dairy_AtmosphericDeposition_Equations.VEERG_4_3_1_5__2_TotalNitrogenVolatilisedFromMMS(U23, $E32)</f>
        <v>108.69974538227547</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405</v>
      </c>
      <c r="F47" s="55" cm="1">
        <f t="array" ref="F47">MMS_Dairy_AtmosphericDeposition_Equations.VEERG_4_3_1_5__2_TotalNitrogenVolatilisedFromMMS(F26, $E35)</f>
        <v>910.59506973540658</v>
      </c>
      <c r="G47" s="55" cm="1">
        <f t="array" ref="G47">MMS_Dairy_AtmosphericDeposition_Equations.VEERG_4_3_1_5__2_TotalNitrogenVolatilisedFromMMS(G26, $E35)</f>
        <v>354.10589101802276</v>
      </c>
      <c r="H47" s="55" cm="1">
        <f t="array" ref="H47">MMS_Dairy_AtmosphericDeposition_Equations.VEERG_4_3_1_5__2_TotalNitrogenVolatilisedFromMMS(H26, $E35)</f>
        <v>141.03663157139047</v>
      </c>
      <c r="I47" s="55" cm="1">
        <f t="array" ref="I47">MMS_Dairy_AtmosphericDeposition_Equations.VEERG_4_3_1_5__2_TotalNitrogenVolatilisedFromMMS(I26, $E35)</f>
        <v>445.12510954578079</v>
      </c>
      <c r="J47" s="55" cm="1">
        <f t="array" ref="J47">MMS_Dairy_AtmosphericDeposition_Equations.VEERG_4_3_1_5__2_TotalNitrogenVolatilisedFromMMS(J26, $E35)</f>
        <v>186.34242065532933</v>
      </c>
      <c r="K47" s="2"/>
      <c r="O47" s="55" t="str">
        <f>'Input - Dairy'!$D$67</f>
        <v>Feed pad</v>
      </c>
      <c r="P47" s="55" t="s">
        <v>405</v>
      </c>
      <c r="Q47" s="55" cm="1">
        <f t="array" ref="Q47">MMS_Dairy_AtmosphericDeposition_Equations.VEERG_4_3_1_5__2_TotalNitrogenVolatilisedFromMMS(Q26, $E35)</f>
        <v>910.59506973540658</v>
      </c>
      <c r="R47" s="55" cm="1">
        <f t="array" ref="R47">MMS_Dairy_AtmosphericDeposition_Equations.VEERG_4_3_1_5__2_TotalNitrogenVolatilisedFromMMS(R26, $E35)</f>
        <v>354.10589101802276</v>
      </c>
      <c r="S47" s="55" cm="1">
        <f t="array" ref="S47">MMS_Dairy_AtmosphericDeposition_Equations.VEERG_4_3_1_5__2_TotalNitrogenVolatilisedFromMMS(S26, $E35)</f>
        <v>141.03663157139047</v>
      </c>
      <c r="T47" s="55" cm="1">
        <f t="array" ref="T47">MMS_Dairy_AtmosphericDeposition_Equations.VEERG_4_3_1_5__2_TotalNitrogenVolatilisedFromMMS(T26, $E35)</f>
        <v>445.12510954578079</v>
      </c>
      <c r="U47" s="55" cm="1">
        <f t="array" ref="U47">MMS_Dairy_AtmosphericDeposition_Equations.VEERG_4_3_1_5__2_TotalNitrogenVolatilisedFromMMS(U26, $E35)</f>
        <v>186.34242065532933</v>
      </c>
      <c r="V47" s="2"/>
    </row>
    <row r="48" spans="4:22" ht="20.100000000000001" customHeight="1" x14ac:dyDescent="0.25"/>
    <row r="49" spans="1:23" ht="20.100000000000001" customHeight="1" x14ac:dyDescent="0.25">
      <c r="D49" s="118" t="s">
        <v>379</v>
      </c>
      <c r="E49" s="48">
        <f>SUM(F40:J47)</f>
        <v>5435.3605491662693</v>
      </c>
      <c r="F49" s="112" t="str">
        <f>$E$11</f>
        <v>kg N</v>
      </c>
      <c r="O49" s="118" t="s">
        <v>379</v>
      </c>
      <c r="P49" s="48">
        <f>SUM(Q40:U47)</f>
        <v>5435.3605491662693</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5435.3605491662693</v>
      </c>
      <c r="O61" s="60" t="str">
        <f>D61</f>
        <v>MN_ATMOS</v>
      </c>
      <c r="P61" s="61" t="str">
        <f>E61</f>
        <v>mass of N volatilised from MMS</v>
      </c>
      <c r="Q61" s="62"/>
      <c r="R61" s="60">
        <f>$P$49</f>
        <v>5435.3605491662693</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5.0393557091555838E-2</v>
      </c>
      <c r="F68" s="110" t="str">
        <f>$E$59</f>
        <v>t N2O</v>
      </c>
      <c r="O68" s="108" t="s">
        <v>324</v>
      </c>
      <c r="P68" s="109" cm="1">
        <f t="array" ref="P68">MMS_Dairy_AtmosphericDeposition_Equations.VEERG_4_3_1_5__1_AnnualAtmosphericDepositionEmissionsFromMMS($R$61,$I$62,$I$63)</f>
        <v>5.0393557091555838E-2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5.0393557091555838E-2</v>
      </c>
      <c r="O70" s="60" t="str" cm="1">
        <f t="array" ref="O70:P71">Common_Equations.Common_ConvertN2OToCO2e_Arguments()</f>
        <v>EN2O</v>
      </c>
      <c r="P70" s="61" t="str">
        <v>Nitrous oxide emissions (t N2O)</v>
      </c>
      <c r="Q70" s="111"/>
      <c r="R70" s="55">
        <f>P68</f>
        <v>5.0393557091555838E-2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13.354292629262297</v>
      </c>
      <c r="F73" s="112" t="str" cm="1">
        <f t="array" ref="F73">Common_Equations.Common_ConvertN2OToCO2e_Unit()</f>
        <v>t CO2e</v>
      </c>
      <c r="O73" s="48" t="s">
        <v>108</v>
      </c>
      <c r="P73" s="48" cm="1">
        <f t="array" ref="P73">Common_Equations.Common_ConvertN2OToCO2e(R70,R71)</f>
        <v>13.354292629262297</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Dairy'!$D$66</f>
        <v>Milking shed</v>
      </c>
      <c r="E23" s="55" t="s">
        <v>405</v>
      </c>
      <c r="F23" s="55">
        <f>'4.3.1.3-4 Direct N20'!F246</f>
        <v>820.64396500030807</v>
      </c>
      <c r="G23" s="55">
        <f>'4.3.1.3-4 Direct N20'!G246</f>
        <v>319.12632968618635</v>
      </c>
      <c r="H23" s="55">
        <f>'4.3.1.3-4 Direct N20'!H246</f>
        <v>127.10464221672598</v>
      </c>
      <c r="I23" s="55">
        <f>'4.3.1.3-4 Direct N20'!I246</f>
        <v>401.15441754476973</v>
      </c>
      <c r="J23" s="55">
        <f>'4.3.1.3-4 Direct N20'!J246</f>
        <v>167.93499988834694</v>
      </c>
      <c r="K23" s="2" t="str">
        <f>$H$13</f>
        <v>kg N</v>
      </c>
      <c r="O23" s="55" t="str">
        <f>'Input - Dairy'!$D$66</f>
        <v>Milking shed</v>
      </c>
      <c r="P23" s="55" t="s">
        <v>405</v>
      </c>
      <c r="Q23" s="55">
        <f>'4.3.1.3-4 Direct N20'!P246</f>
        <v>820.64396500030807</v>
      </c>
      <c r="R23" s="55">
        <f>'4.3.1.3-4 Direct N20'!Q246</f>
        <v>319.12632968618635</v>
      </c>
      <c r="S23" s="55">
        <f>'4.3.1.3-4 Direct N20'!R246</f>
        <v>127.10464221672598</v>
      </c>
      <c r="T23" s="55">
        <f>'4.3.1.3-4 Direct N20'!S246</f>
        <v>401.15441754476973</v>
      </c>
      <c r="U23" s="55">
        <f>'4.3.1.3-4 Direct N20'!T246</f>
        <v>167.93499988834694</v>
      </c>
      <c r="V23" s="2" t="str">
        <f>$H$13</f>
        <v>kg N</v>
      </c>
    </row>
    <row r="24" spans="1:22" ht="20.100000000000001" customHeight="1" x14ac:dyDescent="0.25">
      <c r="A24" s="17" t="str">
        <f>HYPERLINK("#'Constants - Common'!A1", "Constants - Common")</f>
        <v>Constants - Common</v>
      </c>
      <c r="D24" s="55" t="str">
        <f>'Input - Dairy'!$D$67</f>
        <v>Feed pad</v>
      </c>
      <c r="E24" s="55" t="s">
        <v>405</v>
      </c>
      <c r="F24" s="55">
        <f>'4.3.1.3-4 Direct N20'!F250</f>
        <v>3035.3168991180219</v>
      </c>
      <c r="G24" s="55">
        <f>'4.3.1.3-4 Direct N20'!G250</f>
        <v>1180.3529700600759</v>
      </c>
      <c r="H24" s="55">
        <f>'4.3.1.3-4 Direct N20'!H250</f>
        <v>470.12210523796824</v>
      </c>
      <c r="I24" s="55">
        <f>'4.3.1.3-4 Direct N20'!I250</f>
        <v>1483.7503651526026</v>
      </c>
      <c r="J24" s="55">
        <f>'4.3.1.3-4 Direct N20'!J250</f>
        <v>621.14140218443117</v>
      </c>
      <c r="K24" s="2"/>
      <c r="O24" s="55" t="str">
        <f>'Input - Dairy'!$D$67</f>
        <v>Feed pad</v>
      </c>
      <c r="P24" s="55" t="s">
        <v>405</v>
      </c>
      <c r="Q24" s="55">
        <f>'4.3.1.3-4 Direct N20'!P250</f>
        <v>3035.3168991180219</v>
      </c>
      <c r="R24" s="55">
        <f>'4.3.1.3-4 Direct N20'!Q250</f>
        <v>1180.3529700600759</v>
      </c>
      <c r="S24" s="55">
        <f>'4.3.1.3-4 Direct N20'!R250</f>
        <v>470.12210523796824</v>
      </c>
      <c r="T24" s="55">
        <f>'4.3.1.3-4 Direct N20'!S250</f>
        <v>1483.7503651526026</v>
      </c>
      <c r="U24" s="55">
        <f>'4.3.1.3-4 Direct N20'!T250</f>
        <v>621.14140218443117</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'Input - Dairy'!$D$66</f>
        <v>Milking shed</v>
      </c>
      <c r="E29" s="55" t="s">
        <v>405</v>
      </c>
      <c r="F29" s="55" cm="1">
        <f t="array" ref="F29">MMS_Dairy_LeachingAndRunoff_Equations.VEERG_4_3_1_6__2_MassOfNitrogenLostToLeachingAndRunoffFromSolidStorage(F23,$J$14,$J$15)</f>
        <v>16.412879300006161</v>
      </c>
      <c r="G29" s="55" cm="1">
        <f t="array" ref="G29">MMS_Dairy_LeachingAndRunoff_Equations.VEERG_4_3_1_6__2_MassOfNitrogenLostToLeachingAndRunoffFromSolidStorage(G23,$J$14,$J$15)</f>
        <v>6.3825265937237274</v>
      </c>
      <c r="H29" s="55" cm="1">
        <f t="array" ref="H29">MMS_Dairy_LeachingAndRunoff_Equations.VEERG_4_3_1_6__2_MassOfNitrogenLostToLeachingAndRunoffFromSolidStorage(H23,$J$14,$J$15)</f>
        <v>2.5420928443345194</v>
      </c>
      <c r="I29" s="55" cm="1">
        <f t="array" ref="I29">MMS_Dairy_LeachingAndRunoff_Equations.VEERG_4_3_1_6__2_MassOfNitrogenLostToLeachingAndRunoffFromSolidStorage(I23,$J$14,$J$15)</f>
        <v>8.0230883508953941</v>
      </c>
      <c r="J29" s="55" cm="1">
        <f t="array" ref="J29">MMS_Dairy_LeachingAndRunoff_Equations.VEERG_4_3_1_6__2_MassOfNitrogenLostToLeachingAndRunoffFromSolidStorage(J23,$J$14,$J$15)</f>
        <v>3.3586999977669389</v>
      </c>
      <c r="K29" s="2" t="str">
        <f>$E$11</f>
        <v>kg N</v>
      </c>
      <c r="O29" s="55" t="str">
        <f>'Input - Dairy'!$D$66</f>
        <v>Milking shed</v>
      </c>
      <c r="P29" s="55" t="s">
        <v>405</v>
      </c>
      <c r="Q29" s="55" cm="1">
        <f t="array" ref="Q29">MMS_Dairy_LeachingAndRunoff_Equations.VEERG_4_3_1_6__2_MassOfNitrogenLostToLeachingAndRunoffFromSolidStorage(Q23,$J$14,$J$15)</f>
        <v>16.412879300006161</v>
      </c>
      <c r="R29" s="55" cm="1">
        <f t="array" ref="R29">MMS_Dairy_LeachingAndRunoff_Equations.VEERG_4_3_1_6__2_MassOfNitrogenLostToLeachingAndRunoffFromSolidStorage(R23,$J$14,$J$15)</f>
        <v>6.3825265937237274</v>
      </c>
      <c r="S29" s="55" cm="1">
        <f t="array" ref="S29">MMS_Dairy_LeachingAndRunoff_Equations.VEERG_4_3_1_6__2_MassOfNitrogenLostToLeachingAndRunoffFromSolidStorage(S23,$J$14,$J$15)</f>
        <v>2.5420928443345194</v>
      </c>
      <c r="T29" s="55" cm="1">
        <f t="array" ref="T29">MMS_Dairy_LeachingAndRunoff_Equations.VEERG_4_3_1_6__2_MassOfNitrogenLostToLeachingAndRunoffFromSolidStorage(T23,$J$14,$J$15)</f>
        <v>8.0230883508953941</v>
      </c>
      <c r="U29" s="55" cm="1">
        <f t="array" ref="U29">MMS_Dairy_LeachingAndRunoff_Equations.VEERG_4_3_1_6__2_MassOfNitrogenLostToLeachingAndRunoffFromSolidStorage(U23,$J$14,$J$15)</f>
        <v>3.3586999977669389</v>
      </c>
      <c r="V29" s="2" t="str">
        <f>$E$11</f>
        <v>kg N</v>
      </c>
    </row>
    <row r="30" spans="1:22" ht="20.100000000000001" customHeight="1" x14ac:dyDescent="0.25">
      <c r="D30" s="55" t="str">
        <f>'Input - Dairy'!$D$67</f>
        <v>Feed pad</v>
      </c>
      <c r="E30" s="55" t="s">
        <v>405</v>
      </c>
      <c r="F30" s="55" cm="1">
        <f t="array" ref="F30">MMS_Dairy_LeachingAndRunoff_Equations.VEERG_4_3_1_6__2_MassOfNitrogenLostToLeachingAndRunoffFromSolidStorage(F24,$J$14,$J$15)</f>
        <v>60.706337982360438</v>
      </c>
      <c r="G30" s="55" cm="1">
        <f t="array" ref="G30">MMS_Dairy_LeachingAndRunoff_Equations.VEERG_4_3_1_6__2_MassOfNitrogenLostToLeachingAndRunoffFromSolidStorage(G24,$J$14,$J$15)</f>
        <v>23.607059401201518</v>
      </c>
      <c r="H30" s="55" cm="1">
        <f t="array" ref="H30">MMS_Dairy_LeachingAndRunoff_Equations.VEERG_4_3_1_6__2_MassOfNitrogenLostToLeachingAndRunoffFromSolidStorage(H24,$J$14,$J$15)</f>
        <v>9.4024421047593645</v>
      </c>
      <c r="I30" s="55" cm="1">
        <f t="array" ref="I30">MMS_Dairy_LeachingAndRunoff_Equations.VEERG_4_3_1_6__2_MassOfNitrogenLostToLeachingAndRunoffFromSolidStorage(I24,$J$14,$J$15)</f>
        <v>29.675007303052052</v>
      </c>
      <c r="J30" s="55" cm="1">
        <f t="array" ref="J30">MMS_Dairy_LeachingAndRunoff_Equations.VEERG_4_3_1_6__2_MassOfNitrogenLostToLeachingAndRunoffFromSolidStorage(J24,$J$14,$J$15)</f>
        <v>12.422828043688623</v>
      </c>
      <c r="K30" s="2"/>
      <c r="O30" s="55" t="str">
        <f>'Input - Dairy'!$D$67</f>
        <v>Feed pad</v>
      </c>
      <c r="P30" s="55" t="s">
        <v>405</v>
      </c>
      <c r="Q30" s="55" cm="1">
        <f t="array" ref="Q30">MMS_Dairy_LeachingAndRunoff_Equations.VEERG_4_3_1_6__2_MassOfNitrogenLostToLeachingAndRunoffFromSolidStorage(Q24,$J$14,$J$15)</f>
        <v>60.706337982360438</v>
      </c>
      <c r="R30" s="55" cm="1">
        <f t="array" ref="R30">MMS_Dairy_LeachingAndRunoff_Equations.VEERG_4_3_1_6__2_MassOfNitrogenLostToLeachingAndRunoffFromSolidStorage(R24,$J$14,$J$15)</f>
        <v>23.607059401201518</v>
      </c>
      <c r="S30" s="55" cm="1">
        <f t="array" ref="S30">MMS_Dairy_LeachingAndRunoff_Equations.VEERG_4_3_1_6__2_MassOfNitrogenLostToLeachingAndRunoffFromSolidStorage(S24,$J$14,$J$15)</f>
        <v>9.4024421047593645</v>
      </c>
      <c r="T30" s="55" cm="1">
        <f t="array" ref="T30">MMS_Dairy_LeachingAndRunoff_Equations.VEERG_4_3_1_6__2_MassOfNitrogenLostToLeachingAndRunoffFromSolidStorage(T24,$J$14,$J$15)</f>
        <v>29.675007303052052</v>
      </c>
      <c r="U30" s="55" cm="1">
        <f t="array" ref="U30">MMS_Dairy_LeachingAndRunoff_Equations.VEERG_4_3_1_6__2_MassOfNitrogenLostToLeachingAndRunoffFromSolidStorage(U24,$J$14,$J$15)</f>
        <v>12.422828043688623</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'Input - Dairy'!$D$66</f>
        <v>Milking shed</v>
      </c>
      <c r="E49" s="55" t="s">
        <v>405</v>
      </c>
      <c r="F49" s="55" cm="1">
        <f t="array" ref="F49">MMS_Dairy_LeachingAndRunoff_Equations.VEERG_4_3_1_6__1_AnnualEmissionsFromLeachingAndRunoffFromMMS(F29,$I$43,$I$44)</f>
        <v>2.8370834218582078E-4</v>
      </c>
      <c r="G49" s="55" cm="1">
        <f t="array" ref="G49">MMS_Dairy_LeachingAndRunoff_Equations.VEERG_4_3_1_6__1_AnnualEmissionsFromLeachingAndRunoffFromMMS(G29,$I$43,$I$44)</f>
        <v>1.1032653112008158E-4</v>
      </c>
      <c r="H49" s="55" cm="1">
        <f t="array" ref="H49">MMS_Dairy_LeachingAndRunoff_Equations.VEERG_4_3_1_6__1_AnnualEmissionsFromLeachingAndRunoffFromMMS(H29,$I$43,$I$44)</f>
        <v>4.3941890594925259E-5</v>
      </c>
      <c r="I49" s="55" cm="1">
        <f t="array" ref="I49">MMS_Dairy_LeachingAndRunoff_Equations.VEERG_4_3_1_6__1_AnnualEmissionsFromLeachingAndRunoffFromMMS(I29,$I$43,$I$44)</f>
        <v>1.3868481292262039E-4</v>
      </c>
      <c r="J49" s="55" cm="1">
        <f t="array" ref="J49">MMS_Dairy_LeachingAndRunoff_Equations.VEERG_4_3_1_6__1_AnnualEmissionsFromLeachingAndRunoffFromMMS(J29,$I$43,$I$44)</f>
        <v>5.8057528532828516E-5</v>
      </c>
      <c r="K49" s="2" t="str">
        <f>$E$40</f>
        <v>t N2O</v>
      </c>
      <c r="O49" s="55" t="str">
        <f>'Input - Dairy'!$D$66</f>
        <v>Milking shed</v>
      </c>
      <c r="P49" s="55" t="s">
        <v>405</v>
      </c>
      <c r="Q49" s="55" cm="1">
        <f t="array" ref="Q49">MMS_Dairy_LeachingAndRunoff_Equations.VEERG_4_3_1_6__1_AnnualEmissionsFromLeachingAndRunoffFromMMS(Q29,$I$43,$I$44)</f>
        <v>2.8370834218582078E-4</v>
      </c>
      <c r="R49" s="55" cm="1">
        <f t="array" ref="R49">MMS_Dairy_LeachingAndRunoff_Equations.VEERG_4_3_1_6__1_AnnualEmissionsFromLeachingAndRunoffFromMMS(R29,$I$43,$I$44)</f>
        <v>1.1032653112008158E-4</v>
      </c>
      <c r="S49" s="55" cm="1">
        <f t="array" ref="S49">MMS_Dairy_LeachingAndRunoff_Equations.VEERG_4_3_1_6__1_AnnualEmissionsFromLeachingAndRunoffFromMMS(S29,$I$43,$I$44)</f>
        <v>4.3941890594925259E-5</v>
      </c>
      <c r="T49" s="55" cm="1">
        <f t="array" ref="T49">MMS_Dairy_LeachingAndRunoff_Equations.VEERG_4_3_1_6__1_AnnualEmissionsFromLeachingAndRunoffFromMMS(T29,$I$43,$I$44)</f>
        <v>1.3868481292262039E-4</v>
      </c>
      <c r="U49" s="55" cm="1">
        <f t="array" ref="U49">MMS_Dairy_LeachingAndRunoff_Equations.VEERG_4_3_1_6__1_AnnualEmissionsFromLeachingAndRunoffFromMMS(U29,$I$43,$I$44)</f>
        <v>5.8057528532828516E-5</v>
      </c>
      <c r="V49" s="2" t="str">
        <f>$E$40</f>
        <v>t N2O</v>
      </c>
    </row>
    <row r="50" spans="1:22" ht="20.100000000000001" customHeight="1" x14ac:dyDescent="0.25">
      <c r="D50" s="55" t="str">
        <f>'Input - Dairy'!$D$67</f>
        <v>Feed pad</v>
      </c>
      <c r="E50" s="55" t="s">
        <v>405</v>
      </c>
      <c r="F50" s="55" cm="1">
        <f t="array" ref="F50">MMS_Dairy_LeachingAndRunoff_Equations.VEERG_4_3_1_6__1_AnnualEmissionsFromLeachingAndRunoffFromMMS(F30,$I$43,$I$44)</f>
        <v>1.0493524136950874E-3</v>
      </c>
      <c r="G50" s="55" cm="1">
        <f t="array" ref="G50">MMS_Dairy_LeachingAndRunoff_Equations.VEERG_4_3_1_6__1_AnnualEmissionsFromLeachingAndRunoffFromMMS(G30,$I$43,$I$44)</f>
        <v>4.0806488393505479E-4</v>
      </c>
      <c r="H50" s="55" cm="1">
        <f t="array" ref="H50">MMS_Dairy_LeachingAndRunoff_Equations.VEERG_4_3_1_6__1_AnnualEmissionsFromLeachingAndRunoffFromMMS(H30,$I$43,$I$44)</f>
        <v>1.625279278108404E-4</v>
      </c>
      <c r="I50" s="55" cm="1">
        <f t="array" ref="I50">MMS_Dairy_LeachingAndRunoff_Equations.VEERG_4_3_1_6__1_AnnualEmissionsFromLeachingAndRunoffFromMMS(I30,$I$43,$I$44)</f>
        <v>5.1295369766704254E-4</v>
      </c>
      <c r="J50" s="55" cm="1">
        <f t="array" ref="J50">MMS_Dairy_LeachingAndRunoff_Equations.VEERG_4_3_1_6__1_AnnualEmissionsFromLeachingAndRunoffFromMMS(J30,$I$43,$I$44)</f>
        <v>2.1473745618376047E-4</v>
      </c>
      <c r="K50" s="2"/>
      <c r="O50" s="55" t="str">
        <f>'Input - Dairy'!$D$67</f>
        <v>Feed pad</v>
      </c>
      <c r="P50" s="55" t="s">
        <v>405</v>
      </c>
      <c r="Q50" s="55" cm="1">
        <f t="array" ref="Q50">MMS_Dairy_LeachingAndRunoff_Equations.VEERG_4_3_1_6__1_AnnualEmissionsFromLeachingAndRunoffFromMMS(Q30,$I$43,$I$44)</f>
        <v>1.0493524136950874E-3</v>
      </c>
      <c r="R50" s="55" cm="1">
        <f t="array" ref="R50">MMS_Dairy_LeachingAndRunoff_Equations.VEERG_4_3_1_6__1_AnnualEmissionsFromLeachingAndRunoffFromMMS(R30,$I$43,$I$44)</f>
        <v>4.0806488393505479E-4</v>
      </c>
      <c r="S50" s="55" cm="1">
        <f t="array" ref="S50">MMS_Dairy_LeachingAndRunoff_Equations.VEERG_4_3_1_6__1_AnnualEmissionsFromLeachingAndRunoffFromMMS(S30,$I$43,$I$44)</f>
        <v>1.625279278108404E-4</v>
      </c>
      <c r="T50" s="55" cm="1">
        <f t="array" ref="T50">MMS_Dairy_LeachingAndRunoff_Equations.VEERG_4_3_1_6__1_AnnualEmissionsFromLeachingAndRunoffFromMMS(T30,$I$43,$I$44)</f>
        <v>5.1295369766704254E-4</v>
      </c>
      <c r="U50" s="55" cm="1">
        <f t="array" ref="U50">MMS_Dairy_LeachingAndRunoff_Equations.VEERG_4_3_1_6__1_AnnualEmissionsFromLeachingAndRunoffFromMMS(U30,$I$43,$I$44)</f>
        <v>2.1473745618376047E-4</v>
      </c>
      <c r="V50" s="2"/>
    </row>
    <row r="51" spans="1:22" ht="20.100000000000001" customHeight="1" x14ac:dyDescent="0.25"/>
    <row r="52" spans="1:22" ht="20.100000000000001" customHeight="1" x14ac:dyDescent="0.25">
      <c r="D52" s="108" t="s">
        <v>324</v>
      </c>
      <c r="E52" s="109">
        <f>SUM(F49:J50)</f>
        <v>2.9823554846480625E-3</v>
      </c>
      <c r="F52" s="110" t="str">
        <f>$E$40</f>
        <v>t N2O</v>
      </c>
      <c r="O52" s="108" t="s">
        <v>324</v>
      </c>
      <c r="P52" s="109">
        <f>SUM(Q49:U50)</f>
        <v>2.9823554846480625E-3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2.9823554846480625E-3</v>
      </c>
      <c r="O54" s="60" t="str" cm="1">
        <f t="array" ref="O54:P55">Common_Equations.Common_ConvertN2OToCO2e_Arguments()</f>
        <v>EN2O</v>
      </c>
      <c r="P54" s="61" t="str">
        <v>Nitrous oxide emissions (t N2O)</v>
      </c>
      <c r="Q54" s="111"/>
      <c r="R54" s="55">
        <f>P$52</f>
        <v>2.9823554846480625E-3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0.79032420343173659</v>
      </c>
      <c r="F57" s="112" t="str" cm="1">
        <f t="array" ref="F57">Common_Equations.Common_ConvertN2OToCO2e_Unit()</f>
        <v>t CO2e</v>
      </c>
      <c r="O57" s="48" t="s">
        <v>108</v>
      </c>
      <c r="P57" s="48" cm="1">
        <f t="array" ref="P57">Common_Equations.Common_ConvertN2OToCO2e(R54,R55)</f>
        <v>0.79032420343173659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'Input - Dairy'!$D$66</f>
        <v>Milking shed</v>
      </c>
      <c r="E40" s="55" t="str">
        <f>'Input - Dairy'!$D$81</f>
        <v>Anaerobic lagoon</v>
      </c>
      <c r="F40" s="55">
        <f>'4.3.1.3-4 Direct N20'!F243</f>
        <v>586.17426071450575</v>
      </c>
      <c r="G40" s="55">
        <f>'4.3.1.3-4 Direct N20'!G243</f>
        <v>227.94737834727596</v>
      </c>
      <c r="H40" s="55">
        <f>'4.3.1.3-4 Direct N20'!H243</f>
        <v>90.78903015480428</v>
      </c>
      <c r="I40" s="55">
        <f>'4.3.1.3-4 Direct N20'!I243</f>
        <v>286.53886967483555</v>
      </c>
      <c r="J40" s="55">
        <f>'4.3.1.3-4 Direct N20'!J243</f>
        <v>119.95357134881925</v>
      </c>
      <c r="K40" s="2" t="str">
        <f>$G$13</f>
        <v>kg N</v>
      </c>
      <c r="M40"/>
      <c r="O40" s="55" t="str">
        <f>'Input - Dairy'!$D$66</f>
        <v>Milking shed</v>
      </c>
      <c r="P40" s="55" t="str">
        <f>'Input - Dairy'!$D$81</f>
        <v>Anaerobic lagoon</v>
      </c>
      <c r="Q40" s="55">
        <f>'4.3.1.3-4 Direct N20'!P243</f>
        <v>586.17426071450575</v>
      </c>
      <c r="R40" s="55">
        <f>'4.3.1.3-4 Direct N20'!Q243</f>
        <v>227.94737834727596</v>
      </c>
      <c r="S40" s="55">
        <f>'4.3.1.3-4 Direct N20'!R243</f>
        <v>90.78903015480428</v>
      </c>
      <c r="T40" s="55">
        <f>'4.3.1.3-4 Direct N20'!S243</f>
        <v>286.53886967483555</v>
      </c>
      <c r="U40" s="55">
        <f>'4.3.1.3-4 Direct N20'!T243</f>
        <v>119.95357134881925</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405</v>
      </c>
      <c r="F43" s="55">
        <f>'4.3.1.3-4 Direct N20'!F246</f>
        <v>820.64396500030807</v>
      </c>
      <c r="G43" s="55">
        <f>'4.3.1.3-4 Direct N20'!G246</f>
        <v>319.12632968618635</v>
      </c>
      <c r="H43" s="55">
        <f>'4.3.1.3-4 Direct N20'!H246</f>
        <v>127.10464221672598</v>
      </c>
      <c r="I43" s="55">
        <f>'4.3.1.3-4 Direct N20'!I246</f>
        <v>401.15441754476973</v>
      </c>
      <c r="J43" s="55">
        <f>'4.3.1.3-4 Direct N20'!J246</f>
        <v>167.93499988834694</v>
      </c>
      <c r="K43" s="2"/>
      <c r="M43"/>
      <c r="O43" s="55" t="str">
        <f>'Input - Dairy'!$D$66</f>
        <v>Milking shed</v>
      </c>
      <c r="P43" s="55" t="s">
        <v>405</v>
      </c>
      <c r="Q43" s="55">
        <f>'4.3.1.3-4 Direct N20'!P246</f>
        <v>820.64396500030807</v>
      </c>
      <c r="R43" s="55">
        <f>'4.3.1.3-4 Direct N20'!Q246</f>
        <v>319.12632968618635</v>
      </c>
      <c r="S43" s="55">
        <f>'4.3.1.3-4 Direct N20'!R246</f>
        <v>127.10464221672598</v>
      </c>
      <c r="T43" s="55">
        <f>'4.3.1.3-4 Direct N20'!S246</f>
        <v>401.15441754476973</v>
      </c>
      <c r="U43" s="55">
        <f>'4.3.1.3-4 Direct N20'!T246</f>
        <v>167.93499988834694</v>
      </c>
      <c r="V43" s="2"/>
    </row>
    <row r="44" spans="1:22" ht="20.100000000000001" customHeight="1" x14ac:dyDescent="0.25">
      <c r="D44" s="55" t="str">
        <f>'Input - Dairy'!$D$67</f>
        <v>Feed pad</v>
      </c>
      <c r="E44" s="55" t="str">
        <f>'Input - Dairy'!$D$105</f>
        <v>Anaerobic lagoon</v>
      </c>
      <c r="F44" s="55">
        <f>'4.3.1.3-4 Direct N20'!F247</f>
        <v>1517.6584495590114</v>
      </c>
      <c r="G44" s="55">
        <f>'4.3.1.3-4 Direct N20'!G247</f>
        <v>590.17648503003818</v>
      </c>
      <c r="H44" s="55">
        <f>'4.3.1.3-4 Direct N20'!H247</f>
        <v>235.06105261898415</v>
      </c>
      <c r="I44" s="55">
        <f>'4.3.1.3-4 Direct N20'!I247</f>
        <v>741.87518257630143</v>
      </c>
      <c r="J44" s="55">
        <f>'4.3.1.3-4 Direct N20'!J247</f>
        <v>310.57070109221564</v>
      </c>
      <c r="K44" s="2"/>
      <c r="M44"/>
      <c r="O44" s="55" t="str">
        <f>'Input - Dairy'!$D$67</f>
        <v>Feed pad</v>
      </c>
      <c r="P44" s="55" t="str">
        <f>'Input - Dairy'!$D$105</f>
        <v>Anaerobic lagoon</v>
      </c>
      <c r="Q44" s="55">
        <f>'4.3.1.3-4 Direct N20'!P247</f>
        <v>1517.6584495590114</v>
      </c>
      <c r="R44" s="55">
        <f>'4.3.1.3-4 Direct N20'!Q247</f>
        <v>590.17648503003818</v>
      </c>
      <c r="S44" s="55">
        <f>'4.3.1.3-4 Direct N20'!R247</f>
        <v>235.06105261898415</v>
      </c>
      <c r="T44" s="55">
        <f>'4.3.1.3-4 Direct N20'!S247</f>
        <v>741.87518257630143</v>
      </c>
      <c r="U44" s="55">
        <f>'4.3.1.3-4 Direct N20'!T247</f>
        <v>310.57070109221564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405</v>
      </c>
      <c r="F47" s="55">
        <f>'4.3.1.3-4 Direct N20'!F250</f>
        <v>3035.3168991180219</v>
      </c>
      <c r="G47" s="55">
        <f>'4.3.1.3-4 Direct N20'!G250</f>
        <v>1180.3529700600759</v>
      </c>
      <c r="H47" s="55">
        <f>'4.3.1.3-4 Direct N20'!H250</f>
        <v>470.12210523796824</v>
      </c>
      <c r="I47" s="55">
        <f>'4.3.1.3-4 Direct N20'!I250</f>
        <v>1483.7503651526026</v>
      </c>
      <c r="J47" s="55">
        <f>'4.3.1.3-4 Direct N20'!J250</f>
        <v>621.14140218443117</v>
      </c>
      <c r="K47" s="2"/>
      <c r="M47"/>
      <c r="O47" s="55" t="str">
        <f>'Input - Dairy'!$D$67</f>
        <v>Feed pad</v>
      </c>
      <c r="P47" s="55" t="s">
        <v>405</v>
      </c>
      <c r="Q47" s="55">
        <f>'4.3.1.3-4 Direct N20'!P250</f>
        <v>3035.3168991180219</v>
      </c>
      <c r="R47" s="55">
        <f>'4.3.1.3-4 Direct N20'!Q250</f>
        <v>1180.3529700600759</v>
      </c>
      <c r="S47" s="55">
        <f>'4.3.1.3-4 Direct N20'!R250</f>
        <v>470.12210523796824</v>
      </c>
      <c r="T47" s="55">
        <f>'4.3.1.3-4 Direct N20'!S250</f>
        <v>1483.7503651526026</v>
      </c>
      <c r="U47" s="55">
        <f>'4.3.1.3-4 Direct N20'!T250</f>
        <v>621.14140218443117</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405</v>
      </c>
      <c r="F55" s="55">
        <f>'4.3.1.6-7 Leaching and runoff'!F29</f>
        <v>16.412879300006161</v>
      </c>
      <c r="G55" s="55">
        <f>'4.3.1.6-7 Leaching and runoff'!G29</f>
        <v>6.3825265937237274</v>
      </c>
      <c r="H55" s="55">
        <f>'4.3.1.6-7 Leaching and runoff'!H29</f>
        <v>2.5420928443345194</v>
      </c>
      <c r="I55" s="55">
        <f>'4.3.1.6-7 Leaching and runoff'!I29</f>
        <v>8.0230883508953941</v>
      </c>
      <c r="J55" s="55">
        <f>'4.3.1.6-7 Leaching and runoff'!J29</f>
        <v>3.3586999977669389</v>
      </c>
      <c r="K55" s="2"/>
      <c r="O55" s="55" t="str">
        <f>'Input - Dairy'!$D$66</f>
        <v>Milking shed</v>
      </c>
      <c r="P55" s="55" t="s">
        <v>405</v>
      </c>
      <c r="Q55" s="55">
        <f>'4.3.1.6-7 Leaching and runoff'!Q29</f>
        <v>16.412879300006161</v>
      </c>
      <c r="R55" s="55">
        <f>'4.3.1.6-7 Leaching and runoff'!R29</f>
        <v>6.3825265937237274</v>
      </c>
      <c r="S55" s="55">
        <f>'4.3.1.6-7 Leaching and runoff'!S29</f>
        <v>2.5420928443345194</v>
      </c>
      <c r="T55" s="55">
        <f>'4.3.1.6-7 Leaching and runoff'!T29</f>
        <v>8.0230883508953941</v>
      </c>
      <c r="U55" s="55">
        <f>'4.3.1.6-7 Leaching and runoff'!U29</f>
        <v>3.3586999977669389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405</v>
      </c>
      <c r="F59" s="55">
        <f>'4.3.1.6-7 Leaching and runoff'!F30</f>
        <v>60.706337982360438</v>
      </c>
      <c r="G59" s="55">
        <f>'4.3.1.6-7 Leaching and runoff'!G30</f>
        <v>23.607059401201518</v>
      </c>
      <c r="H59" s="55">
        <f>'4.3.1.6-7 Leaching and runoff'!H30</f>
        <v>9.4024421047593645</v>
      </c>
      <c r="I59" s="55">
        <f>'4.3.1.6-7 Leaching and runoff'!I30</f>
        <v>29.675007303052052</v>
      </c>
      <c r="J59" s="55">
        <f>'4.3.1.6-7 Leaching and runoff'!J30</f>
        <v>12.422828043688623</v>
      </c>
      <c r="K59" s="2"/>
      <c r="O59" s="55" t="str">
        <f>'Input - Dairy'!$D$67</f>
        <v>Feed pad</v>
      </c>
      <c r="P59" s="55" t="s">
        <v>405</v>
      </c>
      <c r="Q59" s="55">
        <f>'4.3.1.6-7 Leaching and runoff'!Q30</f>
        <v>60.706337982360438</v>
      </c>
      <c r="R59" s="55">
        <f>'4.3.1.6-7 Leaching and runoff'!R30</f>
        <v>23.607059401201518</v>
      </c>
      <c r="S59" s="55">
        <f>'4.3.1.6-7 Leaching and runoff'!S30</f>
        <v>9.4024421047593645</v>
      </c>
      <c r="T59" s="55">
        <f>'4.3.1.6-7 Leaching and runoff'!T30</f>
        <v>29.675007303052052</v>
      </c>
      <c r="U59" s="55">
        <f>'4.3.1.6-7 Leaching and runoff'!U30</f>
        <v>12.422828043688623</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285.75995209832155</v>
      </c>
      <c r="G76" s="55" cm="1">
        <f t="array" ref="G76">MMS_Dairy_ManureAppliedToSoils_Equations.VEERG_4_3_1_8__1_MassOfNitrogenAppliedToSoilsScope1(G40,_xlfn.XLOOKUP($E76,$D$22:$D$26,$E$22:$E$26),_xlfn.XLOOKUP($E76, $D$31:$D$35,$E$31:$E$35),G52,$F64)</f>
        <v>111.12434694429703</v>
      </c>
      <c r="H76" s="55" cm="1">
        <f t="array" ref="H76">MMS_Dairy_ManureAppliedToSoils_Equations.VEERG_4_3_1_8__1_MassOfNitrogenAppliedToSoilsScope1(H40,_xlfn.XLOOKUP($E76,$D$22:$D$26,$E$22:$E$26),_xlfn.XLOOKUP($E76, $D$31:$D$35,$E$31:$E$35),H52,$F64)</f>
        <v>44.259652200467087</v>
      </c>
      <c r="I76" s="55" cm="1">
        <f t="array" ref="I76">MMS_Dairy_ManureAppliedToSoils_Equations.VEERG_4_3_1_8__1_MassOfNitrogenAppliedToSoilsScope1(I40,_xlfn.XLOOKUP($E76,$D$22:$D$26,$E$22:$E$26),_xlfn.XLOOKUP($E76, $D$31:$D$35,$E$31:$E$35),I52,$F64)</f>
        <v>139.68769896648234</v>
      </c>
      <c r="J76" s="55" cm="1">
        <f t="array" ref="J76">MMS_Dairy_ManureAppliedToSoils_Equations.VEERG_4_3_1_8__1_MassOfNitrogenAppliedToSoilsScope1(J40,_xlfn.XLOOKUP($E76,$D$22:$D$26,$E$22:$E$26),_xlfn.XLOOKUP($E76, $D$31:$D$35,$E$31:$E$35),J52,$F64)</f>
        <v>58.477366032549384</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285.75995209832155</v>
      </c>
      <c r="R76" s="55" cm="1">
        <f t="array" ref="R76">MMS_Dairy_ManureAppliedToSoils_Equations.VEERG_4_3_1_8__1_MassOfNitrogenAppliedToSoilsScope1(R40,_xlfn.XLOOKUP($P76,$D$22:$D$26,$E$22:$E$26),_xlfn.XLOOKUP($P76, $D$31:$D$35,$E$31:$E$35),R52,$F64)</f>
        <v>111.12434694429703</v>
      </c>
      <c r="S76" s="55" cm="1">
        <f t="array" ref="S76">MMS_Dairy_ManureAppliedToSoils_Equations.VEERG_4_3_1_8__1_MassOfNitrogenAppliedToSoilsScope1(S40,_xlfn.XLOOKUP($P76,$D$22:$D$26,$E$22:$E$26),_xlfn.XLOOKUP($P76, $D$31:$D$35,$E$31:$E$35),S52,$F64)</f>
        <v>44.259652200467087</v>
      </c>
      <c r="T76" s="55" cm="1">
        <f t="array" ref="T76">MMS_Dairy_ManureAppliedToSoils_Equations.VEERG_4_3_1_8__1_MassOfNitrogenAppliedToSoilsScope1(T40,_xlfn.XLOOKUP($P76,$D$22:$D$26,$E$22:$E$26),_xlfn.XLOOKUP($P76, $D$31:$D$35,$E$31:$E$35),T52,$F64)</f>
        <v>139.68769896648234</v>
      </c>
      <c r="U76" s="55" cm="1">
        <f t="array" ref="U76">MMS_Dairy_ManureAppliedToSoils_Equations.VEERG_4_3_1_8__1_MassOfNitrogenAppliedToSoilsScope1(U40,_xlfn.XLOOKUP($P76,$D$22:$D$26,$E$22:$E$26),_xlfn.XLOOKUP($P76, $D$31:$D$35,$E$31:$E$35),U52,$F64)</f>
        <v>58.477366032549384</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405</v>
      </c>
      <c r="F79" s="55" cm="1">
        <f t="array" ref="F79">MMS_Dairy_ManureAppliedToSoils_Equations.VEERG_4_3_1_8__1_MassOfNitrogenAppliedToSoilsScope1(F43,_xlfn.XLOOKUP($E79,$D$22:$D$26,$E$22:$E$26),_xlfn.XLOOKUP($E79, $D$31:$D$35,$E$31:$E$35),F55,$F67)</f>
        <v>415.45100728140602</v>
      </c>
      <c r="G79" s="55" cm="1">
        <f t="array" ref="G79">MMS_Dairy_ManureAppliedToSoils_Equations.VEERG_4_3_1_8__1_MassOfNitrogenAppliedToSoilsScope1(G43,_xlfn.XLOOKUP($E79,$D$22:$D$26,$E$22:$E$26),_xlfn.XLOOKUP($E79, $D$31:$D$35,$E$31:$E$35),G55,$F67)</f>
        <v>161.55770440363185</v>
      </c>
      <c r="H79" s="55" cm="1">
        <f t="array" ref="H79">MMS_Dairy_ManureAppliedToSoils_Equations.VEERG_4_3_1_8__1_MassOfNitrogenAppliedToSoilsScope1(H43,_xlfn.XLOOKUP($E79,$D$22:$D$26,$E$22:$E$26),_xlfn.XLOOKUP($E79, $D$31:$D$35,$E$31:$E$35),H55,$F67)</f>
        <v>64.346725122217521</v>
      </c>
      <c r="I79" s="55" cm="1">
        <f t="array" ref="I79">MMS_Dairy_ManureAppliedToSoils_Equations.VEERG_4_3_1_8__1_MassOfNitrogenAppliedToSoilsScope1(I43,_xlfn.XLOOKUP($E79,$D$22:$D$26,$E$22:$E$26),_xlfn.XLOOKUP($E79, $D$31:$D$35,$E$31:$E$35),I55,$F67)</f>
        <v>203.08442388203969</v>
      </c>
      <c r="J79" s="55" cm="1">
        <f t="array" ref="J79">MMS_Dairy_ManureAppliedToSoils_Equations.VEERG_4_3_1_8__1_MassOfNitrogenAppliedToSoilsScope1(J43,_xlfn.XLOOKUP($E79,$D$22:$D$26,$E$22:$E$26),_xlfn.XLOOKUP($E79, $D$31:$D$35,$E$31:$E$35),J55,$F67)</f>
        <v>85.017093693475658</v>
      </c>
      <c r="K79" s="2"/>
      <c r="O79" s="55" t="str">
        <f>'Input - Dairy'!$D$66</f>
        <v>Milking shed</v>
      </c>
      <c r="P79" s="55" t="s">
        <v>405</v>
      </c>
      <c r="Q79" s="55" cm="1">
        <f t="array" ref="Q79">MMS_Dairy_ManureAppliedToSoils_Equations.VEERG_4_3_1_8__1_MassOfNitrogenAppliedToSoilsScope1(Q43,_xlfn.XLOOKUP($P79,$D$22:$D$26,$E$22:$E$26),_xlfn.XLOOKUP($P79, $D$31:$D$35,$E$31:$E$35),Q55,$F67)</f>
        <v>415.45100728140602</v>
      </c>
      <c r="R79" s="55" cm="1">
        <f t="array" ref="R79">MMS_Dairy_ManureAppliedToSoils_Equations.VEERG_4_3_1_8__1_MassOfNitrogenAppliedToSoilsScope1(R43,_xlfn.XLOOKUP($P79,$D$22:$D$26,$E$22:$E$26),_xlfn.XLOOKUP($P79, $D$31:$D$35,$E$31:$E$35),R55,$F67)</f>
        <v>161.55770440363185</v>
      </c>
      <c r="S79" s="55" cm="1">
        <f t="array" ref="S79">MMS_Dairy_ManureAppliedToSoils_Equations.VEERG_4_3_1_8__1_MassOfNitrogenAppliedToSoilsScope1(S43,_xlfn.XLOOKUP($P79,$D$22:$D$26,$E$22:$E$26),_xlfn.XLOOKUP($P79, $D$31:$D$35,$E$31:$E$35),S55,$F67)</f>
        <v>64.346725122217521</v>
      </c>
      <c r="T79" s="55" cm="1">
        <f t="array" ref="T79">MMS_Dairy_ManureAppliedToSoils_Equations.VEERG_4_3_1_8__1_MassOfNitrogenAppliedToSoilsScope1(T43,_xlfn.XLOOKUP($P79,$D$22:$D$26,$E$22:$E$26),_xlfn.XLOOKUP($P79, $D$31:$D$35,$E$31:$E$35),T55,$F67)</f>
        <v>203.08442388203969</v>
      </c>
      <c r="U79" s="55" cm="1">
        <f t="array" ref="U79">MMS_Dairy_ManureAppliedToSoils_Equations.VEERG_4_3_1_8__1_MassOfNitrogenAppliedToSoilsScope1(U43,_xlfn.XLOOKUP($P79,$D$22:$D$26,$E$22:$E$26),_xlfn.XLOOKUP($P79, $D$31:$D$35,$E$31:$E$35),U55,$F67)</f>
        <v>85.017093693475658</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739.85849416001804</v>
      </c>
      <c r="G80" s="55" cm="1">
        <f t="array" ref="G80">MMS_Dairy_ManureAppliedToSoils_Equations.VEERG_4_3_1_8__1_MassOfNitrogenAppliedToSoilsScope1(G44,_xlfn.XLOOKUP($E80,$D$22:$D$26,$E$22:$E$26),_xlfn.XLOOKUP($E80, $D$31:$D$35,$E$31:$E$35),G56,$F68)</f>
        <v>287.71103645214362</v>
      </c>
      <c r="H80" s="55" cm="1">
        <f t="array" ref="H80">MMS_Dairy_ManureAppliedToSoils_Equations.VEERG_4_3_1_8__1_MassOfNitrogenAppliedToSoilsScope1(H44,_xlfn.XLOOKUP($E80,$D$22:$D$26,$E$22:$E$26),_xlfn.XLOOKUP($E80, $D$31:$D$35,$E$31:$E$35),H56,$F68)</f>
        <v>114.59226315175479</v>
      </c>
      <c r="I80" s="55" cm="1">
        <f t="array" ref="I80">MMS_Dairy_ManureAppliedToSoils_Equations.VEERG_4_3_1_8__1_MassOfNitrogenAppliedToSoilsScope1(I44,_xlfn.XLOOKUP($E80,$D$22:$D$26,$E$22:$E$26),_xlfn.XLOOKUP($E80, $D$31:$D$35,$E$31:$E$35),I56,$F68)</f>
        <v>361.66415150594696</v>
      </c>
      <c r="J80" s="55" cm="1">
        <f t="array" ref="J80">MMS_Dairy_ManureAppliedToSoils_Equations.VEERG_4_3_1_8__1_MassOfNitrogenAppliedToSoilsScope1(J44,_xlfn.XLOOKUP($E80,$D$22:$D$26,$E$22:$E$26),_xlfn.XLOOKUP($E80, $D$31:$D$35,$E$31:$E$35),J56,$F68)</f>
        <v>151.40321678245513</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739.85849416001804</v>
      </c>
      <c r="R80" s="55" cm="1">
        <f t="array" ref="R80">MMS_Dairy_ManureAppliedToSoils_Equations.VEERG_4_3_1_8__1_MassOfNitrogenAppliedToSoilsScope1(R44,_xlfn.XLOOKUP($P80,$D$22:$D$26,$E$22:$E$26),_xlfn.XLOOKUP($P80, $D$31:$D$35,$E$31:$E$35),R56,$F68)</f>
        <v>287.71103645214362</v>
      </c>
      <c r="S80" s="55" cm="1">
        <f t="array" ref="S80">MMS_Dairy_ManureAppliedToSoils_Equations.VEERG_4_3_1_8__1_MassOfNitrogenAppliedToSoilsScope1(S44,_xlfn.XLOOKUP($P80,$D$22:$D$26,$E$22:$E$26),_xlfn.XLOOKUP($P80, $D$31:$D$35,$E$31:$E$35),S56,$F68)</f>
        <v>114.59226315175479</v>
      </c>
      <c r="T80" s="55" cm="1">
        <f t="array" ref="T80">MMS_Dairy_ManureAppliedToSoils_Equations.VEERG_4_3_1_8__1_MassOfNitrogenAppliedToSoilsScope1(T44,_xlfn.XLOOKUP($P80,$D$22:$D$26,$E$22:$E$26),_xlfn.XLOOKUP($P80, $D$31:$D$35,$E$31:$E$35),T56,$F68)</f>
        <v>361.66415150594696</v>
      </c>
      <c r="U80" s="55" cm="1">
        <f t="array" ref="U80">MMS_Dairy_ManureAppliedToSoils_Equations.VEERG_4_3_1_8__1_MassOfNitrogenAppliedToSoilsScope1(U44,_xlfn.XLOOKUP($P80,$D$22:$D$26,$E$22:$E$26),_xlfn.XLOOKUP($P80, $D$31:$D$35,$E$31:$E$35),U56,$F68)</f>
        <v>151.40321678245513</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405</v>
      </c>
      <c r="F83" s="55" cm="1">
        <f t="array" ref="F83">MMS_Dairy_ManureAppliedToSoils_Equations.VEERG_4_3_1_8__1_MassOfNitrogenAppliedToSoilsScope1(F47,_xlfn.XLOOKUP($E83,$D$22:$D$26,$E$22:$E$26),_xlfn.XLOOKUP($E83, $D$31:$D$35,$E$31:$E$35),F59,$F71)</f>
        <v>1536.6291801784989</v>
      </c>
      <c r="G83" s="55" cm="1">
        <f t="array" ref="G83">MMS_Dairy_ManureAppliedToSoils_Equations.VEERG_4_3_1_8__1_MassOfNitrogenAppliedToSoilsScope1(G47,_xlfn.XLOOKUP($E83,$D$22:$D$26,$E$22:$E$26),_xlfn.XLOOKUP($E83, $D$31:$D$35,$E$31:$E$35),G59,$F71)</f>
        <v>597.55369109291348</v>
      </c>
      <c r="H83" s="55" cm="1">
        <f t="array" ref="H83">MMS_Dairy_ManureAppliedToSoils_Equations.VEERG_4_3_1_8__1_MassOfNitrogenAppliedToSoilsScope1(H47,_xlfn.XLOOKUP($E83,$D$22:$D$26,$E$22:$E$26),_xlfn.XLOOKUP($E83, $D$31:$D$35,$E$31:$E$35),H59,$F71)</f>
        <v>237.99931577672146</v>
      </c>
      <c r="I83" s="55" cm="1">
        <f t="array" ref="I83">MMS_Dairy_ManureAppliedToSoils_Equations.VEERG_4_3_1_8__1_MassOfNitrogenAppliedToSoilsScope1(I47,_xlfn.XLOOKUP($E83,$D$22:$D$26,$E$22:$E$26),_xlfn.XLOOKUP($E83, $D$31:$D$35,$E$31:$E$35),I59,$F71)</f>
        <v>751.14862235850512</v>
      </c>
      <c r="J83" s="55" cm="1">
        <f t="array" ref="J83">MMS_Dairy_ManureAppliedToSoils_Equations.VEERG_4_3_1_8__1_MassOfNitrogenAppliedToSoilsScope1(J47,_xlfn.XLOOKUP($E83,$D$22:$D$26,$E$22:$E$26),_xlfn.XLOOKUP($E83, $D$31:$D$35,$E$31:$E$35),J59,$F71)</f>
        <v>314.45283485586828</v>
      </c>
      <c r="K83" s="2"/>
      <c r="O83" s="55" t="str">
        <f>'Input - Dairy'!$D$67</f>
        <v>Feed pad</v>
      </c>
      <c r="P83" s="55" t="s">
        <v>405</v>
      </c>
      <c r="Q83" s="55" cm="1">
        <f t="array" ref="Q83">MMS_Dairy_ManureAppliedToSoils_Equations.VEERG_4_3_1_8__1_MassOfNitrogenAppliedToSoilsScope1(Q47,_xlfn.XLOOKUP($P83,$D$22:$D$26,$E$22:$E$26),_xlfn.XLOOKUP($P83, $D$31:$D$35,$E$31:$E$35),Q59,$F71)</f>
        <v>1536.6291801784989</v>
      </c>
      <c r="R83" s="55" cm="1">
        <f t="array" ref="R83">MMS_Dairy_ManureAppliedToSoils_Equations.VEERG_4_3_1_8__1_MassOfNitrogenAppliedToSoilsScope1(R47,_xlfn.XLOOKUP($P83,$D$22:$D$26,$E$22:$E$26),_xlfn.XLOOKUP($P83, $D$31:$D$35,$E$31:$E$35),R59,$F71)</f>
        <v>597.55369109291348</v>
      </c>
      <c r="S83" s="55" cm="1">
        <f t="array" ref="S83">MMS_Dairy_ManureAppliedToSoils_Equations.VEERG_4_3_1_8__1_MassOfNitrogenAppliedToSoilsScope1(S47,_xlfn.XLOOKUP($P83,$D$22:$D$26,$E$22:$E$26),_xlfn.XLOOKUP($P83, $D$31:$D$35,$E$31:$E$35),S59,$F71)</f>
        <v>237.99931577672146</v>
      </c>
      <c r="T83" s="55" cm="1">
        <f t="array" ref="T83">MMS_Dairy_ManureAppliedToSoils_Equations.VEERG_4_3_1_8__1_MassOfNitrogenAppliedToSoilsScope1(T47,_xlfn.XLOOKUP($P83,$D$22:$D$26,$E$22:$E$26),_xlfn.XLOOKUP($P83, $D$31:$D$35,$E$31:$E$35),T59,$F71)</f>
        <v>751.14862235850512</v>
      </c>
      <c r="U83" s="55" cm="1">
        <f t="array" ref="U83">MMS_Dairy_ManureAppliedToSoils_Equations.VEERG_4_3_1_8__1_MassOfNitrogenAppliedToSoilsScope1(U47,_xlfn.XLOOKUP($P83,$D$22:$D$26,$E$22:$E$26),_xlfn.XLOOKUP($P83, $D$31:$D$35,$E$31:$E$35),U59,$F71)</f>
        <v>314.45283485586828</v>
      </c>
      <c r="V83" s="2"/>
    </row>
    <row r="84" spans="1:23" ht="20.100000000000001" customHeight="1" x14ac:dyDescent="0.25"/>
    <row r="85" spans="1:23" ht="20.100000000000001" customHeight="1" x14ac:dyDescent="0.25">
      <c r="D85" s="108" t="s">
        <v>131</v>
      </c>
      <c r="E85" s="109">
        <f>SUM(F76:J83)</f>
        <v>12428.471282831411</v>
      </c>
      <c r="F85" s="110" t="str">
        <f>$E$11</f>
        <v>kg N</v>
      </c>
      <c r="O85" s="108" t="s">
        <v>131</v>
      </c>
      <c r="P85" s="109">
        <f>SUM(Q76:U83)</f>
        <v>12428.471282831411</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95.253317366107183</v>
      </c>
      <c r="G106" s="55" cm="1">
        <f t="array" ref="G106">MMS_Dairy_ManureAppliedToSoils_Equations.VEERG_4_3_1_8__2_MassOfNitrogenAppliedToSoilsScope3(G40, _xlfn.XLOOKUP($E106, $D$22:$D$26,$E$22:$E$26), _xlfn.XLOOKUP($E106,$D$31:$D$35,$E$31:$E$35),G52, $F64)</f>
        <v>37.041448981432346</v>
      </c>
      <c r="H106" s="55" cm="1">
        <f t="array" ref="H106">MMS_Dairy_ManureAppliedToSoils_Equations.VEERG_4_3_1_8__2_MassOfNitrogenAppliedToSoilsScope3(H40, _xlfn.XLOOKUP($E106, $D$22:$D$26,$E$22:$E$26), _xlfn.XLOOKUP($E106,$D$31:$D$35,$E$31:$E$35),H52, $F64)</f>
        <v>14.753217400155696</v>
      </c>
      <c r="I106" s="55" cm="1">
        <f t="array" ref="I106">MMS_Dairy_ManureAppliedToSoils_Equations.VEERG_4_3_1_8__2_MassOfNitrogenAppliedToSoilsScope3(I40, _xlfn.XLOOKUP($E106, $D$22:$D$26,$E$22:$E$26), _xlfn.XLOOKUP($E106,$D$31:$D$35,$E$31:$E$35),I52, $F64)</f>
        <v>46.562566322160777</v>
      </c>
      <c r="J106" s="55" cm="1">
        <f t="array" ref="J106">MMS_Dairy_ManureAppliedToSoils_Equations.VEERG_4_3_1_8__2_MassOfNitrogenAppliedToSoilsScope3(J40, _xlfn.XLOOKUP($E106, $D$22:$D$26,$E$22:$E$26), _xlfn.XLOOKUP($E106,$D$31:$D$35,$E$31:$E$35),J52, $F64)</f>
        <v>19.492455344183128</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95.253317366107183</v>
      </c>
      <c r="R106" s="55" cm="1">
        <f t="array" ref="R106">MMS_Dairy_ManureAppliedToSoils_Equations.VEERG_4_3_1_8__2_MassOfNitrogenAppliedToSoilsScope3(R40, _xlfn.XLOOKUP($P106, $D$22:$D$26,$E$22:$E$26), _xlfn.XLOOKUP($P106,$D$31:$D$35,$E$31:$E$35),R52, $F64)</f>
        <v>37.041448981432346</v>
      </c>
      <c r="S106" s="55" cm="1">
        <f t="array" ref="S106">MMS_Dairy_ManureAppliedToSoils_Equations.VEERG_4_3_1_8__2_MassOfNitrogenAppliedToSoilsScope3(S40, _xlfn.XLOOKUP($P106, $D$22:$D$26,$E$22:$E$26), _xlfn.XLOOKUP($P106,$D$31:$D$35,$E$31:$E$35),S52, $F64)</f>
        <v>14.753217400155696</v>
      </c>
      <c r="T106" s="55" cm="1">
        <f t="array" ref="T106">MMS_Dairy_ManureAppliedToSoils_Equations.VEERG_4_3_1_8__2_MassOfNitrogenAppliedToSoilsScope3(T40, _xlfn.XLOOKUP($P106, $D$22:$D$26,$E$22:$E$26), _xlfn.XLOOKUP($P106,$D$31:$D$35,$E$31:$E$35),T52, $F64)</f>
        <v>46.562566322160777</v>
      </c>
      <c r="U106" s="55" cm="1">
        <f t="array" ref="U106">MMS_Dairy_ManureAppliedToSoils_Equations.VEERG_4_3_1_8__2_MassOfNitrogenAppliedToSoilsScope3(U40, _xlfn.XLOOKUP($P106, $D$22:$D$26,$E$22:$E$26), _xlfn.XLOOKUP($P106,$D$31:$D$35,$E$31:$E$35),U52, $F64)</f>
        <v>19.492455344183128</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405</v>
      </c>
      <c r="F109" s="55" cm="1">
        <f t="array" ref="F109">MMS_Dairy_ManureAppliedToSoils_Equations.VEERG_4_3_1_8__2_MassOfNitrogenAppliedToSoilsScope3(F43, _xlfn.XLOOKUP($E109, $D$22:$D$26,$E$22:$E$26), _xlfn.XLOOKUP($E109,$D$31:$D$35,$E$31:$E$35),F55, $F67)</f>
        <v>138.48366909380201</v>
      </c>
      <c r="G109" s="55" cm="1">
        <f t="array" ref="G109">MMS_Dairy_ManureAppliedToSoils_Equations.VEERG_4_3_1_8__2_MassOfNitrogenAppliedToSoilsScope3(G43, _xlfn.XLOOKUP($E109, $D$22:$D$26,$E$22:$E$26), _xlfn.XLOOKUP($E109,$D$31:$D$35,$E$31:$E$35),G55, $F67)</f>
        <v>53.852568134543951</v>
      </c>
      <c r="H109" s="55" cm="1">
        <f t="array" ref="H109">MMS_Dairy_ManureAppliedToSoils_Equations.VEERG_4_3_1_8__2_MassOfNitrogenAppliedToSoilsScope3(H43, _xlfn.XLOOKUP($E109, $D$22:$D$26,$E$22:$E$26), _xlfn.XLOOKUP($E109,$D$31:$D$35,$E$31:$E$35),H55, $F67)</f>
        <v>21.448908374072509</v>
      </c>
      <c r="I109" s="55" cm="1">
        <f t="array" ref="I109">MMS_Dairy_ManureAppliedToSoils_Equations.VEERG_4_3_1_8__2_MassOfNitrogenAppliedToSoilsScope3(I43, _xlfn.XLOOKUP($E109, $D$22:$D$26,$E$22:$E$26), _xlfn.XLOOKUP($E109,$D$31:$D$35,$E$31:$E$35),I55, $F67)</f>
        <v>67.694807960679896</v>
      </c>
      <c r="J109" s="55" cm="1">
        <f t="array" ref="J109">MMS_Dairy_ManureAppliedToSoils_Equations.VEERG_4_3_1_8__2_MassOfNitrogenAppliedToSoilsScope3(J43, _xlfn.XLOOKUP($E109, $D$22:$D$26,$E$22:$E$26), _xlfn.XLOOKUP($E109,$D$31:$D$35,$E$31:$E$35),J55, $F67)</f>
        <v>28.33903123115855</v>
      </c>
      <c r="K109" s="2"/>
      <c r="O109" s="55" t="str">
        <f>'Input - Dairy'!$D$66</f>
        <v>Milking shed</v>
      </c>
      <c r="P109" s="55" t="s">
        <v>405</v>
      </c>
      <c r="Q109" s="55" cm="1">
        <f t="array" ref="Q109">MMS_Dairy_ManureAppliedToSoils_Equations.VEERG_4_3_1_8__2_MassOfNitrogenAppliedToSoilsScope3(Q43, _xlfn.XLOOKUP($P109, $D$22:$D$26,$E$22:$E$26), _xlfn.XLOOKUP($P109,$D$31:$D$35,$E$31:$E$35),Q55, $F67)</f>
        <v>138.48366909380201</v>
      </c>
      <c r="R109" s="55" cm="1">
        <f t="array" ref="R109">MMS_Dairy_ManureAppliedToSoils_Equations.VEERG_4_3_1_8__2_MassOfNitrogenAppliedToSoilsScope3(R43, _xlfn.XLOOKUP($P109, $D$22:$D$26,$E$22:$E$26), _xlfn.XLOOKUP($P109,$D$31:$D$35,$E$31:$E$35),R55, $F67)</f>
        <v>53.852568134543951</v>
      </c>
      <c r="S109" s="55" cm="1">
        <f t="array" ref="S109">MMS_Dairy_ManureAppliedToSoils_Equations.VEERG_4_3_1_8__2_MassOfNitrogenAppliedToSoilsScope3(S43, _xlfn.XLOOKUP($P109, $D$22:$D$26,$E$22:$E$26), _xlfn.XLOOKUP($P109,$D$31:$D$35,$E$31:$E$35),S55, $F67)</f>
        <v>21.448908374072509</v>
      </c>
      <c r="T109" s="55" cm="1">
        <f t="array" ref="T109">MMS_Dairy_ManureAppliedToSoils_Equations.VEERG_4_3_1_8__2_MassOfNitrogenAppliedToSoilsScope3(T43, _xlfn.XLOOKUP($P109, $D$22:$D$26,$E$22:$E$26), _xlfn.XLOOKUP($P109,$D$31:$D$35,$E$31:$E$35),T55, $F67)</f>
        <v>67.694807960679896</v>
      </c>
      <c r="U109" s="55" cm="1">
        <f t="array" ref="U109">MMS_Dairy_ManureAppliedToSoils_Equations.VEERG_4_3_1_8__2_MassOfNitrogenAppliedToSoilsScope3(U43, _xlfn.XLOOKUP($P109, $D$22:$D$26,$E$22:$E$26), _xlfn.XLOOKUP($P109,$D$31:$D$35,$E$31:$E$35),U55, $F67)</f>
        <v>28.33903123115855</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246.61949805333936</v>
      </c>
      <c r="G110" s="55" cm="1">
        <f t="array" ref="G110">MMS_Dairy_ManureAppliedToSoils_Equations.VEERG_4_3_1_8__2_MassOfNitrogenAppliedToSoilsScope3(G44, _xlfn.XLOOKUP($E110, $D$22:$D$26,$E$22:$E$26), _xlfn.XLOOKUP($E110,$D$31:$D$35,$E$31:$E$35),G56, $F68)</f>
        <v>95.903678817381206</v>
      </c>
      <c r="H110" s="55" cm="1">
        <f t="array" ref="H110">MMS_Dairy_ManureAppliedToSoils_Equations.VEERG_4_3_1_8__2_MassOfNitrogenAppliedToSoilsScope3(H44, _xlfn.XLOOKUP($E110, $D$22:$D$26,$E$22:$E$26), _xlfn.XLOOKUP($E110,$D$31:$D$35,$E$31:$E$35),H56, $F68)</f>
        <v>38.197421050584929</v>
      </c>
      <c r="I110" s="55" cm="1">
        <f t="array" ref="I110">MMS_Dairy_ManureAppliedToSoils_Equations.VEERG_4_3_1_8__2_MassOfNitrogenAppliedToSoilsScope3(I44, _xlfn.XLOOKUP($E110, $D$22:$D$26,$E$22:$E$26), _xlfn.XLOOKUP($E110,$D$31:$D$35,$E$31:$E$35),I56, $F68)</f>
        <v>120.55471716864899</v>
      </c>
      <c r="J110" s="55" cm="1">
        <f t="array" ref="J110">MMS_Dairy_ManureAppliedToSoils_Equations.VEERG_4_3_1_8__2_MassOfNitrogenAppliedToSoilsScope3(J44, _xlfn.XLOOKUP($E110, $D$22:$D$26,$E$22:$E$26), _xlfn.XLOOKUP($E110,$D$31:$D$35,$E$31:$E$35),J56, $F68)</f>
        <v>50.467738927485044</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246.61949805333936</v>
      </c>
      <c r="R110" s="55" cm="1">
        <f t="array" ref="R110">MMS_Dairy_ManureAppliedToSoils_Equations.VEERG_4_3_1_8__2_MassOfNitrogenAppliedToSoilsScope3(R44, _xlfn.XLOOKUP($P110, $D$22:$D$26,$E$22:$E$26), _xlfn.XLOOKUP($P110,$D$31:$D$35,$E$31:$E$35),R56, $F68)</f>
        <v>95.903678817381206</v>
      </c>
      <c r="S110" s="55" cm="1">
        <f t="array" ref="S110">MMS_Dairy_ManureAppliedToSoils_Equations.VEERG_4_3_1_8__2_MassOfNitrogenAppliedToSoilsScope3(S44, _xlfn.XLOOKUP($P110, $D$22:$D$26,$E$22:$E$26), _xlfn.XLOOKUP($P110,$D$31:$D$35,$E$31:$E$35),S56, $F68)</f>
        <v>38.197421050584929</v>
      </c>
      <c r="T110" s="55" cm="1">
        <f t="array" ref="T110">MMS_Dairy_ManureAppliedToSoils_Equations.VEERG_4_3_1_8__2_MassOfNitrogenAppliedToSoilsScope3(T44, _xlfn.XLOOKUP($P110, $D$22:$D$26,$E$22:$E$26), _xlfn.XLOOKUP($P110,$D$31:$D$35,$E$31:$E$35),T56, $F68)</f>
        <v>120.55471716864899</v>
      </c>
      <c r="U110" s="55" cm="1">
        <f t="array" ref="U110">MMS_Dairy_ManureAppliedToSoils_Equations.VEERG_4_3_1_8__2_MassOfNitrogenAppliedToSoilsScope3(U44, _xlfn.XLOOKUP($P110, $D$22:$D$26,$E$22:$E$26), _xlfn.XLOOKUP($P110,$D$31:$D$35,$E$31:$E$35),U56, $F68)</f>
        <v>50.467738927485044</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405</v>
      </c>
      <c r="F113" s="55" cm="1">
        <f t="array" ref="F113">MMS_Dairy_ManureAppliedToSoils_Equations.VEERG_4_3_1_8__2_MassOfNitrogenAppliedToSoilsScope3(F47, _xlfn.XLOOKUP($E113, $D$22:$D$26,$E$22:$E$26), _xlfn.XLOOKUP($E113,$D$31:$D$35,$E$31:$E$35),F59, $F71)</f>
        <v>512.20972672616631</v>
      </c>
      <c r="G113" s="55" cm="1">
        <f t="array" ref="G113">MMS_Dairy_ManureAppliedToSoils_Equations.VEERG_4_3_1_8__2_MassOfNitrogenAppliedToSoilsScope3(G47, _xlfn.XLOOKUP($E113, $D$22:$D$26,$E$22:$E$26), _xlfn.XLOOKUP($E113,$D$31:$D$35,$E$31:$E$35),G59, $F71)</f>
        <v>199.18456369763783</v>
      </c>
      <c r="H113" s="55" cm="1">
        <f t="array" ref="H113">MMS_Dairy_ManureAppliedToSoils_Equations.VEERG_4_3_1_8__2_MassOfNitrogenAppliedToSoilsScope3(H47, _xlfn.XLOOKUP($E113, $D$22:$D$26,$E$22:$E$26), _xlfn.XLOOKUP($E113,$D$31:$D$35,$E$31:$E$35),H59, $F71)</f>
        <v>79.333105258907153</v>
      </c>
      <c r="I113" s="55" cm="1">
        <f t="array" ref="I113">MMS_Dairy_ManureAppliedToSoils_Equations.VEERG_4_3_1_8__2_MassOfNitrogenAppliedToSoilsScope3(I47, _xlfn.XLOOKUP($E113, $D$22:$D$26,$E$22:$E$26), _xlfn.XLOOKUP($E113,$D$31:$D$35,$E$31:$E$35),I59, $F71)</f>
        <v>250.38287411950171</v>
      </c>
      <c r="J113" s="55" cm="1">
        <f t="array" ref="J113">MMS_Dairy_ManureAppliedToSoils_Equations.VEERG_4_3_1_8__2_MassOfNitrogenAppliedToSoilsScope3(J47, _xlfn.XLOOKUP($E113, $D$22:$D$26,$E$22:$E$26), _xlfn.XLOOKUP($E113,$D$31:$D$35,$E$31:$E$35),J59, $F71)</f>
        <v>104.81761161862276</v>
      </c>
      <c r="K113" s="2"/>
      <c r="O113" s="55" t="str">
        <f>'Input - Dairy'!$D$67</f>
        <v>Feed pad</v>
      </c>
      <c r="P113" s="55" t="s">
        <v>405</v>
      </c>
      <c r="Q113" s="55" cm="1">
        <f t="array" ref="Q113">MMS_Dairy_ManureAppliedToSoils_Equations.VEERG_4_3_1_8__2_MassOfNitrogenAppliedToSoilsScope3(Q47, _xlfn.XLOOKUP($P113, $D$22:$D$26,$E$22:$E$26), _xlfn.XLOOKUP($P113,$D$31:$D$35,$E$31:$E$35),Q59, $F71)</f>
        <v>512.20972672616631</v>
      </c>
      <c r="R113" s="55" cm="1">
        <f t="array" ref="R113">MMS_Dairy_ManureAppliedToSoils_Equations.VEERG_4_3_1_8__2_MassOfNitrogenAppliedToSoilsScope3(R47, _xlfn.XLOOKUP($P113, $D$22:$D$26,$E$22:$E$26), _xlfn.XLOOKUP($P113,$D$31:$D$35,$E$31:$E$35),R59, $F71)</f>
        <v>199.18456369763783</v>
      </c>
      <c r="S113" s="55" cm="1">
        <f t="array" ref="S113">MMS_Dairy_ManureAppliedToSoils_Equations.VEERG_4_3_1_8__2_MassOfNitrogenAppliedToSoilsScope3(S47, _xlfn.XLOOKUP($P113, $D$22:$D$26,$E$22:$E$26), _xlfn.XLOOKUP($P113,$D$31:$D$35,$E$31:$E$35),S59, $F71)</f>
        <v>79.333105258907153</v>
      </c>
      <c r="T113" s="55" cm="1">
        <f t="array" ref="T113">MMS_Dairy_ManureAppliedToSoils_Equations.VEERG_4_3_1_8__2_MassOfNitrogenAppliedToSoilsScope3(T47, _xlfn.XLOOKUP($P113, $D$22:$D$26,$E$22:$E$26), _xlfn.XLOOKUP($P113,$D$31:$D$35,$E$31:$E$35),T59, $F71)</f>
        <v>250.38287411950171</v>
      </c>
      <c r="U113" s="55" cm="1">
        <f t="array" ref="U113">MMS_Dairy_ManureAppliedToSoils_Equations.VEERG_4_3_1_8__2_MassOfNitrogenAppliedToSoilsScope3(U47, _xlfn.XLOOKUP($P113, $D$22:$D$26,$E$22:$E$26), _xlfn.XLOOKUP($P113,$D$31:$D$35,$E$31:$E$35),U59, $F71)</f>
        <v>104.81761161862276</v>
      </c>
      <c r="V113" s="2"/>
    </row>
    <row r="114" spans="1:23" ht="20.100000000000001" customHeight="1" x14ac:dyDescent="0.25"/>
    <row r="115" spans="1:23" ht="20.100000000000001" customHeight="1" x14ac:dyDescent="0.25">
      <c r="D115" s="108" t="s">
        <v>347</v>
      </c>
      <c r="E115" s="109">
        <f>SUM(F106:J113)</f>
        <v>4142.8237609438038</v>
      </c>
      <c r="F115" s="110" t="str">
        <f>$E$11</f>
        <v>kg N</v>
      </c>
      <c r="O115" s="108" t="s">
        <v>347</v>
      </c>
      <c r="P115" s="109">
        <f>SUM(Q106:U113)</f>
        <v>4142.8237609438038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54" t="s">
        <v>146</v>
      </c>
      <c r="E126" s="54" t="s">
        <v>68</v>
      </c>
      <c r="F126" s="54" t="s">
        <v>432</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405</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405</v>
      </c>
      <c r="F134" s="55">
        <f>'Input - Dairy'!L120</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95.253317366107183</v>
      </c>
      <c r="G139" s="55" cm="1">
        <f t="array" ref="G139">MMS_Dairy_ManureAppliedToSoils_Equations.VEERG_4_3_1_8__1_MassOfNitrogenAppliedToSoilsScope1(G40,_xlfn.XLOOKUP($E139,$D$22:$D$26,$E$22:$E$26),_xlfn.XLOOKUP($E139,$D$31:$D$35,$E$31:$E$35),G52,$F127)</f>
        <v>37.041448981432346</v>
      </c>
      <c r="H139" s="55" cm="1">
        <f t="array" ref="H139">MMS_Dairy_ManureAppliedToSoils_Equations.VEERG_4_3_1_8__1_MassOfNitrogenAppliedToSoilsScope1(H40,_xlfn.XLOOKUP($E139,$D$22:$D$26,$E$22:$E$26),_xlfn.XLOOKUP($E139,$D$31:$D$35,$E$31:$E$35),H52,$F127)</f>
        <v>14.753217400155696</v>
      </c>
      <c r="I139" s="55" cm="1">
        <f t="array" ref="I139">MMS_Dairy_ManureAppliedToSoils_Equations.VEERG_4_3_1_8__1_MassOfNitrogenAppliedToSoilsScope1(I40,_xlfn.XLOOKUP($E139,$D$22:$D$26,$E$22:$E$26),_xlfn.XLOOKUP($E139,$D$31:$D$35,$E$31:$E$35),I52,$F127)</f>
        <v>46.562566322160777</v>
      </c>
      <c r="J139" s="55" cm="1">
        <f t="array" ref="J139">MMS_Dairy_ManureAppliedToSoils_Equations.VEERG_4_3_1_8__1_MassOfNitrogenAppliedToSoilsScope1(J40,_xlfn.XLOOKUP($E139,$D$22:$D$26,$E$22:$E$26),_xlfn.XLOOKUP($E139,$D$31:$D$35,$E$31:$E$35),J52,$F127)</f>
        <v>19.492455344183128</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95.253317366107183</v>
      </c>
      <c r="R139" s="55" cm="1">
        <f t="array" ref="R139">MMS_Dairy_ManureAppliedToSoils_Equations.VEERG_4_3_1_8__1_MassOfNitrogenAppliedToSoilsScope1(R40,_xlfn.XLOOKUP($P139,$D$22:$D$26,$E$22:$E$26),_xlfn.XLOOKUP($P139,$D$31:$D$35,$E$31:$E$35),R52,$F127)</f>
        <v>37.041448981432346</v>
      </c>
      <c r="S139" s="55" cm="1">
        <f t="array" ref="S139">MMS_Dairy_ManureAppliedToSoils_Equations.VEERG_4_3_1_8__1_MassOfNitrogenAppliedToSoilsScope1(S40,_xlfn.XLOOKUP($P139,$D$22:$D$26,$E$22:$E$26),_xlfn.XLOOKUP($P139,$D$31:$D$35,$E$31:$E$35),S52,$F127)</f>
        <v>14.753217400155696</v>
      </c>
      <c r="T139" s="55" cm="1">
        <f t="array" ref="T139">MMS_Dairy_ManureAppliedToSoils_Equations.VEERG_4_3_1_8__1_MassOfNitrogenAppliedToSoilsScope1(T40,_xlfn.XLOOKUP($P139,$D$22:$D$26,$E$22:$E$26),_xlfn.XLOOKUP($P139,$D$31:$D$35,$E$31:$E$35),T52,$F127)</f>
        <v>46.562566322160777</v>
      </c>
      <c r="U139" s="55" cm="1">
        <f t="array" ref="U139">MMS_Dairy_ManureAppliedToSoils_Equations.VEERG_4_3_1_8__1_MassOfNitrogenAppliedToSoilsScope1(U40,_xlfn.XLOOKUP($P139,$D$22:$D$26,$E$22:$E$26),_xlfn.XLOOKUP($P139,$D$31:$D$35,$E$31:$E$35),U52,$F127)</f>
        <v>19.492455344183128</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405</v>
      </c>
      <c r="F142" s="55" cm="1">
        <f t="array" ref="F142">MMS_Dairy_ManureAppliedToSoils_Equations.VEERG_4_3_1_8__1_MassOfNitrogenAppliedToSoilsScope1(F43,_xlfn.XLOOKUP($E142,$D$22:$D$26,$E$22:$E$26),_xlfn.XLOOKUP($E142,$D$31:$D$35,$E$31:$E$35),F55,$F130)</f>
        <v>138.48366909380201</v>
      </c>
      <c r="G142" s="55" cm="1">
        <f t="array" ref="G142">MMS_Dairy_ManureAppliedToSoils_Equations.VEERG_4_3_1_8__1_MassOfNitrogenAppliedToSoilsScope1(G43,_xlfn.XLOOKUP($E142,$D$22:$D$26,$E$22:$E$26),_xlfn.XLOOKUP($E142,$D$31:$D$35,$E$31:$E$35),G55,$F130)</f>
        <v>53.852568134543951</v>
      </c>
      <c r="H142" s="55" cm="1">
        <f t="array" ref="H142">MMS_Dairy_ManureAppliedToSoils_Equations.VEERG_4_3_1_8__1_MassOfNitrogenAppliedToSoilsScope1(H43,_xlfn.XLOOKUP($E142,$D$22:$D$26,$E$22:$E$26),_xlfn.XLOOKUP($E142,$D$31:$D$35,$E$31:$E$35),H55,$F130)</f>
        <v>21.448908374072509</v>
      </c>
      <c r="I142" s="55" cm="1">
        <f t="array" ref="I142">MMS_Dairy_ManureAppliedToSoils_Equations.VEERG_4_3_1_8__1_MassOfNitrogenAppliedToSoilsScope1(I43,_xlfn.XLOOKUP($E142,$D$22:$D$26,$E$22:$E$26),_xlfn.XLOOKUP($E142,$D$31:$D$35,$E$31:$E$35),I55,$F130)</f>
        <v>67.694807960679896</v>
      </c>
      <c r="J142" s="55" cm="1">
        <f t="array" ref="J142">MMS_Dairy_ManureAppliedToSoils_Equations.VEERG_4_3_1_8__1_MassOfNitrogenAppliedToSoilsScope1(J43,_xlfn.XLOOKUP($E142,$D$22:$D$26,$E$22:$E$26),_xlfn.XLOOKUP($E142,$D$31:$D$35,$E$31:$E$35),J55,$F130)</f>
        <v>28.33903123115855</v>
      </c>
      <c r="K142" s="2" t="str">
        <f t="shared" si="4"/>
        <v>kg N</v>
      </c>
      <c r="O142" s="55" t="str">
        <f>'Input - Dairy'!$D$66</f>
        <v>Milking shed</v>
      </c>
      <c r="P142" s="55" t="s">
        <v>405</v>
      </c>
      <c r="Q142" s="55" cm="1">
        <f t="array" ref="Q142">MMS_Dairy_ManureAppliedToSoils_Equations.VEERG_4_3_1_8__1_MassOfNitrogenAppliedToSoilsScope1(Q43,_xlfn.XLOOKUP($P142,$D$22:$D$26,$E$22:$E$26),_xlfn.XLOOKUP($P142,$D$31:$D$35,$E$31:$E$35),Q55,$F130)</f>
        <v>138.48366909380201</v>
      </c>
      <c r="R142" s="55" cm="1">
        <f t="array" ref="R142">MMS_Dairy_ManureAppliedToSoils_Equations.VEERG_4_3_1_8__1_MassOfNitrogenAppliedToSoilsScope1(R43,_xlfn.XLOOKUP($P142,$D$22:$D$26,$E$22:$E$26),_xlfn.XLOOKUP($P142,$D$31:$D$35,$E$31:$E$35),R55,$F130)</f>
        <v>53.852568134543951</v>
      </c>
      <c r="S142" s="55" cm="1">
        <f t="array" ref="S142">MMS_Dairy_ManureAppliedToSoils_Equations.VEERG_4_3_1_8__1_MassOfNitrogenAppliedToSoilsScope1(S43,_xlfn.XLOOKUP($P142,$D$22:$D$26,$E$22:$E$26),_xlfn.XLOOKUP($P142,$D$31:$D$35,$E$31:$E$35),S55,$F130)</f>
        <v>21.448908374072509</v>
      </c>
      <c r="T142" s="55" cm="1">
        <f t="array" ref="T142">MMS_Dairy_ManureAppliedToSoils_Equations.VEERG_4_3_1_8__1_MassOfNitrogenAppliedToSoilsScope1(T43,_xlfn.XLOOKUP($P142,$D$22:$D$26,$E$22:$E$26),_xlfn.XLOOKUP($P142,$D$31:$D$35,$E$31:$E$35),T55,$F130)</f>
        <v>67.694807960679896</v>
      </c>
      <c r="U142" s="55" cm="1">
        <f t="array" ref="U142">MMS_Dairy_ManureAppliedToSoils_Equations.VEERG_4_3_1_8__1_MassOfNitrogenAppliedToSoilsScope1(U43,_xlfn.XLOOKUP($P142,$D$22:$D$26,$E$22:$E$26),_xlfn.XLOOKUP($P142,$D$31:$D$35,$E$31:$E$35),U55,$F130)</f>
        <v>28.33903123115855</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246.61949805333936</v>
      </c>
      <c r="G143" s="55" cm="1">
        <f t="array" ref="G143">MMS_Dairy_ManureAppliedToSoils_Equations.VEERG_4_3_1_8__1_MassOfNitrogenAppliedToSoilsScope1(G44,_xlfn.XLOOKUP($E143,$D$22:$D$26,$E$22:$E$26),_xlfn.XLOOKUP($E143,$D$31:$D$35,$E$31:$E$35),G56,$F131)</f>
        <v>95.903678817381206</v>
      </c>
      <c r="H143" s="55" cm="1">
        <f t="array" ref="H143">MMS_Dairy_ManureAppliedToSoils_Equations.VEERG_4_3_1_8__1_MassOfNitrogenAppliedToSoilsScope1(H44,_xlfn.XLOOKUP($E143,$D$22:$D$26,$E$22:$E$26),_xlfn.XLOOKUP($E143,$D$31:$D$35,$E$31:$E$35),H56,$F131)</f>
        <v>38.197421050584929</v>
      </c>
      <c r="I143" s="55" cm="1">
        <f t="array" ref="I143">MMS_Dairy_ManureAppliedToSoils_Equations.VEERG_4_3_1_8__1_MassOfNitrogenAppliedToSoilsScope1(I44,_xlfn.XLOOKUP($E143,$D$22:$D$26,$E$22:$E$26),_xlfn.XLOOKUP($E143,$D$31:$D$35,$E$31:$E$35),I56,$F131)</f>
        <v>120.55471716864899</v>
      </c>
      <c r="J143" s="55" cm="1">
        <f t="array" ref="J143">MMS_Dairy_ManureAppliedToSoils_Equations.VEERG_4_3_1_8__1_MassOfNitrogenAppliedToSoilsScope1(J44,_xlfn.XLOOKUP($E143,$D$22:$D$26,$E$22:$E$26),_xlfn.XLOOKUP($E143,$D$31:$D$35,$E$31:$E$35),J56,$F131)</f>
        <v>50.467738927485044</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246.61949805333936</v>
      </c>
      <c r="R143" s="55" cm="1">
        <f t="array" ref="R143">MMS_Dairy_ManureAppliedToSoils_Equations.VEERG_4_3_1_8__1_MassOfNitrogenAppliedToSoilsScope1(R44,_xlfn.XLOOKUP($P143,$D$22:$D$26,$E$22:$E$26),_xlfn.XLOOKUP($P143,$D$31:$D$35,$E$31:$E$35),R56,$F131)</f>
        <v>95.903678817381206</v>
      </c>
      <c r="S143" s="55" cm="1">
        <f t="array" ref="S143">MMS_Dairy_ManureAppliedToSoils_Equations.VEERG_4_3_1_8__1_MassOfNitrogenAppliedToSoilsScope1(S44,_xlfn.XLOOKUP($P143,$D$22:$D$26,$E$22:$E$26),_xlfn.XLOOKUP($P143,$D$31:$D$35,$E$31:$E$35),S56,$F131)</f>
        <v>38.197421050584929</v>
      </c>
      <c r="T143" s="55" cm="1">
        <f t="array" ref="T143">MMS_Dairy_ManureAppliedToSoils_Equations.VEERG_4_3_1_8__1_MassOfNitrogenAppliedToSoilsScope1(T44,_xlfn.XLOOKUP($P143,$D$22:$D$26,$E$22:$E$26),_xlfn.XLOOKUP($P143,$D$31:$D$35,$E$31:$E$35),T56,$F131)</f>
        <v>120.55471716864899</v>
      </c>
      <c r="U143" s="55" cm="1">
        <f t="array" ref="U143">MMS_Dairy_ManureAppliedToSoils_Equations.VEERG_4_3_1_8__1_MassOfNitrogenAppliedToSoilsScope1(U44,_xlfn.XLOOKUP($P143,$D$22:$D$26,$E$22:$E$26),_xlfn.XLOOKUP($P143,$D$31:$D$35,$E$31:$E$35),U56,$F131)</f>
        <v>50.467738927485044</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405</v>
      </c>
      <c r="F146" s="55" cm="1">
        <f t="array" ref="F146">MMS_Dairy_ManureAppliedToSoils_Equations.VEERG_4_3_1_8__1_MassOfNitrogenAppliedToSoilsScope1(F47,_xlfn.XLOOKUP($E146,$D$22:$D$26,$E$22:$E$26),_xlfn.XLOOKUP($E146,$D$31:$D$35,$E$31:$E$35),F59,$F134)</f>
        <v>512.20972672616631</v>
      </c>
      <c r="G146" s="55" cm="1">
        <f t="array" ref="G146">MMS_Dairy_ManureAppliedToSoils_Equations.VEERG_4_3_1_8__1_MassOfNitrogenAppliedToSoilsScope1(G47,_xlfn.XLOOKUP($E146,$D$22:$D$26,$E$22:$E$26),_xlfn.XLOOKUP($E146,$D$31:$D$35,$E$31:$E$35),G59,$F134)</f>
        <v>199.18456369763783</v>
      </c>
      <c r="H146" s="55" cm="1">
        <f t="array" ref="H146">MMS_Dairy_ManureAppliedToSoils_Equations.VEERG_4_3_1_8__1_MassOfNitrogenAppliedToSoilsScope1(H47,_xlfn.XLOOKUP($E146,$D$22:$D$26,$E$22:$E$26),_xlfn.XLOOKUP($E146,$D$31:$D$35,$E$31:$E$35),H59,$F134)</f>
        <v>79.333105258907153</v>
      </c>
      <c r="I146" s="55" cm="1">
        <f t="array" ref="I146">MMS_Dairy_ManureAppliedToSoils_Equations.VEERG_4_3_1_8__1_MassOfNitrogenAppliedToSoilsScope1(I47,_xlfn.XLOOKUP($E146,$D$22:$D$26,$E$22:$E$26),_xlfn.XLOOKUP($E146,$D$31:$D$35,$E$31:$E$35),I59,$F134)</f>
        <v>250.38287411950171</v>
      </c>
      <c r="J146" s="55" cm="1">
        <f t="array" ref="J146">MMS_Dairy_ManureAppliedToSoils_Equations.VEERG_4_3_1_8__1_MassOfNitrogenAppliedToSoilsScope1(J47,_xlfn.XLOOKUP($E146,$D$22:$D$26,$E$22:$E$26),_xlfn.XLOOKUP($E146,$D$31:$D$35,$E$31:$E$35),J59,$F134)</f>
        <v>104.81761161862276</v>
      </c>
      <c r="K146" s="2" t="str">
        <f t="shared" si="4"/>
        <v>kg N</v>
      </c>
      <c r="O146" s="55" t="str">
        <f>'Input - Dairy'!$D$67</f>
        <v>Feed pad</v>
      </c>
      <c r="P146" s="55" t="s">
        <v>405</v>
      </c>
      <c r="Q146" s="55" cm="1">
        <f t="array" ref="Q146">MMS_Dairy_ManureAppliedToSoils_Equations.VEERG_4_3_1_8__1_MassOfNitrogenAppliedToSoilsScope1(Q47,_xlfn.XLOOKUP($P146,$D$22:$D$26,$E$22:$E$26),_xlfn.XLOOKUP($P146,$D$31:$D$35,$E$31:$E$35),Q59,$F134)</f>
        <v>512.20972672616631</v>
      </c>
      <c r="R146" s="55" cm="1">
        <f t="array" ref="R146">MMS_Dairy_ManureAppliedToSoils_Equations.VEERG_4_3_1_8__1_MassOfNitrogenAppliedToSoilsScope1(R47,_xlfn.XLOOKUP($P146,$D$22:$D$26,$E$22:$E$26),_xlfn.XLOOKUP($P146,$D$31:$D$35,$E$31:$E$35),R59,$F134)</f>
        <v>199.18456369763783</v>
      </c>
      <c r="S146" s="55" cm="1">
        <f t="array" ref="S146">MMS_Dairy_ManureAppliedToSoils_Equations.VEERG_4_3_1_8__1_MassOfNitrogenAppliedToSoilsScope1(S47,_xlfn.XLOOKUP($P146,$D$22:$D$26,$E$22:$E$26),_xlfn.XLOOKUP($P146,$D$31:$D$35,$E$31:$E$35),S59,$F134)</f>
        <v>79.333105258907153</v>
      </c>
      <c r="T146" s="55" cm="1">
        <f t="array" ref="T146">MMS_Dairy_ManureAppliedToSoils_Equations.VEERG_4_3_1_8__1_MassOfNitrogenAppliedToSoilsScope1(T47,_xlfn.XLOOKUP($P146,$D$22:$D$26,$E$22:$E$26),_xlfn.XLOOKUP($P146,$D$31:$D$35,$E$31:$E$35),T59,$F134)</f>
        <v>250.38287411950171</v>
      </c>
      <c r="U146" s="55" cm="1">
        <f t="array" ref="U146">MMS_Dairy_ManureAppliedToSoils_Equations.VEERG_4_3_1_8__1_MassOfNitrogenAppliedToSoilsScope1(U47,_xlfn.XLOOKUP($P146,$D$22:$D$26,$E$22:$E$26),_xlfn.XLOOKUP($P146,$D$31:$D$35,$E$31:$E$35),U59,$F134)</f>
        <v>104.81761161862276</v>
      </c>
      <c r="V146" s="2"/>
    </row>
    <row r="147" spans="1:22" ht="20.100000000000001" customHeight="1" x14ac:dyDescent="0.25"/>
    <row r="148" spans="1:22" ht="20.100000000000001" customHeight="1" x14ac:dyDescent="0.25">
      <c r="A148" s="141" t="str">
        <f>HYPERLINK("#A1", "▲ Back to top")</f>
        <v>▲ Back to top</v>
      </c>
      <c r="D148" s="108" t="s">
        <v>138</v>
      </c>
      <c r="E148" s="109">
        <f>SUM(F139:J146)</f>
        <v>4142.8237609438038</v>
      </c>
      <c r="F148" s="110" t="str">
        <f>$E$95</f>
        <v>kg N</v>
      </c>
      <c r="O148" s="108" t="s">
        <v>138</v>
      </c>
      <c r="P148" s="109">
        <f>SUM(Q139:U146)</f>
        <v>4142.8237609438038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A22"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8.0033058384947273E-2</v>
      </c>
      <c r="F53" s="110" t="str">
        <f>$E$41</f>
        <v>t N2O</v>
      </c>
      <c r="O53" s="108" t="s">
        <v>121</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21.208760472011026</v>
      </c>
      <c r="F58" s="112" t="str" cm="1">
        <f t="array" ref="F58">Common_Equations.Common_ConvertN2OToCO2e_Unit()</f>
        <v>t CO2e</v>
      </c>
      <c r="O58" s="48" t="s">
        <v>108</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5347.6634466305668</v>
      </c>
      <c r="F26" s="112" t="str">
        <f>$E$11</f>
        <v>kg N</v>
      </c>
      <c r="O26" s="118" t="s">
        <v>378</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4.958047966947482E-2</v>
      </c>
      <c r="F45" s="110" t="str">
        <f>$E$36</f>
        <v>t N2O</v>
      </c>
      <c r="O45" s="108" t="s">
        <v>153</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13.138827112410826</v>
      </c>
      <c r="F50" s="112" t="str" cm="1">
        <f t="array" ref="F50">Common_Equations.Common_ConvertN2OToCO2e_Unit()</f>
        <v>t CO2e</v>
      </c>
      <c r="O50" s="48" t="s">
        <v>108</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6111.6153675777914</v>
      </c>
      <c r="F30" s="112" t="str">
        <f>$E$11</f>
        <v>kg N</v>
      </c>
      <c r="O30" s="118" t="s">
        <v>377</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0.10564363706813039</v>
      </c>
      <c r="F47" s="110" t="str">
        <f>$E$41</f>
        <v>t N2O</v>
      </c>
      <c r="O47" s="108" t="s">
        <v>376</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27.995563823054553</v>
      </c>
      <c r="F52" s="112" t="str" cm="1">
        <f t="array" ref="F52">Common_Equations.Common_ConvertN2OToCO2e_Unit()</f>
        <v>t CO2e</v>
      </c>
      <c r="O52" s="48" t="s">
        <v>108</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63</vt:i4>
      </vt:variant>
    </vt:vector>
  </HeadingPairs>
  <TitlesOfParts>
    <vt:vector size="81"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2026-06-15T07:55:01Z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