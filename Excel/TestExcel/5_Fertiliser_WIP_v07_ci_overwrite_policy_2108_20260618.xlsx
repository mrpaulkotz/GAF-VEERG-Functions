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conversational-input\node_modules\gaf-veerg-functions\Excel\TestExcel\"/>
    </mc:Choice>
  </mc:AlternateContent>
  <xr:revisionPtr revIDLastSave="0" documentId="13_ncr:1_{2E717016-9B21-49C2-910E-7E76C9B54BEB}" xr6:coauthVersionLast="47" xr6:coauthVersionMax="47" xr10:uidLastSave="{00000000-0000-0000-0000-000000000000}"/>
  <bookViews>
    <workbookView xWindow="1020" yWindow="0" windowWidth="37140" windowHeight="20475" activeTab="4"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70" l="1"/>
  <c r="H19" i="70"/>
  <c r="H20" i="70"/>
  <c r="H21" i="70"/>
  <c r="H22" i="70"/>
  <c r="F39" i="70" l="1"/>
  <c r="G39" i="70" s="1"/>
  <c r="K39" i="70"/>
  <c r="F28" i="70"/>
  <c r="G28" i="70" s="1"/>
  <c r="P28" i="70"/>
  <c r="G50" i="70"/>
  <c r="H50" i="70"/>
  <c r="I50" i="70" s="1"/>
  <c r="W54" i="69"/>
  <c r="W53" i="69"/>
  <c r="E30" i="15"/>
  <c r="E33" i="15"/>
  <c r="J92" i="116"/>
  <c r="I126" i="115"/>
  <c r="J51" i="115"/>
  <c r="I20" i="114"/>
  <c r="K46" i="113"/>
  <c r="I51" i="74"/>
  <c r="S69" i="69"/>
  <c r="I51" i="69"/>
  <c r="G97" i="116"/>
  <c r="G149" i="115"/>
  <c r="G82" i="115"/>
  <c r="G53" i="113"/>
  <c r="P91" i="69"/>
  <c r="G83" i="69"/>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c r="D227" i="119" a="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H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c r="D18" i="119" a="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J50" i="70" l="1"/>
  <c r="H52" i="119"/>
  <c r="H51" i="119"/>
  <c r="H48" i="119"/>
  <c r="H50" i="119"/>
  <c r="H49" i="119"/>
  <c r="H53" i="119"/>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F38" i="70" l="1"/>
  <c r="G38" i="70" s="1"/>
  <c r="K38" i="70"/>
  <c r="K37" i="70"/>
  <c r="D38" i="110" a="1"/>
  <c r="D38" i="110" s="1"/>
  <c r="E38" i="110" a="1"/>
  <c r="E38" i="110" s="1"/>
  <c r="F38" i="110" a="1"/>
  <c r="F38" i="110" s="1"/>
  <c r="G38" i="110" a="1"/>
  <c r="G38" i="110" s="1"/>
  <c r="H38" i="110" a="1"/>
  <c r="H38" i="110" s="1"/>
  <c r="I38" i="110" a="1"/>
  <c r="I38" i="110" s="1"/>
  <c r="F27" i="70"/>
  <c r="G27" i="7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60" i="116"/>
  <c r="I56" i="116" s="1"/>
  <c r="I59" i="116"/>
  <c r="I58" i="116"/>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27" i="115"/>
  <c r="J52" i="115"/>
  <c r="I17" i="116"/>
  <c r="I18" i="116"/>
  <c r="I14" i="116" s="1"/>
  <c r="I16" i="116"/>
  <c r="E83" i="116" a="1"/>
  <c r="E7" i="116" a="1"/>
  <c r="E49"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8" i="115"/>
  <c r="I125"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3" i="115"/>
  <c r="J50"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7"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9" i="70"/>
  <c r="H49" i="70"/>
  <c r="I49" i="70" s="1"/>
  <c r="H48" i="70"/>
  <c r="G48" i="70"/>
  <c r="H20" i="113" a="1"/>
  <c r="H20" i="113" s="1"/>
  <c r="E20" i="113" a="1"/>
  <c r="E20" i="113" s="1"/>
  <c r="D20" i="113" a="1"/>
  <c r="D67" i="116" s="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5" a="1"/>
  <c r="E118" i="115" a="1"/>
  <c r="E90" i="115" a="1"/>
  <c r="E7" i="113" a="1"/>
  <c r="E43" i="115" a="1"/>
  <c r="E38" i="113" a="1"/>
  <c r="E7" i="114" a="1"/>
  <c r="E105" i="115" l="1"/>
  <c r="E68" i="116"/>
  <c r="E110" i="115"/>
  <c r="E111" i="115"/>
  <c r="E112" i="115"/>
  <c r="E75" i="116"/>
  <c r="E107" i="115"/>
  <c r="E108" i="115"/>
  <c r="F108" i="115" s="1" a="1"/>
  <c r="F108" i="115" s="1"/>
  <c r="E140" i="115" s="1"/>
  <c r="E109" i="115"/>
  <c r="F109" i="115" s="1" a="1"/>
  <c r="F109" i="115" s="1"/>
  <c r="E141" i="115" s="1"/>
  <c r="F111" i="115" a="1"/>
  <c r="F111" i="115" s="1"/>
  <c r="E143" i="115" s="1"/>
  <c r="G20" i="113" a="1"/>
  <c r="G20" i="113" s="1"/>
  <c r="I20" i="113" s="1" a="1"/>
  <c r="I20" i="113" s="1"/>
  <c r="E65" i="116" s="1"/>
  <c r="D20" i="113"/>
  <c r="D65" i="116" s="1"/>
  <c r="D66" i="116"/>
  <c r="F43" i="116"/>
  <c r="F112" i="115" a="1"/>
  <c r="F112" i="115" s="1"/>
  <c r="E144" i="115" s="1"/>
  <c r="F105" i="115" a="1"/>
  <c r="F105" i="115" s="1"/>
  <c r="E137" i="115" s="1"/>
  <c r="F107" i="115" a="1"/>
  <c r="F107" i="115" s="1"/>
  <c r="E139"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9" i="70"/>
  <c r="I22" i="113" l="1" a="1"/>
  <c r="I22" i="113" s="1"/>
  <c r="E104" i="115" s="1"/>
  <c r="F104" i="115" s="1" a="1"/>
  <c r="F104" i="115" s="1"/>
  <c r="E136" i="115" s="1"/>
  <c r="I21" i="113" a="1"/>
  <c r="I21" i="113" s="1"/>
  <c r="E66" i="116" s="1"/>
  <c r="E102" i="115"/>
  <c r="F102" i="115" s="1" a="1"/>
  <c r="F102" i="115" s="1"/>
  <c r="E134" i="115" s="1"/>
  <c r="E67" i="116" l="1"/>
  <c r="E32" i="113"/>
  <c r="K44" i="113" s="1"/>
  <c r="E103" i="115"/>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I52" i="74"/>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8" i="70"/>
  <c r="G37" i="70"/>
  <c r="E25" i="114" s="1" a="1"/>
  <c r="E25" i="114" s="1"/>
  <c r="Q54" i="69"/>
  <c r="Q53" i="69"/>
  <c r="F26" i="70"/>
  <c r="O93" i="69" a="1"/>
  <c r="O93" i="69" s="1"/>
  <c r="M90" i="69" a="1"/>
  <c r="M90" i="69" s="1"/>
  <c r="N82" i="69" a="1"/>
  <c r="N82" i="69" s="1"/>
  <c r="N77" i="69" a="1"/>
  <c r="N77" i="69" s="1"/>
  <c r="S71" i="69"/>
  <c r="T54" i="69"/>
  <c r="T53" i="69"/>
  <c r="N50" i="69" a="1"/>
  <c r="N50" i="69" s="1"/>
  <c r="N45" i="69" a="1"/>
  <c r="N45" i="69" s="1"/>
  <c r="S73" i="69"/>
  <c r="S70" i="69"/>
  <c r="F85" i="69" a="1"/>
  <c r="F85" i="69" s="1"/>
  <c r="D82" i="69" a="1"/>
  <c r="D82" i="69" s="1"/>
  <c r="E42" i="69" a="1"/>
  <c r="N60" i="69" a="1"/>
  <c r="E7" i="74" a="1"/>
  <c r="F58" i="74" l="1"/>
  <c r="F78" i="74"/>
  <c r="J48"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J54" i="115"/>
  <c r="I129" i="115"/>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6" i="70"/>
  <c r="P50" i="69" a="1"/>
  <c r="P50" i="69" s="1"/>
  <c r="F80" i="69"/>
  <c r="E7" i="69"/>
  <c r="E146" i="115" l="1"/>
  <c r="G148" i="115" s="1"/>
  <c r="E151" i="115" s="1" a="1"/>
  <c r="E151" i="115" s="1"/>
  <c r="E31" i="114"/>
  <c r="P45" i="69"/>
  <c r="H12" i="13" l="1"/>
  <c r="I12" i="13" s="1"/>
  <c r="E12" i="13"/>
  <c r="F12" i="13" s="1"/>
  <c r="I52" i="69"/>
  <c r="I54" i="69"/>
  <c r="I50" i="69"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F22" i="70" l="1"/>
  <c r="U22" i="70" a="1"/>
  <c r="U22" i="70" s="1"/>
  <c r="R21" i="70" a="1"/>
  <c r="R21" i="70" s="1"/>
  <c r="N20" i="70" a="1"/>
  <c r="N20" i="70" s="1"/>
  <c r="L19" i="70" a="1"/>
  <c r="L19" i="70" s="1"/>
  <c r="U18" i="70" a="1"/>
  <c r="U18" i="70" s="1"/>
  <c r="R20" i="70" a="1"/>
  <c r="R20" i="70" s="1"/>
  <c r="G20" i="70"/>
  <c r="I20" i="70" s="1"/>
  <c r="X20" i="70"/>
  <c r="J18" i="70" a="1"/>
  <c r="J18" i="70" s="1"/>
  <c r="T22" i="70" a="1"/>
  <c r="T22" i="70" s="1"/>
  <c r="G22" i="70"/>
  <c r="I22" i="70" s="1"/>
  <c r="W22" i="70"/>
  <c r="S21" i="70" a="1"/>
  <c r="S21" i="70" s="1"/>
  <c r="O20" i="70" a="1"/>
  <c r="O20" i="70" s="1"/>
  <c r="M19" i="70" a="1"/>
  <c r="M19" i="70" s="1"/>
  <c r="T18" i="70" a="1"/>
  <c r="T18" i="70" s="1"/>
  <c r="W21" i="70"/>
  <c r="Q18" i="70" a="1"/>
  <c r="Q18" i="70" s="1"/>
  <c r="L21" i="70" a="1"/>
  <c r="L21" i="70" s="1"/>
  <c r="L18" i="70" a="1"/>
  <c r="L18" i="70" s="1"/>
  <c r="S22" i="70" a="1"/>
  <c r="S22" i="70" s="1"/>
  <c r="X22" i="70"/>
  <c r="T21" i="70" a="1"/>
  <c r="T21" i="70" s="1"/>
  <c r="P20" i="70" a="1"/>
  <c r="P20" i="70" s="1"/>
  <c r="N19" i="70" a="1"/>
  <c r="N19" i="70" s="1"/>
  <c r="S18" i="70" a="1"/>
  <c r="S18" i="70" s="1"/>
  <c r="G21" i="70"/>
  <c r="I21" i="70" s="1"/>
  <c r="N18" i="70" a="1"/>
  <c r="N18" i="70" s="1"/>
  <c r="K20" i="70" a="1"/>
  <c r="K20" i="70" s="1"/>
  <c r="Q21" i="70" a="1"/>
  <c r="Q21" i="70" s="1"/>
  <c r="J22" i="70" a="1"/>
  <c r="J22" i="70" s="1"/>
  <c r="F21" i="70"/>
  <c r="U21" i="70" a="1"/>
  <c r="U21" i="70" s="1"/>
  <c r="Q20" i="70" a="1"/>
  <c r="Q20" i="70" s="1"/>
  <c r="O19" i="70" a="1"/>
  <c r="O19" i="70" s="1"/>
  <c r="R18" i="70" a="1"/>
  <c r="R18" i="70" s="1"/>
  <c r="K22" i="70" a="1"/>
  <c r="K22" i="70" s="1"/>
  <c r="P19" i="70" a="1"/>
  <c r="P19" i="70" s="1"/>
  <c r="O22" i="70" a="1"/>
  <c r="O22" i="70" s="1"/>
  <c r="M18" i="70" a="1"/>
  <c r="M18" i="70" s="1"/>
  <c r="P22" i="70" a="1"/>
  <c r="P22" i="70" s="1"/>
  <c r="O21" i="70" a="1"/>
  <c r="O21" i="70" s="1"/>
  <c r="X19" i="70"/>
  <c r="P21" i="70" a="1"/>
  <c r="P21" i="70" s="1"/>
  <c r="M20" i="70" a="1"/>
  <c r="M20" i="70" s="1"/>
  <c r="W18" i="70"/>
  <c r="F18" i="70"/>
  <c r="L22" i="70" a="1"/>
  <c r="L22" i="70" s="1"/>
  <c r="X21" i="70"/>
  <c r="S20" i="70" a="1"/>
  <c r="S20" i="70" s="1"/>
  <c r="Q19" i="70" a="1"/>
  <c r="Q19" i="70" s="1"/>
  <c r="P18" i="70" a="1"/>
  <c r="P18" i="70" s="1"/>
  <c r="K21" i="70" a="1"/>
  <c r="K21" i="70" s="1"/>
  <c r="S19" i="70" a="1"/>
  <c r="S19" i="70" s="1"/>
  <c r="T19" i="70" a="1"/>
  <c r="T19" i="70" s="1"/>
  <c r="U19" i="70" a="1"/>
  <c r="U19" i="70" s="1"/>
  <c r="L20" i="70" a="1"/>
  <c r="L20" i="70" s="1"/>
  <c r="M22" i="70" a="1"/>
  <c r="M22" i="70" s="1"/>
  <c r="J21" i="70" a="1"/>
  <c r="J21" i="70" s="1"/>
  <c r="G19" i="70"/>
  <c r="I19" i="70" s="1"/>
  <c r="T20" i="70" a="1"/>
  <c r="T20" i="70" s="1"/>
  <c r="R19" i="70" a="1"/>
  <c r="R19" i="70" s="1"/>
  <c r="O18" i="70" a="1"/>
  <c r="O18" i="70" s="1"/>
  <c r="N22" i="70" a="1"/>
  <c r="N22" i="70" s="1"/>
  <c r="F20" i="70"/>
  <c r="U20" i="70" a="1"/>
  <c r="U20" i="70" s="1"/>
  <c r="W20" i="70"/>
  <c r="M21" i="70" a="1"/>
  <c r="M21" i="70" s="1"/>
  <c r="J19" i="70" a="1"/>
  <c r="J19" i="70" s="1"/>
  <c r="G18" i="70"/>
  <c r="I18" i="70" s="1"/>
  <c r="Q22" i="70" a="1"/>
  <c r="Q22" i="70" s="1"/>
  <c r="N21" i="70" a="1"/>
  <c r="N21" i="70" s="1"/>
  <c r="J20" i="70" a="1"/>
  <c r="J20" i="70" s="1"/>
  <c r="F19" i="70"/>
  <c r="W19" i="70"/>
  <c r="K18" i="70" a="1"/>
  <c r="K18" i="70" s="1"/>
  <c r="R22" i="70" a="1"/>
  <c r="R22" i="70" s="1"/>
  <c r="X18" i="70"/>
  <c r="K19" i="70" a="1"/>
  <c r="K19" i="70" s="1"/>
  <c r="P27" i="70"/>
  <c r="D23" i="116" a="1"/>
  <c r="D23" i="116" s="1"/>
  <c r="D59" i="115" a="1"/>
  <c r="D59" i="115" s="1"/>
  <c r="D19" i="115" a="1"/>
  <c r="F37" i="115" s="1" a="1"/>
  <c r="F37" i="115" s="1"/>
  <c r="G37" i="115" s="1" a="1"/>
  <c r="G37" i="115" s="1"/>
  <c r="P26" i="70"/>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19" i="69" a="1"/>
  <c r="E19" i="69" s="1"/>
  <c r="E33" i="69" a="1"/>
  <c r="E33" i="69" s="1"/>
  <c r="E32" i="69" a="1"/>
  <c r="E32" i="69" s="1"/>
  <c r="E31" i="69" a="1"/>
  <c r="E31" i="69" s="1"/>
  <c r="E30" i="69" a="1"/>
  <c r="E30" i="69" s="1"/>
  <c r="E29" i="69" a="1"/>
  <c r="E29" i="69" s="1"/>
  <c r="E28" i="69" a="1"/>
  <c r="E28" i="69" s="1"/>
  <c r="V21" i="70"/>
  <c r="V18" i="70"/>
  <c r="V20" i="70"/>
  <c r="V22" i="70"/>
  <c r="V19"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1" i="69" l="1"/>
  <c r="W52" i="69"/>
  <c r="T52" i="69"/>
  <c r="U52" i="69" s="1"/>
  <c r="Q52" i="69"/>
  <c r="S52" i="69" a="1"/>
  <c r="S52" i="69" s="1"/>
  <c r="R52" i="69" a="1"/>
  <c r="R52" i="69" s="1"/>
  <c r="E37" i="74" a="1"/>
  <c r="E37" i="74" s="1"/>
  <c r="G37" i="74" s="1" a="1"/>
  <c r="G37" i="74" s="1"/>
  <c r="E76" i="74" s="1" a="1"/>
  <c r="E76" i="74" s="1"/>
  <c r="G26" i="69" a="1"/>
  <c r="G26" i="69" s="1"/>
  <c r="E30" i="116" s="1"/>
  <c r="F30" i="116" s="1" a="1"/>
  <c r="F30" i="116" s="1"/>
  <c r="E22" i="74" a="1"/>
  <c r="E22" i="74" s="1"/>
  <c r="G22" i="74" s="1" a="1"/>
  <c r="G22" i="74" s="1"/>
  <c r="E61" i="74" s="1" a="1"/>
  <c r="E61" i="74" s="1"/>
  <c r="E19" i="74" a="1"/>
  <c r="E19" i="74" s="1"/>
  <c r="G19" i="74" s="1" a="1"/>
  <c r="G19" i="74" s="1"/>
  <c r="E58" i="74" s="1" a="1"/>
  <c r="E58" i="74" s="1"/>
  <c r="G20" i="69" a="1"/>
  <c r="G20" i="69" s="1"/>
  <c r="E24" i="116" s="1"/>
  <c r="F24" i="116" s="1" a="1"/>
  <c r="F24" i="116" s="1"/>
  <c r="E31" i="74" a="1"/>
  <c r="E31" i="74" s="1"/>
  <c r="G31" i="74" s="1" a="1"/>
  <c r="G31" i="74" s="1"/>
  <c r="E70" i="74" s="1" a="1"/>
  <c r="E70" i="74" s="1"/>
  <c r="E35" i="74" a="1"/>
  <c r="E35" i="74" s="1"/>
  <c r="G35" i="74" s="1" a="1"/>
  <c r="G35" i="74" s="1"/>
  <c r="E74" i="74" s="1" a="1"/>
  <c r="E74" i="74" s="1"/>
  <c r="G25" i="69" a="1"/>
  <c r="G25" i="69" s="1"/>
  <c r="E29" i="116" s="1"/>
  <c r="F29" i="116" s="1" a="1"/>
  <c r="F29" i="116" s="1"/>
  <c r="G23" i="69" a="1"/>
  <c r="G23" i="69" s="1"/>
  <c r="E27" i="116" s="1"/>
  <c r="F27" i="116" s="1" a="1"/>
  <c r="F27" i="116"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31" i="116" s="1"/>
  <c r="F31" i="116" s="1" a="1"/>
  <c r="F31" i="116" s="1"/>
  <c r="E21" i="74" a="1"/>
  <c r="E21" i="74" s="1"/>
  <c r="G21" i="74" s="1" a="1"/>
  <c r="G21" i="74" s="1"/>
  <c r="E60" i="74" s="1" a="1"/>
  <c r="E60" i="74" s="1"/>
  <c r="G21" i="69" a="1"/>
  <c r="G21" i="69" s="1"/>
  <c r="E25" i="116" s="1"/>
  <c r="F25" i="116" s="1" a="1"/>
  <c r="F25" i="116" s="1"/>
  <c r="E28" i="74" a="1"/>
  <c r="E28" i="74" s="1"/>
  <c r="G28" i="74" s="1" a="1"/>
  <c r="G28" i="74" s="1"/>
  <c r="E67" i="74" s="1" a="1"/>
  <c r="E67" i="74" s="1"/>
  <c r="G29" i="69" a="1"/>
  <c r="G29" i="69" s="1"/>
  <c r="E33" i="116" s="1"/>
  <c r="F33" i="116" s="1" a="1"/>
  <c r="F33" i="116" s="1"/>
  <c r="G28" i="69" a="1"/>
  <c r="G28" i="69" s="1"/>
  <c r="E32" i="116" s="1"/>
  <c r="F32" i="116" s="1" a="1"/>
  <c r="F32" i="116" s="1"/>
  <c r="G35" i="69" a="1"/>
  <c r="G35" i="69" s="1"/>
  <c r="E39" i="116" s="1"/>
  <c r="F39" i="116" s="1" a="1"/>
  <c r="F39" i="116" s="1"/>
  <c r="G31" i="69" a="1"/>
  <c r="G31" i="69" s="1"/>
  <c r="E35" i="116" s="1"/>
  <c r="F35" i="116" s="1" a="1"/>
  <c r="F35" i="116"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G19" i="69" a="1"/>
  <c r="G19" i="69" s="1"/>
  <c r="E23" i="116" s="1"/>
  <c r="F23" i="116" s="1" a="1"/>
  <c r="F23" i="116" s="1"/>
  <c r="E32" i="74" a="1"/>
  <c r="E32" i="74" s="1"/>
  <c r="G32" i="74" s="1" a="1"/>
  <c r="G32" i="74" s="1"/>
  <c r="E71" i="74" s="1" a="1"/>
  <c r="E71" i="74" s="1"/>
  <c r="G34" i="69" a="1"/>
  <c r="G34" i="69" s="1"/>
  <c r="E38" i="116" s="1"/>
  <c r="F38" i="116" s="1" a="1"/>
  <c r="F38" i="116" s="1"/>
  <c r="E20" i="74" a="1"/>
  <c r="E20" i="74" s="1"/>
  <c r="G20" i="74" s="1" a="1"/>
  <c r="G20" i="74" s="1"/>
  <c r="E59" i="74" s="1" a="1"/>
  <c r="E59" i="74" s="1"/>
  <c r="G33" i="69" a="1"/>
  <c r="G33" i="69" s="1"/>
  <c r="E37" i="116" s="1"/>
  <c r="F37" i="116" s="1" a="1"/>
  <c r="F37" i="116" s="1"/>
  <c r="G32" i="69" a="1"/>
  <c r="G32" i="69" s="1"/>
  <c r="E36" i="116" s="1"/>
  <c r="F36" i="116" s="1" a="1"/>
  <c r="F36" i="116" s="1"/>
  <c r="G30" i="69" a="1"/>
  <c r="G30" i="69" s="1"/>
  <c r="E34" i="116" s="1"/>
  <c r="F34" i="116" s="1" a="1"/>
  <c r="F34" i="116" s="1"/>
  <c r="E27" i="74" a="1"/>
  <c r="E27" i="74" s="1"/>
  <c r="G27" i="74" s="1" a="1"/>
  <c r="G27" i="74" s="1"/>
  <c r="E66" i="74" s="1" a="1"/>
  <c r="E66" i="74" s="1"/>
  <c r="G22" i="69" a="1"/>
  <c r="G22" i="69" s="1"/>
  <c r="E26" i="116" s="1"/>
  <c r="F26" i="116" s="1" a="1"/>
  <c r="F26" i="116" s="1"/>
  <c r="E24" i="74" a="1"/>
  <c r="E24" i="74" s="1"/>
  <c r="G24" i="74" s="1" a="1"/>
  <c r="G24" i="74" s="1"/>
  <c r="E63" i="74" s="1" a="1"/>
  <c r="E63" i="74" s="1"/>
  <c r="G24" i="69" a="1"/>
  <c r="G24" i="69" s="1"/>
  <c r="E28" i="116" s="1"/>
  <c r="F28" i="116" s="1" a="1"/>
  <c r="F28" i="116" s="1"/>
  <c r="G36" i="69" a="1"/>
  <c r="G36" i="69" s="1"/>
  <c r="E40" i="116" s="1"/>
  <c r="F40" i="116" s="1" a="1"/>
  <c r="F40" i="116" s="1"/>
  <c r="O50" i="69"/>
  <c r="Q51" i="69"/>
  <c r="T51" i="69"/>
  <c r="U51" i="69" s="1"/>
  <c r="S51" i="69" a="1"/>
  <c r="S51" i="69" s="1"/>
  <c r="R51" i="69" a="1"/>
  <c r="R51" i="69" s="1"/>
  <c r="O45" i="69" a="1"/>
  <c r="G30" i="74" a="1"/>
  <c r="G30" i="74" s="1"/>
  <c r="E69" i="74" s="1" a="1"/>
  <c r="E69" i="74" s="1"/>
  <c r="V52" i="69" l="1" a="1"/>
  <c r="V52" i="69" s="1"/>
  <c r="W49" i="69"/>
  <c r="S49" i="69" a="1"/>
  <c r="S49" i="69" s="1"/>
  <c r="T49" i="69"/>
  <c r="U49" i="69" s="1"/>
  <c r="R49" i="69" a="1"/>
  <c r="R49" i="69" s="1"/>
  <c r="Q49" i="69"/>
  <c r="W47" i="69"/>
  <c r="W48" i="69"/>
  <c r="R48" i="69" a="1"/>
  <c r="R48" i="69" s="1"/>
  <c r="T48" i="69"/>
  <c r="U48" i="69" s="1"/>
  <c r="S48" i="69" a="1"/>
  <c r="S48" i="69" s="1"/>
  <c r="Q48" i="69"/>
  <c r="S47" i="69" a="1"/>
  <c r="S47" i="69" s="1"/>
  <c r="W46" i="69"/>
  <c r="T50" i="69"/>
  <c r="U50" i="69" s="1"/>
  <c r="W50" i="69"/>
  <c r="E37" i="115"/>
  <c r="H37" i="115" s="1" a="1"/>
  <c r="H37" i="115" s="1"/>
  <c r="E77" i="115" s="1"/>
  <c r="F77" i="115" s="1" a="1"/>
  <c r="F77" i="115" s="1"/>
  <c r="E41" i="116"/>
  <c r="F41" i="116" s="1" a="1"/>
  <c r="F41" i="116" s="1"/>
  <c r="E43" i="116" s="1"/>
  <c r="J89" i="116" s="1"/>
  <c r="E94" i="116" s="1" a="1"/>
  <c r="E94" i="116" s="1"/>
  <c r="E78" i="74"/>
  <c r="S50" i="69" a="1"/>
  <c r="S50" i="69" s="1"/>
  <c r="R50" i="69" a="1"/>
  <c r="R50" i="69" s="1"/>
  <c r="Q50" i="69"/>
  <c r="V51" i="69" a="1"/>
  <c r="V51" i="69"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R47" i="69" a="1"/>
  <c r="R47" i="69" s="1"/>
  <c r="Q47" i="69"/>
  <c r="V48" i="69" l="1" a="1"/>
  <c r="V48" i="69" s="1"/>
  <c r="V49" i="69" a="1"/>
  <c r="V49" i="69" s="1"/>
  <c r="S45" i="69" a="1"/>
  <c r="S45" i="69" s="1"/>
  <c r="W45" i="69"/>
  <c r="V50" i="69" a="1"/>
  <c r="V50" i="69" s="1"/>
  <c r="E79" i="115"/>
  <c r="E13" i="13" s="1"/>
  <c r="F13" i="13" s="1"/>
  <c r="T45" i="69"/>
  <c r="U45" i="69" s="1"/>
  <c r="H10" i="13"/>
  <c r="I10" i="13" s="1"/>
  <c r="E10" i="13"/>
  <c r="F10" i="13" s="1"/>
  <c r="E14" i="13"/>
  <c r="F14" i="13" s="1"/>
  <c r="G96" i="116"/>
  <c r="E99" i="116" s="1" a="1"/>
  <c r="E99" i="116" s="1"/>
  <c r="H14" i="13" s="1"/>
  <c r="I14" i="13" s="1"/>
  <c r="Q45" i="69"/>
  <c r="R45" i="69" a="1"/>
  <c r="R45" i="69" s="1"/>
  <c r="V46" i="69" a="1"/>
  <c r="V46" i="69" s="1"/>
  <c r="V47" i="69" a="1"/>
  <c r="V47" i="69" s="1"/>
  <c r="S74" i="69"/>
  <c r="I55" i="69"/>
  <c r="E78" i="69" s="1" a="1"/>
  <c r="E78" i="69" s="1"/>
  <c r="G81" i="115" l="1"/>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31" i="15" l="1"/>
  <c r="E32" i="15" s="1"/>
  <c r="K48" i="113" s="1"/>
  <c r="K45" i="113" s="1"/>
  <c r="E50" i="113" s="1" a="1"/>
  <c r="E50" i="113" s="1"/>
  <c r="E80"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52" i="113" l="1"/>
  <c r="E55" i="113" s="1" a="1"/>
  <c r="E55" i="113" s="1"/>
  <c r="H11" i="13" s="1"/>
  <c r="I11" i="13" s="1"/>
  <c r="E11" i="13"/>
  <c r="F11" i="13" s="1"/>
  <c r="G82" i="69"/>
  <c r="E85" i="69" s="1" a="1"/>
  <c r="E85" i="69" s="1"/>
  <c r="H9" i="13" s="1"/>
  <c r="E9" i="13"/>
  <c r="N88" i="69"/>
  <c r="H15" i="13" l="1"/>
  <c r="P90" i="69"/>
  <c r="N93" i="69" s="1" a="1"/>
  <c r="N93" i="69" s="1"/>
  <c r="I9" i="13" s="1"/>
  <c r="I15" i="13" s="1"/>
  <c r="F9" i="13"/>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<sst xmlns="http://schemas.openxmlformats.org/spreadsheetml/2006/main" count="547" uniqueCount="329">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</sst>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304</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306</v>
      </c>
      <c r="E5" s="85"/>
      <c r="F5" s="85"/>
      <c r="G5" s="85"/>
      <c r="H5" s="85"/>
      <c r="I5" s="85"/>
      <c r="J5" s="85"/>
      <c r="K5" s="85"/>
      <c r="L5" s="85"/>
      <c r="M5" s="85"/>
      <c r="N5" s="85"/>
      <c r="O5" s="81"/>
    </row>
    <row r="6" spans="1:42" ht="20.100000000000001" customHeight="1" x14ac:dyDescent="0.25">
      <c r="A6" s="16"/>
      <c r="D6" s="175" t="s">
        <v>307</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67</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301</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300</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80</v>
      </c>
      <c r="E8" s="104" t="s">
        <v>93</v>
      </c>
      <c r="F8" s="104" t="s">
        <v>94</v>
      </c>
      <c r="G8" s="104" t="s">
        <v>87</v>
      </c>
      <c r="H8" s="104" t="s">
        <v>95</v>
      </c>
      <c r="I8" s="104" t="s">
        <v>96</v>
      </c>
      <c r="J8" s="104" t="s">
        <v>88</v>
      </c>
      <c r="K8" s="22"/>
    </row>
    <row r="9" spans="1:11" ht="20.100000000000001" customHeight="1" x14ac:dyDescent="0.25">
      <c r="A9" s="17" t="str">
        <f>HYPERLINK("#'Input - Fertiliser'!A1", "Fertiliser")</f>
        <v>Fertiliser</v>
      </c>
      <c r="C9" s="22"/>
      <c r="D9" s="1" t="s">
        <v>293</v>
      </c>
      <c r="E9" s="170">
        <f>'5.1.1.1-2 Inorganic fert N2O'!$E$80</f>
        <v>0.1431067</v>
      </c>
      <c r="F9" s="170">
        <f>'5.1.1.1-2 Inorganic fert N2O'!$N$88</f>
        <v>0.1431067</v>
      </c>
      <c r="G9" s="52" t="s">
        <v>99</v>
      </c>
      <c r="H9" s="102">
        <f>'5.1.1.1-2 Inorganic fert N2O'!E85</f>
        <v>37.923275500000003</v>
      </c>
      <c r="I9" s="102">
        <f>'5.1.1.1-2 Inorganic fert N2O'!N93</f>
        <v>37.923275500000003</v>
      </c>
      <c r="J9" s="52" t="s">
        <v>91</v>
      </c>
      <c r="K9" s="22"/>
    </row>
    <row r="10" spans="1:11" ht="20.100000000000001" customHeight="1" x14ac:dyDescent="0.25">
      <c r="A10" s="17"/>
      <c r="C10" s="22"/>
      <c r="D10" s="1" t="s">
        <v>294</v>
      </c>
      <c r="E10" s="170">
        <f>'5.1.1.3-4 Inorganic fert CO2'!$E$78</f>
        <v>7.333333333333333</v>
      </c>
      <c r="F10" s="170">
        <f>E10</f>
        <v>7.333333333333333</v>
      </c>
      <c r="G10" s="52" t="s">
        <v>258</v>
      </c>
      <c r="H10" s="102">
        <f>'5.1.1.3-4 Inorganic fert CO2'!$E$78</f>
        <v>7.333333333333333</v>
      </c>
      <c r="I10" s="102">
        <f>H10</f>
        <v>7.333333333333333</v>
      </c>
      <c r="J10" s="52" t="s">
        <v>91</v>
      </c>
      <c r="K10" s="22"/>
    </row>
    <row r="11" spans="1:11" ht="20.100000000000001" customHeight="1" x14ac:dyDescent="0.25">
      <c r="A11" s="19" t="s">
        <v>67</v>
      </c>
      <c r="C11" s="22"/>
      <c r="D11" s="1" t="s">
        <v>295</v>
      </c>
      <c r="E11" s="170">
        <f>'5.2.1.1-2 Organic Fert N2O'!$E$50</f>
        <v>5.5785714285714293E-3</v>
      </c>
      <c r="F11" s="170">
        <f>E11</f>
        <v>5.5785714285714293E-3</v>
      </c>
      <c r="G11" s="52" t="s">
        <v>99</v>
      </c>
      <c r="H11" s="102">
        <f>'5.2.1.1-2 Organic Fert N2O'!$E$55</f>
        <v>1.4783214285714288</v>
      </c>
      <c r="I11" s="102">
        <f>H11</f>
        <v>1.4783214285714288</v>
      </c>
      <c r="J11" s="52" t="s">
        <v>91</v>
      </c>
      <c r="K11" s="22"/>
    </row>
    <row r="12" spans="1:11" ht="20.100000000000001" customHeight="1" x14ac:dyDescent="0.25">
      <c r="A12" s="17" t="str">
        <f>HYPERLINK("#'5.1.1.1-2 Inorganic Fert N2O'!A1", "5.1.1.1-2 Inorganic Fert N2O")</f>
        <v>5.1.1.1-2 Inorganic Fert N2O</v>
      </c>
      <c r="C12" s="22"/>
      <c r="D12" s="1" t="s">
        <v>296</v>
      </c>
      <c r="E12" s="170">
        <f>'5.3.1.1-2 Lime CO2'!$E$31</f>
        <v>75.808333333333337</v>
      </c>
      <c r="F12" s="170">
        <f>E12</f>
        <v>75.808333333333337</v>
      </c>
      <c r="G12" s="52" t="s">
        <v>258</v>
      </c>
      <c r="H12" s="102">
        <f>'5.3.1.1-2 Lime CO2'!$E$31</f>
        <v>75.808333333333337</v>
      </c>
      <c r="I12" s="102">
        <f>H12</f>
        <v>75.808333333333337</v>
      </c>
      <c r="J12" s="52" t="s">
        <v>91</v>
      </c>
      <c r="K12" s="22"/>
    </row>
    <row r="13" spans="1:11" ht="20.100000000000001" customHeight="1" x14ac:dyDescent="0.25">
      <c r="A13" s="17" t="str">
        <f>HYPERLINK("#'5.1.1.3-4 Inorganic fert CO2'!A1", "5.1.1.3-4 Inorganic fert CO2")</f>
        <v>5.1.1.3-4 Inorganic fert CO2</v>
      </c>
      <c r="C13" s="22"/>
      <c r="D13" s="1" t="s">
        <v>297</v>
      </c>
      <c r="E13" s="170">
        <f>'5.4.1.1-4 Atmos deposition'!E79 + '5.4.1.1-4 Atmos deposition'!$E$146</f>
        <v>1.5692930000000001E-2</v>
      </c>
      <c r="F13" s="170">
        <f>E13</f>
        <v>1.5692930000000001E-2</v>
      </c>
      <c r="G13" s="52" t="s">
        <v>99</v>
      </c>
      <c r="H13" s="102">
        <f>'5.4.1.1-4 Atmos deposition'!E84 + '5.4.1.1-4 Atmos deposition'!$E$151</f>
        <v>4.1586264499999999</v>
      </c>
      <c r="I13" s="102">
        <f>H13</f>
        <v>4.1586264499999999</v>
      </c>
      <c r="J13" s="52" t="s">
        <v>91</v>
      </c>
      <c r="K13" s="22"/>
    </row>
    <row r="14" spans="1:11" ht="20.100000000000001" customHeight="1" x14ac:dyDescent="0.25">
      <c r="A14" s="17" t="str">
        <f>HYPERLINK("#'5.2.1.1-2 Organic Fert N2O'!A1", "5.2.1.1-2 Organic Fert N2O")</f>
        <v>5.2.1.1-2 Organic Fert N2O</v>
      </c>
      <c r="C14" s="22"/>
      <c r="D14" s="1" t="s">
        <v>298</v>
      </c>
      <c r="E14" s="170">
        <f>'5.5.1.1-2 Leaching and runoff'!$E$94</f>
        <v>5.6917155428571425E-2</v>
      </c>
      <c r="F14" s="170">
        <f>E14</f>
        <v>5.6917155428571425E-2</v>
      </c>
      <c r="G14" s="52" t="s">
        <v>99</v>
      </c>
      <c r="H14" s="102">
        <f>'5.5.1.1-2 Leaching and runoff'!$E$99</f>
        <v>15.083046188571428</v>
      </c>
      <c r="I14" s="102">
        <f>H14</f>
        <v>15.083046188571428</v>
      </c>
      <c r="J14" s="52" t="s">
        <v>91</v>
      </c>
      <c r="K14" s="22"/>
    </row>
    <row r="15" spans="1:11" ht="20.100000000000001" customHeight="1" x14ac:dyDescent="0.3">
      <c r="A15" s="17" t="str">
        <f>HYPERLINK("#'5.3.1.1-2 Lime CO2'!A1", "5.3.1.1-2 Lime CO2")</f>
        <v>5.3.1.1-2 Lime CO2</v>
      </c>
      <c r="C15" s="22"/>
      <c r="D15" s="29" t="s">
        <v>86</v>
      </c>
      <c r="E15" s="23"/>
      <c r="F15" s="23"/>
      <c r="G15" s="29"/>
      <c r="H15" s="103">
        <f>SUM(H9:H14)</f>
        <v>141.78493623380953</v>
      </c>
      <c r="I15" s="103">
        <f>SUM(I9:I14)</f>
        <v>141.78493623380953</v>
      </c>
      <c r="J15" s="98" t="s">
        <v>91</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2" sqref="E2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326</v>
      </c>
      <c r="F7" s="2"/>
    </row>
    <row r="8" spans="1:24" ht="20.100000000000001" customHeight="1" x14ac:dyDescent="0.25">
      <c r="A8" s="108" t="str">
        <f>HYPERLINK("#'Input - Site'!A1", "Site")</f>
        <v>Site</v>
      </c>
      <c r="D8" s="10" t="s">
        <v>66</v>
      </c>
      <c r="E8" s="33" t="s">
        <v>327</v>
      </c>
    </row>
    <row r="9" spans="1:24" ht="20.100000000000001" customHeight="1" x14ac:dyDescent="0.25">
      <c r="A9" s="17" t="str">
        <f>HYPERLINK("#'Input - Fertiliser'!A1", "Fertiliser")</f>
        <v>Fertiliser</v>
      </c>
      <c r="N9" s="42"/>
    </row>
    <row r="10" spans="1:24" ht="20.100000000000001" customHeight="1" x14ac:dyDescent="0.25">
      <c r="A10" s="17"/>
      <c r="D10" s="88" t="s">
        <v>69</v>
      </c>
      <c r="E10" s="86"/>
      <c r="F10" s="89"/>
      <c r="G10" s="83"/>
      <c r="N10" s="42"/>
    </row>
    <row r="11" spans="1:24" ht="20.100000000000001" customHeight="1" x14ac:dyDescent="0.25">
      <c r="A11" s="19" t="s">
        <v>67</v>
      </c>
      <c r="N11" s="43"/>
    </row>
    <row r="12" spans="1:24" ht="20.100000000000001" customHeight="1" x14ac:dyDescent="0.25">
      <c r="A12" s="17" t="str">
        <f>HYPERLINK("#'5.1.1.1-2 Inorganic Fert N2O'!A1", "5.1.1.1-2 Inorganic Fert N2O")</f>
        <v>5.1.1.1-2 Inorganic Fert N2O</v>
      </c>
      <c r="D12" s="10" t="s">
        <v>75</v>
      </c>
      <c r="E12" s="60">
        <v>45658</v>
      </c>
      <c r="F12" s="2" t="s">
        <v>64</v>
      </c>
    </row>
    <row r="13" spans="1:24" ht="20.100000000000001" customHeight="1" x14ac:dyDescent="0.25">
      <c r="A13" s="17" t="str">
        <f>HYPERLINK("#'5.1.1.3-4 Inorganic fert CO2'!A1", "5.1.1.3-4 Inorganic fert CO2")</f>
        <v>5.1.1.3-4 Inorganic fert CO2</v>
      </c>
      <c r="D13" s="10" t="s">
        <v>76</v>
      </c>
      <c r="E13" s="64">
        <f>DATE(YEAR(E12)+1,MONTH(E12),DAY(E12))-1</f>
        <v>46022</v>
      </c>
      <c r="F13" s="2" t="s">
        <v>14</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11</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13</v>
      </c>
      <c r="E18" s="85"/>
      <c r="F18" s="85"/>
      <c r="G18" s="81"/>
    </row>
    <row r="19" spans="1:25" ht="20.100000000000001" customHeight="1" x14ac:dyDescent="0.25">
      <c r="A19" s="18" t="s">
        <v>2</v>
      </c>
      <c r="D19" s="87" t="s">
        <v>65</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5</v>
      </c>
      <c r="E21" s="39" t="s">
        <v>98</v>
      </c>
      <c r="F21" s="2" t="s">
        <v>8</v>
      </c>
    </row>
    <row r="22" spans="1:25" ht="20.100000000000001" customHeight="1" x14ac:dyDescent="0.25">
      <c r="A22"/>
      <c r="D22" s="1" t="s">
        <v>20</v>
      </c>
      <c r="E22" s="39" t="s">
        <v>29</v>
      </c>
      <c r="F22" s="2" t="s">
        <v>8</v>
      </c>
      <c r="G22" s="1"/>
    </row>
    <row r="23" spans="1:25" ht="20.100000000000001" customHeight="1" x14ac:dyDescent="0.25">
      <c r="A23" s="17"/>
      <c r="D23" s="1" t="s">
        <v>6</v>
      </c>
      <c r="E23" s="39" t="s">
        <v>74</v>
      </c>
      <c r="F23" s="2" t="s">
        <v>8</v>
      </c>
    </row>
    <row r="24" spans="1:25" ht="20.100000000000001" customHeight="1" x14ac:dyDescent="0.25">
      <c r="A24"/>
      <c r="D24" s="1" t="s">
        <v>34</v>
      </c>
      <c r="E24" s="33">
        <v>307.7</v>
      </c>
      <c r="F24" s="2" t="s">
        <v>48</v>
      </c>
    </row>
    <row r="25" spans="1:25" ht="20.100000000000001" customHeight="1" x14ac:dyDescent="0.25">
      <c r="A25"/>
      <c r="D25" s="1" t="s">
        <v>56</v>
      </c>
      <c r="E25" s="33">
        <v>18</v>
      </c>
      <c r="F25" s="2" t="s">
        <v>9</v>
      </c>
      <c r="N25" s="41"/>
    </row>
    <row r="26" spans="1:25" ht="20.100000000000001" customHeight="1" x14ac:dyDescent="0.25">
      <c r="A26"/>
      <c r="D26" s="1" t="s">
        <v>57</v>
      </c>
      <c r="E26" s="33">
        <v>601</v>
      </c>
      <c r="F26" s="2" t="s">
        <v>10</v>
      </c>
    </row>
    <row r="27" spans="1:25" ht="20.100000000000001" customHeight="1" x14ac:dyDescent="0.25">
      <c r="A27"/>
      <c r="D27" s="10" t="s">
        <v>58</v>
      </c>
      <c r="E27" s="33">
        <v>1326</v>
      </c>
      <c r="F27" s="2" t="s">
        <v>10</v>
      </c>
    </row>
    <row r="28" spans="1:25" ht="20.100000000000001" customHeight="1" x14ac:dyDescent="0.25">
      <c r="A28"/>
      <c r="D28" s="1" t="s">
        <v>59</v>
      </c>
      <c r="E28" s="33">
        <v>7</v>
      </c>
      <c r="F28" s="2" t="s">
        <v>49</v>
      </c>
    </row>
    <row r="29" spans="1:25" ht="20.100000000000001" customHeight="1" x14ac:dyDescent="0.25">
      <c r="A29"/>
      <c r="D29" s="10" t="s">
        <v>55</v>
      </c>
      <c r="E29" s="50">
        <f>E26/E27</f>
        <v>0.45324283559577677</v>
      </c>
      <c r="F29" s="2"/>
    </row>
    <row r="30" spans="1:25" ht="20.100000000000001" customHeight="1" x14ac:dyDescent="0.25">
      <c r="A30"/>
      <c r="D30" s="10" t="s">
        <v>30</v>
      </c>
      <c r="E30" s="50" t="str">
        <f>Common_InputFunctions.Utility_LookupItemFromMinMax(E26,Table_SourceData_RainfallZones[Min rainfall],Table_SourceData_RainfallZones[Max rainfall],Table_SourceData_RainfallZones[Rainfall Zone])</f>
        <v>High rainfall</v>
      </c>
      <c r="G30" s="32"/>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71</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47</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5" zoomScale="85" zoomScaleNormal="85" workbookViewId="0">
      <selection activeCell="D18" sqref="D18:D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303</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85</v>
      </c>
      <c r="E6" s="39" t="s">
        <v>129</v>
      </c>
      <c r="F6" s="2" t="s">
        <v>8</v>
      </c>
    </row>
    <row r="7" spans="1:25" ht="20.100000000000001" customHeight="1" x14ac:dyDescent="0.25">
      <c r="A7" s="20" t="s">
        <v>1</v>
      </c>
      <c r="D7" s="1" t="s">
        <v>162</v>
      </c>
      <c r="E7" s="39" t="s">
        <v>139</v>
      </c>
      <c r="F7" s="2" t="s">
        <v>8</v>
      </c>
    </row>
    <row r="8" spans="1:25" ht="20.100000000000001" customHeight="1" x14ac:dyDescent="0.25">
      <c r="A8" s="17" t="str">
        <f>HYPERLINK("#'Input - Site'!A1", "Site")</f>
        <v>Site</v>
      </c>
      <c r="D8" s="1" t="s">
        <v>84</v>
      </c>
      <c r="E8" s="39" t="s">
        <v>328</v>
      </c>
      <c r="F8" s="2" t="s">
        <v>8</v>
      </c>
    </row>
    <row r="9" spans="1:25" ht="20.100000000000001" customHeight="1" x14ac:dyDescent="0.25">
      <c r="A9" s="108" t="str">
        <f>HYPERLINK("#'Input - Fertiliser'!A1", "Fertiliser")</f>
        <v>Fertiliser</v>
      </c>
      <c r="D9" s="1" t="s">
        <v>184</v>
      </c>
      <c r="E9" s="136">
        <v>100</v>
      </c>
      <c r="F9" s="2" t="s">
        <v>176</v>
      </c>
    </row>
    <row r="10" spans="1:25" ht="20.100000000000001" customHeight="1" x14ac:dyDescent="0.25">
      <c r="A10" s="17"/>
    </row>
    <row r="11" spans="1:25" ht="20.100000000000001" customHeight="1" x14ac:dyDescent="0.25">
      <c r="A11" s="19" t="s">
        <v>67</v>
      </c>
      <c r="D11" s="6" t="s">
        <v>144</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145</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146</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147</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148</v>
      </c>
      <c r="E17" s="117" t="s">
        <v>318</v>
      </c>
      <c r="F17" s="179" t="s">
        <v>309</v>
      </c>
      <c r="G17" s="179" t="s">
        <v>310</v>
      </c>
      <c r="H17" s="117" t="s">
        <v>149</v>
      </c>
      <c r="I17" s="117" t="s">
        <v>150</v>
      </c>
      <c r="J17" s="116" t="s">
        <v>113</v>
      </c>
      <c r="K17" s="116" t="s">
        <v>114</v>
      </c>
      <c r="L17" s="116" t="s">
        <v>115</v>
      </c>
      <c r="M17" s="116" t="s">
        <v>116</v>
      </c>
      <c r="N17" s="116" t="s">
        <v>117</v>
      </c>
      <c r="O17" s="116" t="s">
        <v>118</v>
      </c>
      <c r="P17" s="116" t="s">
        <v>119</v>
      </c>
      <c r="Q17" s="116" t="s">
        <v>120</v>
      </c>
      <c r="R17" s="116" t="s">
        <v>121</v>
      </c>
      <c r="S17" s="116" t="s">
        <v>122</v>
      </c>
      <c r="T17" s="116" t="s">
        <v>123</v>
      </c>
      <c r="U17" s="116" t="s">
        <v>124</v>
      </c>
      <c r="V17" s="116" t="s">
        <v>163</v>
      </c>
      <c r="W17" s="178" t="s">
        <v>229</v>
      </c>
      <c r="X17" s="178" t="s">
        <v>230</v>
      </c>
    </row>
    <row r="18" spans="1:24" ht="36" customHeight="1" x14ac:dyDescent="0.25">
      <c r="D18" s="122" t="s">
        <v>299</v>
      </c>
      <c r="E18" s="123">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123">
        <f>$E$9</f>
        <v>100</v>
      </c>
      <c r="I18" s="124">
        <f>(Table_Input_InorganicFertiliser_Brands[[#This Row],[Amount applied per hectare]]*Table_Input_InorganicFertiliser_Brands[[#This Row],[Density]])*Table_Input_InorganicFertiliser_Brands[[#This Row],[Application area (ha)]]</f>
        <v>12600</v>
      </c>
      <c r="J18" s="12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12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12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12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12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12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12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12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12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18" t="s">
        <v>2</v>
      </c>
      <c r="D19" s="122" t="s">
        <v>319</v>
      </c>
      <c r="E19" s="123">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123">
        <f>$E$9</f>
        <v>100</v>
      </c>
      <c r="I19" s="124">
        <f>(Table_Input_InorganicFertiliser_Brands[[#This Row],[Amount applied per hectare]]*Table_Input_InorganicFertiliser_Brands[[#This Row],[Density]])*Table_Input_InorganicFertiliser_Brands[[#This Row],[Application area (ha)]]</f>
        <v>12850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12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12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12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24" t="str">
        <f>_xlfn.XLOOKUP(Table_Input_InorganicFertiliser_Brands[[#This Row],[Product (select)]],FertiliserProducts[Product name],FertiliserProducts[Urea source])</f>
        <v/>
      </c>
      <c r="X19" s="124" t="str">
        <f>_xlfn.XLOOKUP(Table_Input_InorganicFertiliser_Brands[[#This Row],[Product (select)]],FertiliserProducts[Product name],FertiliserProducts[Ammonia source])</f>
        <v/>
      </c>
    </row>
    <row r="20" spans="1:24" ht="36" customHeight="1" x14ac:dyDescent="0.25">
      <c r="A20" s="17" t="str">
        <f>HYPERLINK("#'Constants - Fertiliser'!A1", "Constants - Fertiliser")</f>
        <v>Constants - Fertiliser</v>
      </c>
      <c r="D20" s="122" t="s">
        <v>319</v>
      </c>
      <c r="E20" s="123">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123">
        <f>$E$9</f>
        <v>100</v>
      </c>
      <c r="I20" s="124">
        <f>(Table_Input_InorganicFertiliser_Brands[[#This Row],[Amount applied per hectare]]*Table_Input_InorganicFertiliser_Brands[[#This Row],[Density]])*Table_Input_InorganicFertiliser_Brands[[#This Row],[Application area (ha)]]</f>
        <v>12850</v>
      </c>
      <c r="J20" s="12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124"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12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124"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12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12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12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12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12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24" t="str">
        <f>_xlfn.XLOOKUP(Table_Input_InorganicFertiliser_Brands[[#This Row],[Product (select)]],FertiliserProducts[Product name],FertiliserProducts[Urea source])</f>
        <v/>
      </c>
      <c r="X20" s="124" t="str">
        <f>_xlfn.XLOOKUP(Table_Input_InorganicFertiliser_Brands[[#This Row],[Product (select)]],FertiliserProducts[Product name],FertiliserProducts[Ammonia source])</f>
        <v/>
      </c>
    </row>
    <row r="21" spans="1:24" ht="36" customHeight="1" x14ac:dyDescent="0.25">
      <c r="A21" s="17" t="str">
        <f>HYPERLINK("#'Constants - Common'!A1", "Constants - Common")</f>
        <v>Constants - Common</v>
      </c>
      <c r="D21" s="122" t="s">
        <v>321</v>
      </c>
      <c r="E21" s="123">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123">
        <f>$E$9</f>
        <v>100</v>
      </c>
      <c r="I21" s="124">
        <f>(Table_Input_InorganicFertiliser_Brands[[#This Row],[Amount applied per hectare]]*Table_Input_InorganicFertiliser_Brands[[#This Row],[Density]])*Table_Input_InorganicFertiliser_Brands[[#This Row],[Application area (ha)]]</f>
        <v>12600</v>
      </c>
      <c r="J21" s="124"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124"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124"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124"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124"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124"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124"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124"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124"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124"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124"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124"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124" t="str">
        <f>_xlfn.XLOOKUP(Table_Input_InorganicFertiliser_Brands[[#This Row],[Product (select)]],FertiliserProducts[Product name],FertiliserProducts[Urea source])</f>
        <v/>
      </c>
      <c r="X21" s="124" t="str">
        <f>_xlfn.XLOOKUP(Table_Input_InorganicFertiliser_Brands[[#This Row],[Product (select)]],FertiliserProducts[Product name],FertiliserProducts[Ammonia source])</f>
        <v/>
      </c>
    </row>
    <row r="22" spans="1:24" ht="36" customHeight="1" x14ac:dyDescent="0.25">
      <c r="D22" s="122" t="s">
        <v>320</v>
      </c>
      <c r="E22" s="123">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123">
        <f>$E$9</f>
        <v>100</v>
      </c>
      <c r="I22" s="124">
        <f>(Table_Input_InorganicFertiliser_Brands[[#This Row],[Amount applied per hectare]]*Table_Input_InorganicFertiliser_Brands[[#This Row],[Density]])*Table_Input_InorganicFertiliser_Brands[[#This Row],[Application area (ha)]]</f>
        <v>15000</v>
      </c>
      <c r="J22" s="124"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124"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124"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124"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124"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124"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124"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124"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124"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124"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124"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124"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124" t="str">
        <f>_xlfn.XLOOKUP(Table_Input_InorganicFertiliser_Brands[[#This Row],[Product (select)]],FertiliserProducts[Product name],FertiliserProducts[Urea source])</f>
        <v/>
      </c>
      <c r="X22" s="124" t="str">
        <f>_xlfn.XLOOKUP(Table_Input_InorganicFertiliser_Brands[[#This Row],[Product (select)]],FertiliserProducts[Product name],FertiliserProducts[Ammonia source])</f>
        <v/>
      </c>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151</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152</v>
      </c>
      <c r="E25" s="117" t="s">
        <v>157</v>
      </c>
      <c r="F25" s="117" t="s">
        <v>149</v>
      </c>
      <c r="G25" s="117" t="s">
        <v>150</v>
      </c>
      <c r="H25" s="117" t="s">
        <v>153</v>
      </c>
      <c r="I25" s="117" t="s">
        <v>114</v>
      </c>
      <c r="J25" s="117" t="s">
        <v>115</v>
      </c>
      <c r="K25" s="117" t="s">
        <v>116</v>
      </c>
      <c r="L25" s="117" t="s">
        <v>117</v>
      </c>
      <c r="M25" s="117" t="s">
        <v>118</v>
      </c>
      <c r="N25" s="117" t="s">
        <v>119</v>
      </c>
      <c r="O25" s="117" t="s">
        <v>120</v>
      </c>
      <c r="P25" s="117" t="s">
        <v>163</v>
      </c>
      <c r="Q25" s="178" t="s">
        <v>311</v>
      </c>
      <c r="R25" s="178" t="s">
        <v>312</v>
      </c>
      <c r="S25" s="130"/>
      <c r="T25" s="130"/>
      <c r="V25" s="130"/>
      <c r="W25" s="130"/>
      <c r="X25" s="130"/>
    </row>
    <row r="26" spans="1:24" ht="36" customHeight="1" x14ac:dyDescent="0.25">
      <c r="D26" s="33" t="s">
        <v>154</v>
      </c>
      <c r="E26" s="117">
        <v>100</v>
      </c>
      <c r="F26" s="123">
        <f>$E$9</f>
        <v>100</v>
      </c>
      <c r="G26" s="124">
        <f>Table_Input_InorganicFertiliser_Custom[[#This Row],[Amount applied (kg / ha)]]*Table_Input_InorganicFertiliser_Custom[[#This Row],[Application area (ha)]]</f>
        <v>10000</v>
      </c>
      <c r="H26" s="134" t="s">
        <v>313</v>
      </c>
      <c r="I26" s="137">
        <v>0.5</v>
      </c>
      <c r="J26" s="134" t="s">
        <v>314</v>
      </c>
      <c r="K26" s="137">
        <v>0.2</v>
      </c>
      <c r="L26" s="134" t="s">
        <v>155</v>
      </c>
      <c r="M26" s="137">
        <v>0.2</v>
      </c>
      <c r="N26" s="135" t="s">
        <v>156</v>
      </c>
      <c r="O26" s="168">
        <v>0.1</v>
      </c>
      <c r="P26"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39"/>
      <c r="R26" s="39"/>
      <c r="T26" s="51"/>
    </row>
    <row r="27" spans="1:24" ht="20.100000000000001" customHeight="1" x14ac:dyDescent="0.25">
      <c r="D27" s="33" t="s">
        <v>316</v>
      </c>
      <c r="E27" s="117">
        <v>100</v>
      </c>
      <c r="F27" s="180">
        <f>$E$9</f>
        <v>100</v>
      </c>
      <c r="G27" s="124">
        <f>Table_Input_InorganicFertiliser_Custom[[#This Row],[Amount applied (kg / ha)]]*Table_Input_InorganicFertiliser_Custom[[#This Row],[Application area (ha)]]</f>
        <v>10000</v>
      </c>
      <c r="H27" s="134" t="s">
        <v>317</v>
      </c>
      <c r="I27" s="169">
        <v>1</v>
      </c>
      <c r="J27" s="134"/>
      <c r="K27" s="169"/>
      <c r="L27" s="134"/>
      <c r="M27" s="169"/>
      <c r="N27" s="135"/>
      <c r="O27" s="168"/>
      <c r="P27"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39"/>
      <c r="R27" s="39"/>
      <c r="W27" s="51"/>
    </row>
    <row r="28" spans="1:24" ht="20.100000000000001" customHeight="1" x14ac:dyDescent="0.25">
      <c r="D28" s="33" t="s">
        <v>323</v>
      </c>
      <c r="E28" s="117">
        <v>100</v>
      </c>
      <c r="F28" s="180">
        <f>$E$9</f>
        <v>100</v>
      </c>
      <c r="G28" s="124">
        <f>Table_Input_InorganicFertiliser_Custom[[#This Row],[Amount applied (kg / ha)]]*Table_Input_InorganicFertiliser_Custom[[#This Row],[Application area (ha)]]</f>
        <v>10000</v>
      </c>
      <c r="H28" s="134" t="s">
        <v>324</v>
      </c>
      <c r="I28" s="169">
        <v>0.5</v>
      </c>
      <c r="J28" s="134"/>
      <c r="K28" s="169"/>
      <c r="L28" s="134"/>
      <c r="M28" s="169"/>
      <c r="N28" s="135"/>
      <c r="O28" s="168"/>
      <c r="P28"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39"/>
      <c r="R28" s="39"/>
    </row>
    <row r="29" spans="1:24" ht="20.100000000000001" customHeight="1" x14ac:dyDescent="0.25">
      <c r="A29" s="17"/>
      <c r="V29" s="51"/>
    </row>
    <row r="30" spans="1:24" ht="20.100000000000001" customHeight="1" x14ac:dyDescent="0.25">
      <c r="A30" s="17"/>
      <c r="D30" s="6" t="s">
        <v>315</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185</v>
      </c>
      <c r="E32" s="85"/>
      <c r="F32" s="81"/>
      <c r="G32" s="106"/>
      <c r="H32" s="81"/>
      <c r="I32" s="3"/>
      <c r="J32" s="3"/>
      <c r="K32" s="22"/>
      <c r="L32" s="22"/>
      <c r="M32" s="22"/>
    </row>
    <row r="33" spans="1:25" ht="36" customHeight="1" x14ac:dyDescent="0.25">
      <c r="A33" s="17"/>
      <c r="D33" s="161" t="s">
        <v>186</v>
      </c>
      <c r="E33" s="162"/>
      <c r="F33" s="163"/>
      <c r="G33" s="161"/>
      <c r="H33" s="163"/>
      <c r="I33" s="22"/>
      <c r="J33" s="22"/>
      <c r="K33" s="22"/>
      <c r="L33" s="22"/>
      <c r="M33" s="3"/>
    </row>
    <row r="34" spans="1:25" ht="36" customHeight="1" x14ac:dyDescent="0.25">
      <c r="D34" s="87" t="s">
        <v>146</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112</v>
      </c>
      <c r="E36" s="140" t="s">
        <v>187</v>
      </c>
      <c r="F36" s="140" t="s">
        <v>149</v>
      </c>
      <c r="G36" s="140" t="s">
        <v>188</v>
      </c>
      <c r="H36" s="140" t="s">
        <v>189</v>
      </c>
      <c r="I36" s="140" t="s">
        <v>190</v>
      </c>
      <c r="J36" s="140" t="s">
        <v>191</v>
      </c>
      <c r="K36" s="140" t="s">
        <v>86</v>
      </c>
    </row>
    <row r="37" spans="1:25" ht="20.100000000000001" customHeight="1" x14ac:dyDescent="0.25">
      <c r="D37" s="141" t="s">
        <v>262</v>
      </c>
      <c r="E37" s="123">
        <v>1</v>
      </c>
      <c r="F37" s="123">
        <f>$E$9</f>
        <v>100</v>
      </c>
      <c r="G37" s="124">
        <f>IFERROR(Table_Input_Lime[[#This Row],[Amount applied (t/hectare)]]*Table_Input_Lime[[#This Row],[Application area (ha)]], 0)</f>
        <v>100</v>
      </c>
      <c r="H37" s="142">
        <v>0.8</v>
      </c>
      <c r="I37" s="142">
        <v>0.1</v>
      </c>
      <c r="J37" s="142">
        <v>0.1</v>
      </c>
      <c r="K37" s="164">
        <f>SUM(Table_Input_Lime[[#This Row],[Percent Lime CaCO3]:[Percent Gypsum]])</f>
        <v>1</v>
      </c>
    </row>
    <row r="38" spans="1:25" ht="20.100000000000001" customHeight="1" x14ac:dyDescent="0.25">
      <c r="C38" s="130"/>
      <c r="D38" s="141" t="s">
        <v>263</v>
      </c>
      <c r="E38" s="123">
        <v>1</v>
      </c>
      <c r="F38" s="123">
        <f>$E$9</f>
        <v>100</v>
      </c>
      <c r="G38" s="124">
        <f>IFERROR(Table_Input_Lime[[#This Row],[Amount applied (t/hectare)]]*Table_Input_Lime[[#This Row],[Application area (ha)]], 0)</f>
        <v>100</v>
      </c>
      <c r="H38" s="142">
        <v>1</v>
      </c>
      <c r="I38" s="142"/>
      <c r="J38" s="142"/>
      <c r="K38" s="164">
        <f>SUM(Table_Input_Lime[[#This Row],[Percent Lime CaCO3]:[Percent Gypsum]])</f>
        <v>1</v>
      </c>
      <c r="L38" s="3"/>
    </row>
    <row r="39" spans="1:25" ht="20.100000000000001" customHeight="1" x14ac:dyDescent="0.25">
      <c r="A39" s="17"/>
      <c r="C39" s="130"/>
      <c r="D39" s="141" t="s">
        <v>325</v>
      </c>
      <c r="E39" s="123">
        <v>1</v>
      </c>
      <c r="F39" s="123">
        <f>$E$9</f>
        <v>100</v>
      </c>
      <c r="G39" s="124">
        <f>IFERROR(Table_Input_Lime[[#This Row],[Amount applied (t/hectare)]]*Table_Input_Lime[[#This Row],[Application area (ha)]], 0)</f>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192</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185</v>
      </c>
      <c r="E44" s="85"/>
      <c r="F44" s="85"/>
      <c r="G44" s="85"/>
      <c r="H44" s="81"/>
      <c r="I44" s="22"/>
      <c r="J44" s="22"/>
      <c r="K44" s="22"/>
      <c r="L44" s="22"/>
      <c r="M44" s="22"/>
      <c r="O44" s="130"/>
      <c r="P44" s="130"/>
      <c r="Q44" s="130"/>
      <c r="R44" s="130"/>
    </row>
    <row r="45" spans="1:25" ht="36" customHeight="1" x14ac:dyDescent="0.25">
      <c r="D45" s="87" t="s">
        <v>146</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193</v>
      </c>
      <c r="E47" s="140" t="s">
        <v>194</v>
      </c>
      <c r="F47" s="140" t="s">
        <v>195</v>
      </c>
      <c r="G47" s="140" t="s">
        <v>196</v>
      </c>
      <c r="H47" s="140" t="s">
        <v>149</v>
      </c>
      <c r="I47" s="140" t="s">
        <v>197</v>
      </c>
      <c r="J47" s="140" t="s">
        <v>198</v>
      </c>
      <c r="K47" s="132"/>
    </row>
    <row r="48" spans="1:25" ht="20.100000000000001" customHeight="1" x14ac:dyDescent="0.25">
      <c r="D48" s="122" t="s">
        <v>239</v>
      </c>
      <c r="E48" s="142">
        <v>0.3</v>
      </c>
      <c r="F48" s="123">
        <v>10</v>
      </c>
      <c r="G48" s="124">
        <f>Table_Input_OrganicFertiliser[[#This Row],[Amount applied (kg/hectare)]]*Table_Input_OrganicFertiliser[[#This Row],[Percentage of N in fertiliser]]</f>
        <v>3</v>
      </c>
      <c r="H48" s="123">
        <f>$E$9</f>
        <v>100</v>
      </c>
      <c r="I48" s="124">
        <f>Table_Input_OrganicFertiliser[[#This Row],[Amount applied (kg/hectare)]]*Table_Input_OrganicFertiliser[[#This Row],[Application area (ha)]]</f>
        <v>1000</v>
      </c>
      <c r="J48" s="124">
        <f>IFERROR(Table_Input_OrganicFertiliser[[#This Row],[Amount N applied (kg/hectare)]]*Table_Input_OrganicFertiliser[[#This Row],[Application area (ha)]], 0)</f>
        <v>300</v>
      </c>
      <c r="K48" s="132"/>
    </row>
    <row r="49" spans="4:10" ht="20.100000000000001" customHeight="1" x14ac:dyDescent="0.25">
      <c r="D49" s="122" t="s">
        <v>237</v>
      </c>
      <c r="E49" s="142">
        <v>0.25</v>
      </c>
      <c r="F49" s="123">
        <v>10</v>
      </c>
      <c r="G49" s="124">
        <f>Table_Input_OrganicFertiliser[[#This Row],[Amount applied (kg/hectare)]]*Table_Input_OrganicFertiliser[[#This Row],[Percentage of N in fertiliser]]</f>
        <v>2.5</v>
      </c>
      <c r="H49" s="123">
        <f>$E$9</f>
        <v>100</v>
      </c>
      <c r="I49" s="124">
        <f>Table_Input_OrganicFertiliser[[#This Row],[Amount applied (kg/hectare)]]*Table_Input_OrganicFertiliser[[#This Row],[Application area (ha)]]</f>
        <v>1000</v>
      </c>
      <c r="J49" s="124">
        <f>IFERROR(Table_Input_OrganicFertiliser[[#This Row],[Amount N applied (kg/hectare)]]*Table_Input_OrganicFertiliser[[#This Row],[Application area (ha)]], 0)</f>
        <v>250</v>
      </c>
    </row>
    <row r="50" spans="4:10" ht="20.100000000000001" customHeight="1" x14ac:dyDescent="0.25">
      <c r="D50" s="122" t="s">
        <v>240</v>
      </c>
      <c r="E50" s="142">
        <v>0.16</v>
      </c>
      <c r="F50" s="123">
        <v>10</v>
      </c>
      <c r="G50" s="124">
        <f>Table_Input_OrganicFertiliser[[#This Row],[Amount applied (kg/hectare)]]*Table_Input_OrganicFertiliser[[#This Row],[Percentage of N in fertiliser]]</f>
        <v>1.6</v>
      </c>
      <c r="H50" s="123">
        <f>$E$9</f>
        <v>100</v>
      </c>
      <c r="I50" s="124">
        <f>Table_Input_OrganicFertiliser[[#This Row],[Amount applied (kg/hectare)]]*Table_Input_OrganicFertiliser[[#This Row],[Application area (ha)]]</f>
        <v>1000</v>
      </c>
      <c r="J50" s="124">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1" zoomScaleNormal="100" workbookViewId="0">
      <selection activeCell="N88" sqref="N8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200</v>
      </c>
      <c r="K1"/>
    </row>
    <row r="2" spans="1:24" s="9" customFormat="1" ht="20.100000000000001" customHeight="1" x14ac:dyDescent="0.25">
      <c r="K2"/>
    </row>
    <row r="3" spans="1:24" ht="20.100000000000001" customHeight="1" x14ac:dyDescent="0.25">
      <c r="A3" s="17" t="str">
        <f>HYPERLINK("#'Home'!A1", "Home")</f>
        <v>Home</v>
      </c>
      <c r="C3" s="4"/>
      <c r="D3" s="4" t="s">
        <v>78</v>
      </c>
      <c r="E3" s="4"/>
      <c r="F3" s="4"/>
      <c r="G3" s="4"/>
      <c r="H3" s="4"/>
      <c r="I3" s="4"/>
      <c r="J3" s="4"/>
      <c r="L3" s="4"/>
      <c r="M3" s="4" t="s">
        <v>79</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24</v>
      </c>
      <c r="N9" s="1" t="str" cm="1">
        <f t="array" ref="N9">Fertiliser_Equations_InorganicN2O.VEERG_5_1_1_2__1_EmissionFactorIrrigatedMaize_Variable()</f>
        <v>EF_fjIrrigatedMaizeN2O</v>
      </c>
    </row>
    <row r="10" spans="1:24" ht="20.100000000000001" customHeight="1" x14ac:dyDescent="0.25">
      <c r="A10" s="17"/>
      <c r="D10" s="51" t="s">
        <v>24</v>
      </c>
      <c r="E10" s="1" t="str" cm="1">
        <f t="array" ref="E10">Fertiliser_Equations_InorganicN2O.VEERG_5_1_1_1__2_MassOfNitrogenInInorganicFertiliser_Variable()</f>
        <v>MN_jf</v>
      </c>
      <c r="M10" s="51" t="s">
        <v>15</v>
      </c>
      <c r="N10" s="52" t="str" cm="1">
        <f t="array" ref="N10">Fertiliser_Equations_InorganicN2O.VEERG_5_1_1_2__1_EmissionFactorIrrigatedMaize_Unit()</f>
        <v>kg N2O-N/kg N applied</v>
      </c>
    </row>
    <row r="11" spans="1:24" ht="20.100000000000001" customHeight="1" x14ac:dyDescent="0.25">
      <c r="A11" s="19" t="s">
        <v>67</v>
      </c>
      <c r="D11" s="51" t="s">
        <v>15</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171</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143</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159</v>
      </c>
      <c r="M17" s="5" t="str" cm="1">
        <f t="array" ref="M17">Fertiliser_Equations_InorganicN2O.VEERG_5_1_1_2__2_EmissionFactorNonIrrigatedGrainsHighRainfall_Source()</f>
        <v>VEERG 2026: 5.1.1.2, Equation (2)</v>
      </c>
    </row>
    <row r="18" spans="1:19" ht="20.100000000000001" customHeight="1" x14ac:dyDescent="0.25">
      <c r="D18" s="49" t="s">
        <v>110</v>
      </c>
      <c r="E18" s="112" t="s">
        <v>142</v>
      </c>
      <c r="F18" s="49" t="s">
        <v>141</v>
      </c>
      <c r="G18" s="49" t="s">
        <v>158</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24</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15</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171</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24</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15</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171</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180</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172</v>
      </c>
      <c r="T41" s="100" t="s">
        <v>199</v>
      </c>
    </row>
    <row r="42" spans="1: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91" t="s">
        <v>170</v>
      </c>
    </row>
    <row r="43" spans="1:23" ht="20.100000000000001" customHeight="1" x14ac:dyDescent="0.25">
      <c r="F43" s="2"/>
      <c r="O43" s="118" t="s">
        <v>177</v>
      </c>
      <c r="P43" s="118" t="s">
        <v>176</v>
      </c>
      <c r="Q43" s="118" t="s">
        <v>140</v>
      </c>
      <c r="R43" s="118" t="str">
        <f>$N$10</f>
        <v>kg N2O-N/kg N applied</v>
      </c>
      <c r="S43" s="118" t="str">
        <f>$N$21</f>
        <v>kg N2O-N/kg N applied</v>
      </c>
      <c r="T43" s="118" t="s">
        <v>177</v>
      </c>
      <c r="U43" s="118" t="s">
        <v>140</v>
      </c>
      <c r="V43" s="118" t="str">
        <f>$N$33</f>
        <v>kg N2O-N/kg N applied</v>
      </c>
      <c r="W43" s="118" t="s">
        <v>178</v>
      </c>
    </row>
    <row r="44" spans="1:23" ht="20.100000000000001" customHeight="1" x14ac:dyDescent="0.25">
      <c r="F44" s="2"/>
      <c r="M44" s="49" t="s">
        <v>169</v>
      </c>
      <c r="N44" s="112" t="s">
        <v>169</v>
      </c>
      <c r="O44" s="112" t="s">
        <v>164</v>
      </c>
      <c r="P44" s="112" t="s">
        <v>165</v>
      </c>
      <c r="Q44" s="49" t="s">
        <v>166</v>
      </c>
      <c r="R44" s="49" t="str">
        <f>N9</f>
        <v>EF_fjIrrigatedMaizeN2O</v>
      </c>
      <c r="S44" s="49" t="str">
        <f>N20</f>
        <v>EF_fjNonIrrigatedGrainsN2O</v>
      </c>
      <c r="T44" s="49" t="s">
        <v>179</v>
      </c>
      <c r="U44" s="49" t="s">
        <v>175</v>
      </c>
      <c r="V44" s="49" t="str">
        <f>N32</f>
        <v>EF_fjCottonN2O</v>
      </c>
      <c r="W44" s="49" t="s">
        <v>231</v>
      </c>
    </row>
    <row r="45" spans="1:23" ht="20.100000000000001" customHeight="1" x14ac:dyDescent="0.25">
      <c r="F45" s="2"/>
      <c r="M45" s="50" t="s">
        <v>174</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24</v>
      </c>
      <c r="E46" s="1" t="str" cm="1">
        <f t="array" ref="E46">Fertiliser_Equations_InorganicN2O.VEERG_5_1_1_1__1_InorganicFertiliserApplicationN2OEmissions_Variable()</f>
        <v>E_N2O</v>
      </c>
      <c r="F46" s="2"/>
      <c r="M46" s="50" t="s">
        <v>174</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15</v>
      </c>
      <c r="E47" s="52" t="str" cm="1">
        <f t="array" ref="E47">Fertiliser_Equations_InorganicN2O.VEERG_5_1_1_1__1_InorganicFertiliserApplicationN2OEmissions_Unit()</f>
        <v>t N2O</v>
      </c>
      <c r="F47" s="2"/>
      <c r="M47" s="50" t="s">
        <v>174</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174</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174</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173</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173</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'Input - Fertiliser'!$E$6</f>
        <v>Crop</v>
      </c>
      <c r="M52" s="50" t="s">
        <v>173</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173</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Sprinkler Irrigation</v>
      </c>
      <c r="M54" s="50" t="s">
        <v>173</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High rainfall</v>
      </c>
    </row>
    <row r="56" spans="4:24" ht="20.100000000000001" customHeight="1" x14ac:dyDescent="0.25">
      <c r="F56" s="2"/>
    </row>
    <row r="57" spans="4:24" ht="20.100000000000001" customHeight="1" x14ac:dyDescent="0.25">
      <c r="D57" s="92" t="s">
        <v>167</v>
      </c>
      <c r="F57" s="2"/>
      <c r="L57" s="44"/>
      <c r="M57" s="44"/>
      <c r="N57" s="44"/>
      <c r="O57" s="44"/>
      <c r="P57" s="44"/>
      <c r="Q57" s="44"/>
      <c r="R57" s="44"/>
      <c r="S57" s="44"/>
      <c r="T57" s="44"/>
      <c r="U57" s="44"/>
      <c r="V57" s="44"/>
      <c r="W57" s="44"/>
      <c r="X57" s="44"/>
    </row>
    <row r="58" spans="4:24" ht="20.100000000000001" customHeight="1" x14ac:dyDescent="0.25">
      <c r="D58" s="91" t="s">
        <v>168</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110</v>
      </c>
      <c r="E59" s="49" t="s">
        <v>181</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24</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15</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1.6909200000000003E-2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'Input - Fertiliser'!$E$6</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183</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Sprinkler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High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169</v>
      </c>
      <c r="N76" s="49" t="s">
        <v>169</v>
      </c>
      <c r="O76" s="49" t="s">
        <v>182</v>
      </c>
      <c r="P76" s="49" t="s">
        <v>181</v>
      </c>
    </row>
    <row r="77" spans="4:19" ht="20.100000000000001" customHeight="1" x14ac:dyDescent="0.25">
      <c r="D77" s="50" t="str">
        <v>Ammonia</v>
      </c>
      <c r="E77" s="50" cm="1">
        <f t="array" ref="E77">Fertiliser_Equations_InorganicN2O.VEERG_5_1_1_1__1_InorganicFertiliserApplicationN2OEmissions(G36,$I$50,$I$51)</f>
        <v>4.5292500000000006E-2</v>
      </c>
      <c r="M77" s="50" t="s">
        <v>174</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174</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174</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160</v>
      </c>
      <c r="E80" s="95">
        <f>SUM(E60:E78)</f>
        <v>0.1431067</v>
      </c>
      <c r="F80" s="96" t="str">
        <f>$E$47</f>
        <v>t N2O</v>
      </c>
      <c r="M80" s="50" t="s">
        <v>174</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174</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0.1431067</v>
      </c>
      <c r="M82" s="50" t="s">
        <v>173</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173</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173</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77</v>
      </c>
      <c r="E85" s="44" cm="1">
        <f t="array" ref="E85">Common_Equations.Common_ConvertN2OToCO2e(G82,G83)</f>
        <v>37.923275500000003</v>
      </c>
      <c r="F85" s="98" t="str" cm="1">
        <f t="array" ref="F85">Common_Equations.Common_ConvertN2OToCO2e_Unit()</f>
        <v>t CO2e</v>
      </c>
      <c r="M85" s="50" t="s">
        <v>173</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173</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160</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77</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61" workbookViewId="0">
      <selection activeCell="E78" sqref="E7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Fertiliser_Equations_InorganicCO2.VEERG_5_1_1_3__2_MassOfUreaInInorganicFertiliser_Variable()</f>
        <v>MU_jf</v>
      </c>
    </row>
    <row r="11" spans="1:21" ht="20.100000000000001" customHeight="1" x14ac:dyDescent="0.25">
      <c r="A11" s="19" t="s">
        <v>67</v>
      </c>
      <c r="D11" s="51" t="s">
        <v>15</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202</v>
      </c>
    </row>
    <row r="17" spans="1:7" ht="20.100000000000001" customHeight="1" x14ac:dyDescent="0.25">
      <c r="A17" s="17" t="str">
        <f>HYPERLINK("#'5.5.1.1-2 Leaching and runoff'!A1", "5.5.1.1-2 Leaching and runoff")</f>
        <v>5.5.1.1-2 Leaching and runoff</v>
      </c>
      <c r="D17" s="91" t="s">
        <v>203</v>
      </c>
    </row>
    <row r="18" spans="1:7" ht="20.100000000000001" customHeight="1" x14ac:dyDescent="0.25">
      <c r="D18" s="49" t="s">
        <v>110</v>
      </c>
      <c r="E18" s="112" t="s">
        <v>142</v>
      </c>
      <c r="F18" s="49" t="s">
        <v>204</v>
      </c>
      <c r="G18" s="49" t="s">
        <v>207</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Fertiliser_Equations_InorganicCO2.VEERG_5_1_1_3__1_InorganicFertiliserApplicationCO2Emissions_Variable()</f>
        <v>E_CO2</v>
      </c>
    </row>
    <row r="47" spans="1:12" ht="20.100000000000001" customHeight="1" x14ac:dyDescent="0.25">
      <c r="D47" s="51" t="s">
        <v>15</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'Input - Fertiliser'!$E$6</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205</v>
      </c>
    </row>
    <row r="56" spans="4:9" ht="20.100000000000001" customHeight="1" x14ac:dyDescent="0.25">
      <c r="D56" s="91" t="s">
        <v>206</v>
      </c>
    </row>
    <row r="57" spans="4:9" ht="20.100000000000001" customHeight="1" x14ac:dyDescent="0.25">
      <c r="D57" s="49" t="s">
        <v>110</v>
      </c>
      <c r="E57" s="49" t="s">
        <v>181</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232</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workbookViewId="0">
      <selection activeCell="F62" sqref="F6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Fertiliser_Equations_OrganicN2O.VEERG_5_2_1_1__2_MassOfNitrogenInOrganicFertiliser_Variable()</f>
        <v>MNSoil_jf</v>
      </c>
    </row>
    <row r="11" spans="1:21" ht="20.100000000000001" customHeight="1" x14ac:dyDescent="0.25">
      <c r="A11" s="19" t="s">
        <v>67</v>
      </c>
      <c r="D11" s="51" t="s">
        <v>15</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241</v>
      </c>
    </row>
    <row r="18" spans="1:10" ht="20.100000000000001" customHeight="1" x14ac:dyDescent="0.25">
      <c r="D18" s="91" t="s">
        <v>248</v>
      </c>
    </row>
    <row r="19" spans="1:10" ht="20.100000000000001" customHeight="1" x14ac:dyDescent="0.25">
      <c r="A19" s="18" t="s">
        <v>2</v>
      </c>
      <c r="D19" s="112" t="s">
        <v>242</v>
      </c>
      <c r="E19" s="112" t="s">
        <v>243</v>
      </c>
      <c r="F19" s="112" t="s">
        <v>149</v>
      </c>
      <c r="G19" s="148" t="s">
        <v>244</v>
      </c>
      <c r="H19" s="148" t="s">
        <v>245</v>
      </c>
      <c r="I19" s="148" t="s">
        <v>246</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247</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21</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24</v>
      </c>
      <c r="E41" s="1" t="str" cm="1">
        <f t="array" ref="E41">Fertiliser_Equations_OrganicN2O.VEERG_5_2_1_1__1_OrganicFertiliserApplicationN2OEmissions_Variable()</f>
        <v>E_N2O</v>
      </c>
    </row>
    <row r="42" spans="1:12" ht="20.100000000000001" customHeight="1" x14ac:dyDescent="0.25">
      <c r="D42" s="51" t="s">
        <v>15</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160</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77</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2" workbookViewId="0">
      <selection activeCell="E31" sqref="E3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21</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Fertiliser_Equations_Lime.VEERG_5_3_1_1__1_LimeApplicationCO2Emissions_Variable()</f>
        <v>E_lime</v>
      </c>
    </row>
    <row r="11" spans="1:21" ht="20.100000000000001" customHeight="1" x14ac:dyDescent="0.25">
      <c r="A11" s="19" t="s">
        <v>67</v>
      </c>
      <c r="D11" s="51" t="s">
        <v>15</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259</v>
      </c>
    </row>
    <row r="23" spans="1:9" ht="20.100000000000001" customHeight="1" x14ac:dyDescent="0.25">
      <c r="A23" s="17"/>
      <c r="D23" s="91" t="s">
        <v>264</v>
      </c>
    </row>
    <row r="24" spans="1:9" ht="20.100000000000001" customHeight="1" x14ac:dyDescent="0.25">
      <c r="D24" s="148" t="s">
        <v>252</v>
      </c>
      <c r="E24" s="49" t="s">
        <v>253</v>
      </c>
      <c r="F24" s="49" t="s">
        <v>254</v>
      </c>
      <c r="G24" s="49" t="s">
        <v>255</v>
      </c>
      <c r="H24" s="49" t="s">
        <v>256</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257</v>
      </c>
      <c r="E31" s="95">
        <f>SUM(H25:H29)</f>
        <v>75.808333333333337</v>
      </c>
      <c r="F31" s="160" t="s">
        <v>258</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21"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282</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Fertiliser_Equations_AtmosphericDeposition.VEERG_5_4_1_1__2_MassOfNitrogenVolatilisedFromInorganicFertiliser_Variable()</f>
        <v>M_volinorganicjf</v>
      </c>
    </row>
    <row r="11" spans="1:21" ht="20.100000000000001" customHeight="1" x14ac:dyDescent="0.25">
      <c r="A11" s="19" t="s">
        <v>67</v>
      </c>
      <c r="D11" s="51" t="s">
        <v>15</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269</v>
      </c>
    </row>
    <row r="17" spans="1:8" ht="20.100000000000001" customHeight="1" x14ac:dyDescent="0.25">
      <c r="A17" s="17" t="str">
        <f>HYPERLINK("#'5.5.1.1-2 Leaching and runoff'!A1", "5.5.1.1-2 Leaching and runoff")</f>
        <v>5.5.1.1-2 Leaching and runoff</v>
      </c>
      <c r="D17" s="91" t="s">
        <v>270</v>
      </c>
    </row>
    <row r="18" spans="1:8" ht="20.100000000000001" customHeight="1" x14ac:dyDescent="0.25">
      <c r="D18" s="49" t="s">
        <v>265</v>
      </c>
      <c r="E18" s="49" t="s">
        <v>266</v>
      </c>
      <c r="F18" s="49" t="s">
        <v>108</v>
      </c>
      <c r="G18" s="165" t="s">
        <v>267</v>
      </c>
      <c r="H18" s="165" t="s">
        <v>268</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'5.1.1.1-2 Inorganic fert N2O'!G28</f>
        <v>1537.2</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230.57999999999998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'5.1.1.1-2 Inorganic fert N2O'!G37</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Fertiliser_Equations_AtmosphericDeposition.VEERG_5_4_1_1__1_InorganicFertiliserAtmosphericDepositionN2OEmissions_Variable()</f>
        <v>E_adinorganic</v>
      </c>
    </row>
    <row r="47" spans="1:12" ht="20.100000000000001" customHeight="1" x14ac:dyDescent="0.25">
      <c r="D47" s="51" t="s">
        <v>15</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'Input - Fertiliser'!$E$6</f>
        <v>Crop</v>
      </c>
    </row>
    <row r="53" spans="1:10" ht="20.100000000000001" customHeight="1" x14ac:dyDescent="0.25">
      <c r="D53" s="147" t="str">
        <v>ir</v>
      </c>
      <c r="E53" s="154" t="str">
        <v>irrigation method</v>
      </c>
      <c r="F53" s="155"/>
      <c r="G53" s="153"/>
      <c r="H53" s="147" t="str">
        <v/>
      </c>
      <c r="I53" s="120" t="str">
        <v>Input</v>
      </c>
      <c r="J53" s="147" t="str">
        <f>'Input - Fertiliser'!$E$8</f>
        <v>Sprinkler Irrigation</v>
      </c>
    </row>
    <row r="54" spans="1:10" ht="20.100000000000001" customHeight="1" x14ac:dyDescent="0.25">
      <c r="D54" s="147" t="str">
        <v>r</v>
      </c>
      <c r="E54" s="154" t="str">
        <v>rainfall region</v>
      </c>
      <c r="F54" s="155"/>
      <c r="G54" s="153"/>
      <c r="H54" s="147" t="str">
        <v/>
      </c>
      <c r="I54" s="120" t="str">
        <v>Input</v>
      </c>
      <c r="J54" s="147" t="str">
        <f>'Input - Site'!$E$30</f>
        <v>High rainfall</v>
      </c>
    </row>
    <row r="55" spans="1:10" ht="20.100000000000001" customHeight="1" x14ac:dyDescent="0.25">
      <c r="A55" s="157" t="str">
        <f>HYPERLINK("#A1", "▲ Back to top")</f>
        <v>▲ Back to top</v>
      </c>
    </row>
    <row r="56" spans="1:10" ht="20.100000000000001" customHeight="1" x14ac:dyDescent="0.25">
      <c r="D56" s="92" t="s">
        <v>278</v>
      </c>
    </row>
    <row r="57" spans="1:10" ht="20.100000000000001" customHeight="1" x14ac:dyDescent="0.25">
      <c r="D57" s="91" t="s">
        <v>279</v>
      </c>
    </row>
    <row r="58" spans="1:10" ht="20.100000000000001" customHeight="1" x14ac:dyDescent="0.25">
      <c r="D58" s="49" t="s">
        <v>265</v>
      </c>
      <c r="E58" s="165" t="s">
        <v>268</v>
      </c>
      <c r="F58" s="165" t="s">
        <v>271</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230.57999999999998</v>
      </c>
      <c r="F68" s="50" cm="1">
        <f t="array" ref="F68">Fertiliser_Equations_AtmosphericDeposition.VEERG_5_4_1_1__1_InorganicFertiliserAtmosphericDepositionN2OEmissions(E68,$J$50,$J$51)</f>
        <v>2.53638E-3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276</v>
      </c>
      <c r="E79" s="95">
        <f>SUM(F59:F77)</f>
        <v>1.4052830000000001E-2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1.4052830000000001E-2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77</v>
      </c>
      <c r="E84" s="44" cm="1">
        <f t="array" ref="E84">Common_Equations.Common_ConvertN2OToCO2e(G81,G82)</f>
        <v>3.7239999500000001</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24</v>
      </c>
      <c r="E93" s="1" t="str" cm="1">
        <f t="array" ref="E93">Fertiliser_Equations_AtmosphericDeposition.VEERG_5_4_1_3__2_MassOfNitrogenVolatilisedFromOrganicFertiliser_Variable()</f>
        <v>M_volorganicjf</v>
      </c>
    </row>
    <row r="94" spans="3:12" ht="20.100000000000001" customHeight="1" x14ac:dyDescent="0.25">
      <c r="D94" s="51" t="s">
        <v>15</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272</v>
      </c>
    </row>
    <row r="100" spans="4:9" ht="20.100000000000001" customHeight="1" x14ac:dyDescent="0.25">
      <c r="D100" s="91" t="s">
        <v>273</v>
      </c>
    </row>
    <row r="101" spans="4:9" ht="20.100000000000001" customHeight="1" x14ac:dyDescent="0.25">
      <c r="D101" s="112" t="s">
        <v>242</v>
      </c>
      <c r="E101" s="148" t="s">
        <v>246</v>
      </c>
      <c r="F101" s="148" t="s">
        <v>275</v>
      </c>
    </row>
    <row r="102" spans="4:9" ht="20.100000000000001" customHeight="1" x14ac:dyDescent="0.25">
      <c r="D102" s="50" t="str" cm="1">
        <f t="array" ref="D102:D104">Table_Input_OrganicFertiliser[Organic fertiliser type (select)]</f>
        <v>Manure - Other</v>
      </c>
      <c r="E102" s="50">
        <f>'5.2.1.1-2 Organic Fert N2O'!I20</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'5.2.1.1-2 Organic Fert N2O'!I21</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'5.2.1.1-2 Organic Fert N2O'!I22</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24</v>
      </c>
      <c r="E121" s="1" t="str" cm="1">
        <f t="array" ref="E121">Fertiliser_Equations_AtmosphericDeposition.VEERG_5_4_1_3__1_OrganicFertiliserAtmosphericDepositionN2OEmissions_Variable()</f>
        <v>E_adorganic</v>
      </c>
    </row>
    <row r="122" spans="3:12" ht="20.100000000000001" customHeight="1" x14ac:dyDescent="0.25">
      <c r="D122" s="51" t="s">
        <v>15</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'Input - Fertiliser'!$E$6</f>
        <v>Crop</v>
      </c>
    </row>
    <row r="128" spans="3:12" ht="20.100000000000001" customHeight="1" x14ac:dyDescent="0.25">
      <c r="D128" s="147" t="str">
        <v>ir</v>
      </c>
      <c r="E128" s="154" t="str">
        <v>irrigation method</v>
      </c>
      <c r="F128" s="153"/>
      <c r="G128" s="147" t="str">
        <v/>
      </c>
      <c r="H128" s="120" t="str">
        <v>Input</v>
      </c>
      <c r="I128" s="147" t="str">
        <f>'Input - Fertiliser'!$E$8</f>
        <v>Sprinkler Irrigation</v>
      </c>
    </row>
    <row r="129" spans="4:9" ht="20.100000000000001" customHeight="1" x14ac:dyDescent="0.25">
      <c r="D129" s="147" t="str">
        <v>r</v>
      </c>
      <c r="E129" s="154" t="str">
        <v>rainfall region</v>
      </c>
      <c r="F129" s="153"/>
      <c r="G129" s="147" t="str">
        <v/>
      </c>
      <c r="H129" s="120" t="str">
        <v>Input</v>
      </c>
      <c r="I129" s="147" t="str">
        <f>'Input - Site'!$E$30</f>
        <v>High rainfall</v>
      </c>
    </row>
    <row r="130" spans="4:9" ht="20.100000000000001" customHeight="1" x14ac:dyDescent="0.25"/>
    <row r="131" spans="4:9" ht="20.100000000000001" customHeight="1" x14ac:dyDescent="0.25">
      <c r="D131" s="92" t="s">
        <v>280</v>
      </c>
    </row>
    <row r="132" spans="4:9" ht="20.100000000000001" customHeight="1" x14ac:dyDescent="0.25">
      <c r="D132" s="91" t="s">
        <v>281</v>
      </c>
    </row>
    <row r="133" spans="4:9" ht="20.100000000000001" customHeight="1" x14ac:dyDescent="0.25">
      <c r="D133" s="112" t="s">
        <v>242</v>
      </c>
      <c r="E133" s="148" t="s">
        <v>275</v>
      </c>
      <c r="F133" s="148" t="s">
        <v>274</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277</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77</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32" zoomScaleNormal="100" workbookViewId="0">
      <selection activeCell="I100" sqref="I10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283</v>
      </c>
    </row>
    <row r="2" spans="1:20" s="9" customFormat="1" ht="20.100000000000001" customHeight="1" x14ac:dyDescent="0.25">
      <c r="A2"/>
    </row>
    <row r="3" spans="1:20" ht="20.100000000000001" customHeight="1" x14ac:dyDescent="0.25">
      <c r="A3" s="17" t="str">
        <f>HYPERLINK("#'Home'!A1", "Home")</f>
        <v>Home</v>
      </c>
      <c r="C3" s="4"/>
      <c r="D3" s="4" t="s">
        <v>78</v>
      </c>
      <c r="E3" s="4"/>
      <c r="F3" s="4"/>
      <c r="G3" s="4"/>
      <c r="H3" s="4"/>
      <c r="I3" s="4"/>
      <c r="J3" s="4"/>
      <c r="K3" s="4"/>
      <c r="M3" s="4"/>
      <c r="N3" s="4" t="s">
        <v>79</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24</v>
      </c>
      <c r="E10" s="1" t="str" cm="1">
        <f t="array" ref="E10">Fertiliser_Equations_LeachingAndRunoff.VEERG_5_5_1_1__2_MassOfNitrogenLeachedFromInorganicFertiliser_Variable()</f>
        <v>M_leachinorganicj</v>
      </c>
    </row>
    <row r="11" spans="1:20" ht="20.100000000000001" customHeight="1" x14ac:dyDescent="0.25">
      <c r="A11" s="19" t="s">
        <v>67</v>
      </c>
      <c r="D11" s="51" t="s">
        <v>15</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1</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Sprinkler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285</v>
      </c>
    </row>
    <row r="21" spans="1:9" ht="20.100000000000001" customHeight="1" x14ac:dyDescent="0.25">
      <c r="A21" s="17" t="str">
        <f>HYPERLINK("#'Constants - Common'!A1", "Constants - Common")</f>
        <v>Constants - Common</v>
      </c>
      <c r="D21" s="91" t="s">
        <v>288</v>
      </c>
    </row>
    <row r="22" spans="1:9" ht="20.100000000000001" customHeight="1" x14ac:dyDescent="0.25">
      <c r="D22" s="49" t="s">
        <v>110</v>
      </c>
      <c r="E22" s="49" t="s">
        <v>266</v>
      </c>
      <c r="F22" s="49" t="s">
        <v>284</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4600</v>
      </c>
      <c r="F25" s="50" cm="1">
        <f t="array" ref="F25">Fertiliser_Equations_LeachingAndRunoff.VEERG_5_5_1_1__2_MassOfNitrogenLeachedFromInorganicFertiliser(E25, $I$14, $I$15)</f>
        <v>1104</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1980</v>
      </c>
      <c r="F31" s="50" cm="1">
        <f t="array" ref="F31">Fertiliser_Equations_LeachingAndRunoff.VEERG_5_5_1_1__2_MassOfNitrogenLeachedFromInorganicFertiliser(E31, $I$14, $I$15)</f>
        <v>475.2</v>
      </c>
    </row>
    <row r="32" spans="1:9" ht="20.100000000000001" customHeight="1" x14ac:dyDescent="0.25">
      <c r="D32" s="50" t="str">
        <v>Nitrogen - Generic</v>
      </c>
      <c r="E32" s="50">
        <f>'5.1.1.1-2 Inorganic fert N2O'!G28</f>
        <v>1537.2</v>
      </c>
      <c r="F32" s="50" cm="1">
        <f t="array" ref="F32">Fertiliser_Equations_LeachingAndRunoff.VEERG_5_5_1_1__2_MassOfNitrogenLeachedFromInorganicFertiliser(E32, $I$14, $I$15)</f>
        <v>368.928</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4117.5</v>
      </c>
      <c r="F40" s="50" cm="1">
        <f t="array" ref="F40">Fertiliser_Equations_LeachingAndRunoff.VEERG_5_5_1_1__2_MassOfNitrogenLeachedFromInorganicFertiliser(E40, $I$14, $I$15)</f>
        <v>988.19999999999993</v>
      </c>
    </row>
    <row r="41" spans="1:11" ht="20.100000000000001" customHeight="1" x14ac:dyDescent="0.25">
      <c r="D41" s="50" t="str">
        <v>Calcium nitrate</v>
      </c>
      <c r="E41" s="50">
        <f>'5.1.1.1-2 Inorganic fert N2O'!G37</f>
        <v>775</v>
      </c>
      <c r="F41" s="50" cm="1">
        <f t="array" ref="F41">Fertiliser_Equations_LeachingAndRunoff.VEERG_5_5_1_1__2_MassOfNitrogenLeachedFromInorganicFertiliser(E41, $I$14, $I$15)</f>
        <v>186</v>
      </c>
    </row>
    <row r="42" spans="1:11" ht="20.100000000000001" customHeight="1" x14ac:dyDescent="0.25"/>
    <row r="43" spans="1:11" ht="20.100000000000001" customHeight="1" x14ac:dyDescent="0.25">
      <c r="D43" s="149" t="s">
        <v>286</v>
      </c>
      <c r="E43" s="44">
        <f>SUM(F23:F41)</f>
        <v>3122.328</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24</v>
      </c>
      <c r="E52" s="1" t="str" cm="1">
        <f t="array" ref="E52">Fertiliser_Equations_LeachingAndRunoff.VEERG_5_5_1_1__3_MassOfNitrogenLeachedFromOrganicFertiliser_Variable()</f>
        <v>M_leachorganicj</v>
      </c>
    </row>
    <row r="53" spans="4:9" ht="20.100000000000001" customHeight="1" x14ac:dyDescent="0.25">
      <c r="D53" s="51" t="s">
        <v>15</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1</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'Input - Site'!$E$23</f>
        <v>NO - Not in leaching zone</v>
      </c>
    </row>
    <row r="59" spans="4:9" ht="20.100000000000001" customHeight="1" x14ac:dyDescent="0.25">
      <c r="D59" s="147" t="str">
        <v>j</v>
      </c>
      <c r="E59" s="154" t="str">
        <v>production system</v>
      </c>
      <c r="F59" s="153"/>
      <c r="G59" s="147" t="str">
        <v/>
      </c>
      <c r="H59" s="120" t="str">
        <v>Input</v>
      </c>
      <c r="I59" s="147" t="str">
        <f>'Input - Fertiliser'!$E$6</f>
        <v>Crop</v>
      </c>
    </row>
    <row r="60" spans="4:9" ht="20.100000000000001" customHeight="1" x14ac:dyDescent="0.25">
      <c r="D60" s="147" t="str">
        <v>ir</v>
      </c>
      <c r="E60" s="154" t="str">
        <v>irrigation method</v>
      </c>
      <c r="F60" s="153"/>
      <c r="G60" s="147" t="str">
        <v/>
      </c>
      <c r="H60" s="120" t="str">
        <v>Input</v>
      </c>
      <c r="I60" s="147" t="str">
        <f>'Input - Fertiliser'!$E$8</f>
        <v>Sprinkler Irrigation</v>
      </c>
    </row>
    <row r="61" spans="4:9" ht="20.100000000000001" customHeight="1" x14ac:dyDescent="0.25"/>
    <row r="62" spans="4:9" ht="20.100000000000001" customHeight="1" x14ac:dyDescent="0.25">
      <c r="D62" s="92" t="s">
        <v>287</v>
      </c>
    </row>
    <row r="63" spans="4:9" ht="20.100000000000001" customHeight="1" x14ac:dyDescent="0.25">
      <c r="D63" s="91" t="s">
        <v>289</v>
      </c>
    </row>
    <row r="64" spans="4:9" ht="20.100000000000001" customHeight="1" x14ac:dyDescent="0.25">
      <c r="D64" s="112" t="s">
        <v>242</v>
      </c>
      <c r="E64" s="167" t="s">
        <v>246</v>
      </c>
      <c r="F64" s="49" t="s">
        <v>290</v>
      </c>
    </row>
    <row r="65" spans="1:11" ht="20.100000000000001" customHeight="1" x14ac:dyDescent="0.25">
      <c r="D65" s="50" t="str">
        <f>'5.2.1.1-2 Organic Fert N2O'!D20</f>
        <v>Manure - Other</v>
      </c>
      <c r="E65" s="50">
        <f>'5.2.1.1-2 Organic Fert N2O'!I20</f>
        <v>300</v>
      </c>
      <c r="F65" s="50" cm="1">
        <f t="array" ref="F65">Fertiliser_Equations_LeachingAndRunoff.VEERG_5_5_1_1__3_MassOfNitrogenLeachedFromOrganicFertiliser(E65,$I$56, $I$57)</f>
        <v>72</v>
      </c>
    </row>
    <row r="66" spans="1:11" ht="20.100000000000001" customHeight="1" x14ac:dyDescent="0.25">
      <c r="D66" s="50" t="str">
        <f>'5.2.1.1-2 Organic Fert N2O'!D21</f>
        <v>Manure - Poultry</v>
      </c>
      <c r="E66" s="50">
        <f>'5.2.1.1-2 Organic Fert N2O'!I21</f>
        <v>250</v>
      </c>
      <c r="F66" s="50" cm="1">
        <f t="array" ref="F66">Fertiliser_Equations_LeachingAndRunoff.VEERG_5_5_1_1__3_MassOfNitrogenLeachedFromOrganicFertiliser(E66,$I$56, $I$57)</f>
        <v>60</v>
      </c>
    </row>
    <row r="67" spans="1:11" ht="20.100000000000001" customHeight="1" x14ac:dyDescent="0.25">
      <c r="D67" s="50" t="str">
        <f>'5.2.1.1-2 Organic Fert N2O'!D22</f>
        <v>Other organic fertiliser</v>
      </c>
      <c r="E67" s="50">
        <f>'5.2.1.1-2 Organic Fert N2O'!I22</f>
        <v>160</v>
      </c>
      <c r="F67" s="50" cm="1">
        <f t="array" ref="F67">Fertiliser_Equations_LeachingAndRunoff.VEERG_5_5_1_1__3_MassOfNitrogenLeachedFromOrganicFertiliser(E67,$I$56, $I$57)</f>
        <v>38.4</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291</v>
      </c>
      <c r="E77" s="44">
        <f>SUM(F65:F75)</f>
        <v>170.4</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24</v>
      </c>
      <c r="E86" s="1" t="str" cm="1">
        <f t="array" ref="E86">Fertiliser_Equations_LeachingAndRunoff.VEERG_5_5_1_1__1_FertiliserLeachingAndRunoffN2OEmissions_Variable()</f>
        <v>E_fertleach</v>
      </c>
    </row>
    <row r="87" spans="4:10" ht="20.100000000000001" customHeight="1" x14ac:dyDescent="0.25">
      <c r="D87" s="51" t="s">
        <v>15</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3122.328</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170.4</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292</v>
      </c>
      <c r="E94" s="95" cm="1">
        <f t="array" ref="E94">Fertiliser_Equations_LeachingAndRunoff.VEERG_5_5_1_1__1_FertiliserLeachingAndRunoffN2OEmissions(J89,J90,J91,J92)</f>
        <v>5.6917155428571425E-2</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5.6917155428571425E-2</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77</v>
      </c>
      <c r="E99" s="44" cm="1">
        <f t="array" ref="E99">Common_Equations.Common_ConvertN2OToCO2e(G96,G97)</f>
        <v>15.083046188571428</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E17" zoomScaleNormal="100" workbookViewId="0">
      <selection activeCell="J42" sqref="J42:J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107</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67</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110</v>
      </c>
      <c r="E19" t="s">
        <v>126</v>
      </c>
      <c r="F19" t="s">
        <v>125</v>
      </c>
      <c r="G19" t="s">
        <v>108</v>
      </c>
      <c r="H19" t="s">
        <v>127</v>
      </c>
      <c r="I19" t="s">
        <v>109</v>
      </c>
      <c r="K19" s="37" t="s">
        <v>110</v>
      </c>
      <c r="L19" s="37" t="s">
        <v>126</v>
      </c>
      <c r="Q19" s="37" t="s">
        <v>110</v>
      </c>
      <c r="R19" s="37" t="s">
        <v>126</v>
      </c>
      <c r="V19" s="37" t="s">
        <v>109</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308</v>
      </c>
      <c r="F40" s="6" t="s">
        <v>161</v>
      </c>
      <c r="H40" s="6" t="s">
        <v>131</v>
      </c>
      <c r="J40" s="6" t="s">
        <v>234</v>
      </c>
    </row>
    <row r="41" spans="4:10" ht="20.100000000000001" customHeight="1" x14ac:dyDescent="0.25">
      <c r="D41" s="37" t="s">
        <v>85</v>
      </c>
      <c r="F41" s="37" t="s">
        <v>85</v>
      </c>
      <c r="H41" s="37" t="s">
        <v>84</v>
      </c>
      <c r="J41" s="37" t="s">
        <v>235</v>
      </c>
    </row>
    <row r="42" spans="4:10" ht="20.100000000000001" customHeight="1" x14ac:dyDescent="0.25">
      <c r="D42" s="37" t="s">
        <v>132</v>
      </c>
      <c r="F42" s="37" t="s">
        <v>132</v>
      </c>
      <c r="H42" s="37" t="s">
        <v>133</v>
      </c>
      <c r="J42" s="37" t="s">
        <v>236</v>
      </c>
    </row>
    <row r="43" spans="4:10" ht="20.100000000000001" customHeight="1" x14ac:dyDescent="0.25">
      <c r="D43" s="1" t="s">
        <v>129</v>
      </c>
      <c r="F43" s="1" t="s">
        <v>139</v>
      </c>
      <c r="H43" s="37" t="s">
        <v>134</v>
      </c>
      <c r="J43" s="1" t="s">
        <v>237</v>
      </c>
    </row>
    <row r="44" spans="4:10" ht="20.100000000000001" customHeight="1" x14ac:dyDescent="0.25">
      <c r="F44" s="1" t="s">
        <v>137</v>
      </c>
      <c r="H44" s="1" t="s">
        <v>130</v>
      </c>
      <c r="J44" s="1" t="s">
        <v>238</v>
      </c>
    </row>
    <row r="45" spans="4:10" ht="20.100000000000001" customHeight="1" x14ac:dyDescent="0.25">
      <c r="F45" s="1" t="s">
        <v>138</v>
      </c>
      <c r="H45" s="1" t="s">
        <v>135</v>
      </c>
      <c r="J45" s="1" t="s">
        <v>239</v>
      </c>
    </row>
    <row r="46" spans="4:10" ht="20.100000000000001" customHeight="1" x14ac:dyDescent="0.25">
      <c r="H46" s="1" t="s">
        <v>136</v>
      </c>
      <c r="J46" s="1" t="s">
        <v>240</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110</v>
      </c>
      <c r="E50" s="37" t="s">
        <v>128</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252</v>
      </c>
      <c r="E65" s="37" t="s">
        <v>260</v>
      </c>
      <c r="F65" s="37" t="s">
        <v>261</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322</v>
      </c>
    </row>
    <row r="87" spans="4:31" ht="20.100000000000001" customHeight="1" x14ac:dyDescent="0.25">
      <c r="D87" s="6" t="s">
        <v>111</v>
      </c>
      <c r="E87" s="110"/>
      <c r="F87" s="110"/>
      <c r="G87" s="110"/>
      <c r="H87" s="110"/>
      <c r="I87" s="110"/>
      <c r="J87" s="110"/>
      <c r="K87" s="110"/>
      <c r="L87" s="110"/>
      <c r="N87" s="110" t="s">
        <v>322</v>
      </c>
      <c r="O87" s="110"/>
      <c r="P87" s="110"/>
      <c r="Q87" s="110"/>
      <c r="R87" s="110"/>
      <c r="S87" s="110"/>
      <c r="T87" s="110"/>
      <c r="U87" s="110"/>
    </row>
    <row r="88" spans="4:31" ht="20.100000000000001" customHeight="1" x14ac:dyDescent="0.25">
      <c r="D88" s="110"/>
    </row>
    <row r="89" spans="4:31" ht="20.100000000000001" customHeight="1" x14ac:dyDescent="0.25">
      <c r="D89" s="144" t="s">
        <v>224</v>
      </c>
      <c r="E89" s="37" t="s">
        <v>225</v>
      </c>
      <c r="F89" s="37" t="s">
        <v>226</v>
      </c>
      <c r="G89" s="117" t="s">
        <v>227</v>
      </c>
      <c r="H89" s="117" t="s">
        <v>15</v>
      </c>
      <c r="I89" s="117" t="s">
        <v>228</v>
      </c>
      <c r="J89" s="117" t="s">
        <v>229</v>
      </c>
      <c r="K89" s="117" t="s">
        <v>230</v>
      </c>
      <c r="L89" s="117" t="s">
        <v>113</v>
      </c>
      <c r="M89" s="117" t="s">
        <v>114</v>
      </c>
      <c r="N89" s="117" t="s">
        <v>115</v>
      </c>
      <c r="O89" s="37" t="s">
        <v>116</v>
      </c>
      <c r="P89" s="37" t="s">
        <v>117</v>
      </c>
      <c r="Q89" s="37" t="s">
        <v>118</v>
      </c>
      <c r="R89" s="117" t="s">
        <v>119</v>
      </c>
      <c r="S89" s="117" t="s">
        <v>120</v>
      </c>
      <c r="T89" s="37" t="s">
        <v>121</v>
      </c>
      <c r="U89" s="117" t="s">
        <v>122</v>
      </c>
      <c r="V89" s="117" t="s">
        <v>123</v>
      </c>
      <c r="W89" s="117" t="s">
        <v>124</v>
      </c>
      <c r="X89" s="117" t="s">
        <v>216</v>
      </c>
      <c r="Y89" s="117" t="s">
        <v>217</v>
      </c>
      <c r="Z89" s="37" t="s">
        <v>218</v>
      </c>
      <c r="AA89" s="37" t="s">
        <v>219</v>
      </c>
      <c r="AB89" s="37" t="s">
        <v>220</v>
      </c>
      <c r="AC89" s="37" t="s">
        <v>221</v>
      </c>
      <c r="AD89" s="37" t="s">
        <v>222</v>
      </c>
      <c r="AE89" s="37" t="s">
        <v>223</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zoomScale="85" zoomScaleNormal="85" workbookViewId="0">
      <selection activeCell="D21" sqref="D21:D3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16</v>
      </c>
      <c r="E6" s="37" t="s">
        <v>17</v>
      </c>
      <c r="F6" s="37" t="s">
        <v>18</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19</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22</v>
      </c>
      <c r="E36" s="37" t="s">
        <v>23</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22</v>
      </c>
      <c r="E47" s="37" t="s">
        <v>25</v>
      </c>
      <c r="F47" s="37" t="s">
        <v>26</v>
      </c>
      <c r="G47" s="37" t="s">
        <v>27</v>
      </c>
      <c r="H47" s="37" t="s">
        <v>28</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43</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31</v>
      </c>
      <c r="F89" s="37" t="s">
        <v>32</v>
      </c>
      <c r="G89" s="37" t="s">
        <v>33</v>
      </c>
      <c r="H89" s="37" t="s">
        <v>34</v>
      </c>
      <c r="I89" s="37" t="s">
        <v>35</v>
      </c>
      <c r="J89" s="37" t="s">
        <v>36</v>
      </c>
      <c r="K89" s="37" t="s">
        <v>37</v>
      </c>
      <c r="L89" s="37" t="s">
        <v>38</v>
      </c>
      <c r="M89" s="37" t="s">
        <v>39</v>
      </c>
      <c r="N89" s="37" t="s">
        <v>40</v>
      </c>
      <c r="O89" s="37" t="s">
        <v>44</v>
      </c>
      <c r="P89" s="37" t="s">
        <v>41</v>
      </c>
      <c r="Q89" s="37" t="s">
        <v>45</v>
      </c>
      <c r="R89" s="37" t="s">
        <v>42</v>
      </c>
      <c r="S89" s="37" t="s">
        <v>46</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50</v>
      </c>
      <c r="E109" s="37" t="s">
        <v>31</v>
      </c>
      <c r="F109" s="37" t="s">
        <v>51</v>
      </c>
      <c r="G109" s="37" t="s">
        <v>52</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53</v>
      </c>
      <c r="E119" s="37" t="s">
        <v>54</v>
      </c>
      <c r="F119" s="37" t="s">
        <v>38</v>
      </c>
      <c r="G119" s="37" t="s">
        <v>39</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60</v>
      </c>
      <c r="E127" s="37" t="s">
        <v>61</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62</v>
      </c>
      <c r="E153" s="37" t="s">
        <v>63</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81</v>
      </c>
      <c r="E186" s="37" t="s">
        <v>82</v>
      </c>
      <c r="F186" s="37" t="s">
        <v>83</v>
      </c>
      <c r="G186" s="37" t="s">
        <v>84</v>
      </c>
      <c r="H186" s="37" t="s">
        <v>30</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92</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89</v>
      </c>
      <c r="E212" s="37" t="s">
        <v>97</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47</v>
      </c>
      <c r="E231" s="37" t="s">
        <v>208</v>
      </c>
      <c r="F231" s="36" t="s">
        <v>209</v>
      </c>
      <c r="G231" s="37" t="s">
        <v>103</v>
      </c>
      <c r="H231" s="37" t="s">
        <v>210</v>
      </c>
      <c r="I231" s="37" t="s">
        <v>211</v>
      </c>
      <c r="J231" s="37" t="s">
        <v>102</v>
      </c>
      <c r="K231" s="37" t="s">
        <v>101</v>
      </c>
      <c r="L231" s="37" t="s">
        <v>212</v>
      </c>
      <c r="M231" s="37" t="s">
        <v>213</v>
      </c>
      <c r="N231" s="37" t="s">
        <v>100</v>
      </c>
      <c r="O231" s="37" t="s">
        <v>214</v>
      </c>
      <c r="P231" s="37" t="s">
        <v>105</v>
      </c>
      <c r="Q231" s="37" t="s">
        <v>106</v>
      </c>
      <c r="R231" s="37" t="s">
        <v>104</v>
      </c>
      <c r="S231" s="37" t="s">
        <v>215</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249</v>
      </c>
      <c r="E257" s="37" t="s">
        <v>250</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2026-06-18T11:08:49Z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