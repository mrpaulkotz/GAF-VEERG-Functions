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E77D9FFA-AC91-482C-A0D8-89C68D7837F2}" xr6:coauthVersionLast="47" xr6:coauthVersionMax="47" xr10:uidLastSave="{00000000-0000-0000-0000-000000000000}"/>
  <bookViews>
    <workbookView xWindow="3120" yWindow="3120" windowWidth="28800" windowHeight="15345" firstSheet="8" activeTab="12" xr2:uid="{D37248E2-1193-4B5E-BE4F-D7532AB14CA0}"/>
  </bookViews>
  <sheets>
    <sheet name="Overview" sheetId="40" r:id="rId1"/>
    <sheet name="Results" sheetId="41" r:id="rId2"/>
    <sheet name="Input - Site" sheetId="51" r:id="rId3"/>
    <sheet name="Input - Fuel" sheetId="53" r:id="rId4"/>
    <sheet name="Input - Fertiliser" sheetId="52" r:id="rId5"/>
    <sheet name="Input - Farm Inputs" sheetId="13" r:id="rId6"/>
    <sheet name="Input - Livestock purchases" sheetId="48" r:id="rId7"/>
    <sheet name="Input - Freight" sheetId="39" r:id="rId8"/>
    <sheet name="Input - Solid waste" sheetId="54" r:id="rId9"/>
    <sheet name="Input - Manure sent off-site" sheetId="50" r:id="rId10"/>
    <sheet name="Input - Electricity" sheetId="55" r:id="rId11"/>
    <sheet name="15 Scope 3" sheetId="19" r:id="rId12"/>
    <sheet name="10.1.1-2 Solid waste treatment" sheetId="58" r:id="rId13"/>
    <sheet name="Calcs - Manure sent off-site" sheetId="34" r:id="rId14"/>
    <sheet name="8.1.1.1-2 Transport fuel" sheetId="56" r:id="rId15"/>
    <sheet name="8.2.1.1-2 Stationary fuel" sheetId="57" r:id="rId16"/>
    <sheet name="Constants - Scope 3" sheetId="20" r:id="rId17"/>
    <sheet name="Constants - Solid Waste" sheetId="60" r:id="rId18"/>
    <sheet name="Constants - Fuel" sheetId="59" r:id="rId19"/>
    <sheet name="Constants - Poultry" sheetId="66" r:id="rId20"/>
    <sheet name="Constants - Swine" sheetId="65" r:id="rId21"/>
    <sheet name="Constants - Dairy" sheetId="64" r:id="rId22"/>
    <sheet name="Constants - Pasture Beef" sheetId="63" r:id="rId23"/>
    <sheet name="Constants - Common Livestock" sheetId="67" r:id="rId24"/>
    <sheet name="Constants - Fertiliser" sheetId="61" r:id="rId25"/>
    <sheet name="Constants - Electricity" sheetId="62" r:id="rId26"/>
    <sheet name="Constants - Common" sheetId="47" r:id="rId27"/>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32" i="57" l="1"/>
  <c r="D25" i="57"/>
  <c r="F39" i="56"/>
  <c r="M39" i="56" s="1" a="1"/>
  <c r="M39" i="56" s="1"/>
  <c r="D37" i="56"/>
  <c r="D34" i="56"/>
  <c r="D33" i="56"/>
  <c r="D25" i="56"/>
  <c r="E29" i="55"/>
  <c r="J21" i="53" a="1"/>
  <c r="J21" i="53" s="1"/>
  <c r="G21" i="53" a="1"/>
  <c r="G21" i="53" s="1"/>
  <c r="J20" i="53" a="1"/>
  <c r="J20" i="53" s="1"/>
  <c r="G20" i="53" a="1"/>
  <c r="G20" i="53" s="1"/>
  <c r="J19" i="53" a="1"/>
  <c r="J19" i="53" s="1"/>
  <c r="G19" i="53" a="1"/>
  <c r="G19" i="53" s="1"/>
  <c r="J18" i="53" a="1"/>
  <c r="J18" i="53" s="1"/>
  <c r="G18" i="53" a="1"/>
  <c r="G18" i="53" s="1"/>
  <c r="J17" i="53" a="1"/>
  <c r="J17" i="53" s="1"/>
  <c r="G17" i="53" a="1"/>
  <c r="G17" i="53"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E65" i="67" a="1"/>
  <c r="E65" i="67" s="1"/>
  <c r="D65" i="67" a="1"/>
  <c r="D65" i="67" s="1"/>
  <c r="D63" i="67" a="1"/>
  <c r="D63" i="67" s="1"/>
  <c r="D62" i="67" a="1"/>
  <c r="D62" i="67" s="1"/>
  <c r="E60" i="67" a="1"/>
  <c r="E60" i="67" s="1"/>
  <c r="D60" i="67" a="1"/>
  <c r="D60" i="67" s="1"/>
  <c r="D58" i="67" a="1"/>
  <c r="D58" i="67" s="1"/>
  <c r="D57" i="67" a="1"/>
  <c r="D57" i="67" s="1"/>
  <c r="E55" i="67" a="1"/>
  <c r="E55" i="67" s="1"/>
  <c r="D55" i="67" a="1"/>
  <c r="D55" i="67" s="1"/>
  <c r="D53" i="67" a="1"/>
  <c r="D53" i="67" s="1"/>
  <c r="D52" i="67" a="1"/>
  <c r="D52" i="67" s="1"/>
  <c r="E50" i="67" a="1"/>
  <c r="E50" i="67" s="1"/>
  <c r="D50" i="67" a="1"/>
  <c r="D50" i="67" s="1"/>
  <c r="E49" i="67" a="1"/>
  <c r="E49" i="67" s="1"/>
  <c r="D49" i="67" a="1"/>
  <c r="D49" i="67" s="1"/>
  <c r="E48" i="67" a="1"/>
  <c r="E48" i="67" s="1"/>
  <c r="D48" i="67" a="1"/>
  <c r="D48" i="67" s="1"/>
  <c r="E47" i="67" a="1"/>
  <c r="E47" i="67" s="1"/>
  <c r="D47" i="67" a="1"/>
  <c r="D47" i="67" s="1"/>
  <c r="E46" i="67" a="1"/>
  <c r="E46" i="67" s="1"/>
  <c r="D46" i="67" a="1"/>
  <c r="D46" i="67" s="1"/>
  <c r="E45" i="67" a="1"/>
  <c r="E45" i="67" s="1"/>
  <c r="D45" i="67" a="1"/>
  <c r="D45" i="67" s="1"/>
  <c r="E44" i="67" a="1"/>
  <c r="E44" i="67" s="1"/>
  <c r="D44" i="67" a="1"/>
  <c r="D44" i="67" s="1"/>
  <c r="D42" i="67" a="1"/>
  <c r="D42" i="67" s="1"/>
  <c r="D41" i="67" a="1"/>
  <c r="D41" i="67" s="1"/>
  <c r="E39" i="67" a="1"/>
  <c r="E39" i="67" s="1"/>
  <c r="D39" i="67" a="1"/>
  <c r="D39" i="67" s="1"/>
  <c r="E38" i="67" a="1"/>
  <c r="E38" i="67" s="1"/>
  <c r="D38" i="67" a="1"/>
  <c r="D38" i="67" s="1"/>
  <c r="E37" i="67" a="1"/>
  <c r="E37" i="67" s="1"/>
  <c r="D37" i="67" a="1"/>
  <c r="D37" i="67" s="1"/>
  <c r="E36" i="67" a="1"/>
  <c r="E36" i="67" s="1"/>
  <c r="D36" i="67" a="1"/>
  <c r="D36" i="67" s="1"/>
  <c r="E35" i="67" a="1"/>
  <c r="E35" i="67" s="1"/>
  <c r="D35" i="67" a="1"/>
  <c r="D35" i="67" s="1"/>
  <c r="E34" i="67" a="1"/>
  <c r="E34" i="67" s="1"/>
  <c r="D34" i="67" a="1"/>
  <c r="D34" i="67" s="1"/>
  <c r="E33" i="67" a="1"/>
  <c r="E33" i="67" s="1"/>
  <c r="D33" i="67" a="1"/>
  <c r="D33" i="67" s="1"/>
  <c r="E32" i="67" a="1"/>
  <c r="E32" i="67" s="1"/>
  <c r="D32" i="67" a="1"/>
  <c r="D32" i="67" s="1"/>
  <c r="D30" i="67" a="1"/>
  <c r="D30" i="67" s="1"/>
  <c r="D29" i="67" a="1"/>
  <c r="D29" i="67" s="1"/>
  <c r="F27" i="67" a="1"/>
  <c r="F27" i="67" s="1"/>
  <c r="E27" i="67" a="1"/>
  <c r="E27" i="67" s="1"/>
  <c r="D27" i="67" a="1"/>
  <c r="D27" i="67" s="1"/>
  <c r="F26" i="67" a="1"/>
  <c r="F26" i="67" s="1"/>
  <c r="E26" i="67" a="1"/>
  <c r="E26" i="67" s="1"/>
  <c r="D26" i="67" a="1"/>
  <c r="D26" i="67" s="1"/>
  <c r="F25" i="67" a="1"/>
  <c r="F25" i="67" s="1"/>
  <c r="E25" i="67" a="1"/>
  <c r="E25" i="67" s="1"/>
  <c r="D25" i="67" a="1"/>
  <c r="D25" i="67" s="1"/>
  <c r="F24" i="67" a="1"/>
  <c r="F24" i="67" s="1"/>
  <c r="E24" i="67" a="1"/>
  <c r="E24" i="67" s="1"/>
  <c r="D24" i="67" a="1"/>
  <c r="D24" i="67" s="1"/>
  <c r="F23" i="67" a="1"/>
  <c r="F23" i="67" s="1"/>
  <c r="E23" i="67" a="1"/>
  <c r="E23" i="67" s="1"/>
  <c r="D23" i="67" a="1"/>
  <c r="D23" i="67" s="1"/>
  <c r="F22" i="67" a="1"/>
  <c r="F22" i="67" s="1"/>
  <c r="E22" i="67" a="1"/>
  <c r="E22" i="67" s="1"/>
  <c r="D22" i="67" a="1"/>
  <c r="D22" i="67" s="1"/>
  <c r="F21" i="67" a="1"/>
  <c r="F21" i="67" s="1"/>
  <c r="E21" i="67" a="1"/>
  <c r="E21" i="67" s="1"/>
  <c r="D21" i="67" a="1"/>
  <c r="D21" i="67" s="1"/>
  <c r="F20" i="67" a="1"/>
  <c r="F20" i="67" s="1"/>
  <c r="E20" i="67" a="1"/>
  <c r="E20" i="67" s="1"/>
  <c r="D20" i="67" a="1"/>
  <c r="D20" i="67" s="1"/>
  <c r="A20" i="67"/>
  <c r="F19" i="67" a="1"/>
  <c r="F19" i="67" s="1"/>
  <c r="E19" i="67" a="1"/>
  <c r="E19" i="67" s="1"/>
  <c r="D19" i="67" a="1"/>
  <c r="D19" i="67" s="1"/>
  <c r="A19" i="67"/>
  <c r="F18" i="67" a="1"/>
  <c r="F18" i="67" s="1"/>
  <c r="E18" i="67" a="1"/>
  <c r="E18" i="67" s="1"/>
  <c r="D18" i="67" a="1"/>
  <c r="D18" i="67" s="1"/>
  <c r="A18" i="67"/>
  <c r="F17" i="67" a="1"/>
  <c r="F17" i="67" s="1"/>
  <c r="E17" i="67" a="1"/>
  <c r="E17" i="67" s="1"/>
  <c r="D17" i="67" a="1"/>
  <c r="D17" i="67" s="1"/>
  <c r="A17" i="67"/>
  <c r="F16" i="67" a="1"/>
  <c r="F16" i="67" s="1"/>
  <c r="E16" i="67" a="1"/>
  <c r="E16" i="67" s="1"/>
  <c r="D16" i="67" a="1"/>
  <c r="D16" i="67" s="1"/>
  <c r="F15" i="67" a="1"/>
  <c r="F15" i="67" s="1"/>
  <c r="E15" i="67" a="1"/>
  <c r="E15" i="67" s="1"/>
  <c r="D15" i="67" a="1"/>
  <c r="D15" i="67" s="1"/>
  <c r="F14" i="67" a="1"/>
  <c r="F14" i="67" s="1"/>
  <c r="E14" i="67" a="1"/>
  <c r="E14" i="67" s="1"/>
  <c r="D14" i="67" a="1"/>
  <c r="D14" i="67" s="1"/>
  <c r="A14" i="67"/>
  <c r="F13" i="67" a="1"/>
  <c r="F13" i="67" s="1"/>
  <c r="E13" i="67" a="1"/>
  <c r="E13" i="67" s="1"/>
  <c r="D13" i="67" a="1"/>
  <c r="D13" i="67" s="1"/>
  <c r="A13" i="67"/>
  <c r="F12" i="67" a="1"/>
  <c r="F12" i="67" s="1"/>
  <c r="E12" i="67" a="1"/>
  <c r="E12" i="67" s="1"/>
  <c r="D12" i="67" a="1"/>
  <c r="D12" i="67" s="1"/>
  <c r="A12" i="67"/>
  <c r="F11" i="67" a="1"/>
  <c r="F11" i="67" s="1"/>
  <c r="E11" i="67" a="1"/>
  <c r="E11" i="67" s="1"/>
  <c r="D11" i="67" a="1"/>
  <c r="D11" i="67" s="1"/>
  <c r="A11" i="67"/>
  <c r="F10" i="67" a="1"/>
  <c r="F10" i="67" s="1"/>
  <c r="E10" i="67" a="1"/>
  <c r="E10" i="67" s="1"/>
  <c r="D10" i="67" a="1"/>
  <c r="D10" i="67" s="1"/>
  <c r="D8" i="67" a="1"/>
  <c r="D8" i="67" s="1"/>
  <c r="A8" i="67"/>
  <c r="D7" i="67" a="1"/>
  <c r="D7" i="67" s="1"/>
  <c r="A7" i="67"/>
  <c r="D6" i="67" a="1"/>
  <c r="D6" i="67" s="1"/>
  <c r="A4" i="67"/>
  <c r="A3" i="67"/>
  <c r="E123" i="66" a="1"/>
  <c r="E123" i="66" s="1"/>
  <c r="D123" i="66" a="1"/>
  <c r="D123" i="66" s="1"/>
  <c r="E122" i="66" a="1"/>
  <c r="E122" i="66" s="1"/>
  <c r="D122" i="66" a="1"/>
  <c r="D122" i="66" s="1"/>
  <c r="E121" i="66" a="1"/>
  <c r="E121" i="66" s="1"/>
  <c r="D121" i="66" a="1"/>
  <c r="D121" i="66" s="1"/>
  <c r="E120" i="66" a="1"/>
  <c r="E120" i="66" s="1"/>
  <c r="D120" i="66" a="1"/>
  <c r="D120" i="66" s="1"/>
  <c r="D118" i="66" a="1"/>
  <c r="D118" i="66" s="1"/>
  <c r="D117" i="66" a="1"/>
  <c r="D117" i="66" s="1"/>
  <c r="F115" i="66" a="1"/>
  <c r="F115" i="66" s="1"/>
  <c r="E115" i="66" a="1"/>
  <c r="E115" i="66" s="1"/>
  <c r="D115" i="66" a="1"/>
  <c r="D115" i="66" s="1"/>
  <c r="D114" i="66" a="1"/>
  <c r="D114" i="66" s="1"/>
  <c r="D113" i="66" a="1"/>
  <c r="D113" i="66" s="1"/>
  <c r="D112" i="66" a="1"/>
  <c r="D112" i="66" s="1"/>
  <c r="E110" i="66" a="1"/>
  <c r="E110" i="66" s="1"/>
  <c r="D110" i="66" a="1"/>
  <c r="D110" i="66" s="1"/>
  <c r="D109" i="66" a="1"/>
  <c r="D109" i="66" s="1"/>
  <c r="D108" i="66" a="1"/>
  <c r="D108" i="66" s="1"/>
  <c r="F105" i="66" a="1"/>
  <c r="F105" i="66" s="1"/>
  <c r="E105" i="66" a="1"/>
  <c r="E105" i="66" s="1"/>
  <c r="D105" i="66" a="1"/>
  <c r="D105" i="66" s="1"/>
  <c r="F104" i="66" a="1"/>
  <c r="F104" i="66" s="1"/>
  <c r="E104" i="66" a="1"/>
  <c r="E104" i="66" s="1"/>
  <c r="D104" i="66" a="1"/>
  <c r="D104" i="66" s="1"/>
  <c r="F103" i="66" a="1"/>
  <c r="F103" i="66" s="1"/>
  <c r="E103" i="66" a="1"/>
  <c r="E103" i="66" s="1"/>
  <c r="D103" i="66" a="1"/>
  <c r="D103" i="66" s="1"/>
  <c r="F102" i="66" a="1"/>
  <c r="F102" i="66" s="1"/>
  <c r="E102" i="66" a="1"/>
  <c r="E102" i="66" s="1"/>
  <c r="D102" i="66" a="1"/>
  <c r="D102" i="66" s="1"/>
  <c r="F101" i="66" a="1"/>
  <c r="F101" i="66" s="1"/>
  <c r="E101" i="66" a="1"/>
  <c r="E101" i="66" s="1"/>
  <c r="D101" i="66" a="1"/>
  <c r="D101" i="66" s="1"/>
  <c r="F100" i="66" a="1"/>
  <c r="F100" i="66" s="1"/>
  <c r="E100" i="66" a="1"/>
  <c r="E100" i="66" s="1"/>
  <c r="D100" i="66" a="1"/>
  <c r="D100" i="66" s="1"/>
  <c r="F99" i="66" a="1"/>
  <c r="F99" i="66" s="1"/>
  <c r="E99" i="66" a="1"/>
  <c r="E99" i="66" s="1"/>
  <c r="D99" i="66" a="1"/>
  <c r="D99" i="66" s="1"/>
  <c r="F98" i="66" a="1"/>
  <c r="F98" i="66" s="1"/>
  <c r="E98" i="66" a="1"/>
  <c r="E98" i="66" s="1"/>
  <c r="D98" i="66" a="1"/>
  <c r="D98" i="66" s="1"/>
  <c r="D96" i="66" a="1"/>
  <c r="D96" i="66" s="1"/>
  <c r="D95" i="66" a="1"/>
  <c r="D95" i="66" s="1"/>
  <c r="D94" i="66" a="1"/>
  <c r="D94" i="66" s="1"/>
  <c r="F91" i="66" a="1"/>
  <c r="F91" i="66" s="1"/>
  <c r="E91" i="66" a="1"/>
  <c r="E91" i="66" s="1"/>
  <c r="D91" i="66" a="1"/>
  <c r="D91" i="66" s="1"/>
  <c r="F90" i="66" a="1"/>
  <c r="F90" i="66" s="1"/>
  <c r="E90" i="66" a="1"/>
  <c r="E90" i="66" s="1"/>
  <c r="D90" i="66" a="1"/>
  <c r="D90" i="66" s="1"/>
  <c r="F89" i="66" a="1"/>
  <c r="F89" i="66" s="1"/>
  <c r="E89" i="66" a="1"/>
  <c r="E89" i="66" s="1"/>
  <c r="D89" i="66" a="1"/>
  <c r="D89" i="66" s="1"/>
  <c r="F88" i="66" a="1"/>
  <c r="F88" i="66" s="1"/>
  <c r="E88" i="66" a="1"/>
  <c r="E88" i="66" s="1"/>
  <c r="D88" i="66" a="1"/>
  <c r="D88" i="66" s="1"/>
  <c r="F87" i="66" a="1"/>
  <c r="F87" i="66" s="1"/>
  <c r="E87" i="66" a="1"/>
  <c r="E87" i="66" s="1"/>
  <c r="D87" i="66" a="1"/>
  <c r="D87" i="66" s="1"/>
  <c r="F86" i="66" a="1"/>
  <c r="F86" i="66" s="1"/>
  <c r="E86" i="66" a="1"/>
  <c r="E86" i="66" s="1"/>
  <c r="D86" i="66" a="1"/>
  <c r="D86" i="66" s="1"/>
  <c r="F85" i="66" a="1"/>
  <c r="F85" i="66" s="1"/>
  <c r="E85" i="66" a="1"/>
  <c r="E85" i="66" s="1"/>
  <c r="D85" i="66" a="1"/>
  <c r="D85" i="66" s="1"/>
  <c r="D83" i="66" a="1"/>
  <c r="D83" i="66" s="1"/>
  <c r="D82" i="66" a="1"/>
  <c r="D82" i="66" s="1"/>
  <c r="D81" i="66" a="1"/>
  <c r="D81" i="66" s="1"/>
  <c r="F78" i="66" a="1"/>
  <c r="F78" i="66" s="1"/>
  <c r="E78" i="66" a="1"/>
  <c r="E78" i="66" s="1"/>
  <c r="D78" i="66" a="1"/>
  <c r="D78" i="66" s="1"/>
  <c r="F77" i="66" a="1"/>
  <c r="F77" i="66" s="1"/>
  <c r="E77" i="66" a="1"/>
  <c r="E77" i="66" s="1"/>
  <c r="D77" i="66" a="1"/>
  <c r="D77" i="66" s="1"/>
  <c r="F76" i="66" a="1"/>
  <c r="F76" i="66" s="1"/>
  <c r="E76" i="66" a="1"/>
  <c r="E76" i="66" s="1"/>
  <c r="D76" i="66" a="1"/>
  <c r="D76" i="66" s="1"/>
  <c r="D74" i="66" a="1"/>
  <c r="D74" i="66" s="1"/>
  <c r="D73" i="66" a="1"/>
  <c r="D73" i="66" s="1"/>
  <c r="D72" i="66" a="1"/>
  <c r="D72" i="66" s="1"/>
  <c r="N68" i="66" a="1"/>
  <c r="N68" i="66" s="1"/>
  <c r="M68" i="66" a="1"/>
  <c r="M68" i="66" s="1"/>
  <c r="L68" i="66" a="1"/>
  <c r="L68" i="66" s="1"/>
  <c r="K68" i="66" a="1"/>
  <c r="K68" i="66" s="1"/>
  <c r="J68" i="66" a="1"/>
  <c r="J68" i="66" s="1"/>
  <c r="I68" i="66" a="1"/>
  <c r="I68" i="66" s="1"/>
  <c r="H68" i="66" a="1"/>
  <c r="H68" i="66" s="1"/>
  <c r="G68" i="66" a="1"/>
  <c r="G68" i="66" s="1"/>
  <c r="F68" i="66" a="1"/>
  <c r="F68" i="66" s="1"/>
  <c r="E68" i="66" a="1"/>
  <c r="E68" i="66" s="1"/>
  <c r="D68" i="66" a="1"/>
  <c r="D68" i="66" s="1"/>
  <c r="N67" i="66" a="1"/>
  <c r="N67" i="66" s="1"/>
  <c r="M67" i="66" a="1"/>
  <c r="M67" i="66" s="1"/>
  <c r="L67" i="66" a="1"/>
  <c r="L67" i="66" s="1"/>
  <c r="K67" i="66" a="1"/>
  <c r="K67" i="66" s="1"/>
  <c r="J67" i="66" a="1"/>
  <c r="J67" i="66" s="1"/>
  <c r="I67" i="66" a="1"/>
  <c r="I67" i="66" s="1"/>
  <c r="H67" i="66" a="1"/>
  <c r="H67" i="66" s="1"/>
  <c r="G67" i="66" a="1"/>
  <c r="G67" i="66" s="1"/>
  <c r="F67" i="66" a="1"/>
  <c r="F67" i="66" s="1"/>
  <c r="E67" i="66" a="1"/>
  <c r="E67" i="66" s="1"/>
  <c r="D67" i="66" a="1"/>
  <c r="D67" i="66" s="1"/>
  <c r="N66" i="66" a="1"/>
  <c r="N66" i="66" s="1"/>
  <c r="M66" i="66" a="1"/>
  <c r="M66" i="66" s="1"/>
  <c r="L66" i="66" a="1"/>
  <c r="L66" i="66" s="1"/>
  <c r="K66" i="66" a="1"/>
  <c r="K66" i="66" s="1"/>
  <c r="J66" i="66" a="1"/>
  <c r="J66" i="66" s="1"/>
  <c r="I66" i="66" a="1"/>
  <c r="I66" i="66" s="1"/>
  <c r="H66" i="66" a="1"/>
  <c r="H66" i="66" s="1"/>
  <c r="G66" i="66" a="1"/>
  <c r="G66" i="66" s="1"/>
  <c r="F66" i="66" a="1"/>
  <c r="F66" i="66" s="1"/>
  <c r="E66" i="66" a="1"/>
  <c r="E66" i="66" s="1"/>
  <c r="D66" i="66" a="1"/>
  <c r="D66" i="66" s="1"/>
  <c r="N65" i="66" a="1"/>
  <c r="N65" i="66" s="1"/>
  <c r="M65" i="66" a="1"/>
  <c r="M65" i="66" s="1"/>
  <c r="L65" i="66" a="1"/>
  <c r="L65" i="66" s="1"/>
  <c r="K65" i="66" a="1"/>
  <c r="K65" i="66" s="1"/>
  <c r="J65" i="66" a="1"/>
  <c r="J65" i="66" s="1"/>
  <c r="I65" i="66" a="1"/>
  <c r="I65" i="66" s="1"/>
  <c r="H65" i="66" a="1"/>
  <c r="H65" i="66" s="1"/>
  <c r="G65" i="66" a="1"/>
  <c r="G65" i="66" s="1"/>
  <c r="F65" i="66" a="1"/>
  <c r="F65" i="66" s="1"/>
  <c r="E65" i="66" a="1"/>
  <c r="E65" i="66" s="1"/>
  <c r="D65" i="66" a="1"/>
  <c r="D65" i="66" s="1"/>
  <c r="N64" i="66" a="1"/>
  <c r="N64" i="66" s="1"/>
  <c r="M64" i="66" a="1"/>
  <c r="M64" i="66" s="1"/>
  <c r="L64" i="66" a="1"/>
  <c r="L64" i="66" s="1"/>
  <c r="K64" i="66" a="1"/>
  <c r="K64" i="66" s="1"/>
  <c r="J64" i="66" a="1"/>
  <c r="J64" i="66" s="1"/>
  <c r="I64" i="66" a="1"/>
  <c r="I64" i="66" s="1"/>
  <c r="H64" i="66" a="1"/>
  <c r="H64" i="66" s="1"/>
  <c r="G64" i="66" a="1"/>
  <c r="G64" i="66" s="1"/>
  <c r="F64" i="66" a="1"/>
  <c r="F64" i="66" s="1"/>
  <c r="E64" i="66" a="1"/>
  <c r="E64" i="66" s="1"/>
  <c r="D64" i="66" a="1"/>
  <c r="D64" i="66" s="1"/>
  <c r="N63" i="66" a="1"/>
  <c r="N63" i="66" s="1"/>
  <c r="M63" i="66" a="1"/>
  <c r="M63" i="66" s="1"/>
  <c r="L63" i="66" a="1"/>
  <c r="L63" i="66" s="1"/>
  <c r="K63" i="66" a="1"/>
  <c r="K63" i="66" s="1"/>
  <c r="J63" i="66" a="1"/>
  <c r="J63" i="66" s="1"/>
  <c r="I63" i="66" a="1"/>
  <c r="I63" i="66" s="1"/>
  <c r="H63" i="66" a="1"/>
  <c r="H63" i="66" s="1"/>
  <c r="G63" i="66" a="1"/>
  <c r="G63" i="66" s="1"/>
  <c r="F63" i="66" a="1"/>
  <c r="F63" i="66" s="1"/>
  <c r="E63" i="66" a="1"/>
  <c r="E63" i="66" s="1"/>
  <c r="D63" i="66" a="1"/>
  <c r="D63" i="66" s="1"/>
  <c r="N62" i="66" a="1"/>
  <c r="N62" i="66" s="1"/>
  <c r="M62" i="66" a="1"/>
  <c r="M62" i="66" s="1"/>
  <c r="L62" i="66" a="1"/>
  <c r="L62" i="66" s="1"/>
  <c r="K62" i="66" a="1"/>
  <c r="K62" i="66" s="1"/>
  <c r="J62" i="66" a="1"/>
  <c r="J62" i="66" s="1"/>
  <c r="I62" i="66" a="1"/>
  <c r="I62" i="66" s="1"/>
  <c r="H62" i="66" a="1"/>
  <c r="H62" i="66" s="1"/>
  <c r="G62" i="66" a="1"/>
  <c r="G62" i="66" s="1"/>
  <c r="F62" i="66" a="1"/>
  <c r="F62" i="66" s="1"/>
  <c r="E62" i="66" a="1"/>
  <c r="E62" i="66" s="1"/>
  <c r="D62" i="66" a="1"/>
  <c r="D62" i="66" s="1"/>
  <c r="N61" i="66" a="1"/>
  <c r="N61" i="66" s="1"/>
  <c r="M61" i="66" a="1"/>
  <c r="M61" i="66" s="1"/>
  <c r="L61" i="66" a="1"/>
  <c r="L61" i="66" s="1"/>
  <c r="K61" i="66" a="1"/>
  <c r="K61" i="66" s="1"/>
  <c r="J61" i="66" a="1"/>
  <c r="J61" i="66" s="1"/>
  <c r="I61" i="66" a="1"/>
  <c r="I61" i="66" s="1"/>
  <c r="H61" i="66" a="1"/>
  <c r="H61" i="66" s="1"/>
  <c r="G61" i="66" a="1"/>
  <c r="G61" i="66" s="1"/>
  <c r="F61" i="66" a="1"/>
  <c r="F61" i="66" s="1"/>
  <c r="E61" i="66" a="1"/>
  <c r="E61" i="66" s="1"/>
  <c r="D61" i="66" a="1"/>
  <c r="D61" i="66" s="1"/>
  <c r="N60" i="66" a="1"/>
  <c r="N60" i="66" s="1"/>
  <c r="M60" i="66" a="1"/>
  <c r="M60" i="66" s="1"/>
  <c r="L60" i="66" a="1"/>
  <c r="L60" i="66" s="1"/>
  <c r="K60" i="66" a="1"/>
  <c r="K60" i="66" s="1"/>
  <c r="J60" i="66" a="1"/>
  <c r="J60" i="66" s="1"/>
  <c r="I60" i="66" a="1"/>
  <c r="I60" i="66" s="1"/>
  <c r="H60" i="66" a="1"/>
  <c r="H60" i="66" s="1"/>
  <c r="G60" i="66" a="1"/>
  <c r="G60" i="66" s="1"/>
  <c r="F60" i="66" a="1"/>
  <c r="F60" i="66" s="1"/>
  <c r="E60" i="66" a="1"/>
  <c r="E60" i="66" s="1"/>
  <c r="D60" i="66" a="1"/>
  <c r="D60" i="66" s="1"/>
  <c r="D53" i="66" a="1"/>
  <c r="D53" i="66" s="1"/>
  <c r="D52" i="66" a="1"/>
  <c r="D52" i="66" s="1"/>
  <c r="D51" i="66" a="1"/>
  <c r="D51" i="66" s="1"/>
  <c r="D47" i="66" a="1"/>
  <c r="D47" i="66" s="1"/>
  <c r="D46" i="66" a="1"/>
  <c r="D46" i="66" s="1"/>
  <c r="D45" i="66" a="1"/>
  <c r="D45" i="66" s="1"/>
  <c r="A24" i="66"/>
  <c r="A23" i="66"/>
  <c r="A22" i="66"/>
  <c r="E21" i="66" a="1"/>
  <c r="E21" i="66" s="1"/>
  <c r="D21" i="66" a="1"/>
  <c r="D21" i="66" s="1"/>
  <c r="E20" i="66" a="1"/>
  <c r="E20" i="66" s="1"/>
  <c r="D20" i="66" a="1"/>
  <c r="D20" i="66" s="1"/>
  <c r="A19" i="66"/>
  <c r="D18" i="66" a="1"/>
  <c r="D18" i="66" s="1"/>
  <c r="A18" i="66"/>
  <c r="D17" i="66" a="1"/>
  <c r="D17" i="66" s="1"/>
  <c r="A17" i="66"/>
  <c r="A16" i="66"/>
  <c r="A15" i="66"/>
  <c r="A14" i="66"/>
  <c r="H13" i="66" a="1"/>
  <c r="H13" i="66" s="1"/>
  <c r="G13" i="66" a="1"/>
  <c r="G13" i="66" s="1"/>
  <c r="F13" i="66" a="1"/>
  <c r="F13" i="66" s="1"/>
  <c r="E13" i="66" a="1"/>
  <c r="E13" i="66" s="1"/>
  <c r="D13" i="66" a="1"/>
  <c r="D13" i="66" s="1"/>
  <c r="A13" i="66"/>
  <c r="H12" i="66" a="1"/>
  <c r="H12" i="66" s="1"/>
  <c r="G12" i="66" a="1"/>
  <c r="G12" i="66" s="1"/>
  <c r="F12" i="66" a="1"/>
  <c r="F12" i="66" s="1"/>
  <c r="E12" i="66" a="1"/>
  <c r="E12" i="66" s="1"/>
  <c r="D12" i="66" a="1"/>
  <c r="D12" i="66" s="1"/>
  <c r="A12" i="66"/>
  <c r="H11" i="66" a="1"/>
  <c r="H11" i="66" s="1"/>
  <c r="G11" i="66" a="1"/>
  <c r="G11" i="66" s="1"/>
  <c r="F11" i="66" a="1"/>
  <c r="F11" i="66" s="1"/>
  <c r="E11" i="66" a="1"/>
  <c r="E11" i="66" s="1"/>
  <c r="D11" i="66" a="1"/>
  <c r="D11" i="66" s="1"/>
  <c r="H10" i="66" a="1"/>
  <c r="H10" i="66" s="1"/>
  <c r="G10" i="66" a="1"/>
  <c r="G10" i="66" s="1"/>
  <c r="F10" i="66" a="1"/>
  <c r="F10" i="66" s="1"/>
  <c r="E10" i="66" a="1"/>
  <c r="E10" i="66" s="1"/>
  <c r="D10" i="66" a="1"/>
  <c r="D10" i="66" s="1"/>
  <c r="H9" i="66" a="1"/>
  <c r="H9" i="66" s="1"/>
  <c r="G9" i="66" a="1"/>
  <c r="G9" i="66" s="1"/>
  <c r="F9" i="66" a="1"/>
  <c r="F9" i="66" s="1"/>
  <c r="E9" i="66" a="1"/>
  <c r="E9" i="66" s="1"/>
  <c r="D9" i="66" a="1"/>
  <c r="D9" i="66" s="1"/>
  <c r="A9" i="66"/>
  <c r="A8" i="66"/>
  <c r="D6" i="66" a="1"/>
  <c r="D6" i="66" s="1"/>
  <c r="D5" i="66" a="1"/>
  <c r="D5" i="66" s="1"/>
  <c r="A5" i="66"/>
  <c r="A4" i="66"/>
  <c r="A3" i="66"/>
  <c r="F117" i="65" a="1"/>
  <c r="F117" i="65" s="1"/>
  <c r="E117" i="65" a="1"/>
  <c r="E117" i="65" s="1"/>
  <c r="D117" i="65" a="1"/>
  <c r="D117" i="65" s="1"/>
  <c r="A117" i="65"/>
  <c r="F116" i="65" a="1"/>
  <c r="F116" i="65" s="1"/>
  <c r="E116" i="65" a="1"/>
  <c r="E116" i="65" s="1"/>
  <c r="D116" i="65" a="1"/>
  <c r="D116" i="65" s="1"/>
  <c r="F115" i="65" a="1"/>
  <c r="F115" i="65" s="1"/>
  <c r="E115" i="65" a="1"/>
  <c r="E115" i="65" s="1"/>
  <c r="D115" i="65" a="1"/>
  <c r="D115" i="65" s="1"/>
  <c r="F114" i="65" a="1"/>
  <c r="F114" i="65" s="1"/>
  <c r="E114" i="65" a="1"/>
  <c r="E114" i="65" s="1"/>
  <c r="D114" i="65" a="1"/>
  <c r="D114" i="65" s="1"/>
  <c r="F113" i="65" a="1"/>
  <c r="F113" i="65" s="1"/>
  <c r="E113" i="65" a="1"/>
  <c r="E113" i="65" s="1"/>
  <c r="D113" i="65" a="1"/>
  <c r="D113" i="65" s="1"/>
  <c r="F112" i="65" a="1"/>
  <c r="F112" i="65" s="1"/>
  <c r="E112" i="65" a="1"/>
  <c r="E112" i="65" s="1"/>
  <c r="D112" i="65" a="1"/>
  <c r="D112" i="65" s="1"/>
  <c r="D110" i="65" a="1"/>
  <c r="D110" i="65" s="1"/>
  <c r="D109" i="65" a="1"/>
  <c r="D109" i="65" s="1"/>
  <c r="D108" i="65" a="1"/>
  <c r="D108" i="65" s="1"/>
  <c r="F105" i="65" a="1"/>
  <c r="F105" i="65" s="1"/>
  <c r="E105" i="65" a="1"/>
  <c r="E105" i="65" s="1"/>
  <c r="D105" i="65" a="1"/>
  <c r="D105" i="65" s="1"/>
  <c r="F104" i="65" a="1"/>
  <c r="F104" i="65" s="1"/>
  <c r="E104" i="65" a="1"/>
  <c r="E104" i="65" s="1"/>
  <c r="D104" i="65" a="1"/>
  <c r="D104" i="65" s="1"/>
  <c r="F103" i="65" a="1"/>
  <c r="F103" i="65" s="1"/>
  <c r="E103" i="65" a="1"/>
  <c r="E103" i="65" s="1"/>
  <c r="D103" i="65" a="1"/>
  <c r="D103" i="65" s="1"/>
  <c r="F102" i="65" a="1"/>
  <c r="F102" i="65" s="1"/>
  <c r="E102" i="65" a="1"/>
  <c r="E102" i="65" s="1"/>
  <c r="D102" i="65" a="1"/>
  <c r="D102" i="65" s="1"/>
  <c r="F101" i="65" a="1"/>
  <c r="F101" i="65" s="1"/>
  <c r="E101" i="65" a="1"/>
  <c r="E101" i="65" s="1"/>
  <c r="D101" i="65" a="1"/>
  <c r="D101" i="65" s="1"/>
  <c r="F100" i="65" a="1"/>
  <c r="F100" i="65" s="1"/>
  <c r="E100" i="65" a="1"/>
  <c r="E100" i="65" s="1"/>
  <c r="D100" i="65" a="1"/>
  <c r="D100" i="65" s="1"/>
  <c r="D98" i="65" a="1"/>
  <c r="D98" i="65" s="1"/>
  <c r="D97" i="65" a="1"/>
  <c r="D97" i="65" s="1"/>
  <c r="D96" i="65" a="1"/>
  <c r="D96" i="65" s="1"/>
  <c r="G93" i="65" a="1"/>
  <c r="G93" i="65" s="1"/>
  <c r="F93" i="65" a="1"/>
  <c r="F93" i="65" s="1"/>
  <c r="E93" i="65" a="1"/>
  <c r="E93" i="65" s="1"/>
  <c r="D93" i="65" a="1"/>
  <c r="D93" i="65" s="1"/>
  <c r="G92" i="65" a="1"/>
  <c r="G92" i="65" s="1"/>
  <c r="F92" i="65" a="1"/>
  <c r="F92" i="65" s="1"/>
  <c r="E92" i="65" a="1"/>
  <c r="E92" i="65" s="1"/>
  <c r="D92" i="65" a="1"/>
  <c r="D92" i="65" s="1"/>
  <c r="G91" i="65" a="1"/>
  <c r="G91" i="65" s="1"/>
  <c r="F91" i="65" a="1"/>
  <c r="F91" i="65" s="1"/>
  <c r="E91" i="65" a="1"/>
  <c r="E91" i="65" s="1"/>
  <c r="D91" i="65" a="1"/>
  <c r="D91" i="65" s="1"/>
  <c r="G90" i="65" a="1"/>
  <c r="G90" i="65" s="1"/>
  <c r="F90" i="65" a="1"/>
  <c r="F90" i="65" s="1"/>
  <c r="E90" i="65" a="1"/>
  <c r="E90" i="65" s="1"/>
  <c r="D90" i="65" a="1"/>
  <c r="D90" i="65" s="1"/>
  <c r="D87" i="65" a="1"/>
  <c r="D87" i="65" s="1"/>
  <c r="D86" i="65" a="1"/>
  <c r="D86" i="65" s="1"/>
  <c r="D85" i="65" a="1"/>
  <c r="D85" i="65" s="1"/>
  <c r="E82" i="65" a="1"/>
  <c r="E82" i="65" s="1"/>
  <c r="D82" i="65" a="1"/>
  <c r="D82" i="65" s="1"/>
  <c r="E81" i="65" a="1"/>
  <c r="E81" i="65" s="1"/>
  <c r="D81" i="65" a="1"/>
  <c r="D81" i="65" s="1"/>
  <c r="E80" i="65" a="1"/>
  <c r="E80" i="65" s="1"/>
  <c r="D80" i="65" a="1"/>
  <c r="D80" i="65" s="1"/>
  <c r="E79" i="65" a="1"/>
  <c r="E79" i="65" s="1"/>
  <c r="D79" i="65" a="1"/>
  <c r="D79" i="65" s="1"/>
  <c r="D76" i="65" a="1"/>
  <c r="D76" i="65" s="1"/>
  <c r="D75" i="65" a="1"/>
  <c r="D75" i="65" s="1"/>
  <c r="D74" i="65" a="1"/>
  <c r="D74" i="65" s="1"/>
  <c r="E71" i="65" a="1"/>
  <c r="E71" i="65" s="1"/>
  <c r="D71" i="65" a="1"/>
  <c r="D71" i="65" s="1"/>
  <c r="E70" i="65" a="1"/>
  <c r="E70" i="65" s="1"/>
  <c r="D70" i="65" a="1"/>
  <c r="D70" i="65" s="1"/>
  <c r="E69" i="65" a="1"/>
  <c r="E69" i="65" s="1"/>
  <c r="D69" i="65" a="1"/>
  <c r="D69" i="65" s="1"/>
  <c r="E68" i="65" a="1"/>
  <c r="E68" i="65" s="1"/>
  <c r="D68" i="65" a="1"/>
  <c r="D68" i="65" s="1"/>
  <c r="D65" i="65" a="1"/>
  <c r="D65" i="65" s="1"/>
  <c r="D64" i="65" a="1"/>
  <c r="D64" i="65" s="1"/>
  <c r="D63" i="65" a="1"/>
  <c r="D63" i="65" s="1"/>
  <c r="A63" i="65"/>
  <c r="G56" i="65" a="1"/>
  <c r="G56" i="65" s="1"/>
  <c r="G55" i="65" a="1"/>
  <c r="G55" i="65" s="1"/>
  <c r="G54" i="65" a="1"/>
  <c r="G54" i="65" s="1"/>
  <c r="M35" i="65" a="1"/>
  <c r="M35" i="65" s="1"/>
  <c r="L35" i="65" a="1"/>
  <c r="L35" i="65" s="1"/>
  <c r="K35" i="65" a="1"/>
  <c r="K35" i="65" s="1"/>
  <c r="J35" i="65" a="1"/>
  <c r="J35" i="65" s="1"/>
  <c r="I35" i="65" a="1"/>
  <c r="I35" i="65" s="1"/>
  <c r="H35" i="65" a="1"/>
  <c r="H35" i="65" s="1"/>
  <c r="G35" i="65" a="1"/>
  <c r="G35" i="65" s="1"/>
  <c r="F35" i="65" a="1"/>
  <c r="F35" i="65" s="1"/>
  <c r="E35" i="65" a="1"/>
  <c r="E35" i="65" s="1"/>
  <c r="D35" i="65" a="1"/>
  <c r="D35" i="65" s="1"/>
  <c r="M34" i="65" a="1"/>
  <c r="M34" i="65" s="1"/>
  <c r="L34" i="65" a="1"/>
  <c r="L34" i="65" s="1"/>
  <c r="K34" i="65" a="1"/>
  <c r="K34" i="65" s="1"/>
  <c r="J34" i="65" a="1"/>
  <c r="J34" i="65" s="1"/>
  <c r="I34" i="65" a="1"/>
  <c r="I34" i="65" s="1"/>
  <c r="H34" i="65" a="1"/>
  <c r="H34" i="65" s="1"/>
  <c r="G34" i="65" a="1"/>
  <c r="G34" i="65" s="1"/>
  <c r="F34" i="65" a="1"/>
  <c r="F34" i="65" s="1"/>
  <c r="E34" i="65" a="1"/>
  <c r="E34" i="65" s="1"/>
  <c r="D34" i="65" a="1"/>
  <c r="D34" i="65" s="1"/>
  <c r="M33" i="65" a="1"/>
  <c r="M33" i="65" s="1"/>
  <c r="L33" i="65" a="1"/>
  <c r="L33" i="65" s="1"/>
  <c r="K33" i="65" a="1"/>
  <c r="K33" i="65" s="1"/>
  <c r="J33" i="65" a="1"/>
  <c r="J33" i="65" s="1"/>
  <c r="I33" i="65" a="1"/>
  <c r="I33" i="65" s="1"/>
  <c r="H33" i="65" a="1"/>
  <c r="H33" i="65" s="1"/>
  <c r="G33" i="65" a="1"/>
  <c r="G33" i="65" s="1"/>
  <c r="F33" i="65" a="1"/>
  <c r="F33" i="65" s="1"/>
  <c r="E33" i="65" a="1"/>
  <c r="E33" i="65" s="1"/>
  <c r="D33" i="65" a="1"/>
  <c r="D33" i="65" s="1"/>
  <c r="M32" i="65" a="1"/>
  <c r="M32" i="65" s="1"/>
  <c r="L32" i="65" a="1"/>
  <c r="L32" i="65" s="1"/>
  <c r="K32" i="65" a="1"/>
  <c r="K32" i="65" s="1"/>
  <c r="J32" i="65" a="1"/>
  <c r="J32" i="65" s="1"/>
  <c r="I32" i="65" a="1"/>
  <c r="I32" i="65" s="1"/>
  <c r="H32" i="65" a="1"/>
  <c r="H32" i="65" s="1"/>
  <c r="G32" i="65" a="1"/>
  <c r="G32" i="65" s="1"/>
  <c r="F32" i="65" a="1"/>
  <c r="F32" i="65" s="1"/>
  <c r="E32" i="65" a="1"/>
  <c r="E32" i="65" s="1"/>
  <c r="D32" i="65" a="1"/>
  <c r="D32" i="65" s="1"/>
  <c r="M31" i="65" a="1"/>
  <c r="M31" i="65" s="1"/>
  <c r="L31" i="65" a="1"/>
  <c r="L31" i="65" s="1"/>
  <c r="K31" i="65" a="1"/>
  <c r="K31" i="65" s="1"/>
  <c r="J31" i="65" a="1"/>
  <c r="J31" i="65" s="1"/>
  <c r="I31" i="65" a="1"/>
  <c r="I31" i="65" s="1"/>
  <c r="H31" i="65" a="1"/>
  <c r="H31" i="65" s="1"/>
  <c r="G31" i="65" a="1"/>
  <c r="G31" i="65" s="1"/>
  <c r="F31" i="65" a="1"/>
  <c r="F31" i="65" s="1"/>
  <c r="E31" i="65" a="1"/>
  <c r="E31" i="65" s="1"/>
  <c r="D31" i="65" a="1"/>
  <c r="D31" i="65" s="1"/>
  <c r="M30" i="65" a="1"/>
  <c r="M30" i="65" s="1"/>
  <c r="L30" i="65" a="1"/>
  <c r="L30" i="65" s="1"/>
  <c r="K30" i="65" a="1"/>
  <c r="K30" i="65" s="1"/>
  <c r="J30" i="65" a="1"/>
  <c r="J30" i="65" s="1"/>
  <c r="I30" i="65" a="1"/>
  <c r="I30" i="65" s="1"/>
  <c r="H30" i="65" a="1"/>
  <c r="H30" i="65" s="1"/>
  <c r="G30" i="65" a="1"/>
  <c r="G30" i="65" s="1"/>
  <c r="F30" i="65" a="1"/>
  <c r="F30" i="65" s="1"/>
  <c r="E30" i="65" a="1"/>
  <c r="E30" i="65" s="1"/>
  <c r="D30" i="65" a="1"/>
  <c r="D30" i="65" s="1"/>
  <c r="M29" i="65" a="1"/>
  <c r="M29" i="65" s="1"/>
  <c r="L29" i="65" a="1"/>
  <c r="L29" i="65" s="1"/>
  <c r="K29" i="65" a="1"/>
  <c r="K29" i="65" s="1"/>
  <c r="J29" i="65" a="1"/>
  <c r="J29" i="65" s="1"/>
  <c r="I29" i="65" a="1"/>
  <c r="I29" i="65" s="1"/>
  <c r="H29" i="65" a="1"/>
  <c r="H29" i="65" s="1"/>
  <c r="G29" i="65" a="1"/>
  <c r="G29" i="65" s="1"/>
  <c r="F29" i="65" a="1"/>
  <c r="F29" i="65" s="1"/>
  <c r="E29" i="65" a="1"/>
  <c r="E29" i="65" s="1"/>
  <c r="D29" i="65" a="1"/>
  <c r="D29" i="65" s="1"/>
  <c r="D26" i="65" a="1"/>
  <c r="D26" i="65" s="1"/>
  <c r="D25" i="65" a="1"/>
  <c r="D25" i="65" s="1"/>
  <c r="D24" i="65" a="1"/>
  <c r="D24" i="65" s="1"/>
  <c r="A22" i="65"/>
  <c r="F21" i="65" a="1"/>
  <c r="F21" i="65" s="1"/>
  <c r="E21" i="65" a="1"/>
  <c r="E21" i="65" s="1"/>
  <c r="D21" i="65" a="1"/>
  <c r="D21" i="65" s="1"/>
  <c r="A21" i="65"/>
  <c r="D20" i="65" a="1"/>
  <c r="D20" i="65" s="1"/>
  <c r="A20" i="65"/>
  <c r="D19" i="65" a="1"/>
  <c r="D19" i="65" s="1"/>
  <c r="A19" i="65"/>
  <c r="F17" i="65" a="1"/>
  <c r="F17" i="65" s="1"/>
  <c r="E17" i="65" a="1"/>
  <c r="E17" i="65" s="1"/>
  <c r="D17" i="65" a="1"/>
  <c r="D17" i="65" s="1"/>
  <c r="D16" i="65" a="1"/>
  <c r="D16" i="65" s="1"/>
  <c r="A16" i="65"/>
  <c r="D15" i="65" a="1"/>
  <c r="D15" i="65" s="1"/>
  <c r="A15" i="65"/>
  <c r="D14" i="65" a="1"/>
  <c r="D14" i="65" s="1"/>
  <c r="A14" i="65"/>
  <c r="A13" i="65"/>
  <c r="A12" i="65"/>
  <c r="A9" i="65"/>
  <c r="A8" i="65"/>
  <c r="A5" i="65"/>
  <c r="A4" i="65"/>
  <c r="A3" i="65"/>
  <c r="D233" i="64" a="1"/>
  <c r="D233" i="64" s="1"/>
  <c r="D232" i="64" a="1"/>
  <c r="D232" i="64" s="1"/>
  <c r="D231" i="64" a="1"/>
  <c r="D231" i="64" s="1"/>
  <c r="D230" i="64" a="1"/>
  <c r="D230" i="64" s="1"/>
  <c r="D229" i="64" a="1"/>
  <c r="D229" i="64" s="1"/>
  <c r="D227" i="64" a="1"/>
  <c r="D227" i="64" s="1"/>
  <c r="D226" i="64" a="1"/>
  <c r="D226" i="64" s="1"/>
  <c r="D225" i="64" a="1"/>
  <c r="D225" i="64" s="1"/>
  <c r="D224" i="64" a="1"/>
  <c r="D224" i="64" s="1"/>
  <c r="D223" i="64" a="1"/>
  <c r="D223" i="64" s="1"/>
  <c r="D221" i="64" a="1"/>
  <c r="D221" i="64" s="1"/>
  <c r="D220" i="64" a="1"/>
  <c r="D220" i="64" s="1"/>
  <c r="D219" i="64" a="1"/>
  <c r="D219" i="64" s="1"/>
  <c r="D218" i="64" a="1"/>
  <c r="D218" i="64" s="1"/>
  <c r="D217" i="64" a="1"/>
  <c r="D217" i="64" s="1"/>
  <c r="D215" i="64" a="1"/>
  <c r="D215" i="64" s="1"/>
  <c r="A215" i="64"/>
  <c r="D214" i="64" a="1"/>
  <c r="D214" i="64" s="1"/>
  <c r="D213" i="64" a="1"/>
  <c r="D213" i="64" s="1"/>
  <c r="D212" i="64" a="1"/>
  <c r="D212" i="64" s="1"/>
  <c r="D211" i="64" a="1"/>
  <c r="D211" i="64" s="1"/>
  <c r="D209" i="64" a="1"/>
  <c r="D209" i="64" s="1"/>
  <c r="D208" i="64" a="1"/>
  <c r="D208" i="64" s="1"/>
  <c r="D207" i="64" a="1"/>
  <c r="D207" i="64" s="1"/>
  <c r="D206" i="64" a="1"/>
  <c r="D206" i="64" s="1"/>
  <c r="D205" i="64" a="1"/>
  <c r="D205" i="64" s="1"/>
  <c r="D202" i="64" a="1"/>
  <c r="D202" i="64" s="1"/>
  <c r="D201" i="64" a="1"/>
  <c r="D201" i="64" s="1"/>
  <c r="D200" i="64" a="1"/>
  <c r="D200" i="64" s="1"/>
  <c r="D199" i="64" a="1"/>
  <c r="D199" i="64" s="1"/>
  <c r="D198" i="64" a="1"/>
  <c r="D198" i="64" s="1"/>
  <c r="D195" i="64" a="1"/>
  <c r="D195" i="64" s="1"/>
  <c r="D194" i="64" a="1"/>
  <c r="D194" i="64" s="1"/>
  <c r="D193" i="64" a="1"/>
  <c r="D193" i="64" s="1"/>
  <c r="D192" i="64" a="1"/>
  <c r="D192" i="64" s="1"/>
  <c r="D191" i="64" a="1"/>
  <c r="D191" i="64" s="1"/>
  <c r="D188" i="64" a="1"/>
  <c r="D188" i="64" s="1"/>
  <c r="D187" i="64" a="1"/>
  <c r="D187" i="64" s="1"/>
  <c r="D186" i="64" a="1"/>
  <c r="D186" i="64" s="1"/>
  <c r="D185" i="64" a="1"/>
  <c r="D185" i="64" s="1"/>
  <c r="D184" i="64" a="1"/>
  <c r="D184" i="64" s="1"/>
  <c r="D181" i="64" a="1"/>
  <c r="D181" i="64" s="1"/>
  <c r="D180" i="64" a="1"/>
  <c r="D180" i="64" s="1"/>
  <c r="D179" i="64" a="1"/>
  <c r="D179" i="64" s="1"/>
  <c r="D178" i="64" a="1"/>
  <c r="D178" i="64" s="1"/>
  <c r="D177" i="64" a="1"/>
  <c r="D177" i="64" s="1"/>
  <c r="D174" i="64" a="1"/>
  <c r="D174" i="64" s="1"/>
  <c r="A174" i="64"/>
  <c r="D173" i="64" a="1"/>
  <c r="D173" i="64" s="1"/>
  <c r="D172" i="64" a="1"/>
  <c r="D172" i="64" s="1"/>
  <c r="D171" i="64" a="1"/>
  <c r="D171" i="64" s="1"/>
  <c r="D170" i="64" a="1"/>
  <c r="D170" i="64" s="1"/>
  <c r="D167" i="64" a="1"/>
  <c r="D167" i="64" s="1"/>
  <c r="D166" i="64" a="1"/>
  <c r="D166" i="64" s="1"/>
  <c r="D165" i="64" a="1"/>
  <c r="D165" i="64" s="1"/>
  <c r="D164" i="64" a="1"/>
  <c r="D164" i="64" s="1"/>
  <c r="D163" i="64" a="1"/>
  <c r="D163" i="64" s="1"/>
  <c r="D160" i="64" a="1"/>
  <c r="D160" i="64" s="1"/>
  <c r="D159" i="64" a="1"/>
  <c r="D159" i="64" s="1"/>
  <c r="D158" i="64" a="1"/>
  <c r="D158" i="64" s="1"/>
  <c r="D157" i="64" a="1"/>
  <c r="D157" i="64" s="1"/>
  <c r="D156" i="64" a="1"/>
  <c r="D156" i="64" s="1"/>
  <c r="D153" i="64" a="1"/>
  <c r="D153" i="64" s="1"/>
  <c r="D152" i="64" a="1"/>
  <c r="D152" i="64" s="1"/>
  <c r="D151" i="64" a="1"/>
  <c r="D151" i="64" s="1"/>
  <c r="D150" i="64" a="1"/>
  <c r="D150" i="64" s="1"/>
  <c r="D149" i="64" a="1"/>
  <c r="D149" i="64" s="1"/>
  <c r="F146" i="64" a="1"/>
  <c r="F146" i="64" s="1"/>
  <c r="E146" i="64" a="1"/>
  <c r="E146" i="64" s="1"/>
  <c r="D146" i="64" a="1"/>
  <c r="D146" i="64" s="1"/>
  <c r="F145" i="64" a="1"/>
  <c r="F145" i="64" s="1"/>
  <c r="E145" i="64" a="1"/>
  <c r="E145" i="64" s="1"/>
  <c r="D145" i="64" a="1"/>
  <c r="D145" i="64" s="1"/>
  <c r="F144" i="64" a="1"/>
  <c r="F144" i="64" s="1"/>
  <c r="E144" i="64" a="1"/>
  <c r="E144" i="64" s="1"/>
  <c r="D144" i="64" a="1"/>
  <c r="D144" i="64" s="1"/>
  <c r="F143" i="64" a="1"/>
  <c r="F143" i="64" s="1"/>
  <c r="E143" i="64" a="1"/>
  <c r="E143" i="64" s="1"/>
  <c r="D143" i="64" a="1"/>
  <c r="D143" i="64" s="1"/>
  <c r="F142" i="64" a="1"/>
  <c r="F142" i="64" s="1"/>
  <c r="E142" i="64" a="1"/>
  <c r="E142" i="64" s="1"/>
  <c r="D142" i="64" a="1"/>
  <c r="D142" i="64" s="1"/>
  <c r="D140" i="64" a="1"/>
  <c r="D140" i="64" s="1"/>
  <c r="D139" i="64" a="1"/>
  <c r="D139" i="64" s="1"/>
  <c r="D138" i="64" a="1"/>
  <c r="D138" i="64" s="1"/>
  <c r="D137" i="64" a="1"/>
  <c r="D137" i="64" s="1"/>
  <c r="A137" i="64"/>
  <c r="D136" i="64" a="1"/>
  <c r="D136" i="64" s="1"/>
  <c r="F133" i="64" a="1"/>
  <c r="F133" i="64" s="1"/>
  <c r="E133" i="64" a="1"/>
  <c r="E133" i="64" s="1"/>
  <c r="D133" i="64" a="1"/>
  <c r="D133" i="64" s="1"/>
  <c r="F132" i="64" a="1"/>
  <c r="F132" i="64" s="1"/>
  <c r="E132" i="64" a="1"/>
  <c r="E132" i="64" s="1"/>
  <c r="D132" i="64"/>
  <c r="D132" i="64" a="1"/>
  <c r="F131" i="64" a="1"/>
  <c r="F131" i="64" s="1"/>
  <c r="E131" i="64" a="1"/>
  <c r="E131" i="64" s="1"/>
  <c r="D131" i="64" a="1"/>
  <c r="D131" i="64" s="1"/>
  <c r="F130" i="64" a="1"/>
  <c r="F130" i="64" s="1"/>
  <c r="E130" i="64" a="1"/>
  <c r="E130" i="64" s="1"/>
  <c r="D130" i="64" a="1"/>
  <c r="D130" i="64" s="1"/>
  <c r="F129" i="64" a="1"/>
  <c r="F129" i="64" s="1"/>
  <c r="E129" i="64" a="1"/>
  <c r="E129" i="64" s="1"/>
  <c r="D129" i="64" a="1"/>
  <c r="D129" i="64" s="1"/>
  <c r="D127" i="64" a="1"/>
  <c r="D127" i="64" s="1"/>
  <c r="D126" i="64" a="1"/>
  <c r="D126" i="64" s="1"/>
  <c r="D125" i="64" a="1"/>
  <c r="D125" i="64" s="1"/>
  <c r="D124" i="64" a="1"/>
  <c r="D124" i="64" s="1"/>
  <c r="D123" i="64" a="1"/>
  <c r="D123" i="64" s="1"/>
  <c r="G120" i="64" a="1"/>
  <c r="G120" i="64" s="1"/>
  <c r="F120" i="64" a="1"/>
  <c r="F120" i="64" s="1"/>
  <c r="E120" i="64" a="1"/>
  <c r="E120" i="64" s="1"/>
  <c r="D120" i="64" a="1"/>
  <c r="D120" i="64" s="1"/>
  <c r="G119" i="64" a="1"/>
  <c r="G119" i="64" s="1"/>
  <c r="F119" i="64" a="1"/>
  <c r="F119" i="64" s="1"/>
  <c r="E119" i="64" a="1"/>
  <c r="E119" i="64" s="1"/>
  <c r="D119" i="64" a="1"/>
  <c r="D119" i="64" s="1"/>
  <c r="G118" i="64" a="1"/>
  <c r="G118" i="64" s="1"/>
  <c r="F118" i="64" a="1"/>
  <c r="F118" i="64" s="1"/>
  <c r="E118" i="64" a="1"/>
  <c r="E118" i="64" s="1"/>
  <c r="D118" i="64" a="1"/>
  <c r="D118" i="64" s="1"/>
  <c r="G117" i="64" a="1"/>
  <c r="G117" i="64" s="1"/>
  <c r="F117" i="64" a="1"/>
  <c r="F117" i="64" s="1"/>
  <c r="E117" i="64" a="1"/>
  <c r="E117" i="64" s="1"/>
  <c r="D117" i="64" a="1"/>
  <c r="D117" i="64" s="1"/>
  <c r="D115" i="64" a="1"/>
  <c r="D115" i="64" s="1"/>
  <c r="D114" i="64" a="1"/>
  <c r="D114" i="64" s="1"/>
  <c r="D113" i="64" a="1"/>
  <c r="D113" i="64" s="1"/>
  <c r="D112" i="64" a="1"/>
  <c r="D112" i="64" s="1"/>
  <c r="E109" i="64" a="1"/>
  <c r="E109" i="64" s="1"/>
  <c r="D109" i="64" a="1"/>
  <c r="D109" i="64" s="1"/>
  <c r="E108" i="64" a="1"/>
  <c r="E108" i="64" s="1"/>
  <c r="D108" i="64" a="1"/>
  <c r="D108" i="64" s="1"/>
  <c r="D106" i="64" a="1"/>
  <c r="D106" i="64" s="1"/>
  <c r="D105" i="64" a="1"/>
  <c r="D105" i="64" s="1"/>
  <c r="D104" i="64" a="1"/>
  <c r="D104" i="64" s="1"/>
  <c r="A104" i="64"/>
  <c r="D103" i="64" a="1"/>
  <c r="D103" i="64" s="1"/>
  <c r="E100" i="64" a="1"/>
  <c r="E100" i="64" s="1"/>
  <c r="D100" i="64" a="1"/>
  <c r="D100" i="64" s="1"/>
  <c r="E99" i="64" a="1"/>
  <c r="E99" i="64" s="1"/>
  <c r="D99" i="64" a="1"/>
  <c r="D99" i="64" s="1"/>
  <c r="D97" i="64" a="1"/>
  <c r="D97" i="64" s="1"/>
  <c r="D96" i="64" a="1"/>
  <c r="D96" i="64" s="1"/>
  <c r="D95" i="64" a="1"/>
  <c r="D95" i="64" s="1"/>
  <c r="D94" i="64" a="1"/>
  <c r="D94" i="64" s="1"/>
  <c r="G91" i="64" a="1"/>
  <c r="G91" i="64" s="1"/>
  <c r="F91" i="64" a="1"/>
  <c r="F91" i="64" s="1"/>
  <c r="E91" i="64" a="1"/>
  <c r="E91" i="64" s="1"/>
  <c r="D91" i="64" a="1"/>
  <c r="D91" i="64" s="1"/>
  <c r="G90" i="64" a="1"/>
  <c r="G90" i="64" s="1"/>
  <c r="F90" i="64" a="1"/>
  <c r="F90" i="64" s="1"/>
  <c r="E90" i="64" a="1"/>
  <c r="E90" i="64" s="1"/>
  <c r="D90" i="64" a="1"/>
  <c r="D90" i="64" s="1"/>
  <c r="G89" i="64" a="1"/>
  <c r="G89" i="64" s="1"/>
  <c r="F89" i="64" a="1"/>
  <c r="F89" i="64" s="1"/>
  <c r="E89" i="64" a="1"/>
  <c r="E89" i="64" s="1"/>
  <c r="D89" i="64" a="1"/>
  <c r="D89" i="64" s="1"/>
  <c r="G88" i="64" a="1"/>
  <c r="G88" i="64" s="1"/>
  <c r="F88" i="64" a="1"/>
  <c r="F88" i="64" s="1"/>
  <c r="E88" i="64" a="1"/>
  <c r="E88" i="64" s="1"/>
  <c r="D88" i="64" a="1"/>
  <c r="D88" i="64" s="1"/>
  <c r="G87" i="64" a="1"/>
  <c r="G87" i="64" s="1"/>
  <c r="F87" i="64" a="1"/>
  <c r="F87" i="64" s="1"/>
  <c r="E87" i="64" a="1"/>
  <c r="E87" i="64" s="1"/>
  <c r="D87" i="64" a="1"/>
  <c r="D87" i="64" s="1"/>
  <c r="D85" i="64" a="1"/>
  <c r="D85" i="64" s="1"/>
  <c r="D84" i="64" a="1"/>
  <c r="D84" i="64" s="1"/>
  <c r="D83" i="64" a="1"/>
  <c r="D83" i="64" s="1"/>
  <c r="D82" i="64" a="1"/>
  <c r="D82" i="64" s="1"/>
  <c r="D81" i="64" a="1"/>
  <c r="D81" i="64" s="1"/>
  <c r="A79" i="64"/>
  <c r="M78" i="64" a="1"/>
  <c r="M78" i="64" s="1"/>
  <c r="L78" i="64" a="1"/>
  <c r="L78" i="64" s="1"/>
  <c r="K78" i="64" a="1"/>
  <c r="K78" i="64" s="1"/>
  <c r="J78" i="64" a="1"/>
  <c r="J78" i="64" s="1"/>
  <c r="I78" i="64" a="1"/>
  <c r="I78" i="64" s="1"/>
  <c r="H78" i="64" a="1"/>
  <c r="H78" i="64" s="1"/>
  <c r="G78" i="64" a="1"/>
  <c r="G78" i="64" s="1"/>
  <c r="F78" i="64" a="1"/>
  <c r="F78" i="64" s="1"/>
  <c r="E78" i="64" a="1"/>
  <c r="E78" i="64" s="1"/>
  <c r="D78" i="64" a="1"/>
  <c r="D78" i="64" s="1"/>
  <c r="M77" i="64" a="1"/>
  <c r="M77" i="64" s="1"/>
  <c r="L77" i="64" a="1"/>
  <c r="L77" i="64" s="1"/>
  <c r="K77" i="64" a="1"/>
  <c r="K77" i="64" s="1"/>
  <c r="J77" i="64" a="1"/>
  <c r="J77" i="64" s="1"/>
  <c r="I77" i="64" a="1"/>
  <c r="I77" i="64" s="1"/>
  <c r="H77" i="64" a="1"/>
  <c r="H77" i="64" s="1"/>
  <c r="G77" i="64" a="1"/>
  <c r="G77" i="64" s="1"/>
  <c r="F77" i="64" a="1"/>
  <c r="F77" i="64" s="1"/>
  <c r="E77" i="64" a="1"/>
  <c r="E77" i="64" s="1"/>
  <c r="D77" i="64" a="1"/>
  <c r="D77" i="64" s="1"/>
  <c r="M76" i="64" a="1"/>
  <c r="M76" i="64" s="1"/>
  <c r="L76" i="64" a="1"/>
  <c r="L76" i="64" s="1"/>
  <c r="K76" i="64" a="1"/>
  <c r="K76" i="64" s="1"/>
  <c r="J76" i="64" a="1"/>
  <c r="J76" i="64" s="1"/>
  <c r="I76" i="64" a="1"/>
  <c r="I76" i="64" s="1"/>
  <c r="H76" i="64" a="1"/>
  <c r="H76" i="64" s="1"/>
  <c r="G76" i="64" a="1"/>
  <c r="G76" i="64" s="1"/>
  <c r="F76" i="64" a="1"/>
  <c r="F76" i="64" s="1"/>
  <c r="E76" i="64" a="1"/>
  <c r="E76" i="64" s="1"/>
  <c r="D76" i="64" a="1"/>
  <c r="D76" i="64" s="1"/>
  <c r="M75" i="64" a="1"/>
  <c r="M75" i="64" s="1"/>
  <c r="L75" i="64" a="1"/>
  <c r="L75" i="64" s="1"/>
  <c r="K75" i="64" a="1"/>
  <c r="K75" i="64" s="1"/>
  <c r="J75" i="64" a="1"/>
  <c r="J75" i="64" s="1"/>
  <c r="I75" i="64" a="1"/>
  <c r="I75" i="64" s="1"/>
  <c r="H75" i="64" a="1"/>
  <c r="H75" i="64" s="1"/>
  <c r="G75" i="64" a="1"/>
  <c r="G75" i="64" s="1"/>
  <c r="F75" i="64" a="1"/>
  <c r="F75" i="64" s="1"/>
  <c r="E75" i="64" a="1"/>
  <c r="E75" i="64" s="1"/>
  <c r="D75" i="64" a="1"/>
  <c r="D75" i="64" s="1"/>
  <c r="M74" i="64" a="1"/>
  <c r="M74" i="64" s="1"/>
  <c r="L74" i="64" a="1"/>
  <c r="L74" i="64" s="1"/>
  <c r="K74" i="64" a="1"/>
  <c r="K74" i="64" s="1"/>
  <c r="J74" i="64" a="1"/>
  <c r="J74" i="64" s="1"/>
  <c r="I74" i="64" a="1"/>
  <c r="I74" i="64" s="1"/>
  <c r="H74" i="64" a="1"/>
  <c r="H74" i="64" s="1"/>
  <c r="G74" i="64" a="1"/>
  <c r="G74" i="64" s="1"/>
  <c r="F74" i="64" a="1"/>
  <c r="F74" i="64" s="1"/>
  <c r="E74" i="64" a="1"/>
  <c r="E74" i="64" s="1"/>
  <c r="D74" i="64" a="1"/>
  <c r="D74" i="64" s="1"/>
  <c r="M73" i="64" a="1"/>
  <c r="M73" i="64" s="1"/>
  <c r="L73" i="64" a="1"/>
  <c r="L73" i="64" s="1"/>
  <c r="K73" i="64" a="1"/>
  <c r="K73" i="64" s="1"/>
  <c r="J73" i="64" a="1"/>
  <c r="J73" i="64" s="1"/>
  <c r="I73" i="64" a="1"/>
  <c r="I73" i="64" s="1"/>
  <c r="H73" i="64" a="1"/>
  <c r="H73" i="64" s="1"/>
  <c r="G73" i="64" a="1"/>
  <c r="G73" i="64" s="1"/>
  <c r="F73" i="64" a="1"/>
  <c r="F73" i="64" s="1"/>
  <c r="E73" i="64" a="1"/>
  <c r="E73" i="64" s="1"/>
  <c r="D73" i="64" a="1"/>
  <c r="D73" i="64" s="1"/>
  <c r="D71" i="64" a="1"/>
  <c r="D71" i="64" s="1"/>
  <c r="D70" i="64" a="1"/>
  <c r="D70" i="64" s="1"/>
  <c r="D69" i="64" a="1"/>
  <c r="D69" i="64" s="1"/>
  <c r="D68" i="64" a="1"/>
  <c r="D68" i="64" s="1"/>
  <c r="D67" i="64" a="1"/>
  <c r="D67" i="64" s="1"/>
  <c r="G64" i="64" a="1"/>
  <c r="G64" i="64" s="1"/>
  <c r="F64" i="64" a="1"/>
  <c r="F64" i="64" s="1"/>
  <c r="E64" i="64" a="1"/>
  <c r="E64" i="64" s="1"/>
  <c r="D64" i="64" a="1"/>
  <c r="D64" i="64" s="1"/>
  <c r="G63" i="64" a="1"/>
  <c r="G63" i="64" s="1"/>
  <c r="F63" i="64" a="1"/>
  <c r="F63" i="64" s="1"/>
  <c r="E63" i="64" a="1"/>
  <c r="E63" i="64" s="1"/>
  <c r="D63" i="64" a="1"/>
  <c r="D63" i="64" s="1"/>
  <c r="D61" i="64" a="1"/>
  <c r="D61" i="64" s="1"/>
  <c r="D60" i="64" a="1"/>
  <c r="D60" i="64" s="1"/>
  <c r="D59" i="64" a="1"/>
  <c r="D59" i="64" s="1"/>
  <c r="D58" i="64" a="1"/>
  <c r="D58" i="64" s="1"/>
  <c r="H55" i="64" a="1"/>
  <c r="H55" i="64" s="1"/>
  <c r="G55" i="64" a="1"/>
  <c r="G55" i="64" s="1"/>
  <c r="F55" i="64" a="1"/>
  <c r="F55" i="64" s="1"/>
  <c r="E55" i="64" a="1"/>
  <c r="E55" i="64" s="1"/>
  <c r="D55" i="64" a="1"/>
  <c r="D55" i="64" s="1"/>
  <c r="A55" i="64"/>
  <c r="D53" i="64" a="1"/>
  <c r="D53" i="64" s="1"/>
  <c r="D52" i="64" a="1"/>
  <c r="D52" i="64" s="1"/>
  <c r="D51" i="64" a="1"/>
  <c r="D51" i="64" s="1"/>
  <c r="D50" i="64" a="1"/>
  <c r="D50" i="64" s="1"/>
  <c r="H47" i="64" a="1"/>
  <c r="H47" i="64" s="1"/>
  <c r="G47" i="64" a="1"/>
  <c r="G47" i="64" s="1"/>
  <c r="F47" i="64"/>
  <c r="F47" i="64" a="1"/>
  <c r="E47" i="64" a="1"/>
  <c r="E47" i="64" s="1"/>
  <c r="D47" i="64" a="1"/>
  <c r="D47" i="64" s="1"/>
  <c r="D45" i="64" a="1"/>
  <c r="D45" i="64" s="1"/>
  <c r="D44" i="64" a="1"/>
  <c r="D44" i="64" s="1"/>
  <c r="D43" i="64" a="1"/>
  <c r="D43" i="64" s="1"/>
  <c r="D42" i="64" a="1"/>
  <c r="D42" i="64" s="1"/>
  <c r="F39" i="64" a="1"/>
  <c r="F39" i="64" s="1"/>
  <c r="E39" i="64" a="1"/>
  <c r="E39" i="64" s="1"/>
  <c r="D39" i="64" a="1"/>
  <c r="D39" i="64" s="1"/>
  <c r="D37" i="64" a="1"/>
  <c r="D37" i="64" s="1"/>
  <c r="D36" i="64" a="1"/>
  <c r="D36" i="64" s="1"/>
  <c r="D35" i="64" a="1"/>
  <c r="D35" i="64" s="1"/>
  <c r="D34" i="64"/>
  <c r="D34" i="64" a="1"/>
  <c r="G31" i="64" a="1"/>
  <c r="G31" i="64" s="1"/>
  <c r="F31" i="64" a="1"/>
  <c r="F31" i="64" s="1"/>
  <c r="E31" i="64" a="1"/>
  <c r="E31" i="64" s="1"/>
  <c r="D31" i="64" a="1"/>
  <c r="D31" i="64" s="1"/>
  <c r="G30" i="64" a="1"/>
  <c r="G30" i="64" s="1"/>
  <c r="F30" i="64" a="1"/>
  <c r="F30" i="64" s="1"/>
  <c r="E30" i="64" a="1"/>
  <c r="E30" i="64" s="1"/>
  <c r="D30" i="64" a="1"/>
  <c r="D30" i="64" s="1"/>
  <c r="G29" i="64" a="1"/>
  <c r="G29" i="64" s="1"/>
  <c r="F29" i="64" a="1"/>
  <c r="F29" i="64" s="1"/>
  <c r="E29" i="64" a="1"/>
  <c r="E29" i="64" s="1"/>
  <c r="D29" i="64" a="1"/>
  <c r="D29" i="64" s="1"/>
  <c r="G28" i="64" a="1"/>
  <c r="G28" i="64" s="1"/>
  <c r="F28" i="64" a="1"/>
  <c r="F28" i="64" s="1"/>
  <c r="E28" i="64" a="1"/>
  <c r="E28" i="64" s="1"/>
  <c r="D28" i="64" a="1"/>
  <c r="D28" i="64" s="1"/>
  <c r="G27" i="64" a="1"/>
  <c r="G27" i="64" s="1"/>
  <c r="F27" i="64" a="1"/>
  <c r="F27" i="64" s="1"/>
  <c r="E27" i="64" a="1"/>
  <c r="E27" i="64" s="1"/>
  <c r="D27" i="64" a="1"/>
  <c r="D27" i="64" s="1"/>
  <c r="G26" i="64" a="1"/>
  <c r="G26" i="64" s="1"/>
  <c r="F26" i="64" a="1"/>
  <c r="F26" i="64" s="1"/>
  <c r="E26" i="64" a="1"/>
  <c r="E26" i="64" s="1"/>
  <c r="D26" i="64" a="1"/>
  <c r="D26" i="64" s="1"/>
  <c r="G25" i="64" a="1"/>
  <c r="G25" i="64" s="1"/>
  <c r="F25" i="64" a="1"/>
  <c r="F25" i="64" s="1"/>
  <c r="E25" i="64" a="1"/>
  <c r="E25" i="64" s="1"/>
  <c r="D25" i="64" a="1"/>
  <c r="D25" i="64" s="1"/>
  <c r="A25" i="64"/>
  <c r="G24" i="64" a="1"/>
  <c r="G24" i="64" s="1"/>
  <c r="F24" i="64" a="1"/>
  <c r="F24" i="64" s="1"/>
  <c r="E24" i="64" a="1"/>
  <c r="E24" i="64" s="1"/>
  <c r="D24" i="64" a="1"/>
  <c r="D24" i="64" s="1"/>
  <c r="A24" i="64"/>
  <c r="G23" i="64" a="1"/>
  <c r="G23" i="64" s="1"/>
  <c r="F23" i="64" a="1"/>
  <c r="F23" i="64" s="1"/>
  <c r="E23" i="64" a="1"/>
  <c r="E23" i="64" s="1"/>
  <c r="D23" i="64" a="1"/>
  <c r="D23" i="64" s="1"/>
  <c r="A23" i="64"/>
  <c r="G22" i="64" a="1"/>
  <c r="G22" i="64" s="1"/>
  <c r="F22" i="64" a="1"/>
  <c r="F22" i="64" s="1"/>
  <c r="E22" i="64" a="1"/>
  <c r="E22" i="64" s="1"/>
  <c r="D22" i="64" a="1"/>
  <c r="D22" i="64" s="1"/>
  <c r="H23" i="48" s="1" a="1"/>
  <c r="H23" i="48" s="1"/>
  <c r="A22" i="64"/>
  <c r="D20" i="64" a="1"/>
  <c r="D20" i="64" s="1"/>
  <c r="D19" i="64" a="1"/>
  <c r="D19" i="64" s="1"/>
  <c r="A19" i="64"/>
  <c r="D18" i="64" a="1"/>
  <c r="D18" i="64" s="1"/>
  <c r="A18" i="64"/>
  <c r="D17" i="64" a="1"/>
  <c r="D17" i="64" s="1"/>
  <c r="A17" i="64"/>
  <c r="D16" i="64" a="1"/>
  <c r="D16" i="64" s="1"/>
  <c r="A16" i="64"/>
  <c r="A15" i="64"/>
  <c r="A14" i="64"/>
  <c r="A13" i="64"/>
  <c r="A12" i="64"/>
  <c r="A9" i="64"/>
  <c r="A8" i="64"/>
  <c r="A5" i="64"/>
  <c r="A4" i="64"/>
  <c r="A3" i="64"/>
  <c r="I483" i="63" a="1"/>
  <c r="I483" i="63" s="1"/>
  <c r="H483" i="63" a="1"/>
  <c r="H483" i="63" s="1"/>
  <c r="G483" i="63" a="1"/>
  <c r="G483" i="63" s="1"/>
  <c r="F483" i="63" a="1"/>
  <c r="F483" i="63" s="1"/>
  <c r="E483" i="63" a="1"/>
  <c r="E483" i="63" s="1"/>
  <c r="D483" i="63" a="1"/>
  <c r="D483" i="63" s="1"/>
  <c r="I482" i="63" a="1"/>
  <c r="I482" i="63" s="1"/>
  <c r="H482" i="63" a="1"/>
  <c r="H482" i="63" s="1"/>
  <c r="G482" i="63" a="1"/>
  <c r="G482" i="63" s="1"/>
  <c r="F482" i="63" a="1"/>
  <c r="F482" i="63" s="1"/>
  <c r="E482" i="63" a="1"/>
  <c r="E482" i="63" s="1"/>
  <c r="D482" i="63" a="1"/>
  <c r="D482" i="63" s="1"/>
  <c r="I481" i="63" a="1"/>
  <c r="I481" i="63" s="1"/>
  <c r="H481" i="63" a="1"/>
  <c r="H481" i="63" s="1"/>
  <c r="G481" i="63" a="1"/>
  <c r="G481" i="63" s="1"/>
  <c r="F481" i="63" a="1"/>
  <c r="F481" i="63" s="1"/>
  <c r="E481" i="63" a="1"/>
  <c r="E481" i="63" s="1"/>
  <c r="D481" i="63" a="1"/>
  <c r="D481" i="63" s="1"/>
  <c r="I480" i="63" a="1"/>
  <c r="I480" i="63" s="1"/>
  <c r="H480" i="63" a="1"/>
  <c r="H480" i="63" s="1"/>
  <c r="G480" i="63" a="1"/>
  <c r="G480" i="63" s="1"/>
  <c r="F480" i="63" a="1"/>
  <c r="F480" i="63" s="1"/>
  <c r="E480" i="63" a="1"/>
  <c r="E480" i="63" s="1"/>
  <c r="D480" i="63" a="1"/>
  <c r="D480" i="63" s="1"/>
  <c r="I479" i="63" a="1"/>
  <c r="I479" i="63" s="1"/>
  <c r="H479" i="63" a="1"/>
  <c r="H479" i="63" s="1"/>
  <c r="G479" i="63" a="1"/>
  <c r="G479" i="63" s="1"/>
  <c r="F479" i="63" a="1"/>
  <c r="F479" i="63" s="1"/>
  <c r="E479" i="63" a="1"/>
  <c r="E479" i="63" s="1"/>
  <c r="D479" i="63" a="1"/>
  <c r="D479" i="63" s="1"/>
  <c r="I478" i="63" a="1"/>
  <c r="I478" i="63" s="1"/>
  <c r="H478" i="63" a="1"/>
  <c r="H478" i="63" s="1"/>
  <c r="G478" i="63" a="1"/>
  <c r="G478" i="63" s="1"/>
  <c r="F478" i="63" a="1"/>
  <c r="F478" i="63" s="1"/>
  <c r="E478" i="63" a="1"/>
  <c r="E478" i="63" s="1"/>
  <c r="D478" i="63" a="1"/>
  <c r="D478" i="63" s="1"/>
  <c r="I477" i="63" a="1"/>
  <c r="I477" i="63" s="1"/>
  <c r="H477" i="63" a="1"/>
  <c r="H477" i="63" s="1"/>
  <c r="G477" i="63" a="1"/>
  <c r="G477" i="63" s="1"/>
  <c r="F477" i="63" a="1"/>
  <c r="F477" i="63" s="1"/>
  <c r="E477" i="63" a="1"/>
  <c r="E477" i="63" s="1"/>
  <c r="D477" i="63" a="1"/>
  <c r="D477" i="63" s="1"/>
  <c r="I476" i="63" a="1"/>
  <c r="I476" i="63" s="1"/>
  <c r="H476" i="63" a="1"/>
  <c r="H476" i="63" s="1"/>
  <c r="G476" i="63" a="1"/>
  <c r="G476" i="63" s="1"/>
  <c r="F476" i="63" a="1"/>
  <c r="F476" i="63" s="1"/>
  <c r="E476" i="63" a="1"/>
  <c r="E476" i="63" s="1"/>
  <c r="D476" i="63" a="1"/>
  <c r="D476" i="63" s="1"/>
  <c r="I475" i="63" a="1"/>
  <c r="I475" i="63" s="1"/>
  <c r="H475" i="63" a="1"/>
  <c r="H475" i="63" s="1"/>
  <c r="G475" i="63" a="1"/>
  <c r="G475" i="63" s="1"/>
  <c r="F475" i="63" a="1"/>
  <c r="F475" i="63" s="1"/>
  <c r="E475" i="63" a="1"/>
  <c r="E475" i="63" s="1"/>
  <c r="D475" i="63" a="1"/>
  <c r="D475" i="63" s="1"/>
  <c r="I474" i="63" a="1"/>
  <c r="I474" i="63" s="1"/>
  <c r="H474" i="63" a="1"/>
  <c r="H474" i="63" s="1"/>
  <c r="G474" i="63" a="1"/>
  <c r="G474" i="63" s="1"/>
  <c r="F474" i="63" a="1"/>
  <c r="F474" i="63" s="1"/>
  <c r="E474" i="63" a="1"/>
  <c r="E474" i="63" s="1"/>
  <c r="D474" i="63" a="1"/>
  <c r="D474" i="63" s="1"/>
  <c r="I473" i="63" a="1"/>
  <c r="I473" i="63" s="1"/>
  <c r="H473" i="63" a="1"/>
  <c r="H473" i="63" s="1"/>
  <c r="G473" i="63" a="1"/>
  <c r="G473" i="63" s="1"/>
  <c r="F473" i="63" a="1"/>
  <c r="F473" i="63" s="1"/>
  <c r="E473" i="63" a="1"/>
  <c r="E473" i="63" s="1"/>
  <c r="D473" i="63" a="1"/>
  <c r="D473" i="63" s="1"/>
  <c r="I472" i="63" a="1"/>
  <c r="I472" i="63" s="1"/>
  <c r="H472" i="63" a="1"/>
  <c r="H472" i="63" s="1"/>
  <c r="G472" i="63" a="1"/>
  <c r="G472" i="63" s="1"/>
  <c r="F472" i="63" a="1"/>
  <c r="F472" i="63" s="1"/>
  <c r="E472" i="63" a="1"/>
  <c r="E472" i="63" s="1"/>
  <c r="D472" i="63" a="1"/>
  <c r="D472" i="63" s="1"/>
  <c r="I471" i="63" a="1"/>
  <c r="I471" i="63" s="1"/>
  <c r="H471" i="63" a="1"/>
  <c r="H471" i="63" s="1"/>
  <c r="G471" i="63" a="1"/>
  <c r="G471" i="63" s="1"/>
  <c r="F471" i="63" a="1"/>
  <c r="F471" i="63" s="1"/>
  <c r="E471" i="63" a="1"/>
  <c r="E471" i="63" s="1"/>
  <c r="D471" i="63" a="1"/>
  <c r="D471" i="63" s="1"/>
  <c r="I470" i="63" a="1"/>
  <c r="I470" i="63" s="1"/>
  <c r="H470" i="63" a="1"/>
  <c r="H470" i="63" s="1"/>
  <c r="G470" i="63" a="1"/>
  <c r="G470" i="63" s="1"/>
  <c r="F470" i="63" a="1"/>
  <c r="F470" i="63" s="1"/>
  <c r="E470" i="63" a="1"/>
  <c r="E470" i="63" s="1"/>
  <c r="D470" i="63" a="1"/>
  <c r="D470" i="63" s="1"/>
  <c r="I469" i="63" a="1"/>
  <c r="I469" i="63" s="1"/>
  <c r="H469" i="63" a="1"/>
  <c r="H469" i="63" s="1"/>
  <c r="G469" i="63" a="1"/>
  <c r="G469" i="63" s="1"/>
  <c r="F469" i="63" a="1"/>
  <c r="F469" i="63" s="1"/>
  <c r="E469" i="63" a="1"/>
  <c r="E469" i="63" s="1"/>
  <c r="D469" i="63" a="1"/>
  <c r="D469" i="63" s="1"/>
  <c r="I468" i="63" a="1"/>
  <c r="I468" i="63" s="1"/>
  <c r="H468" i="63" a="1"/>
  <c r="H468" i="63" s="1"/>
  <c r="G468" i="63" a="1"/>
  <c r="G468" i="63" s="1"/>
  <c r="F468" i="63" a="1"/>
  <c r="F468" i="63" s="1"/>
  <c r="E468" i="63" a="1"/>
  <c r="E468" i="63" s="1"/>
  <c r="D468" i="63" a="1"/>
  <c r="D468" i="63" s="1"/>
  <c r="I467" i="63" a="1"/>
  <c r="I467" i="63" s="1"/>
  <c r="H467" i="63" a="1"/>
  <c r="H467" i="63" s="1"/>
  <c r="G467" i="63" a="1"/>
  <c r="G467" i="63" s="1"/>
  <c r="F467" i="63" a="1"/>
  <c r="F467" i="63" s="1"/>
  <c r="E467" i="63" a="1"/>
  <c r="E467" i="63" s="1"/>
  <c r="D467" i="63" a="1"/>
  <c r="D467" i="63" s="1"/>
  <c r="I466" i="63" a="1"/>
  <c r="I466" i="63" s="1"/>
  <c r="H466" i="63" a="1"/>
  <c r="H466" i="63" s="1"/>
  <c r="G466" i="63" a="1"/>
  <c r="G466" i="63" s="1"/>
  <c r="F466" i="63" a="1"/>
  <c r="F466" i="63" s="1"/>
  <c r="E466" i="63" a="1"/>
  <c r="E466" i="63" s="1"/>
  <c r="D466" i="63" a="1"/>
  <c r="D466" i="63" s="1"/>
  <c r="I465" i="63" a="1"/>
  <c r="I465" i="63" s="1"/>
  <c r="H465" i="63" a="1"/>
  <c r="H465" i="63" s="1"/>
  <c r="G465" i="63" a="1"/>
  <c r="G465" i="63" s="1"/>
  <c r="F465" i="63" a="1"/>
  <c r="F465" i="63" s="1"/>
  <c r="E465" i="63" a="1"/>
  <c r="E465" i="63" s="1"/>
  <c r="D465" i="63" a="1"/>
  <c r="D465" i="63" s="1"/>
  <c r="I464" i="63" a="1"/>
  <c r="I464" i="63" s="1"/>
  <c r="H464" i="63" a="1"/>
  <c r="H464" i="63" s="1"/>
  <c r="G464" i="63" a="1"/>
  <c r="G464" i="63" s="1"/>
  <c r="F464" i="63" a="1"/>
  <c r="F464" i="63" s="1"/>
  <c r="E464" i="63" a="1"/>
  <c r="E464" i="63" s="1"/>
  <c r="D464" i="63" a="1"/>
  <c r="D464" i="63" s="1"/>
  <c r="I463" i="63" a="1"/>
  <c r="I463" i="63" s="1"/>
  <c r="H463" i="63" a="1"/>
  <c r="H463" i="63" s="1"/>
  <c r="G463" i="63" a="1"/>
  <c r="G463" i="63" s="1"/>
  <c r="F463" i="63" a="1"/>
  <c r="F463" i="63" s="1"/>
  <c r="E463" i="63" a="1"/>
  <c r="E463" i="63" s="1"/>
  <c r="D463" i="63" a="1"/>
  <c r="D463" i="63" s="1"/>
  <c r="I462" i="63" a="1"/>
  <c r="I462" i="63" s="1"/>
  <c r="H462" i="63" a="1"/>
  <c r="H462" i="63" s="1"/>
  <c r="G462" i="63" a="1"/>
  <c r="G462" i="63" s="1"/>
  <c r="F462" i="63" a="1"/>
  <c r="F462" i="63" s="1"/>
  <c r="E462" i="63" a="1"/>
  <c r="E462" i="63" s="1"/>
  <c r="D462" i="63" a="1"/>
  <c r="D462" i="63" s="1"/>
  <c r="I461" i="63" a="1"/>
  <c r="I461" i="63" s="1"/>
  <c r="H461" i="63" a="1"/>
  <c r="H461" i="63" s="1"/>
  <c r="G461" i="63" a="1"/>
  <c r="G461" i="63" s="1"/>
  <c r="F461" i="63" a="1"/>
  <c r="F461" i="63" s="1"/>
  <c r="E461" i="63" a="1"/>
  <c r="E461" i="63" s="1"/>
  <c r="D461" i="63" a="1"/>
  <c r="D461" i="63" s="1"/>
  <c r="I460" i="63" a="1"/>
  <c r="I460" i="63" s="1"/>
  <c r="H460" i="63" a="1"/>
  <c r="H460" i="63" s="1"/>
  <c r="G460" i="63" a="1"/>
  <c r="G460" i="63" s="1"/>
  <c r="F460" i="63" a="1"/>
  <c r="F460" i="63" s="1"/>
  <c r="E460" i="63" a="1"/>
  <c r="E460" i="63" s="1"/>
  <c r="D460" i="63" a="1"/>
  <c r="D460" i="63" s="1"/>
  <c r="I459" i="63" a="1"/>
  <c r="I459" i="63" s="1"/>
  <c r="H459" i="63" a="1"/>
  <c r="H459" i="63" s="1"/>
  <c r="G459" i="63" a="1"/>
  <c r="G459" i="63" s="1"/>
  <c r="F459" i="63" a="1"/>
  <c r="F459" i="63" s="1"/>
  <c r="E459" i="63" a="1"/>
  <c r="E459" i="63" s="1"/>
  <c r="D459" i="63" a="1"/>
  <c r="D459" i="63" s="1"/>
  <c r="I458" i="63" a="1"/>
  <c r="I458" i="63" s="1"/>
  <c r="H458" i="63" a="1"/>
  <c r="H458" i="63" s="1"/>
  <c r="G458" i="63" a="1"/>
  <c r="G458" i="63" s="1"/>
  <c r="F458" i="63" a="1"/>
  <c r="F458" i="63" s="1"/>
  <c r="E458" i="63" a="1"/>
  <c r="E458" i="63" s="1"/>
  <c r="D458" i="63" a="1"/>
  <c r="D458" i="63" s="1"/>
  <c r="I457" i="63" a="1"/>
  <c r="I457" i="63" s="1"/>
  <c r="H457" i="63" a="1"/>
  <c r="H457" i="63" s="1"/>
  <c r="G457" i="63" a="1"/>
  <c r="G457" i="63" s="1"/>
  <c r="F457" i="63" a="1"/>
  <c r="F457" i="63" s="1"/>
  <c r="E457" i="63" a="1"/>
  <c r="E457" i="63" s="1"/>
  <c r="D457" i="63" a="1"/>
  <c r="D457" i="63" s="1"/>
  <c r="I456" i="63" a="1"/>
  <c r="I456" i="63" s="1"/>
  <c r="H456" i="63" a="1"/>
  <c r="H456" i="63" s="1"/>
  <c r="G456" i="63" a="1"/>
  <c r="G456" i="63" s="1"/>
  <c r="F456" i="63" a="1"/>
  <c r="F456" i="63" s="1"/>
  <c r="E456" i="63" a="1"/>
  <c r="E456" i="63" s="1"/>
  <c r="D456" i="63" a="1"/>
  <c r="D456" i="63" s="1"/>
  <c r="I455" i="63" a="1"/>
  <c r="I455" i="63" s="1"/>
  <c r="H455" i="63" a="1"/>
  <c r="H455" i="63" s="1"/>
  <c r="G455" i="63" a="1"/>
  <c r="G455" i="63" s="1"/>
  <c r="F455" i="63" a="1"/>
  <c r="F455" i="63" s="1"/>
  <c r="E455" i="63" a="1"/>
  <c r="E455" i="63" s="1"/>
  <c r="D455" i="63" a="1"/>
  <c r="D455" i="63" s="1"/>
  <c r="I454" i="63" a="1"/>
  <c r="I454" i="63" s="1"/>
  <c r="H454" i="63" a="1"/>
  <c r="H454" i="63" s="1"/>
  <c r="G454" i="63" a="1"/>
  <c r="G454" i="63" s="1"/>
  <c r="F454" i="63" a="1"/>
  <c r="F454" i="63" s="1"/>
  <c r="E454" i="63" a="1"/>
  <c r="E454" i="63" s="1"/>
  <c r="D454" i="63" a="1"/>
  <c r="D454" i="63" s="1"/>
  <c r="I453" i="63" a="1"/>
  <c r="I453" i="63" s="1"/>
  <c r="H453" i="63" a="1"/>
  <c r="H453" i="63" s="1"/>
  <c r="G453" i="63" a="1"/>
  <c r="G453" i="63" s="1"/>
  <c r="F453" i="63" a="1"/>
  <c r="F453" i="63" s="1"/>
  <c r="E453" i="63" a="1"/>
  <c r="E453" i="63" s="1"/>
  <c r="D453" i="63" a="1"/>
  <c r="D453" i="63" s="1"/>
  <c r="I452" i="63" a="1"/>
  <c r="I452" i="63" s="1"/>
  <c r="H452" i="63" a="1"/>
  <c r="H452" i="63" s="1"/>
  <c r="G452" i="63" a="1"/>
  <c r="G452" i="63" s="1"/>
  <c r="F452" i="63" a="1"/>
  <c r="F452" i="63" s="1"/>
  <c r="E452" i="63" a="1"/>
  <c r="E452" i="63" s="1"/>
  <c r="D452" i="63" a="1"/>
  <c r="D452" i="63" s="1"/>
  <c r="I451" i="63" a="1"/>
  <c r="I451" i="63" s="1"/>
  <c r="H451" i="63" a="1"/>
  <c r="H451" i="63" s="1"/>
  <c r="G451" i="63" a="1"/>
  <c r="G451" i="63" s="1"/>
  <c r="F451" i="63" a="1"/>
  <c r="F451" i="63" s="1"/>
  <c r="E451" i="63" a="1"/>
  <c r="E451" i="63" s="1"/>
  <c r="D451" i="63" a="1"/>
  <c r="D451" i="63" s="1"/>
  <c r="I450" i="63" a="1"/>
  <c r="I450" i="63" s="1"/>
  <c r="H450" i="63" a="1"/>
  <c r="H450" i="63" s="1"/>
  <c r="G450" i="63" a="1"/>
  <c r="G450" i="63" s="1"/>
  <c r="F450" i="63" a="1"/>
  <c r="F450" i="63" s="1"/>
  <c r="E450" i="63" a="1"/>
  <c r="E450" i="63" s="1"/>
  <c r="D450" i="63" a="1"/>
  <c r="D450" i="63" s="1"/>
  <c r="I449" i="63" a="1"/>
  <c r="I449" i="63" s="1"/>
  <c r="H449" i="63" a="1"/>
  <c r="H449" i="63" s="1"/>
  <c r="G449" i="63" a="1"/>
  <c r="G449" i="63" s="1"/>
  <c r="F449" i="63" a="1"/>
  <c r="F449" i="63" s="1"/>
  <c r="E449" i="63" a="1"/>
  <c r="E449" i="63" s="1"/>
  <c r="D449" i="63" a="1"/>
  <c r="D449" i="63" s="1"/>
  <c r="I448" i="63" a="1"/>
  <c r="I448" i="63" s="1"/>
  <c r="H448" i="63" a="1"/>
  <c r="H448" i="63" s="1"/>
  <c r="G448" i="63" a="1"/>
  <c r="G448" i="63" s="1"/>
  <c r="F448" i="63" a="1"/>
  <c r="F448" i="63" s="1"/>
  <c r="E448" i="63" a="1"/>
  <c r="E448" i="63" s="1"/>
  <c r="D448" i="63" a="1"/>
  <c r="D448" i="63" s="1"/>
  <c r="I447" i="63" a="1"/>
  <c r="I447" i="63" s="1"/>
  <c r="H447" i="63" a="1"/>
  <c r="H447" i="63" s="1"/>
  <c r="G447" i="63" a="1"/>
  <c r="G447" i="63" s="1"/>
  <c r="F447" i="63" a="1"/>
  <c r="F447" i="63" s="1"/>
  <c r="E447" i="63" a="1"/>
  <c r="E447" i="63" s="1"/>
  <c r="D447" i="63" a="1"/>
  <c r="D447" i="63" s="1"/>
  <c r="I446" i="63" a="1"/>
  <c r="I446" i="63" s="1"/>
  <c r="H446" i="63" a="1"/>
  <c r="H446" i="63" s="1"/>
  <c r="G446" i="63" a="1"/>
  <c r="G446" i="63" s="1"/>
  <c r="F446" i="63" a="1"/>
  <c r="F446" i="63" s="1"/>
  <c r="E446" i="63" a="1"/>
  <c r="E446" i="63" s="1"/>
  <c r="D446" i="63" a="1"/>
  <c r="D446" i="63" s="1"/>
  <c r="I445" i="63" a="1"/>
  <c r="I445" i="63" s="1"/>
  <c r="H445" i="63" a="1"/>
  <c r="H445" i="63" s="1"/>
  <c r="G445" i="63" a="1"/>
  <c r="G445" i="63" s="1"/>
  <c r="F445" i="63" a="1"/>
  <c r="F445" i="63" s="1"/>
  <c r="E445" i="63" a="1"/>
  <c r="E445" i="63" s="1"/>
  <c r="D445" i="63" a="1"/>
  <c r="D445" i="63" s="1"/>
  <c r="I444" i="63" a="1"/>
  <c r="I444" i="63" s="1"/>
  <c r="H444" i="63" a="1"/>
  <c r="H444" i="63" s="1"/>
  <c r="G444" i="63" a="1"/>
  <c r="G444" i="63" s="1"/>
  <c r="F444" i="63" a="1"/>
  <c r="F444" i="63" s="1"/>
  <c r="E444" i="63" a="1"/>
  <c r="E444" i="63" s="1"/>
  <c r="D444" i="63" a="1"/>
  <c r="D444" i="63" s="1"/>
  <c r="I443" i="63" a="1"/>
  <c r="I443" i="63" s="1"/>
  <c r="H443" i="63" a="1"/>
  <c r="H443" i="63" s="1"/>
  <c r="G443" i="63" a="1"/>
  <c r="G443" i="63" s="1"/>
  <c r="F443" i="63" a="1"/>
  <c r="F443" i="63" s="1"/>
  <c r="E443" i="63" a="1"/>
  <c r="E443" i="63" s="1"/>
  <c r="D443" i="63" a="1"/>
  <c r="D443" i="63" s="1"/>
  <c r="D440" i="63" a="1"/>
  <c r="D440" i="63" s="1"/>
  <c r="D439" i="63" a="1"/>
  <c r="D439" i="63" s="1"/>
  <c r="D438" i="63" a="1"/>
  <c r="D438" i="63" s="1"/>
  <c r="D437" i="63" a="1"/>
  <c r="D437" i="63" s="1"/>
  <c r="D436" i="63" a="1"/>
  <c r="D436" i="63" s="1"/>
  <c r="D434" i="63" a="1"/>
  <c r="D434" i="63" s="1"/>
  <c r="D433" i="63" a="1"/>
  <c r="D433" i="63" s="1"/>
  <c r="D432" i="63" a="1"/>
  <c r="D432" i="63" s="1"/>
  <c r="D431" i="63" a="1"/>
  <c r="D431" i="63" s="1"/>
  <c r="D430" i="63" a="1"/>
  <c r="D430" i="63" s="1"/>
  <c r="D428" i="63" a="1"/>
  <c r="D428" i="63" s="1"/>
  <c r="D427" i="63" a="1"/>
  <c r="D427" i="63" s="1"/>
  <c r="D426" i="63" a="1"/>
  <c r="D426" i="63" s="1"/>
  <c r="D425" i="63" a="1"/>
  <c r="D425" i="63" s="1"/>
  <c r="D424" i="63" a="1"/>
  <c r="D424" i="63" s="1"/>
  <c r="D422" i="63" a="1"/>
  <c r="D422" i="63" s="1"/>
  <c r="D421" i="63" a="1"/>
  <c r="D421" i="63" s="1"/>
  <c r="D420" i="63" a="1"/>
  <c r="D420" i="63" s="1"/>
  <c r="D419" i="63" a="1"/>
  <c r="D419" i="63" s="1"/>
  <c r="D418" i="63" a="1"/>
  <c r="D418" i="63" s="1"/>
  <c r="G415" i="63" a="1"/>
  <c r="G415" i="63" s="1"/>
  <c r="F415" i="63" a="1"/>
  <c r="F415" i="63" s="1"/>
  <c r="E415" i="63" a="1"/>
  <c r="E415" i="63" s="1"/>
  <c r="D415" i="63" a="1"/>
  <c r="D415" i="63" s="1"/>
  <c r="G414" i="63" a="1"/>
  <c r="G414" i="63" s="1"/>
  <c r="F414" i="63" a="1"/>
  <c r="F414" i="63" s="1"/>
  <c r="E414" i="63" a="1"/>
  <c r="E414" i="63" s="1"/>
  <c r="D414" i="63" a="1"/>
  <c r="D414" i="63" s="1"/>
  <c r="G413" i="63" a="1"/>
  <c r="G413" i="63" s="1"/>
  <c r="F413" i="63" a="1"/>
  <c r="F413" i="63" s="1"/>
  <c r="E413" i="63" a="1"/>
  <c r="E413" i="63" s="1"/>
  <c r="D413" i="63" a="1"/>
  <c r="D413" i="63" s="1"/>
  <c r="G412" i="63" a="1"/>
  <c r="G412" i="63" s="1"/>
  <c r="F412" i="63" a="1"/>
  <c r="F412" i="63" s="1"/>
  <c r="E412" i="63" a="1"/>
  <c r="E412" i="63" s="1"/>
  <c r="D412" i="63" a="1"/>
  <c r="D412" i="63" s="1"/>
  <c r="G411" i="63" a="1"/>
  <c r="G411" i="63" s="1"/>
  <c r="F411" i="63" a="1"/>
  <c r="F411" i="63" s="1"/>
  <c r="E411" i="63" a="1"/>
  <c r="E411" i="63" s="1"/>
  <c r="D411" i="63" a="1"/>
  <c r="D411" i="63" s="1"/>
  <c r="G410" i="63" a="1"/>
  <c r="G410" i="63" s="1"/>
  <c r="F410" i="63" a="1"/>
  <c r="F410" i="63" s="1"/>
  <c r="E410" i="63" a="1"/>
  <c r="E410" i="63" s="1"/>
  <c r="D410" i="63" a="1"/>
  <c r="D410" i="63" s="1"/>
  <c r="G409" i="63" a="1"/>
  <c r="G409" i="63" s="1"/>
  <c r="F409" i="63" a="1"/>
  <c r="F409" i="63" s="1"/>
  <c r="E409" i="63" a="1"/>
  <c r="E409" i="63" s="1"/>
  <c r="D409" i="63" a="1"/>
  <c r="D409" i="63" s="1"/>
  <c r="G408" i="63" a="1"/>
  <c r="G408" i="63" s="1"/>
  <c r="F408" i="63" a="1"/>
  <c r="F408" i="63" s="1"/>
  <c r="E408" i="63" a="1"/>
  <c r="E408" i="63" s="1"/>
  <c r="D408" i="63" a="1"/>
  <c r="D408" i="63" s="1"/>
  <c r="G407" i="63" a="1"/>
  <c r="G407" i="63" s="1"/>
  <c r="F407" i="63" a="1"/>
  <c r="F407" i="63" s="1"/>
  <c r="E407" i="63" a="1"/>
  <c r="E407" i="63" s="1"/>
  <c r="D407" i="63" a="1"/>
  <c r="D407" i="63" s="1"/>
  <c r="G406" i="63" a="1"/>
  <c r="G406" i="63" s="1"/>
  <c r="F406" i="63" a="1"/>
  <c r="F406" i="63" s="1"/>
  <c r="E406" i="63" a="1"/>
  <c r="E406" i="63" s="1"/>
  <c r="D406" i="63" a="1"/>
  <c r="D406" i="63" s="1"/>
  <c r="G405" i="63" a="1"/>
  <c r="G405" i="63" s="1"/>
  <c r="F405" i="63" a="1"/>
  <c r="F405" i="63" s="1"/>
  <c r="E405" i="63" a="1"/>
  <c r="E405" i="63" s="1"/>
  <c r="D405" i="63" a="1"/>
  <c r="D405" i="63" s="1"/>
  <c r="G404" i="63" a="1"/>
  <c r="G404" i="63" s="1"/>
  <c r="F404" i="63" a="1"/>
  <c r="F404" i="63" s="1"/>
  <c r="E404" i="63" a="1"/>
  <c r="E404" i="63" s="1"/>
  <c r="D404" i="63" a="1"/>
  <c r="D404" i="63" s="1"/>
  <c r="G403" i="63" a="1"/>
  <c r="G403" i="63" s="1"/>
  <c r="F403" i="63" a="1"/>
  <c r="F403" i="63" s="1"/>
  <c r="E403" i="63" a="1"/>
  <c r="E403" i="63" s="1"/>
  <c r="D403" i="63" a="1"/>
  <c r="D403" i="63" s="1"/>
  <c r="G402" i="63" a="1"/>
  <c r="G402" i="63" s="1"/>
  <c r="F402" i="63" a="1"/>
  <c r="F402" i="63" s="1"/>
  <c r="E402" i="63" a="1"/>
  <c r="E402" i="63" s="1"/>
  <c r="D402" i="63" a="1"/>
  <c r="D402" i="63" s="1"/>
  <c r="G401" i="63" a="1"/>
  <c r="G401" i="63" s="1"/>
  <c r="F401" i="63" a="1"/>
  <c r="F401" i="63" s="1"/>
  <c r="E401" i="63" a="1"/>
  <c r="E401" i="63" s="1"/>
  <c r="D401" i="63" a="1"/>
  <c r="D401" i="63" s="1"/>
  <c r="D399" i="63" a="1"/>
  <c r="D399" i="63" s="1"/>
  <c r="D398" i="63" a="1"/>
  <c r="D398" i="63" s="1"/>
  <c r="D397" i="63" a="1"/>
  <c r="D397" i="63" s="1"/>
  <c r="D396" i="63" a="1"/>
  <c r="D396" i="63" s="1"/>
  <c r="D395" i="63" a="1"/>
  <c r="D395" i="63" s="1"/>
  <c r="G392" i="63" a="1"/>
  <c r="G392" i="63" s="1"/>
  <c r="F392" i="63" a="1"/>
  <c r="F392" i="63" s="1"/>
  <c r="E392" i="63" a="1"/>
  <c r="E392" i="63" s="1"/>
  <c r="D392" i="63" a="1"/>
  <c r="D392" i="63" s="1"/>
  <c r="G391" i="63" a="1"/>
  <c r="G391" i="63" s="1"/>
  <c r="F391" i="63" a="1"/>
  <c r="F391" i="63" s="1"/>
  <c r="E391" i="63" a="1"/>
  <c r="E391" i="63" s="1"/>
  <c r="D391" i="63" a="1"/>
  <c r="D391" i="63" s="1"/>
  <c r="G390" i="63" a="1"/>
  <c r="G390" i="63" s="1"/>
  <c r="F390" i="63" a="1"/>
  <c r="F390" i="63" s="1"/>
  <c r="E390" i="63" a="1"/>
  <c r="E390" i="63" s="1"/>
  <c r="D390" i="63" a="1"/>
  <c r="D390" i="63" s="1"/>
  <c r="G389" i="63" a="1"/>
  <c r="G389" i="63" s="1"/>
  <c r="F389" i="63" a="1"/>
  <c r="F389" i="63" s="1"/>
  <c r="E389" i="63" a="1"/>
  <c r="E389" i="63" s="1"/>
  <c r="D389" i="63" a="1"/>
  <c r="D389" i="63" s="1"/>
  <c r="G388" i="63" a="1"/>
  <c r="G388" i="63" s="1"/>
  <c r="F388" i="63" a="1"/>
  <c r="F388" i="63" s="1"/>
  <c r="E388" i="63" a="1"/>
  <c r="E388" i="63" s="1"/>
  <c r="D388" i="63" a="1"/>
  <c r="D388" i="63" s="1"/>
  <c r="G387" i="63" a="1"/>
  <c r="G387" i="63" s="1"/>
  <c r="F387" i="63" a="1"/>
  <c r="F387" i="63" s="1"/>
  <c r="E387" i="63" a="1"/>
  <c r="E387" i="63" s="1"/>
  <c r="D387" i="63" a="1"/>
  <c r="D387" i="63" s="1"/>
  <c r="G386" i="63" a="1"/>
  <c r="G386" i="63" s="1"/>
  <c r="F386" i="63" a="1"/>
  <c r="F386" i="63" s="1"/>
  <c r="E386" i="63" a="1"/>
  <c r="E386" i="63" s="1"/>
  <c r="D386" i="63" a="1"/>
  <c r="D386" i="63" s="1"/>
  <c r="G385" i="63" a="1"/>
  <c r="G385" i="63" s="1"/>
  <c r="F385" i="63" a="1"/>
  <c r="F385" i="63" s="1"/>
  <c r="E385" i="63" a="1"/>
  <c r="E385" i="63" s="1"/>
  <c r="D385" i="63" a="1"/>
  <c r="D385" i="63" s="1"/>
  <c r="G384" i="63" a="1"/>
  <c r="G384" i="63" s="1"/>
  <c r="F384" i="63" a="1"/>
  <c r="F384" i="63" s="1"/>
  <c r="E384" i="63" a="1"/>
  <c r="E384" i="63" s="1"/>
  <c r="D384" i="63" a="1"/>
  <c r="D384" i="63" s="1"/>
  <c r="G383" i="63" a="1"/>
  <c r="G383" i="63" s="1"/>
  <c r="F383" i="63" a="1"/>
  <c r="F383" i="63" s="1"/>
  <c r="E383" i="63" a="1"/>
  <c r="E383" i="63" s="1"/>
  <c r="D383" i="63" a="1"/>
  <c r="D383" i="63" s="1"/>
  <c r="G382" i="63" a="1"/>
  <c r="G382" i="63" s="1"/>
  <c r="F382" i="63" a="1"/>
  <c r="F382" i="63" s="1"/>
  <c r="E382" i="63" a="1"/>
  <c r="E382" i="63" s="1"/>
  <c r="D382" i="63" a="1"/>
  <c r="D382" i="63" s="1"/>
  <c r="G381" i="63" a="1"/>
  <c r="G381" i="63" s="1"/>
  <c r="F381" i="63" a="1"/>
  <c r="F381" i="63" s="1"/>
  <c r="E381" i="63" a="1"/>
  <c r="E381" i="63" s="1"/>
  <c r="D381" i="63" a="1"/>
  <c r="D381" i="63" s="1"/>
  <c r="G380" i="63" a="1"/>
  <c r="G380" i="63" s="1"/>
  <c r="F380" i="63" a="1"/>
  <c r="F380" i="63" s="1"/>
  <c r="E380" i="63" a="1"/>
  <c r="E380" i="63" s="1"/>
  <c r="D380" i="63" a="1"/>
  <c r="D380" i="63" s="1"/>
  <c r="G379" i="63" a="1"/>
  <c r="G379" i="63" s="1"/>
  <c r="F379" i="63" a="1"/>
  <c r="F379" i="63" s="1"/>
  <c r="E379" i="63" a="1"/>
  <c r="E379" i="63" s="1"/>
  <c r="D379" i="63" a="1"/>
  <c r="D379" i="63" s="1"/>
  <c r="G378" i="63" a="1"/>
  <c r="G378" i="63" s="1"/>
  <c r="F378" i="63" a="1"/>
  <c r="F378" i="63" s="1"/>
  <c r="E378" i="63" a="1"/>
  <c r="E378" i="63" s="1"/>
  <c r="D378" i="63" a="1"/>
  <c r="D378" i="63" s="1"/>
  <c r="D376" i="63" a="1"/>
  <c r="D376" i="63" s="1"/>
  <c r="D375" i="63" a="1"/>
  <c r="D375" i="63" s="1"/>
  <c r="D374" i="63" a="1"/>
  <c r="D374" i="63" s="1"/>
  <c r="D373" i="63" a="1"/>
  <c r="D373" i="63" s="1"/>
  <c r="D372" i="63" a="1"/>
  <c r="D372" i="63" s="1"/>
  <c r="L358" i="63" a="1"/>
  <c r="L358" i="63" s="1"/>
  <c r="O369" i="63" s="1"/>
  <c r="K358" i="63" a="1"/>
  <c r="K358" i="63" s="1"/>
  <c r="M369" i="63" s="1"/>
  <c r="J358" i="63" a="1"/>
  <c r="J358" i="63" s="1"/>
  <c r="K369" i="63" s="1"/>
  <c r="I358" i="63" a="1"/>
  <c r="I358" i="63" s="1"/>
  <c r="I369" i="63" s="1"/>
  <c r="H358" i="63" a="1"/>
  <c r="H358" i="63" s="1"/>
  <c r="H369" i="63" s="1"/>
  <c r="G358" i="63" a="1"/>
  <c r="G358" i="63" s="1"/>
  <c r="G369" i="63" s="1"/>
  <c r="F358" i="63" a="1"/>
  <c r="F358" i="63" s="1"/>
  <c r="F369" i="63" s="1"/>
  <c r="E358" i="63" a="1"/>
  <c r="E358" i="63" s="1"/>
  <c r="E369" i="63" s="1"/>
  <c r="D358" i="63" a="1"/>
  <c r="D358" i="63" s="1"/>
  <c r="D369" i="63" s="1"/>
  <c r="L357" i="63" a="1"/>
  <c r="L357" i="63" s="1"/>
  <c r="O368" i="63" s="1"/>
  <c r="K357" i="63" a="1"/>
  <c r="K357" i="63" s="1"/>
  <c r="L368" i="63" s="1"/>
  <c r="J357" i="63" a="1"/>
  <c r="J357" i="63" s="1"/>
  <c r="K368" i="63" s="1"/>
  <c r="I357" i="63" a="1"/>
  <c r="I357" i="63" s="1"/>
  <c r="H357" i="63" a="1"/>
  <c r="H357" i="63" s="1"/>
  <c r="H368" i="63" s="1"/>
  <c r="G357" i="63" a="1"/>
  <c r="G357" i="63" s="1"/>
  <c r="G368" i="63" s="1"/>
  <c r="F357" i="63" a="1"/>
  <c r="F357" i="63" s="1"/>
  <c r="F368" i="63" s="1"/>
  <c r="E357" i="63" a="1"/>
  <c r="E357" i="63" s="1"/>
  <c r="E368" i="63" s="1"/>
  <c r="D357" i="63" a="1"/>
  <c r="D357" i="63" s="1"/>
  <c r="D368" i="63" s="1"/>
  <c r="L356" i="63" a="1"/>
  <c r="L356" i="63" s="1"/>
  <c r="O367" i="63" s="1"/>
  <c r="K356" i="63" a="1"/>
  <c r="K356" i="63" s="1"/>
  <c r="M367" i="63" s="1"/>
  <c r="J356" i="63" a="1"/>
  <c r="J356" i="63" s="1"/>
  <c r="K367" i="63" s="1"/>
  <c r="I356" i="63" a="1"/>
  <c r="I356" i="63" s="1"/>
  <c r="I367" i="63" s="1"/>
  <c r="H356" i="63" a="1"/>
  <c r="H356" i="63" s="1"/>
  <c r="H367" i="63" s="1"/>
  <c r="G356" i="63" a="1"/>
  <c r="G356" i="63" s="1"/>
  <c r="G367" i="63" s="1"/>
  <c r="F356" i="63" a="1"/>
  <c r="F356" i="63" s="1"/>
  <c r="F367" i="63" s="1"/>
  <c r="E356" i="63" a="1"/>
  <c r="E356" i="63" s="1"/>
  <c r="E367" i="63" s="1"/>
  <c r="D356" i="63" a="1"/>
  <c r="D356" i="63" s="1"/>
  <c r="D367" i="63" s="1"/>
  <c r="L355" i="63" a="1"/>
  <c r="L355" i="63" s="1"/>
  <c r="O366" i="63" s="1"/>
  <c r="K355" i="63" a="1"/>
  <c r="K355" i="63" s="1"/>
  <c r="J355" i="63" a="1"/>
  <c r="J355" i="63" s="1"/>
  <c r="K366" i="63" s="1"/>
  <c r="I355" i="63" a="1"/>
  <c r="I355" i="63" s="1"/>
  <c r="H355" i="63" a="1"/>
  <c r="H355" i="63" s="1"/>
  <c r="H366" i="63" s="1"/>
  <c r="G355" i="63" a="1"/>
  <c r="G355" i="63" s="1"/>
  <c r="G366" i="63" s="1"/>
  <c r="F355" i="63" a="1"/>
  <c r="F355" i="63" s="1"/>
  <c r="F366" i="63" s="1"/>
  <c r="E355" i="63" a="1"/>
  <c r="E355" i="63" s="1"/>
  <c r="E366" i="63" s="1"/>
  <c r="D355" i="63" a="1"/>
  <c r="D355" i="63" s="1"/>
  <c r="D366" i="63" s="1"/>
  <c r="L354" i="63" a="1"/>
  <c r="L354" i="63" s="1"/>
  <c r="O365" i="63" s="1"/>
  <c r="K354" i="63" a="1"/>
  <c r="K354" i="63" s="1"/>
  <c r="J354" i="63" a="1"/>
  <c r="J354" i="63" s="1"/>
  <c r="K365" i="63" s="1"/>
  <c r="I354" i="63" a="1"/>
  <c r="I354" i="63" s="1"/>
  <c r="J365" i="63" s="1"/>
  <c r="H354" i="63" a="1"/>
  <c r="H354" i="63" s="1"/>
  <c r="H365" i="63" s="1"/>
  <c r="G354" i="63" a="1"/>
  <c r="G354" i="63" s="1"/>
  <c r="G365" i="63" s="1"/>
  <c r="F354" i="63" a="1"/>
  <c r="F354" i="63" s="1"/>
  <c r="F365" i="63" s="1"/>
  <c r="E354" i="63" a="1"/>
  <c r="E354" i="63" s="1"/>
  <c r="E365" i="63" s="1"/>
  <c r="D354" i="63" a="1"/>
  <c r="D354" i="63" s="1"/>
  <c r="D365" i="63" s="1"/>
  <c r="L353" i="63" a="1"/>
  <c r="L353" i="63" s="1"/>
  <c r="O364" i="63" s="1"/>
  <c r="K353" i="63" a="1"/>
  <c r="K353" i="63" s="1"/>
  <c r="M364" i="63" s="1"/>
  <c r="J353" i="63" a="1"/>
  <c r="J353" i="63" s="1"/>
  <c r="K364" i="63" s="1"/>
  <c r="I353" i="63" a="1"/>
  <c r="I353" i="63" s="1"/>
  <c r="I364" i="63" s="1"/>
  <c r="H353" i="63" a="1"/>
  <c r="H353" i="63" s="1"/>
  <c r="H364" i="63" s="1"/>
  <c r="G353" i="63" a="1"/>
  <c r="G353" i="63" s="1"/>
  <c r="G364" i="63" s="1"/>
  <c r="F353" i="63" a="1"/>
  <c r="F353" i="63" s="1"/>
  <c r="F364" i="63" s="1"/>
  <c r="E353" i="63" a="1"/>
  <c r="E353" i="63" s="1"/>
  <c r="E364" i="63" s="1"/>
  <c r="D353" i="63" a="1"/>
  <c r="D353" i="63" s="1"/>
  <c r="D364" i="63" s="1"/>
  <c r="L352" i="63" a="1"/>
  <c r="L352" i="63" s="1"/>
  <c r="O363" i="63" s="1"/>
  <c r="K352" i="63" a="1"/>
  <c r="K352" i="63" s="1"/>
  <c r="J352" i="63" a="1"/>
  <c r="J352" i="63" s="1"/>
  <c r="K363" i="63" s="1"/>
  <c r="I352" i="63" a="1"/>
  <c r="I352" i="63" s="1"/>
  <c r="H352" i="63" a="1"/>
  <c r="H352" i="63" s="1"/>
  <c r="H363" i="63" s="1"/>
  <c r="G352" i="63" a="1"/>
  <c r="G352" i="63" s="1"/>
  <c r="G363" i="63" s="1"/>
  <c r="F352" i="63" a="1"/>
  <c r="F352" i="63" s="1"/>
  <c r="F363" i="63" s="1"/>
  <c r="E352" i="63" a="1"/>
  <c r="E352" i="63" s="1"/>
  <c r="E363" i="63" s="1"/>
  <c r="D352" i="63" a="1"/>
  <c r="D352" i="63" s="1"/>
  <c r="D363" i="63" s="1"/>
  <c r="L351" i="63" a="1"/>
  <c r="L351" i="63" s="1"/>
  <c r="O362" i="63" s="1"/>
  <c r="K351" i="63" a="1"/>
  <c r="K351" i="63" s="1"/>
  <c r="J351" i="63" a="1"/>
  <c r="J351" i="63" s="1"/>
  <c r="K362" i="63" s="1"/>
  <c r="I351" i="63" a="1"/>
  <c r="I351" i="63" s="1"/>
  <c r="I362" i="63" s="1"/>
  <c r="H351" i="63" a="1"/>
  <c r="H351" i="63" s="1"/>
  <c r="H362" i="63" s="1"/>
  <c r="G351" i="63" a="1"/>
  <c r="G351" i="63" s="1"/>
  <c r="G362" i="63" s="1"/>
  <c r="F351" i="63" a="1"/>
  <c r="F351" i="63" s="1"/>
  <c r="F362" i="63" s="1"/>
  <c r="E351" i="63" a="1"/>
  <c r="E351" i="63" s="1"/>
  <c r="E362" i="63" s="1"/>
  <c r="D351" i="63" a="1"/>
  <c r="D351" i="63" s="1"/>
  <c r="D362" i="63" s="1"/>
  <c r="D349" i="63" a="1"/>
  <c r="D349" i="63" s="1"/>
  <c r="D348" i="63" a="1"/>
  <c r="D348" i="63" s="1"/>
  <c r="D347" i="63" a="1"/>
  <c r="D347" i="63" s="1"/>
  <c r="D346" i="63" a="1"/>
  <c r="D346" i="63" s="1"/>
  <c r="D345" i="63" a="1"/>
  <c r="D345" i="63" s="1"/>
  <c r="G342" i="63" a="1"/>
  <c r="G342" i="63" s="1"/>
  <c r="F342" i="63" a="1"/>
  <c r="F342" i="63" s="1"/>
  <c r="E342" i="63" a="1"/>
  <c r="E342" i="63" s="1"/>
  <c r="D342" i="63" a="1"/>
  <c r="D342" i="63" s="1"/>
  <c r="G341" i="63" a="1"/>
  <c r="G341" i="63" s="1"/>
  <c r="L338" i="63" s="1"/>
  <c r="F341" i="63" a="1"/>
  <c r="F341" i="63" s="1"/>
  <c r="K338" i="63" s="1"/>
  <c r="E341" i="63" a="1"/>
  <c r="E341" i="63" s="1"/>
  <c r="D341" i="63" a="1"/>
  <c r="D341" i="63" s="1"/>
  <c r="I338" i="63" s="1"/>
  <c r="G340" i="63" a="1"/>
  <c r="G340" i="63" s="1"/>
  <c r="L337" i="63" s="1"/>
  <c r="F340" i="63" a="1"/>
  <c r="F340" i="63" s="1"/>
  <c r="K337" i="63" s="1"/>
  <c r="E340" i="63" a="1"/>
  <c r="E340" i="63" s="1"/>
  <c r="D340" i="63" a="1"/>
  <c r="D340" i="63" s="1"/>
  <c r="I337" i="63" s="1"/>
  <c r="G339" i="63" a="1"/>
  <c r="G339" i="63" s="1"/>
  <c r="F339" i="63" a="1"/>
  <c r="F339" i="63" s="1"/>
  <c r="E339" i="63" a="1"/>
  <c r="E339" i="63" s="1"/>
  <c r="D339" i="63" a="1"/>
  <c r="D339" i="63" s="1"/>
  <c r="G338" i="63" a="1"/>
  <c r="G338" i="63" s="1"/>
  <c r="F338" i="63" a="1"/>
  <c r="F338" i="63" s="1"/>
  <c r="E338" i="63" a="1"/>
  <c r="E338" i="63" s="1"/>
  <c r="D338" i="63" a="1"/>
  <c r="D338" i="63" s="1"/>
  <c r="G337" i="63" a="1"/>
  <c r="G337" i="63" s="1"/>
  <c r="F337" i="63" a="1"/>
  <c r="F337" i="63" s="1"/>
  <c r="E337" i="63" a="1"/>
  <c r="E337" i="63" s="1"/>
  <c r="D337" i="63" a="1"/>
  <c r="D337" i="63" s="1"/>
  <c r="G336" i="63" a="1"/>
  <c r="G336" i="63" s="1"/>
  <c r="L336" i="63" s="1"/>
  <c r="F336" i="63" a="1"/>
  <c r="F336" i="63" s="1"/>
  <c r="K336" i="63" s="1"/>
  <c r="E336" i="63" a="1"/>
  <c r="E336" i="63" s="1"/>
  <c r="D336" i="63" a="1"/>
  <c r="D336" i="63" s="1"/>
  <c r="I336" i="63" s="1"/>
  <c r="G335" i="63" a="1"/>
  <c r="G335" i="63" s="1"/>
  <c r="L335" i="63" s="1"/>
  <c r="F335" i="63" a="1"/>
  <c r="F335" i="63" s="1"/>
  <c r="K335" i="63" s="1"/>
  <c r="E335" i="63" a="1"/>
  <c r="E335" i="63" s="1"/>
  <c r="D335" i="63" a="1"/>
  <c r="D335" i="63" s="1"/>
  <c r="I335" i="63" s="1"/>
  <c r="D333" i="63" a="1"/>
  <c r="D333" i="63" s="1"/>
  <c r="D332" i="63" a="1"/>
  <c r="D332" i="63" s="1"/>
  <c r="D331" i="63" a="1"/>
  <c r="D331" i="63" s="1"/>
  <c r="I328" i="63" a="1"/>
  <c r="I328" i="63" s="1"/>
  <c r="H328" i="63" a="1"/>
  <c r="H328" i="63" s="1"/>
  <c r="G328" i="63" a="1"/>
  <c r="G328" i="63" s="1"/>
  <c r="F328" i="63" a="1"/>
  <c r="F328" i="63" s="1"/>
  <c r="E328" i="63" a="1"/>
  <c r="E328" i="63" s="1"/>
  <c r="D328" i="63" a="1"/>
  <c r="D328" i="63" s="1"/>
  <c r="I327" i="63" a="1"/>
  <c r="I327" i="63" s="1"/>
  <c r="H327" i="63" a="1"/>
  <c r="H327" i="63" s="1"/>
  <c r="G327" i="63" a="1"/>
  <c r="G327" i="63" s="1"/>
  <c r="F327" i="63" a="1"/>
  <c r="F327" i="63" s="1"/>
  <c r="E327" i="63" a="1"/>
  <c r="E327" i="63" s="1"/>
  <c r="D327" i="63" a="1"/>
  <c r="D327" i="63" s="1"/>
  <c r="I326" i="63" a="1"/>
  <c r="I326" i="63" s="1"/>
  <c r="H326" i="63" a="1"/>
  <c r="H326" i="63" s="1"/>
  <c r="G326" i="63" a="1"/>
  <c r="G326" i="63" s="1"/>
  <c r="F326" i="63" a="1"/>
  <c r="F326" i="63" s="1"/>
  <c r="E326" i="63" a="1"/>
  <c r="E326" i="63" s="1"/>
  <c r="D326" i="63" a="1"/>
  <c r="D326" i="63" s="1"/>
  <c r="I325" i="63" a="1"/>
  <c r="I325" i="63" s="1"/>
  <c r="H325" i="63" a="1"/>
  <c r="H325" i="63" s="1"/>
  <c r="G325" i="63" a="1"/>
  <c r="G325" i="63" s="1"/>
  <c r="F325" i="63" a="1"/>
  <c r="F325" i="63" s="1"/>
  <c r="E325" i="63" a="1"/>
  <c r="E325" i="63" s="1"/>
  <c r="D325" i="63" a="1"/>
  <c r="D325" i="63" s="1"/>
  <c r="I324" i="63" a="1"/>
  <c r="I324" i="63" s="1"/>
  <c r="H324" i="63" a="1"/>
  <c r="H324" i="63" s="1"/>
  <c r="G324" i="63" a="1"/>
  <c r="G324" i="63" s="1"/>
  <c r="F324" i="63" a="1"/>
  <c r="F324" i="63" s="1"/>
  <c r="E324" i="63" a="1"/>
  <c r="E324" i="63" s="1"/>
  <c r="D324" i="63" a="1"/>
  <c r="D324" i="63" s="1"/>
  <c r="I323" i="63" a="1"/>
  <c r="I323" i="63" s="1"/>
  <c r="H323" i="63" a="1"/>
  <c r="H323" i="63" s="1"/>
  <c r="G323" i="63" a="1"/>
  <c r="G323" i="63" s="1"/>
  <c r="F323" i="63" a="1"/>
  <c r="F323" i="63" s="1"/>
  <c r="E323" i="63" a="1"/>
  <c r="E323" i="63" s="1"/>
  <c r="D323" i="63" a="1"/>
  <c r="D323" i="63" s="1"/>
  <c r="I322" i="63" a="1"/>
  <c r="I322" i="63" s="1"/>
  <c r="H322" i="63" a="1"/>
  <c r="H322" i="63" s="1"/>
  <c r="G322" i="63" a="1"/>
  <c r="G322" i="63" s="1"/>
  <c r="F322" i="63" a="1"/>
  <c r="F322" i="63" s="1"/>
  <c r="E322" i="63" a="1"/>
  <c r="E322" i="63" s="1"/>
  <c r="D322" i="63" a="1"/>
  <c r="D322" i="63" s="1"/>
  <c r="I321" i="63" a="1"/>
  <c r="I321" i="63" s="1"/>
  <c r="H321" i="63" a="1"/>
  <c r="H321" i="63" s="1"/>
  <c r="G321" i="63" a="1"/>
  <c r="G321" i="63" s="1"/>
  <c r="F321" i="63" a="1"/>
  <c r="F321" i="63" s="1"/>
  <c r="E321" i="63" a="1"/>
  <c r="E321" i="63" s="1"/>
  <c r="D321" i="63" a="1"/>
  <c r="D321" i="63" s="1"/>
  <c r="I320" i="63" a="1"/>
  <c r="I320" i="63" s="1"/>
  <c r="H320" i="63" a="1"/>
  <c r="H320" i="63" s="1"/>
  <c r="G320" i="63" a="1"/>
  <c r="G320" i="63" s="1"/>
  <c r="F320" i="63" a="1"/>
  <c r="F320" i="63" s="1"/>
  <c r="E320" i="63" a="1"/>
  <c r="E320" i="63" s="1"/>
  <c r="D320" i="63" a="1"/>
  <c r="D320" i="63" s="1"/>
  <c r="I319" i="63" a="1"/>
  <c r="I319" i="63" s="1"/>
  <c r="H319" i="63" a="1"/>
  <c r="H319" i="63" s="1"/>
  <c r="G319" i="63" a="1"/>
  <c r="G319" i="63" s="1"/>
  <c r="F319" i="63" a="1"/>
  <c r="F319" i="63" s="1"/>
  <c r="E319" i="63" a="1"/>
  <c r="E319" i="63" s="1"/>
  <c r="D319" i="63" a="1"/>
  <c r="D319" i="63" s="1"/>
  <c r="I318" i="63" a="1"/>
  <c r="I318" i="63" s="1"/>
  <c r="H318" i="63" a="1"/>
  <c r="H318" i="63" s="1"/>
  <c r="G318" i="63" a="1"/>
  <c r="G318" i="63" s="1"/>
  <c r="F318" i="63" a="1"/>
  <c r="F318" i="63" s="1"/>
  <c r="E318" i="63" a="1"/>
  <c r="E318" i="63" s="1"/>
  <c r="D318" i="63" a="1"/>
  <c r="D318" i="63" s="1"/>
  <c r="I317" i="63" a="1"/>
  <c r="I317" i="63" s="1"/>
  <c r="H317" i="63" a="1"/>
  <c r="H317" i="63" s="1"/>
  <c r="G317" i="63" a="1"/>
  <c r="G317" i="63" s="1"/>
  <c r="F317" i="63" a="1"/>
  <c r="F317" i="63" s="1"/>
  <c r="E317" i="63" a="1"/>
  <c r="E317" i="63" s="1"/>
  <c r="D317" i="63" a="1"/>
  <c r="D317" i="63" s="1"/>
  <c r="I316" i="63" a="1"/>
  <c r="I316" i="63" s="1"/>
  <c r="H316" i="63" a="1"/>
  <c r="H316" i="63" s="1"/>
  <c r="G316" i="63" a="1"/>
  <c r="G316" i="63" s="1"/>
  <c r="F316" i="63" a="1"/>
  <c r="F316" i="63" s="1"/>
  <c r="E316" i="63" a="1"/>
  <c r="E316" i="63" s="1"/>
  <c r="D316" i="63" a="1"/>
  <c r="D316" i="63" s="1"/>
  <c r="I315" i="63" a="1"/>
  <c r="I315" i="63" s="1"/>
  <c r="H315" i="63" a="1"/>
  <c r="H315" i="63" s="1"/>
  <c r="G315" i="63" a="1"/>
  <c r="G315" i="63" s="1"/>
  <c r="F315" i="63" a="1"/>
  <c r="F315" i="63" s="1"/>
  <c r="E315" i="63" a="1"/>
  <c r="E315" i="63" s="1"/>
  <c r="D315" i="63" a="1"/>
  <c r="D315" i="63" s="1"/>
  <c r="I314" i="63" a="1"/>
  <c r="I314" i="63" s="1"/>
  <c r="H314" i="63" a="1"/>
  <c r="H314" i="63" s="1"/>
  <c r="G314" i="63" a="1"/>
  <c r="G314" i="63" s="1"/>
  <c r="F314" i="63" a="1"/>
  <c r="F314" i="63" s="1"/>
  <c r="E314" i="63" a="1"/>
  <c r="E314" i="63" s="1"/>
  <c r="D314" i="63" a="1"/>
  <c r="D314" i="63" s="1"/>
  <c r="D312" i="63" a="1"/>
  <c r="D312" i="63" s="1"/>
  <c r="D311" i="63" a="1"/>
  <c r="D311" i="63" s="1"/>
  <c r="D310" i="63" a="1"/>
  <c r="D310" i="63" s="1"/>
  <c r="D309" i="63" a="1"/>
  <c r="D309" i="63" s="1"/>
  <c r="D308" i="63" a="1"/>
  <c r="D308" i="63" s="1"/>
  <c r="I305" i="63" a="1"/>
  <c r="I305" i="63" s="1"/>
  <c r="H305" i="63" a="1"/>
  <c r="H305" i="63" s="1"/>
  <c r="G305" i="63" a="1"/>
  <c r="G305" i="63" s="1"/>
  <c r="F305" i="63" a="1"/>
  <c r="F305" i="63" s="1"/>
  <c r="E305" i="63" a="1"/>
  <c r="E305" i="63" s="1"/>
  <c r="D305" i="63" a="1"/>
  <c r="D305" i="63" s="1"/>
  <c r="I304" i="63" a="1"/>
  <c r="I304" i="63" s="1"/>
  <c r="H304" i="63" a="1"/>
  <c r="H304" i="63" s="1"/>
  <c r="G304" i="63" a="1"/>
  <c r="G304" i="63" s="1"/>
  <c r="F304" i="63" a="1"/>
  <c r="F304" i="63" s="1"/>
  <c r="E304" i="63" a="1"/>
  <c r="E304" i="63" s="1"/>
  <c r="D304" i="63" a="1"/>
  <c r="D304" i="63" s="1"/>
  <c r="I303" i="63" a="1"/>
  <c r="I303" i="63" s="1"/>
  <c r="H303" i="63" a="1"/>
  <c r="H303" i="63" s="1"/>
  <c r="G303" i="63" a="1"/>
  <c r="G303" i="63" s="1"/>
  <c r="F303" i="63" a="1"/>
  <c r="F303" i="63" s="1"/>
  <c r="E303" i="63" a="1"/>
  <c r="E303" i="63" s="1"/>
  <c r="D303" i="63" a="1"/>
  <c r="D303" i="63" s="1"/>
  <c r="I302" i="63" a="1"/>
  <c r="I302" i="63" s="1"/>
  <c r="H302" i="63" a="1"/>
  <c r="H302" i="63" s="1"/>
  <c r="G302" i="63" a="1"/>
  <c r="G302" i="63" s="1"/>
  <c r="F302" i="63" a="1"/>
  <c r="F302" i="63" s="1"/>
  <c r="E302" i="63" a="1"/>
  <c r="E302" i="63" s="1"/>
  <c r="D302" i="63" a="1"/>
  <c r="D302" i="63" s="1"/>
  <c r="I301" i="63" a="1"/>
  <c r="I301" i="63" s="1"/>
  <c r="H301" i="63" a="1"/>
  <c r="H301" i="63" s="1"/>
  <c r="G301" i="63" a="1"/>
  <c r="G301" i="63" s="1"/>
  <c r="F301" i="63" a="1"/>
  <c r="F301" i="63" s="1"/>
  <c r="E301" i="63" a="1"/>
  <c r="E301" i="63" s="1"/>
  <c r="D301" i="63" a="1"/>
  <c r="D301" i="63" s="1"/>
  <c r="I300" i="63" a="1"/>
  <c r="I300" i="63" s="1"/>
  <c r="H300" i="63" a="1"/>
  <c r="H300" i="63" s="1"/>
  <c r="G300" i="63" a="1"/>
  <c r="G300" i="63" s="1"/>
  <c r="F300" i="63" a="1"/>
  <c r="F300" i="63" s="1"/>
  <c r="E300" i="63" a="1"/>
  <c r="E300" i="63" s="1"/>
  <c r="D300" i="63" a="1"/>
  <c r="D300" i="63" s="1"/>
  <c r="I299" i="63" a="1"/>
  <c r="I299" i="63" s="1"/>
  <c r="H299" i="63" a="1"/>
  <c r="H299" i="63" s="1"/>
  <c r="G299" i="63" a="1"/>
  <c r="G299" i="63" s="1"/>
  <c r="F299" i="63" a="1"/>
  <c r="F299" i="63" s="1"/>
  <c r="E299" i="63" a="1"/>
  <c r="E299" i="63" s="1"/>
  <c r="D299" i="63" a="1"/>
  <c r="D299" i="63" s="1"/>
  <c r="I298" i="63" a="1"/>
  <c r="I298" i="63" s="1"/>
  <c r="H298" i="63" a="1"/>
  <c r="H298" i="63" s="1"/>
  <c r="G298" i="63" a="1"/>
  <c r="G298" i="63" s="1"/>
  <c r="F298" i="63" a="1"/>
  <c r="F298" i="63" s="1"/>
  <c r="E298" i="63" a="1"/>
  <c r="E298" i="63" s="1"/>
  <c r="D298" i="63" a="1"/>
  <c r="D298" i="63" s="1"/>
  <c r="I297" i="63" a="1"/>
  <c r="I297" i="63" s="1"/>
  <c r="H297" i="63" a="1"/>
  <c r="H297" i="63" s="1"/>
  <c r="G297" i="63" a="1"/>
  <c r="G297" i="63" s="1"/>
  <c r="F297" i="63" a="1"/>
  <c r="F297" i="63" s="1"/>
  <c r="E297" i="63" a="1"/>
  <c r="E297" i="63" s="1"/>
  <c r="D297" i="63" a="1"/>
  <c r="D297" i="63" s="1"/>
  <c r="I296" i="63" a="1"/>
  <c r="I296" i="63" s="1"/>
  <c r="H296" i="63" a="1"/>
  <c r="H296" i="63" s="1"/>
  <c r="G296" i="63" a="1"/>
  <c r="G296" i="63" s="1"/>
  <c r="F296" i="63" a="1"/>
  <c r="F296" i="63" s="1"/>
  <c r="E296" i="63" a="1"/>
  <c r="E296" i="63" s="1"/>
  <c r="D296" i="63" a="1"/>
  <c r="D296" i="63" s="1"/>
  <c r="I295" i="63" a="1"/>
  <c r="I295" i="63" s="1"/>
  <c r="H295" i="63" a="1"/>
  <c r="H295" i="63" s="1"/>
  <c r="G295" i="63" a="1"/>
  <c r="G295" i="63" s="1"/>
  <c r="F295" i="63" a="1"/>
  <c r="F295" i="63" s="1"/>
  <c r="E295" i="63" a="1"/>
  <c r="E295" i="63" s="1"/>
  <c r="D295" i="63" a="1"/>
  <c r="D295" i="63" s="1"/>
  <c r="I294" i="63" a="1"/>
  <c r="I294" i="63" s="1"/>
  <c r="H294" i="63" a="1"/>
  <c r="H294" i="63" s="1"/>
  <c r="G294" i="63" a="1"/>
  <c r="G294" i="63" s="1"/>
  <c r="F294" i="63" a="1"/>
  <c r="F294" i="63" s="1"/>
  <c r="E294" i="63" a="1"/>
  <c r="E294" i="63" s="1"/>
  <c r="D294" i="63" a="1"/>
  <c r="D294" i="63" s="1"/>
  <c r="I293" i="63" a="1"/>
  <c r="I293" i="63" s="1"/>
  <c r="H293" i="63" a="1"/>
  <c r="H293" i="63" s="1"/>
  <c r="G293" i="63" a="1"/>
  <c r="G293" i="63" s="1"/>
  <c r="F293" i="63" a="1"/>
  <c r="F293" i="63" s="1"/>
  <c r="E293" i="63" a="1"/>
  <c r="E293" i="63" s="1"/>
  <c r="D293" i="63" a="1"/>
  <c r="D293" i="63" s="1"/>
  <c r="I292" i="63" a="1"/>
  <c r="I292" i="63" s="1"/>
  <c r="H292" i="63" a="1"/>
  <c r="H292" i="63" s="1"/>
  <c r="G292" i="63" a="1"/>
  <c r="G292" i="63" s="1"/>
  <c r="F292" i="63" a="1"/>
  <c r="F292" i="63" s="1"/>
  <c r="E292" i="63" a="1"/>
  <c r="E292" i="63" s="1"/>
  <c r="D292" i="63" a="1"/>
  <c r="D292" i="63" s="1"/>
  <c r="I291" i="63" a="1"/>
  <c r="I291" i="63" s="1"/>
  <c r="H291" i="63" a="1"/>
  <c r="H291" i="63" s="1"/>
  <c r="G291" i="63" a="1"/>
  <c r="G291" i="63" s="1"/>
  <c r="F291" i="63" a="1"/>
  <c r="F291" i="63" s="1"/>
  <c r="E291" i="63" a="1"/>
  <c r="E291" i="63" s="1"/>
  <c r="D291" i="63" a="1"/>
  <c r="D291" i="63" s="1"/>
  <c r="D289" i="63" a="1"/>
  <c r="D289" i="63" s="1"/>
  <c r="D288" i="63" a="1"/>
  <c r="D288" i="63" s="1"/>
  <c r="D287" i="63" a="1"/>
  <c r="D287" i="63" s="1"/>
  <c r="D286" i="63" a="1"/>
  <c r="D286" i="63" s="1"/>
  <c r="D285" i="63" a="1"/>
  <c r="D285" i="63" s="1"/>
  <c r="P217" i="63" a="1"/>
  <c r="P217" i="63" s="1"/>
  <c r="P282" i="63" s="1"/>
  <c r="O217" i="63" a="1"/>
  <c r="O217" i="63" s="1"/>
  <c r="O282" i="63" s="1"/>
  <c r="N217" i="63" a="1"/>
  <c r="N217" i="63" s="1"/>
  <c r="N282" i="63" s="1"/>
  <c r="M217" i="63" a="1"/>
  <c r="M217" i="63" s="1"/>
  <c r="M282" i="63" s="1"/>
  <c r="L217" i="63" a="1"/>
  <c r="L217" i="63" s="1"/>
  <c r="L282" i="63" s="1"/>
  <c r="K217" i="63" a="1"/>
  <c r="K217" i="63" s="1"/>
  <c r="K282" i="63" s="1"/>
  <c r="J217" i="63" a="1"/>
  <c r="J217" i="63" s="1"/>
  <c r="J282" i="63" s="1"/>
  <c r="I217" i="63" a="1"/>
  <c r="I217" i="63" s="1"/>
  <c r="I282" i="63" s="1"/>
  <c r="H217" i="63" a="1"/>
  <c r="H217" i="63" s="1"/>
  <c r="H282" i="63" s="1"/>
  <c r="G217" i="63" a="1"/>
  <c r="G217" i="63" s="1"/>
  <c r="G282" i="63" s="1"/>
  <c r="F217" i="63" a="1"/>
  <c r="F217" i="63" s="1"/>
  <c r="F282" i="63" s="1"/>
  <c r="E217" i="63" a="1"/>
  <c r="E217" i="63" s="1"/>
  <c r="E282" i="63" s="1"/>
  <c r="D217" i="63" a="1"/>
  <c r="D217" i="63" s="1"/>
  <c r="P216" i="63" a="1"/>
  <c r="P216" i="63" s="1"/>
  <c r="P281" i="63" s="1"/>
  <c r="O216" i="63" a="1"/>
  <c r="O216" i="63" s="1"/>
  <c r="O281" i="63" s="1"/>
  <c r="N216" i="63" a="1"/>
  <c r="N216" i="63" s="1"/>
  <c r="N281" i="63" s="1"/>
  <c r="M216" i="63" a="1"/>
  <c r="M216" i="63" s="1"/>
  <c r="M281" i="63" s="1"/>
  <c r="L216" i="63" a="1"/>
  <c r="L216" i="63" s="1"/>
  <c r="L281" i="63" s="1"/>
  <c r="K216" i="63" a="1"/>
  <c r="K216" i="63" s="1"/>
  <c r="K281" i="63" s="1"/>
  <c r="J216" i="63" a="1"/>
  <c r="J216" i="63" s="1"/>
  <c r="J281" i="63" s="1"/>
  <c r="I216" i="63" a="1"/>
  <c r="I216" i="63" s="1"/>
  <c r="I281" i="63" s="1"/>
  <c r="H216" i="63" a="1"/>
  <c r="H216" i="63" s="1"/>
  <c r="H281" i="63" s="1"/>
  <c r="G216" i="63" a="1"/>
  <c r="G216" i="63" s="1"/>
  <c r="G281" i="63" s="1"/>
  <c r="F216" i="63" a="1"/>
  <c r="F216" i="63" s="1"/>
  <c r="F281" i="63" s="1"/>
  <c r="E216" i="63" a="1"/>
  <c r="E216" i="63" s="1"/>
  <c r="E281" i="63" s="1"/>
  <c r="D216" i="63" a="1"/>
  <c r="D216" i="63" s="1"/>
  <c r="P215" i="63" a="1"/>
  <c r="P215" i="63" s="1"/>
  <c r="P280" i="63" s="1"/>
  <c r="O215" i="63" a="1"/>
  <c r="O215" i="63" s="1"/>
  <c r="O280" i="63" s="1"/>
  <c r="N215" i="63" a="1"/>
  <c r="N215" i="63" s="1"/>
  <c r="N280" i="63" s="1"/>
  <c r="M215" i="63" a="1"/>
  <c r="M215" i="63" s="1"/>
  <c r="M280" i="63" s="1"/>
  <c r="L215" i="63" a="1"/>
  <c r="L215" i="63" s="1"/>
  <c r="L280" i="63" s="1"/>
  <c r="K215" i="63" a="1"/>
  <c r="K215" i="63" s="1"/>
  <c r="K280" i="63" s="1"/>
  <c r="J215" i="63" a="1"/>
  <c r="J215" i="63" s="1"/>
  <c r="J280" i="63" s="1"/>
  <c r="I215" i="63" a="1"/>
  <c r="I215" i="63" s="1"/>
  <c r="I280" i="63" s="1"/>
  <c r="H215" i="63" a="1"/>
  <c r="H215" i="63" s="1"/>
  <c r="H280" i="63" s="1"/>
  <c r="G215" i="63" a="1"/>
  <c r="G215" i="63" s="1"/>
  <c r="G280" i="63" s="1"/>
  <c r="F215" i="63" a="1"/>
  <c r="F215" i="63" s="1"/>
  <c r="F280" i="63" s="1"/>
  <c r="E215" i="63" a="1"/>
  <c r="E215" i="63" s="1"/>
  <c r="E280" i="63" s="1"/>
  <c r="D215" i="63" a="1"/>
  <c r="D215" i="63" s="1"/>
  <c r="P214" i="63" a="1"/>
  <c r="P214" i="63" s="1"/>
  <c r="P279" i="63" s="1"/>
  <c r="O214" i="63" a="1"/>
  <c r="O214" i="63" s="1"/>
  <c r="O279" i="63" s="1"/>
  <c r="N214" i="63" a="1"/>
  <c r="N214" i="63" s="1"/>
  <c r="N279" i="63" s="1"/>
  <c r="M214" i="63" a="1"/>
  <c r="M214" i="63" s="1"/>
  <c r="M279" i="63" s="1"/>
  <c r="L214" i="63" a="1"/>
  <c r="L214" i="63" s="1"/>
  <c r="L279" i="63" s="1"/>
  <c r="K214" i="63" a="1"/>
  <c r="K214" i="63" s="1"/>
  <c r="K279" i="63" s="1"/>
  <c r="J214" i="63" a="1"/>
  <c r="J214" i="63" s="1"/>
  <c r="J279" i="63" s="1"/>
  <c r="I214" i="63" a="1"/>
  <c r="I214" i="63" s="1"/>
  <c r="I279" i="63" s="1"/>
  <c r="H214" i="63" a="1"/>
  <c r="H214" i="63" s="1"/>
  <c r="H279" i="63" s="1"/>
  <c r="G214" i="63" a="1"/>
  <c r="G214" i="63" s="1"/>
  <c r="G279" i="63" s="1"/>
  <c r="F214" i="63" a="1"/>
  <c r="F214" i="63" s="1"/>
  <c r="F279" i="63" s="1"/>
  <c r="E214" i="63" a="1"/>
  <c r="E214" i="63" s="1"/>
  <c r="E279" i="63" s="1"/>
  <c r="D214" i="63" a="1"/>
  <c r="D214" i="63" s="1"/>
  <c r="P213" i="63" a="1"/>
  <c r="P213" i="63" s="1"/>
  <c r="P278" i="63" s="1"/>
  <c r="O213" i="63" a="1"/>
  <c r="O213" i="63" s="1"/>
  <c r="O278" i="63" s="1"/>
  <c r="N213" i="63" a="1"/>
  <c r="N213" i="63" s="1"/>
  <c r="N278" i="63" s="1"/>
  <c r="M213" i="63" a="1"/>
  <c r="M213" i="63" s="1"/>
  <c r="M278" i="63" s="1"/>
  <c r="L213" i="63" a="1"/>
  <c r="L213" i="63" s="1"/>
  <c r="L278" i="63" s="1"/>
  <c r="K213" i="63" a="1"/>
  <c r="K213" i="63" s="1"/>
  <c r="K278" i="63" s="1"/>
  <c r="J213" i="63" a="1"/>
  <c r="J213" i="63" s="1"/>
  <c r="J278" i="63" s="1"/>
  <c r="I213" i="63" a="1"/>
  <c r="I213" i="63" s="1"/>
  <c r="I278" i="63" s="1"/>
  <c r="H213" i="63" a="1"/>
  <c r="H213" i="63" s="1"/>
  <c r="H278" i="63" s="1"/>
  <c r="G213" i="63" a="1"/>
  <c r="G213" i="63" s="1"/>
  <c r="G278" i="63" s="1"/>
  <c r="F213" i="63" a="1"/>
  <c r="F213" i="63" s="1"/>
  <c r="F278" i="63" s="1"/>
  <c r="E213" i="63" a="1"/>
  <c r="E213" i="63" s="1"/>
  <c r="E278" i="63" s="1"/>
  <c r="D213" i="63" a="1"/>
  <c r="D213" i="63" s="1"/>
  <c r="P212" i="63" a="1"/>
  <c r="P212" i="63" s="1"/>
  <c r="P277" i="63" s="1"/>
  <c r="O212" i="63" a="1"/>
  <c r="O212" i="63" s="1"/>
  <c r="O277" i="63" s="1"/>
  <c r="N212" i="63" a="1"/>
  <c r="N212" i="63" s="1"/>
  <c r="N277" i="63" s="1"/>
  <c r="M212" i="63" a="1"/>
  <c r="M212" i="63" s="1"/>
  <c r="M277" i="63" s="1"/>
  <c r="L212" i="63" a="1"/>
  <c r="L212" i="63" s="1"/>
  <c r="L277" i="63" s="1"/>
  <c r="K212" i="63" a="1"/>
  <c r="K212" i="63" s="1"/>
  <c r="K277" i="63" s="1"/>
  <c r="J212" i="63" a="1"/>
  <c r="J212" i="63" s="1"/>
  <c r="J277" i="63" s="1"/>
  <c r="I212" i="63" a="1"/>
  <c r="I212" i="63" s="1"/>
  <c r="I277" i="63" s="1"/>
  <c r="H212" i="63" a="1"/>
  <c r="H212" i="63" s="1"/>
  <c r="H277" i="63" s="1"/>
  <c r="G212" i="63" a="1"/>
  <c r="G212" i="63" s="1"/>
  <c r="G277" i="63" s="1"/>
  <c r="F212" i="63" a="1"/>
  <c r="F212" i="63" s="1"/>
  <c r="F277" i="63" s="1"/>
  <c r="E212" i="63" a="1"/>
  <c r="E212" i="63" s="1"/>
  <c r="E277" i="63" s="1"/>
  <c r="D212" i="63" a="1"/>
  <c r="D212" i="63" s="1"/>
  <c r="P211" i="63" a="1"/>
  <c r="P211" i="63" s="1"/>
  <c r="P276" i="63" s="1"/>
  <c r="O211" i="63" a="1"/>
  <c r="O211" i="63" s="1"/>
  <c r="O276" i="63" s="1"/>
  <c r="N211" i="63" a="1"/>
  <c r="N211" i="63" s="1"/>
  <c r="N276" i="63" s="1"/>
  <c r="M211" i="63" a="1"/>
  <c r="M211" i="63" s="1"/>
  <c r="M276" i="63" s="1"/>
  <c r="L211" i="63" a="1"/>
  <c r="L211" i="63" s="1"/>
  <c r="L276" i="63" s="1"/>
  <c r="K211" i="63" a="1"/>
  <c r="K211" i="63" s="1"/>
  <c r="K276" i="63" s="1"/>
  <c r="J211" i="63" a="1"/>
  <c r="J211" i="63" s="1"/>
  <c r="J276" i="63" s="1"/>
  <c r="I211" i="63" a="1"/>
  <c r="I211" i="63" s="1"/>
  <c r="I276" i="63" s="1"/>
  <c r="H211" i="63" a="1"/>
  <c r="H211" i="63" s="1"/>
  <c r="H276" i="63" s="1"/>
  <c r="G211" i="63" a="1"/>
  <c r="G211" i="63" s="1"/>
  <c r="G276" i="63" s="1"/>
  <c r="F211" i="63" a="1"/>
  <c r="F211" i="63" s="1"/>
  <c r="F276" i="63" s="1"/>
  <c r="E211" i="63" a="1"/>
  <c r="E211" i="63" s="1"/>
  <c r="E276" i="63" s="1"/>
  <c r="D211" i="63" a="1"/>
  <c r="D211" i="63" s="1"/>
  <c r="P210" i="63" a="1"/>
  <c r="P210" i="63" s="1"/>
  <c r="P275" i="63" s="1"/>
  <c r="O210" i="63" a="1"/>
  <c r="O210" i="63" s="1"/>
  <c r="O275" i="63" s="1"/>
  <c r="N210" i="63" a="1"/>
  <c r="N210" i="63" s="1"/>
  <c r="N275" i="63" s="1"/>
  <c r="M210" i="63" a="1"/>
  <c r="M210" i="63" s="1"/>
  <c r="M275" i="63" s="1"/>
  <c r="L210" i="63" a="1"/>
  <c r="L210" i="63" s="1"/>
  <c r="L275" i="63" s="1"/>
  <c r="K210" i="63" a="1"/>
  <c r="K210" i="63" s="1"/>
  <c r="K275" i="63" s="1"/>
  <c r="J210" i="63" a="1"/>
  <c r="J210" i="63" s="1"/>
  <c r="J275" i="63" s="1"/>
  <c r="I210" i="63" a="1"/>
  <c r="I210" i="63" s="1"/>
  <c r="I275" i="63" s="1"/>
  <c r="H210" i="63" a="1"/>
  <c r="H210" i="63" s="1"/>
  <c r="H275" i="63" s="1"/>
  <c r="G210" i="63" a="1"/>
  <c r="G210" i="63" s="1"/>
  <c r="G275" i="63" s="1"/>
  <c r="F210" i="63" a="1"/>
  <c r="F210" i="63" s="1"/>
  <c r="F275" i="63" s="1"/>
  <c r="E210" i="63" a="1"/>
  <c r="E210" i="63" s="1"/>
  <c r="E275" i="63" s="1"/>
  <c r="D210" i="63" a="1"/>
  <c r="D210" i="63" s="1"/>
  <c r="P209" i="63" a="1"/>
  <c r="P209" i="63" s="1"/>
  <c r="P274" i="63" s="1"/>
  <c r="O209" i="63" a="1"/>
  <c r="O209" i="63" s="1"/>
  <c r="O274" i="63" s="1"/>
  <c r="N209" i="63" a="1"/>
  <c r="N209" i="63" s="1"/>
  <c r="N274" i="63" s="1"/>
  <c r="M209" i="63" a="1"/>
  <c r="M209" i="63" s="1"/>
  <c r="M274" i="63" s="1"/>
  <c r="L209" i="63" a="1"/>
  <c r="L209" i="63" s="1"/>
  <c r="L274" i="63" s="1"/>
  <c r="K209" i="63" a="1"/>
  <c r="K209" i="63" s="1"/>
  <c r="K274" i="63" s="1"/>
  <c r="J209" i="63" a="1"/>
  <c r="J209" i="63" s="1"/>
  <c r="J274" i="63" s="1"/>
  <c r="I209" i="63" a="1"/>
  <c r="I209" i="63" s="1"/>
  <c r="I274" i="63" s="1"/>
  <c r="H209" i="63" a="1"/>
  <c r="H209" i="63" s="1"/>
  <c r="H274" i="63" s="1"/>
  <c r="G209" i="63" a="1"/>
  <c r="G209" i="63" s="1"/>
  <c r="G274" i="63" s="1"/>
  <c r="F209" i="63" a="1"/>
  <c r="F209" i="63" s="1"/>
  <c r="F274" i="63" s="1"/>
  <c r="E209" i="63" a="1"/>
  <c r="E209" i="63" s="1"/>
  <c r="E274" i="63" s="1"/>
  <c r="D209" i="63" a="1"/>
  <c r="D209" i="63" s="1"/>
  <c r="P208" i="63" a="1"/>
  <c r="P208" i="63" s="1"/>
  <c r="P273" i="63" s="1"/>
  <c r="O208" i="63" a="1"/>
  <c r="O208" i="63" s="1"/>
  <c r="O273" i="63" s="1"/>
  <c r="N208" i="63" a="1"/>
  <c r="N208" i="63" s="1"/>
  <c r="N273" i="63" s="1"/>
  <c r="M208" i="63" a="1"/>
  <c r="M208" i="63" s="1"/>
  <c r="M273" i="63" s="1"/>
  <c r="L208" i="63" a="1"/>
  <c r="L208" i="63" s="1"/>
  <c r="L273" i="63" s="1"/>
  <c r="K208" i="63" a="1"/>
  <c r="K208" i="63" s="1"/>
  <c r="K273" i="63" s="1"/>
  <c r="J208" i="63" a="1"/>
  <c r="J208" i="63" s="1"/>
  <c r="J273" i="63" s="1"/>
  <c r="I208" i="63" a="1"/>
  <c r="I208" i="63" s="1"/>
  <c r="I273" i="63" s="1"/>
  <c r="H208" i="63" a="1"/>
  <c r="H208" i="63" s="1"/>
  <c r="H273" i="63" s="1"/>
  <c r="G208" i="63" a="1"/>
  <c r="G208" i="63" s="1"/>
  <c r="G273" i="63" s="1"/>
  <c r="F208" i="63" a="1"/>
  <c r="F208" i="63" s="1"/>
  <c r="F273" i="63" s="1"/>
  <c r="E208" i="63" a="1"/>
  <c r="E208" i="63" s="1"/>
  <c r="E273" i="63" s="1"/>
  <c r="D208" i="63" a="1"/>
  <c r="D208" i="63" s="1"/>
  <c r="P207" i="63" a="1"/>
  <c r="P207" i="63" s="1"/>
  <c r="P272" i="63" s="1"/>
  <c r="O207" i="63" a="1"/>
  <c r="O207" i="63" s="1"/>
  <c r="O272" i="63" s="1"/>
  <c r="N207" i="63" a="1"/>
  <c r="N207" i="63" s="1"/>
  <c r="N272" i="63" s="1"/>
  <c r="M207" i="63" a="1"/>
  <c r="M207" i="63" s="1"/>
  <c r="M272" i="63" s="1"/>
  <c r="L207" i="63" a="1"/>
  <c r="L207" i="63" s="1"/>
  <c r="L272" i="63" s="1"/>
  <c r="K207" i="63" a="1"/>
  <c r="K207" i="63" s="1"/>
  <c r="K272" i="63" s="1"/>
  <c r="J207" i="63" a="1"/>
  <c r="J207" i="63" s="1"/>
  <c r="J272" i="63" s="1"/>
  <c r="I207" i="63" a="1"/>
  <c r="I207" i="63" s="1"/>
  <c r="I272" i="63" s="1"/>
  <c r="H207" i="63" a="1"/>
  <c r="H207" i="63" s="1"/>
  <c r="H272" i="63" s="1"/>
  <c r="G207" i="63" a="1"/>
  <c r="G207" i="63" s="1"/>
  <c r="G272" i="63" s="1"/>
  <c r="F207" i="63" a="1"/>
  <c r="F207" i="63" s="1"/>
  <c r="F272" i="63" s="1"/>
  <c r="E207" i="63" a="1"/>
  <c r="E207" i="63" s="1"/>
  <c r="E272" i="63" s="1"/>
  <c r="D207" i="63" a="1"/>
  <c r="D207" i="63" s="1"/>
  <c r="P206" i="63" a="1"/>
  <c r="P206" i="63" s="1"/>
  <c r="P271" i="63" s="1"/>
  <c r="O206" i="63" a="1"/>
  <c r="O206" i="63" s="1"/>
  <c r="O271" i="63" s="1"/>
  <c r="N206" i="63" a="1"/>
  <c r="N206" i="63" s="1"/>
  <c r="N271" i="63" s="1"/>
  <c r="M206" i="63" a="1"/>
  <c r="M206" i="63" s="1"/>
  <c r="M271" i="63" s="1"/>
  <c r="L206" i="63" a="1"/>
  <c r="L206" i="63" s="1"/>
  <c r="L271" i="63" s="1"/>
  <c r="K206" i="63" a="1"/>
  <c r="K206" i="63" s="1"/>
  <c r="K271" i="63" s="1"/>
  <c r="J206" i="63" a="1"/>
  <c r="J206" i="63" s="1"/>
  <c r="J271" i="63" s="1"/>
  <c r="I206" i="63" a="1"/>
  <c r="I206" i="63" s="1"/>
  <c r="I271" i="63" s="1"/>
  <c r="H206" i="63" a="1"/>
  <c r="H206" i="63" s="1"/>
  <c r="H271" i="63" s="1"/>
  <c r="G206" i="63" a="1"/>
  <c r="G206" i="63" s="1"/>
  <c r="G271" i="63" s="1"/>
  <c r="F206" i="63" a="1"/>
  <c r="F206" i="63" s="1"/>
  <c r="F271" i="63" s="1"/>
  <c r="E206" i="63" a="1"/>
  <c r="E206" i="63" s="1"/>
  <c r="E271" i="63" s="1"/>
  <c r="D206" i="63" a="1"/>
  <c r="D206" i="63" s="1"/>
  <c r="P205" i="63" a="1"/>
  <c r="P205" i="63" s="1"/>
  <c r="P270" i="63" s="1"/>
  <c r="O205" i="63" a="1"/>
  <c r="O205" i="63" s="1"/>
  <c r="O270" i="63" s="1"/>
  <c r="N205" i="63" a="1"/>
  <c r="N205" i="63" s="1"/>
  <c r="N270" i="63" s="1"/>
  <c r="M205" i="63" a="1"/>
  <c r="M205" i="63" s="1"/>
  <c r="M270" i="63" s="1"/>
  <c r="L205" i="63" a="1"/>
  <c r="L205" i="63" s="1"/>
  <c r="L270" i="63" s="1"/>
  <c r="K205" i="63" a="1"/>
  <c r="K205" i="63" s="1"/>
  <c r="K270" i="63" s="1"/>
  <c r="J205" i="63" a="1"/>
  <c r="J205" i="63" s="1"/>
  <c r="J270" i="63" s="1"/>
  <c r="I205" i="63" a="1"/>
  <c r="I205" i="63" s="1"/>
  <c r="I270" i="63" s="1"/>
  <c r="H205" i="63" a="1"/>
  <c r="H205" i="63" s="1"/>
  <c r="H270" i="63" s="1"/>
  <c r="G205" i="63" a="1"/>
  <c r="G205" i="63" s="1"/>
  <c r="G270" i="63" s="1"/>
  <c r="F205" i="63" a="1"/>
  <c r="F205" i="63" s="1"/>
  <c r="F270" i="63" s="1"/>
  <c r="E205" i="63" a="1"/>
  <c r="E205" i="63" s="1"/>
  <c r="E270" i="63" s="1"/>
  <c r="D205" i="63" a="1"/>
  <c r="D205" i="63" s="1"/>
  <c r="P204" i="63" a="1"/>
  <c r="P204" i="63" s="1"/>
  <c r="P269" i="63" s="1"/>
  <c r="O204" i="63" a="1"/>
  <c r="O204" i="63" s="1"/>
  <c r="O269" i="63" s="1"/>
  <c r="N204" i="63" a="1"/>
  <c r="N204" i="63" s="1"/>
  <c r="N269" i="63" s="1"/>
  <c r="M204" i="63" a="1"/>
  <c r="M204" i="63" s="1"/>
  <c r="M269" i="63" s="1"/>
  <c r="L204" i="63" a="1"/>
  <c r="L204" i="63" s="1"/>
  <c r="L269" i="63" s="1"/>
  <c r="K204" i="63" a="1"/>
  <c r="K204" i="63" s="1"/>
  <c r="K269" i="63" s="1"/>
  <c r="J204" i="63" a="1"/>
  <c r="J204" i="63" s="1"/>
  <c r="J269" i="63" s="1"/>
  <c r="I204" i="63" a="1"/>
  <c r="I204" i="63" s="1"/>
  <c r="I269" i="63" s="1"/>
  <c r="H204" i="63" a="1"/>
  <c r="H204" i="63" s="1"/>
  <c r="H269" i="63" s="1"/>
  <c r="G204" i="63" a="1"/>
  <c r="G204" i="63" s="1"/>
  <c r="G269" i="63" s="1"/>
  <c r="F204" i="63" a="1"/>
  <c r="F204" i="63" s="1"/>
  <c r="F269" i="63" s="1"/>
  <c r="E204" i="63" a="1"/>
  <c r="E204" i="63" s="1"/>
  <c r="E269" i="63" s="1"/>
  <c r="D204" i="63" a="1"/>
  <c r="D204" i="63" s="1"/>
  <c r="P203" i="63" a="1"/>
  <c r="P203" i="63" s="1"/>
  <c r="P268" i="63" s="1"/>
  <c r="O203" i="63" a="1"/>
  <c r="O203" i="63" s="1"/>
  <c r="O268" i="63" s="1"/>
  <c r="N203" i="63" a="1"/>
  <c r="N203" i="63" s="1"/>
  <c r="N268" i="63" s="1"/>
  <c r="M203" i="63" a="1"/>
  <c r="M203" i="63" s="1"/>
  <c r="M268" i="63" s="1"/>
  <c r="L203" i="63" a="1"/>
  <c r="L203" i="63" s="1"/>
  <c r="L268" i="63" s="1"/>
  <c r="K203" i="63" a="1"/>
  <c r="K203" i="63" s="1"/>
  <c r="K268" i="63" s="1"/>
  <c r="J203" i="63" a="1"/>
  <c r="J203" i="63" s="1"/>
  <c r="J268" i="63" s="1"/>
  <c r="I203" i="63" a="1"/>
  <c r="I203" i="63" s="1"/>
  <c r="I268" i="63" s="1"/>
  <c r="H203" i="63" a="1"/>
  <c r="H203" i="63" s="1"/>
  <c r="H268" i="63" s="1"/>
  <c r="G203" i="63" a="1"/>
  <c r="G203" i="63" s="1"/>
  <c r="G268" i="63" s="1"/>
  <c r="F203" i="63" a="1"/>
  <c r="F203" i="63" s="1"/>
  <c r="F268" i="63" s="1"/>
  <c r="E203" i="63" a="1"/>
  <c r="E203" i="63" s="1"/>
  <c r="E268" i="63" s="1"/>
  <c r="D203" i="63" a="1"/>
  <c r="D203" i="63" s="1"/>
  <c r="P202" i="63" a="1"/>
  <c r="P202" i="63" s="1"/>
  <c r="P267" i="63" s="1"/>
  <c r="O202" i="63" a="1"/>
  <c r="O202" i="63" s="1"/>
  <c r="O267" i="63" s="1"/>
  <c r="N202" i="63" a="1"/>
  <c r="N202" i="63" s="1"/>
  <c r="N267" i="63" s="1"/>
  <c r="M202" i="63" a="1"/>
  <c r="M202" i="63" s="1"/>
  <c r="M267" i="63" s="1"/>
  <c r="L202" i="63" a="1"/>
  <c r="L202" i="63" s="1"/>
  <c r="L267" i="63" s="1"/>
  <c r="K202" i="63" a="1"/>
  <c r="K202" i="63" s="1"/>
  <c r="K267" i="63" s="1"/>
  <c r="J202" i="63" a="1"/>
  <c r="J202" i="63" s="1"/>
  <c r="J267" i="63" s="1"/>
  <c r="I202" i="63" a="1"/>
  <c r="I202" i="63" s="1"/>
  <c r="I267" i="63" s="1"/>
  <c r="H202" i="63" a="1"/>
  <c r="H202" i="63" s="1"/>
  <c r="H267" i="63" s="1"/>
  <c r="G202" i="63" a="1"/>
  <c r="G202" i="63" s="1"/>
  <c r="G267" i="63" s="1"/>
  <c r="F202" i="63" a="1"/>
  <c r="F202" i="63" s="1"/>
  <c r="F267" i="63" s="1"/>
  <c r="E202" i="63" a="1"/>
  <c r="E202" i="63" s="1"/>
  <c r="E267" i="63" s="1"/>
  <c r="D202" i="63" a="1"/>
  <c r="D202" i="63" s="1"/>
  <c r="P201" i="63" a="1"/>
  <c r="P201" i="63" s="1"/>
  <c r="P266" i="63" s="1"/>
  <c r="O201" i="63" a="1"/>
  <c r="O201" i="63" s="1"/>
  <c r="O266" i="63" s="1"/>
  <c r="N201" i="63" a="1"/>
  <c r="N201" i="63" s="1"/>
  <c r="N266" i="63" s="1"/>
  <c r="M201" i="63" a="1"/>
  <c r="M201" i="63" s="1"/>
  <c r="M266" i="63" s="1"/>
  <c r="L201" i="63" a="1"/>
  <c r="L201" i="63" s="1"/>
  <c r="L266" i="63" s="1"/>
  <c r="K201" i="63" a="1"/>
  <c r="K201" i="63" s="1"/>
  <c r="K266" i="63" s="1"/>
  <c r="J201" i="63" a="1"/>
  <c r="J201" i="63" s="1"/>
  <c r="J266" i="63" s="1"/>
  <c r="I201" i="63" a="1"/>
  <c r="I201" i="63" s="1"/>
  <c r="I266" i="63" s="1"/>
  <c r="H201" i="63" a="1"/>
  <c r="H201" i="63" s="1"/>
  <c r="H266" i="63" s="1"/>
  <c r="G201" i="63" a="1"/>
  <c r="G201" i="63" s="1"/>
  <c r="G266" i="63" s="1"/>
  <c r="F201" i="63" a="1"/>
  <c r="F201" i="63" s="1"/>
  <c r="F266" i="63" s="1"/>
  <c r="E201" i="63" a="1"/>
  <c r="E201" i="63" s="1"/>
  <c r="E266" i="63" s="1"/>
  <c r="D201" i="63" a="1"/>
  <c r="D201" i="63" s="1"/>
  <c r="P200" i="63" a="1"/>
  <c r="P200" i="63" s="1"/>
  <c r="P265" i="63" s="1"/>
  <c r="O200" i="63" a="1"/>
  <c r="O200" i="63" s="1"/>
  <c r="O265" i="63" s="1"/>
  <c r="N200" i="63" a="1"/>
  <c r="N200" i="63" s="1"/>
  <c r="N265" i="63" s="1"/>
  <c r="M200" i="63" a="1"/>
  <c r="M200" i="63" s="1"/>
  <c r="M265" i="63" s="1"/>
  <c r="L200" i="63" a="1"/>
  <c r="L200" i="63" s="1"/>
  <c r="L265" i="63" s="1"/>
  <c r="K200" i="63" a="1"/>
  <c r="K200" i="63" s="1"/>
  <c r="K265" i="63" s="1"/>
  <c r="J200" i="63" a="1"/>
  <c r="J200" i="63" s="1"/>
  <c r="J265" i="63" s="1"/>
  <c r="I200" i="63" a="1"/>
  <c r="I200" i="63" s="1"/>
  <c r="I265" i="63" s="1"/>
  <c r="H200" i="63" a="1"/>
  <c r="H200" i="63" s="1"/>
  <c r="H265" i="63" s="1"/>
  <c r="G200" i="63" a="1"/>
  <c r="G200" i="63" s="1"/>
  <c r="G265" i="63" s="1"/>
  <c r="F200" i="63" a="1"/>
  <c r="F200" i="63" s="1"/>
  <c r="F265" i="63" s="1"/>
  <c r="E200" i="63" a="1"/>
  <c r="E200" i="63" s="1"/>
  <c r="E265" i="63" s="1"/>
  <c r="D200" i="63" a="1"/>
  <c r="D200" i="63" s="1"/>
  <c r="P199" i="63" a="1"/>
  <c r="P199" i="63" s="1"/>
  <c r="P264" i="63" s="1"/>
  <c r="O199" i="63" a="1"/>
  <c r="O199" i="63" s="1"/>
  <c r="O264" i="63" s="1"/>
  <c r="N199" i="63" a="1"/>
  <c r="N199" i="63" s="1"/>
  <c r="N264" i="63" s="1"/>
  <c r="M199" i="63" a="1"/>
  <c r="M199" i="63" s="1"/>
  <c r="M264" i="63" s="1"/>
  <c r="L199" i="63" a="1"/>
  <c r="L199" i="63" s="1"/>
  <c r="L264" i="63" s="1"/>
  <c r="K199" i="63" a="1"/>
  <c r="K199" i="63" s="1"/>
  <c r="K264" i="63" s="1"/>
  <c r="J199" i="63" a="1"/>
  <c r="J199" i="63" s="1"/>
  <c r="J264" i="63" s="1"/>
  <c r="I199" i="63" a="1"/>
  <c r="I199" i="63" s="1"/>
  <c r="I264" i="63" s="1"/>
  <c r="H199" i="63" a="1"/>
  <c r="H199" i="63" s="1"/>
  <c r="H264" i="63" s="1"/>
  <c r="G199" i="63" a="1"/>
  <c r="G199" i="63" s="1"/>
  <c r="G264" i="63" s="1"/>
  <c r="F199" i="63" a="1"/>
  <c r="F199" i="63" s="1"/>
  <c r="F264" i="63" s="1"/>
  <c r="E199" i="63" a="1"/>
  <c r="E199" i="63" s="1"/>
  <c r="E264" i="63" s="1"/>
  <c r="D199" i="63" a="1"/>
  <c r="D199" i="63" s="1"/>
  <c r="P198" i="63" a="1"/>
  <c r="P198" i="63" s="1"/>
  <c r="P263" i="63" s="1"/>
  <c r="O198" i="63" a="1"/>
  <c r="O198" i="63" s="1"/>
  <c r="O263" i="63" s="1"/>
  <c r="N198" i="63" a="1"/>
  <c r="N198" i="63" s="1"/>
  <c r="N263" i="63" s="1"/>
  <c r="M198" i="63" a="1"/>
  <c r="M198" i="63" s="1"/>
  <c r="M263" i="63" s="1"/>
  <c r="L198" i="63" a="1"/>
  <c r="L198" i="63" s="1"/>
  <c r="L263" i="63" s="1"/>
  <c r="K198" i="63" a="1"/>
  <c r="K198" i="63" s="1"/>
  <c r="K263" i="63" s="1"/>
  <c r="J198" i="63" a="1"/>
  <c r="J198" i="63" s="1"/>
  <c r="J263" i="63" s="1"/>
  <c r="I198" i="63" a="1"/>
  <c r="I198" i="63" s="1"/>
  <c r="I263" i="63" s="1"/>
  <c r="H198" i="63" a="1"/>
  <c r="H198" i="63" s="1"/>
  <c r="H263" i="63" s="1"/>
  <c r="G198" i="63" a="1"/>
  <c r="G198" i="63" s="1"/>
  <c r="G263" i="63" s="1"/>
  <c r="F198" i="63" a="1"/>
  <c r="F198" i="63" s="1"/>
  <c r="F263" i="63" s="1"/>
  <c r="E198" i="63" a="1"/>
  <c r="E198" i="63" s="1"/>
  <c r="E263" i="63" s="1"/>
  <c r="D198" i="63" a="1"/>
  <c r="D198" i="63" s="1"/>
  <c r="P197" i="63" a="1"/>
  <c r="P197" i="63" s="1"/>
  <c r="P262" i="63" s="1"/>
  <c r="O197" i="63" a="1"/>
  <c r="O197" i="63" s="1"/>
  <c r="O262" i="63" s="1"/>
  <c r="N197" i="63" a="1"/>
  <c r="N197" i="63" s="1"/>
  <c r="N262" i="63" s="1"/>
  <c r="M197" i="63" a="1"/>
  <c r="M197" i="63" s="1"/>
  <c r="M262" i="63" s="1"/>
  <c r="L197" i="63" a="1"/>
  <c r="L197" i="63" s="1"/>
  <c r="L262" i="63" s="1"/>
  <c r="K197" i="63" a="1"/>
  <c r="K197" i="63" s="1"/>
  <c r="K262" i="63" s="1"/>
  <c r="J197" i="63" a="1"/>
  <c r="J197" i="63" s="1"/>
  <c r="J262" i="63" s="1"/>
  <c r="I197" i="63" a="1"/>
  <c r="I197" i="63" s="1"/>
  <c r="I262" i="63" s="1"/>
  <c r="H197" i="63" a="1"/>
  <c r="H197" i="63" s="1"/>
  <c r="H262" i="63" s="1"/>
  <c r="G197" i="63" a="1"/>
  <c r="G197" i="63" s="1"/>
  <c r="G262" i="63" s="1"/>
  <c r="F197" i="63" a="1"/>
  <c r="F197" i="63" s="1"/>
  <c r="F262" i="63" s="1"/>
  <c r="E197" i="63" a="1"/>
  <c r="E197" i="63" s="1"/>
  <c r="E262" i="63" s="1"/>
  <c r="D197" i="63" a="1"/>
  <c r="D197" i="63" s="1"/>
  <c r="P196" i="63" a="1"/>
  <c r="P196" i="63" s="1"/>
  <c r="P261" i="63" s="1"/>
  <c r="O196" i="63" a="1"/>
  <c r="O196" i="63" s="1"/>
  <c r="O261" i="63" s="1"/>
  <c r="N196" i="63" a="1"/>
  <c r="N196" i="63" s="1"/>
  <c r="N261" i="63" s="1"/>
  <c r="M196" i="63" a="1"/>
  <c r="M196" i="63" s="1"/>
  <c r="M261" i="63" s="1"/>
  <c r="L196" i="63" a="1"/>
  <c r="L196" i="63" s="1"/>
  <c r="L261" i="63" s="1"/>
  <c r="K196" i="63" a="1"/>
  <c r="K196" i="63" s="1"/>
  <c r="K261" i="63" s="1"/>
  <c r="J196" i="63" a="1"/>
  <c r="J196" i="63" s="1"/>
  <c r="J261" i="63" s="1"/>
  <c r="I196" i="63" a="1"/>
  <c r="I196" i="63" s="1"/>
  <c r="I261" i="63" s="1"/>
  <c r="H196" i="63" a="1"/>
  <c r="H196" i="63" s="1"/>
  <c r="H261" i="63" s="1"/>
  <c r="G196" i="63" a="1"/>
  <c r="G196" i="63" s="1"/>
  <c r="G261" i="63" s="1"/>
  <c r="F196" i="63" a="1"/>
  <c r="F196" i="63" s="1"/>
  <c r="F261" i="63" s="1"/>
  <c r="E196" i="63" a="1"/>
  <c r="E196" i="63" s="1"/>
  <c r="E261" i="63" s="1"/>
  <c r="D196" i="63" a="1"/>
  <c r="D196" i="63" s="1"/>
  <c r="P195" i="63" a="1"/>
  <c r="P195" i="63" s="1"/>
  <c r="P260" i="63" s="1"/>
  <c r="O195" i="63" a="1"/>
  <c r="O195" i="63" s="1"/>
  <c r="O260" i="63" s="1"/>
  <c r="N195" i="63" a="1"/>
  <c r="N195" i="63" s="1"/>
  <c r="N260" i="63" s="1"/>
  <c r="M195" i="63" a="1"/>
  <c r="M195" i="63" s="1"/>
  <c r="M260" i="63" s="1"/>
  <c r="L195" i="63" a="1"/>
  <c r="L195" i="63" s="1"/>
  <c r="L260" i="63" s="1"/>
  <c r="K195" i="63" a="1"/>
  <c r="K195" i="63" s="1"/>
  <c r="K260" i="63" s="1"/>
  <c r="J195" i="63" a="1"/>
  <c r="J195" i="63" s="1"/>
  <c r="J260" i="63" s="1"/>
  <c r="I195" i="63" a="1"/>
  <c r="I195" i="63" s="1"/>
  <c r="I260" i="63" s="1"/>
  <c r="H195" i="63" a="1"/>
  <c r="H195" i="63" s="1"/>
  <c r="H260" i="63" s="1"/>
  <c r="G195" i="63" a="1"/>
  <c r="G195" i="63" s="1"/>
  <c r="G260" i="63" s="1"/>
  <c r="F195" i="63" a="1"/>
  <c r="F195" i="63" s="1"/>
  <c r="F260" i="63" s="1"/>
  <c r="E195" i="63" a="1"/>
  <c r="E195" i="63" s="1"/>
  <c r="E260" i="63" s="1"/>
  <c r="D195" i="63" a="1"/>
  <c r="D195" i="63" s="1"/>
  <c r="P194" i="63" a="1"/>
  <c r="P194" i="63" s="1"/>
  <c r="P259" i="63" s="1"/>
  <c r="O194" i="63" a="1"/>
  <c r="O194" i="63" s="1"/>
  <c r="O259" i="63" s="1"/>
  <c r="N194" i="63" a="1"/>
  <c r="N194" i="63" s="1"/>
  <c r="N259" i="63" s="1"/>
  <c r="M194" i="63" a="1"/>
  <c r="M194" i="63" s="1"/>
  <c r="M259" i="63" s="1"/>
  <c r="L194" i="63" a="1"/>
  <c r="L194" i="63" s="1"/>
  <c r="L259" i="63" s="1"/>
  <c r="K194" i="63" a="1"/>
  <c r="K194" i="63" s="1"/>
  <c r="K259" i="63" s="1"/>
  <c r="J194" i="63" a="1"/>
  <c r="J194" i="63" s="1"/>
  <c r="J259" i="63" s="1"/>
  <c r="I194" i="63" a="1"/>
  <c r="I194" i="63" s="1"/>
  <c r="I259" i="63" s="1"/>
  <c r="H194" i="63" a="1"/>
  <c r="H194" i="63" s="1"/>
  <c r="H259" i="63" s="1"/>
  <c r="G194" i="63" a="1"/>
  <c r="G194" i="63" s="1"/>
  <c r="G259" i="63" s="1"/>
  <c r="F194" i="63" a="1"/>
  <c r="F194" i="63" s="1"/>
  <c r="F259" i="63" s="1"/>
  <c r="E194" i="63" a="1"/>
  <c r="E194" i="63" s="1"/>
  <c r="E259" i="63" s="1"/>
  <c r="D194" i="63" a="1"/>
  <c r="D194" i="63" s="1"/>
  <c r="P193" i="63" a="1"/>
  <c r="P193" i="63" s="1"/>
  <c r="P258" i="63" s="1"/>
  <c r="O193" i="63" a="1"/>
  <c r="O193" i="63" s="1"/>
  <c r="O258" i="63" s="1"/>
  <c r="N193" i="63" a="1"/>
  <c r="N193" i="63" s="1"/>
  <c r="N258" i="63" s="1"/>
  <c r="M193" i="63" a="1"/>
  <c r="M193" i="63" s="1"/>
  <c r="M258" i="63" s="1"/>
  <c r="L193" i="63" a="1"/>
  <c r="L193" i="63" s="1"/>
  <c r="L258" i="63" s="1"/>
  <c r="K193" i="63" a="1"/>
  <c r="K193" i="63" s="1"/>
  <c r="K258" i="63" s="1"/>
  <c r="J193" i="63" a="1"/>
  <c r="J193" i="63" s="1"/>
  <c r="J258" i="63" s="1"/>
  <c r="I193" i="63" a="1"/>
  <c r="I193" i="63" s="1"/>
  <c r="I258" i="63" s="1"/>
  <c r="H193" i="63" a="1"/>
  <c r="H193" i="63" s="1"/>
  <c r="H258" i="63" s="1"/>
  <c r="G193" i="63" a="1"/>
  <c r="G193" i="63" s="1"/>
  <c r="G258" i="63" s="1"/>
  <c r="F193" i="63" a="1"/>
  <c r="F193" i="63" s="1"/>
  <c r="F258" i="63" s="1"/>
  <c r="E193" i="63" a="1"/>
  <c r="E193" i="63" s="1"/>
  <c r="E258" i="63" s="1"/>
  <c r="D193" i="63" a="1"/>
  <c r="D193" i="63" s="1"/>
  <c r="P192" i="63" a="1"/>
  <c r="P192" i="63" s="1"/>
  <c r="P257" i="63" s="1"/>
  <c r="O192" i="63" a="1"/>
  <c r="O192" i="63" s="1"/>
  <c r="O257" i="63" s="1"/>
  <c r="N192" i="63" a="1"/>
  <c r="N192" i="63" s="1"/>
  <c r="N257" i="63" s="1"/>
  <c r="M192" i="63" a="1"/>
  <c r="M192" i="63" s="1"/>
  <c r="M257" i="63" s="1"/>
  <c r="L192" i="63" a="1"/>
  <c r="L192" i="63" s="1"/>
  <c r="L257" i="63" s="1"/>
  <c r="K192" i="63" a="1"/>
  <c r="K192" i="63" s="1"/>
  <c r="K257" i="63" s="1"/>
  <c r="J192" i="63" a="1"/>
  <c r="J192" i="63" s="1"/>
  <c r="J257" i="63" s="1"/>
  <c r="I192" i="63" a="1"/>
  <c r="I192" i="63" s="1"/>
  <c r="I257" i="63" s="1"/>
  <c r="H192" i="63" a="1"/>
  <c r="H192" i="63" s="1"/>
  <c r="H257" i="63" s="1"/>
  <c r="G192" i="63" a="1"/>
  <c r="G192" i="63" s="1"/>
  <c r="G257" i="63" s="1"/>
  <c r="F192" i="63" a="1"/>
  <c r="F192" i="63" s="1"/>
  <c r="F257" i="63" s="1"/>
  <c r="E192" i="63" a="1"/>
  <c r="E192" i="63" s="1"/>
  <c r="E257" i="63" s="1"/>
  <c r="D192" i="63" a="1"/>
  <c r="D192" i="63" s="1"/>
  <c r="P191" i="63" a="1"/>
  <c r="P191" i="63" s="1"/>
  <c r="P256" i="63" s="1"/>
  <c r="O191" i="63" a="1"/>
  <c r="O191" i="63" s="1"/>
  <c r="O256" i="63" s="1"/>
  <c r="N191" i="63" a="1"/>
  <c r="N191" i="63" s="1"/>
  <c r="N256" i="63" s="1"/>
  <c r="M191" i="63" a="1"/>
  <c r="M191" i="63" s="1"/>
  <c r="M256" i="63" s="1"/>
  <c r="L191" i="63" a="1"/>
  <c r="L191" i="63" s="1"/>
  <c r="L256" i="63" s="1"/>
  <c r="K191" i="63" a="1"/>
  <c r="K191" i="63" s="1"/>
  <c r="K256" i="63" s="1"/>
  <c r="J191" i="63" a="1"/>
  <c r="J191" i="63" s="1"/>
  <c r="J256" i="63" s="1"/>
  <c r="I191" i="63" a="1"/>
  <c r="I191" i="63" s="1"/>
  <c r="I256" i="63" s="1"/>
  <c r="H191" i="63" a="1"/>
  <c r="H191" i="63" s="1"/>
  <c r="H256" i="63" s="1"/>
  <c r="G191" i="63" a="1"/>
  <c r="G191" i="63" s="1"/>
  <c r="G256" i="63" s="1"/>
  <c r="F191" i="63" a="1"/>
  <c r="F191" i="63" s="1"/>
  <c r="F256" i="63" s="1"/>
  <c r="E191" i="63" a="1"/>
  <c r="E191" i="63" s="1"/>
  <c r="E256" i="63" s="1"/>
  <c r="D191" i="63" a="1"/>
  <c r="D191" i="63" s="1"/>
  <c r="P190" i="63" a="1"/>
  <c r="P190" i="63" s="1"/>
  <c r="P255" i="63" s="1"/>
  <c r="O190" i="63" a="1"/>
  <c r="O190" i="63" s="1"/>
  <c r="O255" i="63" s="1"/>
  <c r="N190" i="63" a="1"/>
  <c r="N190" i="63" s="1"/>
  <c r="N255" i="63" s="1"/>
  <c r="M190" i="63" a="1"/>
  <c r="M190" i="63" s="1"/>
  <c r="M255" i="63" s="1"/>
  <c r="L190" i="63" a="1"/>
  <c r="L190" i="63" s="1"/>
  <c r="L255" i="63" s="1"/>
  <c r="K190" i="63" a="1"/>
  <c r="K190" i="63" s="1"/>
  <c r="K255" i="63" s="1"/>
  <c r="J190" i="63" a="1"/>
  <c r="J190" i="63" s="1"/>
  <c r="J255" i="63" s="1"/>
  <c r="I190" i="63" a="1"/>
  <c r="I190" i="63" s="1"/>
  <c r="I255" i="63" s="1"/>
  <c r="H190" i="63" a="1"/>
  <c r="H190" i="63" s="1"/>
  <c r="H255" i="63" s="1"/>
  <c r="G190" i="63" a="1"/>
  <c r="G190" i="63" s="1"/>
  <c r="G255" i="63" s="1"/>
  <c r="F190" i="63" a="1"/>
  <c r="F190" i="63" s="1"/>
  <c r="F255" i="63" s="1"/>
  <c r="E190" i="63" a="1"/>
  <c r="E190" i="63" s="1"/>
  <c r="E255" i="63" s="1"/>
  <c r="D190" i="63" a="1"/>
  <c r="D190" i="63" s="1"/>
  <c r="D188" i="63" a="1"/>
  <c r="D188" i="63" s="1"/>
  <c r="D187" i="63" a="1"/>
  <c r="D187" i="63" s="1"/>
  <c r="D186" i="63" a="1"/>
  <c r="D186" i="63" s="1"/>
  <c r="D185" i="63" a="1"/>
  <c r="D185" i="63" s="1"/>
  <c r="M182" i="63" a="1"/>
  <c r="M182" i="63" s="1"/>
  <c r="L182" i="63" a="1"/>
  <c r="L182" i="63" s="1"/>
  <c r="M254" i="63" s="1"/>
  <c r="K182" i="63" a="1"/>
  <c r="K182" i="63" s="1"/>
  <c r="J182" i="63" a="1"/>
  <c r="J182" i="63" s="1"/>
  <c r="J254" i="63" s="1"/>
  <c r="I182" i="63" a="1"/>
  <c r="I182" i="63" s="1"/>
  <c r="I254" i="63" s="1"/>
  <c r="H182" i="63" a="1"/>
  <c r="H182" i="63" s="1"/>
  <c r="H254" i="63" s="1"/>
  <c r="G182" i="63" a="1"/>
  <c r="G182" i="63" s="1"/>
  <c r="G254" i="63" s="1"/>
  <c r="F182" i="63" a="1"/>
  <c r="F182" i="63" s="1"/>
  <c r="F254" i="63" s="1"/>
  <c r="E182" i="63" a="1"/>
  <c r="E182" i="63" s="1"/>
  <c r="E254" i="63" s="1"/>
  <c r="D182" i="63" a="1"/>
  <c r="D182" i="63" s="1"/>
  <c r="M181" i="63" a="1"/>
  <c r="M181" i="63" s="1"/>
  <c r="L181" i="63" a="1"/>
  <c r="L181" i="63" s="1"/>
  <c r="M253" i="63" s="1"/>
  <c r="K181" i="63" a="1"/>
  <c r="K181" i="63" s="1"/>
  <c r="J181" i="63" a="1"/>
  <c r="J181" i="63" s="1"/>
  <c r="J253" i="63" s="1"/>
  <c r="I181" i="63" a="1"/>
  <c r="I181" i="63" s="1"/>
  <c r="I253" i="63" s="1"/>
  <c r="H181" i="63" a="1"/>
  <c r="H181" i="63" s="1"/>
  <c r="H253" i="63" s="1"/>
  <c r="G181" i="63" a="1"/>
  <c r="G181" i="63" s="1"/>
  <c r="G253" i="63" s="1"/>
  <c r="F181" i="63"/>
  <c r="F253" i="63" s="1"/>
  <c r="F181" i="63" a="1"/>
  <c r="E181" i="63" a="1"/>
  <c r="E181" i="63" s="1"/>
  <c r="E253" i="63" s="1"/>
  <c r="D181" i="63" a="1"/>
  <c r="D181" i="63" s="1"/>
  <c r="M180" i="63" a="1"/>
  <c r="M180" i="63" s="1"/>
  <c r="L180" i="63" a="1"/>
  <c r="L180" i="63" s="1"/>
  <c r="M252" i="63" s="1"/>
  <c r="K180" i="63" a="1"/>
  <c r="K180" i="63" s="1"/>
  <c r="J180" i="63" a="1"/>
  <c r="J180" i="63" s="1"/>
  <c r="J252" i="63" s="1"/>
  <c r="I180" i="63" a="1"/>
  <c r="I180" i="63" s="1"/>
  <c r="I252" i="63" s="1"/>
  <c r="H180" i="63" a="1"/>
  <c r="H180" i="63" s="1"/>
  <c r="H252" i="63" s="1"/>
  <c r="G180" i="63" a="1"/>
  <c r="G180" i="63" s="1"/>
  <c r="G252" i="63" s="1"/>
  <c r="F180" i="63" a="1"/>
  <c r="F180" i="63" s="1"/>
  <c r="F252" i="63" s="1"/>
  <c r="E180" i="63" a="1"/>
  <c r="E180" i="63" s="1"/>
  <c r="E252" i="63" s="1"/>
  <c r="D180" i="63" a="1"/>
  <c r="D180" i="63" s="1"/>
  <c r="M179" i="63" a="1"/>
  <c r="M179" i="63" s="1"/>
  <c r="L179" i="63" a="1"/>
  <c r="L179" i="63" s="1"/>
  <c r="M251" i="63" s="1"/>
  <c r="K179" i="63" a="1"/>
  <c r="K179" i="63" s="1"/>
  <c r="J179" i="63" a="1"/>
  <c r="J179" i="63" s="1"/>
  <c r="J251" i="63" s="1"/>
  <c r="I179" i="63" a="1"/>
  <c r="I179" i="63" s="1"/>
  <c r="I251" i="63" s="1"/>
  <c r="H179" i="63" a="1"/>
  <c r="H179" i="63" s="1"/>
  <c r="H251" i="63" s="1"/>
  <c r="G179" i="63" a="1"/>
  <c r="G179" i="63" s="1"/>
  <c r="G251" i="63" s="1"/>
  <c r="F179" i="63" a="1"/>
  <c r="F179" i="63" s="1"/>
  <c r="F251" i="63" s="1"/>
  <c r="E179" i="63" a="1"/>
  <c r="E179" i="63" s="1"/>
  <c r="E251" i="63" s="1"/>
  <c r="D179" i="63" a="1"/>
  <c r="D179" i="63" s="1"/>
  <c r="M178" i="63" a="1"/>
  <c r="M178" i="63" s="1"/>
  <c r="L178" i="63" a="1"/>
  <c r="L178" i="63" s="1"/>
  <c r="M250" i="63" s="1"/>
  <c r="K178" i="63" a="1"/>
  <c r="K178" i="63" s="1"/>
  <c r="J178" i="63" a="1"/>
  <c r="J178" i="63" s="1"/>
  <c r="J250" i="63" s="1"/>
  <c r="I178" i="63" a="1"/>
  <c r="I178" i="63" s="1"/>
  <c r="I250" i="63" s="1"/>
  <c r="H178" i="63" a="1"/>
  <c r="H178" i="63" s="1"/>
  <c r="H250" i="63" s="1"/>
  <c r="G178" i="63" a="1"/>
  <c r="G178" i="63" s="1"/>
  <c r="G250" i="63" s="1"/>
  <c r="F178" i="63" a="1"/>
  <c r="F178" i="63" s="1"/>
  <c r="F250" i="63" s="1"/>
  <c r="E178" i="63" a="1"/>
  <c r="E178" i="63" s="1"/>
  <c r="E250" i="63" s="1"/>
  <c r="D178" i="63" a="1"/>
  <c r="D178" i="63" s="1"/>
  <c r="M177" i="63" a="1"/>
  <c r="M177" i="63" s="1"/>
  <c r="L177" i="63" a="1"/>
  <c r="L177" i="63" s="1"/>
  <c r="M249" i="63" s="1"/>
  <c r="K177" i="63" a="1"/>
  <c r="K177" i="63" s="1"/>
  <c r="J177" i="63" a="1"/>
  <c r="J177" i="63" s="1"/>
  <c r="J249" i="63" s="1"/>
  <c r="I177" i="63" a="1"/>
  <c r="I177" i="63" s="1"/>
  <c r="I249" i="63" s="1"/>
  <c r="H177" i="63" a="1"/>
  <c r="H177" i="63" s="1"/>
  <c r="H249" i="63" s="1"/>
  <c r="G177" i="63" a="1"/>
  <c r="G177" i="63" s="1"/>
  <c r="G249" i="63" s="1"/>
  <c r="F177" i="63" a="1"/>
  <c r="F177" i="63" s="1"/>
  <c r="F249" i="63" s="1"/>
  <c r="E177" i="63" a="1"/>
  <c r="E177" i="63" s="1"/>
  <c r="E249" i="63" s="1"/>
  <c r="D177" i="63" a="1"/>
  <c r="D177" i="63" s="1"/>
  <c r="M176" i="63" a="1"/>
  <c r="M176" i="63" s="1"/>
  <c r="L176" i="63" a="1"/>
  <c r="L176" i="63" s="1"/>
  <c r="M248" i="63" s="1"/>
  <c r="K176" i="63" a="1"/>
  <c r="K176" i="63" s="1"/>
  <c r="J176" i="63" a="1"/>
  <c r="J176" i="63" s="1"/>
  <c r="J248" i="63" s="1"/>
  <c r="I176" i="63" a="1"/>
  <c r="I176" i="63" s="1"/>
  <c r="I248" i="63" s="1"/>
  <c r="H176" i="63" a="1"/>
  <c r="H176" i="63" s="1"/>
  <c r="H248" i="63" s="1"/>
  <c r="G176" i="63" a="1"/>
  <c r="G176" i="63" s="1"/>
  <c r="G248" i="63" s="1"/>
  <c r="F176" i="63" a="1"/>
  <c r="F176" i="63" s="1"/>
  <c r="F248" i="63" s="1"/>
  <c r="E176" i="63" a="1"/>
  <c r="E176" i="63" s="1"/>
  <c r="E248" i="63" s="1"/>
  <c r="D176" i="63" a="1"/>
  <c r="D176" i="63" s="1"/>
  <c r="M175" i="63" a="1"/>
  <c r="M175" i="63" s="1"/>
  <c r="L175" i="63" a="1"/>
  <c r="L175" i="63" s="1"/>
  <c r="M247" i="63" s="1"/>
  <c r="K175" i="63" a="1"/>
  <c r="K175" i="63" s="1"/>
  <c r="J175" i="63" a="1"/>
  <c r="J175" i="63" s="1"/>
  <c r="J247" i="63" s="1"/>
  <c r="I175" i="63" a="1"/>
  <c r="I175" i="63" s="1"/>
  <c r="I247" i="63" s="1"/>
  <c r="H175" i="63" a="1"/>
  <c r="H175" i="63" s="1"/>
  <c r="H247" i="63" s="1"/>
  <c r="G175" i="63" a="1"/>
  <c r="G175" i="63" s="1"/>
  <c r="G247" i="63" s="1"/>
  <c r="F175" i="63" a="1"/>
  <c r="F175" i="63" s="1"/>
  <c r="F247" i="63" s="1"/>
  <c r="E175" i="63" a="1"/>
  <c r="E175" i="63" s="1"/>
  <c r="E247" i="63" s="1"/>
  <c r="D175" i="63" a="1"/>
  <c r="D175" i="63" s="1"/>
  <c r="M174" i="63" a="1"/>
  <c r="M174" i="63" s="1"/>
  <c r="L174" i="63" a="1"/>
  <c r="L174" i="63" s="1"/>
  <c r="M246" i="63" s="1"/>
  <c r="K174" i="63" a="1"/>
  <c r="K174" i="63" s="1"/>
  <c r="J174" i="63" a="1"/>
  <c r="J174" i="63" s="1"/>
  <c r="J246" i="63" s="1"/>
  <c r="I174" i="63" a="1"/>
  <c r="I174" i="63" s="1"/>
  <c r="I246" i="63" s="1"/>
  <c r="H174" i="63" a="1"/>
  <c r="H174" i="63" s="1"/>
  <c r="H246" i="63" s="1"/>
  <c r="G174" i="63" a="1"/>
  <c r="G174" i="63" s="1"/>
  <c r="G246" i="63" s="1"/>
  <c r="F174" i="63" a="1"/>
  <c r="F174" i="63" s="1"/>
  <c r="F246" i="63" s="1"/>
  <c r="E174" i="63" a="1"/>
  <c r="E174" i="63" s="1"/>
  <c r="E246" i="63" s="1"/>
  <c r="D174" i="63" a="1"/>
  <c r="D174" i="63" s="1"/>
  <c r="M173" i="63" a="1"/>
  <c r="M173" i="63" s="1"/>
  <c r="L173" i="63" a="1"/>
  <c r="L173" i="63" s="1"/>
  <c r="M245" i="63" s="1"/>
  <c r="K173" i="63" a="1"/>
  <c r="K173" i="63" s="1"/>
  <c r="J173" i="63" a="1"/>
  <c r="J173" i="63" s="1"/>
  <c r="J245" i="63" s="1"/>
  <c r="I173" i="63" a="1"/>
  <c r="I173" i="63" s="1"/>
  <c r="I245" i="63" s="1"/>
  <c r="H173" i="63" a="1"/>
  <c r="H173" i="63" s="1"/>
  <c r="H245" i="63" s="1"/>
  <c r="G173" i="63" a="1"/>
  <c r="G173" i="63" s="1"/>
  <c r="G245" i="63" s="1"/>
  <c r="F173" i="63" a="1"/>
  <c r="F173" i="63" s="1"/>
  <c r="F245" i="63" s="1"/>
  <c r="E173" i="63" a="1"/>
  <c r="E173" i="63" s="1"/>
  <c r="E245" i="63" s="1"/>
  <c r="D173" i="63" a="1"/>
  <c r="D173" i="63" s="1"/>
  <c r="M172" i="63" a="1"/>
  <c r="M172" i="63" s="1"/>
  <c r="L172" i="63" a="1"/>
  <c r="L172" i="63" s="1"/>
  <c r="M244" i="63" s="1"/>
  <c r="K172" i="63" a="1"/>
  <c r="K172" i="63" s="1"/>
  <c r="J172" i="63" a="1"/>
  <c r="J172" i="63" s="1"/>
  <c r="J244" i="63" s="1"/>
  <c r="I172" i="63" a="1"/>
  <c r="I172" i="63" s="1"/>
  <c r="I244" i="63" s="1"/>
  <c r="H172" i="63" a="1"/>
  <c r="H172" i="63" s="1"/>
  <c r="H244" i="63" s="1"/>
  <c r="G172" i="63" a="1"/>
  <c r="G172" i="63" s="1"/>
  <c r="G244" i="63" s="1"/>
  <c r="F172" i="63" a="1"/>
  <c r="F172" i="63" s="1"/>
  <c r="F244" i="63" s="1"/>
  <c r="E172" i="63" a="1"/>
  <c r="E172" i="63" s="1"/>
  <c r="E244" i="63" s="1"/>
  <c r="D172" i="63" a="1"/>
  <c r="D172" i="63" s="1"/>
  <c r="M171" i="63" a="1"/>
  <c r="M171" i="63" s="1"/>
  <c r="L171" i="63" a="1"/>
  <c r="L171" i="63" s="1"/>
  <c r="M243" i="63" s="1"/>
  <c r="K171" i="63" a="1"/>
  <c r="K171" i="63" s="1"/>
  <c r="J171" i="63" a="1"/>
  <c r="J171" i="63" s="1"/>
  <c r="J243" i="63" s="1"/>
  <c r="I171" i="63"/>
  <c r="I243" i="63" s="1"/>
  <c r="I171" i="63" a="1"/>
  <c r="H171" i="63" a="1"/>
  <c r="H171" i="63" s="1"/>
  <c r="H243" i="63" s="1"/>
  <c r="G171" i="63" a="1"/>
  <c r="G171" i="63" s="1"/>
  <c r="G243" i="63" s="1"/>
  <c r="F171" i="63" a="1"/>
  <c r="F171" i="63" s="1"/>
  <c r="F243" i="63" s="1"/>
  <c r="E171" i="63" a="1"/>
  <c r="E171" i="63" s="1"/>
  <c r="E243" i="63" s="1"/>
  <c r="D171" i="63" a="1"/>
  <c r="D171" i="63" s="1"/>
  <c r="M170" i="63" a="1"/>
  <c r="M170" i="63" s="1"/>
  <c r="L170" i="63" a="1"/>
  <c r="L170" i="63" s="1"/>
  <c r="M242" i="63" s="1"/>
  <c r="K170" i="63" a="1"/>
  <c r="K170" i="63" s="1"/>
  <c r="J170" i="63" a="1"/>
  <c r="J170" i="63" s="1"/>
  <c r="J242" i="63" s="1"/>
  <c r="I170" i="63" a="1"/>
  <c r="I170" i="63" s="1"/>
  <c r="I242" i="63" s="1"/>
  <c r="H170" i="63" a="1"/>
  <c r="H170" i="63" s="1"/>
  <c r="H242" i="63" s="1"/>
  <c r="G170" i="63" a="1"/>
  <c r="G170" i="63" s="1"/>
  <c r="G242" i="63" s="1"/>
  <c r="F170" i="63" a="1"/>
  <c r="F170" i="63" s="1"/>
  <c r="F242" i="63" s="1"/>
  <c r="E170" i="63" a="1"/>
  <c r="E170" i="63" s="1"/>
  <c r="D170" i="63" a="1"/>
  <c r="D170" i="63" s="1"/>
  <c r="M169" i="63" a="1"/>
  <c r="M169" i="63" s="1"/>
  <c r="L169" i="63" a="1"/>
  <c r="L169" i="63" s="1"/>
  <c r="M241" i="63" s="1"/>
  <c r="K169" i="63" a="1"/>
  <c r="K169" i="63" s="1"/>
  <c r="J169" i="63" a="1"/>
  <c r="J169" i="63" s="1"/>
  <c r="J241" i="63" s="1"/>
  <c r="I169" i="63" a="1"/>
  <c r="I169" i="63" s="1"/>
  <c r="I241" i="63" s="1"/>
  <c r="H169" i="63" a="1"/>
  <c r="H169" i="63" s="1"/>
  <c r="H241" i="63" s="1"/>
  <c r="G169" i="63" a="1"/>
  <c r="G169" i="63" s="1"/>
  <c r="G241" i="63" s="1"/>
  <c r="F169" i="63" a="1"/>
  <c r="F169" i="63" s="1"/>
  <c r="F241" i="63" s="1"/>
  <c r="E169" i="63" a="1"/>
  <c r="E169" i="63" s="1"/>
  <c r="D169" i="63" a="1"/>
  <c r="D169" i="63" s="1"/>
  <c r="M168" i="63" a="1"/>
  <c r="M168" i="63" s="1"/>
  <c r="L168" i="63" a="1"/>
  <c r="L168" i="63" s="1"/>
  <c r="M240" i="63" s="1"/>
  <c r="K168" i="63" a="1"/>
  <c r="K168" i="63" s="1"/>
  <c r="J168" i="63" a="1"/>
  <c r="J168" i="63" s="1"/>
  <c r="J240" i="63" s="1"/>
  <c r="I168" i="63" a="1"/>
  <c r="I168" i="63" s="1"/>
  <c r="I240" i="63" s="1"/>
  <c r="H168" i="63" a="1"/>
  <c r="H168" i="63" s="1"/>
  <c r="H240" i="63" s="1"/>
  <c r="G168" i="63" a="1"/>
  <c r="G168" i="63" s="1"/>
  <c r="G240" i="63" s="1"/>
  <c r="F168" i="63" a="1"/>
  <c r="F168" i="63" s="1"/>
  <c r="F240" i="63" s="1"/>
  <c r="E168" i="63" a="1"/>
  <c r="E168" i="63" s="1"/>
  <c r="D168" i="63" a="1"/>
  <c r="D168" i="63" s="1"/>
  <c r="M167" i="63" a="1"/>
  <c r="M167" i="63" s="1"/>
  <c r="L167" i="63" a="1"/>
  <c r="L167" i="63" s="1"/>
  <c r="M239" i="63" s="1"/>
  <c r="K167" i="63" a="1"/>
  <c r="K167" i="63" s="1"/>
  <c r="J167" i="63" a="1"/>
  <c r="J167" i="63" s="1"/>
  <c r="J239" i="63" s="1"/>
  <c r="I167" i="63" a="1"/>
  <c r="I167" i="63" s="1"/>
  <c r="I239" i="63" s="1"/>
  <c r="H167" i="63" a="1"/>
  <c r="H167" i="63" s="1"/>
  <c r="H239" i="63" s="1"/>
  <c r="G167" i="63" a="1"/>
  <c r="G167" i="63" s="1"/>
  <c r="G239" i="63" s="1"/>
  <c r="F167" i="63" a="1"/>
  <c r="F167" i="63" s="1"/>
  <c r="F239" i="63" s="1"/>
  <c r="E167" i="63" a="1"/>
  <c r="E167" i="63" s="1"/>
  <c r="D167" i="63" a="1"/>
  <c r="D167" i="63" s="1"/>
  <c r="M166" i="63" a="1"/>
  <c r="M166" i="63" s="1"/>
  <c r="L166" i="63" a="1"/>
  <c r="L166" i="63" s="1"/>
  <c r="M238" i="63" s="1"/>
  <c r="K166" i="63" a="1"/>
  <c r="K166" i="63" s="1"/>
  <c r="J166" i="63" a="1"/>
  <c r="J166" i="63" s="1"/>
  <c r="J238" i="63" s="1"/>
  <c r="I166" i="63" a="1"/>
  <c r="I166" i="63" s="1"/>
  <c r="I238" i="63" s="1"/>
  <c r="H166" i="63" a="1"/>
  <c r="H166" i="63" s="1"/>
  <c r="H238" i="63" s="1"/>
  <c r="G166" i="63" a="1"/>
  <c r="G166" i="63" s="1"/>
  <c r="G238" i="63" s="1"/>
  <c r="F166" i="63" a="1"/>
  <c r="F166" i="63" s="1"/>
  <c r="F238" i="63" s="1"/>
  <c r="E166" i="63" a="1"/>
  <c r="E166" i="63" s="1"/>
  <c r="D166" i="63" a="1"/>
  <c r="D166" i="63" s="1"/>
  <c r="M165" i="63" a="1"/>
  <c r="M165" i="63" s="1"/>
  <c r="L165" i="63" a="1"/>
  <c r="L165" i="63" s="1"/>
  <c r="M237" i="63" s="1"/>
  <c r="K165" i="63" a="1"/>
  <c r="K165" i="63" s="1"/>
  <c r="J165" i="63" a="1"/>
  <c r="J165" i="63" s="1"/>
  <c r="J237" i="63" s="1"/>
  <c r="I165" i="63" a="1"/>
  <c r="I165" i="63" s="1"/>
  <c r="I237" i="63" s="1"/>
  <c r="H165" i="63" a="1"/>
  <c r="H165" i="63" s="1"/>
  <c r="H237" i="63" s="1"/>
  <c r="G165" i="63" a="1"/>
  <c r="G165" i="63" s="1"/>
  <c r="G237" i="63" s="1"/>
  <c r="F165" i="63" a="1"/>
  <c r="F165" i="63" s="1"/>
  <c r="F237" i="63" s="1"/>
  <c r="E165" i="63" a="1"/>
  <c r="E165" i="63" s="1"/>
  <c r="D165" i="63" a="1"/>
  <c r="D165" i="63" s="1"/>
  <c r="M164" i="63" a="1"/>
  <c r="M164" i="63" s="1"/>
  <c r="L164" i="63" a="1"/>
  <c r="L164" i="63" s="1"/>
  <c r="M236" i="63" s="1"/>
  <c r="K164" i="63" a="1"/>
  <c r="K164" i="63" s="1"/>
  <c r="J164" i="63" a="1"/>
  <c r="J164" i="63" s="1"/>
  <c r="J236" i="63" s="1"/>
  <c r="I164" i="63" a="1"/>
  <c r="I164" i="63" s="1"/>
  <c r="I236" i="63" s="1"/>
  <c r="H164" i="63" a="1"/>
  <c r="H164" i="63" s="1"/>
  <c r="H236" i="63" s="1"/>
  <c r="G164" i="63" a="1"/>
  <c r="G164" i="63" s="1"/>
  <c r="G236" i="63" s="1"/>
  <c r="F164" i="63" a="1"/>
  <c r="F164" i="63" s="1"/>
  <c r="F236" i="63" s="1"/>
  <c r="E164" i="63" a="1"/>
  <c r="E164" i="63" s="1"/>
  <c r="D164" i="63" a="1"/>
  <c r="D164" i="63" s="1"/>
  <c r="M163" i="63" a="1"/>
  <c r="M163" i="63" s="1"/>
  <c r="L163" i="63" a="1"/>
  <c r="L163" i="63" s="1"/>
  <c r="M235" i="63" s="1"/>
  <c r="K163" i="63" a="1"/>
  <c r="K163" i="63" s="1"/>
  <c r="J163" i="63" a="1"/>
  <c r="J163" i="63" s="1"/>
  <c r="J235" i="63" s="1"/>
  <c r="I163" i="63" a="1"/>
  <c r="I163" i="63" s="1"/>
  <c r="I235" i="63" s="1"/>
  <c r="H163" i="63" a="1"/>
  <c r="H163" i="63" s="1"/>
  <c r="H235" i="63" s="1"/>
  <c r="G163" i="63" a="1"/>
  <c r="G163" i="63" s="1"/>
  <c r="G235" i="63" s="1"/>
  <c r="F163" i="63" a="1"/>
  <c r="F163" i="63" s="1"/>
  <c r="F235" i="63" s="1"/>
  <c r="E163" i="63" a="1"/>
  <c r="E163" i="63" s="1"/>
  <c r="D163" i="63" a="1"/>
  <c r="D163" i="63" s="1"/>
  <c r="M162" i="63" a="1"/>
  <c r="M162" i="63" s="1"/>
  <c r="L162" i="63" a="1"/>
  <c r="L162" i="63" s="1"/>
  <c r="M234" i="63" s="1"/>
  <c r="K162" i="63" a="1"/>
  <c r="K162" i="63" s="1"/>
  <c r="J162" i="63" a="1"/>
  <c r="J162" i="63" s="1"/>
  <c r="J234" i="63" s="1"/>
  <c r="I162" i="63" a="1"/>
  <c r="I162" i="63" s="1"/>
  <c r="I234" i="63" s="1"/>
  <c r="H162" i="63" a="1"/>
  <c r="H162" i="63" s="1"/>
  <c r="H234" i="63" s="1"/>
  <c r="G162" i="63" a="1"/>
  <c r="G162" i="63" s="1"/>
  <c r="G234" i="63" s="1"/>
  <c r="F162" i="63" a="1"/>
  <c r="F162" i="63" s="1"/>
  <c r="F234" i="63" s="1"/>
  <c r="E162" i="63" a="1"/>
  <c r="E162" i="63" s="1"/>
  <c r="D162" i="63" a="1"/>
  <c r="D162" i="63" s="1"/>
  <c r="M161" i="63" a="1"/>
  <c r="M161" i="63" s="1"/>
  <c r="L161" i="63" a="1"/>
  <c r="L161" i="63" s="1"/>
  <c r="M233" i="63" s="1"/>
  <c r="K161" i="63" a="1"/>
  <c r="K161" i="63" s="1"/>
  <c r="J161" i="63" a="1"/>
  <c r="J161" i="63" s="1"/>
  <c r="J233" i="63" s="1"/>
  <c r="I161" i="63" a="1"/>
  <c r="I161" i="63" s="1"/>
  <c r="I233" i="63" s="1"/>
  <c r="H161" i="63" a="1"/>
  <c r="H161" i="63" s="1"/>
  <c r="H233" i="63" s="1"/>
  <c r="G161" i="63" a="1"/>
  <c r="G161" i="63" s="1"/>
  <c r="G233" i="63" s="1"/>
  <c r="F161" i="63" a="1"/>
  <c r="F161" i="63" s="1"/>
  <c r="F233" i="63" s="1"/>
  <c r="E161" i="63" a="1"/>
  <c r="E161" i="63" s="1"/>
  <c r="D161" i="63" a="1"/>
  <c r="D161" i="63" s="1"/>
  <c r="M160" i="63" a="1"/>
  <c r="M160" i="63" s="1"/>
  <c r="L160" i="63" a="1"/>
  <c r="L160" i="63" s="1"/>
  <c r="M232" i="63" s="1"/>
  <c r="K160" i="63" a="1"/>
  <c r="K160" i="63" s="1"/>
  <c r="J160" i="63" a="1"/>
  <c r="J160" i="63" s="1"/>
  <c r="J232" i="63" s="1"/>
  <c r="I160" i="63" a="1"/>
  <c r="I160" i="63" s="1"/>
  <c r="I232" i="63" s="1"/>
  <c r="H160" i="63" a="1"/>
  <c r="H160" i="63" s="1"/>
  <c r="H232" i="63" s="1"/>
  <c r="G160" i="63" a="1"/>
  <c r="G160" i="63" s="1"/>
  <c r="G232" i="63" s="1"/>
  <c r="F160" i="63" a="1"/>
  <c r="F160" i="63" s="1"/>
  <c r="F232" i="63" s="1"/>
  <c r="E160" i="63" a="1"/>
  <c r="E160" i="63" s="1"/>
  <c r="D160" i="63" a="1"/>
  <c r="D160" i="63" s="1"/>
  <c r="M159" i="63" a="1"/>
  <c r="M159" i="63" s="1"/>
  <c r="L159" i="63" a="1"/>
  <c r="L159" i="63" s="1"/>
  <c r="M231" i="63" s="1"/>
  <c r="K159" i="63" a="1"/>
  <c r="K159" i="63" s="1"/>
  <c r="J159" i="63" a="1"/>
  <c r="J159" i="63" s="1"/>
  <c r="J231" i="63" s="1"/>
  <c r="I159" i="63" a="1"/>
  <c r="I159" i="63" s="1"/>
  <c r="I231" i="63" s="1"/>
  <c r="H159" i="63" a="1"/>
  <c r="H159" i="63" s="1"/>
  <c r="H231" i="63" s="1"/>
  <c r="G159" i="63" a="1"/>
  <c r="G159" i="63" s="1"/>
  <c r="G231" i="63" s="1"/>
  <c r="F159" i="63" a="1"/>
  <c r="F159" i="63" s="1"/>
  <c r="F231" i="63" s="1"/>
  <c r="E159" i="63" a="1"/>
  <c r="E159" i="63" s="1"/>
  <c r="D159" i="63" a="1"/>
  <c r="D159" i="63" s="1"/>
  <c r="M158" i="63" a="1"/>
  <c r="M158" i="63" s="1"/>
  <c r="L158" i="63" a="1"/>
  <c r="L158" i="63" s="1"/>
  <c r="K158" i="63" a="1"/>
  <c r="K158" i="63" s="1"/>
  <c r="J158" i="63" a="1"/>
  <c r="J158" i="63" s="1"/>
  <c r="I158" i="63" a="1"/>
  <c r="I158" i="63" s="1"/>
  <c r="H158" i="63" a="1"/>
  <c r="H158" i="63" s="1"/>
  <c r="G158" i="63" a="1"/>
  <c r="G158" i="63" s="1"/>
  <c r="F158" i="63" a="1"/>
  <c r="F158" i="63" s="1"/>
  <c r="E158" i="63" a="1"/>
  <c r="E158" i="63" s="1"/>
  <c r="D158" i="63" a="1"/>
  <c r="D158" i="63" s="1"/>
  <c r="M157" i="63" a="1"/>
  <c r="M157" i="63" s="1"/>
  <c r="L157" i="63" a="1"/>
  <c r="L157" i="63" s="1"/>
  <c r="K157" i="63" a="1"/>
  <c r="K157" i="63" s="1"/>
  <c r="J157" i="63" a="1"/>
  <c r="J157" i="63" s="1"/>
  <c r="I157" i="63" a="1"/>
  <c r="I157" i="63" s="1"/>
  <c r="H157" i="63" a="1"/>
  <c r="H157" i="63" s="1"/>
  <c r="G157" i="63" a="1"/>
  <c r="G157" i="63" s="1"/>
  <c r="F157" i="63" a="1"/>
  <c r="F157" i="63" s="1"/>
  <c r="E157" i="63" a="1"/>
  <c r="E157" i="63" s="1"/>
  <c r="D157" i="63" a="1"/>
  <c r="D157" i="63" s="1"/>
  <c r="M156" i="63" a="1"/>
  <c r="M156" i="63" s="1"/>
  <c r="L156" i="63" a="1"/>
  <c r="L156" i="63" s="1"/>
  <c r="K156" i="63" a="1"/>
  <c r="K156" i="63" s="1"/>
  <c r="J156" i="63" a="1"/>
  <c r="J156" i="63" s="1"/>
  <c r="I156" i="63" a="1"/>
  <c r="I156" i="63" s="1"/>
  <c r="H156" i="63" a="1"/>
  <c r="H156" i="63" s="1"/>
  <c r="G156" i="63" a="1"/>
  <c r="G156" i="63" s="1"/>
  <c r="F156" i="63" a="1"/>
  <c r="F156" i="63" s="1"/>
  <c r="E156" i="63" a="1"/>
  <c r="E156" i="63" s="1"/>
  <c r="D156" i="63" a="1"/>
  <c r="D156" i="63" s="1"/>
  <c r="M155" i="63" a="1"/>
  <c r="M155" i="63" s="1"/>
  <c r="L155" i="63" a="1"/>
  <c r="L155" i="63" s="1"/>
  <c r="K155" i="63" a="1"/>
  <c r="K155" i="63" s="1"/>
  <c r="J155" i="63" a="1"/>
  <c r="J155" i="63" s="1"/>
  <c r="I155" i="63" a="1"/>
  <c r="I155" i="63" s="1"/>
  <c r="H155" i="63" a="1"/>
  <c r="H155" i="63" s="1"/>
  <c r="G155" i="63" a="1"/>
  <c r="G155" i="63" s="1"/>
  <c r="F155" i="63" a="1"/>
  <c r="F155" i="63" s="1"/>
  <c r="F227" i="63" s="1"/>
  <c r="E155" i="63" a="1"/>
  <c r="E155" i="63" s="1"/>
  <c r="D155" i="63" a="1"/>
  <c r="D155" i="63" s="1"/>
  <c r="D153" i="63" a="1"/>
  <c r="D153" i="63" s="1"/>
  <c r="D152" i="63" a="1"/>
  <c r="D152" i="63" s="1"/>
  <c r="D151" i="63" a="1"/>
  <c r="D151" i="63" s="1"/>
  <c r="D150" i="63" a="1"/>
  <c r="D150" i="63" s="1"/>
  <c r="P81" i="63" a="1"/>
  <c r="P81" i="63" s="1"/>
  <c r="P145" i="63" s="1"/>
  <c r="O81" i="63" a="1"/>
  <c r="O81" i="63" s="1"/>
  <c r="O145" i="63" s="1"/>
  <c r="N81" i="63" a="1"/>
  <c r="N81" i="63" s="1"/>
  <c r="N145" i="63" s="1"/>
  <c r="M81" i="63" a="1"/>
  <c r="M81" i="63" s="1"/>
  <c r="M145" i="63" s="1"/>
  <c r="L81" i="63" a="1"/>
  <c r="L81" i="63" s="1"/>
  <c r="L145" i="63" s="1"/>
  <c r="K81" i="63" a="1"/>
  <c r="K81" i="63" s="1"/>
  <c r="K145" i="63" s="1"/>
  <c r="J81" i="63" a="1"/>
  <c r="J81" i="63" s="1"/>
  <c r="J145" i="63" s="1"/>
  <c r="I81" i="63" a="1"/>
  <c r="I81" i="63" s="1"/>
  <c r="I145" i="63" s="1"/>
  <c r="H81" i="63" a="1"/>
  <c r="H81" i="63" s="1"/>
  <c r="H145" i="63" s="1"/>
  <c r="G81" i="63" a="1"/>
  <c r="G81" i="63" s="1"/>
  <c r="G145" i="63" s="1"/>
  <c r="F81" i="63" a="1"/>
  <c r="F81" i="63" s="1"/>
  <c r="F145" i="63" s="1"/>
  <c r="F149" i="63" s="1"/>
  <c r="E81" i="63" a="1"/>
  <c r="E81" i="63" s="1"/>
  <c r="E145" i="63" s="1"/>
  <c r="D81" i="63" a="1"/>
  <c r="D81" i="63" s="1"/>
  <c r="P80" i="63" a="1"/>
  <c r="P80" i="63" s="1"/>
  <c r="P144" i="63" s="1"/>
  <c r="O80" i="63" a="1"/>
  <c r="O80" i="63" s="1"/>
  <c r="O144" i="63" s="1"/>
  <c r="N80" i="63" a="1"/>
  <c r="N80" i="63" s="1"/>
  <c r="N144" i="63" s="1"/>
  <c r="M80" i="63" a="1"/>
  <c r="M80" i="63" s="1"/>
  <c r="M144" i="63" s="1"/>
  <c r="L80" i="63" a="1"/>
  <c r="L80" i="63" s="1"/>
  <c r="L144" i="63" s="1"/>
  <c r="K80" i="63" a="1"/>
  <c r="K80" i="63" s="1"/>
  <c r="K144" i="63" s="1"/>
  <c r="J80" i="63" a="1"/>
  <c r="J80" i="63" s="1"/>
  <c r="J144" i="63" s="1"/>
  <c r="I80" i="63" a="1"/>
  <c r="I80" i="63" s="1"/>
  <c r="I144" i="63" s="1"/>
  <c r="H80" i="63" a="1"/>
  <c r="H80" i="63" s="1"/>
  <c r="H144" i="63" s="1"/>
  <c r="G80" i="63" a="1"/>
  <c r="G80" i="63" s="1"/>
  <c r="G144" i="63" s="1"/>
  <c r="F80" i="63" a="1"/>
  <c r="F80" i="63" s="1"/>
  <c r="F144" i="63" s="1"/>
  <c r="F148" i="63" s="1"/>
  <c r="E80" i="63" a="1"/>
  <c r="E80" i="63" s="1"/>
  <c r="E144" i="63" s="1"/>
  <c r="D80" i="63" a="1"/>
  <c r="D80" i="63" s="1"/>
  <c r="P79" i="63" a="1"/>
  <c r="P79" i="63" s="1"/>
  <c r="P143" i="63" s="1"/>
  <c r="O79" i="63" a="1"/>
  <c r="O79" i="63" s="1"/>
  <c r="O143" i="63" s="1"/>
  <c r="N79" i="63" a="1"/>
  <c r="N79" i="63" s="1"/>
  <c r="N143" i="63" s="1"/>
  <c r="M79" i="63" a="1"/>
  <c r="M79" i="63" s="1"/>
  <c r="M143" i="63" s="1"/>
  <c r="L79" i="63" a="1"/>
  <c r="L79" i="63" s="1"/>
  <c r="L143" i="63" s="1"/>
  <c r="K79" i="63" a="1"/>
  <c r="K79" i="63" s="1"/>
  <c r="K143" i="63" s="1"/>
  <c r="J79" i="63" a="1"/>
  <c r="J79" i="63" s="1"/>
  <c r="J143" i="63" s="1"/>
  <c r="I79" i="63" a="1"/>
  <c r="I79" i="63" s="1"/>
  <c r="I143" i="63" s="1"/>
  <c r="H79" i="63" a="1"/>
  <c r="H79" i="63" s="1"/>
  <c r="H143" i="63" s="1"/>
  <c r="G79" i="63" a="1"/>
  <c r="G79" i="63" s="1"/>
  <c r="G143" i="63" s="1"/>
  <c r="F79" i="63" a="1"/>
  <c r="F79" i="63" s="1"/>
  <c r="F143" i="63" s="1"/>
  <c r="F147" i="63" s="1"/>
  <c r="E79" i="63" a="1"/>
  <c r="E79" i="63" s="1"/>
  <c r="E143" i="63" s="1"/>
  <c r="D79" i="63" a="1"/>
  <c r="D79" i="63" s="1"/>
  <c r="P78" i="63" a="1"/>
  <c r="P78" i="63" s="1"/>
  <c r="P142" i="63" s="1"/>
  <c r="O78" i="63" a="1"/>
  <c r="O78" i="63" s="1"/>
  <c r="O142" i="63" s="1"/>
  <c r="N78" i="63" a="1"/>
  <c r="N78" i="63" s="1"/>
  <c r="N142" i="63" s="1"/>
  <c r="M78" i="63" a="1"/>
  <c r="M78" i="63" s="1"/>
  <c r="M142" i="63" s="1"/>
  <c r="L78" i="63" a="1"/>
  <c r="L78" i="63" s="1"/>
  <c r="L142" i="63" s="1"/>
  <c r="K78" i="63" a="1"/>
  <c r="K78" i="63" s="1"/>
  <c r="K142" i="63" s="1"/>
  <c r="J78" i="63" a="1"/>
  <c r="J78" i="63" s="1"/>
  <c r="J142" i="63" s="1"/>
  <c r="I78" i="63" a="1"/>
  <c r="I78" i="63" s="1"/>
  <c r="I142" i="63" s="1"/>
  <c r="H78" i="63" a="1"/>
  <c r="H78" i="63" s="1"/>
  <c r="H142" i="63" s="1"/>
  <c r="G78" i="63" a="1"/>
  <c r="G78" i="63" s="1"/>
  <c r="G142" i="63" s="1"/>
  <c r="F78" i="63" a="1"/>
  <c r="F78" i="63" s="1"/>
  <c r="F142" i="63" s="1"/>
  <c r="F146" i="63" s="1"/>
  <c r="E78" i="63" a="1"/>
  <c r="E78" i="63" s="1"/>
  <c r="E142" i="63" s="1"/>
  <c r="D78" i="63" a="1"/>
  <c r="D78" i="63" s="1"/>
  <c r="P77" i="63" a="1"/>
  <c r="P77" i="63" s="1"/>
  <c r="P141" i="63" s="1"/>
  <c r="O77" i="63" a="1"/>
  <c r="O77" i="63" s="1"/>
  <c r="O141" i="63" s="1"/>
  <c r="N77" i="63" a="1"/>
  <c r="N77" i="63" s="1"/>
  <c r="N141" i="63" s="1"/>
  <c r="M77" i="63" a="1"/>
  <c r="M77" i="63" s="1"/>
  <c r="M141" i="63" s="1"/>
  <c r="L77" i="63" a="1"/>
  <c r="L77" i="63" s="1"/>
  <c r="L141" i="63" s="1"/>
  <c r="K77" i="63" a="1"/>
  <c r="K77" i="63" s="1"/>
  <c r="K141" i="63" s="1"/>
  <c r="J77" i="63" a="1"/>
  <c r="J77" i="63" s="1"/>
  <c r="J141" i="63" s="1"/>
  <c r="I77" i="63" a="1"/>
  <c r="I77" i="63" s="1"/>
  <c r="I141" i="63" s="1"/>
  <c r="H77" i="63" a="1"/>
  <c r="H77" i="63" s="1"/>
  <c r="H141" i="63" s="1"/>
  <c r="G77" i="63" a="1"/>
  <c r="G77" i="63" s="1"/>
  <c r="G141" i="63" s="1"/>
  <c r="F77" i="63" a="1"/>
  <c r="F77" i="63" s="1"/>
  <c r="F141" i="63" s="1"/>
  <c r="E77" i="63" a="1"/>
  <c r="E77" i="63" s="1"/>
  <c r="E141" i="63" s="1"/>
  <c r="D77" i="63" a="1"/>
  <c r="D77" i="63" s="1"/>
  <c r="P76" i="63" a="1"/>
  <c r="P76" i="63" s="1"/>
  <c r="P140" i="63" s="1"/>
  <c r="O76" i="63" a="1"/>
  <c r="O76" i="63" s="1"/>
  <c r="O140" i="63" s="1"/>
  <c r="N76" i="63" a="1"/>
  <c r="N76" i="63" s="1"/>
  <c r="N140" i="63" s="1"/>
  <c r="M76" i="63" a="1"/>
  <c r="M76" i="63" s="1"/>
  <c r="M140" i="63" s="1"/>
  <c r="L76" i="63" a="1"/>
  <c r="L76" i="63" s="1"/>
  <c r="L140" i="63" s="1"/>
  <c r="K76" i="63" a="1"/>
  <c r="K76" i="63" s="1"/>
  <c r="K140" i="63" s="1"/>
  <c r="J76" i="63" a="1"/>
  <c r="J76" i="63" s="1"/>
  <c r="J140" i="63" s="1"/>
  <c r="I76" i="63" a="1"/>
  <c r="I76" i="63" s="1"/>
  <c r="I140" i="63" s="1"/>
  <c r="H76" i="63" a="1"/>
  <c r="H76" i="63" s="1"/>
  <c r="H140" i="63" s="1"/>
  <c r="G76" i="63" a="1"/>
  <c r="G76" i="63" s="1"/>
  <c r="G140" i="63" s="1"/>
  <c r="F76" i="63" a="1"/>
  <c r="F76" i="63" s="1"/>
  <c r="F140" i="63" s="1"/>
  <c r="E76" i="63" a="1"/>
  <c r="E76" i="63" s="1"/>
  <c r="E140" i="63" s="1"/>
  <c r="D76" i="63" a="1"/>
  <c r="D76" i="63" s="1"/>
  <c r="P75" i="63" a="1"/>
  <c r="P75" i="63" s="1"/>
  <c r="P139" i="63" s="1"/>
  <c r="O75" i="63" a="1"/>
  <c r="O75" i="63" s="1"/>
  <c r="O139" i="63" s="1"/>
  <c r="N75" i="63" a="1"/>
  <c r="N75" i="63" s="1"/>
  <c r="N139" i="63" s="1"/>
  <c r="M75" i="63" a="1"/>
  <c r="M75" i="63" s="1"/>
  <c r="M139" i="63" s="1"/>
  <c r="L75" i="63" a="1"/>
  <c r="L75" i="63" s="1"/>
  <c r="L139" i="63" s="1"/>
  <c r="K75" i="63" a="1"/>
  <c r="K75" i="63" s="1"/>
  <c r="K139" i="63" s="1"/>
  <c r="J75" i="63" a="1"/>
  <c r="J75" i="63" s="1"/>
  <c r="J139" i="63" s="1"/>
  <c r="I75" i="63" a="1"/>
  <c r="I75" i="63" s="1"/>
  <c r="I139" i="63" s="1"/>
  <c r="H75" i="63" a="1"/>
  <c r="H75" i="63" s="1"/>
  <c r="H139" i="63" s="1"/>
  <c r="G75" i="63" a="1"/>
  <c r="G75" i="63" s="1"/>
  <c r="G139" i="63" s="1"/>
  <c r="F75" i="63" a="1"/>
  <c r="F75" i="63" s="1"/>
  <c r="F139" i="63" s="1"/>
  <c r="E75" i="63" a="1"/>
  <c r="E75" i="63" s="1"/>
  <c r="E139" i="63" s="1"/>
  <c r="D75" i="63" a="1"/>
  <c r="D75" i="63" s="1"/>
  <c r="P74" i="63" a="1"/>
  <c r="P74" i="63" s="1"/>
  <c r="P138" i="63" s="1"/>
  <c r="O74" i="63" a="1"/>
  <c r="O74" i="63" s="1"/>
  <c r="O138" i="63" s="1"/>
  <c r="N74" i="63" a="1"/>
  <c r="N74" i="63" s="1"/>
  <c r="N138" i="63" s="1"/>
  <c r="M74" i="63" a="1"/>
  <c r="M74" i="63" s="1"/>
  <c r="M138" i="63" s="1"/>
  <c r="L74" i="63" a="1"/>
  <c r="L74" i="63" s="1"/>
  <c r="L138" i="63" s="1"/>
  <c r="K74" i="63" a="1"/>
  <c r="K74" i="63" s="1"/>
  <c r="K138" i="63" s="1"/>
  <c r="J74" i="63" a="1"/>
  <c r="J74" i="63" s="1"/>
  <c r="J138" i="63" s="1"/>
  <c r="I74" i="63" a="1"/>
  <c r="I74" i="63" s="1"/>
  <c r="I138" i="63" s="1"/>
  <c r="H74" i="63" a="1"/>
  <c r="H74" i="63" s="1"/>
  <c r="H138" i="63" s="1"/>
  <c r="G74" i="63" a="1"/>
  <c r="G74" i="63" s="1"/>
  <c r="G138" i="63" s="1"/>
  <c r="F74" i="63" a="1"/>
  <c r="F74" i="63" s="1"/>
  <c r="F138" i="63" s="1"/>
  <c r="E74" i="63" a="1"/>
  <c r="E74" i="63" s="1"/>
  <c r="E138" i="63" s="1"/>
  <c r="D74" i="63" a="1"/>
  <c r="D74" i="63" s="1"/>
  <c r="P73" i="63" a="1"/>
  <c r="P73" i="63" s="1"/>
  <c r="P137" i="63" s="1"/>
  <c r="O73" i="63" a="1"/>
  <c r="O73" i="63" s="1"/>
  <c r="O137" i="63" s="1"/>
  <c r="N73" i="63" a="1"/>
  <c r="N73" i="63" s="1"/>
  <c r="N137" i="63" s="1"/>
  <c r="M73" i="63" a="1"/>
  <c r="M73" i="63" s="1"/>
  <c r="M137" i="63" s="1"/>
  <c r="L73" i="63" a="1"/>
  <c r="L73" i="63" s="1"/>
  <c r="L137" i="63" s="1"/>
  <c r="K73" i="63" a="1"/>
  <c r="K73" i="63" s="1"/>
  <c r="K137" i="63" s="1"/>
  <c r="J73" i="63" a="1"/>
  <c r="J73" i="63" s="1"/>
  <c r="J137" i="63" s="1"/>
  <c r="I73" i="63" a="1"/>
  <c r="I73" i="63" s="1"/>
  <c r="I137" i="63" s="1"/>
  <c r="H73" i="63" a="1"/>
  <c r="H73" i="63" s="1"/>
  <c r="H137" i="63" s="1"/>
  <c r="G73" i="63" a="1"/>
  <c r="G73" i="63" s="1"/>
  <c r="G137" i="63" s="1"/>
  <c r="F73" i="63" a="1"/>
  <c r="F73" i="63" s="1"/>
  <c r="F137" i="63" s="1"/>
  <c r="E73" i="63" a="1"/>
  <c r="E73" i="63" s="1"/>
  <c r="E137" i="63" s="1"/>
  <c r="D73" i="63" a="1"/>
  <c r="D73" i="63" s="1"/>
  <c r="P72" i="63" a="1"/>
  <c r="P72" i="63" s="1"/>
  <c r="P136" i="63" s="1"/>
  <c r="O72" i="63" a="1"/>
  <c r="O72" i="63" s="1"/>
  <c r="O136" i="63" s="1"/>
  <c r="N72" i="63" a="1"/>
  <c r="N72" i="63" s="1"/>
  <c r="N136" i="63" s="1"/>
  <c r="M72" i="63" a="1"/>
  <c r="M72" i="63" s="1"/>
  <c r="M136" i="63" s="1"/>
  <c r="L72" i="63" a="1"/>
  <c r="L72" i="63" s="1"/>
  <c r="L136" i="63" s="1"/>
  <c r="K72" i="63" a="1"/>
  <c r="K72" i="63" s="1"/>
  <c r="K136" i="63" s="1"/>
  <c r="J72" i="63" a="1"/>
  <c r="J72" i="63" s="1"/>
  <c r="J136" i="63" s="1"/>
  <c r="I72" i="63" a="1"/>
  <c r="I72" i="63" s="1"/>
  <c r="I136" i="63" s="1"/>
  <c r="H72" i="63" a="1"/>
  <c r="H72" i="63" s="1"/>
  <c r="H136" i="63" s="1"/>
  <c r="G72" i="63" a="1"/>
  <c r="G72" i="63" s="1"/>
  <c r="G136" i="63" s="1"/>
  <c r="F72" i="63" a="1"/>
  <c r="F72" i="63" s="1"/>
  <c r="F136" i="63" s="1"/>
  <c r="E72" i="63" a="1"/>
  <c r="E72" i="63" s="1"/>
  <c r="E136" i="63" s="1"/>
  <c r="D72" i="63" a="1"/>
  <c r="D72" i="63" s="1"/>
  <c r="P71" i="63" a="1"/>
  <c r="P71" i="63" s="1"/>
  <c r="P135" i="63" s="1"/>
  <c r="O71" i="63" a="1"/>
  <c r="O71" i="63" s="1"/>
  <c r="O135" i="63" s="1"/>
  <c r="N71" i="63" a="1"/>
  <c r="N71" i="63" s="1"/>
  <c r="N135" i="63" s="1"/>
  <c r="M71" i="63" a="1"/>
  <c r="M71" i="63" s="1"/>
  <c r="M135" i="63" s="1"/>
  <c r="L71" i="63" a="1"/>
  <c r="L71" i="63" s="1"/>
  <c r="L135" i="63" s="1"/>
  <c r="K71" i="63" a="1"/>
  <c r="K71" i="63" s="1"/>
  <c r="K135" i="63" s="1"/>
  <c r="J71" i="63" a="1"/>
  <c r="J71" i="63" s="1"/>
  <c r="J135" i="63" s="1"/>
  <c r="I71" i="63" a="1"/>
  <c r="I71" i="63" s="1"/>
  <c r="I135" i="63" s="1"/>
  <c r="H71" i="63" a="1"/>
  <c r="H71" i="63" s="1"/>
  <c r="H135" i="63" s="1"/>
  <c r="G71" i="63" a="1"/>
  <c r="G71" i="63" s="1"/>
  <c r="G135" i="63" s="1"/>
  <c r="F71" i="63" a="1"/>
  <c r="F71" i="63" s="1"/>
  <c r="F135" i="63" s="1"/>
  <c r="E71" i="63" a="1"/>
  <c r="E71" i="63" s="1"/>
  <c r="E135" i="63" s="1"/>
  <c r="D71" i="63" a="1"/>
  <c r="D71" i="63" s="1"/>
  <c r="P70" i="63" a="1"/>
  <c r="P70" i="63" s="1"/>
  <c r="P134" i="63" s="1"/>
  <c r="O70" i="63" a="1"/>
  <c r="O70" i="63" s="1"/>
  <c r="O134" i="63" s="1"/>
  <c r="N70" i="63" a="1"/>
  <c r="N70" i="63" s="1"/>
  <c r="N134" i="63" s="1"/>
  <c r="M70" i="63" a="1"/>
  <c r="M70" i="63" s="1"/>
  <c r="M134" i="63" s="1"/>
  <c r="L70" i="63" a="1"/>
  <c r="L70" i="63" s="1"/>
  <c r="L134" i="63" s="1"/>
  <c r="K70" i="63" a="1"/>
  <c r="K70" i="63" s="1"/>
  <c r="K134" i="63" s="1"/>
  <c r="J70" i="63" a="1"/>
  <c r="J70" i="63" s="1"/>
  <c r="J134" i="63" s="1"/>
  <c r="I70" i="63" a="1"/>
  <c r="I70" i="63" s="1"/>
  <c r="I134" i="63" s="1"/>
  <c r="H70" i="63" a="1"/>
  <c r="H70" i="63" s="1"/>
  <c r="H134" i="63" s="1"/>
  <c r="G70" i="63" a="1"/>
  <c r="G70" i="63" s="1"/>
  <c r="G134" i="63" s="1"/>
  <c r="F70" i="63" a="1"/>
  <c r="F70" i="63" s="1"/>
  <c r="F134" i="63" s="1"/>
  <c r="E70" i="63" a="1"/>
  <c r="E70" i="63" s="1"/>
  <c r="E134" i="63" s="1"/>
  <c r="D70" i="63" a="1"/>
  <c r="D70" i="63" s="1"/>
  <c r="P69" i="63" a="1"/>
  <c r="P69" i="63" s="1"/>
  <c r="P133" i="63" s="1"/>
  <c r="O69" i="63" a="1"/>
  <c r="O69" i="63" s="1"/>
  <c r="O133" i="63" s="1"/>
  <c r="N69" i="63" a="1"/>
  <c r="N69" i="63" s="1"/>
  <c r="N133" i="63" s="1"/>
  <c r="M69" i="63" a="1"/>
  <c r="M69" i="63" s="1"/>
  <c r="M133" i="63" s="1"/>
  <c r="L69" i="63" a="1"/>
  <c r="L69" i="63" s="1"/>
  <c r="L133" i="63" s="1"/>
  <c r="K69" i="63" a="1"/>
  <c r="K69" i="63" s="1"/>
  <c r="K133" i="63" s="1"/>
  <c r="J69" i="63" a="1"/>
  <c r="J69" i="63" s="1"/>
  <c r="J133" i="63" s="1"/>
  <c r="I69" i="63" a="1"/>
  <c r="I69" i="63" s="1"/>
  <c r="I133" i="63" s="1"/>
  <c r="H69" i="63" a="1"/>
  <c r="H69" i="63" s="1"/>
  <c r="H133" i="63" s="1"/>
  <c r="G69" i="63" a="1"/>
  <c r="G69" i="63" s="1"/>
  <c r="G133" i="63" s="1"/>
  <c r="F69" i="63" a="1"/>
  <c r="F69" i="63" s="1"/>
  <c r="F133" i="63" s="1"/>
  <c r="E69" i="63" a="1"/>
  <c r="E69" i="63" s="1"/>
  <c r="E133" i="63" s="1"/>
  <c r="D69" i="63" a="1"/>
  <c r="D69" i="63" s="1"/>
  <c r="P68" i="63" a="1"/>
  <c r="P68" i="63" s="1"/>
  <c r="P132" i="63" s="1"/>
  <c r="O68" i="63" a="1"/>
  <c r="O68" i="63" s="1"/>
  <c r="O132" i="63" s="1"/>
  <c r="N68" i="63" a="1"/>
  <c r="N68" i="63" s="1"/>
  <c r="N132" i="63" s="1"/>
  <c r="M68" i="63" a="1"/>
  <c r="M68" i="63" s="1"/>
  <c r="M132" i="63" s="1"/>
  <c r="L68" i="63" a="1"/>
  <c r="L68" i="63" s="1"/>
  <c r="L132" i="63" s="1"/>
  <c r="K68" i="63" a="1"/>
  <c r="K68" i="63" s="1"/>
  <c r="K132" i="63" s="1"/>
  <c r="J68" i="63" a="1"/>
  <c r="J68" i="63" s="1"/>
  <c r="J132" i="63" s="1"/>
  <c r="I68" i="63" a="1"/>
  <c r="I68" i="63" s="1"/>
  <c r="I132" i="63" s="1"/>
  <c r="H68" i="63" a="1"/>
  <c r="H68" i="63" s="1"/>
  <c r="H132" i="63" s="1"/>
  <c r="G68" i="63" a="1"/>
  <c r="G68" i="63" s="1"/>
  <c r="G132" i="63" s="1"/>
  <c r="F68" i="63" a="1"/>
  <c r="F68" i="63" s="1"/>
  <c r="F132" i="63" s="1"/>
  <c r="E68" i="63" a="1"/>
  <c r="E68" i="63" s="1"/>
  <c r="E132" i="63" s="1"/>
  <c r="D68" i="63" a="1"/>
  <c r="D68" i="63" s="1"/>
  <c r="P67" i="63" a="1"/>
  <c r="P67" i="63" s="1"/>
  <c r="P131" i="63" s="1"/>
  <c r="O67" i="63" a="1"/>
  <c r="O67" i="63" s="1"/>
  <c r="O131" i="63" s="1"/>
  <c r="N67" i="63" a="1"/>
  <c r="N67" i="63" s="1"/>
  <c r="N131" i="63" s="1"/>
  <c r="M67" i="63" a="1"/>
  <c r="M67" i="63" s="1"/>
  <c r="M131" i="63" s="1"/>
  <c r="L67" i="63" a="1"/>
  <c r="L67" i="63" s="1"/>
  <c r="L131" i="63" s="1"/>
  <c r="K67" i="63" a="1"/>
  <c r="K67" i="63" s="1"/>
  <c r="K131" i="63" s="1"/>
  <c r="J67" i="63" a="1"/>
  <c r="J67" i="63" s="1"/>
  <c r="J131" i="63" s="1"/>
  <c r="I67" i="63" a="1"/>
  <c r="I67" i="63" s="1"/>
  <c r="I131" i="63" s="1"/>
  <c r="H67" i="63" a="1"/>
  <c r="H67" i="63" s="1"/>
  <c r="H131" i="63" s="1"/>
  <c r="G67" i="63" a="1"/>
  <c r="G67" i="63" s="1"/>
  <c r="G131" i="63" s="1"/>
  <c r="F67" i="63" a="1"/>
  <c r="F67" i="63" s="1"/>
  <c r="F131" i="63" s="1"/>
  <c r="E67" i="63" a="1"/>
  <c r="E67" i="63" s="1"/>
  <c r="E131" i="63" s="1"/>
  <c r="D67" i="63" a="1"/>
  <c r="D67" i="63" s="1"/>
  <c r="P66" i="63" a="1"/>
  <c r="P66" i="63" s="1"/>
  <c r="P130" i="63" s="1"/>
  <c r="O66" i="63" a="1"/>
  <c r="O66" i="63" s="1"/>
  <c r="O130" i="63" s="1"/>
  <c r="N66" i="63" a="1"/>
  <c r="N66" i="63" s="1"/>
  <c r="N130" i="63" s="1"/>
  <c r="M66" i="63" a="1"/>
  <c r="M66" i="63" s="1"/>
  <c r="M130" i="63" s="1"/>
  <c r="L66" i="63" a="1"/>
  <c r="L66" i="63" s="1"/>
  <c r="L130" i="63" s="1"/>
  <c r="K66" i="63" a="1"/>
  <c r="K66" i="63" s="1"/>
  <c r="K130" i="63" s="1"/>
  <c r="J66" i="63" a="1"/>
  <c r="J66" i="63" s="1"/>
  <c r="J130" i="63" s="1"/>
  <c r="I66" i="63" a="1"/>
  <c r="I66" i="63" s="1"/>
  <c r="I130" i="63" s="1"/>
  <c r="H66" i="63" a="1"/>
  <c r="H66" i="63" s="1"/>
  <c r="H130" i="63" s="1"/>
  <c r="G66" i="63" a="1"/>
  <c r="G66" i="63" s="1"/>
  <c r="G130" i="63" s="1"/>
  <c r="F66" i="63" a="1"/>
  <c r="F66" i="63" s="1"/>
  <c r="F130" i="63" s="1"/>
  <c r="E66" i="63" a="1"/>
  <c r="E66" i="63" s="1"/>
  <c r="E130" i="63" s="1"/>
  <c r="D66" i="63" a="1"/>
  <c r="D66" i="63" s="1"/>
  <c r="P65" i="63" a="1"/>
  <c r="P65" i="63" s="1"/>
  <c r="P129" i="63" s="1"/>
  <c r="O65" i="63" a="1"/>
  <c r="O65" i="63" s="1"/>
  <c r="O129" i="63" s="1"/>
  <c r="N65" i="63" a="1"/>
  <c r="N65" i="63" s="1"/>
  <c r="N129" i="63" s="1"/>
  <c r="M65" i="63" a="1"/>
  <c r="M65" i="63" s="1"/>
  <c r="M129" i="63" s="1"/>
  <c r="L65" i="63" a="1"/>
  <c r="L65" i="63" s="1"/>
  <c r="L129" i="63" s="1"/>
  <c r="K65" i="63" a="1"/>
  <c r="K65" i="63" s="1"/>
  <c r="K129" i="63" s="1"/>
  <c r="J65" i="63" a="1"/>
  <c r="J65" i="63" s="1"/>
  <c r="J129" i="63" s="1"/>
  <c r="I65" i="63" a="1"/>
  <c r="I65" i="63" s="1"/>
  <c r="I129" i="63" s="1"/>
  <c r="H65" i="63" a="1"/>
  <c r="H65" i="63" s="1"/>
  <c r="H129" i="63" s="1"/>
  <c r="G65" i="63" a="1"/>
  <c r="G65" i="63" s="1"/>
  <c r="G129" i="63" s="1"/>
  <c r="F65" i="63" a="1"/>
  <c r="F65" i="63" s="1"/>
  <c r="F129" i="63" s="1"/>
  <c r="E65" i="63" a="1"/>
  <c r="E65" i="63" s="1"/>
  <c r="E129" i="63" s="1"/>
  <c r="D65" i="63" a="1"/>
  <c r="D65" i="63" s="1"/>
  <c r="P64" i="63" a="1"/>
  <c r="P64" i="63" s="1"/>
  <c r="P128" i="63" s="1"/>
  <c r="O64" i="63" a="1"/>
  <c r="O64" i="63" s="1"/>
  <c r="O128" i="63" s="1"/>
  <c r="N64" i="63" a="1"/>
  <c r="N64" i="63" s="1"/>
  <c r="N128" i="63" s="1"/>
  <c r="M64" i="63" a="1"/>
  <c r="M64" i="63" s="1"/>
  <c r="M128" i="63" s="1"/>
  <c r="L64" i="63" a="1"/>
  <c r="L64" i="63" s="1"/>
  <c r="L128" i="63" s="1"/>
  <c r="K64" i="63" a="1"/>
  <c r="K64" i="63" s="1"/>
  <c r="K128" i="63" s="1"/>
  <c r="J64" i="63" a="1"/>
  <c r="J64" i="63" s="1"/>
  <c r="J128" i="63" s="1"/>
  <c r="I64" i="63" a="1"/>
  <c r="I64" i="63" s="1"/>
  <c r="I128" i="63" s="1"/>
  <c r="H64" i="63" a="1"/>
  <c r="H64" i="63" s="1"/>
  <c r="H128" i="63" s="1"/>
  <c r="G64" i="63" a="1"/>
  <c r="G64" i="63" s="1"/>
  <c r="G128" i="63" s="1"/>
  <c r="F64" i="63" a="1"/>
  <c r="F64" i="63" s="1"/>
  <c r="F128" i="63" s="1"/>
  <c r="E64" i="63" a="1"/>
  <c r="E64" i="63" s="1"/>
  <c r="E128" i="63" s="1"/>
  <c r="D64" i="63" a="1"/>
  <c r="D64" i="63" s="1"/>
  <c r="P63" i="63" a="1"/>
  <c r="P63" i="63" s="1"/>
  <c r="P127" i="63" s="1"/>
  <c r="O63" i="63" a="1"/>
  <c r="O63" i="63" s="1"/>
  <c r="O127" i="63" s="1"/>
  <c r="N63" i="63" a="1"/>
  <c r="N63" i="63" s="1"/>
  <c r="N127" i="63" s="1"/>
  <c r="M63" i="63" a="1"/>
  <c r="M63" i="63" s="1"/>
  <c r="M127" i="63" s="1"/>
  <c r="L63" i="63" a="1"/>
  <c r="L63" i="63" s="1"/>
  <c r="L127" i="63" s="1"/>
  <c r="K63" i="63" a="1"/>
  <c r="K63" i="63" s="1"/>
  <c r="K127" i="63" s="1"/>
  <c r="J63" i="63" a="1"/>
  <c r="J63" i="63" s="1"/>
  <c r="J127" i="63" s="1"/>
  <c r="I63" i="63" a="1"/>
  <c r="I63" i="63" s="1"/>
  <c r="I127" i="63" s="1"/>
  <c r="H63" i="63" a="1"/>
  <c r="H63" i="63" s="1"/>
  <c r="H127" i="63" s="1"/>
  <c r="G63" i="63" a="1"/>
  <c r="G63" i="63" s="1"/>
  <c r="G127" i="63" s="1"/>
  <c r="F63" i="63" a="1"/>
  <c r="F63" i="63" s="1"/>
  <c r="F127" i="63" s="1"/>
  <c r="E63" i="63" a="1"/>
  <c r="E63" i="63" s="1"/>
  <c r="E127" i="63" s="1"/>
  <c r="D63" i="63" a="1"/>
  <c r="D63" i="63" s="1"/>
  <c r="P62" i="63" a="1"/>
  <c r="P62" i="63" s="1"/>
  <c r="P126" i="63" s="1"/>
  <c r="O62" i="63" a="1"/>
  <c r="O62" i="63" s="1"/>
  <c r="O126" i="63" s="1"/>
  <c r="N62" i="63" a="1"/>
  <c r="N62" i="63" s="1"/>
  <c r="N126" i="63" s="1"/>
  <c r="M62" i="63" a="1"/>
  <c r="M62" i="63" s="1"/>
  <c r="M126" i="63" s="1"/>
  <c r="L62" i="63" a="1"/>
  <c r="L62" i="63" s="1"/>
  <c r="L126" i="63" s="1"/>
  <c r="K62" i="63" a="1"/>
  <c r="K62" i="63" s="1"/>
  <c r="K126" i="63" s="1"/>
  <c r="J62" i="63" a="1"/>
  <c r="J62" i="63" s="1"/>
  <c r="J126" i="63" s="1"/>
  <c r="I62" i="63" a="1"/>
  <c r="I62" i="63" s="1"/>
  <c r="I126" i="63" s="1"/>
  <c r="H62" i="63" a="1"/>
  <c r="H62" i="63" s="1"/>
  <c r="H126" i="63" s="1"/>
  <c r="G62" i="63" a="1"/>
  <c r="G62" i="63" s="1"/>
  <c r="G126" i="63" s="1"/>
  <c r="F62" i="63" a="1"/>
  <c r="F62" i="63" s="1"/>
  <c r="F126" i="63" s="1"/>
  <c r="E62" i="63" a="1"/>
  <c r="E62" i="63" s="1"/>
  <c r="E126" i="63" s="1"/>
  <c r="D62" i="63" a="1"/>
  <c r="D62" i="63" s="1"/>
  <c r="P61" i="63" a="1"/>
  <c r="P61" i="63" s="1"/>
  <c r="P125" i="63" s="1"/>
  <c r="O61" i="63" a="1"/>
  <c r="O61" i="63" s="1"/>
  <c r="O125" i="63" s="1"/>
  <c r="N61" i="63" a="1"/>
  <c r="N61" i="63" s="1"/>
  <c r="N125" i="63" s="1"/>
  <c r="M61" i="63" a="1"/>
  <c r="M61" i="63" s="1"/>
  <c r="M125" i="63" s="1"/>
  <c r="L61" i="63" a="1"/>
  <c r="L61" i="63" s="1"/>
  <c r="L125" i="63" s="1"/>
  <c r="K61" i="63" a="1"/>
  <c r="K61" i="63" s="1"/>
  <c r="K125" i="63" s="1"/>
  <c r="J61" i="63" a="1"/>
  <c r="J61" i="63" s="1"/>
  <c r="J125" i="63" s="1"/>
  <c r="I61" i="63" a="1"/>
  <c r="I61" i="63" s="1"/>
  <c r="I125" i="63" s="1"/>
  <c r="H61" i="63" a="1"/>
  <c r="H61" i="63" s="1"/>
  <c r="H125" i="63" s="1"/>
  <c r="G61" i="63" a="1"/>
  <c r="G61" i="63" s="1"/>
  <c r="G125" i="63" s="1"/>
  <c r="F61" i="63" a="1"/>
  <c r="F61" i="63" s="1"/>
  <c r="F125" i="63" s="1"/>
  <c r="E61" i="63" a="1"/>
  <c r="E61" i="63" s="1"/>
  <c r="E125" i="63" s="1"/>
  <c r="D61" i="63" a="1"/>
  <c r="D61" i="63" s="1"/>
  <c r="P60" i="63" a="1"/>
  <c r="P60" i="63" s="1"/>
  <c r="P124" i="63" s="1"/>
  <c r="O60" i="63" a="1"/>
  <c r="O60" i="63" s="1"/>
  <c r="O124" i="63" s="1"/>
  <c r="N60" i="63" a="1"/>
  <c r="N60" i="63" s="1"/>
  <c r="N124" i="63" s="1"/>
  <c r="M60" i="63" a="1"/>
  <c r="M60" i="63" s="1"/>
  <c r="M124" i="63" s="1"/>
  <c r="L60" i="63" a="1"/>
  <c r="L60" i="63" s="1"/>
  <c r="L124" i="63" s="1"/>
  <c r="K60" i="63" a="1"/>
  <c r="K60" i="63" s="1"/>
  <c r="K124" i="63" s="1"/>
  <c r="J60" i="63" a="1"/>
  <c r="J60" i="63" s="1"/>
  <c r="J124" i="63" s="1"/>
  <c r="I60" i="63" a="1"/>
  <c r="I60" i="63" s="1"/>
  <c r="I124" i="63" s="1"/>
  <c r="H60" i="63" a="1"/>
  <c r="H60" i="63" s="1"/>
  <c r="H124" i="63" s="1"/>
  <c r="G60" i="63" a="1"/>
  <c r="G60" i="63" s="1"/>
  <c r="G124" i="63" s="1"/>
  <c r="F60" i="63" a="1"/>
  <c r="F60" i="63" s="1"/>
  <c r="F124" i="63" s="1"/>
  <c r="E60" i="63" a="1"/>
  <c r="E60" i="63" s="1"/>
  <c r="E124" i="63" s="1"/>
  <c r="D60" i="63" a="1"/>
  <c r="D60" i="63" s="1"/>
  <c r="P59" i="63" a="1"/>
  <c r="P59" i="63" s="1"/>
  <c r="P123" i="63" s="1"/>
  <c r="O59" i="63" a="1"/>
  <c r="O59" i="63" s="1"/>
  <c r="O123" i="63" s="1"/>
  <c r="N59" i="63" a="1"/>
  <c r="N59" i="63" s="1"/>
  <c r="N123" i="63" s="1"/>
  <c r="M59" i="63" a="1"/>
  <c r="M59" i="63" s="1"/>
  <c r="M123" i="63" s="1"/>
  <c r="L59" i="63" a="1"/>
  <c r="L59" i="63" s="1"/>
  <c r="L123" i="63" s="1"/>
  <c r="K59" i="63" a="1"/>
  <c r="K59" i="63" s="1"/>
  <c r="K123" i="63" s="1"/>
  <c r="J59" i="63" a="1"/>
  <c r="J59" i="63" s="1"/>
  <c r="J123" i="63" s="1"/>
  <c r="I59" i="63" a="1"/>
  <c r="I59" i="63" s="1"/>
  <c r="I123" i="63" s="1"/>
  <c r="H59" i="63" a="1"/>
  <c r="H59" i="63" s="1"/>
  <c r="H123" i="63" s="1"/>
  <c r="G59" i="63" a="1"/>
  <c r="G59" i="63" s="1"/>
  <c r="G123" i="63" s="1"/>
  <c r="F59" i="63" a="1"/>
  <c r="F59" i="63" s="1"/>
  <c r="F123" i="63" s="1"/>
  <c r="E59" i="63" a="1"/>
  <c r="E59" i="63" s="1"/>
  <c r="E123" i="63" s="1"/>
  <c r="D59" i="63" a="1"/>
  <c r="D59" i="63" s="1"/>
  <c r="P58" i="63" a="1"/>
  <c r="P58" i="63" s="1"/>
  <c r="P122" i="63" s="1"/>
  <c r="O58" i="63" a="1"/>
  <c r="O58" i="63" s="1"/>
  <c r="O122" i="63" s="1"/>
  <c r="N58" i="63" a="1"/>
  <c r="N58" i="63" s="1"/>
  <c r="N122" i="63" s="1"/>
  <c r="M58" i="63" a="1"/>
  <c r="M58" i="63" s="1"/>
  <c r="M122" i="63" s="1"/>
  <c r="L58" i="63" a="1"/>
  <c r="L58" i="63" s="1"/>
  <c r="L122" i="63" s="1"/>
  <c r="K58" i="63" a="1"/>
  <c r="K58" i="63" s="1"/>
  <c r="K122" i="63" s="1"/>
  <c r="J58" i="63" a="1"/>
  <c r="J58" i="63" s="1"/>
  <c r="J122" i="63" s="1"/>
  <c r="I58" i="63" a="1"/>
  <c r="I58" i="63" s="1"/>
  <c r="I122" i="63" s="1"/>
  <c r="H58" i="63" a="1"/>
  <c r="H58" i="63" s="1"/>
  <c r="H122" i="63" s="1"/>
  <c r="G58" i="63" a="1"/>
  <c r="G58" i="63" s="1"/>
  <c r="G122" i="63" s="1"/>
  <c r="F58" i="63" a="1"/>
  <c r="F58" i="63" s="1"/>
  <c r="F122" i="63" s="1"/>
  <c r="E58" i="63" a="1"/>
  <c r="E58" i="63" s="1"/>
  <c r="E122" i="63" s="1"/>
  <c r="D58" i="63" a="1"/>
  <c r="D58" i="63" s="1"/>
  <c r="P57" i="63" a="1"/>
  <c r="P57" i="63" s="1"/>
  <c r="P121" i="63" s="1"/>
  <c r="O57" i="63" a="1"/>
  <c r="O57" i="63" s="1"/>
  <c r="O121" i="63" s="1"/>
  <c r="N57" i="63" a="1"/>
  <c r="N57" i="63" s="1"/>
  <c r="N121" i="63" s="1"/>
  <c r="M57" i="63" a="1"/>
  <c r="M57" i="63" s="1"/>
  <c r="M121" i="63" s="1"/>
  <c r="L57" i="63" a="1"/>
  <c r="L57" i="63" s="1"/>
  <c r="L121" i="63" s="1"/>
  <c r="K57" i="63" a="1"/>
  <c r="K57" i="63" s="1"/>
  <c r="K121" i="63" s="1"/>
  <c r="J57" i="63" a="1"/>
  <c r="J57" i="63" s="1"/>
  <c r="J121" i="63" s="1"/>
  <c r="I57" i="63" a="1"/>
  <c r="I57" i="63" s="1"/>
  <c r="I121" i="63" s="1"/>
  <c r="H57" i="63" a="1"/>
  <c r="H57" i="63" s="1"/>
  <c r="H121" i="63" s="1"/>
  <c r="G57" i="63" a="1"/>
  <c r="G57" i="63" s="1"/>
  <c r="G121" i="63" s="1"/>
  <c r="F57" i="63" a="1"/>
  <c r="F57" i="63" s="1"/>
  <c r="F121" i="63" s="1"/>
  <c r="E57" i="63" a="1"/>
  <c r="E57" i="63" s="1"/>
  <c r="E121" i="63" s="1"/>
  <c r="D57" i="63" a="1"/>
  <c r="D57" i="63" s="1"/>
  <c r="P56" i="63" a="1"/>
  <c r="P56" i="63" s="1"/>
  <c r="P120" i="63" s="1"/>
  <c r="O56" i="63" a="1"/>
  <c r="O56" i="63" s="1"/>
  <c r="O120" i="63" s="1"/>
  <c r="N56" i="63" a="1"/>
  <c r="N56" i="63" s="1"/>
  <c r="N120" i="63" s="1"/>
  <c r="M56" i="63" a="1"/>
  <c r="M56" i="63" s="1"/>
  <c r="M120" i="63" s="1"/>
  <c r="L56" i="63" a="1"/>
  <c r="L56" i="63" s="1"/>
  <c r="L120" i="63" s="1"/>
  <c r="K56" i="63" a="1"/>
  <c r="K56" i="63" s="1"/>
  <c r="K120" i="63" s="1"/>
  <c r="J56" i="63" a="1"/>
  <c r="J56" i="63" s="1"/>
  <c r="J120" i="63" s="1"/>
  <c r="I56" i="63" a="1"/>
  <c r="I56" i="63" s="1"/>
  <c r="I120" i="63" s="1"/>
  <c r="H56" i="63" a="1"/>
  <c r="H56" i="63" s="1"/>
  <c r="H120" i="63" s="1"/>
  <c r="G56" i="63" a="1"/>
  <c r="G56" i="63" s="1"/>
  <c r="G120" i="63" s="1"/>
  <c r="F56" i="63" a="1"/>
  <c r="F56" i="63" s="1"/>
  <c r="F120" i="63" s="1"/>
  <c r="E56" i="63" a="1"/>
  <c r="E56" i="63" s="1"/>
  <c r="E120" i="63" s="1"/>
  <c r="D56" i="63" a="1"/>
  <c r="D56" i="63" s="1"/>
  <c r="P55" i="63" a="1"/>
  <c r="P55" i="63" s="1"/>
  <c r="P119" i="63" s="1"/>
  <c r="O55" i="63" a="1"/>
  <c r="O55" i="63" s="1"/>
  <c r="O119" i="63" s="1"/>
  <c r="N55" i="63" a="1"/>
  <c r="N55" i="63" s="1"/>
  <c r="N119" i="63" s="1"/>
  <c r="M55" i="63" a="1"/>
  <c r="M55" i="63" s="1"/>
  <c r="M119" i="63" s="1"/>
  <c r="L55" i="63" a="1"/>
  <c r="L55" i="63" s="1"/>
  <c r="L119" i="63" s="1"/>
  <c r="K55" i="63" a="1"/>
  <c r="K55" i="63" s="1"/>
  <c r="K119" i="63" s="1"/>
  <c r="J55" i="63" a="1"/>
  <c r="J55" i="63" s="1"/>
  <c r="J119" i="63" s="1"/>
  <c r="I55" i="63" a="1"/>
  <c r="I55" i="63" s="1"/>
  <c r="I119" i="63" s="1"/>
  <c r="H55" i="63" a="1"/>
  <c r="H55" i="63" s="1"/>
  <c r="H119" i="63" s="1"/>
  <c r="G55" i="63" a="1"/>
  <c r="G55" i="63" s="1"/>
  <c r="G119" i="63" s="1"/>
  <c r="F55" i="63" a="1"/>
  <c r="F55" i="63" s="1"/>
  <c r="F119" i="63" s="1"/>
  <c r="E55" i="63" a="1"/>
  <c r="E55" i="63" s="1"/>
  <c r="E119" i="63" s="1"/>
  <c r="D55" i="63" a="1"/>
  <c r="D55" i="63" s="1"/>
  <c r="P54" i="63" a="1"/>
  <c r="P54" i="63" s="1"/>
  <c r="P118" i="63" s="1"/>
  <c r="O54" i="63" a="1"/>
  <c r="O54" i="63" s="1"/>
  <c r="O118" i="63" s="1"/>
  <c r="N54" i="63" a="1"/>
  <c r="N54" i="63" s="1"/>
  <c r="N118" i="63" s="1"/>
  <c r="M54" i="63" a="1"/>
  <c r="M54" i="63" s="1"/>
  <c r="M118" i="63" s="1"/>
  <c r="L54" i="63" a="1"/>
  <c r="L54" i="63" s="1"/>
  <c r="L118" i="63" s="1"/>
  <c r="K54" i="63" a="1"/>
  <c r="K54" i="63" s="1"/>
  <c r="K118" i="63" s="1"/>
  <c r="J54" i="63" a="1"/>
  <c r="J54" i="63" s="1"/>
  <c r="J118" i="63" s="1"/>
  <c r="I54" i="63" a="1"/>
  <c r="I54" i="63" s="1"/>
  <c r="I118" i="63" s="1"/>
  <c r="H54" i="63" a="1"/>
  <c r="H54" i="63" s="1"/>
  <c r="H118" i="63" s="1"/>
  <c r="G54" i="63" a="1"/>
  <c r="G54" i="63" s="1"/>
  <c r="G118" i="63" s="1"/>
  <c r="F54" i="63" a="1"/>
  <c r="F54" i="63" s="1"/>
  <c r="F118" i="63" s="1"/>
  <c r="E54" i="63" a="1"/>
  <c r="E54" i="63" s="1"/>
  <c r="E118" i="63" s="1"/>
  <c r="D54" i="63" a="1"/>
  <c r="D54" i="63" s="1"/>
  <c r="D52" i="63" a="1"/>
  <c r="D52" i="63" s="1"/>
  <c r="D51" i="63" a="1"/>
  <c r="D51" i="63" s="1"/>
  <c r="D50" i="63" a="1"/>
  <c r="D50" i="63" s="1"/>
  <c r="D49" i="63" a="1"/>
  <c r="D49" i="63" s="1"/>
  <c r="M46" i="63" a="1"/>
  <c r="M46" i="63" s="1"/>
  <c r="L46" i="63" a="1"/>
  <c r="L46" i="63" s="1"/>
  <c r="M117" i="63" s="1"/>
  <c r="K46" i="63" a="1"/>
  <c r="K46" i="63" s="1"/>
  <c r="J46" i="63" a="1"/>
  <c r="J46" i="63" s="1"/>
  <c r="J117" i="63" s="1"/>
  <c r="I46" i="63" a="1"/>
  <c r="I46" i="63" s="1"/>
  <c r="I117" i="63" s="1"/>
  <c r="H46" i="63" a="1"/>
  <c r="H46" i="63" s="1"/>
  <c r="H117" i="63" s="1"/>
  <c r="G46" i="63" a="1"/>
  <c r="G46" i="63" s="1"/>
  <c r="G117" i="63" s="1"/>
  <c r="F46" i="63" a="1"/>
  <c r="F46" i="63" s="1"/>
  <c r="F117" i="63" s="1"/>
  <c r="E46" i="63" a="1"/>
  <c r="E46" i="63" s="1"/>
  <c r="E117" i="63" s="1"/>
  <c r="D46" i="63" a="1"/>
  <c r="D46" i="63" s="1"/>
  <c r="M45" i="63" a="1"/>
  <c r="M45" i="63" s="1"/>
  <c r="L45" i="63" a="1"/>
  <c r="L45" i="63" s="1"/>
  <c r="M116" i="63" s="1"/>
  <c r="K45" i="63" a="1"/>
  <c r="K45" i="63" s="1"/>
  <c r="J45" i="63" a="1"/>
  <c r="J45" i="63" s="1"/>
  <c r="J116" i="63" s="1"/>
  <c r="I45" i="63" a="1"/>
  <c r="I45" i="63" s="1"/>
  <c r="I116" i="63" s="1"/>
  <c r="H45" i="63" a="1"/>
  <c r="H45" i="63" s="1"/>
  <c r="H116" i="63" s="1"/>
  <c r="G45" i="63" a="1"/>
  <c r="G45" i="63" s="1"/>
  <c r="G116" i="63" s="1"/>
  <c r="F45" i="63" a="1"/>
  <c r="F45" i="63" s="1"/>
  <c r="F116" i="63" s="1"/>
  <c r="E45" i="63" a="1"/>
  <c r="E45" i="63" s="1"/>
  <c r="E116" i="63" s="1"/>
  <c r="D45" i="63" a="1"/>
  <c r="D45" i="63" s="1"/>
  <c r="M44" i="63" a="1"/>
  <c r="M44" i="63" s="1"/>
  <c r="L44" i="63" a="1"/>
  <c r="L44" i="63" s="1"/>
  <c r="M115" i="63" s="1"/>
  <c r="K44" i="63" a="1"/>
  <c r="K44" i="63" s="1"/>
  <c r="J44" i="63" a="1"/>
  <c r="J44" i="63" s="1"/>
  <c r="J115" i="63" s="1"/>
  <c r="I44" i="63" a="1"/>
  <c r="I44" i="63" s="1"/>
  <c r="I115" i="63" s="1"/>
  <c r="H44" i="63" a="1"/>
  <c r="H44" i="63" s="1"/>
  <c r="H115" i="63" s="1"/>
  <c r="G44" i="63" a="1"/>
  <c r="G44" i="63" s="1"/>
  <c r="G115" i="63" s="1"/>
  <c r="F44" i="63" a="1"/>
  <c r="F44" i="63" s="1"/>
  <c r="F115" i="63" s="1"/>
  <c r="E44" i="63" a="1"/>
  <c r="E44" i="63" s="1"/>
  <c r="E115" i="63" s="1"/>
  <c r="D44" i="63" a="1"/>
  <c r="D44" i="63" s="1"/>
  <c r="M43" i="63" a="1"/>
  <c r="M43" i="63" s="1"/>
  <c r="L43" i="63" a="1"/>
  <c r="L43" i="63" s="1"/>
  <c r="M114" i="63" s="1"/>
  <c r="K43" i="63" a="1"/>
  <c r="K43" i="63" s="1"/>
  <c r="L114" i="63" s="1"/>
  <c r="J43" i="63" a="1"/>
  <c r="J43" i="63" s="1"/>
  <c r="J114" i="63" s="1"/>
  <c r="I43" i="63" a="1"/>
  <c r="I43" i="63" s="1"/>
  <c r="I114" i="63" s="1"/>
  <c r="H43" i="63" a="1"/>
  <c r="H43" i="63" s="1"/>
  <c r="H114" i="63" s="1"/>
  <c r="G43" i="63" a="1"/>
  <c r="G43" i="63" s="1"/>
  <c r="G114" i="63" s="1"/>
  <c r="F43" i="63" a="1"/>
  <c r="F43" i="63" s="1"/>
  <c r="F114" i="63" s="1"/>
  <c r="E43" i="63" a="1"/>
  <c r="E43" i="63" s="1"/>
  <c r="E114" i="63" s="1"/>
  <c r="D43" i="63" a="1"/>
  <c r="D43" i="63" s="1"/>
  <c r="M42" i="63" a="1"/>
  <c r="M42" i="63" s="1"/>
  <c r="L42" i="63" a="1"/>
  <c r="L42" i="63" s="1"/>
  <c r="M113" i="63" s="1"/>
  <c r="K42" i="63" a="1"/>
  <c r="K42" i="63" s="1"/>
  <c r="J42" i="63" a="1"/>
  <c r="J42" i="63" s="1"/>
  <c r="J113" i="63" s="1"/>
  <c r="I42" i="63" a="1"/>
  <c r="I42" i="63" s="1"/>
  <c r="I113" i="63" s="1"/>
  <c r="H42" i="63" a="1"/>
  <c r="H42" i="63" s="1"/>
  <c r="H113" i="63" s="1"/>
  <c r="G42" i="63" a="1"/>
  <c r="G42" i="63" s="1"/>
  <c r="G113" i="63" s="1"/>
  <c r="F42" i="63" a="1"/>
  <c r="F42" i="63" s="1"/>
  <c r="F113" i="63" s="1"/>
  <c r="E42" i="63" a="1"/>
  <c r="E42" i="63" s="1"/>
  <c r="E113" i="63" s="1"/>
  <c r="D42" i="63" a="1"/>
  <c r="D42" i="63" s="1"/>
  <c r="M41" i="63" a="1"/>
  <c r="M41" i="63" s="1"/>
  <c r="L41" i="63" a="1"/>
  <c r="L41" i="63" s="1"/>
  <c r="M112" i="63" s="1"/>
  <c r="K41" i="63" a="1"/>
  <c r="K41" i="63" s="1"/>
  <c r="J41" i="63" a="1"/>
  <c r="J41" i="63" s="1"/>
  <c r="J112" i="63" s="1"/>
  <c r="I41" i="63" a="1"/>
  <c r="I41" i="63" s="1"/>
  <c r="I112" i="63" s="1"/>
  <c r="H41" i="63" a="1"/>
  <c r="H41" i="63" s="1"/>
  <c r="H112" i="63" s="1"/>
  <c r="G41" i="63" a="1"/>
  <c r="G41" i="63" s="1"/>
  <c r="G112" i="63" s="1"/>
  <c r="F41" i="63" a="1"/>
  <c r="F41" i="63" s="1"/>
  <c r="F112" i="63" s="1"/>
  <c r="E41" i="63" a="1"/>
  <c r="E41" i="63" s="1"/>
  <c r="E112" i="63" s="1"/>
  <c r="D41" i="63" a="1"/>
  <c r="D41" i="63" s="1"/>
  <c r="M40" i="63" a="1"/>
  <c r="M40" i="63" s="1"/>
  <c r="L40" i="63" a="1"/>
  <c r="L40" i="63" s="1"/>
  <c r="M111" i="63" s="1"/>
  <c r="K40" i="63" a="1"/>
  <c r="K40" i="63" s="1"/>
  <c r="J40" i="63" a="1"/>
  <c r="J40" i="63" s="1"/>
  <c r="J111" i="63" s="1"/>
  <c r="I40" i="63" a="1"/>
  <c r="I40" i="63" s="1"/>
  <c r="I111" i="63" s="1"/>
  <c r="H40" i="63" a="1"/>
  <c r="H40" i="63" s="1"/>
  <c r="H111" i="63" s="1"/>
  <c r="G40" i="63" a="1"/>
  <c r="G40" i="63" s="1"/>
  <c r="G111" i="63" s="1"/>
  <c r="F40" i="63" a="1"/>
  <c r="F40" i="63" s="1"/>
  <c r="F111" i="63" s="1"/>
  <c r="E40" i="63" a="1"/>
  <c r="E40" i="63" s="1"/>
  <c r="E111" i="63" s="1"/>
  <c r="D40" i="63" a="1"/>
  <c r="D40" i="63" s="1"/>
  <c r="M39" i="63" a="1"/>
  <c r="M39" i="63" s="1"/>
  <c r="L39" i="63" a="1"/>
  <c r="L39" i="63" s="1"/>
  <c r="M110" i="63" s="1"/>
  <c r="K39" i="63" a="1"/>
  <c r="K39" i="63" s="1"/>
  <c r="J39" i="63" a="1"/>
  <c r="J39" i="63" s="1"/>
  <c r="J110" i="63" s="1"/>
  <c r="I39" i="63" a="1"/>
  <c r="I39" i="63" s="1"/>
  <c r="I110" i="63" s="1"/>
  <c r="H39" i="63" a="1"/>
  <c r="H39" i="63" s="1"/>
  <c r="H110" i="63" s="1"/>
  <c r="G39" i="63" a="1"/>
  <c r="G39" i="63" s="1"/>
  <c r="G110" i="63" s="1"/>
  <c r="F39" i="63" a="1"/>
  <c r="F39" i="63" s="1"/>
  <c r="F110" i="63" s="1"/>
  <c r="E39" i="63" a="1"/>
  <c r="E39" i="63" s="1"/>
  <c r="E110" i="63" s="1"/>
  <c r="D39" i="63" a="1"/>
  <c r="D39" i="63" s="1"/>
  <c r="M38" i="63" a="1"/>
  <c r="M38" i="63" s="1"/>
  <c r="L38" i="63" a="1"/>
  <c r="L38" i="63" s="1"/>
  <c r="M109" i="63" s="1"/>
  <c r="K38" i="63" a="1"/>
  <c r="K38" i="63" s="1"/>
  <c r="J38" i="63" a="1"/>
  <c r="J38" i="63" s="1"/>
  <c r="J109" i="63" s="1"/>
  <c r="I38" i="63" a="1"/>
  <c r="I38" i="63" s="1"/>
  <c r="I109" i="63" s="1"/>
  <c r="H38" i="63" a="1"/>
  <c r="H38" i="63" s="1"/>
  <c r="H109" i="63" s="1"/>
  <c r="G38" i="63" a="1"/>
  <c r="G38" i="63" s="1"/>
  <c r="G109" i="63" s="1"/>
  <c r="F38" i="63" a="1"/>
  <c r="F38" i="63" s="1"/>
  <c r="F109" i="63" s="1"/>
  <c r="E38" i="63" a="1"/>
  <c r="E38" i="63" s="1"/>
  <c r="E109" i="63" s="1"/>
  <c r="D38" i="63" a="1"/>
  <c r="D38" i="63" s="1"/>
  <c r="M37" i="63" a="1"/>
  <c r="M37" i="63" s="1"/>
  <c r="L37" i="63" a="1"/>
  <c r="L37" i="63" s="1"/>
  <c r="M108" i="63" s="1"/>
  <c r="K37" i="63" a="1"/>
  <c r="K37" i="63" s="1"/>
  <c r="J37" i="63" a="1"/>
  <c r="J37" i="63" s="1"/>
  <c r="J108" i="63" s="1"/>
  <c r="I37" i="63" a="1"/>
  <c r="I37" i="63" s="1"/>
  <c r="I108" i="63" s="1"/>
  <c r="H37" i="63" a="1"/>
  <c r="H37" i="63" s="1"/>
  <c r="H108" i="63" s="1"/>
  <c r="G37" i="63" a="1"/>
  <c r="G37" i="63" s="1"/>
  <c r="G108" i="63" s="1"/>
  <c r="F37" i="63" a="1"/>
  <c r="F37" i="63" s="1"/>
  <c r="F108" i="63" s="1"/>
  <c r="E37" i="63" a="1"/>
  <c r="E37" i="63" s="1"/>
  <c r="E108" i="63" s="1"/>
  <c r="D37" i="63" a="1"/>
  <c r="D37" i="63" s="1"/>
  <c r="M36" i="63" a="1"/>
  <c r="M36" i="63" s="1"/>
  <c r="L36" i="63" a="1"/>
  <c r="L36" i="63" s="1"/>
  <c r="M107" i="63" s="1"/>
  <c r="K36" i="63" a="1"/>
  <c r="K36" i="63" s="1"/>
  <c r="L107" i="63" s="1"/>
  <c r="J36" i="63" a="1"/>
  <c r="J36" i="63" s="1"/>
  <c r="J107" i="63" s="1"/>
  <c r="I36" i="63" a="1"/>
  <c r="I36" i="63" s="1"/>
  <c r="I107" i="63" s="1"/>
  <c r="H36" i="63" a="1"/>
  <c r="H36" i="63" s="1"/>
  <c r="H107" i="63" s="1"/>
  <c r="G36" i="63" a="1"/>
  <c r="G36" i="63" s="1"/>
  <c r="G107" i="63" s="1"/>
  <c r="F36" i="63" a="1"/>
  <c r="F36" i="63" s="1"/>
  <c r="F107" i="63" s="1"/>
  <c r="E36" i="63" a="1"/>
  <c r="E36" i="63" s="1"/>
  <c r="E107" i="63" s="1"/>
  <c r="D36" i="63" a="1"/>
  <c r="D36" i="63" s="1"/>
  <c r="M35" i="63" a="1"/>
  <c r="M35" i="63" s="1"/>
  <c r="L35" i="63" a="1"/>
  <c r="L35" i="63" s="1"/>
  <c r="M106" i="63" s="1"/>
  <c r="K35" i="63" a="1"/>
  <c r="K35" i="63" s="1"/>
  <c r="J35" i="63" a="1"/>
  <c r="J35" i="63" s="1"/>
  <c r="J106" i="63" s="1"/>
  <c r="I35" i="63" a="1"/>
  <c r="I35" i="63" s="1"/>
  <c r="I106" i="63" s="1"/>
  <c r="H35" i="63" a="1"/>
  <c r="H35" i="63" s="1"/>
  <c r="H106" i="63" s="1"/>
  <c r="G35" i="63" a="1"/>
  <c r="G35" i="63" s="1"/>
  <c r="G106" i="63" s="1"/>
  <c r="F35" i="63" a="1"/>
  <c r="F35" i="63" s="1"/>
  <c r="E35" i="63" a="1"/>
  <c r="E35" i="63" s="1"/>
  <c r="E106" i="63" s="1"/>
  <c r="D35" i="63" a="1"/>
  <c r="D35" i="63" s="1"/>
  <c r="M34" i="63" a="1"/>
  <c r="M34" i="63" s="1"/>
  <c r="L34" i="63" a="1"/>
  <c r="L34" i="63" s="1"/>
  <c r="M105" i="63" s="1"/>
  <c r="K34" i="63" a="1"/>
  <c r="K34" i="63" s="1"/>
  <c r="J34" i="63" a="1"/>
  <c r="J34" i="63" s="1"/>
  <c r="J105" i="63" s="1"/>
  <c r="I34" i="63" a="1"/>
  <c r="I34" i="63" s="1"/>
  <c r="I105" i="63" s="1"/>
  <c r="H34" i="63" a="1"/>
  <c r="H34" i="63" s="1"/>
  <c r="H105" i="63" s="1"/>
  <c r="G34" i="63" a="1"/>
  <c r="G34" i="63" s="1"/>
  <c r="G105" i="63" s="1"/>
  <c r="F34" i="63" a="1"/>
  <c r="F34" i="63" s="1"/>
  <c r="E34" i="63" a="1"/>
  <c r="E34" i="63" s="1"/>
  <c r="D34" i="63" a="1"/>
  <c r="D34" i="63" s="1"/>
  <c r="M33" i="63" a="1"/>
  <c r="M33" i="63" s="1"/>
  <c r="L33" i="63" a="1"/>
  <c r="L33" i="63" s="1"/>
  <c r="M104" i="63" s="1"/>
  <c r="K33" i="63" a="1"/>
  <c r="K33" i="63" s="1"/>
  <c r="J33" i="63" a="1"/>
  <c r="J33" i="63" s="1"/>
  <c r="J104" i="63" s="1"/>
  <c r="I33" i="63" a="1"/>
  <c r="I33" i="63" s="1"/>
  <c r="I104" i="63" s="1"/>
  <c r="H33" i="63" a="1"/>
  <c r="H33" i="63" s="1"/>
  <c r="H104" i="63" s="1"/>
  <c r="G33" i="63" a="1"/>
  <c r="G33" i="63" s="1"/>
  <c r="G104" i="63" s="1"/>
  <c r="F33" i="63" a="1"/>
  <c r="F33" i="63" s="1"/>
  <c r="E33" i="63" a="1"/>
  <c r="E33" i="63" s="1"/>
  <c r="D33" i="63" a="1"/>
  <c r="D33" i="63" s="1"/>
  <c r="M32" i="63" a="1"/>
  <c r="M32" i="63" s="1"/>
  <c r="L32" i="63" a="1"/>
  <c r="L32" i="63" s="1"/>
  <c r="M103" i="63" s="1"/>
  <c r="K32" i="63" a="1"/>
  <c r="K32" i="63" s="1"/>
  <c r="J32" i="63" a="1"/>
  <c r="J32" i="63" s="1"/>
  <c r="J103" i="63" s="1"/>
  <c r="I32" i="63" a="1"/>
  <c r="I32" i="63" s="1"/>
  <c r="I103" i="63" s="1"/>
  <c r="H32" i="63" a="1"/>
  <c r="H32" i="63" s="1"/>
  <c r="H103" i="63" s="1"/>
  <c r="G32" i="63" a="1"/>
  <c r="G32" i="63" s="1"/>
  <c r="G103" i="63" s="1"/>
  <c r="F32" i="63" a="1"/>
  <c r="F32" i="63" s="1"/>
  <c r="E32" i="63" a="1"/>
  <c r="E32" i="63" s="1"/>
  <c r="D32" i="63" a="1"/>
  <c r="D32" i="63" s="1"/>
  <c r="M31" i="63" a="1"/>
  <c r="M31" i="63" s="1"/>
  <c r="L31" i="63" a="1"/>
  <c r="L31" i="63" s="1"/>
  <c r="M102" i="63" s="1"/>
  <c r="K31" i="63" a="1"/>
  <c r="K31" i="63" s="1"/>
  <c r="J31" i="63" a="1"/>
  <c r="J31" i="63" s="1"/>
  <c r="J102" i="63" s="1"/>
  <c r="I31" i="63" a="1"/>
  <c r="I31" i="63" s="1"/>
  <c r="I102" i="63" s="1"/>
  <c r="H31" i="63" a="1"/>
  <c r="H31" i="63" s="1"/>
  <c r="H102" i="63" s="1"/>
  <c r="G31" i="63" a="1"/>
  <c r="G31" i="63" s="1"/>
  <c r="G102" i="63" s="1"/>
  <c r="F31" i="63" a="1"/>
  <c r="F31" i="63" s="1"/>
  <c r="F98" i="63" s="1"/>
  <c r="E31" i="63" a="1"/>
  <c r="E31" i="63" s="1"/>
  <c r="D31" i="63" a="1"/>
  <c r="D31" i="63" s="1"/>
  <c r="M30" i="63" a="1"/>
  <c r="M30" i="63" s="1"/>
  <c r="L30" i="63" a="1"/>
  <c r="L30" i="63" s="1"/>
  <c r="M101" i="63" s="1"/>
  <c r="K30" i="63" a="1"/>
  <c r="K30" i="63" s="1"/>
  <c r="J30" i="63" a="1"/>
  <c r="J30" i="63" s="1"/>
  <c r="J101" i="63" s="1"/>
  <c r="I30" i="63" a="1"/>
  <c r="I30" i="63" s="1"/>
  <c r="I101" i="63" s="1"/>
  <c r="H30" i="63" a="1"/>
  <c r="H30" i="63" s="1"/>
  <c r="H101" i="63" s="1"/>
  <c r="G30" i="63" a="1"/>
  <c r="G30" i="63" s="1"/>
  <c r="G101" i="63" s="1"/>
  <c r="F30" i="63" a="1"/>
  <c r="F30" i="63" s="1"/>
  <c r="E30" i="63" a="1"/>
  <c r="E30" i="63" s="1"/>
  <c r="D30" i="63" a="1"/>
  <c r="D30" i="63" s="1"/>
  <c r="M29" i="63" a="1"/>
  <c r="M29" i="63" s="1"/>
  <c r="L29" i="63" a="1"/>
  <c r="L29" i="63" s="1"/>
  <c r="M100" i="63" s="1"/>
  <c r="K29" i="63" a="1"/>
  <c r="K29" i="63" s="1"/>
  <c r="J29" i="63" a="1"/>
  <c r="J29" i="63" s="1"/>
  <c r="J100" i="63" s="1"/>
  <c r="I29" i="63" a="1"/>
  <c r="I29" i="63" s="1"/>
  <c r="I100" i="63" s="1"/>
  <c r="H29" i="63" a="1"/>
  <c r="H29" i="63" s="1"/>
  <c r="H100" i="63" s="1"/>
  <c r="G29" i="63" a="1"/>
  <c r="G29" i="63" s="1"/>
  <c r="G100" i="63" s="1"/>
  <c r="F29" i="63" a="1"/>
  <c r="F29" i="63" s="1"/>
  <c r="E29" i="63" a="1"/>
  <c r="E29" i="63" s="1"/>
  <c r="D29" i="63" a="1"/>
  <c r="D29" i="63" s="1"/>
  <c r="M28" i="63" a="1"/>
  <c r="M28" i="63" s="1"/>
  <c r="L28" i="63" a="1"/>
  <c r="L28" i="63" s="1"/>
  <c r="M99" i="63" s="1"/>
  <c r="K28" i="63" a="1"/>
  <c r="K28" i="63" s="1"/>
  <c r="J28" i="63" a="1"/>
  <c r="J28" i="63" s="1"/>
  <c r="J99" i="63" s="1"/>
  <c r="I28" i="63" a="1"/>
  <c r="I28" i="63" s="1"/>
  <c r="I99" i="63" s="1"/>
  <c r="H28" i="63" a="1"/>
  <c r="H28" i="63" s="1"/>
  <c r="H99" i="63" s="1"/>
  <c r="G28" i="63" a="1"/>
  <c r="G28" i="63" s="1"/>
  <c r="G99" i="63" s="1"/>
  <c r="F28" i="63" a="1"/>
  <c r="F28" i="63" s="1"/>
  <c r="E28" i="63" a="1"/>
  <c r="E28" i="63" s="1"/>
  <c r="D28" i="63" a="1"/>
  <c r="D28" i="63" s="1"/>
  <c r="M27" i="63" a="1"/>
  <c r="M27" i="63" s="1"/>
  <c r="L27" i="63" a="1"/>
  <c r="L27" i="63" s="1"/>
  <c r="M98" i="63" s="1"/>
  <c r="K27" i="63" a="1"/>
  <c r="K27" i="63" s="1"/>
  <c r="J27" i="63" a="1"/>
  <c r="J27" i="63" s="1"/>
  <c r="J98" i="63" s="1"/>
  <c r="I27" i="63" a="1"/>
  <c r="I27" i="63" s="1"/>
  <c r="I98" i="63" s="1"/>
  <c r="H27" i="63" a="1"/>
  <c r="H27" i="63" s="1"/>
  <c r="H98" i="63" s="1"/>
  <c r="G27" i="63" a="1"/>
  <c r="G27" i="63" s="1"/>
  <c r="G98" i="63" s="1"/>
  <c r="F27" i="63" a="1"/>
  <c r="F27" i="63" s="1"/>
  <c r="F94" i="63" s="1"/>
  <c r="E27" i="63" a="1"/>
  <c r="E27" i="63" s="1"/>
  <c r="D27" i="63" a="1"/>
  <c r="D27" i="63" s="1"/>
  <c r="M26" i="63" a="1"/>
  <c r="M26" i="63" s="1"/>
  <c r="P97" i="63" s="1"/>
  <c r="L26" i="63" a="1"/>
  <c r="L26" i="63" s="1"/>
  <c r="M97" i="63" s="1"/>
  <c r="K26" i="63" a="1"/>
  <c r="K26" i="63" s="1"/>
  <c r="J26" i="63" a="1"/>
  <c r="J26" i="63" s="1"/>
  <c r="J97" i="63" s="1"/>
  <c r="I26" i="63" a="1"/>
  <c r="I26" i="63" s="1"/>
  <c r="I97" i="63" s="1"/>
  <c r="H26" i="63" a="1"/>
  <c r="H26" i="63" s="1"/>
  <c r="H97" i="63" s="1"/>
  <c r="G26" i="63" a="1"/>
  <c r="G26" i="63" s="1"/>
  <c r="G97" i="63" s="1"/>
  <c r="F26" i="63" a="1"/>
  <c r="F26" i="63" s="1"/>
  <c r="E26" i="63" a="1"/>
  <c r="E26" i="63" s="1"/>
  <c r="D26" i="63" a="1"/>
  <c r="D26" i="63" s="1"/>
  <c r="M25" i="63" a="1"/>
  <c r="M25" i="63" s="1"/>
  <c r="L25" i="63" a="1"/>
  <c r="L25" i="63" s="1"/>
  <c r="M96" i="63" s="1"/>
  <c r="K25" i="63" a="1"/>
  <c r="K25" i="63" s="1"/>
  <c r="J25" i="63" a="1"/>
  <c r="J25" i="63" s="1"/>
  <c r="J96" i="63" s="1"/>
  <c r="I25" i="63" a="1"/>
  <c r="I25" i="63" s="1"/>
  <c r="I96" i="63" s="1"/>
  <c r="H25" i="63" a="1"/>
  <c r="H25" i="63" s="1"/>
  <c r="H96" i="63" s="1"/>
  <c r="G25" i="63" a="1"/>
  <c r="G25" i="63" s="1"/>
  <c r="G96" i="63" s="1"/>
  <c r="F25" i="63" a="1"/>
  <c r="F25" i="63" s="1"/>
  <c r="E25" i="63" a="1"/>
  <c r="E25" i="63" s="1"/>
  <c r="D25" i="63" a="1"/>
  <c r="D25" i="63" s="1"/>
  <c r="M24" i="63" a="1"/>
  <c r="M24" i="63" s="1"/>
  <c r="L24" i="63" a="1"/>
  <c r="L24" i="63" s="1"/>
  <c r="M95" i="63" s="1"/>
  <c r="K24" i="63" a="1"/>
  <c r="K24" i="63" s="1"/>
  <c r="J24" i="63" a="1"/>
  <c r="J24" i="63" s="1"/>
  <c r="J95" i="63" s="1"/>
  <c r="I24" i="63" a="1"/>
  <c r="I24" i="63" s="1"/>
  <c r="I95" i="63" s="1"/>
  <c r="H24" i="63" a="1"/>
  <c r="H24" i="63" s="1"/>
  <c r="H95" i="63" s="1"/>
  <c r="G24" i="63" a="1"/>
  <c r="G24" i="63" s="1"/>
  <c r="G95" i="63" s="1"/>
  <c r="F24" i="63" a="1"/>
  <c r="F24" i="63" s="1"/>
  <c r="E24" i="63" a="1"/>
  <c r="E24" i="63" s="1"/>
  <c r="D24" i="63" a="1"/>
  <c r="D24" i="63" s="1"/>
  <c r="M23" i="63" a="1"/>
  <c r="M23" i="63" s="1"/>
  <c r="L23" i="63" a="1"/>
  <c r="L23" i="63" s="1"/>
  <c r="M94" i="63" s="1"/>
  <c r="K23" i="63" a="1"/>
  <c r="K23" i="63" s="1"/>
  <c r="J23" i="63" a="1"/>
  <c r="J23" i="63" s="1"/>
  <c r="J94" i="63" s="1"/>
  <c r="I23" i="63" a="1"/>
  <c r="I23" i="63" s="1"/>
  <c r="I94" i="63" s="1"/>
  <c r="H23" i="63" a="1"/>
  <c r="H23" i="63" s="1"/>
  <c r="H94" i="63" s="1"/>
  <c r="G23" i="63" a="1"/>
  <c r="G23" i="63" s="1"/>
  <c r="G94" i="63" s="1"/>
  <c r="F23" i="63" a="1"/>
  <c r="F23" i="63" s="1"/>
  <c r="F90" i="63" s="1"/>
  <c r="E23" i="63" a="1"/>
  <c r="E23" i="63" s="1"/>
  <c r="D23" i="63" a="1"/>
  <c r="D23" i="63" s="1"/>
  <c r="M22" i="63" a="1"/>
  <c r="M22" i="63" s="1"/>
  <c r="L22" i="63" a="1"/>
  <c r="L22" i="63" s="1"/>
  <c r="K22" i="63" a="1"/>
  <c r="K22" i="63" s="1"/>
  <c r="L89" i="63" s="1"/>
  <c r="J22" i="63" a="1"/>
  <c r="J22" i="63" s="1"/>
  <c r="I22" i="63" a="1"/>
  <c r="I22" i="63" s="1"/>
  <c r="H22" i="63" a="1"/>
  <c r="H22" i="63" s="1"/>
  <c r="G22" i="63" a="1"/>
  <c r="G22" i="63" s="1"/>
  <c r="F22" i="63" a="1"/>
  <c r="F22" i="63" s="1"/>
  <c r="E22" i="63" a="1"/>
  <c r="E22" i="63" s="1"/>
  <c r="D22" i="63" a="1"/>
  <c r="D22" i="63" s="1"/>
  <c r="M21" i="63" a="1"/>
  <c r="M21" i="63" s="1"/>
  <c r="L21" i="63" a="1"/>
  <c r="L21" i="63" s="1"/>
  <c r="K21" i="63" a="1"/>
  <c r="K21" i="63" s="1"/>
  <c r="J21" i="63" a="1"/>
  <c r="J21" i="63" s="1"/>
  <c r="I21" i="63" a="1"/>
  <c r="I21" i="63" s="1"/>
  <c r="H21" i="63" a="1"/>
  <c r="H21" i="63" s="1"/>
  <c r="G21" i="63" a="1"/>
  <c r="G21" i="63" s="1"/>
  <c r="F21" i="63" a="1"/>
  <c r="F21" i="63" s="1"/>
  <c r="E21" i="63" a="1"/>
  <c r="E21" i="63" s="1"/>
  <c r="D21" i="63" a="1"/>
  <c r="D21" i="63" s="1"/>
  <c r="M20" i="63" a="1"/>
  <c r="M20" i="63" s="1"/>
  <c r="L20" i="63" a="1"/>
  <c r="L20" i="63" s="1"/>
  <c r="K20" i="63" a="1"/>
  <c r="K20" i="63" s="1"/>
  <c r="J20" i="63" a="1"/>
  <c r="J20" i="63" s="1"/>
  <c r="I20" i="63" a="1"/>
  <c r="I20" i="63" s="1"/>
  <c r="H20" i="63" a="1"/>
  <c r="H20" i="63" s="1"/>
  <c r="G20" i="63" a="1"/>
  <c r="G20" i="63" s="1"/>
  <c r="F20" i="63" a="1"/>
  <c r="F20" i="63" s="1"/>
  <c r="E20" i="63" a="1"/>
  <c r="E20" i="63" s="1"/>
  <c r="D20" i="63" a="1"/>
  <c r="D20" i="63" s="1"/>
  <c r="A20" i="63"/>
  <c r="M19" i="63" a="1"/>
  <c r="M19" i="63" s="1"/>
  <c r="L19" i="63" a="1"/>
  <c r="L19" i="63" s="1"/>
  <c r="K19" i="63" a="1"/>
  <c r="K19" i="63" s="1"/>
  <c r="J19" i="63" a="1"/>
  <c r="J19" i="63" s="1"/>
  <c r="I19" i="63" a="1"/>
  <c r="I19" i="63" s="1"/>
  <c r="H19" i="63" a="1"/>
  <c r="H19" i="63" s="1"/>
  <c r="G19" i="63" a="1"/>
  <c r="G19" i="63" s="1"/>
  <c r="F19" i="63" a="1"/>
  <c r="F19" i="63" s="1"/>
  <c r="F86" i="63" s="1"/>
  <c r="E19" i="63" a="1"/>
  <c r="E19" i="63" s="1"/>
  <c r="D19" i="63" a="1"/>
  <c r="D19" i="63" s="1"/>
  <c r="A19" i="63"/>
  <c r="A18" i="63"/>
  <c r="D17" i="63" a="1"/>
  <c r="D17" i="63" s="1"/>
  <c r="A17" i="63"/>
  <c r="D16" i="63" a="1"/>
  <c r="D16" i="63" s="1"/>
  <c r="D15" i="63" a="1"/>
  <c r="D15" i="63" s="1"/>
  <c r="D14" i="63" a="1"/>
  <c r="D14" i="63" s="1"/>
  <c r="A14" i="63"/>
  <c r="A13" i="63"/>
  <c r="A12" i="63"/>
  <c r="A11" i="63"/>
  <c r="A8" i="63"/>
  <c r="A7" i="63"/>
  <c r="A4" i="63"/>
  <c r="A3" i="63"/>
  <c r="H25" i="62" a="1"/>
  <c r="H25" i="62" s="1"/>
  <c r="G25" i="62" a="1"/>
  <c r="G25" i="62" s="1"/>
  <c r="I552" i="19" s="1" a="1"/>
  <c r="I552" i="19" s="1"/>
  <c r="F25" i="62" a="1"/>
  <c r="F25" i="62" s="1"/>
  <c r="E25" i="62" a="1"/>
  <c r="E25" i="62" s="1"/>
  <c r="D25" i="62" a="1"/>
  <c r="D25" i="62" s="1"/>
  <c r="D22" i="62" a="1"/>
  <c r="D22" i="62" s="1"/>
  <c r="D21" i="62" a="1"/>
  <c r="D21" i="62" s="1"/>
  <c r="F19" i="62" a="1"/>
  <c r="F19" i="62" s="1"/>
  <c r="E19" i="62" a="1"/>
  <c r="E19" i="62" s="1"/>
  <c r="D19" i="62" a="1"/>
  <c r="D19" i="62" s="1"/>
  <c r="F18" i="62" a="1"/>
  <c r="F18" i="62" s="1"/>
  <c r="E18" i="62" a="1"/>
  <c r="E18" i="62" s="1"/>
  <c r="D18" i="62" a="1"/>
  <c r="D18" i="62" s="1"/>
  <c r="F17" i="62" a="1"/>
  <c r="F17" i="62" s="1"/>
  <c r="E17" i="62" a="1"/>
  <c r="E17" i="62" s="1"/>
  <c r="D17" i="62" a="1"/>
  <c r="D17" i="62" s="1"/>
  <c r="F16" i="62" a="1"/>
  <c r="F16" i="62" s="1"/>
  <c r="E16" i="62" a="1"/>
  <c r="E16" i="62" s="1"/>
  <c r="D16" i="62" a="1"/>
  <c r="D16" i="62" s="1"/>
  <c r="F15" i="62" a="1"/>
  <c r="F15" i="62" s="1"/>
  <c r="E15" i="62" a="1"/>
  <c r="E15" i="62" s="1"/>
  <c r="D15" i="62" a="1"/>
  <c r="D15" i="62" s="1"/>
  <c r="A15" i="62"/>
  <c r="F14" i="62" a="1"/>
  <c r="F14" i="62" s="1"/>
  <c r="E14" i="62" a="1"/>
  <c r="E14" i="62" s="1"/>
  <c r="D14" i="62" a="1"/>
  <c r="D14" i="62" s="1"/>
  <c r="A14" i="62"/>
  <c r="F13" i="62" a="1"/>
  <c r="F13" i="62" s="1"/>
  <c r="E13" i="62" a="1"/>
  <c r="E13" i="62" s="1"/>
  <c r="D13" i="62" a="1"/>
  <c r="D13" i="62" s="1"/>
  <c r="F12" i="62" a="1"/>
  <c r="F12" i="62" s="1"/>
  <c r="E12" i="62" a="1"/>
  <c r="E12" i="62" s="1"/>
  <c r="D12" i="62" a="1"/>
  <c r="D12" i="62" s="1"/>
  <c r="F11" i="62" a="1"/>
  <c r="F11" i="62" s="1"/>
  <c r="E11" i="62" a="1"/>
  <c r="E11" i="62" s="1"/>
  <c r="D11" i="62" a="1"/>
  <c r="D11" i="62" s="1"/>
  <c r="A11" i="62"/>
  <c r="F10" i="62" a="1"/>
  <c r="F10" i="62" s="1"/>
  <c r="E10" i="62" a="1"/>
  <c r="E10" i="62" s="1"/>
  <c r="D10" i="62" a="1"/>
  <c r="D10" i="62" s="1"/>
  <c r="A8" i="62"/>
  <c r="D7" i="62" a="1"/>
  <c r="D7" i="62" s="1"/>
  <c r="D6" i="62" a="1"/>
  <c r="D6" i="62" s="1"/>
  <c r="D5" i="62" a="1"/>
  <c r="D5" i="62" s="1"/>
  <c r="A5" i="62"/>
  <c r="A4" i="62"/>
  <c r="A3" i="62"/>
  <c r="AE153" i="61" a="1"/>
  <c r="AE153" i="61" s="1"/>
  <c r="AD153" i="61" a="1"/>
  <c r="AD153" i="61" s="1"/>
  <c r="AC153" i="61" a="1"/>
  <c r="AC153" i="61" s="1"/>
  <c r="AB153" i="61" a="1"/>
  <c r="AB153" i="61" s="1"/>
  <c r="AA153" i="61" a="1"/>
  <c r="AA153" i="61" s="1"/>
  <c r="Z153" i="61" a="1"/>
  <c r="Z153" i="61" s="1"/>
  <c r="Y153" i="61" a="1"/>
  <c r="Y153" i="61" s="1"/>
  <c r="X153" i="61" a="1"/>
  <c r="X153" i="61" s="1"/>
  <c r="W153" i="61" a="1"/>
  <c r="W153" i="61" s="1"/>
  <c r="V153" i="61" a="1"/>
  <c r="V153" i="61" s="1"/>
  <c r="U153" i="61" a="1"/>
  <c r="U153" i="61" s="1"/>
  <c r="T153" i="61" a="1"/>
  <c r="T153" i="61" s="1"/>
  <c r="S153" i="61" a="1"/>
  <c r="S153" i="61" s="1"/>
  <c r="R153" i="61" a="1"/>
  <c r="R153" i="61" s="1"/>
  <c r="Q153" i="61" a="1"/>
  <c r="Q153" i="61" s="1"/>
  <c r="P153" i="61" a="1"/>
  <c r="P153" i="61" s="1"/>
  <c r="O153" i="61" a="1"/>
  <c r="O153" i="61" s="1"/>
  <c r="N153" i="61" a="1"/>
  <c r="N153" i="61" s="1"/>
  <c r="M153" i="61" a="1"/>
  <c r="M153" i="61" s="1"/>
  <c r="L153" i="61" a="1"/>
  <c r="L153" i="61" s="1"/>
  <c r="K153" i="61" a="1"/>
  <c r="K153" i="61" s="1"/>
  <c r="J153" i="61" a="1"/>
  <c r="J153" i="61" s="1"/>
  <c r="I153" i="61" a="1"/>
  <c r="I153" i="61" s="1"/>
  <c r="H153" i="61" a="1"/>
  <c r="H153" i="61" s="1"/>
  <c r="G153" i="61" a="1"/>
  <c r="G153" i="61" s="1"/>
  <c r="F153" i="61" a="1"/>
  <c r="F153" i="61" s="1"/>
  <c r="E153" i="61" a="1"/>
  <c r="E153" i="61" s="1"/>
  <c r="D153" i="61" a="1"/>
  <c r="D153" i="61" s="1"/>
  <c r="AE152" i="61" a="1"/>
  <c r="AE152" i="61" s="1"/>
  <c r="AD152" i="61" a="1"/>
  <c r="AD152" i="61" s="1"/>
  <c r="AC152" i="61" a="1"/>
  <c r="AC152" i="61" s="1"/>
  <c r="AB152" i="61" a="1"/>
  <c r="AB152" i="61" s="1"/>
  <c r="AA152" i="61" a="1"/>
  <c r="AA152" i="61" s="1"/>
  <c r="Z152" i="61" a="1"/>
  <c r="Z152" i="61" s="1"/>
  <c r="Y152" i="61" a="1"/>
  <c r="Y152" i="61" s="1"/>
  <c r="X152" i="61" a="1"/>
  <c r="X152" i="61" s="1"/>
  <c r="W152" i="61" a="1"/>
  <c r="W152" i="61" s="1"/>
  <c r="V152" i="61" a="1"/>
  <c r="V152" i="61" s="1"/>
  <c r="U152" i="61" a="1"/>
  <c r="U152" i="61" s="1"/>
  <c r="T152" i="61" a="1"/>
  <c r="T152" i="61" s="1"/>
  <c r="S152" i="61" a="1"/>
  <c r="S152" i="61" s="1"/>
  <c r="R152" i="61" a="1"/>
  <c r="R152" i="61" s="1"/>
  <c r="Q152" i="61" a="1"/>
  <c r="Q152" i="61" s="1"/>
  <c r="P152" i="61" a="1"/>
  <c r="P152" i="61" s="1"/>
  <c r="O152" i="61" a="1"/>
  <c r="O152" i="61" s="1"/>
  <c r="N152" i="61" a="1"/>
  <c r="N152" i="61" s="1"/>
  <c r="M152" i="61" a="1"/>
  <c r="M152" i="61" s="1"/>
  <c r="L152" i="61" a="1"/>
  <c r="L152" i="61" s="1"/>
  <c r="K152" i="61" a="1"/>
  <c r="K152" i="61" s="1"/>
  <c r="J152" i="61" a="1"/>
  <c r="J152" i="61" s="1"/>
  <c r="I152" i="61" a="1"/>
  <c r="I152" i="61" s="1"/>
  <c r="H152" i="61" a="1"/>
  <c r="H152" i="61" s="1"/>
  <c r="G152" i="61" a="1"/>
  <c r="G152" i="61" s="1"/>
  <c r="F152" i="61" a="1"/>
  <c r="F152" i="61" s="1"/>
  <c r="E152" i="61" a="1"/>
  <c r="E152" i="61" s="1"/>
  <c r="D152" i="61" a="1"/>
  <c r="D152" i="61" s="1"/>
  <c r="AE151" i="61" a="1"/>
  <c r="AE151" i="61" s="1"/>
  <c r="AD151" i="61" a="1"/>
  <c r="AD151" i="61" s="1"/>
  <c r="AC151" i="61" a="1"/>
  <c r="AC151" i="61" s="1"/>
  <c r="AB151" i="61" a="1"/>
  <c r="AB151" i="61" s="1"/>
  <c r="AA151" i="61" a="1"/>
  <c r="AA151" i="61" s="1"/>
  <c r="Z151" i="61" a="1"/>
  <c r="Z151" i="61" s="1"/>
  <c r="Y151" i="61" a="1"/>
  <c r="Y151" i="61" s="1"/>
  <c r="X151" i="61" a="1"/>
  <c r="X151" i="61" s="1"/>
  <c r="W151" i="61" a="1"/>
  <c r="W151" i="61" s="1"/>
  <c r="V151" i="61" a="1"/>
  <c r="V151" i="61" s="1"/>
  <c r="U151" i="61" a="1"/>
  <c r="U151" i="61" s="1"/>
  <c r="T151" i="61" a="1"/>
  <c r="T151" i="61" s="1"/>
  <c r="S151" i="61" a="1"/>
  <c r="S151" i="61" s="1"/>
  <c r="R151" i="61" a="1"/>
  <c r="R151" i="61" s="1"/>
  <c r="Q151" i="61" a="1"/>
  <c r="Q151" i="61" s="1"/>
  <c r="P151" i="61" a="1"/>
  <c r="P151" i="61" s="1"/>
  <c r="O151" i="61" a="1"/>
  <c r="O151" i="61" s="1"/>
  <c r="N151" i="61" a="1"/>
  <c r="N151" i="61" s="1"/>
  <c r="M151" i="61" a="1"/>
  <c r="M151" i="61" s="1"/>
  <c r="L151" i="61" a="1"/>
  <c r="L151" i="61" s="1"/>
  <c r="K151" i="61" a="1"/>
  <c r="K151" i="61" s="1"/>
  <c r="J151" i="61" a="1"/>
  <c r="J151" i="61" s="1"/>
  <c r="I151" i="61" a="1"/>
  <c r="I151" i="61" s="1"/>
  <c r="H151" i="61" a="1"/>
  <c r="H151" i="61" s="1"/>
  <c r="G151" i="61" a="1"/>
  <c r="G151" i="61" s="1"/>
  <c r="F151" i="61" a="1"/>
  <c r="F151" i="61" s="1"/>
  <c r="E151" i="61" a="1"/>
  <c r="E151" i="61" s="1"/>
  <c r="D151" i="61" a="1"/>
  <c r="D151" i="61" s="1"/>
  <c r="AE150" i="61" a="1"/>
  <c r="AE150" i="61" s="1"/>
  <c r="AD150" i="61" a="1"/>
  <c r="AD150" i="61" s="1"/>
  <c r="AC150" i="61" a="1"/>
  <c r="AC150" i="61" s="1"/>
  <c r="AB150" i="61" a="1"/>
  <c r="AB150" i="61" s="1"/>
  <c r="AA150" i="61" a="1"/>
  <c r="AA150" i="61" s="1"/>
  <c r="Z150" i="61" a="1"/>
  <c r="Z150" i="61" s="1"/>
  <c r="Y150" i="61" a="1"/>
  <c r="Y150" i="61" s="1"/>
  <c r="X150" i="61" a="1"/>
  <c r="X150" i="61" s="1"/>
  <c r="W150" i="61" a="1"/>
  <c r="W150" i="61" s="1"/>
  <c r="V150" i="61" a="1"/>
  <c r="V150" i="61" s="1"/>
  <c r="U150" i="61" a="1"/>
  <c r="U150" i="61" s="1"/>
  <c r="T150" i="61" a="1"/>
  <c r="T150" i="61" s="1"/>
  <c r="S150" i="61" a="1"/>
  <c r="S150" i="61" s="1"/>
  <c r="R150" i="61" a="1"/>
  <c r="R150" i="61" s="1"/>
  <c r="Q150" i="61" a="1"/>
  <c r="Q150" i="61" s="1"/>
  <c r="P150" i="61" a="1"/>
  <c r="P150" i="61" s="1"/>
  <c r="O150" i="61" a="1"/>
  <c r="O150" i="61" s="1"/>
  <c r="N150" i="61" a="1"/>
  <c r="N150" i="61" s="1"/>
  <c r="M150" i="61" a="1"/>
  <c r="M150" i="61" s="1"/>
  <c r="L150" i="61" a="1"/>
  <c r="L150" i="61" s="1"/>
  <c r="K150" i="61" a="1"/>
  <c r="K150" i="61" s="1"/>
  <c r="J150" i="61" a="1"/>
  <c r="J150" i="61" s="1"/>
  <c r="I150" i="61" a="1"/>
  <c r="I150" i="61" s="1"/>
  <c r="H150" i="61" a="1"/>
  <c r="H150" i="61" s="1"/>
  <c r="G150" i="61" a="1"/>
  <c r="G150" i="61" s="1"/>
  <c r="F150" i="61" a="1"/>
  <c r="F150" i="61" s="1"/>
  <c r="E150" i="61" a="1"/>
  <c r="E150" i="61" s="1"/>
  <c r="D150" i="61" a="1"/>
  <c r="D150" i="61" s="1"/>
  <c r="AE149" i="61" a="1"/>
  <c r="AE149" i="61" s="1"/>
  <c r="AD149" i="61" a="1"/>
  <c r="AD149" i="61" s="1"/>
  <c r="AC149" i="61" a="1"/>
  <c r="AC149" i="61" s="1"/>
  <c r="AB149" i="61" a="1"/>
  <c r="AB149" i="61" s="1"/>
  <c r="AA149" i="61" a="1"/>
  <c r="AA149" i="61" s="1"/>
  <c r="Z149" i="61" a="1"/>
  <c r="Z149" i="61" s="1"/>
  <c r="Y149" i="61" a="1"/>
  <c r="Y149" i="61" s="1"/>
  <c r="X149" i="61" a="1"/>
  <c r="X149" i="61" s="1"/>
  <c r="W149" i="61" a="1"/>
  <c r="W149" i="61" s="1"/>
  <c r="V149" i="61" a="1"/>
  <c r="V149" i="61" s="1"/>
  <c r="U149" i="61" a="1"/>
  <c r="U149" i="61" s="1"/>
  <c r="T149" i="61" a="1"/>
  <c r="T149" i="61" s="1"/>
  <c r="S149" i="61" a="1"/>
  <c r="S149" i="61" s="1"/>
  <c r="R149" i="61" a="1"/>
  <c r="R149" i="61" s="1"/>
  <c r="Q149" i="61" a="1"/>
  <c r="Q149" i="61" s="1"/>
  <c r="P149" i="61" a="1"/>
  <c r="P149" i="61" s="1"/>
  <c r="O149" i="61" a="1"/>
  <c r="O149" i="61" s="1"/>
  <c r="N149" i="61" a="1"/>
  <c r="N149" i="61" s="1"/>
  <c r="M149" i="61" a="1"/>
  <c r="M149" i="61" s="1"/>
  <c r="L149" i="61" a="1"/>
  <c r="L149" i="61" s="1"/>
  <c r="K149" i="61" a="1"/>
  <c r="K149" i="61" s="1"/>
  <c r="J149" i="61" a="1"/>
  <c r="J149" i="61" s="1"/>
  <c r="I149" i="61" a="1"/>
  <c r="I149" i="61" s="1"/>
  <c r="H149" i="61" a="1"/>
  <c r="H149" i="61" s="1"/>
  <c r="G149" i="61" a="1"/>
  <c r="G149" i="61" s="1"/>
  <c r="F149" i="61" a="1"/>
  <c r="F149" i="61" s="1"/>
  <c r="E149" i="61" a="1"/>
  <c r="E149" i="61" s="1"/>
  <c r="D149" i="61" a="1"/>
  <c r="D149" i="61" s="1"/>
  <c r="AE148" i="61" a="1"/>
  <c r="AE148" i="61" s="1"/>
  <c r="AD148" i="61" a="1"/>
  <c r="AD148" i="61" s="1"/>
  <c r="AC148" i="61" a="1"/>
  <c r="AC148" i="61" s="1"/>
  <c r="AB148" i="61" a="1"/>
  <c r="AB148" i="61" s="1"/>
  <c r="AA148" i="61" a="1"/>
  <c r="AA148" i="61" s="1"/>
  <c r="Z148" i="61" a="1"/>
  <c r="Z148" i="61" s="1"/>
  <c r="Y148" i="61" a="1"/>
  <c r="Y148" i="61" s="1"/>
  <c r="X148" i="61" a="1"/>
  <c r="X148" i="61" s="1"/>
  <c r="W148" i="61" a="1"/>
  <c r="W148" i="61" s="1"/>
  <c r="V148" i="61" a="1"/>
  <c r="V148" i="61" s="1"/>
  <c r="U148" i="61" a="1"/>
  <c r="U148" i="61" s="1"/>
  <c r="T148" i="61" a="1"/>
  <c r="T148" i="61" s="1"/>
  <c r="S148" i="61" a="1"/>
  <c r="S148" i="61" s="1"/>
  <c r="R148" i="61" a="1"/>
  <c r="R148" i="61" s="1"/>
  <c r="Q148" i="61" a="1"/>
  <c r="Q148" i="61" s="1"/>
  <c r="P148" i="61" a="1"/>
  <c r="P148" i="61" s="1"/>
  <c r="O148" i="61" a="1"/>
  <c r="O148" i="61" s="1"/>
  <c r="N148" i="61" a="1"/>
  <c r="N148" i="61" s="1"/>
  <c r="M148" i="61" a="1"/>
  <c r="M148" i="61" s="1"/>
  <c r="L148" i="61" a="1"/>
  <c r="L148" i="61" s="1"/>
  <c r="K148" i="61" a="1"/>
  <c r="K148" i="61" s="1"/>
  <c r="J148" i="61" a="1"/>
  <c r="J148" i="61" s="1"/>
  <c r="I148" i="61" a="1"/>
  <c r="I148" i="61" s="1"/>
  <c r="H148" i="61" a="1"/>
  <c r="H148" i="61" s="1"/>
  <c r="G148" i="61" a="1"/>
  <c r="G148" i="61" s="1"/>
  <c r="F148" i="61" a="1"/>
  <c r="F148" i="61" s="1"/>
  <c r="E148" i="61" a="1"/>
  <c r="E148" i="61" s="1"/>
  <c r="D148" i="61" a="1"/>
  <c r="D148" i="61" s="1"/>
  <c r="AE147" i="61" a="1"/>
  <c r="AE147" i="61" s="1"/>
  <c r="AD147" i="61" a="1"/>
  <c r="AD147" i="61" s="1"/>
  <c r="AC147" i="61" a="1"/>
  <c r="AC147" i="61" s="1"/>
  <c r="AB147" i="61" a="1"/>
  <c r="AB147" i="61" s="1"/>
  <c r="AA147" i="61" a="1"/>
  <c r="AA147" i="61" s="1"/>
  <c r="Z147" i="61" a="1"/>
  <c r="Z147" i="61" s="1"/>
  <c r="Y147" i="61" a="1"/>
  <c r="Y147" i="61" s="1"/>
  <c r="X147" i="61" a="1"/>
  <c r="X147" i="61" s="1"/>
  <c r="W147" i="61" a="1"/>
  <c r="W147" i="61" s="1"/>
  <c r="V147" i="61" a="1"/>
  <c r="V147" i="61" s="1"/>
  <c r="U147" i="61" a="1"/>
  <c r="U147" i="61" s="1"/>
  <c r="T147" i="61" a="1"/>
  <c r="T147" i="61" s="1"/>
  <c r="S147" i="61" a="1"/>
  <c r="S147" i="61" s="1"/>
  <c r="R147" i="61" a="1"/>
  <c r="R147" i="61" s="1"/>
  <c r="Q147" i="61" a="1"/>
  <c r="Q147" i="61" s="1"/>
  <c r="P147" i="61" a="1"/>
  <c r="P147" i="61" s="1"/>
  <c r="O147" i="61" a="1"/>
  <c r="O147" i="61" s="1"/>
  <c r="N147" i="61" a="1"/>
  <c r="N147" i="61" s="1"/>
  <c r="M147" i="61" a="1"/>
  <c r="M147" i="61" s="1"/>
  <c r="L147" i="61" a="1"/>
  <c r="L147" i="61" s="1"/>
  <c r="K147" i="61" a="1"/>
  <c r="K147" i="61" s="1"/>
  <c r="J147" i="61" a="1"/>
  <c r="J147" i="61" s="1"/>
  <c r="I147" i="61" a="1"/>
  <c r="I147" i="61" s="1"/>
  <c r="H147" i="61" a="1"/>
  <c r="H147" i="61" s="1"/>
  <c r="G147" i="61" a="1"/>
  <c r="G147" i="61" s="1"/>
  <c r="F147" i="61" a="1"/>
  <c r="F147" i="61" s="1"/>
  <c r="E147" i="61" a="1"/>
  <c r="E147" i="61" s="1"/>
  <c r="D147" i="61" a="1"/>
  <c r="D147" i="61" s="1"/>
  <c r="AE146" i="61" a="1"/>
  <c r="AE146" i="61" s="1"/>
  <c r="AD146" i="61" a="1"/>
  <c r="AD146" i="61" s="1"/>
  <c r="AC146" i="61" a="1"/>
  <c r="AC146" i="61" s="1"/>
  <c r="AB146" i="61" a="1"/>
  <c r="AB146" i="61" s="1"/>
  <c r="AA146" i="61" a="1"/>
  <c r="AA146" i="61" s="1"/>
  <c r="Z146" i="61" a="1"/>
  <c r="Z146" i="61" s="1"/>
  <c r="Y146" i="61" a="1"/>
  <c r="Y146" i="61" s="1"/>
  <c r="X146" i="61" a="1"/>
  <c r="X146" i="61" s="1"/>
  <c r="W146" i="61" a="1"/>
  <c r="W146" i="61" s="1"/>
  <c r="V146" i="61" a="1"/>
  <c r="V146" i="61" s="1"/>
  <c r="U146" i="61" a="1"/>
  <c r="U146" i="61" s="1"/>
  <c r="T146" i="61" a="1"/>
  <c r="T146" i="61" s="1"/>
  <c r="S146" i="61" a="1"/>
  <c r="S146" i="61" s="1"/>
  <c r="R146" i="61" a="1"/>
  <c r="R146" i="61" s="1"/>
  <c r="Q146" i="61" a="1"/>
  <c r="Q146" i="61" s="1"/>
  <c r="P146" i="61" a="1"/>
  <c r="P146" i="61" s="1"/>
  <c r="O146" i="61" a="1"/>
  <c r="O146" i="61" s="1"/>
  <c r="N146" i="61" a="1"/>
  <c r="N146" i="61" s="1"/>
  <c r="M146" i="61" a="1"/>
  <c r="M146" i="61" s="1"/>
  <c r="L146" i="61" a="1"/>
  <c r="L146" i="61" s="1"/>
  <c r="K146" i="61" a="1"/>
  <c r="K146" i="61" s="1"/>
  <c r="J146" i="61" a="1"/>
  <c r="J146" i="61" s="1"/>
  <c r="I146" i="61" a="1"/>
  <c r="I146" i="61" s="1"/>
  <c r="H146" i="61" a="1"/>
  <c r="H146" i="61" s="1"/>
  <c r="G146" i="61" a="1"/>
  <c r="G146" i="61" s="1"/>
  <c r="F146" i="61" a="1"/>
  <c r="F146" i="61" s="1"/>
  <c r="E146" i="61" a="1"/>
  <c r="E146" i="61" s="1"/>
  <c r="D146" i="61" a="1"/>
  <c r="D146" i="61" s="1"/>
  <c r="AE145" i="61" a="1"/>
  <c r="AE145" i="61" s="1"/>
  <c r="AD145" i="61" a="1"/>
  <c r="AD145" i="61" s="1"/>
  <c r="AC145" i="61" a="1"/>
  <c r="AC145" i="61" s="1"/>
  <c r="AB145" i="61" a="1"/>
  <c r="AB145" i="61" s="1"/>
  <c r="AA145" i="61" a="1"/>
  <c r="AA145" i="61" s="1"/>
  <c r="Z145" i="61" a="1"/>
  <c r="Z145" i="61" s="1"/>
  <c r="Y145" i="61" a="1"/>
  <c r="Y145" i="61" s="1"/>
  <c r="X145" i="61" a="1"/>
  <c r="X145" i="61" s="1"/>
  <c r="W145" i="61" a="1"/>
  <c r="W145" i="61" s="1"/>
  <c r="V145" i="61" a="1"/>
  <c r="V145" i="61" s="1"/>
  <c r="U145" i="61" a="1"/>
  <c r="U145" i="61" s="1"/>
  <c r="T145" i="61" a="1"/>
  <c r="T145" i="61" s="1"/>
  <c r="S145" i="61" a="1"/>
  <c r="S145" i="61" s="1"/>
  <c r="R145" i="61" a="1"/>
  <c r="R145" i="61" s="1"/>
  <c r="Q145" i="61" a="1"/>
  <c r="Q145" i="61" s="1"/>
  <c r="P145" i="61" a="1"/>
  <c r="P145" i="61" s="1"/>
  <c r="O145" i="61" a="1"/>
  <c r="O145" i="61" s="1"/>
  <c r="N145" i="61" a="1"/>
  <c r="N145" i="61" s="1"/>
  <c r="M145" i="61" a="1"/>
  <c r="M145" i="61" s="1"/>
  <c r="L145" i="61" a="1"/>
  <c r="L145" i="61" s="1"/>
  <c r="K145" i="61" a="1"/>
  <c r="K145" i="61" s="1"/>
  <c r="J145" i="61" a="1"/>
  <c r="J145" i="61" s="1"/>
  <c r="I145" i="61" a="1"/>
  <c r="I145" i="61" s="1"/>
  <c r="H145" i="61" a="1"/>
  <c r="H145" i="61" s="1"/>
  <c r="G145" i="61" a="1"/>
  <c r="G145" i="61" s="1"/>
  <c r="F145" i="61" a="1"/>
  <c r="F145" i="61" s="1"/>
  <c r="E145" i="61" a="1"/>
  <c r="E145" i="61" s="1"/>
  <c r="D145" i="61" a="1"/>
  <c r="D145" i="61" s="1"/>
  <c r="AE144" i="61" a="1"/>
  <c r="AE144" i="61" s="1"/>
  <c r="AD144" i="61" a="1"/>
  <c r="AD144" i="61" s="1"/>
  <c r="AC144" i="61" a="1"/>
  <c r="AC144" i="61" s="1"/>
  <c r="AB144" i="61" a="1"/>
  <c r="AB144" i="61" s="1"/>
  <c r="AA144" i="61" a="1"/>
  <c r="AA144" i="61" s="1"/>
  <c r="Z144" i="61" a="1"/>
  <c r="Z144" i="61" s="1"/>
  <c r="Y144" i="61" a="1"/>
  <c r="Y144" i="61" s="1"/>
  <c r="X144" i="61" a="1"/>
  <c r="X144" i="61" s="1"/>
  <c r="W144" i="61" a="1"/>
  <c r="W144" i="61" s="1"/>
  <c r="V144" i="61" a="1"/>
  <c r="V144" i="61" s="1"/>
  <c r="U144" i="61" a="1"/>
  <c r="U144" i="61" s="1"/>
  <c r="T144" i="61" a="1"/>
  <c r="T144" i="61" s="1"/>
  <c r="S144" i="61" a="1"/>
  <c r="S144" i="61" s="1"/>
  <c r="R144" i="61" a="1"/>
  <c r="R144" i="61" s="1"/>
  <c r="Q144" i="61" a="1"/>
  <c r="Q144" i="61" s="1"/>
  <c r="P144" i="61" a="1"/>
  <c r="P144" i="61" s="1"/>
  <c r="O144" i="61" a="1"/>
  <c r="O144" i="61" s="1"/>
  <c r="N144" i="61" a="1"/>
  <c r="N144" i="61" s="1"/>
  <c r="M144" i="61" a="1"/>
  <c r="M144" i="61" s="1"/>
  <c r="L144" i="61" a="1"/>
  <c r="L144" i="61" s="1"/>
  <c r="K144" i="61" a="1"/>
  <c r="K144" i="61" s="1"/>
  <c r="J144" i="61" a="1"/>
  <c r="J144" i="61" s="1"/>
  <c r="I144" i="61" a="1"/>
  <c r="I144" i="61" s="1"/>
  <c r="H144" i="61" a="1"/>
  <c r="H144" i="61" s="1"/>
  <c r="G144" i="61" a="1"/>
  <c r="G144" i="61" s="1"/>
  <c r="F144" i="61" a="1"/>
  <c r="F144" i="61" s="1"/>
  <c r="E144" i="61" a="1"/>
  <c r="E144" i="61" s="1"/>
  <c r="D144" i="61" a="1"/>
  <c r="D144" i="61" s="1"/>
  <c r="AE143" i="61" a="1"/>
  <c r="AE143" i="61" s="1"/>
  <c r="AD143" i="61" a="1"/>
  <c r="AD143" i="61" s="1"/>
  <c r="AC143" i="61" a="1"/>
  <c r="AC143" i="61" s="1"/>
  <c r="AB143" i="61" a="1"/>
  <c r="AB143" i="61" s="1"/>
  <c r="AA143" i="61" a="1"/>
  <c r="AA143" i="61" s="1"/>
  <c r="Z143" i="61" a="1"/>
  <c r="Z143" i="61" s="1"/>
  <c r="Y143" i="61" a="1"/>
  <c r="Y143" i="61" s="1"/>
  <c r="X143" i="61" a="1"/>
  <c r="X143" i="61" s="1"/>
  <c r="W143" i="61" a="1"/>
  <c r="W143" i="61" s="1"/>
  <c r="V143" i="61" a="1"/>
  <c r="V143" i="61" s="1"/>
  <c r="U143" i="61" a="1"/>
  <c r="U143" i="61" s="1"/>
  <c r="T143" i="61" a="1"/>
  <c r="T143" i="61" s="1"/>
  <c r="S143" i="61" a="1"/>
  <c r="S143" i="61" s="1"/>
  <c r="R143" i="61" a="1"/>
  <c r="R143" i="61" s="1"/>
  <c r="Q143" i="61" a="1"/>
  <c r="Q143" i="61" s="1"/>
  <c r="P143" i="61" a="1"/>
  <c r="P143" i="61" s="1"/>
  <c r="O143" i="61" a="1"/>
  <c r="O143" i="61" s="1"/>
  <c r="N143" i="61" a="1"/>
  <c r="N143" i="61" s="1"/>
  <c r="M143" i="61" a="1"/>
  <c r="M143" i="61" s="1"/>
  <c r="L143" i="61" a="1"/>
  <c r="L143" i="61" s="1"/>
  <c r="K143" i="61" a="1"/>
  <c r="K143" i="61" s="1"/>
  <c r="J143" i="61" a="1"/>
  <c r="J143" i="61" s="1"/>
  <c r="I143" i="61" a="1"/>
  <c r="I143" i="61" s="1"/>
  <c r="H143" i="61" a="1"/>
  <c r="H143" i="61" s="1"/>
  <c r="G143" i="61" a="1"/>
  <c r="G143" i="61" s="1"/>
  <c r="F143" i="61" a="1"/>
  <c r="F143" i="61" s="1"/>
  <c r="E143" i="61" a="1"/>
  <c r="E143" i="61" s="1"/>
  <c r="D143" i="61" a="1"/>
  <c r="D143" i="61" s="1"/>
  <c r="AE142" i="61" a="1"/>
  <c r="AE142" i="61" s="1"/>
  <c r="AD142" i="61" a="1"/>
  <c r="AD142" i="61" s="1"/>
  <c r="AC142" i="61" a="1"/>
  <c r="AC142" i="61" s="1"/>
  <c r="AB142" i="61" a="1"/>
  <c r="AB142" i="61" s="1"/>
  <c r="AA142" i="61" a="1"/>
  <c r="AA142" i="61" s="1"/>
  <c r="Z142" i="61" a="1"/>
  <c r="Z142" i="61" s="1"/>
  <c r="Y142" i="61" a="1"/>
  <c r="Y142" i="61" s="1"/>
  <c r="X142" i="61" a="1"/>
  <c r="X142" i="61" s="1"/>
  <c r="W142" i="61" a="1"/>
  <c r="W142" i="61" s="1"/>
  <c r="V142" i="61" a="1"/>
  <c r="V142" i="61" s="1"/>
  <c r="U142" i="61" a="1"/>
  <c r="U142" i="61" s="1"/>
  <c r="T142" i="61" a="1"/>
  <c r="T142" i="61" s="1"/>
  <c r="S142" i="61" a="1"/>
  <c r="S142" i="61" s="1"/>
  <c r="R142" i="61" a="1"/>
  <c r="R142" i="61" s="1"/>
  <c r="Q142" i="61" a="1"/>
  <c r="Q142" i="61" s="1"/>
  <c r="P142" i="61" a="1"/>
  <c r="P142" i="61" s="1"/>
  <c r="O142" i="61" a="1"/>
  <c r="O142" i="61" s="1"/>
  <c r="N142" i="61" a="1"/>
  <c r="N142" i="61" s="1"/>
  <c r="M142" i="61" a="1"/>
  <c r="M142" i="61" s="1"/>
  <c r="L142" i="61" a="1"/>
  <c r="L142" i="61" s="1"/>
  <c r="K142" i="61" a="1"/>
  <c r="K142" i="61" s="1"/>
  <c r="J142" i="61" a="1"/>
  <c r="J142" i="61" s="1"/>
  <c r="I142" i="61" a="1"/>
  <c r="I142" i="61" s="1"/>
  <c r="H142" i="61" a="1"/>
  <c r="H142" i="61" s="1"/>
  <c r="G142" i="61" a="1"/>
  <c r="G142" i="61" s="1"/>
  <c r="F142" i="61" a="1"/>
  <c r="F142" i="61" s="1"/>
  <c r="E142" i="61" a="1"/>
  <c r="E142" i="61" s="1"/>
  <c r="D142" i="61" a="1"/>
  <c r="D142" i="61" s="1"/>
  <c r="AE141" i="61" a="1"/>
  <c r="AE141" i="61" s="1"/>
  <c r="AD141" i="61" a="1"/>
  <c r="AD141" i="61" s="1"/>
  <c r="AC141" i="61" a="1"/>
  <c r="AC141" i="61" s="1"/>
  <c r="AB141" i="61" a="1"/>
  <c r="AB141" i="61" s="1"/>
  <c r="AA141" i="61" a="1"/>
  <c r="AA141" i="61" s="1"/>
  <c r="Z141" i="61" a="1"/>
  <c r="Z141" i="61" s="1"/>
  <c r="Y141" i="61" a="1"/>
  <c r="Y141" i="61" s="1"/>
  <c r="X141" i="61" a="1"/>
  <c r="X141" i="61" s="1"/>
  <c r="W141" i="61" a="1"/>
  <c r="W141" i="61" s="1"/>
  <c r="V141" i="61" a="1"/>
  <c r="V141" i="61" s="1"/>
  <c r="U141" i="61" a="1"/>
  <c r="U141" i="61" s="1"/>
  <c r="T141" i="61" a="1"/>
  <c r="T141" i="61" s="1"/>
  <c r="S141" i="61" a="1"/>
  <c r="S141" i="61" s="1"/>
  <c r="R141" i="61" a="1"/>
  <c r="R141" i="61" s="1"/>
  <c r="Q141" i="61" a="1"/>
  <c r="Q141" i="61" s="1"/>
  <c r="P141" i="61" a="1"/>
  <c r="P141" i="61" s="1"/>
  <c r="O141" i="61" a="1"/>
  <c r="O141" i="61" s="1"/>
  <c r="N141" i="61" a="1"/>
  <c r="N141" i="61" s="1"/>
  <c r="M141" i="61" a="1"/>
  <c r="M141" i="61" s="1"/>
  <c r="L141" i="61" a="1"/>
  <c r="L141" i="61" s="1"/>
  <c r="K141" i="61" a="1"/>
  <c r="K141" i="61" s="1"/>
  <c r="J141" i="61" a="1"/>
  <c r="J141" i="61" s="1"/>
  <c r="I141" i="61" a="1"/>
  <c r="I141" i="61" s="1"/>
  <c r="H141" i="61" a="1"/>
  <c r="H141" i="61" s="1"/>
  <c r="G141" i="61" a="1"/>
  <c r="G141" i="61" s="1"/>
  <c r="F141" i="61" a="1"/>
  <c r="F141" i="61" s="1"/>
  <c r="E141" i="61" a="1"/>
  <c r="E141" i="61" s="1"/>
  <c r="D141" i="61" a="1"/>
  <c r="D141" i="61" s="1"/>
  <c r="AE140" i="61" a="1"/>
  <c r="AE140" i="61" s="1"/>
  <c r="AD140" i="61" a="1"/>
  <c r="AD140" i="61" s="1"/>
  <c r="AC140" i="61" a="1"/>
  <c r="AC140" i="61" s="1"/>
  <c r="AB140" i="61" a="1"/>
  <c r="AB140" i="61" s="1"/>
  <c r="AA140" i="61" a="1"/>
  <c r="AA140" i="61" s="1"/>
  <c r="Z140" i="61" a="1"/>
  <c r="Z140" i="61" s="1"/>
  <c r="Y140" i="61" a="1"/>
  <c r="Y140" i="61" s="1"/>
  <c r="X140" i="61" a="1"/>
  <c r="X140" i="61" s="1"/>
  <c r="W140" i="61" a="1"/>
  <c r="W140" i="61" s="1"/>
  <c r="V140" i="61" a="1"/>
  <c r="V140" i="61" s="1"/>
  <c r="U140" i="61" a="1"/>
  <c r="U140" i="61" s="1"/>
  <c r="T140" i="61" a="1"/>
  <c r="T140" i="61" s="1"/>
  <c r="S140" i="61" a="1"/>
  <c r="S140" i="61" s="1"/>
  <c r="R140" i="61" a="1"/>
  <c r="R140" i="61" s="1"/>
  <c r="Q140" i="61" a="1"/>
  <c r="Q140" i="61" s="1"/>
  <c r="P140" i="61" a="1"/>
  <c r="P140" i="61" s="1"/>
  <c r="O140" i="61" a="1"/>
  <c r="O140" i="61" s="1"/>
  <c r="N140" i="61" a="1"/>
  <c r="N140" i="61" s="1"/>
  <c r="M140" i="61" a="1"/>
  <c r="M140" i="61" s="1"/>
  <c r="L140" i="61" a="1"/>
  <c r="L140" i="61" s="1"/>
  <c r="K140" i="61" a="1"/>
  <c r="K140" i="61" s="1"/>
  <c r="J140" i="61" a="1"/>
  <c r="J140" i="61" s="1"/>
  <c r="I140" i="61" a="1"/>
  <c r="I140" i="61" s="1"/>
  <c r="H140" i="61" a="1"/>
  <c r="H140" i="61" s="1"/>
  <c r="G140" i="61" a="1"/>
  <c r="G140" i="61" s="1"/>
  <c r="F140" i="61" a="1"/>
  <c r="F140" i="61" s="1"/>
  <c r="E140" i="61" a="1"/>
  <c r="E140" i="61" s="1"/>
  <c r="D140" i="61" a="1"/>
  <c r="D140" i="61" s="1"/>
  <c r="AE139" i="61" a="1"/>
  <c r="AE139" i="61" s="1"/>
  <c r="AD139" i="61" a="1"/>
  <c r="AD139" i="61" s="1"/>
  <c r="AC139" i="61" a="1"/>
  <c r="AC139" i="61" s="1"/>
  <c r="AB139" i="61" a="1"/>
  <c r="AB139" i="61" s="1"/>
  <c r="AA139" i="61" a="1"/>
  <c r="AA139" i="61" s="1"/>
  <c r="Z139" i="61" a="1"/>
  <c r="Z139" i="61" s="1"/>
  <c r="Y139" i="61" a="1"/>
  <c r="Y139" i="61" s="1"/>
  <c r="X139" i="61" a="1"/>
  <c r="X139" i="61" s="1"/>
  <c r="W139" i="61" a="1"/>
  <c r="W139" i="61" s="1"/>
  <c r="V139" i="61" a="1"/>
  <c r="V139" i="61" s="1"/>
  <c r="U139" i="61" a="1"/>
  <c r="U139" i="61" s="1"/>
  <c r="T139" i="61" a="1"/>
  <c r="T139" i="61" s="1"/>
  <c r="S139" i="61" a="1"/>
  <c r="S139" i="61" s="1"/>
  <c r="R139" i="61" a="1"/>
  <c r="R139" i="61" s="1"/>
  <c r="Q139" i="61" a="1"/>
  <c r="Q139" i="61" s="1"/>
  <c r="P139" i="61" a="1"/>
  <c r="P139" i="61" s="1"/>
  <c r="O139" i="61" a="1"/>
  <c r="O139" i="61" s="1"/>
  <c r="N139" i="61" a="1"/>
  <c r="N139" i="61" s="1"/>
  <c r="M139" i="61" a="1"/>
  <c r="M139" i="61" s="1"/>
  <c r="L139" i="61" a="1"/>
  <c r="L139" i="61" s="1"/>
  <c r="K139" i="61" a="1"/>
  <c r="K139" i="61" s="1"/>
  <c r="J139" i="61" a="1"/>
  <c r="J139" i="61" s="1"/>
  <c r="I139" i="61" a="1"/>
  <c r="I139" i="61" s="1"/>
  <c r="H139" i="61" a="1"/>
  <c r="H139" i="61" s="1"/>
  <c r="G139" i="61" a="1"/>
  <c r="G139" i="61" s="1"/>
  <c r="F139" i="61" a="1"/>
  <c r="F139" i="61" s="1"/>
  <c r="E139" i="61" a="1"/>
  <c r="E139" i="61" s="1"/>
  <c r="D139" i="61" a="1"/>
  <c r="D139" i="61" s="1"/>
  <c r="AE138" i="61" a="1"/>
  <c r="AE138" i="61" s="1"/>
  <c r="AD138" i="61" a="1"/>
  <c r="AD138" i="61" s="1"/>
  <c r="AC138" i="61" a="1"/>
  <c r="AC138" i="61" s="1"/>
  <c r="AB138" i="61" a="1"/>
  <c r="AB138" i="61" s="1"/>
  <c r="AA138" i="61" a="1"/>
  <c r="AA138" i="61" s="1"/>
  <c r="Z138" i="61" a="1"/>
  <c r="Z138" i="61" s="1"/>
  <c r="Y138" i="61" a="1"/>
  <c r="Y138" i="61" s="1"/>
  <c r="X138" i="61" a="1"/>
  <c r="X138" i="61" s="1"/>
  <c r="W138" i="61" a="1"/>
  <c r="W138" i="61" s="1"/>
  <c r="V138" i="61" a="1"/>
  <c r="V138" i="61" s="1"/>
  <c r="U138" i="61" a="1"/>
  <c r="U138" i="61" s="1"/>
  <c r="T138" i="61" a="1"/>
  <c r="T138" i="61" s="1"/>
  <c r="S138" i="61" a="1"/>
  <c r="S138" i="61" s="1"/>
  <c r="R138" i="61" a="1"/>
  <c r="R138" i="61" s="1"/>
  <c r="Q138" i="61" a="1"/>
  <c r="Q138" i="61" s="1"/>
  <c r="P138" i="61" a="1"/>
  <c r="P138" i="61" s="1"/>
  <c r="O138" i="61" a="1"/>
  <c r="O138" i="61" s="1"/>
  <c r="N138" i="61" a="1"/>
  <c r="N138" i="61" s="1"/>
  <c r="M138" i="61" a="1"/>
  <c r="M138" i="61" s="1"/>
  <c r="L138" i="61" a="1"/>
  <c r="L138" i="61" s="1"/>
  <c r="K138" i="61" a="1"/>
  <c r="K138" i="61" s="1"/>
  <c r="J138" i="61" a="1"/>
  <c r="J138" i="61" s="1"/>
  <c r="I138" i="61" a="1"/>
  <c r="I138" i="61" s="1"/>
  <c r="H138" i="61" a="1"/>
  <c r="H138" i="61" s="1"/>
  <c r="G138" i="61" a="1"/>
  <c r="G138" i="61" s="1"/>
  <c r="F138" i="61" a="1"/>
  <c r="F138" i="61" s="1"/>
  <c r="E138" i="61" a="1"/>
  <c r="E138" i="61" s="1"/>
  <c r="D138" i="61" a="1"/>
  <c r="D138" i="61" s="1"/>
  <c r="AE137" i="61" a="1"/>
  <c r="AE137" i="61" s="1"/>
  <c r="AD137" i="61" a="1"/>
  <c r="AD137" i="61" s="1"/>
  <c r="AC137" i="61" a="1"/>
  <c r="AC137" i="61" s="1"/>
  <c r="AB137" i="61" a="1"/>
  <c r="AB137" i="61" s="1"/>
  <c r="AA137" i="61" a="1"/>
  <c r="AA137" i="61" s="1"/>
  <c r="Z137" i="61" a="1"/>
  <c r="Z137" i="61" s="1"/>
  <c r="Y137" i="61" a="1"/>
  <c r="Y137" i="61" s="1"/>
  <c r="X137" i="61" a="1"/>
  <c r="X137" i="61" s="1"/>
  <c r="W137" i="61" a="1"/>
  <c r="W137" i="61" s="1"/>
  <c r="V137" i="61" a="1"/>
  <c r="V137" i="61" s="1"/>
  <c r="U137" i="61" a="1"/>
  <c r="U137" i="61" s="1"/>
  <c r="T137" i="61" a="1"/>
  <c r="T137" i="61" s="1"/>
  <c r="S137" i="61" a="1"/>
  <c r="S137" i="61" s="1"/>
  <c r="R137" i="61" a="1"/>
  <c r="R137" i="61" s="1"/>
  <c r="Q137" i="61" a="1"/>
  <c r="Q137" i="61" s="1"/>
  <c r="P137" i="61" a="1"/>
  <c r="P137" i="61" s="1"/>
  <c r="O137" i="61" a="1"/>
  <c r="O137" i="61" s="1"/>
  <c r="N137" i="61" a="1"/>
  <c r="N137" i="61" s="1"/>
  <c r="M137" i="61" a="1"/>
  <c r="M137" i="61" s="1"/>
  <c r="L137" i="61" a="1"/>
  <c r="L137" i="61" s="1"/>
  <c r="K137" i="61" a="1"/>
  <c r="K137" i="61" s="1"/>
  <c r="J137" i="61" a="1"/>
  <c r="J137" i="61" s="1"/>
  <c r="I137" i="61" a="1"/>
  <c r="I137" i="61" s="1"/>
  <c r="H137" i="61" a="1"/>
  <c r="H137" i="61" s="1"/>
  <c r="G137" i="61" a="1"/>
  <c r="G137" i="61" s="1"/>
  <c r="F137" i="61" a="1"/>
  <c r="F137" i="61" s="1"/>
  <c r="E137" i="61" a="1"/>
  <c r="E137" i="61" s="1"/>
  <c r="D137" i="61" a="1"/>
  <c r="D137" i="61" s="1"/>
  <c r="AE136" i="61" a="1"/>
  <c r="AE136" i="61" s="1"/>
  <c r="AD136" i="61" a="1"/>
  <c r="AD136" i="61" s="1"/>
  <c r="AC136" i="61" a="1"/>
  <c r="AC136" i="61" s="1"/>
  <c r="AB136" i="61" a="1"/>
  <c r="AB136" i="61" s="1"/>
  <c r="AA136" i="61" a="1"/>
  <c r="AA136" i="61" s="1"/>
  <c r="Z136" i="61" a="1"/>
  <c r="Z136" i="61" s="1"/>
  <c r="Y136" i="61" a="1"/>
  <c r="Y136" i="61" s="1"/>
  <c r="X136" i="61" a="1"/>
  <c r="X136" i="61" s="1"/>
  <c r="W136" i="61" a="1"/>
  <c r="W136" i="61" s="1"/>
  <c r="V136" i="61" a="1"/>
  <c r="V136" i="61" s="1"/>
  <c r="U136" i="61" a="1"/>
  <c r="U136" i="61" s="1"/>
  <c r="T136" i="61" a="1"/>
  <c r="T136" i="61" s="1"/>
  <c r="S136" i="61" a="1"/>
  <c r="S136" i="61" s="1"/>
  <c r="R136" i="61" a="1"/>
  <c r="R136" i="61" s="1"/>
  <c r="Q136" i="61" a="1"/>
  <c r="Q136" i="61" s="1"/>
  <c r="P136" i="61" a="1"/>
  <c r="P136" i="61" s="1"/>
  <c r="O136" i="61" a="1"/>
  <c r="O136" i="61" s="1"/>
  <c r="N136" i="61" a="1"/>
  <c r="N136" i="61" s="1"/>
  <c r="M136" i="61" a="1"/>
  <c r="M136" i="61" s="1"/>
  <c r="L136" i="61" a="1"/>
  <c r="L136" i="61" s="1"/>
  <c r="K136" i="61" a="1"/>
  <c r="K136" i="61" s="1"/>
  <c r="J136" i="61" a="1"/>
  <c r="J136" i="61" s="1"/>
  <c r="I136" i="61" a="1"/>
  <c r="I136" i="61" s="1"/>
  <c r="H136" i="61" a="1"/>
  <c r="H136" i="61" s="1"/>
  <c r="G136" i="61" a="1"/>
  <c r="G136" i="61" s="1"/>
  <c r="F136" i="61" a="1"/>
  <c r="F136" i="61" s="1"/>
  <c r="E136" i="61" a="1"/>
  <c r="E136" i="61" s="1"/>
  <c r="D136" i="61" a="1"/>
  <c r="D136" i="61" s="1"/>
  <c r="AE135" i="61" a="1"/>
  <c r="AE135" i="61" s="1"/>
  <c r="AD135" i="61" a="1"/>
  <c r="AD135" i="61" s="1"/>
  <c r="AC135" i="61" a="1"/>
  <c r="AC135" i="61" s="1"/>
  <c r="AB135" i="61" a="1"/>
  <c r="AB135" i="61" s="1"/>
  <c r="AA135" i="61" a="1"/>
  <c r="AA135" i="61" s="1"/>
  <c r="Z135" i="61" a="1"/>
  <c r="Z135" i="61" s="1"/>
  <c r="Y135" i="61" a="1"/>
  <c r="Y135" i="61" s="1"/>
  <c r="X135" i="61" a="1"/>
  <c r="X135" i="61" s="1"/>
  <c r="W135" i="61" a="1"/>
  <c r="W135" i="61" s="1"/>
  <c r="V135" i="61" a="1"/>
  <c r="V135" i="61" s="1"/>
  <c r="U135" i="61" a="1"/>
  <c r="U135" i="61" s="1"/>
  <c r="T135" i="61" a="1"/>
  <c r="T135" i="61" s="1"/>
  <c r="S135" i="61" a="1"/>
  <c r="S135" i="61" s="1"/>
  <c r="R135" i="61" a="1"/>
  <c r="R135" i="61" s="1"/>
  <c r="Q135" i="61" a="1"/>
  <c r="Q135" i="61" s="1"/>
  <c r="P135" i="61" a="1"/>
  <c r="P135" i="61" s="1"/>
  <c r="O135" i="61" a="1"/>
  <c r="O135" i="61" s="1"/>
  <c r="N135" i="61" a="1"/>
  <c r="N135" i="61" s="1"/>
  <c r="M135" i="61" a="1"/>
  <c r="M135" i="61" s="1"/>
  <c r="L135" i="61" a="1"/>
  <c r="L135" i="61" s="1"/>
  <c r="K135" i="61" a="1"/>
  <c r="K135" i="61" s="1"/>
  <c r="J135" i="61" a="1"/>
  <c r="J135" i="61" s="1"/>
  <c r="I135" i="61" a="1"/>
  <c r="I135" i="61" s="1"/>
  <c r="H135" i="61" a="1"/>
  <c r="H135" i="61" s="1"/>
  <c r="G135" i="61" a="1"/>
  <c r="G135" i="61" s="1"/>
  <c r="F135" i="61" a="1"/>
  <c r="F135" i="61" s="1"/>
  <c r="E135" i="61" a="1"/>
  <c r="E135" i="61" s="1"/>
  <c r="D135" i="61" a="1"/>
  <c r="D135" i="61" s="1"/>
  <c r="AE134" i="61" a="1"/>
  <c r="AE134" i="61" s="1"/>
  <c r="AD134" i="61" a="1"/>
  <c r="AD134" i="61" s="1"/>
  <c r="AC134" i="61" a="1"/>
  <c r="AC134" i="61" s="1"/>
  <c r="AB134" i="61" a="1"/>
  <c r="AB134" i="61" s="1"/>
  <c r="AA134" i="61" a="1"/>
  <c r="AA134" i="61" s="1"/>
  <c r="Z134" i="61" a="1"/>
  <c r="Z134" i="61" s="1"/>
  <c r="Y134" i="61" a="1"/>
  <c r="Y134" i="61" s="1"/>
  <c r="X134" i="61" a="1"/>
  <c r="X134" i="61" s="1"/>
  <c r="W134" i="61" a="1"/>
  <c r="W134" i="61" s="1"/>
  <c r="V134" i="61" a="1"/>
  <c r="V134" i="61" s="1"/>
  <c r="U134" i="61" a="1"/>
  <c r="U134" i="61" s="1"/>
  <c r="T134" i="61" a="1"/>
  <c r="T134" i="61" s="1"/>
  <c r="S134" i="61" a="1"/>
  <c r="S134" i="61" s="1"/>
  <c r="R134" i="61" a="1"/>
  <c r="R134" i="61" s="1"/>
  <c r="Q134" i="61" a="1"/>
  <c r="Q134" i="61" s="1"/>
  <c r="P134" i="61" a="1"/>
  <c r="P134" i="61" s="1"/>
  <c r="O134" i="61" a="1"/>
  <c r="O134" i="61" s="1"/>
  <c r="N134" i="61" a="1"/>
  <c r="N134" i="61" s="1"/>
  <c r="M134" i="61" a="1"/>
  <c r="M134" i="61" s="1"/>
  <c r="L134" i="61" a="1"/>
  <c r="L134" i="61" s="1"/>
  <c r="K134" i="61" a="1"/>
  <c r="K134" i="61" s="1"/>
  <c r="J134" i="61" a="1"/>
  <c r="J134" i="61" s="1"/>
  <c r="I134" i="61" a="1"/>
  <c r="I134" i="61" s="1"/>
  <c r="H134" i="61" a="1"/>
  <c r="H134" i="61" s="1"/>
  <c r="G134" i="61" a="1"/>
  <c r="G134" i="61" s="1"/>
  <c r="F134" i="61" a="1"/>
  <c r="F134" i="61" s="1"/>
  <c r="E134" i="61" a="1"/>
  <c r="E134" i="61" s="1"/>
  <c r="D134" i="61" a="1"/>
  <c r="D134" i="61" s="1"/>
  <c r="AE133" i="61" a="1"/>
  <c r="AE133" i="61" s="1"/>
  <c r="AD133" i="61" a="1"/>
  <c r="AD133" i="61" s="1"/>
  <c r="AC133" i="61" a="1"/>
  <c r="AC133" i="61" s="1"/>
  <c r="AB133" i="61" a="1"/>
  <c r="AB133" i="61" s="1"/>
  <c r="AA133" i="61" a="1"/>
  <c r="AA133" i="61" s="1"/>
  <c r="Z133" i="61" a="1"/>
  <c r="Z133" i="61" s="1"/>
  <c r="Y133" i="61" a="1"/>
  <c r="Y133" i="61" s="1"/>
  <c r="X133" i="61" a="1"/>
  <c r="X133" i="61" s="1"/>
  <c r="W133" i="61" a="1"/>
  <c r="W133" i="61" s="1"/>
  <c r="V133" i="61" a="1"/>
  <c r="V133" i="61" s="1"/>
  <c r="U133" i="61" a="1"/>
  <c r="U133" i="61" s="1"/>
  <c r="T133" i="61" a="1"/>
  <c r="T133" i="61" s="1"/>
  <c r="S133" i="61" a="1"/>
  <c r="S133" i="61" s="1"/>
  <c r="R133" i="61" a="1"/>
  <c r="R133" i="61" s="1"/>
  <c r="Q133" i="61" a="1"/>
  <c r="Q133" i="61" s="1"/>
  <c r="P133" i="61" a="1"/>
  <c r="P133" i="61" s="1"/>
  <c r="O133" i="61" a="1"/>
  <c r="O133" i="61" s="1"/>
  <c r="N133" i="61" a="1"/>
  <c r="N133" i="61" s="1"/>
  <c r="M133" i="61" a="1"/>
  <c r="M133" i="61" s="1"/>
  <c r="L133" i="61" a="1"/>
  <c r="L133" i="61" s="1"/>
  <c r="K133" i="61" a="1"/>
  <c r="K133" i="61" s="1"/>
  <c r="J133" i="61" a="1"/>
  <c r="J133" i="61" s="1"/>
  <c r="I133" i="61" a="1"/>
  <c r="I133" i="61" s="1"/>
  <c r="H133" i="61" a="1"/>
  <c r="H133" i="61" s="1"/>
  <c r="G133" i="61" a="1"/>
  <c r="G133" i="61" s="1"/>
  <c r="F133" i="61" a="1"/>
  <c r="F133" i="61" s="1"/>
  <c r="E133" i="61" a="1"/>
  <c r="E133" i="61" s="1"/>
  <c r="D133" i="61" a="1"/>
  <c r="D133" i="61" s="1"/>
  <c r="AE132" i="61" a="1"/>
  <c r="AE132" i="61" s="1"/>
  <c r="AD132" i="61" a="1"/>
  <c r="AD132" i="61" s="1"/>
  <c r="AC132" i="61" a="1"/>
  <c r="AC132" i="61" s="1"/>
  <c r="AB132" i="61" a="1"/>
  <c r="AB132" i="61" s="1"/>
  <c r="AA132" i="61" a="1"/>
  <c r="AA132" i="61" s="1"/>
  <c r="Z132" i="61" a="1"/>
  <c r="Z132" i="61" s="1"/>
  <c r="Y132" i="61" a="1"/>
  <c r="Y132" i="61" s="1"/>
  <c r="X132" i="61" a="1"/>
  <c r="X132" i="61" s="1"/>
  <c r="W132" i="61" a="1"/>
  <c r="W132" i="61" s="1"/>
  <c r="V132" i="61" a="1"/>
  <c r="V132" i="61" s="1"/>
  <c r="U132" i="61" a="1"/>
  <c r="U132" i="61" s="1"/>
  <c r="T132" i="61" a="1"/>
  <c r="T132" i="61" s="1"/>
  <c r="S132" i="61" a="1"/>
  <c r="S132" i="61" s="1"/>
  <c r="R132" i="61" a="1"/>
  <c r="R132" i="61" s="1"/>
  <c r="Q132" i="61" a="1"/>
  <c r="Q132" i="61" s="1"/>
  <c r="P132" i="61" a="1"/>
  <c r="P132" i="61" s="1"/>
  <c r="O132" i="61" a="1"/>
  <c r="O132" i="61" s="1"/>
  <c r="N132" i="61" a="1"/>
  <c r="N132" i="61" s="1"/>
  <c r="M132" i="61" a="1"/>
  <c r="M132" i="61" s="1"/>
  <c r="L132" i="61" a="1"/>
  <c r="L132" i="61" s="1"/>
  <c r="K132" i="61" a="1"/>
  <c r="K132" i="61" s="1"/>
  <c r="J132" i="61" a="1"/>
  <c r="J132" i="61" s="1"/>
  <c r="I132" i="61" a="1"/>
  <c r="I132" i="61" s="1"/>
  <c r="H132" i="61" a="1"/>
  <c r="H132" i="61" s="1"/>
  <c r="G132" i="61" a="1"/>
  <c r="G132" i="61" s="1"/>
  <c r="F132" i="61" a="1"/>
  <c r="F132" i="61" s="1"/>
  <c r="E132" i="61" a="1"/>
  <c r="E132" i="61" s="1"/>
  <c r="D132" i="61" a="1"/>
  <c r="D132" i="61" s="1"/>
  <c r="AE131" i="61" a="1"/>
  <c r="AE131" i="61" s="1"/>
  <c r="AD131" i="61" a="1"/>
  <c r="AD131" i="61" s="1"/>
  <c r="AC131" i="61" a="1"/>
  <c r="AC131" i="61" s="1"/>
  <c r="AB131" i="61" a="1"/>
  <c r="AB131" i="61" s="1"/>
  <c r="AA131" i="61" a="1"/>
  <c r="AA131" i="61" s="1"/>
  <c r="Z131" i="61" a="1"/>
  <c r="Z131" i="61" s="1"/>
  <c r="Y131" i="61" a="1"/>
  <c r="Y131" i="61" s="1"/>
  <c r="X131" i="61" a="1"/>
  <c r="X131" i="61" s="1"/>
  <c r="W131" i="61" a="1"/>
  <c r="W131" i="61" s="1"/>
  <c r="V131" i="61" a="1"/>
  <c r="V131" i="61" s="1"/>
  <c r="U131" i="61" a="1"/>
  <c r="U131" i="61" s="1"/>
  <c r="T131" i="61" a="1"/>
  <c r="T131" i="61" s="1"/>
  <c r="S131" i="61" a="1"/>
  <c r="S131" i="61" s="1"/>
  <c r="R131" i="61" a="1"/>
  <c r="R131" i="61" s="1"/>
  <c r="Q131" i="61" a="1"/>
  <c r="Q131" i="61" s="1"/>
  <c r="P131" i="61" a="1"/>
  <c r="P131" i="61" s="1"/>
  <c r="O131" i="61" a="1"/>
  <c r="O131" i="61" s="1"/>
  <c r="N131" i="61" a="1"/>
  <c r="N131" i="61" s="1"/>
  <c r="M131" i="61" a="1"/>
  <c r="M131" i="61" s="1"/>
  <c r="L131" i="61" a="1"/>
  <c r="L131" i="61" s="1"/>
  <c r="K131" i="61" a="1"/>
  <c r="K131" i="61" s="1"/>
  <c r="J131" i="61" a="1"/>
  <c r="J131" i="61" s="1"/>
  <c r="I131" i="61" a="1"/>
  <c r="I131" i="61" s="1"/>
  <c r="H131" i="61" a="1"/>
  <c r="H131" i="61" s="1"/>
  <c r="G131" i="61" a="1"/>
  <c r="G131" i="61" s="1"/>
  <c r="F131" i="61" a="1"/>
  <c r="F131" i="61" s="1"/>
  <c r="E131" i="61" a="1"/>
  <c r="E131" i="61" s="1"/>
  <c r="D131" i="61" a="1"/>
  <c r="D131" i="61" s="1"/>
  <c r="AE130" i="61" a="1"/>
  <c r="AE130" i="61" s="1"/>
  <c r="AD130" i="61" a="1"/>
  <c r="AD130" i="61" s="1"/>
  <c r="AC130" i="61" a="1"/>
  <c r="AC130" i="61" s="1"/>
  <c r="AB130" i="61" a="1"/>
  <c r="AB130" i="61" s="1"/>
  <c r="AA130" i="61" a="1"/>
  <c r="AA130" i="61" s="1"/>
  <c r="Z130" i="61" a="1"/>
  <c r="Z130" i="61" s="1"/>
  <c r="Y130" i="61" a="1"/>
  <c r="Y130" i="61" s="1"/>
  <c r="X130" i="61" a="1"/>
  <c r="X130" i="61" s="1"/>
  <c r="W130" i="61" a="1"/>
  <c r="W130" i="61" s="1"/>
  <c r="V130" i="61" a="1"/>
  <c r="V130" i="61" s="1"/>
  <c r="U130" i="61" a="1"/>
  <c r="U130" i="61" s="1"/>
  <c r="T130" i="61" a="1"/>
  <c r="T130" i="61" s="1"/>
  <c r="S130" i="61" a="1"/>
  <c r="S130" i="61" s="1"/>
  <c r="R130" i="61" a="1"/>
  <c r="R130" i="61" s="1"/>
  <c r="Q130" i="61" a="1"/>
  <c r="Q130" i="61" s="1"/>
  <c r="P130" i="61" a="1"/>
  <c r="P130" i="61" s="1"/>
  <c r="O130" i="61" a="1"/>
  <c r="O130" i="61" s="1"/>
  <c r="N130" i="61" a="1"/>
  <c r="N130" i="61" s="1"/>
  <c r="M130" i="61" a="1"/>
  <c r="M130" i="61" s="1"/>
  <c r="L130" i="61" a="1"/>
  <c r="L130" i="61" s="1"/>
  <c r="K130" i="61" a="1"/>
  <c r="K130" i="61" s="1"/>
  <c r="J130" i="61" a="1"/>
  <c r="J130" i="61" s="1"/>
  <c r="I130" i="61" a="1"/>
  <c r="I130" i="61" s="1"/>
  <c r="H130" i="61" a="1"/>
  <c r="H130" i="61" s="1"/>
  <c r="G130" i="61" a="1"/>
  <c r="G130" i="61" s="1"/>
  <c r="F130" i="61" a="1"/>
  <c r="F130" i="61" s="1"/>
  <c r="E130" i="61" a="1"/>
  <c r="E130" i="61" s="1"/>
  <c r="D130" i="61" a="1"/>
  <c r="D130" i="61" s="1"/>
  <c r="AE129" i="61" a="1"/>
  <c r="AE129" i="61" s="1"/>
  <c r="AD129" i="61" a="1"/>
  <c r="AD129" i="61" s="1"/>
  <c r="AC129" i="61" a="1"/>
  <c r="AC129" i="61" s="1"/>
  <c r="AB129" i="61" a="1"/>
  <c r="AB129" i="61" s="1"/>
  <c r="AA129" i="61" a="1"/>
  <c r="AA129" i="61" s="1"/>
  <c r="Z129" i="61" a="1"/>
  <c r="Z129" i="61" s="1"/>
  <c r="Y129" i="61" a="1"/>
  <c r="Y129" i="61" s="1"/>
  <c r="X129" i="61" a="1"/>
  <c r="X129" i="61" s="1"/>
  <c r="W129" i="61" a="1"/>
  <c r="W129" i="61" s="1"/>
  <c r="V129" i="61" a="1"/>
  <c r="V129" i="61" s="1"/>
  <c r="U129" i="61" a="1"/>
  <c r="U129" i="61" s="1"/>
  <c r="T129" i="61" a="1"/>
  <c r="T129" i="61" s="1"/>
  <c r="S129" i="61" a="1"/>
  <c r="S129" i="61" s="1"/>
  <c r="R129" i="61" a="1"/>
  <c r="R129" i="61" s="1"/>
  <c r="Q129" i="61" a="1"/>
  <c r="Q129" i="61" s="1"/>
  <c r="P129" i="61" a="1"/>
  <c r="P129" i="61" s="1"/>
  <c r="O129" i="61" a="1"/>
  <c r="O129" i="61" s="1"/>
  <c r="N129" i="61" a="1"/>
  <c r="N129" i="61" s="1"/>
  <c r="M129" i="61" a="1"/>
  <c r="M129" i="61" s="1"/>
  <c r="L129" i="61" a="1"/>
  <c r="L129" i="61" s="1"/>
  <c r="K129" i="61" a="1"/>
  <c r="K129" i="61" s="1"/>
  <c r="J129" i="61" a="1"/>
  <c r="J129" i="61" s="1"/>
  <c r="I129" i="61" a="1"/>
  <c r="I129" i="61" s="1"/>
  <c r="H129" i="61" a="1"/>
  <c r="H129" i="61" s="1"/>
  <c r="G129" i="61" a="1"/>
  <c r="G129" i="61" s="1"/>
  <c r="F129" i="61" a="1"/>
  <c r="F129" i="61" s="1"/>
  <c r="E129" i="61" a="1"/>
  <c r="E129" i="61" s="1"/>
  <c r="D129" i="61" a="1"/>
  <c r="D129" i="61" s="1"/>
  <c r="AE128" i="61" a="1"/>
  <c r="AE128" i="61" s="1"/>
  <c r="AD128" i="61" a="1"/>
  <c r="AD128" i="61" s="1"/>
  <c r="AC128" i="61" a="1"/>
  <c r="AC128" i="61" s="1"/>
  <c r="AB128" i="61" a="1"/>
  <c r="AB128" i="61" s="1"/>
  <c r="AA128" i="61" a="1"/>
  <c r="AA128" i="61" s="1"/>
  <c r="Z128" i="61" a="1"/>
  <c r="Z128" i="61" s="1"/>
  <c r="Y128" i="61" a="1"/>
  <c r="Y128" i="61" s="1"/>
  <c r="X128" i="61" a="1"/>
  <c r="X128" i="61" s="1"/>
  <c r="W128" i="61" a="1"/>
  <c r="W128" i="61" s="1"/>
  <c r="V128" i="61" a="1"/>
  <c r="V128" i="61" s="1"/>
  <c r="U128" i="61" a="1"/>
  <c r="U128" i="61" s="1"/>
  <c r="T128" i="61" a="1"/>
  <c r="T128" i="61" s="1"/>
  <c r="S128" i="61" a="1"/>
  <c r="S128" i="61" s="1"/>
  <c r="R128" i="61" a="1"/>
  <c r="R128" i="61" s="1"/>
  <c r="Q128" i="61" a="1"/>
  <c r="Q128" i="61" s="1"/>
  <c r="P128" i="61" a="1"/>
  <c r="P128" i="61" s="1"/>
  <c r="O128" i="61" a="1"/>
  <c r="O128" i="61" s="1"/>
  <c r="N128" i="61" a="1"/>
  <c r="N128" i="61" s="1"/>
  <c r="M128" i="61" a="1"/>
  <c r="M128" i="61" s="1"/>
  <c r="L128" i="61" a="1"/>
  <c r="L128" i="61" s="1"/>
  <c r="K128" i="61" a="1"/>
  <c r="K128" i="61" s="1"/>
  <c r="J128" i="61" a="1"/>
  <c r="J128" i="61" s="1"/>
  <c r="I128" i="61" a="1"/>
  <c r="I128" i="61" s="1"/>
  <c r="H128" i="61" a="1"/>
  <c r="H128" i="61" s="1"/>
  <c r="G128" i="61" a="1"/>
  <c r="G128" i="61" s="1"/>
  <c r="F128" i="61" a="1"/>
  <c r="F128" i="61" s="1"/>
  <c r="E128" i="61" a="1"/>
  <c r="E128" i="61" s="1"/>
  <c r="D128" i="61" a="1"/>
  <c r="D128" i="61" s="1"/>
  <c r="AE127" i="61" a="1"/>
  <c r="AE127" i="61" s="1"/>
  <c r="AD127" i="61" a="1"/>
  <c r="AD127" i="61" s="1"/>
  <c r="AC127" i="61" a="1"/>
  <c r="AC127" i="61" s="1"/>
  <c r="AB127" i="61" a="1"/>
  <c r="AB127" i="61" s="1"/>
  <c r="AA127" i="61" a="1"/>
  <c r="AA127" i="61" s="1"/>
  <c r="Z127" i="61" a="1"/>
  <c r="Z127" i="61" s="1"/>
  <c r="Y127" i="61" a="1"/>
  <c r="Y127" i="61" s="1"/>
  <c r="X127" i="61" a="1"/>
  <c r="X127" i="61" s="1"/>
  <c r="W127" i="61" a="1"/>
  <c r="W127" i="61" s="1"/>
  <c r="V127" i="61" a="1"/>
  <c r="V127" i="61" s="1"/>
  <c r="U127" i="61" a="1"/>
  <c r="U127" i="61" s="1"/>
  <c r="T127" i="61" a="1"/>
  <c r="T127" i="61" s="1"/>
  <c r="S127" i="61" a="1"/>
  <c r="S127" i="61" s="1"/>
  <c r="R127" i="61" a="1"/>
  <c r="R127" i="61" s="1"/>
  <c r="Q127" i="61" a="1"/>
  <c r="Q127" i="61" s="1"/>
  <c r="P127" i="61" a="1"/>
  <c r="P127" i="61" s="1"/>
  <c r="O127" i="61" a="1"/>
  <c r="O127" i="61" s="1"/>
  <c r="N127" i="61" a="1"/>
  <c r="N127" i="61" s="1"/>
  <c r="M127" i="61" a="1"/>
  <c r="M127" i="61" s="1"/>
  <c r="L127" i="61" a="1"/>
  <c r="L127" i="61" s="1"/>
  <c r="K127" i="61" a="1"/>
  <c r="K127" i="61" s="1"/>
  <c r="J127" i="61" a="1"/>
  <c r="J127" i="61" s="1"/>
  <c r="I127" i="61" a="1"/>
  <c r="I127" i="61" s="1"/>
  <c r="H127" i="61" a="1"/>
  <c r="H127" i="61" s="1"/>
  <c r="G127" i="61" a="1"/>
  <c r="G127" i="61" s="1"/>
  <c r="F127" i="61" a="1"/>
  <c r="F127" i="61" s="1"/>
  <c r="E127" i="61" a="1"/>
  <c r="E127" i="61" s="1"/>
  <c r="D127" i="61" a="1"/>
  <c r="D127" i="61" s="1"/>
  <c r="AE126" i="61" a="1"/>
  <c r="AE126" i="61" s="1"/>
  <c r="AD126" i="61" a="1"/>
  <c r="AD126" i="61" s="1"/>
  <c r="AC126" i="61" a="1"/>
  <c r="AC126" i="61" s="1"/>
  <c r="AB126" i="61" a="1"/>
  <c r="AB126" i="61" s="1"/>
  <c r="AA126" i="61" a="1"/>
  <c r="AA126" i="61" s="1"/>
  <c r="Z126" i="61" a="1"/>
  <c r="Z126" i="61" s="1"/>
  <c r="Y126" i="61" a="1"/>
  <c r="Y126" i="61" s="1"/>
  <c r="X126" i="61" a="1"/>
  <c r="X126" i="61" s="1"/>
  <c r="W126" i="61" a="1"/>
  <c r="W126" i="61" s="1"/>
  <c r="V126" i="61" a="1"/>
  <c r="V126" i="61" s="1"/>
  <c r="U126" i="61" a="1"/>
  <c r="U126" i="61" s="1"/>
  <c r="T126" i="61" a="1"/>
  <c r="T126" i="61" s="1"/>
  <c r="S126" i="61" a="1"/>
  <c r="S126" i="61" s="1"/>
  <c r="R126" i="61" a="1"/>
  <c r="R126" i="61" s="1"/>
  <c r="Q126" i="61" a="1"/>
  <c r="Q126" i="61" s="1"/>
  <c r="P126" i="61" a="1"/>
  <c r="P126" i="61" s="1"/>
  <c r="O126" i="61" a="1"/>
  <c r="O126" i="61" s="1"/>
  <c r="N126" i="61" a="1"/>
  <c r="N126" i="61" s="1"/>
  <c r="M126" i="61" a="1"/>
  <c r="M126" i="61" s="1"/>
  <c r="L126" i="61" a="1"/>
  <c r="L126" i="61" s="1"/>
  <c r="K126" i="61" a="1"/>
  <c r="K126" i="61" s="1"/>
  <c r="J126" i="61" a="1"/>
  <c r="J126" i="61" s="1"/>
  <c r="I126" i="61" a="1"/>
  <c r="I126" i="61" s="1"/>
  <c r="H126" i="61" a="1"/>
  <c r="H126" i="61" s="1"/>
  <c r="G126" i="61" a="1"/>
  <c r="G126" i="61" s="1"/>
  <c r="F126" i="61" a="1"/>
  <c r="F126" i="61" s="1"/>
  <c r="E126" i="61" a="1"/>
  <c r="E126" i="61" s="1"/>
  <c r="D126" i="61" a="1"/>
  <c r="D126" i="61" s="1"/>
  <c r="AE125" i="61" a="1"/>
  <c r="AE125" i="61" s="1"/>
  <c r="AD125" i="61" a="1"/>
  <c r="AD125" i="61" s="1"/>
  <c r="AC125" i="61" a="1"/>
  <c r="AC125" i="61" s="1"/>
  <c r="AB125" i="61" a="1"/>
  <c r="AB125" i="61" s="1"/>
  <c r="AA125" i="61" a="1"/>
  <c r="AA125" i="61" s="1"/>
  <c r="Z125" i="61" a="1"/>
  <c r="Z125" i="61" s="1"/>
  <c r="Y125" i="61" a="1"/>
  <c r="Y125" i="61" s="1"/>
  <c r="X125" i="61" a="1"/>
  <c r="X125" i="61" s="1"/>
  <c r="W125" i="61" a="1"/>
  <c r="W125" i="61" s="1"/>
  <c r="V125" i="61" a="1"/>
  <c r="V125" i="61" s="1"/>
  <c r="U125" i="61" a="1"/>
  <c r="U125" i="61" s="1"/>
  <c r="T125" i="61" a="1"/>
  <c r="T125" i="61" s="1"/>
  <c r="S125" i="61" a="1"/>
  <c r="S125" i="61" s="1"/>
  <c r="R125" i="61" a="1"/>
  <c r="R125" i="61" s="1"/>
  <c r="Q125" i="61" a="1"/>
  <c r="Q125" i="61" s="1"/>
  <c r="P125" i="61" a="1"/>
  <c r="P125" i="61" s="1"/>
  <c r="O125" i="61" a="1"/>
  <c r="O125" i="61" s="1"/>
  <c r="N125" i="61" a="1"/>
  <c r="N125" i="61" s="1"/>
  <c r="M125" i="61" a="1"/>
  <c r="M125" i="61" s="1"/>
  <c r="L125" i="61" a="1"/>
  <c r="L125" i="61" s="1"/>
  <c r="K125" i="61" a="1"/>
  <c r="K125" i="61" s="1"/>
  <c r="J125" i="61" a="1"/>
  <c r="J125" i="61" s="1"/>
  <c r="I125" i="61" a="1"/>
  <c r="I125" i="61" s="1"/>
  <c r="H125" i="61" a="1"/>
  <c r="H125" i="61" s="1"/>
  <c r="G125" i="61" a="1"/>
  <c r="G125" i="61" s="1"/>
  <c r="F125" i="61" a="1"/>
  <c r="F125" i="61" s="1"/>
  <c r="E125" i="61" a="1"/>
  <c r="E125" i="61" s="1"/>
  <c r="D125" i="61" a="1"/>
  <c r="D125" i="61" s="1"/>
  <c r="AE124" i="61" a="1"/>
  <c r="AE124" i="61" s="1"/>
  <c r="AD124" i="61" a="1"/>
  <c r="AD124" i="61" s="1"/>
  <c r="AC124" i="61" a="1"/>
  <c r="AC124" i="61" s="1"/>
  <c r="AB124" i="61" a="1"/>
  <c r="AB124" i="61" s="1"/>
  <c r="AA124" i="61" a="1"/>
  <c r="AA124" i="61" s="1"/>
  <c r="Z124" i="61" a="1"/>
  <c r="Z124" i="61" s="1"/>
  <c r="Y124" i="61" a="1"/>
  <c r="Y124" i="61" s="1"/>
  <c r="X124" i="61" a="1"/>
  <c r="X124" i="61" s="1"/>
  <c r="W124" i="61" a="1"/>
  <c r="W124" i="61" s="1"/>
  <c r="V124" i="61" a="1"/>
  <c r="V124" i="61" s="1"/>
  <c r="U124" i="61" a="1"/>
  <c r="U124" i="61" s="1"/>
  <c r="T124" i="61" a="1"/>
  <c r="T124" i="61" s="1"/>
  <c r="S124" i="61" a="1"/>
  <c r="S124" i="61" s="1"/>
  <c r="R124" i="61" a="1"/>
  <c r="R124" i="61" s="1"/>
  <c r="Q124" i="61" a="1"/>
  <c r="Q124" i="61" s="1"/>
  <c r="P124" i="61" a="1"/>
  <c r="P124" i="61" s="1"/>
  <c r="O124" i="61" a="1"/>
  <c r="O124" i="61" s="1"/>
  <c r="N124" i="61" a="1"/>
  <c r="N124" i="61" s="1"/>
  <c r="M124" i="61" a="1"/>
  <c r="M124" i="61" s="1"/>
  <c r="L124" i="61" a="1"/>
  <c r="L124" i="61" s="1"/>
  <c r="K124" i="61" a="1"/>
  <c r="K124" i="61" s="1"/>
  <c r="J124" i="61" a="1"/>
  <c r="J124" i="61" s="1"/>
  <c r="I124" i="61" a="1"/>
  <c r="I124" i="61" s="1"/>
  <c r="H124" i="61" a="1"/>
  <c r="H124" i="61" s="1"/>
  <c r="G124" i="61" a="1"/>
  <c r="G124" i="61" s="1"/>
  <c r="F124" i="61" a="1"/>
  <c r="F124" i="61" s="1"/>
  <c r="E124" i="61" a="1"/>
  <c r="E124" i="61" s="1"/>
  <c r="D124" i="61" a="1"/>
  <c r="D124" i="61" s="1"/>
  <c r="AE123" i="61" a="1"/>
  <c r="AE123" i="61" s="1"/>
  <c r="AD123" i="61" a="1"/>
  <c r="AD123" i="61" s="1"/>
  <c r="AC123" i="61" a="1"/>
  <c r="AC123" i="61" s="1"/>
  <c r="AB123" i="61" a="1"/>
  <c r="AB123" i="61" s="1"/>
  <c r="AA123" i="61" a="1"/>
  <c r="AA123" i="61" s="1"/>
  <c r="Z123" i="61" a="1"/>
  <c r="Z123" i="61" s="1"/>
  <c r="Y123" i="61" a="1"/>
  <c r="Y123" i="61" s="1"/>
  <c r="X123" i="61" a="1"/>
  <c r="X123" i="61" s="1"/>
  <c r="W123" i="61" a="1"/>
  <c r="W123" i="61" s="1"/>
  <c r="V123" i="61" a="1"/>
  <c r="V123" i="61" s="1"/>
  <c r="U123" i="61" a="1"/>
  <c r="U123" i="61" s="1"/>
  <c r="T123" i="61" a="1"/>
  <c r="T123" i="61" s="1"/>
  <c r="S123" i="61" a="1"/>
  <c r="S123" i="61" s="1"/>
  <c r="R123" i="61" a="1"/>
  <c r="R123" i="61" s="1"/>
  <c r="Q123" i="61" a="1"/>
  <c r="Q123" i="61" s="1"/>
  <c r="P123" i="61" a="1"/>
  <c r="P123" i="61" s="1"/>
  <c r="O123" i="61" a="1"/>
  <c r="O123" i="61" s="1"/>
  <c r="N123" i="61" a="1"/>
  <c r="N123" i="61" s="1"/>
  <c r="M123" i="61" a="1"/>
  <c r="M123" i="61" s="1"/>
  <c r="L123" i="61" a="1"/>
  <c r="L123" i="61" s="1"/>
  <c r="K123" i="61" a="1"/>
  <c r="K123" i="61" s="1"/>
  <c r="J123" i="61" a="1"/>
  <c r="J123" i="61" s="1"/>
  <c r="I123" i="61" a="1"/>
  <c r="I123" i="61" s="1"/>
  <c r="H123" i="61" a="1"/>
  <c r="H123" i="61" s="1"/>
  <c r="G123" i="61" a="1"/>
  <c r="G123" i="61" s="1"/>
  <c r="F123" i="61" a="1"/>
  <c r="F123" i="61" s="1"/>
  <c r="E123" i="61" a="1"/>
  <c r="E123" i="61" s="1"/>
  <c r="D123" i="61" a="1"/>
  <c r="D123" i="61" s="1"/>
  <c r="AE122" i="61" a="1"/>
  <c r="AE122" i="61" s="1"/>
  <c r="AD122" i="61" a="1"/>
  <c r="AD122" i="61" s="1"/>
  <c r="AC122" i="61" a="1"/>
  <c r="AC122" i="61" s="1"/>
  <c r="AB122" i="61" a="1"/>
  <c r="AB122" i="61" s="1"/>
  <c r="AA122" i="61" a="1"/>
  <c r="AA122" i="61" s="1"/>
  <c r="Z122" i="61" a="1"/>
  <c r="Z122" i="61" s="1"/>
  <c r="Y122" i="61" a="1"/>
  <c r="Y122" i="61" s="1"/>
  <c r="X122" i="61" a="1"/>
  <c r="X122" i="61" s="1"/>
  <c r="W122" i="61" a="1"/>
  <c r="W122" i="61" s="1"/>
  <c r="V122" i="61" a="1"/>
  <c r="V122" i="61" s="1"/>
  <c r="U122" i="61" a="1"/>
  <c r="U122" i="61" s="1"/>
  <c r="T122" i="61" a="1"/>
  <c r="T122" i="61" s="1"/>
  <c r="S122" i="61" a="1"/>
  <c r="S122" i="61" s="1"/>
  <c r="R122" i="61" a="1"/>
  <c r="R122" i="61" s="1"/>
  <c r="Q122" i="61" a="1"/>
  <c r="Q122" i="61" s="1"/>
  <c r="P122" i="61" a="1"/>
  <c r="P122" i="61" s="1"/>
  <c r="O122" i="61" a="1"/>
  <c r="O122" i="61" s="1"/>
  <c r="N122" i="61" a="1"/>
  <c r="N122" i="61" s="1"/>
  <c r="M122" i="61" a="1"/>
  <c r="M122" i="61" s="1"/>
  <c r="L122" i="61" a="1"/>
  <c r="L122" i="61" s="1"/>
  <c r="K122" i="61" a="1"/>
  <c r="K122" i="61" s="1"/>
  <c r="J122" i="61" a="1"/>
  <c r="J122" i="61" s="1"/>
  <c r="I122" i="61" a="1"/>
  <c r="I122" i="61" s="1"/>
  <c r="H122" i="61" a="1"/>
  <c r="H122" i="61" s="1"/>
  <c r="G122" i="61" a="1"/>
  <c r="G122" i="61" s="1"/>
  <c r="F122" i="61" a="1"/>
  <c r="F122" i="61" s="1"/>
  <c r="E122" i="61" a="1"/>
  <c r="E122" i="61" s="1"/>
  <c r="D122" i="61" a="1"/>
  <c r="D122" i="61" s="1"/>
  <c r="AE121" i="61" a="1"/>
  <c r="AE121" i="61" s="1"/>
  <c r="AD121" i="61" a="1"/>
  <c r="AD121" i="61" s="1"/>
  <c r="AC121" i="61" a="1"/>
  <c r="AC121" i="61" s="1"/>
  <c r="AB121" i="61" a="1"/>
  <c r="AB121" i="61" s="1"/>
  <c r="AA121" i="61" a="1"/>
  <c r="AA121" i="61" s="1"/>
  <c r="Z121" i="61" a="1"/>
  <c r="Z121" i="61" s="1"/>
  <c r="Y121" i="61" a="1"/>
  <c r="Y121" i="61" s="1"/>
  <c r="X121" i="61" a="1"/>
  <c r="X121" i="61" s="1"/>
  <c r="W121" i="61" a="1"/>
  <c r="W121" i="61" s="1"/>
  <c r="V121" i="61" a="1"/>
  <c r="V121" i="61" s="1"/>
  <c r="U121" i="61" a="1"/>
  <c r="U121" i="61" s="1"/>
  <c r="T121" i="61" a="1"/>
  <c r="T121" i="61" s="1"/>
  <c r="S121" i="61" a="1"/>
  <c r="S121" i="61" s="1"/>
  <c r="R121" i="61" a="1"/>
  <c r="R121" i="61" s="1"/>
  <c r="Q121" i="61" a="1"/>
  <c r="Q121" i="61" s="1"/>
  <c r="P121" i="61" a="1"/>
  <c r="P121" i="61" s="1"/>
  <c r="O121" i="61" a="1"/>
  <c r="O121" i="61" s="1"/>
  <c r="N121" i="61" a="1"/>
  <c r="N121" i="61" s="1"/>
  <c r="M121" i="61" a="1"/>
  <c r="M121" i="61" s="1"/>
  <c r="L121" i="61" a="1"/>
  <c r="L121" i="61" s="1"/>
  <c r="K121" i="61" a="1"/>
  <c r="K121" i="61" s="1"/>
  <c r="J121" i="61" a="1"/>
  <c r="J121" i="61" s="1"/>
  <c r="I121" i="61" a="1"/>
  <c r="I121" i="61" s="1"/>
  <c r="H121" i="61" a="1"/>
  <c r="H121" i="61" s="1"/>
  <c r="G121" i="61" a="1"/>
  <c r="G121" i="61" s="1"/>
  <c r="F121" i="61" a="1"/>
  <c r="F121" i="61" s="1"/>
  <c r="E121" i="61" a="1"/>
  <c r="E121" i="61" s="1"/>
  <c r="D121" i="61" a="1"/>
  <c r="D121" i="61" s="1"/>
  <c r="AE120" i="61" a="1"/>
  <c r="AE120" i="61" s="1"/>
  <c r="AD120" i="61" a="1"/>
  <c r="AD120" i="61" s="1"/>
  <c r="AC120" i="61" a="1"/>
  <c r="AC120" i="61" s="1"/>
  <c r="AB120" i="61" a="1"/>
  <c r="AB120" i="61" s="1"/>
  <c r="AA120" i="61" a="1"/>
  <c r="AA120" i="61" s="1"/>
  <c r="Z120" i="61" a="1"/>
  <c r="Z120" i="61" s="1"/>
  <c r="Y120" i="61" a="1"/>
  <c r="Y120" i="61" s="1"/>
  <c r="X120" i="61" a="1"/>
  <c r="X120" i="61" s="1"/>
  <c r="W120" i="61" a="1"/>
  <c r="W120" i="61" s="1"/>
  <c r="V120" i="61" a="1"/>
  <c r="V120" i="61" s="1"/>
  <c r="U120" i="61" a="1"/>
  <c r="U120" i="61" s="1"/>
  <c r="T120" i="61" a="1"/>
  <c r="T120" i="61" s="1"/>
  <c r="S120" i="61" a="1"/>
  <c r="S120" i="61" s="1"/>
  <c r="R120" i="61" a="1"/>
  <c r="R120" i="61" s="1"/>
  <c r="Q120" i="61" a="1"/>
  <c r="Q120" i="61" s="1"/>
  <c r="P120" i="61" a="1"/>
  <c r="P120" i="61" s="1"/>
  <c r="O120" i="61" a="1"/>
  <c r="O120" i="61" s="1"/>
  <c r="N120" i="61" a="1"/>
  <c r="N120" i="61" s="1"/>
  <c r="M120" i="61" a="1"/>
  <c r="M120" i="61" s="1"/>
  <c r="L120" i="61" a="1"/>
  <c r="L120" i="61" s="1"/>
  <c r="K120" i="61" a="1"/>
  <c r="K120" i="61" s="1"/>
  <c r="J120" i="61" a="1"/>
  <c r="J120" i="61" s="1"/>
  <c r="I120" i="61" a="1"/>
  <c r="I120" i="61" s="1"/>
  <c r="H120" i="61" a="1"/>
  <c r="H120" i="61" s="1"/>
  <c r="G120" i="61" a="1"/>
  <c r="G120" i="61" s="1"/>
  <c r="F120" i="61" a="1"/>
  <c r="F120" i="61" s="1"/>
  <c r="E120" i="61" a="1"/>
  <c r="E120" i="61" s="1"/>
  <c r="D120" i="61" a="1"/>
  <c r="D120" i="61" s="1"/>
  <c r="AE119" i="61" a="1"/>
  <c r="AE119" i="61" s="1"/>
  <c r="AD119" i="61" a="1"/>
  <c r="AD119" i="61" s="1"/>
  <c r="AC119" i="61" a="1"/>
  <c r="AC119" i="61" s="1"/>
  <c r="AB119" i="61" a="1"/>
  <c r="AB119" i="61" s="1"/>
  <c r="AA119" i="61" a="1"/>
  <c r="AA119" i="61" s="1"/>
  <c r="Z119" i="61" a="1"/>
  <c r="Z119" i="61" s="1"/>
  <c r="Y119" i="61" a="1"/>
  <c r="Y119" i="61" s="1"/>
  <c r="X119" i="61" a="1"/>
  <c r="X119" i="61" s="1"/>
  <c r="W119" i="61" a="1"/>
  <c r="W119" i="61" s="1"/>
  <c r="V119" i="61" a="1"/>
  <c r="V119" i="61" s="1"/>
  <c r="U119" i="61" a="1"/>
  <c r="U119" i="61" s="1"/>
  <c r="T119" i="61" a="1"/>
  <c r="T119" i="61" s="1"/>
  <c r="S119" i="61" a="1"/>
  <c r="S119" i="61" s="1"/>
  <c r="R119" i="61" a="1"/>
  <c r="R119" i="61" s="1"/>
  <c r="Q119" i="61" a="1"/>
  <c r="Q119" i="61" s="1"/>
  <c r="P119" i="61" a="1"/>
  <c r="P119" i="61" s="1"/>
  <c r="O119" i="61" a="1"/>
  <c r="O119" i="61" s="1"/>
  <c r="N119" i="61" a="1"/>
  <c r="N119" i="61" s="1"/>
  <c r="M119" i="61" a="1"/>
  <c r="M119" i="61" s="1"/>
  <c r="L119" i="61" a="1"/>
  <c r="L119" i="61" s="1"/>
  <c r="K119" i="61" a="1"/>
  <c r="K119" i="61" s="1"/>
  <c r="J119" i="61" a="1"/>
  <c r="J119" i="61" s="1"/>
  <c r="I119" i="61" a="1"/>
  <c r="I119" i="61" s="1"/>
  <c r="H119" i="61" a="1"/>
  <c r="H119" i="61" s="1"/>
  <c r="G119" i="61" a="1"/>
  <c r="G119" i="61" s="1"/>
  <c r="F119" i="61" a="1"/>
  <c r="F119" i="61" s="1"/>
  <c r="E119" i="61" a="1"/>
  <c r="E119" i="61" s="1"/>
  <c r="D119" i="61" a="1"/>
  <c r="D119" i="61" s="1"/>
  <c r="AE118" i="61" a="1"/>
  <c r="AE118" i="61" s="1"/>
  <c r="AD118" i="61" a="1"/>
  <c r="AD118" i="61" s="1"/>
  <c r="AC118" i="61" a="1"/>
  <c r="AC118" i="61" s="1"/>
  <c r="AB118" i="61" a="1"/>
  <c r="AB118" i="61" s="1"/>
  <c r="AA118" i="61" a="1"/>
  <c r="AA118" i="61" s="1"/>
  <c r="Z118" i="61" a="1"/>
  <c r="Z118" i="61" s="1"/>
  <c r="Y118" i="61" a="1"/>
  <c r="Y118" i="61" s="1"/>
  <c r="X118" i="61" a="1"/>
  <c r="X118" i="61" s="1"/>
  <c r="W118" i="61" a="1"/>
  <c r="W118" i="61" s="1"/>
  <c r="V118" i="61" a="1"/>
  <c r="V118" i="61" s="1"/>
  <c r="U118" i="61" a="1"/>
  <c r="U118" i="61" s="1"/>
  <c r="T118" i="61" a="1"/>
  <c r="T118" i="61" s="1"/>
  <c r="S118" i="61" a="1"/>
  <c r="S118" i="61" s="1"/>
  <c r="R118" i="61" a="1"/>
  <c r="R118" i="61" s="1"/>
  <c r="Q118" i="61" a="1"/>
  <c r="Q118" i="61" s="1"/>
  <c r="P118" i="61" a="1"/>
  <c r="P118" i="61" s="1"/>
  <c r="O118" i="61" a="1"/>
  <c r="O118" i="61" s="1"/>
  <c r="N118" i="61" a="1"/>
  <c r="N118" i="61" s="1"/>
  <c r="M118" i="61" a="1"/>
  <c r="M118" i="61" s="1"/>
  <c r="L118" i="61" a="1"/>
  <c r="L118" i="61" s="1"/>
  <c r="K118" i="61" a="1"/>
  <c r="K118" i="61" s="1"/>
  <c r="J118" i="61" a="1"/>
  <c r="J118" i="61" s="1"/>
  <c r="I118" i="61" a="1"/>
  <c r="I118" i="61" s="1"/>
  <c r="H118" i="61" a="1"/>
  <c r="H118" i="61" s="1"/>
  <c r="G118" i="61" a="1"/>
  <c r="G118" i="61" s="1"/>
  <c r="F118" i="61" a="1"/>
  <c r="F118" i="61" s="1"/>
  <c r="E118" i="61" a="1"/>
  <c r="E118" i="61" s="1"/>
  <c r="D118" i="61" a="1"/>
  <c r="D118" i="61" s="1"/>
  <c r="AE117" i="61" a="1"/>
  <c r="AE117" i="61" s="1"/>
  <c r="AD117" i="61" a="1"/>
  <c r="AD117" i="61" s="1"/>
  <c r="AC117" i="61" a="1"/>
  <c r="AC117" i="61" s="1"/>
  <c r="AB117" i="61" a="1"/>
  <c r="AB117" i="61" s="1"/>
  <c r="AA117" i="61" a="1"/>
  <c r="AA117" i="61" s="1"/>
  <c r="Z117" i="61" a="1"/>
  <c r="Z117" i="61" s="1"/>
  <c r="Y117" i="61" a="1"/>
  <c r="Y117" i="61" s="1"/>
  <c r="X117" i="61" a="1"/>
  <c r="X117" i="61" s="1"/>
  <c r="W117" i="61" a="1"/>
  <c r="W117" i="61" s="1"/>
  <c r="V117" i="61" a="1"/>
  <c r="V117" i="61" s="1"/>
  <c r="U117" i="61" a="1"/>
  <c r="U117" i="61" s="1"/>
  <c r="T117" i="61" a="1"/>
  <c r="T117" i="61" s="1"/>
  <c r="S117" i="61" a="1"/>
  <c r="S117" i="61" s="1"/>
  <c r="R117" i="61" a="1"/>
  <c r="R117" i="61" s="1"/>
  <c r="Q117" i="61" a="1"/>
  <c r="Q117" i="61" s="1"/>
  <c r="P117" i="61" a="1"/>
  <c r="P117" i="61" s="1"/>
  <c r="O117" i="61" a="1"/>
  <c r="O117" i="61" s="1"/>
  <c r="N117" i="61" a="1"/>
  <c r="N117" i="61" s="1"/>
  <c r="M117" i="61" a="1"/>
  <c r="M117" i="61" s="1"/>
  <c r="L117" i="61" a="1"/>
  <c r="L117" i="61" s="1"/>
  <c r="K117" i="61" a="1"/>
  <c r="K117" i="61" s="1"/>
  <c r="J117" i="61" a="1"/>
  <c r="J117" i="61" s="1"/>
  <c r="I117" i="61" a="1"/>
  <c r="I117" i="61" s="1"/>
  <c r="H117" i="61" a="1"/>
  <c r="H117" i="61" s="1"/>
  <c r="G117" i="61" a="1"/>
  <c r="G117" i="61" s="1"/>
  <c r="F117" i="61" a="1"/>
  <c r="F117" i="61" s="1"/>
  <c r="E117" i="61" a="1"/>
  <c r="E117" i="61" s="1"/>
  <c r="D117" i="61" a="1"/>
  <c r="D117" i="61" s="1"/>
  <c r="AE116" i="61" a="1"/>
  <c r="AE116" i="61" s="1"/>
  <c r="AD116" i="61" a="1"/>
  <c r="AD116" i="61" s="1"/>
  <c r="AC116" i="61" a="1"/>
  <c r="AC116" i="61" s="1"/>
  <c r="AB116" i="61" a="1"/>
  <c r="AB116" i="61" s="1"/>
  <c r="AA116" i="61" a="1"/>
  <c r="AA116" i="61" s="1"/>
  <c r="Z116" i="61" a="1"/>
  <c r="Z116" i="61" s="1"/>
  <c r="Y116" i="61" a="1"/>
  <c r="Y116" i="61" s="1"/>
  <c r="X116" i="61" a="1"/>
  <c r="X116" i="61" s="1"/>
  <c r="W116" i="61" a="1"/>
  <c r="W116" i="61" s="1"/>
  <c r="V116" i="61" a="1"/>
  <c r="V116" i="61" s="1"/>
  <c r="U116" i="61" a="1"/>
  <c r="U116" i="61" s="1"/>
  <c r="T116" i="61" a="1"/>
  <c r="T116" i="61" s="1"/>
  <c r="S116" i="61" a="1"/>
  <c r="S116" i="61" s="1"/>
  <c r="R116" i="61" a="1"/>
  <c r="R116" i="61" s="1"/>
  <c r="Q116" i="61" a="1"/>
  <c r="Q116" i="61" s="1"/>
  <c r="P116" i="61" a="1"/>
  <c r="P116" i="61" s="1"/>
  <c r="O116" i="61" a="1"/>
  <c r="O116" i="61" s="1"/>
  <c r="N116" i="61" a="1"/>
  <c r="N116" i="61" s="1"/>
  <c r="M116" i="61" a="1"/>
  <c r="M116" i="61" s="1"/>
  <c r="L116" i="61" a="1"/>
  <c r="L116" i="61" s="1"/>
  <c r="K116" i="61" a="1"/>
  <c r="K116" i="61" s="1"/>
  <c r="J116" i="61" a="1"/>
  <c r="J116" i="61" s="1"/>
  <c r="I116" i="61" a="1"/>
  <c r="I116" i="61" s="1"/>
  <c r="H116" i="61" a="1"/>
  <c r="H116" i="61" s="1"/>
  <c r="G116" i="61" a="1"/>
  <c r="G116" i="61" s="1"/>
  <c r="F116" i="61" a="1"/>
  <c r="F116" i="61" s="1"/>
  <c r="E116" i="61" a="1"/>
  <c r="E116" i="61" s="1"/>
  <c r="D116" i="61" a="1"/>
  <c r="D116" i="61" s="1"/>
  <c r="AE115" i="61" a="1"/>
  <c r="AE115" i="61" s="1"/>
  <c r="AD115" i="61" a="1"/>
  <c r="AD115" i="61" s="1"/>
  <c r="AC115" i="61" a="1"/>
  <c r="AC115" i="61" s="1"/>
  <c r="AB115" i="61" a="1"/>
  <c r="AB115" i="61" s="1"/>
  <c r="AA115" i="61" a="1"/>
  <c r="AA115" i="61" s="1"/>
  <c r="Z115" i="61" a="1"/>
  <c r="Z115" i="61" s="1"/>
  <c r="Y115" i="61" a="1"/>
  <c r="Y115" i="61" s="1"/>
  <c r="X115" i="61" a="1"/>
  <c r="X115" i="61" s="1"/>
  <c r="W115" i="61" a="1"/>
  <c r="W115" i="61" s="1"/>
  <c r="V115" i="61" a="1"/>
  <c r="V115" i="61" s="1"/>
  <c r="U115" i="61" a="1"/>
  <c r="U115" i="61" s="1"/>
  <c r="T115" i="61" a="1"/>
  <c r="T115" i="61" s="1"/>
  <c r="S115" i="61" a="1"/>
  <c r="S115" i="61" s="1"/>
  <c r="R115" i="61" a="1"/>
  <c r="R115" i="61" s="1"/>
  <c r="Q115" i="61" a="1"/>
  <c r="Q115" i="61" s="1"/>
  <c r="P115" i="61" a="1"/>
  <c r="P115" i="61" s="1"/>
  <c r="O115" i="61" a="1"/>
  <c r="O115" i="61" s="1"/>
  <c r="N115" i="61" a="1"/>
  <c r="N115" i="61" s="1"/>
  <c r="M115" i="61" a="1"/>
  <c r="M115" i="61" s="1"/>
  <c r="L115" i="61" a="1"/>
  <c r="L115" i="61" s="1"/>
  <c r="K115" i="61" a="1"/>
  <c r="K115" i="61" s="1"/>
  <c r="J115" i="61" a="1"/>
  <c r="J115" i="61" s="1"/>
  <c r="I115" i="61" a="1"/>
  <c r="I115" i="61" s="1"/>
  <c r="H115" i="61" a="1"/>
  <c r="H115" i="61" s="1"/>
  <c r="G115" i="61" a="1"/>
  <c r="G115" i="61" s="1"/>
  <c r="F115" i="61" a="1"/>
  <c r="F115" i="61" s="1"/>
  <c r="E115" i="61" a="1"/>
  <c r="E115" i="61" s="1"/>
  <c r="D115" i="61" a="1"/>
  <c r="D115" i="61" s="1"/>
  <c r="AE114" i="61" a="1"/>
  <c r="AE114" i="61" s="1"/>
  <c r="AD114" i="61" a="1"/>
  <c r="AD114" i="61" s="1"/>
  <c r="AC114" i="61" a="1"/>
  <c r="AC114" i="61" s="1"/>
  <c r="AB114" i="61" a="1"/>
  <c r="AB114" i="61" s="1"/>
  <c r="AA114" i="61" a="1"/>
  <c r="AA114" i="61" s="1"/>
  <c r="Z114" i="61" a="1"/>
  <c r="Z114" i="61" s="1"/>
  <c r="Y114" i="61" a="1"/>
  <c r="Y114" i="61" s="1"/>
  <c r="X114" i="61" a="1"/>
  <c r="X114" i="61" s="1"/>
  <c r="W114" i="61" a="1"/>
  <c r="W114" i="61" s="1"/>
  <c r="V114" i="61" a="1"/>
  <c r="V114" i="61" s="1"/>
  <c r="U114" i="61" a="1"/>
  <c r="U114" i="61" s="1"/>
  <c r="T114" i="61" a="1"/>
  <c r="T114" i="61" s="1"/>
  <c r="S114" i="61" a="1"/>
  <c r="S114" i="61" s="1"/>
  <c r="R114" i="61" a="1"/>
  <c r="R114" i="61" s="1"/>
  <c r="Q114" i="61" a="1"/>
  <c r="Q114" i="61" s="1"/>
  <c r="P114" i="61" a="1"/>
  <c r="P114" i="61" s="1"/>
  <c r="O114" i="61" a="1"/>
  <c r="O114" i="61" s="1"/>
  <c r="N114" i="61" a="1"/>
  <c r="N114" i="61" s="1"/>
  <c r="M114" i="61" a="1"/>
  <c r="M114" i="61" s="1"/>
  <c r="L114" i="61" a="1"/>
  <c r="L114" i="61" s="1"/>
  <c r="K114" i="61" a="1"/>
  <c r="K114" i="61" s="1"/>
  <c r="J114" i="61" a="1"/>
  <c r="J114" i="61" s="1"/>
  <c r="I114" i="61" a="1"/>
  <c r="I114" i="61" s="1"/>
  <c r="H114" i="61" a="1"/>
  <c r="H114" i="61" s="1"/>
  <c r="G114" i="61" a="1"/>
  <c r="G114" i="61" s="1"/>
  <c r="F114" i="61" a="1"/>
  <c r="F114" i="61" s="1"/>
  <c r="E114" i="61" a="1"/>
  <c r="E114" i="61" s="1"/>
  <c r="D114" i="61" a="1"/>
  <c r="D114" i="61" s="1"/>
  <c r="AE113" i="61" a="1"/>
  <c r="AE113" i="61" s="1"/>
  <c r="AD113" i="61" a="1"/>
  <c r="AD113" i="61" s="1"/>
  <c r="AC113" i="61" a="1"/>
  <c r="AC113" i="61" s="1"/>
  <c r="AB113" i="61" a="1"/>
  <c r="AB113" i="61" s="1"/>
  <c r="AA113" i="61" a="1"/>
  <c r="AA113" i="61" s="1"/>
  <c r="Z113" i="61" a="1"/>
  <c r="Z113" i="61" s="1"/>
  <c r="Y113" i="61" a="1"/>
  <c r="Y113" i="61" s="1"/>
  <c r="X113" i="61" a="1"/>
  <c r="X113" i="61" s="1"/>
  <c r="W113" i="61" a="1"/>
  <c r="W113" i="61" s="1"/>
  <c r="V113" i="61" a="1"/>
  <c r="V113" i="61" s="1"/>
  <c r="U113" i="61" a="1"/>
  <c r="U113" i="61" s="1"/>
  <c r="T113" i="61" a="1"/>
  <c r="T113" i="61" s="1"/>
  <c r="S113" i="61" a="1"/>
  <c r="S113" i="61" s="1"/>
  <c r="R113" i="61" a="1"/>
  <c r="R113" i="61" s="1"/>
  <c r="Q113" i="61" a="1"/>
  <c r="Q113" i="61" s="1"/>
  <c r="P113" i="61" a="1"/>
  <c r="P113" i="61" s="1"/>
  <c r="O113" i="61" a="1"/>
  <c r="O113" i="61" s="1"/>
  <c r="N113" i="61" a="1"/>
  <c r="N113" i="61" s="1"/>
  <c r="M113" i="61" a="1"/>
  <c r="M113" i="61" s="1"/>
  <c r="L113" i="61" a="1"/>
  <c r="L113" i="61" s="1"/>
  <c r="K113" i="61" a="1"/>
  <c r="K113" i="61" s="1"/>
  <c r="J113" i="61" a="1"/>
  <c r="J113" i="61" s="1"/>
  <c r="I113" i="61" a="1"/>
  <c r="I113" i="61" s="1"/>
  <c r="H113" i="61" a="1"/>
  <c r="H113" i="61" s="1"/>
  <c r="G113" i="61" a="1"/>
  <c r="G113" i="61" s="1"/>
  <c r="F113" i="61" a="1"/>
  <c r="F113" i="61" s="1"/>
  <c r="E113" i="61" a="1"/>
  <c r="E113" i="61" s="1"/>
  <c r="D113" i="61" a="1"/>
  <c r="D113" i="61" s="1"/>
  <c r="AE112" i="61" a="1"/>
  <c r="AE112" i="61" s="1"/>
  <c r="AD112" i="61" a="1"/>
  <c r="AD112" i="61" s="1"/>
  <c r="AC112" i="61" a="1"/>
  <c r="AC112" i="61" s="1"/>
  <c r="AB112" i="61" a="1"/>
  <c r="AB112" i="61" s="1"/>
  <c r="AA112" i="61" a="1"/>
  <c r="AA112" i="61" s="1"/>
  <c r="Z112" i="61" a="1"/>
  <c r="Z112" i="61" s="1"/>
  <c r="Y112" i="61" a="1"/>
  <c r="Y112" i="61" s="1"/>
  <c r="X112" i="61" a="1"/>
  <c r="X112" i="61" s="1"/>
  <c r="W112" i="61" a="1"/>
  <c r="W112" i="61" s="1"/>
  <c r="V112" i="61" a="1"/>
  <c r="V112" i="61" s="1"/>
  <c r="U112" i="61" a="1"/>
  <c r="U112" i="61" s="1"/>
  <c r="T112" i="61" a="1"/>
  <c r="T112" i="61" s="1"/>
  <c r="S112" i="61" a="1"/>
  <c r="S112" i="61" s="1"/>
  <c r="R112" i="61" a="1"/>
  <c r="R112" i="61" s="1"/>
  <c r="Q112" i="61" a="1"/>
  <c r="Q112" i="61" s="1"/>
  <c r="P112" i="61" a="1"/>
  <c r="P112" i="61" s="1"/>
  <c r="O112" i="61" a="1"/>
  <c r="O112" i="61" s="1"/>
  <c r="N112" i="61" a="1"/>
  <c r="N112" i="61" s="1"/>
  <c r="M112" i="61" a="1"/>
  <c r="M112" i="61" s="1"/>
  <c r="L112" i="61" a="1"/>
  <c r="L112" i="61" s="1"/>
  <c r="K112" i="61" a="1"/>
  <c r="K112" i="61" s="1"/>
  <c r="J112" i="61" a="1"/>
  <c r="J112" i="61" s="1"/>
  <c r="I112" i="61" a="1"/>
  <c r="I112" i="61" s="1"/>
  <c r="H112" i="61" a="1"/>
  <c r="H112" i="61" s="1"/>
  <c r="G112" i="61" a="1"/>
  <c r="G112" i="61" s="1"/>
  <c r="F112" i="61" a="1"/>
  <c r="F112" i="61" s="1"/>
  <c r="E112" i="61" a="1"/>
  <c r="E112" i="61" s="1"/>
  <c r="D112" i="61" a="1"/>
  <c r="D112" i="61" s="1"/>
  <c r="AE111" i="61" a="1"/>
  <c r="AE111" i="61" s="1"/>
  <c r="AD111" i="61" a="1"/>
  <c r="AD111" i="61" s="1"/>
  <c r="AC111" i="61" a="1"/>
  <c r="AC111" i="61" s="1"/>
  <c r="AB111" i="61" a="1"/>
  <c r="AB111" i="61" s="1"/>
  <c r="AA111" i="61" a="1"/>
  <c r="AA111" i="61" s="1"/>
  <c r="Z111" i="61" a="1"/>
  <c r="Z111" i="61" s="1"/>
  <c r="Y111" i="61" a="1"/>
  <c r="Y111" i="61" s="1"/>
  <c r="X111" i="61" a="1"/>
  <c r="X111" i="61" s="1"/>
  <c r="W111" i="61" a="1"/>
  <c r="W111" i="61" s="1"/>
  <c r="V111" i="61" a="1"/>
  <c r="V111" i="61" s="1"/>
  <c r="U111" i="61" a="1"/>
  <c r="U111" i="61" s="1"/>
  <c r="T111" i="61" a="1"/>
  <c r="T111" i="61" s="1"/>
  <c r="S111" i="61" a="1"/>
  <c r="S111" i="61" s="1"/>
  <c r="R111" i="61" a="1"/>
  <c r="R111" i="61" s="1"/>
  <c r="Q111" i="61" a="1"/>
  <c r="Q111" i="61" s="1"/>
  <c r="P111" i="61" a="1"/>
  <c r="P111" i="61" s="1"/>
  <c r="O111" i="61" a="1"/>
  <c r="O111" i="61" s="1"/>
  <c r="N111" i="61" a="1"/>
  <c r="N111" i="61" s="1"/>
  <c r="M111" i="61" a="1"/>
  <c r="M111" i="61" s="1"/>
  <c r="L111" i="61" a="1"/>
  <c r="L111" i="61" s="1"/>
  <c r="K111" i="61" a="1"/>
  <c r="K111" i="61" s="1"/>
  <c r="J111" i="61" a="1"/>
  <c r="J111" i="61" s="1"/>
  <c r="I111" i="61" a="1"/>
  <c r="I111" i="61" s="1"/>
  <c r="H111" i="61" a="1"/>
  <c r="H111" i="61" s="1"/>
  <c r="G111" i="61" a="1"/>
  <c r="G111" i="61" s="1"/>
  <c r="F111" i="61" a="1"/>
  <c r="F111" i="61" s="1"/>
  <c r="E111" i="61" a="1"/>
  <c r="E111" i="61" s="1"/>
  <c r="D111" i="61" a="1"/>
  <c r="D111" i="61" s="1"/>
  <c r="AE110" i="61" a="1"/>
  <c r="AE110" i="61" s="1"/>
  <c r="AD110" i="61" a="1"/>
  <c r="AD110" i="61" s="1"/>
  <c r="AC110" i="61" a="1"/>
  <c r="AC110" i="61" s="1"/>
  <c r="AB110" i="61" a="1"/>
  <c r="AB110" i="61" s="1"/>
  <c r="AA110" i="61" a="1"/>
  <c r="AA110" i="61" s="1"/>
  <c r="Z110" i="61" a="1"/>
  <c r="Z110" i="61" s="1"/>
  <c r="Y110" i="61" a="1"/>
  <c r="Y110" i="61" s="1"/>
  <c r="X110" i="61" a="1"/>
  <c r="X110" i="61" s="1"/>
  <c r="W110" i="61" a="1"/>
  <c r="W110" i="61" s="1"/>
  <c r="V110" i="61" a="1"/>
  <c r="V110" i="61" s="1"/>
  <c r="U110" i="61" a="1"/>
  <c r="U110" i="61" s="1"/>
  <c r="T110" i="61" a="1"/>
  <c r="T110" i="61" s="1"/>
  <c r="S110" i="61" a="1"/>
  <c r="S110" i="61" s="1"/>
  <c r="R110" i="61" a="1"/>
  <c r="R110" i="61" s="1"/>
  <c r="Q110" i="61" a="1"/>
  <c r="Q110" i="61" s="1"/>
  <c r="P110" i="61" a="1"/>
  <c r="P110" i="61" s="1"/>
  <c r="O110" i="61" a="1"/>
  <c r="O110" i="61" s="1"/>
  <c r="N110" i="61" a="1"/>
  <c r="N110" i="61" s="1"/>
  <c r="M110" i="61" a="1"/>
  <c r="M110" i="61" s="1"/>
  <c r="L110" i="61" a="1"/>
  <c r="L110" i="61" s="1"/>
  <c r="K110" i="61" a="1"/>
  <c r="K110" i="61" s="1"/>
  <c r="J110" i="61" a="1"/>
  <c r="J110" i="61" s="1"/>
  <c r="I110" i="61" a="1"/>
  <c r="I110" i="61" s="1"/>
  <c r="H110" i="61" a="1"/>
  <c r="H110" i="61" s="1"/>
  <c r="G110" i="61" a="1"/>
  <c r="G110" i="61" s="1"/>
  <c r="F110" i="61" a="1"/>
  <c r="F110" i="61" s="1"/>
  <c r="E110" i="61" a="1"/>
  <c r="E110" i="61" s="1"/>
  <c r="D110" i="61" a="1"/>
  <c r="D110" i="61" s="1"/>
  <c r="AE109" i="61" a="1"/>
  <c r="AE109" i="61" s="1"/>
  <c r="AD109" i="61" a="1"/>
  <c r="AD109" i="61" s="1"/>
  <c r="AC109" i="61" a="1"/>
  <c r="AC109" i="61" s="1"/>
  <c r="AB109" i="61" a="1"/>
  <c r="AB109" i="61" s="1"/>
  <c r="AA109" i="61" a="1"/>
  <c r="AA109" i="61" s="1"/>
  <c r="Z109" i="61" a="1"/>
  <c r="Z109" i="61" s="1"/>
  <c r="Y109" i="61" a="1"/>
  <c r="Y109" i="61" s="1"/>
  <c r="X109" i="61" a="1"/>
  <c r="X109" i="61" s="1"/>
  <c r="W109" i="61" a="1"/>
  <c r="W109" i="61" s="1"/>
  <c r="V109" i="61" a="1"/>
  <c r="V109" i="61" s="1"/>
  <c r="U109" i="61" a="1"/>
  <c r="U109" i="61" s="1"/>
  <c r="T109" i="61" a="1"/>
  <c r="T109" i="61" s="1"/>
  <c r="S109" i="61" a="1"/>
  <c r="S109" i="61" s="1"/>
  <c r="R109" i="61" a="1"/>
  <c r="R109" i="61" s="1"/>
  <c r="Q109" i="61" a="1"/>
  <c r="Q109" i="61" s="1"/>
  <c r="P109" i="61" a="1"/>
  <c r="P109" i="61" s="1"/>
  <c r="O109" i="61" a="1"/>
  <c r="O109" i="61" s="1"/>
  <c r="N109" i="61" a="1"/>
  <c r="N109" i="61" s="1"/>
  <c r="M109" i="61" a="1"/>
  <c r="M109" i="61" s="1"/>
  <c r="L109" i="61" a="1"/>
  <c r="L109" i="61" s="1"/>
  <c r="K109" i="61" a="1"/>
  <c r="K109" i="61" s="1"/>
  <c r="J109" i="61" a="1"/>
  <c r="J109" i="61" s="1"/>
  <c r="I109" i="61" a="1"/>
  <c r="I109" i="61" s="1"/>
  <c r="H109" i="61" a="1"/>
  <c r="H109" i="61" s="1"/>
  <c r="G109" i="61" a="1"/>
  <c r="G109" i="61" s="1"/>
  <c r="F109" i="61" a="1"/>
  <c r="F109" i="61" s="1"/>
  <c r="E109" i="61" a="1"/>
  <c r="E109" i="61" s="1"/>
  <c r="D109" i="61" a="1"/>
  <c r="D109" i="61" s="1"/>
  <c r="AE108" i="61" a="1"/>
  <c r="AE108" i="61" s="1"/>
  <c r="AD108" i="61" a="1"/>
  <c r="AD108" i="61" s="1"/>
  <c r="AC108" i="61" a="1"/>
  <c r="AC108" i="61" s="1"/>
  <c r="AB108" i="61" a="1"/>
  <c r="AB108" i="61" s="1"/>
  <c r="AA108" i="61" a="1"/>
  <c r="AA108" i="61" s="1"/>
  <c r="Z108" i="61" a="1"/>
  <c r="Z108" i="61" s="1"/>
  <c r="Y108" i="61" a="1"/>
  <c r="Y108" i="61" s="1"/>
  <c r="X108" i="61" a="1"/>
  <c r="X108" i="61" s="1"/>
  <c r="W108" i="61" a="1"/>
  <c r="W108" i="61" s="1"/>
  <c r="V108" i="61" a="1"/>
  <c r="V108" i="61" s="1"/>
  <c r="U108" i="61" a="1"/>
  <c r="U108" i="61" s="1"/>
  <c r="T108" i="61" a="1"/>
  <c r="T108" i="61" s="1"/>
  <c r="S108" i="61" a="1"/>
  <c r="S108" i="61" s="1"/>
  <c r="R108" i="61" a="1"/>
  <c r="R108" i="61" s="1"/>
  <c r="Q108" i="61" a="1"/>
  <c r="Q108" i="61" s="1"/>
  <c r="P108" i="61" a="1"/>
  <c r="P108" i="61" s="1"/>
  <c r="O108" i="61" a="1"/>
  <c r="O108" i="61" s="1"/>
  <c r="N108" i="61" a="1"/>
  <c r="N108" i="61" s="1"/>
  <c r="M108" i="61" a="1"/>
  <c r="M108" i="61" s="1"/>
  <c r="L108" i="61" a="1"/>
  <c r="L108" i="61" s="1"/>
  <c r="K108" i="61" a="1"/>
  <c r="K108" i="61" s="1"/>
  <c r="J108" i="61" a="1"/>
  <c r="J108" i="61" s="1"/>
  <c r="I108" i="61" a="1"/>
  <c r="I108" i="61" s="1"/>
  <c r="H108" i="61" a="1"/>
  <c r="H108" i="61" s="1"/>
  <c r="G108" i="61" a="1"/>
  <c r="G108" i="61" s="1"/>
  <c r="F108" i="61" a="1"/>
  <c r="F108" i="61" s="1"/>
  <c r="E108" i="61" a="1"/>
  <c r="E108" i="61" s="1"/>
  <c r="D108" i="61" a="1"/>
  <c r="D108" i="61" s="1"/>
  <c r="AE107" i="61" a="1"/>
  <c r="AE107" i="61" s="1"/>
  <c r="AD107" i="61" a="1"/>
  <c r="AD107" i="61" s="1"/>
  <c r="AC107" i="61" a="1"/>
  <c r="AC107" i="61" s="1"/>
  <c r="AB107" i="61" a="1"/>
  <c r="AB107" i="61" s="1"/>
  <c r="AA107" i="61" a="1"/>
  <c r="AA107" i="61" s="1"/>
  <c r="Z107" i="61" a="1"/>
  <c r="Z107" i="61" s="1"/>
  <c r="Y107" i="61" a="1"/>
  <c r="Y107" i="61" s="1"/>
  <c r="X107" i="61" a="1"/>
  <c r="X107" i="61" s="1"/>
  <c r="W107" i="61" a="1"/>
  <c r="W107" i="61" s="1"/>
  <c r="V107" i="61" a="1"/>
  <c r="V107" i="61" s="1"/>
  <c r="U107" i="61" a="1"/>
  <c r="U107" i="61" s="1"/>
  <c r="T107" i="61" a="1"/>
  <c r="T107" i="61" s="1"/>
  <c r="S107" i="61" a="1"/>
  <c r="S107" i="61" s="1"/>
  <c r="R107" i="61" a="1"/>
  <c r="R107" i="61" s="1"/>
  <c r="Q107" i="61" a="1"/>
  <c r="Q107" i="61" s="1"/>
  <c r="P107" i="61" a="1"/>
  <c r="P107" i="61" s="1"/>
  <c r="O107" i="61" a="1"/>
  <c r="O107" i="61" s="1"/>
  <c r="N107" i="61" a="1"/>
  <c r="N107" i="61" s="1"/>
  <c r="M107" i="61" a="1"/>
  <c r="M107" i="61" s="1"/>
  <c r="L107" i="61" a="1"/>
  <c r="L107" i="61" s="1"/>
  <c r="K107" i="61" a="1"/>
  <c r="K107" i="61" s="1"/>
  <c r="J107" i="61" a="1"/>
  <c r="J107" i="61" s="1"/>
  <c r="I107" i="61" a="1"/>
  <c r="I107" i="61" s="1"/>
  <c r="H107" i="61" a="1"/>
  <c r="H107" i="61" s="1"/>
  <c r="G107" i="61" a="1"/>
  <c r="G107" i="61" s="1"/>
  <c r="F107" i="61" a="1"/>
  <c r="F107" i="61" s="1"/>
  <c r="E107" i="61" a="1"/>
  <c r="E107" i="61" s="1"/>
  <c r="D107" i="61" a="1"/>
  <c r="D107" i="61" s="1"/>
  <c r="AE106" i="61" a="1"/>
  <c r="AE106" i="61" s="1"/>
  <c r="AD106" i="61" a="1"/>
  <c r="AD106" i="61" s="1"/>
  <c r="AC106" i="61" a="1"/>
  <c r="AC106" i="61" s="1"/>
  <c r="AB106" i="61" a="1"/>
  <c r="AB106" i="61" s="1"/>
  <c r="AA106" i="61" a="1"/>
  <c r="AA106" i="61" s="1"/>
  <c r="Z106" i="61" a="1"/>
  <c r="Z106" i="61" s="1"/>
  <c r="Y106" i="61" a="1"/>
  <c r="Y106" i="61" s="1"/>
  <c r="X106" i="61" a="1"/>
  <c r="X106" i="61" s="1"/>
  <c r="W106" i="61" a="1"/>
  <c r="W106" i="61" s="1"/>
  <c r="V106" i="61" a="1"/>
  <c r="V106" i="61" s="1"/>
  <c r="U106" i="61" a="1"/>
  <c r="U106" i="61" s="1"/>
  <c r="T106" i="61" a="1"/>
  <c r="T106" i="61" s="1"/>
  <c r="S106" i="61" a="1"/>
  <c r="S106" i="61" s="1"/>
  <c r="R106" i="61" a="1"/>
  <c r="R106" i="61" s="1"/>
  <c r="Q106" i="61" a="1"/>
  <c r="Q106" i="61" s="1"/>
  <c r="P106" i="61" a="1"/>
  <c r="P106" i="61" s="1"/>
  <c r="O106" i="61" a="1"/>
  <c r="O106" i="61" s="1"/>
  <c r="N106" i="61" a="1"/>
  <c r="N106" i="61" s="1"/>
  <c r="M106" i="61" a="1"/>
  <c r="M106" i="61" s="1"/>
  <c r="L106" i="61" a="1"/>
  <c r="L106" i="61" s="1"/>
  <c r="K106" i="61" a="1"/>
  <c r="K106" i="61" s="1"/>
  <c r="J106" i="61" a="1"/>
  <c r="J106" i="61" s="1"/>
  <c r="I106" i="61" a="1"/>
  <c r="I106" i="61" s="1"/>
  <c r="H106" i="61" a="1"/>
  <c r="H106" i="61" s="1"/>
  <c r="G106" i="61" a="1"/>
  <c r="G106" i="61" s="1"/>
  <c r="F106" i="61" a="1"/>
  <c r="F106" i="61" s="1"/>
  <c r="E106" i="61" a="1"/>
  <c r="E106" i="61" s="1"/>
  <c r="D106" i="61" a="1"/>
  <c r="D106" i="61" s="1"/>
  <c r="AE105" i="61" a="1"/>
  <c r="AE105" i="61" s="1"/>
  <c r="AD105" i="61" a="1"/>
  <c r="AD105" i="61" s="1"/>
  <c r="AC105" i="61" a="1"/>
  <c r="AC105" i="61" s="1"/>
  <c r="AB105" i="61" a="1"/>
  <c r="AB105" i="61" s="1"/>
  <c r="AA105" i="61" a="1"/>
  <c r="AA105" i="61" s="1"/>
  <c r="Z105" i="61" a="1"/>
  <c r="Z105" i="61" s="1"/>
  <c r="Y105" i="61" a="1"/>
  <c r="Y105" i="61" s="1"/>
  <c r="X105" i="61" a="1"/>
  <c r="X105" i="61" s="1"/>
  <c r="W105" i="61" a="1"/>
  <c r="W105" i="61" s="1"/>
  <c r="V105" i="61" a="1"/>
  <c r="V105" i="61" s="1"/>
  <c r="U105" i="61" a="1"/>
  <c r="U105" i="61" s="1"/>
  <c r="T105" i="61" a="1"/>
  <c r="T105" i="61" s="1"/>
  <c r="S105" i="61" a="1"/>
  <c r="S105" i="61" s="1"/>
  <c r="R105" i="61" a="1"/>
  <c r="R105" i="61" s="1"/>
  <c r="Q105" i="61" a="1"/>
  <c r="Q105" i="61" s="1"/>
  <c r="P105" i="61" a="1"/>
  <c r="P105" i="61" s="1"/>
  <c r="O105" i="61" a="1"/>
  <c r="O105" i="61" s="1"/>
  <c r="N105" i="61" a="1"/>
  <c r="N105" i="61" s="1"/>
  <c r="M105" i="61" a="1"/>
  <c r="M105" i="61" s="1"/>
  <c r="L105" i="61" a="1"/>
  <c r="L105" i="61" s="1"/>
  <c r="K105" i="61" a="1"/>
  <c r="K105" i="61" s="1"/>
  <c r="J105" i="61" a="1"/>
  <c r="J105" i="61" s="1"/>
  <c r="I105" i="61" a="1"/>
  <c r="I105" i="61" s="1"/>
  <c r="H105" i="61" a="1"/>
  <c r="H105" i="61" s="1"/>
  <c r="G105" i="61" a="1"/>
  <c r="G105" i="61" s="1"/>
  <c r="F105" i="61" a="1"/>
  <c r="F105" i="61" s="1"/>
  <c r="E105" i="61" a="1"/>
  <c r="E105" i="61" s="1"/>
  <c r="D105" i="61" a="1"/>
  <c r="D105" i="61" s="1"/>
  <c r="AE104" i="61" a="1"/>
  <c r="AE104" i="61" s="1"/>
  <c r="AD104" i="61" a="1"/>
  <c r="AD104" i="61" s="1"/>
  <c r="AC104" i="61" a="1"/>
  <c r="AC104" i="61" s="1"/>
  <c r="AB104" i="61" a="1"/>
  <c r="AB104" i="61" s="1"/>
  <c r="AA104" i="61" a="1"/>
  <c r="AA104" i="61" s="1"/>
  <c r="Z104" i="61" a="1"/>
  <c r="Z104" i="61" s="1"/>
  <c r="Y104" i="61" a="1"/>
  <c r="Y104" i="61" s="1"/>
  <c r="X104" i="61" a="1"/>
  <c r="X104" i="61" s="1"/>
  <c r="W104" i="61" a="1"/>
  <c r="W104" i="61" s="1"/>
  <c r="V104" i="61" a="1"/>
  <c r="V104" i="61" s="1"/>
  <c r="U104" i="61" a="1"/>
  <c r="U104" i="61" s="1"/>
  <c r="T104" i="61" a="1"/>
  <c r="T104" i="61" s="1"/>
  <c r="S104" i="61" a="1"/>
  <c r="S104" i="61" s="1"/>
  <c r="R104" i="61" a="1"/>
  <c r="R104" i="61" s="1"/>
  <c r="Q104" i="61" a="1"/>
  <c r="Q104" i="61" s="1"/>
  <c r="P104" i="61" a="1"/>
  <c r="P104" i="61" s="1"/>
  <c r="O104" i="61" a="1"/>
  <c r="O104" i="61" s="1"/>
  <c r="N104" i="61" a="1"/>
  <c r="N104" i="61" s="1"/>
  <c r="M104" i="61" a="1"/>
  <c r="M104" i="61" s="1"/>
  <c r="L104" i="61" a="1"/>
  <c r="L104" i="61" s="1"/>
  <c r="K104" i="61" a="1"/>
  <c r="K104" i="61" s="1"/>
  <c r="J104" i="61" a="1"/>
  <c r="J104" i="61" s="1"/>
  <c r="I104" i="61" a="1"/>
  <c r="I104" i="61" s="1"/>
  <c r="H104" i="61" a="1"/>
  <c r="H104" i="61" s="1"/>
  <c r="G104" i="61" a="1"/>
  <c r="G104" i="61" s="1"/>
  <c r="F104" i="61" a="1"/>
  <c r="F104" i="61" s="1"/>
  <c r="E104" i="61" a="1"/>
  <c r="E104" i="61" s="1"/>
  <c r="D104" i="61" a="1"/>
  <c r="D104" i="61" s="1"/>
  <c r="AE103" i="61" a="1"/>
  <c r="AE103" i="61" s="1"/>
  <c r="AD103" i="61" a="1"/>
  <c r="AD103" i="61" s="1"/>
  <c r="AC103" i="61" a="1"/>
  <c r="AC103" i="61" s="1"/>
  <c r="AB103" i="61" a="1"/>
  <c r="AB103" i="61" s="1"/>
  <c r="AA103" i="61" a="1"/>
  <c r="AA103" i="61" s="1"/>
  <c r="Z103" i="61" a="1"/>
  <c r="Z103" i="61" s="1"/>
  <c r="Y103" i="61" a="1"/>
  <c r="Y103" i="61" s="1"/>
  <c r="X103" i="61" a="1"/>
  <c r="X103" i="61" s="1"/>
  <c r="W103" i="61" a="1"/>
  <c r="W103" i="61" s="1"/>
  <c r="V103" i="61" a="1"/>
  <c r="V103" i="61" s="1"/>
  <c r="U103" i="61" a="1"/>
  <c r="U103" i="61" s="1"/>
  <c r="T103" i="61" a="1"/>
  <c r="T103" i="61" s="1"/>
  <c r="S103" i="61" a="1"/>
  <c r="S103" i="61" s="1"/>
  <c r="R103" i="61" a="1"/>
  <c r="R103" i="61" s="1"/>
  <c r="Q103" i="61" a="1"/>
  <c r="Q103" i="61" s="1"/>
  <c r="P103" i="61" a="1"/>
  <c r="P103" i="61" s="1"/>
  <c r="O103" i="61" a="1"/>
  <c r="O103" i="61" s="1"/>
  <c r="N103" i="61" a="1"/>
  <c r="N103" i="61" s="1"/>
  <c r="M103" i="61" a="1"/>
  <c r="M103" i="61" s="1"/>
  <c r="L103" i="61" a="1"/>
  <c r="L103" i="61" s="1"/>
  <c r="K103" i="61" a="1"/>
  <c r="K103" i="61" s="1"/>
  <c r="J103" i="61" a="1"/>
  <c r="J103" i="61" s="1"/>
  <c r="I103" i="61" a="1"/>
  <c r="I103" i="61" s="1"/>
  <c r="H103" i="61" a="1"/>
  <c r="H103" i="61" s="1"/>
  <c r="G103" i="61" a="1"/>
  <c r="G103" i="61" s="1"/>
  <c r="F103" i="61" a="1"/>
  <c r="F103" i="61" s="1"/>
  <c r="E103" i="61" a="1"/>
  <c r="E103" i="61" s="1"/>
  <c r="D103" i="61" a="1"/>
  <c r="D103" i="61" s="1"/>
  <c r="AE102" i="61" a="1"/>
  <c r="AE102" i="61" s="1"/>
  <c r="AD102" i="61" a="1"/>
  <c r="AD102" i="61" s="1"/>
  <c r="AC102" i="61" a="1"/>
  <c r="AC102" i="61" s="1"/>
  <c r="AB102" i="61" a="1"/>
  <c r="AB102" i="61" s="1"/>
  <c r="AA102" i="61" a="1"/>
  <c r="AA102" i="61" s="1"/>
  <c r="Z102" i="61" a="1"/>
  <c r="Z102" i="61" s="1"/>
  <c r="Y102" i="61" a="1"/>
  <c r="Y102" i="61" s="1"/>
  <c r="X102" i="61" a="1"/>
  <c r="X102" i="61" s="1"/>
  <c r="W102" i="61" a="1"/>
  <c r="W102" i="61" s="1"/>
  <c r="V102" i="61" a="1"/>
  <c r="V102" i="61" s="1"/>
  <c r="U102" i="61" a="1"/>
  <c r="U102" i="61" s="1"/>
  <c r="T102" i="61" a="1"/>
  <c r="T102" i="61" s="1"/>
  <c r="S102" i="61" a="1"/>
  <c r="S102" i="61" s="1"/>
  <c r="R102" i="61" a="1"/>
  <c r="R102" i="61" s="1"/>
  <c r="Q102" i="61" a="1"/>
  <c r="Q102" i="61" s="1"/>
  <c r="P102" i="61" a="1"/>
  <c r="P102" i="61" s="1"/>
  <c r="O102" i="61" a="1"/>
  <c r="O102" i="61" s="1"/>
  <c r="N102" i="61" a="1"/>
  <c r="N102" i="61" s="1"/>
  <c r="M102" i="61" a="1"/>
  <c r="M102" i="61" s="1"/>
  <c r="L102" i="61" a="1"/>
  <c r="L102" i="61" s="1"/>
  <c r="K102" i="61" a="1"/>
  <c r="K102" i="61" s="1"/>
  <c r="J102" i="61" a="1"/>
  <c r="J102" i="61" s="1"/>
  <c r="I102" i="61" a="1"/>
  <c r="I102" i="61" s="1"/>
  <c r="H102" i="61" a="1"/>
  <c r="H102" i="61" s="1"/>
  <c r="G102" i="61" a="1"/>
  <c r="G102" i="61" s="1"/>
  <c r="F102" i="61" a="1"/>
  <c r="F102" i="61" s="1"/>
  <c r="E102" i="61" a="1"/>
  <c r="E102" i="61" s="1"/>
  <c r="D102" i="61" a="1"/>
  <c r="D102" i="61" s="1"/>
  <c r="AE101" i="61" a="1"/>
  <c r="AE101" i="61" s="1"/>
  <c r="AD101" i="61" a="1"/>
  <c r="AD101" i="61" s="1"/>
  <c r="AC101" i="61" a="1"/>
  <c r="AC101" i="61" s="1"/>
  <c r="AB101" i="61" a="1"/>
  <c r="AB101" i="61" s="1"/>
  <c r="AA101" i="61" a="1"/>
  <c r="AA101" i="61" s="1"/>
  <c r="Z101" i="61" a="1"/>
  <c r="Z101" i="61" s="1"/>
  <c r="Y101" i="61" a="1"/>
  <c r="Y101" i="61" s="1"/>
  <c r="X101" i="61" a="1"/>
  <c r="X101" i="61" s="1"/>
  <c r="W101" i="61" a="1"/>
  <c r="W101" i="61" s="1"/>
  <c r="V101" i="61" a="1"/>
  <c r="V101" i="61" s="1"/>
  <c r="U101" i="61" a="1"/>
  <c r="U101" i="61" s="1"/>
  <c r="T101" i="61" a="1"/>
  <c r="T101" i="61" s="1"/>
  <c r="S101" i="61" a="1"/>
  <c r="S101" i="61" s="1"/>
  <c r="R101" i="61" a="1"/>
  <c r="R101" i="61" s="1"/>
  <c r="Q101" i="61" a="1"/>
  <c r="Q101" i="61" s="1"/>
  <c r="P101" i="61" a="1"/>
  <c r="P101" i="61" s="1"/>
  <c r="O101" i="61" a="1"/>
  <c r="O101" i="61" s="1"/>
  <c r="N101" i="61" a="1"/>
  <c r="N101" i="61" s="1"/>
  <c r="M101" i="61" a="1"/>
  <c r="M101" i="61" s="1"/>
  <c r="L101" i="61" a="1"/>
  <c r="L101" i="61" s="1"/>
  <c r="K101" i="61" a="1"/>
  <c r="K101" i="61" s="1"/>
  <c r="J101" i="61" a="1"/>
  <c r="J101" i="61" s="1"/>
  <c r="I101" i="61" a="1"/>
  <c r="I101" i="61" s="1"/>
  <c r="H101" i="61" a="1"/>
  <c r="H101" i="61" s="1"/>
  <c r="G101" i="61" a="1"/>
  <c r="G101" i="61" s="1"/>
  <c r="F101" i="61" a="1"/>
  <c r="F101" i="61" s="1"/>
  <c r="E101" i="61" a="1"/>
  <c r="E101" i="61" s="1"/>
  <c r="D101" i="61" a="1"/>
  <c r="D101" i="61" s="1"/>
  <c r="AE100" i="61" a="1"/>
  <c r="AE100" i="61" s="1"/>
  <c r="AD100" i="61" a="1"/>
  <c r="AD100" i="61" s="1"/>
  <c r="AC100" i="61" a="1"/>
  <c r="AC100" i="61" s="1"/>
  <c r="AB100" i="61" a="1"/>
  <c r="AB100" i="61" s="1"/>
  <c r="AA100" i="61" a="1"/>
  <c r="AA100" i="61" s="1"/>
  <c r="Z100" i="61" a="1"/>
  <c r="Z100" i="61" s="1"/>
  <c r="Y100" i="61" a="1"/>
  <c r="Y100" i="61" s="1"/>
  <c r="X100" i="61" a="1"/>
  <c r="X100" i="61" s="1"/>
  <c r="W100" i="61" a="1"/>
  <c r="W100" i="61" s="1"/>
  <c r="V100" i="61" a="1"/>
  <c r="V100" i="61" s="1"/>
  <c r="U100" i="61" a="1"/>
  <c r="U100" i="61" s="1"/>
  <c r="T100" i="61" a="1"/>
  <c r="T100" i="61" s="1"/>
  <c r="S100" i="61" a="1"/>
  <c r="S100" i="61" s="1"/>
  <c r="R100" i="61" a="1"/>
  <c r="R100" i="61" s="1"/>
  <c r="Q100" i="61" a="1"/>
  <c r="Q100" i="61" s="1"/>
  <c r="P100" i="61" a="1"/>
  <c r="P100" i="61" s="1"/>
  <c r="O100" i="61" a="1"/>
  <c r="O100" i="61" s="1"/>
  <c r="N100" i="61" a="1"/>
  <c r="N100" i="61" s="1"/>
  <c r="M100" i="61" a="1"/>
  <c r="M100" i="61" s="1"/>
  <c r="L100" i="61" a="1"/>
  <c r="L100" i="61" s="1"/>
  <c r="K100" i="61" a="1"/>
  <c r="K100" i="61" s="1"/>
  <c r="J100" i="61" a="1"/>
  <c r="J100" i="61" s="1"/>
  <c r="I100" i="61" a="1"/>
  <c r="I100" i="61" s="1"/>
  <c r="H100" i="61" a="1"/>
  <c r="H100" i="61" s="1"/>
  <c r="G100" i="61" a="1"/>
  <c r="G100" i="61" s="1"/>
  <c r="F100" i="61" a="1"/>
  <c r="F100" i="61" s="1"/>
  <c r="E100" i="61" a="1"/>
  <c r="E100" i="61" s="1"/>
  <c r="D100" i="61" a="1"/>
  <c r="D100" i="61" s="1"/>
  <c r="AE99" i="61" a="1"/>
  <c r="AE99" i="61" s="1"/>
  <c r="AD99" i="61" a="1"/>
  <c r="AD99" i="61" s="1"/>
  <c r="AC99" i="61" a="1"/>
  <c r="AC99" i="61" s="1"/>
  <c r="AB99" i="61" a="1"/>
  <c r="AB99" i="61" s="1"/>
  <c r="AA99" i="61" a="1"/>
  <c r="AA99" i="61" s="1"/>
  <c r="Z99" i="61" a="1"/>
  <c r="Z99" i="61" s="1"/>
  <c r="Y99" i="61" a="1"/>
  <c r="Y99" i="61" s="1"/>
  <c r="X99" i="61" a="1"/>
  <c r="X99" i="61" s="1"/>
  <c r="W99" i="61" a="1"/>
  <c r="W99" i="61" s="1"/>
  <c r="V99" i="61" a="1"/>
  <c r="V99" i="61" s="1"/>
  <c r="U99" i="61" a="1"/>
  <c r="U99" i="61" s="1"/>
  <c r="T99" i="61" a="1"/>
  <c r="T99" i="61" s="1"/>
  <c r="S99" i="61" a="1"/>
  <c r="S99" i="61" s="1"/>
  <c r="R99" i="61" a="1"/>
  <c r="R99" i="61" s="1"/>
  <c r="Q99" i="61" a="1"/>
  <c r="Q99" i="61" s="1"/>
  <c r="P99" i="61" a="1"/>
  <c r="P99" i="61" s="1"/>
  <c r="O99" i="61" a="1"/>
  <c r="O99" i="61" s="1"/>
  <c r="N99" i="61" a="1"/>
  <c r="N99" i="61" s="1"/>
  <c r="M99" i="61" a="1"/>
  <c r="M99" i="61" s="1"/>
  <c r="L99" i="61" a="1"/>
  <c r="L99" i="61" s="1"/>
  <c r="K99" i="61" a="1"/>
  <c r="K99" i="61" s="1"/>
  <c r="J99" i="61" a="1"/>
  <c r="J99" i="61" s="1"/>
  <c r="I99" i="61" a="1"/>
  <c r="I99" i="61" s="1"/>
  <c r="H99" i="61" a="1"/>
  <c r="H99" i="61" s="1"/>
  <c r="G99" i="61" a="1"/>
  <c r="G99" i="61" s="1"/>
  <c r="F99" i="61" a="1"/>
  <c r="F99" i="61" s="1"/>
  <c r="E99" i="61" a="1"/>
  <c r="E99" i="61" s="1"/>
  <c r="D99" i="61" a="1"/>
  <c r="D99" i="61" s="1"/>
  <c r="AE98" i="61" a="1"/>
  <c r="AE98" i="61" s="1"/>
  <c r="AD98" i="61" a="1"/>
  <c r="AD98" i="61" s="1"/>
  <c r="AC98" i="61" a="1"/>
  <c r="AC98" i="61" s="1"/>
  <c r="AB98" i="61" a="1"/>
  <c r="AB98" i="61" s="1"/>
  <c r="AA98" i="61" a="1"/>
  <c r="AA98" i="61" s="1"/>
  <c r="Z98" i="61" a="1"/>
  <c r="Z98" i="61" s="1"/>
  <c r="Y98" i="61" a="1"/>
  <c r="Y98" i="61" s="1"/>
  <c r="X98" i="61" a="1"/>
  <c r="X98" i="61" s="1"/>
  <c r="W98" i="61" a="1"/>
  <c r="W98" i="61" s="1"/>
  <c r="V98" i="61" a="1"/>
  <c r="V98" i="61" s="1"/>
  <c r="U98" i="61" a="1"/>
  <c r="U98" i="61" s="1"/>
  <c r="T98" i="61" a="1"/>
  <c r="T98" i="61" s="1"/>
  <c r="S98" i="61" a="1"/>
  <c r="S98" i="61" s="1"/>
  <c r="R98" i="61" a="1"/>
  <c r="R98" i="61" s="1"/>
  <c r="Q98" i="61" a="1"/>
  <c r="Q98" i="61" s="1"/>
  <c r="P98" i="61" a="1"/>
  <c r="P98" i="61" s="1"/>
  <c r="O98" i="61" a="1"/>
  <c r="O98" i="61" s="1"/>
  <c r="N98" i="61" a="1"/>
  <c r="N98" i="61" s="1"/>
  <c r="M98" i="61" a="1"/>
  <c r="M98" i="61" s="1"/>
  <c r="L98" i="61" a="1"/>
  <c r="L98" i="61" s="1"/>
  <c r="K98" i="61" a="1"/>
  <c r="K98" i="61" s="1"/>
  <c r="J98" i="61" a="1"/>
  <c r="J98" i="61" s="1"/>
  <c r="I98" i="61" a="1"/>
  <c r="I98" i="61" s="1"/>
  <c r="H98" i="61" a="1"/>
  <c r="H98" i="61" s="1"/>
  <c r="G98" i="61" a="1"/>
  <c r="G98" i="61" s="1"/>
  <c r="F98" i="61" a="1"/>
  <c r="F98" i="61" s="1"/>
  <c r="E98" i="61" a="1"/>
  <c r="E98" i="61" s="1"/>
  <c r="D98" i="61" a="1"/>
  <c r="D98" i="61" s="1"/>
  <c r="AE97" i="61" a="1"/>
  <c r="AE97" i="61" s="1"/>
  <c r="AD97" i="61" a="1"/>
  <c r="AD97" i="61" s="1"/>
  <c r="AC97" i="61" a="1"/>
  <c r="AC97" i="61" s="1"/>
  <c r="AB97" i="61" a="1"/>
  <c r="AB97" i="61" s="1"/>
  <c r="AA97" i="61" a="1"/>
  <c r="AA97" i="61" s="1"/>
  <c r="Z97" i="61" a="1"/>
  <c r="Z97" i="61" s="1"/>
  <c r="Y97" i="61" a="1"/>
  <c r="Y97" i="61" s="1"/>
  <c r="X97" i="61" a="1"/>
  <c r="X97" i="61" s="1"/>
  <c r="W97" i="61" a="1"/>
  <c r="W97" i="61" s="1"/>
  <c r="V97" i="61" a="1"/>
  <c r="V97" i="61" s="1"/>
  <c r="U97" i="61" a="1"/>
  <c r="U97" i="61" s="1"/>
  <c r="T97" i="61" a="1"/>
  <c r="T97"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AE96" i="61" a="1"/>
  <c r="AE96" i="61" s="1"/>
  <c r="AD96" i="61" a="1"/>
  <c r="AD96" i="61" s="1"/>
  <c r="AC96" i="61" a="1"/>
  <c r="AC96" i="61" s="1"/>
  <c r="AB96" i="61" a="1"/>
  <c r="AB96" i="61" s="1"/>
  <c r="AA96" i="61" a="1"/>
  <c r="AA96" i="61" s="1"/>
  <c r="Z96" i="61" a="1"/>
  <c r="Z96" i="61" s="1"/>
  <c r="Y96" i="61" a="1"/>
  <c r="Y96" i="61" s="1"/>
  <c r="X96" i="61" a="1"/>
  <c r="X96" i="61" s="1"/>
  <c r="W96" i="61" a="1"/>
  <c r="W96" i="61" s="1"/>
  <c r="V96" i="61" a="1"/>
  <c r="V96" i="61" s="1"/>
  <c r="U96" i="61" a="1"/>
  <c r="U96" i="61" s="1"/>
  <c r="T96" i="61" a="1"/>
  <c r="T96"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AE95" i="61" a="1"/>
  <c r="AE95" i="61" s="1"/>
  <c r="AD95" i="61" a="1"/>
  <c r="AD95" i="61" s="1"/>
  <c r="AC95" i="61" a="1"/>
  <c r="AC95" i="61" s="1"/>
  <c r="AB95" i="61" a="1"/>
  <c r="AB95" i="61" s="1"/>
  <c r="AA95" i="61" a="1"/>
  <c r="AA95" i="61" s="1"/>
  <c r="Z95" i="61" a="1"/>
  <c r="Z95" i="61" s="1"/>
  <c r="Y95" i="61" a="1"/>
  <c r="Y95" i="61" s="1"/>
  <c r="X95" i="61" a="1"/>
  <c r="X95" i="61" s="1"/>
  <c r="W95" i="61" a="1"/>
  <c r="W95" i="61" s="1"/>
  <c r="V95" i="61" a="1"/>
  <c r="V95" i="61" s="1"/>
  <c r="U95" i="61" a="1"/>
  <c r="U95" i="61" s="1"/>
  <c r="T95" i="61" a="1"/>
  <c r="T95"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AE94" i="61" a="1"/>
  <c r="AE94" i="61" s="1"/>
  <c r="AD94" i="61" a="1"/>
  <c r="AD94" i="61" s="1"/>
  <c r="AC94" i="61" a="1"/>
  <c r="AC94" i="61" s="1"/>
  <c r="AB94" i="61" a="1"/>
  <c r="AB94" i="61" s="1"/>
  <c r="AA94" i="61" a="1"/>
  <c r="AA94" i="61" s="1"/>
  <c r="Z94" i="61" a="1"/>
  <c r="Z94" i="61" s="1"/>
  <c r="Y94" i="61" a="1"/>
  <c r="Y94" i="61" s="1"/>
  <c r="X94" i="61" a="1"/>
  <c r="X94" i="61" s="1"/>
  <c r="W94" i="61" a="1"/>
  <c r="W94" i="61" s="1"/>
  <c r="V94" i="61" a="1"/>
  <c r="V94" i="61" s="1"/>
  <c r="U94" i="61" a="1"/>
  <c r="U94" i="61" s="1"/>
  <c r="T94" i="61" a="1"/>
  <c r="T94"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AE93" i="61" a="1"/>
  <c r="AE93" i="61" s="1"/>
  <c r="AD93" i="61" a="1"/>
  <c r="AD93" i="61" s="1"/>
  <c r="AC93" i="61" a="1"/>
  <c r="AC93" i="61" s="1"/>
  <c r="AB93" i="61" a="1"/>
  <c r="AB93" i="61" s="1"/>
  <c r="AA93" i="61" a="1"/>
  <c r="AA93" i="61" s="1"/>
  <c r="Z93" i="61" a="1"/>
  <c r="Z93" i="61" s="1"/>
  <c r="Y93" i="61" a="1"/>
  <c r="Y93" i="61" s="1"/>
  <c r="X93" i="61" a="1"/>
  <c r="X93" i="61" s="1"/>
  <c r="W93" i="61" a="1"/>
  <c r="W93" i="61" s="1"/>
  <c r="V93" i="61" a="1"/>
  <c r="V93" i="61" s="1"/>
  <c r="U93" i="61" a="1"/>
  <c r="U93" i="61" s="1"/>
  <c r="T93" i="61" a="1"/>
  <c r="T93"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AE92" i="61" a="1"/>
  <c r="AE92" i="61" s="1"/>
  <c r="AD92" i="61" a="1"/>
  <c r="AD92" i="61" s="1"/>
  <c r="AC92" i="61" a="1"/>
  <c r="AC92" i="61" s="1"/>
  <c r="AB92" i="61" a="1"/>
  <c r="AB92" i="61" s="1"/>
  <c r="AA92" i="61" a="1"/>
  <c r="AA92" i="61" s="1"/>
  <c r="Z92" i="61" a="1"/>
  <c r="Z92" i="61" s="1"/>
  <c r="Y92" i="61" a="1"/>
  <c r="Y92" i="61" s="1"/>
  <c r="X92" i="61" a="1"/>
  <c r="X92" i="61" s="1"/>
  <c r="W92" i="61" a="1"/>
  <c r="W92" i="61" s="1"/>
  <c r="V92" i="61" a="1"/>
  <c r="V92" i="61" s="1"/>
  <c r="U92" i="61" a="1"/>
  <c r="U92" i="61" s="1"/>
  <c r="T92" i="61" a="1"/>
  <c r="T92"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AE91" i="61" a="1"/>
  <c r="AE91" i="61" s="1"/>
  <c r="AD91" i="61" a="1"/>
  <c r="AD91" i="61" s="1"/>
  <c r="AC91" i="61" a="1"/>
  <c r="AC91" i="61" s="1"/>
  <c r="AB91" i="61" a="1"/>
  <c r="AB91" i="61" s="1"/>
  <c r="AA91" i="61" a="1"/>
  <c r="AA91" i="61" s="1"/>
  <c r="Z91" i="61" a="1"/>
  <c r="Z91" i="61" s="1"/>
  <c r="Y91" i="61" a="1"/>
  <c r="Y91" i="61" s="1"/>
  <c r="X91" i="61" a="1"/>
  <c r="X91" i="61" s="1"/>
  <c r="W91" i="61" a="1"/>
  <c r="W91" i="61" s="1"/>
  <c r="V91" i="61" a="1"/>
  <c r="V91" i="61" s="1"/>
  <c r="U91" i="61" a="1"/>
  <c r="U91" i="61" s="1"/>
  <c r="T91" i="61" a="1"/>
  <c r="T91"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AE90" i="61" a="1"/>
  <c r="AE90" i="61" s="1"/>
  <c r="AD90" i="61" a="1"/>
  <c r="AD90" i="61" s="1"/>
  <c r="AC90" i="61" a="1"/>
  <c r="AC90" i="61" s="1"/>
  <c r="AB90" i="61" a="1"/>
  <c r="AB90" i="61" s="1"/>
  <c r="AA90" i="61" a="1"/>
  <c r="AA90" i="61" s="1"/>
  <c r="Z90" i="61" a="1"/>
  <c r="Z90" i="61" s="1"/>
  <c r="Y90" i="61" a="1"/>
  <c r="Y90" i="61" s="1"/>
  <c r="X90" i="61" a="1"/>
  <c r="X90" i="61" s="1"/>
  <c r="W90" i="61" a="1"/>
  <c r="W90" i="61" s="1"/>
  <c r="V90" i="61" a="1"/>
  <c r="V90" i="61" s="1"/>
  <c r="U90" i="61" a="1"/>
  <c r="U90" i="61" s="1"/>
  <c r="T90" i="61" a="1"/>
  <c r="T90"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F83" i="61" a="1"/>
  <c r="F83" i="61" s="1"/>
  <c r="E83" i="61" a="1"/>
  <c r="E83" i="61" s="1"/>
  <c r="J87" i="34" s="1"/>
  <c r="D83" i="61" a="1"/>
  <c r="D83" i="61" s="1"/>
  <c r="D82" i="61" a="1"/>
  <c r="D82" i="61" s="1"/>
  <c r="D81" i="61" a="1"/>
  <c r="D81" i="61" s="1"/>
  <c r="F78" i="61" a="1"/>
  <c r="F78" i="61" s="1"/>
  <c r="E78" i="61" a="1"/>
  <c r="E78" i="61" s="1"/>
  <c r="I69" i="34" s="1"/>
  <c r="D78" i="61" a="1"/>
  <c r="D78" i="61" s="1"/>
  <c r="D77" i="61" a="1"/>
  <c r="D77" i="61" s="1"/>
  <c r="D76" i="61" a="1"/>
  <c r="D76" i="61" s="1"/>
  <c r="F73" i="61" a="1"/>
  <c r="F73" i="61" s="1"/>
  <c r="E73" i="61" a="1"/>
  <c r="E73" i="61" s="1"/>
  <c r="I33" i="34" s="1"/>
  <c r="D73" i="61" a="1"/>
  <c r="D73" i="61" s="1"/>
  <c r="D72" i="61" a="1"/>
  <c r="D72" i="61" s="1"/>
  <c r="D71" i="61" a="1"/>
  <c r="D71" i="61" s="1"/>
  <c r="F68" i="61" a="1"/>
  <c r="F68" i="61" s="1"/>
  <c r="E68" i="61" a="1"/>
  <c r="E68" i="61" s="1"/>
  <c r="D68" i="61" a="1"/>
  <c r="D68" i="61" s="1"/>
  <c r="F67" i="61" a="1"/>
  <c r="F67" i="61" s="1"/>
  <c r="E67" i="61" a="1"/>
  <c r="E67" i="61" s="1"/>
  <c r="D67" i="61" a="1"/>
  <c r="D67" i="61" s="1"/>
  <c r="F66" i="61" a="1"/>
  <c r="F66" i="61" s="1"/>
  <c r="E66" i="61" a="1"/>
  <c r="E66" i="61" s="1"/>
  <c r="D66" i="61" a="1"/>
  <c r="D66" i="61" s="1"/>
  <c r="D64" i="61" a="1"/>
  <c r="D64" i="61" s="1"/>
  <c r="D63" i="61" a="1"/>
  <c r="D63" i="61" s="1"/>
  <c r="F60" i="61" a="1"/>
  <c r="F60" i="61" s="1"/>
  <c r="E60" i="61" a="1"/>
  <c r="E60" i="61" s="1"/>
  <c r="D60" i="61" a="1"/>
  <c r="D60" i="61" s="1"/>
  <c r="D59" i="61" a="1"/>
  <c r="D59" i="61" s="1"/>
  <c r="D58" i="61" a="1"/>
  <c r="D58" i="61" s="1"/>
  <c r="E55" i="61" a="1"/>
  <c r="E55" i="61" s="1"/>
  <c r="D55" i="61" a="1"/>
  <c r="D55" i="61" s="1"/>
  <c r="E54" i="61" a="1"/>
  <c r="E54" i="61" s="1"/>
  <c r="D54" i="61" a="1"/>
  <c r="D54" i="61" s="1"/>
  <c r="E53" i="61" a="1"/>
  <c r="E53" i="61" s="1"/>
  <c r="D53" i="61" a="1"/>
  <c r="D53" i="61" s="1"/>
  <c r="E52" i="61" a="1"/>
  <c r="E52" i="61" s="1"/>
  <c r="D52" i="61" a="1"/>
  <c r="D52" i="61" s="1"/>
  <c r="E51" i="61" a="1"/>
  <c r="E51" i="61" s="1"/>
  <c r="D51" i="61" a="1"/>
  <c r="D51" i="61" s="1"/>
  <c r="D49" i="61" a="1"/>
  <c r="D49" i="61" s="1"/>
  <c r="D48" i="61" a="1"/>
  <c r="D48" i="61" s="1"/>
  <c r="I38" i="61" a="1"/>
  <c r="I38" i="61" s="1"/>
  <c r="H38" i="61" a="1"/>
  <c r="H38" i="61" s="1"/>
  <c r="G38" i="61" a="1"/>
  <c r="G38" i="61" s="1"/>
  <c r="F38" i="61" a="1"/>
  <c r="F38" i="61" s="1"/>
  <c r="E38" i="61" a="1"/>
  <c r="E38" i="61" s="1"/>
  <c r="D38" i="61" a="1"/>
  <c r="D38" i="61" s="1"/>
  <c r="G180" i="20" s="1"/>
  <c r="I37" i="61" a="1"/>
  <c r="I37" i="61" s="1"/>
  <c r="H37" i="61" a="1"/>
  <c r="H37" i="61" s="1"/>
  <c r="G37" i="61" a="1"/>
  <c r="G37" i="61" s="1"/>
  <c r="F37" i="61" a="1"/>
  <c r="F37" i="61" s="1"/>
  <c r="E37" i="61" a="1"/>
  <c r="E37" i="61" s="1"/>
  <c r="D37" i="61" a="1"/>
  <c r="D37" i="61" s="1"/>
  <c r="G175" i="20" s="1"/>
  <c r="I36" i="61" a="1"/>
  <c r="I36" i="61" s="1"/>
  <c r="H36" i="61" a="1"/>
  <c r="H36" i="61" s="1"/>
  <c r="G36" i="61" a="1"/>
  <c r="G36" i="61" s="1"/>
  <c r="F36" i="61" a="1"/>
  <c r="F36" i="61" s="1"/>
  <c r="E36" i="61" a="1"/>
  <c r="E36" i="61" s="1"/>
  <c r="D36" i="61" a="1"/>
  <c r="D36" i="61" s="1"/>
  <c r="G190" i="20" s="1"/>
  <c r="I35" i="61" a="1"/>
  <c r="I35" i="61" s="1"/>
  <c r="H35" i="61" a="1"/>
  <c r="H35" i="61" s="1"/>
  <c r="G35" i="61" a="1"/>
  <c r="G35" i="61" s="1"/>
  <c r="F35" i="61" a="1"/>
  <c r="F35" i="61" s="1"/>
  <c r="E35" i="61" a="1"/>
  <c r="E35" i="61" s="1"/>
  <c r="D35" i="61" a="1"/>
  <c r="D35" i="61" s="1"/>
  <c r="G182" i="20" s="1"/>
  <c r="I34" i="61" a="1"/>
  <c r="I34" i="61" s="1"/>
  <c r="H34" i="61" a="1"/>
  <c r="H34" i="61" s="1"/>
  <c r="G34" i="61" a="1"/>
  <c r="G34" i="61" s="1"/>
  <c r="F34" i="61" a="1"/>
  <c r="F34" i="61" s="1"/>
  <c r="E34" i="61" a="1"/>
  <c r="E34" i="61" s="1"/>
  <c r="D34" i="61" a="1"/>
  <c r="D34" i="61" s="1"/>
  <c r="G184" i="20" s="1"/>
  <c r="I33" i="61" a="1"/>
  <c r="I33" i="61" s="1"/>
  <c r="H33" i="61" a="1"/>
  <c r="H33" i="61" s="1"/>
  <c r="G33" i="61" a="1"/>
  <c r="G33" i="61" s="1"/>
  <c r="F33" i="61" a="1"/>
  <c r="F33" i="61" s="1"/>
  <c r="E33" i="61" a="1"/>
  <c r="E33" i="61" s="1"/>
  <c r="D33" i="61" a="1"/>
  <c r="D33" i="61" s="1"/>
  <c r="G198" i="20" s="1"/>
  <c r="I32" i="61" a="1"/>
  <c r="I32" i="61" s="1"/>
  <c r="H32" i="61" a="1"/>
  <c r="H32" i="61" s="1"/>
  <c r="G32" i="61" a="1"/>
  <c r="G32" i="61" s="1"/>
  <c r="F32" i="61" a="1"/>
  <c r="F32" i="61" s="1"/>
  <c r="E32" i="61" a="1"/>
  <c r="E32" i="61" s="1"/>
  <c r="D32" i="61" a="1"/>
  <c r="D32" i="61" s="1"/>
  <c r="G191" i="20" s="1"/>
  <c r="I31" i="61" a="1"/>
  <c r="I31" i="61" s="1"/>
  <c r="H31" i="61" a="1"/>
  <c r="H31" i="61" s="1"/>
  <c r="G31" i="61" a="1"/>
  <c r="G31" i="61" s="1"/>
  <c r="F31" i="61" a="1"/>
  <c r="F31" i="61" s="1"/>
  <c r="E31" i="61" a="1"/>
  <c r="E31" i="61" s="1"/>
  <c r="D31" i="61" a="1"/>
  <c r="D31" i="61" s="1"/>
  <c r="G189" i="20" s="1"/>
  <c r="I30" i="61" a="1"/>
  <c r="I30" i="61" s="1"/>
  <c r="H30" i="61" a="1"/>
  <c r="H30" i="61" s="1"/>
  <c r="G30" i="61" a="1"/>
  <c r="G30" i="61" s="1"/>
  <c r="F30" i="61" a="1"/>
  <c r="F30" i="61" s="1"/>
  <c r="E30" i="61" a="1"/>
  <c r="E30" i="61" s="1"/>
  <c r="D30" i="61" a="1"/>
  <c r="D30" i="61" s="1"/>
  <c r="G188" i="20" s="1"/>
  <c r="I29" i="61" a="1"/>
  <c r="I29" i="61" s="1"/>
  <c r="H29" i="61" a="1"/>
  <c r="H29" i="61" s="1"/>
  <c r="G29" i="61" a="1"/>
  <c r="G29" i="61" s="1"/>
  <c r="F29" i="61" a="1"/>
  <c r="F29" i="61" s="1"/>
  <c r="E29" i="61" a="1"/>
  <c r="E29" i="61" s="1"/>
  <c r="D29" i="61" a="1"/>
  <c r="D29" i="61" s="1"/>
  <c r="G186" i="20" s="1"/>
  <c r="R28" i="61" a="1"/>
  <c r="R28" i="61" s="1"/>
  <c r="Q28" i="61" a="1"/>
  <c r="Q28" i="61" s="1"/>
  <c r="L28" i="61" a="1"/>
  <c r="L28" i="61" s="1"/>
  <c r="K28" i="61" a="1"/>
  <c r="K28" i="61" s="1"/>
  <c r="I28" i="61" a="1"/>
  <c r="I28" i="61" s="1"/>
  <c r="H28" i="61" a="1"/>
  <c r="H28" i="61" s="1"/>
  <c r="G28" i="61" a="1"/>
  <c r="G28" i="61" s="1"/>
  <c r="F28" i="61" a="1"/>
  <c r="F28" i="61" s="1"/>
  <c r="E28" i="61" a="1"/>
  <c r="E28" i="61" s="1"/>
  <c r="D28" i="61" a="1"/>
  <c r="D28" i="61" s="1"/>
  <c r="G187" i="20" s="1"/>
  <c r="R27" i="61" a="1"/>
  <c r="R27" i="61" s="1"/>
  <c r="Q27" i="61" a="1"/>
  <c r="Q27" i="61" s="1"/>
  <c r="L27" i="61" a="1"/>
  <c r="L27" i="61" s="1"/>
  <c r="K27" i="61" a="1"/>
  <c r="K27" i="61" s="1"/>
  <c r="I27" i="61" a="1"/>
  <c r="I27" i="61" s="1"/>
  <c r="H27" i="61" a="1"/>
  <c r="H27" i="61" s="1"/>
  <c r="G27" i="61" a="1"/>
  <c r="G27" i="61" s="1"/>
  <c r="F27" i="61" a="1"/>
  <c r="F27" i="61" s="1"/>
  <c r="E27" i="61" a="1"/>
  <c r="E27" i="61" s="1"/>
  <c r="D27" i="61" a="1"/>
  <c r="D27" i="61" s="1"/>
  <c r="G185" i="20" s="1"/>
  <c r="R26" i="61" a="1"/>
  <c r="R26" i="61" s="1"/>
  <c r="Q26" i="61" a="1"/>
  <c r="Q26" i="61" s="1"/>
  <c r="L26" i="61" a="1"/>
  <c r="L26" i="61" s="1"/>
  <c r="K26" i="61" a="1"/>
  <c r="K26" i="61" s="1"/>
  <c r="I26" i="61" a="1"/>
  <c r="I26" i="61" s="1"/>
  <c r="H26" i="61" a="1"/>
  <c r="H26" i="61" s="1"/>
  <c r="G26" i="61" a="1"/>
  <c r="G26" i="61" s="1"/>
  <c r="F26" i="61" a="1"/>
  <c r="F26" i="61" s="1"/>
  <c r="E26" i="61" a="1"/>
  <c r="E26" i="61" s="1"/>
  <c r="D26" i="61" a="1"/>
  <c r="D26" i="61" s="1"/>
  <c r="G179" i="20" s="1"/>
  <c r="R25" i="61" a="1"/>
  <c r="R25" i="61" s="1"/>
  <c r="Q25" i="61" a="1"/>
  <c r="Q25" i="61" s="1"/>
  <c r="L25" i="61" a="1"/>
  <c r="L25" i="61" s="1"/>
  <c r="K25" i="61" a="1"/>
  <c r="K25" i="61" s="1"/>
  <c r="I25" i="61" a="1"/>
  <c r="I25" i="61" s="1"/>
  <c r="H25" i="61" a="1"/>
  <c r="H25" i="61" s="1"/>
  <c r="G25" i="61" a="1"/>
  <c r="G25" i="61" s="1"/>
  <c r="F25" i="61" a="1"/>
  <c r="F25" i="61" s="1"/>
  <c r="E25" i="61" a="1"/>
  <c r="E25" i="61" s="1"/>
  <c r="D25" i="61" a="1"/>
  <c r="D25" i="61" s="1"/>
  <c r="G178" i="20" s="1"/>
  <c r="R24" i="61" a="1"/>
  <c r="R24" i="61" s="1"/>
  <c r="Q24" i="61" a="1"/>
  <c r="Q24" i="61" s="1"/>
  <c r="L24" i="61" a="1"/>
  <c r="L24" i="61" s="1"/>
  <c r="K24" i="61" a="1"/>
  <c r="K24" i="61" s="1"/>
  <c r="I24" i="61" a="1"/>
  <c r="I24" i="61" s="1"/>
  <c r="H24" i="61" a="1"/>
  <c r="H24" i="61" s="1"/>
  <c r="G24" i="61" a="1"/>
  <c r="G24" i="61" s="1"/>
  <c r="F24" i="61" a="1"/>
  <c r="F24" i="61" s="1"/>
  <c r="E24" i="61" a="1"/>
  <c r="E24" i="61" s="1"/>
  <c r="D24" i="61" a="1"/>
  <c r="D24" i="61" s="1"/>
  <c r="G193" i="20" s="1"/>
  <c r="V23" i="61" a="1"/>
  <c r="V23" i="61" s="1"/>
  <c r="I177" i="20" s="1"/>
  <c r="R23" i="61" a="1"/>
  <c r="R23" i="61" s="1"/>
  <c r="Q23" i="61" a="1"/>
  <c r="Q23" i="61" s="1"/>
  <c r="L23" i="61" a="1"/>
  <c r="L23" i="61" s="1"/>
  <c r="K23" i="61" a="1"/>
  <c r="K23" i="61" s="1"/>
  <c r="I23" i="61" a="1"/>
  <c r="I23" i="61" s="1"/>
  <c r="H23" i="61" a="1"/>
  <c r="H23" i="61" s="1"/>
  <c r="G23" i="61" a="1"/>
  <c r="G23" i="61" s="1"/>
  <c r="F23" i="61" a="1"/>
  <c r="F23" i="61" s="1"/>
  <c r="E23" i="61" a="1"/>
  <c r="E23" i="61" s="1"/>
  <c r="D23" i="61" a="1"/>
  <c r="D23" i="61" s="1"/>
  <c r="G192" i="20" s="1"/>
  <c r="V22" i="61" a="1"/>
  <c r="V22" i="61" s="1"/>
  <c r="H196" i="20" s="1"/>
  <c r="R22" i="61" a="1"/>
  <c r="R22" i="61" s="1"/>
  <c r="Q22" i="61" a="1"/>
  <c r="Q22" i="61" s="1"/>
  <c r="L22" i="61" a="1"/>
  <c r="L22" i="61" s="1"/>
  <c r="K22" i="61" a="1"/>
  <c r="K22" i="61" s="1"/>
  <c r="I22" i="61" a="1"/>
  <c r="I22" i="61" s="1"/>
  <c r="H22" i="61" a="1"/>
  <c r="H22" i="61" s="1"/>
  <c r="G22" i="61" a="1"/>
  <c r="G22" i="61" s="1"/>
  <c r="F22" i="61" a="1"/>
  <c r="F22" i="61" s="1"/>
  <c r="E22" i="61" a="1"/>
  <c r="E22" i="61" s="1"/>
  <c r="D22" i="61" a="1"/>
  <c r="D22" i="61" s="1"/>
  <c r="G197" i="20" s="1"/>
  <c r="V21" i="61" a="1"/>
  <c r="V21" i="61" s="1"/>
  <c r="H195" i="20" s="1"/>
  <c r="R21" i="61" a="1"/>
  <c r="R21" i="61" s="1"/>
  <c r="Q21" i="61" a="1"/>
  <c r="Q21" i="61" s="1"/>
  <c r="L21" i="61" a="1"/>
  <c r="L21" i="61" s="1"/>
  <c r="K21" i="61" a="1"/>
  <c r="K21" i="61" s="1"/>
  <c r="I21" i="61" a="1"/>
  <c r="I21" i="61" s="1"/>
  <c r="H21" i="61" a="1"/>
  <c r="H21" i="61" s="1"/>
  <c r="G21" i="61" a="1"/>
  <c r="G21" i="61" s="1"/>
  <c r="F21" i="61" a="1"/>
  <c r="F21" i="61" s="1"/>
  <c r="E21" i="61" a="1"/>
  <c r="E21" i="61" s="1"/>
  <c r="D21" i="61" a="1"/>
  <c r="D21" i="61" s="1"/>
  <c r="G181" i="20" s="1"/>
  <c r="A21" i="61"/>
  <c r="V20" i="61" a="1"/>
  <c r="V20" i="61" s="1"/>
  <c r="I174" i="20" s="1"/>
  <c r="R20" i="61" a="1"/>
  <c r="R20" i="61" s="1"/>
  <c r="Q20" i="61" a="1"/>
  <c r="Q20" i="61" s="1"/>
  <c r="L20" i="61" a="1"/>
  <c r="L20" i="61" s="1"/>
  <c r="K20" i="61" a="1"/>
  <c r="K20" i="61" s="1"/>
  <c r="I20" i="61" a="1"/>
  <c r="I20" i="61" s="1"/>
  <c r="H20" i="61" a="1"/>
  <c r="H20" i="61" s="1"/>
  <c r="G20" i="61" a="1"/>
  <c r="G20" i="61" s="1"/>
  <c r="F20" i="61" a="1"/>
  <c r="F20" i="61" s="1"/>
  <c r="E20" i="61" a="1"/>
  <c r="E20" i="61" s="1"/>
  <c r="D20" i="61" a="1"/>
  <c r="D20" i="61" s="1"/>
  <c r="G183" i="20" s="1"/>
  <c r="A20" i="61"/>
  <c r="V18" i="61" a="1"/>
  <c r="V18" i="61" s="1"/>
  <c r="Q18" i="61" a="1"/>
  <c r="Q18" i="61" s="1"/>
  <c r="K18" i="61" a="1"/>
  <c r="K18" i="61" s="1"/>
  <c r="V17" i="61" a="1"/>
  <c r="V17" i="61" s="1"/>
  <c r="Q17" i="61" a="1"/>
  <c r="Q17" i="61" s="1"/>
  <c r="K17" i="61" a="1"/>
  <c r="K17" i="61" s="1"/>
  <c r="A17" i="61"/>
  <c r="A16" i="61"/>
  <c r="A15" i="61"/>
  <c r="A14" i="61"/>
  <c r="A13" i="61"/>
  <c r="A12" i="61"/>
  <c r="A9" i="61"/>
  <c r="A8" i="61"/>
  <c r="D7" i="61" a="1"/>
  <c r="D7" i="61" s="1"/>
  <c r="D6" i="61" a="1"/>
  <c r="D6" i="61" s="1"/>
  <c r="D5" i="61" a="1"/>
  <c r="D5" i="61" s="1"/>
  <c r="A5" i="61"/>
  <c r="A4" i="61"/>
  <c r="A3" i="61"/>
  <c r="A77" i="60"/>
  <c r="E68" i="60" a="1"/>
  <c r="E68" i="60" s="1"/>
  <c r="D68" i="60" a="1"/>
  <c r="D68" i="60" s="1"/>
  <c r="E67" i="60" a="1"/>
  <c r="E67" i="60" s="1"/>
  <c r="D67" i="60" a="1"/>
  <c r="D67" i="60" s="1"/>
  <c r="E66" i="60" a="1"/>
  <c r="E66" i="60" s="1"/>
  <c r="D66" i="60" a="1"/>
  <c r="D66" i="60" s="1"/>
  <c r="E65" i="60" a="1"/>
  <c r="E65" i="60" s="1"/>
  <c r="D65" i="60" a="1"/>
  <c r="D65" i="60" s="1"/>
  <c r="E64" i="60" a="1"/>
  <c r="E64" i="60" s="1"/>
  <c r="D64" i="60" a="1"/>
  <c r="D64" i="60" s="1"/>
  <c r="E63" i="60" a="1"/>
  <c r="E63" i="60" s="1"/>
  <c r="D63" i="60" a="1"/>
  <c r="D63" i="60" s="1"/>
  <c r="E62" i="60" a="1"/>
  <c r="E62" i="60" s="1"/>
  <c r="D62" i="60" a="1"/>
  <c r="D62" i="60" s="1"/>
  <c r="E61" i="60" a="1"/>
  <c r="E61" i="60" s="1"/>
  <c r="D61" i="60" a="1"/>
  <c r="D61" i="60" s="1"/>
  <c r="E60" i="60" a="1"/>
  <c r="E60" i="60" s="1"/>
  <c r="D60" i="60" a="1"/>
  <c r="D60" i="60" s="1"/>
  <c r="E59" i="60" a="1"/>
  <c r="E59" i="60" s="1"/>
  <c r="D59" i="60" a="1"/>
  <c r="D59" i="60" s="1"/>
  <c r="E58" i="60" a="1"/>
  <c r="E58" i="60" s="1"/>
  <c r="D58" i="60" a="1"/>
  <c r="D58" i="60" s="1"/>
  <c r="D56" i="60" a="1"/>
  <c r="D56" i="60" s="1"/>
  <c r="D55" i="60" a="1"/>
  <c r="D55" i="60" s="1"/>
  <c r="D54" i="60" a="1"/>
  <c r="D54" i="60" s="1"/>
  <c r="D53" i="60" a="1"/>
  <c r="D53" i="60" s="1"/>
  <c r="D52" i="60" a="1"/>
  <c r="D52" i="60" s="1"/>
  <c r="G50" i="60" a="1"/>
  <c r="G50" i="60" s="1"/>
  <c r="F50" i="60" a="1"/>
  <c r="F50" i="60" s="1"/>
  <c r="E50" i="60" a="1"/>
  <c r="E50" i="60" s="1"/>
  <c r="O21" i="60" s="1"/>
  <c r="D50" i="60" a="1"/>
  <c r="D50" i="60" s="1"/>
  <c r="G49" i="60" a="1"/>
  <c r="G49" i="60" s="1"/>
  <c r="F49" i="60" a="1"/>
  <c r="F49" i="60" s="1"/>
  <c r="E49" i="60" a="1"/>
  <c r="E49" i="60" s="1"/>
  <c r="O20" i="60" s="1"/>
  <c r="D49" i="60" a="1"/>
  <c r="D49" i="60" s="1"/>
  <c r="A49" i="60"/>
  <c r="G48" i="60" a="1"/>
  <c r="G48" i="60" s="1"/>
  <c r="F48" i="60" a="1"/>
  <c r="F48" i="60" s="1"/>
  <c r="E48" i="60" a="1"/>
  <c r="E48" i="60" s="1"/>
  <c r="O19" i="60" s="1"/>
  <c r="D48" i="60" a="1"/>
  <c r="D48" i="60" s="1"/>
  <c r="G47" i="60" a="1"/>
  <c r="G47" i="60" s="1"/>
  <c r="F47" i="60" a="1"/>
  <c r="F47" i="60" s="1"/>
  <c r="E47" i="60" a="1"/>
  <c r="E47" i="60" s="1"/>
  <c r="O18" i="60" s="1"/>
  <c r="D47" i="60" a="1"/>
  <c r="D47" i="60" s="1"/>
  <c r="G46" i="60" a="1"/>
  <c r="G46" i="60" s="1"/>
  <c r="F46" i="60" a="1"/>
  <c r="F46" i="60" s="1"/>
  <c r="E46" i="60" a="1"/>
  <c r="E46" i="60" s="1"/>
  <c r="O17" i="60" s="1"/>
  <c r="D46" i="60" a="1"/>
  <c r="D46" i="60" s="1"/>
  <c r="G45" i="60" a="1"/>
  <c r="G45" i="60" s="1"/>
  <c r="F45" i="60" a="1"/>
  <c r="F45" i="60" s="1"/>
  <c r="E45" i="60" a="1"/>
  <c r="E45" i="60" s="1"/>
  <c r="D45" i="60" a="1"/>
  <c r="D45" i="60" s="1"/>
  <c r="G44" i="60" a="1"/>
  <c r="G44" i="60" s="1"/>
  <c r="F44" i="60" a="1"/>
  <c r="F44" i="60" s="1"/>
  <c r="E44" i="60" a="1"/>
  <c r="E44" i="60" s="1"/>
  <c r="M21" i="60" s="1"/>
  <c r="D44" i="60" a="1"/>
  <c r="D44" i="60" s="1"/>
  <c r="G43" i="60" a="1"/>
  <c r="G43" i="60" s="1"/>
  <c r="F43" i="60" a="1"/>
  <c r="F43" i="60" s="1"/>
  <c r="E43" i="60" a="1"/>
  <c r="E43" i="60" s="1"/>
  <c r="M20" i="60" s="1"/>
  <c r="D43" i="60" a="1"/>
  <c r="D43" i="60" s="1"/>
  <c r="G42" i="60" a="1"/>
  <c r="G42" i="60" s="1"/>
  <c r="F42" i="60" a="1"/>
  <c r="F42" i="60" s="1"/>
  <c r="E42" i="60" a="1"/>
  <c r="E42" i="60" s="1"/>
  <c r="M19" i="60" s="1"/>
  <c r="D42" i="60" a="1"/>
  <c r="D42" i="60" s="1"/>
  <c r="G41" i="60" a="1"/>
  <c r="G41" i="60" s="1"/>
  <c r="F41" i="60" a="1"/>
  <c r="F41" i="60" s="1"/>
  <c r="E41" i="60" a="1"/>
  <c r="E41" i="60" s="1"/>
  <c r="M18" i="60" s="1"/>
  <c r="D41" i="60" a="1"/>
  <c r="D41" i="60" s="1"/>
  <c r="G40" i="60" a="1"/>
  <c r="G40" i="60" s="1"/>
  <c r="F40" i="60" a="1"/>
  <c r="F40" i="60" s="1"/>
  <c r="E40" i="60" a="1"/>
  <c r="E40" i="60" s="1"/>
  <c r="M17" i="60" s="1"/>
  <c r="D40" i="60" a="1"/>
  <c r="D40" i="60" s="1"/>
  <c r="G39" i="60" a="1"/>
  <c r="G39" i="60" s="1"/>
  <c r="F39" i="60" a="1"/>
  <c r="F39" i="60" s="1"/>
  <c r="E39" i="60" a="1"/>
  <c r="E39" i="60" s="1"/>
  <c r="D39" i="60" a="1"/>
  <c r="D39" i="60" s="1"/>
  <c r="G38" i="60" a="1"/>
  <c r="G38" i="60" s="1"/>
  <c r="F38" i="60" a="1"/>
  <c r="F38" i="60" s="1"/>
  <c r="E38" i="60" a="1"/>
  <c r="E38" i="60" s="1"/>
  <c r="K26" i="60" s="1"/>
  <c r="D38" i="60" a="1"/>
  <c r="D38" i="60" s="1"/>
  <c r="G37" i="60" a="1"/>
  <c r="G37" i="60" s="1"/>
  <c r="F37" i="60" a="1"/>
  <c r="F37" i="60" s="1"/>
  <c r="E37" i="60" a="1"/>
  <c r="E37" i="60" s="1"/>
  <c r="K25" i="60" s="1"/>
  <c r="D37" i="60" a="1"/>
  <c r="D37" i="60" s="1"/>
  <c r="G36" i="60" a="1"/>
  <c r="G36" i="60" s="1"/>
  <c r="F36" i="60" a="1"/>
  <c r="F36" i="60" s="1"/>
  <c r="E36" i="60" a="1"/>
  <c r="E36" i="60" s="1"/>
  <c r="K24" i="60" s="1"/>
  <c r="D36" i="60" a="1"/>
  <c r="D36" i="60" s="1"/>
  <c r="G35" i="60" a="1"/>
  <c r="G35" i="60" s="1"/>
  <c r="F35" i="60" a="1"/>
  <c r="F35" i="60" s="1"/>
  <c r="E35" i="60" a="1"/>
  <c r="E35" i="60" s="1"/>
  <c r="K23" i="60" s="1"/>
  <c r="D35" i="60" a="1"/>
  <c r="D35" i="60" s="1"/>
  <c r="G34" i="60" a="1"/>
  <c r="G34" i="60" s="1"/>
  <c r="F34" i="60" a="1"/>
  <c r="F34" i="60" s="1"/>
  <c r="E34" i="60" a="1"/>
  <c r="E34" i="60" s="1"/>
  <c r="K22" i="60" s="1"/>
  <c r="D34" i="60" a="1"/>
  <c r="D34" i="60" s="1"/>
  <c r="G33" i="60" a="1"/>
  <c r="G33" i="60" s="1"/>
  <c r="F33" i="60" a="1"/>
  <c r="F33" i="60" s="1"/>
  <c r="E33" i="60" a="1"/>
  <c r="E33" i="60" s="1"/>
  <c r="K21" i="60" s="1"/>
  <c r="D33" i="60" a="1"/>
  <c r="D33" i="60" s="1"/>
  <c r="G32" i="60" a="1"/>
  <c r="G32" i="60" s="1"/>
  <c r="F32" i="60" a="1"/>
  <c r="F32" i="60" s="1"/>
  <c r="E32" i="60" a="1"/>
  <c r="E32" i="60" s="1"/>
  <c r="K20" i="60" s="1"/>
  <c r="D32" i="60" a="1"/>
  <c r="D32" i="60" s="1"/>
  <c r="G31" i="60" a="1"/>
  <c r="G31" i="60" s="1"/>
  <c r="F31" i="60" a="1"/>
  <c r="F31" i="60" s="1"/>
  <c r="E31" i="60" a="1"/>
  <c r="E31" i="60" s="1"/>
  <c r="K19" i="60" s="1"/>
  <c r="D31" i="60" a="1"/>
  <c r="D31" i="60" s="1"/>
  <c r="G30" i="60" a="1"/>
  <c r="G30" i="60" s="1"/>
  <c r="F30" i="60" a="1"/>
  <c r="F30" i="60" s="1"/>
  <c r="E30" i="60" a="1"/>
  <c r="E30" i="60" s="1"/>
  <c r="K18" i="60" s="1"/>
  <c r="D30" i="60" a="1"/>
  <c r="D30" i="60" s="1"/>
  <c r="G29" i="60" a="1"/>
  <c r="G29" i="60" s="1"/>
  <c r="F29" i="60" a="1"/>
  <c r="F29" i="60" s="1"/>
  <c r="E29" i="60" a="1"/>
  <c r="E29" i="60" s="1"/>
  <c r="K17" i="60" s="1"/>
  <c r="D29" i="60" a="1"/>
  <c r="D29" i="60" s="1"/>
  <c r="G28" i="60" a="1"/>
  <c r="G28" i="60" s="1"/>
  <c r="F28" i="60" a="1"/>
  <c r="F28" i="60" s="1"/>
  <c r="E28" i="60" a="1"/>
  <c r="E28" i="60" s="1"/>
  <c r="D28" i="60" a="1"/>
  <c r="D28" i="60" s="1"/>
  <c r="G27" i="60" a="1"/>
  <c r="G27" i="60" s="1"/>
  <c r="F27" i="60" a="1"/>
  <c r="F27" i="60" s="1"/>
  <c r="E27" i="60" a="1"/>
  <c r="E27" i="60" s="1"/>
  <c r="I27" i="60" s="1"/>
  <c r="D27" i="60" a="1"/>
  <c r="D27" i="60" s="1"/>
  <c r="G26" i="60" a="1"/>
  <c r="G26" i="60" s="1"/>
  <c r="F26" i="60" a="1"/>
  <c r="F26" i="60" s="1"/>
  <c r="E26" i="60" a="1"/>
  <c r="E26" i="60" s="1"/>
  <c r="I26" i="60" s="1"/>
  <c r="D26" i="60" a="1"/>
  <c r="D26" i="60" s="1"/>
  <c r="G25" i="60" a="1"/>
  <c r="G25" i="60" s="1"/>
  <c r="F25" i="60" a="1"/>
  <c r="F25" i="60" s="1"/>
  <c r="E25" i="60" a="1"/>
  <c r="E25" i="60" s="1"/>
  <c r="I25" i="60" s="1"/>
  <c r="D25" i="60" a="1"/>
  <c r="D25" i="60" s="1"/>
  <c r="G24" i="60" a="1"/>
  <c r="G24" i="60" s="1"/>
  <c r="F24" i="60" a="1"/>
  <c r="F24" i="60" s="1"/>
  <c r="E24" i="60" a="1"/>
  <c r="E24" i="60" s="1"/>
  <c r="I24" i="60" s="1"/>
  <c r="D24" i="60" a="1"/>
  <c r="D24" i="60" s="1"/>
  <c r="G23" i="60" a="1"/>
  <c r="G23" i="60" s="1"/>
  <c r="F23" i="60" a="1"/>
  <c r="F23" i="60" s="1"/>
  <c r="E23" i="60" a="1"/>
  <c r="E23" i="60" s="1"/>
  <c r="I23" i="60" s="1"/>
  <c r="D23" i="60" a="1"/>
  <c r="D23" i="60" s="1"/>
  <c r="G22" i="60" a="1"/>
  <c r="G22" i="60" s="1"/>
  <c r="F22" i="60" a="1"/>
  <c r="F22" i="60" s="1"/>
  <c r="E22" i="60" a="1"/>
  <c r="E22" i="60" s="1"/>
  <c r="I22" i="60" s="1"/>
  <c r="D22" i="60" a="1"/>
  <c r="D22" i="60" s="1"/>
  <c r="G21" i="60" a="1"/>
  <c r="G21" i="60" s="1"/>
  <c r="F21" i="60" a="1"/>
  <c r="F21" i="60" s="1"/>
  <c r="E21" i="60" a="1"/>
  <c r="E21" i="60" s="1"/>
  <c r="I21" i="60" s="1"/>
  <c r="D21" i="60" a="1"/>
  <c r="D21" i="60" s="1"/>
  <c r="G20" i="60" a="1"/>
  <c r="G20" i="60" s="1"/>
  <c r="F20" i="60" a="1"/>
  <c r="F20" i="60" s="1"/>
  <c r="E20" i="60" a="1"/>
  <c r="E20" i="60" s="1"/>
  <c r="I20" i="60" s="1"/>
  <c r="D20" i="60" a="1"/>
  <c r="D20" i="60" s="1"/>
  <c r="G19" i="60" a="1"/>
  <c r="G19" i="60" s="1"/>
  <c r="F19" i="60" a="1"/>
  <c r="F19" i="60" s="1"/>
  <c r="E19" i="60" a="1"/>
  <c r="E19" i="60" s="1"/>
  <c r="I19" i="60" s="1"/>
  <c r="D19" i="60" a="1"/>
  <c r="D19" i="60" s="1"/>
  <c r="G18" i="60" a="1"/>
  <c r="G18" i="60" s="1"/>
  <c r="F18" i="60" a="1"/>
  <c r="F18" i="60" s="1"/>
  <c r="E18" i="60" a="1"/>
  <c r="E18" i="60" s="1"/>
  <c r="I18" i="60" s="1"/>
  <c r="D18" i="60" a="1"/>
  <c r="D18" i="60" s="1"/>
  <c r="G17" i="60" a="1"/>
  <c r="G17" i="60" s="1"/>
  <c r="F17" i="60" a="1"/>
  <c r="F17" i="60" s="1"/>
  <c r="E17" i="60" a="1"/>
  <c r="E17" i="60" s="1"/>
  <c r="I17" i="60" s="1"/>
  <c r="D17" i="60" a="1"/>
  <c r="D17" i="60" s="1"/>
  <c r="D15" i="60" a="1"/>
  <c r="D15" i="60" s="1"/>
  <c r="A15" i="60"/>
  <c r="D14" i="60" a="1"/>
  <c r="D14" i="60" s="1"/>
  <c r="A14" i="60"/>
  <c r="A11" i="60"/>
  <c r="A8" i="60"/>
  <c r="D7" i="60" a="1"/>
  <c r="D7" i="60" s="1"/>
  <c r="D6" i="60" a="1"/>
  <c r="D6" i="60" s="1"/>
  <c r="D5" i="60" a="1"/>
  <c r="D5" i="60" s="1"/>
  <c r="A5" i="60"/>
  <c r="A4" i="60"/>
  <c r="A3" i="60"/>
  <c r="E139" i="59"/>
  <c r="F40" i="57" s="1"/>
  <c r="G138" i="59"/>
  <c r="F32" i="56" s="1"/>
  <c r="E138" i="59"/>
  <c r="F39" i="57" s="1"/>
  <c r="G137" i="59"/>
  <c r="F31" i="56" s="1"/>
  <c r="E137" i="59"/>
  <c r="F38" i="57" s="1"/>
  <c r="D137" i="59"/>
  <c r="F31" i="57" s="1"/>
  <c r="G136" i="59"/>
  <c r="F30" i="56" s="1"/>
  <c r="E136" i="59"/>
  <c r="F37" i="57" s="1"/>
  <c r="D136" i="59"/>
  <c r="F30" i="57" s="1"/>
  <c r="G135" i="59"/>
  <c r="F29" i="56" s="1"/>
  <c r="E135" i="59"/>
  <c r="F36" i="57" s="1"/>
  <c r="D135" i="59"/>
  <c r="F29" i="57" s="1"/>
  <c r="G134" i="59"/>
  <c r="F28" i="56" s="1"/>
  <c r="E134" i="59"/>
  <c r="F35" i="57" s="1"/>
  <c r="D134" i="59"/>
  <c r="F28" i="57" s="1"/>
  <c r="G133" i="59"/>
  <c r="F27" i="56" s="1"/>
  <c r="F133" i="59"/>
  <c r="F36" i="56" s="1"/>
  <c r="E133" i="59"/>
  <c r="F34" i="57" s="1"/>
  <c r="D133" i="59"/>
  <c r="F27" i="57" s="1"/>
  <c r="I132" i="59"/>
  <c r="F38" i="56" s="1"/>
  <c r="G132" i="59"/>
  <c r="F26" i="56" s="1"/>
  <c r="F132" i="59"/>
  <c r="F35" i="56" s="1"/>
  <c r="E132" i="59"/>
  <c r="F33" i="57" s="1"/>
  <c r="D132" i="59"/>
  <c r="F26" i="57" s="1"/>
  <c r="I131" i="59"/>
  <c r="F37" i="56" s="1"/>
  <c r="H131" i="59"/>
  <c r="F33" i="56" s="1"/>
  <c r="G131" i="59"/>
  <c r="F25" i="56" s="1"/>
  <c r="F131" i="59"/>
  <c r="F34" i="56" s="1"/>
  <c r="E131" i="59"/>
  <c r="F32" i="57" s="1"/>
  <c r="D131" i="59"/>
  <c r="F25" i="57" s="1"/>
  <c r="F120" i="59" a="1"/>
  <c r="F120" i="59" s="1"/>
  <c r="E120" i="59" a="1"/>
  <c r="E120" i="59" s="1"/>
  <c r="D120" i="59" a="1"/>
  <c r="D120" i="59" s="1"/>
  <c r="F119" i="59" a="1"/>
  <c r="F119" i="59" s="1"/>
  <c r="E119" i="59" a="1"/>
  <c r="E119" i="59" s="1"/>
  <c r="D119" i="59" a="1"/>
  <c r="D119" i="59" s="1"/>
  <c r="F118" i="59" a="1"/>
  <c r="F118" i="59" s="1"/>
  <c r="E118" i="59" a="1"/>
  <c r="E118" i="59" s="1"/>
  <c r="D118" i="59" a="1"/>
  <c r="D118" i="59" s="1"/>
  <c r="F117" i="59" a="1"/>
  <c r="F117" i="59" s="1"/>
  <c r="E117" i="59" a="1"/>
  <c r="E117" i="59" s="1"/>
  <c r="D117" i="59" a="1"/>
  <c r="D117" i="59" s="1"/>
  <c r="F116" i="59" a="1"/>
  <c r="F116" i="59" s="1"/>
  <c r="E116" i="59" a="1"/>
  <c r="E116" i="59" s="1"/>
  <c r="D116" i="59" a="1"/>
  <c r="D116" i="59" s="1"/>
  <c r="F115" i="59" a="1"/>
  <c r="F115" i="59" s="1"/>
  <c r="E115" i="59" a="1"/>
  <c r="E115" i="59" s="1"/>
  <c r="D115" i="59" a="1"/>
  <c r="D115" i="59" s="1"/>
  <c r="F114" i="59" a="1"/>
  <c r="F114" i="59" s="1"/>
  <c r="E114" i="59" a="1"/>
  <c r="E114" i="59" s="1"/>
  <c r="D114" i="59" a="1"/>
  <c r="D114" i="59" s="1"/>
  <c r="G113" i="59" a="1"/>
  <c r="G113" i="59" s="1"/>
  <c r="F113" i="59" a="1"/>
  <c r="F113" i="59" s="1"/>
  <c r="E113" i="59" a="1"/>
  <c r="E113" i="59" s="1"/>
  <c r="D113" i="59" a="1"/>
  <c r="D113" i="59" s="1"/>
  <c r="D110" i="59" a="1"/>
  <c r="D110" i="59" s="1"/>
  <c r="D109" i="59" a="1"/>
  <c r="D109" i="59" s="1"/>
  <c r="D108" i="59" a="1"/>
  <c r="D108" i="59" s="1"/>
  <c r="D107" i="59" a="1"/>
  <c r="D107" i="59" s="1"/>
  <c r="J104" i="59" a="1"/>
  <c r="J104" i="59" s="1"/>
  <c r="I104" i="59" a="1"/>
  <c r="I104" i="59" s="1"/>
  <c r="H104" i="59" a="1"/>
  <c r="H104" i="59" s="1"/>
  <c r="G104" i="59" a="1"/>
  <c r="G104" i="59" s="1"/>
  <c r="F104" i="59" a="1"/>
  <c r="F104" i="59" s="1"/>
  <c r="E104" i="59" a="1"/>
  <c r="E104" i="59" s="1"/>
  <c r="D104" i="59" a="1"/>
  <c r="D104" i="59" s="1"/>
  <c r="E40" i="57" s="1"/>
  <c r="J103" i="59" a="1"/>
  <c r="J103" i="59" s="1"/>
  <c r="I103" i="59" a="1"/>
  <c r="I103" i="59" s="1"/>
  <c r="H103" i="59" a="1"/>
  <c r="H103" i="59" s="1"/>
  <c r="G103" i="59" a="1"/>
  <c r="G103" i="59" s="1"/>
  <c r="F103" i="59" a="1"/>
  <c r="F103" i="59" s="1"/>
  <c r="E103" i="59" a="1"/>
  <c r="E103" i="59" s="1"/>
  <c r="D103" i="59" a="1"/>
  <c r="D103" i="59" s="1"/>
  <c r="E39" i="57" s="1"/>
  <c r="J102" i="59" a="1"/>
  <c r="J102" i="59" s="1"/>
  <c r="I102" i="59" a="1"/>
  <c r="I102" i="59" s="1"/>
  <c r="H102" i="59" a="1"/>
  <c r="H102" i="59" s="1"/>
  <c r="G102" i="59" a="1"/>
  <c r="G102" i="59" s="1"/>
  <c r="F102" i="59" a="1"/>
  <c r="F102" i="59" s="1"/>
  <c r="E102" i="59" a="1"/>
  <c r="E102" i="59" s="1"/>
  <c r="D102" i="59" a="1"/>
  <c r="D102" i="59" s="1"/>
  <c r="J101" i="59" a="1"/>
  <c r="J101" i="59" s="1"/>
  <c r="I101" i="59" a="1"/>
  <c r="I101" i="59" s="1"/>
  <c r="H101" i="59" a="1"/>
  <c r="H101" i="59" s="1"/>
  <c r="G101" i="59" a="1"/>
  <c r="G101" i="59" s="1"/>
  <c r="F101" i="59" a="1"/>
  <c r="F101" i="59" s="1"/>
  <c r="E101" i="59" a="1"/>
  <c r="E101" i="59" s="1"/>
  <c r="D101" i="59" a="1"/>
  <c r="D101" i="59" s="1"/>
  <c r="J100" i="59" a="1"/>
  <c r="J100" i="59" s="1"/>
  <c r="I100" i="59" a="1"/>
  <c r="I100" i="59" s="1"/>
  <c r="H100" i="59" a="1"/>
  <c r="H100" i="59" s="1"/>
  <c r="G100" i="59" a="1"/>
  <c r="G100" i="59" s="1"/>
  <c r="F100" i="59" a="1"/>
  <c r="F100" i="59" s="1"/>
  <c r="E100" i="59" a="1"/>
  <c r="E100" i="59" s="1"/>
  <c r="D100" i="59" a="1"/>
  <c r="D100" i="59" s="1"/>
  <c r="J99" i="59" a="1"/>
  <c r="J99" i="59" s="1"/>
  <c r="I99" i="59" a="1"/>
  <c r="I99" i="59" s="1"/>
  <c r="H99" i="59" a="1"/>
  <c r="H99" i="59" s="1"/>
  <c r="G99" i="59" a="1"/>
  <c r="G99" i="59" s="1"/>
  <c r="F99" i="59" a="1"/>
  <c r="F99" i="59" s="1"/>
  <c r="E99" i="59" a="1"/>
  <c r="E99" i="59" s="1"/>
  <c r="D99" i="59" a="1"/>
  <c r="D99" i="59" s="1"/>
  <c r="J98" i="59" a="1"/>
  <c r="J98" i="59" s="1"/>
  <c r="I98" i="59" a="1"/>
  <c r="I98" i="59" s="1"/>
  <c r="H98" i="59" a="1"/>
  <c r="H98" i="59" s="1"/>
  <c r="G98" i="59" a="1"/>
  <c r="G98" i="59" s="1"/>
  <c r="F98" i="59" a="1"/>
  <c r="F98" i="59" s="1"/>
  <c r="E98" i="59" a="1"/>
  <c r="E98" i="59" s="1"/>
  <c r="D98" i="59" a="1"/>
  <c r="D98" i="59" s="1"/>
  <c r="J97" i="59" a="1"/>
  <c r="J97" i="59" s="1"/>
  <c r="I97" i="59" a="1"/>
  <c r="I97" i="59" s="1"/>
  <c r="H97" i="59" a="1"/>
  <c r="H97" i="59" s="1"/>
  <c r="G97" i="59" a="1"/>
  <c r="G97" i="59" s="1"/>
  <c r="F97" i="59" a="1"/>
  <c r="F97" i="59" s="1"/>
  <c r="E97" i="59" a="1"/>
  <c r="E97" i="59" s="1"/>
  <c r="D97" i="59" a="1"/>
  <c r="D97" i="59" s="1"/>
  <c r="J96" i="59" a="1"/>
  <c r="J96" i="59" s="1"/>
  <c r="I96" i="59" a="1"/>
  <c r="I96" i="59" s="1"/>
  <c r="H96" i="59" a="1"/>
  <c r="H96" i="59" s="1"/>
  <c r="G96" i="59" a="1"/>
  <c r="G96" i="59" s="1"/>
  <c r="F96" i="59" a="1"/>
  <c r="F96" i="59" s="1"/>
  <c r="E96" i="59" a="1"/>
  <c r="E96" i="59" s="1"/>
  <c r="D96" i="59" a="1"/>
  <c r="D96" i="59" s="1"/>
  <c r="J95" i="59" a="1"/>
  <c r="J95" i="59" s="1"/>
  <c r="I95" i="59" a="1"/>
  <c r="I95" i="59" s="1"/>
  <c r="H95" i="59" a="1"/>
  <c r="H95" i="59" s="1"/>
  <c r="G95" i="59" a="1"/>
  <c r="G95" i="59" s="1"/>
  <c r="F95" i="59" a="1"/>
  <c r="F95" i="59" s="1"/>
  <c r="E95" i="59" a="1"/>
  <c r="E95" i="59" s="1"/>
  <c r="D95" i="59" a="1"/>
  <c r="D95" i="59" s="1"/>
  <c r="J94" i="59" a="1"/>
  <c r="J94" i="59" s="1"/>
  <c r="I94" i="59" a="1"/>
  <c r="I94" i="59" s="1"/>
  <c r="H94" i="59" a="1"/>
  <c r="H94" i="59" s="1"/>
  <c r="G94" i="59" a="1"/>
  <c r="G94" i="59" s="1"/>
  <c r="F94" i="59" a="1"/>
  <c r="F94" i="59" s="1"/>
  <c r="E94" i="59" a="1"/>
  <c r="E94" i="59" s="1"/>
  <c r="D94" i="59" a="1"/>
  <c r="D94" i="59" s="1"/>
  <c r="J93" i="59" a="1"/>
  <c r="J93" i="59" s="1"/>
  <c r="I93" i="59" a="1"/>
  <c r="I93" i="59" s="1"/>
  <c r="H93" i="59" a="1"/>
  <c r="H93" i="59" s="1"/>
  <c r="G93" i="59" a="1"/>
  <c r="G93" i="59" s="1"/>
  <c r="F93" i="59" a="1"/>
  <c r="F93" i="59" s="1"/>
  <c r="E93" i="59" a="1"/>
  <c r="E93" i="59" s="1"/>
  <c r="D93" i="59" a="1"/>
  <c r="D93" i="59" s="1"/>
  <c r="J92" i="59" a="1"/>
  <c r="J92" i="59" s="1"/>
  <c r="I92" i="59" a="1"/>
  <c r="I92" i="59" s="1"/>
  <c r="H92" i="59" a="1"/>
  <c r="H92" i="59" s="1"/>
  <c r="G92" i="59" a="1"/>
  <c r="G92" i="59" s="1"/>
  <c r="F92" i="59" a="1"/>
  <c r="F92" i="59" s="1"/>
  <c r="E92" i="59" a="1"/>
  <c r="E92" i="59" s="1"/>
  <c r="D92" i="59" a="1"/>
  <c r="D92" i="59" s="1"/>
  <c r="J91" i="59" a="1"/>
  <c r="J91" i="59" s="1"/>
  <c r="I91" i="59" a="1"/>
  <c r="I91" i="59" s="1"/>
  <c r="H91" i="59" a="1"/>
  <c r="H91" i="59" s="1"/>
  <c r="G91" i="59" a="1"/>
  <c r="G91" i="59" s="1"/>
  <c r="F91" i="59" a="1"/>
  <c r="F91" i="59" s="1"/>
  <c r="E91" i="59" a="1"/>
  <c r="E91" i="59" s="1"/>
  <c r="D91" i="59" a="1"/>
  <c r="D91" i="59" s="1"/>
  <c r="J90" i="59" a="1"/>
  <c r="J90" i="59" s="1"/>
  <c r="I90" i="59" a="1"/>
  <c r="I90" i="59" s="1"/>
  <c r="H90" i="59" a="1"/>
  <c r="H90" i="59" s="1"/>
  <c r="G90" i="59" a="1"/>
  <c r="G90" i="59" s="1"/>
  <c r="F90" i="59" a="1"/>
  <c r="F90" i="59" s="1"/>
  <c r="E90" i="59" a="1"/>
  <c r="E90" i="59" s="1"/>
  <c r="D90" i="59" a="1"/>
  <c r="D90" i="59" s="1"/>
  <c r="J89" i="59" a="1"/>
  <c r="J89" i="59" s="1"/>
  <c r="I89" i="59" a="1"/>
  <c r="I89" i="59" s="1"/>
  <c r="H89" i="59" a="1"/>
  <c r="H89" i="59" s="1"/>
  <c r="G89" i="59" a="1"/>
  <c r="G89" i="59" s="1"/>
  <c r="F89" i="59" a="1"/>
  <c r="F89" i="59" s="1"/>
  <c r="E89" i="59" a="1"/>
  <c r="E89" i="59" s="1"/>
  <c r="D89" i="59" a="1"/>
  <c r="D89" i="59" s="1"/>
  <c r="J88" i="59" a="1"/>
  <c r="J88" i="59" s="1"/>
  <c r="I88" i="59" a="1"/>
  <c r="I88" i="59" s="1"/>
  <c r="H88" i="59" a="1"/>
  <c r="H88" i="59" s="1"/>
  <c r="G88" i="59" a="1"/>
  <c r="G88" i="59" s="1"/>
  <c r="F88" i="59" a="1"/>
  <c r="F88" i="59" s="1"/>
  <c r="E88" i="59" a="1"/>
  <c r="E88" i="59" s="1"/>
  <c r="D88" i="59" a="1"/>
  <c r="D88" i="59" s="1"/>
  <c r="J87" i="59" a="1"/>
  <c r="J87" i="59" s="1"/>
  <c r="I87" i="59" a="1"/>
  <c r="I87" i="59" s="1"/>
  <c r="H87" i="59" a="1"/>
  <c r="H87" i="59" s="1"/>
  <c r="G87" i="59" a="1"/>
  <c r="G87" i="59" s="1"/>
  <c r="F87" i="59" a="1"/>
  <c r="F87" i="59" s="1"/>
  <c r="E87" i="59" a="1"/>
  <c r="E87" i="59" s="1"/>
  <c r="D87" i="59" a="1"/>
  <c r="D87" i="59" s="1"/>
  <c r="D84" i="59" a="1"/>
  <c r="D84" i="59" s="1"/>
  <c r="D83" i="59" a="1"/>
  <c r="D83" i="59" s="1"/>
  <c r="D82" i="59" a="1"/>
  <c r="D82" i="59" s="1"/>
  <c r="D81" i="59" a="1"/>
  <c r="D81" i="59" s="1"/>
  <c r="K77" i="59" a="1"/>
  <c r="K77" i="59" s="1"/>
  <c r="J77" i="59" a="1"/>
  <c r="J77" i="59" s="1"/>
  <c r="I77" i="59" a="1"/>
  <c r="I77" i="59" s="1"/>
  <c r="H77" i="59" a="1"/>
  <c r="H77" i="59" s="1"/>
  <c r="G77" i="59" a="1"/>
  <c r="G77" i="59" s="1"/>
  <c r="F77" i="59" a="1"/>
  <c r="F77" i="59" s="1"/>
  <c r="E77" i="59" a="1"/>
  <c r="E77" i="59" s="1"/>
  <c r="D77" i="59" a="1"/>
  <c r="D77" i="59" s="1"/>
  <c r="E38" i="57" s="1"/>
  <c r="K76" i="59" a="1"/>
  <c r="K76" i="59" s="1"/>
  <c r="J76" i="59" a="1"/>
  <c r="J76" i="59" s="1"/>
  <c r="I76" i="59" a="1"/>
  <c r="I76" i="59" s="1"/>
  <c r="H76" i="59" a="1"/>
  <c r="H76" i="59" s="1"/>
  <c r="G76" i="59" a="1"/>
  <c r="G76" i="59" s="1"/>
  <c r="F76" i="59" a="1"/>
  <c r="F76" i="59" s="1"/>
  <c r="E76" i="59" a="1"/>
  <c r="E76" i="59" s="1"/>
  <c r="D76" i="59" a="1"/>
  <c r="D76" i="59" s="1"/>
  <c r="K75" i="59" a="1"/>
  <c r="K75" i="59" s="1"/>
  <c r="J75" i="59" a="1"/>
  <c r="J75" i="59" s="1"/>
  <c r="I75" i="59" a="1"/>
  <c r="I75" i="59" s="1"/>
  <c r="H75" i="59" a="1"/>
  <c r="H75" i="59" s="1"/>
  <c r="G75" i="59" a="1"/>
  <c r="G75" i="59" s="1"/>
  <c r="F75" i="59" a="1"/>
  <c r="F75" i="59" s="1"/>
  <c r="E75" i="59" a="1"/>
  <c r="E75" i="59" s="1"/>
  <c r="D75" i="59" a="1"/>
  <c r="D75" i="59" s="1"/>
  <c r="E30" i="57" s="1"/>
  <c r="K74" i="59" a="1"/>
  <c r="K74" i="59" s="1"/>
  <c r="J74" i="59" a="1"/>
  <c r="J74" i="59" s="1"/>
  <c r="I74" i="59" a="1"/>
  <c r="I74" i="59" s="1"/>
  <c r="H74" i="59" a="1"/>
  <c r="H74" i="59" s="1"/>
  <c r="G74" i="59" a="1"/>
  <c r="G74" i="59" s="1"/>
  <c r="F74" i="59" a="1"/>
  <c r="F74" i="59" s="1"/>
  <c r="E74" i="59" a="1"/>
  <c r="E74" i="59" s="1"/>
  <c r="D74" i="59" a="1"/>
  <c r="D74" i="59" s="1"/>
  <c r="E29" i="57" s="1"/>
  <c r="K73" i="59" a="1"/>
  <c r="K73" i="59" s="1"/>
  <c r="J73" i="59" a="1"/>
  <c r="J73" i="59" s="1"/>
  <c r="I73" i="59" a="1"/>
  <c r="I73" i="59" s="1"/>
  <c r="H73" i="59" a="1"/>
  <c r="H73" i="59" s="1"/>
  <c r="G73" i="59" a="1"/>
  <c r="G73" i="59" s="1"/>
  <c r="F73" i="59" a="1"/>
  <c r="F73" i="59" s="1"/>
  <c r="E73" i="59" a="1"/>
  <c r="E73" i="59" s="1"/>
  <c r="D73" i="59" a="1"/>
  <c r="D73" i="59" s="1"/>
  <c r="E35" i="57" s="1"/>
  <c r="K72" i="59" a="1"/>
  <c r="K72" i="59" s="1"/>
  <c r="J72" i="59" a="1"/>
  <c r="J72" i="59" s="1"/>
  <c r="I72" i="59" a="1"/>
  <c r="I72" i="59" s="1"/>
  <c r="H72" i="59" a="1"/>
  <c r="H72" i="59" s="1"/>
  <c r="G72" i="59" a="1"/>
  <c r="G72" i="59" s="1"/>
  <c r="F72" i="59" a="1"/>
  <c r="F72" i="59" s="1"/>
  <c r="E72" i="59" a="1"/>
  <c r="E72" i="59" s="1"/>
  <c r="D72" i="59" a="1"/>
  <c r="D72" i="59" s="1"/>
  <c r="K71" i="59" a="1"/>
  <c r="K71" i="59" s="1"/>
  <c r="J71" i="59" a="1"/>
  <c r="J71" i="59" s="1"/>
  <c r="I71" i="59" a="1"/>
  <c r="I71" i="59" s="1"/>
  <c r="H71" i="59" a="1"/>
  <c r="H71" i="59" s="1"/>
  <c r="G71" i="59" a="1"/>
  <c r="G71" i="59" s="1"/>
  <c r="F71" i="59" a="1"/>
  <c r="F71" i="59" s="1"/>
  <c r="E71" i="59" a="1"/>
  <c r="E71" i="59" s="1"/>
  <c r="D71" i="59" a="1"/>
  <c r="D71" i="59" s="1"/>
  <c r="K70" i="59" a="1"/>
  <c r="K70" i="59" s="1"/>
  <c r="J70" i="59" a="1"/>
  <c r="J70" i="59" s="1"/>
  <c r="I70" i="59" a="1"/>
  <c r="I70" i="59" s="1"/>
  <c r="H70" i="59" a="1"/>
  <c r="H70" i="59" s="1"/>
  <c r="G70" i="59" a="1"/>
  <c r="G70" i="59" s="1"/>
  <c r="F70" i="59" a="1"/>
  <c r="F70" i="59" s="1"/>
  <c r="E70" i="59" a="1"/>
  <c r="E70" i="59" s="1"/>
  <c r="D70" i="59" a="1"/>
  <c r="D70" i="59" s="1"/>
  <c r="K69" i="59" a="1"/>
  <c r="K69" i="59" s="1"/>
  <c r="J69" i="59" a="1"/>
  <c r="J69" i="59" s="1"/>
  <c r="I69" i="59" a="1"/>
  <c r="I69" i="59" s="1"/>
  <c r="H69" i="59" a="1"/>
  <c r="H69" i="59" s="1"/>
  <c r="G69" i="59" a="1"/>
  <c r="G69" i="59" s="1"/>
  <c r="F69" i="59" a="1"/>
  <c r="F69" i="59" s="1"/>
  <c r="E69" i="59" a="1"/>
  <c r="E69" i="59" s="1"/>
  <c r="D69" i="59" a="1"/>
  <c r="D69" i="59" s="1"/>
  <c r="K68" i="59" a="1"/>
  <c r="K68" i="59" s="1"/>
  <c r="J68" i="59" a="1"/>
  <c r="J68" i="59" s="1"/>
  <c r="I68" i="59" a="1"/>
  <c r="I68" i="59" s="1"/>
  <c r="H68" i="59" a="1"/>
  <c r="H68" i="59" s="1"/>
  <c r="G68" i="59" a="1"/>
  <c r="G68" i="59" s="1"/>
  <c r="F68" i="59" a="1"/>
  <c r="F68" i="59" s="1"/>
  <c r="E68" i="59" a="1"/>
  <c r="E68" i="59" s="1"/>
  <c r="D68" i="59" a="1"/>
  <c r="D68" i="59" s="1"/>
  <c r="K67" i="59" a="1"/>
  <c r="K67" i="59" s="1"/>
  <c r="J67" i="59" a="1"/>
  <c r="J67" i="59" s="1"/>
  <c r="I67" i="59" a="1"/>
  <c r="I67" i="59" s="1"/>
  <c r="H67" i="59" a="1"/>
  <c r="H67" i="59" s="1"/>
  <c r="G67" i="59" a="1"/>
  <c r="G67" i="59" s="1"/>
  <c r="F67" i="59" a="1"/>
  <c r="F67" i="59" s="1"/>
  <c r="E67" i="59" a="1"/>
  <c r="E67" i="59" s="1"/>
  <c r="D67" i="59" a="1"/>
  <c r="D67" i="59" s="1"/>
  <c r="E27" i="57" s="1"/>
  <c r="K66" i="59" a="1"/>
  <c r="K66" i="59" s="1"/>
  <c r="J66" i="59" a="1"/>
  <c r="J66" i="59" s="1"/>
  <c r="I66" i="59" a="1"/>
  <c r="I66" i="59" s="1"/>
  <c r="H66" i="59" a="1"/>
  <c r="H66" i="59" s="1"/>
  <c r="G66" i="59" a="1"/>
  <c r="G66" i="59" s="1"/>
  <c r="F66" i="59" a="1"/>
  <c r="F66" i="59" s="1"/>
  <c r="E66" i="59" a="1"/>
  <c r="E66" i="59" s="1"/>
  <c r="D66" i="59" a="1"/>
  <c r="D66" i="59" s="1"/>
  <c r="K65" i="59" a="1"/>
  <c r="K65" i="59" s="1"/>
  <c r="J65" i="59" a="1"/>
  <c r="J65" i="59" s="1"/>
  <c r="I65" i="59" a="1"/>
  <c r="I65" i="59" s="1"/>
  <c r="H65" i="59" a="1"/>
  <c r="H65" i="59" s="1"/>
  <c r="G65" i="59" a="1"/>
  <c r="G65" i="59" s="1"/>
  <c r="F65" i="59" a="1"/>
  <c r="F65" i="59" s="1"/>
  <c r="E65" i="59" a="1"/>
  <c r="E65" i="59" s="1"/>
  <c r="D65" i="59" a="1"/>
  <c r="D65" i="59" s="1"/>
  <c r="K64" i="59" a="1"/>
  <c r="K64" i="59" s="1"/>
  <c r="J64" i="59" a="1"/>
  <c r="J64" i="59" s="1"/>
  <c r="I64" i="59" a="1"/>
  <c r="I64" i="59" s="1"/>
  <c r="H64" i="59" a="1"/>
  <c r="H64" i="59" s="1"/>
  <c r="G64" i="59" a="1"/>
  <c r="G64" i="59" s="1"/>
  <c r="F64" i="59" a="1"/>
  <c r="F64" i="59" s="1"/>
  <c r="E64" i="59" a="1"/>
  <c r="E64" i="59" s="1"/>
  <c r="D64" i="59" a="1"/>
  <c r="D64" i="59" s="1"/>
  <c r="K63" i="59" a="1"/>
  <c r="K63" i="59" s="1"/>
  <c r="J63" i="59" a="1"/>
  <c r="J63" i="59" s="1"/>
  <c r="I63" i="59" a="1"/>
  <c r="I63" i="59" s="1"/>
  <c r="H63" i="59" a="1"/>
  <c r="H63" i="59" s="1"/>
  <c r="G63" i="59" a="1"/>
  <c r="G63" i="59" s="1"/>
  <c r="F63" i="59" a="1"/>
  <c r="F63" i="59" s="1"/>
  <c r="E63" i="59" a="1"/>
  <c r="E63" i="59" s="1"/>
  <c r="D63" i="59" a="1"/>
  <c r="D63" i="59" s="1"/>
  <c r="E33" i="57" s="1"/>
  <c r="K62" i="59" a="1"/>
  <c r="K62" i="59" s="1"/>
  <c r="J62" i="59" a="1"/>
  <c r="J62" i="59" s="1"/>
  <c r="I62" i="59" a="1"/>
  <c r="I62" i="59" s="1"/>
  <c r="H62" i="59" a="1"/>
  <c r="H62" i="59" s="1"/>
  <c r="G62" i="59" a="1"/>
  <c r="G62" i="59" s="1"/>
  <c r="F62" i="59" a="1"/>
  <c r="F62" i="59" s="1"/>
  <c r="E62" i="59" a="1"/>
  <c r="E62" i="59" s="1"/>
  <c r="D62" i="59" a="1"/>
  <c r="D62" i="59" s="1"/>
  <c r="K61" i="59" a="1"/>
  <c r="K61" i="59" s="1"/>
  <c r="J61" i="59" a="1"/>
  <c r="J61" i="59" s="1"/>
  <c r="I61" i="59" a="1"/>
  <c r="I61" i="59" s="1"/>
  <c r="H61" i="59" a="1"/>
  <c r="H61" i="59" s="1"/>
  <c r="G61" i="59" a="1"/>
  <c r="G61" i="59" s="1"/>
  <c r="F61" i="59" a="1"/>
  <c r="F61" i="59" s="1"/>
  <c r="E61" i="59" a="1"/>
  <c r="E61" i="59" s="1"/>
  <c r="D61" i="59" a="1"/>
  <c r="D61" i="59" s="1"/>
  <c r="K60" i="59" a="1"/>
  <c r="K60" i="59" s="1"/>
  <c r="J60" i="59" a="1"/>
  <c r="J60" i="59" s="1"/>
  <c r="I60" i="59" a="1"/>
  <c r="I60" i="59" s="1"/>
  <c r="H60" i="59" a="1"/>
  <c r="H60" i="59" s="1"/>
  <c r="G60" i="59" a="1"/>
  <c r="G60" i="59" s="1"/>
  <c r="F60" i="59" a="1"/>
  <c r="F60" i="59" s="1"/>
  <c r="E60" i="59" a="1"/>
  <c r="E60" i="59" s="1"/>
  <c r="D60" i="59" a="1"/>
  <c r="D60" i="59" s="1"/>
  <c r="K59" i="59" a="1"/>
  <c r="K59" i="59" s="1"/>
  <c r="J59" i="59" a="1"/>
  <c r="J59" i="59" s="1"/>
  <c r="I59" i="59" a="1"/>
  <c r="I59" i="59" s="1"/>
  <c r="H59" i="59" a="1"/>
  <c r="H59" i="59" s="1"/>
  <c r="G59" i="59" a="1"/>
  <c r="G59" i="59" s="1"/>
  <c r="F59" i="59" a="1"/>
  <c r="F59" i="59" s="1"/>
  <c r="E59" i="59" a="1"/>
  <c r="E59" i="59" s="1"/>
  <c r="D59" i="59" a="1"/>
  <c r="D59" i="59" s="1"/>
  <c r="K58" i="59" a="1"/>
  <c r="K58" i="59" s="1"/>
  <c r="J58" i="59" a="1"/>
  <c r="J58" i="59" s="1"/>
  <c r="I58" i="59" a="1"/>
  <c r="I58" i="59" s="1"/>
  <c r="H58" i="59" a="1"/>
  <c r="H58" i="59" s="1"/>
  <c r="G58" i="59" a="1"/>
  <c r="G58" i="59" s="1"/>
  <c r="F58" i="59" a="1"/>
  <c r="F58" i="59" s="1"/>
  <c r="E58" i="59" a="1"/>
  <c r="E58" i="59" s="1"/>
  <c r="D58" i="59" a="1"/>
  <c r="D58" i="59" s="1"/>
  <c r="E32" i="57" s="1"/>
  <c r="K57" i="59" a="1"/>
  <c r="K57" i="59" s="1"/>
  <c r="J57" i="59" a="1"/>
  <c r="J57" i="59" s="1"/>
  <c r="I57" i="59" a="1"/>
  <c r="I57" i="59" s="1"/>
  <c r="H57" i="59" a="1"/>
  <c r="H57" i="59" s="1"/>
  <c r="G57" i="59" a="1"/>
  <c r="G57" i="59" s="1"/>
  <c r="F57" i="59" a="1"/>
  <c r="F57" i="59" s="1"/>
  <c r="E57" i="59" a="1"/>
  <c r="E57" i="59" s="1"/>
  <c r="D57" i="59" a="1"/>
  <c r="D57" i="59" s="1"/>
  <c r="K56" i="59" a="1"/>
  <c r="K56" i="59" s="1"/>
  <c r="J56" i="59" a="1"/>
  <c r="J56" i="59" s="1"/>
  <c r="I56" i="59" a="1"/>
  <c r="I56" i="59" s="1"/>
  <c r="H56" i="59" a="1"/>
  <c r="H56" i="59" s="1"/>
  <c r="G56" i="59" a="1"/>
  <c r="G56" i="59" s="1"/>
  <c r="F56" i="59" a="1"/>
  <c r="F56" i="59" s="1"/>
  <c r="E56" i="59" a="1"/>
  <c r="E56" i="59" s="1"/>
  <c r="D56" i="59" a="1"/>
  <c r="D56" i="59" s="1"/>
  <c r="K55" i="59" a="1"/>
  <c r="K55" i="59" s="1"/>
  <c r="J55" i="59" a="1"/>
  <c r="J55" i="59" s="1"/>
  <c r="I55" i="59" a="1"/>
  <c r="I55" i="59" s="1"/>
  <c r="H55" i="59" a="1"/>
  <c r="H55" i="59" s="1"/>
  <c r="G55" i="59" a="1"/>
  <c r="G55" i="59" s="1"/>
  <c r="F55" i="59" a="1"/>
  <c r="F55" i="59" s="1"/>
  <c r="E55" i="59" a="1"/>
  <c r="E55" i="59" s="1"/>
  <c r="D55" i="59" a="1"/>
  <c r="D55" i="59" s="1"/>
  <c r="K54" i="59" a="1"/>
  <c r="K54" i="59" s="1"/>
  <c r="J54" i="59" a="1"/>
  <c r="J54" i="59" s="1"/>
  <c r="I54" i="59" a="1"/>
  <c r="I54" i="59" s="1"/>
  <c r="H54" i="59" a="1"/>
  <c r="H54" i="59" s="1"/>
  <c r="G54" i="59" a="1"/>
  <c r="G54" i="59" s="1"/>
  <c r="F54" i="59" a="1"/>
  <c r="F54" i="59" s="1"/>
  <c r="E54" i="59" a="1"/>
  <c r="E54" i="59" s="1"/>
  <c r="D54" i="59" a="1"/>
  <c r="D54" i="59" s="1"/>
  <c r="D52" i="59" a="1"/>
  <c r="D52" i="59" s="1"/>
  <c r="D51" i="59" a="1"/>
  <c r="D51" i="59" s="1"/>
  <c r="D50" i="59" a="1"/>
  <c r="D50" i="59" s="1"/>
  <c r="D49" i="59" a="1"/>
  <c r="D49" i="59" s="1"/>
  <c r="J43" i="59" a="1"/>
  <c r="J43" i="59" s="1"/>
  <c r="I43" i="59" a="1"/>
  <c r="I43" i="59" s="1"/>
  <c r="H43" i="59" a="1"/>
  <c r="H43" i="59" s="1"/>
  <c r="G43" i="59" a="1"/>
  <c r="G43" i="59" s="1"/>
  <c r="F43" i="59" a="1"/>
  <c r="F43" i="59" s="1"/>
  <c r="E43" i="59" a="1"/>
  <c r="E43" i="59" s="1"/>
  <c r="D43" i="59" a="1"/>
  <c r="D43" i="59" s="1"/>
  <c r="J42" i="59" a="1"/>
  <c r="J42" i="59" s="1"/>
  <c r="I42" i="59" a="1"/>
  <c r="I42" i="59" s="1"/>
  <c r="H42" i="59" a="1"/>
  <c r="H42" i="59" s="1"/>
  <c r="G42" i="59" a="1"/>
  <c r="G42" i="59" s="1"/>
  <c r="F42" i="59" a="1"/>
  <c r="F42" i="59" s="1"/>
  <c r="E42" i="59" a="1"/>
  <c r="E42" i="59" s="1"/>
  <c r="D42" i="59" a="1"/>
  <c r="D42" i="59" s="1"/>
  <c r="J41" i="59" a="1"/>
  <c r="J41" i="59" s="1"/>
  <c r="I41" i="59" a="1"/>
  <c r="I41" i="59" s="1"/>
  <c r="H41" i="59" a="1"/>
  <c r="H41" i="59" s="1"/>
  <c r="G41" i="59" a="1"/>
  <c r="G41" i="59" s="1"/>
  <c r="F41" i="59" a="1"/>
  <c r="F41" i="59" s="1"/>
  <c r="E41" i="59" a="1"/>
  <c r="E41" i="59" s="1"/>
  <c r="D41" i="59" a="1"/>
  <c r="D41" i="59" s="1"/>
  <c r="J40" i="59" a="1"/>
  <c r="J40" i="59" s="1"/>
  <c r="I40" i="59" a="1"/>
  <c r="I40" i="59" s="1"/>
  <c r="H40" i="59" a="1"/>
  <c r="H40" i="59" s="1"/>
  <c r="G40" i="59" a="1"/>
  <c r="G40" i="59" s="1"/>
  <c r="F40" i="59" a="1"/>
  <c r="F40" i="59" s="1"/>
  <c r="E40" i="59" a="1"/>
  <c r="E40" i="59" s="1"/>
  <c r="D40" i="59" a="1"/>
  <c r="D40" i="59" s="1"/>
  <c r="D38" i="59" a="1"/>
  <c r="D38" i="59" s="1"/>
  <c r="D37" i="59" a="1"/>
  <c r="D37" i="59" s="1"/>
  <c r="L34" i="59" a="1"/>
  <c r="L34" i="59" s="1"/>
  <c r="K34" i="59" a="1"/>
  <c r="K34" i="59" s="1"/>
  <c r="J34" i="59" a="1"/>
  <c r="J34" i="59" s="1"/>
  <c r="I34" i="59" a="1"/>
  <c r="I34" i="59" s="1"/>
  <c r="H34" i="59" a="1"/>
  <c r="H34" i="59" s="1"/>
  <c r="G34" i="59" a="1"/>
  <c r="G34" i="59" s="1"/>
  <c r="F34" i="59" a="1"/>
  <c r="F34" i="59" s="1"/>
  <c r="E34" i="59" a="1"/>
  <c r="E34" i="59" s="1"/>
  <c r="D34" i="59" a="1"/>
  <c r="D34" i="59" s="1"/>
  <c r="L33" i="59" a="1"/>
  <c r="L33" i="59" s="1"/>
  <c r="K33" i="59" a="1"/>
  <c r="K33" i="59" s="1"/>
  <c r="J33" i="59" a="1"/>
  <c r="J33" i="59" s="1"/>
  <c r="I33" i="59" a="1"/>
  <c r="I33" i="59" s="1"/>
  <c r="H33" i="59" a="1"/>
  <c r="H33" i="59" s="1"/>
  <c r="G33" i="59" a="1"/>
  <c r="G33" i="59" s="1"/>
  <c r="F33" i="59" a="1"/>
  <c r="F33" i="59" s="1"/>
  <c r="E33" i="59" a="1"/>
  <c r="E33" i="59" s="1"/>
  <c r="E39" i="56" s="1"/>
  <c r="D33" i="59" a="1"/>
  <c r="D33" i="59" s="1"/>
  <c r="L32" i="59" a="1"/>
  <c r="L32" i="59" s="1"/>
  <c r="K32" i="59" a="1"/>
  <c r="K32" i="59" s="1"/>
  <c r="J32" i="59" a="1"/>
  <c r="J32" i="59" s="1"/>
  <c r="I32" i="59" a="1"/>
  <c r="I32" i="59" s="1"/>
  <c r="H32" i="59" a="1"/>
  <c r="H32" i="59" s="1"/>
  <c r="G32" i="59" a="1"/>
  <c r="G32" i="59" s="1"/>
  <c r="F32" i="59" a="1"/>
  <c r="F32" i="59" s="1"/>
  <c r="E32" i="59" a="1"/>
  <c r="E32" i="59" s="1"/>
  <c r="D32" i="59" a="1"/>
  <c r="D32" i="59" s="1"/>
  <c r="L31" i="59" a="1"/>
  <c r="L31" i="59" s="1"/>
  <c r="K31" i="59" a="1"/>
  <c r="K31" i="59" s="1"/>
  <c r="J31" i="59" a="1"/>
  <c r="J31" i="59" s="1"/>
  <c r="I31" i="59" a="1"/>
  <c r="I31" i="59" s="1"/>
  <c r="H31" i="59" a="1"/>
  <c r="H31" i="59" s="1"/>
  <c r="G31" i="59" a="1"/>
  <c r="G31" i="59" s="1"/>
  <c r="F31" i="59" a="1"/>
  <c r="F31" i="59" s="1"/>
  <c r="E31" i="59" a="1"/>
  <c r="E31" i="59" s="1"/>
  <c r="D31" i="59" a="1"/>
  <c r="D31" i="59" s="1"/>
  <c r="L30" i="59" a="1"/>
  <c r="L30" i="59" s="1"/>
  <c r="K30" i="59" a="1"/>
  <c r="K30" i="59" s="1"/>
  <c r="J30" i="59" a="1"/>
  <c r="J30" i="59" s="1"/>
  <c r="I30" i="59" a="1"/>
  <c r="I30" i="59" s="1"/>
  <c r="H30" i="59" a="1"/>
  <c r="H30" i="59" s="1"/>
  <c r="G30" i="59" a="1"/>
  <c r="G30" i="59" s="1"/>
  <c r="F30" i="59" a="1"/>
  <c r="F30" i="59" s="1"/>
  <c r="E30" i="59" a="1"/>
  <c r="E30" i="59" s="1"/>
  <c r="E36" i="56" s="1"/>
  <c r="D30" i="59" a="1"/>
  <c r="D30" i="59" s="1"/>
  <c r="L29" i="59" a="1"/>
  <c r="L29" i="59" s="1"/>
  <c r="K29" i="59" a="1"/>
  <c r="K29" i="59" s="1"/>
  <c r="J29" i="59" a="1"/>
  <c r="J29" i="59" s="1"/>
  <c r="I29" i="59" a="1"/>
  <c r="I29" i="59" s="1"/>
  <c r="H29" i="59" a="1"/>
  <c r="H29" i="59" s="1"/>
  <c r="G29" i="59" a="1"/>
  <c r="G29" i="59" s="1"/>
  <c r="F29" i="59" a="1"/>
  <c r="F29" i="59" s="1"/>
  <c r="E29" i="59" a="1"/>
  <c r="E29" i="59" s="1"/>
  <c r="E35" i="56" s="1"/>
  <c r="D29" i="59" a="1"/>
  <c r="D29" i="59" s="1"/>
  <c r="L28" i="59" a="1"/>
  <c r="L28" i="59" s="1"/>
  <c r="K28" i="59" a="1"/>
  <c r="K28" i="59" s="1"/>
  <c r="J28" i="59" a="1"/>
  <c r="J28" i="59" s="1"/>
  <c r="I28" i="59" a="1"/>
  <c r="I28" i="59" s="1"/>
  <c r="H28" i="59" a="1"/>
  <c r="H28" i="59" s="1"/>
  <c r="G28" i="59" a="1"/>
  <c r="G28" i="59" s="1"/>
  <c r="F28" i="59" a="1"/>
  <c r="F28" i="59" s="1"/>
  <c r="E28" i="59" a="1"/>
  <c r="E28" i="59" s="1"/>
  <c r="E34" i="56" s="1"/>
  <c r="D28" i="59" a="1"/>
  <c r="D28" i="59" s="1"/>
  <c r="L27" i="59" a="1"/>
  <c r="L27" i="59" s="1"/>
  <c r="K27" i="59" a="1"/>
  <c r="K27" i="59" s="1"/>
  <c r="J27" i="59" a="1"/>
  <c r="J27" i="59" s="1"/>
  <c r="I27" i="59" a="1"/>
  <c r="I27" i="59" s="1"/>
  <c r="H27" i="59" a="1"/>
  <c r="H27" i="59" s="1"/>
  <c r="G27" i="59" a="1"/>
  <c r="G27" i="59" s="1"/>
  <c r="F27" i="59" a="1"/>
  <c r="F27" i="59" s="1"/>
  <c r="E27" i="59" a="1"/>
  <c r="E27" i="59" s="1"/>
  <c r="D27" i="59" a="1"/>
  <c r="D27" i="59" s="1"/>
  <c r="L26" i="59" a="1"/>
  <c r="L26" i="59" s="1"/>
  <c r="K26" i="59" a="1"/>
  <c r="K26" i="59" s="1"/>
  <c r="J26" i="59" a="1"/>
  <c r="J26" i="59" s="1"/>
  <c r="I26" i="59" a="1"/>
  <c r="I26" i="59" s="1"/>
  <c r="H26" i="59" a="1"/>
  <c r="H26" i="59" s="1"/>
  <c r="G26" i="59" a="1"/>
  <c r="G26" i="59" s="1"/>
  <c r="F26" i="59" a="1"/>
  <c r="F26" i="59" s="1"/>
  <c r="E26" i="59" a="1"/>
  <c r="E26" i="59" s="1"/>
  <c r="D26" i="59" a="1"/>
  <c r="D26" i="59" s="1"/>
  <c r="L25" i="59" a="1"/>
  <c r="L25" i="59" s="1"/>
  <c r="K25" i="59" a="1"/>
  <c r="K25" i="59" s="1"/>
  <c r="J25" i="59" a="1"/>
  <c r="J25" i="59" s="1"/>
  <c r="I25" i="59" a="1"/>
  <c r="I25" i="59" s="1"/>
  <c r="H25" i="59" a="1"/>
  <c r="H25" i="59" s="1"/>
  <c r="G25" i="59" a="1"/>
  <c r="G25" i="59" s="1"/>
  <c r="F25" i="59" a="1"/>
  <c r="F25" i="59" s="1"/>
  <c r="E25" i="59" a="1"/>
  <c r="E25" i="59" s="1"/>
  <c r="D25" i="59" a="1"/>
  <c r="D25" i="59" s="1"/>
  <c r="L24" i="59" a="1"/>
  <c r="L24" i="59" s="1"/>
  <c r="K24" i="59" a="1"/>
  <c r="K24" i="59" s="1"/>
  <c r="J24" i="59" a="1"/>
  <c r="J24" i="59" s="1"/>
  <c r="I24" i="59" a="1"/>
  <c r="I24" i="59" s="1"/>
  <c r="H24" i="59" a="1"/>
  <c r="H24" i="59" s="1"/>
  <c r="G24" i="59" a="1"/>
  <c r="G24" i="59" s="1"/>
  <c r="F24" i="59" a="1"/>
  <c r="F24" i="59" s="1"/>
  <c r="E24" i="59" a="1"/>
  <c r="E24" i="59" s="1"/>
  <c r="D24" i="59" a="1"/>
  <c r="D24" i="59" s="1"/>
  <c r="L23" i="59" a="1"/>
  <c r="L23" i="59" s="1"/>
  <c r="K23" i="59" a="1"/>
  <c r="K23" i="59" s="1"/>
  <c r="J23" i="59" a="1"/>
  <c r="J23" i="59" s="1"/>
  <c r="I23" i="59" a="1"/>
  <c r="I23" i="59" s="1"/>
  <c r="H23" i="59" a="1"/>
  <c r="H23" i="59" s="1"/>
  <c r="G23" i="59" a="1"/>
  <c r="G23" i="59" s="1"/>
  <c r="F23" i="59" a="1"/>
  <c r="F23" i="59" s="1"/>
  <c r="E23" i="59" a="1"/>
  <c r="E23" i="59" s="1"/>
  <c r="D23" i="59" a="1"/>
  <c r="D23" i="59" s="1"/>
  <c r="L22" i="59" a="1"/>
  <c r="L22" i="59" s="1"/>
  <c r="K22" i="59" a="1"/>
  <c r="K22" i="59" s="1"/>
  <c r="J22" i="59" a="1"/>
  <c r="J22" i="59" s="1"/>
  <c r="I22" i="59" a="1"/>
  <c r="I22" i="59" s="1"/>
  <c r="H22" i="59" a="1"/>
  <c r="H22" i="59" s="1"/>
  <c r="G22" i="59" a="1"/>
  <c r="G22" i="59" s="1"/>
  <c r="F22" i="59" a="1"/>
  <c r="F22" i="59" s="1"/>
  <c r="E22" i="59" a="1"/>
  <c r="E22" i="59" s="1"/>
  <c r="D22" i="59" a="1"/>
  <c r="D22" i="59" s="1"/>
  <c r="L21" i="59" a="1"/>
  <c r="L21" i="59" s="1"/>
  <c r="K21" i="59" a="1"/>
  <c r="K21" i="59" s="1"/>
  <c r="J21" i="59" a="1"/>
  <c r="J21" i="59" s="1"/>
  <c r="I21" i="59" a="1"/>
  <c r="I21" i="59" s="1"/>
  <c r="H21" i="59" a="1"/>
  <c r="H21" i="59" s="1"/>
  <c r="G21" i="59" a="1"/>
  <c r="G21" i="59" s="1"/>
  <c r="F21" i="59" a="1"/>
  <c r="F21" i="59" s="1"/>
  <c r="E21" i="59" a="1"/>
  <c r="E21" i="59" s="1"/>
  <c r="D21" i="59" a="1"/>
  <c r="D21" i="59" s="1"/>
  <c r="L20" i="59" a="1"/>
  <c r="L20" i="59" s="1"/>
  <c r="K20" i="59" a="1"/>
  <c r="K20" i="59" s="1"/>
  <c r="J20" i="59" a="1"/>
  <c r="J20" i="59" s="1"/>
  <c r="I20" i="59" a="1"/>
  <c r="I20" i="59" s="1"/>
  <c r="H20" i="59" a="1"/>
  <c r="H20" i="59" s="1"/>
  <c r="G20" i="59" a="1"/>
  <c r="G20" i="59" s="1"/>
  <c r="F20" i="59" a="1"/>
  <c r="F20" i="59" s="1"/>
  <c r="E20" i="59" a="1"/>
  <c r="E20" i="59" s="1"/>
  <c r="D20" i="59" a="1"/>
  <c r="D20" i="59" s="1"/>
  <c r="L19" i="59" a="1"/>
  <c r="L19" i="59" s="1"/>
  <c r="K19" i="59" a="1"/>
  <c r="K19" i="59" s="1"/>
  <c r="J19" i="59" a="1"/>
  <c r="J19" i="59" s="1"/>
  <c r="I19" i="59" a="1"/>
  <c r="I19" i="59" s="1"/>
  <c r="H19" i="59" a="1"/>
  <c r="H19" i="59" s="1"/>
  <c r="G19" i="59" a="1"/>
  <c r="G19" i="59" s="1"/>
  <c r="F19" i="59" a="1"/>
  <c r="F19" i="59" s="1"/>
  <c r="E19" i="59" a="1"/>
  <c r="E19" i="59" s="1"/>
  <c r="D19" i="59" a="1"/>
  <c r="D19" i="59" s="1"/>
  <c r="L18" i="59" a="1"/>
  <c r="L18" i="59" s="1"/>
  <c r="K18" i="59" a="1"/>
  <c r="K18" i="59" s="1"/>
  <c r="J18" i="59" a="1"/>
  <c r="J18" i="59" s="1"/>
  <c r="I18" i="59" a="1"/>
  <c r="I18" i="59" s="1"/>
  <c r="H18" i="59" a="1"/>
  <c r="H18" i="59" s="1"/>
  <c r="G18" i="59" a="1"/>
  <c r="G18" i="59" s="1"/>
  <c r="F18" i="59" a="1"/>
  <c r="F18" i="59" s="1"/>
  <c r="E18" i="59" a="1"/>
  <c r="E18" i="59" s="1"/>
  <c r="D18" i="59" a="1"/>
  <c r="D18" i="59" s="1"/>
  <c r="L17" i="59" a="1"/>
  <c r="L17" i="59" s="1"/>
  <c r="K17" i="59" a="1"/>
  <c r="K17" i="59" s="1"/>
  <c r="J17" i="59" a="1"/>
  <c r="J17" i="59" s="1"/>
  <c r="I17" i="59" a="1"/>
  <c r="I17" i="59" s="1"/>
  <c r="H17" i="59" a="1"/>
  <c r="H17" i="59" s="1"/>
  <c r="G17" i="59" a="1"/>
  <c r="G17" i="59" s="1"/>
  <c r="F17" i="59" a="1"/>
  <c r="F17" i="59" s="1"/>
  <c r="E17" i="59" a="1"/>
  <c r="E17" i="59" s="1"/>
  <c r="E32" i="56" s="1"/>
  <c r="D17" i="59" a="1"/>
  <c r="D17" i="59" s="1"/>
  <c r="A17" i="59"/>
  <c r="L16" i="59" a="1"/>
  <c r="L16" i="59" s="1"/>
  <c r="K16" i="59" a="1"/>
  <c r="K16" i="59" s="1"/>
  <c r="J16" i="59" a="1"/>
  <c r="J16" i="59" s="1"/>
  <c r="I16" i="59" a="1"/>
  <c r="I16" i="59" s="1"/>
  <c r="H16" i="59" a="1"/>
  <c r="H16" i="59" s="1"/>
  <c r="G16" i="59" a="1"/>
  <c r="G16" i="59" s="1"/>
  <c r="F16" i="59" a="1"/>
  <c r="F16" i="59" s="1"/>
  <c r="E16" i="59" a="1"/>
  <c r="E16" i="59" s="1"/>
  <c r="E31" i="56" s="1"/>
  <c r="D16" i="59" a="1"/>
  <c r="D16" i="59" s="1"/>
  <c r="A16" i="59"/>
  <c r="L15" i="59" a="1"/>
  <c r="L15" i="59" s="1"/>
  <c r="K15" i="59" a="1"/>
  <c r="K15" i="59" s="1"/>
  <c r="J15" i="59" a="1"/>
  <c r="J15" i="59" s="1"/>
  <c r="I15" i="59" a="1"/>
  <c r="I15" i="59" s="1"/>
  <c r="H15" i="59" a="1"/>
  <c r="H15" i="59" s="1"/>
  <c r="G15" i="59" a="1"/>
  <c r="G15" i="59" s="1"/>
  <c r="F15" i="59" a="1"/>
  <c r="F15" i="59" s="1"/>
  <c r="E15" i="59" a="1"/>
  <c r="E15" i="59" s="1"/>
  <c r="E30" i="56" s="1"/>
  <c r="D15" i="59" a="1"/>
  <c r="D15" i="59" s="1"/>
  <c r="L14" i="59" a="1"/>
  <c r="L14" i="59" s="1"/>
  <c r="K14" i="59" a="1"/>
  <c r="K14" i="59" s="1"/>
  <c r="J14" i="59" a="1"/>
  <c r="J14" i="59" s="1"/>
  <c r="I14" i="59" a="1"/>
  <c r="I14" i="59" s="1"/>
  <c r="H14" i="59" a="1"/>
  <c r="H14" i="59" s="1"/>
  <c r="G14" i="59" a="1"/>
  <c r="G14" i="59" s="1"/>
  <c r="F14" i="59" a="1"/>
  <c r="F14" i="59" s="1"/>
  <c r="E14" i="59" a="1"/>
  <c r="E14" i="59" s="1"/>
  <c r="E29" i="56" s="1"/>
  <c r="D14" i="59" a="1"/>
  <c r="D14" i="59" s="1"/>
  <c r="L13" i="59" a="1"/>
  <c r="L13" i="59" s="1"/>
  <c r="K13" i="59" a="1"/>
  <c r="K13" i="59" s="1"/>
  <c r="J13" i="59" a="1"/>
  <c r="J13" i="59" s="1"/>
  <c r="I13" i="59" a="1"/>
  <c r="I13" i="59" s="1"/>
  <c r="H13" i="59" a="1"/>
  <c r="H13" i="59" s="1"/>
  <c r="G13" i="59" a="1"/>
  <c r="G13" i="59" s="1"/>
  <c r="F13" i="59" a="1"/>
  <c r="F13" i="59" s="1"/>
  <c r="E13" i="59" a="1"/>
  <c r="E13" i="59" s="1"/>
  <c r="E28" i="56" s="1"/>
  <c r="D13" i="59" a="1"/>
  <c r="D13" i="59" s="1"/>
  <c r="A13" i="59"/>
  <c r="L12" i="59" a="1"/>
  <c r="L12" i="59" s="1"/>
  <c r="K12" i="59" a="1"/>
  <c r="K12" i="59" s="1"/>
  <c r="J12" i="59" a="1"/>
  <c r="J12" i="59" s="1"/>
  <c r="I12" i="59" a="1"/>
  <c r="I12" i="59" s="1"/>
  <c r="H12" i="59" a="1"/>
  <c r="H12" i="59" s="1"/>
  <c r="G12" i="59" a="1"/>
  <c r="G12" i="59" s="1"/>
  <c r="F12" i="59" a="1"/>
  <c r="F12" i="59" s="1"/>
  <c r="E12" i="59" a="1"/>
  <c r="E12" i="59" s="1"/>
  <c r="E27" i="56" s="1"/>
  <c r="D12" i="59" a="1"/>
  <c r="D12" i="59" s="1"/>
  <c r="A12" i="59"/>
  <c r="L11" i="59" a="1"/>
  <c r="L11" i="59" s="1"/>
  <c r="K11" i="59" a="1"/>
  <c r="K11" i="59" s="1"/>
  <c r="J11" i="59" a="1"/>
  <c r="J11" i="59" s="1"/>
  <c r="I11" i="59" a="1"/>
  <c r="I11" i="59" s="1"/>
  <c r="H11" i="59" a="1"/>
  <c r="H11" i="59" s="1"/>
  <c r="G11" i="59" a="1"/>
  <c r="G11" i="59" s="1"/>
  <c r="F11" i="59" a="1"/>
  <c r="F11" i="59" s="1"/>
  <c r="E11" i="59" a="1"/>
  <c r="E11" i="59" s="1"/>
  <c r="E38" i="56" s="1"/>
  <c r="D11" i="59" a="1"/>
  <c r="D11" i="59" s="1"/>
  <c r="A11" i="59"/>
  <c r="L10" i="59" a="1"/>
  <c r="L10" i="59" s="1"/>
  <c r="K10" i="59" a="1"/>
  <c r="K10" i="59" s="1"/>
  <c r="J10" i="59" a="1"/>
  <c r="J10" i="59" s="1"/>
  <c r="I10" i="59" a="1"/>
  <c r="I10" i="59" s="1"/>
  <c r="H10" i="59" a="1"/>
  <c r="H10" i="59" s="1"/>
  <c r="G10" i="59" a="1"/>
  <c r="G10" i="59" s="1"/>
  <c r="F10" i="59" a="1"/>
  <c r="F10" i="59" s="1"/>
  <c r="E10" i="59" a="1"/>
  <c r="E10" i="59" s="1"/>
  <c r="D10" i="59" a="1"/>
  <c r="D10" i="59" s="1"/>
  <c r="D8" i="59" a="1"/>
  <c r="D8" i="59" s="1"/>
  <c r="A8" i="59"/>
  <c r="D7" i="59" a="1"/>
  <c r="D7" i="59" s="1"/>
  <c r="D6" i="59" a="1"/>
  <c r="D6" i="59" s="1"/>
  <c r="D5" i="59" a="1"/>
  <c r="D5" i="59" s="1"/>
  <c r="A5" i="59"/>
  <c r="A4" i="59"/>
  <c r="A3" i="59"/>
  <c r="H185" i="58"/>
  <c r="H179" i="58"/>
  <c r="H168" i="58"/>
  <c r="H144" i="58"/>
  <c r="H138" i="58"/>
  <c r="A136" i="58"/>
  <c r="H127" i="58"/>
  <c r="A109" i="58"/>
  <c r="H105" i="58" a="1"/>
  <c r="H105" i="58" s="1"/>
  <c r="D105" i="58" a="1"/>
  <c r="D105" i="58" s="1"/>
  <c r="E103" i="58" a="1"/>
  <c r="E103" i="58" s="1"/>
  <c r="F192" i="58" s="1"/>
  <c r="E102" i="58" a="1"/>
  <c r="E102" i="58" s="1"/>
  <c r="D98" i="58" a="1"/>
  <c r="D98" i="58" s="1"/>
  <c r="D97" i="58" a="1"/>
  <c r="D97" i="58" s="1"/>
  <c r="D96" i="58" a="1"/>
  <c r="D96" i="58" s="1"/>
  <c r="A66" i="58"/>
  <c r="J16" i="58" a="1"/>
  <c r="J16" i="58" s="1"/>
  <c r="I16" i="58" a="1"/>
  <c r="I16" i="58" s="1"/>
  <c r="J15" i="58" a="1"/>
  <c r="J15" i="58" s="1"/>
  <c r="I15" i="58" a="1"/>
  <c r="I15" i="58" s="1"/>
  <c r="A15" i="58"/>
  <c r="J14" i="58" a="1"/>
  <c r="J14" i="58" s="1"/>
  <c r="I14" i="58" a="1"/>
  <c r="I14" i="58" s="1"/>
  <c r="A14" i="58"/>
  <c r="J13" i="58" a="1"/>
  <c r="J13" i="58" s="1"/>
  <c r="I13" i="58" a="1"/>
  <c r="I13" i="58" s="1"/>
  <c r="G13" i="58" a="1"/>
  <c r="G13" i="58" s="1"/>
  <c r="D13" i="58" a="1"/>
  <c r="D13" i="58" s="1"/>
  <c r="E11" i="58" a="1"/>
  <c r="E11" i="58" s="1"/>
  <c r="A11" i="58"/>
  <c r="E10" i="58" a="1"/>
  <c r="E10" i="58" s="1"/>
  <c r="A8" i="58"/>
  <c r="D6" i="58" a="1"/>
  <c r="D6" i="58" s="1"/>
  <c r="D5" i="58" a="1"/>
  <c r="D5" i="58" s="1"/>
  <c r="A5" i="58"/>
  <c r="A4" i="58"/>
  <c r="A3" i="58"/>
  <c r="A76" i="57"/>
  <c r="A38" i="57"/>
  <c r="D33" i="57"/>
  <c r="D34" i="57"/>
  <c r="D27" i="57"/>
  <c r="P18" i="57"/>
  <c r="P17" i="57"/>
  <c r="A17" i="57"/>
  <c r="P16" i="57" a="1"/>
  <c r="P16" i="57" s="1"/>
  <c r="I16" i="57" a="1"/>
  <c r="I16" i="57" s="1"/>
  <c r="A16" i="57"/>
  <c r="P15" i="57" a="1"/>
  <c r="P15" i="57" s="1"/>
  <c r="I15" i="57" a="1"/>
  <c r="I15" i="57" s="1"/>
  <c r="P14" i="57" a="1"/>
  <c r="P14" i="57" s="1"/>
  <c r="N14" i="57" a="1"/>
  <c r="N14" i="57" s="1"/>
  <c r="K14" i="57" a="1"/>
  <c r="K14" i="57" s="1"/>
  <c r="I14" i="57" a="1"/>
  <c r="I14" i="57" s="1"/>
  <c r="G14" i="57" a="1"/>
  <c r="G14" i="57" s="1"/>
  <c r="D14" i="57" a="1"/>
  <c r="D14" i="57" s="1"/>
  <c r="A13" i="57"/>
  <c r="L12" i="57" a="1"/>
  <c r="L12" i="57" s="1"/>
  <c r="E12" i="57" a="1"/>
  <c r="E12" i="57" s="1"/>
  <c r="F58" i="57" s="1"/>
  <c r="A12" i="57"/>
  <c r="L11" i="57" a="1"/>
  <c r="L11" i="57" s="1"/>
  <c r="E11" i="57" a="1"/>
  <c r="E11" i="57" s="1"/>
  <c r="A11" i="57"/>
  <c r="A8" i="57"/>
  <c r="K7" i="57" a="1"/>
  <c r="K7" i="57" s="1"/>
  <c r="K6" i="57" a="1"/>
  <c r="K6" i="57" s="1"/>
  <c r="D6" i="57" a="1"/>
  <c r="D6" i="57" s="1"/>
  <c r="K5" i="57" a="1"/>
  <c r="K5" i="57" s="1"/>
  <c r="D5" i="57" a="1"/>
  <c r="D5" i="57" s="1"/>
  <c r="A5" i="57"/>
  <c r="A4" i="57"/>
  <c r="A3" i="57"/>
  <c r="A83" i="56"/>
  <c r="A69" i="56"/>
  <c r="D60" i="56"/>
  <c r="D54" i="56"/>
  <c r="D38" i="56"/>
  <c r="D39" i="56"/>
  <c r="A37" i="56"/>
  <c r="D36" i="56"/>
  <c r="D35" i="56"/>
  <c r="D31" i="56"/>
  <c r="D29" i="56"/>
  <c r="D28" i="56"/>
  <c r="D26" i="56"/>
  <c r="A17" i="56"/>
  <c r="P16" i="56" a="1"/>
  <c r="P16" i="56" s="1"/>
  <c r="I16" i="56" a="1"/>
  <c r="I16" i="56" s="1"/>
  <c r="A16" i="56"/>
  <c r="P15" i="56" a="1"/>
  <c r="P15" i="56" s="1"/>
  <c r="I15" i="56" a="1"/>
  <c r="I15" i="56" s="1"/>
  <c r="P14" i="56" a="1"/>
  <c r="P14" i="56" s="1"/>
  <c r="N14" i="56" a="1"/>
  <c r="N14" i="56" s="1"/>
  <c r="K14" i="56" a="1"/>
  <c r="K14" i="56" s="1"/>
  <c r="I14" i="56" a="1"/>
  <c r="I14" i="56" s="1"/>
  <c r="G14" i="56" a="1"/>
  <c r="G14" i="56" s="1"/>
  <c r="D14" i="56" a="1"/>
  <c r="D14" i="56" s="1"/>
  <c r="A13" i="56"/>
  <c r="L12" i="56" a="1"/>
  <c r="L12" i="56" s="1"/>
  <c r="E12" i="56" a="1"/>
  <c r="E12" i="56" s="1"/>
  <c r="F62" i="56" s="1"/>
  <c r="A12" i="56"/>
  <c r="L11" i="56" a="1"/>
  <c r="L11" i="56" s="1"/>
  <c r="E11" i="56" a="1"/>
  <c r="E11" i="56" s="1"/>
  <c r="A11" i="56"/>
  <c r="A8" i="56"/>
  <c r="K6" i="56" a="1"/>
  <c r="K6" i="56" s="1"/>
  <c r="D6" i="56" a="1"/>
  <c r="D6" i="56" s="1"/>
  <c r="K5" i="56" a="1"/>
  <c r="K5" i="56" s="1"/>
  <c r="D5" i="56" a="1"/>
  <c r="D5" i="56" s="1"/>
  <c r="A5" i="56"/>
  <c r="A4" i="56"/>
  <c r="A3" i="56"/>
  <c r="H48" i="55"/>
  <c r="E48" i="55"/>
  <c r="H47" i="55"/>
  <c r="E47" i="55"/>
  <c r="H46" i="55"/>
  <c r="E46" i="55"/>
  <c r="H39" i="55"/>
  <c r="H38" i="55"/>
  <c r="H37" i="55"/>
  <c r="E16" i="55"/>
  <c r="E22" i="55" s="1"/>
  <c r="A15" i="55"/>
  <c r="A14" i="55"/>
  <c r="A11" i="55"/>
  <c r="A8" i="55"/>
  <c r="E6" i="55"/>
  <c r="A5" i="55"/>
  <c r="A4" i="55"/>
  <c r="A3" i="55"/>
  <c r="A15" i="54"/>
  <c r="A14" i="54"/>
  <c r="A11" i="54"/>
  <c r="A8" i="54"/>
  <c r="A5" i="54"/>
  <c r="A4" i="54"/>
  <c r="A3" i="54"/>
  <c r="H21" i="53"/>
  <c r="H20" i="53"/>
  <c r="H19" i="53"/>
  <c r="H18" i="53"/>
  <c r="H17" i="53"/>
  <c r="A17" i="53"/>
  <c r="A16" i="53"/>
  <c r="A13" i="53"/>
  <c r="A12" i="53"/>
  <c r="A11" i="53"/>
  <c r="A8" i="53"/>
  <c r="A5" i="53"/>
  <c r="A4" i="53"/>
  <c r="A3" i="53"/>
  <c r="H50" i="52"/>
  <c r="I50" i="52" s="1"/>
  <c r="G50" i="52"/>
  <c r="H49" i="52"/>
  <c r="I49" i="52" s="1"/>
  <c r="G49" i="52"/>
  <c r="H48" i="52"/>
  <c r="I48" i="52" s="1"/>
  <c r="G48" i="52"/>
  <c r="J48" i="52" s="1"/>
  <c r="A44" i="52"/>
  <c r="K39" i="52"/>
  <c r="F39" i="52"/>
  <c r="G39" i="52" s="1"/>
  <c r="K38" i="52"/>
  <c r="F38" i="52"/>
  <c r="G38" i="52" s="1"/>
  <c r="K37" i="52"/>
  <c r="F37" i="52"/>
  <c r="G37" i="52" s="1"/>
  <c r="F28" i="52"/>
  <c r="G28" i="52" s="1"/>
  <c r="G27" i="52"/>
  <c r="F27" i="52"/>
  <c r="F26" i="52"/>
  <c r="G26" i="52" s="1"/>
  <c r="H22" i="52"/>
  <c r="H21" i="52"/>
  <c r="A21" i="52"/>
  <c r="H20" i="52"/>
  <c r="A20" i="52"/>
  <c r="H19" i="52"/>
  <c r="H18" i="52"/>
  <c r="A17" i="52"/>
  <c r="A16" i="52"/>
  <c r="A15" i="52"/>
  <c r="A14" i="52"/>
  <c r="A13" i="52"/>
  <c r="A12" i="52"/>
  <c r="A9" i="52"/>
  <c r="A8" i="52"/>
  <c r="A5" i="52"/>
  <c r="A4" i="52"/>
  <c r="A3" i="52"/>
  <c r="E29" i="51"/>
  <c r="A21" i="51"/>
  <c r="A20" i="51"/>
  <c r="A17" i="51"/>
  <c r="A16" i="51"/>
  <c r="A15" i="51"/>
  <c r="A14" i="51"/>
  <c r="E13" i="51"/>
  <c r="E30" i="55" s="1"/>
  <c r="I37" i="55" s="1"/>
  <c r="A13" i="51"/>
  <c r="A12" i="51"/>
  <c r="A9" i="51"/>
  <c r="A8" i="51"/>
  <c r="A5" i="51"/>
  <c r="A4" i="51"/>
  <c r="A3" i="51"/>
  <c r="E20" i="41"/>
  <c r="E22" i="41"/>
  <c r="E28" i="41"/>
  <c r="E36" i="41"/>
  <c r="E35" i="41"/>
  <c r="N578" i="19" a="1"/>
  <c r="N578" i="19" s="1"/>
  <c r="L575" i="19" a="1"/>
  <c r="L575" i="19" s="1"/>
  <c r="P569" i="19" a="1"/>
  <c r="P569" i="19" s="1"/>
  <c r="L569" i="19" a="1"/>
  <c r="L569" i="19" s="1"/>
  <c r="E7" i="34" a="1"/>
  <c r="E7" i="58" a="1"/>
  <c r="L8" i="57" a="1"/>
  <c r="E7" i="56" a="1"/>
  <c r="L7" i="56" a="1"/>
  <c r="E7" i="57" a="1"/>
  <c r="E99" i="58" a="1"/>
  <c r="G48" i="48" l="1" a="1"/>
  <c r="G48" i="48" s="1"/>
  <c r="D35" i="52"/>
  <c r="I39" i="56" a="1"/>
  <c r="I39" i="56" s="1"/>
  <c r="J50" i="52"/>
  <c r="U22" i="52" a="1"/>
  <c r="U22" i="52" s="1"/>
  <c r="M38" i="56" a="1"/>
  <c r="M38" i="56" s="1"/>
  <c r="L38" i="56" a="1"/>
  <c r="L38" i="56" s="1"/>
  <c r="M31" i="57" a="1"/>
  <c r="M31" i="57" s="1"/>
  <c r="K35" i="57"/>
  <c r="J35" i="57"/>
  <c r="I35" i="57"/>
  <c r="H35" i="57"/>
  <c r="G35" i="57"/>
  <c r="M27" i="57" a="1"/>
  <c r="M27" i="57" s="1"/>
  <c r="L27" i="57" a="1"/>
  <c r="L27" i="57" s="1"/>
  <c r="M38" i="57" a="1"/>
  <c r="M38" i="57" s="1"/>
  <c r="M31" i="56" a="1"/>
  <c r="M31" i="56" s="1"/>
  <c r="L31" i="56" a="1"/>
  <c r="L31" i="56" s="1"/>
  <c r="M39" i="57" a="1"/>
  <c r="M39" i="57" s="1"/>
  <c r="M25" i="57" a="1"/>
  <c r="M25" i="57" s="1"/>
  <c r="L25" i="57" a="1"/>
  <c r="L25" i="57" s="1"/>
  <c r="M27" i="56" a="1"/>
  <c r="M27" i="56" s="1"/>
  <c r="M32" i="56" a="1"/>
  <c r="M32" i="56" s="1"/>
  <c r="M34" i="57" a="1"/>
  <c r="M34" i="57" s="1"/>
  <c r="L34" i="57" a="1"/>
  <c r="L34" i="57" s="1"/>
  <c r="J30" i="57"/>
  <c r="I30" i="57"/>
  <c r="H30" i="57"/>
  <c r="G30" i="57"/>
  <c r="K30" i="57"/>
  <c r="M36" i="56" a="1"/>
  <c r="M36" i="56" s="1"/>
  <c r="L36" i="56" a="1"/>
  <c r="L36" i="56" s="1"/>
  <c r="J33" i="57"/>
  <c r="I33" i="57"/>
  <c r="H33" i="57"/>
  <c r="G33" i="57"/>
  <c r="K33" i="57"/>
  <c r="G38" i="57"/>
  <c r="K38" i="57"/>
  <c r="J38" i="57"/>
  <c r="I38" i="57"/>
  <c r="H38" i="57"/>
  <c r="M32" i="57" a="1"/>
  <c r="M32" i="57" s="1"/>
  <c r="M28" i="57" a="1"/>
  <c r="M28" i="57" s="1"/>
  <c r="M40" i="57" a="1"/>
  <c r="M40" i="57" s="1"/>
  <c r="J39" i="57"/>
  <c r="I39" i="57"/>
  <c r="H39" i="57"/>
  <c r="G39" i="57"/>
  <c r="M34" i="56" a="1"/>
  <c r="M34" i="56" s="1"/>
  <c r="L34" i="56" a="1"/>
  <c r="L34" i="56" s="1"/>
  <c r="M35" i="57" a="1"/>
  <c r="M35" i="57" s="1"/>
  <c r="K32" i="57"/>
  <c r="J32" i="57"/>
  <c r="I32" i="57"/>
  <c r="H32" i="57"/>
  <c r="G32" i="57"/>
  <c r="M25" i="56" a="1"/>
  <c r="M25" i="56" s="1"/>
  <c r="L25" i="56" a="1"/>
  <c r="L25" i="56" s="1"/>
  <c r="M28" i="56" a="1"/>
  <c r="M28" i="56" s="1"/>
  <c r="L28" i="56" a="1"/>
  <c r="L28" i="56" s="1"/>
  <c r="Q28" i="56" s="1" a="1"/>
  <c r="Q28" i="56" s="1"/>
  <c r="M33" i="56" a="1"/>
  <c r="M33" i="56" s="1"/>
  <c r="M29" i="57" a="1"/>
  <c r="M29" i="57" s="1"/>
  <c r="I27" i="57"/>
  <c r="H27" i="57"/>
  <c r="G27" i="57"/>
  <c r="N27" i="57" s="1" a="1"/>
  <c r="N27" i="57" s="1"/>
  <c r="K27" i="57"/>
  <c r="J27" i="57"/>
  <c r="M37" i="56" a="1"/>
  <c r="M37" i="56" s="1"/>
  <c r="L37" i="56" a="1"/>
  <c r="L37" i="56" s="1"/>
  <c r="M26" i="57" a="1"/>
  <c r="M26" i="57" s="1"/>
  <c r="E237" i="19" a="1"/>
  <c r="E237" i="19" s="1"/>
  <c r="M33" i="57" a="1"/>
  <c r="M33" i="57" s="1"/>
  <c r="L33" i="57" a="1"/>
  <c r="L33" i="57" s="1"/>
  <c r="M30" i="57" a="1"/>
  <c r="M30" i="57" s="1"/>
  <c r="K29" i="57"/>
  <c r="J29" i="57"/>
  <c r="I29" i="57"/>
  <c r="H29" i="57"/>
  <c r="G29" i="57"/>
  <c r="M36" i="57" a="1"/>
  <c r="M36" i="57" s="1"/>
  <c r="J40" i="57"/>
  <c r="I40" i="57"/>
  <c r="H40" i="57"/>
  <c r="G40" i="57"/>
  <c r="M29" i="56" a="1"/>
  <c r="M29" i="56" s="1"/>
  <c r="L29" i="56" a="1"/>
  <c r="L29" i="56" s="1"/>
  <c r="M35" i="56" a="1"/>
  <c r="M35" i="56" s="1"/>
  <c r="L35" i="56" a="1"/>
  <c r="L35" i="56" s="1"/>
  <c r="Q35" i="56" s="1" a="1"/>
  <c r="Q35" i="56" s="1"/>
  <c r="M37" i="57" a="1"/>
  <c r="M37" i="57" s="1"/>
  <c r="M26" i="56" a="1"/>
  <c r="M26" i="56" s="1"/>
  <c r="M30" i="56" a="1"/>
  <c r="M30" i="56" s="1"/>
  <c r="G49" i="48" a="1"/>
  <c r="G49" i="48" s="1"/>
  <c r="I175" i="20"/>
  <c r="H197" i="20"/>
  <c r="I21" i="53"/>
  <c r="L39" i="56" s="1" a="1"/>
  <c r="L39" i="56" s="1"/>
  <c r="T18" i="52" a="1"/>
  <c r="T18" i="52" s="1"/>
  <c r="Q19" i="52" a="1"/>
  <c r="Q19" i="52" s="1"/>
  <c r="N20" i="52" a="1"/>
  <c r="N20" i="52" s="1"/>
  <c r="K21" i="52" a="1"/>
  <c r="K21" i="52" s="1"/>
  <c r="F22" i="52"/>
  <c r="E26" i="56"/>
  <c r="I26" i="56" s="1" a="1"/>
  <c r="I26" i="56" s="1"/>
  <c r="J27" i="56" a="1"/>
  <c r="J27" i="56" s="1"/>
  <c r="K30" i="56" a="1"/>
  <c r="K30" i="56" s="1"/>
  <c r="G32" i="56" a="1"/>
  <c r="G32" i="56" s="1"/>
  <c r="K36" i="56" a="1"/>
  <c r="K36" i="56" s="1"/>
  <c r="J39" i="56" a="1"/>
  <c r="J39" i="56" s="1"/>
  <c r="E26" i="57"/>
  <c r="G50" i="48" a="1"/>
  <c r="G50" i="48" s="1"/>
  <c r="G176" i="20"/>
  <c r="U18" i="52" a="1"/>
  <c r="U18" i="52" s="1"/>
  <c r="AL221" i="19" s="1" a="1"/>
  <c r="AL221" i="19" s="1"/>
  <c r="R19" i="52" a="1"/>
  <c r="R19" i="52" s="1"/>
  <c r="O20" i="52" a="1"/>
  <c r="O20" i="52" s="1"/>
  <c r="L21" i="52" a="1"/>
  <c r="L21" i="52" s="1"/>
  <c r="G22" i="52"/>
  <c r="W22" i="52"/>
  <c r="K27" i="56" a="1"/>
  <c r="K27" i="56" s="1"/>
  <c r="G29" i="56" a="1"/>
  <c r="G29" i="56" s="1"/>
  <c r="H32" i="56" a="1"/>
  <c r="H32" i="56" s="1"/>
  <c r="G35" i="56" a="1"/>
  <c r="G35" i="56" s="1"/>
  <c r="G38" i="56" a="1"/>
  <c r="G38" i="56" s="1"/>
  <c r="K39" i="56" a="1"/>
  <c r="K39" i="56" s="1"/>
  <c r="H21" i="48" a="1"/>
  <c r="H21" i="48" s="1"/>
  <c r="G51" i="48" a="1"/>
  <c r="G51" i="48" s="1"/>
  <c r="I176" i="20"/>
  <c r="F18" i="52"/>
  <c r="S19" i="52" a="1"/>
  <c r="S19" i="52" s="1"/>
  <c r="P20" i="52" a="1"/>
  <c r="P20" i="52" s="1"/>
  <c r="M21" i="52" a="1"/>
  <c r="M21" i="52" s="1"/>
  <c r="J22" i="52" a="1"/>
  <c r="J22" i="52" s="1"/>
  <c r="X22" i="52"/>
  <c r="D59" i="58" a="1"/>
  <c r="H29" i="56" a="1"/>
  <c r="H29" i="56" s="1"/>
  <c r="I32" i="56" a="1"/>
  <c r="I32" i="56" s="1"/>
  <c r="H35" i="56" a="1"/>
  <c r="H35" i="56" s="1"/>
  <c r="H38" i="56" a="1"/>
  <c r="H38" i="56" s="1"/>
  <c r="E37" i="57"/>
  <c r="H22" i="48" a="1"/>
  <c r="H22" i="48" s="1"/>
  <c r="G52" i="48" a="1"/>
  <c r="G52" i="48" s="1"/>
  <c r="G177" i="20"/>
  <c r="G18" i="52"/>
  <c r="W18" i="52"/>
  <c r="T19" i="52" a="1"/>
  <c r="T19" i="52" s="1"/>
  <c r="Q20" i="52" a="1"/>
  <c r="Q20" i="52" s="1"/>
  <c r="N21" i="52" a="1"/>
  <c r="N21" i="52" s="1"/>
  <c r="K22" i="52" a="1"/>
  <c r="K22" i="52" s="1"/>
  <c r="P26" i="52"/>
  <c r="E59" i="58" a="1"/>
  <c r="H26" i="56" a="1"/>
  <c r="H26" i="56" s="1"/>
  <c r="I29" i="56" a="1"/>
  <c r="I29" i="56" s="1"/>
  <c r="J32" i="56" a="1"/>
  <c r="J32" i="56" s="1"/>
  <c r="I35" i="56" a="1"/>
  <c r="I35" i="56" s="1"/>
  <c r="I38" i="56" a="1"/>
  <c r="I38" i="56" s="1"/>
  <c r="E31" i="57"/>
  <c r="E34" i="57"/>
  <c r="G53" i="48" a="1"/>
  <c r="G53" i="48" s="1"/>
  <c r="J18" i="52" a="1"/>
  <c r="J18" i="52" s="1"/>
  <c r="X18" i="52"/>
  <c r="U19" i="52" a="1"/>
  <c r="U19" i="52" s="1"/>
  <c r="R20" i="52" a="1"/>
  <c r="R20" i="52" s="1"/>
  <c r="O21" i="52" a="1"/>
  <c r="O21" i="52" s="1"/>
  <c r="L22" i="52" a="1"/>
  <c r="L22" i="52" s="1"/>
  <c r="P27" i="52"/>
  <c r="J29" i="56" a="1"/>
  <c r="J29" i="56" s="1"/>
  <c r="K32" i="56" a="1"/>
  <c r="K32" i="56" s="1"/>
  <c r="J35" i="56" a="1"/>
  <c r="J35" i="56" s="1"/>
  <c r="E37" i="56"/>
  <c r="E28" i="57"/>
  <c r="G54" i="48" a="1"/>
  <c r="G54" i="48" s="1"/>
  <c r="K18" i="52" a="1"/>
  <c r="K18" i="52" s="1"/>
  <c r="F19" i="52"/>
  <c r="S20" i="52" a="1"/>
  <c r="S20" i="52" s="1"/>
  <c r="P21" i="52" a="1"/>
  <c r="P21" i="52" s="1"/>
  <c r="M22" i="52" a="1"/>
  <c r="M22" i="52" s="1"/>
  <c r="P28" i="52"/>
  <c r="E25" i="56"/>
  <c r="H25" i="56" s="1" a="1"/>
  <c r="H25" i="56" s="1"/>
  <c r="K29" i="56" a="1"/>
  <c r="K29" i="56" s="1"/>
  <c r="G31" i="56" a="1"/>
  <c r="G31" i="56" s="1"/>
  <c r="K35" i="56" a="1"/>
  <c r="K35" i="56" s="1"/>
  <c r="J38" i="56" a="1"/>
  <c r="J38" i="56" s="1"/>
  <c r="E25" i="57"/>
  <c r="G55" i="48" a="1"/>
  <c r="G55" i="48" s="1"/>
  <c r="L18" i="52" a="1"/>
  <c r="L18" i="52" s="1"/>
  <c r="G19" i="52"/>
  <c r="W19" i="52"/>
  <c r="T20" i="52" a="1"/>
  <c r="T20" i="52" s="1"/>
  <c r="Q21" i="52" a="1"/>
  <c r="Q21" i="52" s="1"/>
  <c r="N22" i="52" a="1"/>
  <c r="N22" i="52" s="1"/>
  <c r="I48" i="55"/>
  <c r="G28" i="56" a="1"/>
  <c r="G28" i="56" s="1"/>
  <c r="H31" i="56" a="1"/>
  <c r="H31" i="56" s="1"/>
  <c r="G34" i="56" a="1"/>
  <c r="G34" i="56" s="1"/>
  <c r="G37" i="56" a="1"/>
  <c r="G37" i="56" s="1"/>
  <c r="K38" i="56" a="1"/>
  <c r="K38" i="56" s="1"/>
  <c r="G56" i="48" a="1"/>
  <c r="G56" i="48" s="1"/>
  <c r="G194" i="20"/>
  <c r="M18" i="52" a="1"/>
  <c r="M18" i="52" s="1"/>
  <c r="J19" i="52" a="1"/>
  <c r="J19" i="52" s="1"/>
  <c r="X19" i="52"/>
  <c r="U20" i="52" a="1"/>
  <c r="U20" i="52" s="1"/>
  <c r="R21" i="52" a="1"/>
  <c r="R21" i="52" s="1"/>
  <c r="O22" i="52" a="1"/>
  <c r="O22" i="52" s="1"/>
  <c r="D157" i="58" a="1"/>
  <c r="D157" i="58" s="1"/>
  <c r="J157" i="58" s="1" a="1"/>
  <c r="J157" i="58" s="1"/>
  <c r="G25" i="56" a="1"/>
  <c r="G25" i="56" s="1"/>
  <c r="H28" i="56" a="1"/>
  <c r="H28" i="56" s="1"/>
  <c r="I31" i="56" a="1"/>
  <c r="I31" i="56" s="1"/>
  <c r="H34" i="56" a="1"/>
  <c r="H34" i="56" s="1"/>
  <c r="H37" i="56" a="1"/>
  <c r="H37" i="56" s="1"/>
  <c r="E36" i="57"/>
  <c r="H194" i="20"/>
  <c r="N18" i="52" a="1"/>
  <c r="N18" i="52" s="1"/>
  <c r="K19" i="52" a="1"/>
  <c r="K19" i="52" s="1"/>
  <c r="F20" i="52"/>
  <c r="S21" i="52" a="1"/>
  <c r="S21" i="52" s="1"/>
  <c r="P22" i="52" a="1"/>
  <c r="P22" i="52" s="1"/>
  <c r="D21" i="58" a="1"/>
  <c r="E157" i="58" a="1"/>
  <c r="E157" i="58" s="1"/>
  <c r="I28" i="56" a="1"/>
  <c r="I28" i="56" s="1"/>
  <c r="J31" i="56" a="1"/>
  <c r="J31" i="56" s="1"/>
  <c r="E33" i="56"/>
  <c r="K33" i="56" s="1" a="1"/>
  <c r="K33" i="56" s="1"/>
  <c r="I34" i="56" a="1"/>
  <c r="I34" i="56" s="1"/>
  <c r="I37" i="56" a="1"/>
  <c r="I37" i="56" s="1"/>
  <c r="K39" i="57" a="1"/>
  <c r="K39" i="57" s="1"/>
  <c r="G195" i="20"/>
  <c r="O18" i="52" a="1"/>
  <c r="O18" i="52" s="1"/>
  <c r="L19" i="52" a="1"/>
  <c r="L19" i="52" s="1"/>
  <c r="G20" i="52"/>
  <c r="W20" i="52"/>
  <c r="T21" i="52" a="1"/>
  <c r="T21" i="52" s="1"/>
  <c r="Q22" i="52" a="1"/>
  <c r="Q22" i="52" s="1"/>
  <c r="E21" i="58" a="1"/>
  <c r="J28" i="56" a="1"/>
  <c r="J28" i="56" s="1"/>
  <c r="K31" i="56" a="1"/>
  <c r="K31" i="56" s="1"/>
  <c r="J34" i="56" a="1"/>
  <c r="J34" i="56" s="1"/>
  <c r="J37" i="56" a="1"/>
  <c r="J37" i="56" s="1"/>
  <c r="P18" i="52" a="1"/>
  <c r="P18" i="52" s="1"/>
  <c r="M19" i="52" a="1"/>
  <c r="M19" i="52" s="1"/>
  <c r="J20" i="52" a="1"/>
  <c r="J20" i="52" s="1"/>
  <c r="X20" i="52"/>
  <c r="U21" i="52" a="1"/>
  <c r="U21" i="52" s="1"/>
  <c r="R22" i="52" a="1"/>
  <c r="R22" i="52" s="1"/>
  <c r="D116" i="58" a="1"/>
  <c r="D116" i="58" s="1"/>
  <c r="J116" i="58" s="1" a="1"/>
  <c r="J116" i="58" s="1"/>
  <c r="J25" i="56" a="1"/>
  <c r="J25" i="56" s="1"/>
  <c r="K28" i="56" a="1"/>
  <c r="K28" i="56" s="1"/>
  <c r="G30" i="56" a="1"/>
  <c r="G30" i="56" s="1"/>
  <c r="G33" i="56" a="1"/>
  <c r="G33" i="56" s="1"/>
  <c r="K34" i="56" a="1"/>
  <c r="K34" i="56" s="1"/>
  <c r="G36" i="56" a="1"/>
  <c r="G36" i="56" s="1"/>
  <c r="K37" i="56" a="1"/>
  <c r="K37" i="56" s="1"/>
  <c r="G174" i="20"/>
  <c r="G196" i="20"/>
  <c r="Q18" i="52" a="1"/>
  <c r="Q18" i="52" s="1"/>
  <c r="AD221" i="19" s="1" a="1"/>
  <c r="AD221" i="19" s="1"/>
  <c r="N19" i="52" a="1"/>
  <c r="N19" i="52" s="1"/>
  <c r="K20" i="52" a="1"/>
  <c r="K20" i="52" s="1"/>
  <c r="F21" i="52"/>
  <c r="S22" i="52" a="1"/>
  <c r="S22" i="52" s="1"/>
  <c r="E116" i="58" a="1"/>
  <c r="E116" i="58" s="1"/>
  <c r="G27" i="56" a="1"/>
  <c r="G27" i="56" s="1"/>
  <c r="H30" i="56" a="1"/>
  <c r="H30" i="56" s="1"/>
  <c r="H33" i="56" a="1"/>
  <c r="H33" i="56" s="1"/>
  <c r="H36" i="56" a="1"/>
  <c r="H36" i="56" s="1"/>
  <c r="G39" i="56" a="1"/>
  <c r="G39" i="56" s="1"/>
  <c r="G47" i="48" a="1"/>
  <c r="G47" i="48" s="1"/>
  <c r="R18" i="52" a="1"/>
  <c r="R18" i="52" s="1"/>
  <c r="O19" i="52" a="1"/>
  <c r="O19" i="52" s="1"/>
  <c r="L20" i="52" a="1"/>
  <c r="L20" i="52" s="1"/>
  <c r="G21" i="52"/>
  <c r="W21" i="52"/>
  <c r="T22" i="52" a="1"/>
  <c r="T22" i="52" s="1"/>
  <c r="H27" i="56" a="1"/>
  <c r="H27" i="56" s="1"/>
  <c r="I30" i="56" a="1"/>
  <c r="I30" i="56" s="1"/>
  <c r="I36" i="56" a="1"/>
  <c r="I36" i="56" s="1"/>
  <c r="H39" i="56" a="1"/>
  <c r="H39" i="56" s="1"/>
  <c r="J49" i="52"/>
  <c r="S18" i="52" a="1"/>
  <c r="S18" i="52" s="1"/>
  <c r="P19" i="52" a="1"/>
  <c r="P19" i="52" s="1"/>
  <c r="M20" i="52" a="1"/>
  <c r="M20" i="52" s="1"/>
  <c r="J21" i="52" a="1"/>
  <c r="J21" i="52" s="1"/>
  <c r="X21" i="52"/>
  <c r="I27" i="56" a="1"/>
  <c r="I27" i="56" s="1"/>
  <c r="J30" i="56" a="1"/>
  <c r="J30" i="56" s="1"/>
  <c r="J33" i="56" a="1"/>
  <c r="J33" i="56" s="1"/>
  <c r="J36" i="56" a="1"/>
  <c r="J36" i="56" s="1"/>
  <c r="K40" i="57" a="1"/>
  <c r="K40" i="57" s="1"/>
  <c r="I365" i="63"/>
  <c r="L99" i="63"/>
  <c r="K99" i="63"/>
  <c r="I93" i="63"/>
  <c r="I89" i="63"/>
  <c r="L87" i="63"/>
  <c r="K91" i="63"/>
  <c r="K87" i="63"/>
  <c r="L91" i="63"/>
  <c r="M91" i="63"/>
  <c r="M87" i="63"/>
  <c r="M147" i="63" s="1"/>
  <c r="N95" i="63"/>
  <c r="O95" i="63"/>
  <c r="P95" i="63"/>
  <c r="P91" i="63"/>
  <c r="P87" i="63"/>
  <c r="O87" i="63"/>
  <c r="N87" i="63"/>
  <c r="O91" i="63"/>
  <c r="N91" i="63"/>
  <c r="G93" i="63"/>
  <c r="G89" i="63"/>
  <c r="H92" i="63"/>
  <c r="H88" i="63"/>
  <c r="P108" i="63"/>
  <c r="O108" i="63"/>
  <c r="N108" i="63"/>
  <c r="P103" i="63"/>
  <c r="O103" i="63"/>
  <c r="N103" i="63"/>
  <c r="I88" i="63"/>
  <c r="I92" i="63"/>
  <c r="N100" i="63"/>
  <c r="P100" i="63"/>
  <c r="O100" i="63"/>
  <c r="O94" i="63"/>
  <c r="P94" i="63"/>
  <c r="N94" i="63"/>
  <c r="J88" i="63"/>
  <c r="J92" i="63"/>
  <c r="P98" i="63"/>
  <c r="O98" i="63"/>
  <c r="N98" i="63"/>
  <c r="N107" i="63"/>
  <c r="P107" i="63"/>
  <c r="O107" i="63"/>
  <c r="H93" i="63"/>
  <c r="H89" i="63"/>
  <c r="H86" i="63"/>
  <c r="H90" i="63"/>
  <c r="K88" i="63"/>
  <c r="L92" i="63"/>
  <c r="K92" i="63"/>
  <c r="L88" i="63"/>
  <c r="L96" i="63"/>
  <c r="K96" i="63"/>
  <c r="I90" i="63"/>
  <c r="I86" i="63"/>
  <c r="H87" i="63"/>
  <c r="H91" i="63"/>
  <c r="L101" i="63"/>
  <c r="K101" i="63"/>
  <c r="K105" i="63"/>
  <c r="L105" i="63"/>
  <c r="K110" i="63"/>
  <c r="L110" i="63"/>
  <c r="L94" i="63"/>
  <c r="K94" i="63"/>
  <c r="L100" i="63"/>
  <c r="K100" i="63"/>
  <c r="O90" i="63"/>
  <c r="N90" i="63"/>
  <c r="P86" i="63"/>
  <c r="O86" i="63"/>
  <c r="N86" i="63"/>
  <c r="P90" i="63"/>
  <c r="J89" i="63"/>
  <c r="J93" i="63"/>
  <c r="L95" i="63"/>
  <c r="K95" i="63"/>
  <c r="N114" i="63"/>
  <c r="P114" i="63"/>
  <c r="O114" i="63"/>
  <c r="K97" i="63"/>
  <c r="L97" i="63"/>
  <c r="K98" i="63"/>
  <c r="L98" i="63"/>
  <c r="K103" i="63"/>
  <c r="L103" i="63"/>
  <c r="L106" i="63"/>
  <c r="K106" i="63"/>
  <c r="O113" i="63"/>
  <c r="N113" i="63"/>
  <c r="P113" i="63"/>
  <c r="L104" i="63"/>
  <c r="K104" i="63"/>
  <c r="L108" i="63"/>
  <c r="K108" i="63"/>
  <c r="K109" i="63"/>
  <c r="L109" i="63"/>
  <c r="O112" i="63"/>
  <c r="P112" i="63"/>
  <c r="N112" i="63"/>
  <c r="O101" i="63"/>
  <c r="P101" i="63"/>
  <c r="N101" i="63"/>
  <c r="P110" i="63"/>
  <c r="O110" i="63"/>
  <c r="N110" i="63"/>
  <c r="H223" i="63"/>
  <c r="H227" i="63"/>
  <c r="H230" i="63"/>
  <c r="H226" i="63"/>
  <c r="M86" i="63"/>
  <c r="M90" i="63"/>
  <c r="G90" i="63"/>
  <c r="G86" i="63"/>
  <c r="P104" i="63"/>
  <c r="O104" i="63"/>
  <c r="N104" i="63"/>
  <c r="P105" i="63"/>
  <c r="O105" i="63"/>
  <c r="N105" i="63"/>
  <c r="O93" i="63"/>
  <c r="N93" i="63"/>
  <c r="O89" i="63"/>
  <c r="P89" i="63"/>
  <c r="N89" i="63"/>
  <c r="P93" i="63"/>
  <c r="J226" i="63"/>
  <c r="J230" i="63"/>
  <c r="L117" i="63"/>
  <c r="K117" i="63"/>
  <c r="G87" i="63"/>
  <c r="G91" i="63"/>
  <c r="J90" i="63"/>
  <c r="J86" i="63"/>
  <c r="J146" i="63" s="1"/>
  <c r="L116" i="63"/>
  <c r="K116" i="63"/>
  <c r="M227" i="63"/>
  <c r="M223" i="63"/>
  <c r="P96" i="63"/>
  <c r="O96" i="63"/>
  <c r="N96" i="63"/>
  <c r="P106" i="63"/>
  <c r="O106" i="63"/>
  <c r="N106" i="63"/>
  <c r="P109" i="63"/>
  <c r="N109" i="63"/>
  <c r="O109" i="63"/>
  <c r="O117" i="63"/>
  <c r="N117" i="63"/>
  <c r="P117" i="63"/>
  <c r="P231" i="63"/>
  <c r="O231" i="63"/>
  <c r="N231" i="63"/>
  <c r="M93" i="63"/>
  <c r="M89" i="63"/>
  <c r="P88" i="63"/>
  <c r="P92" i="63"/>
  <c r="O92" i="63"/>
  <c r="N88" i="63"/>
  <c r="O88" i="63"/>
  <c r="N92" i="63"/>
  <c r="P102" i="63"/>
  <c r="O102" i="63"/>
  <c r="N102" i="63"/>
  <c r="O99" i="63"/>
  <c r="N99" i="63"/>
  <c r="P99" i="63"/>
  <c r="G92" i="63"/>
  <c r="G88" i="63"/>
  <c r="F102" i="63"/>
  <c r="J8" i="48" s="1" a="1"/>
  <c r="J8" i="48" s="1"/>
  <c r="F106" i="63"/>
  <c r="I87" i="63"/>
  <c r="I91" i="63"/>
  <c r="L115" i="63"/>
  <c r="K115" i="63"/>
  <c r="P116" i="63"/>
  <c r="O116" i="63"/>
  <c r="N116" i="63"/>
  <c r="M88" i="63"/>
  <c r="M92" i="63"/>
  <c r="L90" i="63"/>
  <c r="K90" i="63"/>
  <c r="L86" i="63"/>
  <c r="K86" i="63"/>
  <c r="J87" i="63"/>
  <c r="J91" i="63"/>
  <c r="L112" i="63"/>
  <c r="K112" i="63"/>
  <c r="P115" i="63"/>
  <c r="O115" i="63"/>
  <c r="N115" i="63"/>
  <c r="L111" i="63"/>
  <c r="K111" i="63"/>
  <c r="L113" i="63"/>
  <c r="K113" i="63"/>
  <c r="J228" i="63"/>
  <c r="J224" i="63"/>
  <c r="J225" i="63"/>
  <c r="J229" i="63"/>
  <c r="K93" i="63"/>
  <c r="L224" i="63"/>
  <c r="L228" i="63"/>
  <c r="K228" i="63"/>
  <c r="K224" i="63"/>
  <c r="L93" i="63"/>
  <c r="O223" i="63"/>
  <c r="P223" i="63"/>
  <c r="P227" i="63"/>
  <c r="N223" i="63"/>
  <c r="O227" i="63"/>
  <c r="N227" i="63"/>
  <c r="M228" i="63"/>
  <c r="M224" i="63"/>
  <c r="K229" i="63"/>
  <c r="L229" i="63"/>
  <c r="L225" i="63"/>
  <c r="K225" i="63"/>
  <c r="L237" i="63"/>
  <c r="K237" i="63"/>
  <c r="L241" i="63"/>
  <c r="K241" i="63"/>
  <c r="L246" i="63"/>
  <c r="K246" i="63"/>
  <c r="P228" i="63"/>
  <c r="P224" i="63"/>
  <c r="O228" i="63"/>
  <c r="N224" i="63"/>
  <c r="N228" i="63"/>
  <c r="O224" i="63"/>
  <c r="M225" i="63"/>
  <c r="M229" i="63"/>
  <c r="K240" i="63"/>
  <c r="L240" i="63"/>
  <c r="L242" i="63"/>
  <c r="K242" i="63"/>
  <c r="K89" i="63"/>
  <c r="K231" i="63"/>
  <c r="L231" i="63"/>
  <c r="K238" i="63"/>
  <c r="L238" i="63"/>
  <c r="O241" i="63"/>
  <c r="N241" i="63"/>
  <c r="P241" i="63"/>
  <c r="L245" i="63"/>
  <c r="K245" i="63"/>
  <c r="L236" i="63"/>
  <c r="K236" i="63"/>
  <c r="P242" i="63"/>
  <c r="O242" i="63"/>
  <c r="N242" i="63"/>
  <c r="P244" i="63"/>
  <c r="O244" i="63"/>
  <c r="N244" i="63"/>
  <c r="L249" i="63"/>
  <c r="K249" i="63"/>
  <c r="K114" i="63"/>
  <c r="O230" i="63"/>
  <c r="N226" i="63"/>
  <c r="N230" i="63"/>
  <c r="O226" i="63"/>
  <c r="P230" i="63"/>
  <c r="P226" i="63"/>
  <c r="P238" i="63"/>
  <c r="O238" i="63"/>
  <c r="N238" i="63"/>
  <c r="P245" i="63"/>
  <c r="N245" i="63"/>
  <c r="O245" i="63"/>
  <c r="N248" i="63"/>
  <c r="P248" i="63"/>
  <c r="O248" i="63"/>
  <c r="F224" i="63"/>
  <c r="F228" i="63"/>
  <c r="F225" i="63"/>
  <c r="F229" i="63"/>
  <c r="K232" i="63"/>
  <c r="L232" i="63"/>
  <c r="L233" i="63"/>
  <c r="K233" i="63"/>
  <c r="P236" i="63"/>
  <c r="O236" i="63"/>
  <c r="N236" i="63"/>
  <c r="O239" i="63"/>
  <c r="P239" i="63"/>
  <c r="N239" i="63"/>
  <c r="N240" i="63"/>
  <c r="P240" i="63"/>
  <c r="O240" i="63"/>
  <c r="O243" i="63"/>
  <c r="P243" i="63"/>
  <c r="N243" i="63"/>
  <c r="G225" i="63"/>
  <c r="G229" i="63"/>
  <c r="L235" i="63"/>
  <c r="K235" i="63"/>
  <c r="F230" i="63"/>
  <c r="F226" i="63"/>
  <c r="N232" i="63"/>
  <c r="O232" i="63"/>
  <c r="P232" i="63"/>
  <c r="P250" i="63"/>
  <c r="O250" i="63"/>
  <c r="N250" i="63"/>
  <c r="P253" i="63"/>
  <c r="N253" i="63"/>
  <c r="O253" i="63"/>
  <c r="I227" i="63"/>
  <c r="I223" i="63"/>
  <c r="H225" i="63"/>
  <c r="H229" i="63"/>
  <c r="G226" i="63"/>
  <c r="G230" i="63"/>
  <c r="O233" i="63"/>
  <c r="P233" i="63"/>
  <c r="N233" i="63"/>
  <c r="P235" i="63"/>
  <c r="N235" i="63"/>
  <c r="O235" i="63"/>
  <c r="L102" i="63"/>
  <c r="K102" i="63"/>
  <c r="N97" i="63"/>
  <c r="J223" i="63"/>
  <c r="J227" i="63"/>
  <c r="H228" i="63"/>
  <c r="H224" i="63"/>
  <c r="O97" i="63"/>
  <c r="P111" i="63"/>
  <c r="O111" i="63"/>
  <c r="N111" i="63"/>
  <c r="K107" i="63"/>
  <c r="L223" i="63"/>
  <c r="K227" i="63"/>
  <c r="L227" i="63"/>
  <c r="K223" i="63"/>
  <c r="I224" i="63"/>
  <c r="I228" i="63"/>
  <c r="I226" i="63"/>
  <c r="I230" i="63"/>
  <c r="P247" i="63"/>
  <c r="O247" i="63"/>
  <c r="N247" i="63"/>
  <c r="P252" i="63"/>
  <c r="O252" i="63"/>
  <c r="N252" i="63"/>
  <c r="K253" i="63"/>
  <c r="L253" i="63"/>
  <c r="L254" i="63"/>
  <c r="K254" i="63"/>
  <c r="G223" i="63"/>
  <c r="G227" i="63"/>
  <c r="P249" i="63"/>
  <c r="O249" i="63"/>
  <c r="N249" i="63"/>
  <c r="L250" i="63"/>
  <c r="K250" i="63"/>
  <c r="N254" i="63"/>
  <c r="P254" i="63"/>
  <c r="O254" i="63"/>
  <c r="L226" i="63"/>
  <c r="L230" i="63"/>
  <c r="K226" i="63"/>
  <c r="K230" i="63"/>
  <c r="L234" i="63"/>
  <c r="K234" i="63"/>
  <c r="O237" i="63"/>
  <c r="P237" i="63"/>
  <c r="N237" i="63"/>
  <c r="L251" i="63"/>
  <c r="K251" i="63"/>
  <c r="P246" i="63"/>
  <c r="O246" i="63"/>
  <c r="N246" i="63"/>
  <c r="G228" i="63"/>
  <c r="G224" i="63"/>
  <c r="P234" i="63"/>
  <c r="O234" i="63"/>
  <c r="N234" i="63"/>
  <c r="L243" i="63"/>
  <c r="K243" i="63"/>
  <c r="L247" i="63"/>
  <c r="K247" i="63"/>
  <c r="P225" i="63"/>
  <c r="N229" i="63"/>
  <c r="O229" i="63"/>
  <c r="O225" i="63"/>
  <c r="N225" i="63"/>
  <c r="P229" i="63"/>
  <c r="M226" i="63"/>
  <c r="M230" i="63"/>
  <c r="K239" i="63"/>
  <c r="L239" i="63"/>
  <c r="L244" i="63"/>
  <c r="K244" i="63"/>
  <c r="P251" i="63"/>
  <c r="O251" i="63"/>
  <c r="N251" i="63"/>
  <c r="K248" i="63"/>
  <c r="L248" i="63"/>
  <c r="K252" i="63"/>
  <c r="L252" i="63"/>
  <c r="M362" i="63"/>
  <c r="N362" i="63"/>
  <c r="L362" i="63"/>
  <c r="J366" i="63"/>
  <c r="I366" i="63"/>
  <c r="M366" i="63"/>
  <c r="N366" i="63"/>
  <c r="L366" i="63"/>
  <c r="M365" i="63"/>
  <c r="N365" i="63"/>
  <c r="L365" i="63"/>
  <c r="I225" i="63"/>
  <c r="I229" i="63"/>
  <c r="F223" i="63"/>
  <c r="N367" i="63"/>
  <c r="M363" i="63"/>
  <c r="L363" i="63"/>
  <c r="J362" i="63"/>
  <c r="J364" i="63"/>
  <c r="M368" i="63"/>
  <c r="L364" i="63"/>
  <c r="N368" i="63"/>
  <c r="N364" i="63"/>
  <c r="J368" i="63"/>
  <c r="I368" i="63"/>
  <c r="J367" i="63"/>
  <c r="J369" i="63"/>
  <c r="N363" i="63"/>
  <c r="L367" i="63"/>
  <c r="L369" i="63"/>
  <c r="I363" i="63"/>
  <c r="J363" i="63"/>
  <c r="N369" i="63"/>
  <c r="E7" i="58"/>
  <c r="E99" i="58"/>
  <c r="F151" i="58"/>
  <c r="E7" i="57"/>
  <c r="L8" i="57"/>
  <c r="O27" i="57" a="1"/>
  <c r="O27" i="57" s="1"/>
  <c r="O33" i="57" a="1"/>
  <c r="O33" i="57" s="1"/>
  <c r="N33" i="57" a="1"/>
  <c r="N33" i="57" s="1"/>
  <c r="D39" i="57"/>
  <c r="L39" i="57" s="1" a="1"/>
  <c r="L39" i="57" s="1"/>
  <c r="D42" i="57"/>
  <c r="D30" i="57"/>
  <c r="D37" i="57"/>
  <c r="F51" i="57"/>
  <c r="F50" i="57"/>
  <c r="F43" i="57"/>
  <c r="D28" i="57"/>
  <c r="L28" i="57" s="1" a="1"/>
  <c r="L28" i="57" s="1"/>
  <c r="D35" i="57"/>
  <c r="L35" i="57" s="1" a="1"/>
  <c r="L35" i="57" s="1"/>
  <c r="F52" i="57"/>
  <c r="F44" i="57"/>
  <c r="F55" i="57"/>
  <c r="F45" i="57"/>
  <c r="D31" i="57"/>
  <c r="L31" i="57" s="1" a="1"/>
  <c r="L31" i="57" s="1"/>
  <c r="D40" i="57"/>
  <c r="F56" i="57"/>
  <c r="D26" i="57"/>
  <c r="L26" i="57" s="1" a="1"/>
  <c r="L26" i="57" s="1"/>
  <c r="D38" i="57"/>
  <c r="L38" i="57" s="1" a="1"/>
  <c r="L38" i="57" s="1"/>
  <c r="F46" i="57"/>
  <c r="D29" i="57"/>
  <c r="L29" i="57" s="1" a="1"/>
  <c r="L29" i="57" s="1"/>
  <c r="D36" i="57"/>
  <c r="L36" i="57" s="1" a="1"/>
  <c r="L36" i="57" s="1"/>
  <c r="D48" i="57"/>
  <c r="F57" i="57"/>
  <c r="F49" i="57"/>
  <c r="L7" i="56"/>
  <c r="E7" i="56"/>
  <c r="F46" i="56"/>
  <c r="F56" i="56"/>
  <c r="F45" i="56"/>
  <c r="F55" i="56"/>
  <c r="Q31" i="56" a="1"/>
  <c r="Q31" i="56" s="1"/>
  <c r="D32" i="56"/>
  <c r="L32" i="56" s="1" a="1"/>
  <c r="L32" i="56" s="1"/>
  <c r="P38" i="56" a="1"/>
  <c r="P38" i="56" s="1"/>
  <c r="D48" i="56"/>
  <c r="F67" i="56"/>
  <c r="F64" i="56"/>
  <c r="D27" i="56"/>
  <c r="L27" i="56" s="1" a="1"/>
  <c r="L27" i="56" s="1"/>
  <c r="F57" i="56"/>
  <c r="F63" i="56"/>
  <c r="F49" i="56"/>
  <c r="F58" i="56"/>
  <c r="F50" i="56"/>
  <c r="F44" i="56"/>
  <c r="D42" i="56"/>
  <c r="F69" i="56"/>
  <c r="D30" i="56"/>
  <c r="O31" i="56" a="1"/>
  <c r="O31" i="56" s="1"/>
  <c r="F51" i="56"/>
  <c r="F61" i="56"/>
  <c r="F68" i="56"/>
  <c r="F43" i="56"/>
  <c r="F70" i="56"/>
  <c r="F52" i="56"/>
  <c r="I39" i="55"/>
  <c r="I38" i="55"/>
  <c r="I46" i="55"/>
  <c r="I47" i="55"/>
  <c r="I17" i="53"/>
  <c r="I19" i="53"/>
  <c r="L26" i="56" s="1" a="1"/>
  <c r="L26" i="56" s="1"/>
  <c r="I18" i="53"/>
  <c r="L32" i="57" s="1" a="1"/>
  <c r="L32" i="57" s="1"/>
  <c r="I20" i="53"/>
  <c r="L33" i="56" s="1" a="1"/>
  <c r="L33" i="56" s="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42" i="34" a="1"/>
  <c r="O61" i="34" a="1"/>
  <c r="O79" i="34" a="1"/>
  <c r="O7" i="34" a="1"/>
  <c r="O26" i="34" a="1"/>
  <c r="I33" i="56" l="1" a="1"/>
  <c r="I33" i="56" s="1"/>
  <c r="I25" i="56" a="1"/>
  <c r="I25" i="56" s="1"/>
  <c r="Q34" i="56" a="1"/>
  <c r="Q34" i="56" s="1"/>
  <c r="O35" i="56" a="1"/>
  <c r="O35" i="56" s="1"/>
  <c r="L40" i="57" a="1"/>
  <c r="L40" i="57" s="1"/>
  <c r="K25" i="56" a="1"/>
  <c r="K25" i="56" s="1"/>
  <c r="J161" i="58" a="1"/>
  <c r="J161" i="58" s="1"/>
  <c r="Q39" i="56" a="1"/>
  <c r="Q39" i="56" s="1"/>
  <c r="P35" i="56" a="1"/>
  <c r="P35" i="56" s="1"/>
  <c r="J163" i="58" a="1"/>
  <c r="J163" i="58" s="1"/>
  <c r="N35" i="56" a="1"/>
  <c r="N35" i="56" s="1"/>
  <c r="N34" i="56" a="1"/>
  <c r="N34" i="56" s="1"/>
  <c r="Q33" i="57" a="1"/>
  <c r="Q33" i="57" s="1"/>
  <c r="J9" i="48" a="1"/>
  <c r="J9" i="48" s="1"/>
  <c r="Q27" i="57" a="1"/>
  <c r="Q27" i="57" s="1"/>
  <c r="P27" i="57" a="1"/>
  <c r="P27" i="57" s="1"/>
  <c r="R221" i="19" a="1"/>
  <c r="R221" i="19" s="1"/>
  <c r="Q33" i="56" a="1"/>
  <c r="Q33" i="56" s="1"/>
  <c r="E52" i="56" s="1"/>
  <c r="J176" i="58" a="1"/>
  <c r="J176" i="58" s="1"/>
  <c r="P33" i="57" a="1"/>
  <c r="P33" i="57" s="1"/>
  <c r="E50" i="55"/>
  <c r="Y221" i="19" a="1"/>
  <c r="Y221" i="19" s="1"/>
  <c r="AH221" i="19" a="1"/>
  <c r="AH221" i="19" s="1"/>
  <c r="AK221" i="19" a="1"/>
  <c r="AK221" i="19" s="1"/>
  <c r="AG221" i="19" a="1"/>
  <c r="AG221" i="19" s="1"/>
  <c r="Z221" i="19" a="1"/>
  <c r="Z221" i="19" s="1"/>
  <c r="Q221" i="19" a="1"/>
  <c r="Q221" i="19" s="1"/>
  <c r="V221" i="19" a="1"/>
  <c r="V221" i="19" s="1"/>
  <c r="AC221" i="19" a="1"/>
  <c r="AC221" i="19" s="1"/>
  <c r="U221" i="19" a="1"/>
  <c r="U221" i="19" s="1"/>
  <c r="E21" i="58"/>
  <c r="H21" i="58" s="1" a="1"/>
  <c r="H21" i="58" s="1"/>
  <c r="H53" i="58" a="1"/>
  <c r="H53" i="58" s="1"/>
  <c r="H45" i="58" a="1"/>
  <c r="H45" i="58" s="1"/>
  <c r="H37" i="58" a="1"/>
  <c r="H37" i="58" s="1"/>
  <c r="H29" i="58" a="1"/>
  <c r="H29" i="58" s="1"/>
  <c r="H22" i="58" a="1"/>
  <c r="H22" i="58" s="1"/>
  <c r="H52" i="58" a="1"/>
  <c r="H52" i="58" s="1"/>
  <c r="H44" i="58" a="1"/>
  <c r="H44" i="58" s="1"/>
  <c r="H36" i="58" a="1"/>
  <c r="H36" i="58" s="1"/>
  <c r="H28" i="58" a="1"/>
  <c r="H28" i="58" s="1"/>
  <c r="H51" i="58" a="1"/>
  <c r="H51" i="58" s="1"/>
  <c r="H42" i="58" a="1"/>
  <c r="H42" i="58" s="1"/>
  <c r="H35" i="58" a="1"/>
  <c r="H35" i="58" s="1"/>
  <c r="H27" i="58" a="1"/>
  <c r="H27" i="58" s="1"/>
  <c r="H50" i="58" a="1"/>
  <c r="H50" i="58" s="1"/>
  <c r="H41" i="58" a="1"/>
  <c r="H41" i="58" s="1"/>
  <c r="H34" i="58" a="1"/>
  <c r="H34" i="58" s="1"/>
  <c r="H26" i="58" a="1"/>
  <c r="H26" i="58" s="1"/>
  <c r="H48" i="58" a="1"/>
  <c r="H48" i="58" s="1"/>
  <c r="H40" i="58" a="1"/>
  <c r="H40" i="58" s="1"/>
  <c r="H33" i="58" a="1"/>
  <c r="H33" i="58" s="1"/>
  <c r="H25" i="58" a="1"/>
  <c r="H25" i="58" s="1"/>
  <c r="H47" i="58" a="1"/>
  <c r="H47" i="58" s="1"/>
  <c r="H39" i="58" a="1"/>
  <c r="H39" i="58" s="1"/>
  <c r="H31" i="58" a="1"/>
  <c r="H31" i="58" s="1"/>
  <c r="H24" i="58" a="1"/>
  <c r="H24" i="58" s="1"/>
  <c r="H54" i="58" a="1"/>
  <c r="H54" i="58" s="1"/>
  <c r="H46" i="58" a="1"/>
  <c r="H46" i="58" s="1"/>
  <c r="H38" i="58" a="1"/>
  <c r="H38" i="58" s="1"/>
  <c r="H30" i="58" a="1"/>
  <c r="H30" i="58" s="1"/>
  <c r="H23" i="58" a="1"/>
  <c r="H23" i="58" s="1"/>
  <c r="I19" i="52"/>
  <c r="V19" i="52"/>
  <c r="J135" i="58" a="1"/>
  <c r="J135" i="58" s="1"/>
  <c r="K26" i="57"/>
  <c r="J26" i="57"/>
  <c r="I26" i="57"/>
  <c r="H26" i="57"/>
  <c r="G26" i="57"/>
  <c r="Q26" i="57" s="1" a="1"/>
  <c r="Q26" i="57" s="1"/>
  <c r="J177" i="58" a="1"/>
  <c r="J177" i="58" s="1"/>
  <c r="J144" i="58" a="1"/>
  <c r="J144" i="58" s="1"/>
  <c r="D59" i="58"/>
  <c r="G86" i="58" a="1"/>
  <c r="G86" i="58" s="1"/>
  <c r="G78" i="58" a="1"/>
  <c r="G78" i="58" s="1"/>
  <c r="I78" i="58" s="1" a="1"/>
  <c r="I78" i="58" s="1"/>
  <c r="H176" i="58" s="1"/>
  <c r="G71" i="58" a="1"/>
  <c r="G71" i="58" s="1"/>
  <c r="G63" i="58" a="1"/>
  <c r="G63" i="58" s="1"/>
  <c r="G85" i="58" a="1"/>
  <c r="G85" i="58" s="1"/>
  <c r="G77" i="58" a="1"/>
  <c r="G77" i="58" s="1"/>
  <c r="G69" i="58" a="1"/>
  <c r="G69" i="58" s="1"/>
  <c r="G62" i="58" a="1"/>
  <c r="G62" i="58" s="1"/>
  <c r="G92" i="58" a="1"/>
  <c r="G92" i="58" s="1"/>
  <c r="G84" i="58" a="1"/>
  <c r="G84" i="58" s="1"/>
  <c r="G76" i="58" a="1"/>
  <c r="G76" i="58" s="1"/>
  <c r="I76" i="58" s="1" a="1"/>
  <c r="I76" i="58" s="1"/>
  <c r="H174" i="58" s="1"/>
  <c r="G68" i="58" a="1"/>
  <c r="G68" i="58" s="1"/>
  <c r="I68" i="58" s="1" a="1"/>
  <c r="I68" i="58" s="1"/>
  <c r="H166" i="58" s="1"/>
  <c r="G61" i="58" a="1"/>
  <c r="G61" i="58" s="1"/>
  <c r="G91" i="58" a="1"/>
  <c r="G91" i="58" s="1"/>
  <c r="I91" i="58" s="1" a="1"/>
  <c r="I91" i="58" s="1"/>
  <c r="H189" i="58" s="1"/>
  <c r="G83" i="58" a="1"/>
  <c r="G83" i="58" s="1"/>
  <c r="G75" i="58" a="1"/>
  <c r="G75" i="58" s="1"/>
  <c r="G67" i="58" a="1"/>
  <c r="G67" i="58" s="1"/>
  <c r="I67" i="58" s="1" a="1"/>
  <c r="I67" i="58" s="1"/>
  <c r="H165" i="58" s="1"/>
  <c r="G60" i="58" a="1"/>
  <c r="G60" i="58" s="1"/>
  <c r="G90" i="58" a="1"/>
  <c r="G90" i="58" s="1"/>
  <c r="G82" i="58" a="1"/>
  <c r="G82" i="58" s="1"/>
  <c r="G74" i="58" a="1"/>
  <c r="G74" i="58" s="1"/>
  <c r="I74" i="58" s="1" a="1"/>
  <c r="I74" i="58" s="1"/>
  <c r="H172" i="58" s="1"/>
  <c r="G66" i="58" a="1"/>
  <c r="G66" i="58" s="1"/>
  <c r="G89" i="58" a="1"/>
  <c r="G89" i="58" s="1"/>
  <c r="G80" i="58" a="1"/>
  <c r="G80" i="58" s="1"/>
  <c r="I80" i="58" s="1" a="1"/>
  <c r="I80" i="58" s="1"/>
  <c r="H178" i="58" s="1"/>
  <c r="G73" i="58" a="1"/>
  <c r="G73" i="58" s="1"/>
  <c r="I73" i="58" s="1" a="1"/>
  <c r="I73" i="58" s="1"/>
  <c r="H171" i="58" s="1"/>
  <c r="G65" i="58" a="1"/>
  <c r="G65" i="58" s="1"/>
  <c r="I65" i="58" s="1" a="1"/>
  <c r="I65" i="58" s="1"/>
  <c r="H163" i="58" s="1"/>
  <c r="G88" i="58" a="1"/>
  <c r="G88" i="58" s="1"/>
  <c r="G79" i="58" a="1"/>
  <c r="G79" i="58" s="1"/>
  <c r="I79" i="58" s="1" a="1"/>
  <c r="I79" i="58" s="1"/>
  <c r="H177" i="58" s="1"/>
  <c r="G72" i="58" a="1"/>
  <c r="G72" i="58" s="1"/>
  <c r="I72" i="58" s="1" a="1"/>
  <c r="I72" i="58" s="1"/>
  <c r="H170" i="58" s="1"/>
  <c r="G64" i="58" a="1"/>
  <c r="G64" i="58" s="1"/>
  <c r="I64" i="58" s="1" a="1"/>
  <c r="I64" i="58" s="1"/>
  <c r="H162" i="58" s="1"/>
  <c r="J137" i="58" a="1"/>
  <c r="J137" i="58" s="1"/>
  <c r="J168" i="58" a="1"/>
  <c r="J168" i="58" s="1"/>
  <c r="K37" i="57"/>
  <c r="J37" i="57"/>
  <c r="I37" i="57"/>
  <c r="H37" i="57"/>
  <c r="G37" i="57"/>
  <c r="J124" i="58" a="1"/>
  <c r="J124" i="58" s="1"/>
  <c r="J175" i="58" a="1"/>
  <c r="J175" i="58" s="1"/>
  <c r="I18" i="52"/>
  <c r="V18" i="52"/>
  <c r="Q38" i="57" a="1"/>
  <c r="Q38" i="57" s="1"/>
  <c r="V20" i="52"/>
  <c r="I20" i="52"/>
  <c r="D21" i="58"/>
  <c r="G186" i="58" a="1"/>
  <c r="G186" i="58" s="1"/>
  <c r="G166" i="58" a="1"/>
  <c r="G166" i="58" s="1"/>
  <c r="G159" i="58" a="1"/>
  <c r="G159" i="58" s="1"/>
  <c r="G142" i="58" a="1"/>
  <c r="G142" i="58" s="1"/>
  <c r="G133" i="58" a="1"/>
  <c r="G133" i="58" s="1"/>
  <c r="G175" i="58" a="1"/>
  <c r="G175" i="58" s="1"/>
  <c r="G141" i="58" a="1"/>
  <c r="G141" i="58" s="1"/>
  <c r="G123" i="58" a="1"/>
  <c r="G123" i="58" s="1"/>
  <c r="G53" i="58" a="1"/>
  <c r="G53" i="58" s="1"/>
  <c r="I53" i="58" s="1" a="1"/>
  <c r="I53" i="58" s="1"/>
  <c r="H148" i="58" s="1"/>
  <c r="G45" i="58" a="1"/>
  <c r="G45" i="58" s="1"/>
  <c r="I45" i="58" s="1" a="1"/>
  <c r="I45" i="58" s="1"/>
  <c r="H140" i="58" s="1"/>
  <c r="G37" i="58" a="1"/>
  <c r="G37" i="58" s="1"/>
  <c r="I37" i="58" s="1" a="1"/>
  <c r="I37" i="58" s="1"/>
  <c r="H132" i="58" s="1"/>
  <c r="G29" i="58" a="1"/>
  <c r="G29" i="58" s="1"/>
  <c r="I29" i="58" s="1" a="1"/>
  <c r="I29" i="58" s="1"/>
  <c r="H124" i="58" s="1"/>
  <c r="G22" i="58" a="1"/>
  <c r="G22" i="58" s="1"/>
  <c r="I22" i="58" s="1" a="1"/>
  <c r="I22" i="58" s="1"/>
  <c r="H117" i="58" s="1"/>
  <c r="G184" i="58" a="1"/>
  <c r="G184" i="58" s="1"/>
  <c r="G165" i="58" a="1"/>
  <c r="G165" i="58" s="1"/>
  <c r="G158" i="58" a="1"/>
  <c r="G158" i="58" s="1"/>
  <c r="G140" i="58" a="1"/>
  <c r="G140" i="58" s="1"/>
  <c r="G132" i="58" a="1"/>
  <c r="G132" i="58" s="1"/>
  <c r="G183" i="58" a="1"/>
  <c r="G183" i="58" s="1"/>
  <c r="G174" i="58" a="1"/>
  <c r="G174" i="58" s="1"/>
  <c r="G139" i="58" a="1"/>
  <c r="G139" i="58" s="1"/>
  <c r="G131" i="58" a="1"/>
  <c r="G131" i="58" s="1"/>
  <c r="G122" i="58" a="1"/>
  <c r="G122" i="58" s="1"/>
  <c r="G52" i="58" a="1"/>
  <c r="G52" i="58" s="1"/>
  <c r="I52" i="58" s="1" a="1"/>
  <c r="I52" i="58" s="1"/>
  <c r="H147" i="58" s="1"/>
  <c r="G44" i="58" a="1"/>
  <c r="G44" i="58" s="1"/>
  <c r="I44" i="58" s="1" a="1"/>
  <c r="I44" i="58" s="1"/>
  <c r="H139" i="58" s="1"/>
  <c r="G36" i="58" a="1"/>
  <c r="G36" i="58" s="1"/>
  <c r="I36" i="58" s="1" a="1"/>
  <c r="I36" i="58" s="1"/>
  <c r="H131" i="58" s="1"/>
  <c r="G28" i="58" a="1"/>
  <c r="G28" i="58" s="1"/>
  <c r="I28" i="58" s="1" a="1"/>
  <c r="I28" i="58" s="1"/>
  <c r="H123" i="58" s="1"/>
  <c r="G182" i="58" a="1"/>
  <c r="G182" i="58" s="1"/>
  <c r="G164" i="58" a="1"/>
  <c r="G164" i="58" s="1"/>
  <c r="G130" i="58" a="1"/>
  <c r="G130" i="58" s="1"/>
  <c r="G181" i="58" a="1"/>
  <c r="G181" i="58" s="1"/>
  <c r="G173" i="58" a="1"/>
  <c r="G173" i="58" s="1"/>
  <c r="G129" i="58" a="1"/>
  <c r="G129" i="58" s="1"/>
  <c r="G121" i="58" a="1"/>
  <c r="G121" i="58" s="1"/>
  <c r="G51" i="58" a="1"/>
  <c r="G51" i="58" s="1"/>
  <c r="I51" i="58" s="1" a="1"/>
  <c r="I51" i="58" s="1"/>
  <c r="H146" i="58" s="1"/>
  <c r="G42" i="58" a="1"/>
  <c r="G42" i="58" s="1"/>
  <c r="I42" i="58" s="1" a="1"/>
  <c r="I42" i="58" s="1"/>
  <c r="H137" i="58" s="1"/>
  <c r="G35" i="58" a="1"/>
  <c r="G35" i="58" s="1"/>
  <c r="I35" i="58" s="1" a="1"/>
  <c r="I35" i="58" s="1"/>
  <c r="H130" i="58" s="1"/>
  <c r="G27" i="58" a="1"/>
  <c r="G27" i="58" s="1"/>
  <c r="G180" i="58" a="1"/>
  <c r="G180" i="58" s="1"/>
  <c r="G172" i="58" a="1"/>
  <c r="G172" i="58" s="1"/>
  <c r="G163" i="58" a="1"/>
  <c r="G163" i="58" s="1"/>
  <c r="G137" i="58" a="1"/>
  <c r="G137" i="58" s="1"/>
  <c r="G128" i="58" a="1"/>
  <c r="G128" i="58" s="1"/>
  <c r="G171" i="58" a="1"/>
  <c r="G171" i="58" s="1"/>
  <c r="G149" i="58" a="1"/>
  <c r="G149" i="58" s="1"/>
  <c r="G120" i="58" a="1"/>
  <c r="G120" i="58" s="1"/>
  <c r="G50" i="58" a="1"/>
  <c r="G50" i="58" s="1"/>
  <c r="I50" i="58" s="1" a="1"/>
  <c r="I50" i="58" s="1"/>
  <c r="H145" i="58" s="1"/>
  <c r="G41" i="58" a="1"/>
  <c r="G41" i="58" s="1"/>
  <c r="I41" i="58" s="1" a="1"/>
  <c r="I41" i="58" s="1"/>
  <c r="H136" i="58" s="1"/>
  <c r="G34" i="58" a="1"/>
  <c r="G34" i="58" s="1"/>
  <c r="G26" i="58" a="1"/>
  <c r="G26" i="58" s="1"/>
  <c r="I26" i="58" s="1" a="1"/>
  <c r="I26" i="58" s="1"/>
  <c r="H121" i="58" s="1"/>
  <c r="G170" i="58" a="1"/>
  <c r="G170" i="58" s="1"/>
  <c r="G162" i="58" a="1"/>
  <c r="G162" i="58" s="1"/>
  <c r="G148" i="58" a="1"/>
  <c r="G148" i="58" s="1"/>
  <c r="G136" i="58" a="1"/>
  <c r="G136" i="58" s="1"/>
  <c r="G178" i="58" a="1"/>
  <c r="G178" i="58" s="1"/>
  <c r="G169" i="58" a="1"/>
  <c r="G169" i="58" s="1"/>
  <c r="G147" i="58" a="1"/>
  <c r="G147" i="58" s="1"/>
  <c r="G126" i="58" a="1"/>
  <c r="G126" i="58" s="1"/>
  <c r="G119" i="58" a="1"/>
  <c r="G119" i="58" s="1"/>
  <c r="G48" i="58" a="1"/>
  <c r="G48" i="58" s="1"/>
  <c r="I48" i="58" s="1" a="1"/>
  <c r="I48" i="58" s="1"/>
  <c r="H143" i="58" s="1"/>
  <c r="G40" i="58" a="1"/>
  <c r="G40" i="58" s="1"/>
  <c r="I40" i="58" s="1" a="1"/>
  <c r="I40" i="58" s="1"/>
  <c r="H135" i="58" s="1"/>
  <c r="G33" i="58" a="1"/>
  <c r="G33" i="58" s="1"/>
  <c r="I33" i="58" s="1" a="1"/>
  <c r="I33" i="58" s="1"/>
  <c r="H128" i="58" s="1"/>
  <c r="G25" i="58" a="1"/>
  <c r="G25" i="58" s="1"/>
  <c r="I25" i="58" s="1" a="1"/>
  <c r="I25" i="58" s="1"/>
  <c r="H120" i="58" s="1"/>
  <c r="G190" i="58" a="1"/>
  <c r="G190" i="58" s="1"/>
  <c r="G161" i="58" a="1"/>
  <c r="G161" i="58" s="1"/>
  <c r="G146" i="58" a="1"/>
  <c r="G146" i="58" s="1"/>
  <c r="G135" i="58" a="1"/>
  <c r="G135" i="58" s="1"/>
  <c r="G189" i="58" a="1"/>
  <c r="G189" i="58" s="1"/>
  <c r="G177" i="58" a="1"/>
  <c r="G177" i="58" s="1"/>
  <c r="G145" i="58" a="1"/>
  <c r="G145" i="58" s="1"/>
  <c r="G125" i="58" a="1"/>
  <c r="G125" i="58" s="1"/>
  <c r="G118" i="58" a="1"/>
  <c r="G118" i="58" s="1"/>
  <c r="G47" i="58" a="1"/>
  <c r="G47" i="58" s="1"/>
  <c r="I47" i="58" s="1" a="1"/>
  <c r="I47" i="58" s="1"/>
  <c r="H142" i="58" s="1"/>
  <c r="G39" i="58" a="1"/>
  <c r="G39" i="58" s="1"/>
  <c r="I39" i="58" s="1" a="1"/>
  <c r="I39" i="58" s="1"/>
  <c r="H134" i="58" s="1"/>
  <c r="G31" i="58" a="1"/>
  <c r="G31" i="58" s="1"/>
  <c r="I31" i="58" s="1" a="1"/>
  <c r="I31" i="58" s="1"/>
  <c r="H126" i="58" s="1"/>
  <c r="G24" i="58" a="1"/>
  <c r="G24" i="58" s="1"/>
  <c r="I24" i="58" s="1" a="1"/>
  <c r="I24" i="58" s="1"/>
  <c r="H119" i="58" s="1"/>
  <c r="G188" i="58" a="1"/>
  <c r="G188" i="58" s="1"/>
  <c r="G167" i="58" a="1"/>
  <c r="G167" i="58" s="1"/>
  <c r="G160" i="58" a="1"/>
  <c r="G160" i="58" s="1"/>
  <c r="G134" i="58" a="1"/>
  <c r="G134" i="58" s="1"/>
  <c r="G187" i="58" a="1"/>
  <c r="G187" i="58" s="1"/>
  <c r="G176" i="58" a="1"/>
  <c r="G176" i="58" s="1"/>
  <c r="G143" i="58" a="1"/>
  <c r="G143" i="58" s="1"/>
  <c r="G124" i="58" a="1"/>
  <c r="G124" i="58" s="1"/>
  <c r="G117" i="58" a="1"/>
  <c r="G117" i="58" s="1"/>
  <c r="G54" i="58" a="1"/>
  <c r="G54" i="58" s="1"/>
  <c r="I54" i="58" s="1" a="1"/>
  <c r="I54" i="58" s="1"/>
  <c r="H149" i="58" s="1"/>
  <c r="G46" i="58" a="1"/>
  <c r="G46" i="58" s="1"/>
  <c r="I46" i="58" s="1" a="1"/>
  <c r="I46" i="58" s="1"/>
  <c r="H141" i="58" s="1"/>
  <c r="G38" i="58" a="1"/>
  <c r="G38" i="58" s="1"/>
  <c r="I38" i="58" s="1" a="1"/>
  <c r="I38" i="58" s="1"/>
  <c r="H133" i="58" s="1"/>
  <c r="G30" i="58" a="1"/>
  <c r="G30" i="58" s="1"/>
  <c r="I30" i="58" s="1" a="1"/>
  <c r="I30" i="58" s="1"/>
  <c r="H125" i="58" s="1"/>
  <c r="G23" i="58" a="1"/>
  <c r="G23" i="58" s="1"/>
  <c r="I23" i="58" s="1" a="1"/>
  <c r="I23" i="58" s="1"/>
  <c r="H118" i="58" s="1"/>
  <c r="J120" i="58" a="1"/>
  <c r="J120" i="58" s="1"/>
  <c r="K26" i="56" a="1"/>
  <c r="K26" i="56" s="1"/>
  <c r="K25" i="57"/>
  <c r="J25" i="57"/>
  <c r="I25" i="57"/>
  <c r="H25" i="57"/>
  <c r="G25" i="57"/>
  <c r="P25" i="57" s="1" a="1"/>
  <c r="P25" i="57" s="1"/>
  <c r="J125" i="58" a="1"/>
  <c r="J125" i="58" s="1"/>
  <c r="J117" i="58" a="1"/>
  <c r="J117" i="58" s="1"/>
  <c r="J185" i="58" a="1"/>
  <c r="J185" i="58" s="1"/>
  <c r="J179" i="58" a="1"/>
  <c r="J179" i="58" s="1"/>
  <c r="J118" i="58" a="1"/>
  <c r="J118" i="58" s="1"/>
  <c r="L30" i="56" a="1"/>
  <c r="L30" i="56" s="1"/>
  <c r="Q30" i="56" s="1" a="1"/>
  <c r="Q30" i="56" s="1"/>
  <c r="J121" i="58" a="1"/>
  <c r="J121" i="58" s="1"/>
  <c r="J119" i="58" a="1"/>
  <c r="J119" i="58" s="1"/>
  <c r="J123" i="58" a="1"/>
  <c r="J123" i="58" s="1"/>
  <c r="J165" i="58" a="1"/>
  <c r="J165" i="58" s="1"/>
  <c r="J162" i="58" a="1"/>
  <c r="J162" i="58" s="1"/>
  <c r="P221" i="19" a="1"/>
  <c r="P221" i="19" s="1"/>
  <c r="E59" i="58"/>
  <c r="H59" i="58" s="1" a="1"/>
  <c r="H59" i="58" s="1"/>
  <c r="H86" i="58" a="1"/>
  <c r="H86" i="58" s="1"/>
  <c r="H78" i="58" a="1"/>
  <c r="H78" i="58" s="1"/>
  <c r="H71" i="58" a="1"/>
  <c r="H71" i="58" s="1"/>
  <c r="H63" i="58" a="1"/>
  <c r="H63" i="58" s="1"/>
  <c r="H85" i="58" a="1"/>
  <c r="H85" i="58" s="1"/>
  <c r="H77" i="58" a="1"/>
  <c r="H77" i="58" s="1"/>
  <c r="H69" i="58" a="1"/>
  <c r="H69" i="58" s="1"/>
  <c r="H62" i="58" a="1"/>
  <c r="H62" i="58" s="1"/>
  <c r="H92" i="58" a="1"/>
  <c r="H92" i="58" s="1"/>
  <c r="H84" i="58" a="1"/>
  <c r="H84" i="58" s="1"/>
  <c r="H76" i="58" a="1"/>
  <c r="H76" i="58" s="1"/>
  <c r="H68" i="58" a="1"/>
  <c r="H68" i="58" s="1"/>
  <c r="H61" i="58" a="1"/>
  <c r="H61" i="58" s="1"/>
  <c r="H91" i="58" a="1"/>
  <c r="H91" i="58" s="1"/>
  <c r="H83" i="58" a="1"/>
  <c r="H83" i="58" s="1"/>
  <c r="H75" i="58" a="1"/>
  <c r="H75" i="58" s="1"/>
  <c r="H67" i="58" a="1"/>
  <c r="H67" i="58" s="1"/>
  <c r="H60" i="58" a="1"/>
  <c r="H60" i="58" s="1"/>
  <c r="H90" i="58" a="1"/>
  <c r="H90" i="58" s="1"/>
  <c r="H82" i="58" a="1"/>
  <c r="H82" i="58" s="1"/>
  <c r="H74" i="58" a="1"/>
  <c r="H74" i="58" s="1"/>
  <c r="H66" i="58" a="1"/>
  <c r="H66" i="58" s="1"/>
  <c r="H89" i="58" a="1"/>
  <c r="H89" i="58" s="1"/>
  <c r="H80" i="58" a="1"/>
  <c r="H80" i="58" s="1"/>
  <c r="H73" i="58" a="1"/>
  <c r="H73" i="58" s="1"/>
  <c r="H65" i="58" a="1"/>
  <c r="H65" i="58" s="1"/>
  <c r="H88" i="58" a="1"/>
  <c r="H88" i="58" s="1"/>
  <c r="H79" i="58" a="1"/>
  <c r="H79" i="58" s="1"/>
  <c r="H72" i="58" a="1"/>
  <c r="H72" i="58" s="1"/>
  <c r="H64" i="58" a="1"/>
  <c r="H64" i="58" s="1"/>
  <c r="I22" i="52"/>
  <c r="V22" i="52"/>
  <c r="J158" i="58" a="1"/>
  <c r="J158" i="58" s="1"/>
  <c r="J136" i="58" a="1"/>
  <c r="J136" i="58" s="1"/>
  <c r="K28" i="57"/>
  <c r="Q28" i="57" s="1" a="1"/>
  <c r="Q28" i="57" s="1"/>
  <c r="J28" i="57"/>
  <c r="P28" i="57" s="1" a="1"/>
  <c r="P28" i="57" s="1"/>
  <c r="I28" i="57"/>
  <c r="O28" i="57" s="1" a="1"/>
  <c r="O28" i="57" s="1"/>
  <c r="H28" i="57"/>
  <c r="G28" i="57"/>
  <c r="J166" i="58" a="1"/>
  <c r="J166" i="58" s="1"/>
  <c r="J132" i="58" a="1"/>
  <c r="J132" i="58" s="1"/>
  <c r="J174" i="58" a="1"/>
  <c r="J174" i="58" s="1"/>
  <c r="J127" i="58" a="1"/>
  <c r="J127" i="58" s="1"/>
  <c r="J159" i="58" a="1"/>
  <c r="J159" i="58" s="1"/>
  <c r="E41" i="55"/>
  <c r="J122" i="58" a="1"/>
  <c r="J122" i="58" s="1"/>
  <c r="J26" i="56" a="1"/>
  <c r="J26" i="56" s="1"/>
  <c r="K34" i="57"/>
  <c r="Q34" i="57" s="1" a="1"/>
  <c r="Q34" i="57" s="1"/>
  <c r="J34" i="57"/>
  <c r="I34" i="57"/>
  <c r="H34" i="57"/>
  <c r="G34" i="57"/>
  <c r="G26" i="56" a="1"/>
  <c r="G26" i="56" s="1"/>
  <c r="Q26" i="56" s="1" a="1"/>
  <c r="Q26" i="56" s="1"/>
  <c r="J133" i="58" a="1"/>
  <c r="J133" i="58" s="1"/>
  <c r="L37" i="57" a="1"/>
  <c r="L37" i="57" s="1"/>
  <c r="P37" i="57" s="1" a="1"/>
  <c r="P37" i="57" s="1"/>
  <c r="K31" i="57"/>
  <c r="Q31" i="57" s="1" a="1"/>
  <c r="Q31" i="57" s="1"/>
  <c r="J31" i="57"/>
  <c r="I31" i="57"/>
  <c r="H31" i="57"/>
  <c r="G31" i="57"/>
  <c r="J167" i="58" a="1"/>
  <c r="J167" i="58" s="1"/>
  <c r="I21" i="52"/>
  <c r="V21" i="52"/>
  <c r="J164" i="58" a="1"/>
  <c r="J164" i="58" s="1"/>
  <c r="J173" i="58" a="1"/>
  <c r="J173" i="58" s="1"/>
  <c r="K36" i="57"/>
  <c r="J36" i="57"/>
  <c r="I36" i="57"/>
  <c r="H36" i="57"/>
  <c r="G36" i="57"/>
  <c r="N36" i="57" s="1" a="1"/>
  <c r="N36" i="57" s="1"/>
  <c r="J178" i="58" a="1"/>
  <c r="J178" i="58" s="1"/>
  <c r="J160" i="58" a="1"/>
  <c r="J160" i="58" s="1"/>
  <c r="J138" i="58" a="1"/>
  <c r="J138" i="58" s="1"/>
  <c r="J126" i="58" a="1"/>
  <c r="J126" i="58" s="1"/>
  <c r="O221" i="19" a="1"/>
  <c r="O221" i="19" s="1"/>
  <c r="J134" i="58" a="1"/>
  <c r="J134" i="58" s="1"/>
  <c r="L30" i="57" a="1"/>
  <c r="L30" i="57" s="1"/>
  <c r="P30" i="57" s="1" a="1"/>
  <c r="P30" i="57" s="1"/>
  <c r="O39" i="56" a="1"/>
  <c r="O39" i="56" s="1"/>
  <c r="P39" i="56" a="1"/>
  <c r="P39" i="56" s="1"/>
  <c r="O38" i="56" a="1"/>
  <c r="O38" i="56" s="1"/>
  <c r="N39" i="56" a="1"/>
  <c r="N39" i="56" s="1"/>
  <c r="N38" i="56" a="1"/>
  <c r="N38" i="56" s="1"/>
  <c r="Q38" i="56" a="1"/>
  <c r="Q38" i="56" s="1"/>
  <c r="O36" i="56" a="1"/>
  <c r="O36" i="56" s="1"/>
  <c r="P36" i="56" a="1"/>
  <c r="P36" i="56" s="1"/>
  <c r="N36" i="56" a="1"/>
  <c r="N36" i="56" s="1"/>
  <c r="E55" i="56" s="1"/>
  <c r="O34" i="56" a="1"/>
  <c r="O34" i="56" s="1"/>
  <c r="O33" i="56" a="1"/>
  <c r="O33" i="56" s="1"/>
  <c r="E50" i="56" s="1"/>
  <c r="N29" i="56" a="1"/>
  <c r="N29" i="56" s="1"/>
  <c r="O29" i="56" a="1"/>
  <c r="O29" i="56" s="1"/>
  <c r="P31" i="56" a="1"/>
  <c r="P31" i="56" s="1"/>
  <c r="Q29" i="56" a="1"/>
  <c r="Q29" i="56" s="1"/>
  <c r="N28" i="56" a="1"/>
  <c r="N28" i="56" s="1"/>
  <c r="H148" i="63"/>
  <c r="G149" i="63"/>
  <c r="G146" i="63"/>
  <c r="I149" i="63"/>
  <c r="G148" i="63"/>
  <c r="H149" i="63"/>
  <c r="M149" i="63"/>
  <c r="M148" i="63"/>
  <c r="L148" i="63"/>
  <c r="L149" i="63"/>
  <c r="O149" i="63"/>
  <c r="O148" i="63"/>
  <c r="N148" i="63"/>
  <c r="G147" i="63"/>
  <c r="K148" i="63"/>
  <c r="I147" i="63"/>
  <c r="K147" i="63"/>
  <c r="J147" i="63"/>
  <c r="J149" i="63"/>
  <c r="H146" i="63"/>
  <c r="J148" i="63"/>
  <c r="K146" i="63"/>
  <c r="L147" i="63"/>
  <c r="N147" i="63"/>
  <c r="N149" i="63"/>
  <c r="M146" i="63"/>
  <c r="P146" i="63"/>
  <c r="H147" i="63"/>
  <c r="I148" i="63"/>
  <c r="O147" i="63"/>
  <c r="P148" i="63"/>
  <c r="L146" i="63"/>
  <c r="N146" i="63"/>
  <c r="O146" i="63"/>
  <c r="K149" i="63"/>
  <c r="P149" i="63"/>
  <c r="I146" i="63"/>
  <c r="P147" i="63"/>
  <c r="Q40" i="57" a="1"/>
  <c r="Q40" i="57" s="1"/>
  <c r="P29" i="57" a="1"/>
  <c r="P29" i="57" s="1"/>
  <c r="O29" i="57" a="1"/>
  <c r="O29" i="57" s="1"/>
  <c r="N29" i="57" a="1"/>
  <c r="N29" i="57" s="1"/>
  <c r="Q29" i="57" a="1"/>
  <c r="Q29" i="57" s="1"/>
  <c r="N28" i="57" a="1"/>
  <c r="N28" i="57" s="1"/>
  <c r="O26" i="57" a="1"/>
  <c r="O26" i="57" s="1"/>
  <c r="P26" i="57" a="1"/>
  <c r="P26" i="57" s="1"/>
  <c r="N26" i="57" a="1"/>
  <c r="N26" i="57" s="1"/>
  <c r="P40" i="57" a="1"/>
  <c r="P40" i="57" s="1"/>
  <c r="O40" i="57" a="1"/>
  <c r="O40" i="57" s="1"/>
  <c r="N40" i="57" a="1"/>
  <c r="N40" i="57" s="1"/>
  <c r="P35" i="57" a="1"/>
  <c r="P35" i="57" s="1"/>
  <c r="O35" i="57" a="1"/>
  <c r="O35" i="57" s="1"/>
  <c r="N35" i="57" a="1"/>
  <c r="N35" i="57" s="1"/>
  <c r="P39" i="57" a="1"/>
  <c r="P39" i="57" s="1"/>
  <c r="N39" i="57" a="1"/>
  <c r="N39" i="57" s="1"/>
  <c r="O39" i="57" a="1"/>
  <c r="O39" i="57" s="1"/>
  <c r="N32" i="57" a="1"/>
  <c r="N32" i="57" s="1"/>
  <c r="Q32" i="57" a="1"/>
  <c r="Q32" i="57" s="1"/>
  <c r="O32" i="57" a="1"/>
  <c r="O32" i="57" s="1"/>
  <c r="P32" i="57" a="1"/>
  <c r="P32" i="57" s="1"/>
  <c r="Q35" i="57" a="1"/>
  <c r="Q35" i="57" s="1"/>
  <c r="N25" i="57" a="1"/>
  <c r="N25" i="57" s="1"/>
  <c r="Q25" i="57" a="1"/>
  <c r="Q25" i="57" s="1"/>
  <c r="O25" i="57" a="1"/>
  <c r="O25" i="57" s="1"/>
  <c r="P38" i="57" a="1"/>
  <c r="P38" i="57" s="1"/>
  <c r="O38" i="57" a="1"/>
  <c r="O38" i="57" s="1"/>
  <c r="N38" i="57" a="1"/>
  <c r="N38" i="57" s="1"/>
  <c r="Q39" i="57" a="1"/>
  <c r="Q39" i="57" s="1"/>
  <c r="P32" i="56" a="1"/>
  <c r="P32" i="56" s="1"/>
  <c r="O32" i="56" a="1"/>
  <c r="O32" i="56" s="1"/>
  <c r="N32" i="56" a="1"/>
  <c r="N32" i="56" s="1"/>
  <c r="Q32" i="56" a="1"/>
  <c r="Q32" i="56" s="1"/>
  <c r="P27" i="56" a="1"/>
  <c r="P27" i="56" s="1"/>
  <c r="O27" i="56" a="1"/>
  <c r="O27" i="56" s="1"/>
  <c r="N27" i="56" a="1"/>
  <c r="N27" i="56" s="1"/>
  <c r="Q27" i="56" a="1"/>
  <c r="Q27" i="56" s="1"/>
  <c r="N33" i="56" a="1"/>
  <c r="N33" i="56" s="1"/>
  <c r="E49" i="56" s="1"/>
  <c r="P29" i="56" a="1"/>
  <c r="P29" i="56" s="1"/>
  <c r="P33" i="56" a="1"/>
  <c r="P33" i="56" s="1"/>
  <c r="E51" i="56" s="1"/>
  <c r="P37" i="56" a="1"/>
  <c r="P37" i="56" s="1"/>
  <c r="O37" i="56" a="1"/>
  <c r="O37" i="56" s="1"/>
  <c r="Q37" i="56" a="1"/>
  <c r="Q37" i="56" s="1"/>
  <c r="N37" i="56" a="1"/>
  <c r="N37" i="56" s="1"/>
  <c r="N31" i="56" a="1"/>
  <c r="N31" i="56" s="1"/>
  <c r="N30" i="56" a="1"/>
  <c r="N30" i="56" s="1"/>
  <c r="O30" i="56" a="1"/>
  <c r="O30" i="56" s="1"/>
  <c r="P30" i="56" a="1"/>
  <c r="P30" i="56" s="1"/>
  <c r="Q36" i="56" a="1"/>
  <c r="Q36" i="56" s="1"/>
  <c r="E58" i="56" s="1"/>
  <c r="Q25" i="56" a="1"/>
  <c r="Q25" i="56" s="1"/>
  <c r="N25" i="56" a="1"/>
  <c r="N25" i="56" s="1"/>
  <c r="P25" i="56" a="1"/>
  <c r="P25" i="56" s="1"/>
  <c r="O25" i="56" a="1"/>
  <c r="O25" i="56" s="1"/>
  <c r="P34" i="56" a="1"/>
  <c r="P34" i="56" s="1"/>
  <c r="O28" i="56" a="1"/>
  <c r="O28" i="56" s="1"/>
  <c r="P28" i="56" a="1"/>
  <c r="P28" i="56" s="1"/>
  <c r="O61" i="34"/>
  <c r="O26" i="34"/>
  <c r="O79" i="34"/>
  <c r="O42" i="34"/>
  <c r="O7" i="34"/>
  <c r="I83" i="58" l="1" a="1"/>
  <c r="I83" i="58" s="1"/>
  <c r="H181" i="58" s="1"/>
  <c r="I86" i="58" a="1"/>
  <c r="I86" i="58" s="1"/>
  <c r="H184" i="58" s="1"/>
  <c r="I77" i="58" a="1"/>
  <c r="I77" i="58" s="1"/>
  <c r="H175" i="58" s="1"/>
  <c r="I175" i="58" s="1"/>
  <c r="K175" i="58" s="1" a="1"/>
  <c r="K175" i="58" s="1"/>
  <c r="I66" i="58" a="1"/>
  <c r="I66" i="58" s="1"/>
  <c r="H164" i="58" s="1"/>
  <c r="I164" i="58" s="1"/>
  <c r="K164" i="58" s="1" a="1"/>
  <c r="K164" i="58" s="1"/>
  <c r="I120" i="58"/>
  <c r="K120" i="58" s="1" a="1"/>
  <c r="K120" i="58" s="1"/>
  <c r="I165" i="58"/>
  <c r="K165" i="58" s="1" a="1"/>
  <c r="K165" i="58" s="1"/>
  <c r="I137" i="58"/>
  <c r="K137" i="58" s="1" a="1"/>
  <c r="K137" i="58" s="1"/>
  <c r="I69" i="58" a="1"/>
  <c r="I69" i="58" s="1"/>
  <c r="H167" i="58" s="1"/>
  <c r="I167" i="58" s="1"/>
  <c r="K167" i="58" s="1" a="1"/>
  <c r="K167" i="58" s="1"/>
  <c r="I125" i="58"/>
  <c r="K125" i="58" s="1" a="1"/>
  <c r="K125" i="58" s="1"/>
  <c r="I60" i="58" a="1"/>
  <c r="I60" i="58" s="1"/>
  <c r="H158" i="58" s="1"/>
  <c r="I158" i="58" s="1"/>
  <c r="K158" i="58" s="1" a="1"/>
  <c r="K158" i="58" s="1"/>
  <c r="I63" i="58" a="1"/>
  <c r="I63" i="58" s="1"/>
  <c r="H161" i="58" s="1"/>
  <c r="I161" i="58" s="1"/>
  <c r="K161" i="58" s="1" a="1"/>
  <c r="K161" i="58" s="1"/>
  <c r="I92" i="58" a="1"/>
  <c r="I92" i="58" s="1"/>
  <c r="H190" i="58" s="1"/>
  <c r="I121" i="58"/>
  <c r="K121" i="58" s="1" a="1"/>
  <c r="K121" i="58" s="1"/>
  <c r="I89" i="58" a="1"/>
  <c r="I89" i="58" s="1"/>
  <c r="H187" i="58" s="1"/>
  <c r="I174" i="58"/>
  <c r="K174" i="58" s="1" a="1"/>
  <c r="K174" i="58" s="1"/>
  <c r="I119" i="58"/>
  <c r="K119" i="58" s="1" a="1"/>
  <c r="K119" i="58" s="1"/>
  <c r="I162" i="58"/>
  <c r="K162" i="58" s="1" a="1"/>
  <c r="K162" i="58" s="1"/>
  <c r="I132" i="58"/>
  <c r="K132" i="58" s="1" a="1"/>
  <c r="K132" i="58" s="1"/>
  <c r="I133" i="58"/>
  <c r="K133" i="58" s="1" a="1"/>
  <c r="K133" i="58" s="1"/>
  <c r="I178" i="58"/>
  <c r="K178" i="58" s="1" a="1"/>
  <c r="K178" i="58" s="1"/>
  <c r="I135" i="58"/>
  <c r="K135" i="58" s="1" a="1"/>
  <c r="K135" i="58" s="1"/>
  <c r="I118" i="58"/>
  <c r="K118" i="58" s="1" a="1"/>
  <c r="K118" i="58" s="1"/>
  <c r="I134" i="58"/>
  <c r="K134" i="58" s="1" a="1"/>
  <c r="K134" i="58" s="1"/>
  <c r="I85" i="58" a="1"/>
  <c r="I85" i="58" s="1"/>
  <c r="H183" i="58" s="1"/>
  <c r="I177" i="58"/>
  <c r="K177" i="58" s="1" a="1"/>
  <c r="K177" i="58" s="1"/>
  <c r="I126" i="58"/>
  <c r="K126" i="58" s="1" a="1"/>
  <c r="K126" i="58" s="1"/>
  <c r="I163" i="58"/>
  <c r="K163" i="58" s="1" a="1"/>
  <c r="K163" i="58" s="1"/>
  <c r="I75" i="58" a="1"/>
  <c r="I75" i="58" s="1"/>
  <c r="H173" i="58" s="1"/>
  <c r="I173" i="58" s="1"/>
  <c r="K173" i="58" s="1" a="1"/>
  <c r="K173" i="58" s="1"/>
  <c r="Q36" i="57" a="1"/>
  <c r="Q36" i="57" s="1"/>
  <c r="O36" i="57" a="1"/>
  <c r="O36" i="57" s="1"/>
  <c r="P36" i="57" a="1"/>
  <c r="P36" i="57" s="1"/>
  <c r="I34" i="58" a="1"/>
  <c r="I34" i="58" s="1"/>
  <c r="H129" i="58" s="1"/>
  <c r="I127" i="58" s="1"/>
  <c r="K127" i="58" s="1" a="1"/>
  <c r="K127" i="58" s="1"/>
  <c r="I84" i="58" a="1"/>
  <c r="I84" i="58" s="1"/>
  <c r="H182" i="58" s="1"/>
  <c r="N37" i="57" a="1"/>
  <c r="N37" i="57" s="1"/>
  <c r="I136" i="58"/>
  <c r="K136" i="58" s="1" a="1"/>
  <c r="K136" i="58" s="1"/>
  <c r="I82" i="58" a="1"/>
  <c r="I82" i="58" s="1"/>
  <c r="H180" i="58" s="1"/>
  <c r="O31" i="57" a="1"/>
  <c r="O31" i="57" s="1"/>
  <c r="Q37" i="57" a="1"/>
  <c r="Q37" i="57" s="1"/>
  <c r="I90" i="58" a="1"/>
  <c r="I90" i="58" s="1"/>
  <c r="H188" i="58" s="1"/>
  <c r="I71" i="58" a="1"/>
  <c r="I71" i="58" s="1"/>
  <c r="H169" i="58" s="1"/>
  <c r="I168" i="58" s="1"/>
  <c r="K168" i="58" s="1" a="1"/>
  <c r="K168" i="58" s="1"/>
  <c r="I123" i="58"/>
  <c r="K123" i="58" s="1" a="1"/>
  <c r="K123" i="58" s="1"/>
  <c r="I124" i="58"/>
  <c r="K124" i="58" s="1" a="1"/>
  <c r="K124" i="58" s="1"/>
  <c r="I27" i="58" a="1"/>
  <c r="I27" i="58" s="1"/>
  <c r="H122" i="58" s="1"/>
  <c r="I122" i="58" s="1"/>
  <c r="K122" i="58" s="1" a="1"/>
  <c r="K122" i="58" s="1"/>
  <c r="I88" i="58" a="1"/>
  <c r="I88" i="58" s="1"/>
  <c r="H186" i="58" s="1"/>
  <c r="I61" i="58" a="1"/>
  <c r="I61" i="58" s="1"/>
  <c r="H159" i="58" s="1"/>
  <c r="I159" i="58" s="1"/>
  <c r="K159" i="58" s="1" a="1"/>
  <c r="K159" i="58" s="1"/>
  <c r="I62" i="58" a="1"/>
  <c r="I62" i="58" s="1"/>
  <c r="H160" i="58" s="1"/>
  <c r="I160" i="58" s="1"/>
  <c r="K160" i="58" s="1" a="1"/>
  <c r="K160" i="58" s="1"/>
  <c r="G116" i="58" a="1"/>
  <c r="G116" i="58" s="1"/>
  <c r="G21" i="58" a="1"/>
  <c r="G21" i="58" s="1"/>
  <c r="I21" i="58" s="1" a="1"/>
  <c r="I21" i="58" s="1"/>
  <c r="H116" i="58" s="1"/>
  <c r="G157" i="58" a="1"/>
  <c r="G157" i="58" s="1"/>
  <c r="N31" i="57" a="1"/>
  <c r="N31" i="57" s="1"/>
  <c r="E43" i="57" s="1"/>
  <c r="I117" i="58"/>
  <c r="K117" i="58" s="1" a="1"/>
  <c r="K117" i="58" s="1"/>
  <c r="P31" i="57" a="1"/>
  <c r="P31" i="57" s="1"/>
  <c r="E45" i="57" s="1"/>
  <c r="I176" i="58"/>
  <c r="K176" i="58" s="1" a="1"/>
  <c r="K176" i="58" s="1"/>
  <c r="O30" i="57" a="1"/>
  <c r="O30" i="57" s="1"/>
  <c r="E44" i="57" s="1"/>
  <c r="Q30" i="57" a="1"/>
  <c r="Q30" i="57" s="1"/>
  <c r="N30" i="57" a="1"/>
  <c r="N30" i="57" s="1"/>
  <c r="O37" i="57" a="1"/>
  <c r="O37" i="57" s="1"/>
  <c r="I166" i="58"/>
  <c r="K166" i="58" s="1" a="1"/>
  <c r="K166" i="58" s="1"/>
  <c r="P34" i="57" a="1"/>
  <c r="P34" i="57" s="1"/>
  <c r="E51" i="57" s="1"/>
  <c r="N34" i="57" a="1"/>
  <c r="N34" i="57" s="1"/>
  <c r="E49" i="57" s="1"/>
  <c r="O34" i="57" a="1"/>
  <c r="O34" i="57" s="1"/>
  <c r="E50" i="57" s="1"/>
  <c r="G59" i="58" a="1"/>
  <c r="G59" i="58" s="1"/>
  <c r="I59" i="58" s="1" a="1"/>
  <c r="I59" i="58" s="1"/>
  <c r="H157" i="58" s="1"/>
  <c r="P26" i="56" a="1"/>
  <c r="P26" i="56" s="1"/>
  <c r="E45" i="56" s="1"/>
  <c r="E221" i="19" a="1"/>
  <c r="E221" i="19" s="1"/>
  <c r="O26" i="56" a="1"/>
  <c r="O26" i="56" s="1"/>
  <c r="E44" i="56" s="1"/>
  <c r="N26" i="56" a="1"/>
  <c r="N26" i="56" s="1"/>
  <c r="E43" i="56" s="1"/>
  <c r="E61" i="56"/>
  <c r="E64" i="56"/>
  <c r="E63" i="56"/>
  <c r="E62" i="56"/>
  <c r="E56" i="56"/>
  <c r="E57" i="56"/>
  <c r="I144" i="58"/>
  <c r="K144" i="58" s="1" a="1"/>
  <c r="K144" i="58" s="1"/>
  <c r="I138" i="58"/>
  <c r="K138" i="58" s="1" a="1"/>
  <c r="K138" i="58" s="1"/>
  <c r="E46" i="57"/>
  <c r="E52" i="57"/>
  <c r="E46" i="56"/>
  <c r="I185" i="58" l="1"/>
  <c r="K185" i="58" s="1" a="1"/>
  <c r="K185" i="58" s="1"/>
  <c r="I179" i="58"/>
  <c r="K179" i="58" s="1" a="1"/>
  <c r="K179" i="58" s="1"/>
  <c r="I116" i="58"/>
  <c r="K116" i="58" s="1" a="1"/>
  <c r="K116" i="58" s="1"/>
  <c r="E151" i="58" s="1"/>
  <c r="I157" i="58"/>
  <c r="K157" i="58" s="1" a="1"/>
  <c r="K157" i="58" s="1"/>
  <c r="E67" i="56"/>
  <c r="E70" i="56"/>
  <c r="E68" i="56"/>
  <c r="E69" i="56"/>
  <c r="E58" i="57"/>
  <c r="E55" i="57"/>
  <c r="E56" i="57"/>
  <c r="E57" i="57"/>
  <c r="E259" i="47" a="1"/>
  <c r="E259" i="47" s="1"/>
  <c r="D259" i="47" a="1"/>
  <c r="D259" i="47" s="1"/>
  <c r="E258" i="47" a="1"/>
  <c r="E258" i="47" s="1"/>
  <c r="D258" i="47" a="1"/>
  <c r="D258" i="47" s="1"/>
  <c r="D256" i="47" a="1"/>
  <c r="D256" i="47" s="1"/>
  <c r="D255" i="47" a="1"/>
  <c r="D255" i="47" s="1"/>
  <c r="D254" i="47" a="1"/>
  <c r="D254" i="47" s="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a="1"/>
  <c r="N242" i="47" s="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a="1"/>
  <c r="D227" i="47" s="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a="1"/>
  <c r="D211" i="47" s="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E188" i="47" a="1"/>
  <c r="E188" i="47" s="1"/>
  <c r="D188" i="47" a="1"/>
  <c r="D188" i="47" s="1"/>
  <c r="H187" i="47" a="1"/>
  <c r="H187" i="47" s="1"/>
  <c r="G187" i="47" a="1"/>
  <c r="G187" i="47" s="1"/>
  <c r="F187" i="47" a="1"/>
  <c r="F187" i="47" s="1"/>
  <c r="E187" i="47" a="1"/>
  <c r="E187" i="47" s="1"/>
  <c r="D187" i="47" a="1"/>
  <c r="D187" i="47" s="1"/>
  <c r="D181" i="47" a="1"/>
  <c r="D181" i="47" s="1"/>
  <c r="D180" i="47" a="1"/>
  <c r="D180" i="47" s="1"/>
  <c r="D179" i="47" a="1"/>
  <c r="D179" i="47" s="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a="1"/>
  <c r="D151" i="47" s="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a="1"/>
  <c r="D139" i="47" s="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a="1"/>
  <c r="D125" i="47" s="1"/>
  <c r="D124" i="47" a="1"/>
  <c r="D124" i="47" s="1"/>
  <c r="G121" i="47" a="1"/>
  <c r="G121" i="47" s="1"/>
  <c r="F121" i="47" a="1"/>
  <c r="F121" i="47" s="1"/>
  <c r="E121" i="47" a="1"/>
  <c r="E121" i="47" s="1"/>
  <c r="D121" i="47" a="1"/>
  <c r="D121" i="47" s="1"/>
  <c r="G120" i="47" a="1"/>
  <c r="G120" i="47" s="1"/>
  <c r="F120" i="47" a="1"/>
  <c r="F120" i="47" s="1"/>
  <c r="E120" i="47" a="1"/>
  <c r="E120" i="47" s="1"/>
  <c r="D120" i="47" a="1"/>
  <c r="D120" i="47" s="1"/>
  <c r="D117" i="47" a="1"/>
  <c r="D117" i="47" s="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a="1"/>
  <c r="D82" i="47" s="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D35" i="47" a="1"/>
  <c r="D35" i="47" s="1"/>
  <c r="D34" i="47" a="1"/>
  <c r="D34" i="47" s="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E192" i="58" l="1"/>
  <c r="E30" i="51"/>
  <c r="D9" i="63"/>
  <c r="G9" i="64"/>
  <c r="G46" i="66"/>
  <c r="E31" i="51"/>
  <c r="E32" i="51" s="1"/>
  <c r="E33" i="51"/>
  <c r="D8" i="63"/>
  <c r="G8" i="64"/>
  <c r="G45" i="66"/>
  <c r="I49" i="34"/>
  <c r="I68" i="34"/>
  <c r="G576" i="19"/>
  <c r="O576" i="19"/>
  <c r="H51" i="47"/>
  <c r="H50" i="47"/>
  <c r="J88" i="34" s="1"/>
  <c r="H52" i="47"/>
  <c r="H54" i="47"/>
  <c r="H48" i="47"/>
  <c r="H53" i="47"/>
  <c r="H49" i="47"/>
  <c r="D36" i="41"/>
  <c r="D35" i="41"/>
  <c r="D28" i="41"/>
  <c r="D27" i="41"/>
  <c r="D26" i="41"/>
  <c r="D25" i="41"/>
  <c r="D24" i="41"/>
  <c r="D14" i="41"/>
  <c r="D13" i="41"/>
  <c r="D12" i="41"/>
  <c r="D11" i="41"/>
  <c r="J15" i="34" l="1"/>
  <c r="I50" i="34"/>
  <c r="I53" i="34"/>
  <c r="H102" i="13"/>
  <c r="H101" i="13"/>
  <c r="H100" i="13"/>
  <c r="H99" i="13"/>
  <c r="H98" i="13"/>
  <c r="H97" i="13"/>
  <c r="H96" i="13"/>
  <c r="H95" i="13"/>
  <c r="H94" i="13"/>
  <c r="H93" i="13"/>
  <c r="J635" i="19" a="1"/>
  <c r="J635"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J613" i="19" l="1" a="1"/>
  <c r="J613"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588" i="19" l="1"/>
  <c r="E33" i="41"/>
  <c r="E639" i="19"/>
  <c r="F36" i="41" s="1"/>
  <c r="E621" i="19"/>
  <c r="F35" i="41" s="1"/>
  <c r="D33" i="41" a="1"/>
  <c r="D33" i="41" s="1"/>
  <c r="E642" i="19" l="1"/>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79" i="34" a="1"/>
  <c r="E561" i="19" a="1"/>
  <c r="E26" i="34" a="1"/>
  <c r="E42" i="34" a="1"/>
  <c r="E61" i="34" a="1"/>
  <c r="F573" i="19" l="1"/>
  <c r="N573" i="19"/>
  <c r="F90" i="34"/>
  <c r="P90" i="34"/>
  <c r="F19" i="34"/>
  <c r="P19" i="34"/>
  <c r="F55" i="34"/>
  <c r="P55" i="34"/>
  <c r="F74" i="34"/>
  <c r="P74"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23" i="19" a="1"/>
  <c r="E540" i="19" a="1"/>
  <c r="D31" i="41" l="1" a="1"/>
  <c r="D31" i="41" s="1"/>
  <c r="D30" i="41" a="1"/>
  <c r="D30" i="41" s="1"/>
  <c r="E540" i="19"/>
  <c r="E523" i="19"/>
  <c r="G515" i="19" l="1" a="1"/>
  <c r="G515" i="19" s="1"/>
  <c r="D515" i="19" a="1"/>
  <c r="D515" i="19" s="1"/>
  <c r="E513" i="19" a="1"/>
  <c r="E513" i="19" s="1"/>
  <c r="E512" i="19" a="1"/>
  <c r="E512" i="19" s="1"/>
  <c r="D507" i="19" a="1"/>
  <c r="D507" i="19" s="1"/>
  <c r="D506" i="19" a="1"/>
  <c r="D506" i="19" s="1"/>
  <c r="E508" i="19" a="1"/>
  <c r="D29" i="41" l="1" a="1"/>
  <c r="D29" i="41" s="1"/>
  <c r="E508" i="19"/>
  <c r="I516" i="19" l="1"/>
  <c r="I515" i="19" l="1"/>
  <c r="E518" i="19" s="1" a="1"/>
  <c r="E518" i="19" s="1"/>
  <c r="E29" i="41" s="1"/>
  <c r="F29" i="41"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174" i="19" a="1"/>
  <c r="E188" i="19" a="1"/>
  <c r="E355" i="19" a="1"/>
  <c r="E323" i="19" a="1"/>
  <c r="E385" i="19" a="1"/>
  <c r="E258" i="19" a="1"/>
  <c r="E290" i="19" a="1"/>
  <c r="E418" i="19" a="1"/>
  <c r="E100" i="19" a="1"/>
  <c r="E203" i="19" a="1"/>
  <c r="D23" i="41" l="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7" i="41" l="1" a="1"/>
  <c r="D17" i="41" s="1"/>
  <c r="D15" i="41" a="1"/>
  <c r="D15" i="41" s="1"/>
  <c r="D16" i="41" a="1"/>
  <c r="D16" i="41" s="1"/>
  <c r="D10" i="41" a="1"/>
  <c r="D10"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D305" i="19" a="1"/>
  <c r="D305" i="19" s="1"/>
  <c r="E305" i="19" a="1"/>
  <c r="E305" i="19"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93" i="19"/>
  <c r="E94" i="19"/>
  <c r="E533" i="19" l="1" a="1"/>
  <c r="E533" i="19" s="1"/>
  <c r="E30" i="41" l="1"/>
  <c r="F30" i="41" s="1"/>
  <c r="I550" i="19"/>
  <c r="I551" i="19"/>
  <c r="O74" i="34" a="1"/>
  <c r="O74" i="34" s="1"/>
  <c r="T86" i="34" s="1"/>
  <c r="O90" i="34" s="1" a="1"/>
  <c r="O90" i="34" s="1"/>
  <c r="R571" i="19" s="1"/>
  <c r="E35" i="34" l="1" a="1"/>
  <c r="E35" i="34" s="1"/>
  <c r="I48" i="34" s="1"/>
  <c r="O35" i="34" a="1"/>
  <c r="O35" i="34" s="1"/>
  <c r="S48" i="34" s="1"/>
  <c r="O55" i="34" s="1" a="1"/>
  <c r="O55" i="34" s="1"/>
  <c r="R570" i="19" s="1"/>
  <c r="M573" i="19" s="1" a="1"/>
  <c r="M573" i="19" s="1"/>
  <c r="O575" i="19" s="1"/>
  <c r="M578" i="19" s="1" a="1"/>
  <c r="M578" i="19" s="1"/>
  <c r="F32" i="41" s="1"/>
  <c r="E555" i="19" a="1"/>
  <c r="E555" i="19"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E31" i="41" l="1"/>
  <c r="F31" i="41"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H221" i="19" l="1" a="1"/>
  <c r="H221" i="19" s="1"/>
  <c r="E251" i="19" s="1"/>
  <c r="E17" i="41" s="1"/>
  <c r="G221" i="19" a="1"/>
  <c r="G221" i="19" s="1"/>
  <c r="E248" i="19" s="1"/>
  <c r="K221" i="19" a="1"/>
  <c r="K221" i="19" s="1"/>
  <c r="E252" i="19" s="1"/>
  <c r="F17" i="41" s="1"/>
  <c r="E249" i="19"/>
  <c r="E74" i="34" a="1"/>
  <c r="E74" i="34" s="1"/>
  <c r="J86" i="34" s="1"/>
  <c r="E130" i="19"/>
  <c r="E144" i="19" s="1"/>
  <c r="E15" i="41" s="1"/>
  <c r="E131" i="19"/>
  <c r="E145" i="19" s="1"/>
  <c r="F15"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<sst xmlns="http://schemas.openxmlformats.org/spreadsheetml/2006/main" count="2587" uniqueCount="921">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</sst>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s>
  <fills count="18">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5" borderId="1">
      <alignment horizontal="center" vertical="center"/>
    </xf>
    <xf numFmtId="0" fontId="58" fillId="14" borderId="1">
      <alignment horizontal="center" vertical="center"/>
    </xf>
    <xf numFmtId="0" fontId="59" fillId="2" borderId="1">
      <alignment horizontal="left" vertical="center"/>
    </xf>
    <xf numFmtId="0" fontId="62" fillId="2" borderId="0">
      <alignment horizontal="left" vertical="center"/>
    </xf>
    <xf numFmtId="4" fontId="24" fillId="2" borderId="1">
      <alignment horizontal="center" vertical="center"/>
    </xf>
    <xf numFmtId="0" fontId="76" fillId="0" borderId="0" applyNumberFormat="0" applyFill="0" applyBorder="0" applyAlignment="0" applyProtection="0"/>
    <xf numFmtId="0" fontId="80" fillId="17" borderId="0">
      <alignment horizontal="center" vertical="center"/>
    </xf>
    <xf numFmtId="167" fontId="45" fillId="2" borderId="0">
      <alignment horizontal="center" vertical="center"/>
    </xf>
  </cellStyleXfs>
  <cellXfs count="231">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5" borderId="1" xfId="49">
      <alignment horizontal="center" vertical="center"/>
    </xf>
    <xf numFmtId="0" fontId="58" fillId="14"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3">
      <alignment horizontal="center" vertical="center"/>
    </xf>
    <xf numFmtId="169" fontId="55" fillId="2" borderId="1" xfId="20" applyNumberFormat="1" applyFont="1">
      <alignment horizontal="center" vertical="center"/>
    </xf>
    <xf numFmtId="4" fontId="24" fillId="2" borderId="21" xfId="53"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3" applyBorder="1">
      <alignment horizontal="center" vertical="center"/>
    </xf>
    <xf numFmtId="4" fontId="24" fillId="2" borderId="27" xfId="53"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3" applyNumberFormat="1" applyFont="1">
      <alignment horizontal="center" vertical="center"/>
    </xf>
    <xf numFmtId="171" fontId="55" fillId="2" borderId="21" xfId="53" applyNumberFormat="1" applyFont="1" applyBorder="1">
      <alignment horizontal="center" vertical="center"/>
    </xf>
    <xf numFmtId="171" fontId="55" fillId="2" borderId="27" xfId="53"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6"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7" borderId="0" xfId="55">
      <alignment horizontal="center" vertical="center"/>
    </xf>
    <xf numFmtId="167" fontId="45" fillId="2" borderId="0" xfId="56">
      <alignment horizontal="center" vertical="center"/>
    </xf>
    <xf numFmtId="0" fontId="6" fillId="2" borderId="0" xfId="6" applyAlignment="1">
      <alignment horizontal="left" vertical="center" indent="2"/>
    </xf>
    <xf numFmtId="0" fontId="76" fillId="2" borderId="0" xfId="54" applyFill="1" applyAlignment="1">
      <alignment horizontal="left" vertical="center"/>
    </xf>
    <xf numFmtId="0" fontId="4" fillId="2" borderId="10" xfId="4" applyBorder="1" applyAlignment="1">
      <alignment horizontal="center" vertical="center"/>
    </xf>
    <xf numFmtId="0" fontId="81" fillId="0" borderId="0" xfId="6" applyFont="1" applyFill="1">
      <alignment horizontal="left" vertical="center"/>
    </xf>
    <xf numFmtId="0" fontId="3" fillId="0" borderId="0" xfId="3" applyAlignment="1" applyProtection="1">
      <alignment horizontal="center" vertical="center" wrapText="1"/>
      <protection locked="0"/>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1" fillId="2" borderId="0" xfId="27">
      <alignment horizontal="center" vertical="center"/>
    </xf>
    <xf numFmtId="17" fontId="0" fillId="0" borderId="0" xfId="6" applyNumberFormat="1" applyFont="1" applyFill="1">
      <alignment horizontal="left" vertical="center"/>
    </xf>
  </cellXfs>
  <cellStyles count="57">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4"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3"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6"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5"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other" xfId="50" xr:uid="{9FB6C20B-1F98-4C86-8B64-373BD10A7B73}"/>
  </cellStyles>
  <dxfs count="60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1"/>
      <tableStyleElement type="headerRow" dxfId="600"/>
      <tableStyleElement type="totalRow" dxfId="599"/>
      <tableStyleElement type="firstColumn" dxfId="598"/>
      <tableStyleElement type="firstRowStripe" dxfId="597"/>
      <tableStyleElement type="secondRowStripe" dxfId="596"/>
    </tableStyle>
    <tableStyle name="Equation table" pivot="0" count="6" xr9:uid="{0B4491E8-4F2C-4EE8-9336-DC99561B4B77}">
      <tableStyleElement type="wholeTable" dxfId="595"/>
      <tableStyleElement type="headerRow" dxfId="594"/>
      <tableStyleElement type="totalRow" dxfId="593"/>
      <tableStyleElement type="firstColumn" dxfId="592"/>
      <tableStyleElement type="firstRowStripe" dxfId="591"/>
      <tableStyleElement type="secondRowStripe" dxfId="59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724252-C5C3-4C5E-B43E-4FBA1E601821}" name="Table_Input_Fuel" displayName="Table_Input_Fuel" ref="D16:J21" totalsRowDxfId="589"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B49B54C6-2274-41D7-9BD8-61D0BC5E0694}" name="Fuel use (select)" totalsRowFunction="average" totalsRowDxfId="588" dataCellStyle="Input select" totalsRowCellStyle="Input select"/>
    <tableColumn id="3" xr3:uid="{090CD135-B443-46A5-AB3D-81AE27F6054C}" name="Fuel type (select)" totalsRowDxfId="587" dataCellStyle="Input select" totalsRowCellStyle="Input select"/>
    <tableColumn id="4" xr3:uid="{B1A83A33-C4DD-4948-A1EB-FFFE1C6F6075}" name="Amount purchased" totalsRowDxfId="586" totalsRowCellStyle="Content bold"/>
    <tableColumn id="6" xr3:uid="{591F9866-8E4F-4A43-9DC7-67E7C7888238}" name="Amount unit" totalsRowDxfId="585" dataCellStyle="Input number general calculated" totalsRowCellStyle="Input text calculated"/>
    <tableColumn id="5" xr3:uid="{50ADBFD1-E2E2-4319-B9DA-E9B8D1F865EF}" name="Percent consumed" totalsRowDxfId="584" totalsRowCellStyle="Input percent">
      <calculatedColumnFormula>1</calculatedColumnFormula>
    </tableColumn>
    <tableColumn id="1" xr3:uid="{4657BC4B-FE9F-406B-AD29-AE88E677B6BE}" name="Amount consumed" totalsRowFunction="custom" totalsRowDxfId="583"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1F586C8-DA2F-43D2-91BF-ABB9BA20B468}" name="Amount consumed unit" totalsRowDxfId="582"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239C561-08AA-4EAA-AF41-F809BF0F3BD4}" name="Table_Input_InorganicFertiliser_Brands" displayName="Table_Input_InorganicFertiliser_Brands" ref="D17:X22" headerRowDxfId="581" dataDxfId="580" totalsRowDxfId="57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BD5DFFA8-1E01-439A-A7C6-79D55739E86B}" name="Product (select)" dataDxfId="578" totalsRowDxfId="577" dataCellStyle="Input select"/>
    <tableColumn id="23" xr3:uid="{91D153D6-18B5-441F-905D-E20D0DFB006E}" name="Amount applied per hectare" totalsRowFunction="custom" dataDxfId="576" totalsRowDxfId="575">
      <totalsRowFormula>SUM(Table_Input_InorganicFertiliser_Brands[[#Headers],[#Data],[Amount applied per hectare]])</totalsRowFormula>
    </tableColumn>
    <tableColumn id="12" xr3:uid="{35F0BB96-2D46-4101-9B81-9A170A36AF46}" name="Application unit" dataDxfId="574" totalsRowDxfId="573" dataCellStyle="Input number 2 decimal places"/>
    <tableColumn id="9" xr3:uid="{132514F0-203A-4912-B2FA-13647018A391}" name="Density" dataDxfId="572" totalsRowDxfId="571" dataCellStyle="Input number 2 decimal places"/>
    <tableColumn id="6" xr3:uid="{E140CB36-1B99-4AF2-9EEB-3C831E350C8B}" name="Application area (ha)" dataDxfId="570" totalsRowDxfId="569">
      <calculatedColumnFormula>$E$9</calculatedColumnFormula>
    </tableColumn>
    <tableColumn id="1" xr3:uid="{B2595B7A-7FFF-4419-AC3D-4D9567303CE5}" name="Total applied (kg)" dataDxfId="568" totalsRowDxfId="56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CF1A6A8-2888-4EBB-8465-4FB5461DE784}" name="Ingredient 1" dataDxfId="566" totalsRowDxfId="565" dataCellStyle="Input number general calculated"/>
    <tableColumn id="4" xr3:uid="{BB240A2D-5F9B-4946-B36D-BDD756EE3214}" name="Ingredient 1 percent" dataDxfId="564" totalsRowDxfId="563" dataCellStyle="Input number general calculated"/>
    <tableColumn id="7" xr3:uid="{5AB40339-B5A0-4936-9F16-1E53446AC3A4}" name="Ingredient 2" dataDxfId="562" dataCellStyle="Input number general calculated"/>
    <tableColumn id="8" xr3:uid="{2834C944-F72E-439F-91B5-611ED12084F5}" name="Ingredient 2 percent" dataDxfId="561" totalsRowDxfId="560" dataCellStyle="Input number general calculated"/>
    <tableColumn id="10" xr3:uid="{B774B91E-CCC0-4153-B16B-AB3DAB2D0ACF}" name="Ingredient 3" dataDxfId="559" totalsRowDxfId="558" dataCellStyle="Input number general calculated"/>
    <tableColumn id="11" xr3:uid="{303B1848-A929-4770-9038-AEC8EAFA1BEE}" name="Ingredient 3 percent" dataDxfId="557" totalsRowDxfId="556" dataCellStyle="Input number general calculated"/>
    <tableColumn id="13" xr3:uid="{EE294A69-D87D-43D6-B0E7-B8A730EAA69D}" name="Ingredient 4" dataDxfId="555" totalsRowDxfId="554" dataCellStyle="Input number general calculated"/>
    <tableColumn id="14" xr3:uid="{68D2F09D-03EB-4BAC-AAEE-6D6C9469DFAC}" name="Ingredient 4 percent" dataDxfId="553" dataCellStyle="Input number general calculated"/>
    <tableColumn id="16" xr3:uid="{2C81E18B-1D38-46DE-BD8C-41327A1DD8DE}" name="Ingredient 5" dataDxfId="552" dataCellStyle="Input number general calculated"/>
    <tableColumn id="17" xr3:uid="{0F5FD8A5-4849-4E5E-8708-CCF3932200CC}" name="Ingredient 5 percent" dataDxfId="551" dataCellStyle="Input number general calculated"/>
    <tableColumn id="19" xr3:uid="{32EA23B5-1302-452F-96A4-D81CDC26F0F9}" name="Ingredient 6" dataDxfId="550" dataCellStyle="Input number general calculated"/>
    <tableColumn id="20" xr3:uid="{9FC9FEC2-B6EA-4B0F-8C6C-C28D9E6636D0}" name="Ingredient 6 percent" dataDxfId="549" dataCellStyle="Input number general calculated"/>
    <tableColumn id="5" xr3:uid="{9CE2478D-6FA6-4343-9A1D-819EDE3880A1}" name="N application rate (kg/ha)" dataDxfId="548" totalsRowDxfId="547" dataCellStyle="Input number general calculated"/>
    <tableColumn id="15" xr3:uid="{8C71C113-06D5-4E6A-9991-FFAE6AA5304A}" name="Urea source" dataDxfId="546" totalsRowDxfId="545" dataCellStyle="Input number general calculated"/>
    <tableColumn id="18" xr3:uid="{99601830-5F86-4BC7-9706-5C8C2A2C95BE}" name="Ammonia source" dataDxfId="544" totalsRowDxfId="543"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1CA87AF-67B8-4ADA-AED0-501CFB4BBEC0}" name="Table_Input_InorganicFertiliser_Custom" displayName="Table_Input_InorganicFertiliser_Custom" ref="D25:R28" totalsRowShown="0" headerRowDxfId="542" dataDxfId="54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B483C5C-1B67-4FC1-B5DB-CF6A21669BB8}" name="Custom blend name" dataCellStyle="Input text"/>
    <tableColumn id="2" xr3:uid="{01DCD45C-1DF6-4781-89B2-9C662ACF8495}" name="Amount applied (kg / ha)" dataDxfId="540"/>
    <tableColumn id="3" xr3:uid="{A829CF72-CBD0-47B2-A2D0-E8545FD4031B}" name="Application area (ha)" dataDxfId="539" dataCellStyle="Input number 2 decimal places">
      <calculatedColumnFormula>$E$9</calculatedColumnFormula>
    </tableColumn>
    <tableColumn id="4" xr3:uid="{159677C5-66E0-42B4-917C-944BE1D951CE}" name="Total applied (kg)" dataDxfId="538" dataCellStyle="Input number general calculated">
      <calculatedColumnFormula>Table_Input_InorganicFertiliser_Custom[[#This Row],[Amount applied (kg / ha)]]*Table_Input_InorganicFertiliser_Custom[[#This Row],[Application area (ha)]]</calculatedColumnFormula>
    </tableColumn>
    <tableColumn id="5" xr3:uid="{971ED252-71EC-4DC5-B948-C67B910717C8}" name="Ingredient 1 (select)" dataDxfId="537" dataCellStyle="Input select"/>
    <tableColumn id="6" xr3:uid="{4D29DEA4-AD6F-476B-A868-5490CA02D51D}" name="Ingredient 1 percent" dataDxfId="536"/>
    <tableColumn id="8" xr3:uid="{79DA1B0B-DC28-43BD-8F53-8D24812BFD68}" name="Ingredient 2" dataDxfId="535" dataCellStyle="Input select"/>
    <tableColumn id="9" xr3:uid="{774C9CD1-882C-4183-BD78-281401E8587B}" name="Ingredient 2 percent" dataDxfId="534"/>
    <tableColumn id="11" xr3:uid="{F10F65A3-7B65-42A3-8339-CC4A3FA8931E}" name="Ingredient 3" dataDxfId="533" dataCellStyle="Input select"/>
    <tableColumn id="12" xr3:uid="{6DA3755D-7517-41E7-8B98-BAF532FDDA3D}" name="Ingredient 3 percent" dataDxfId="532"/>
    <tableColumn id="14" xr3:uid="{3A2D90E8-2F5A-4FE4-9BAF-7388C88CBAC7}" name="Ingredient 4" dataDxfId="531" dataCellStyle="Input select"/>
    <tableColumn id="15" xr3:uid="{B48DED82-96A6-4443-AFDD-B6DFEA979040}" name="Ingredient 4 percent" dataCellStyle="Input percent"/>
    <tableColumn id="7" xr3:uid="{0B72C4CA-499A-465C-819A-A69921D78761}" name="N application rate (kg/ha)" dataDxfId="530" dataCellStyle="Input number general calculated"/>
    <tableColumn id="10" xr3:uid="{FBAA48DA-6F3D-43FA-8E97-93F3E44FDFF0}" name="Urea source (Select)" dataCellStyle="Input select"/>
    <tableColumn id="13" xr3:uid="{D32FE1DB-EA78-49E9-AA35-EF2F3403482F}"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83CA466-AEFA-4BF1-8624-518183835282}" name="Table_Input_Lime" displayName="Table_Input_Lime" ref="D36:K39" totalsRowShown="0" headerRowDxfId="529" dataDxfId="52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F3E9D92-9805-410A-A4FD-54553BB12F9C}" name="Product" dataDxfId="527"/>
    <tableColumn id="2" xr3:uid="{BEFDE8B2-E5A8-41D5-888C-2B03B7F56226}" name="Amount applied (t/hectare)" dataDxfId="526"/>
    <tableColumn id="4" xr3:uid="{900BCAB8-DF10-486E-AEE9-7EE1D8E86E68}" name="Application area (ha)" dataDxfId="525">
      <calculatedColumnFormula>$E$9</calculatedColumnFormula>
    </tableColumn>
    <tableColumn id="3" xr3:uid="{A6638F86-A26F-4EB2-A753-F78A2DFDF256}" name="Total amount applied (t)" dataDxfId="524" dataCellStyle="Input number general calculated">
      <calculatedColumnFormula>IFERROR(Table_Input_Lime[[#This Row],[Amount applied (t/hectare)]]*Table_Input_Lime[[#This Row],[Application area (ha)]], 0)</calculatedColumnFormula>
    </tableColumn>
    <tableColumn id="6" xr3:uid="{769CBEE7-B7AE-4F65-B0D7-3F04F401DF83}" name="Percent Lime CaCO3" dataDxfId="523"/>
    <tableColumn id="8" xr3:uid="{C382DC0D-3BB7-4A9D-A968-29D216AA56E4}" name="Percent Dolomite CaMg(CO3)2" dataDxfId="522"/>
    <tableColumn id="7" xr3:uid="{4A951F33-C8ED-40F8-8386-3A212F6ED04F}" name="Percent Gypsum" dataDxfId="521"/>
    <tableColumn id="10" xr3:uid="{4A96C31C-0AF3-488A-9A9C-6341568B786B}" name="Total" dataDxfId="520">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03293AA-FAFB-4C64-9BAE-68E37A2C4978}" name="Table_Input_OrganicFertiliser" displayName="Table_Input_OrganicFertiliser" ref="D47:J50" totalsRowShown="0" headerRowDxfId="519" dataDxfId="51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77D7CF7-13C8-43AE-A46E-DBFB203F9B33}" name="Organic fertiliser type (select)" dataDxfId="517" dataCellStyle="Input select"/>
    <tableColumn id="5" xr3:uid="{BEBAA548-D348-44B5-8158-BC62A189541A}" name="Percentage of N in fertiliser" dataDxfId="516"/>
    <tableColumn id="2" xr3:uid="{4AC4ECB8-9E88-47DD-88B1-034A6F148105}" name="Amount applied (kg/hectare)" dataDxfId="515"/>
    <tableColumn id="11" xr3:uid="{831B1280-B758-4B5C-AFF6-52BCE391142A}" name="Amount N applied (kg/hectare)" dataDxfId="514" dataCellStyle="Input number general calculated">
      <calculatedColumnFormula>Table_Input_OrganicFertiliser[[#This Row],[Amount applied (kg/hectare)]]*Table_Input_OrganicFertiliser[[#This Row],[Percentage of N in fertiliser]]</calculatedColumnFormula>
    </tableColumn>
    <tableColumn id="4" xr3:uid="{7C2C03E4-0BC3-4182-8C93-E9DC45B271ED}" name="Application area (ha)" dataDxfId="513">
      <calculatedColumnFormula>$E$9</calculatedColumnFormula>
    </tableColumn>
    <tableColumn id="7" xr3:uid="{D6278373-72EE-489F-8CC6-0700829496FE}" name="Total organic fertliser applied" dataDxfId="512" dataCellStyle="Input number general calculated">
      <calculatedColumnFormula>Table_Input_OrganicFertiliser[[#This Row],[Amount applied (kg/hectare)]]*Table_Input_OrganicFertiliser[[#This Row],[Application area (ha)]]</calculatedColumnFormula>
    </tableColumn>
    <tableColumn id="3" xr3:uid="{2E159D52-10E0-4E38-97C6-C70E8B414672}" name="Total nitrogen applied (kg)" dataDxfId="51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510"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509"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508">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507" dataCellStyle="Input select"/>
    <tableColumn id="2" xr3:uid="{5B0AEBA4-AB33-4382-8634-3F4C8D3B2A9B}" name="Number of head treated" dataDxfId="506"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05" dataCellStyle="Input select"/>
    <tableColumn id="2" xr3:uid="{FA43F52A-7609-4014-A6D3-CAC2C970F57C}" name="Purchase class (select)" dataDxfId="504" dataCellStyle="Input select"/>
    <tableColumn id="6" xr3:uid="{41EDEC1E-1793-4BBD-B0C8-66DE9A0925D5}" name="Source region (Select)" dataDxfId="503"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502">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501"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500">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99"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98"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B1EA58F-3E5C-4837-AA4F-A65A4D66B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121667A-3224-4858-B6D6-AD5B303CFF64}" name="Description"/>
    <tableColumn id="5" xr3:uid="{7528B07A-66E2-4DE1-BE88-8525E08D852B}" name="Treatment type (select)" dataCellStyle="Input select"/>
    <tableColumn id="2" xr3:uid="{D7310CB7-8551-4754-B640-15958FE879D1}" name="Waste type (select)" dataCellStyle="Input select"/>
    <tableColumn id="3" xr3:uid="{E5181419-1896-4AC3-BB4A-B015A7FA4275}" name="Treatment location (select)" dataCellStyle="Input select"/>
    <tableColumn id="4" xr3:uid="{A33AC743-B47B-492F-B99A-9F951BA37FD5}" name="Amount" dataCellStyle="Input number general"/>
    <tableColumn id="7" xr3:uid="{A472E4B9-45FC-44BD-9528-2AEA358C36D1}"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68A28D9-2701-42D6-BBA9-257F3ED64A2C}"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246D56E-64ED-4934-A42F-871582774211}" name="Description"/>
    <tableColumn id="5" xr3:uid="{BB311016-C9F5-4ED0-ADC6-DCA35CE94EDC}" name="Source (select)" dataCellStyle="Input select"/>
    <tableColumn id="2" xr3:uid="{DCB57531-7BAB-4126-9288-B03554170906}" name="Generation date" dataDxfId="497"/>
    <tableColumn id="3" xr3:uid="{24EA7B76-7FF2-43D4-99EE-C545A9E2F607}" name="Number of certificates"/>
    <tableColumn id="4" xr3:uid="{F20E7B52-1B65-4CCA-ACCD-B0992CD5B8F9}" name="MWh" dataCellStyle="Input number general calculated">
      <calculatedColumnFormula>Table_Input_RECSurrendered[[#This Row],[Number of certificates]]</calculatedColumnFormula>
    </tableColumn>
    <tableColumn id="7" xr3:uid="{0ECC96BC-F8C1-48E9-8A3E-0F16E5C52D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482C9BE-A633-4679-8126-03287BCF1359}"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64F7C7E7-495B-4011-824F-E805BF04ABF4}" name="Description"/>
    <tableColumn id="5" xr3:uid="{5F657E2F-D325-4AAC-8C8E-B0227910C02F}" name="Source" dataCellStyle="Input text calculated">
      <calculatedColumnFormula>"Issued for generated electricity"</calculatedColumnFormula>
    </tableColumn>
    <tableColumn id="2" xr3:uid="{7478AEFA-AFAE-4AEC-B98E-E2B5733AC06C}" name="Generation date" dataDxfId="496"/>
    <tableColumn id="3" xr3:uid="{126B9ABB-61A9-473D-B422-9A9F5349E1F4}" name="Number of certificates"/>
    <tableColumn id="4" xr3:uid="{DB601BEA-2874-484A-AEC8-D7ADD2702692}" name="MWh" dataCellStyle="Input number general calculated">
      <calculatedColumnFormula>Table_Input_RECConsumedByEntity[[#This Row],[Number of certificates]]</calculatedColumnFormula>
    </tableColumn>
    <tableColumn id="7" xr3:uid="{80D54DEB-1299-4C91-B45D-DABECA486465}"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95"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94"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93"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92"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91"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90"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89"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88"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87"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86"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85"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84"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83"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82"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81"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80"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79"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78"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77"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76"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75"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74"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73"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72"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71"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70"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69"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68"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67"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66"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65"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64"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63"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62"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61"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60"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59"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58"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57"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56"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55"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54"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53"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52"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51"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50"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49"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48"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47"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46"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45"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44"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43"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42"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41"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40"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39"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38"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37"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36"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435"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34"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433"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432"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31"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30"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29"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428"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27"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426"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425"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424"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423"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D843448F-AE5D-4508-960C-151A4E00510E}"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D2ABE3E9-0EFE-468C-ABC6-050690656677}"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186021C7-982A-4826-A223-45AED8B29969}" name="Waste type w" dataDxfId="42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0C20F57-046C-486D-AAA0-6401745962C5}" name="EFwt" dataDxfId="42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D47EB4C-61D5-49D2-BE30-3A2B327B0133}" name="EF source" dataDxfId="42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F5408764-81E1-47EA-9C7D-64EE1D808BA3}"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C2C5B62F-BD7C-477A-B061-41D54ABC5F65}"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5F11189E-85E7-45FC-87D4-130F40BF1AEF}" name="VTMw" dataDxfId="419"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D462809-BAF9-49ED-BA8D-1BA0C2D47707}" name="Table_WasteTypes_Landfill" displayName="Table_WasteTypes_Landfill" ref="I16:I27" totalsRowShown="0">
  <autoFilter ref="I16:I27" xr:uid="{99B942E3-1D24-4166-921C-DCC10960718D}">
    <filterColumn colId="0" hiddenButton="1"/>
  </autoFilter>
  <tableColumns count="1">
    <tableColumn id="1" xr3:uid="{6CC36745-9A5D-42B8-B519-7172076AF2B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9A14A31-1107-47AD-8ACE-2C73783AC4B1}" name="Table_WasteTypes_Incineration" displayName="Table_WasteTypes_Incineration" ref="K16:K26" totalsRowShown="0" headerRowDxfId="418" headerRowCellStyle="Content normal" dataCellStyle="Content normal">
  <autoFilter ref="K16:K26" xr:uid="{9A900595-7035-4239-9059-ACC16835BF72}">
    <filterColumn colId="0" hiddenButton="1"/>
  </autoFilter>
  <tableColumns count="1">
    <tableColumn id="1" xr3:uid="{05FB11DA-EF63-44BB-A397-A879EA2A4E03}"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60221F3-155A-4C57-8CCC-D23602CE6D21}" name="Table_WasteTypes_Composting" displayName="Table_WasteTypes_Composting" ref="M16:M21" totalsRowShown="0" headerRowDxfId="417" headerRowCellStyle="Content normal" dataCellStyle="Content normal">
  <autoFilter ref="M16:M21" xr:uid="{5C8D39D3-1330-49EB-B431-1B2B8C8238DC}">
    <filterColumn colId="0" hiddenButton="1"/>
  </autoFilter>
  <tableColumns count="1">
    <tableColumn id="1" xr3:uid="{029F6277-A882-4CF4-A096-32958C2A6559}" name="Waste type w" totalsRowDxfId="416"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8A90064-C520-4091-93B9-0C63FCBFFA7E}" name="Table_WasteTypes_Anaerobicdigestion" displayName="Table_WasteTypes_Anaerobicdigestion" ref="O16:O21" totalsRowShown="0" headerRowDxfId="415" headerRowCellStyle="Content normal" dataCellStyle="Content normal">
  <autoFilter ref="O16:O21" xr:uid="{331EC43E-DF68-429F-A2A4-58BFE6216EC3}">
    <filterColumn colId="0" hiddenButton="1"/>
  </autoFilter>
  <tableColumns count="1">
    <tableColumn id="1" xr3:uid="{669B2760-4696-411C-8F90-915A702AB848}" name="Waste type w" totalsRowDxfId="414"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667A269C-0CF0-4F3B-BFB3-299897389684}" name="Table_Fuel_EFs_StationaryLiquid" displayName="Table_Fuel_EFs_StationaryLiquid" ref="D53:K77" totalsRowShown="0" headerRowDxfId="413" dataDxfId="412">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D68B7A-29FB-46CF-99E5-2E2340876CA8}" name="Fuel combusted" dataDxfId="411">
      <calculatedColumnFormula array="1">Common_InputFunctions.Utility_DisplayArrayInTable(Fuel_SourceData.Fuel_Scope1Scope3EmissionFactorsStationaryLiquid_Data(), Table_Fuel_EFs_StationaryLiquid[[#Headers],[Fuel combusted]],0)</calculatedColumnFormula>
    </tableColumn>
    <tableColumn id="2" xr3:uid="{25B07D77-5F18-4ED9-B4EC-0E9760AF1F9F}" name="Energy Content Factor (GJ per unit of fuel)" dataDxfId="410">
      <calculatedColumnFormula array="1">Common_InputFunctions.Utility_DisplayArrayInTable(Fuel_SourceData.Fuel_Scope1Scope3EmissionFactorsStationaryLiquid_Data(), Table_Fuel_EFs_StationaryLiquid[[#Headers],[Fuel combusted]],0)</calculatedColumnFormula>
    </tableColumn>
    <tableColumn id="3" xr3:uid="{95E5B591-1AB7-4A6C-85E4-57339F974430}" name="Fuel unit" dataDxfId="409">
      <calculatedColumnFormula array="1">Common_InputFunctions.Utility_DisplayArrayInTable(Fuel_SourceData.Fuel_Scope1Scope3EmissionFactorsStationaryLiquid_Data(), Table_Fuel_EFs_StationaryLiquid[[#Headers],[Fuel combusted]],0)</calculatedColumnFormula>
    </tableColumn>
    <tableColumn id="4" xr3:uid="{E2A943C6-3186-431A-A38B-FE11B0C169C9}" name="Scope 1 Emission Factor (kg CO2 - e / GJ) CO2" dataDxfId="408">
      <calculatedColumnFormula array="1">Common_InputFunctions.Utility_DisplayArrayInTable(Fuel_SourceData.Fuel_Scope1Scope3EmissionFactorsStationaryLiquid_Data(), Table_Fuel_EFs_StationaryLiquid[[#Headers],[Fuel combusted]],0)</calculatedColumnFormula>
    </tableColumn>
    <tableColumn id="5" xr3:uid="{07F7071A-9774-4A2D-96BA-CDFC53AF97EB}" name="Scope 1 Emission Factor (kg CO2 - e / GJ) CH4" dataDxfId="407">
      <calculatedColumnFormula array="1">Common_InputFunctions.Utility_DisplayArrayInTable(Fuel_SourceData.Fuel_Scope1Scope3EmissionFactorsStationaryLiquid_Data(), Table_Fuel_EFs_StationaryLiquid[[#Headers],[Fuel combusted]],0)</calculatedColumnFormula>
    </tableColumn>
    <tableColumn id="6" xr3:uid="{54D6DA7B-79D6-4104-A79B-F8D80F280AE4}" name="Scope 1 Emission Factor (kg CO2 - e / GJ) N2O" dataDxfId="406">
      <calculatedColumnFormula array="1">Common_InputFunctions.Utility_DisplayArrayInTable(Fuel_SourceData.Fuel_Scope1Scope3EmissionFactorsStationaryLiquid_Data(), Table_Fuel_EFs_StationaryLiquid[[#Headers],[Fuel combusted]],0)</calculatedColumnFormula>
    </tableColumn>
    <tableColumn id="7" xr3:uid="{C529A427-9729-4839-A9C3-7E373D7522DC}" name="Scope 1 Emission Factor (kg CO2 - e / GJ) Combined gases" dataDxfId="405">
      <calculatedColumnFormula array="1">Common_InputFunctions.Utility_DisplayArrayInTable(Fuel_SourceData.Fuel_Scope1Scope3EmissionFactorsStationaryLiquid_Data(), Table_Fuel_EFs_StationaryLiquid[[#Headers],[Fuel combusted]],0)</calculatedColumnFormula>
    </tableColumn>
    <tableColumn id="8" xr3:uid="{21EF1757-3D41-4C29-9454-2632028EE362}" name="Scope 3 Emission Factor (kg CO2 - e / GJ)" dataDxfId="404">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C62FFC29-A7E9-4ED2-A360-D5D145EE256C}" name="Table_Fuel_EFs_Transport" displayName="Table_Fuel_EFs_Transport" ref="D9:L34" totalsRowShown="0" headerRowDxfId="403" dataDxfId="402">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EF6F704-CE1F-4F52-8581-0D39795265AF}" name="Transport type" dataDxfId="401">
      <calculatedColumnFormula array="1">Common_InputFunctions.Utility_DisplayArrayInTable(Fuel_SourceData.Fuel_Scope1Scope3EmissionFactorsTransport_Data(), Table_Fuel_EFs_Transport[[#Headers],[Transport type]], 0)</calculatedColumnFormula>
    </tableColumn>
    <tableColumn id="2" xr3:uid="{917F1DD1-EC73-418D-8E2A-F00A6D2FE961}" name="Fuel combusted" dataDxfId="400">
      <calculatedColumnFormula array="1">Common_InputFunctions.Utility_DisplayArrayInTable(Fuel_SourceData.Fuel_Scope1Scope3EmissionFactorsTransport_Data(), Table_Fuel_EFs_Transport[[#Headers],[Transport type]], 0)</calculatedColumnFormula>
    </tableColumn>
    <tableColumn id="3" xr3:uid="{0089B820-F6E2-4335-A343-0165168100C3}" name="Energy Content Factor (GJ per unit of fuel)" dataDxfId="399">
      <calculatedColumnFormula array="1">Common_InputFunctions.Utility_DisplayArrayInTable(Fuel_SourceData.Fuel_Scope1Scope3EmissionFactorsTransport_Data(), Table_Fuel_EFs_Transport[[#Headers],[Transport type]], 0)</calculatedColumnFormula>
    </tableColumn>
    <tableColumn id="4" xr3:uid="{248DDE31-A50B-4ADA-9421-9FE9112A1FF9}" name="Fuel unit" dataDxfId="398">
      <calculatedColumnFormula array="1">Common_InputFunctions.Utility_DisplayArrayInTable(Fuel_SourceData.Fuel_Scope1Scope3EmissionFactorsTransport_Data(), Table_Fuel_EFs_Transport[[#Headers],[Transport type]], 0)</calculatedColumnFormula>
    </tableColumn>
    <tableColumn id="8" xr3:uid="{D2F9E571-C92D-4DEA-ADDA-93BF73DD2799}" name="Scope 1 Emission Factor (kg CO2 - e / GJ) CO2" dataDxfId="397">
      <calculatedColumnFormula array="1">Common_InputFunctions.Utility_DisplayArrayInTable(Fuel_SourceData.Fuel_Scope1Scope3EmissionFactorsTransport_Data(), Table_Fuel_EFs_Transport[[#Headers],[Transport type]], 0)</calculatedColumnFormula>
    </tableColumn>
    <tableColumn id="9" xr3:uid="{17A84EC1-486D-4E39-9BDF-DD86084152D9}" name="Scope 1 Emission Factor (kg CO2 - e / GJ) CH4" dataDxfId="396">
      <calculatedColumnFormula array="1">Common_InputFunctions.Utility_DisplayArrayInTable(Fuel_SourceData.Fuel_Scope1Scope3EmissionFactorsTransport_Data(), Table_Fuel_EFs_Transport[[#Headers],[Transport type]], 0)</calculatedColumnFormula>
    </tableColumn>
    <tableColumn id="10" xr3:uid="{8F8F1884-9A22-486C-9648-303B8DA9D914}" name="Scope 1 Emission Factor (kg CO2 - e / GJ) N2O" dataDxfId="395">
      <calculatedColumnFormula array="1">Common_InputFunctions.Utility_DisplayArrayInTable(Fuel_SourceData.Fuel_Scope1Scope3EmissionFactorsTransport_Data(), Table_Fuel_EFs_Transport[[#Headers],[Transport type]], 0)</calculatedColumnFormula>
    </tableColumn>
    <tableColumn id="11" xr3:uid="{4CA384EF-1AC9-40E5-BF94-83FDB3A42199}" name="Scope 1 Emission Factor (kg CO2 - e / GJ) Combined gases" dataDxfId="394">
      <calculatedColumnFormula array="1">Common_InputFunctions.Utility_DisplayArrayInTable(Fuel_SourceData.Fuel_Scope1Scope3EmissionFactorsTransport_Data(), Table_Fuel_EFs_Transport[[#Headers],[Transport type]], 0)</calculatedColumnFormula>
    </tableColumn>
    <tableColumn id="12" xr3:uid="{8A58E563-D01C-4C68-AE54-8AABD046E2B7}" name="Scope 3 Emission Factor (kg CO2 - e / GJ)" dataDxfId="393">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23BD73D8-268E-4B1B-9FA4-9948B62592CA}" name="Table_FuelTypesPerUse" displayName="Table_FuelTypesPerUse" ref="D130:I139" totalsRowShown="0" headerRowDxfId="392" dataDxfId="391">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92034BE-0E4C-4AED-BE93-9ED1A772D9FD}" name="Generators" dataDxfId="390"/>
    <tableColumn id="2" xr3:uid="{DDD6DB93-53D3-488A-93CA-E565A9B12250}" name="Power standalone machinery or heating" dataDxfId="389"/>
    <tableColumn id="3" xr3:uid="{566D686F-50FE-4B02-9255-39119200B86C}" name="Aviation" dataDxfId="388"/>
    <tableColumn id="5" xr3:uid="{DDAC0FBB-9DB6-4B25-A5D5-8570EEC9B37F}" name="Cars and light commercial vehicles" dataDxfId="387"/>
    <tableColumn id="7" xr3:uid="{5FDD5B0F-158E-4661-8A80-E229A62542E9}" name="Off-road Agriculture and forestry equipment" dataDxfId="386" dataCellStyle="Content bold"/>
    <tableColumn id="8" xr3:uid="{DB9071FC-A894-4DD5-A2EA-5986F03868E9}" name="Vessels" dataDxfId="385"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ABA45D0F-A7EA-460A-A4CE-204F62728FA5}" name="Table_Fuel_EFs_StationaryGaseous" displayName="Table_Fuel_EFs_StationaryGaseous" ref="D86:J104" totalsRowShown="0" headerRowDxfId="384" dataDxfId="383">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987794F-36ED-4799-94CB-85144960AE28}" name="Fuel combusted" dataDxfId="382">
      <calculatedColumnFormula array="1">Common_InputFunctions.Utility_DisplayArrayInTable(Fuel_SourceData.Fuel_Scope1EmissionFactorsStationaryGaseous_Data(), Table_Fuel_EFs_StationaryGaseous[[#Headers],[Fuel combusted]],0)</calculatedColumnFormula>
    </tableColumn>
    <tableColumn id="2" xr3:uid="{0E5F3363-BADB-4865-951C-1548155B0E22}" name="Energy Content Factor (GJ per unit of fuel)" dataDxfId="381">
      <calculatedColumnFormula array="1">Common_InputFunctions.Utility_DisplayArrayInTable(Fuel_SourceData.Fuel_Scope1EmissionFactorsStationaryGaseous_Data(), Table_Fuel_EFs_StationaryGaseous[[#Headers],[Fuel combusted]],0)</calculatedColumnFormula>
    </tableColumn>
    <tableColumn id="3" xr3:uid="{9F026C4F-D6C0-439D-935D-A15CA3638B3E}" name="Fuel unit" dataDxfId="380">
      <calculatedColumnFormula array="1">Common_InputFunctions.Utility_DisplayArrayInTable(Fuel_SourceData.Fuel_Scope1EmissionFactorsStationaryGaseous_Data(), Table_Fuel_EFs_StationaryGaseous[[#Headers],[Fuel combusted]],0)</calculatedColumnFormula>
    </tableColumn>
    <tableColumn id="4" xr3:uid="{48E9FF4B-524F-4FD3-9E23-E304A16ABDC5}" name="Scope 1 Emission Factor (kg CO2 - e / GJ) CO2" dataDxfId="379">
      <calculatedColumnFormula array="1">Common_InputFunctions.Utility_DisplayArrayInTable(Fuel_SourceData.Fuel_Scope1EmissionFactorsStationaryGaseous_Data(), Table_Fuel_EFs_StationaryGaseous[[#Headers],[Fuel combusted]],0)</calculatedColumnFormula>
    </tableColumn>
    <tableColumn id="5" xr3:uid="{B0F2C07E-1E38-4A5F-A92D-28313A304AB8}" name="Scope 1 Emission Factor (kg CO2 - e / GJ) CH4" dataDxfId="378">
      <calculatedColumnFormula array="1">Common_InputFunctions.Utility_DisplayArrayInTable(Fuel_SourceData.Fuel_Scope1EmissionFactorsStationaryGaseous_Data(), Table_Fuel_EFs_StationaryGaseous[[#Headers],[Fuel combusted]],0)</calculatedColumnFormula>
    </tableColumn>
    <tableColumn id="6" xr3:uid="{8E35E632-8DA9-4AD7-96F5-610DFE9D0271}" name="Scope 1 Emission Factor (kg CO2 - e / GJ) N2O" dataDxfId="377">
      <calculatedColumnFormula array="1">Common_InputFunctions.Utility_DisplayArrayInTable(Fuel_SourceData.Fuel_Scope1EmissionFactorsStationaryGaseous_Data(), Table_Fuel_EFs_StationaryGaseous[[#Headers],[Fuel combusted]],0)</calculatedColumnFormula>
    </tableColumn>
    <tableColumn id="7" xr3:uid="{E3EFAD55-FF38-457B-9093-89A9B76046D1}" name="Scope 1 Emission Factor (kg CO2 - e / GJ) Combined gases" dataDxfId="376">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C392280-DDE3-48FE-A671-FB69C1DF5C11}" name="Table_Fuel_EFs_StationaryGaseous34" displayName="Table_Fuel_EFs_StationaryGaseous34" ref="D112:F120" headerRowDxfId="375" totalsRowDxfId="374">
  <autoFilter ref="D112:F120" xr:uid="{7D6CE29D-2354-4FAC-9965-9A66FFA42416}">
    <filterColumn colId="0" hiddenButton="1"/>
    <filterColumn colId="1" hiddenButton="1"/>
    <filterColumn colId="2" hiddenButton="1"/>
  </autoFilter>
  <tableColumns count="3">
    <tableColumn id="1" xr3:uid="{4DD5D358-0EF5-4D7B-ACF8-333BB1FEC839}" name="State or territory" totalsRowDxfId="373">
      <calculatedColumnFormula array="1">Common_InputFunctions.Utility_DisplayArrayInTable(Fuel_SourceData.Fuel_Scope3EmissionFactorsStationaryGaseous_Data(), Table_Fuel_EFs_StationaryGaseous34[[#Headers],[State or territory]],0)</calculatedColumnFormula>
    </tableColumn>
    <tableColumn id="2" xr3:uid="{CDC74803-3042-4E43-9AD8-5FD94AECE5D4}" name="Metro" totalsRowDxfId="372">
      <calculatedColumnFormula array="1">Common_InputFunctions.Utility_DisplayArrayInTable(Fuel_SourceData.Fuel_Scope3EmissionFactorsStationaryGaseous_Data(), Table_Fuel_EFs_StationaryGaseous34[[#Headers],[State or territory]],0)</calculatedColumnFormula>
    </tableColumn>
    <tableColumn id="3" xr3:uid="{7E18DF54-30E1-4F4F-957C-977043EA7D08}" name="Non-metro" totalsRowDxfId="371">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F111180-D33E-4EC8-A6BF-EEFF8ADC2CC6}"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67577402-3C19-46D3-B37E-30537AB92237}" name="Fuel type"/>
    <tableColumn id="2" xr3:uid="{FF07EE0D-7FCF-4A08-80A9-0314018B121A}" name="Unit"/>
    <tableColumn id="3" xr3:uid="{424C4CF5-5426-4FB0-ADC6-7D66E8288C80}" name="Input Unit" dataDxfId="370"/>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E145546-8777-49CC-99BE-BA962DD67F3D}"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2351448-B272-493D-AE98-547FD3628B9D}"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7F9E566-DD81-4CCD-9D63-2240DA121A99}" name="Fuel type q" dataDxfId="36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4A9F5F67-BADF-4849-9BC5-F1E75051E3CB}" name="ECTrans,q (GJ/kL)" dataDxfId="36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CD9C193-EC12-42D8-91DD-199304C6EE2A}" name="Scope 1 CO2 EFTran,1,tqg (kg CO2-e/GJ)" dataDxfId="36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DD923C-F8A2-4965-8981-6717A970D4BE}" name="Scope 1 CH4 EFTran,1,tgg (kg CO2-e/GJ)" dataDxfId="36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6902AA4-912D-40A6-87DD-EE5437124807}" name="Scope 1 N2O EFTran,1,tgg (kg CO2-e/GJ)" dataDxfId="36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1E047E8E-D87C-4EAB-8DFD-1D4C83ABF1BB}" name="Scope 3 EFTrans,3,q (kg CO2-e/GJ)" dataDxfId="36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9309F055-0076-49A6-8EB0-4D90D7A8746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4E2708EB-B80A-4DAA-8592-FA9FA8E03B8C}"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A8DF901A-09A9-4FAB-987A-6A3167DD7806}" name="Layers" dataDxfId="36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1C273723-112F-4176-AE11-3561B367C9DA}" name="Meat chicken growers" dataDxfId="36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76CB34C-690A-4A0F-8505-E67906087F5C}" name="Meat chicken breeder" dataDxfId="36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DB281071-D869-43F5-BC0C-FB8D252164A8}" name="Meat other" dataDxfId="360"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D0D130D5-DEB2-4067-B2DA-806136D52CC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08CB6E7-795A-409B-8322-17EF82FDA672}"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BE2AA925-2D2B-4559-A38D-E00A887A096F}" name="B0" dataDxfId="359"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011963D1-EC31-4FB2-8AD8-2D2113C4E438}" name="Table_SourceData_PoultryMMS" displayName="Table_SourceData_PoultryMMS" ref="D28:E38" totalsRowShown="0">
  <autoFilter ref="D28:E38" xr:uid="{AF7090B5-6718-41B7-9B26-A00EDB46BAC3}">
    <filterColumn colId="0" hiddenButton="1"/>
    <filterColumn colId="1" hiddenButton="1"/>
  </autoFilter>
  <tableColumns count="2">
    <tableColumn id="1" xr3:uid="{28389C1C-A4A8-4ADC-BD71-9867FE6E650B}" name="MMS"/>
    <tableColumn id="2" xr3:uid="{9C6F773F-81B0-4960-96E3-C32FF304F9DE}" name="Symbol and MMS" dataDxfId="358"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AE230476-6A47-4094-BFEA-CA2052134E2B}" name="Table_SourceData_Poultry_ProductionSystems" displayName="Table_SourceData_Poultry_ProductionSystems" ref="D44:D47" totalsRowShown="0">
  <autoFilter ref="D44:D47" xr:uid="{5810106E-36C6-489E-8962-5DE08C5F2EAC}">
    <filterColumn colId="0" hiddenButton="1"/>
  </autoFilter>
  <tableColumns count="1">
    <tableColumn id="1" xr3:uid="{73D9EF14-B7CE-4945-8F14-2C3A31514FBD}"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83C54051-57A3-489B-85F5-4342C70B7A3A}"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2A27483-F9E7-440B-AC05-19AD2F829DF0}" name="MMS m">
      <calculatedColumnFormula array="1">Common_InputFunctions.Utility_DisplayArrayInTable(SourceData_Poultry.SourceData_Poultry_MCF_Data(), Table_SourceData_Poultry_MMSMCF[[#Headers],[MMS m]], 0)</calculatedColumnFormula>
    </tableColumn>
    <tableColumn id="2" xr3:uid="{383966A6-D1E3-4610-8359-59A321A49A0F}" name="All states" dataDxfId="357" dataCellStyle="Content normal">
      <calculatedColumnFormula array="1">Common_InputFunctions.Utility_DisplayArrayInTable(SourceData_Poultry.SourceData_Poultry_MCF_Data(), Table_SourceData_Poultry_MMSMCF[[#Headers],[MMS m]], 0)</calculatedColumnFormula>
    </tableColumn>
    <tableColumn id="3" xr3:uid="{3D1A8488-A439-4185-BC0A-66DB99853BD1}" name="NSW" dataDxfId="356" dataCellStyle="Content normal">
      <calculatedColumnFormula array="1">Common_InputFunctions.Utility_DisplayArrayInTable(SourceData_Poultry.SourceData_Poultry_MCF_Data(), Table_SourceData_Poultry_MMSMCF[[#Headers],[MMS m]], 0)</calculatedColumnFormula>
    </tableColumn>
    <tableColumn id="4" xr3:uid="{8D3E5782-063B-4CBE-A1B9-5FDD74F59FF8}" name="ACT" dataDxfId="355" dataCellStyle="Content normal">
      <calculatedColumnFormula array="1">Common_InputFunctions.Utility_DisplayArrayInTable(SourceData_Poultry.SourceData_Poultry_MCF_Data(), Table_SourceData_Poultry_MMSMCF[[#Headers],[MMS m]], 0)</calculatedColumnFormula>
    </tableColumn>
    <tableColumn id="5" xr3:uid="{6978801A-A4FE-4F4D-9CA2-8E88741BC5C7}" name="QLD" dataDxfId="354" dataCellStyle="Content normal">
      <calculatedColumnFormula array="1">Common_InputFunctions.Utility_DisplayArrayInTable(SourceData_Poultry.SourceData_Poultry_MCF_Data(), Table_SourceData_Poultry_MMSMCF[[#Headers],[MMS m]], 0)</calculatedColumnFormula>
    </tableColumn>
    <tableColumn id="6" xr3:uid="{36FD7379-9924-4655-AE65-05E17C986AB1}" name="NT" dataDxfId="353" dataCellStyle="Content normal">
      <calculatedColumnFormula array="1">Common_InputFunctions.Utility_DisplayArrayInTable(SourceData_Poultry.SourceData_Poultry_MCF_Data(), Table_SourceData_Poultry_MMSMCF[[#Headers],[MMS m]], 0)</calculatedColumnFormula>
    </tableColumn>
    <tableColumn id="7" xr3:uid="{AE8C4A06-F8E4-462F-9482-AC0F5B7199E5}" name="VIC" dataDxfId="352" dataCellStyle="Content normal">
      <calculatedColumnFormula array="1">Common_InputFunctions.Utility_DisplayArrayInTable(SourceData_Poultry.SourceData_Poultry_MCF_Data(), Table_SourceData_Poultry_MMSMCF[[#Headers],[MMS m]], 0)</calculatedColumnFormula>
    </tableColumn>
    <tableColumn id="8" xr3:uid="{9D3523B4-F5FB-41A6-A613-E4572F9691EF}" name="SA" dataDxfId="351" dataCellStyle="Content normal">
      <calculatedColumnFormula array="1">Common_InputFunctions.Utility_DisplayArrayInTable(SourceData_Poultry.SourceData_Poultry_MCF_Data(), Table_SourceData_Poultry_MMSMCF[[#Headers],[MMS m]], 0)</calculatedColumnFormula>
    </tableColumn>
    <tableColumn id="9" xr3:uid="{A249A2A1-5D79-4496-9548-64C0F06EBA09}" name="WA" dataDxfId="350" dataCellStyle="Content normal">
      <calculatedColumnFormula array="1">Common_InputFunctions.Utility_DisplayArrayInTable(SourceData_Poultry.SourceData_Poultry_MCF_Data(), Table_SourceData_Poultry_MMSMCF[[#Headers],[MMS m]], 0)</calculatedColumnFormula>
    </tableColumn>
    <tableColumn id="10" xr3:uid="{D0447AAA-4015-4AD9-B4A0-252A9F9BC83E}" name="TAS" dataDxfId="349" dataCellStyle="Content normal">
      <calculatedColumnFormula array="1">Common_InputFunctions.Utility_DisplayArrayInTable(SourceData_Poultry.SourceData_Poultry_MCF_Data(), Table_SourceData_Poultry_MMSMCF[[#Headers],[MMS m]], 0)</calculatedColumnFormula>
    </tableColumn>
    <tableColumn id="11" xr3:uid="{B0C18C1C-9E47-48FD-8F57-00D566D0C61A}" name="NIR definition" dataDxfId="348"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20298127-1449-44F7-B867-F9E1ADA6F5DD}"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75B004CE-358A-415E-8366-B23ABCD143CA}" name="MMS"/>
    <tableColumn id="2" xr3:uid="{BC3E08B6-0530-4C52-BA1B-55A18AEB9A0E}" name="Symbol and MMS" dataDxfId="347"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235F7676-B6AA-448E-AF91-3BD87E0285CF}"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967E1A99-891F-4EDC-A5E4-4C63FBD2D30A}" name="MMS"/>
    <tableColumn id="2" xr3:uid="{6DB23D9C-6492-4032-9651-474EB8E03DB7}" name="Symbol and MMS" dataDxfId="346"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CED9725D-1393-4DE6-97FF-6A2A149EE277}"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5AD83AE0-92F8-448E-996F-1FCB9B4BE9E2}" name="MMS">
      <calculatedColumnFormula array="1">Common_InputFunctions.Utility_DisplayArrayInTable(SourceData_Poultry.SourceData_Poultry_VSL_Data(), Table_SourceData_Poultry_MMSVSL[[#Headers],[MMS]], 0)</calculatedColumnFormula>
    </tableColumn>
    <tableColumn id="2" xr3:uid="{2D4F4D50-8640-430C-9192-E3B6CC9030B6}" name="VSL" dataDxfId="345" dataCellStyle="Content normal">
      <calculatedColumnFormula array="1">Common_InputFunctions.Utility_DisplayArrayInTable(SourceData_Poultry.SourceData_Poultry_VSL_Data(), Table_SourceData_Poultry_MMSVSL[[#Headers],[MMS]], 0)</calculatedColumnFormula>
    </tableColumn>
    <tableColumn id="3" xr3:uid="{5A76680F-B4BA-4338-A9EC-D31AFBE3BE80}" name="NIR definition" dataDxfId="344"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E489C99-9F70-4F1C-8D4C-0679EFFB9C81}"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AB6928-A41B-4C11-888F-E8FF3AB4EFB5}" name="MMSm">
      <calculatedColumnFormula array="1">Common_InputFunctions.Utility_DisplayArrayInTable(SourceData_Poultry.SourceData_Poultry_FracGASMmT_Data(), Table_SourceData_Poultry_FracGASM[[#Headers],[MMSm]], 0)</calculatedColumnFormula>
    </tableColumn>
    <tableColumn id="2" xr3:uid="{7FA057BA-DFF8-4087-BD83-3850F00E388B}" name="FracGASMmT" dataDxfId="343" dataCellStyle="Content normal">
      <calculatedColumnFormula array="1">Common_InputFunctions.Utility_DisplayArrayInTable(SourceData_Poultry.SourceData_Poultry_FracGASMmT_Data(), Table_SourceData_Poultry_FracGASM[[#Headers],[MMSm]], 0)</calculatedColumnFormula>
    </tableColumn>
    <tableColumn id="3" xr3:uid="{1FF9D50B-121A-40B2-A97B-BD157BBE0BF1}" name="NIR reference" dataDxfId="342"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A7F7430B-B80C-4F80-9BBC-451982D70063}"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A44E76DC-94A5-4105-BEDC-D557BBD80D92}" name="MMSm">
      <calculatedColumnFormula array="1">Common_InputFunctions.Utility_DisplayArrayInTable(SourceData_Poultry.SourceData_Poultry_EFmT_Data(),Table_SourceData_Poultry_EFmT[[#Headers],[MMSm]], 0)</calculatedColumnFormula>
    </tableColumn>
    <tableColumn id="2" xr3:uid="{6608883A-A7CD-4555-B3B4-F0D8F96E5F4C}" name="EFmT" dataDxfId="341" dataCellStyle="Content normal">
      <calculatedColumnFormula array="1">Common_InputFunctions.Utility_DisplayArrayInTable(SourceData_Poultry.SourceData_Poultry_EFmT_Data(),Table_SourceData_Poultry_EFmT[[#Headers],[MMSm]], 0)</calculatedColumnFormula>
    </tableColumn>
    <tableColumn id="3" xr3:uid="{2FE2BB0C-A90C-42EE-818B-273C7BA308E7}" name="NIR reference" dataDxfId="340"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590FC161-9A63-40EF-A6B0-41BD6D0BFA60}"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35B17E07-A365-4D83-B423-C2F841FDF1C4}" name="Livestock class j">
      <calculatedColumnFormula array="1">Common_InputFunctions.Utility_DisplayArrayInTable(SourceData_Poultry.SourceData_Poultry_Liveweights_Data(),Table_SourceData_Poultry_Liveweights[[#Headers],[Livestock class j]],0)</calculatedColumnFormula>
    </tableColumn>
    <tableColumn id="2" xr3:uid="{5BB27347-E338-489F-A91E-DD2E3C39CEFB}" name="Average liveweight (kg)" dataDxfId="339"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6192B768-30CE-41E9-B026-AA63B07631DB}" name="Table_SourceData_Poultry_CropProdSystems" displayName="Table_SourceData_Poultry_CropProdSystems" ref="G44:G46" totalsRowShown="0">
  <autoFilter ref="G44:G46" xr:uid="{8EDB544D-AFFC-41EF-8AD9-9AD07200476D}"/>
  <tableColumns count="1">
    <tableColumn id="1" xr3:uid="{FDDB7B8B-9B40-4580-95F4-8300337BA399}"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6A756A24-9359-4512-ACDB-29BE7C03C863}" name="Table_SourceData_Poultry_IrrigationMethods" displayName="Table_SourceData_Poultry_IrrigationMethods" ref="J44:J49" totalsRowShown="0">
  <autoFilter ref="J44:J49" xr:uid="{C0841426-764B-45EC-B52F-AFA2B3E2A193}"/>
  <tableColumns count="1">
    <tableColumn id="1" xr3:uid="{C81C13A6-8A5F-4DEF-A4D7-CE921EDC74E5}"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7D21F491-D884-4D7C-A347-ED61410993AB}"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3B96FAB-6B2E-4C71-8006-AF569A34AA94}" name="Class">
      <calculatedColumnFormula array="1">Common_InputFunctions.Utility_DisplayArrayInTable(SourceData_Swine.SourceData_Swine_VolatileSolids_Data(), Table_SourceData_Swine_VolatileSolids[[#Headers],[Class]], 0)</calculatedColumnFormula>
    </tableColumn>
    <tableColumn id="2" xr3:uid="{70E2578B-ADB2-4EBC-BBA1-69E150116F0B}" name="VSj" dataDxfId="338"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A977724-3751-4D1C-82C7-43A04E4F416B}"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DFD3121-5AAE-46B9-93C5-A5D5CF2E7010}" name="MMS">
      <calculatedColumnFormula array="1">Common_InputFunctions.Utility_DisplayArrayInTable(SourceData_Swine.SourceData_Swine_MMS_MCFs_Data(),Table_SourceData_Swine_MMSMCF[[#Headers],[MMS]],0)</calculatedColumnFormula>
    </tableColumn>
    <tableColumn id="2" xr3:uid="{1B8FDFDE-927F-4EA7-A65B-F249FC76452B}" name="NSW" dataDxfId="337" dataCellStyle="Content normal">
      <calculatedColumnFormula array="1">Common_InputFunctions.Utility_DisplayArrayInTable(SourceData_Swine.SourceData_Swine_MMS_MCFs_Data(),Table_SourceData_Swine_MMSMCF[[#Headers],[MMS]],0)</calculatedColumnFormula>
    </tableColumn>
    <tableColumn id="3" xr3:uid="{6EFACDB6-0B62-4342-BF9B-3ACF6A8AD20B}" name="ACT" dataDxfId="336" dataCellStyle="Content normal">
      <calculatedColumnFormula array="1">Common_InputFunctions.Utility_DisplayArrayInTable(SourceData_Swine.SourceData_Swine_MMS_MCFs_Data(),Table_SourceData_Swine_MMSMCF[[#Headers],[MMS]],0)</calculatedColumnFormula>
    </tableColumn>
    <tableColumn id="4" xr3:uid="{4B8C1246-3350-43F9-A9F9-E642554067F4}" name="QLD" dataDxfId="335" dataCellStyle="Content normal">
      <calculatedColumnFormula array="1">Common_InputFunctions.Utility_DisplayArrayInTable(SourceData_Swine.SourceData_Swine_MMS_MCFs_Data(),Table_SourceData_Swine_MMSMCF[[#Headers],[MMS]],0)</calculatedColumnFormula>
    </tableColumn>
    <tableColumn id="5" xr3:uid="{AB35661E-F0DA-4109-AB98-B325352C624F}" name="NT" dataDxfId="334" dataCellStyle="Content normal">
      <calculatedColumnFormula array="1">Common_InputFunctions.Utility_DisplayArrayInTable(SourceData_Swine.SourceData_Swine_MMS_MCFs_Data(),Table_SourceData_Swine_MMSMCF[[#Headers],[MMS]],0)</calculatedColumnFormula>
    </tableColumn>
    <tableColumn id="6" xr3:uid="{460105C9-A7FF-4E3A-A69F-04F9C7E20C28}" name="SA" dataDxfId="333" dataCellStyle="Content normal">
      <calculatedColumnFormula array="1">Common_InputFunctions.Utility_DisplayArrayInTable(SourceData_Swine.SourceData_Swine_MMS_MCFs_Data(),Table_SourceData_Swine_MMSMCF[[#Headers],[MMS]],0)</calculatedColumnFormula>
    </tableColumn>
    <tableColumn id="7" xr3:uid="{96E15D49-1D37-44D7-ABD6-E13E71B47CC6}" name="TAS" dataDxfId="332" dataCellStyle="Content normal">
      <calculatedColumnFormula array="1">Common_InputFunctions.Utility_DisplayArrayInTable(SourceData_Swine.SourceData_Swine_MMS_MCFs_Data(),Table_SourceData_Swine_MMSMCF[[#Headers],[MMS]],0)</calculatedColumnFormula>
    </tableColumn>
    <tableColumn id="8" xr3:uid="{70E3A69E-4AC2-4C3C-8EB3-075DB8C54ED3}" name="VIC" dataDxfId="331" dataCellStyle="Content normal">
      <calculatedColumnFormula array="1">Common_InputFunctions.Utility_DisplayArrayInTable(SourceData_Swine.SourceData_Swine_MMS_MCFs_Data(),Table_SourceData_Swine_MMSMCF[[#Headers],[MMS]],0)</calculatedColumnFormula>
    </tableColumn>
    <tableColumn id="9" xr3:uid="{1179DFE9-7AB2-4131-B3FF-9A830C0EB8A8}" name="WA" dataDxfId="330" dataCellStyle="Content normal">
      <calculatedColumnFormula array="1">Common_InputFunctions.Utility_DisplayArrayInTable(SourceData_Swine.SourceData_Swine_MMS_MCFs_Data(),Table_SourceData_Swine_MMSMCF[[#Headers],[MMS]],0)</calculatedColumnFormula>
    </tableColumn>
    <tableColumn id="10" xr3:uid="{DCF593A8-2AE1-400F-8337-81D714ABB987}" name="NIR definition" dataDxfId="329"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9DA8D77-6A24-4D3C-9E98-5241CC48AE87}" name="Table_SourceData_SwineMMS" displayName="Table_SourceData_SwineMMS" ref="D40:E47" totalsRowShown="0">
  <autoFilter ref="D40:E47" xr:uid="{42F7033B-606B-4A24-9223-A30737FDC1FE}">
    <filterColumn colId="0" hiddenButton="1"/>
    <filterColumn colId="1" hiddenButton="1"/>
  </autoFilter>
  <tableColumns count="2">
    <tableColumn id="1" xr3:uid="{ED9B1212-C4B6-4D6B-824F-A4AFC95B35A5}" name="MMS"/>
    <tableColumn id="2" xr3:uid="{19DCD272-D1D2-4ACA-A74D-413A23E7C501}"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5B0AB420-C37B-4965-9DB9-E5E7B7E0FE35}" name="Table_SourceData_SwineVSL" displayName="Table_SourceData_SwineVSL" ref="D53:E60" totalsRowShown="0">
  <autoFilter ref="D53:E60" xr:uid="{079C074C-6E98-47B5-B4E5-F8A1F12104F2}">
    <filterColumn colId="0" hiddenButton="1"/>
    <filterColumn colId="1" hiddenButton="1"/>
  </autoFilter>
  <tableColumns count="2">
    <tableColumn id="1" xr3:uid="{B585192D-B361-4C0B-9D77-589D461CF3E6}" name="MMS"/>
    <tableColumn id="2" xr3:uid="{AD043876-28DC-41A4-BA8E-3BAB964252F0}"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3A33C40B-D7CB-4C08-8A84-0433F3C78B59}"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E755C6B-7C66-4B6E-828A-9A64A12E785F}" name="MMS"/>
    <tableColumn id="2" xr3:uid="{D586F03F-867D-409A-952D-98E60ABBE21F}"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F70CD4BA-63A4-4388-9A21-86DA08575CC8}"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0AA37652-F2F1-4B8B-933E-8A421331E68C}" name="MMS"/>
    <tableColumn id="2" xr3:uid="{29BA349A-20FC-40B3-B15B-134AA96246AE}"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F430B373-AE15-4614-BE9B-939C0FB2AF43}" name="Table_SourceData_Swine_ProductionSystems" displayName="Table_SourceData_Swine_ProductionSystems" ref="G53:G56" totalsRowShown="0">
  <autoFilter ref="G53:G56" xr:uid="{A6BE3FFD-EB90-45EB-8756-16A72E0C6869}">
    <filterColumn colId="0" hiddenButton="1"/>
  </autoFilter>
  <tableColumns count="1">
    <tableColumn id="1" xr3:uid="{FF2FD11A-B8A8-4F6F-954F-DB65776CBF1D}"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102C9379-E30F-48E9-9550-20570FCF3ACC}" name="Table_SourceData_Swine_NitrogenInWaste" displayName="Table_SourceData_Swine_NitrogenInWaste" ref="D89:G93" totalsRowShown="0" dataDxfId="328" dataCellStyle="Content normal">
  <autoFilter ref="D89:G93" xr:uid="{61D86DCB-D80D-4593-96F3-A897FC93073F}">
    <filterColumn colId="0" hiddenButton="1"/>
    <filterColumn colId="1" hiddenButton="1"/>
    <filterColumn colId="2" hiddenButton="1"/>
    <filterColumn colId="3" hiddenButton="1"/>
  </autoFilter>
  <tableColumns count="4">
    <tableColumn id="1" xr3:uid="{A44CDBCE-C490-42AF-9889-F9545E8A8208}" name="Class" dataDxfId="327" dataCellStyle="Content normal">
      <calculatedColumnFormula array="1">Common_InputFunctions.Utility_DisplayArrayInTable(SourceData_Swine.SourceData_Swine_NitrogenInWaste_Data(), Table_SourceData_Swine_NitrogenInWaste[[#Headers],[Class]], 0)</calculatedColumnFormula>
    </tableColumn>
    <tableColumn id="2" xr3:uid="{E632DCCB-B4CE-4EC6-B114-8BEC9BD4088F}" name="NWj" dataDxfId="326" dataCellStyle="Content normal">
      <calculatedColumnFormula array="1">Common_InputFunctions.Utility_DisplayArrayInTable(SourceData_Swine.SourceData_Swine_NitrogenInWaste_Data(), Table_SourceData_Swine_NitrogenInWaste[[#Headers],[Class]], 0)</calculatedColumnFormula>
    </tableColumn>
    <tableColumn id="3" xr3:uid="{FE515F0A-EDD5-455A-8CD9-6EF59EC494AF}" name="NWj Daily" dataDxfId="325" dataCellStyle="Content normal">
      <calculatedColumnFormula array="1">Common_InputFunctions.Utility_DisplayArrayInTable(SourceData_Swine.SourceData_Swine_NitrogenInWaste_Data(), Table_SourceData_Swine_NitrogenInWaste[[#Headers],[Class]], 0)</calculatedColumnFormula>
    </tableColumn>
    <tableColumn id="4" xr3:uid="{67FF515C-C04E-45A6-A8A3-7383D6FF2F0F}" name="Class name" dataDxfId="324"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3A802E9E-749A-434E-B4FB-8346AF1B3EBB}" name="Table_SourceData_Swine_FeedIntake" displayName="Table_SourceData_Swine_FeedIntake" ref="D78:E82" totalsRowShown="0" dataDxfId="323" dataCellStyle="Content normal">
  <autoFilter ref="D78:E82" xr:uid="{E34928EB-73E5-43B2-830B-089F30DA4EF0}">
    <filterColumn colId="0" hiddenButton="1"/>
    <filterColumn colId="1" hiddenButton="1"/>
  </autoFilter>
  <tableColumns count="2">
    <tableColumn id="1" xr3:uid="{DFFA055A-040A-447B-8577-7D93F907F4A3}" name="Class" dataDxfId="322" dataCellStyle="Content normal">
      <calculatedColumnFormula array="1">Common_InputFunctions.Utility_DisplayArrayInTable(SourceData_Swine.SourceData_Swine_FeedIntake_Data(), Table_SourceData_Swine_FeedIntake[[#Headers],[Class]], 0)</calculatedColumnFormula>
    </tableColumn>
    <tableColumn id="2" xr3:uid="{6A019C91-CB0A-4E1A-8766-84D0E7ADD795}" name="Ij" dataDxfId="321"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7CC43B3-10C6-4518-B928-7E8035DD6169}"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E7DFF3EB-FBEE-4EB3-96FE-8923FC884C3D}" name="MMSm">
      <calculatedColumnFormula array="1">Common_InputFunctions.Utility_DisplayArrayInTable(SourceData_Swine.SourceData_Swine_FractionNVolatilised_Data(), Table_SourceData_Swine_FracGASM[[#Headers],[MMSm]],0)</calculatedColumnFormula>
    </tableColumn>
    <tableColumn id="2" xr3:uid="{D9D64C6A-6608-44FC-8AD8-14AEE13518A7}" name="FracGASMmT">
      <calculatedColumnFormula array="1">Common_InputFunctions.Utility_DisplayArrayInTable(SourceData_Swine.SourceData_Swine_FractionNVolatilised_Data(), Table_SourceData_Swine_FracGASM[[#Headers],[MMSm]],0)</calculatedColumnFormula>
    </tableColumn>
    <tableColumn id="3" xr3:uid="{33F26F72-BD31-4229-ADF9-B3EA72A5960D}"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29422638-541B-4BD6-9F85-FA58D317F70D}" name="Table_SourceData_Swine_FracGASM28" displayName="Table_SourceData_Swine_FracGASM28" ref="D111:F117" totalsRowShown="0" dataDxfId="320" dataCellStyle="Content normal">
  <autoFilter ref="D111:F117" xr:uid="{1333872B-E46C-4DC7-8E2D-1F3D704794C8}">
    <filterColumn colId="0" hiddenButton="1"/>
    <filterColumn colId="1" hiddenButton="1"/>
    <filterColumn colId="2" hiddenButton="1"/>
  </autoFilter>
  <tableColumns count="3">
    <tableColumn id="1" xr3:uid="{8D455E6E-89D9-4222-9B26-18C2B717783F}" name="MMSm" dataDxfId="319" dataCellStyle="Content normal">
      <calculatedColumnFormula array="1">Common_InputFunctions.Utility_DisplayArrayInTable(SourceData_Swine.SourceData_Swine_NitrousOxideEFs_Data(), Table_SourceData_Swine_FracGASM28[[#Headers],[MMSm]],0)</calculatedColumnFormula>
    </tableColumn>
    <tableColumn id="2" xr3:uid="{7F162569-F74D-4AF5-B9E6-D50CB7F1F688}" name="EFmT" dataDxfId="318" dataCellStyle="Content normal">
      <calculatedColumnFormula array="1">Common_InputFunctions.Utility_DisplayArrayInTable(SourceData_Swine.SourceData_Swine_NitrousOxideEFs_Data(), Table_SourceData_Swine_FracGASM28[[#Headers],[MMSm]],0)</calculatedColumnFormula>
    </tableColumn>
    <tableColumn id="3" xr3:uid="{2FA5F13E-F166-4518-A4BD-F2C09B1D455C}" name="NIR reference" dataDxfId="317"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19AD170C-D370-4737-9E3C-B30A4564B406}" name="Table_SourceData_Swine_CropProdSystems" displayName="Table_SourceData_Swine_CropProdSystems" ref="D8:D10" totalsRowShown="0">
  <autoFilter ref="D8:D10" xr:uid="{1DC3FD95-46BB-428C-8DAB-6CC542C27F2F}">
    <filterColumn colId="0" hiddenButton="1"/>
  </autoFilter>
  <tableColumns count="1">
    <tableColumn id="1" xr3:uid="{98D5F290-92A2-40FD-BCF1-4ACB3CC6FED8}"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49E9B358-F364-49C0-BFC0-7F6FB534B2ED}" name="Table_SourceData_Swine_IrrigationMethods" displayName="Table_SourceData_Swine_IrrigationMethods" ref="G8:G13" totalsRowShown="0">
  <autoFilter ref="G8:G13" xr:uid="{AA6B756B-6FF9-48AC-BC54-06A8937EFD12}">
    <filterColumn colId="0" hiddenButton="1"/>
  </autoFilter>
  <tableColumns count="1">
    <tableColumn id="1" xr3:uid="{0840C342-3A70-47D2-8B83-6FCBAF545785}"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DD9D3D9-6325-4855-8F3C-5A16718DCF4B}" name="Table_SourceData_Dairy_MMS" displayName="Table_SourceData_Dairy_MMS" ref="D7:E11" totalsRowShown="0">
  <autoFilter ref="D7:E11" xr:uid="{D5C443B2-EDE2-4250-B2EE-016878D19AD9}">
    <filterColumn colId="0" hiddenButton="1"/>
    <filterColumn colId="1" hiddenButton="1"/>
  </autoFilter>
  <tableColumns count="2">
    <tableColumn id="1" xr3:uid="{28268A26-99BE-48D7-B9F2-A584BEC836EC}" name="MMS"/>
    <tableColumn id="2" xr3:uid="{A3125513-D0CF-45EC-AB4E-0F437197499D}" name="Symbol and MMS" dataDxfId="316"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6BB4338-8DD2-4CB8-893E-D1963D97D41E}" name="Table_SourceData_Dairy_CropProdSystems" displayName="Table_SourceData_Dairy_CropProdSystems" ref="G7:G9" totalsRowShown="0">
  <autoFilter ref="G7:G9" xr:uid="{B6F3FE3A-A0B5-47E7-85B2-8426FB75A7C8}">
    <filterColumn colId="0" hiddenButton="1"/>
  </autoFilter>
  <tableColumns count="1">
    <tableColumn id="1" xr3:uid="{9C0B756D-1E77-4F5A-A05D-F0CA0D55DF83}"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CBBF76A1-8AED-4949-BBD6-B29D17531495}" name="Table_SourceData_Dairy_IrrigationMethods" displayName="Table_SourceData_Dairy_IrrigationMethods" ref="J7:J12" totalsRowShown="0">
  <autoFilter ref="J7:J12" xr:uid="{FE172B77-CEA3-430C-84BC-392A64D0B8FF}">
    <filterColumn colId="0" hiddenButton="1"/>
  </autoFilter>
  <tableColumns count="1">
    <tableColumn id="1" xr3:uid="{0EC38BD7-C6C4-4BAE-B22E-E04A6E3D1517}"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21A657CF-118E-4B06-85CD-72CFA15C4B74}"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366902A3-53DF-4EB1-BDC2-A06A81DE3B1D}" name="Breed">
      <calculatedColumnFormula array="1">Common_InputFunctions.Utility_DisplayArrayInTable(SourceData_Dairy.SourceData_Dairy_LiveweightCowsAndHeifers_Data(), Table_SourceData_Dairy_WjCowsHeifers[[#Headers],[Breed]], 0)</calculatedColumnFormula>
    </tableColumn>
    <tableColumn id="2" xr3:uid="{1BD183C8-C0DB-454C-A499-3219D81B0C23}" name="Milking cows" dataDxfId="315" dataCellStyle="Content normal">
      <calculatedColumnFormula array="1">Common_InputFunctions.Utility_DisplayArrayInTable(SourceData_Dairy.SourceData_Dairy_LiveweightCowsAndHeifers_Data(), Table_SourceData_Dairy_WjCowsHeifers[[#Headers],[Breed]], 0)</calculatedColumnFormula>
    </tableColumn>
    <tableColumn id="3" xr3:uid="{AA3F90A1-0272-42F1-BF9F-FAE626DF6C97}" name="Heifers &gt; 1" dataDxfId="314" dataCellStyle="Content normal">
      <calculatedColumnFormula array="1">Common_InputFunctions.Utility_DisplayArrayInTable(SourceData_Dairy.SourceData_Dairy_LiveweightCowsAndHeifers_Data(), Table_SourceData_Dairy_WjCowsHeifers[[#Headers],[Breed]], 0)</calculatedColumnFormula>
    </tableColumn>
    <tableColumn id="4" xr3:uid="{DDE62452-14B5-4444-8056-BC9C45CF785F}" name="Heifers &lt; 1 (weaned)" dataDxfId="31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91E9FB5F-15AB-4FAF-813D-A50ED8C1A8AF}"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E447D08D-97C8-40A4-AC15-3EA6A6D53021}" name="Breed">
      <calculatedColumnFormula array="1">Common_InputFunctions.Utility_DisplayArrayInTable(SourceData_Dairy.SourceData_Dairy_LiveweightBulls_Data(), Table_SourceData_Dairy_WjBulls[[#Headers],[Breed]], 0)</calculatedColumnFormula>
    </tableColumn>
    <tableColumn id="2" xr3:uid="{4DDE103F-B97C-4E29-83D9-E3386E95EBC1}" name="Bulls &gt; 1" dataDxfId="312" dataCellStyle="Content normal">
      <calculatedColumnFormula array="1">Common_InputFunctions.Utility_DisplayArrayInTable(SourceData_Dairy.SourceData_Dairy_LiveweightBulls_Data(), Table_SourceData_Dairy_WjBulls[[#Headers],[Breed]], 0)</calculatedColumnFormula>
    </tableColumn>
    <tableColumn id="3" xr3:uid="{B5D20FCC-DA9C-44C9-AF9F-5BF921522E46}" name="Bulls &lt; 1 (weaned)" dataDxfId="31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313B2997-6C3C-4009-9F11-03B1F4BC500B}"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53418B67-9E58-474E-AC5F-27E13342D37D}" name="Milking cows">
      <calculatedColumnFormula array="1">Common_InputFunctions.Utility_DisplayArrayInTable(SourceData_Dairy.SourceData_Dairy_LiveweightGain_Data(), Table_SourceData_Dairy_LWGj[[#Headers],[Milking cows]], 0)</calculatedColumnFormula>
    </tableColumn>
    <tableColumn id="2" xr3:uid="{E1CA85DD-A82F-4D4F-B0E7-813158235D56}" name="Heifers &gt; 1" dataDxfId="310" dataCellStyle="Content normal">
      <calculatedColumnFormula array="1">Common_InputFunctions.Utility_DisplayArrayInTable(SourceData_Dairy.SourceData_Dairy_LiveweightGain_Data(), Table_SourceData_Dairy_LWGj[[#Headers],[Milking cows]], 0)</calculatedColumnFormula>
    </tableColumn>
    <tableColumn id="3" xr3:uid="{615A369B-FD25-4E93-8623-FA2A79FF9623}" name="Heifers &lt; 1 (weaned)" dataDxfId="309" dataCellStyle="Content normal">
      <calculatedColumnFormula array="1">Common_InputFunctions.Utility_DisplayArrayInTable(SourceData_Dairy.SourceData_Dairy_LiveweightGain_Data(), Table_SourceData_Dairy_LWGj[[#Headers],[Milking cows]], 0)</calculatedColumnFormula>
    </tableColumn>
    <tableColumn id="4" xr3:uid="{76A2360C-FAA7-4ABC-9512-D77466BBF3F7}" name="Bulls &gt; 1" dataDxfId="308" dataCellStyle="Content normal">
      <calculatedColumnFormula array="1">Common_InputFunctions.Utility_DisplayArrayInTable(SourceData_Dairy.SourceData_Dairy_LiveweightGain_Data(), Table_SourceData_Dairy_LWGj[[#Headers],[Milking cows]], 0)</calculatedColumnFormula>
    </tableColumn>
    <tableColumn id="5" xr3:uid="{412E986A-DE5A-4088-8804-41A9D0338EE6}" name="Bulls &lt; 1 (weaned)" dataDxfId="30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1806A395-58EB-45FC-94DD-A566FA177CD0}" name="Table_SourceData_Dairy_WRj" displayName="Table_SourceData_Dairy_WRj" ref="D54:H55" totalsRowShown="0" headerRowDxfId="30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AE9E429A-A4C0-4EC0-8D86-97E5190548D1}"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707F1364-CA37-48EB-B2C9-2B0303DEA15E}"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E735C42A-0B15-46C1-8986-4B0BD6488184}"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28A0ACC-FC22-49ED-B627-1CA8A5B37095}"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3AF0D317-A4CE-4C8D-B6E6-F8152CB86B97}"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15079688-CAC6-4312-AE7C-B537F3F956BA}" name="Table_SourceData_Dairy_DataPreWeaned" displayName="Table_SourceData_Dairy_DataPreWeaned" ref="D62:G64" totalsRowShown="0" dataDxfId="305" dataCellStyle="Content normal">
  <autoFilter ref="D62:G64" xr:uid="{968BB314-DB2C-4CA2-BAA9-E66557777E59}">
    <filterColumn colId="0" hiddenButton="1"/>
    <filterColumn colId="1" hiddenButton="1"/>
    <filterColumn colId="2" hiddenButton="1"/>
    <filterColumn colId="3" hiddenButton="1"/>
  </autoFilter>
  <tableColumns count="4">
    <tableColumn id="1" xr3:uid="{712B0536-5C46-4387-81FF-E689A496D403}" name="Animal class j" dataDxfId="304" dataCellStyle="Content normal">
      <calculatedColumnFormula array="1">Common_InputFunctions.Utility_DisplayArrayInTable(SourceData_Dairy.SourceData_Dairy_PreWeanedCalves_Data(), Table_SourceData_Dairy_DataPreWeaned[[#Headers],[Animal class j]], -1)</calculatedColumnFormula>
    </tableColumn>
    <tableColumn id="2" xr3:uid="{B0AD9339-A6F2-44C1-A053-7B55DB561B9F}" name="CH4 production" dataDxfId="303" dataCellStyle="Content normal">
      <calculatedColumnFormula array="1">Common_InputFunctions.Utility_DisplayArrayInTable(SourceData_Dairy.SourceData_Dairy_PreWeanedCalves_Data(), Table_SourceData_Dairy_DataPreWeaned[[#Headers],[Animal class j]], -1)</calculatedColumnFormula>
    </tableColumn>
    <tableColumn id="3" xr3:uid="{E70F0A05-C6C1-457C-B3EB-4D72C6623B1A}" name="Volatile solids (VSj=3,5)" dataDxfId="302" dataCellStyle="Content normal">
      <calculatedColumnFormula array="1">Common_InputFunctions.Utility_DisplayArrayInTable(SourceData_Dairy.SourceData_Dairy_PreWeanedCalves_Data(), Table_SourceData_Dairy_DataPreWeaned[[#Headers],[Animal class j]], -1)</calculatedColumnFormula>
    </tableColumn>
    <tableColumn id="4" xr3:uid="{BC6319A2-3B87-47A0-A908-FB8904B84422}" name="Nitrogen Excreted (NPWj=3,5)" dataDxfId="30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DC29F8B7-F9CD-4F87-997D-983D4AE436DA}"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E0E2A6-6C54-414D-A8E6-A279B1E66515}" name="MMS m">
      <calculatedColumnFormula array="1">Common_InputFunctions.Utility_DisplayArrayInTable(SourceData_Dairy.SourceData_Dairy_MCF_Data(), Table_SourceData_Dairy_MCFjm[[#Headers],[MMS m]], 0)</calculatedColumnFormula>
    </tableColumn>
    <tableColumn id="2" xr3:uid="{DCFAF8A2-C7A5-40D5-B97D-564CE1C0D7CC}" name="ACT" dataDxfId="300" dataCellStyle="Content normal">
      <calculatedColumnFormula array="1">Common_InputFunctions.Utility_DisplayArrayInTable(SourceData_Dairy.SourceData_Dairy_MCF_Data(), Table_SourceData_Dairy_MCFjm[[#Headers],[MMS m]], 0)</calculatedColumnFormula>
    </tableColumn>
    <tableColumn id="3" xr3:uid="{EDAFE292-F2E5-4E95-AF57-338FDD7A0576}" name="NSW" dataDxfId="299" dataCellStyle="Content normal">
      <calculatedColumnFormula array="1">Common_InputFunctions.Utility_DisplayArrayInTable(SourceData_Dairy.SourceData_Dairy_MCF_Data(), Table_SourceData_Dairy_MCFjm[[#Headers],[MMS m]], 0)</calculatedColumnFormula>
    </tableColumn>
    <tableColumn id="4" xr3:uid="{3ED497E3-6AE7-4192-A8D2-F4FD80B7A3A7}" name="NT" dataDxfId="298" dataCellStyle="Content normal">
      <calculatedColumnFormula array="1">Common_InputFunctions.Utility_DisplayArrayInTable(SourceData_Dairy.SourceData_Dairy_MCF_Data(), Table_SourceData_Dairy_MCFjm[[#Headers],[MMS m]], 0)</calculatedColumnFormula>
    </tableColumn>
    <tableColumn id="5" xr3:uid="{81E34889-844C-4463-9123-A5A3BB7E1111}" name="QLD" dataDxfId="297" dataCellStyle="Content normal">
      <calculatedColumnFormula array="1">Common_InputFunctions.Utility_DisplayArrayInTable(SourceData_Dairy.SourceData_Dairy_MCF_Data(), Table_SourceData_Dairy_MCFjm[[#Headers],[MMS m]], 0)</calculatedColumnFormula>
    </tableColumn>
    <tableColumn id="6" xr3:uid="{46CACAD3-C810-474D-AEFB-0BFEECBF7FF1}" name="SA" dataDxfId="296" dataCellStyle="Content normal">
      <calculatedColumnFormula array="1">Common_InputFunctions.Utility_DisplayArrayInTable(SourceData_Dairy.SourceData_Dairy_MCF_Data(), Table_SourceData_Dairy_MCFjm[[#Headers],[MMS m]], 0)</calculatedColumnFormula>
    </tableColumn>
    <tableColumn id="7" xr3:uid="{FC39B7B1-599F-4519-B502-7446EE1D9016}" name="TAS" dataDxfId="295" dataCellStyle="Content normal">
      <calculatedColumnFormula array="1">Common_InputFunctions.Utility_DisplayArrayInTable(SourceData_Dairy.SourceData_Dairy_MCF_Data(), Table_SourceData_Dairy_MCFjm[[#Headers],[MMS m]], 0)</calculatedColumnFormula>
    </tableColumn>
    <tableColumn id="8" xr3:uid="{385A9E2E-B85F-436E-A0FC-5214A384240F}" name="VIC" dataDxfId="294" dataCellStyle="Content normal">
      <calculatedColumnFormula array="1">Common_InputFunctions.Utility_DisplayArrayInTable(SourceData_Dairy.SourceData_Dairy_MCF_Data(), Table_SourceData_Dairy_MCFjm[[#Headers],[MMS m]], 0)</calculatedColumnFormula>
    </tableColumn>
    <tableColumn id="9" xr3:uid="{27C0F1F1-4B7B-421E-87A9-404B0F7EA194}" name="WA" dataDxfId="293" dataCellStyle="Content normal">
      <calculatedColumnFormula array="1">Common_InputFunctions.Utility_DisplayArrayInTable(SourceData_Dairy.SourceData_Dairy_MCF_Data(), Table_SourceData_Dairy_MCFjm[[#Headers],[MMS m]], 0)</calculatedColumnFormula>
    </tableColumn>
    <tableColumn id="10" xr3:uid="{75D96C1E-5736-4E51-9F73-0FB1AF087638}" name="NIR reference" dataDxfId="29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4C045D7A-73B5-463F-B6B7-52E40459D738}"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099DD7CE-3C7F-49C6-8D4E-F07670544B5F}" name="MMS m">
      <calculatedColumnFormula array="1">Common_InputFunctions.Utility_DisplayArrayInTable(SourceData_Dairy.SourceData_Dairy_NitrousOxideEFsAndFracGASM_Data(), Table_SourceData_Dairy_EFmFracGASM[[#Headers],[MMS m]], 0)</calculatedColumnFormula>
    </tableColumn>
    <tableColumn id="2" xr3:uid="{40BECB21-5698-42E0-B78F-AF6B5EF352F8}" name="EFm" dataDxfId="291" dataCellStyle="Content normal">
      <calculatedColumnFormula array="1">Common_InputFunctions.Utility_DisplayArrayInTable(SourceData_Dairy.SourceData_Dairy_NitrousOxideEFsAndFracGASM_Data(), Table_SourceData_Dairy_EFmFracGASM[[#Headers],[MMS m]], 0)</calculatedColumnFormula>
    </tableColumn>
    <tableColumn id="3" xr3:uid="{7A7F6CDC-2066-41F9-9310-349F77B6ADE9}" name="FracGASMm" dataDxfId="290" dataCellStyle="Content normal">
      <calculatedColumnFormula array="1">Common_InputFunctions.Utility_DisplayArrayInTable(SourceData_Dairy.SourceData_Dairy_NitrousOxideEFsAndFracGASM_Data(), Table_SourceData_Dairy_EFmFracGASM[[#Headers],[MMS m]], 0)</calculatedColumnFormula>
    </tableColumn>
    <tableColumn id="4" xr3:uid="{DC4667FC-2F93-4CAF-AA7C-B1E020CAED7B}" name="NIR reference" dataDxfId="28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726CF4C1-921A-4F97-BC28-A9772C286559}"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F14A184-07BD-43B9-B693-34E17C88255B}"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37D3E90-06C9-4D18-AC58-C50B8C804401}" name="MPW ENTERIC" dataDxfId="28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A2A872C3-BF57-4FFD-A8BE-D6DF15F1D8A5}"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9D955ABA-B660-46F9-BD62-BD997ADF0F99}" name="Animal class j">
      <calculatedColumnFormula array="1">Common_InputFunctions.Utility_DisplayArrayInTable(SourceData_Dairy.SourceData_Dairy_IncreasedMetabolicRateMilk_Data(), Table_SourceData_Dairy_MRj[[#Headers],[Animal class j]], 0)</calculatedColumnFormula>
    </tableColumn>
    <tableColumn id="2" xr3:uid="{FEC30F42-6F15-4254-8B2E-8CFFE9DE848B}" name="MRj" dataDxfId="28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14DD1A0-7638-4B15-A902-55EE3867CE6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99A0473E-BCCC-47A6-A5A2-552FE49D6BB1}" name="Area">
      <calculatedColumnFormula array="1">Common_InputFunctions.Utility_DisplayArrayInTable(SourceData_Dairy.SourceData_Dairy_FractionVolatileSolidsVoidedMMS_Data(), Table_SourceData_Dairy_ProductionSystemTemplates[[#Headers],[Area]], 0)</calculatedColumnFormula>
    </tableColumn>
    <tableColumn id="2" xr3:uid="{7707E5B4-5487-4DC0-83D6-BCB7EDED2C24}" name="Pasture" dataDxfId="28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B1E102E-6BD9-46C6-90AC-57A2F1A480B2}" name="Milking shed" dataDxfId="28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A7F94003-7E1E-4F5A-BA88-317E58425941}" name="Feedpad" dataDxfId="28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806B7934-A460-4FD4-8305-B47678366315}"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0708BE72-09C9-4A72-9D17-A981E9209CE7}" name="MMS m">
      <calculatedColumnFormula array="1">Common_InputFunctions.Utility_DisplayArrayInTable(SourceData_Dairy.SourceData_Dairy_EFNitrousOxidePerMMS_Data(), Table_SourceData_Dairy_EFm[[#Headers],[MMS m]], 0)</calculatedColumnFormula>
    </tableColumn>
    <tableColumn id="2" xr3:uid="{EF6F44E2-BC92-4F0A-921A-D1F18A7462DD}" name="EFm" dataDxfId="283" dataCellStyle="Content normal">
      <calculatedColumnFormula array="1">Common_InputFunctions.Utility_DisplayArrayInTable(SourceData_Dairy.SourceData_Dairy_EFNitrousOxidePerMMS_Data(), Table_SourceData_Dairy_EFm[[#Headers],[MMS m]], 0)</calculatedColumnFormula>
    </tableColumn>
    <tableColumn id="3" xr3:uid="{E540AFD5-CD3D-4867-A776-FA13DD6D9951}" name="NIR reference" dataDxfId="28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D438F3F-E85D-45FB-A6C3-8352C6F9D08A}"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073465C-4086-4868-A0C4-1CBD20E8651F}" name="Animal class j">
      <calculatedColumnFormula array="1">Common_InputFunctions.Utility_DisplayArrayInTable(SourceData_Dairy.SourceData_Dairy_DurationOfStay_Data(), Table_SourceData_Dairy_Duration[[#Headers],[Animal class j]], 0)</calculatedColumnFormula>
    </tableColumn>
    <tableColumn id="2" xr3:uid="{52651E30-D936-4CAA-A8C3-D5C9EB0CD723}" name="Duration (weaned)" dataDxfId="281" dataCellStyle="Content normal">
      <calculatedColumnFormula array="1">Common_InputFunctions.Utility_DisplayArrayInTable(SourceData_Dairy.SourceData_Dairy_DurationOfStay_Data(), Table_SourceData_Dairy_Duration[[#Headers],[Animal class j]], 0)</calculatedColumnFormula>
    </tableColumn>
    <tableColumn id="3" xr3:uid="{93CB56F0-E316-4726-841B-42B3D0D1307F}" name="Duration (pre-weaned)" dataDxfId="28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EC516169-283B-4EB8-B8C9-136805248784}" name="Table_SourceData_PastureBeef_CropProdSystems" displayName="Table_SourceData_PastureBeef_CropProdSystems" ref="D7:D9" totalsRowShown="0">
  <autoFilter ref="D7:D9" xr:uid="{B6F3FE3A-A0B5-47E7-85B2-8426FB75A7C8}">
    <filterColumn colId="0" hiddenButton="1"/>
  </autoFilter>
  <tableColumns count="1">
    <tableColumn id="1" xr3:uid="{6FBC10BE-B22C-4652-A5D2-4EC228F8E76F}"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E287E90E-A17E-4B66-9DE9-9EF670B5A076}"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C0E022BF-305D-46CD-ADD0-4A7D76A62111}"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3F01C377-CB7C-46B4-914C-7B76DD57DE6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5ED86B2-598B-42B6-907D-17B37338026A}" name="State">
      <calculatedColumnFormula array="1">Common_InputFunctions.Utility_DisplayArrayInTable(SourceData_PastureBeef.SourceData_PastureBeef_Liveweight_Data(), Table_SourceData_PastureBeef_Liveweight[[#Headers],[State]], 0)</calculatedColumnFormula>
    </tableColumn>
    <tableColumn id="2" xr3:uid="{E56E758A-C0A8-45FA-8207-20278DE6B99A}" name="Region" dataDxfId="27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5EECB71-586D-44B2-B659-5B99FC66C1DA}" name="Season" dataDxfId="27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9053408-73E0-4EBD-9190-EB199247B825}" name="Bull &lt; 1" dataDxfId="27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225947F4-5F12-4D16-A052-25B8DA52076B}" name="Bull &gt; 1" dataDxfId="27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867CE486-415F-4431-91A3-900F045CEA45}" name="Cow &lt; 1" dataDxfId="27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06AF3433-DA9C-4B74-AEA8-AF7951E4911B}" name="Cow 1-2" dataDxfId="27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137932E5-91C8-460F-86A4-DC7B776FC2CA}" name="Cow &gt; 2" dataDxfId="27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62431B4-3EC7-4B76-AB36-2EBDDDD05B16}" name="Steer &lt; 1" dataDxfId="27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3B7D00CA-6201-4BB4-BEEC-DF68859902A5}" name="Steer &gt; 1" dataDxfId="27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70870E36-8C3A-4AB2-A3F6-B796319248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968397F-55CF-4D70-8E2F-BF2A82799032}" name="State">
      <calculatedColumnFormula array="1">Common_InputFunctions.Utility_DisplayArrayInTable(SourceData_PastureBeef.SourceData_PastureBeef_LiveweightNTQLD_Data(),Table_SourceData_PastureBeef_LiveweightNTQD[[#Headers],[State]], 0)</calculatedColumnFormula>
    </tableColumn>
    <tableColumn id="2" xr3:uid="{160EBCDA-03E4-4532-AFDA-6D390825B5CF}" name="Region" dataDxfId="27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6DFAA30-4F7A-4D5B-AA63-D4AE9AF29DC2}" name="Season" dataDxfId="26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32DFFAFE-E732-4DF2-B94A-77DBF140CA19}" name="Bull &lt;1" dataDxfId="26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2C0A926E-C988-4632-9F68-A11575601AB8}" name="Bull &gt;1" dataDxfId="26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79F74A8D-52DF-4A13-9677-A9D86A84026E}" name="Cows &lt;1" dataDxfId="26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A8DD9FD5-25AE-4472-89F7-16D20A8F63DD}" name="Cows 1-2" dataDxfId="26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0F327391-8FD3-43B4-BB79-C69228490E0D}" name="Cows 2-3" dataDxfId="26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06141E0F-F262-4A84-AA63-63ACCB7869FE}" name="Cows &gt;3" dataDxfId="26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6796388F-EFB0-49C6-9760-43B6663133D7}" name="Steer &lt;1" dataDxfId="26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33509E09-D8BE-4CFD-811C-E781CDE5675A}" name="Steer 1-2" dataDxfId="26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7509EA07-697D-4EB7-8F01-00B73D89EE2A}" name="Steer 2-3" dataDxfId="26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76A78284-37C0-4581-B14D-2C71C92E1076}" name="Steer &gt;3" dataDxfId="25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E767F93C-DCA2-4B6D-8654-C6DA12894F05}"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B5BF6F2-CCC3-4BD1-8AC1-54EAF09BB563}" name="State"/>
    <tableColumn id="2" xr3:uid="{DF559E16-E77E-427E-AB9E-BE0A546C9DDA}" name="Region">
      <calculatedColumnFormula>E22</calculatedColumnFormula>
    </tableColumn>
    <tableColumn id="3" xr3:uid="{BAEDF300-A37B-4530-AA8C-C21B25850026}" name="Season">
      <calculatedColumnFormula>F22</calculatedColumnFormula>
    </tableColumn>
    <tableColumn id="4" xr3:uid="{A896B081-65F8-49A9-B359-72103BEBB039}" name="Bulls &lt; 1 year">
      <calculatedColumnFormula>G22</calculatedColumnFormula>
    </tableColumn>
    <tableColumn id="5" xr3:uid="{F559B9C9-C48D-4537-BA5E-0F5D6A3B6D7B}" name="Bulls &gt; 1 year">
      <calculatedColumnFormula>H22</calculatedColumnFormula>
    </tableColumn>
    <tableColumn id="6" xr3:uid="{5272A4B6-3647-4C1E-92A2-775F71361B5C}" name="Cows &lt; 1 year">
      <calculatedColumnFormula>I22</calculatedColumnFormula>
    </tableColumn>
    <tableColumn id="7" xr3:uid="{9ACCC995-102A-449B-997A-AA86CC9DD6E4}" name="Cows 1-2 years">
      <calculatedColumnFormula>J22</calculatedColumnFormula>
    </tableColumn>
    <tableColumn id="8" xr3:uid="{4342D0A6-5E24-4349-B8B7-2DD42A104424}" name="Cows 2-3 years">
      <calculatedColumnFormula>K22</calculatedColumnFormula>
    </tableColumn>
    <tableColumn id="9" xr3:uid="{59F6F319-B966-4709-A91F-CAD4CD35ECD4}" name="Cows &gt; 3 years">
      <calculatedColumnFormula>L22</calculatedColumnFormula>
    </tableColumn>
    <tableColumn id="10" xr3:uid="{BE98D76A-0007-497F-BD9E-B0326E6193B6}" name="Steers &lt; 1 year">
      <calculatedColumnFormula>M22</calculatedColumnFormula>
    </tableColumn>
    <tableColumn id="11" xr3:uid="{6682EC38-2026-4DCC-9C34-D905854C5B37}" name="Steers 1-2 years">
      <calculatedColumnFormula>N22</calculatedColumnFormula>
    </tableColumn>
    <tableColumn id="12" xr3:uid="{6E61E0E1-5EB0-46EB-8984-0549136CA92A}" name="Steers 2-3 years">
      <calculatedColumnFormula>#REF!</calculatedColumnFormula>
    </tableColumn>
    <tableColumn id="13" xr3:uid="{9C94E7B5-BA1A-4A05-8798-58A276CEFB3B}"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84C04BFD-B459-4F6D-BDDC-46D47AB0D6C3}"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1285A0-6DEC-4ED0-AA29-DEBFAD1A6681}"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652DD07-10F6-4B4D-8F60-B7DCA2023156}"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E3846C32-44F9-4253-BD1B-E8A6E3971E8B}"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6049AF80-AEFA-42CF-A675-58CBEB19D3AC}"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33B133F9-6C64-4F1F-86D5-A22F4C0981F9}"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83CED334-E135-405A-82E6-B0F680932063}" name="Table_SourceData_PastureBeef_Region_Victoria" displayName="Table_SourceData_PastureBeef_Region_Victoria" ref="S7:S8" totalsRowShown="0">
  <autoFilter ref="S7:S8" xr:uid="{7D474D93-C1E0-4898-A434-69585070D0B9}">
    <filterColumn colId="0" hiddenButton="1"/>
  </autoFilter>
  <tableColumns count="1">
    <tableColumn id="1" xr3:uid="{33D0951E-6E9E-4B0E-BBD8-8BCE0361461D}"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316B3F37-CBEB-43F3-AD5D-EA148637FF0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09BD5E94-5935-4EBF-8195-475915C534F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9E87F5C2-21F1-44F0-B622-FF4FDA2BA44A}"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A2F4B252-8609-44E1-8642-5FE30637BFE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8606420E-154D-443D-A6E5-61D61422205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56E116A-496C-472C-80FB-9070D17B4203}"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D9DC7B56-49DC-483B-A862-11B005D31D7B}" name="Table_SourceData_PastureBeef_Region_ACT" displayName="Table_SourceData_PastureBeef_Region_ACT" ref="S27:S28" totalsRowShown="0">
  <autoFilter ref="S27:S28" xr:uid="{3655B7FD-A2CC-4B05-9668-16F7A54ED6C1}">
    <filterColumn colId="0" hiddenButton="1"/>
  </autoFilter>
  <tableColumns count="1">
    <tableColumn id="1" xr3:uid="{566A1438-6B60-4E0F-9433-3F09191C5613}"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1073CEA4-F076-49FE-9147-D1AE882C03E5}"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CC1F9C4-61E9-45B7-AAE0-95AF9B14366F}" name="State">
      <calculatedColumnFormula array="1">Common_InputFunctions.Utility_DisplayArrayInTable(SourceData_PastureBeef.SourceData_PastureBeef_LiveweightGain_Data(), Table_SourceData_PastureBeef_LiveweightGain[[#Headers],[State]],0)</calculatedColumnFormula>
    </tableColumn>
    <tableColumn id="2" xr3:uid="{D1BE896E-C3C8-46CA-83FD-0185EBAED8E1}" name="Region" dataDxfId="25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61131BDA-9BEB-4EE0-B60B-8BF509125060}" name="Season" dataDxfId="25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1B6149D-C5DB-4CED-BFF0-809A0BCE9D8A}" name="Bull &lt;1" dataDxfId="25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4D28F110-2618-483E-AE6B-D91949B30299}" name="Bull &gt;1" dataDxfId="25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7344EC41-CDCC-4BF3-84A6-70595393EB38}" name="Cow &lt;1" dataDxfId="25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287D5403-92B8-46EA-A2FB-08902C8E01A4}" name="Cow 1-2" dataDxfId="25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C4A98E7C-E5B1-4E13-804D-CF4BC70C3230}" name="Cow &gt;2" dataDxfId="25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83D668A0-774C-4FB2-810A-F8C4F4A44DB4}" name="Steer &lt;1" dataDxfId="25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0723C739-4927-43A8-A636-F3CCF7ADE5B3}" name="Steer &gt;1" dataDxfId="25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987C4DE-98B9-4852-8096-C7998E869CB5}"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FFC2FF1-219E-4A6B-ADC4-317FD573A6C2}" name="State">
      <calculatedColumnFormula array="1">Common_InputFunctions.Utility_DisplayArrayInTable(SourceData_PastureBeef.SourceData_PastureBeef_LiveweightGainNTQLD_Data(),Table_SourceData_PastureBeef_LiveweightGainNTQLD[[#Headers],[State]],0)</calculatedColumnFormula>
    </tableColumn>
    <tableColumn id="2" xr3:uid="{1009DC40-8521-4A0D-A30A-9ACE52058F2F}" name="Region" dataDxfId="24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E3139B5E-DA8B-42C2-BA94-6441AC89DB47}" name="Season" dataDxfId="24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2D372697-9185-4E8A-97BD-5ACEA28CE83C}" name="Bull &lt;1" dataDxfId="24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BD5A2955-EB5A-44F6-A4D0-B53DF7508FD6}" name="Bull &gt;1" dataDxfId="24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6B62089E-3806-4468-B972-A8C5BDA30D19}" name="Cow &lt;1" dataDxfId="24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D2F6CEBD-848E-44F6-9682-8BD60823F466}" name="Cow 1-2" dataDxfId="24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195C6DF8-0F1E-4B2E-A138-70AAD429331F}" name="Cow 2-3" dataDxfId="24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306C749-450A-475B-85D8-B5CC0DDC62C1}" name="Cow &gt;3" dataDxfId="24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5808564-ABF0-43F6-8776-F8C56D824249}" name="Steer &lt;1" dataDxfId="24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B3D6CFA5-4422-478F-827A-D00CE7BD1979}" name="Steer 1-2" dataDxfId="24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C86EBA19-4D18-4A38-A22D-FC2E12CBD9BB}" name="Steer 2-3" dataDxfId="23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15B6506A-6B74-4ED8-8A8C-1798FD90DE26}" name="Steer &gt;3" dataDxfId="23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D2FD74AA-3C5E-442B-A87E-EF43E6C0DE34}"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F909B27-C826-4335-A9CB-477234B8461D}" name="State"/>
    <tableColumn id="2" xr3:uid="{C1E4D0CF-F8A7-4800-96DA-95AC2F93BA31}" name="Region">
      <calculatedColumnFormula>E159</calculatedColumnFormula>
    </tableColumn>
    <tableColumn id="3" xr3:uid="{9A319707-8027-4361-8A8B-62C6FB71A017}" name="Season">
      <calculatedColumnFormula>F159</calculatedColumnFormula>
    </tableColumn>
    <tableColumn id="4" xr3:uid="{7CF9EC13-44FD-43D7-9CD3-516B5ECC83F4}" name="Bulls &lt; 1 year">
      <calculatedColumnFormula>G159</calculatedColumnFormula>
    </tableColumn>
    <tableColumn id="5" xr3:uid="{B61F9706-D335-4382-BAB8-915F3069001E}" name="Bulls &gt; 1 year">
      <calculatedColumnFormula>H159</calculatedColumnFormula>
    </tableColumn>
    <tableColumn id="6" xr3:uid="{DB9AEAF0-9B17-4BC6-9A79-91B7C323A355}" name="Cows &lt; 1 year">
      <calculatedColumnFormula>I159</calculatedColumnFormula>
    </tableColumn>
    <tableColumn id="7" xr3:uid="{A42ACF1D-9503-41C1-8767-262CCB734F4C}" name="Cows 1-2 years">
      <calculatedColumnFormula>J159</calculatedColumnFormula>
    </tableColumn>
    <tableColumn id="8" xr3:uid="{1851517D-1A68-4FAB-AA52-D41FD0CCCB1B}" name="Cows 2-3 years">
      <calculatedColumnFormula>K159</calculatedColumnFormula>
    </tableColumn>
    <tableColumn id="9" xr3:uid="{19A56646-D16E-4D2C-A203-B92B0F1BC7F0}" name="Cows &gt; 3 years">
      <calculatedColumnFormula>L159</calculatedColumnFormula>
    </tableColumn>
    <tableColumn id="10" xr3:uid="{F72B4DFF-9202-40EA-9D95-278B41D645E8}" name="Steers &lt; 1 year">
      <calculatedColumnFormula>M159</calculatedColumnFormula>
    </tableColumn>
    <tableColumn id="11" xr3:uid="{51D95C40-789B-4B63-964A-374ADF6A978E}" name="Steers 1-2 years">
      <calculatedColumnFormula>N159</calculatedColumnFormula>
    </tableColumn>
    <tableColumn id="12" xr3:uid="{2A963767-7537-4513-AFC6-2856FAFD40C2}" name="Steers 2-3 years">
      <calculatedColumnFormula>O159</calculatedColumnFormula>
    </tableColumn>
    <tableColumn id="13" xr3:uid="{B301F69C-0AB5-4C76-8B85-37B88E6B06AE}"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A0BBD058-64C9-467C-BDAF-568A41B70B7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344A50C1-44F3-43D4-83B2-C391053F923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36D680F3-37E5-4D91-AD34-12BFBE3B5B1F}" name="Region" dataDxfId="23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EDF6B369-BC82-48B2-8DF8-196B7B5F7EAC}" name="Spring" dataDxfId="23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0052F6D8-C66B-4D7F-B539-7FA23E1B827C}" name="Summer" dataDxfId="23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AE37676F-F232-4B1E-888C-0DDF89AFE50F}" name="Autumn" dataDxfId="23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00E48A54-1785-4AD0-BC35-56AABE3BFCFF}" name="Winter" dataDxfId="23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AB7A0C3B-7D3E-4875-8470-7B83C3DC9CF4}" name="Table_SourceData_PastureBeef_CrudeProtein" displayName="Table_SourceData_PastureBeef_CrudeProtein" ref="D313:I328" totalsRowShown="0" dataDxfId="23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080F80-CA28-4345-A50F-1E46777D5B89}" name="State" dataDxfId="23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55AE99AB-94BA-4CF3-84F1-6B47CA4B3D40}" name="Region" dataDxfId="23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31DC146E-1509-49EC-9186-1D480158810D}" name="Spring" dataDxfId="22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0D937240-8AD0-4479-A93C-671A9E59ED72}" name="Summer" dataDxfId="22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A633F57B-FC0B-495B-BA47-AF969EB199B1}" name="Autumn" dataDxfId="22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827183D4-7A6F-4B22-A3C0-5E4BDEBE3287}" name="Winter" dataDxfId="22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FD7EDC0E-54BD-4830-B0C0-9280A88D6113}"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DEADC6F-A444-4A27-A1E6-7BF6C6350F33}"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793EF606-6D77-408F-92F2-485E843039BE}" name="Season" dataDxfId="22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8694963A-D883-4482-A606-E9BAEB56D9B8}" name="Feed adjustment" dataDxfId="22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304AF96C-016A-4496-9F75-4E4252242CEC}" name="Milk intake/production" dataDxfId="22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BC285474-AAD2-41D6-B1D1-CD83B74DC169}"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457A3B6-E364-4BC9-A88F-84BEA6CB6C40}"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40ECC096-80B7-4B04-B760-E65C088AB1C0}" name="Bulls &lt;1" dataDxfId="22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63934DF8-7604-42C7-BB41-DE39C9EEF612}" name="Bulls &gt;1" dataDxfId="22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5CAE9695-D3E7-4506-8C48-CD47FB190EEF}" name="Cows &lt;1" dataDxfId="22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DF7429F-3E49-4D35-9F73-DDD40E371808}" name="Cows 1-2" dataDxfId="21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768FF49-C3EB-4902-AE1A-CE494CD6F4C8}" name="Cows &gt;2" dataDxfId="21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AFBB8714-B3D7-4C5C-BCBD-D287F10258B4}" name="Steer &lt;1" dataDxfId="21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6D06CD1F-74B9-4EBE-85A8-52CF3A998017}" name="Steer &gt;1" dataDxfId="21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80191033-E9F6-436A-873F-7B32B3825052}" name="State abbreviation" dataDxfId="21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5A5A127C-3DFF-4880-8178-65C97D6BB153}"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B230BE2-3F57-4486-AAA5-7A4B6CE6E848}" name="State" dataDxfId="214" dataCellStyle="Content normal">
      <calculatedColumnFormula>D351</calculatedColumnFormula>
    </tableColumn>
    <tableColumn id="2" xr3:uid="{8756460B-5CB0-480C-80AC-EFA3D418CEE2}" name="Bulls &lt; 1 year" dataDxfId="213" dataCellStyle="Content normal">
      <calculatedColumnFormula>E351</calculatedColumnFormula>
    </tableColumn>
    <tableColumn id="3" xr3:uid="{6EB24B53-45D1-4784-AD20-8E86CBDAD8A5}" name="Bulls &gt; 1 year" dataDxfId="212" dataCellStyle="Content normal">
      <calculatedColumnFormula>F351</calculatedColumnFormula>
    </tableColumn>
    <tableColumn id="4" xr3:uid="{F4DF394C-AE97-435C-8C7D-E7106C5AB6BE}" name="Cows &lt; 1 year" dataDxfId="211" dataCellStyle="Content normal">
      <calculatedColumnFormula>G351</calculatedColumnFormula>
    </tableColumn>
    <tableColumn id="5" xr3:uid="{97CC4322-B7AA-4F3D-A0BB-D220988C49BE}" name="Cows 1-2 years" dataDxfId="210" dataCellStyle="Content normal">
      <calculatedColumnFormula>H351</calculatedColumnFormula>
    </tableColumn>
    <tableColumn id="6" xr3:uid="{CC6DE754-36EB-44C4-8B00-5B6A6EB88779}" name="Cows 2-3 years" dataDxfId="209" dataCellStyle="Content normal">
      <calculatedColumnFormula>I351</calculatedColumnFormula>
    </tableColumn>
    <tableColumn id="7" xr3:uid="{EAFD6A2F-1D57-402F-A448-D31A8EACE221}" name="Cows &gt; 3 years" dataDxfId="208" dataCellStyle="Content normal">
      <calculatedColumnFormula>I351</calculatedColumnFormula>
    </tableColumn>
    <tableColumn id="8" xr3:uid="{E3FC3583-E091-4E70-8602-25E3D0DF2C00}" name="Steers &lt; 1 year" dataDxfId="207" dataCellStyle="Content normal">
      <calculatedColumnFormula>J351</calculatedColumnFormula>
    </tableColumn>
    <tableColumn id="9" xr3:uid="{704515F1-836C-433B-BBE7-C60B3E8785B5}" name="Steers 1-2 years" dataDxfId="206" dataCellStyle="Content normal">
      <calculatedColumnFormula>K351</calculatedColumnFormula>
    </tableColumn>
    <tableColumn id="10" xr3:uid="{4F280FE9-6E3B-49E0-A396-467ED29CBD31}" name="Steers 2-3 years" dataDxfId="205" dataCellStyle="Content normal">
      <calculatedColumnFormula>K351</calculatedColumnFormula>
    </tableColumn>
    <tableColumn id="11" xr3:uid="{83E19B14-BD8C-49E3-83A4-AC02A7142F8E}" name="Steers &gt;3 years" dataDxfId="204" dataCellStyle="Content normal">
      <calculatedColumnFormula>K351</calculatedColumnFormula>
    </tableColumn>
    <tableColumn id="12" xr3:uid="{B0B4D63F-BAEF-44DB-BD02-FFE307F23741}" name="State abbreviation" dataDxfId="203"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36FF62A9-474B-442D-B3F3-EC3630702778}"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9C10B47B-850A-4D33-AD7F-B211C90210CC}"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F9524A9E-A4FF-4BD1-B291-AB0E0F28ED45}" name="Region" dataDxfId="20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142E3A19-64BB-420D-98D8-50AD0AB1B8EA}" name="Pasture range and paddock" dataDxfId="20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69EA1B8B-820E-480A-8DEA-59F6E8789E56}" name="Uncovered Anaerobic lagoon" dataDxfId="20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3DDDD82A-469C-4986-B56F-769439A109A1}" name="Table_SourceData_PastureBeef_MethaneConversionFactor" displayName="Table_SourceData_PastureBeef_MethaneConversionFactor" ref="D400:G415" totalsRowShown="0" dataDxfId="19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0052ED30-BEB9-4B7C-96F3-5C9993D4CA1C}" name="State" dataDxfId="19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BEFAA1A1-871A-4E87-A4D7-4EB922CBDFB4}" name="Region" dataDxfId="19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DD4FC50-7758-4D62-A650-3BA155CE3DCC}" name="Pasture range and paddock" dataDxfId="19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378A822E-AB51-4BF2-95CC-5029423572AC}" name="Uncovered Anaerobic lagoon" dataDxfId="19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9537401C-0F25-4016-BF71-B21EAFD34421}"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F1EC6EFD-040F-43B5-9B86-28B8D44B7CD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5CE9AAE-58B8-413A-B436-42C5E9D86DD8}" name="Season" dataDxfId="19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24DB2361-EB4F-444A-8035-EDE6BCA66481}" name="Feed adjustment" dataDxfId="19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44114438-C4A4-4F01-B086-598BC7EC16B1}" name="Milk intake/production" dataDxfId="19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906DE3F5-8642-4847-9CBA-F3538AEF3E50}" name="Table_LivestockClasses_Beefcattle" displayName="Table_LivestockClasses_Beefcattle" ref="O18:O28" totalsRowShown="0">
  <autoFilter ref="O18:O28" xr:uid="{13BB371D-1A6A-420B-8F76-A006E7FBF483}">
    <filterColumn colId="0" hiddenButton="1"/>
  </autoFilter>
  <tableColumns count="1">
    <tableColumn id="1" xr3:uid="{250BF95F-8715-46B6-B406-8040D03C5BB5}"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168BD66-3B5D-4E7E-AAB2-FDF41C61EE4F}" name="Table_ProductRegions_Beefcattle172" displayName="Table_ProductRegions_Beefcattle172" ref="O32:P48" totalsRowShown="0">
  <autoFilter ref="O32:P48" xr:uid="{7E277F33-A0AF-471E-A609-92C95103FA9F}">
    <filterColumn colId="0" hiddenButton="1"/>
    <filterColumn colId="1" hiddenButton="1"/>
  </autoFilter>
  <tableColumns count="2">
    <tableColumn id="1" xr3:uid="{59870D12-EBAD-4BC4-ACEE-2358A2A16B5A}" name="Region"/>
    <tableColumn id="2" xr3:uid="{351E4D45-F67C-4174-A09B-9602BE839706}"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B07B41A7-7D63-4FE2-A07B-450A0166AB8F}" name="Table_SourceData_Scope3_Animals173" displayName="Table_SourceData_Scope3_Animals173"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9B68E689-8546-45BB-9F96-523F39ED296D}" name="Category" dataDxfId="191" dataCellStyle="Content normal">
      <calculatedColumnFormula array="1">Common_InputFunctions.Utility_DisplayArrayInTable(Scope3_SourceData.Scope3_Livestock_Data(), Table_SourceData_Scope3_Animals173[[#Headers],[Category]], 0, 2)</calculatedColumnFormula>
    </tableColumn>
    <tableColumn id="2" xr3:uid="{4D3F3E10-C353-4133-9A9D-265110711D15}" name="Product" dataDxfId="190" dataCellStyle="Content normal">
      <calculatedColumnFormula array="1">Common_InputFunctions.Utility_DisplayArrayInTable(Scope3_SourceData.Scope3_Livestock_Data(), Table_SourceData_Scope3_Animals173[[#Headers],[Category]], 0, 2)</calculatedColumnFormula>
    </tableColumn>
    <tableColumn id="3" xr3:uid="{EA9FA4CB-3092-4888-A919-3FF69E9269A5}" name="Region of origin" dataDxfId="189" dataCellStyle="Content normal">
      <calculatedColumnFormula array="1">Common_InputFunctions.Utility_DisplayArrayInTable(Scope3_SourceData.Scope3_Livestock_Data(), Table_SourceData_Scope3_Animals173[[#Headers],[Category]], 0, 2)</calculatedColumnFormula>
    </tableColumn>
    <tableColumn id="8" xr3:uid="{F9295066-676F-4BF5-AD01-6CBCF8A87FE1}" name="Quantity Unit" dataDxfId="188" dataCellStyle="Content normal">
      <calculatedColumnFormula array="1">Common_InputFunctions.Utility_DisplayArrayInTable(Scope3_SourceData.Scope3_Livestock_Data(), Table_SourceData_Scope3_Animals173[[#Headers],[Category]], 0, 2)</calculatedColumnFormula>
    </tableColumn>
    <tableColumn id="9" xr3:uid="{E7695D04-167D-44EE-88BD-67606D56A67F}" name="AusLCI Emissions intensity" dataDxfId="187" dataCellStyle="Content normal">
      <calculatedColumnFormula array="1">Common_InputFunctions.Utility_DisplayArrayInTable(Scope3_SourceData.Scope3_Livestock_Data(), Table_SourceData_Scope3_Animals173[[#Headers],[Category]], 0, 2)</calculatedColumnFormula>
    </tableColumn>
    <tableColumn id="10" xr3:uid="{94A75264-B079-42B1-817F-89AD5BFE8054}" name="System boundary" dataDxfId="186" dataCellStyle="Content normal">
      <calculatedColumnFormula array="1">Common_InputFunctions.Utility_DisplayArrayInTable(Scope3_SourceData.Scope3_Livestock_Data(), Table_SourceData_Scope3_Animals173[[#Headers],[Category]],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FF8EBB73-FD12-4447-A3D1-EA6742C73C88}"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BFF4132B-7269-4473-8A9F-A767CB2E301E}" name="Symbol">
      <calculatedColumnFormula array="1">Common_InputFunctions.Utility_DisplayArrayInTable(CommonLivestock_SourceData.SourceData_Livestock_Common_SymbolsMMS_Data(), Table_Data_MMSSymbols[[#Headers],[Symbol]], 0)</calculatedColumnFormula>
    </tableColumn>
    <tableColumn id="2" xr3:uid="{0572C2BF-08AD-499D-BADB-333A222FFB46}" name="Manure management system">
      <calculatedColumnFormula array="1">Common_InputFunctions.Utility_DisplayArrayInTable(CommonLivestock_SourceData.SourceData_Livestock_Common_SymbolsMMS_Data(), Table_Data_MMSSymbols[[#Headers],[Symbol]], 0)</calculatedColumnFormula>
    </tableColumn>
    <tableColumn id="3" xr3:uid="{C1AB89B3-2F63-4871-8768-0D9F287A9F19}"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2357494D-660C-4A2D-80FA-7A4EB3A809AD}" name="Table_SourceData_LivestockProduct_Beefcattle" displayName="Table_SourceData_LivestockProduct_Beefcattle" ref="D31:E39" totalsRowShown="0">
  <autoFilter ref="D31:E39" xr:uid="{953E8E36-CE90-4001-9CFA-9307A0C836A9}"/>
  <tableColumns count="2">
    <tableColumn id="1" xr3:uid="{CF2183AF-385F-4001-AC10-3AAD0C6CEAE3}" name="Product">
      <calculatedColumnFormula array="1">Common_InputFunctions.Utility_DisplayArrayInTable(CommonLivestock_SourceData.SourceData_Livestock_Product_BeefCattle_Data(),Table_SourceData_LivestockProduct_Beefcattle[[#Headers],[Product]],0)</calculatedColumnFormula>
    </tableColumn>
    <tableColumn id="2" xr3:uid="{61625927-15E3-4BD5-BE1A-050AE6B6D2FB}" name="Source region" dataDxfId="18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CFF9C2C5-B12C-4C79-BEA9-8F8221244E8F}" name="Table_SourceData_LivestockProduct_Sheep" displayName="Table_SourceData_LivestockProduct_Sheep" ref="D43:E50" totalsRowShown="0" dataDxfId="184" dataCellStyle="Content normal">
  <autoFilter ref="D43:E50" xr:uid="{995536B5-6CA5-4D7D-A704-9B6B595C2491}"/>
  <tableColumns count="2">
    <tableColumn id="1" xr3:uid="{521EC1C3-1D1A-4818-8D5F-33E64A506B52}" name="Product" dataDxfId="18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74659F95-2B9F-414A-A949-747B0B9AF6C0}" name="Source region" dataDxfId="18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4ECC3C6C-45E9-4314-A801-B276A95A3900}" name="Table_SourceData_LivestockProduct_Chickens" displayName="Table_SourceData_LivestockProduct_Chickens" ref="D54:E55" totalsRowShown="0" dataDxfId="181" dataCellStyle="Content normal">
  <autoFilter ref="D54:E55" xr:uid="{257D8456-031C-4EEF-A8C4-474F215C3208}"/>
  <tableColumns count="2">
    <tableColumn id="1" xr3:uid="{F720EC76-7DBE-44B6-9784-A675934684E8}" name="Product" dataDxfId="18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5F72328B-8F99-495A-80F2-D654D0137218}" name="Source region" dataDxfId="17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D03F9875-01B0-4E14-B90B-A8548777C0A1}" name="Table_SourceData_LivestockProduct_Dairycattle" displayName="Table_SourceData_LivestockProduct_Dairycattle" ref="D59:E60" totalsRowShown="0" dataDxfId="178" dataCellStyle="Content normal">
  <autoFilter ref="D59:E60" xr:uid="{71833C62-BA2B-4519-92E0-B189E393D12F}"/>
  <tableColumns count="2">
    <tableColumn id="1" xr3:uid="{87714801-9BF7-4324-9593-E71BFDE8C375}" name="Product" dataDxfId="17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C860556-1224-470D-B48F-810732B47158}" name="Source region" dataDxfId="17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D85DCC2E-8116-4C8D-88F1-97FB49CCB3B8}" name="Table_SourceData_LivestockProduct_Pigs" displayName="Table_SourceData_LivestockProduct_Pigs" ref="D64:E65" totalsRowShown="0" dataDxfId="175" dataCellStyle="Content normal">
  <autoFilter ref="D64:E65" xr:uid="{65FF5EF6-2A75-4137-9345-8328E2DA8F9C}"/>
  <tableColumns count="2">
    <tableColumn id="1" xr3:uid="{0B50D85E-97D0-4454-82FB-3EFB1650D29E}" name="Product" dataDxfId="17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08FAF112-DC0C-41BA-9F1B-4226A77FE1F7}" name="Source region" dataDxfId="17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C3ED2AA3-0AAC-40A1-9A5B-13982054305C}"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BF1D9B5-E1A6-4B66-BA2C-0DA7DD7A2CCC}"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B22057B-CEB7-4C38-B618-61BC4AD68914}" name="FNinorganic f">
      <calculatedColumnFormula array="1">Common_InputFunctions.Utility_DisplayArrayInTable(Fertiliser_SourceData.Fertiliser_ChemicalCompoundElements_Data(),Table_Fertiliser_ChemicalCompounds[[#Headers],[Fertiliser type f]], 0)</calculatedColumnFormula>
    </tableColumn>
    <tableColumn id="3" xr3:uid="{846FCA0F-EF09-429D-9873-9775DAC6FB53}" name="FU f">
      <calculatedColumnFormula array="1">Common_InputFunctions.Utility_DisplayArrayInTable(Fertiliser_SourceData.Fertiliser_ChemicalCompoundElements_Data(),Table_Fertiliser_ChemicalCompounds[[#Headers],[Fertiliser type f]], 0)</calculatedColumnFormula>
    </tableColumn>
    <tableColumn id="4" xr3:uid="{37F9E4EC-FC3E-4EB6-B1AD-3D9E6A7A1AD5}" name="Basis">
      <calculatedColumnFormula array="1">Common_InputFunctions.Utility_DisplayArrayInTable(Fertiliser_SourceData.Fertiliser_ChemicalCompoundElements_Data(),Table_Fertiliser_ChemicalCompounds[[#Headers],[Fertiliser type f]], 0)</calculatedColumnFormula>
    </tableColumn>
    <tableColumn id="5" xr3:uid="{329036A2-E823-46B6-A421-78B8B501908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D62FBD8-A3B5-4F05-9ED9-ADB61118690C}"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C0065115-BFCE-4D59-BA3B-301A7ECFB3E6}"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A27BE20-AE59-4B9B-8B18-DFDD56CC2D7C}" name="Include or Exclude" dataDxfId="172" totalsRowDxfId="171">
      <calculatedColumnFormula array="1">Common_InputFunctions.Utility_DisplayArrayInTable(Fertiliser_SourceData.Fertiliser_Products_Data1(),FertiliserProducts[[#Headers],[Include or Exclude]], -1)</calculatedColumnFormula>
    </tableColumn>
    <tableColumn id="2" xr3:uid="{8A6D66F4-629B-4897-A567-872759139D81}" name="Notes" dataDxfId="170" totalsRowDxfId="169">
      <calculatedColumnFormula array="1">Common_InputFunctions.Utility_DisplayArrayInTable(Fertiliser_SourceData.Fertiliser_Products_Data1(),FertiliserProducts[[#Headers],[Include or Exclude]], 0)</calculatedColumnFormula>
    </tableColumn>
    <tableColumn id="3" xr3:uid="{2903B3AE-DC0B-4437-A42C-1483EDD54A8E}" name="Company" dataDxfId="168" totalsRowDxfId="167">
      <calculatedColumnFormula array="1">Common_InputFunctions.Utility_DisplayArrayInTable(Fertiliser_SourceData.Fertiliser_Products_Data1(),FertiliserProducts[[#Headers],[Include or Exclude]], 0)</calculatedColumnFormula>
    </tableColumn>
    <tableColumn id="4" xr3:uid="{67256F77-C0EC-4868-97B5-5D568E3E6C42}" name="Product name" dataDxfId="166" totalsRowDxfId="165">
      <calculatedColumnFormula array="1">Common_InputFunctions.Utility_DisplayArrayInTable(Fertiliser_SourceData.Fertiliser_Products_Data1(),FertiliserProducts[[#Headers],[Include or Exclude]], 0)</calculatedColumnFormula>
    </tableColumn>
    <tableColumn id="5" xr3:uid="{FF1EFD1C-D3B6-4211-A656-466AF5FA4ADE}" name="Unit" dataDxfId="164" totalsRowDxfId="163">
      <calculatedColumnFormula array="1">Common_InputFunctions.Utility_DisplayArrayInTable(Fertiliser_SourceData.Fertiliser_Products_Data1(),FertiliserProducts[[#Headers],[Include or Exclude]], 0,4)</calculatedColumnFormula>
    </tableColumn>
    <tableColumn id="6" xr3:uid="{7AA128A2-1D0C-49FD-996F-C06A14A391FE}" name="Density / gravity" dataDxfId="162" totalsRowDxfId="161">
      <calculatedColumnFormula array="1">Common_InputFunctions.Utility_DisplayArrayInTable(Fertiliser_SourceData.Fertiliser_Products_Data1(),FertiliserProducts[[#Headers],[Include or Exclude]], 0,4)</calculatedColumnFormula>
    </tableColumn>
    <tableColumn id="7" xr3:uid="{00B7878A-9337-4130-82D7-59FC4CC00F27}" name="Urea source" dataDxfId="160" totalsRowDxfId="159">
      <calculatedColumnFormula array="1">Common_InputFunctions.Utility_DisplayArrayInTable(Fertiliser_SourceData.Fertiliser_Products_Data1(),FertiliserProducts[[#Headers],[Include or Exclude]], 0,4)</calculatedColumnFormula>
    </tableColumn>
    <tableColumn id="8" xr3:uid="{20B5BB8E-76D9-4D06-8634-1A219BC92170}" name="Ammonia source" dataDxfId="158" totalsRowDxfId="157">
      <calculatedColumnFormula array="1">Common_InputFunctions.Utility_DisplayArrayInTable(Fertiliser_SourceData.Fertiliser_Products_Data1(),FertiliserProducts[[#Headers],[Include or Exclude]], 0,4)</calculatedColumnFormula>
    </tableColumn>
    <tableColumn id="9" xr3:uid="{95FE8F33-B406-4F36-B183-429F28CEE5EF}" name="Ingredient 1" dataDxfId="156" totalsRowDxfId="155">
      <calculatedColumnFormula array="1">Common_InputFunctions.Utility_DisplayArrayInTable(Fertiliser_SourceData.Fertiliser_Products_Data1(),FertiliserProducts[[#Headers],[Include or Exclude]], 0,4)</calculatedColumnFormula>
    </tableColumn>
    <tableColumn id="10" xr3:uid="{5204B02E-B173-4EEA-BDD0-7D8655ABCED1}" name="Ingredient 1 percent" dataDxfId="154" totalsRowDxfId="153">
      <calculatedColumnFormula array="1">Common_InputFunctions.Utility_DisplayArrayInTable(Fertiliser_SourceData.Fertiliser_Products_Data1(),FertiliserProducts[[#Headers],[Include or Exclude]], 0,4)</calculatedColumnFormula>
    </tableColumn>
    <tableColumn id="11" xr3:uid="{0191AA9B-4EB5-4CD6-8F1B-D16CF1D98D08}" name="Ingredient 2" dataDxfId="152" totalsRowDxfId="151">
      <calculatedColumnFormula array="1">Common_InputFunctions.Utility_DisplayArrayInTable(Fertiliser_SourceData.Fertiliser_Products_Data1(),FertiliserProducts[[#Headers],[Include or Exclude]], 0,4)</calculatedColumnFormula>
    </tableColumn>
    <tableColumn id="12" xr3:uid="{494F28E5-5FCB-4432-A67B-B64E122C2728}" name="Ingredient 2 percent" dataDxfId="150" totalsRowDxfId="149">
      <calculatedColumnFormula array="1">Common_InputFunctions.Utility_DisplayArrayInTable(Fertiliser_SourceData.Fertiliser_Products_Data1(),FertiliserProducts[[#Headers],[Include or Exclude]], 0,4)</calculatedColumnFormula>
    </tableColumn>
    <tableColumn id="13" xr3:uid="{C98F9D77-769F-40EC-895F-4C52BD504957}" name="Ingredient 3" dataDxfId="148" totalsRowDxfId="147">
      <calculatedColumnFormula array="1">Common_InputFunctions.Utility_DisplayArrayInTable(Fertiliser_SourceData.Fertiliser_Products_Data1(),FertiliserProducts[[#Headers],[Include or Exclude]], 0,4)</calculatedColumnFormula>
    </tableColumn>
    <tableColumn id="14" xr3:uid="{B04C89A8-95B7-4EA6-A001-108F1FEA13F8}" name="Ingredient 3 percent" dataDxfId="146" totalsRowDxfId="145">
      <calculatedColumnFormula array="1">Common_InputFunctions.Utility_DisplayArrayInTable(Fertiliser_SourceData.Fertiliser_Products_Data1(),FertiliserProducts[[#Headers],[Include or Exclude]], 0,4)</calculatedColumnFormula>
    </tableColumn>
    <tableColumn id="15" xr3:uid="{11489240-D04C-4D6C-BB47-AF1CDC8A7123}" name="Ingredient 4" dataDxfId="144" totalsRowDxfId="143">
      <calculatedColumnFormula array="1">Common_InputFunctions.Utility_DisplayArrayInTable(Fertiliser_SourceData.Fertiliser_Products_Data1(),FertiliserProducts[[#Headers],[Include or Exclude]], 0,4)</calculatedColumnFormula>
    </tableColumn>
    <tableColumn id="16" xr3:uid="{B94A7174-7D58-4402-BAC5-CB17DD0DF7D3}" name="Ingredient 4 percent" dataDxfId="142" totalsRowDxfId="141">
      <calculatedColumnFormula array="1">Common_InputFunctions.Utility_DisplayArrayInTable(Fertiliser_SourceData.Fertiliser_Products_Data1(),FertiliserProducts[[#Headers],[Include or Exclude]], 0,4)</calculatedColumnFormula>
    </tableColumn>
    <tableColumn id="17" xr3:uid="{86E7436A-B671-4581-8984-5B7B3AC821EC}" name="Ingredient 5" dataDxfId="140" totalsRowDxfId="139">
      <calculatedColumnFormula array="1">Common_InputFunctions.Utility_DisplayArrayInTable(Fertiliser_SourceData.Fertiliser_Products_Data1(),FertiliserProducts[[#Headers],[Include or Exclude]], 0,4)</calculatedColumnFormula>
    </tableColumn>
    <tableColumn id="18" xr3:uid="{B2EF137A-EBAB-45A7-9F3B-C48DA2BF408E}" name="Ingredient 5 percent" dataDxfId="138" totalsRowDxfId="137">
      <calculatedColumnFormula array="1">Common_InputFunctions.Utility_DisplayArrayInTable(Fertiliser_SourceData.Fertiliser_Products_Data1(),FertiliserProducts[[#Headers],[Include or Exclude]], 0,4)</calculatedColumnFormula>
    </tableColumn>
    <tableColumn id="19" xr3:uid="{AD3A622B-1A2B-47A5-BBFE-D128C5109585}" name="Ingredient 6" dataDxfId="136" totalsRowDxfId="135">
      <calculatedColumnFormula array="1">Common_InputFunctions.Utility_DisplayArrayInTable(Fertiliser_SourceData.Fertiliser_Products_Data1(),FertiliserProducts[[#Headers],[Include or Exclude]], 0,4)</calculatedColumnFormula>
    </tableColumn>
    <tableColumn id="37" xr3:uid="{5C5A0B8F-79B2-4C90-B8A9-491D65569381}" name="Ingredient 6 percent" dataDxfId="134" totalsRowDxfId="133">
      <calculatedColumnFormula array="1">Common_InputFunctions.Utility_DisplayArrayInTable(Fertiliser_SourceData.Fertiliser_Products_Data1(),FertiliserProducts[[#Headers],[Include or Exclude]], 0,4)</calculatedColumnFormula>
    </tableColumn>
    <tableColumn id="20" xr3:uid="{694275CE-6F3C-4E72-A19D-2BB0C68C9DD4}" name="Ingredient 7" dataDxfId="132">
      <calculatedColumnFormula array="1">Common_InputFunctions.Utility_DisplayArrayInTable(Fertiliser_SourceData.Fertiliser_Products_Data1(),FertiliserProducts[[#Headers],[Include or Exclude]], 0,4)</calculatedColumnFormula>
    </tableColumn>
    <tableColumn id="24" xr3:uid="{60585C90-A06A-47DF-A8CB-6DF07A3469AF}" name="Ingredient 7 percent" dataDxfId="131">
      <calculatedColumnFormula array="1">Common_InputFunctions.Utility_DisplayArrayInTable(Fertiliser_SourceData.Fertiliser_Products_Data1(),FertiliserProducts[[#Headers],[Include or Exclude]], 0,4)</calculatedColumnFormula>
    </tableColumn>
    <tableColumn id="23" xr3:uid="{07531502-C82F-4696-9469-2F1CE22DD0D8}" name="Ingredient 8" dataDxfId="130">
      <calculatedColumnFormula array="1">Common_InputFunctions.Utility_DisplayArrayInTable(Fertiliser_SourceData.Fertiliser_Products_Data1(),FertiliserProducts[[#Headers],[Include or Exclude]], 0,4)</calculatedColumnFormula>
    </tableColumn>
    <tableColumn id="26" xr3:uid="{2C9F0A22-AF33-4834-831B-E98A649BC35D}" name="Ingredient 8 percent" dataDxfId="129">
      <calculatedColumnFormula array="1">Common_InputFunctions.Utility_DisplayArrayInTable(Fertiliser_SourceData.Fertiliser_Products_Data1(),FertiliserProducts[[#Headers],[Include or Exclude]], 0,4)</calculatedColumnFormula>
    </tableColumn>
    <tableColumn id="25" xr3:uid="{82AD21D5-A258-4B90-A33E-0CBC5CC9BBB5}" name="Ingredient 9" dataDxfId="128">
      <calculatedColumnFormula array="1">Common_InputFunctions.Utility_DisplayArrayInTable(Fertiliser_SourceData.Fertiliser_Products_Data1(),FertiliserProducts[[#Headers],[Include or Exclude]], 0,4)</calculatedColumnFormula>
    </tableColumn>
    <tableColumn id="30" xr3:uid="{23F43D56-C9DF-43A1-AF78-11E41F61305D}" name="Ingredient 9 percent" dataDxfId="127">
      <calculatedColumnFormula array="1">Common_InputFunctions.Utility_DisplayArrayInTable(Fertiliser_SourceData.Fertiliser_Products_Data1(),FertiliserProducts[[#Headers],[Include or Exclude]], 0,4)</calculatedColumnFormula>
    </tableColumn>
    <tableColumn id="29" xr3:uid="{EFBEDE61-4145-4DA3-82F8-5E6D0FB265FA}" name="Imngredient 10" dataDxfId="126">
      <calculatedColumnFormula array="1">Common_InputFunctions.Utility_DisplayArrayInTable(Fertiliser_SourceData.Fertiliser_Products_Data1(),FertiliserProducts[[#Headers],[Include or Exclude]], 0,4)</calculatedColumnFormula>
    </tableColumn>
    <tableColumn id="28" xr3:uid="{C1FBAFDA-4442-4079-B75E-82DEA8B1BB7B}" name="Ingredient 10 percent" dataDxfId="125">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F5B5A5C5-355E-40EA-8D4B-3C825ABF977E}"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2BBB8AEC-A709-40A1-99F5-2B5D1A756323}" name="Fertiliser type f">
      <calculatedColumnFormula array="1">Common_InputFunctions.Utility_DisplayArrayInTable(Fertiliser_SourceData.Fertiliser_FracGASF_Data(), Table_SourceData_Fertiliser_FracGASF[[#Headers],[Fertiliser type f]], 0)</calculatedColumnFormula>
    </tableColumn>
    <tableColumn id="2" xr3:uid="{568A2963-EE03-4858-9132-43A0A6C68B70}"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B07D3F9-7A52-48B8-8748-41E0D42035F2}" name="Table_SourceData_Fertiliser_CropProdSystems" displayName="Table_SourceData_Fertiliser_CropProdSystems" ref="D41:D43" totalsRowShown="0">
  <autoFilter ref="D41:D43" xr:uid="{24F3A11E-40F5-4BB9-BFF4-A71FA2ADA0EF}">
    <filterColumn colId="0" hiddenButton="1"/>
  </autoFilter>
  <tableColumns count="1">
    <tableColumn id="1" xr3:uid="{6CBCC084-7027-4918-9253-F1564DB3BDF5}"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3F1158E4-D919-498D-BABB-B1B8DAB9FA8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7770EA74-FE54-4B18-8F14-3FF43F50CB61}"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2158CE40-0C6C-45AA-ABE4-4CA1A2C8C69D}" name="Table_SourceData_Fertiliser_CropTypes" displayName="Table_SourceData_Fertiliser_CropTypes" ref="F41:F45" totalsRowShown="0">
  <autoFilter ref="F41:F45" xr:uid="{CB5044B5-FA3C-4AA2-B1AB-72F7E61D072F}">
    <filterColumn colId="0" hiddenButton="1"/>
  </autoFilter>
  <tableColumns count="1">
    <tableColumn id="1" xr3:uid="{C8AD54EA-2317-4E66-B4A6-A0A05568AFB8}"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E417C4A9-E27A-4B77-A9BF-E241EDD82453}" name="Table_SourceData_OrganicFertiliserTypes" displayName="Table_SourceData_OrganicFertiliserTypes" ref="J41:J46" totalsRowShown="0">
  <autoFilter ref="J41:J46" xr:uid="{B44627B1-537E-4ABC-92C3-57282CEE5B40}">
    <filterColumn colId="0" hiddenButton="1"/>
  </autoFilter>
  <tableColumns count="1">
    <tableColumn id="1" xr3:uid="{BE69C213-18AF-4BD5-858B-F5C9D87B7A3C}"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9443F94B-DCE2-4051-90FC-C99C709978FD}"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7A2ED91D-B66D-4660-AD06-FD6181832181}"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7A2264A-739D-40E3-A00D-08025CD469F3}"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ACB7D30-91B6-455D-806B-8A335C030D3C}"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E7313BC2-E6DA-4372-8E4E-339CE033AA2A}" name="Table2" displayName="Table2" ref="K19:L28" totalsRowShown="0" dataDxfId="121" dataCellStyle="Content normal">
  <autoFilter ref="K19:L28" xr:uid="{27B93029-EB1F-4C4A-A946-CD673A8A6C46}">
    <filterColumn colId="0" hiddenButton="1"/>
    <filterColumn colId="1" hiddenButton="1"/>
  </autoFilter>
  <tableColumns count="2">
    <tableColumn id="1" xr3:uid="{A42C8CAC-7BB7-4CC1-AB20-C53630D7EC20}"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7B5B5FF2-5C2A-4E1A-93EB-F0E3DFA34AE1}"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4490A9D-9066-4E69-B2EA-DC9842F02DB2}" name="Table28" displayName="Table28" ref="Q19:R28" totalsRowShown="0" dataDxfId="118" dataCellStyle="Content normal">
  <autoFilter ref="Q19:R28" xr:uid="{791CEA59-796C-47AB-86BC-41E8F699030C}">
    <filterColumn colId="0" hiddenButton="1"/>
    <filterColumn colId="1" hiddenButton="1"/>
  </autoFilter>
  <tableColumns count="2">
    <tableColumn id="1" xr3:uid="{A073B4D4-09A3-4D85-BFCB-5D0BCCE17544}"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F40CEDCD-A3CF-466D-A8CE-AD053281C768}"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208EC7BA-31CA-41C6-9609-435763CF87B9}"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F964EE03-9171-4A0D-82F6-1C60C470C46C}"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B6C03F03-6B66-4710-AA74-91EF0A51DE89}"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58B0D40B-F931-4E00-A8E1-45CF0965D56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AD5ABC26-3448-4269-B8C1-59E194CCEC4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BD0567F9-D207-4B52-975D-AFC53590534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E010CC7E-FBDD-40AB-85F1-FBAB8C718958}"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D3926129-9BF6-4DAD-AF22-D172063F3AAB}"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248A5FCF-9AD7-4C84-88AC-E995190FF72C}"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23FA1608-464F-490C-B8EC-83A5C75FE32A}"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C357024E-EB7B-4F1C-9FBB-628763331AA3}"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EFBCE550-EB3F-4596-BE82-BA2645A07D2F}"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BDE1B-9F02-41F7-94D5-6A0633D0E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AA51901-FEB1-49C7-A56F-DBC8EF3CDC2B}" name="State/Territory">
      <calculatedColumnFormula array="1">Common_InputFunctions.Utility_DisplayArrayInTable(Common_SourceData.Common_SourceData_AustralianStatesTerritories_Data(),Table_AustralianStates[[#Headers],[State/Territory]],0)</calculatedColumnFormula>
    </tableColumn>
    <tableColumn id="2" xr3:uid="{B1172F3C-BD59-4120-9D49-04DEC1761C2D}" name="Common Name">
      <calculatedColumnFormula array="1">Common_InputFunctions.Utility_DisplayArrayInTable(Common_SourceData.Common_SourceData_AustralianStatesTerritories_Data(),Table_AustralianStates[[#Headers],[State/Territory]],0)</calculatedColumnFormula>
    </tableColumn>
    <tableColumn id="3" xr3:uid="{6E563293-81D4-4076-B96D-5658B7CDF0D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7B376-FF70-4D56-A679-49EC291F0454}" name="Table_WASA4Areas" displayName="Table_WASA4Areas" ref="D20:D30" totalsRowShown="0">
  <autoFilter ref="D20:D30" xr:uid="{5FA81339-C6C8-4D36-BEEA-6C4AEDD9E676}">
    <filterColumn colId="0" hiddenButton="1"/>
  </autoFilter>
  <tableColumns count="1">
    <tableColumn id="1" xr3:uid="{D0C7ABEB-195F-4B36-B486-28B541362AA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2636B-2480-402A-A38A-D112E349BE2C}" name="Table_GWPData" displayName="Table_GWPData" ref="D36:E43" totalsRowShown="0">
  <autoFilter ref="D36:E43" xr:uid="{B8E87A66-3E41-4AD3-925D-01EE21B43D7A}">
    <filterColumn colId="0" hiddenButton="1"/>
    <filterColumn colId="1" hiddenButton="1"/>
  </autoFilter>
  <tableColumns count="2">
    <tableColumn id="1" xr3:uid="{845461D0-6A53-4CDB-A26F-7C48718CAD2A}" name="Gas">
      <calculatedColumnFormula array="1">Common_InputFunctions.Utility_DisplayArrayInTable(Common_SourceData.Common_SourceData_GWP_Data(), Table_GWPData[[#Headers],[Gas]], 0)</calculatedColumnFormula>
    </tableColumn>
    <tableColumn id="2" xr3:uid="{F6E2068C-CF1E-4317-AA07-FB883FCF885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5C020A-BDC2-4037-9615-57E3085717B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2B3543A-65E6-4598-9CDF-55F3898D525A}" name="Gas">
      <calculatedColumnFormula array="1">Common_InputFunctions.Utility_DisplayArrayInTable(Common_SourceData.Common_SourceData_ConvertGasElementalToMolecular_Data(),Table_GasToMolecularConversionFactor[[#Headers],[Gas]], 0)</calculatedColumnFormula>
    </tableColumn>
    <tableColumn id="5" xr3:uid="{64B19BD5-4887-44B0-864C-BEC78D64DE70}" name="Conversion factor">
      <calculatedColumnFormula array="1">Common_InputFunctions.Utility_DisplayArrayInTable(Common_SourceData.Common_SourceData_ConvertGasElementalToMolecular_Data(),Table_GasToMolecularConversionFactor[[#Headers],[Gas]], 0)</calculatedColumnFormula>
    </tableColumn>
    <tableColumn id="2" xr3:uid="{A9B89902-ABA6-42C0-B074-69CB6DFA09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129DE1-5D75-4BE8-9ED0-C6FE0195C25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6E2658-2C2E-477A-B604-DFCFD36CE80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24B75-A038-4244-92DE-E081D0D760D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55F07CF-3781-437C-96A2-72ADB50DC72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10C11-A7AF-4059-BA8F-D42B8F6C0589}" name="MAT"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3" xr3:uid="{2B9B0360-3347-4785-AD36-1F150E385FE1}" name="MAP"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4" xr3:uid="{B8A87781-EDBD-4CF0-9597-073BA9400C80}" name="Frost days per year"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5" xr3:uid="{D5A1BE74-C391-45ED-9513-C20CA9EFA3A0}" name="Elevation"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6" xr3:uid="{E8603E5B-DFCD-4D25-9D9B-7DC720D567EA}" name="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7" xr3:uid="{95A4A1EA-29A7-4921-AFF6-42C3BBDCE1C5}" name="Min tem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8" xr3:uid="{381D92DB-8439-4A20-8F7A-691E4DD315D4}" name="Max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9" xr3:uid="{8C4EF152-561B-4D35-AF3B-DAE747750ECF}" name="Min rainfall"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0" xr3:uid="{307279C8-ED68-49DE-89B6-2E62A0CE389C}" name="Max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1" xr3:uid="{74023347-7C20-4184-B9F3-AC5FBBA0122E}" name="Min frost days"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5" xr3:uid="{0EAEA2CD-C57F-4FEF-B00E-F960E603C1FB}" name="Max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2" xr3:uid="{B6E3DB25-745E-47F8-B93F-CA4F854393B0}" name="Min elevation"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6" xr3:uid="{C7E34ECD-3DAE-45D2-9EAF-49E4ACD2F398}" name="Max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3" xr3:uid="{C5DC73F5-EB0C-4857-8403-80A42CA12540}" name="Min MAP:PE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7" xr3:uid="{6ABB65B0-9B2E-4F01-840B-6CC6B327E029}" name="Max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26867A-9D1C-40E8-A64A-B41EB2A7866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9E0FD66-ED06-4555-925E-7D6F95DD92C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474AE4B-1306-4D07-9388-F3B17120841D}" name="Wet or Dry Zone" totalsRowDxfId="9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D01C8-9E7D-49BF-B8E7-117B720CC64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62C587B-D2C3-4B35-B9A3-3D81C1D3BFD2}" name="Temperature Zone">
      <calculatedColumnFormula array="1">Common_InputFunctions.Utility_DisplayArrayInTable(Common_SourceData.Common_SourceData_TemperatureZones_Data(),Table_SourceData_TemperatureZones[[#Headers],[Temperature Zone]],0)</calculatedColumnFormula>
    </tableColumn>
    <tableColumn id="2" xr3:uid="{3A8C75CC-1C6C-4475-AA04-D2B249F09929}" name="MAT">
      <calculatedColumnFormula array="1">Common_InputFunctions.Utility_DisplayArrayInTable(Common_SourceData.Common_SourceData_TemperatureZones_Data(),Table_SourceData_TemperatureZones[[#Headers],[Temperature Zone]],0)</calculatedColumnFormula>
    </tableColumn>
    <tableColumn id="3" xr3:uid="{F29BBAF7-2927-4D83-8FEF-57F4241E3074}" name="Min MAT">
      <calculatedColumnFormula array="1">Common_InputFunctions.Utility_DisplayArrayInTable(Common_SourceData.Common_SourceData_TemperatureZones_Data(),Table_SourceData_TemperatureZones[[#Headers],[Temperature Zone]],0)</calculatedColumnFormula>
    </tableColumn>
    <tableColumn id="4" xr3:uid="{82117766-D5A0-4AAA-BCCB-F2A0F05D59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AD0CF-523A-4CAE-B9B5-93200B0012F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78AB37-B7F1-4DFA-AA71-4AB15B729FB0}" name="Rainfall Zone">
      <calculatedColumnFormula array="1">Common_InputFunctions.Utility_DisplayArrayInTable(Common_SourceData.Common_SourceData_RainfallZones_Data(),Table_SourceData_RainfallZones[[#Headers],[Rainfall Zone]],0)</calculatedColumnFormula>
    </tableColumn>
    <tableColumn id="2" xr3:uid="{1F3ADBD4-4A01-4B11-B153-3D4F62B3AA0B}" name="Annual rainfall">
      <calculatedColumnFormula array="1">Common_InputFunctions.Utility_DisplayArrayInTable(Common_SourceData.Common_SourceData_RainfallZones_Data(),Table_SourceData_RainfallZones[[#Headers],[Rainfall Zone]],0)</calculatedColumnFormula>
    </tableColumn>
    <tableColumn id="3" xr3:uid="{DDC455F9-AF71-4307-A146-A540EEA66CD5}" name="Min rainfall">
      <calculatedColumnFormula array="1">Common_InputFunctions.Utility_DisplayArrayInTable(Common_SourceData.Common_SourceData_RainfallZones_Data(),Table_SourceData_RainfallZones[[#Headers],[Rainfall Zone]],0)</calculatedColumnFormula>
    </tableColumn>
    <tableColumn id="4" xr3:uid="{6ACE7E45-F7C3-45B4-8777-314362E220B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D9C25-4483-47C8-A841-7BB2B19454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E3FA8E0-2798-49DA-98B4-B9E576A8F707}" name="Leaching Zone">
      <calculatedColumnFormula array="1">Common_InputFunctions.Utility_DisplayArrayInTable(Common_SourceData.Common_SourceData_LeachingZones_Data(), Table_SourceData_LeachingZones[[#Headers],[Leaching Zone]], 0)</calculatedColumnFormula>
    </tableColumn>
    <tableColumn id="2" xr3:uid="{228E436F-728A-4E81-AC64-6A6E55B77C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F29EFF-5257-404C-A325-314D5B37416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DC1380F-6BF8-4B48-9FA3-8CCBEE739FA2}" name="Data source">
      <calculatedColumnFormula array="1">Common_InputFunctions.Utility_DisplayArrayInTable(Common_SourceData.Common_SourceData_DataScores_Scope3_Data(), Table_SourceData_DataScores_Scope3[[#Headers],[Data source]], 0)</calculatedColumnFormula>
    </tableColumn>
    <tableColumn id="2" xr3:uid="{C23440A6-62D9-4C22-9A98-113BDBF3CB6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C101EF-5BBE-4CFA-8A94-2EAAFEFB37D6}" name="Table_SourceData_FracWET" displayName="Table_SourceData_FracWET" ref="D134:E136" totalsRowShown="0">
  <autoFilter ref="D134:E136" xr:uid="{308E99BE-FE1F-47A4-B2CA-97217277C4E9}">
    <filterColumn colId="0" hiddenButton="1"/>
    <filterColumn colId="1" hiddenButton="1"/>
  </autoFilter>
  <tableColumns count="2">
    <tableColumn id="1" xr3:uid="{BBB41955-E475-41B9-8FA4-650C1DD704D3}" name="Is in leaching zone">
      <calculatedColumnFormula array="1">Common_InputFunctions.Utility_DisplayArrayInTable(Common_SourceData.Common_SourceData_FracWET_Data(),Table_SourceData_FracWET[[#Headers],[Is in leaching zone]],0)</calculatedColumnFormula>
    </tableColumn>
    <tableColumn id="2" xr3:uid="{71C3990C-3202-45B1-BE0E-3DDDC662CA02}" name="FracWET" dataDxfId="9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CDA2B8-B770-408C-BC08-CB9B1D01432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96F11B-84D6-4066-9AD2-E91FCBAB0E7E}" name="Production system j">
      <calculatedColumnFormula array="1">Common_InputFunctions.Utility_DisplayArrayInTable(Common_SourceData.Common_SourceData_EFN2O_Data(), Table_SourceData_Common_EFN2O[[#Headers],[Production system j]], 0)</calculatedColumnFormula>
    </tableColumn>
    <tableColumn id="2" xr3:uid="{2FA40181-09A7-46E3-90CB-BDBF5FD9FBE2}" name="EFN2O">
      <calculatedColumnFormula array="1">Common_InputFunctions.Utility_DisplayArrayInTable(Common_SourceData.Common_SourceData_EFN2O_Data(), Table_SourceData_Common_EFN2O[[#Headers],[Production system j]], 0)</calculatedColumnFormula>
    </tableColumn>
    <tableColumn id="3" xr3:uid="{2F6E93A0-D2FC-42EE-8E93-F299995B8C60}" name="Production system only">
      <calculatedColumnFormula array="1">Common_InputFunctions.Utility_DisplayArrayInTable(Common_SourceData.Common_SourceData_EFN2O_Data(), Table_SourceData_Common_EFN2O[[#Headers],[Production system j]], 0)</calculatedColumnFormula>
    </tableColumn>
    <tableColumn id="4" xr3:uid="{EB7F0B43-60DD-462E-AFB1-D24E802CDF82}" name="Irrigation method">
      <calculatedColumnFormula array="1">Common_InputFunctions.Utility_DisplayArrayInTable(Common_SourceData.Common_SourceData_EFN2O_Data(), Table_SourceData_Common_EFN2O[[#Headers],[Production system j]], 0)</calculatedColumnFormula>
    </tableColumn>
    <tableColumn id="5" xr3:uid="{5AA3D1AB-5449-4445-B1D9-0428FB9C53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872CA3-6511-4065-AD4F-9E4E775E710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DB837-7A21-4E6E-A8CD-F6445E7F1C07}" name="Irrigation type i">
      <calculatedColumnFormula array="1">Common_InputFunctions.Utility_DisplayArrayInTable(Common_SourceData.Common_SourceData_FracWETIrrigation_Data(), Table_SourceData_FracWETIrrigation[[#Headers],[Irrigation type i]], 0)</calculatedColumnFormula>
    </tableColumn>
    <tableColumn id="2" xr3:uid="{3F61449A-FB33-4716-93EF-21E94F4F0BC8}" name="FracWET" dataDxfId="9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96FA05-F0A1-4326-92F1-59870FDCD9A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F147F38-3236-4C02-954A-D671D28F93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423E42-5B8F-480E-B048-8ADAB288E69A}" name="EFPRP" dataDxfId="9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A565F8F-D885-4A99-BAC8-C7C7B59B8FA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0AC521-1A85-4E23-B770-3E93328D8054}" name="Month">
      <calculatedColumnFormula array="1">Common_InputFunctions.Utility_DisplayArrayInTable(Common_SourceData.Common_SourceData_MonthsToSeasons_Data(), Table_SourceData_Common_MonthToSeason[[#Headers],[Month]], 0)</calculatedColumnFormula>
    </tableColumn>
    <tableColumn id="2" xr3:uid="{A9143433-77F1-4BCD-BFFD-780F4DD04662}" name="Season" dataDxfId="9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8D5A0-453F-4835-82E5-6D0288402F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08ACE8-B481-4609-B73A-55A22A17F9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DB4B283-3397-4BFE-A3AB-FA7A37C24D9A}" name="MAT (ºC)"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D8B9F63-DFAB-41FA-B36C-D30693A8FB2C}" name="Anaerobic lagoon"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564CAE-15A8-405B-BF29-A652EED50B47}" name="Digester / covered lagoons"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2199D4A-6E50-4A8C-8B64-C0B5591C32BA}" name="Liquid system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078CF-3123-43D6-AB0D-FBCCBC190F91}" name="Daily spread"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13C4125-DAC0-4ED4-BA61-945721DCD3AF}" name="Composting (passive windrow)"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7E1C98-B334-48A6-80CD-6557FC6A62A7}" name="Solid storage"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91415B-B2C0-4B2B-8963-9D9D3626155F}" name="Pit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E248B30-27D9-43CF-ACBC-95E10A777FB8}" name="Deep litter"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C0A84D7-263C-4F8C-8683-53114DC8BAFD}" name="Poultry manure with bedding"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F125D93-902F-4F8D-A400-AA3BD4D2002F}" name="Poultry manure without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8BD3AFA-E2C1-45B5-95A9-A5EFD64FD227}" name="Direct process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C785DFF-A33D-480F-A34C-9DA586FBE28B}" name="Direct application"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54653FC-3C84-4FAD-AFD1-FD407B3E4B0A}" name="Pasture range and paddock"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0C55EA9-D13E-47AC-B4F8-77AC35D8B806}" name="MAT raw"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74B1F0-2DC2-4016-A10A-BB0967DD6A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BEADD09-D0E4-493D-B2B7-0C9A7D4B734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6DDA2D-BAB5-4908-80F3-AA64C0CCCD96}" name="EFNi &amp; EFN2Oi" dataDxfId="7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829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3" workbookViewId="0">
      <selection activeCell="F17" sqref="F17"/>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3:12" s="1" customFormat="1" ht="30" customHeight="1" x14ac:dyDescent="0.35">
      <c r="C1" s="214" t="s">
        <v>830</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831</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832</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833</v>
      </c>
      <c r="E9" s="219" t="s">
        <v>834</v>
      </c>
      <c r="F9" s="219" t="s">
        <v>835</v>
      </c>
      <c r="G9" s="219"/>
    </row>
    <row r="10" spans="3:12" ht="20.100000000000001" customHeight="1" x14ac:dyDescent="0.25">
      <c r="D10" s="8" t="str" cm="1">
        <f t="array" ref="D10">Common_InputFunctions.Utility_ResultsItemFromEquationTitleAndSource('15 Scope 3'!D5,'15 Scope 3'!D6)</f>
        <v>15.1.1.1 Total emissions from purchased livestock</v>
      </c>
      <c r="E10" s="220" t="s">
        <v>848</v>
      </c>
      <c r="F10" s="220" t="s">
        <v>848</v>
      </c>
      <c r="G10" s="13" t="s">
        <v>836</v>
      </c>
    </row>
    <row r="11" spans="3:12" ht="20.100000000000001" customHeight="1" x14ac:dyDescent="0.25">
      <c r="D11" s="221" t="str">
        <f>'15 Scope 3'!D21</f>
        <v>Beef cattle</v>
      </c>
      <c r="E11" s="220">
        <f>VEERG_15_1_1_1__1_EmissionsFromPurchasedLivestock_BeefCattle_Result_Method1</f>
        <v>1052.5</v>
      </c>
      <c r="F11" s="220">
        <f>VEERG_15_1_1_1__1_EmissionsFromPurchasedLivestock_BeefCattle_Result_Method2</f>
        <v>1014.5</v>
      </c>
      <c r="G11" s="13" t="s">
        <v>836</v>
      </c>
    </row>
    <row r="12" spans="3:12" ht="20.100000000000001" customHeight="1" x14ac:dyDescent="0.25">
      <c r="D12" s="221" t="str">
        <f>'15 Scope 3'!D38</f>
        <v>Dairy cattle</v>
      </c>
      <c r="E12" s="220">
        <f>VEERG_15_1_1_1__1_EmissionsFromPurchasedLivestock_DairyCattle_Result_Method1</f>
        <v>295.47000000000003</v>
      </c>
      <c r="F12" s="220">
        <f>VEERG_15_1_1_1__1_EmissionsFromPurchasedLivestock_DairyCattle_Result_Method2</f>
        <v>415.625</v>
      </c>
      <c r="G12" s="13" t="s">
        <v>836</v>
      </c>
    </row>
    <row r="13" spans="3:12" ht="20.100000000000001" customHeight="1" x14ac:dyDescent="0.25">
      <c r="D13" s="221" t="str">
        <f>'15 Scope 3'!D57</f>
        <v>Pigs</v>
      </c>
      <c r="E13" s="220">
        <f>VEERG_15_1_1_1__1_EmissionsFromPurchasedLivestock_Pigs_Result_Method1</f>
        <v>0</v>
      </c>
      <c r="F13" s="220">
        <f>VEERG_15_1_1_1__1_EmissionsFromPurchasedLivestock_Pigs_Result_Method2</f>
        <v>73.38000000000001</v>
      </c>
      <c r="G13" s="13" t="s">
        <v>836</v>
      </c>
    </row>
    <row r="14" spans="3:12" ht="20.100000000000001" customHeight="1" x14ac:dyDescent="0.25">
      <c r="D14" s="221" t="str">
        <f>'15 Scope 3'!D75</f>
        <v>Poultry</v>
      </c>
      <c r="E14" s="220">
        <f>VEERG_15_1_1_1__1_EmissionsFromPurchasedLivestock_Poultry_Result_Method1</f>
        <v>0.36720000000000003</v>
      </c>
      <c r="F14" s="220">
        <f>VEERG_15_1_1_1__1_EmissionsFromPurchasedLivestock_Poultry_Result_Method2</f>
        <v>0.35940000000000005</v>
      </c>
      <c r="G14" s="13" t="s">
        <v>836</v>
      </c>
    </row>
    <row r="15" spans="3:12" ht="20.100000000000001" customHeight="1" x14ac:dyDescent="0.25">
      <c r="C15" s="222"/>
      <c r="D15" s="8" t="str" cm="1">
        <f t="array" ref="D15">Common_InputFunctions.Utility_ResultsItemFromEquationTitleAndSource('15 Scope 3'!D98,'15 Scope 3'!D99)</f>
        <v>15.2.1.1 Emissions from purchased feed</v>
      </c>
      <c r="E15" s="220">
        <f>VEERG_15_2_1_1__1_EmissionsFromPurchasedFeed_Result_Method1</f>
        <v>377.05200000000002</v>
      </c>
      <c r="F15" s="220">
        <f>VEERG_15_2_1_1__1_EmissionsFromPurchasedFeed_Result_Method2</f>
        <v>529.78</v>
      </c>
      <c r="G15" s="13" t="s">
        <v>836</v>
      </c>
    </row>
    <row r="16" spans="3:12" ht="20.100000000000001" customHeight="1" x14ac:dyDescent="0.25">
      <c r="C16" s="222"/>
      <c r="D16" s="8" t="str" cm="1">
        <f t="array" ref="D16">Common_InputFunctions.Utility_ResultsItemFromEquationTitleAndSource('15 Scope 3'!D149,'15 Scope 3'!D150)</f>
        <v>15.3.1.1 Total emissions from purchased mineral supplements</v>
      </c>
      <c r="E16" s="220">
        <f>VEERG_15_3_1_1__1_EmissionsFromPurchasedMineralSupplements_Result_Method1</f>
        <v>178.9</v>
      </c>
      <c r="F16" s="220">
        <f>VEERG_15_3_1_1__1_EmissionsFromPurchasedMineralSupplements_Result_Method2</f>
        <v>160</v>
      </c>
      <c r="G16" s="13" t="s">
        <v>836</v>
      </c>
    </row>
    <row r="17" spans="4:8" ht="20.100000000000001" customHeight="1" x14ac:dyDescent="0.25">
      <c r="D17" s="8" t="str" cm="1">
        <f t="array" ref="D17">Common_InputFunctions.Utility_ResultsItemFromEquationTitleAndSource('15 Scope 3'!D186,'15 Scope 3'!D187)</f>
        <v>15.4.1.1 Emissions from purchased fertiliser</v>
      </c>
      <c r="E17" s="220">
        <f>VEERG_15_4_1_1__2_EmissionsFromPurchasedFertiliserComponentsVariation_Result_Method1</f>
        <v>78.284322000000003</v>
      </c>
      <c r="F17" s="220">
        <f>VEERG_15_4_1_1__2_EmissionsFromPurchasedFertiliserComponentsVariation_Result_Method2</f>
        <v>75.743047000000004</v>
      </c>
      <c r="G17" s="13" t="s">
        <v>836</v>
      </c>
    </row>
    <row r="18" spans="4:8" ht="20.100000000000001" customHeight="1" x14ac:dyDescent="0.25">
      <c r="D18" s="8" t="str" cm="1">
        <f t="array" ref="D18">Common_InputFunctions.Utility_ResultsItemFromEquationTitleAndSource('15 Scope 3'!D256,'15 Scope 3'!D257)</f>
        <v>15.5.1.1 Total emissions from purchased agrichemicals</v>
      </c>
      <c r="E18" s="220">
        <f>VEERG_15_5_1_1__1_EmissionsFromPurchasedAgrichemicals_Result_Method1</f>
        <v>7.5159999999999991</v>
      </c>
      <c r="F18" s="220">
        <f>VEERG_15_5_1_1__1_EmissionsFromPurchasedAgrichemicals_Result_Method2</f>
        <v>7.4959999999999996</v>
      </c>
      <c r="G18" s="13" t="s">
        <v>836</v>
      </c>
    </row>
    <row r="19" spans="4:8" ht="20.100000000000001" customHeight="1" x14ac:dyDescent="0.25">
      <c r="D19" s="8" t="str" cm="1">
        <f t="array" ref="D19">Common_InputFunctions.Utility_ResultsItemFromEquationTitleAndSource('15 Scope 3'!D288,'15 Scope 3'!D289)</f>
        <v>15.6.1.1 Embedded emissions for purchased lime</v>
      </c>
      <c r="E19" s="220">
        <f>VEERG_15_6_1_1__1_EmissionsFromPurchasedLime_Result_Method1</f>
        <v>0</v>
      </c>
      <c r="F19" s="220">
        <f>VEERG_15_6_1_1__1_EmissionsFromPurchasedLime_Result_Method2</f>
        <v>0</v>
      </c>
      <c r="G19" s="13" t="s">
        <v>836</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tr">
        <f>VEERG_15_7_1_1__1_EmissionsFromPurchasedServices_Result_Method1</f>
        <v>No data</v>
      </c>
      <c r="F20" s="220">
        <f>VEERG_15_7_1_1__1_EmissionsFromPurchasedServices_Result_Method2</f>
        <v>42</v>
      </c>
      <c r="G20" s="13" t="s">
        <v>836</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VEERG_15_8_1_1__1_EmissionsFromPurchasedPackaging_Result_Method1</f>
        <v>7.44</v>
      </c>
      <c r="F21" s="220">
        <f>VEERG_15_8_1_1__1_EmissionsFromPurchasedPackaging_Result_Method2</f>
        <v>6</v>
      </c>
      <c r="G21" s="13" t="s">
        <v>836</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VEERG_15_9_1_1__1_EmissionsFromPurchasedGrowMedia_Result_Method1</f>
        <v>No data</v>
      </c>
      <c r="F22" s="220">
        <f>VEERG_15_9_1_1__1_EmissionsFromPurchasedGrowMedia_Result_Method2</f>
        <v>40.200000000000003</v>
      </c>
      <c r="G22" s="13" t="s">
        <v>836</v>
      </c>
    </row>
    <row r="23" spans="4:8" ht="20.100000000000001" customHeight="1" x14ac:dyDescent="0.25">
      <c r="D23" s="8" t="str" cm="1">
        <f t="array" ref="D23">Common_InputFunctions.Utility_ResultsItemFromEquationTitleAndSource('15 Scope 3'!D415,'15 Scope 3'!D416)</f>
        <v>15.10 Other purchased goods and services generic estimate</v>
      </c>
      <c r="E23" s="220" t="s">
        <v>848</v>
      </c>
      <c r="F23" s="220" t="s">
        <v>848</v>
      </c>
      <c r="G23" s="13" t="s">
        <v>836</v>
      </c>
    </row>
    <row r="24" spans="4:8" ht="20.100000000000001" customHeight="1" x14ac:dyDescent="0.25">
      <c r="D24" s="221" t="str">
        <f>'15 Scope 3'!D427</f>
        <v>Cleaning chemical purchases</v>
      </c>
      <c r="E24" s="220">
        <f>VEERG_15_10_1_1__1_OtherPurchasedGoodsAndServices_CleaningChemicals_Result_Method1</f>
        <v>0.50509999999999999</v>
      </c>
      <c r="F24" s="220">
        <f>VEERG_15_10_1_1__1_OtherPurchasedGoodsAndServices_CleaningChemicals_Result_Method2</f>
        <v>2.73</v>
      </c>
      <c r="G24" s="13" t="s">
        <v>836</v>
      </c>
    </row>
    <row r="25" spans="4:8" ht="20.100000000000001" customHeight="1" x14ac:dyDescent="0.25">
      <c r="D25" s="221" t="str">
        <f>'15 Scope 3'!D445</f>
        <v>Pharmacy chemical purchases</v>
      </c>
      <c r="E25" s="220">
        <f>VEERG_15_10_1_1__1_OtherPurchasedGoodsAndServices_PharmacyChemicals_Result_Method1</f>
        <v>1.5636000000000001E-2</v>
      </c>
      <c r="F25" s="220">
        <f>VEERG_15_10_1_1__1_OtherPurchasedGoodsAndServices_PharmacyChemicals_Result_Method2</f>
        <v>1.3400000000000002E-2</v>
      </c>
      <c r="G25" s="13" t="s">
        <v>836</v>
      </c>
    </row>
    <row r="26" spans="4:8" ht="20.100000000000001" customHeight="1" x14ac:dyDescent="0.25">
      <c r="D26" s="221" t="str">
        <f>'15 Scope 3'!D463</f>
        <v>Seed</v>
      </c>
      <c r="E26" s="220">
        <f>VEERG_15_10_1_1__1_OtherPurchasedGoodsAndServices_Seed_Result_Method1</f>
        <v>0.84389999999999998</v>
      </c>
      <c r="F26" s="220">
        <f>VEERG_15_10_1_1__1_OtherPurchasedGoodsAndServices_Seed_Result_Method2</f>
        <v>0.71420000000000006</v>
      </c>
      <c r="G26" s="13" t="s">
        <v>836</v>
      </c>
    </row>
    <row r="27" spans="4:8" ht="20.100000000000001" customHeight="1" x14ac:dyDescent="0.25">
      <c r="D27" s="221" t="str">
        <f>'15 Scope 3'!D476</f>
        <v>Miscellaneous Inputs</v>
      </c>
      <c r="E27" s="220">
        <f>VEERG_15_10_1_1__1_OtherPurchasedGoodsAndServices_Misc_Result_Method1</f>
        <v>2.9531000000000005</v>
      </c>
      <c r="F27" s="220">
        <f>VEERG_15_10_1_1__1_OtherPurchasedGoodsAndServices_Misc_Result_Method2</f>
        <v>8.5860000000000006E-2</v>
      </c>
      <c r="G27" s="13" t="s">
        <v>836</v>
      </c>
    </row>
    <row r="28" spans="4:8" ht="20.100000000000001" customHeight="1" x14ac:dyDescent="0.25">
      <c r="D28" s="221" t="str">
        <f>'15 Scope 3'!D487</f>
        <v>Uncategorised products with no Method 1 EF data</v>
      </c>
      <c r="E28" s="220" t="str">
        <f>VEERG_15_10_1_1__1_OtherPurchasedGoodsAndServices_Uncategorised_Result_Method1</f>
        <v>No data</v>
      </c>
      <c r="F28" s="220">
        <f>VEERG_15_10_1_1__1_OtherPurchasedGoodsAndServices_Uncategorised_Result_Method2</f>
        <v>4000</v>
      </c>
      <c r="G28" s="13" t="s">
        <v>836</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VEERG_15_11_1_1__1_TotalUpstreamEmissionsFromFuel_Result</f>
        <v>26.794</v>
      </c>
      <c r="F29" s="220">
        <f>E29</f>
        <v>26.794</v>
      </c>
      <c r="G29" s="13" t="s">
        <v>836</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VEERG_15_12_1_1__1_UpstreamPurchasedElectricityLocationBased_Result</f>
        <v>2.7</v>
      </c>
      <c r="F30" s="220">
        <f>E30</f>
        <v>2.7</v>
      </c>
      <c r="G30" s="13" t="s">
        <v>836</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VEERG_15_12_1_2__1_UpstreamPurchasedElectricityMarketBasedVariation_Result</f>
        <v>1.5</v>
      </c>
      <c r="F31" s="220">
        <f>E31</f>
        <v>1.5</v>
      </c>
      <c r="G31" s="13" t="s">
        <v>836</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VEERG_15_13_1_1__1_EmissionsFromManureSentOffSite_Result_Method1_CO2e</f>
        <v>3.7936642857142857</v>
      </c>
      <c r="F32" s="220">
        <f>VEERG_15_13_1_1__1_EmissionsFromManureSentOffSite_Result_Method2_CO2e</f>
        <v>7.5873285714285714</v>
      </c>
      <c r="G32" s="13" t="s">
        <v>836</v>
      </c>
    </row>
    <row r="33" spans="4:7" ht="20.100000000000001" customHeight="1" x14ac:dyDescent="0.25">
      <c r="D33" s="8" t="str" cm="1">
        <f t="array" ref="D33">Common_InputFunctions.Utility_ResultsItemFromEquationTitleAndSource('15 Scope 3'!D582,'15 Scope 3'!D583&amp;",")</f>
        <v>15.13.1.3 Emissions from solid waste sent to a treatment facility</v>
      </c>
      <c r="E33" s="220">
        <f>VEERG_10_1_1_1__1_EmissionsFromWasteManagement_Scope3_Result_Method1</f>
        <v>441.15000000000003</v>
      </c>
      <c r="F33" s="220">
        <f>E33</f>
        <v>441.15000000000003</v>
      </c>
      <c r="G33" s="13" t="s">
        <v>836</v>
      </c>
    </row>
    <row r="34" spans="4:7" ht="20.100000000000001" customHeight="1" x14ac:dyDescent="0.25">
      <c r="D34" s="8" t="str" cm="1">
        <f t="array" ref="D34">Common_InputFunctions.Utility_ResultsItemFromEquationTitleAndSource('15 Scope 3'!D592,'15 Scope 3'!D593)</f>
        <v>15.14.1.1 Embedded emissions from upstream freight</v>
      </c>
      <c r="E34" s="220" t="s">
        <v>848</v>
      </c>
      <c r="F34" s="220" t="s">
        <v>848</v>
      </c>
      <c r="G34" s="13" t="s">
        <v>836</v>
      </c>
    </row>
    <row r="35" spans="4:7" ht="20.100000000000001" customHeight="1" x14ac:dyDescent="0.25">
      <c r="D35" s="221" t="str">
        <f>'15 Scope 3'!D606</f>
        <v>Incoming freight</v>
      </c>
      <c r="E35" s="220" t="str">
        <f>VEERG_15_14_1_1__1_EmbeddedEmissionsFromUpstreamFreight_Incoming_Result_Method1</f>
        <v>No data</v>
      </c>
      <c r="F35" s="220">
        <f>VEERG_15_14_1_1__1_EmbeddedEmissionsFromUpstreamFreight_Incoming_Result_Method2</f>
        <v>5146700</v>
      </c>
      <c r="G35" s="13" t="s">
        <v>836</v>
      </c>
    </row>
    <row r="36" spans="4:7" ht="20.100000000000001" customHeight="1" x14ac:dyDescent="0.25">
      <c r="D36" s="221" t="str">
        <f>'15 Scope 3'!D624</f>
        <v>Outgoing freight</v>
      </c>
      <c r="E36" s="220" t="str">
        <f>VEERG_15_14_1_1__1_EmbeddedEmissionsFromUpstreamFreight_Outgoing_Result_Method1</f>
        <v>No data</v>
      </c>
      <c r="F36" s="220">
        <f>VEERG_15_14_1_1__1_EmbeddedEmissionsFromUpstreamFreight_Outgoing_Result_Method2</f>
        <v>432640</v>
      </c>
      <c r="G36" s="13" t="s">
        <v>836</v>
      </c>
    </row>
    <row r="37" spans="4:7" ht="20.100000000000001" customHeight="1" x14ac:dyDescent="0.25">
      <c r="D37" s="63" t="s">
        <v>221</v>
      </c>
      <c r="E37" s="223">
        <f>SUM(E10:E36)</f>
        <v>2477.7849222857149</v>
      </c>
      <c r="F37" s="223">
        <f>SUM(F10:F36)</f>
        <v>5586188.3582355715</v>
      </c>
      <c r="G37" s="179" t="s">
        <v>836</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C993-F1E8-4FAF-812B-FB36696CDE9B}">
  <sheetPr>
    <pageSetUpPr autoPageBreaks="0"/>
  </sheetPr>
  <dimension ref="A1:AA115"/>
  <sheetViews>
    <sheetView showGridLines="0" zoomScaleNormal="100" workbookViewId="0">
      <selection activeCell="E7" sqref="E7"/>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262</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263</v>
      </c>
      <c r="N5" s="107"/>
    </row>
    <row r="6" spans="1:24" ht="20.100000000000001" customHeight="1" x14ac:dyDescent="0.25">
      <c r="D6" s="108"/>
      <c r="N6" s="109"/>
    </row>
    <row r="7" spans="1:24" ht="20.100000000000001" customHeight="1" x14ac:dyDescent="0.25">
      <c r="A7" s="19" t="s">
        <v>67</v>
      </c>
      <c r="D7" s="8" t="s">
        <v>264</v>
      </c>
      <c r="E7" s="85" t="s">
        <v>265</v>
      </c>
      <c r="F7" s="68"/>
    </row>
    <row r="8" spans="1:24" ht="20.100000000000001" customHeight="1" x14ac:dyDescent="0.25">
      <c r="A8" s="43" t="str">
        <f>HYPERLINK("#'Input - Site'!A1", "Site")</f>
        <v>Site</v>
      </c>
      <c r="D8" s="110" t="s">
        <v>266</v>
      </c>
      <c r="E8" s="85" t="s">
        <v>267</v>
      </c>
    </row>
    <row r="9" spans="1:24" ht="20.100000000000001" customHeight="1" x14ac:dyDescent="0.25">
      <c r="A9" s="16" t="str">
        <f>HYPERLINK("#'Input - Fertiliser'!A1", "Fertiliser")</f>
        <v>Fertiliser</v>
      </c>
      <c r="N9" s="111"/>
    </row>
    <row r="10" spans="1:24" ht="20.100000000000001" customHeight="1" x14ac:dyDescent="0.25">
      <c r="A10" s="16"/>
      <c r="D10" s="98" t="s">
        <v>268</v>
      </c>
      <c r="E10" s="112"/>
      <c r="F10" s="113"/>
      <c r="G10" s="99"/>
      <c r="N10" s="111"/>
    </row>
    <row r="11" spans="1:24" ht="20.100000000000001" customHeight="1" x14ac:dyDescent="0.25">
      <c r="A11" s="21" t="s">
        <v>77</v>
      </c>
      <c r="N11" s="114"/>
    </row>
    <row r="12" spans="1:24" ht="20.100000000000001" customHeight="1" x14ac:dyDescent="0.25">
      <c r="A12" s="16" t="str">
        <f>HYPERLINK("#'5.1.1.1-2 Inorganic Fert N2O'!A1", "5.1.1.1-2 Inorganic Fert N2O")</f>
        <v>5.1.1.1-2 Inorganic Fert N2O</v>
      </c>
      <c r="D12" s="110" t="s">
        <v>269</v>
      </c>
      <c r="E12" s="115">
        <v>45292</v>
      </c>
      <c r="F12" s="68" t="s">
        <v>270</v>
      </c>
    </row>
    <row r="13" spans="1:24" ht="20.100000000000001" customHeight="1" x14ac:dyDescent="0.25">
      <c r="A13" s="16" t="str">
        <f>HYPERLINK("#'5.1.1.3-4 Inorganic fert CO2'!A1", "5.1.1.3-4 Inorganic fert CO2")</f>
        <v>5.1.1.3-4 Inorganic fert CO2</v>
      </c>
      <c r="D13" s="110" t="s">
        <v>271</v>
      </c>
      <c r="E13" s="116">
        <f>DATE(YEAR(E12)+1,MONTH(E12),DAY(E12))-1</f>
        <v>45657</v>
      </c>
      <c r="F13" s="68" t="s">
        <v>272</v>
      </c>
      <c r="N13" s="117"/>
      <c r="O13" s="117"/>
    </row>
    <row r="14" spans="1:24" ht="20.100000000000001" customHeight="1" x14ac:dyDescent="0.25">
      <c r="A14" s="16" t="str">
        <f>HYPERLINK("#'5.2.1.1-2 Organic Fert N2O'!A1", "5.2.1.1-2 Organic Fert N2O")</f>
        <v>5.2.1.1-2 Organic Fert N2O</v>
      </c>
      <c r="N14" s="117"/>
      <c r="O14" s="117"/>
    </row>
    <row r="15" spans="1:24" ht="20.100000000000001" customHeight="1" x14ac:dyDescent="0.25">
      <c r="A15" s="16" t="str">
        <f>HYPERLINK("#'5.3.1.1-2 Lime CO2'!A1", "5.3.1.1-2 Lime CO2")</f>
        <v>5.3.1.1-2 Lime CO2</v>
      </c>
      <c r="N15" s="117"/>
      <c r="O15" s="117"/>
    </row>
    <row r="16" spans="1:24" ht="20.100000000000001" customHeight="1" x14ac:dyDescent="0.25">
      <c r="A16" s="16" t="str">
        <f>HYPERLINK("#'5.4.1.1-4 Atmos deposition'!A1", "5.4.1.1-4 Atmos deposition")</f>
        <v>5.4.1.1-4 Atmos deposition</v>
      </c>
      <c r="D16" s="9" t="s">
        <v>273</v>
      </c>
      <c r="N16" s="117"/>
      <c r="O16" s="117"/>
    </row>
    <row r="17" spans="1:25" ht="20.100000000000001" customHeight="1" x14ac:dyDescent="0.25">
      <c r="A17" s="16" t="str">
        <f>HYPERLINK("#'5.5.1.1-2 Leaching and runoff'!A1", "5.5.1.1-2 Leaching and runoff")</f>
        <v>5.5.1.1-2 Leaching and runoff</v>
      </c>
    </row>
    <row r="18" spans="1:25" ht="20.100000000000001" customHeight="1" x14ac:dyDescent="0.25">
      <c r="A18" s="3"/>
      <c r="D18" s="118" t="s">
        <v>274</v>
      </c>
      <c r="E18" s="41"/>
      <c r="F18" s="41"/>
      <c r="G18" s="42"/>
    </row>
    <row r="19" spans="1:25" ht="20.100000000000001" customHeight="1" x14ac:dyDescent="0.25">
      <c r="A19" s="23" t="s">
        <v>78</v>
      </c>
      <c r="D19" s="44" t="s">
        <v>275</v>
      </c>
      <c r="E19" s="45"/>
      <c r="F19" s="45"/>
      <c r="G19" s="46"/>
      <c r="N19" s="107"/>
    </row>
    <row r="20" spans="1:25" ht="20.100000000000001" customHeight="1" x14ac:dyDescent="0.25">
      <c r="A20" s="16" t="str">
        <f>HYPERLINK("#'Constants - Fertiliser'!A1", "Constants - Fertiliser")</f>
        <v>Constants - Fertiliser</v>
      </c>
      <c r="D20" s="8"/>
      <c r="E20" s="119"/>
      <c r="F20" s="68"/>
      <c r="N20" s="109"/>
    </row>
    <row r="21" spans="1:25" ht="20.100000000000001" customHeight="1" x14ac:dyDescent="0.25">
      <c r="A21" s="16" t="str">
        <f>HYPERLINK("#'Constants - Common'!A1", "Constants - Common")</f>
        <v>Constants - Common</v>
      </c>
      <c r="D21" s="8" t="s">
        <v>276</v>
      </c>
      <c r="E21" s="48" t="s">
        <v>854</v>
      </c>
      <c r="F21" s="68" t="s">
        <v>194</v>
      </c>
    </row>
    <row r="22" spans="1:25" ht="20.100000000000001" customHeight="1" x14ac:dyDescent="0.25">
      <c r="A22" s="3"/>
      <c r="D22" s="8" t="s">
        <v>277</v>
      </c>
      <c r="E22" s="48" t="s">
        <v>278</v>
      </c>
      <c r="F22" s="68" t="s">
        <v>194</v>
      </c>
      <c r="G22" s="8"/>
    </row>
    <row r="23" spans="1:25" ht="20.100000000000001" customHeight="1" x14ac:dyDescent="0.25">
      <c r="A23" s="16"/>
      <c r="D23" s="8" t="s">
        <v>750</v>
      </c>
      <c r="E23" s="48" t="s">
        <v>751</v>
      </c>
      <c r="F23" s="68" t="s">
        <v>194</v>
      </c>
    </row>
    <row r="24" spans="1:25" ht="20.100000000000001" customHeight="1" x14ac:dyDescent="0.25">
      <c r="A24" s="3"/>
      <c r="D24" s="8" t="s">
        <v>16</v>
      </c>
      <c r="E24" s="85">
        <v>307.7</v>
      </c>
      <c r="F24" s="68" t="s">
        <v>752</v>
      </c>
    </row>
    <row r="25" spans="1:25" ht="20.100000000000001" customHeight="1" x14ac:dyDescent="0.25">
      <c r="A25" s="3"/>
      <c r="D25" s="8" t="s">
        <v>753</v>
      </c>
      <c r="E25" s="85">
        <v>18</v>
      </c>
      <c r="F25" s="68" t="s">
        <v>754</v>
      </c>
      <c r="N25" s="109"/>
    </row>
    <row r="26" spans="1:25" ht="20.100000000000001" customHeight="1" x14ac:dyDescent="0.25">
      <c r="A26" s="3"/>
      <c r="D26" s="8" t="s">
        <v>755</v>
      </c>
      <c r="E26" s="85">
        <v>599</v>
      </c>
      <c r="F26" s="68" t="s">
        <v>756</v>
      </c>
    </row>
    <row r="27" spans="1:25" ht="20.100000000000001" customHeight="1" x14ac:dyDescent="0.25">
      <c r="A27" s="3"/>
      <c r="D27" s="110" t="s">
        <v>757</v>
      </c>
      <c r="E27" s="85">
        <v>1326</v>
      </c>
      <c r="F27" s="68" t="s">
        <v>756</v>
      </c>
    </row>
    <row r="28" spans="1:25" ht="20.100000000000001" customHeight="1" x14ac:dyDescent="0.25">
      <c r="A28" s="3"/>
      <c r="D28" s="8" t="s">
        <v>758</v>
      </c>
      <c r="E28" s="85">
        <v>7</v>
      </c>
      <c r="F28" s="68" t="s">
        <v>759</v>
      </c>
    </row>
    <row r="29" spans="1:25" ht="20.100000000000001" customHeight="1" x14ac:dyDescent="0.25">
      <c r="A29" s="3"/>
      <c r="D29" s="110" t="s">
        <v>760</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761</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3" xr:uid="{604C1094-B0DA-452E-BF97-DBD2D4765CB1}">
      <formula1>"YES - In leaching zone, NO - Not in leaching zone"</formula1>
    </dataValidation>
    <dataValidation type="list" allowBlank="1" showInputMessage="1" showErrorMessage="1" sqref="G36:G39" xr:uid="{6526CB59-C840-4512-A3B9-DD3CAA6AF0AB}">
      <formula1>$D$41:$D$43</formula1>
    </dataValidation>
    <dataValidation type="list" allowBlank="1" showInputMessage="1" showErrorMessage="1" sqref="E22" xr:uid="{EF323B7C-08D7-42C1-ABF6-07839B5AD3AA}">
      <formula1>INDIRECT("Table_WASA4Areas[SA 4 Name]")</formula1>
    </dataValidation>
    <dataValidation type="list" allowBlank="1" showInputMessage="1" showErrorMessage="1" sqref="E21" xr:uid="{F05B67E4-B71A-4557-BA56-8AC2EB97D5CB}">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D00D-263E-4ABE-AEAE-A21B60A1C70C}">
  <dimension ref="A1:K346"/>
  <sheetViews>
    <sheetView showGridLines="0" topLeftCell="A2" zoomScale="85" zoomScaleNormal="85" workbookViewId="0">
      <selection activeCell="F22" sqref="F2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8" customFormat="1" ht="30" customHeight="1" x14ac:dyDescent="0.35">
      <c r="A1" s="38" t="e" vm="1">
        <v>#VALUE!</v>
      </c>
      <c r="C1" s="38" t="s">
        <v>118</v>
      </c>
    </row>
    <row r="2" spans="1:11" s="2" customFormat="1" ht="20.100000000000001" customHeight="1" x14ac:dyDescent="0.25"/>
    <row r="3" spans="1:11" ht="20.100000000000001" customHeight="1" x14ac:dyDescent="0.25">
      <c r="A3" s="16" t="str">
        <f>HYPERLINK("#'Home'!A1", "Home")</f>
        <v>Home</v>
      </c>
      <c r="C3" s="39"/>
      <c r="D3" s="39"/>
      <c r="E3" s="39"/>
      <c r="F3" s="39"/>
      <c r="G3" s="39"/>
      <c r="H3" s="39"/>
      <c r="I3" s="39"/>
      <c r="J3" s="39"/>
      <c r="K3" s="39"/>
    </row>
    <row r="4" spans="1:11" ht="20.100000000000001" customHeight="1" x14ac:dyDescent="0.25">
      <c r="A4" s="16" t="str">
        <f>HYPERLINK("#'Overview'!A1", "Overview")</f>
        <v>Overview</v>
      </c>
    </row>
    <row r="5" spans="1:11" ht="20.100000000000001" customHeight="1" x14ac:dyDescent="0.25">
      <c r="A5" s="16" t="str">
        <f>HYPERLINK("#'Results'!A1", "Results")</f>
        <v>Results</v>
      </c>
      <c r="D5" s="9" t="s">
        <v>119</v>
      </c>
      <c r="E5" s="7"/>
      <c r="F5" s="7"/>
      <c r="G5" s="7"/>
      <c r="H5" s="7"/>
    </row>
    <row r="6" spans="1:11" ht="20.100000000000001" customHeight="1" x14ac:dyDescent="0.25">
      <c r="A6" s="18"/>
      <c r="D6" s="14"/>
      <c r="E6" s="14"/>
      <c r="F6" s="14"/>
      <c r="G6" s="14"/>
      <c r="H6" s="14"/>
      <c r="I6" s="14"/>
      <c r="J6" s="14"/>
    </row>
    <row r="7" spans="1:11" ht="20.100000000000001" customHeight="1" x14ac:dyDescent="0.25">
      <c r="A7" s="19" t="s">
        <v>67</v>
      </c>
      <c r="D7" s="8" t="s">
        <v>737</v>
      </c>
    </row>
    <row r="8" spans="1:11" ht="20.100000000000001" customHeight="1" x14ac:dyDescent="0.25">
      <c r="A8" s="43" t="str">
        <f>HYPERLINK("#'Input - Fuel'!A1", "Fuel")</f>
        <v>Fuel</v>
      </c>
      <c r="D8" s="8" t="s">
        <v>738</v>
      </c>
    </row>
    <row r="9" spans="1:11" ht="20.100000000000001" customHeight="1" x14ac:dyDescent="0.25">
      <c r="A9" s="16"/>
      <c r="D9" s="8" t="s">
        <v>739</v>
      </c>
    </row>
    <row r="10" spans="1:11" ht="20.100000000000001" customHeight="1" x14ac:dyDescent="0.25">
      <c r="A10" s="21" t="s">
        <v>77</v>
      </c>
    </row>
    <row r="11" spans="1:11" ht="20.100000000000001" customHeight="1" x14ac:dyDescent="0.25">
      <c r="A11" s="16" t="str">
        <f>HYPERLINK("#'8.1.1.1-2 Transport fuel'!A1", "8.1.1.1-2 Transport fuel")</f>
        <v>8.1.1.1-2 Transport fuel</v>
      </c>
      <c r="D11" s="8" t="s">
        <v>740</v>
      </c>
      <c r="E11" s="48" t="s">
        <v>708</v>
      </c>
      <c r="F11" s="68" t="s">
        <v>194</v>
      </c>
    </row>
    <row r="12" spans="1:11" ht="20.100000000000001" customHeight="1" x14ac:dyDescent="0.25">
      <c r="A12" s="16" t="str">
        <f>HYPERLINK("#'8.2.1.1-2 Stationary fuel'!A1", "8.2.1.1-2 Stationary fuel")</f>
        <v>8.2.1.1-2 Stationary fuel</v>
      </c>
    </row>
    <row r="13" spans="1:11" ht="20.100000000000001" customHeight="1" x14ac:dyDescent="0.25">
      <c r="A13" s="16" t="str">
        <f>HYPERLINK("#'8.X.1.1-2 General use fuel'!A1", "8.X.1.1-2 General use fuel")</f>
        <v>8.X.1.1-2 General use fuel</v>
      </c>
      <c r="D13" s="40" t="s">
        <v>120</v>
      </c>
      <c r="E13" s="41"/>
      <c r="F13" s="41"/>
      <c r="G13" s="41"/>
      <c r="H13" s="42"/>
    </row>
    <row r="14" spans="1:11" ht="20.100000000000001" customHeight="1" x14ac:dyDescent="0.25">
      <c r="A14" s="16"/>
      <c r="D14" s="44" t="s">
        <v>121</v>
      </c>
      <c r="E14" s="45"/>
      <c r="F14" s="45"/>
      <c r="G14" s="45"/>
      <c r="H14" s="46"/>
    </row>
    <row r="15" spans="1:11" ht="20.100000000000001" customHeight="1" x14ac:dyDescent="0.25">
      <c r="A15" s="23" t="s">
        <v>78</v>
      </c>
      <c r="D15" s="14"/>
      <c r="E15" s="14"/>
      <c r="F15" s="14"/>
      <c r="G15" s="14"/>
      <c r="H15" s="14"/>
      <c r="I15" s="14"/>
      <c r="J15" s="14"/>
    </row>
    <row r="16" spans="1:11" ht="20.100000000000001" customHeight="1" x14ac:dyDescent="0.25">
      <c r="A16" s="16" t="str">
        <f>HYPERLINK("#'Constants - Fuel'!A1", "Constants - Fuel")</f>
        <v>Constants - Fuel</v>
      </c>
      <c r="D16" s="47" t="s">
        <v>122</v>
      </c>
      <c r="E16" s="47" t="s">
        <v>123</v>
      </c>
      <c r="F16" s="47" t="s">
        <v>124</v>
      </c>
      <c r="G16" s="47" t="s">
        <v>125</v>
      </c>
      <c r="H16" s="47" t="s">
        <v>126</v>
      </c>
      <c r="I16" s="47" t="s">
        <v>127</v>
      </c>
      <c r="J16" s="47" t="s">
        <v>874</v>
      </c>
    </row>
    <row r="17" spans="1:10" ht="20.100000000000001" customHeight="1" x14ac:dyDescent="0.25">
      <c r="A17" s="16" t="str">
        <f>HYPERLINK("#'Constants - Common'!A1", "Constants - Common")</f>
        <v>Constants - Common</v>
      </c>
      <c r="D17" s="48" t="s">
        <v>89</v>
      </c>
      <c r="E17" s="48" t="s">
        <v>117</v>
      </c>
      <c r="F17" s="49">
        <v>100</v>
      </c>
      <c r="G17" s="50" t="str" cm="1">
        <f t="array" ref="G17">Common_InputFunctions.Utility_LookupValueInTable(Table_Input_Fuel[[#This Row],[Fuel type (select)]],Table_FuelTypes_Units[Fuel type], Table_FuelTypes_Units[Input Unit])</f>
        <v>GJ</v>
      </c>
      <c r="H17" s="51">
        <f>1</f>
        <v>1</v>
      </c>
      <c r="I17" s="50">
        <f>Table_Input_Fuel[[#This Row],[Amount purchased]]*Table_Input_Fuel[[#This Row],[Percent consumed]]*IF(Table_Input_Fuel[[#This Row],[Amount unit]]="L", 10^-3, 1)</f>
        <v>100</v>
      </c>
      <c r="J17" s="50" t="str" cm="1">
        <f t="array" ref="J17">Common_InputFunctions.Utility_LookupValueInTable(Table_Input_Fuel[[#This Row],[Fuel type (select)]],Table_FuelTypes_Units[Fuel type], Table_FuelTypes_Units[Unit])</f>
        <v>GJ</v>
      </c>
    </row>
    <row r="18" spans="1:10" ht="20.100000000000001" customHeight="1" x14ac:dyDescent="0.25">
      <c r="D18" s="48" t="s">
        <v>89</v>
      </c>
      <c r="E18" s="48" t="s">
        <v>97</v>
      </c>
      <c r="F18" s="49">
        <v>10000</v>
      </c>
      <c r="G18" s="50" t="str" cm="1">
        <f t="array" ref="G18">Common_InputFunctions.Utility_LookupValueInTable(Table_Input_Fuel[[#This Row],[Fuel type (select)]],Table_FuelTypes_Units[Fuel type], Table_FuelTypes_Units[Input Unit])</f>
        <v>L</v>
      </c>
      <c r="H18" s="227">
        <f>1</f>
        <v>1</v>
      </c>
      <c r="I18" s="50">
        <f>Table_Input_Fuel[[#This Row],[Amount purchased]]*Table_Input_Fuel[[#This Row],[Percent consumed]]*IF(Table_Input_Fuel[[#This Row],[Amount unit]]="L", 10^-3, 1)</f>
        <v>10</v>
      </c>
      <c r="J18" s="50" t="str" cm="1">
        <f t="array" ref="J18">Common_InputFunctions.Utility_LookupValueInTable(Table_Input_Fuel[[#This Row],[Fuel type (select)]],Table_FuelTypes_Units[Fuel type], Table_FuelTypes_Units[Unit])</f>
        <v>kL</v>
      </c>
    </row>
    <row r="19" spans="1:10" ht="20.100000000000001" customHeight="1" x14ac:dyDescent="0.25">
      <c r="D19" s="48" t="s">
        <v>91</v>
      </c>
      <c r="E19" s="48" t="s">
        <v>99</v>
      </c>
      <c r="F19" s="49">
        <v>10000</v>
      </c>
      <c r="G19" s="50" t="str" cm="1">
        <f t="array" ref="G19">Common_InputFunctions.Utility_LookupValueInTable(Table_Input_Fuel[[#This Row],[Fuel type (select)]],Table_FuelTypes_Units[Fuel type], Table_FuelTypes_Units[Input Unit])</f>
        <v>L</v>
      </c>
      <c r="H19" s="227">
        <f>1</f>
        <v>1</v>
      </c>
      <c r="I19" s="50">
        <f>Table_Input_Fuel[[#This Row],[Amount purchased]]*Table_Input_Fuel[[#This Row],[Percent consumed]]*IF(Table_Input_Fuel[[#This Row],[Amount unit]]="L", 10^-3, 1)</f>
        <v>10</v>
      </c>
      <c r="J19" s="50" t="str" cm="1">
        <f t="array" ref="J19">Common_InputFunctions.Utility_LookupValueInTable(Table_Input_Fuel[[#This Row],[Fuel type (select)]],Table_FuelTypes_Units[Fuel type], Table_FuelTypes_Units[Unit])</f>
        <v>kL</v>
      </c>
    </row>
    <row r="20" spans="1:10" ht="20.100000000000001" customHeight="1" x14ac:dyDescent="0.25">
      <c r="A20" s="16"/>
      <c r="D20" s="48" t="s">
        <v>92</v>
      </c>
      <c r="E20" s="48" t="s">
        <v>99</v>
      </c>
      <c r="F20" s="49">
        <v>10000</v>
      </c>
      <c r="G20" s="50" t="str" cm="1">
        <f t="array" ref="G20">Common_InputFunctions.Utility_LookupValueInTable(Table_Input_Fuel[[#This Row],[Fuel type (select)]],Table_FuelTypes_Units[Fuel type], Table_FuelTypes_Units[Input Unit])</f>
        <v>L</v>
      </c>
      <c r="H20" s="227">
        <f>1</f>
        <v>1</v>
      </c>
      <c r="I20" s="50">
        <f>Table_Input_Fuel[[#This Row],[Amount purchased]]*Table_Input_Fuel[[#This Row],[Percent consumed]]*IF(Table_Input_Fuel[[#This Row],[Amount unit]]="L", 10^-3, 1)</f>
        <v>10</v>
      </c>
      <c r="J20" s="50" t="str" cm="1">
        <f t="array" ref="J20">Common_InputFunctions.Utility_LookupValueInTable(Table_Input_Fuel[[#This Row],[Fuel type (select)]],Table_FuelTypes_Units[Fuel type], Table_FuelTypes_Units[Unit])</f>
        <v>kL</v>
      </c>
    </row>
    <row r="21" spans="1:10" ht="20.100000000000001" customHeight="1" x14ac:dyDescent="0.25">
      <c r="A21" s="16"/>
      <c r="D21" s="153" t="s">
        <v>93</v>
      </c>
      <c r="E21" s="153" t="s">
        <v>94</v>
      </c>
      <c r="F21" s="49">
        <v>10000</v>
      </c>
      <c r="G21" s="165" t="str" cm="1">
        <f t="array" ref="G21">Common_InputFunctions.Utility_LookupValueInTable(Table_Input_Fuel[[#This Row],[Fuel type (select)]],Table_FuelTypes_Units[Fuel type], Table_FuelTypes_Units[Input Unit])</f>
        <v>L</v>
      </c>
      <c r="H21" s="228">
        <f>1</f>
        <v>1</v>
      </c>
      <c r="I21" s="165">
        <f>Table_Input_Fuel[[#This Row],[Amount purchased]]*Table_Input_Fuel[[#This Row],[Percent consumed]]*IF(Table_Input_Fuel[[#This Row],[Amount unit]]="L", 10^-3, 1)</f>
        <v>10</v>
      </c>
      <c r="J21" s="50"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6"/>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6"/>
    </row>
    <row r="30" spans="1:10" ht="20.100000000000001" customHeight="1" x14ac:dyDescent="0.25">
      <c r="A30" s="16"/>
    </row>
    <row r="31" spans="1:10" ht="20.100000000000001" customHeight="1" x14ac:dyDescent="0.25">
      <c r="A31" s="52"/>
    </row>
    <row r="32" spans="1:10" ht="20.100000000000001" customHeight="1" x14ac:dyDescent="0.25">
      <c r="A32" s="52"/>
    </row>
    <row r="33" spans="1:11" ht="20.100000000000001" customHeight="1" x14ac:dyDescent="0.25">
      <c r="A33" s="16"/>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3"/>
      <c r="K38" s="53"/>
    </row>
    <row r="39" spans="1:11" ht="20.100000000000001" customHeight="1" x14ac:dyDescent="0.25">
      <c r="A39" s="16"/>
      <c r="C39" s="53"/>
      <c r="K39" s="53"/>
    </row>
    <row r="40" spans="1:11" s="54" customFormat="1" ht="20.100000000000001" customHeight="1" x14ac:dyDescent="0.25">
      <c r="C40" s="8"/>
      <c r="D40" s="8"/>
      <c r="E40" s="8"/>
      <c r="F40" s="8"/>
      <c r="G40" s="8"/>
      <c r="H40" s="8"/>
      <c r="I40" s="8"/>
      <c r="J40" s="8"/>
      <c r="K40" s="8"/>
    </row>
    <row r="41" spans="1:11" s="54" customFormat="1" ht="20.100000000000001" customHeight="1" x14ac:dyDescent="0.25">
      <c r="A41" s="55"/>
      <c r="C41" s="8"/>
      <c r="D41" s="8"/>
      <c r="E41" s="8"/>
      <c r="F41" s="8"/>
      <c r="G41" s="8"/>
      <c r="H41" s="8"/>
      <c r="I41" s="8"/>
      <c r="J41" s="8"/>
      <c r="K41" s="8"/>
    </row>
    <row r="42" spans="1:11" ht="20.100000000000001" customHeight="1" x14ac:dyDescent="0.25"/>
    <row r="43" spans="1:11" ht="20.100000000000001" customHeight="1" x14ac:dyDescent="0.25"/>
    <row r="44" spans="1:11" ht="20.100000000000001" customHeight="1" x14ac:dyDescent="0.25">
      <c r="A44" s="56"/>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7"/>
    </row>
  </sheetData>
  <conditionalFormatting sqref="F32">
    <cfRule type="cellIs" dxfId="78" priority="9" operator="lessThan">
      <formula>0</formula>
    </cfRule>
  </conditionalFormatting>
  <conditionalFormatting sqref="F111:F112">
    <cfRule type="cellIs" dxfId="77" priority="8" operator="lessThan">
      <formula>0</formula>
    </cfRule>
  </conditionalFormatting>
  <conditionalFormatting sqref="F123:F124">
    <cfRule type="cellIs" dxfId="76" priority="7" operator="lessThan">
      <formula>0</formula>
    </cfRule>
  </conditionalFormatting>
  <conditionalFormatting sqref="F135:F136">
    <cfRule type="cellIs" dxfId="75" priority="6" operator="lessThan">
      <formula>0</formula>
    </cfRule>
  </conditionalFormatting>
  <conditionalFormatting sqref="F147:F148">
    <cfRule type="cellIs" dxfId="74" priority="5" operator="lessThan">
      <formula>0</formula>
    </cfRule>
  </conditionalFormatting>
  <conditionalFormatting sqref="F235:F236">
    <cfRule type="cellIs" dxfId="73" priority="17" operator="lessThan">
      <formula>0</formula>
    </cfRule>
  </conditionalFormatting>
  <conditionalFormatting sqref="F240:F241">
    <cfRule type="cellIs" dxfId="72" priority="16" operator="lessThan">
      <formula>0</formula>
    </cfRule>
  </conditionalFormatting>
  <conditionalFormatting sqref="F245:F246">
    <cfRule type="cellIs" dxfId="71" priority="15" operator="lessThan">
      <formula>0</formula>
    </cfRule>
  </conditionalFormatting>
  <conditionalFormatting sqref="F269:F270">
    <cfRule type="cellIs" dxfId="70" priority="14" operator="lessThan">
      <formula>0</formula>
    </cfRule>
  </conditionalFormatting>
  <conditionalFormatting sqref="F274:F275">
    <cfRule type="cellIs" dxfId="69" priority="13" operator="lessThan">
      <formula>0</formula>
    </cfRule>
  </conditionalFormatting>
  <conditionalFormatting sqref="F279:F280">
    <cfRule type="cellIs" dxfId="68" priority="12" operator="lessThan">
      <formula>0</formula>
    </cfRule>
  </conditionalFormatting>
  <conditionalFormatting sqref="I26:J27 H28:H30 I31:J31 I33:J35 I37:J38 I189:J189 E195:G195 I195:J195">
    <cfRule type="cellIs" dxfId="67" priority="11" operator="lessThan">
      <formula>0</formula>
    </cfRule>
  </conditionalFormatting>
  <conditionalFormatting sqref="I42:J46">
    <cfRule type="cellIs" dxfId="66" priority="4" operator="lessThan">
      <formula>0</formula>
    </cfRule>
  </conditionalFormatting>
  <conditionalFormatting sqref="I50:J50 I109:J109">
    <cfRule type="cellIs" dxfId="65" priority="10" operator="lessThan">
      <formula>0</formula>
    </cfRule>
  </conditionalFormatting>
  <conditionalFormatting sqref="I61:J63">
    <cfRule type="cellIs" dxfId="64" priority="3" operator="lessThan">
      <formula>0</formula>
    </cfRule>
  </conditionalFormatting>
  <conditionalFormatting sqref="I67:J70">
    <cfRule type="cellIs" dxfId="63" priority="2" operator="lessThan">
      <formula>0</formula>
    </cfRule>
  </conditionalFormatting>
  <conditionalFormatting sqref="I74:J78">
    <cfRule type="cellIs" dxfId="62" priority="1" operator="lessThan">
      <formula>0</formula>
    </cfRule>
  </conditionalFormatting>
  <dataValidations count="9">
    <dataValidation type="list" allowBlank="1" showInputMessage="1" showErrorMessage="1" sqref="E17:E21" xr:uid="{E5C5D151-890B-4E87-BD11-56A48236C490}">
      <formula1>_xlfn.TRIMRANGE(INDIRECT("Table_FuelTypesPerUse["&amp;D17&amp;"]"))</formula1>
    </dataValidation>
    <dataValidation type="list" allowBlank="1" showInputMessage="1" showErrorMessage="1" sqref="D17:D21" xr:uid="{864F974D-78F8-4E07-9D96-0EF7F92F9A20}">
      <formula1>INDIRECT("Table_FuelTypesPerUse[#Headers]")</formula1>
    </dataValidation>
    <dataValidation type="list" allowBlank="1" showInputMessage="1" showErrorMessage="1" sqref="E11" xr:uid="{058C4301-4C33-4E84-B931-A635311B05F7}">
      <formula1>"Metro, Non-metro"</formula1>
    </dataValidation>
    <dataValidation type="list" allowBlank="1" showInputMessage="1" showErrorMessage="1" sqref="D29:D30" xr:uid="{29EEA1D3-6C4B-49EA-AD99-A18E629AFD54}">
      <formula1>INDIRECT("Table_SourceData_OrganicFertiliserTypes[Organic fertiliser type]")</formula1>
    </dataValidation>
    <dataValidation type="list" allowBlank="1" showInputMessage="1" showErrorMessage="1" sqref="E49" xr:uid="{F5FCA669-3D8E-4E9B-87B3-049A87379345}">
      <formula1>INDIRECT("Table_SourceData_Swine_CropProdSystems[Production system]")</formula1>
    </dataValidation>
    <dataValidation type="list" allowBlank="1" showInputMessage="1" showErrorMessage="1" sqref="E50" xr:uid="{0733A5F2-FBB5-4FE3-ABA3-B1A419E704D5}">
      <formula1>INDIRECT("Table_SourceData_Swine_IrrigationMethods[Irrigation method]")</formula1>
    </dataValidation>
    <dataValidation type="list" allowBlank="1" showInputMessage="1" showErrorMessage="1" sqref="E234 E239 E244 E278 E273 E268 E146 E134 E110 E122" xr:uid="{E320D23F-1338-4FBC-98E9-139C00CDED47}">
      <formula1>"Yes, No"</formula1>
    </dataValidation>
    <dataValidation type="list" allowBlank="1" showInputMessage="1" showErrorMessage="1" sqref="E210" xr:uid="{634624A7-9C89-4318-A950-94EE16B9B1E6}">
      <formula1>INDIRECT("Table_SourceData_Dairy_ProductionSystemTemplates[Area]")</formula1>
    </dataValidation>
    <dataValidation type="list" allowBlank="1" showInputMessage="1" showErrorMessage="1" sqref="D262" xr:uid="{FE70B934-143C-443B-A2F0-E64D0D05DCD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480B-E30E-44DA-8382-40C5152ACD21}">
  <dimension ref="A1:Y366"/>
  <sheetViews>
    <sheetView showGridLines="0" zoomScale="85" zoomScaleNormal="85" workbookViewId="0">
      <selection activeCell="H12" sqref="H12"/>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193</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144</v>
      </c>
      <c r="E6" s="48" t="s">
        <v>149</v>
      </c>
      <c r="F6" s="68" t="s">
        <v>194</v>
      </c>
    </row>
    <row r="7" spans="1:25" ht="20.100000000000001" customHeight="1" x14ac:dyDescent="0.25">
      <c r="A7" s="19" t="s">
        <v>67</v>
      </c>
      <c r="D7" s="8" t="s">
        <v>195</v>
      </c>
      <c r="E7" s="48" t="s">
        <v>150</v>
      </c>
      <c r="F7" s="68" t="s">
        <v>194</v>
      </c>
    </row>
    <row r="8" spans="1:25" ht="20.100000000000001" customHeight="1" x14ac:dyDescent="0.25">
      <c r="A8" s="16" t="str">
        <f>HYPERLINK("#'Input - Site'!A1", "Site")</f>
        <v>Site</v>
      </c>
      <c r="D8" s="8" t="s">
        <v>43</v>
      </c>
      <c r="E8" s="48" t="s">
        <v>154</v>
      </c>
      <c r="F8" s="68" t="s">
        <v>194</v>
      </c>
    </row>
    <row r="9" spans="1:25" ht="20.100000000000001" customHeight="1" x14ac:dyDescent="0.25">
      <c r="A9" s="43" t="str">
        <f>HYPERLINK("#'Input - Fertiliser'!A1", "Fertiliser")</f>
        <v>Fertiliser</v>
      </c>
      <c r="D9" s="8" t="s">
        <v>196</v>
      </c>
      <c r="E9" s="69">
        <v>100</v>
      </c>
      <c r="F9" s="68" t="s">
        <v>197</v>
      </c>
    </row>
    <row r="10" spans="1:25" ht="20.100000000000001" customHeight="1" x14ac:dyDescent="0.25">
      <c r="A10" s="16"/>
    </row>
    <row r="11" spans="1:25" ht="20.100000000000001" customHeight="1" x14ac:dyDescent="0.25">
      <c r="A11" s="21" t="s">
        <v>77</v>
      </c>
      <c r="D11" s="9" t="s">
        <v>198</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199</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200</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201</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225" t="s">
        <v>202</v>
      </c>
      <c r="E17" s="67" t="s">
        <v>855</v>
      </c>
      <c r="F17" s="67" t="s">
        <v>312</v>
      </c>
      <c r="G17" s="67" t="s">
        <v>313</v>
      </c>
      <c r="H17" s="67" t="s">
        <v>203</v>
      </c>
      <c r="I17" s="67" t="s">
        <v>204</v>
      </c>
      <c r="J17" s="225" t="s">
        <v>173</v>
      </c>
      <c r="K17" s="225" t="s">
        <v>174</v>
      </c>
      <c r="L17" s="225" t="s">
        <v>175</v>
      </c>
      <c r="M17" s="225" t="s">
        <v>176</v>
      </c>
      <c r="N17" s="225" t="s">
        <v>177</v>
      </c>
      <c r="O17" s="225" t="s">
        <v>178</v>
      </c>
      <c r="P17" s="225" t="s">
        <v>179</v>
      </c>
      <c r="Q17" s="225" t="s">
        <v>180</v>
      </c>
      <c r="R17" s="225" t="s">
        <v>181</v>
      </c>
      <c r="S17" s="225" t="s">
        <v>182</v>
      </c>
      <c r="T17" s="225" t="s">
        <v>183</v>
      </c>
      <c r="U17" s="225" t="s">
        <v>184</v>
      </c>
      <c r="V17" s="225" t="s">
        <v>205</v>
      </c>
      <c r="W17" s="225" t="s">
        <v>171</v>
      </c>
      <c r="X17" s="225" t="s">
        <v>172</v>
      </c>
    </row>
    <row r="18" spans="1:24" ht="36" customHeight="1" x14ac:dyDescent="0.25">
      <c r="D18" s="75" t="s">
        <v>856</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76">
        <f>$E$9</f>
        <v>100</v>
      </c>
      <c r="I18" s="77">
        <f>(Table_Input_InorganicFertiliser_Brands[[#This Row],[Amount applied per hectare]]*Table_Input_InorganicFertiliser_Brands[[#This Row],[Density]])*Table_Input_InorganicFertiliser_Brands[[#This Row],[Application area (ha)]]</f>
        <v>12600</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7"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23" t="s">
        <v>78</v>
      </c>
      <c r="D19" s="75" t="s">
        <v>857</v>
      </c>
      <c r="E19" s="76">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76">
        <f>$E$9</f>
        <v>100</v>
      </c>
      <c r="I19" s="77">
        <f>(Table_Input_InorganicFertiliser_Brands[[#This Row],[Amount applied per hectare]]*Table_Input_InorganicFertiliser_Brands[[#This Row],[Density]])*Table_Input_InorganicFertiliser_Brands[[#This Row],[Application area (ha)]]</f>
        <v>12850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77"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77"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77"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77"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857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76">
        <f>$E$9</f>
        <v>100</v>
      </c>
      <c r="I20" s="77">
        <f>(Table_Input_InorganicFertiliser_Brands[[#This Row],[Amount applied per hectare]]*Table_Input_InorganicFertiliser_Brands[[#This Row],[Density]])*Table_Input_InorganicFertiliser_Brands[[#This Row],[Application area (ha)]]</f>
        <v>12850</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7"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7"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5" t="s">
        <v>858</v>
      </c>
      <c r="E21" s="76">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76">
        <f>$E$9</f>
        <v>100</v>
      </c>
      <c r="I21" s="77">
        <f>(Table_Input_InorganicFertiliser_Brands[[#This Row],[Amount applied per hectare]]*Table_Input_InorganicFertiliser_Brands[[#This Row],[Density]])*Table_Input_InorganicFertiliser_Brands[[#This Row],[Application area (ha)]]</f>
        <v>12600</v>
      </c>
      <c r="J21" s="77"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77"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77"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77"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77"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77"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77"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77"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77"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77"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77"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77"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77" t="str">
        <f>_xlfn.XLOOKUP(Table_Input_InorganicFertiliser_Brands[[#This Row],[Product (select)]],FertiliserProducts[Product name],FertiliserProducts[Urea source])</f>
        <v/>
      </c>
      <c r="X21" s="77" t="str">
        <f>_xlfn.XLOOKUP(Table_Input_InorganicFertiliser_Brands[[#This Row],[Product (select)]],FertiliserProducts[Product name],FertiliserProducts[Ammonia source])</f>
        <v/>
      </c>
    </row>
    <row r="22" spans="1:24" ht="36" customHeight="1" x14ac:dyDescent="0.25">
      <c r="D22" s="75" t="s">
        <v>859</v>
      </c>
      <c r="E22" s="76">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76">
        <f>$E$9</f>
        <v>100</v>
      </c>
      <c r="I22" s="77">
        <f>(Table_Input_InorganicFertiliser_Brands[[#This Row],[Amount applied per hectare]]*Table_Input_InorganicFertiliser_Brands[[#This Row],[Density]])*Table_Input_InorganicFertiliser_Brands[[#This Row],[Application area (ha)]]</f>
        <v>15000</v>
      </c>
      <c r="J22" s="77"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77"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77"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77"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77"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77"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77"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77"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77"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77"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77"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77"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77" t="str">
        <f>_xlfn.XLOOKUP(Table_Input_InorganicFertiliser_Brands[[#This Row],[Product (select)]],FertiliserProducts[Product name],FertiliserProducts[Urea source])</f>
        <v/>
      </c>
      <c r="X22" s="77" t="str">
        <f>_xlfn.XLOOKUP(Table_Input_InorganicFertiliser_Brands[[#This Row],[Product (select)]],FertiliserProducts[Product name],FertiliserProducts[Ammonia source])</f>
        <v/>
      </c>
    </row>
    <row r="23" spans="1:24" ht="36" customHeight="1" x14ac:dyDescent="0.25">
      <c r="A23" s="16"/>
      <c r="D23" s="78"/>
      <c r="E23" s="79"/>
      <c r="F23" s="80"/>
      <c r="G23" s="80"/>
      <c r="H23" s="80"/>
      <c r="I23" s="80"/>
      <c r="J23" s="81"/>
      <c r="K23" s="81"/>
      <c r="L23" s="82"/>
      <c r="M23" s="82"/>
      <c r="N23" s="53"/>
      <c r="O23" s="53"/>
      <c r="P23" s="53"/>
      <c r="Q23" s="53"/>
      <c r="R23" s="53"/>
      <c r="S23" s="53"/>
      <c r="T23" s="53"/>
      <c r="U23" s="53"/>
      <c r="V23" s="53"/>
      <c r="W23" s="53"/>
      <c r="X23" s="53"/>
    </row>
    <row r="24" spans="1:24" ht="36" customHeight="1" x14ac:dyDescent="0.25">
      <c r="D24" s="83" t="s">
        <v>206</v>
      </c>
      <c r="E24" s="84"/>
      <c r="F24" s="84"/>
      <c r="G24" s="84"/>
      <c r="H24" s="84"/>
      <c r="I24" s="84"/>
      <c r="J24" s="84"/>
      <c r="K24" s="84"/>
      <c r="L24" s="84"/>
      <c r="M24" s="84"/>
      <c r="N24" s="53"/>
      <c r="O24" s="53"/>
      <c r="P24" s="53"/>
      <c r="Q24" s="53"/>
      <c r="R24" s="53"/>
      <c r="S24" s="53"/>
      <c r="T24" s="53"/>
      <c r="V24" s="53"/>
      <c r="W24" s="53"/>
      <c r="X24" s="53"/>
    </row>
    <row r="25" spans="1:24" ht="36" customHeight="1" x14ac:dyDescent="0.25">
      <c r="D25" s="67" t="s">
        <v>207</v>
      </c>
      <c r="E25" s="67" t="s">
        <v>860</v>
      </c>
      <c r="F25" s="67" t="s">
        <v>203</v>
      </c>
      <c r="G25" s="67" t="s">
        <v>204</v>
      </c>
      <c r="H25" s="67" t="s">
        <v>208</v>
      </c>
      <c r="I25" s="67" t="s">
        <v>174</v>
      </c>
      <c r="J25" s="67" t="s">
        <v>175</v>
      </c>
      <c r="K25" s="67" t="s">
        <v>176</v>
      </c>
      <c r="L25" s="67" t="s">
        <v>177</v>
      </c>
      <c r="M25" s="67" t="s">
        <v>178</v>
      </c>
      <c r="N25" s="67" t="s">
        <v>179</v>
      </c>
      <c r="O25" s="67" t="s">
        <v>180</v>
      </c>
      <c r="P25" s="67" t="s">
        <v>205</v>
      </c>
      <c r="Q25" s="225" t="s">
        <v>861</v>
      </c>
      <c r="R25" s="225" t="s">
        <v>862</v>
      </c>
      <c r="S25" s="53"/>
      <c r="T25" s="53"/>
      <c r="V25" s="53"/>
      <c r="W25" s="53"/>
      <c r="X25" s="53"/>
    </row>
    <row r="26" spans="1:24" ht="36" customHeight="1" x14ac:dyDescent="0.25">
      <c r="D26" s="85" t="s">
        <v>209</v>
      </c>
      <c r="E26" s="67">
        <v>100</v>
      </c>
      <c r="F26" s="76">
        <f>$E$9</f>
        <v>100</v>
      </c>
      <c r="G26" s="77">
        <f>Table_Input_InorganicFertiliser_Custom[[#This Row],[Amount applied (kg / ha)]]*Table_Input_InorganicFertiliser_Custom[[#This Row],[Application area (ha)]]</f>
        <v>10000</v>
      </c>
      <c r="H26" s="86" t="s">
        <v>316</v>
      </c>
      <c r="I26" s="87">
        <v>0.5</v>
      </c>
      <c r="J26" s="86" t="s">
        <v>863</v>
      </c>
      <c r="K26" s="87">
        <v>0.2</v>
      </c>
      <c r="L26" s="86" t="s">
        <v>211</v>
      </c>
      <c r="M26" s="87">
        <v>0.2</v>
      </c>
      <c r="N26" s="88" t="s">
        <v>212</v>
      </c>
      <c r="O26" s="89">
        <v>0.1</v>
      </c>
      <c r="P26"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48"/>
      <c r="R26" s="48"/>
      <c r="T26" s="28"/>
    </row>
    <row r="27" spans="1:24" ht="20.100000000000001" customHeight="1" x14ac:dyDescent="0.25">
      <c r="D27" s="85" t="s">
        <v>864</v>
      </c>
      <c r="E27" s="67">
        <v>100</v>
      </c>
      <c r="F27" s="152">
        <f>$E$9</f>
        <v>100</v>
      </c>
      <c r="G27" s="77">
        <f>Table_Input_InorganicFertiliser_Custom[[#This Row],[Amount applied (kg / ha)]]*Table_Input_InorganicFertiliser_Custom[[#This Row],[Application area (ha)]]</f>
        <v>10000</v>
      </c>
      <c r="H27" s="86" t="s">
        <v>210</v>
      </c>
      <c r="I27" s="90">
        <v>1</v>
      </c>
      <c r="J27" s="86"/>
      <c r="K27" s="90"/>
      <c r="L27" s="86"/>
      <c r="M27" s="90"/>
      <c r="N27" s="88"/>
      <c r="O27" s="89"/>
      <c r="P27"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48"/>
      <c r="R27" s="48"/>
      <c r="W27" s="28"/>
    </row>
    <row r="28" spans="1:24" ht="20.100000000000001" customHeight="1" x14ac:dyDescent="0.25">
      <c r="D28" s="85" t="s">
        <v>865</v>
      </c>
      <c r="E28" s="67">
        <v>100</v>
      </c>
      <c r="F28" s="152">
        <f>$E$9</f>
        <v>100</v>
      </c>
      <c r="G28" s="77">
        <f>Table_Input_InorganicFertiliser_Custom[[#This Row],[Amount applied (kg / ha)]]*Table_Input_InorganicFertiliser_Custom[[#This Row],[Application area (ha)]]</f>
        <v>10000</v>
      </c>
      <c r="H28" s="86" t="s">
        <v>317</v>
      </c>
      <c r="I28" s="90">
        <v>0.5</v>
      </c>
      <c r="J28" s="86"/>
      <c r="K28" s="90"/>
      <c r="L28" s="86"/>
      <c r="M28" s="90"/>
      <c r="N28" s="88"/>
      <c r="O28" s="89"/>
      <c r="P28"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48"/>
      <c r="R28" s="48"/>
    </row>
    <row r="29" spans="1:24" ht="20.100000000000001" customHeight="1" x14ac:dyDescent="0.25">
      <c r="A29" s="16"/>
      <c r="V29" s="28"/>
    </row>
    <row r="30" spans="1:24" ht="20.100000000000001" customHeight="1" x14ac:dyDescent="0.25">
      <c r="A30" s="16"/>
      <c r="D30" s="9" t="s">
        <v>827</v>
      </c>
      <c r="E30" s="7"/>
      <c r="F30" s="7"/>
      <c r="G30" s="7"/>
      <c r="H30" s="7"/>
      <c r="I30" s="7"/>
      <c r="J30" s="7"/>
      <c r="K30" s="14"/>
      <c r="L30" s="14"/>
      <c r="M30" s="14"/>
    </row>
    <row r="31" spans="1:24" ht="20.100000000000001" customHeight="1" x14ac:dyDescent="0.25">
      <c r="A31" s="52"/>
      <c r="D31" s="14"/>
      <c r="E31" s="14"/>
      <c r="F31" s="14"/>
      <c r="G31" s="14"/>
      <c r="H31" s="14"/>
      <c r="I31" s="14"/>
      <c r="J31" s="14"/>
      <c r="K31" s="14"/>
      <c r="L31" s="14"/>
      <c r="M31" s="7"/>
    </row>
    <row r="32" spans="1:24" ht="30" customHeight="1" x14ac:dyDescent="0.25">
      <c r="A32" s="52"/>
      <c r="D32" s="40" t="s">
        <v>213</v>
      </c>
      <c r="E32" s="41"/>
      <c r="F32" s="42"/>
      <c r="G32" s="40"/>
      <c r="H32" s="42"/>
      <c r="I32" s="7"/>
      <c r="J32" s="7"/>
      <c r="K32" s="14"/>
      <c r="L32" s="14"/>
      <c r="M32" s="14"/>
    </row>
    <row r="33" spans="1:25" ht="36" customHeight="1" x14ac:dyDescent="0.25">
      <c r="A33" s="16"/>
      <c r="D33" s="91" t="s">
        <v>214</v>
      </c>
      <c r="E33" s="92"/>
      <c r="F33" s="93"/>
      <c r="G33" s="91"/>
      <c r="H33" s="93"/>
      <c r="I33" s="14"/>
      <c r="J33" s="14"/>
      <c r="K33" s="14"/>
      <c r="L33" s="14"/>
      <c r="M33" s="7"/>
    </row>
    <row r="34" spans="1:25" ht="36" customHeight="1" x14ac:dyDescent="0.25">
      <c r="D34" s="44" t="s">
        <v>200</v>
      </c>
      <c r="E34" s="45"/>
      <c r="F34" s="45"/>
      <c r="G34" s="45"/>
      <c r="H34" s="46"/>
      <c r="I34" s="14"/>
      <c r="J34" s="14"/>
      <c r="K34" s="14"/>
      <c r="L34" s="14"/>
      <c r="M34" s="7"/>
    </row>
    <row r="35" spans="1:25" ht="36" customHeight="1" x14ac:dyDescent="0.25">
      <c r="D35" s="57" t="str">
        <f>IF(MAX(Table_Input_Lime[Total]) &gt; 1, "There can not be more than 100% ingredients in a product. Check the table below.", "")</f>
        <v/>
      </c>
    </row>
    <row r="36" spans="1:25" ht="36" customHeight="1" x14ac:dyDescent="0.25">
      <c r="D36" s="94" t="s">
        <v>215</v>
      </c>
      <c r="E36" s="94" t="s">
        <v>216</v>
      </c>
      <c r="F36" s="94" t="s">
        <v>203</v>
      </c>
      <c r="G36" s="94" t="s">
        <v>217</v>
      </c>
      <c r="H36" s="94" t="s">
        <v>218</v>
      </c>
      <c r="I36" s="94" t="s">
        <v>219</v>
      </c>
      <c r="J36" s="94" t="s">
        <v>220</v>
      </c>
      <c r="K36" s="94" t="s">
        <v>221</v>
      </c>
    </row>
    <row r="37" spans="1:25" ht="20.100000000000001" customHeight="1" x14ac:dyDescent="0.25">
      <c r="D37" s="95" t="s">
        <v>222</v>
      </c>
      <c r="E37" s="76">
        <v>1</v>
      </c>
      <c r="F37" s="76">
        <f>$E$9</f>
        <v>100</v>
      </c>
      <c r="G37" s="77">
        <f>IFERROR(Table_Input_Lime[[#This Row],[Amount applied (t/hectare)]]*Table_Input_Lime[[#This Row],[Application area (ha)]], 0)</f>
        <v>100</v>
      </c>
      <c r="H37" s="226">
        <v>0.8</v>
      </c>
      <c r="I37" s="226">
        <v>0.1</v>
      </c>
      <c r="J37" s="226">
        <v>0.1</v>
      </c>
      <c r="K37" s="96">
        <f>SUM(Table_Input_Lime[[#This Row],[Percent Lime CaCO3]:[Percent Gypsum]])</f>
        <v>1</v>
      </c>
    </row>
    <row r="38" spans="1:25" ht="20.100000000000001" customHeight="1" x14ac:dyDescent="0.25">
      <c r="C38" s="53"/>
      <c r="D38" s="95" t="s">
        <v>223</v>
      </c>
      <c r="E38" s="76">
        <v>1</v>
      </c>
      <c r="F38" s="76">
        <f>$E$9</f>
        <v>100</v>
      </c>
      <c r="G38" s="77">
        <f>IFERROR(Table_Input_Lime[[#This Row],[Amount applied (t/hectare)]]*Table_Input_Lime[[#This Row],[Application area (ha)]], 0)</f>
        <v>100</v>
      </c>
      <c r="H38" s="226">
        <v>1</v>
      </c>
      <c r="I38" s="226"/>
      <c r="J38" s="226"/>
      <c r="K38" s="96">
        <f>SUM(Table_Input_Lime[[#This Row],[Percent Lime CaCO3]:[Percent Gypsum]])</f>
        <v>1</v>
      </c>
      <c r="L38" s="7"/>
    </row>
    <row r="39" spans="1:25" ht="20.100000000000001" customHeight="1" x14ac:dyDescent="0.25">
      <c r="A39" s="16"/>
      <c r="C39" s="53"/>
      <c r="D39" s="95" t="s">
        <v>866</v>
      </c>
      <c r="E39" s="76">
        <v>1</v>
      </c>
      <c r="F39" s="76">
        <f>$E$9</f>
        <v>100</v>
      </c>
      <c r="G39" s="77">
        <f>IFERROR(Table_Input_Lime[[#This Row],[Amount applied (t/hectare)]]*Table_Input_Lime[[#This Row],[Application area (ha)]], 0)</f>
        <v>100</v>
      </c>
      <c r="H39" s="226">
        <v>0</v>
      </c>
      <c r="I39" s="226"/>
      <c r="J39" s="226">
        <v>1</v>
      </c>
      <c r="K39" s="96">
        <f>SUM(Table_Input_Lime[[#This Row],[Percent Lime CaCO3]:[Percent Gypsum]])</f>
        <v>1</v>
      </c>
      <c r="L39" s="7"/>
      <c r="M39" s="7"/>
    </row>
    <row r="40" spans="1:25" s="54" customFormat="1" ht="20.100000000000001" customHeight="1" x14ac:dyDescent="0.25">
      <c r="C40" s="8"/>
      <c r="D40" s="14"/>
      <c r="E40" s="14"/>
      <c r="F40" s="14"/>
      <c r="G40" s="14"/>
      <c r="H40" s="14"/>
      <c r="I40" s="14"/>
      <c r="J40" s="14"/>
      <c r="K40" s="8"/>
      <c r="L40" s="14"/>
      <c r="M40" s="7"/>
      <c r="N40" s="8"/>
      <c r="O40" s="8"/>
      <c r="P40" s="8"/>
      <c r="Q40" s="8"/>
      <c r="R40" s="8"/>
      <c r="S40" s="8"/>
      <c r="T40" s="8"/>
      <c r="U40" s="8"/>
      <c r="V40" s="8"/>
      <c r="W40" s="8"/>
      <c r="X40" s="8"/>
      <c r="Y40" s="8"/>
    </row>
    <row r="41" spans="1:25" s="54" customFormat="1" ht="20.100000000000001" customHeight="1" x14ac:dyDescent="0.25">
      <c r="A41" s="55"/>
      <c r="C41" s="8"/>
      <c r="D41" s="14"/>
      <c r="E41" s="14"/>
      <c r="F41" s="14"/>
      <c r="G41" s="14"/>
      <c r="H41" s="14"/>
      <c r="I41" s="14"/>
      <c r="J41" s="97"/>
      <c r="K41" s="7"/>
      <c r="L41" s="14"/>
      <c r="M41" s="14"/>
      <c r="N41" s="8"/>
      <c r="O41" s="8"/>
      <c r="P41" s="8"/>
      <c r="Q41" s="8"/>
      <c r="R41" s="8"/>
      <c r="S41" s="8"/>
      <c r="T41" s="8"/>
      <c r="U41" s="8"/>
      <c r="V41" s="8"/>
      <c r="W41" s="8"/>
      <c r="X41" s="8"/>
      <c r="Y41" s="8"/>
    </row>
    <row r="42" spans="1:25" ht="30" customHeight="1" x14ac:dyDescent="0.25">
      <c r="D42" s="9" t="s">
        <v>867</v>
      </c>
      <c r="E42" s="7"/>
      <c r="F42" s="7"/>
      <c r="G42" s="7"/>
      <c r="H42" s="14"/>
      <c r="I42" s="14"/>
      <c r="J42" s="14"/>
      <c r="K42" s="14"/>
      <c r="L42" s="14"/>
      <c r="M42" s="14"/>
      <c r="S42" s="53"/>
    </row>
    <row r="43" spans="1:25" ht="36" customHeight="1" x14ac:dyDescent="0.25">
      <c r="D43" s="14"/>
      <c r="E43" s="14"/>
      <c r="F43" s="14"/>
      <c r="G43" s="14"/>
      <c r="H43" s="14"/>
      <c r="I43" s="14"/>
      <c r="J43" s="14"/>
      <c r="K43" s="14"/>
      <c r="L43" s="14"/>
      <c r="M43" s="14"/>
      <c r="Q43" s="53"/>
      <c r="R43" s="53"/>
      <c r="S43" s="53"/>
    </row>
    <row r="44" spans="1:25" ht="36" customHeight="1" x14ac:dyDescent="0.25">
      <c r="A44" s="56" t="str">
        <f>HYPERLINK("#A1", "▲ Back to top")</f>
        <v>▲ Back to top</v>
      </c>
      <c r="D44" s="40" t="s">
        <v>213</v>
      </c>
      <c r="E44" s="41"/>
      <c r="F44" s="41"/>
      <c r="G44" s="41"/>
      <c r="H44" s="42"/>
      <c r="I44" s="14"/>
      <c r="J44" s="14"/>
      <c r="K44" s="14"/>
      <c r="L44" s="14"/>
      <c r="M44" s="14"/>
      <c r="O44" s="53"/>
      <c r="P44" s="53"/>
      <c r="Q44" s="53"/>
      <c r="R44" s="53"/>
    </row>
    <row r="45" spans="1:25" ht="36" customHeight="1" x14ac:dyDescent="0.25">
      <c r="D45" s="44" t="s">
        <v>200</v>
      </c>
      <c r="E45" s="45"/>
      <c r="F45" s="45"/>
      <c r="G45" s="45"/>
      <c r="H45" s="46"/>
      <c r="I45" s="14"/>
      <c r="J45" s="14"/>
      <c r="K45" s="14"/>
      <c r="L45" s="84"/>
      <c r="M45" s="53"/>
      <c r="N45" s="53"/>
      <c r="O45" s="53"/>
      <c r="P45" s="53"/>
    </row>
    <row r="46" spans="1:25" ht="36" customHeight="1" x14ac:dyDescent="0.25">
      <c r="D46" s="14"/>
      <c r="E46" s="14"/>
      <c r="F46" s="14"/>
      <c r="G46" s="14"/>
      <c r="H46" s="14"/>
      <c r="I46" s="14"/>
      <c r="J46" s="14"/>
      <c r="K46" s="14"/>
      <c r="L46" s="84"/>
      <c r="M46" s="53"/>
      <c r="N46" s="53"/>
    </row>
    <row r="47" spans="1:25" ht="20.100000000000001" customHeight="1" x14ac:dyDescent="0.25">
      <c r="D47" s="94" t="s">
        <v>868</v>
      </c>
      <c r="E47" s="94" t="s">
        <v>869</v>
      </c>
      <c r="F47" s="94" t="s">
        <v>870</v>
      </c>
      <c r="G47" s="94" t="s">
        <v>871</v>
      </c>
      <c r="H47" s="94" t="s">
        <v>203</v>
      </c>
      <c r="I47" s="94" t="s">
        <v>872</v>
      </c>
      <c r="J47" s="94" t="s">
        <v>873</v>
      </c>
      <c r="K47" s="84"/>
    </row>
    <row r="48" spans="1:25" ht="20.100000000000001" customHeight="1" x14ac:dyDescent="0.25">
      <c r="D48" s="75" t="s">
        <v>158</v>
      </c>
      <c r="E48" s="226">
        <v>0.3</v>
      </c>
      <c r="F48" s="76">
        <v>10</v>
      </c>
      <c r="G48" s="77">
        <f>Table_Input_OrganicFertiliser[[#This Row],[Amount applied (kg/hectare)]]*Table_Input_OrganicFertiliser[[#This Row],[Percentage of N in fertiliser]]</f>
        <v>3</v>
      </c>
      <c r="H48" s="76">
        <f>$E$9</f>
        <v>100</v>
      </c>
      <c r="I48" s="77">
        <f>Table_Input_OrganicFertiliser[[#This Row],[Amount applied (kg/hectare)]]*Table_Input_OrganicFertiliser[[#This Row],[Application area (ha)]]</f>
        <v>1000</v>
      </c>
      <c r="J48" s="77">
        <f>IFERROR(Table_Input_OrganicFertiliser[[#This Row],[Amount N applied (kg/hectare)]]*Table_Input_OrganicFertiliser[[#This Row],[Application area (ha)]], 0)</f>
        <v>300</v>
      </c>
      <c r="K48" s="84"/>
    </row>
    <row r="49" spans="4:10" ht="20.100000000000001" customHeight="1" x14ac:dyDescent="0.25">
      <c r="D49" s="75" t="s">
        <v>152</v>
      </c>
      <c r="E49" s="226">
        <v>0.25</v>
      </c>
      <c r="F49" s="76">
        <v>10</v>
      </c>
      <c r="G49" s="77">
        <f>Table_Input_OrganicFertiliser[[#This Row],[Amount applied (kg/hectare)]]*Table_Input_OrganicFertiliser[[#This Row],[Percentage of N in fertiliser]]</f>
        <v>2.5</v>
      </c>
      <c r="H49" s="76">
        <f>$E$9</f>
        <v>100</v>
      </c>
      <c r="I49" s="77">
        <f>Table_Input_OrganicFertiliser[[#This Row],[Amount applied (kg/hectare)]]*Table_Input_OrganicFertiliser[[#This Row],[Application area (ha)]]</f>
        <v>1000</v>
      </c>
      <c r="J49" s="77">
        <f>IFERROR(Table_Input_OrganicFertiliser[[#This Row],[Amount N applied (kg/hectare)]]*Table_Input_OrganicFertiliser[[#This Row],[Application area (ha)]], 0)</f>
        <v>250</v>
      </c>
    </row>
    <row r="50" spans="4:10" ht="20.100000000000001" customHeight="1" x14ac:dyDescent="0.25">
      <c r="D50" s="75" t="s">
        <v>160</v>
      </c>
      <c r="E50" s="226">
        <v>0.16</v>
      </c>
      <c r="F50" s="76">
        <v>10</v>
      </c>
      <c r="G50" s="77">
        <f>Table_Input_OrganicFertiliser[[#This Row],[Amount applied (kg/hectare)]]*Table_Input_OrganicFertiliser[[#This Row],[Percentage of N in fertiliser]]</f>
        <v>1.6</v>
      </c>
      <c r="H50" s="76">
        <f>$E$9</f>
        <v>100</v>
      </c>
      <c r="I50" s="77">
        <f>Table_Input_OrganicFertiliser[[#This Row],[Amount applied (kg/hectare)]]*Table_Input_OrganicFertiliser[[#This Row],[Application area (ha)]]</f>
        <v>1000</v>
      </c>
      <c r="J50" s="77">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c r="M133" s="7"/>
    </row>
    <row r="134" spans="13:13" ht="20.100000000000001" customHeight="1" x14ac:dyDescent="0.25">
      <c r="M134" s="7"/>
    </row>
    <row r="135" spans="13:13" ht="20.100000000000001" customHeight="1" x14ac:dyDescent="0.25">
      <c r="M135" s="7"/>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8"/>
    </row>
    <row r="213" spans="12:12" x14ac:dyDescent="0.25">
      <c r="L213" s="68"/>
    </row>
    <row r="214" spans="12:12" x14ac:dyDescent="0.25">
      <c r="L214" s="68"/>
    </row>
    <row r="215" spans="12:12" x14ac:dyDescent="0.25">
      <c r="L215" s="68"/>
    </row>
    <row r="216" spans="12:12" x14ac:dyDescent="0.25">
      <c r="L216" s="68"/>
    </row>
    <row r="218" spans="12:12" x14ac:dyDescent="0.25">
      <c r="L218" s="68"/>
    </row>
    <row r="220" spans="12:12" x14ac:dyDescent="0.25">
      <c r="L220" s="68"/>
    </row>
    <row r="221" spans="12:12" x14ac:dyDescent="0.25">
      <c r="L221" s="68"/>
    </row>
    <row r="222" spans="12:12" x14ac:dyDescent="0.25">
      <c r="L222" s="68"/>
    </row>
    <row r="223" spans="12:12" x14ac:dyDescent="0.25">
      <c r="L223" s="68"/>
    </row>
    <row r="225" spans="12:12" x14ac:dyDescent="0.25">
      <c r="L225" s="68"/>
    </row>
    <row r="233" spans="12:12" x14ac:dyDescent="0.25">
      <c r="L233" s="68"/>
    </row>
    <row r="234" spans="12:12" x14ac:dyDescent="0.25">
      <c r="L234" s="68"/>
    </row>
    <row r="235" spans="12:12" x14ac:dyDescent="0.25">
      <c r="L235" s="68"/>
    </row>
    <row r="238" spans="12:12" x14ac:dyDescent="0.25">
      <c r="L238" s="68"/>
    </row>
    <row r="239" spans="12:12" x14ac:dyDescent="0.25">
      <c r="L239" s="68"/>
    </row>
    <row r="240" spans="12:12" x14ac:dyDescent="0.25">
      <c r="L240" s="68"/>
    </row>
    <row r="243" spans="11:12" x14ac:dyDescent="0.25">
      <c r="L243" s="68"/>
    </row>
    <row r="244" spans="11:12" x14ac:dyDescent="0.25">
      <c r="L244" s="68"/>
    </row>
    <row r="245" spans="11:12" x14ac:dyDescent="0.25">
      <c r="L245" s="68"/>
    </row>
    <row r="248" spans="11:12" x14ac:dyDescent="0.25">
      <c r="L248" s="68"/>
    </row>
    <row r="249" spans="11:12" x14ac:dyDescent="0.25">
      <c r="L249" s="68"/>
    </row>
    <row r="250" spans="11:12" x14ac:dyDescent="0.25">
      <c r="L250" s="68"/>
    </row>
    <row r="251" spans="11:12" x14ac:dyDescent="0.25">
      <c r="K251" s="68"/>
    </row>
    <row r="256" spans="11:12" x14ac:dyDescent="0.25">
      <c r="K256" s="68"/>
    </row>
    <row r="257" spans="11:12" x14ac:dyDescent="0.25">
      <c r="L257" s="68"/>
    </row>
    <row r="258" spans="11:12" x14ac:dyDescent="0.25">
      <c r="L258" s="68"/>
    </row>
    <row r="259" spans="11:12" x14ac:dyDescent="0.25">
      <c r="L259" s="68"/>
    </row>
    <row r="261" spans="11:12" x14ac:dyDescent="0.25">
      <c r="K261" s="68"/>
    </row>
    <row r="262" spans="11:12" x14ac:dyDescent="0.25">
      <c r="L262" s="68"/>
    </row>
    <row r="263" spans="11:12" x14ac:dyDescent="0.25">
      <c r="L263" s="68"/>
    </row>
    <row r="264" spans="11:12" x14ac:dyDescent="0.25">
      <c r="L264" s="68"/>
    </row>
    <row r="266" spans="11:12" x14ac:dyDescent="0.25">
      <c r="K266" s="68"/>
    </row>
    <row r="267" spans="11:12" x14ac:dyDescent="0.25">
      <c r="K267" s="68"/>
      <c r="L267" s="68"/>
    </row>
    <row r="268" spans="11:12" x14ac:dyDescent="0.25">
      <c r="K268" s="68"/>
      <c r="L268" s="68"/>
    </row>
    <row r="269" spans="11:12" x14ac:dyDescent="0.25">
      <c r="K269" s="68"/>
      <c r="L269" s="68"/>
    </row>
    <row r="270" spans="11:12" x14ac:dyDescent="0.25">
      <c r="K270" s="68"/>
    </row>
    <row r="272" spans="11:12" x14ac:dyDescent="0.25">
      <c r="K272" s="68"/>
      <c r="L272" s="68"/>
    </row>
    <row r="273" spans="11:12" x14ac:dyDescent="0.25">
      <c r="L273" s="68"/>
    </row>
    <row r="274" spans="11:12" x14ac:dyDescent="0.25">
      <c r="K274" s="68"/>
      <c r="L274" s="68"/>
    </row>
    <row r="275" spans="11:12" x14ac:dyDescent="0.25">
      <c r="K275" s="68"/>
    </row>
    <row r="276" spans="11:12" x14ac:dyDescent="0.25">
      <c r="K276" s="68"/>
    </row>
    <row r="277" spans="11:12" x14ac:dyDescent="0.25">
      <c r="K277" s="68"/>
    </row>
    <row r="279" spans="11:12" x14ac:dyDescent="0.25">
      <c r="K279" s="68"/>
    </row>
    <row r="285" spans="11:12" x14ac:dyDescent="0.25">
      <c r="K285" s="68"/>
    </row>
    <row r="290" spans="11:11" x14ac:dyDescent="0.25">
      <c r="K290" s="68"/>
    </row>
    <row r="295" spans="11:11" x14ac:dyDescent="0.25">
      <c r="K295" s="68"/>
    </row>
    <row r="300" spans="11:11" x14ac:dyDescent="0.25">
      <c r="K300" s="68"/>
    </row>
    <row r="301" spans="11:11" x14ac:dyDescent="0.25">
      <c r="K301" s="68"/>
    </row>
    <row r="302" spans="11:11" x14ac:dyDescent="0.25">
      <c r="K302" s="68"/>
    </row>
    <row r="303" spans="11:11" x14ac:dyDescent="0.25">
      <c r="K303" s="68"/>
    </row>
    <row r="304" spans="11:11" x14ac:dyDescent="0.25">
      <c r="K304" s="68"/>
    </row>
    <row r="306" spans="11:11" x14ac:dyDescent="0.25">
      <c r="K306" s="68"/>
    </row>
    <row r="308" spans="11:11" x14ac:dyDescent="0.25">
      <c r="K308" s="68"/>
    </row>
    <row r="309" spans="11:11" x14ac:dyDescent="0.25">
      <c r="K309" s="68"/>
    </row>
    <row r="310" spans="11:11" x14ac:dyDescent="0.25">
      <c r="K310" s="68"/>
    </row>
    <row r="311" spans="11:11" x14ac:dyDescent="0.25">
      <c r="K311" s="68"/>
    </row>
    <row r="313" spans="11:11" x14ac:dyDescent="0.25">
      <c r="K313" s="68"/>
    </row>
    <row r="321" spans="11:11" x14ac:dyDescent="0.25">
      <c r="K321" s="68"/>
    </row>
    <row r="322" spans="11:11" x14ac:dyDescent="0.25">
      <c r="K322" s="68"/>
    </row>
    <row r="323" spans="11:11" x14ac:dyDescent="0.25">
      <c r="K323" s="68"/>
    </row>
    <row r="326" spans="11:11" x14ac:dyDescent="0.25">
      <c r="K326" s="68"/>
    </row>
    <row r="327" spans="11:11" x14ac:dyDescent="0.25">
      <c r="K327" s="68"/>
    </row>
    <row r="328" spans="11:11" x14ac:dyDescent="0.25">
      <c r="K328" s="68"/>
    </row>
    <row r="331" spans="11:11" x14ac:dyDescent="0.25">
      <c r="K331" s="68"/>
    </row>
    <row r="332" spans="11:11" x14ac:dyDescent="0.25">
      <c r="K332" s="68"/>
    </row>
    <row r="333" spans="11:11" x14ac:dyDescent="0.25">
      <c r="K333" s="68"/>
    </row>
    <row r="336" spans="11:11" x14ac:dyDescent="0.25">
      <c r="K336" s="68"/>
    </row>
    <row r="337" spans="11:11" x14ac:dyDescent="0.25">
      <c r="K337" s="68"/>
    </row>
    <row r="338" spans="11:11" x14ac:dyDescent="0.25">
      <c r="K338" s="68"/>
    </row>
    <row r="345" spans="11:11" x14ac:dyDescent="0.25">
      <c r="K345" s="68"/>
    </row>
    <row r="346" spans="11:11" x14ac:dyDescent="0.25">
      <c r="K346" s="68"/>
    </row>
    <row r="347" spans="11:11" x14ac:dyDescent="0.25">
      <c r="K347" s="68"/>
    </row>
    <row r="350" spans="11:11" x14ac:dyDescent="0.25">
      <c r="K350" s="68"/>
    </row>
    <row r="351" spans="11:11" x14ac:dyDescent="0.25">
      <c r="K351" s="68"/>
    </row>
    <row r="352" spans="11:11" x14ac:dyDescent="0.25">
      <c r="K352" s="68"/>
    </row>
    <row r="355" spans="4:11" x14ac:dyDescent="0.25">
      <c r="K355" s="68"/>
    </row>
    <row r="356" spans="4:11" x14ac:dyDescent="0.25">
      <c r="K356" s="68"/>
    </row>
    <row r="357" spans="4:11" x14ac:dyDescent="0.25">
      <c r="K357" s="68"/>
    </row>
    <row r="360" spans="4:11" x14ac:dyDescent="0.25">
      <c r="K360" s="68"/>
    </row>
    <row r="361" spans="4:11" x14ac:dyDescent="0.25">
      <c r="K361" s="68"/>
    </row>
    <row r="362" spans="4:11" x14ac:dyDescent="0.25">
      <c r="K362" s="68"/>
    </row>
    <row r="366" spans="4:11" x14ac:dyDescent="0.25">
      <c r="D366" s="57"/>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18A9553B-B552-457E-A382-6358E5C7FEAD}">
      <formula1>INDIRECT("Table_SourceData_Fertiliser_UreaAmmoniaSources[Source]")</formula1>
    </dataValidation>
    <dataValidation type="list" allowBlank="1" showInputMessage="1" showErrorMessage="1" sqref="D18:D22" xr:uid="{E3C3843D-4600-4503-8BA9-BEAE88AD49C2}">
      <formula1>INDIRECT("FertiliserProducts[Product Name]")</formula1>
    </dataValidation>
    <dataValidation type="list" allowBlank="1" showInputMessage="1" showErrorMessage="1" sqref="D48:D50" xr:uid="{6222C567-84F0-4E18-B937-108F00D3DE5F}">
      <formula1>INDIRECT("Table_SourceData_OrganicFertiliserTypes[Organic fertiliser type]")</formula1>
    </dataValidation>
    <dataValidation type="list" allowBlank="1" showInputMessage="1" showErrorMessage="1" sqref="H26:H28 J26:J28 L26:L28 N26:N28" xr:uid="{B2581BC2-BBAE-4E97-844D-E175AE49A818}">
      <formula1>INDIRECT("Table_Fertiliser_ChemicalCompounds[Fertiliser type f]")</formula1>
    </dataValidation>
    <dataValidation type="list" allowBlank="1" showInputMessage="1" showErrorMessage="1" sqref="E7" xr:uid="{D27DF34F-D95D-4828-B41E-FC0EB429BBFA}">
      <formula1>INDIRECT("Table_SourceData_Fertiliser_CropTypes[Production system]")</formula1>
    </dataValidation>
    <dataValidation type="list" allowBlank="1" showInputMessage="1" showErrorMessage="1" sqref="E8" xr:uid="{7C6E268F-25F3-4A3B-89A6-6FCC564F500E}">
      <formula1>INDIRECT("Table_SourceData_Fertiliser_IrrigationMethods[Irrigation method]")</formula1>
    </dataValidation>
    <dataValidation type="list" allowBlank="1" showInputMessage="1" showErrorMessage="1" sqref="E6" xr:uid="{476C2264-9E1C-4970-89EF-D000B7EBF3EF}">
      <formula1>INDIRECT("Table_SourceData_Fertiliser_CropProdSystems[Production system]")</formula1>
    </dataValidation>
    <dataValidation type="list" allowBlank="1" showInputMessage="1" showErrorMessage="1" sqref="E69" xr:uid="{B445A3DF-C059-4543-96B0-D39B5E85DF11}">
      <formula1>INDIRECT("Table_SourceData_Swine_CropProdSystems[Production system]")</formula1>
    </dataValidation>
    <dataValidation type="list" allowBlank="1" showInputMessage="1" showErrorMessage="1" sqref="E70" xr:uid="{95D1C550-0E76-4E30-B5FE-A7C1E80461CA}">
      <formula1>INDIRECT("Table_SourceData_Swine_IrrigationMethods[Irrigation method]")</formula1>
    </dataValidation>
    <dataValidation type="list" allowBlank="1" showInputMessage="1" showErrorMessage="1" sqref="E254 E259 E264 E298 E293 E288 E166 E154 E130 E142" xr:uid="{44E2C784-72E2-4205-A4F0-378DD5390E63}">
      <formula1>"Yes, No"</formula1>
    </dataValidation>
    <dataValidation type="list" allowBlank="1" showInputMessage="1" showErrorMessage="1" sqref="E230" xr:uid="{D7EB537E-5BF2-4615-B814-298F7FAA61B5}">
      <formula1>INDIRECT("Table_SourceData_Dairy_ProductionSystemTemplates[Area]")</formula1>
    </dataValidation>
    <dataValidation type="list" allowBlank="1" showInputMessage="1" showErrorMessage="1" sqref="D282" xr:uid="{78AC9ED8-48C4-4171-8DC7-4BA810D430B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E101" sqref="E10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825</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359</v>
      </c>
      <c r="E5" s="7"/>
      <c r="F5" s="7"/>
      <c r="G5" s="7"/>
      <c r="H5" s="7"/>
      <c r="I5" s="7"/>
      <c r="J5" s="7"/>
    </row>
    <row r="6" spans="1:19" ht="20.100000000000001" customHeight="1" x14ac:dyDescent="0.25">
      <c r="C6" s="8"/>
      <c r="D6" s="148" t="s">
        <v>363</v>
      </c>
      <c r="E6" s="151"/>
      <c r="F6" s="151"/>
      <c r="G6" s="151"/>
      <c r="H6" s="151"/>
      <c r="I6" s="151"/>
      <c r="J6" s="151"/>
    </row>
    <row r="7" spans="1:19" ht="20.100000000000001" customHeight="1" x14ac:dyDescent="0.25">
      <c r="C7" s="8"/>
      <c r="D7" s="177" t="s">
        <v>299</v>
      </c>
      <c r="E7" s="177"/>
      <c r="F7" s="40"/>
      <c r="G7" s="42"/>
      <c r="H7" s="7"/>
      <c r="I7" s="7"/>
      <c r="J7" s="7"/>
    </row>
    <row r="8" spans="1:19" ht="20.100000000000001" customHeight="1" x14ac:dyDescent="0.25">
      <c r="C8" s="8"/>
      <c r="D8" s="44" t="s">
        <v>300</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169</v>
      </c>
      <c r="E10" s="158" t="s">
        <v>301</v>
      </c>
      <c r="F10" s="158" t="s">
        <v>302</v>
      </c>
      <c r="G10" s="158" t="s">
        <v>203</v>
      </c>
      <c r="H10" s="158" t="s">
        <v>303</v>
      </c>
      <c r="I10" s="158" t="s">
        <v>420</v>
      </c>
      <c r="J10" s="158" t="s">
        <v>304</v>
      </c>
      <c r="K10" s="166" t="s">
        <v>305</v>
      </c>
      <c r="L10" s="166" t="s">
        <v>416</v>
      </c>
      <c r="M10" s="166" t="s">
        <v>306</v>
      </c>
      <c r="N10" s="166" t="s">
        <v>307</v>
      </c>
      <c r="O10" s="166" t="s">
        <v>417</v>
      </c>
      <c r="P10" s="166" t="s">
        <v>308</v>
      </c>
      <c r="Q10" s="166" t="s">
        <v>309</v>
      </c>
      <c r="R10" s="166" t="s">
        <v>418</v>
      </c>
    </row>
    <row r="11" spans="1:19" ht="20.100000000000001" customHeight="1" x14ac:dyDescent="0.25">
      <c r="D11" s="147" t="s">
        <v>422</v>
      </c>
      <c r="E11" s="159">
        <v>10</v>
      </c>
      <c r="F11" s="48" t="s">
        <v>412</v>
      </c>
      <c r="G11" s="69">
        <v>100</v>
      </c>
      <c r="H11" s="50">
        <f>Table_Input_Pesticides[[#This Row],[Amount applied per ha]]*Table_Input_Pesticides[[#This Row],[Application area (ha)]]</f>
        <v>1000</v>
      </c>
      <c r="I11" s="48" t="s">
        <v>411</v>
      </c>
      <c r="J11" s="48" t="s">
        <v>410</v>
      </c>
      <c r="K11" s="69">
        <v>100</v>
      </c>
      <c r="L11" s="50">
        <f>Table_Input_Pesticides[[#This Row],[Total applied]]*Table_Input_Pesticides[[#This Row],[Active ingredient 1 amount]]*IF(Table_Input_Pesticides[[#This Row],[Constituent unit (select)]]="fraction of product", 1, 10^-3)</f>
        <v>100</v>
      </c>
      <c r="M11" s="48" t="s">
        <v>410</v>
      </c>
      <c r="N11" s="69">
        <v>100</v>
      </c>
      <c r="O11" s="50">
        <f>Table_Input_Pesticides[[#This Row],[Total applied]]*Table_Input_Pesticides[[#This Row],[Active ingredient 2 amount]]*IF(Table_Input_Pesticides[[#This Row],[Constituent unit (select)]]="fraction of product", 1, 10^-3)</f>
        <v>100</v>
      </c>
      <c r="P11" s="48" t="s">
        <v>677</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421</v>
      </c>
      <c r="E12" s="159">
        <v>10</v>
      </c>
      <c r="F12" s="48" t="s">
        <v>310</v>
      </c>
      <c r="G12" s="69">
        <v>100</v>
      </c>
      <c r="H12" s="50">
        <f>Table_Input_Pesticides[[#This Row],[Amount applied per ha]]*Table_Input_Pesticides[[#This Row],[Application area (ha)]]</f>
        <v>1000</v>
      </c>
      <c r="I12" s="48" t="s">
        <v>411</v>
      </c>
      <c r="J12" s="48" t="s">
        <v>410</v>
      </c>
      <c r="K12" s="69">
        <v>100</v>
      </c>
      <c r="L12" s="50">
        <f>Table_Input_Pesticides[[#This Row],[Total applied]]*Table_Input_Pesticides[[#This Row],[Active ingredient 1 amount]]*IF(Table_Input_Pesticides[[#This Row],[Constituent unit (select)]]="fraction of product", 1, 10^-3)</f>
        <v>100</v>
      </c>
      <c r="M12" s="48" t="s">
        <v>675</v>
      </c>
      <c r="N12" s="69">
        <v>100</v>
      </c>
      <c r="O12" s="50">
        <f>Table_Input_Pesticides[[#This Row],[Total applied]]*Table_Input_Pesticides[[#This Row],[Active ingredient 2 amount]]*IF(Table_Input_Pesticides[[#This Row],[Constituent unit (select)]]="fraction of product", 1, 10^-3)</f>
        <v>100</v>
      </c>
      <c r="P12" s="48" t="s">
        <v>678</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419</v>
      </c>
      <c r="E13" s="159">
        <v>10</v>
      </c>
      <c r="F13" s="48" t="s">
        <v>412</v>
      </c>
      <c r="G13" s="69">
        <v>100</v>
      </c>
      <c r="H13" s="50">
        <f>Table_Input_Pesticides[[#This Row],[Amount applied per ha]]*Table_Input_Pesticides[[#This Row],[Application area (ha)]]</f>
        <v>1000</v>
      </c>
      <c r="I13" s="48" t="s">
        <v>411</v>
      </c>
      <c r="J13" s="48" t="s">
        <v>410</v>
      </c>
      <c r="K13" s="69">
        <v>100</v>
      </c>
      <c r="L13" s="50">
        <f>Table_Input_Pesticides[[#This Row],[Total applied]]*Table_Input_Pesticides[[#This Row],[Active ingredient 1 amount]]*IF(Table_Input_Pesticides[[#This Row],[Constituent unit (select)]]="fraction of product", 1, 10^-3)</f>
        <v>100</v>
      </c>
      <c r="M13" s="48" t="s">
        <v>676</v>
      </c>
      <c r="N13" s="69">
        <v>100</v>
      </c>
      <c r="O13" s="50">
        <f>Table_Input_Pesticides[[#This Row],[Total applied]]*Table_Input_Pesticides[[#This Row],[Active ingredient 2 amount]]*IF(Table_Input_Pesticides[[#This Row],[Constituent unit (select)]]="fraction of product", 1, 10^-3)</f>
        <v>100</v>
      </c>
      <c r="P13" s="48" t="s">
        <v>679</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287</v>
      </c>
      <c r="E22" s="8"/>
      <c r="F22" s="8"/>
    </row>
    <row r="23" spans="3:18" ht="20.100000000000001" customHeight="1" x14ac:dyDescent="0.25">
      <c r="D23" s="47" t="s">
        <v>169</v>
      </c>
      <c r="E23" s="47" t="s">
        <v>340</v>
      </c>
      <c r="F23" s="47" t="s">
        <v>343</v>
      </c>
    </row>
    <row r="24" spans="3:18" ht="20.100000000000001" customHeight="1" x14ac:dyDescent="0.25">
      <c r="D24" s="85" t="s">
        <v>380</v>
      </c>
      <c r="E24" s="48" t="s">
        <v>342</v>
      </c>
      <c r="F24" s="69">
        <v>100</v>
      </c>
    </row>
    <row r="25" spans="3:18" ht="20.100000000000001" customHeight="1" x14ac:dyDescent="0.25">
      <c r="C25" s="8"/>
      <c r="D25" s="85" t="s">
        <v>379</v>
      </c>
      <c r="E25" s="153" t="s">
        <v>341</v>
      </c>
      <c r="F25" s="154">
        <v>100</v>
      </c>
    </row>
    <row r="26" spans="3:18" ht="20.100000000000001" customHeight="1" x14ac:dyDescent="0.25">
      <c r="C26" s="8"/>
      <c r="D26" s="85" t="s">
        <v>288</v>
      </c>
      <c r="E26" s="153" t="s">
        <v>289</v>
      </c>
      <c r="F26" s="154">
        <v>100</v>
      </c>
    </row>
    <row r="27" spans="3:18" ht="20.100000000000001" customHeight="1" x14ac:dyDescent="0.25">
      <c r="C27" s="8"/>
      <c r="D27" s="85" t="s">
        <v>288</v>
      </c>
      <c r="E27" s="153" t="s">
        <v>289</v>
      </c>
      <c r="F27" s="154">
        <v>100</v>
      </c>
    </row>
    <row r="28" spans="3:18" ht="20.100000000000001" customHeight="1" x14ac:dyDescent="0.25">
      <c r="D28" s="85" t="s">
        <v>380</v>
      </c>
      <c r="E28" s="153" t="s">
        <v>342</v>
      </c>
      <c r="F28" s="154">
        <v>100</v>
      </c>
    </row>
    <row r="29" spans="3:18" ht="20.100000000000001" customHeight="1" x14ac:dyDescent="0.25">
      <c r="D29" s="85" t="s">
        <v>380</v>
      </c>
      <c r="E29" s="153" t="s">
        <v>342</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824</v>
      </c>
      <c r="E35" s="8"/>
      <c r="F35" s="8"/>
    </row>
    <row r="36" spans="3:6" ht="20.100000000000001" customHeight="1" x14ac:dyDescent="0.25">
      <c r="D36" s="47" t="s">
        <v>169</v>
      </c>
      <c r="E36" s="47" t="s">
        <v>340</v>
      </c>
      <c r="F36" s="47" t="s">
        <v>371</v>
      </c>
    </row>
    <row r="37" spans="3:6" ht="20.100000000000001" customHeight="1" x14ac:dyDescent="0.25">
      <c r="D37" s="85" t="s">
        <v>375</v>
      </c>
      <c r="E37" s="75" t="s">
        <v>367</v>
      </c>
      <c r="F37" s="69">
        <v>100</v>
      </c>
    </row>
    <row r="38" spans="3:6" ht="20.100000000000001" customHeight="1" x14ac:dyDescent="0.25">
      <c r="D38" s="85" t="s">
        <v>376</v>
      </c>
      <c r="E38" s="167" t="s">
        <v>368</v>
      </c>
      <c r="F38" s="154">
        <v>100</v>
      </c>
    </row>
    <row r="39" spans="3:6" ht="20.100000000000001" customHeight="1" x14ac:dyDescent="0.25">
      <c r="D39" s="85" t="s">
        <v>377</v>
      </c>
      <c r="E39" s="167" t="s">
        <v>369</v>
      </c>
      <c r="F39" s="154">
        <v>100</v>
      </c>
    </row>
    <row r="40" spans="3:6" ht="20.100000000000001" customHeight="1" x14ac:dyDescent="0.25">
      <c r="D40" s="85" t="s">
        <v>378</v>
      </c>
      <c r="E40" s="167" t="s">
        <v>370</v>
      </c>
      <c r="F40" s="154">
        <v>100</v>
      </c>
    </row>
    <row r="41" spans="3:6" ht="20.100000000000001" customHeight="1" x14ac:dyDescent="0.25">
      <c r="D41" s="85" t="s">
        <v>375</v>
      </c>
      <c r="E41" s="167" t="s">
        <v>367</v>
      </c>
      <c r="F41" s="154">
        <v>100</v>
      </c>
    </row>
    <row r="42" spans="3:6" ht="20.100000000000001" customHeight="1" x14ac:dyDescent="0.25">
      <c r="D42" s="85" t="s">
        <v>376</v>
      </c>
      <c r="E42" s="167" t="s">
        <v>368</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360</v>
      </c>
    </row>
    <row r="50" spans="3:17" ht="20.100000000000001" customHeight="1" x14ac:dyDescent="0.25">
      <c r="D50" s="148" t="s">
        <v>290</v>
      </c>
      <c r="E50" s="149"/>
      <c r="F50" s="70"/>
    </row>
    <row r="51" spans="3:17" ht="20.100000000000001" customHeight="1" x14ac:dyDescent="0.25">
      <c r="D51" s="8" t="str" cm="1">
        <f t="array" ref="D51:D53">Table_SourceData_Scope3_LickBlocks[Product]</f>
        <v>Lick block, dry season mix</v>
      </c>
      <c r="E51" s="69">
        <v>100</v>
      </c>
      <c r="F51" s="68" t="s">
        <v>346</v>
      </c>
    </row>
    <row r="52" spans="3:17" ht="20.100000000000001" customHeight="1" x14ac:dyDescent="0.25">
      <c r="D52" s="8" t="str">
        <v>Lick block, mineral</v>
      </c>
      <c r="E52" s="69">
        <v>100</v>
      </c>
      <c r="F52" s="68" t="s">
        <v>346</v>
      </c>
    </row>
    <row r="53" spans="3:17" ht="20.100000000000001" customHeight="1" x14ac:dyDescent="0.25">
      <c r="D53" s="8" t="str">
        <v>Lick block, weaner</v>
      </c>
      <c r="E53" s="69">
        <v>100</v>
      </c>
      <c r="F53" s="68" t="s">
        <v>346</v>
      </c>
    </row>
    <row r="54" spans="3:17" ht="20.100000000000001" customHeight="1" x14ac:dyDescent="0.25">
      <c r="D54" s="8"/>
      <c r="E54" s="8"/>
      <c r="F54" s="8"/>
    </row>
    <row r="55" spans="3:17" ht="20.100000000000001" customHeight="1" x14ac:dyDescent="0.25">
      <c r="D55" s="148" t="s">
        <v>395</v>
      </c>
      <c r="E55" s="7"/>
      <c r="F55" s="7"/>
    </row>
    <row r="56" spans="3:17" ht="20.100000000000001" customHeight="1" x14ac:dyDescent="0.25">
      <c r="D56" s="8" t="str" cm="1">
        <f t="array" ref="D56:D59">Table_SourceData_Scope3_MixedRations[Product]</f>
        <v>Feed for chickens</v>
      </c>
      <c r="E56" s="69">
        <v>100</v>
      </c>
      <c r="F56" s="68" t="s">
        <v>346</v>
      </c>
    </row>
    <row r="57" spans="3:17" ht="20.100000000000001" customHeight="1" x14ac:dyDescent="0.25">
      <c r="D57" s="8" t="str">
        <v>Feed for dairy calves</v>
      </c>
      <c r="E57" s="69">
        <v>100</v>
      </c>
      <c r="F57" s="68" t="s">
        <v>346</v>
      </c>
    </row>
    <row r="58" spans="3:17" ht="20.100000000000001" customHeight="1" x14ac:dyDescent="0.25">
      <c r="D58" s="8" t="str">
        <v>Feed for dairy cows</v>
      </c>
      <c r="E58" s="69">
        <v>100</v>
      </c>
      <c r="F58" s="68" t="s">
        <v>346</v>
      </c>
    </row>
    <row r="59" spans="3:17" ht="20.100000000000001" customHeight="1" x14ac:dyDescent="0.25">
      <c r="D59" s="8" t="str">
        <v>Feed for pigs</v>
      </c>
      <c r="E59" s="69">
        <v>100</v>
      </c>
      <c r="F59" s="68" t="s">
        <v>346</v>
      </c>
    </row>
    <row r="60" spans="3:17" ht="20.100000000000001" customHeight="1" x14ac:dyDescent="0.25">
      <c r="D60" s="7"/>
      <c r="E60" s="7"/>
      <c r="F60" s="7"/>
    </row>
    <row r="61" spans="3:17" ht="20.100000000000001" customHeight="1" x14ac:dyDescent="0.25">
      <c r="D61" s="148" t="s">
        <v>616</v>
      </c>
      <c r="E61" s="7"/>
      <c r="F61" s="7"/>
    </row>
    <row r="62" spans="3:17" ht="20.100000000000001" customHeight="1" x14ac:dyDescent="0.25">
      <c r="D62" s="49" t="s">
        <v>292</v>
      </c>
      <c r="E62" s="49" t="s">
        <v>293</v>
      </c>
      <c r="F62" s="49" t="s">
        <v>208</v>
      </c>
      <c r="G62" s="49" t="s">
        <v>386</v>
      </c>
      <c r="H62" s="49" t="s">
        <v>174</v>
      </c>
      <c r="I62" s="49" t="s">
        <v>294</v>
      </c>
      <c r="J62" s="49" t="s">
        <v>391</v>
      </c>
      <c r="K62" s="49" t="s">
        <v>176</v>
      </c>
      <c r="L62" s="49" t="s">
        <v>295</v>
      </c>
      <c r="M62" s="49" t="s">
        <v>392</v>
      </c>
      <c r="N62" s="49" t="s">
        <v>178</v>
      </c>
      <c r="O62" s="49" t="s">
        <v>296</v>
      </c>
      <c r="P62" s="49" t="s">
        <v>393</v>
      </c>
      <c r="Q62" s="49" t="s">
        <v>180</v>
      </c>
    </row>
    <row r="63" spans="3:17" ht="20.100000000000001" customHeight="1" x14ac:dyDescent="0.25">
      <c r="D63" s="15"/>
      <c r="E63" s="150">
        <v>1200</v>
      </c>
      <c r="F63" s="48" t="s">
        <v>841</v>
      </c>
      <c r="G63" s="48" t="s">
        <v>388</v>
      </c>
      <c r="H63" s="51">
        <v>0.35</v>
      </c>
      <c r="I63" s="48" t="s">
        <v>383</v>
      </c>
      <c r="J63" s="48" t="s">
        <v>388</v>
      </c>
      <c r="K63" s="51">
        <v>0.22</v>
      </c>
      <c r="L63" s="48" t="s">
        <v>297</v>
      </c>
      <c r="M63" s="48" t="s">
        <v>331</v>
      </c>
      <c r="N63" s="51">
        <v>0.12</v>
      </c>
      <c r="O63" s="48" t="s">
        <v>394</v>
      </c>
      <c r="P63" s="48" t="s">
        <v>333</v>
      </c>
      <c r="Q63" s="51">
        <v>0.05</v>
      </c>
    </row>
    <row r="64" spans="3:17" ht="20.100000000000001" customHeight="1" x14ac:dyDescent="0.25">
      <c r="D64" s="15"/>
      <c r="E64" s="150">
        <v>3456</v>
      </c>
      <c r="F64" s="48" t="s">
        <v>389</v>
      </c>
      <c r="G64" s="48" t="s">
        <v>339</v>
      </c>
      <c r="H64" s="51">
        <v>0.2</v>
      </c>
      <c r="I64" s="48" t="s">
        <v>389</v>
      </c>
      <c r="J64" s="48" t="s">
        <v>332</v>
      </c>
      <c r="K64" s="51">
        <v>0.2</v>
      </c>
      <c r="L64" s="48"/>
      <c r="M64" s="48"/>
      <c r="N64" s="51"/>
      <c r="O64" s="48"/>
      <c r="P64" s="48"/>
      <c r="Q64" s="51"/>
    </row>
    <row r="65" spans="4:17" ht="20.100000000000001" customHeight="1" x14ac:dyDescent="0.25">
      <c r="D65" s="15" t="s">
        <v>298</v>
      </c>
      <c r="E65" s="150">
        <v>300</v>
      </c>
      <c r="F65" s="48" t="s">
        <v>387</v>
      </c>
      <c r="G65" s="48" t="s">
        <v>338</v>
      </c>
      <c r="H65" s="51">
        <v>0.8</v>
      </c>
      <c r="I65" s="48" t="s">
        <v>384</v>
      </c>
      <c r="J65" s="48" t="s">
        <v>390</v>
      </c>
      <c r="K65" s="51">
        <v>0.2</v>
      </c>
      <c r="L65" s="48"/>
      <c r="M65" s="48"/>
      <c r="N65" s="51"/>
      <c r="O65" s="48"/>
      <c r="P65" s="48"/>
      <c r="Q65" s="51"/>
    </row>
    <row r="66" spans="4:17" ht="20.100000000000001" customHeight="1" x14ac:dyDescent="0.25">
      <c r="D66" s="15"/>
      <c r="E66" s="150">
        <v>500</v>
      </c>
      <c r="F66" s="48" t="s">
        <v>396</v>
      </c>
      <c r="G66" s="48" t="s">
        <v>338</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604</v>
      </c>
    </row>
    <row r="76" spans="4:17" ht="20.100000000000001" customHeight="1" x14ac:dyDescent="0.25">
      <c r="D76" s="12"/>
    </row>
    <row r="77" spans="4:17" ht="20.100000000000001" customHeight="1" x14ac:dyDescent="0.25">
      <c r="D77" s="168" t="s">
        <v>605</v>
      </c>
      <c r="E77" s="168" t="s">
        <v>615</v>
      </c>
      <c r="F77" s="168" t="s">
        <v>610</v>
      </c>
      <c r="G77" s="168" t="s">
        <v>125</v>
      </c>
    </row>
    <row r="78" spans="4:17" ht="20.100000000000001" customHeight="1" x14ac:dyDescent="0.25">
      <c r="D78" s="85" t="s">
        <v>606</v>
      </c>
      <c r="E78" s="85" t="s">
        <v>607</v>
      </c>
      <c r="F78" s="69">
        <v>10000</v>
      </c>
      <c r="G78" s="48" t="s">
        <v>612</v>
      </c>
    </row>
    <row r="79" spans="4:17" ht="20.100000000000001" customHeight="1" x14ac:dyDescent="0.25">
      <c r="D79" s="85" t="s">
        <v>608</v>
      </c>
      <c r="E79" s="85" t="s">
        <v>614</v>
      </c>
      <c r="F79" s="69">
        <v>1000</v>
      </c>
      <c r="G79" s="48" t="s">
        <v>613</v>
      </c>
    </row>
    <row r="80" spans="4:17" ht="20.100000000000001" customHeight="1" x14ac:dyDescent="0.25">
      <c r="D80" s="85"/>
      <c r="E80" s="85"/>
      <c r="F80" s="69"/>
      <c r="G80" s="48"/>
    </row>
    <row r="81" spans="4:10" ht="20.100000000000001" customHeight="1" x14ac:dyDescent="0.25">
      <c r="D81" s="85"/>
      <c r="E81" s="85"/>
      <c r="F81" s="69"/>
      <c r="G81" s="48"/>
    </row>
    <row r="82" spans="4:10" ht="20.100000000000001" customHeight="1" x14ac:dyDescent="0.25">
      <c r="D82" s="85"/>
      <c r="E82" s="85"/>
      <c r="F82" s="69"/>
      <c r="G82" s="48"/>
    </row>
    <row r="83" spans="4:10" ht="20.100000000000001" customHeight="1" x14ac:dyDescent="0.25">
      <c r="D83" s="85"/>
      <c r="E83" s="85"/>
      <c r="F83" s="69"/>
      <c r="G83" s="48"/>
    </row>
    <row r="84" spans="4:10" ht="20.100000000000001" customHeight="1" x14ac:dyDescent="0.25">
      <c r="D84" s="85"/>
      <c r="E84" s="85"/>
      <c r="F84" s="69"/>
      <c r="G84" s="48"/>
    </row>
    <row r="85" spans="4:10" ht="20.100000000000001" customHeight="1" x14ac:dyDescent="0.25">
      <c r="D85" s="85"/>
      <c r="E85" s="85"/>
      <c r="F85" s="69"/>
      <c r="G85" s="48"/>
    </row>
    <row r="86" spans="4:10" ht="20.100000000000001" customHeight="1" x14ac:dyDescent="0.25">
      <c r="D86" s="85"/>
      <c r="E86" s="85"/>
      <c r="F86" s="69"/>
      <c r="G86" s="48"/>
    </row>
    <row r="87" spans="4:10" ht="20.100000000000001" customHeight="1" x14ac:dyDescent="0.25">
      <c r="D87" s="85"/>
      <c r="E87" s="85"/>
      <c r="F87" s="69"/>
      <c r="G87" s="48"/>
    </row>
    <row r="88" spans="4:10" ht="20.100000000000001" customHeight="1" x14ac:dyDescent="0.25"/>
    <row r="89" spans="4:10" ht="20.100000000000001" customHeight="1" x14ac:dyDescent="0.25"/>
    <row r="90" spans="4:10" ht="20.100000000000001" customHeight="1" x14ac:dyDescent="0.25">
      <c r="D90" s="9" t="s">
        <v>362</v>
      </c>
    </row>
    <row r="91" spans="4:10" ht="20.100000000000001" customHeight="1" x14ac:dyDescent="0.25"/>
    <row r="92" spans="4:10" ht="20.100000000000001" customHeight="1" x14ac:dyDescent="0.25">
      <c r="D92" s="94" t="s">
        <v>285</v>
      </c>
      <c r="E92" s="94" t="s">
        <v>286</v>
      </c>
      <c r="F92" s="94" t="s">
        <v>403</v>
      </c>
      <c r="G92" s="94" t="s">
        <v>404</v>
      </c>
      <c r="H92" s="94" t="s">
        <v>599</v>
      </c>
      <c r="J92" s="7"/>
    </row>
    <row r="93" spans="4:10" ht="20.100000000000001" customHeight="1" x14ac:dyDescent="0.25">
      <c r="D93" s="147" t="s">
        <v>405</v>
      </c>
      <c r="E93" s="69">
        <v>100000</v>
      </c>
      <c r="F93" s="48" t="s">
        <v>406</v>
      </c>
      <c r="G93" s="69">
        <v>0.02</v>
      </c>
      <c r="H93" s="50">
        <f>Table_Input_Packaging[[#This Row],[Quantity purchased]]*Table_Input_Packaging[[#This Row],[Weight per unit (kg)]]</f>
        <v>2000</v>
      </c>
      <c r="J93" s="7"/>
    </row>
    <row r="94" spans="4:10" ht="20.100000000000001" customHeight="1" x14ac:dyDescent="0.25">
      <c r="D94" s="147"/>
      <c r="E94" s="169"/>
      <c r="F94" s="48"/>
      <c r="G94" s="69"/>
      <c r="H94" s="50">
        <f>Table_Input_Packaging[[#This Row],[Quantity purchased]]*Table_Input_Packaging[[#This Row],[Weight per unit (kg)]]</f>
        <v>0</v>
      </c>
      <c r="J94" s="7"/>
    </row>
    <row r="95" spans="4:10" ht="20.100000000000001" customHeight="1" x14ac:dyDescent="0.25">
      <c r="D95" s="147"/>
      <c r="E95" s="169"/>
      <c r="F95" s="48"/>
      <c r="G95" s="69"/>
      <c r="H95" s="50">
        <f>Table_Input_Packaging[[#This Row],[Quantity purchased]]*Table_Input_Packaging[[#This Row],[Weight per unit (kg)]]</f>
        <v>0</v>
      </c>
      <c r="J95" s="7"/>
    </row>
    <row r="96" spans="4:10" ht="20.100000000000001" customHeight="1" x14ac:dyDescent="0.25">
      <c r="D96" s="147"/>
      <c r="E96" s="169"/>
      <c r="F96" s="48"/>
      <c r="G96" s="69"/>
      <c r="H96" s="50">
        <f>Table_Input_Packaging[[#This Row],[Quantity purchased]]*Table_Input_Packaging[[#This Row],[Weight per unit (kg)]]</f>
        <v>0</v>
      </c>
      <c r="J96" s="7"/>
    </row>
    <row r="97" spans="4:10" ht="20.100000000000001" customHeight="1" x14ac:dyDescent="0.25">
      <c r="D97" s="147"/>
      <c r="E97" s="169"/>
      <c r="F97" s="48"/>
      <c r="G97" s="69"/>
      <c r="H97" s="50">
        <f>Table_Input_Packaging[[#This Row],[Quantity purchased]]*Table_Input_Packaging[[#This Row],[Weight per unit (kg)]]</f>
        <v>0</v>
      </c>
      <c r="J97" s="9"/>
    </row>
    <row r="98" spans="4:10" ht="20.100000000000001" customHeight="1" x14ac:dyDescent="0.25">
      <c r="D98" s="147"/>
      <c r="E98" s="169"/>
      <c r="F98" s="48"/>
      <c r="G98" s="69"/>
      <c r="H98" s="50">
        <f>Table_Input_Packaging[[#This Row],[Quantity purchased]]*Table_Input_Packaging[[#This Row],[Weight per unit (kg)]]</f>
        <v>0</v>
      </c>
      <c r="J98" s="8"/>
    </row>
    <row r="99" spans="4:10" ht="20.100000000000001" customHeight="1" x14ac:dyDescent="0.25">
      <c r="D99" s="147"/>
      <c r="E99" s="169"/>
      <c r="F99" s="48"/>
      <c r="G99" s="69"/>
      <c r="H99" s="50">
        <f>Table_Input_Packaging[[#This Row],[Quantity purchased]]*Table_Input_Packaging[[#This Row],[Weight per unit (kg)]]</f>
        <v>0</v>
      </c>
      <c r="J99" s="8"/>
    </row>
    <row r="100" spans="4:10" ht="20.100000000000001" customHeight="1" x14ac:dyDescent="0.25">
      <c r="D100" s="147"/>
      <c r="E100" s="169"/>
      <c r="F100" s="48"/>
      <c r="G100" s="69"/>
      <c r="H100" s="50">
        <f>Table_Input_Packaging[[#This Row],[Quantity purchased]]*Table_Input_Packaging[[#This Row],[Weight per unit (kg)]]</f>
        <v>0</v>
      </c>
      <c r="J100" s="8"/>
    </row>
    <row r="101" spans="4:10" ht="20.100000000000001" customHeight="1" x14ac:dyDescent="0.25">
      <c r="D101" s="147"/>
      <c r="E101" s="169"/>
      <c r="F101" s="48"/>
      <c r="G101" s="69"/>
      <c r="H101" s="50">
        <f>Table_Input_Packaging[[#This Row],[Quantity purchased]]*Table_Input_Packaging[[#This Row],[Weight per unit (kg)]]</f>
        <v>0</v>
      </c>
      <c r="J101" s="8"/>
    </row>
    <row r="102" spans="4:10" ht="20.100000000000001" customHeight="1" x14ac:dyDescent="0.25">
      <c r="D102" s="147"/>
      <c r="E102" s="169"/>
      <c r="F102" s="48"/>
      <c r="G102" s="69"/>
      <c r="H102" s="50">
        <f>Table_Input_Packaging[[#This Row],[Quantity purchased]]*Table_Input_Packaging[[#This Row],[Weight per unit (kg)]]</f>
        <v>0</v>
      </c>
      <c r="J102" s="8"/>
    </row>
    <row r="103" spans="4:10" ht="20.100000000000001" customHeight="1" x14ac:dyDescent="0.25"/>
    <row r="104" spans="4:10" ht="20.100000000000001" customHeight="1" x14ac:dyDescent="0.25"/>
    <row r="105" spans="4:10" ht="20.100000000000001" customHeight="1" x14ac:dyDescent="0.25">
      <c r="D105" s="9" t="s">
        <v>695</v>
      </c>
    </row>
    <row r="106" spans="4:10" ht="20.100000000000001" customHeight="1" x14ac:dyDescent="0.25">
      <c r="D106" s="12"/>
    </row>
    <row r="107" spans="4:10" ht="20.100000000000001" customHeight="1" x14ac:dyDescent="0.25">
      <c r="D107" s="168" t="s">
        <v>696</v>
      </c>
      <c r="E107" s="168" t="s">
        <v>610</v>
      </c>
      <c r="F107" s="168" t="s">
        <v>125</v>
      </c>
      <c r="J107" s="8"/>
    </row>
    <row r="108" spans="4:10" ht="20.100000000000001" customHeight="1" x14ac:dyDescent="0.25">
      <c r="D108" s="85" t="s">
        <v>698</v>
      </c>
      <c r="E108" s="69">
        <v>10000</v>
      </c>
      <c r="F108" s="48" t="s">
        <v>346</v>
      </c>
      <c r="J108" s="8"/>
    </row>
    <row r="109" spans="4:10" ht="20.100000000000001" customHeight="1" x14ac:dyDescent="0.25">
      <c r="D109" s="85" t="s">
        <v>699</v>
      </c>
      <c r="E109" s="69">
        <v>100</v>
      </c>
      <c r="F109" s="48" t="s">
        <v>697</v>
      </c>
      <c r="J109" s="8"/>
    </row>
    <row r="110" spans="4:10" ht="20.100000000000001" customHeight="1" x14ac:dyDescent="0.25">
      <c r="D110" s="85" t="s">
        <v>700</v>
      </c>
      <c r="E110" s="69">
        <v>10000</v>
      </c>
      <c r="F110" s="48" t="s">
        <v>346</v>
      </c>
      <c r="J110" s="8"/>
    </row>
    <row r="111" spans="4:10" ht="20.100000000000001" customHeight="1" x14ac:dyDescent="0.25">
      <c r="D111" s="85"/>
      <c r="E111" s="69"/>
      <c r="F111" s="48"/>
      <c r="J111" s="8"/>
    </row>
    <row r="112" spans="4:10" ht="20.100000000000001" customHeight="1" x14ac:dyDescent="0.25">
      <c r="D112" s="85"/>
      <c r="E112" s="69"/>
      <c r="F112" s="48"/>
      <c r="J112" s="8"/>
    </row>
    <row r="113" spans="4:16" ht="20.100000000000001" customHeight="1" x14ac:dyDescent="0.25">
      <c r="D113" s="85"/>
      <c r="E113" s="69"/>
      <c r="F113" s="48"/>
      <c r="J113" s="8"/>
      <c r="L113" s="7"/>
      <c r="M113" s="7"/>
      <c r="N113" s="7"/>
      <c r="O113" s="7"/>
      <c r="P113" s="7"/>
    </row>
    <row r="114" spans="4:16" ht="20.100000000000001" customHeight="1" x14ac:dyDescent="0.25">
      <c r="D114" s="85"/>
      <c r="E114" s="69"/>
      <c r="F114" s="48"/>
      <c r="J114" s="8"/>
      <c r="L114" s="7"/>
      <c r="M114" s="7"/>
      <c r="N114" s="7"/>
      <c r="O114" s="7"/>
      <c r="P114" s="7"/>
    </row>
    <row r="115" spans="4:16" ht="20.100000000000001" customHeight="1" x14ac:dyDescent="0.25">
      <c r="D115" s="85"/>
      <c r="E115" s="69"/>
      <c r="F115" s="48"/>
      <c r="J115" s="8"/>
      <c r="L115" s="7"/>
      <c r="M115" s="7"/>
      <c r="N115" s="7"/>
      <c r="O115" s="7"/>
      <c r="P115" s="7"/>
    </row>
    <row r="116" spans="4:16" ht="20.100000000000001" customHeight="1" x14ac:dyDescent="0.25">
      <c r="D116" s="85"/>
      <c r="E116" s="69"/>
      <c r="F116" s="48"/>
      <c r="I116" s="7"/>
      <c r="J116" s="8"/>
      <c r="N116" s="7"/>
      <c r="O116" s="7"/>
      <c r="P116" s="7"/>
    </row>
    <row r="117" spans="4:16" ht="20.100000000000001" customHeight="1" x14ac:dyDescent="0.25">
      <c r="D117" s="85"/>
      <c r="E117" s="69"/>
      <c r="F117" s="48"/>
      <c r="I117" s="7"/>
      <c r="J117" s="8"/>
      <c r="N117" s="7"/>
      <c r="O117" s="7"/>
      <c r="P117" s="7"/>
    </row>
    <row r="118" spans="4:16" ht="20.100000000000001" customHeight="1" x14ac:dyDescent="0.25">
      <c r="J118" s="7"/>
      <c r="N118" s="9"/>
      <c r="O118" s="9"/>
      <c r="P118" s="7"/>
    </row>
    <row r="119" spans="4:16" ht="20.100000000000001" customHeight="1" x14ac:dyDescent="0.25">
      <c r="J119" s="7"/>
      <c r="P119" s="151"/>
    </row>
    <row r="120" spans="4:16" ht="20.100000000000001" customHeight="1" x14ac:dyDescent="0.25">
      <c r="D120" s="9" t="s">
        <v>409</v>
      </c>
      <c r="J120" s="7"/>
      <c r="P120" s="151"/>
    </row>
    <row r="121" spans="4:16" ht="20.100000000000001" customHeight="1" x14ac:dyDescent="0.25">
      <c r="D121" s="8" t="str">
        <f>'Constants - Scope 3'!E204</f>
        <v>Barley grain (for seed)</v>
      </c>
      <c r="E121" s="69">
        <v>500</v>
      </c>
      <c r="F121" s="68" t="s">
        <v>346</v>
      </c>
      <c r="J121" s="9"/>
      <c r="P121" s="151"/>
    </row>
    <row r="122" spans="4:16" ht="20.100000000000001" customHeight="1" x14ac:dyDescent="0.25">
      <c r="D122" s="8" t="str">
        <f>'Constants - Scope 3'!E205</f>
        <v>Maize grain (for seed)</v>
      </c>
      <c r="E122" s="69">
        <v>600</v>
      </c>
      <c r="F122" s="68" t="s">
        <v>346</v>
      </c>
      <c r="G122" s="7"/>
      <c r="H122" s="8"/>
      <c r="J122" s="8"/>
      <c r="P122" s="151"/>
    </row>
    <row r="123" spans="4:16" ht="20.100000000000001" customHeight="1" x14ac:dyDescent="0.25">
      <c r="D123" s="8" t="str">
        <f>'Constants - Scope 3'!E207</f>
        <v>Oat grain (for seed)</v>
      </c>
      <c r="E123" s="69">
        <v>700</v>
      </c>
      <c r="F123" s="68" t="s">
        <v>346</v>
      </c>
      <c r="G123" s="7"/>
      <c r="H123" s="8"/>
      <c r="J123" s="8"/>
      <c r="P123" s="151"/>
    </row>
    <row r="124" spans="4:16" ht="20.100000000000001" customHeight="1" x14ac:dyDescent="0.25">
      <c r="D124" s="8" t="str">
        <f>'Constants - Scope 3'!E208</f>
        <v>Sorghum grain (for seed)</v>
      </c>
      <c r="E124" s="69">
        <v>800</v>
      </c>
      <c r="F124" s="68" t="s">
        <v>346</v>
      </c>
      <c r="G124" s="7"/>
      <c r="H124" s="7"/>
      <c r="J124" s="8"/>
      <c r="N124" s="7"/>
      <c r="O124" s="7"/>
      <c r="P124" s="7"/>
    </row>
    <row r="125" spans="4:16" ht="20.100000000000001" customHeight="1" x14ac:dyDescent="0.25">
      <c r="D125" s="8" t="str">
        <f>'Constants - Scope 3'!E209</f>
        <v>Wheat grain (for seed)</v>
      </c>
      <c r="E125" s="69">
        <v>900</v>
      </c>
      <c r="F125" s="68" t="s">
        <v>346</v>
      </c>
      <c r="G125" s="7"/>
      <c r="H125" s="7"/>
      <c r="I125" s="7"/>
      <c r="J125" s="8"/>
      <c r="N125" s="7"/>
      <c r="O125" s="7"/>
      <c r="P125" s="7"/>
    </row>
    <row r="126" spans="4:16" ht="20.100000000000001" customHeight="1" x14ac:dyDescent="0.25">
      <c r="G126" s="7"/>
      <c r="I126" s="7"/>
      <c r="J126" s="8"/>
    </row>
    <row r="127" spans="4:16" ht="20.100000000000001" customHeight="1" x14ac:dyDescent="0.25">
      <c r="D127" s="9" t="s">
        <v>415</v>
      </c>
      <c r="G127" s="8"/>
      <c r="I127" s="7"/>
      <c r="J127" s="7"/>
    </row>
    <row r="128" spans="4:16" ht="20.100000000000001" customHeight="1" x14ac:dyDescent="0.25">
      <c r="D128" s="8" t="str">
        <f>'Constants - Scope 3'!E202</f>
        <v>Animal ear tags (large)</v>
      </c>
      <c r="E128" s="69">
        <v>100</v>
      </c>
      <c r="F128" s="68" t="s">
        <v>402</v>
      </c>
      <c r="G128" s="8"/>
      <c r="I128" s="7"/>
      <c r="J128" s="7"/>
    </row>
    <row r="129" spans="4:13" ht="20.100000000000001" customHeight="1" x14ac:dyDescent="0.25">
      <c r="D129" s="8" t="str">
        <f>'Constants - Scope 3'!E203</f>
        <v>Animal ear tags (small)</v>
      </c>
      <c r="E129" s="69">
        <v>200</v>
      </c>
      <c r="F129" s="68" t="s">
        <v>402</v>
      </c>
      <c r="G129" s="8"/>
      <c r="I129" s="7"/>
      <c r="L129" s="7"/>
      <c r="M129" s="7"/>
    </row>
    <row r="130" spans="4:13" ht="20.100000000000001" customHeight="1" x14ac:dyDescent="0.25">
      <c r="D130" s="8" t="str">
        <f>'Constants - Scope 3'!E206</f>
        <v>Nylon netting</v>
      </c>
      <c r="E130" s="69">
        <v>300</v>
      </c>
      <c r="F130" s="68" t="s">
        <v>346</v>
      </c>
      <c r="G130" s="8"/>
      <c r="I130" s="7"/>
      <c r="L130" s="7"/>
      <c r="M130" s="7"/>
    </row>
    <row r="131" spans="4:13" ht="20.100000000000001" customHeight="1" x14ac:dyDescent="0.25">
      <c r="G131" s="8"/>
      <c r="I131" s="8"/>
      <c r="L131" s="9"/>
      <c r="M131" s="9"/>
    </row>
    <row r="132" spans="4:13" ht="20.100000000000001" customHeight="1" x14ac:dyDescent="0.25">
      <c r="G132" s="7"/>
      <c r="I132" s="8"/>
    </row>
    <row r="133" spans="4:13" ht="20.100000000000001" customHeight="1" x14ac:dyDescent="0.25">
      <c r="D133" s="9" t="s">
        <v>603</v>
      </c>
      <c r="G133" s="7"/>
      <c r="I133" s="8"/>
    </row>
    <row r="134" spans="4:13" ht="20.100000000000001" customHeight="1" x14ac:dyDescent="0.25">
      <c r="D134" s="12"/>
      <c r="I134" s="8"/>
    </row>
    <row r="135" spans="4:13" ht="20.100000000000001" customHeight="1" x14ac:dyDescent="0.25">
      <c r="D135" s="47" t="s">
        <v>598</v>
      </c>
      <c r="E135" s="47" t="s">
        <v>597</v>
      </c>
      <c r="F135" s="47" t="s">
        <v>125</v>
      </c>
      <c r="I135" s="8"/>
    </row>
    <row r="136" spans="4:13" ht="20.100000000000001" customHeight="1" x14ac:dyDescent="0.25">
      <c r="D136" s="85" t="s">
        <v>701</v>
      </c>
      <c r="E136" s="69">
        <v>1000</v>
      </c>
      <c r="F136" s="85" t="s">
        <v>346</v>
      </c>
      <c r="I136" s="7"/>
    </row>
    <row r="137" spans="4:13" ht="20.100000000000001" customHeight="1" x14ac:dyDescent="0.25">
      <c r="D137" s="85"/>
      <c r="E137" s="69"/>
      <c r="F137" s="85"/>
      <c r="I137" s="7"/>
      <c r="L137" s="7"/>
      <c r="M137" s="7"/>
    </row>
    <row r="138" spans="4:13" ht="20.100000000000001" customHeight="1" x14ac:dyDescent="0.25">
      <c r="D138" s="85"/>
      <c r="E138" s="69"/>
      <c r="F138" s="85"/>
      <c r="L138" s="7"/>
      <c r="M138" s="7"/>
    </row>
    <row r="139" spans="4:13" ht="20.100000000000001" customHeight="1" x14ac:dyDescent="0.25">
      <c r="D139" s="85"/>
      <c r="E139" s="69"/>
      <c r="F139" s="85"/>
    </row>
    <row r="140" spans="4:13" ht="20.100000000000001" customHeight="1" x14ac:dyDescent="0.25">
      <c r="D140" s="85"/>
      <c r="E140" s="69"/>
      <c r="F140" s="85"/>
    </row>
    <row r="141" spans="4:13" ht="20.100000000000001" customHeight="1" x14ac:dyDescent="0.25">
      <c r="D141" s="85"/>
      <c r="E141" s="69"/>
      <c r="F141" s="85"/>
    </row>
    <row r="142" spans="4:13" ht="20.100000000000001" customHeight="1" x14ac:dyDescent="0.25">
      <c r="D142" s="85"/>
      <c r="E142" s="69"/>
      <c r="F142" s="85"/>
    </row>
    <row r="143" spans="4:13" ht="20.100000000000001" customHeight="1" x14ac:dyDescent="0.25">
      <c r="D143" s="85"/>
      <c r="E143" s="69"/>
      <c r="F143" s="85"/>
    </row>
    <row r="144" spans="4:13" ht="20.100000000000001" customHeight="1" x14ac:dyDescent="0.25">
      <c r="D144" s="85"/>
      <c r="E144" s="69"/>
      <c r="F144" s="85"/>
    </row>
    <row r="145" spans="4:6" ht="20.100000000000001" customHeight="1" x14ac:dyDescent="0.25">
      <c r="D145" s="85"/>
      <c r="E145" s="69"/>
      <c r="F145" s="85"/>
    </row>
    <row r="146" spans="4:6" ht="20.100000000000001" customHeight="1" x14ac:dyDescent="0.25"/>
    <row r="147" spans="4:6" ht="20.100000000000001" customHeight="1" x14ac:dyDescent="0.25"/>
    <row r="148" spans="4:6" ht="20.100000000000001" customHeight="1" x14ac:dyDescent="0.25"/>
    <row r="149" spans="4:6" ht="20.100000000000001" customHeight="1" x14ac:dyDescent="0.25"/>
    <row r="150" spans="4:6" ht="20.100000000000001" customHeight="1" x14ac:dyDescent="0.25"/>
    <row r="151" spans="4:6" ht="20.100000000000001" customHeight="1" x14ac:dyDescent="0.25"/>
    <row r="152" spans="4:6" ht="20.100000000000001" customHeight="1" x14ac:dyDescent="0.25"/>
    <row r="153" spans="4:6" ht="20.100000000000001" customHeight="1" x14ac:dyDescent="0.25"/>
    <row r="154" spans="4:6" ht="20.100000000000001" customHeight="1" x14ac:dyDescent="0.25"/>
    <row r="155" spans="4:6" ht="20.100000000000001" customHeight="1" x14ac:dyDescent="0.25"/>
    <row r="156" spans="4:6" ht="20.100000000000001" customHeight="1" x14ac:dyDescent="0.25"/>
    <row r="157" spans="4:6" ht="20.100000000000001" customHeight="1" x14ac:dyDescent="0.25"/>
    <row r="158" spans="4:6" ht="20.100000000000001" customHeight="1" x14ac:dyDescent="0.25"/>
    <row r="159" spans="4:6" ht="20.100000000000001" customHeight="1" x14ac:dyDescent="0.25"/>
    <row r="160" spans="4:6" ht="20.100000000000001" customHeight="1" x14ac:dyDescent="0.25"/>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workbookViewId="0">
      <selection activeCell="F49" sqref="F49"/>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146" t="e" vm="1">
        <v>#VALUE!</v>
      </c>
      <c r="B1" s="3"/>
      <c r="C1" s="38" t="s">
        <v>825</v>
      </c>
      <c r="D1" s="38"/>
      <c r="E1" s="38"/>
      <c r="F1" s="38"/>
      <c r="G1" s="38"/>
      <c r="H1" s="38"/>
      <c r="I1" s="38"/>
      <c r="J1" s="38"/>
      <c r="K1" s="38"/>
    </row>
    <row r="2" spans="1:11" x14ac:dyDescent="0.25">
      <c r="C2" s="2"/>
      <c r="D2" s="2"/>
      <c r="E2" s="2"/>
      <c r="F2" s="2"/>
      <c r="G2" s="2"/>
      <c r="H2" s="2"/>
      <c r="I2" s="2"/>
      <c r="J2" s="2"/>
      <c r="K2" s="2"/>
    </row>
    <row r="3" spans="1:11" ht="20.25" x14ac:dyDescent="0.25">
      <c r="C3" s="39"/>
      <c r="D3" s="39"/>
      <c r="E3" s="39"/>
      <c r="F3" s="39"/>
      <c r="G3" s="39"/>
      <c r="H3" s="39"/>
      <c r="I3" s="39"/>
      <c r="J3" s="39"/>
      <c r="K3" s="39"/>
    </row>
    <row r="5" spans="1:11" ht="23.25" x14ac:dyDescent="0.25">
      <c r="D5" s="9" t="s">
        <v>423</v>
      </c>
      <c r="E5" s="14"/>
      <c r="F5" s="14"/>
      <c r="G5" s="14"/>
      <c r="H5" s="14"/>
      <c r="I5" s="14"/>
      <c r="J5" s="14"/>
    </row>
    <row r="6" spans="1:11" ht="18.75" x14ac:dyDescent="0.25">
      <c r="D6" s="148" t="s">
        <v>321</v>
      </c>
      <c r="E6" s="14"/>
      <c r="F6" s="14"/>
      <c r="G6" s="14"/>
      <c r="H6" s="14"/>
      <c r="I6" s="14"/>
      <c r="J6" s="14"/>
    </row>
    <row r="7" spans="1:11" x14ac:dyDescent="0.25">
      <c r="D7" s="10" t="s">
        <v>354</v>
      </c>
      <c r="E7" s="10" t="s">
        <v>427</v>
      </c>
      <c r="F7" s="10" t="s">
        <v>319</v>
      </c>
      <c r="G7" s="10" t="s">
        <v>424</v>
      </c>
      <c r="H7" s="10" t="s">
        <v>322</v>
      </c>
      <c r="I7" s="10" t="s">
        <v>320</v>
      </c>
      <c r="J7" s="166" t="s">
        <v>425</v>
      </c>
      <c r="K7" s="166" t="s">
        <v>426</v>
      </c>
    </row>
    <row r="8" spans="1:11" x14ac:dyDescent="0.25">
      <c r="D8" s="85" t="s">
        <v>514</v>
      </c>
      <c r="E8" s="162">
        <v>45547</v>
      </c>
      <c r="F8" s="48" t="s">
        <v>485</v>
      </c>
      <c r="G8" s="75" t="s">
        <v>330</v>
      </c>
      <c r="H8" s="48" t="s">
        <v>433</v>
      </c>
      <c r="I8" s="69">
        <v>100</v>
      </c>
      <c r="J8" s="50"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9">
        <v>205</v>
      </c>
    </row>
    <row r="9" spans="1:11" x14ac:dyDescent="0.25">
      <c r="D9" s="85"/>
      <c r="E9" s="162">
        <v>45292</v>
      </c>
      <c r="F9" s="153" t="s">
        <v>486</v>
      </c>
      <c r="G9" s="75" t="s">
        <v>329</v>
      </c>
      <c r="H9" s="48" t="s">
        <v>432</v>
      </c>
      <c r="I9" s="69">
        <v>100</v>
      </c>
      <c r="J9" s="50"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9">
        <v>465</v>
      </c>
    </row>
    <row r="10" spans="1:11" x14ac:dyDescent="0.25">
      <c r="D10" s="85"/>
      <c r="E10" s="85"/>
      <c r="F10" s="153"/>
      <c r="G10" s="75"/>
      <c r="H10" s="48"/>
      <c r="I10" s="69"/>
      <c r="J10" s="50"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9"/>
    </row>
    <row r="11" spans="1:11" x14ac:dyDescent="0.25">
      <c r="D11" s="85"/>
      <c r="E11" s="85"/>
      <c r="F11" s="153"/>
      <c r="G11" s="75"/>
      <c r="H11" s="48"/>
      <c r="I11" s="69"/>
      <c r="J11" s="50"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9"/>
    </row>
    <row r="12" spans="1:11" x14ac:dyDescent="0.25">
      <c r="D12" s="85"/>
      <c r="E12" s="85"/>
      <c r="F12" s="153"/>
      <c r="G12" s="75"/>
      <c r="H12" s="48"/>
      <c r="I12" s="69"/>
      <c r="J12" s="50"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9"/>
    </row>
    <row r="13" spans="1:11" x14ac:dyDescent="0.25">
      <c r="D13" s="85"/>
      <c r="E13" s="85"/>
      <c r="F13" s="153"/>
      <c r="G13" s="75"/>
      <c r="H13" s="48"/>
      <c r="I13" s="69"/>
      <c r="J13" s="50"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9"/>
    </row>
    <row r="14" spans="1:11" x14ac:dyDescent="0.25">
      <c r="D14" s="85"/>
      <c r="E14" s="85"/>
      <c r="F14" s="153"/>
      <c r="G14" s="75"/>
      <c r="H14" s="48"/>
      <c r="I14" s="69"/>
      <c r="J14" s="50"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9"/>
    </row>
    <row r="15" spans="1:11" x14ac:dyDescent="0.25">
      <c r="D15" s="85"/>
      <c r="E15" s="85"/>
      <c r="F15" s="153"/>
      <c r="G15" s="75"/>
      <c r="H15" s="48"/>
      <c r="I15" s="69"/>
      <c r="J15" s="50"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9"/>
    </row>
    <row r="16" spans="1:11" x14ac:dyDescent="0.25">
      <c r="D16" s="85"/>
      <c r="E16" s="85"/>
      <c r="F16" s="153"/>
      <c r="G16" s="75"/>
      <c r="H16" s="48"/>
      <c r="I16" s="69"/>
      <c r="J16" s="50"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9"/>
    </row>
    <row r="17" spans="4:11" x14ac:dyDescent="0.25">
      <c r="D17" s="85"/>
      <c r="E17" s="85"/>
      <c r="F17" s="153"/>
      <c r="G17" s="75"/>
      <c r="H17" s="48"/>
      <c r="I17" s="69"/>
      <c r="J17" s="50"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9"/>
    </row>
    <row r="18" spans="4:11" x14ac:dyDescent="0.25">
      <c r="D18" s="14"/>
      <c r="E18" s="14"/>
      <c r="F18" s="14"/>
      <c r="G18" s="14"/>
      <c r="H18" s="14"/>
      <c r="I18" s="14"/>
      <c r="J18" s="14"/>
    </row>
    <row r="19" spans="4:11" ht="18.75" x14ac:dyDescent="0.25">
      <c r="D19" s="148" t="s">
        <v>337</v>
      </c>
      <c r="E19" s="14"/>
      <c r="F19" s="14"/>
      <c r="G19" s="14"/>
      <c r="H19" s="14"/>
      <c r="I19" s="14"/>
      <c r="J19" s="14"/>
    </row>
    <row r="20" spans="4:11" x14ac:dyDescent="0.25">
      <c r="D20" s="166" t="s">
        <v>354</v>
      </c>
      <c r="E20" s="166" t="s">
        <v>319</v>
      </c>
      <c r="F20" s="166" t="s">
        <v>516</v>
      </c>
      <c r="G20" s="166" t="s">
        <v>320</v>
      </c>
      <c r="H20" s="166" t="s">
        <v>425</v>
      </c>
      <c r="I20" s="166" t="s">
        <v>426</v>
      </c>
      <c r="J20" s="14"/>
    </row>
    <row r="21" spans="4:11" x14ac:dyDescent="0.25">
      <c r="D21" s="85" t="s">
        <v>515</v>
      </c>
      <c r="E21" s="48" t="s">
        <v>513</v>
      </c>
      <c r="F21" s="48" t="s">
        <v>839</v>
      </c>
      <c r="G21" s="69">
        <v>100</v>
      </c>
      <c r="H21" s="50"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9">
        <v>350</v>
      </c>
      <c r="J21" s="14"/>
    </row>
    <row r="22" spans="4:11" x14ac:dyDescent="0.25">
      <c r="D22" s="85"/>
      <c r="E22" s="153" t="s">
        <v>512</v>
      </c>
      <c r="F22" s="48" t="s">
        <v>840</v>
      </c>
      <c r="G22" s="69">
        <v>100</v>
      </c>
      <c r="H22" s="50"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9">
        <v>625</v>
      </c>
      <c r="J22" s="14"/>
    </row>
    <row r="23" spans="4:11" x14ac:dyDescent="0.25">
      <c r="D23" s="85"/>
      <c r="E23" s="153" t="s">
        <v>521</v>
      </c>
      <c r="F23" s="48" t="s">
        <v>839</v>
      </c>
      <c r="G23" s="69"/>
      <c r="H23" s="50"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9"/>
      <c r="J23" s="14"/>
    </row>
    <row r="24" spans="4:11" x14ac:dyDescent="0.25">
      <c r="D24" s="85"/>
      <c r="E24" s="153"/>
      <c r="F24" s="48"/>
      <c r="G24" s="69"/>
      <c r="H24" s="50"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9"/>
      <c r="J24" s="14"/>
    </row>
    <row r="25" spans="4:11" x14ac:dyDescent="0.25">
      <c r="D25" s="85"/>
      <c r="E25" s="153"/>
      <c r="F25" s="48"/>
      <c r="G25" s="69"/>
      <c r="H25" s="50"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9"/>
      <c r="J25" s="14"/>
    </row>
    <row r="26" spans="4:11" x14ac:dyDescent="0.25">
      <c r="D26" s="85"/>
      <c r="E26" s="153"/>
      <c r="F26" s="48"/>
      <c r="G26" s="69"/>
      <c r="H26" s="50"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9"/>
      <c r="J26" s="14"/>
    </row>
    <row r="27" spans="4:11" x14ac:dyDescent="0.25">
      <c r="D27" s="85"/>
      <c r="E27" s="153"/>
      <c r="F27" s="48"/>
      <c r="G27" s="69"/>
      <c r="H27" s="50"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9"/>
      <c r="J27" s="14"/>
    </row>
    <row r="28" spans="4:11" x14ac:dyDescent="0.25">
      <c r="D28" s="85"/>
      <c r="E28" s="153"/>
      <c r="F28" s="48"/>
      <c r="G28" s="69"/>
      <c r="H28" s="50"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9"/>
      <c r="J28" s="14"/>
    </row>
    <row r="29" spans="4:11" x14ac:dyDescent="0.25">
      <c r="D29" s="85"/>
      <c r="E29" s="153"/>
      <c r="F29" s="48"/>
      <c r="G29" s="69"/>
      <c r="H29" s="50"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9"/>
      <c r="J29" s="14"/>
    </row>
    <row r="30" spans="4:11" x14ac:dyDescent="0.25">
      <c r="D30" s="85"/>
      <c r="E30" s="153"/>
      <c r="F30" s="48"/>
      <c r="G30" s="69"/>
      <c r="H30" s="50"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9"/>
      <c r="J30" s="14"/>
    </row>
    <row r="31" spans="4:11" x14ac:dyDescent="0.25">
      <c r="D31" s="14"/>
      <c r="E31" s="14"/>
      <c r="F31" s="14"/>
      <c r="G31" s="14"/>
      <c r="H31" s="14"/>
      <c r="I31" s="14"/>
      <c r="J31" s="14"/>
    </row>
    <row r="32" spans="4:11" ht="18.75" x14ac:dyDescent="0.25">
      <c r="D32" s="148" t="s">
        <v>540</v>
      </c>
      <c r="E32" s="14"/>
      <c r="F32" s="14"/>
      <c r="G32" s="14"/>
      <c r="H32" s="14"/>
      <c r="I32" s="14"/>
      <c r="J32" s="14"/>
    </row>
    <row r="33" spans="4:10" x14ac:dyDescent="0.25">
      <c r="D33" s="166" t="s">
        <v>354</v>
      </c>
      <c r="E33" s="166" t="s">
        <v>319</v>
      </c>
      <c r="F33" s="166" t="s">
        <v>320</v>
      </c>
      <c r="G33" s="166" t="s">
        <v>425</v>
      </c>
      <c r="H33" s="166" t="s">
        <v>426</v>
      </c>
      <c r="I33" s="14"/>
      <c r="J33" s="14"/>
    </row>
    <row r="34" spans="4:10" x14ac:dyDescent="0.25">
      <c r="D34" s="85" t="s">
        <v>561</v>
      </c>
      <c r="E34" s="48" t="s">
        <v>562</v>
      </c>
      <c r="F34" s="69">
        <v>100</v>
      </c>
      <c r="G34" s="50" cm="1">
        <f t="array" ref="G34">Common_InputFunctions.Utility_LookupValueInTableNumber(Table_Input_LivestockPurchases_Pigs[[#This Row],[Class (select)]],#REF!,#REF!)</f>
        <v>0</v>
      </c>
      <c r="H34" s="69">
        <v>180</v>
      </c>
      <c r="I34" s="14"/>
      <c r="J34" s="14"/>
    </row>
    <row r="35" spans="4:10" x14ac:dyDescent="0.25">
      <c r="D35" s="85" t="s">
        <v>564</v>
      </c>
      <c r="E35" s="153" t="s">
        <v>563</v>
      </c>
      <c r="F35" s="69">
        <v>100</v>
      </c>
      <c r="G35" s="50" cm="1">
        <f t="array" ref="G35">Common_InputFunctions.Utility_LookupValueInTableNumber(Table_Input_LivestockPurchases_Pigs[[#This Row],[Class (select)]],#REF!,#REF!)</f>
        <v>0</v>
      </c>
      <c r="H35" s="69">
        <v>38</v>
      </c>
      <c r="I35" s="14"/>
      <c r="J35" s="14"/>
    </row>
    <row r="36" spans="4:10" x14ac:dyDescent="0.25">
      <c r="D36" s="85"/>
      <c r="E36" s="153"/>
      <c r="F36" s="69"/>
      <c r="G36" s="50" cm="1">
        <f t="array" ref="G36">Common_InputFunctions.Utility_LookupValueInTableNumber(Table_Input_LivestockPurchases_Pigs[[#This Row],[Class (select)]],#REF!,#REF!)</f>
        <v>0</v>
      </c>
      <c r="H36" s="69"/>
      <c r="I36" s="14"/>
      <c r="J36" s="14"/>
    </row>
    <row r="37" spans="4:10" x14ac:dyDescent="0.25">
      <c r="D37" s="85"/>
      <c r="E37" s="153"/>
      <c r="F37" s="69"/>
      <c r="G37" s="50" cm="1">
        <f t="array" ref="G37">Common_InputFunctions.Utility_LookupValueInTableNumber(Table_Input_LivestockPurchases_Pigs[[#This Row],[Class (select)]],#REF!,#REF!)</f>
        <v>0</v>
      </c>
      <c r="H37" s="69"/>
      <c r="I37" s="14"/>
      <c r="J37" s="14"/>
    </row>
    <row r="38" spans="4:10" x14ac:dyDescent="0.25">
      <c r="D38" s="85"/>
      <c r="E38" s="153"/>
      <c r="F38" s="69"/>
      <c r="G38" s="50" cm="1">
        <f t="array" ref="G38">Common_InputFunctions.Utility_LookupValueInTableNumber(Table_Input_LivestockPurchases_Pigs[[#This Row],[Class (select)]],#REF!,#REF!)</f>
        <v>0</v>
      </c>
      <c r="H38" s="69"/>
      <c r="I38" s="14"/>
      <c r="J38" s="14"/>
    </row>
    <row r="39" spans="4:10" x14ac:dyDescent="0.25">
      <c r="D39" s="85"/>
      <c r="E39" s="153"/>
      <c r="F39" s="69"/>
      <c r="G39" s="50" cm="1">
        <f t="array" ref="G39">Common_InputFunctions.Utility_LookupValueInTableNumber(Table_Input_LivestockPurchases_Pigs[[#This Row],[Class (select)]],#REF!,#REF!)</f>
        <v>0</v>
      </c>
      <c r="H39" s="69"/>
      <c r="I39" s="14"/>
      <c r="J39" s="14"/>
    </row>
    <row r="40" spans="4:10" x14ac:dyDescent="0.25">
      <c r="D40" s="85"/>
      <c r="E40" s="153"/>
      <c r="F40" s="69"/>
      <c r="G40" s="50" cm="1">
        <f t="array" ref="G40">Common_InputFunctions.Utility_LookupValueInTableNumber(Table_Input_LivestockPurchases_Pigs[[#This Row],[Class (select)]],#REF!,#REF!)</f>
        <v>0</v>
      </c>
      <c r="H40" s="69"/>
      <c r="I40" s="14"/>
      <c r="J40" s="14"/>
    </row>
    <row r="41" spans="4:10" x14ac:dyDescent="0.25">
      <c r="D41" s="85"/>
      <c r="E41" s="153"/>
      <c r="F41" s="69"/>
      <c r="G41" s="50" cm="1">
        <f t="array" ref="G41">Common_InputFunctions.Utility_LookupValueInTableNumber(Table_Input_LivestockPurchases_Pigs[[#This Row],[Class (select)]],#REF!,#REF!)</f>
        <v>0</v>
      </c>
      <c r="H41" s="69"/>
      <c r="I41" s="14"/>
      <c r="J41" s="14"/>
    </row>
    <row r="42" spans="4:10" x14ac:dyDescent="0.25">
      <c r="D42" s="85"/>
      <c r="E42" s="153"/>
      <c r="F42" s="69"/>
      <c r="G42" s="50" cm="1">
        <f t="array" ref="G42">Common_InputFunctions.Utility_LookupValueInTableNumber(Table_Input_LivestockPurchases_Pigs[[#This Row],[Class (select)]],#REF!,#REF!)</f>
        <v>0</v>
      </c>
      <c r="H42" s="69"/>
      <c r="I42" s="14"/>
      <c r="J42" s="14"/>
    </row>
    <row r="43" spans="4:10" x14ac:dyDescent="0.25">
      <c r="D43" s="85"/>
      <c r="E43" s="153"/>
      <c r="F43" s="69"/>
      <c r="G43" s="50" cm="1">
        <f t="array" ref="G43">Common_InputFunctions.Utility_LookupValueInTableNumber(Table_Input_LivestockPurchases_Pigs[[#This Row],[Class (select)]],#REF!,#REF!)</f>
        <v>0</v>
      </c>
      <c r="H43" s="69"/>
      <c r="I43" s="14"/>
      <c r="J43" s="14"/>
    </row>
    <row r="44" spans="4:10" x14ac:dyDescent="0.25">
      <c r="D44" s="14"/>
      <c r="E44" s="14"/>
      <c r="F44" s="14"/>
      <c r="G44" s="14"/>
      <c r="H44" s="14"/>
      <c r="I44" s="14"/>
      <c r="J44" s="14"/>
    </row>
    <row r="45" spans="4:10" ht="18.75" x14ac:dyDescent="0.25">
      <c r="D45" s="148" t="s">
        <v>566</v>
      </c>
      <c r="E45" s="14"/>
      <c r="F45" s="14"/>
      <c r="G45" s="14"/>
      <c r="H45" s="14"/>
      <c r="I45" s="14"/>
      <c r="J45" s="14"/>
    </row>
    <row r="46" spans="4:10" x14ac:dyDescent="0.25">
      <c r="D46" s="166" t="s">
        <v>354</v>
      </c>
      <c r="E46" s="166" t="s">
        <v>319</v>
      </c>
      <c r="F46" s="166" t="s">
        <v>320</v>
      </c>
      <c r="G46" s="166" t="s">
        <v>425</v>
      </c>
      <c r="H46" s="166" t="s">
        <v>426</v>
      </c>
      <c r="I46" s="14"/>
      <c r="J46" s="14"/>
    </row>
    <row r="47" spans="4:10" x14ac:dyDescent="0.25">
      <c r="D47" s="85" t="s">
        <v>567</v>
      </c>
      <c r="E47" s="48" t="s">
        <v>595</v>
      </c>
      <c r="F47" s="69">
        <v>100</v>
      </c>
      <c r="G47" s="50" cm="1">
        <f t="array" ref="G47">Common_InputFunctions.Utility_LookupValueInTableNumber(Table_Input_LivestockPurchases_Poultry[[#This Row],[Class (select)]], Table_SourceData_Poultry_Liveweights[Livestock class j],Table_SourceData_Poultry_Liveweights[Average liveweight (kg)])</f>
        <v>1.3</v>
      </c>
      <c r="H47" s="69">
        <v>1.3</v>
      </c>
      <c r="I47" s="14"/>
      <c r="J47" s="14"/>
    </row>
    <row r="48" spans="4:10" x14ac:dyDescent="0.25">
      <c r="D48" s="85" t="s">
        <v>568</v>
      </c>
      <c r="E48" s="153" t="s">
        <v>596</v>
      </c>
      <c r="F48" s="69">
        <v>100</v>
      </c>
      <c r="G48" s="50" cm="1">
        <f t="array" ref="G48">Common_InputFunctions.Utility_LookupValueInTableNumber(Table_Input_LivestockPurchases_Poultry[[#This Row],[Class (select)]], Table_SourceData_Poultry_Liveweights[Livestock class j],Table_SourceData_Poultry_Liveweights[Average liveweight (kg)])</f>
        <v>1.4</v>
      </c>
      <c r="H48" s="69">
        <v>1.4</v>
      </c>
      <c r="I48" s="14"/>
      <c r="J48" s="14"/>
    </row>
    <row r="49" spans="4:10" x14ac:dyDescent="0.25">
      <c r="D49" s="85"/>
      <c r="E49" s="153"/>
      <c r="F49" s="69"/>
      <c r="G49" s="50" cm="1">
        <f t="array" ref="G49">Common_InputFunctions.Utility_LookupValueInTableNumber(Table_Input_LivestockPurchases_Poultry[[#This Row],[Class (select)]], Table_SourceData_Poultry_Liveweights[Livestock class j],Table_SourceData_Poultry_Liveweights[Average liveweight (kg)])</f>
        <v>0</v>
      </c>
      <c r="H49" s="69"/>
      <c r="I49" s="14"/>
      <c r="J49" s="14"/>
    </row>
    <row r="50" spans="4:10" x14ac:dyDescent="0.25">
      <c r="D50" s="85"/>
      <c r="E50" s="153"/>
      <c r="F50" s="69"/>
      <c r="G50" s="50" cm="1">
        <f t="array" ref="G50">Common_InputFunctions.Utility_LookupValueInTableNumber(Table_Input_LivestockPurchases_Poultry[[#This Row],[Class (select)]], Table_SourceData_Poultry_Liveweights[Livestock class j],Table_SourceData_Poultry_Liveweights[Average liveweight (kg)])</f>
        <v>0</v>
      </c>
      <c r="H50" s="69"/>
      <c r="I50" s="14"/>
      <c r="J50" s="14"/>
    </row>
    <row r="51" spans="4:10" x14ac:dyDescent="0.25">
      <c r="D51" s="85"/>
      <c r="E51" s="153"/>
      <c r="F51" s="69"/>
      <c r="G51" s="50" cm="1">
        <f t="array" ref="G51">Common_InputFunctions.Utility_LookupValueInTableNumber(Table_Input_LivestockPurchases_Poultry[[#This Row],[Class (select)]], Table_SourceData_Poultry_Liveweights[Livestock class j],Table_SourceData_Poultry_Liveweights[Average liveweight (kg)])</f>
        <v>0</v>
      </c>
      <c r="H51" s="69"/>
      <c r="I51" s="14"/>
      <c r="J51" s="14"/>
    </row>
    <row r="52" spans="4:10" x14ac:dyDescent="0.25">
      <c r="D52" s="85"/>
      <c r="E52" s="153"/>
      <c r="F52" s="69"/>
      <c r="G52" s="50" cm="1">
        <f t="array" ref="G52">Common_InputFunctions.Utility_LookupValueInTableNumber(Table_Input_LivestockPurchases_Poultry[[#This Row],[Class (select)]], Table_SourceData_Poultry_Liveweights[Livestock class j],Table_SourceData_Poultry_Liveweights[Average liveweight (kg)])</f>
        <v>0</v>
      </c>
      <c r="H52" s="69"/>
      <c r="I52" s="14"/>
      <c r="J52" s="14"/>
    </row>
    <row r="53" spans="4:10" x14ac:dyDescent="0.25">
      <c r="D53" s="85"/>
      <c r="E53" s="153"/>
      <c r="F53" s="69"/>
      <c r="G53" s="50" cm="1">
        <f t="array" ref="G53">Common_InputFunctions.Utility_LookupValueInTableNumber(Table_Input_LivestockPurchases_Poultry[[#This Row],[Class (select)]], Table_SourceData_Poultry_Liveweights[Livestock class j],Table_SourceData_Poultry_Liveweights[Average liveweight (kg)])</f>
        <v>0</v>
      </c>
      <c r="H53" s="69"/>
      <c r="I53" s="14"/>
      <c r="J53" s="14"/>
    </row>
    <row r="54" spans="4:10" x14ac:dyDescent="0.25">
      <c r="D54" s="85"/>
      <c r="E54" s="153"/>
      <c r="F54" s="69"/>
      <c r="G54" s="50" cm="1">
        <f t="array" ref="G54">Common_InputFunctions.Utility_LookupValueInTableNumber(Table_Input_LivestockPurchases_Poultry[[#This Row],[Class (select)]], Table_SourceData_Poultry_Liveweights[Livestock class j],Table_SourceData_Poultry_Liveweights[Average liveweight (kg)])</f>
        <v>0</v>
      </c>
      <c r="H54" s="69"/>
      <c r="I54" s="14"/>
      <c r="J54" s="14"/>
    </row>
    <row r="55" spans="4:10" x14ac:dyDescent="0.25">
      <c r="D55" s="85"/>
      <c r="E55" s="153"/>
      <c r="F55" s="69"/>
      <c r="G55" s="50" cm="1">
        <f t="array" ref="G55">Common_InputFunctions.Utility_LookupValueInTableNumber(Table_Input_LivestockPurchases_Poultry[[#This Row],[Class (select)]], Table_SourceData_Poultry_Liveweights[Livestock class j],Table_SourceData_Poultry_Liveweights[Average liveweight (kg)])</f>
        <v>0</v>
      </c>
      <c r="H55" s="69"/>
      <c r="I55" s="14"/>
      <c r="J55" s="14"/>
    </row>
    <row r="56" spans="4:10" x14ac:dyDescent="0.25">
      <c r="D56" s="85"/>
      <c r="E56" s="153"/>
      <c r="F56" s="69"/>
      <c r="G56" s="50" cm="1">
        <f t="array" ref="G56">Common_InputFunctions.Utility_LookupValueInTableNumber(Table_Input_LivestockPurchases_Poultry[[#This Row],[Class (select)]], Table_SourceData_Poultry_Liveweights[Livestock class j],Table_SourceData_Poultry_Liveweights[Average liveweight (kg)])</f>
        <v>0</v>
      </c>
      <c r="H56" s="69"/>
      <c r="I56" s="14"/>
      <c r="J56" s="14"/>
    </row>
    <row r="57" spans="4:10" x14ac:dyDescent="0.25">
      <c r="D57" s="14"/>
      <c r="E57" s="14"/>
      <c r="F57" s="14"/>
      <c r="G57" s="14"/>
      <c r="H57" s="14"/>
      <c r="I57" s="14"/>
      <c r="J57" s="14"/>
    </row>
    <row r="58" spans="4:10" ht="18.75" x14ac:dyDescent="0.25">
      <c r="D58" s="148" t="s">
        <v>609</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826</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803</v>
      </c>
    </row>
    <row r="7" spans="3:10" ht="20.100000000000001" customHeight="1" x14ac:dyDescent="0.25"/>
    <row r="8" spans="3:10" ht="20.100000000000001" customHeight="1" x14ac:dyDescent="0.25">
      <c r="D8" s="10" t="s">
        <v>805</v>
      </c>
      <c r="E8" s="10" t="s">
        <v>808</v>
      </c>
      <c r="F8" s="10" t="s">
        <v>809</v>
      </c>
      <c r="G8" s="10" t="s">
        <v>806</v>
      </c>
      <c r="H8" s="10" t="s">
        <v>807</v>
      </c>
    </row>
    <row r="9" spans="3:10" ht="20.100000000000001" customHeight="1" x14ac:dyDescent="0.25">
      <c r="D9" s="10" t="s">
        <v>812</v>
      </c>
      <c r="E9" s="48" t="s">
        <v>810</v>
      </c>
      <c r="F9" s="10">
        <v>986</v>
      </c>
      <c r="G9" s="10">
        <v>10</v>
      </c>
      <c r="H9" s="10">
        <v>52</v>
      </c>
    </row>
    <row r="10" spans="3:10" ht="20.100000000000001" customHeight="1" x14ac:dyDescent="0.25">
      <c r="D10" s="10" t="s">
        <v>814</v>
      </c>
      <c r="E10" s="48" t="s">
        <v>815</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811</v>
      </c>
    </row>
    <row r="23" spans="4:8" ht="20.100000000000001" customHeight="1" x14ac:dyDescent="0.25"/>
    <row r="24" spans="4:8" ht="20.100000000000001" customHeight="1" x14ac:dyDescent="0.25">
      <c r="D24" s="10" t="s">
        <v>805</v>
      </c>
      <c r="E24" s="10" t="s">
        <v>808</v>
      </c>
      <c r="F24" s="10" t="s">
        <v>809</v>
      </c>
      <c r="G24" s="10" t="s">
        <v>806</v>
      </c>
      <c r="H24" s="10" t="s">
        <v>807</v>
      </c>
    </row>
    <row r="25" spans="4:8" ht="20.100000000000001" customHeight="1" x14ac:dyDescent="0.25">
      <c r="D25" s="10" t="s">
        <v>813</v>
      </c>
      <c r="E25" s="48" t="s">
        <v>810</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DB10-1239-4F39-886B-2D5F6F64817E}">
  <sheetPr>
    <tabColor theme="5" tint="-0.249977111117893"/>
  </sheetPr>
  <dimension ref="A1:L385"/>
  <sheetViews>
    <sheetView showGridLines="0" topLeftCell="A7" zoomScaleNormal="100" workbookViewId="0">
      <selection activeCell="H37" sqref="H3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875</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876</v>
      </c>
    </row>
    <row r="6" spans="1:10" ht="20.100000000000001" customHeight="1" x14ac:dyDescent="0.25">
      <c r="A6" s="18"/>
    </row>
    <row r="7" spans="1:10" ht="20.100000000000001" customHeight="1" x14ac:dyDescent="0.25">
      <c r="A7" s="19" t="s">
        <v>67</v>
      </c>
      <c r="D7" s="98" t="s">
        <v>120</v>
      </c>
      <c r="E7" s="99"/>
    </row>
    <row r="8" spans="1:10" ht="20.100000000000001" customHeight="1" x14ac:dyDescent="0.25">
      <c r="A8" s="43" t="str">
        <f>HYPERLINK("#'Input - Solid waste'!A1", "Solid waste")</f>
        <v>Solid waste</v>
      </c>
    </row>
    <row r="9" spans="1:10" ht="20.100000000000001" customHeight="1" x14ac:dyDescent="0.25">
      <c r="A9" s="16"/>
      <c r="D9" s="47" t="s">
        <v>249</v>
      </c>
      <c r="E9" s="47" t="s">
        <v>777</v>
      </c>
      <c r="F9" s="47" t="s">
        <v>778</v>
      </c>
      <c r="G9" s="47" t="s">
        <v>779</v>
      </c>
      <c r="H9" s="47" t="s">
        <v>597</v>
      </c>
      <c r="I9" s="47" t="s">
        <v>780</v>
      </c>
    </row>
    <row r="10" spans="1:10" ht="20.100000000000001" customHeight="1" x14ac:dyDescent="0.25">
      <c r="A10" s="21" t="s">
        <v>77</v>
      </c>
      <c r="D10" s="10" t="s">
        <v>877</v>
      </c>
      <c r="E10" s="48" t="s">
        <v>878</v>
      </c>
      <c r="F10" s="48" t="s">
        <v>782</v>
      </c>
      <c r="G10" s="48" t="s">
        <v>783</v>
      </c>
      <c r="H10" s="69">
        <v>50</v>
      </c>
      <c r="I10" s="48" t="s">
        <v>785</v>
      </c>
    </row>
    <row r="11" spans="1:10" ht="20.100000000000001" customHeight="1" x14ac:dyDescent="0.25">
      <c r="A11" s="16" t="str">
        <f>HYPERLINK("#'10.1.1-2 Solid waste treatment'!A1", "10.1.1-2 Solid waste treatment")</f>
        <v>10.1.1-2 Solid waste treatment</v>
      </c>
      <c r="D11" s="10" t="s">
        <v>879</v>
      </c>
      <c r="E11" s="48" t="s">
        <v>878</v>
      </c>
      <c r="F11" s="48" t="s">
        <v>782</v>
      </c>
      <c r="G11" s="48" t="s">
        <v>880</v>
      </c>
      <c r="H11" s="69">
        <v>50</v>
      </c>
      <c r="I11" s="48" t="s">
        <v>784</v>
      </c>
    </row>
    <row r="12" spans="1:10" ht="20.100000000000001" customHeight="1" x14ac:dyDescent="0.25">
      <c r="A12" s="16"/>
      <c r="D12" s="10" t="s">
        <v>881</v>
      </c>
      <c r="E12" s="48" t="s">
        <v>878</v>
      </c>
      <c r="F12" s="48" t="s">
        <v>787</v>
      </c>
      <c r="G12" s="48" t="s">
        <v>783</v>
      </c>
      <c r="H12" s="69">
        <v>50</v>
      </c>
      <c r="I12" s="48" t="s">
        <v>785</v>
      </c>
    </row>
    <row r="13" spans="1:10" ht="20.100000000000001" customHeight="1" x14ac:dyDescent="0.25">
      <c r="A13" s="23" t="s">
        <v>78</v>
      </c>
      <c r="D13" s="10" t="s">
        <v>882</v>
      </c>
      <c r="E13" s="48" t="s">
        <v>878</v>
      </c>
      <c r="F13" s="48" t="s">
        <v>787</v>
      </c>
      <c r="G13" s="48" t="s">
        <v>880</v>
      </c>
      <c r="H13" s="69">
        <v>50</v>
      </c>
      <c r="I13" s="48" t="s">
        <v>784</v>
      </c>
    </row>
    <row r="14" spans="1:10" ht="20.100000000000001" customHeight="1" x14ac:dyDescent="0.25">
      <c r="A14" s="16" t="str">
        <f>HYPERLINK("#'Constants - Solid waste'!A1", "Constants - Solid waste")</f>
        <v>Constants - Solid waste</v>
      </c>
      <c r="D14" s="10" t="s">
        <v>883</v>
      </c>
      <c r="E14" s="48" t="s">
        <v>786</v>
      </c>
      <c r="F14" s="48" t="s">
        <v>787</v>
      </c>
      <c r="G14" s="48" t="s">
        <v>783</v>
      </c>
      <c r="H14" s="69">
        <v>50</v>
      </c>
      <c r="I14" s="48" t="s">
        <v>785</v>
      </c>
    </row>
    <row r="15" spans="1:10" ht="20.100000000000001" customHeight="1" x14ac:dyDescent="0.25">
      <c r="A15" s="16" t="str">
        <f>HYPERLINK("#'Constants - Common'!A1", "Constants - Common")</f>
        <v>Constants - Common</v>
      </c>
      <c r="D15" s="10" t="s">
        <v>884</v>
      </c>
      <c r="E15" s="48" t="s">
        <v>786</v>
      </c>
      <c r="F15" s="48" t="s">
        <v>787</v>
      </c>
      <c r="G15" s="48" t="s">
        <v>783</v>
      </c>
      <c r="H15" s="69">
        <v>50</v>
      </c>
      <c r="I15" s="48" t="s">
        <v>784</v>
      </c>
    </row>
    <row r="16" spans="1:10" ht="20.100000000000001" customHeight="1" x14ac:dyDescent="0.25">
      <c r="D16" s="10" t="s">
        <v>885</v>
      </c>
      <c r="E16" s="48" t="s">
        <v>786</v>
      </c>
      <c r="F16" s="48" t="s">
        <v>787</v>
      </c>
      <c r="G16" s="48" t="s">
        <v>880</v>
      </c>
      <c r="H16" s="69">
        <v>50</v>
      </c>
      <c r="I16" s="48" t="s">
        <v>785</v>
      </c>
    </row>
    <row r="17" spans="1:11" ht="20.100000000000001" customHeight="1" x14ac:dyDescent="0.25">
      <c r="D17" s="10" t="s">
        <v>886</v>
      </c>
      <c r="E17" s="48" t="s">
        <v>786</v>
      </c>
      <c r="F17" s="48" t="s">
        <v>787</v>
      </c>
      <c r="G17" s="48" t="s">
        <v>880</v>
      </c>
      <c r="H17" s="69">
        <v>50</v>
      </c>
      <c r="I17" s="48" t="s">
        <v>784</v>
      </c>
    </row>
    <row r="18" spans="1:11" ht="20.100000000000001" customHeight="1" x14ac:dyDescent="0.25">
      <c r="D18" s="10" t="s">
        <v>887</v>
      </c>
      <c r="E18" s="48" t="s">
        <v>786</v>
      </c>
      <c r="F18" s="48" t="s">
        <v>782</v>
      </c>
      <c r="G18" s="48" t="s">
        <v>783</v>
      </c>
      <c r="H18" s="69">
        <v>50</v>
      </c>
      <c r="I18" s="48" t="s">
        <v>785</v>
      </c>
    </row>
    <row r="19" spans="1:11" ht="20.100000000000001" customHeight="1" x14ac:dyDescent="0.25">
      <c r="D19" s="10" t="s">
        <v>888</v>
      </c>
      <c r="E19" s="48" t="s">
        <v>786</v>
      </c>
      <c r="F19" s="48" t="s">
        <v>782</v>
      </c>
      <c r="G19" s="48" t="s">
        <v>783</v>
      </c>
      <c r="H19" s="69">
        <v>50</v>
      </c>
      <c r="I19" s="48" t="s">
        <v>784</v>
      </c>
    </row>
    <row r="20" spans="1:11" ht="20.100000000000001" customHeight="1" x14ac:dyDescent="0.25">
      <c r="A20" s="16"/>
      <c r="D20" s="10" t="s">
        <v>889</v>
      </c>
      <c r="E20" s="48" t="s">
        <v>786</v>
      </c>
      <c r="F20" s="48" t="s">
        <v>782</v>
      </c>
      <c r="G20" s="48" t="s">
        <v>880</v>
      </c>
      <c r="H20" s="69">
        <v>50</v>
      </c>
      <c r="I20" s="48" t="s">
        <v>785</v>
      </c>
    </row>
    <row r="21" spans="1:11" ht="20.100000000000001" customHeight="1" x14ac:dyDescent="0.25">
      <c r="A21" s="16"/>
      <c r="D21" s="10" t="s">
        <v>890</v>
      </c>
      <c r="E21" s="48" t="s">
        <v>786</v>
      </c>
      <c r="F21" s="48" t="s">
        <v>782</v>
      </c>
      <c r="G21" s="48" t="s">
        <v>880</v>
      </c>
      <c r="H21" s="69">
        <v>50</v>
      </c>
      <c r="I21" s="48" t="s">
        <v>784</v>
      </c>
    </row>
    <row r="22" spans="1:11" ht="20.100000000000001" customHeight="1" x14ac:dyDescent="0.25">
      <c r="D22" s="10" t="s">
        <v>891</v>
      </c>
      <c r="E22" s="48" t="s">
        <v>786</v>
      </c>
      <c r="F22" s="48" t="s">
        <v>892</v>
      </c>
      <c r="G22" s="48" t="s">
        <v>783</v>
      </c>
      <c r="H22" s="69">
        <v>50</v>
      </c>
      <c r="I22" s="48" t="s">
        <v>785</v>
      </c>
    </row>
    <row r="23" spans="1:11" ht="20.100000000000001" customHeight="1" x14ac:dyDescent="0.25">
      <c r="A23" s="16"/>
      <c r="D23" s="10" t="s">
        <v>893</v>
      </c>
      <c r="E23" s="48" t="s">
        <v>786</v>
      </c>
      <c r="F23" s="48" t="s">
        <v>892</v>
      </c>
      <c r="G23" s="48" t="s">
        <v>783</v>
      </c>
      <c r="H23" s="69">
        <v>50</v>
      </c>
      <c r="I23" s="48" t="s">
        <v>784</v>
      </c>
    </row>
    <row r="24" spans="1:11" ht="20.100000000000001" customHeight="1" x14ac:dyDescent="0.25">
      <c r="D24" s="10" t="s">
        <v>894</v>
      </c>
      <c r="E24" s="48" t="s">
        <v>786</v>
      </c>
      <c r="F24" s="48" t="s">
        <v>892</v>
      </c>
      <c r="G24" s="48" t="s">
        <v>880</v>
      </c>
      <c r="H24" s="69">
        <v>50</v>
      </c>
      <c r="I24" s="48" t="s">
        <v>785</v>
      </c>
    </row>
    <row r="25" spans="1:11" ht="20.100000000000001" customHeight="1" x14ac:dyDescent="0.25">
      <c r="D25" s="10" t="s">
        <v>895</v>
      </c>
      <c r="E25" s="48" t="s">
        <v>786</v>
      </c>
      <c r="F25" s="48" t="s">
        <v>892</v>
      </c>
      <c r="G25" s="48" t="s">
        <v>880</v>
      </c>
      <c r="H25" s="69">
        <v>50</v>
      </c>
      <c r="I25" s="48" t="s">
        <v>784</v>
      </c>
    </row>
    <row r="26" spans="1:11" ht="20.100000000000001" customHeight="1" x14ac:dyDescent="0.25">
      <c r="D26" s="10" t="s">
        <v>896</v>
      </c>
      <c r="E26" s="48" t="s">
        <v>781</v>
      </c>
      <c r="F26" s="48" t="s">
        <v>782</v>
      </c>
      <c r="G26" s="48" t="s">
        <v>880</v>
      </c>
      <c r="H26" s="69">
        <v>50</v>
      </c>
      <c r="I26" s="48" t="s">
        <v>785</v>
      </c>
    </row>
    <row r="27" spans="1:11" ht="20.100000000000001" customHeight="1" x14ac:dyDescent="0.25">
      <c r="D27" s="10" t="s">
        <v>897</v>
      </c>
      <c r="E27" s="48" t="s">
        <v>781</v>
      </c>
      <c r="F27" s="48" t="s">
        <v>782</v>
      </c>
      <c r="G27" s="48" t="s">
        <v>880</v>
      </c>
      <c r="H27" s="69">
        <v>50</v>
      </c>
      <c r="I27" s="48" t="s">
        <v>784</v>
      </c>
    </row>
    <row r="28" spans="1:11" ht="20.100000000000001" customHeight="1" x14ac:dyDescent="0.25">
      <c r="D28" s="10" t="s">
        <v>898</v>
      </c>
      <c r="E28" s="48" t="s">
        <v>781</v>
      </c>
      <c r="F28" s="48" t="s">
        <v>892</v>
      </c>
      <c r="G28" s="48" t="s">
        <v>880</v>
      </c>
      <c r="H28" s="69">
        <v>50</v>
      </c>
      <c r="I28" s="48" t="s">
        <v>785</v>
      </c>
    </row>
    <row r="29" spans="1:11" ht="20.100000000000001" customHeight="1" x14ac:dyDescent="0.25">
      <c r="A29" s="16"/>
      <c r="D29" s="10" t="s">
        <v>899</v>
      </c>
      <c r="E29" s="48" t="s">
        <v>781</v>
      </c>
      <c r="F29" s="48" t="s">
        <v>892</v>
      </c>
      <c r="G29" s="48" t="s">
        <v>880</v>
      </c>
      <c r="H29" s="69">
        <v>50</v>
      </c>
      <c r="I29" s="48" t="s">
        <v>784</v>
      </c>
      <c r="K29" s="54"/>
    </row>
    <row r="30" spans="1:11" ht="20.100000000000001" customHeight="1" x14ac:dyDescent="0.25">
      <c r="A30" s="16"/>
      <c r="D30" s="10" t="s">
        <v>900</v>
      </c>
      <c r="E30" s="48" t="s">
        <v>781</v>
      </c>
      <c r="F30" s="48" t="s">
        <v>892</v>
      </c>
      <c r="G30" s="48" t="s">
        <v>783</v>
      </c>
      <c r="H30" s="69">
        <v>50</v>
      </c>
      <c r="I30" s="48" t="s">
        <v>785</v>
      </c>
      <c r="K30" s="54"/>
    </row>
    <row r="31" spans="1:11" ht="20.100000000000001" customHeight="1" x14ac:dyDescent="0.25">
      <c r="A31" s="52"/>
      <c r="D31" s="10" t="s">
        <v>901</v>
      </c>
      <c r="E31" s="48" t="s">
        <v>781</v>
      </c>
      <c r="F31" s="48" t="s">
        <v>892</v>
      </c>
      <c r="G31" s="48" t="s">
        <v>783</v>
      </c>
      <c r="H31" s="69">
        <v>50</v>
      </c>
      <c r="I31" s="48" t="s">
        <v>784</v>
      </c>
      <c r="K31" s="54"/>
    </row>
    <row r="32" spans="1:11" ht="20.100000000000001" customHeight="1" x14ac:dyDescent="0.25">
      <c r="A32" s="52"/>
      <c r="D32" s="10" t="s">
        <v>899</v>
      </c>
      <c r="E32" s="48" t="s">
        <v>781</v>
      </c>
      <c r="F32" s="48" t="s">
        <v>892</v>
      </c>
      <c r="G32" s="48" t="s">
        <v>880</v>
      </c>
      <c r="H32" s="69">
        <v>50</v>
      </c>
      <c r="I32" s="48" t="s">
        <v>784</v>
      </c>
      <c r="K32" s="54"/>
    </row>
    <row r="33" spans="1:12" ht="20.100000000000001" customHeight="1" x14ac:dyDescent="0.25">
      <c r="A33" s="16"/>
      <c r="K33" s="54"/>
    </row>
    <row r="34" spans="1:12" ht="20.100000000000001" customHeight="1" x14ac:dyDescent="0.25">
      <c r="K34" s="54"/>
    </row>
    <row r="35" spans="1:12" ht="20.100000000000001" customHeight="1" x14ac:dyDescent="0.25"/>
    <row r="36" spans="1:12" ht="20.100000000000001" customHeight="1" x14ac:dyDescent="0.25">
      <c r="L36" s="54"/>
    </row>
    <row r="37" spans="1:12" ht="20.100000000000001" customHeight="1" x14ac:dyDescent="0.25">
      <c r="L37" s="54"/>
    </row>
    <row r="38" spans="1:12" ht="20.100000000000001" customHeight="1" x14ac:dyDescent="0.25">
      <c r="C38" s="53"/>
    </row>
    <row r="39" spans="1:12" ht="20.100000000000001" customHeight="1" x14ac:dyDescent="0.25">
      <c r="A39" s="16"/>
      <c r="C39" s="53"/>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c r="E41" s="8"/>
      <c r="F41" s="8"/>
      <c r="G41" s="8"/>
      <c r="H41" s="8"/>
      <c r="I41" s="8"/>
      <c r="J41" s="8"/>
      <c r="L41" s="54" t="s">
        <v>259</v>
      </c>
    </row>
    <row r="42" spans="1:12" ht="20.100000000000001" customHeight="1" x14ac:dyDescent="0.25"/>
    <row r="43" spans="1:12" ht="20.100000000000001" customHeight="1" x14ac:dyDescent="0.25"/>
    <row r="44" spans="1:12" ht="20.100000000000001" customHeight="1" x14ac:dyDescent="0.25">
      <c r="A44" s="56"/>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04"/>
    </row>
    <row r="74" spans="4:4" ht="20.100000000000001" customHeight="1" x14ac:dyDescent="0.25"/>
    <row r="75" spans="4:4" ht="20.100000000000001" customHeight="1" x14ac:dyDescent="0.25">
      <c r="D75" s="104"/>
    </row>
    <row r="76" spans="4:4" ht="20.100000000000001" customHeight="1" x14ac:dyDescent="0.25">
      <c r="D76" s="10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7"/>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disablePrompts="1" count="9">
    <dataValidation type="list" allowBlank="1" showInputMessage="1" showErrorMessage="1" sqref="F10:F32" xr:uid="{D943CB8C-22D5-4331-9475-88BC564683A8}">
      <formula1>INDIRECT("Table_WasteTypes_" &amp; SUBSTITUTE(E10, " ", "") &amp; "[Waste type w]")</formula1>
    </dataValidation>
    <dataValidation type="list" allowBlank="1" showInputMessage="1" showErrorMessage="1" sqref="I10:I32" xr:uid="{BD0F1F94-1688-45ED-9557-8CD4FB7786B1}">
      <formula1>"tonnes, cubic metres m3"</formula1>
    </dataValidation>
    <dataValidation type="list" allowBlank="1" showInputMessage="1" showErrorMessage="1" sqref="G10:G32" xr:uid="{60B4D904-BA64-4B88-8045-909417B2A60E}">
      <formula1>"Treated on-site, Removed and treated off-site"</formula1>
    </dataValidation>
    <dataValidation type="list" allowBlank="1" showInputMessage="1" showErrorMessage="1" sqref="E10:E32" xr:uid="{AAD00154-E883-43E7-AAC4-12268BE86738}">
      <formula1>INDIRECT(_xlfn.UNIQUE("Table_SourceData_WasteSolid_WasteTreatmentEFs[Treatment type t]"))</formula1>
    </dataValidation>
    <dataValidation type="list" allowBlank="1" showInputMessage="1" showErrorMessage="1" sqref="E35" xr:uid="{7431D364-AB33-4E87-985A-7E388197EAD7}">
      <formula1>INDIRECT("Table_SourceData_ElectricityEFs[State, Territory or grid description]")</formula1>
    </dataValidation>
    <dataValidation type="list" allowBlank="1" showInputMessage="1" showErrorMessage="1" sqref="E89" xr:uid="{FE484A1D-4ED4-486F-A428-A60D74660CEA}">
      <formula1>INDIRECT("Table_SourceData_Swine_IrrigationMethods[Irrigation method]")</formula1>
    </dataValidation>
    <dataValidation type="list" allowBlank="1" showInputMessage="1" showErrorMessage="1" sqref="E273 E278 E283 E317 E312 E307 E185 E173 E149 E161" xr:uid="{C370A1F0-4733-4035-9317-651A02B65F1B}">
      <formula1>"Yes, No"</formula1>
    </dataValidation>
    <dataValidation type="list" allowBlank="1" showInputMessage="1" showErrorMessage="1" sqref="E249" xr:uid="{5AF838A5-7CAE-4BA4-A0E7-A768F866058A}">
      <formula1>INDIRECT("Table_SourceData_Dairy_ProductionSystemTemplates[Area]")</formula1>
    </dataValidation>
    <dataValidation type="list" allowBlank="1" showInputMessage="1" showErrorMessage="1" sqref="D301" xr:uid="{C528CBA8-371F-4D26-AEF6-E40100A83A7A}">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C1:K14"/>
  <sheetViews>
    <sheetView showGridLines="0" workbookViewId="0">
      <selection activeCell="F10" sqref="F10"/>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25.5" x14ac:dyDescent="0.35">
      <c r="C1" s="38" t="s">
        <v>849</v>
      </c>
      <c r="D1" s="38"/>
      <c r="E1" s="38"/>
      <c r="F1" s="38"/>
      <c r="G1" s="38"/>
      <c r="H1" s="38"/>
      <c r="I1" s="38"/>
      <c r="J1" s="38"/>
      <c r="K1" s="38"/>
    </row>
    <row r="2" spans="3:11" s="2" customFormat="1" x14ac:dyDescent="0.25"/>
    <row r="3" spans="3:11" ht="20.25" x14ac:dyDescent="0.25">
      <c r="C3" s="39"/>
      <c r="D3" s="39"/>
      <c r="E3" s="39"/>
      <c r="F3" s="39"/>
      <c r="G3" s="39"/>
      <c r="H3" s="39"/>
      <c r="I3" s="39"/>
      <c r="J3" s="39"/>
      <c r="K3" s="39"/>
    </row>
    <row r="5" spans="3:11" ht="23.25" x14ac:dyDescent="0.25">
      <c r="D5" s="9" t="s">
        <v>743</v>
      </c>
    </row>
    <row r="7" spans="3:11" x14ac:dyDescent="0.25">
      <c r="D7" s="8" t="s">
        <v>765</v>
      </c>
    </row>
    <row r="8" spans="3:11" ht="18.75" x14ac:dyDescent="0.25">
      <c r="D8" s="8" t="s">
        <v>766</v>
      </c>
    </row>
    <row r="10" spans="3:11" x14ac:dyDescent="0.25">
      <c r="D10" s="8" t="s">
        <v>850</v>
      </c>
      <c r="F10" s="69">
        <v>1000</v>
      </c>
      <c r="G10" s="68" t="s">
        <v>744</v>
      </c>
    </row>
    <row r="11" spans="3:11" x14ac:dyDescent="0.25">
      <c r="D11" s="8" t="s">
        <v>851</v>
      </c>
      <c r="F11" s="69">
        <v>2000</v>
      </c>
      <c r="G11" s="68" t="s">
        <v>744</v>
      </c>
    </row>
    <row r="13" spans="3:11" x14ac:dyDescent="0.25">
      <c r="D13" s="8" t="s">
        <v>745</v>
      </c>
      <c r="F13" s="48" t="s">
        <v>149</v>
      </c>
      <c r="G13" s="68" t="s">
        <v>194</v>
      </c>
    </row>
    <row r="14" spans="3:11" x14ac:dyDescent="0.25">
      <c r="D14" s="8" t="s">
        <v>749</v>
      </c>
      <c r="F14" s="48" t="s">
        <v>154</v>
      </c>
      <c r="G14" s="68" t="s">
        <v>194</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0678-585A-4721-8A49-475B1624C737}">
  <dimension ref="A1:L365"/>
  <sheetViews>
    <sheetView showGridLines="0" topLeftCell="A19" zoomScaleNormal="100" workbookViewId="0">
      <selection activeCell="E50" sqref="E50"/>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232</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837</v>
      </c>
      <c r="E5" s="48" t="s">
        <v>838</v>
      </c>
      <c r="F5" s="68" t="s">
        <v>194</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233</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234</v>
      </c>
    </row>
    <row r="12" spans="1:10" ht="20.100000000000001" customHeight="1" x14ac:dyDescent="0.25">
      <c r="A12" s="16"/>
    </row>
    <row r="13" spans="1:10" ht="20.100000000000001" customHeight="1" x14ac:dyDescent="0.25">
      <c r="A13" s="23" t="s">
        <v>78</v>
      </c>
      <c r="D13" s="98" t="s">
        <v>235</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236</v>
      </c>
      <c r="E15" s="100">
        <v>30000</v>
      </c>
      <c r="F15" s="68" t="s">
        <v>237</v>
      </c>
    </row>
    <row r="16" spans="1:10" ht="20.100000000000001" customHeight="1" x14ac:dyDescent="0.25">
      <c r="D16" s="8" t="s">
        <v>238</v>
      </c>
      <c r="E16" s="50" t="str">
        <f>IF(X_Cell_Site_State="Western Australia", X_Cell_Site_Region, X_Cell_Site_State)</f>
        <v>Western Australia - Outback (South)</v>
      </c>
      <c r="F16" s="14"/>
    </row>
    <row r="17" spans="1:11" ht="20.100000000000001" customHeight="1" x14ac:dyDescent="0.25">
      <c r="D17" s="8" t="s">
        <v>239</v>
      </c>
      <c r="E17" s="48" t="s">
        <v>902</v>
      </c>
      <c r="F17" s="68" t="s">
        <v>194</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240</v>
      </c>
    </row>
    <row r="22" spans="1:11" ht="20.100000000000001" customHeight="1" x14ac:dyDescent="0.25">
      <c r="E22" s="57" t="str">
        <f>IF(E16="ACT", "", "ALERT: Your farm is not in the ACT, so the JRPP is not applicable")</f>
        <v>ALERT: Your farm is not in the ACT, so the JRPP is not applicable</v>
      </c>
    </row>
    <row r="23" spans="1:11" ht="20.100000000000001" customHeight="1" x14ac:dyDescent="0.25">
      <c r="A23" s="16"/>
      <c r="D23" s="8" t="s">
        <v>241</v>
      </c>
      <c r="E23" s="100">
        <v>30000</v>
      </c>
      <c r="F23" s="68" t="s">
        <v>237</v>
      </c>
    </row>
    <row r="24" spans="1:11" ht="20.100000000000001" customHeight="1" x14ac:dyDescent="0.25">
      <c r="D24" s="8" t="s">
        <v>242</v>
      </c>
      <c r="E24" s="89">
        <v>0.1</v>
      </c>
      <c r="F24" s="68" t="s">
        <v>243</v>
      </c>
    </row>
    <row r="25" spans="1:11" ht="20.100000000000001" customHeight="1" x14ac:dyDescent="0.25">
      <c r="D25" s="8" t="s">
        <v>244</v>
      </c>
      <c r="E25" s="89">
        <v>0.1</v>
      </c>
      <c r="F25" s="68" t="s">
        <v>243</v>
      </c>
    </row>
    <row r="26" spans="1:11" ht="20.100000000000001" customHeight="1" x14ac:dyDescent="0.25"/>
    <row r="27" spans="1:11" ht="20.100000000000001" customHeight="1" x14ac:dyDescent="0.25">
      <c r="D27" s="8" t="s">
        <v>245</v>
      </c>
      <c r="E27" s="100">
        <v>10000</v>
      </c>
      <c r="F27" s="68" t="s">
        <v>237</v>
      </c>
    </row>
    <row r="28" spans="1:11" ht="20.100000000000001" customHeight="1" x14ac:dyDescent="0.25"/>
    <row r="29" spans="1:11" ht="20.100000000000001" customHeight="1" x14ac:dyDescent="0.25">
      <c r="A29" s="16"/>
      <c r="D29" s="8" t="s">
        <v>246</v>
      </c>
      <c r="E29" s="102" t="str">
        <f>TEXT('Input - Site'!E12, "dd mmm yyyy")</f>
        <v>01 Jan 2024</v>
      </c>
      <c r="K29" s="54"/>
    </row>
    <row r="30" spans="1:11" ht="20.100000000000001" customHeight="1" x14ac:dyDescent="0.25">
      <c r="A30" s="16"/>
      <c r="D30" s="8" t="s">
        <v>247</v>
      </c>
      <c r="E30" s="102" t="str">
        <f>TEXT('Input - Site'!E13, "dd mmm yyyy")</f>
        <v>31 Dec 2024</v>
      </c>
      <c r="K30" s="54"/>
    </row>
    <row r="31" spans="1:11" ht="20.100000000000001" customHeight="1" x14ac:dyDescent="0.25">
      <c r="A31" s="52"/>
      <c r="K31" s="54"/>
    </row>
    <row r="32" spans="1:11" ht="20.100000000000001" customHeight="1" x14ac:dyDescent="0.25">
      <c r="A32" s="52"/>
      <c r="D32" s="74" t="s">
        <v>248</v>
      </c>
      <c r="K32" s="54"/>
    </row>
    <row r="33" spans="1:12" ht="20.100000000000001" customHeight="1" x14ac:dyDescent="0.25">
      <c r="A33" s="16"/>
      <c r="K33" s="54"/>
    </row>
    <row r="34" spans="1:12" ht="20.100000000000001" customHeight="1" x14ac:dyDescent="0.25">
      <c r="D34" s="98" t="s">
        <v>120</v>
      </c>
      <c r="E34" s="99"/>
      <c r="K34" s="54"/>
    </row>
    <row r="35" spans="1:12" ht="20.100000000000001" customHeight="1" x14ac:dyDescent="0.25"/>
    <row r="36" spans="1:12" ht="20.100000000000001" customHeight="1" x14ac:dyDescent="0.25">
      <c r="D36" s="47" t="s">
        <v>249</v>
      </c>
      <c r="E36" s="47" t="s">
        <v>250</v>
      </c>
      <c r="F36" s="47" t="s">
        <v>251</v>
      </c>
      <c r="G36" s="47" t="s">
        <v>252</v>
      </c>
      <c r="H36" s="47" t="s">
        <v>253</v>
      </c>
      <c r="I36" s="47" t="s">
        <v>254</v>
      </c>
      <c r="L36" s="54"/>
    </row>
    <row r="37" spans="1:12" ht="20.100000000000001" customHeight="1" x14ac:dyDescent="0.25">
      <c r="D37" s="10" t="s">
        <v>903</v>
      </c>
      <c r="E37" s="48" t="s">
        <v>255</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t="s">
        <v>904</v>
      </c>
      <c r="E38" s="48" t="s">
        <v>256</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t="s">
        <v>905</v>
      </c>
      <c r="E39" s="48" t="s">
        <v>255</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257</v>
      </c>
      <c r="E41" s="50">
        <f>SUMIF(Table_Input_RECSurrendered[Elegibility], "Elegible", Table_Input_RECSurrendered[MWh])</f>
        <v>10</v>
      </c>
      <c r="F41" s="68" t="s">
        <v>253</v>
      </c>
      <c r="G41" s="8"/>
      <c r="H41" s="8"/>
      <c r="I41" s="8"/>
      <c r="J41" s="8"/>
      <c r="L41" s="54" t="s">
        <v>259</v>
      </c>
    </row>
    <row r="42" spans="1:12" ht="20.100000000000001" customHeight="1" x14ac:dyDescent="0.25">
      <c r="C42" s="53"/>
    </row>
    <row r="43" spans="1:12" ht="20.100000000000001" customHeight="1" x14ac:dyDescent="0.25">
      <c r="C43" s="53"/>
      <c r="D43" s="74" t="s">
        <v>258</v>
      </c>
      <c r="J43" s="53"/>
    </row>
    <row r="44" spans="1:12" ht="20.100000000000001" customHeight="1" x14ac:dyDescent="0.25">
      <c r="A44" s="56"/>
    </row>
    <row r="45" spans="1:12" ht="20.100000000000001" customHeight="1" x14ac:dyDescent="0.25">
      <c r="D45" s="47" t="s">
        <v>249</v>
      </c>
      <c r="E45" s="47" t="s">
        <v>139</v>
      </c>
      <c r="F45" s="47" t="s">
        <v>251</v>
      </c>
      <c r="G45" s="47" t="s">
        <v>252</v>
      </c>
      <c r="H45" s="47" t="s">
        <v>253</v>
      </c>
      <c r="I45" s="47" t="s">
        <v>254</v>
      </c>
    </row>
    <row r="46" spans="1:12" ht="20.100000000000001" customHeight="1" x14ac:dyDescent="0.25">
      <c r="D46" s="10" t="s">
        <v>260</v>
      </c>
      <c r="E46" s="229"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t="s">
        <v>906</v>
      </c>
      <c r="E47" s="229"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230">
        <v>45597</v>
      </c>
      <c r="E48" s="229"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261</v>
      </c>
      <c r="E50" s="50">
        <f>SUMIF(Table_Input_RECConsumedByEntity[Elegibility], "Elegible", Table_Input_RECConsumedByEntity[Number of certificates])</f>
        <v>11</v>
      </c>
      <c r="F50" s="68" t="s">
        <v>253</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04"/>
    </row>
    <row r="56" spans="4:6" ht="20.100000000000001" customHeight="1" x14ac:dyDescent="0.25">
      <c r="D56" s="104"/>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864C6623-DE5B-42C0-BBE1-C3BF75CE477F}">
      <formula1>"Location-based (simpler), Market-based (more complex)"</formula1>
    </dataValidation>
    <dataValidation type="list" allowBlank="1" showInputMessage="1" showErrorMessage="1" sqref="E37:E39" xr:uid="{DE315DA4-A04E-415B-BCE5-5E0D049CA196}">
      <formula1>"Purchased certificate, Issued for generated electricity"</formula1>
    </dataValidation>
    <dataValidation type="list" allowBlank="1" showInputMessage="1" showErrorMessage="1" sqref="E17" xr:uid="{8CB00591-52F0-4825-9FC5-2125A35E8A56}">
      <formula1>INDIRECT("Table_SourceData_ElectricityEFs[State, Territory or grid description]")</formula1>
    </dataValidation>
    <dataValidation type="list" allowBlank="1" showInputMessage="1" showErrorMessage="1" sqref="E69" xr:uid="{F0CB627C-9052-4F60-A740-86F4F4AA7D06}">
      <formula1>INDIRECT("Table_SourceData_Swine_IrrigationMethods[Irrigation method]")</formula1>
    </dataValidation>
    <dataValidation type="list" allowBlank="1" showInputMessage="1" showErrorMessage="1" sqref="E253 E258 E263 E297 E292 E287 E165 E153 E129 E141" xr:uid="{38BA4BE9-F4C9-45AF-A991-B3FC4BB5909E}">
      <formula1>"Yes, No"</formula1>
    </dataValidation>
    <dataValidation type="list" allowBlank="1" showInputMessage="1" showErrorMessage="1" sqref="E229" xr:uid="{B393357D-5F83-454D-9E68-725E336C521D}">
      <formula1>INDIRECT("Table_SourceData_Dairy_ProductionSystemTemplates[Area]")</formula1>
    </dataValidation>
    <dataValidation type="list" allowBlank="1" showInputMessage="1" showErrorMessage="1" sqref="D281" xr:uid="{B30E0E78-1FBE-4EA5-ADF5-6198EC66DEC8}">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2"/>
  <sheetViews>
    <sheetView showGridLines="0" topLeftCell="A513" zoomScale="85" zoomScaleNormal="85" workbookViewId="0">
      <selection activeCell="E588" sqref="E588"/>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828</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626</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627</v>
      </c>
      <c r="E10" s="8" t="str" cm="1">
        <f t="array" ref="E10">Scope3_Equations.VEERG_15_1_1_1__1_EmissionsFromPurchasedLivestock_Variable()</f>
        <v>E</v>
      </c>
    </row>
    <row r="11" spans="3:41" ht="20.100000000000001" customHeight="1" x14ac:dyDescent="0.25">
      <c r="D11" s="28" t="s">
        <v>96</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565</v>
      </c>
      <c r="E19" s="113"/>
      <c r="F19" s="99"/>
    </row>
    <row r="20" spans="4:16" ht="20.100000000000001" customHeight="1" x14ac:dyDescent="0.25"/>
    <row r="21" spans="4:16" ht="20.100000000000001" customHeight="1" x14ac:dyDescent="0.25">
      <c r="D21" s="148" t="s">
        <v>321</v>
      </c>
    </row>
    <row r="22" spans="4:16" ht="20.100000000000001" customHeight="1" x14ac:dyDescent="0.25">
      <c r="D22" s="47" t="s">
        <v>358</v>
      </c>
      <c r="E22" s="156" t="s">
        <v>620</v>
      </c>
      <c r="F22" s="156" t="s">
        <v>619</v>
      </c>
      <c r="G22" s="156" t="s">
        <v>621</v>
      </c>
      <c r="H22" s="156" t="s">
        <v>622</v>
      </c>
      <c r="I22" s="60" t="s">
        <v>624</v>
      </c>
      <c r="J22" s="60" t="s">
        <v>633</v>
      </c>
      <c r="K22" s="156" t="s">
        <v>623</v>
      </c>
      <c r="L22" s="47" t="s">
        <v>625</v>
      </c>
      <c r="M22" s="60" t="s">
        <v>635</v>
      </c>
      <c r="N22" s="47" t="s">
        <v>629</v>
      </c>
      <c r="O22" s="47" t="s">
        <v>630</v>
      </c>
      <c r="P22" s="47" t="s">
        <v>631</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601</v>
      </c>
      <c r="O23" s="48" t="s">
        <v>600</v>
      </c>
      <c r="P23" t="s">
        <v>602</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649</v>
      </c>
      <c r="E34" s="101">
        <f>SUM(J23:J32)</f>
        <v>1052.5</v>
      </c>
      <c r="F34" s="179" t="str">
        <f>$E$11</f>
        <v>t CO2e</v>
      </c>
    </row>
    <row r="35" spans="4:13" ht="20.100000000000001" customHeight="1" x14ac:dyDescent="0.25">
      <c r="D35" s="178" t="s">
        <v>650</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337</v>
      </c>
    </row>
    <row r="39" spans="4:13" ht="20.100000000000001" customHeight="1" x14ac:dyDescent="0.25">
      <c r="D39" s="171" t="s">
        <v>628</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358</v>
      </c>
      <c r="E41" s="156" t="s">
        <v>621</v>
      </c>
      <c r="F41" s="156" t="s">
        <v>622</v>
      </c>
      <c r="G41" s="60" t="s">
        <v>633</v>
      </c>
      <c r="H41" s="156" t="s">
        <v>623</v>
      </c>
      <c r="I41" s="47" t="s">
        <v>625</v>
      </c>
      <c r="J41" s="60" t="s">
        <v>635</v>
      </c>
      <c r="K41" s="47" t="s">
        <v>629</v>
      </c>
      <c r="L41" s="47" t="s">
        <v>630</v>
      </c>
      <c r="M41" s="47" t="s">
        <v>631</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601</v>
      </c>
      <c r="L42" s="48" t="s">
        <v>600</v>
      </c>
      <c r="M42" t="s">
        <v>602</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647</v>
      </c>
      <c r="E53" s="101">
        <f>SUM(G42:G51)</f>
        <v>295.47000000000003</v>
      </c>
      <c r="F53" s="179" t="str">
        <f>$E$11</f>
        <v>t CO2e</v>
      </c>
    </row>
    <row r="54" spans="4:13" ht="20.100000000000001" customHeight="1" x14ac:dyDescent="0.25">
      <c r="D54" s="178" t="s">
        <v>648</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540</v>
      </c>
    </row>
    <row r="58" spans="4:13" ht="20.100000000000001" customHeight="1" x14ac:dyDescent="0.25">
      <c r="D58" s="171" t="s">
        <v>628</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358</v>
      </c>
      <c r="E60" s="156" t="s">
        <v>621</v>
      </c>
      <c r="F60" s="156" t="s">
        <v>622</v>
      </c>
      <c r="G60" s="60" t="s">
        <v>633</v>
      </c>
      <c r="H60" s="156" t="s">
        <v>623</v>
      </c>
      <c r="I60" s="47" t="s">
        <v>625</v>
      </c>
      <c r="J60" s="60" t="s">
        <v>635</v>
      </c>
      <c r="K60" s="47" t="s">
        <v>629</v>
      </c>
      <c r="L60" s="47" t="s">
        <v>630</v>
      </c>
      <c r="M60" s="47" t="s">
        <v>631</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0</v>
      </c>
      <c r="G61" s="155" cm="1">
        <f t="array" ref="G61">Scope3_Equations.VEERG_15_1_1_1__1_EmissionsFromPurchasedLivestock(E61,F61,$E$58)</f>
        <v>0</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0</v>
      </c>
      <c r="G62" s="155" cm="1">
        <f t="array" ref="G62">Scope3_Equations.VEERG_15_1_1_1__1_EmissionsFromPurchasedLivestock(E62,F62,$E$58)</f>
        <v>0</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645</v>
      </c>
      <c r="E72" s="101">
        <f>SUM(G61:G70)</f>
        <v>0</v>
      </c>
      <c r="F72" s="179" t="str">
        <f>$E$11</f>
        <v>t CO2e</v>
      </c>
    </row>
    <row r="73" spans="4:13" ht="20.100000000000001" customHeight="1" x14ac:dyDescent="0.25">
      <c r="D73" s="178" t="s">
        <v>646</v>
      </c>
      <c r="E73" s="101">
        <f>SUM(J61:J70)</f>
        <v>73.38000000000001</v>
      </c>
      <c r="F73" s="179" t="str">
        <f>$E$11</f>
        <v>t CO2e</v>
      </c>
    </row>
    <row r="74" spans="4:13" ht="20.100000000000001" customHeight="1" x14ac:dyDescent="0.25"/>
    <row r="75" spans="4:13" ht="20.100000000000001" customHeight="1" x14ac:dyDescent="0.25">
      <c r="D75" s="148" t="s">
        <v>566</v>
      </c>
    </row>
    <row r="76" spans="4:13" ht="20.100000000000001" customHeight="1" x14ac:dyDescent="0.25">
      <c r="D76" s="171" t="s">
        <v>628</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358</v>
      </c>
      <c r="E78" s="156" t="s">
        <v>621</v>
      </c>
      <c r="F78" s="156" t="s">
        <v>622</v>
      </c>
      <c r="G78" s="60" t="s">
        <v>633</v>
      </c>
      <c r="H78" s="156" t="s">
        <v>623</v>
      </c>
      <c r="I78" s="47" t="s">
        <v>625</v>
      </c>
      <c r="J78" s="60" t="s">
        <v>635</v>
      </c>
      <c r="K78" s="47" t="s">
        <v>629</v>
      </c>
      <c r="L78" s="47" t="s">
        <v>630</v>
      </c>
      <c r="M78" s="47" t="s">
        <v>631</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643</v>
      </c>
      <c r="E90" s="101">
        <f>SUM(G79:G88)</f>
        <v>0.36720000000000003</v>
      </c>
      <c r="F90" s="179" t="str">
        <f>$E$11</f>
        <v>t CO2e</v>
      </c>
    </row>
    <row r="91" spans="4:13" ht="20.100000000000001" customHeight="1" x14ac:dyDescent="0.25">
      <c r="D91" s="178" t="s">
        <v>644</v>
      </c>
      <c r="E91" s="101">
        <f>SUM(J79:J88)</f>
        <v>0.35940000000000005</v>
      </c>
      <c r="F91" s="179" t="str">
        <f>$E$11</f>
        <v>t CO2e</v>
      </c>
    </row>
    <row r="92" spans="4:13" ht="20.100000000000001" customHeight="1" x14ac:dyDescent="0.25"/>
    <row r="93" spans="4:13" ht="20.100000000000001" customHeight="1" x14ac:dyDescent="0.25">
      <c r="D93" s="180" t="s">
        <v>633</v>
      </c>
      <c r="E93" s="181">
        <f>E34+E53+E72+E90</f>
        <v>1348.3371999999999</v>
      </c>
      <c r="F93" s="182" t="str">
        <f>$E$11</f>
        <v>t CO2e</v>
      </c>
    </row>
    <row r="94" spans="4:13" ht="20.100000000000001" customHeight="1" x14ac:dyDescent="0.25">
      <c r="D94" s="180" t="s">
        <v>635</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626</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627</v>
      </c>
      <c r="E103" s="8" t="str" cm="1">
        <f t="array" ref="E103">Scope3_Equations.VEERG_15_2_1_1__1_EmissionsFromPurchasedFeed_Variable()</f>
        <v>E</v>
      </c>
    </row>
    <row r="104" spans="3:41" ht="20.100000000000001" customHeight="1" x14ac:dyDescent="0.25">
      <c r="D104" s="28"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291</v>
      </c>
    </row>
    <row r="111" spans="3:41" ht="20.100000000000001" customHeight="1" x14ac:dyDescent="0.25"/>
    <row r="112" spans="3:41" ht="20.100000000000001" customHeight="1" x14ac:dyDescent="0.25">
      <c r="D112" s="40" t="s">
        <v>637</v>
      </c>
      <c r="E112" s="42"/>
      <c r="F112" s="40"/>
      <c r="G112" s="41"/>
      <c r="H112" s="42"/>
    </row>
    <row r="113" spans="4:28" ht="20.100000000000001" customHeight="1" x14ac:dyDescent="0.25">
      <c r="D113" s="91" t="s">
        <v>638</v>
      </c>
      <c r="E113" s="93"/>
      <c r="F113" s="91"/>
      <c r="G113" s="92"/>
      <c r="H113" s="93"/>
    </row>
    <row r="114" spans="4:28" ht="20.100000000000001" customHeight="1" x14ac:dyDescent="0.25">
      <c r="D114" s="44" t="s">
        <v>639</v>
      </c>
      <c r="E114" s="46"/>
      <c r="F114" s="44"/>
      <c r="G114" s="45"/>
      <c r="H114" s="46"/>
    </row>
    <row r="115" spans="4:28" ht="20.100000000000001" customHeight="1" x14ac:dyDescent="0.25"/>
    <row r="116" spans="4:28" ht="20.100000000000001" customHeight="1" x14ac:dyDescent="0.25">
      <c r="D116" s="98" t="s">
        <v>397</v>
      </c>
      <c r="E116" s="113"/>
      <c r="F116" s="99"/>
    </row>
    <row r="117" spans="4:28" ht="20.100000000000001" customHeight="1" x14ac:dyDescent="0.25"/>
    <row r="118" spans="4:28" ht="20.100000000000001" customHeight="1" x14ac:dyDescent="0.25">
      <c r="D118" s="47" t="s">
        <v>401</v>
      </c>
      <c r="E118" s="47" t="s">
        <v>632</v>
      </c>
      <c r="F118" s="60" t="s">
        <v>636</v>
      </c>
      <c r="G118" s="60" t="s">
        <v>633</v>
      </c>
      <c r="H118" s="47" t="s">
        <v>634</v>
      </c>
      <c r="I118" s="60" t="s">
        <v>635</v>
      </c>
      <c r="J118" s="47" t="s">
        <v>629</v>
      </c>
      <c r="K118" s="47" t="s">
        <v>630</v>
      </c>
      <c r="L118" s="47" t="s">
        <v>631</v>
      </c>
      <c r="M118" s="60" t="s">
        <v>173</v>
      </c>
      <c r="N118" s="60" t="s">
        <v>382</v>
      </c>
      <c r="O118" s="60" t="s">
        <v>174</v>
      </c>
      <c r="P118" s="60" t="s">
        <v>344</v>
      </c>
      <c r="Q118" s="60" t="s">
        <v>175</v>
      </c>
      <c r="R118" s="60" t="s">
        <v>398</v>
      </c>
      <c r="S118" s="60" t="s">
        <v>176</v>
      </c>
      <c r="T118" s="60" t="s">
        <v>347</v>
      </c>
      <c r="U118" s="60" t="s">
        <v>177</v>
      </c>
      <c r="V118" s="60" t="s">
        <v>399</v>
      </c>
      <c r="W118" s="60" t="s">
        <v>178</v>
      </c>
      <c r="X118" s="60" t="s">
        <v>348</v>
      </c>
      <c r="Y118" s="60" t="s">
        <v>179</v>
      </c>
      <c r="Z118" s="60" t="s">
        <v>400</v>
      </c>
      <c r="AA118" s="60" t="s">
        <v>180</v>
      </c>
      <c r="AB118" s="60" t="s">
        <v>349</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633</v>
      </c>
      <c r="E130" s="101">
        <f>SUM(G119:G128)</f>
        <v>202.15199999999999</v>
      </c>
      <c r="F130" s="179" t="str">
        <f>$E$104</f>
        <v>t CO2e</v>
      </c>
    </row>
    <row r="131" spans="4:12" ht="20.100000000000001" customHeight="1" x14ac:dyDescent="0.25">
      <c r="D131" s="178" t="s">
        <v>635</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395</v>
      </c>
    </row>
    <row r="135" spans="4:12" ht="20.100000000000001" customHeight="1" x14ac:dyDescent="0.25">
      <c r="D135" s="47" t="s">
        <v>215</v>
      </c>
      <c r="E135" s="47" t="s">
        <v>632</v>
      </c>
      <c r="F135" s="60" t="s">
        <v>636</v>
      </c>
      <c r="G135" s="60" t="s">
        <v>633</v>
      </c>
      <c r="H135" s="47" t="s">
        <v>634</v>
      </c>
      <c r="I135" s="60" t="s">
        <v>635</v>
      </c>
      <c r="J135" s="47" t="s">
        <v>629</v>
      </c>
      <c r="K135" s="47" t="s">
        <v>630</v>
      </c>
      <c r="L135" s="47" t="s">
        <v>631</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633</v>
      </c>
      <c r="E141" s="101">
        <f>SUM(G136:G139)</f>
        <v>174.9</v>
      </c>
      <c r="F141" s="179" t="str">
        <f>$E$104</f>
        <v>t CO2e</v>
      </c>
    </row>
    <row r="142" spans="4:12" ht="20.100000000000001" customHeight="1" x14ac:dyDescent="0.25">
      <c r="D142" s="178" t="s">
        <v>635</v>
      </c>
      <c r="E142" s="101">
        <f>SUM(I136:I139)</f>
        <v>163.60000000000002</v>
      </c>
      <c r="F142" s="179" t="str">
        <f>$E$104</f>
        <v>t CO2e</v>
      </c>
    </row>
    <row r="143" spans="4:12" ht="20.100000000000001" customHeight="1" x14ac:dyDescent="0.25"/>
    <row r="144" spans="4:12" ht="20.100000000000001" customHeight="1" x14ac:dyDescent="0.25">
      <c r="D144" s="180" t="s">
        <v>633</v>
      </c>
      <c r="E144" s="181">
        <f>E130+E141</f>
        <v>377.05200000000002</v>
      </c>
      <c r="F144" s="182" t="str">
        <f>$E$104</f>
        <v>t CO2e</v>
      </c>
    </row>
    <row r="145" spans="3:41" ht="20.100000000000001" customHeight="1" x14ac:dyDescent="0.25">
      <c r="D145" s="180" t="s">
        <v>635</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626</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627</v>
      </c>
      <c r="E154" s="8" t="str" cm="1">
        <f t="array" ref="E154">Scope3_Equations.VEERG_15_3_1_1__1_EmissionsFromPurchasedMineralSupplements_Variable()</f>
        <v>E</v>
      </c>
    </row>
    <row r="155" spans="3:41" ht="20.100000000000001" customHeight="1" x14ac:dyDescent="0.25">
      <c r="D155" s="28"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215</v>
      </c>
      <c r="E161" s="47" t="s">
        <v>640</v>
      </c>
      <c r="F161" s="60" t="s">
        <v>641</v>
      </c>
      <c r="G161" s="60" t="s">
        <v>633</v>
      </c>
      <c r="H161" s="47" t="s">
        <v>642</v>
      </c>
      <c r="I161" s="60" t="s">
        <v>635</v>
      </c>
      <c r="J161" s="47" t="s">
        <v>629</v>
      </c>
      <c r="K161" s="47" t="s">
        <v>630</v>
      </c>
      <c r="L161" s="47" t="s">
        <v>631</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633</v>
      </c>
      <c r="E166" s="181">
        <f>SUM(G162:G164)</f>
        <v>178.9</v>
      </c>
      <c r="F166" s="182" t="str">
        <f>$E$155</f>
        <v>t CO2e</v>
      </c>
    </row>
    <row r="167" spans="3:41" ht="20.100000000000001" customHeight="1" x14ac:dyDescent="0.25">
      <c r="D167" s="180" t="s">
        <v>635</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626</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627</v>
      </c>
      <c r="E177" s="8" t="str" cm="1">
        <f t="array" ref="E177">Scope3_Equations.VEERG_15_4_1_1__X_EmissionFactorFromPurchasedFertiliserComponents_Variable()</f>
        <v>EF_f</v>
      </c>
    </row>
    <row r="178" spans="4:8" ht="20.100000000000001" customHeight="1" x14ac:dyDescent="0.25">
      <c r="D178" s="28"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626</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627</v>
      </c>
      <c r="E191" s="8" t="str" cm="1">
        <f t="array" ref="E191">Scope3_Equations.VEERG_15_4_1_1__1_EmissionsFromPurchasedFertiliser_Variable()</f>
        <v>E</v>
      </c>
    </row>
    <row r="192" spans="4:8" ht="20.100000000000001" customHeight="1" x14ac:dyDescent="0.25">
      <c r="D192" s="28"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626</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627</v>
      </c>
      <c r="E206" s="8" t="str" cm="1">
        <f t="array" ref="E206">Scope3_Equations.VEERG_15_4_1_1__2_EmissionsFromPurchasedFertiliserComponents_Variable()</f>
        <v>E</v>
      </c>
    </row>
    <row r="207" spans="4:8" ht="20.100000000000001" customHeight="1" x14ac:dyDescent="0.25">
      <c r="D207" s="28"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366</v>
      </c>
    </row>
    <row r="217" spans="4:40" ht="20.100000000000001" customHeight="1" x14ac:dyDescent="0.25"/>
    <row r="218" spans="4:40" ht="20.100000000000001" customHeight="1" x14ac:dyDescent="0.25">
      <c r="D218" s="98" t="s">
        <v>365</v>
      </c>
      <c r="E218" s="113"/>
      <c r="F218" s="99"/>
    </row>
    <row r="219" spans="4:40" ht="20.100000000000001" customHeight="1" x14ac:dyDescent="0.25"/>
    <row r="220" spans="4:40" ht="20.100000000000001" customHeight="1" x14ac:dyDescent="0.25">
      <c r="D220" s="47" t="s">
        <v>215</v>
      </c>
      <c r="E220" s="47" t="s">
        <v>353</v>
      </c>
      <c r="F220" s="60" t="s">
        <v>668</v>
      </c>
      <c r="G220" s="60" t="s">
        <v>652</v>
      </c>
      <c r="H220" s="60" t="s">
        <v>651</v>
      </c>
      <c r="I220" s="47" t="s">
        <v>669</v>
      </c>
      <c r="J220" s="60" t="s">
        <v>653</v>
      </c>
      <c r="K220" s="60" t="s">
        <v>654</v>
      </c>
      <c r="L220" s="47" t="s">
        <v>629</v>
      </c>
      <c r="M220" s="47" t="s">
        <v>630</v>
      </c>
      <c r="N220" s="47" t="s">
        <v>631</v>
      </c>
      <c r="O220" s="60" t="s">
        <v>171</v>
      </c>
      <c r="P220" s="60" t="s">
        <v>172</v>
      </c>
      <c r="Q220" s="60" t="s">
        <v>173</v>
      </c>
      <c r="R220" s="60" t="s">
        <v>174</v>
      </c>
      <c r="S220" s="60" t="s">
        <v>656</v>
      </c>
      <c r="T220" s="47" t="s">
        <v>657</v>
      </c>
      <c r="U220" s="60" t="s">
        <v>175</v>
      </c>
      <c r="V220" s="60" t="s">
        <v>176</v>
      </c>
      <c r="W220" s="60" t="s">
        <v>658</v>
      </c>
      <c r="X220" s="47" t="s">
        <v>659</v>
      </c>
      <c r="Y220" s="60" t="s">
        <v>177</v>
      </c>
      <c r="Z220" s="60" t="s">
        <v>178</v>
      </c>
      <c r="AA220" s="60" t="s">
        <v>660</v>
      </c>
      <c r="AB220" s="47" t="s">
        <v>661</v>
      </c>
      <c r="AC220" s="60" t="s">
        <v>179</v>
      </c>
      <c r="AD220" s="60" t="s">
        <v>180</v>
      </c>
      <c r="AE220" s="60" t="s">
        <v>662</v>
      </c>
      <c r="AF220" s="47" t="s">
        <v>663</v>
      </c>
      <c r="AG220" s="60" t="s">
        <v>181</v>
      </c>
      <c r="AH220" s="60" t="s">
        <v>182</v>
      </c>
      <c r="AI220" s="60" t="s">
        <v>664</v>
      </c>
      <c r="AJ220" s="47" t="s">
        <v>665</v>
      </c>
      <c r="AK220" s="60" t="s">
        <v>183</v>
      </c>
      <c r="AL220" s="60" t="s">
        <v>184</v>
      </c>
      <c r="AM220" s="60" t="s">
        <v>666</v>
      </c>
      <c r="AN220" s="47" t="s">
        <v>667</v>
      </c>
    </row>
    <row r="221" spans="4:40" ht="20.100000000000001" customHeight="1" x14ac:dyDescent="0.25">
      <c r="D221" s="50" t="str" cm="1">
        <f t="array" ref="D221:D230">IFERROR(INDEX(Table_Input_InorganicFertiliser_Brands[Product (select)], _xlfn.SEQUENCE(10)), "")</f>
        <v>Aqua Finish</v>
      </c>
      <c r="E221" s="50" cm="1">
        <f t="array" ref="E221:E230">IFERROR(INDEX(Table_Input_InorganicFertiliser_Brands[Total applied (kg)], _xlfn.SEQUENCE(10)), 0)</f>
        <v>12600</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5" cm="1">
        <f t="array" ref="G221">Scope3_Equations.VEERG_15_4_1_1__1_EmissionsFromPurchasedFertiliser(E221,F221)</f>
        <v>5.9487750000000004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9">
        <v>0.4</v>
      </c>
      <c r="J221" s="155" cm="1">
        <f t="array" ref="J221">Scope3_Equations.VEERG_15_4_1_1__1_EmissionsFromPurchasedFertiliser(E221,I221)</f>
        <v>5.04</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Potassium - Generic</v>
      </c>
      <c r="R221" s="50" cm="1">
        <f t="array" ref="R221:R230">IFERROR(INDEX(_xlfn.LET(_xlpm.result, Table_Input_InorganicFertiliser_Brands[Ingredient 1 percent], IF(_xlpm.result="", 0, _xlpm.result)), _xlfn.SEQUENCE(10)), 0)</f>
        <v>0.22500000000000001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9">
        <v>0.9</v>
      </c>
      <c r="U221" s="50" t="str" cm="1">
        <f t="array" ref="U221:U230">IFERROR(INDEX(Table_Input_InorganicFertiliser_Brands[Ingredient 2], _xlfn.SEQUENCE(10)), "")</f>
        <v>Phosphorus - Generic</v>
      </c>
      <c r="V221" s="50" cm="1">
        <f t="array" ref="V221:V230">IFERROR(INDEX(_xlfn.LET(_xlpm.result, Table_Input_InorganicFertiliser_Brands[Ingredient 2 percent], IF(_xlpm.result="", 0, _xlpm.result)), _xlfn.SEQUENCE(10)), 0)</f>
        <v>0.04</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2.5999999999999999E-2</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
      </c>
      <c r="AD221" s="50" cm="1">
        <f t="array" ref="AD221:AD230">IFERROR(INDEX(_xlfn.LET(_xlpm.result, Table_Input_InorganicFertiliser_Brands[Ingredient 4 percent], IF(_xlpm.result="", 0, _xlpm.result)), _xlfn.SEQUENCE(10)), 0)</f>
        <v>0</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CalPhos</v>
      </c>
      <c r="E222" s="50">
        <v>12850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5" cm="1">
        <f t="array" ref="G222">Scope3_Equations.VEERG_15_4_1_1__1_EmissionsFromPurchasedFertiliser(E222,F222)</f>
        <v>6.8696100000000007</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9">
        <v>0.9</v>
      </c>
      <c r="J222" s="155" cm="1">
        <f t="array" ref="J222">Scope3_Equations.VEERG_15_4_1_1__1_EmissionsFromPurchasedFertiliser(E222,I222)</f>
        <v>11.565</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5"/>
      <c r="M222" s="48"/>
      <c r="N222" s="85"/>
      <c r="O222" s="50" t="str">
        <v/>
      </c>
      <c r="P222" s="50" t="str">
        <v/>
      </c>
      <c r="Q222" s="50" t="str">
        <v>Phosphorus - Generic</v>
      </c>
      <c r="R222" s="50">
        <v>0.13500000000000001</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9"/>
      <c r="U222" s="50" t="str">
        <v>Calcium - Generic</v>
      </c>
      <c r="V222" s="50">
        <v>0.04</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9"/>
      <c r="Y222" s="50" t="str">
        <v/>
      </c>
      <c r="Z222" s="50">
        <v>0</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9"/>
      <c r="AC222" s="50" t="str">
        <v/>
      </c>
      <c r="AD222" s="50">
        <v>0</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9"/>
      <c r="AG222" s="50" t="str">
        <v/>
      </c>
      <c r="AH222" s="50">
        <v>0</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
      </c>
      <c r="AL222" s="50">
        <v>0</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CalPhos</v>
      </c>
      <c r="E223" s="50">
        <v>12850</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5" cm="1">
        <f t="array" ref="G223">Scope3_Equations.VEERG_15_4_1_1__1_EmissionsFromPurchasedFertiliser(E223,F223)</f>
        <v>6.8696100000000007</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9">
        <v>0.4</v>
      </c>
      <c r="J223" s="155" cm="1">
        <f t="array" ref="J223">Scope3_Equations.VEERG_15_4_1_1__1_EmissionsFromPurchasedFertiliser(E223,I223)</f>
        <v>5.14</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5"/>
      <c r="M223" s="48"/>
      <c r="N223" s="85"/>
      <c r="O223" s="50" t="str">
        <v/>
      </c>
      <c r="P223" s="50" t="str">
        <v/>
      </c>
      <c r="Q223" s="50" t="str">
        <v>Phosphorus - Generic</v>
      </c>
      <c r="R223" s="50">
        <v>0.13500000000000001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9"/>
      <c r="U223" s="50" t="str">
        <v>Calcium - Generic</v>
      </c>
      <c r="V223" s="50">
        <v>0.04</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9"/>
      <c r="Y223" s="50" t="str">
        <v/>
      </c>
      <c r="Z223" s="50">
        <v>0</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9"/>
      <c r="AC223" s="50" t="str">
        <v/>
      </c>
      <c r="AD223" s="50">
        <v>0</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Aqua Grow</v>
      </c>
      <c r="E224" s="50">
        <v>12600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5" cm="1">
        <f t="array" ref="G224">Scope3_Equations.VEERG_15_4_1_1__1_EmissionsFromPurchasedFertiliser(E224,F224)</f>
        <v>8.7777269999999987</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5"/>
      <c r="M224" s="48"/>
      <c r="N224" s="85"/>
      <c r="O224" s="50" t="str">
        <v/>
      </c>
      <c r="P224" s="50" t="str">
        <v/>
      </c>
      <c r="Q224" s="50" t="str">
        <v>Potassium - Generic</v>
      </c>
      <c r="R224" s="50">
        <v>0.105</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9"/>
      <c r="U224" s="50" t="str">
        <v>Nitrogen - Generic</v>
      </c>
      <c r="V224" s="50">
        <v>9.6000000000000002E-2</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9"/>
      <c r="Y224" s="50" t="str">
        <v>Phosphorus - Generic</v>
      </c>
      <c r="Z224" s="50">
        <v>0.05</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Aqua NitroCal</v>
      </c>
      <c r="E225" s="50">
        <v>15000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5" cm="1">
        <f t="array" ref="G225">Scope3_Equations.VEERG_15_4_1_1__1_EmissionsFromPurchasedFertiliser(E225,F225)</f>
        <v>10.8306</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5"/>
      <c r="M225" s="48"/>
      <c r="N225" s="85"/>
      <c r="O225" s="50" t="str">
        <v/>
      </c>
      <c r="P225" s="50" t="str">
        <v/>
      </c>
      <c r="Q225" s="50" t="str">
        <v>Calcium - Generic</v>
      </c>
      <c r="R225" s="50">
        <v>0.16200000000000001</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Nitrogen - Nitrate</v>
      </c>
      <c r="V225" s="50">
        <v>0.13200000000000001</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655</v>
      </c>
    </row>
    <row r="233" spans="4:40" ht="20.100000000000001" customHeight="1" x14ac:dyDescent="0.25"/>
    <row r="234" spans="4:40" ht="20.100000000000001" customHeight="1" x14ac:dyDescent="0.25">
      <c r="D234" s="98" t="s">
        <v>670</v>
      </c>
      <c r="E234" s="113"/>
      <c r="F234" s="99"/>
    </row>
    <row r="235" spans="4:40" ht="20.100000000000001" customHeight="1" x14ac:dyDescent="0.25"/>
    <row r="236" spans="4:40" ht="20.100000000000001" customHeight="1" x14ac:dyDescent="0.25">
      <c r="D236" s="47" t="s">
        <v>401</v>
      </c>
      <c r="E236" s="47" t="s">
        <v>353</v>
      </c>
      <c r="F236" s="60" t="s">
        <v>668</v>
      </c>
      <c r="G236" s="60" t="s">
        <v>652</v>
      </c>
      <c r="H236" s="60" t="s">
        <v>651</v>
      </c>
      <c r="I236" s="47" t="s">
        <v>669</v>
      </c>
      <c r="J236" s="60" t="s">
        <v>653</v>
      </c>
      <c r="K236" s="60" t="s">
        <v>654</v>
      </c>
      <c r="L236" s="47" t="s">
        <v>629</v>
      </c>
      <c r="M236" s="47" t="s">
        <v>630</v>
      </c>
      <c r="N236" s="47" t="s">
        <v>631</v>
      </c>
      <c r="O236" s="60" t="s">
        <v>171</v>
      </c>
      <c r="P236" s="60" t="s">
        <v>172</v>
      </c>
      <c r="Q236" s="60" t="s">
        <v>173</v>
      </c>
      <c r="R236" s="60" t="s">
        <v>174</v>
      </c>
      <c r="S236" s="60" t="s">
        <v>656</v>
      </c>
      <c r="T236" s="47" t="s">
        <v>657</v>
      </c>
      <c r="U236" s="60" t="s">
        <v>175</v>
      </c>
      <c r="V236" s="60" t="s">
        <v>176</v>
      </c>
      <c r="W236" s="60" t="s">
        <v>658</v>
      </c>
      <c r="X236" s="47" t="s">
        <v>659</v>
      </c>
      <c r="Y236" s="60" t="s">
        <v>177</v>
      </c>
      <c r="Z236" s="60" t="s">
        <v>178</v>
      </c>
      <c r="AA236" s="60" t="s">
        <v>660</v>
      </c>
      <c r="AB236" s="47" t="s">
        <v>661</v>
      </c>
      <c r="AC236" s="60" t="s">
        <v>179</v>
      </c>
      <c r="AD236" s="60" t="s">
        <v>180</v>
      </c>
      <c r="AE236" s="60" t="s">
        <v>662</v>
      </c>
      <c r="AF236" s="47" t="s">
        <v>663</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5" cm="1">
        <f t="array" ref="G237">Scope3_Equations.VEERG_15_4_1_1__1_EmissionsFromPurchasedFertiliser(E237,F237)</f>
        <v>17.708000000000002</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5"/>
      <c r="M237" s="48"/>
      <c r="N237"/>
      <c r="O237" s="50" t="str" cm="1">
        <f t="array" ref="O237:O246">IFERROR(INDEX(#REF!, _xlfn.SEQUENCE(10)), "")</f>
        <v/>
      </c>
      <c r="P237" s="50" t="str" cm="1">
        <f t="array" ref="P237:P246">IFERROR(INDEX(#REF!, _xlfn.SEQUENCE(10)), "")</f>
        <v/>
      </c>
      <c r="Q237" s="50" t="str" cm="1">
        <f t="array" ref="Q237:Q246">IFERROR(INDEX(Table_Input_InorganicFertiliser_Custom[Ingredient 1 (select)], _xlfn.SEQUENCE(10)), "")</f>
        <v>Calcium nitrate</v>
      </c>
      <c r="R237" s="50" cm="1">
        <f t="array" ref="R237:R246">IFERROR(INDEX(_xlfn.LET(_xlpm.result, Table_Input_InorganicFertiliser_Custom[Ingredient 1 percent], IF(_xlpm.result="", 0, _xlpm.result)), _xlfn.SEQUENCE(10)), 0)</f>
        <v>0.5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9">
        <v>0.9</v>
      </c>
      <c r="U237" s="50" t="str" cm="1">
        <f t="array" ref="U237:U246">IFERROR(INDEX(Table_Input_InorganicFertiliser_Custom[Ingredient 2], _xlfn.SEQUENCE(10)), "")</f>
        <v>Zinc - Generic</v>
      </c>
      <c r="V237" s="50" cm="1">
        <f t="array" ref="V237:V246">IFERROR(INDEX(_xlfn.LET(_xlpm.result, Table_Input_InorganicFertiliser_Custom[Ingredient 2 percent], IF(_xlpm.result="", 0, _xlpm.result)), _xlfn.SEQUENCE(10)), 0)</f>
        <v>0.2</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0.2</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t="str">
        <v>My second custom blend</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5" cm="1">
        <f t="array" ref="G238">Scope3_Equations.VEERG_15_4_1_1__1_EmissionsFromPurchasedFertiliser(E238,F238)</f>
        <v>9.68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5"/>
      <c r="M238" s="48"/>
      <c r="N238" s="85"/>
      <c r="O238" s="50" t="str">
        <v/>
      </c>
      <c r="P238" s="50" t="str">
        <v/>
      </c>
      <c r="Q238" s="50" t="str">
        <v>Urea</v>
      </c>
      <c r="R238" s="50">
        <v>1</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9"/>
      <c r="U238" s="50">
        <v>0</v>
      </c>
      <c r="V238" s="50">
        <v>0</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My third custom blend</v>
      </c>
      <c r="E239" s="50">
        <v>10000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5" cm="1">
        <f t="array" ref="G239">Scope3_Equations.VEERG_15_4_1_1__1_EmissionsFromPurchasedFertiliser(E239,F239)</f>
        <v>11.6</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9">
        <v>0.4</v>
      </c>
      <c r="J239" s="155" cm="1">
        <f t="array" ref="J239">Scope3_Equations.VEERG_15_4_1_1__1_EmissionsFromPurchasedFertiliser(E239,I239)</f>
        <v>4</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5"/>
      <c r="M239" s="48"/>
      <c r="N239" s="85"/>
      <c r="O239" s="50" t="str">
        <v/>
      </c>
      <c r="P239" s="50" t="str">
        <v/>
      </c>
      <c r="Q239" s="50" t="str">
        <v>Ammonia</v>
      </c>
      <c r="R239" s="50">
        <v>0.5</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9"/>
      <c r="U239" s="50">
        <v>0</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v>0</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v>0</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671</v>
      </c>
      <c r="E248" s="181">
        <f>SUM(G221:G230)+SUM(G237:G246)</f>
        <v>78.284322000000003</v>
      </c>
      <c r="F248" s="182" t="str">
        <f>$E$155</f>
        <v>t CO2e</v>
      </c>
    </row>
    <row r="249" spans="3:41" ht="20.100000000000001" customHeight="1" x14ac:dyDescent="0.25">
      <c r="D249" s="183" t="s">
        <v>672</v>
      </c>
      <c r="E249" s="181">
        <f>SUM(J221:J230)+SUM(J237:J246)</f>
        <v>38.745000000000005</v>
      </c>
      <c r="F249" s="182" t="str">
        <f>$E$155</f>
        <v>t CO2e</v>
      </c>
    </row>
    <row r="250" spans="3:41" ht="20.100000000000001" customHeight="1" x14ac:dyDescent="0.25"/>
    <row r="251" spans="3:41" ht="20.100000000000001" customHeight="1" x14ac:dyDescent="0.25">
      <c r="D251" s="183" t="s">
        <v>673</v>
      </c>
      <c r="E251" s="181">
        <f>SUM(H221:H230)+SUM(H237:H246)</f>
        <v>78.284322000000003</v>
      </c>
      <c r="F251" s="182" t="str">
        <f>$E$155</f>
        <v>t CO2e</v>
      </c>
    </row>
    <row r="252" spans="3:41" ht="20.100000000000001" customHeight="1" x14ac:dyDescent="0.25">
      <c r="D252" s="183" t="s">
        <v>674</v>
      </c>
      <c r="E252" s="181">
        <f>SUM(K221:K230)+SUM(K237:K246)</f>
        <v>75.743047000000004</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626</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627</v>
      </c>
      <c r="E262" s="8" t="str" cm="1">
        <f t="array" ref="E262">Scope3_Equations.VEERG_15_5_1_1__1_EmissionsFromPurchasedAgrichemicals_Variable()</f>
        <v>E</v>
      </c>
    </row>
    <row r="263" spans="4:9" ht="20.100000000000001" customHeight="1" x14ac:dyDescent="0.25">
      <c r="D263" s="28" t="s">
        <v>96</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680</v>
      </c>
      <c r="E269" s="47" t="s">
        <v>204</v>
      </c>
      <c r="F269" s="60" t="s">
        <v>681</v>
      </c>
      <c r="G269" s="60" t="s">
        <v>633</v>
      </c>
      <c r="H269" s="47" t="s">
        <v>682</v>
      </c>
      <c r="I269" s="60" t="s">
        <v>635</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633</v>
      </c>
      <c r="E283" s="181">
        <f>SUM(G270:G281)</f>
        <v>7.5159999999999991</v>
      </c>
      <c r="F283" s="182" t="str">
        <f>$E$155</f>
        <v>t CO2e</v>
      </c>
    </row>
    <row r="284" spans="3:41" ht="20.25" x14ac:dyDescent="0.25">
      <c r="D284" s="183" t="s">
        <v>635</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626</v>
      </c>
      <c r="E290" s="176" t="str" cm="1">
        <f t="array" aca="1" ref="E290" ca="1">Common_InputFunctions.Utility_DisplayFunctionName(I305)</f>
        <v>=Scope3_Equations.VEERG_15_6_1_1__1_EmissionsFromPurchasedLime</v>
      </c>
    </row>
    <row r="293" spans="4:13" x14ac:dyDescent="0.25">
      <c r="D293" s="28" t="s">
        <v>627</v>
      </c>
      <c r="E293" s="8" t="str" cm="1">
        <f t="array" ref="E293">Scope3_Equations.VEERG_15_6_1_1__1_EmissionsFromPurchasedLime_Variable()</f>
        <v>E</v>
      </c>
    </row>
    <row r="294" spans="4:13" x14ac:dyDescent="0.25">
      <c r="D294" s="28" t="s">
        <v>96</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407</v>
      </c>
      <c r="F299" s="47" t="s">
        <v>408</v>
      </c>
    </row>
    <row r="300" spans="4:13" ht="18.75" x14ac:dyDescent="0.25">
      <c r="D300" s="8" t="s">
        <v>685</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686</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687</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169</v>
      </c>
      <c r="E304" s="156" t="s">
        <v>683</v>
      </c>
      <c r="F304" s="47" t="s">
        <v>688</v>
      </c>
      <c r="G304" s="47" t="s">
        <v>689</v>
      </c>
      <c r="H304" s="47" t="s">
        <v>690</v>
      </c>
      <c r="I304" s="60" t="s">
        <v>633</v>
      </c>
      <c r="J304" s="60" t="s">
        <v>684</v>
      </c>
      <c r="K304" s="47" t="s">
        <v>629</v>
      </c>
      <c r="L304" s="47" t="s">
        <v>630</v>
      </c>
      <c r="M304" s="47" t="s">
        <v>631</v>
      </c>
    </row>
    <row r="305" spans="3:41" x14ac:dyDescent="0.25">
      <c r="D305" s="50" t="str" cm="1">
        <f t="array" ref="D305:D314">IFERROR(INDEX(#REF!, _xlfn.SEQUENCE(10)), "")</f>
        <v/>
      </c>
      <c r="E305" s="50" cm="1">
        <f t="array" ref="E305:E314">IFERROR(INDEX(#REF!, _xlfn.SEQUENCE(10)), 0)</f>
        <v>0</v>
      </c>
      <c r="F305" s="50" cm="1">
        <f t="array" ref="F305:F314">IFERROR(INDEX(#REF!, _xlfn.SEQUENCE(10)), 0)*E305</f>
        <v>0</v>
      </c>
      <c r="G305" s="50" cm="1">
        <f t="array" ref="G305:G314">IFERROR(INDEX(#REF!, _xlfn.SEQUENCE(10)), 0)*E305</f>
        <v>0</v>
      </c>
      <c r="H305" s="50" cm="1">
        <f t="array" ref="H305:H314">IFERROR(INDEX(#REF!, _xlfn.SEQUENCE(10)), 0)*E305</f>
        <v>0</v>
      </c>
      <c r="I305" s="155" cm="1">
        <f t="array" ref="I305">Scope3_Equations.VEERG_15_6_1_1__1_EmissionsFromPurchasedLime(F305,$E$300)+
Scope3_Equations.VEERG_15_6_1_1__1_EmissionsFromPurchasedLime(G305,$E$301)+
Scope3_Equations.VEERG_15_6_1_1__1_EmissionsFromPurchasedLime(H305,$E$302)</f>
        <v>0</v>
      </c>
      <c r="J305" s="155" cm="1">
        <f t="array" ref="J305">Scope3_Equations.VEERG_15_6_1_1__1_EmissionsFromPurchasedLime(F305,IF($F$300,$F$300,$E$300))+
Scope3_Equations.VEERG_15_6_1_1__1_EmissionsFromPurchasedLime(G305,IF($F$301,$F$301,$E$301))+
Scope3_Equations.VEERG_15_6_1_1__1_EmissionsFromPurchasedLime(H305,IF($F$302,$F$302,$E$302))</f>
        <v>0</v>
      </c>
      <c r="K305" s="85"/>
      <c r="L305" s="48"/>
      <c r="M305" s="85"/>
    </row>
    <row r="306" spans="3:41" x14ac:dyDescent="0.25">
      <c r="D306" s="50" t="str">
        <v/>
      </c>
      <c r="E306" s="50">
        <v>0</v>
      </c>
      <c r="F306" s="50">
        <v>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v>
      </c>
      <c r="J306" s="155" cm="1">
        <f t="array" ref="J306">Scope3_Equations.VEERG_15_6_1_1__1_EmissionsFromPurchasedLime(F306,IF($F$300,$F$300,$E$300))+
Scope3_Equations.VEERG_15_6_1_1__1_EmissionsFromPurchasedLime(G306,IF($F$301,$F$301,$E$301))+
Scope3_Equations.VEERG_15_6_1_1__1_EmissionsFromPurchasedLime(H306,IF($F$302,$F$302,$E$302))</f>
        <v>0</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633</v>
      </c>
      <c r="E316" s="181">
        <f>SUM(I305:I314)</f>
        <v>0</v>
      </c>
      <c r="F316" s="182" t="str">
        <f>$E$155</f>
        <v>t CO2e</v>
      </c>
    </row>
    <row r="317" spans="3:41" ht="20.25" x14ac:dyDescent="0.25">
      <c r="D317" s="183" t="s">
        <v>635</v>
      </c>
      <c r="E317" s="181">
        <f>SUM(J305:J314)</f>
        <v>0</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626</v>
      </c>
      <c r="E323" s="176" t="str" cm="1">
        <f t="array" aca="1" ref="E323" ca="1">Common_InputFunctions.Utility_DisplayFunctionName(K336)</f>
        <v>=Scope3_Equations.VEERG_15_7_1_1__1_EmissionsFromPurchasedServices</v>
      </c>
    </row>
    <row r="325" spans="4:15" x14ac:dyDescent="0.25">
      <c r="H325" s="8" t="s">
        <v>853</v>
      </c>
    </row>
    <row r="326" spans="4:15" x14ac:dyDescent="0.25">
      <c r="D326" s="28" t="s">
        <v>627</v>
      </c>
      <c r="E326" s="8" t="str" cm="1">
        <f t="array" ref="E326">Scope3_Equations.VEERG_15_7_1_1__1_EmissionsFromPurchasedServices_Variable()</f>
        <v>E</v>
      </c>
    </row>
    <row r="327" spans="4:15" x14ac:dyDescent="0.25">
      <c r="D327" s="28" t="s">
        <v>96</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691</v>
      </c>
    </row>
    <row r="335" spans="4:15" x14ac:dyDescent="0.25">
      <c r="D335" s="47" t="s">
        <v>605</v>
      </c>
      <c r="E335" s="47" t="s">
        <v>615</v>
      </c>
      <c r="F335" s="47" t="s">
        <v>610</v>
      </c>
      <c r="G335" s="47" t="s">
        <v>125</v>
      </c>
      <c r="H335" s="60" t="s">
        <v>413</v>
      </c>
      <c r="I335" s="60" t="s">
        <v>350</v>
      </c>
      <c r="J335" s="47" t="s">
        <v>414</v>
      </c>
      <c r="K335" s="60" t="s">
        <v>351</v>
      </c>
      <c r="L335" s="60" t="s">
        <v>611</v>
      </c>
      <c r="M335" s="47" t="s">
        <v>629</v>
      </c>
      <c r="N335" s="47" t="s">
        <v>630</v>
      </c>
      <c r="O335" s="47" t="s">
        <v>631</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819</v>
      </c>
      <c r="I336" s="50" t="s">
        <v>819</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819</v>
      </c>
      <c r="I337" s="50" t="s">
        <v>819</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819</v>
      </c>
      <c r="I338" s="50" t="s">
        <v>819</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819</v>
      </c>
      <c r="I339" s="50" t="s">
        <v>819</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819</v>
      </c>
      <c r="I340" s="50" t="s">
        <v>819</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819</v>
      </c>
      <c r="I341" s="50" t="s">
        <v>819</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819</v>
      </c>
      <c r="I342" s="50" t="s">
        <v>819</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819</v>
      </c>
      <c r="I343" s="50" t="s">
        <v>819</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819</v>
      </c>
      <c r="I344" s="50" t="s">
        <v>819</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819</v>
      </c>
      <c r="I345" s="50" t="s">
        <v>819</v>
      </c>
      <c r="J345" s="69"/>
      <c r="K345" s="155" cm="1">
        <f t="array" ref="K345">Scope3_Equations.VEERG_15_7_1_1__1_EmissionsFromPurchasedServices(F345,J345)</f>
        <v>0</v>
      </c>
      <c r="L345" s="50" t="str">
        <f t="shared" si="1"/>
        <v>t CO2e / 0</v>
      </c>
      <c r="M345" s="85"/>
      <c r="N345" s="48"/>
      <c r="O345" s="85"/>
    </row>
    <row r="347" spans="3:41" ht="20.25" x14ac:dyDescent="0.25">
      <c r="D347" s="183" t="s">
        <v>633</v>
      </c>
      <c r="E347" s="181" t="s">
        <v>819</v>
      </c>
      <c r="F347" s="182" t="str">
        <f>$E$155</f>
        <v>t CO2e</v>
      </c>
    </row>
    <row r="348" spans="3:41" ht="20.25" x14ac:dyDescent="0.25">
      <c r="D348" s="183" t="s">
        <v>635</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626</v>
      </c>
      <c r="E355" s="176" t="str" cm="1">
        <f t="array" aca="1" ref="E355" ca="1">Common_InputFunctions.Utility_DisplayFunctionName(H367)</f>
        <v>=Scope3_Equations.VEERG_15_8_1_1__1_EmissionsFromPurchasedPackaging</v>
      </c>
    </row>
    <row r="359" spans="4:13" x14ac:dyDescent="0.25">
      <c r="D359" s="28" t="s">
        <v>627</v>
      </c>
      <c r="E359" s="8" t="str" cm="1">
        <f t="array" ref="E359">Scope3_Equations.VEERG_15_8_1_1__1_EmissionsFromPurchasedPackaging_Variable()</f>
        <v>E</v>
      </c>
    </row>
    <row r="360" spans="4:13" x14ac:dyDescent="0.25">
      <c r="D360" s="28" t="s">
        <v>96</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358</v>
      </c>
      <c r="E366" s="156" t="s">
        <v>403</v>
      </c>
      <c r="F366" s="156" t="s">
        <v>692</v>
      </c>
      <c r="G366" s="60" t="s">
        <v>693</v>
      </c>
      <c r="H366" s="60" t="s">
        <v>633</v>
      </c>
      <c r="I366" s="47" t="s">
        <v>694</v>
      </c>
      <c r="J366" s="60" t="s">
        <v>635</v>
      </c>
      <c r="K366" s="47" t="s">
        <v>629</v>
      </c>
      <c r="L366" s="47" t="s">
        <v>630</v>
      </c>
      <c r="M366" s="47" t="s">
        <v>631</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633</v>
      </c>
      <c r="E378" s="181">
        <f>SUM(H367:H376)</f>
        <v>7.44</v>
      </c>
      <c r="F378" s="182" t="str">
        <f>$E$155</f>
        <v>t CO2e</v>
      </c>
    </row>
    <row r="379" spans="3:41" ht="20.25" x14ac:dyDescent="0.25">
      <c r="D379" s="183" t="s">
        <v>635</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626</v>
      </c>
      <c r="E385" s="176" t="str" cm="1">
        <f t="array" aca="1" ref="E385" ca="1">Common_InputFunctions.Utility_DisplayFunctionName(J399)</f>
        <v>=Scope3_Equations.VEERG_15_9_1_1__1_EmissionsFromPurchasedGrowMedia</v>
      </c>
    </row>
    <row r="388" spans="4:14" x14ac:dyDescent="0.25">
      <c r="G388" s="176"/>
    </row>
    <row r="389" spans="4:14" x14ac:dyDescent="0.25">
      <c r="D389" s="28" t="s">
        <v>627</v>
      </c>
      <c r="E389" s="8" t="str" cm="1">
        <f t="array" ref="E389">Scope3_Equations.VEERG_15_9_1_1__1_EmissionsFromPurchasedGrowMedia_Variable()</f>
        <v>E</v>
      </c>
    </row>
    <row r="390" spans="4:14" x14ac:dyDescent="0.25">
      <c r="D390" s="28" t="s">
        <v>96</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691</v>
      </c>
    </row>
    <row r="398" spans="4:14" x14ac:dyDescent="0.25">
      <c r="D398" s="47" t="s">
        <v>696</v>
      </c>
      <c r="E398" s="47" t="s">
        <v>610</v>
      </c>
      <c r="F398" s="47" t="s">
        <v>125</v>
      </c>
      <c r="G398" s="60" t="s">
        <v>413</v>
      </c>
      <c r="H398" s="60" t="s">
        <v>350</v>
      </c>
      <c r="I398" s="47" t="s">
        <v>414</v>
      </c>
      <c r="J398" s="60" t="s">
        <v>351</v>
      </c>
      <c r="K398" s="60" t="s">
        <v>611</v>
      </c>
      <c r="L398" s="47" t="s">
        <v>629</v>
      </c>
      <c r="M398" s="47" t="s">
        <v>630</v>
      </c>
      <c r="N398" s="47" t="s">
        <v>631</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819</v>
      </c>
      <c r="H399" s="50" t="s">
        <v>819</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819</v>
      </c>
      <c r="H400" s="50" t="s">
        <v>819</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819</v>
      </c>
      <c r="H401" s="50" t="s">
        <v>819</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819</v>
      </c>
      <c r="H402" s="50" t="s">
        <v>819</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819</v>
      </c>
      <c r="H403" s="50" t="s">
        <v>819</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819</v>
      </c>
      <c r="H404" s="50" t="s">
        <v>819</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819</v>
      </c>
      <c r="H405" s="50" t="s">
        <v>819</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819</v>
      </c>
      <c r="H406" s="50" t="s">
        <v>819</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819</v>
      </c>
      <c r="H407" s="50" t="s">
        <v>819</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819</v>
      </c>
      <c r="H408" s="50" t="s">
        <v>819</v>
      </c>
      <c r="I408" s="69"/>
      <c r="J408" s="155" cm="1">
        <f t="array" ref="J408">Scope3_Equations.VEERG_15_9_1_1__1_EmissionsFromPurchasedGrowMedia(E408,I408)</f>
        <v>0</v>
      </c>
      <c r="K408" s="50" t="str">
        <f t="shared" si="2"/>
        <v>t CO2e / 0</v>
      </c>
      <c r="L408" s="85"/>
      <c r="M408" s="48"/>
      <c r="N408" s="85"/>
    </row>
    <row r="410" spans="3:41" ht="20.25" x14ac:dyDescent="0.25">
      <c r="D410" s="183" t="s">
        <v>633</v>
      </c>
      <c r="E410" s="181" t="s">
        <v>819</v>
      </c>
      <c r="F410" s="182" t="str">
        <f>$E$155</f>
        <v>t CO2e</v>
      </c>
    </row>
    <row r="411" spans="3:41" ht="20.25" x14ac:dyDescent="0.25">
      <c r="D411" s="183" t="s">
        <v>635</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704</v>
      </c>
    </row>
    <row r="418" spans="4:13" x14ac:dyDescent="0.25">
      <c r="D418" s="176" t="s">
        <v>626</v>
      </c>
      <c r="E418" s="176" t="str" cm="1">
        <f t="array" aca="1" ref="E418" ca="1">Common_InputFunctions.Utility_DisplayFunctionName(H430)</f>
        <v>=Scope3_Equations.VEERG_15_10_1_1__1_OtherPurchasedGoodsAndServices</v>
      </c>
    </row>
    <row r="421" spans="4:13" x14ac:dyDescent="0.25">
      <c r="D421" s="28" t="s">
        <v>627</v>
      </c>
      <c r="E421" s="8" t="str" cm="1">
        <f t="array" ref="E421">Scope3_Equations.VEERG_15_10_1_1__1_OtherPurchasedGoodsAndServices_Variable()</f>
        <v>emissions</v>
      </c>
    </row>
    <row r="422" spans="4:13" x14ac:dyDescent="0.25">
      <c r="D422" s="28" t="s">
        <v>96</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372</v>
      </c>
    </row>
    <row r="429" spans="4:13" x14ac:dyDescent="0.25">
      <c r="D429" s="47" t="s">
        <v>358</v>
      </c>
      <c r="E429" s="156" t="s">
        <v>284</v>
      </c>
      <c r="F429" s="156" t="s">
        <v>374</v>
      </c>
      <c r="G429" s="60" t="s">
        <v>352</v>
      </c>
      <c r="H429" s="60" t="s">
        <v>633</v>
      </c>
      <c r="I429" s="47" t="s">
        <v>355</v>
      </c>
      <c r="J429" s="60" t="s">
        <v>635</v>
      </c>
      <c r="K429" s="47" t="s">
        <v>629</v>
      </c>
      <c r="L429" s="47" t="s">
        <v>630</v>
      </c>
      <c r="M429" s="47" t="s">
        <v>631</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633</v>
      </c>
      <c r="E441" s="181">
        <f>SUM(H430:H439)</f>
        <v>0.50509999999999999</v>
      </c>
      <c r="F441" s="182" t="str">
        <f>$E$155</f>
        <v>t CO2e</v>
      </c>
    </row>
    <row r="442" spans="4:13" ht="20.25" x14ac:dyDescent="0.25">
      <c r="D442" s="183" t="s">
        <v>635</v>
      </c>
      <c r="E442" s="181">
        <f>SUM(J430:J439)</f>
        <v>2.73</v>
      </c>
      <c r="F442" s="182" t="str">
        <f>$E$155</f>
        <v>t CO2e</v>
      </c>
    </row>
    <row r="445" spans="4:13" ht="18.75" x14ac:dyDescent="0.25">
      <c r="D445" s="148" t="s">
        <v>373</v>
      </c>
    </row>
    <row r="447" spans="4:13" x14ac:dyDescent="0.25">
      <c r="D447" s="47" t="s">
        <v>358</v>
      </c>
      <c r="E447" s="156" t="s">
        <v>284</v>
      </c>
      <c r="F447" s="156" t="s">
        <v>371</v>
      </c>
      <c r="G447" s="60" t="s">
        <v>617</v>
      </c>
      <c r="H447" s="60" t="s">
        <v>633</v>
      </c>
      <c r="I447" s="47" t="s">
        <v>618</v>
      </c>
      <c r="J447" s="60" t="s">
        <v>635</v>
      </c>
      <c r="K447" s="47" t="s">
        <v>629</v>
      </c>
      <c r="L447" s="47" t="s">
        <v>630</v>
      </c>
      <c r="M447" s="47" t="s">
        <v>631</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633</v>
      </c>
      <c r="E459" s="181">
        <f>SUM(H448:H457)</f>
        <v>1.5636000000000001E-2</v>
      </c>
      <c r="F459" s="182" t="str">
        <f>$E$155</f>
        <v>t CO2e</v>
      </c>
    </row>
    <row r="460" spans="4:13" ht="20.25" x14ac:dyDescent="0.25">
      <c r="D460" s="183" t="s">
        <v>635</v>
      </c>
      <c r="E460" s="181">
        <f>SUM(J448:J457)</f>
        <v>1.3400000000000002E-2</v>
      </c>
      <c r="F460" s="182" t="str">
        <f>$E$155</f>
        <v>t CO2e</v>
      </c>
    </row>
    <row r="463" spans="4:13" ht="18.75" x14ac:dyDescent="0.25">
      <c r="D463" s="148" t="s">
        <v>409</v>
      </c>
    </row>
    <row r="465" spans="4:12" x14ac:dyDescent="0.25">
      <c r="D465" s="47" t="s">
        <v>169</v>
      </c>
      <c r="E465" s="47" t="s">
        <v>705</v>
      </c>
      <c r="F465" s="60" t="s">
        <v>617</v>
      </c>
      <c r="G465" s="60" t="s">
        <v>633</v>
      </c>
      <c r="H465" s="47" t="s">
        <v>618</v>
      </c>
      <c r="I465" s="60" t="s">
        <v>635</v>
      </c>
      <c r="J465" s="47" t="s">
        <v>629</v>
      </c>
      <c r="K465" s="47" t="s">
        <v>630</v>
      </c>
      <c r="L465" s="47" t="s">
        <v>631</v>
      </c>
    </row>
    <row r="466" spans="4:12" x14ac:dyDescent="0.25">
      <c r="D466" s="50" t="str">
        <f>'Input - Farm Inputs'!D121</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Inputs'!D122</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Inputs'!D123</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Inputs'!D124</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Inputs'!D125</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633</v>
      </c>
      <c r="E472" s="181">
        <f>SUM(G466:G470)</f>
        <v>0.84389999999999998</v>
      </c>
      <c r="F472" s="182" t="str">
        <f>$E$155</f>
        <v>t CO2e</v>
      </c>
    </row>
    <row r="473" spans="4:12" ht="20.25" x14ac:dyDescent="0.25">
      <c r="D473" s="183" t="s">
        <v>635</v>
      </c>
      <c r="E473" s="181">
        <f>SUM(I466:I470)</f>
        <v>0.71420000000000006</v>
      </c>
      <c r="F473" s="182" t="str">
        <f>$E$155</f>
        <v>t CO2e</v>
      </c>
    </row>
    <row r="476" spans="4:12" ht="18.75" x14ac:dyDescent="0.25">
      <c r="D476" s="148" t="s">
        <v>706</v>
      </c>
    </row>
    <row r="478" spans="4:12" x14ac:dyDescent="0.25">
      <c r="D478" s="47" t="s">
        <v>169</v>
      </c>
      <c r="E478" s="47" t="s">
        <v>705</v>
      </c>
      <c r="F478" s="60" t="s">
        <v>617</v>
      </c>
      <c r="G478" s="60" t="s">
        <v>633</v>
      </c>
      <c r="H478" s="47" t="s">
        <v>618</v>
      </c>
      <c r="I478" s="60" t="s">
        <v>635</v>
      </c>
      <c r="J478" s="47" t="s">
        <v>629</v>
      </c>
      <c r="K478" s="47" t="s">
        <v>630</v>
      </c>
      <c r="L478" s="47" t="s">
        <v>631</v>
      </c>
    </row>
    <row r="479" spans="4:12" x14ac:dyDescent="0.25">
      <c r="D479" s="50" t="str">
        <f>'Input - Farm Inputs'!D128</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Inputs'!D129</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Inputs'!D130</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633</v>
      </c>
      <c r="E483" s="181">
        <f>SUM(G479:G481)</f>
        <v>2.9531000000000005</v>
      </c>
      <c r="F483" s="182" t="str">
        <f>$E$155</f>
        <v>t CO2e</v>
      </c>
    </row>
    <row r="484" spans="4:14" ht="20.25" x14ac:dyDescent="0.25">
      <c r="D484" s="183" t="s">
        <v>635</v>
      </c>
      <c r="E484" s="181">
        <f>SUM(I479:I481)</f>
        <v>8.5860000000000006E-2</v>
      </c>
      <c r="F484" s="182" t="str">
        <f>$E$155</f>
        <v>t CO2e</v>
      </c>
    </row>
    <row r="487" spans="4:14" ht="18.75" x14ac:dyDescent="0.25">
      <c r="D487" s="148" t="s">
        <v>707</v>
      </c>
    </row>
    <row r="489" spans="4:14" x14ac:dyDescent="0.25">
      <c r="D489" s="47" t="s">
        <v>169</v>
      </c>
      <c r="E489" s="47" t="s">
        <v>597</v>
      </c>
      <c r="F489" s="47" t="s">
        <v>125</v>
      </c>
      <c r="G489" s="60" t="s">
        <v>413</v>
      </c>
      <c r="H489" s="60" t="s">
        <v>350</v>
      </c>
      <c r="I489" s="47" t="s">
        <v>414</v>
      </c>
      <c r="J489" s="47" t="s">
        <v>702</v>
      </c>
      <c r="K489" s="60" t="s">
        <v>351</v>
      </c>
      <c r="L489" s="47" t="s">
        <v>629</v>
      </c>
      <c r="M489" s="47" t="s">
        <v>630</v>
      </c>
      <c r="N489" s="47" t="s">
        <v>631</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819</v>
      </c>
      <c r="H490" s="50" t="s">
        <v>819</v>
      </c>
      <c r="I490" s="69">
        <v>4</v>
      </c>
      <c r="J490" s="48" t="s">
        <v>703</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819</v>
      </c>
      <c r="H491" s="50" t="s">
        <v>819</v>
      </c>
      <c r="I491" s="69">
        <v>2</v>
      </c>
      <c r="J491" s="48" t="s">
        <v>703</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819</v>
      </c>
      <c r="H492" s="50" t="s">
        <v>819</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819</v>
      </c>
      <c r="H493" s="50" t="s">
        <v>819</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819</v>
      </c>
      <c r="H494" s="50" t="s">
        <v>819</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819</v>
      </c>
      <c r="H495" s="50" t="s">
        <v>819</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819</v>
      </c>
      <c r="H496" s="50" t="s">
        <v>819</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819</v>
      </c>
      <c r="H497" s="50" t="s">
        <v>819</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819</v>
      </c>
      <c r="H498" s="50" t="s">
        <v>819</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819</v>
      </c>
      <c r="H499" s="50" t="s">
        <v>819</v>
      </c>
      <c r="I499" s="69"/>
      <c r="J499" s="48"/>
      <c r="K499" s="155" cm="1">
        <f t="array" ref="K499">Scope3_Equations.VEERG_15_10_1_1__1_OtherPurchasedGoodsAndServices(E499,IF(J499="kg / amount unit", I499*10^-3, I499))</f>
        <v>0</v>
      </c>
      <c r="L499" s="85"/>
      <c r="M499" s="48"/>
      <c r="N499" s="85"/>
    </row>
    <row r="501" spans="3:41" ht="20.25" x14ac:dyDescent="0.25">
      <c r="D501" s="183" t="s">
        <v>633</v>
      </c>
      <c r="E501" s="181" t="s">
        <v>819</v>
      </c>
      <c r="F501" s="182" t="str">
        <f>$E$155</f>
        <v>t CO2e</v>
      </c>
    </row>
    <row r="502" spans="3:41" ht="20.25" x14ac:dyDescent="0.25">
      <c r="D502" s="183" t="s">
        <v>635</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626</v>
      </c>
      <c r="E508" s="176" t="str" cm="1">
        <f t="array" aca="1" ref="E508" ca="1">Common_InputFunctions.Utility_DisplayFunctionName(E518)</f>
        <v>=Scope3_Equations.VEERG_15_11_1_1__1_TotalUpstreamEmissionsFromFuel</v>
      </c>
    </row>
    <row r="512" spans="3:41" x14ac:dyDescent="0.25">
      <c r="D512" s="28" t="s">
        <v>627</v>
      </c>
      <c r="E512" s="8" t="str" cm="1">
        <f t="array" ref="E512">Scope3_Equations.VEERG_15_11_1_1__1_TotalUpstreamEmissionsFromFuel_Variable()</f>
        <v>E</v>
      </c>
    </row>
    <row r="513" spans="3:41" x14ac:dyDescent="0.25">
      <c r="D513" s="28" t="s">
        <v>96</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VEERG_8_1_1_1__1_FuelCombustionTransport_Result</f>
        <v>20.5016</v>
      </c>
    </row>
    <row r="516" spans="3:41" x14ac:dyDescent="0.25">
      <c r="D516" s="171" t="str">
        <v>E_WTTSCq</v>
      </c>
      <c r="E516" s="175" t="str">
        <v>upstream emissions from scope 1 stationary combustion fuel use</v>
      </c>
      <c r="F516" s="170"/>
      <c r="G516" s="171" t="str">
        <v>t CO2e</v>
      </c>
      <c r="H516" s="173" t="str">
        <v>Calculated by 15.11.1.1 (3)</v>
      </c>
      <c r="I516" s="171">
        <f>VEERG_8_2_1_1__1_FuelCombustionStationary_Result</f>
        <v>6.2923999999999998</v>
      </c>
    </row>
    <row r="518" spans="3:41" ht="20.25" x14ac:dyDescent="0.25">
      <c r="D518" s="183" t="s">
        <v>741</v>
      </c>
      <c r="E518" s="181" cm="1">
        <f t="array" ref="E518">Scope3_Equations.VEERG_15_11_1_1__1_TotalUpstreamEmissionsFromFuel(I515,I516)</f>
        <v>26.794</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626</v>
      </c>
      <c r="E523" s="176" t="str" cm="1">
        <f t="array" aca="1" ref="E523" ca="1">Common_InputFunctions.Utility_DisplayFunctionName(E533)</f>
        <v>=Scope3_Equations.VEERG_15_12_1_1__1_UpstreamPurchasedElectricityLocationBased</v>
      </c>
    </row>
    <row r="526" spans="3:41" x14ac:dyDescent="0.25">
      <c r="D526" s="28" t="s">
        <v>627</v>
      </c>
      <c r="E526" s="8" t="str" cm="1">
        <f t="array" ref="E526">Scope3_Equations.VEERG_15_12_1_1__1_UpstreamPurchasedElectricityLocationBased_Variable()</f>
        <v>E_3elec</v>
      </c>
    </row>
    <row r="527" spans="3:41" x14ac:dyDescent="0.25">
      <c r="D527" s="28" t="s">
        <v>96</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30000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0.09</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North Western Interconnected System (NWIS)</v>
      </c>
      <c r="J531" s="170"/>
    </row>
    <row r="533" spans="3:41" ht="20.25" x14ac:dyDescent="0.25">
      <c r="D533" s="183" t="s">
        <v>742</v>
      </c>
      <c r="E533" s="181" cm="1">
        <f t="array" ref="E533">Scope3_Equations.VEERG_15_12_1_1__1_UpstreamPurchasedElectricityLocationBased(I529,I530)</f>
        <v>2.7</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626</v>
      </c>
      <c r="E540" s="176" t="str" cm="1">
        <f t="array" aca="1" ref="E540" ca="1">Common_InputFunctions.Utility_DisplayFunctionName(E555)</f>
        <v>=Scope3_Equations.VEERG_15_12_1_2__1_UpstreamPurchasedElectricityMarketBasedVariation</v>
      </c>
    </row>
    <row r="544" spans="3:41" x14ac:dyDescent="0.25">
      <c r="D544" s="28" t="s">
        <v>627</v>
      </c>
      <c r="E544" s="8" t="str" cm="1">
        <f t="array" ref="E544">Scope3_Equations.VEERG_15_12_1_2__1_UpstreamPurchasedElectricityMarketBased_Variable()</f>
        <v>E_3elec</v>
      </c>
    </row>
    <row r="545" spans="3:41" x14ac:dyDescent="0.25">
      <c r="D545" s="28" t="s">
        <v>96</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Western Australia</v>
      </c>
    </row>
    <row r="555" spans="3:41" ht="20.25" x14ac:dyDescent="0.25">
      <c r="D555" s="183" t="s">
        <v>742</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6" t="s">
        <v>626</v>
      </c>
      <c r="E561" s="176" t="str" cm="1">
        <f t="array" aca="1" ref="E561" ca="1">Common_InputFunctions.Utility_DisplayFunctionName(E573)</f>
        <v>=Scope3_Equations.VEERG_15_13_1_1__1_EmissionsFromManureSentOffSite</v>
      </c>
    </row>
    <row r="564" spans="4:18" x14ac:dyDescent="0.25">
      <c r="D564" s="28" t="s">
        <v>627</v>
      </c>
      <c r="E564" s="8" t="str" cm="1">
        <f t="array" ref="E564">Scope3_Equations.VEERG_15_13_1_1__1_EmissionsFromManureSentOffSite_Variable()</f>
        <v>E</v>
      </c>
    </row>
    <row r="565" spans="4:18" x14ac:dyDescent="0.25">
      <c r="D565" s="28" t="s">
        <v>96</v>
      </c>
      <c r="E565" s="13" t="str" cm="1">
        <f t="array" ref="E565">Scope3_Equations.VEERG_15_13_1_1__1_EmissionsFromManureSentOffSite_Unit()</f>
        <v>t N2O</v>
      </c>
    </row>
    <row r="567" spans="4:18" x14ac:dyDescent="0.25">
      <c r="D567" s="7" t="s">
        <v>407</v>
      </c>
      <c r="L567" s="7" t="s">
        <v>408</v>
      </c>
    </row>
    <row r="569" spans="4:18" x14ac:dyDescent="0.25">
      <c r="D569" s="171" t="str" cm="1">
        <f t="array" ref="D569:E571">_xlfn.CHOOSECOLS(Scope3_Equations.VEERG_15_13_1_1__1_EmissionsFromManureSentOffSite_Arguments(),1,2)</f>
        <v>E_N2O</v>
      </c>
      <c r="E569" s="175" t="str">
        <v>direct nitrous oxide emissions from application of manure to soils outside of scope 1 boundary</v>
      </c>
      <c r="F569" s="209"/>
      <c r="G569" s="170"/>
      <c r="H569" s="171" t="str" cm="1">
        <f t="array" ref="H569:I571">_xlfn.CHOOSECOLS(Scope3_Equations.VEERG_15_13_1_1__1_EmissionsFromManureSentOffSite_Arguments(),3,4)</f>
        <v>t N2O</v>
      </c>
      <c r="I569" s="173" t="str">
        <v>Calculated</v>
      </c>
      <c r="J569" s="171">
        <f>VEERG_5_2_1_1__1_OrganicFertiliserApplicationN2OEmissions_Result_Method1</f>
        <v>7.8571428571428577E-3</v>
      </c>
      <c r="L569" s="171" t="str" cm="1">
        <f t="array" ref="L569:M571">_xlfn.CHOOSECOLS(Scope3_Equations.VEERG_15_13_1_1__1_EmissionsFromManureSentOffSite_Arguments(),1,2)</f>
        <v>E_N2O</v>
      </c>
      <c r="M569" s="175" t="str">
        <v>direct nitrous oxide emissions from application of manure to soils outside of scope 1 boundary</v>
      </c>
      <c r="N569" s="209"/>
      <c r="O569" s="170"/>
      <c r="P569" s="171" t="str" cm="1">
        <f t="array" ref="P569:Q571">_xlfn.CHOOSECOLS(Scope3_Equations.VEERG_15_13_1_1__1_EmissionsFromManureSentOffSite_Arguments(),3,4)</f>
        <v>t N2O</v>
      </c>
      <c r="Q569" s="173" t="str">
        <v>Calculated</v>
      </c>
      <c r="R569" s="171">
        <f>VEERG_5_2_1_1__1_OrganicFertiliserApplicationN2OEmissions_Result_Method2</f>
        <v>1.5714285714285715E-2</v>
      </c>
    </row>
    <row r="570" spans="4:18" x14ac:dyDescent="0.25">
      <c r="D570" s="171" t="str">
        <v>E_ad</v>
      </c>
      <c r="E570" s="175" t="str">
        <v>nitrous oxide emissions from atmospheric deposition of manure to soils</v>
      </c>
      <c r="F570" s="209"/>
      <c r="G570" s="170"/>
      <c r="H570" s="171" t="str">
        <v>t N2O</v>
      </c>
      <c r="I570" s="173" t="str">
        <v>Calculated</v>
      </c>
      <c r="J570" s="171">
        <f>VEERG_5_4_1_3__1_OrganicFertiliserAtmosphericDepositionN2OEmissions_Result_Method1</f>
        <v>2.31E-3</v>
      </c>
      <c r="L570" s="171" t="str">
        <v>E_ad</v>
      </c>
      <c r="M570" s="175" t="str">
        <v>nitrous oxide emissions from atmospheric deposition of manure to soils</v>
      </c>
      <c r="N570" s="209"/>
      <c r="O570" s="170"/>
      <c r="P570" s="171" t="str">
        <v>t N2O</v>
      </c>
      <c r="Q570" s="173" t="str">
        <v>Calculated</v>
      </c>
      <c r="R570" s="171">
        <f>VEERG_5_4_1_3__1_OrganicFertiliserAtmosphericDepositionN2OEmissions_Result_Method2</f>
        <v>4.62E-3</v>
      </c>
    </row>
    <row r="571" spans="4:18" x14ac:dyDescent="0.25">
      <c r="D571" s="171" t="str">
        <v>E_leach</v>
      </c>
      <c r="E571" s="175" t="str">
        <v>nitrous oxide emissions from nitrogen leaching and runoff of manure to soils</v>
      </c>
      <c r="F571" s="209"/>
      <c r="G571" s="170"/>
      <c r="H571" s="171" t="str">
        <v>t N2O</v>
      </c>
      <c r="I571" s="173" t="str">
        <v>Calculated</v>
      </c>
      <c r="J571" s="171">
        <f>VEERG_5_5_1_1__1_FertiliserLeachingAndRunoffN2OEmissions_Result_Method1</f>
        <v>4.1485714285714277E-3</v>
      </c>
      <c r="L571" s="171" t="str">
        <v>E_leach</v>
      </c>
      <c r="M571" s="175" t="str">
        <v>nitrous oxide emissions from nitrogen leaching and runoff of manure to soils</v>
      </c>
      <c r="N571" s="209"/>
      <c r="O571" s="170"/>
      <c r="P571" s="171" t="str">
        <v>t N2O</v>
      </c>
      <c r="Q571" s="173" t="str">
        <v>Calculated</v>
      </c>
      <c r="R571" s="171">
        <f>VEERG_5_5_1_1__1_FertiliserLeachingAndRunoffN2OEmissions_Result_Method2</f>
        <v>8.2971428571428554E-3</v>
      </c>
    </row>
    <row r="573" spans="4:18" ht="20.25" x14ac:dyDescent="0.25">
      <c r="D573" s="183" t="s">
        <v>742</v>
      </c>
      <c r="E573" s="181" cm="1">
        <f t="array" ref="E573">Scope3_Equations.VEERG_15_13_1_1__1_EmissionsFromManureSentOffSite(J569,J570,J571)</f>
        <v>1.4315714285714286E-2</v>
      </c>
      <c r="F573" s="182" t="str">
        <f>$E$565</f>
        <v>t N2O</v>
      </c>
      <c r="L573" s="183" t="s">
        <v>742</v>
      </c>
      <c r="M573" s="181" cm="1">
        <f t="array" ref="M573">Scope3_Equations.VEERG_15_13_1_1__1_EmissionsFromManureSentOffSite(R569,R570,R571)</f>
        <v>2.8631428571428572E-2</v>
      </c>
      <c r="N573" s="182" t="str">
        <f>$E$565</f>
        <v>t N2O</v>
      </c>
    </row>
    <row r="575" spans="4:18" x14ac:dyDescent="0.25">
      <c r="D575" s="210" t="str" cm="1">
        <f t="array" ref="D575:E576">Common_Equations.Common_ConvertN2OToCO2e_Arguments()</f>
        <v>EN2O</v>
      </c>
      <c r="E575" s="211" t="str">
        <v>Nitrous oxide emissions (t N2O)</v>
      </c>
      <c r="F575" s="212"/>
      <c r="G575" s="50">
        <f>E573</f>
        <v>1.4315714285714286E-2</v>
      </c>
      <c r="L575" s="210" t="str" cm="1">
        <f t="array" ref="L575:M576">Common_Equations.Common_ConvertN2OToCO2e_Arguments()</f>
        <v>EN2O</v>
      </c>
      <c r="M575" s="211" t="str">
        <v>Nitrous oxide emissions (t N2O)</v>
      </c>
      <c r="N575" s="212"/>
      <c r="O575" s="50">
        <f>M573</f>
        <v>2.8631428571428572E-2</v>
      </c>
    </row>
    <row r="576" spans="4:18" x14ac:dyDescent="0.25">
      <c r="D576" s="210" t="str">
        <v>GWPN2O</v>
      </c>
      <c r="E576" s="211" t="str">
        <v>Global warming potential for nitrous oxide (t CO2-e / t N2O)</v>
      </c>
      <c r="F576" s="212"/>
      <c r="G576" s="50">
        <f>Common_InputFunctions.Utility_LookupValueInTableNumber("N2O",Table_GWPData[Gas],Table_GWPData[CO2-e factor])</f>
        <v>265</v>
      </c>
      <c r="L576" s="210" t="str">
        <v>GWPN2O</v>
      </c>
      <c r="M576" s="211" t="str">
        <v>Global warming potential for nitrous oxide (t CO2-e / t N2O)</v>
      </c>
      <c r="N576" s="212"/>
      <c r="O576" s="50">
        <f>Common_InputFunctions.Utility_LookupValueInTableNumber("N2O",Table_GWPData[Gas],Table_GWPData[CO2-e factor])</f>
        <v>265</v>
      </c>
    </row>
    <row r="578" spans="3:41" ht="18.75" x14ac:dyDescent="0.25">
      <c r="D578" s="101" t="s">
        <v>747</v>
      </c>
      <c r="E578" s="101" cm="1">
        <f t="array" ref="E578">Common_Equations.Common_ConvertN2OToCO2e(G575,G576)</f>
        <v>3.7936642857142857</v>
      </c>
      <c r="F578" s="179" t="str" cm="1">
        <f t="array" ref="F578">Common_Equations.Common_ConvertN2OToCO2e_Unit()</f>
        <v>t CO2e</v>
      </c>
      <c r="L578" s="101" t="s">
        <v>747</v>
      </c>
      <c r="M578" s="101" cm="1">
        <f t="array" ref="M578">Common_Equations.Common_ConvertN2OToCO2e(O575,O576)</f>
        <v>7.5873285714285714</v>
      </c>
      <c r="N578" s="179" t="str" cm="1">
        <f t="array" ref="N578">Common_Equations.Common_ConvertN2OToCO2e_Unit()</f>
        <v>t CO2e</v>
      </c>
    </row>
    <row r="581" spans="3:41" x14ac:dyDescent="0.25">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8" t="s">
        <v>627</v>
      </c>
      <c r="E585" s="8" t="str" cm="1">
        <f t="array" ref="E585">Scope3_Equations.VEERG_15_13_1_3__1_EmissionsFromSolidWasteTreatmentFacility_Variable()</f>
        <v>E</v>
      </c>
    </row>
    <row r="586" spans="3:41" x14ac:dyDescent="0.25">
      <c r="D586" s="28" t="s">
        <v>96</v>
      </c>
      <c r="E586" s="13" t="str" cm="1">
        <f t="array" ref="E586">Scope3_Equations.VEERG_15_13_1_3__1_EmissionsFromSolidWasteTreatmentFacility_Unit()</f>
        <v>t CO2e</v>
      </c>
    </row>
    <row r="588" spans="3:41" ht="20.25" x14ac:dyDescent="0.25">
      <c r="D588" s="183" t="s">
        <v>742</v>
      </c>
      <c r="E588" s="181">
        <f>VEERG_10_1_1_1__1_EmissionsFromWasteManagement_Scope3_Result_Method1</f>
        <v>441.15000000000003</v>
      </c>
      <c r="F588" s="182" t="str">
        <f>E586</f>
        <v>t CO2e</v>
      </c>
    </row>
    <row r="591" spans="3:41" x14ac:dyDescent="0.25">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6" t="s">
        <v>626</v>
      </c>
      <c r="E594" s="176" t="str" cm="1">
        <f t="array" aca="1" ref="E594" ca="1">Common_InputFunctions.Utility_DisplayFunctionName(J609)</f>
        <v>=Scope3_Equations.VEERG_15_14_1_1__1_EmbeddedEmissionsFromUpstreamFreight</v>
      </c>
    </row>
    <row r="598" spans="4:13" x14ac:dyDescent="0.25">
      <c r="D598" s="28" t="s">
        <v>627</v>
      </c>
      <c r="E598" s="8" t="str" cm="1">
        <f t="array" ref="E598">Scope3_Equations.VEERG_15_14_1_1__1_EmbeddedEmissionsFromUpstreamFreight_Variable()</f>
        <v>E</v>
      </c>
    </row>
    <row r="599" spans="4:13" x14ac:dyDescent="0.25">
      <c r="D599" s="28" t="s">
        <v>96</v>
      </c>
      <c r="E599" s="13" t="str" cm="1">
        <f t="array" ref="E599">Scope3_Equations.VEERG_15_14_1_1__1_EmbeddedEmissionsFromUpstreamFreight_Unit()</f>
        <v>t CO2e</v>
      </c>
    </row>
    <row r="601" spans="4:13" x14ac:dyDescent="0.25">
      <c r="D601" s="171" t="str" cm="1">
        <f t="array" ref="D601:E604">_xlfn.CHOOSECOLS(Scope3_Equations.VEERG_15_14_1_1__1_EmbeddedEmissionsFromUpstreamFreight_Arguments(),1,2)</f>
        <v>W_f</v>
      </c>
      <c r="E601" s="175" t="str">
        <v>total mass of goods transported per freight type f</v>
      </c>
      <c r="F601" s="170"/>
      <c r="G601" s="171" t="str" cm="1">
        <f t="array" ref="G601:H604">_xlfn.CHOOSECOLS(Scope3_Equations.VEERG_15_14_1_1__1_EmbeddedEmissionsFromUpstreamFreight_Arguments(),3,4)</f>
        <v>t</v>
      </c>
      <c r="H601" s="172" t="str">
        <v>Input</v>
      </c>
    </row>
    <row r="602" spans="4:13" x14ac:dyDescent="0.25">
      <c r="D602" s="171" t="str">
        <v>D_f</v>
      </c>
      <c r="E602" s="175" t="str">
        <v>total distance transported per freight type f</v>
      </c>
      <c r="F602" s="170"/>
      <c r="G602" s="171" t="str">
        <v>km</v>
      </c>
      <c r="H602" s="172" t="str">
        <v>Input</v>
      </c>
    </row>
    <row r="603" spans="4:13" x14ac:dyDescent="0.25">
      <c r="D603" s="171" t="str">
        <v>EF_f</v>
      </c>
      <c r="E603" s="175" t="str">
        <v>emission factor for freight type f</v>
      </c>
      <c r="F603" s="170"/>
      <c r="G603" s="171" t="str">
        <v>t CO2e/(t km)</v>
      </c>
      <c r="H603" s="173" t="str">
        <v>Constant</v>
      </c>
    </row>
    <row r="604" spans="4:13" x14ac:dyDescent="0.25">
      <c r="D604" s="171" t="str">
        <v>f</v>
      </c>
      <c r="E604" s="175" t="str">
        <v>freight type</v>
      </c>
      <c r="F604" s="170"/>
      <c r="G604" s="171" t="str">
        <v/>
      </c>
      <c r="H604" s="172" t="str">
        <v>Input</v>
      </c>
    </row>
    <row r="606" spans="4:13" ht="18.75" x14ac:dyDescent="0.25">
      <c r="D606" s="148" t="s">
        <v>803</v>
      </c>
    </row>
    <row r="608" spans="4:13" ht="17.25" x14ac:dyDescent="0.25">
      <c r="D608" s="47" t="s">
        <v>804</v>
      </c>
      <c r="E608" s="47" t="s">
        <v>816</v>
      </c>
      <c r="F608" s="47" t="s">
        <v>817</v>
      </c>
      <c r="G608" s="60" t="s">
        <v>818</v>
      </c>
      <c r="H608" s="60" t="s">
        <v>633</v>
      </c>
      <c r="I608" s="47" t="s">
        <v>669</v>
      </c>
      <c r="J608" s="60" t="s">
        <v>635</v>
      </c>
      <c r="K608" s="47" t="s">
        <v>629</v>
      </c>
      <c r="L608" s="47" t="s">
        <v>630</v>
      </c>
      <c r="M608" s="47" t="s">
        <v>631</v>
      </c>
    </row>
    <row r="609" spans="4:13" x14ac:dyDescent="0.25">
      <c r="D609" s="50" t="str" cm="1">
        <f t="array" ref="D609:D618">IFERROR(INDEX(Table_Input_FreightIncoming[Route name], _xlfn.SEQUENCE(10)), "")</f>
        <v>Melbourne depot to farm depot weekly</v>
      </c>
      <c r="E609" s="50" cm="1">
        <f t="array" ref="E609:E618">IFERROR(INDEX(Table_Input_FreightIncoming[Average weight of freight per trip (t)], _xlfn.SEQUENCE(10)), "")</f>
        <v>10</v>
      </c>
      <c r="F609" s="50" cm="1">
        <f t="array" ref="F609:F618">IFERROR(INDEX(Table_Input_FreightIncoming[Route distance (km)], _xlfn.SEQUENCE(10))*INDEX(Table_Input_FreightIncoming[Number of trips taken], _xlfn.SEQUENCE(10)), "")</f>
        <v>51272</v>
      </c>
      <c r="G609" s="50" t="s">
        <v>819</v>
      </c>
      <c r="H609" s="50" t="s">
        <v>819</v>
      </c>
      <c r="I609" s="69">
        <v>10</v>
      </c>
      <c r="J609" s="50" cm="1">
        <f t="array" ref="J609">Scope3_Equations.VEERG_15_14_1_1__1_EmbeddedEmissionsFromUpstreamFreight(E609,F609,I609)</f>
        <v>5127200</v>
      </c>
      <c r="K609" s="85"/>
      <c r="L609" s="48"/>
      <c r="M609" s="85"/>
    </row>
    <row r="610" spans="4:13" x14ac:dyDescent="0.25">
      <c r="D610" s="50" t="str">
        <v>Fertiliser supplier to farm</v>
      </c>
      <c r="E610" s="50">
        <v>10</v>
      </c>
      <c r="F610" s="50">
        <v>390</v>
      </c>
      <c r="G610" s="50" t="s">
        <v>819</v>
      </c>
      <c r="H610" s="50" t="s">
        <v>819</v>
      </c>
      <c r="I610" s="69">
        <v>5</v>
      </c>
      <c r="J610" s="50" cm="1">
        <f t="array" ref="J610">Scope3_Equations.VEERG_15_14_1_1__1_EmbeddedEmissionsFromUpstreamFreight(E610,F610,I610)</f>
        <v>19500</v>
      </c>
      <c r="K610" s="85"/>
      <c r="L610" s="48"/>
      <c r="M610" s="85"/>
    </row>
    <row r="611" spans="4:13" x14ac:dyDescent="0.25">
      <c r="D611" s="50">
        <v>0</v>
      </c>
      <c r="E611" s="50">
        <v>0</v>
      </c>
      <c r="F611" s="50">
        <v>0</v>
      </c>
      <c r="G611" s="50" t="s">
        <v>819</v>
      </c>
      <c r="H611" s="50" t="s">
        <v>819</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819</v>
      </c>
      <c r="H612" s="50" t="s">
        <v>819</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819</v>
      </c>
      <c r="H613" s="50" t="s">
        <v>819</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819</v>
      </c>
      <c r="H614" s="50" t="s">
        <v>819</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819</v>
      </c>
      <c r="H615" s="50" t="s">
        <v>819</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819</v>
      </c>
      <c r="H616" s="50" t="s">
        <v>819</v>
      </c>
      <c r="I616" s="69"/>
      <c r="J616" s="50" cm="1">
        <f t="array" ref="J616">Scope3_Equations.VEERG_15_14_1_1__1_EmbeddedEmissionsFromUpstreamFreight(E616,F616,I616)</f>
        <v>0</v>
      </c>
      <c r="K616" s="85"/>
      <c r="L616" s="48"/>
      <c r="M616" s="85"/>
    </row>
    <row r="617" spans="4:13" x14ac:dyDescent="0.25">
      <c r="D617" s="50">
        <v>0</v>
      </c>
      <c r="E617" s="50">
        <v>0</v>
      </c>
      <c r="F617" s="50">
        <v>0</v>
      </c>
      <c r="G617" s="50" t="s">
        <v>819</v>
      </c>
      <c r="H617" s="50" t="s">
        <v>819</v>
      </c>
      <c r="I617" s="69"/>
      <c r="J617" s="50" cm="1">
        <f t="array" ref="J617">Scope3_Equations.VEERG_15_14_1_1__1_EmbeddedEmissionsFromUpstreamFreight(E617,F617,I617)</f>
        <v>0</v>
      </c>
      <c r="K617" s="85"/>
      <c r="L617" s="48"/>
      <c r="M617" s="85"/>
    </row>
    <row r="618" spans="4:13" x14ac:dyDescent="0.25">
      <c r="D618" s="50">
        <v>0</v>
      </c>
      <c r="E618" s="50">
        <v>0</v>
      </c>
      <c r="F618" s="50">
        <v>0</v>
      </c>
      <c r="G618" s="50" t="s">
        <v>819</v>
      </c>
      <c r="H618" s="50" t="s">
        <v>819</v>
      </c>
      <c r="I618" s="69"/>
      <c r="J618" s="50" cm="1">
        <f t="array" ref="J618">Scope3_Equations.VEERG_15_14_1_1__1_EmbeddedEmissionsFromUpstreamFreight(E618,F618,I618)</f>
        <v>0</v>
      </c>
      <c r="K618" s="85"/>
      <c r="L618" s="48"/>
      <c r="M618" s="85"/>
    </row>
    <row r="620" spans="4:13" x14ac:dyDescent="0.25">
      <c r="D620" s="178" t="s">
        <v>822</v>
      </c>
      <c r="E620" s="101" t="s">
        <v>819</v>
      </c>
      <c r="F620" s="179" t="str">
        <f>$E$104</f>
        <v>t CO2e</v>
      </c>
    </row>
    <row r="621" spans="4:13" x14ac:dyDescent="0.25">
      <c r="D621" s="178" t="s">
        <v>823</v>
      </c>
      <c r="E621" s="101">
        <f>SUM(J609:J618)</f>
        <v>5146700</v>
      </c>
      <c r="F621" s="179" t="str">
        <f>$E$104</f>
        <v>t CO2e</v>
      </c>
    </row>
    <row r="624" spans="4:13" ht="18.75" x14ac:dyDescent="0.25">
      <c r="D624" s="148" t="s">
        <v>811</v>
      </c>
    </row>
    <row r="626" spans="4:13" ht="17.25" x14ac:dyDescent="0.25">
      <c r="D626" s="47" t="s">
        <v>804</v>
      </c>
      <c r="E626" s="47" t="s">
        <v>816</v>
      </c>
      <c r="F626" s="47" t="s">
        <v>817</v>
      </c>
      <c r="G626" s="60" t="s">
        <v>818</v>
      </c>
      <c r="H626" s="60" t="s">
        <v>633</v>
      </c>
      <c r="I626" s="47" t="s">
        <v>669</v>
      </c>
      <c r="J626" s="60" t="s">
        <v>635</v>
      </c>
      <c r="K626" s="47" t="s">
        <v>629</v>
      </c>
      <c r="L626" s="47" t="s">
        <v>630</v>
      </c>
      <c r="M626" s="47" t="s">
        <v>631</v>
      </c>
    </row>
    <row r="627" spans="4:13" x14ac:dyDescent="0.25">
      <c r="D627" s="50" t="str" cm="1">
        <f t="array" ref="D627:D636">IFERROR(INDEX(Table_Input_FreightOutgoing[Route name], _xlfn.SEQUENCE(10)), "")</f>
        <v>Farm to bulk handler</v>
      </c>
      <c r="E627" s="50" cm="1">
        <f t="array" ref="E627:E636">IFERROR(INDEX(Table_Input_FreightOutgoing[Average weight of freight per trip (t)], _xlfn.SEQUENCE(10)), "")</f>
        <v>20</v>
      </c>
      <c r="F627" s="50" cm="1">
        <f t="array" ref="F627:F636">IFERROR(INDEX(Table_Input_FreightOutgoing[Route distance (km)], _xlfn.SEQUENCE(10))*INDEX(Table_Input_FreightOutgoing[Number of trips taken], _xlfn.SEQUENCE(10)), "")</f>
        <v>3380</v>
      </c>
      <c r="G627" s="50" t="s">
        <v>819</v>
      </c>
      <c r="H627" s="50" t="s">
        <v>819</v>
      </c>
      <c r="I627" s="69">
        <v>6.4</v>
      </c>
      <c r="J627" s="50" cm="1">
        <f t="array" ref="J627">Scope3_Equations.VEERG_15_14_1_1__1_EmbeddedEmissionsFromUpstreamFreight(E627,F627,I627)</f>
        <v>432640</v>
      </c>
      <c r="K627" s="85"/>
      <c r="L627" s="48"/>
      <c r="M627" s="85"/>
    </row>
    <row r="628" spans="4:13" x14ac:dyDescent="0.25">
      <c r="D628" s="50">
        <v>0</v>
      </c>
      <c r="E628" s="50">
        <v>0</v>
      </c>
      <c r="F628" s="50">
        <v>0</v>
      </c>
      <c r="G628" s="50" t="s">
        <v>819</v>
      </c>
      <c r="H628" s="50" t="s">
        <v>819</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819</v>
      </c>
      <c r="H629" s="50" t="s">
        <v>819</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819</v>
      </c>
      <c r="H630" s="50" t="s">
        <v>819</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819</v>
      </c>
      <c r="H631" s="50" t="s">
        <v>819</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819</v>
      </c>
      <c r="H632" s="50" t="s">
        <v>819</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819</v>
      </c>
      <c r="H633" s="50" t="s">
        <v>819</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819</v>
      </c>
      <c r="H634" s="50" t="s">
        <v>819</v>
      </c>
      <c r="I634" s="69"/>
      <c r="J634" s="50" cm="1">
        <f t="array" ref="J634">Scope3_Equations.VEERG_15_14_1_1__1_EmbeddedEmissionsFromUpstreamFreight(E634,F634,I634)</f>
        <v>0</v>
      </c>
      <c r="K634" s="85"/>
      <c r="L634" s="48"/>
      <c r="M634" s="85"/>
    </row>
    <row r="635" spans="4:13" x14ac:dyDescent="0.25">
      <c r="D635" s="50">
        <v>0</v>
      </c>
      <c r="E635" s="50">
        <v>0</v>
      </c>
      <c r="F635" s="50">
        <v>0</v>
      </c>
      <c r="G635" s="50" t="s">
        <v>819</v>
      </c>
      <c r="H635" s="50" t="s">
        <v>819</v>
      </c>
      <c r="I635" s="69"/>
      <c r="J635" s="50" cm="1">
        <f t="array" ref="J635">Scope3_Equations.VEERG_15_14_1_1__1_EmbeddedEmissionsFromUpstreamFreight(E635,F635,I635)</f>
        <v>0</v>
      </c>
      <c r="K635" s="85"/>
      <c r="L635" s="48"/>
      <c r="M635" s="85"/>
    </row>
    <row r="636" spans="4:13" x14ac:dyDescent="0.25">
      <c r="D636" s="50">
        <v>0</v>
      </c>
      <c r="E636" s="50">
        <v>0</v>
      </c>
      <c r="F636" s="50">
        <v>0</v>
      </c>
      <c r="G636" s="50" t="s">
        <v>819</v>
      </c>
      <c r="H636" s="50" t="s">
        <v>819</v>
      </c>
      <c r="I636" s="69"/>
      <c r="J636" s="50" cm="1">
        <f t="array" ref="J636">Scope3_Equations.VEERG_15_14_1_1__1_EmbeddedEmissionsFromUpstreamFreight(E636,F636,I636)</f>
        <v>0</v>
      </c>
      <c r="K636" s="85"/>
      <c r="L636" s="48"/>
      <c r="M636" s="85"/>
    </row>
    <row r="638" spans="4:13" x14ac:dyDescent="0.25">
      <c r="D638" s="178" t="s">
        <v>820</v>
      </c>
      <c r="E638" s="101" t="s">
        <v>819</v>
      </c>
      <c r="F638" s="179" t="str">
        <f>$E$104</f>
        <v>t CO2e</v>
      </c>
    </row>
    <row r="639" spans="4:13" x14ac:dyDescent="0.25">
      <c r="D639" s="178" t="s">
        <v>821</v>
      </c>
      <c r="E639" s="101">
        <f>SUM(J627:J636)</f>
        <v>432640</v>
      </c>
      <c r="F639" s="179" t="str">
        <f>$E$104</f>
        <v>t CO2e</v>
      </c>
    </row>
    <row r="641" spans="4:6" ht="20.25" x14ac:dyDescent="0.25">
      <c r="D641" s="180" t="s">
        <v>633</v>
      </c>
      <c r="E641" s="181" t="s">
        <v>819</v>
      </c>
      <c r="F641" s="182" t="str">
        <f>$E$104</f>
        <v>t CO2e</v>
      </c>
    </row>
    <row r="642" spans="4:6" ht="20.25" x14ac:dyDescent="0.25">
      <c r="D642" s="180" t="s">
        <v>635</v>
      </c>
      <c r="E642" s="181">
        <f>E621+E639</f>
        <v>5579340</v>
      </c>
      <c r="F642"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DACA-D787-439B-B8AE-CB139DF748CF}">
  <sheetPr>
    <tabColor rgb="FF008000"/>
  </sheetPr>
  <dimension ref="A1:L342"/>
  <sheetViews>
    <sheetView showGridLines="0" tabSelected="1" zoomScaleNormal="100" workbookViewId="0">
      <selection activeCell="G34" sqref="G34"/>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788</v>
      </c>
    </row>
    <row r="2" spans="1:12" s="2" customFormat="1" ht="20.100000000000001" customHeight="1" x14ac:dyDescent="0.25"/>
    <row r="3" spans="1:12" ht="20.100000000000001" customHeight="1" x14ac:dyDescent="0.25">
      <c r="A3" s="16" t="str">
        <f>HYPERLINK("#'Home'!A1", "Home")</f>
        <v>Home</v>
      </c>
      <c r="C3" s="5"/>
      <c r="D3" s="5" t="s">
        <v>407</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626</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627</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96</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HYPERLINK(Common_InputFunctions.Utility_SourceHyperlink($D$56),$D$56)</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HYPERLINK(Common_InputFunctions.Utility_SourceHyperlink($D$56),$D$56)</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HYPERLINK(Common_InputFunctions.Utility_SourceHyperlink($D$56),$D$56)</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HYPERLINK(Common_InputFunctions.Utility_SourceHyperlink($D$56),$D$56)</f>
        <v>Table_V_w_t_offsite</v>
      </c>
    </row>
    <row r="17" spans="1:9" ht="20.100000000000001" customHeight="1" x14ac:dyDescent="0.25"/>
    <row r="18" spans="1:9" ht="20.100000000000001" customHeight="1" x14ac:dyDescent="0.25">
      <c r="D18" s="58" t="s">
        <v>789</v>
      </c>
    </row>
    <row r="19" spans="1:9" ht="20.100000000000001" customHeight="1" x14ac:dyDescent="0.25">
      <c r="D19" s="59" t="s">
        <v>790</v>
      </c>
    </row>
    <row r="20" spans="1:9" ht="20.100000000000001" customHeight="1" x14ac:dyDescent="0.25">
      <c r="A20" s="16"/>
      <c r="D20" s="47" t="s">
        <v>791</v>
      </c>
      <c r="E20" s="47" t="s">
        <v>792</v>
      </c>
      <c r="F20" s="47"/>
      <c r="G20" s="47" t="s">
        <v>793</v>
      </c>
      <c r="H20" s="60" t="s">
        <v>794</v>
      </c>
      <c r="I20" s="60" t="s">
        <v>795</v>
      </c>
    </row>
    <row r="21" spans="1:9" ht="20.100000000000001" customHeight="1" x14ac:dyDescent="0.25">
      <c r="A21" s="16"/>
      <c r="D21" s="171" t="str" cm="1">
        <f t="array" ref="D21:D54">Table_SourceData_WasteSolid_WasteTreatmentEFs[Treatment type t]</f>
        <v>Landfill</v>
      </c>
      <c r="E21" s="175" t="str" cm="1">
        <f t="array" ref="E21:E54">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25</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4.5</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50" cm="1">
        <f t="array" ref="H23">Common_InputFunctions.Utility_LookupValueInTableNumber(E23,Table_SourceData_WasteSolid_VolumeToMassConversion[Waste type w],Table_SourceData_WasteSolid_VolumeToMassConversion[VTMw])</f>
        <v>0.24</v>
      </c>
      <c r="I23" s="50" cm="1">
        <f t="array" ref="I23">WasteSolid_Equations.VEERG_10_1_1_1__2_MassOfWasteFromVolume(G23,H23)</f>
        <v>12</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t="s">
        <v>842</v>
      </c>
      <c r="H32" s="50" t="s">
        <v>842</v>
      </c>
      <c r="I32" s="50" t="s">
        <v>842</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50" cm="1">
        <f t="array" ref="H34">Common_InputFunctions.Utility_LookupValueInTableNumber(E34,Table_SourceData_WasteSolid_VolumeToMassConversion[Waste type w],Table_SourceData_WasteSolid_VolumeToMassConversion[VTMw])</f>
        <v>0.24</v>
      </c>
      <c r="I34" s="50" cm="1">
        <f t="array" ref="I34">WasteSolid_Equations.VEERG_10_1_1_1__2_MassOfWasteFromVolume(G34,H34)</f>
        <v>24</v>
      </c>
    </row>
    <row r="35" spans="4:9" ht="20.100000000000001" customHeight="1" x14ac:dyDescent="0.25">
      <c r="D35" s="171" t="str">
        <v>Incineration</v>
      </c>
      <c r="E35" s="175" t="str">
        <v>Wood</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50" cm="1">
        <f t="array" ref="H37">Common_InputFunctions.Utility_LookupValueInTableNumber(E37,Table_SourceData_WasteSolid_VolumeToMassConversion[Waste type w],Table_SourceData_WasteSolid_VolumeToMassConversion[VTMw])</f>
        <v>0.09</v>
      </c>
      <c r="I37" s="50" cm="1">
        <f t="array" ref="I37">WasteSolid_Equations.VEERG_10_1_1_1__2_MassOfWasteFromVolume(G37,H37)</f>
        <v>4.5</v>
      </c>
    </row>
    <row r="38" spans="4:9" ht="20.100000000000001" customHeight="1" x14ac:dyDescent="0.25">
      <c r="D38" s="171" t="str">
        <v>Incineration</v>
      </c>
      <c r="E38" s="175" t="str">
        <v>Textiles</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1" t="str">
        <v>Inert waste (including concrete, metal, plastic or glass)</v>
      </c>
      <c r="F40" s="171"/>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0.42</v>
      </c>
      <c r="I40" s="50" cm="1">
        <f t="array" ref="I40">WasteSolid_Equations.VEERG_10_1_1_1__2_MassOfWasteFromVolume(G40,H40)</f>
        <v>0</v>
      </c>
    </row>
    <row r="41" spans="4:9" ht="20.100000000000001" customHeight="1" x14ac:dyDescent="0.25">
      <c r="D41" s="171" t="str">
        <v>Incineration</v>
      </c>
      <c r="E41" s="175" t="str">
        <v>Municipal solid waste</v>
      </c>
      <c r="F41" s="170"/>
      <c r="G41" s="50"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50" cm="1">
        <f t="array" ref="H41">Common_InputFunctions.Utility_LookupValueInTableNumber(E41,Table_SourceData_WasteSolid_VolumeToMassConversion[Waste type w],Table_SourceData_WasteSolid_VolumeToMassConversion[VTMw])</f>
        <v>0.36</v>
      </c>
      <c r="I41" s="50" cm="1">
        <f t="array" ref="I41">WasteSolid_Equations.VEERG_10_1_1_1__2_MassOfWasteFromVolume(G41,H41)</f>
        <v>0</v>
      </c>
    </row>
    <row r="42" spans="4:9" ht="20.100000000000001" customHeight="1" x14ac:dyDescent="0.25">
      <c r="D42" s="171" t="str">
        <v>Incineration</v>
      </c>
      <c r="E42" s="175" t="str">
        <v>Commercial and industrial waste</v>
      </c>
      <c r="F42" s="170"/>
      <c r="G42" s="50"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50" cm="1">
        <f t="array" ref="H42">Common_InputFunctions.Utility_LookupValueInTableNumber(E42,Table_SourceData_WasteSolid_VolumeToMassConversion[Waste type w],Table_SourceData_WasteSolid_VolumeToMassConversion[VTMw])</f>
        <v>0.33</v>
      </c>
      <c r="I42" s="50" cm="1">
        <f t="array" ref="I42">WasteSolid_Equations.VEERG_10_1_1_1__2_MassOfWasteFromVolume(G42,H42)</f>
        <v>0</v>
      </c>
    </row>
    <row r="43" spans="4:9" ht="20.100000000000001" customHeight="1" x14ac:dyDescent="0.25">
      <c r="D43" s="171" t="str">
        <v>Composting</v>
      </c>
      <c r="E43" s="175" t="str">
        <v>All organic waste</v>
      </c>
      <c r="F43" s="170"/>
      <c r="G43" s="50" t="s">
        <v>842</v>
      </c>
      <c r="H43" s="50" t="s">
        <v>842</v>
      </c>
      <c r="I43" s="50" t="s">
        <v>842</v>
      </c>
    </row>
    <row r="44" spans="4:9" ht="20.100000000000001" customHeight="1" x14ac:dyDescent="0.25">
      <c r="D44" s="171" t="str">
        <v>Composting</v>
      </c>
      <c r="E44" s="175" t="str">
        <v>Food waste (including animal carcasses, spoiled animal feed or crop)</v>
      </c>
      <c r="F44" s="170"/>
      <c r="G44" s="50"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50" cm="1">
        <f t="array" ref="H44">Common_InputFunctions.Utility_LookupValueInTableNumber(E44,Table_SourceData_WasteSolid_VolumeToMassConversion[Waste type w],Table_SourceData_WasteSolid_VolumeToMassConversion[VTMw])</f>
        <v>0.5</v>
      </c>
      <c r="I44" s="50" cm="1">
        <f t="array" ref="I44">WasteSolid_Equations.VEERG_10_1_1_1__2_MassOfWasteFromVolume(G44,H44)</f>
        <v>25</v>
      </c>
    </row>
    <row r="45" spans="4:9" ht="20.100000000000001" customHeight="1" x14ac:dyDescent="0.25">
      <c r="D45" s="171" t="str">
        <v>Composting</v>
      </c>
      <c r="E45" s="175" t="str">
        <v>Green waste (including crop residues or prunings)</v>
      </c>
      <c r="F45" s="170"/>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50" cm="1">
        <f t="array" ref="H45">Common_InputFunctions.Utility_LookupValueInTableNumber(E45,Table_SourceData_WasteSolid_VolumeToMassConversion[Waste type w],Table_SourceData_WasteSolid_VolumeToMassConversion[VTMw])</f>
        <v>0.24</v>
      </c>
      <c r="I45" s="50" cm="1">
        <f t="array" ref="I45">WasteSolid_Equations.VEERG_10_1_1_1__2_MassOfWasteFromVolume(G45,H45)</f>
        <v>0</v>
      </c>
    </row>
    <row r="46" spans="4:9" ht="20.100000000000001" customHeight="1" x14ac:dyDescent="0.25">
      <c r="D46" s="171" t="str">
        <v>Composting</v>
      </c>
      <c r="E46" s="175" t="str">
        <v>Wood</v>
      </c>
      <c r="F46" s="170"/>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50" cm="1">
        <f t="array" ref="H46">Common_InputFunctions.Utility_LookupValueInTableNumber(E46,Table_SourceData_WasteSolid_VolumeToMassConversion[Waste type w],Table_SourceData_WasteSolid_VolumeToMassConversion[VTMw])</f>
        <v>0.15</v>
      </c>
      <c r="I46" s="50" cm="1">
        <f t="array" ref="I46">WasteSolid_Equations.VEERG_10_1_1_1__2_MassOfWasteFromVolume(G46,H46)</f>
        <v>0</v>
      </c>
    </row>
    <row r="47" spans="4:9" ht="20.100000000000001" customHeight="1" x14ac:dyDescent="0.25">
      <c r="D47" s="171" t="str">
        <v>Composting</v>
      </c>
      <c r="E47" s="175" t="str">
        <v>Sludge</v>
      </c>
      <c r="F47" s="170"/>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50" cm="1">
        <f t="array" ref="H47">Common_InputFunctions.Utility_LookupValueInTableNumber(E47,Table_SourceData_WasteSolid_VolumeToMassConversion[Waste type w],Table_SourceData_WasteSolid_VolumeToMassConversion[VTMw])</f>
        <v>0.72</v>
      </c>
      <c r="I47" s="50" cm="1">
        <f t="array" ref="I47">WasteSolid_Equations.VEERG_10_1_1_1__2_MassOfWasteFromVolume(G47,H47)</f>
        <v>0</v>
      </c>
    </row>
    <row r="48" spans="4:9" ht="20.100000000000001" customHeight="1" x14ac:dyDescent="0.25">
      <c r="D48" s="171" t="str">
        <v>Composting</v>
      </c>
      <c r="E48" s="175" t="str">
        <v>Paper and cardboard</v>
      </c>
      <c r="F48" s="170"/>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50" cm="1">
        <f t="array" ref="H48">Common_InputFunctions.Utility_LookupValueInTableNumber(E48,Table_SourceData_WasteSolid_VolumeToMassConversion[Waste type w],Table_SourceData_WasteSolid_VolumeToMassConversion[VTMw])</f>
        <v>0.09</v>
      </c>
      <c r="I48" s="50" cm="1">
        <f t="array" ref="I48">WasteSolid_Equations.VEERG_10_1_1_1__2_MassOfWasteFromVolume(G48,H48)</f>
        <v>4.5</v>
      </c>
    </row>
    <row r="49" spans="4:9" ht="20.100000000000001" customHeight="1" x14ac:dyDescent="0.25">
      <c r="D49" s="171" t="str">
        <v>Anaerobic digestion</v>
      </c>
      <c r="E49" s="175" t="str">
        <v>All organic waste</v>
      </c>
      <c r="F49" s="170"/>
      <c r="G49" s="50" t="s">
        <v>842</v>
      </c>
      <c r="H49" s="50" t="s">
        <v>842</v>
      </c>
      <c r="I49" s="50" t="s">
        <v>842</v>
      </c>
    </row>
    <row r="50" spans="4:9" ht="20.100000000000001" customHeight="1" x14ac:dyDescent="0.25">
      <c r="D50" s="171" t="str">
        <v>Anaerobic digestion</v>
      </c>
      <c r="E50" s="175" t="str">
        <v>Food waste (including animal carcasses, spoiled animal feed or crop)</v>
      </c>
      <c r="F50" s="170"/>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50" cm="1">
        <f t="array" ref="H50">Common_InputFunctions.Utility_LookupValueInTableNumber(E50,Table_SourceData_WasteSolid_VolumeToMassConversion[Waste type w],Table_SourceData_WasteSolid_VolumeToMassConversion[VTMw])</f>
        <v>0.5</v>
      </c>
      <c r="I50" s="50" cm="1">
        <f t="array" ref="I50">WasteSolid_Equations.VEERG_10_1_1_1__2_MassOfWasteFromVolume(G50,H50)</f>
        <v>0</v>
      </c>
    </row>
    <row r="51" spans="4:9" ht="20.100000000000001" customHeight="1" x14ac:dyDescent="0.25">
      <c r="D51" s="171" t="str">
        <v>Anaerobic digestion</v>
      </c>
      <c r="E51" s="175" t="str">
        <v>Green waste (including crop residues or prunings)</v>
      </c>
      <c r="F51" s="170"/>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50" cm="1">
        <f t="array" ref="H51">Common_InputFunctions.Utility_LookupValueInTableNumber(E51,Table_SourceData_WasteSolid_VolumeToMassConversion[Waste type w],Table_SourceData_WasteSolid_VolumeToMassConversion[VTMw])</f>
        <v>0.24</v>
      </c>
      <c r="I51" s="50" cm="1">
        <f t="array" ref="I51">WasteSolid_Equations.VEERG_10_1_1_1__2_MassOfWasteFromVolume(G51,H51)</f>
        <v>0</v>
      </c>
    </row>
    <row r="52" spans="4:9" ht="20.100000000000001" customHeight="1" x14ac:dyDescent="0.25">
      <c r="D52" s="171" t="str">
        <v>Anaerobic digestion</v>
      </c>
      <c r="E52" s="175" t="str">
        <v>Wood</v>
      </c>
      <c r="F52" s="170"/>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50" cm="1">
        <f t="array" ref="H52">Common_InputFunctions.Utility_LookupValueInTableNumber(E52,Table_SourceData_WasteSolid_VolumeToMassConversion[Waste type w],Table_SourceData_WasteSolid_VolumeToMassConversion[VTMw])</f>
        <v>0.15</v>
      </c>
      <c r="I52" s="50" cm="1">
        <f t="array" ref="I52">WasteSolid_Equations.VEERG_10_1_1_1__2_MassOfWasteFromVolume(G52,H52)</f>
        <v>0</v>
      </c>
    </row>
    <row r="53" spans="4:9" ht="20.100000000000001" customHeight="1" x14ac:dyDescent="0.25">
      <c r="D53" s="171" t="str">
        <v>Anaerobic digestion</v>
      </c>
      <c r="E53" s="175" t="str">
        <v>Sludge</v>
      </c>
      <c r="F53" s="170"/>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50" cm="1">
        <f t="array" ref="H53">Common_InputFunctions.Utility_LookupValueInTableNumber(E53,Table_SourceData_WasteSolid_VolumeToMassConversion[Waste type w],Table_SourceData_WasteSolid_VolumeToMassConversion[VTMw])</f>
        <v>0.72</v>
      </c>
      <c r="I53" s="50" cm="1">
        <f t="array" ref="I53">WasteSolid_Equations.VEERG_10_1_1_1__2_MassOfWasteFromVolume(G53,H53)</f>
        <v>0</v>
      </c>
    </row>
    <row r="54" spans="4:9" ht="20.100000000000001" customHeight="1" x14ac:dyDescent="0.25">
      <c r="D54" s="171" t="str">
        <v>Anaerobic digestion</v>
      </c>
      <c r="E54" s="175" t="str">
        <v>Paper and cardboard</v>
      </c>
      <c r="F54" s="170"/>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50" cm="1">
        <f t="array" ref="H54">Common_InputFunctions.Utility_LookupValueInTableNumber(E54,Table_SourceData_WasteSolid_VolumeToMassConversion[Waste type w],Table_SourceData_WasteSolid_VolumeToMassConversion[VTMw])</f>
        <v>0.09</v>
      </c>
      <c r="I54" s="50" cm="1">
        <f t="array" ref="I54">WasteSolid_Equations.VEERG_10_1_1_1__2_MassOfWasteFromVolume(G54,H54)</f>
        <v>0</v>
      </c>
    </row>
    <row r="55" spans="4:9" ht="20.100000000000001" customHeight="1" x14ac:dyDescent="0.25"/>
    <row r="56" spans="4:9" ht="20.100000000000001" customHeight="1" x14ac:dyDescent="0.25">
      <c r="D56" s="58" t="s">
        <v>796</v>
      </c>
    </row>
    <row r="57" spans="4:9" ht="20.100000000000001" customHeight="1" x14ac:dyDescent="0.25">
      <c r="D57" s="59" t="s">
        <v>797</v>
      </c>
    </row>
    <row r="58" spans="4:9" ht="20.100000000000001" customHeight="1" x14ac:dyDescent="0.25">
      <c r="D58" s="47" t="s">
        <v>791</v>
      </c>
      <c r="E58" s="47" t="s">
        <v>792</v>
      </c>
      <c r="F58" s="47"/>
      <c r="G58" s="47" t="s">
        <v>793</v>
      </c>
      <c r="H58" s="60" t="s">
        <v>794</v>
      </c>
      <c r="I58" s="60" t="s">
        <v>795</v>
      </c>
    </row>
    <row r="59" spans="4:9" ht="20.100000000000001" customHeight="1" x14ac:dyDescent="0.25">
      <c r="D59" s="171" t="str" cm="1">
        <f t="array" ref="D59:D92">Table_SourceData_WasteSolid_WasteTreatmentEFs[Treatment type t]</f>
        <v>Landfill</v>
      </c>
      <c r="E59" s="175" t="str" cm="1">
        <f t="array" ref="E59:E92">Table_SourceData_WasteSolid_WasteTreatmentEFs[Waste type w]</f>
        <v>Food waste (including animal carcasses, spoiled animal feed or crop)</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50" cm="1">
        <f t="array" ref="H59">Common_InputFunctions.Utility_LookupValueInTableNumber(E59,Table_SourceData_WasteSolid_VolumeToMassConversion[Waste type w],Table_SourceData_WasteSolid_VolumeToMassConversion[VTMw])</f>
        <v>0.5</v>
      </c>
      <c r="I59" s="50" cm="1">
        <f t="array" ref="I59">WasteSolid_Equations.VEERG_10_1_1_1__2_MassOfWasteFromVolume(G59,H59)</f>
        <v>25</v>
      </c>
    </row>
    <row r="60" spans="4:9" ht="20.100000000000001" customHeight="1" x14ac:dyDescent="0.25">
      <c r="D60" s="171" t="str">
        <v>Landfill</v>
      </c>
      <c r="E60" s="175" t="str">
        <v>Paper and cardboard</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50" cm="1">
        <f t="array" ref="H60">Common_InputFunctions.Utility_LookupValueInTableNumber(E60,Table_SourceData_WasteSolid_VolumeToMassConversion[Waste type w],Table_SourceData_WasteSolid_VolumeToMassConversion[VTMw])</f>
        <v>0.09</v>
      </c>
      <c r="I60" s="50" cm="1">
        <f t="array" ref="I60">WasteSolid_Equations.VEERG_10_1_1_1__2_MassOfWasteFromVolume(G60,H60)</f>
        <v>4.5</v>
      </c>
    </row>
    <row r="61" spans="4:9" ht="20.100000000000001" customHeight="1" x14ac:dyDescent="0.25">
      <c r="D61" s="171" t="str">
        <v>Landfill</v>
      </c>
      <c r="E61" s="175" t="str">
        <v>Green waste (including crop residues or prunings)</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50" cm="1">
        <f t="array" ref="H61">Common_InputFunctions.Utility_LookupValueInTableNumber(E61,Table_SourceData_WasteSolid_VolumeToMassConversion[Waste type w],Table_SourceData_WasteSolid_VolumeToMassConversion[VTMw])</f>
        <v>0.24</v>
      </c>
      <c r="I61" s="50" cm="1">
        <f t="array" ref="I61">WasteSolid_Equations.VEERG_10_1_1_1__2_MassOfWasteFromVolume(G61,H61)</f>
        <v>12</v>
      </c>
    </row>
    <row r="62" spans="4:9" ht="20.100000000000001" customHeight="1" x14ac:dyDescent="0.25">
      <c r="D62" s="171" t="str">
        <v>Landfill</v>
      </c>
      <c r="E62" s="175" t="str">
        <v>Wood</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0.15</v>
      </c>
      <c r="I62" s="50" cm="1">
        <f t="array" ref="I62">WasteSolid_Equations.VEERG_10_1_1_1__2_MassOfWasteFromVolume(G62,H62)</f>
        <v>0</v>
      </c>
    </row>
    <row r="63" spans="4:9" ht="20.100000000000001" customHeight="1" x14ac:dyDescent="0.25">
      <c r="D63" s="171" t="str">
        <v>Landfill</v>
      </c>
      <c r="E63" s="175" t="str">
        <v>Textiles</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0.14000000000000001</v>
      </c>
      <c r="I63" s="50" cm="1">
        <f t="array" ref="I63">WasteSolid_Equations.VEERG_10_1_1_1__2_MassOfWasteFromVolume(G63,H63)</f>
        <v>0</v>
      </c>
    </row>
    <row r="64" spans="4:9" ht="20.100000000000001" customHeight="1" x14ac:dyDescent="0.25">
      <c r="D64" s="171" t="str">
        <v>Landfill</v>
      </c>
      <c r="E64" s="175" t="str">
        <v>Sludge</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0.72</v>
      </c>
      <c r="I64" s="50" cm="1">
        <f t="array" ref="I64">WasteSolid_Equations.VEERG_10_1_1_1__2_MassOfWasteFromVolume(G64,H64)</f>
        <v>0</v>
      </c>
    </row>
    <row r="65" spans="1:9" ht="20.100000000000001" customHeight="1" x14ac:dyDescent="0.25">
      <c r="D65" s="171" t="str">
        <v>Landfill</v>
      </c>
      <c r="E65" s="175" t="str">
        <v>Rubber and leather</v>
      </c>
      <c r="F65" s="213"/>
      <c r="G65" s="50"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50" cm="1">
        <f t="array" ref="H65">Common_InputFunctions.Utility_LookupValueInTableNumber(E65,Table_SourceData_WasteSolid_VolumeToMassConversion[Waste type w],Table_SourceData_WasteSolid_VolumeToMassConversion[VTMw])</f>
        <v>0.14000000000000001</v>
      </c>
      <c r="I65" s="50" cm="1">
        <f t="array" ref="I65">WasteSolid_Equations.VEERG_10_1_1_1__2_MassOfWasteFromVolume(G65,H65)</f>
        <v>0</v>
      </c>
    </row>
    <row r="66" spans="1:9" ht="20.100000000000001" customHeight="1" x14ac:dyDescent="0.25">
      <c r="A66" s="56" t="str">
        <f>HYPERLINK("#A1", "▲ Back to top")</f>
        <v>▲ Back to top</v>
      </c>
      <c r="D66" s="171" t="str">
        <v>Landfill</v>
      </c>
      <c r="E66" s="175" t="str">
        <v>Inert waste (including concrete, metal, plastic or glass)</v>
      </c>
      <c r="F66" s="213"/>
      <c r="G66" s="50"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50" cm="1">
        <f t="array" ref="H66">Common_InputFunctions.Utility_LookupValueInTableNumber(E66,Table_SourceData_WasteSolid_VolumeToMassConversion[Waste type w],Table_SourceData_WasteSolid_VolumeToMassConversion[VTMw])</f>
        <v>0.42</v>
      </c>
      <c r="I66" s="50" cm="1">
        <f t="array" ref="I66">WasteSolid_Equations.VEERG_10_1_1_1__2_MassOfWasteFromVolume(G66,H66)</f>
        <v>0</v>
      </c>
    </row>
    <row r="67" spans="1:9" ht="20.100000000000001" customHeight="1" x14ac:dyDescent="0.25">
      <c r="D67" s="171" t="str">
        <v>Landfill</v>
      </c>
      <c r="E67" s="175" t="str">
        <v>Municipal solid waste</v>
      </c>
      <c r="F67" s="213"/>
      <c r="G67" s="50"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50" cm="1">
        <f t="array" ref="H67">Common_InputFunctions.Utility_LookupValueInTableNumber(E67,Table_SourceData_WasteSolid_VolumeToMassConversion[Waste type w],Table_SourceData_WasteSolid_VolumeToMassConversion[VTMw])</f>
        <v>0.36</v>
      </c>
      <c r="I67" s="50" cm="1">
        <f t="array" ref="I67">WasteSolid_Equations.VEERG_10_1_1_1__2_MassOfWasteFromVolume(G67,H67)</f>
        <v>0</v>
      </c>
    </row>
    <row r="68" spans="1:9" ht="20.100000000000001" customHeight="1" x14ac:dyDescent="0.25">
      <c r="D68" s="171" t="str">
        <v>Landfill</v>
      </c>
      <c r="E68" s="175" t="str">
        <v>Commercial and industrial waste</v>
      </c>
      <c r="F68" s="213"/>
      <c r="G68" s="50"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50" cm="1">
        <f t="array" ref="H68">Common_InputFunctions.Utility_LookupValueInTableNumber(E68,Table_SourceData_WasteSolid_VolumeToMassConversion[Waste type w],Table_SourceData_WasteSolid_VolumeToMassConversion[VTMw])</f>
        <v>0.33</v>
      </c>
      <c r="I68" s="50" cm="1">
        <f t="array" ref="I68">WasteSolid_Equations.VEERG_10_1_1_1__2_MassOfWasteFromVolume(G68,H68)</f>
        <v>0</v>
      </c>
    </row>
    <row r="69" spans="1:9" ht="20.100000000000001" customHeight="1" x14ac:dyDescent="0.25">
      <c r="D69" s="171" t="str">
        <v>Landfill</v>
      </c>
      <c r="E69" s="175" t="str">
        <v>Construction and demolition waste</v>
      </c>
      <c r="F69" s="213"/>
      <c r="G69" s="50"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50" cm="1">
        <f t="array" ref="H69">Common_InputFunctions.Utility_LookupValueInTableNumber(E69,Table_SourceData_WasteSolid_VolumeToMassConversion[Waste type w],Table_SourceData_WasteSolid_VolumeToMassConversion[VTMw])</f>
        <v>0.39</v>
      </c>
      <c r="I69" s="50" cm="1">
        <f t="array" ref="I69">WasteSolid_Equations.VEERG_10_1_1_1__2_MassOfWasteFromVolume(G69,H69)</f>
        <v>0</v>
      </c>
    </row>
    <row r="70" spans="1:9" ht="20.100000000000001" customHeight="1" x14ac:dyDescent="0.25">
      <c r="D70" s="171" t="str">
        <v>Incineration</v>
      </c>
      <c r="E70" s="175" t="str">
        <v>Food waste, green waste, wood, sludge</v>
      </c>
      <c r="F70" s="213"/>
      <c r="G70" s="50" t="s">
        <v>842</v>
      </c>
      <c r="H70" s="50" t="s">
        <v>842</v>
      </c>
      <c r="I70" s="50" t="s">
        <v>842</v>
      </c>
    </row>
    <row r="71" spans="1:9" ht="20.100000000000001" customHeight="1" x14ac:dyDescent="0.25">
      <c r="D71" s="171" t="str">
        <v>Incineration</v>
      </c>
      <c r="E71" s="175" t="str">
        <v>Food waste (including animal carcasses, spoiled animal feed or crop)</v>
      </c>
      <c r="F71" s="213"/>
      <c r="G71" s="50"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50" cm="1">
        <f t="array" ref="H71">Common_InputFunctions.Utility_LookupValueInTableNumber(E71,Table_SourceData_WasteSolid_VolumeToMassConversion[Waste type w],Table_SourceData_WasteSolid_VolumeToMassConversion[VTMw])</f>
        <v>0.5</v>
      </c>
      <c r="I71" s="50" cm="1">
        <f t="array" ref="I71">WasteSolid_Equations.VEERG_10_1_1_1__2_MassOfWasteFromVolume(G71,H71)</f>
        <v>0</v>
      </c>
    </row>
    <row r="72" spans="1:9" ht="20.100000000000001" customHeight="1" x14ac:dyDescent="0.25">
      <c r="D72" s="171" t="str">
        <v>Incineration</v>
      </c>
      <c r="E72" s="175" t="str">
        <v>Green waste (including crop residues or prunings)</v>
      </c>
      <c r="F72" s="213"/>
      <c r="G72" s="50"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50" cm="1">
        <f t="array" ref="H72">Common_InputFunctions.Utility_LookupValueInTableNumber(E72,Table_SourceData_WasteSolid_VolumeToMassConversion[Waste type w],Table_SourceData_WasteSolid_VolumeToMassConversion[VTMw])</f>
        <v>0.24</v>
      </c>
      <c r="I72" s="50" cm="1">
        <f t="array" ref="I72">WasteSolid_Equations.VEERG_10_1_1_1__2_MassOfWasteFromVolume(G72,H72)</f>
        <v>12</v>
      </c>
    </row>
    <row r="73" spans="1:9" ht="20.100000000000001" customHeight="1" x14ac:dyDescent="0.25">
      <c r="D73" s="171" t="str">
        <v>Incineration</v>
      </c>
      <c r="E73" s="175" t="str">
        <v>Wood</v>
      </c>
      <c r="F73" s="213"/>
      <c r="G73" s="50"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50" cm="1">
        <f t="array" ref="H73">Common_InputFunctions.Utility_LookupValueInTableNumber(E73,Table_SourceData_WasteSolid_VolumeToMassConversion[Waste type w],Table_SourceData_WasteSolid_VolumeToMassConversion[VTMw])</f>
        <v>0.15</v>
      </c>
      <c r="I73" s="50" cm="1">
        <f t="array" ref="I73">WasteSolid_Equations.VEERG_10_1_1_1__2_MassOfWasteFromVolume(G73,H73)</f>
        <v>0</v>
      </c>
    </row>
    <row r="74" spans="1:9" ht="20.100000000000001" customHeight="1" x14ac:dyDescent="0.25">
      <c r="D74" s="171" t="str">
        <v>Incineration</v>
      </c>
      <c r="E74" s="175" t="str">
        <v>Sludge</v>
      </c>
      <c r="F74" s="213"/>
      <c r="G74" s="50"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50" cm="1">
        <f t="array" ref="H74">Common_InputFunctions.Utility_LookupValueInTableNumber(E74,Table_SourceData_WasteSolid_VolumeToMassConversion[Waste type w],Table_SourceData_WasteSolid_VolumeToMassConversion[VTMw])</f>
        <v>0.72</v>
      </c>
      <c r="I74" s="50" cm="1">
        <f t="array" ref="I74">WasteSolid_Equations.VEERG_10_1_1_1__2_MassOfWasteFromVolume(G74,H74)</f>
        <v>0</v>
      </c>
    </row>
    <row r="75" spans="1:9" ht="20.100000000000001" customHeight="1" x14ac:dyDescent="0.25">
      <c r="D75" s="171" t="str">
        <v>Incineration</v>
      </c>
      <c r="E75" s="175" t="str">
        <v>Paper and cardboard</v>
      </c>
      <c r="F75" s="213"/>
      <c r="G75" s="50"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50" cm="1">
        <f t="array" ref="H75">Common_InputFunctions.Utility_LookupValueInTableNumber(E75,Table_SourceData_WasteSolid_VolumeToMassConversion[Waste type w],Table_SourceData_WasteSolid_VolumeToMassConversion[VTMw])</f>
        <v>0.09</v>
      </c>
      <c r="I75" s="50" cm="1">
        <f t="array" ref="I75">WasteSolid_Equations.VEERG_10_1_1_1__2_MassOfWasteFromVolume(G75,H75)</f>
        <v>0</v>
      </c>
    </row>
    <row r="76" spans="1:9" ht="20.100000000000001" customHeight="1" x14ac:dyDescent="0.25">
      <c r="D76" s="171" t="str">
        <v>Incineration</v>
      </c>
      <c r="E76" s="175" t="str">
        <v>Textiles</v>
      </c>
      <c r="F76" s="213"/>
      <c r="G76" s="50"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50" cm="1">
        <f t="array" ref="H76">Common_InputFunctions.Utility_LookupValueInTableNumber(E76,Table_SourceData_WasteSolid_VolumeToMassConversion[Waste type w],Table_SourceData_WasteSolid_VolumeToMassConversion[VTMw])</f>
        <v>0.14000000000000001</v>
      </c>
      <c r="I76" s="50" cm="1">
        <f t="array" ref="I76">WasteSolid_Equations.VEERG_10_1_1_1__2_MassOfWasteFromVolume(G76,H76)</f>
        <v>0</v>
      </c>
    </row>
    <row r="77" spans="1:9" ht="20.100000000000001" customHeight="1" x14ac:dyDescent="0.25">
      <c r="D77" s="171" t="str">
        <v>Incineration</v>
      </c>
      <c r="E77" s="175" t="str">
        <v>Rubber and leather</v>
      </c>
      <c r="F77" s="213"/>
      <c r="G77" s="50"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50" cm="1">
        <f t="array" ref="H77">Common_InputFunctions.Utility_LookupValueInTableNumber(E77,Table_SourceData_WasteSolid_VolumeToMassConversion[Waste type w],Table_SourceData_WasteSolid_VolumeToMassConversion[VTMw])</f>
        <v>0.14000000000000001</v>
      </c>
      <c r="I77" s="50" cm="1">
        <f t="array" ref="I77">WasteSolid_Equations.VEERG_10_1_1_1__2_MassOfWasteFromVolume(G77,H77)</f>
        <v>0</v>
      </c>
    </row>
    <row r="78" spans="1:9" ht="20.100000000000001" customHeight="1" x14ac:dyDescent="0.25">
      <c r="D78" s="171" t="str">
        <v>Incineration</v>
      </c>
      <c r="E78" s="175" t="str">
        <v>Inert waste (including concrete, metal, plastic or glass)</v>
      </c>
      <c r="F78" s="213"/>
      <c r="G78" s="50"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50" cm="1">
        <f t="array" ref="H78">Common_InputFunctions.Utility_LookupValueInTableNumber(E78,Table_SourceData_WasteSolid_VolumeToMassConversion[Waste type w],Table_SourceData_WasteSolid_VolumeToMassConversion[VTMw])</f>
        <v>0.42</v>
      </c>
      <c r="I78" s="50" cm="1">
        <f t="array" ref="I78">WasteSolid_Equations.VEERG_10_1_1_1__2_MassOfWasteFromVolume(G78,H78)</f>
        <v>0</v>
      </c>
    </row>
    <row r="79" spans="1:9" ht="20.100000000000001" customHeight="1" x14ac:dyDescent="0.25">
      <c r="D79" s="171" t="str">
        <v>Incineration</v>
      </c>
      <c r="E79" s="175" t="str">
        <v>Municipal solid waste</v>
      </c>
      <c r="F79" s="170"/>
      <c r="G79" s="50"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50" cm="1">
        <f t="array" ref="H79">Common_InputFunctions.Utility_LookupValueInTableNumber(E79,Table_SourceData_WasteSolid_VolumeToMassConversion[Waste type w],Table_SourceData_WasteSolid_VolumeToMassConversion[VTMw])</f>
        <v>0.36</v>
      </c>
      <c r="I79" s="50" cm="1">
        <f t="array" ref="I79">WasteSolid_Equations.VEERG_10_1_1_1__2_MassOfWasteFromVolume(G79,H79)</f>
        <v>0</v>
      </c>
    </row>
    <row r="80" spans="1:9" ht="20.100000000000001" customHeight="1" x14ac:dyDescent="0.25">
      <c r="D80" s="171" t="str">
        <v>Incineration</v>
      </c>
      <c r="E80" s="175" t="str">
        <v>Commercial and industrial waste</v>
      </c>
      <c r="F80" s="170"/>
      <c r="G80" s="50"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50" cm="1">
        <f t="array" ref="H80">Common_InputFunctions.Utility_LookupValueInTableNumber(E80,Table_SourceData_WasteSolid_VolumeToMassConversion[Waste type w],Table_SourceData_WasteSolid_VolumeToMassConversion[VTMw])</f>
        <v>0.33</v>
      </c>
      <c r="I80" s="50" cm="1">
        <f t="array" ref="I80">WasteSolid_Equations.VEERG_10_1_1_1__2_MassOfWasteFromVolume(G80,H80)</f>
        <v>0</v>
      </c>
    </row>
    <row r="81" spans="3:12" ht="20.100000000000001" customHeight="1" x14ac:dyDescent="0.25">
      <c r="D81" s="171" t="str">
        <v>Composting</v>
      </c>
      <c r="E81" s="175" t="str">
        <v>All organic waste</v>
      </c>
      <c r="F81" s="170"/>
      <c r="G81" s="50" t="s">
        <v>842</v>
      </c>
      <c r="H81" s="50" t="s">
        <v>842</v>
      </c>
      <c r="I81" s="50" t="s">
        <v>842</v>
      </c>
    </row>
    <row r="82" spans="3:12" ht="20.100000000000001" customHeight="1" x14ac:dyDescent="0.25">
      <c r="D82" s="171" t="str">
        <v>Composting</v>
      </c>
      <c r="E82" s="175" t="str">
        <v>Food waste (including animal carcasses, spoiled animal feed or crop)</v>
      </c>
      <c r="F82" s="170"/>
      <c r="G82" s="50"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50" cm="1">
        <f t="array" ref="H82">Common_InputFunctions.Utility_LookupValueInTableNumber(E82,Table_SourceData_WasteSolid_VolumeToMassConversion[Waste type w],Table_SourceData_WasteSolid_VolumeToMassConversion[VTMw])</f>
        <v>0.5</v>
      </c>
      <c r="I82" s="50" cm="1">
        <f t="array" ref="I82">WasteSolid_Equations.VEERG_10_1_1_1__2_MassOfWasteFromVolume(G82,H82)</f>
        <v>0</v>
      </c>
    </row>
    <row r="83" spans="3:12" ht="20.100000000000001" customHeight="1" x14ac:dyDescent="0.25">
      <c r="D83" s="171" t="str">
        <v>Composting</v>
      </c>
      <c r="E83" s="175" t="str">
        <v>Green waste (including crop residues or prunings)</v>
      </c>
      <c r="F83" s="170"/>
      <c r="G83" s="50"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50" cm="1">
        <f t="array" ref="H83">Common_InputFunctions.Utility_LookupValueInTableNumber(E83,Table_SourceData_WasteSolid_VolumeToMassConversion[Waste type w],Table_SourceData_WasteSolid_VolumeToMassConversion[VTMw])</f>
        <v>0.24</v>
      </c>
      <c r="I83" s="50" cm="1">
        <f t="array" ref="I83">WasteSolid_Equations.VEERG_10_1_1_1__2_MassOfWasteFromVolume(G83,H83)</f>
        <v>0</v>
      </c>
    </row>
    <row r="84" spans="3:12" ht="20.100000000000001" customHeight="1" x14ac:dyDescent="0.25">
      <c r="D84" s="171" t="str">
        <v>Composting</v>
      </c>
      <c r="E84" s="175" t="str">
        <v>Wood</v>
      </c>
      <c r="F84" s="170"/>
      <c r="G84" s="50"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50" cm="1">
        <f t="array" ref="H84">Common_InputFunctions.Utility_LookupValueInTableNumber(E84,Table_SourceData_WasteSolid_VolumeToMassConversion[Waste type w],Table_SourceData_WasteSolid_VolumeToMassConversion[VTMw])</f>
        <v>0.15</v>
      </c>
      <c r="I84" s="50" cm="1">
        <f t="array" ref="I84">WasteSolid_Equations.VEERG_10_1_1_1__2_MassOfWasteFromVolume(G84,H84)</f>
        <v>0</v>
      </c>
    </row>
    <row r="85" spans="3:12" ht="20.100000000000001" customHeight="1" x14ac:dyDescent="0.25">
      <c r="D85" s="171" t="str">
        <v>Composting</v>
      </c>
      <c r="E85" s="175" t="str">
        <v>Sludge</v>
      </c>
      <c r="F85" s="170"/>
      <c r="G85" s="50"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50" cm="1">
        <f t="array" ref="H85">Common_InputFunctions.Utility_LookupValueInTableNumber(E85,Table_SourceData_WasteSolid_VolumeToMassConversion[Waste type w],Table_SourceData_WasteSolid_VolumeToMassConversion[VTMw])</f>
        <v>0.72</v>
      </c>
      <c r="I85" s="50" cm="1">
        <f t="array" ref="I85">WasteSolid_Equations.VEERG_10_1_1_1__2_MassOfWasteFromVolume(G85,H85)</f>
        <v>0</v>
      </c>
    </row>
    <row r="86" spans="3:12" ht="20.100000000000001" customHeight="1" x14ac:dyDescent="0.25">
      <c r="D86" s="171" t="str">
        <v>Composting</v>
      </c>
      <c r="E86" s="175" t="str">
        <v>Paper and cardboard</v>
      </c>
      <c r="F86" s="170"/>
      <c r="G86" s="50"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50" cm="1">
        <f t="array" ref="H86">Common_InputFunctions.Utility_LookupValueInTableNumber(E86,Table_SourceData_WasteSolid_VolumeToMassConversion[Waste type w],Table_SourceData_WasteSolid_VolumeToMassConversion[VTMw])</f>
        <v>0.09</v>
      </c>
      <c r="I86" s="50" cm="1">
        <f t="array" ref="I86">WasteSolid_Equations.VEERG_10_1_1_1__2_MassOfWasteFromVolume(G86,H86)</f>
        <v>0</v>
      </c>
    </row>
    <row r="87" spans="3:12" ht="20.100000000000001" customHeight="1" x14ac:dyDescent="0.25">
      <c r="D87" s="171" t="str">
        <v>Anaerobic digestion</v>
      </c>
      <c r="E87" s="175" t="str">
        <v>All organic waste</v>
      </c>
      <c r="F87" s="170"/>
      <c r="G87" s="50" t="s">
        <v>842</v>
      </c>
      <c r="H87" s="50" t="s">
        <v>842</v>
      </c>
      <c r="I87" s="50" t="s">
        <v>842</v>
      </c>
    </row>
    <row r="88" spans="3:12" ht="20.100000000000001" customHeight="1" x14ac:dyDescent="0.25">
      <c r="D88" s="171" t="str">
        <v>Anaerobic digestion</v>
      </c>
      <c r="E88" s="175" t="str">
        <v>Food waste (including animal carcasses, spoiled animal feed or crop)</v>
      </c>
      <c r="F88" s="170"/>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50" cm="1">
        <f t="array" ref="H88">Common_InputFunctions.Utility_LookupValueInTableNumber(E88,Table_SourceData_WasteSolid_VolumeToMassConversion[Waste type w],Table_SourceData_WasteSolid_VolumeToMassConversion[VTMw])</f>
        <v>0.5</v>
      </c>
      <c r="I88" s="50" cm="1">
        <f t="array" ref="I88">WasteSolid_Equations.VEERG_10_1_1_1__2_MassOfWasteFromVolume(G88,H88)</f>
        <v>0</v>
      </c>
    </row>
    <row r="89" spans="3:12" ht="20.100000000000001" customHeight="1" x14ac:dyDescent="0.25">
      <c r="D89" s="171" t="str">
        <v>Anaerobic digestion</v>
      </c>
      <c r="E89" s="175" t="str">
        <v>Green waste (including crop residues or prunings)</v>
      </c>
      <c r="F89" s="170"/>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50" cm="1">
        <f t="array" ref="H89">Common_InputFunctions.Utility_LookupValueInTableNumber(E89,Table_SourceData_WasteSolid_VolumeToMassConversion[Waste type w],Table_SourceData_WasteSolid_VolumeToMassConversion[VTMw])</f>
        <v>0.24</v>
      </c>
      <c r="I89" s="50" cm="1">
        <f t="array" ref="I89">WasteSolid_Equations.VEERG_10_1_1_1__2_MassOfWasteFromVolume(G89,H89)</f>
        <v>0</v>
      </c>
    </row>
    <row r="90" spans="3:12" ht="20.100000000000001" customHeight="1" x14ac:dyDescent="0.25">
      <c r="D90" s="171" t="str">
        <v>Anaerobic digestion</v>
      </c>
      <c r="E90" s="175" t="str">
        <v>Wood</v>
      </c>
      <c r="F90" s="170"/>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50" cm="1">
        <f t="array" ref="H90">Common_InputFunctions.Utility_LookupValueInTableNumber(E90,Table_SourceData_WasteSolid_VolumeToMassConversion[Waste type w],Table_SourceData_WasteSolid_VolumeToMassConversion[VTMw])</f>
        <v>0.15</v>
      </c>
      <c r="I90" s="50" cm="1">
        <f t="array" ref="I90">WasteSolid_Equations.VEERG_10_1_1_1__2_MassOfWasteFromVolume(G90,H90)</f>
        <v>0</v>
      </c>
    </row>
    <row r="91" spans="3:12" ht="20.100000000000001" customHeight="1" x14ac:dyDescent="0.25">
      <c r="D91" s="171" t="str">
        <v>Anaerobic digestion</v>
      </c>
      <c r="E91" s="175" t="str">
        <v>Sludge</v>
      </c>
      <c r="F91" s="170"/>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50" cm="1">
        <f t="array" ref="H91">Common_InputFunctions.Utility_LookupValueInTableNumber(E91,Table_SourceData_WasteSolid_VolumeToMassConversion[Waste type w],Table_SourceData_WasteSolid_VolumeToMassConversion[VTMw])</f>
        <v>0.72</v>
      </c>
      <c r="I91" s="50" cm="1">
        <f t="array" ref="I91">WasteSolid_Equations.VEERG_10_1_1_1__2_MassOfWasteFromVolume(G91,H91)</f>
        <v>0</v>
      </c>
    </row>
    <row r="92" spans="3:12" ht="20.100000000000001" customHeight="1" x14ac:dyDescent="0.25">
      <c r="D92" s="171" t="str">
        <v>Anaerobic digestion</v>
      </c>
      <c r="E92" s="175" t="str">
        <v>Paper and cardboard</v>
      </c>
      <c r="F92" s="170"/>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50" cm="1">
        <f t="array" ref="H92">Common_InputFunctions.Utility_LookupValueInTableNumber(E92,Table_SourceData_WasteSolid_VolumeToMassConversion[Waste type w],Table_SourceData_WasteSolid_VolumeToMassConversion[VTMw])</f>
        <v>0.09</v>
      </c>
      <c r="I92" s="50"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01"/>
      <c r="D95" s="101"/>
      <c r="E95" s="101"/>
      <c r="F95" s="101"/>
      <c r="G95" s="101"/>
      <c r="H95" s="101"/>
      <c r="I95" s="101"/>
      <c r="J95" s="101"/>
      <c r="K95" s="101"/>
      <c r="L95" s="101"/>
    </row>
    <row r="96" spans="3:12" ht="20.100000000000001" customHeight="1" x14ac:dyDescent="0.25">
      <c r="D96" s="9" t="str" cm="1">
        <f t="array" ref="D96">WasteSolid_Equations.VEERG_10_1_1_1__1_EmissionsFromWasteManagement_Title()</f>
        <v>Emissions from waste management by greenhouse gas</v>
      </c>
    </row>
    <row r="97" spans="1:9" ht="20.100000000000001" customHeight="1" x14ac:dyDescent="0.25">
      <c r="D97" s="11" t="str" cm="1">
        <f t="array" ref="D97">WasteSolid_Equations.VEERG_10_1_1_1__1_EmissionsFromWasteManagement_Source()</f>
        <v>VEERG 2026: 10.1.1.1, Equation (1)</v>
      </c>
    </row>
    <row r="98" spans="1: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76" t="s">
        <v>626</v>
      </c>
      <c r="E99" s="176"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8" t="s">
        <v>627</v>
      </c>
      <c r="E102" s="8" t="str" cm="1">
        <f t="array" ref="E102">WasteSolid_Equations.VEERG_10_1_1_1__1_EmissionsFromWasteManagement_Variable()</f>
        <v>E_g</v>
      </c>
    </row>
    <row r="103" spans="1:9" ht="20.100000000000001" customHeight="1" x14ac:dyDescent="0.25">
      <c r="D103" s="28" t="s">
        <v>96</v>
      </c>
      <c r="E103" s="13" t="str" cm="1">
        <f t="array" ref="E103">WasteSolid_Equations.VEERG_10_1_1_1__1_EmissionsFromWasteManagement_Unit()</f>
        <v>t CO2e</v>
      </c>
    </row>
    <row r="104" spans="1:9" ht="20.100000000000001" customHeight="1" x14ac:dyDescent="0.25"/>
    <row r="105" spans="1:9" ht="20.100000000000001" customHeight="1" x14ac:dyDescent="0.25">
      <c r="D105" s="171" t="str" cm="1">
        <f t="array" ref="D105:E111">_xlfn.CHOOSECOLS(WasteSolid_Equations.VEERG_10_1_1_1__1_EmissionsFromWasteManagement_Arguments(),1,2)</f>
        <v>Q_wt</v>
      </c>
      <c r="E105" s="175" t="str">
        <v>quantity of solid waste of type w being sent to treatment facility t, on a wet weight basis</v>
      </c>
      <c r="F105" s="209"/>
      <c r="G105" s="170"/>
      <c r="H105" s="171" t="str" cm="1">
        <f t="array" ref="H105:I111">_xlfn.CHOOSECOLS(WasteSolid_Equations.VEERG_10_1_1_1__1_EmissionsFromWasteManagement_Arguments(),3,4)</f>
        <v>t</v>
      </c>
      <c r="I105" s="173" t="str">
        <v>Sum of Q_volwt and Q_masswt</v>
      </c>
    </row>
    <row r="106" spans="1:9" ht="20.100000000000001" customHeight="1" x14ac:dyDescent="0.25">
      <c r="D106" s="171" t="str">
        <v>EF_wtg</v>
      </c>
      <c r="E106" s="175" t="str">
        <v>emission factor for greenhouse gas g for the management of waste at treatment facility t</v>
      </c>
      <c r="F106" s="209"/>
      <c r="G106" s="170"/>
      <c r="H106" s="171" t="str">
        <v>t CO2e/t</v>
      </c>
      <c r="I106" s="173" t="str">
        <v>Constant</v>
      </c>
    </row>
    <row r="107" spans="1:9" ht="20.100000000000001" customHeight="1" x14ac:dyDescent="0.25">
      <c r="D107" s="171" t="str">
        <v>w</v>
      </c>
      <c r="E107" s="175" t="str">
        <v>waste type</v>
      </c>
      <c r="F107" s="209"/>
      <c r="G107" s="170"/>
      <c r="H107" s="171" t="str">
        <v/>
      </c>
      <c r="I107" s="172" t="str">
        <v>Input</v>
      </c>
    </row>
    <row r="108" spans="1:9" ht="20.100000000000001" customHeight="1" x14ac:dyDescent="0.25">
      <c r="D108" s="171" t="str">
        <v>t</v>
      </c>
      <c r="E108" s="175" t="str">
        <v>treatment facility</v>
      </c>
      <c r="F108" s="209"/>
      <c r="G108" s="170"/>
      <c r="H108" s="171" t="str">
        <v/>
      </c>
      <c r="I108" s="172" t="str">
        <v>Input</v>
      </c>
    </row>
    <row r="109" spans="1:9" ht="20.100000000000001" customHeight="1" x14ac:dyDescent="0.25">
      <c r="A109" s="56" t="str">
        <f>HYPERLINK("#A1", "▲ Back to top")</f>
        <v>▲ Back to top</v>
      </c>
      <c r="D109" s="171" t="str">
        <v>g</v>
      </c>
      <c r="E109" s="175" t="str">
        <v>greenhouse gas</v>
      </c>
      <c r="F109" s="209"/>
      <c r="G109" s="170"/>
      <c r="H109" s="171" t="str">
        <v/>
      </c>
      <c r="I109" s="172" t="str">
        <v>Input</v>
      </c>
    </row>
    <row r="110" spans="1:9" ht="20.100000000000001" customHeight="1" x14ac:dyDescent="0.25">
      <c r="D110" s="171" t="str">
        <v>Q_volwt</v>
      </c>
      <c r="E110" s="175" t="str">
        <v>quantity of sold waste input as volume and converted to tonnes</v>
      </c>
      <c r="F110" s="209"/>
      <c r="G110" s="170"/>
      <c r="H110" s="171" t="str">
        <v>tonnes</v>
      </c>
      <c r="I110" s="173" t="str">
        <v>Calculated from 10.1.1.1 (2)</v>
      </c>
    </row>
    <row r="111" spans="1:9" ht="20.100000000000001" customHeight="1" x14ac:dyDescent="0.25">
      <c r="D111" s="171" t="str">
        <v>Q_masswt</v>
      </c>
      <c r="E111" s="175" t="str">
        <v>quantity of solid waste input as mass</v>
      </c>
      <c r="F111" s="209"/>
      <c r="G111" s="170"/>
      <c r="H111" s="171" t="str">
        <v>tonnes</v>
      </c>
      <c r="I111" s="172" t="str">
        <v>Input</v>
      </c>
    </row>
    <row r="112" spans="1:9" ht="20.100000000000001" customHeight="1" x14ac:dyDescent="0.25"/>
    <row r="113" spans="4:11" ht="20.100000000000001" customHeight="1" x14ac:dyDescent="0.25">
      <c r="D113" s="58" t="s">
        <v>798</v>
      </c>
    </row>
    <row r="114" spans="4:11" ht="20.100000000000001" customHeight="1" x14ac:dyDescent="0.25">
      <c r="D114" s="59" t="s">
        <v>799</v>
      </c>
    </row>
    <row r="115" spans="4:11" ht="20.100000000000001" customHeight="1" x14ac:dyDescent="0.25">
      <c r="D115" s="47" t="s">
        <v>791</v>
      </c>
      <c r="E115" s="47" t="s">
        <v>792</v>
      </c>
      <c r="F115" s="47"/>
      <c r="G115" s="47" t="s">
        <v>843</v>
      </c>
      <c r="H115" s="60" t="s">
        <v>844</v>
      </c>
      <c r="I115" s="60" t="s">
        <v>795</v>
      </c>
      <c r="J115" s="60" t="s">
        <v>845</v>
      </c>
      <c r="K115" s="60" t="s">
        <v>846</v>
      </c>
    </row>
    <row r="116" spans="4:11" ht="20.100000000000001" customHeight="1" x14ac:dyDescent="0.25">
      <c r="D116" s="171" t="str" cm="1">
        <f t="array" ref="D116:D149">Table_SourceData_WasteSolid_WasteTreatmentEFs[Treatment type t]</f>
        <v>Landfill</v>
      </c>
      <c r="E116" s="175" t="str" cm="1">
        <f t="array" ref="E116:E149">Table_SourceData_WasteSolid_WasteTreatmentEFs[Waste type w]</f>
        <v>Food waste (including animal carcasses, spoiled animal feed or crop)</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50">
        <f t="shared" ref="H116:H149" si="0">I21</f>
        <v>25</v>
      </c>
      <c r="I116" s="50">
        <f>G116+H116</f>
        <v>75</v>
      </c>
      <c r="J116" s="50" cm="1">
        <f t="array" ref="J116">Common_InputFunctions.Utility_LookupValueInTableTwoColumns(D116,E116,Table_SourceData_WasteSolid_WasteTreatmentEFs[Treatment type t],Table_SourceData_WasteSolid_WasteTreatmentEFs[Waste type w],Table_SourceData_WasteSolid_WasteTreatmentEFs[EFwt])</f>
        <v>2.1</v>
      </c>
      <c r="K116" s="50" cm="1">
        <f t="array" ref="K116">WasteSolid_Equations.VEERG_10_1_1_1__1_EmissionsFromWasteManagement(I116, J116)</f>
        <v>157.5</v>
      </c>
    </row>
    <row r="117" spans="4:11" ht="20.100000000000001" customHeight="1" x14ac:dyDescent="0.25">
      <c r="D117" s="171" t="str">
        <v>Landfill</v>
      </c>
      <c r="E117" s="175" t="str">
        <v>Paper and cardboard</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50">
        <f t="shared" si="0"/>
        <v>4.5</v>
      </c>
      <c r="I117" s="50">
        <f t="shared" ref="I117:I126" si="1">G117+H117</f>
        <v>54.5</v>
      </c>
      <c r="J117" s="50" cm="1">
        <f t="array" ref="J117">Common_InputFunctions.Utility_LookupValueInTableTwoColumns(D117,E117,Table_SourceData_WasteSolid_WasteTreatmentEFs[Treatment type t],Table_SourceData_WasteSolid_WasteTreatmentEFs[Waste type w],Table_SourceData_WasteSolid_WasteTreatmentEFs[EFwt])</f>
        <v>3.3</v>
      </c>
      <c r="K117" s="50" cm="1">
        <f t="array" ref="K117">WasteSolid_Equations.VEERG_10_1_1_1__1_EmissionsFromWasteManagement(I117, J117)</f>
        <v>179.85</v>
      </c>
    </row>
    <row r="118" spans="4:11" ht="20.100000000000001" customHeight="1" x14ac:dyDescent="0.25">
      <c r="D118" s="171" t="str">
        <v>Landfill</v>
      </c>
      <c r="E118" s="175" t="str">
        <v>Green waste (including crop residues or prunings)</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50">
        <f t="shared" si="0"/>
        <v>12</v>
      </c>
      <c r="I118" s="50">
        <f t="shared" si="1"/>
        <v>62</v>
      </c>
      <c r="J118" s="50" cm="1">
        <f t="array" ref="J118">Common_InputFunctions.Utility_LookupValueInTableTwoColumns(D118,E118,Table_SourceData_WasteSolid_WasteTreatmentEFs[Treatment type t],Table_SourceData_WasteSolid_WasteTreatmentEFs[Waste type w],Table_SourceData_WasteSolid_WasteTreatmentEFs[EFwt])</f>
        <v>1.6</v>
      </c>
      <c r="K118" s="50" cm="1">
        <f t="array" ref="K118">WasteSolid_Equations.VEERG_10_1_1_1__1_EmissionsFromWasteManagement(I118, J118)</f>
        <v>99.2</v>
      </c>
    </row>
    <row r="119" spans="4:11" ht="20.100000000000001" customHeight="1" x14ac:dyDescent="0.25">
      <c r="D119" s="171" t="str">
        <v>Landfill</v>
      </c>
      <c r="E119" s="175" t="str">
        <v>Wood</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50">
        <f t="shared" si="0"/>
        <v>0</v>
      </c>
      <c r="I119" s="50">
        <f t="shared" si="1"/>
        <v>0</v>
      </c>
      <c r="J119" s="50" cm="1">
        <f t="array" ref="J119">Common_InputFunctions.Utility_LookupValueInTableTwoColumns(D119,E119,Table_SourceData_WasteSolid_WasteTreatmentEFs[Treatment type t],Table_SourceData_WasteSolid_WasteTreatmentEFs[Waste type w],Table_SourceData_WasteSolid_WasteTreatmentEFs[EFwt])</f>
        <v>0.7</v>
      </c>
      <c r="K119" s="50" cm="1">
        <f t="array" ref="K119">WasteSolid_Equations.VEERG_10_1_1_1__1_EmissionsFromWasteManagement(I119, J119)</f>
        <v>0</v>
      </c>
    </row>
    <row r="120" spans="4:11" ht="20.100000000000001" customHeight="1" x14ac:dyDescent="0.25">
      <c r="D120" s="171" t="str">
        <v>Landfill</v>
      </c>
      <c r="E120" s="175" t="str">
        <v>Textiles</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50">
        <f t="shared" si="0"/>
        <v>0</v>
      </c>
      <c r="I120" s="50">
        <f t="shared" si="1"/>
        <v>0</v>
      </c>
      <c r="J120" s="50" cm="1">
        <f t="array" ref="J120">Common_InputFunctions.Utility_LookupValueInTableTwoColumns(D120,E120,Table_SourceData_WasteSolid_WasteTreatmentEFs[Treatment type t],Table_SourceData_WasteSolid_WasteTreatmentEFs[Waste type w],Table_SourceData_WasteSolid_WasteTreatmentEFs[EFwt])</f>
        <v>2</v>
      </c>
      <c r="K120" s="50" cm="1">
        <f t="array" ref="K120">WasteSolid_Equations.VEERG_10_1_1_1__1_EmissionsFromWasteManagement(I120, J120)</f>
        <v>0</v>
      </c>
    </row>
    <row r="121" spans="4:11" ht="20.100000000000001" customHeight="1" x14ac:dyDescent="0.25">
      <c r="D121" s="171" t="str">
        <v>Landfill</v>
      </c>
      <c r="E121" s="175" t="str">
        <v>Sludge</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50">
        <f t="shared" si="0"/>
        <v>0</v>
      </c>
      <c r="I121" s="50">
        <f t="shared" si="1"/>
        <v>0</v>
      </c>
      <c r="J121" s="50" cm="1">
        <f t="array" ref="J121">Common_InputFunctions.Utility_LookupValueInTableTwoColumns(D121,E121,Table_SourceData_WasteSolid_WasteTreatmentEFs[Treatment type t],Table_SourceData_WasteSolid_WasteTreatmentEFs[Waste type w],Table_SourceData_WasteSolid_WasteTreatmentEFs[EFwt])</f>
        <v>0.4</v>
      </c>
      <c r="K121" s="50" cm="1">
        <f t="array" ref="K121">WasteSolid_Equations.VEERG_10_1_1_1__1_EmissionsFromWasteManagement(I121, J121)</f>
        <v>0</v>
      </c>
    </row>
    <row r="122" spans="4:11" ht="20.100000000000001" customHeight="1" x14ac:dyDescent="0.25">
      <c r="D122" s="171" t="str">
        <v>Landfill</v>
      </c>
      <c r="E122" s="175" t="str">
        <v>Rubber and leather</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50">
        <f t="shared" si="0"/>
        <v>0</v>
      </c>
      <c r="I122" s="50">
        <f t="shared" si="1"/>
        <v>0</v>
      </c>
      <c r="J122" s="50" cm="1">
        <f t="array" ref="J122">Common_InputFunctions.Utility_LookupValueInTableTwoColumns(D122,E122,Table_SourceData_WasteSolid_WasteTreatmentEFs[Treatment type t],Table_SourceData_WasteSolid_WasteTreatmentEFs[Waste type w],Table_SourceData_WasteSolid_WasteTreatmentEFs[EFwt])</f>
        <v>3.3</v>
      </c>
      <c r="K122" s="50" cm="1">
        <f t="array" ref="K122">WasteSolid_Equations.VEERG_10_1_1_1__1_EmissionsFromWasteManagement(I122, J122)</f>
        <v>0</v>
      </c>
    </row>
    <row r="123" spans="4:11" ht="20.100000000000001" customHeight="1" x14ac:dyDescent="0.25">
      <c r="D123" s="171" t="str">
        <v>Landfill</v>
      </c>
      <c r="E123" s="175" t="str">
        <v>Inert waste (including concrete, metal, plastic or glass)</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50">
        <f t="shared" si="0"/>
        <v>0</v>
      </c>
      <c r="I123" s="50">
        <f t="shared" si="1"/>
        <v>0</v>
      </c>
      <c r="J123" s="50" cm="1">
        <f t="array" ref="J123">Common_InputFunctions.Utility_LookupValueInTableTwoColumns(D123,E123,Table_SourceData_WasteSolid_WasteTreatmentEFs[Treatment type t],Table_SourceData_WasteSolid_WasteTreatmentEFs[Waste type w],Table_SourceData_WasteSolid_WasteTreatmentEFs[EFwt])</f>
        <v>0</v>
      </c>
      <c r="K123" s="50" cm="1">
        <f t="array" ref="K123">WasteSolid_Equations.VEERG_10_1_1_1__1_EmissionsFromWasteManagement(I123, J123)</f>
        <v>0</v>
      </c>
    </row>
    <row r="124" spans="4:11" ht="20.100000000000001" customHeight="1" x14ac:dyDescent="0.25">
      <c r="D124" s="171" t="str">
        <v>Landfill</v>
      </c>
      <c r="E124" s="175" t="str">
        <v>Municipal solid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50">
        <f t="shared" si="0"/>
        <v>0</v>
      </c>
      <c r="I124" s="50">
        <f t="shared" si="1"/>
        <v>0</v>
      </c>
      <c r="J124" s="50" cm="1">
        <f t="array" ref="J124">Common_InputFunctions.Utility_LookupValueInTableTwoColumns(D124,E124,Table_SourceData_WasteSolid_WasteTreatmentEFs[Treatment type t],Table_SourceData_WasteSolid_WasteTreatmentEFs[Waste type w],Table_SourceData_WasteSolid_WasteTreatmentEFs[EFwt])</f>
        <v>1.6</v>
      </c>
      <c r="K124" s="50" cm="1">
        <f t="array" ref="K124">WasteSolid_Equations.VEERG_10_1_1_1__1_EmissionsFromWasteManagement(I124, J124)</f>
        <v>0</v>
      </c>
    </row>
    <row r="125" spans="4:11" ht="20.100000000000001" customHeight="1" x14ac:dyDescent="0.25">
      <c r="D125" s="171" t="str">
        <v>Landfill</v>
      </c>
      <c r="E125" s="175" t="str">
        <v>Commercial and industrial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50">
        <f t="shared" si="0"/>
        <v>0</v>
      </c>
      <c r="I125" s="50">
        <f t="shared" si="1"/>
        <v>0</v>
      </c>
      <c r="J125" s="50" cm="1">
        <f t="array" ref="J125">Common_InputFunctions.Utility_LookupValueInTableTwoColumns(D125,E125,Table_SourceData_WasteSolid_WasteTreatmentEFs[Treatment type t],Table_SourceData_WasteSolid_WasteTreatmentEFs[Waste type w],Table_SourceData_WasteSolid_WasteTreatmentEFs[EFwt])</f>
        <v>1.3</v>
      </c>
      <c r="K125" s="50" cm="1">
        <f t="array" ref="K125">WasteSolid_Equations.VEERG_10_1_1_1__1_EmissionsFromWasteManagement(I125, J125)</f>
        <v>0</v>
      </c>
    </row>
    <row r="126" spans="4:11" ht="20.100000000000001" customHeight="1" x14ac:dyDescent="0.25">
      <c r="D126" s="171" t="str">
        <v>Landfill</v>
      </c>
      <c r="E126" s="175" t="str">
        <v>Construction and demolition waste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50">
        <f t="shared" si="0"/>
        <v>0</v>
      </c>
      <c r="I126" s="50">
        <f t="shared" si="1"/>
        <v>0</v>
      </c>
      <c r="J126" s="50" cm="1">
        <f t="array" ref="J126">Common_InputFunctions.Utility_LookupValueInTableTwoColumns(D126,E126,Table_SourceData_WasteSolid_WasteTreatmentEFs[Treatment type t],Table_SourceData_WasteSolid_WasteTreatmentEFs[Waste type w],Table_SourceData_WasteSolid_WasteTreatmentEFs[EFwt])</f>
        <v>0.2</v>
      </c>
      <c r="K126" s="50" cm="1">
        <f t="array" ref="K126">WasteSolid_Equations.VEERG_10_1_1_1__1_EmissionsFromWasteManagement(I126, J126)</f>
        <v>0</v>
      </c>
    </row>
    <row r="127" spans="4:11" ht="20.100000000000001" customHeight="1" x14ac:dyDescent="0.25">
      <c r="D127" s="171" t="str">
        <v>Incineration</v>
      </c>
      <c r="E127" s="175" t="str">
        <v>Food waste, green waste, wood, sludge</v>
      </c>
      <c r="F127" s="213"/>
      <c r="G127" s="50" t="s">
        <v>842</v>
      </c>
      <c r="H127" s="50" t="str">
        <f t="shared" si="0"/>
        <v>Not used</v>
      </c>
      <c r="I127" s="50">
        <f>SUM(G128:G131)+SUM(H128:H131)</f>
        <v>74</v>
      </c>
      <c r="J127" s="50" cm="1">
        <f t="array" ref="J127">Common_InputFunctions.Utility_LookupValueInTableTwoColumns(D127,E127,Table_SourceData_WasteSolid_WasteTreatmentEFs[Treatment type t],Table_SourceData_WasteSolid_WasteTreatmentEFs[Waste type w],Table_SourceData_WasteSolid_WasteTreatmentEFs[EFwt])</f>
        <v>0</v>
      </c>
      <c r="K127" s="50" cm="1">
        <f t="array" ref="K127">WasteSolid_Equations.VEERG_10_1_1_1__1_EmissionsFromWasteManagement(I127, J127)</f>
        <v>0</v>
      </c>
    </row>
    <row r="128" spans="4:11" ht="20.100000000000001" customHeight="1" x14ac:dyDescent="0.25">
      <c r="D128" s="171" t="str">
        <v>Incineration</v>
      </c>
      <c r="E128" s="175" t="str">
        <v>Food waste (including animal carcasses, spoiled animal feed or crop)</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50">
        <f t="shared" si="0"/>
        <v>0</v>
      </c>
      <c r="I128" s="50" t="s">
        <v>847</v>
      </c>
      <c r="J128" s="50" t="s">
        <v>842</v>
      </c>
      <c r="K128" s="50" t="s">
        <v>842</v>
      </c>
    </row>
    <row r="129" spans="1:11" ht="20.100000000000001" customHeight="1" x14ac:dyDescent="0.25">
      <c r="D129" s="171" t="str">
        <v>Incineration</v>
      </c>
      <c r="E129" s="175" t="str">
        <v>Green waste (including crop residues or prunings)</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50">
        <f t="shared" si="0"/>
        <v>24</v>
      </c>
      <c r="I129" s="50" t="s">
        <v>847</v>
      </c>
      <c r="J129" s="50" t="s">
        <v>842</v>
      </c>
      <c r="K129" s="50" t="s">
        <v>842</v>
      </c>
    </row>
    <row r="130" spans="1:11" ht="20.100000000000001" customHeight="1" x14ac:dyDescent="0.25">
      <c r="D130" s="171" t="str">
        <v>Incineration</v>
      </c>
      <c r="E130" s="175" t="str">
        <v>Wood</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50">
        <f t="shared" si="0"/>
        <v>0</v>
      </c>
      <c r="I130" s="50" t="s">
        <v>847</v>
      </c>
      <c r="J130" s="50" t="s">
        <v>842</v>
      </c>
      <c r="K130" s="50" t="s">
        <v>842</v>
      </c>
    </row>
    <row r="131" spans="1:11" ht="20.100000000000001" customHeight="1" x14ac:dyDescent="0.25">
      <c r="D131" s="171" t="str">
        <v>Incineration</v>
      </c>
      <c r="E131" s="175" t="str">
        <v>Sludge</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50">
        <f t="shared" si="0"/>
        <v>0</v>
      </c>
      <c r="I131" s="50" t="s">
        <v>847</v>
      </c>
      <c r="J131" s="50" t="s">
        <v>842</v>
      </c>
      <c r="K131" s="50" t="s">
        <v>842</v>
      </c>
    </row>
    <row r="132" spans="1:11" ht="20.100000000000001" customHeight="1" x14ac:dyDescent="0.25">
      <c r="D132" s="171" t="str">
        <v>Incineration</v>
      </c>
      <c r="E132" s="175" t="str">
        <v>Paper and cardboard</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50">
        <f t="shared" si="0"/>
        <v>4.5</v>
      </c>
      <c r="I132" s="50">
        <f t="shared" ref="I132:I137" si="2">G132+H132</f>
        <v>54.5</v>
      </c>
      <c r="J132" s="50"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50" cm="1">
        <f t="array" ref="K132">WasteSolid_Equations.VEERG_10_1_1_1__1_EmissionsFromWasteManagement(I132, J132)</f>
        <v>0.92104999999999992</v>
      </c>
    </row>
    <row r="133" spans="1:11" ht="20.100000000000001" customHeight="1" x14ac:dyDescent="0.25">
      <c r="D133" s="171" t="str">
        <v>Incineration</v>
      </c>
      <c r="E133" s="175" t="str">
        <v>Textiles</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50">
        <f t="shared" si="0"/>
        <v>0</v>
      </c>
      <c r="I133" s="50">
        <f t="shared" si="2"/>
        <v>0</v>
      </c>
      <c r="J133" s="50"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50" cm="1">
        <f t="array" ref="K133">WasteSolid_Equations.VEERG_10_1_1_1__1_EmissionsFromWasteManagement(I133, J133)</f>
        <v>0</v>
      </c>
    </row>
    <row r="134" spans="1:11" ht="20.100000000000001" customHeight="1" x14ac:dyDescent="0.25">
      <c r="D134" s="171" t="str">
        <v>Incineration</v>
      </c>
      <c r="E134" s="175" t="str">
        <v>Rubber and leather</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50">
        <f t="shared" si="0"/>
        <v>0</v>
      </c>
      <c r="I134" s="50">
        <f t="shared" si="2"/>
        <v>0</v>
      </c>
      <c r="J134" s="50" cm="1">
        <f t="array" ref="J134">Common_InputFunctions.Utility_LookupValueInTableTwoColumns(D134,E134,Table_SourceData_WasteSolid_WasteTreatmentEFs[Treatment type t],Table_SourceData_WasteSolid_WasteTreatmentEFs[Waste type w],Table_SourceData_WasteSolid_WasteTreatmentEFs[EFwt])</f>
        <v>0.4919</v>
      </c>
      <c r="K134" s="50" cm="1">
        <f t="array" ref="K134">WasteSolid_Equations.VEERG_10_1_1_1__1_EmissionsFromWasteManagement(I134, J134)</f>
        <v>0</v>
      </c>
    </row>
    <row r="135" spans="1:11" ht="20.100000000000001" customHeight="1" x14ac:dyDescent="0.25">
      <c r="D135" s="171" t="str">
        <v>Incineration</v>
      </c>
      <c r="E135" s="175" t="str">
        <v>Inert waste (including concrete, metal, plastic or glass)</v>
      </c>
      <c r="F135" s="213"/>
      <c r="G135" s="50"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50">
        <f t="shared" si="0"/>
        <v>0</v>
      </c>
      <c r="I135" s="50">
        <f t="shared" si="2"/>
        <v>0</v>
      </c>
      <c r="J135" s="50" cm="1">
        <f t="array" ref="J135">Common_InputFunctions.Utility_LookupValueInTableTwoColumns(D135,E135,Table_SourceData_WasteSolid_WasteTreatmentEFs[Treatment type t],Table_SourceData_WasteSolid_WasteTreatmentEFs[Waste type w],Table_SourceData_WasteSolid_WasteTreatmentEFs[EFwt])</f>
        <v>0.11</v>
      </c>
      <c r="K135" s="50" cm="1">
        <f t="array" ref="K135">WasteSolid_Equations.VEERG_10_1_1_1__1_EmissionsFromWasteManagement(I135, J135)</f>
        <v>0</v>
      </c>
    </row>
    <row r="136" spans="1:11" ht="20.100000000000001" customHeight="1" x14ac:dyDescent="0.25">
      <c r="A136" s="56" t="str">
        <f>HYPERLINK("#A1", "▲ Back to top")</f>
        <v>▲ Back to top</v>
      </c>
      <c r="D136" s="171" t="str">
        <v>Incineration</v>
      </c>
      <c r="E136" s="175" t="str">
        <v>Municipal solid waste</v>
      </c>
      <c r="F136" s="170"/>
      <c r="G136" s="50"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50">
        <f t="shared" si="0"/>
        <v>0</v>
      </c>
      <c r="I136" s="50">
        <f t="shared" si="2"/>
        <v>0</v>
      </c>
      <c r="J136" s="50"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50" cm="1">
        <f t="array" ref="K136">WasteSolid_Equations.VEERG_10_1_1_1__1_EmissionsFromWasteManagement(I136, J136)</f>
        <v>0</v>
      </c>
    </row>
    <row r="137" spans="1:11" ht="20.100000000000001" customHeight="1" x14ac:dyDescent="0.25">
      <c r="D137" s="171" t="str">
        <v>Incineration</v>
      </c>
      <c r="E137" s="175" t="str">
        <v>Commercial and industrial waste</v>
      </c>
      <c r="F137" s="170"/>
      <c r="G137" s="50"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50">
        <f t="shared" si="0"/>
        <v>0</v>
      </c>
      <c r="I137" s="50">
        <f t="shared" si="2"/>
        <v>0</v>
      </c>
      <c r="J137" s="50" cm="1">
        <f t="array" ref="J137">Common_InputFunctions.Utility_LookupValueInTableTwoColumns(D137,E137,Table_SourceData_WasteSolid_WasteTreatmentEFs[Treatment type t],Table_SourceData_WasteSolid_WasteTreatmentEFs[Waste type w],Table_SourceData_WasteSolid_WasteTreatmentEFs[EFwt])</f>
        <v>1.649</v>
      </c>
      <c r="K137" s="50" cm="1">
        <f t="array" ref="K137">WasteSolid_Equations.VEERG_10_1_1_1__1_EmissionsFromWasteManagement(I137, J137)</f>
        <v>0</v>
      </c>
    </row>
    <row r="138" spans="1:11" ht="20.100000000000001" customHeight="1" x14ac:dyDescent="0.25">
      <c r="D138" s="171" t="str">
        <v>Composting</v>
      </c>
      <c r="E138" s="175" t="str">
        <v>All organic waste</v>
      </c>
      <c r="F138" s="170"/>
      <c r="G138" s="50" t="s">
        <v>842</v>
      </c>
      <c r="H138" s="50" t="str">
        <f t="shared" si="0"/>
        <v>Not used</v>
      </c>
      <c r="I138" s="50">
        <f>SUM(G139:G143)+SUM(H139:H143)</f>
        <v>29.5</v>
      </c>
      <c r="J138" s="50"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50" cm="1">
        <f t="array" ref="K138">WasteSolid_Equations.VEERG_10_1_1_1__1_EmissionsFromWasteManagement(I138, J138)</f>
        <v>1.357</v>
      </c>
    </row>
    <row r="139" spans="1:11" ht="20.100000000000001" customHeight="1" x14ac:dyDescent="0.25">
      <c r="D139" s="171" t="str">
        <v>Composting</v>
      </c>
      <c r="E139" s="175" t="str">
        <v>Food waste (including animal carcasses, spoiled animal feed or crop)</v>
      </c>
      <c r="F139" s="170"/>
      <c r="G139" s="50"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50">
        <f t="shared" si="0"/>
        <v>25</v>
      </c>
      <c r="I139" s="50" t="s">
        <v>847</v>
      </c>
      <c r="J139" s="50" t="s">
        <v>842</v>
      </c>
      <c r="K139" s="50" t="s">
        <v>842</v>
      </c>
    </row>
    <row r="140" spans="1:11" ht="20.100000000000001" customHeight="1" x14ac:dyDescent="0.25">
      <c r="D140" s="171" t="str">
        <v>Composting</v>
      </c>
      <c r="E140" s="175" t="str">
        <v>Green waste (including crop residues or prunings)</v>
      </c>
      <c r="F140" s="170"/>
      <c r="G140" s="50"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50">
        <f t="shared" si="0"/>
        <v>0</v>
      </c>
      <c r="I140" s="50" t="s">
        <v>847</v>
      </c>
      <c r="J140" s="50" t="s">
        <v>842</v>
      </c>
      <c r="K140" s="50" t="s">
        <v>842</v>
      </c>
    </row>
    <row r="141" spans="1:11" ht="20.100000000000001" customHeight="1" x14ac:dyDescent="0.25">
      <c r="D141" s="171" t="str">
        <v>Composting</v>
      </c>
      <c r="E141" s="175" t="str">
        <v>Wood</v>
      </c>
      <c r="F141" s="170"/>
      <c r="G141" s="50"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50">
        <f t="shared" si="0"/>
        <v>0</v>
      </c>
      <c r="I141" s="50" t="s">
        <v>847</v>
      </c>
      <c r="J141" s="50" t="s">
        <v>842</v>
      </c>
      <c r="K141" s="50" t="s">
        <v>842</v>
      </c>
    </row>
    <row r="142" spans="1:11" ht="20.100000000000001" customHeight="1" x14ac:dyDescent="0.25">
      <c r="D142" s="171" t="str">
        <v>Composting</v>
      </c>
      <c r="E142" s="175" t="str">
        <v>Sludge</v>
      </c>
      <c r="F142" s="170"/>
      <c r="G142" s="50"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50">
        <f t="shared" si="0"/>
        <v>0</v>
      </c>
      <c r="I142" s="50" t="s">
        <v>847</v>
      </c>
      <c r="J142" s="50" t="s">
        <v>842</v>
      </c>
      <c r="K142" s="50" t="s">
        <v>842</v>
      </c>
    </row>
    <row r="143" spans="1:11" ht="20.100000000000001" customHeight="1" x14ac:dyDescent="0.25">
      <c r="D143" s="171" t="str">
        <v>Composting</v>
      </c>
      <c r="E143" s="175" t="str">
        <v>Paper and cardboard</v>
      </c>
      <c r="F143" s="170"/>
      <c r="G143" s="50"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50">
        <f t="shared" si="0"/>
        <v>4.5</v>
      </c>
      <c r="I143" s="50" t="s">
        <v>847</v>
      </c>
      <c r="J143" s="50" t="s">
        <v>842</v>
      </c>
      <c r="K143" s="50" t="s">
        <v>842</v>
      </c>
    </row>
    <row r="144" spans="1:11" ht="20.100000000000001" customHeight="1" x14ac:dyDescent="0.25">
      <c r="D144" s="171" t="str">
        <v>Anaerobic digestion</v>
      </c>
      <c r="E144" s="175" t="str">
        <v>All organic waste</v>
      </c>
      <c r="F144" s="170"/>
      <c r="G144" s="50" t="s">
        <v>842</v>
      </c>
      <c r="H144" s="50" t="str">
        <f t="shared" si="0"/>
        <v>Not used</v>
      </c>
      <c r="I144" s="50">
        <f>SUM(G145:G149)+SUM(H145:H149)</f>
        <v>0</v>
      </c>
      <c r="J144" s="50"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50" cm="1">
        <f t="array" ref="K144">WasteSolid_Equations.VEERG_10_1_1_1__1_EmissionsFromWasteManagement(I144, J144)</f>
        <v>0</v>
      </c>
    </row>
    <row r="145" spans="4:11" ht="20.100000000000001" customHeight="1" x14ac:dyDescent="0.25">
      <c r="D145" s="171" t="str">
        <v>Anaerobic digestion</v>
      </c>
      <c r="E145" s="175" t="str">
        <v>Food waste (including animal carcasses, spoiled animal feed or crop)</v>
      </c>
      <c r="F145" s="170"/>
      <c r="G145" s="50"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50">
        <f t="shared" si="0"/>
        <v>0</v>
      </c>
      <c r="I145" s="50" t="s">
        <v>847</v>
      </c>
      <c r="J145" s="50" t="s">
        <v>842</v>
      </c>
      <c r="K145" s="50" t="s">
        <v>842</v>
      </c>
    </row>
    <row r="146" spans="4:11" ht="20.100000000000001" customHeight="1" x14ac:dyDescent="0.25">
      <c r="D146" s="171" t="str">
        <v>Anaerobic digestion</v>
      </c>
      <c r="E146" s="175" t="str">
        <v>Green waste (including crop residues or prunings)</v>
      </c>
      <c r="F146" s="170"/>
      <c r="G146" s="50"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50">
        <f t="shared" si="0"/>
        <v>0</v>
      </c>
      <c r="I146" s="50" t="s">
        <v>847</v>
      </c>
      <c r="J146" s="50" t="s">
        <v>842</v>
      </c>
      <c r="K146" s="50" t="s">
        <v>842</v>
      </c>
    </row>
    <row r="147" spans="4:11" ht="20.100000000000001" customHeight="1" x14ac:dyDescent="0.25">
      <c r="D147" s="171" t="str">
        <v>Anaerobic digestion</v>
      </c>
      <c r="E147" s="175" t="str">
        <v>Wood</v>
      </c>
      <c r="F147" s="170"/>
      <c r="G147" s="50"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50">
        <f t="shared" si="0"/>
        <v>0</v>
      </c>
      <c r="I147" s="50" t="s">
        <v>847</v>
      </c>
      <c r="J147" s="50" t="s">
        <v>842</v>
      </c>
      <c r="K147" s="50" t="s">
        <v>842</v>
      </c>
    </row>
    <row r="148" spans="4:11" ht="20.100000000000001" customHeight="1" x14ac:dyDescent="0.25">
      <c r="D148" s="171" t="str">
        <v>Anaerobic digestion</v>
      </c>
      <c r="E148" s="175" t="str">
        <v>Sludge</v>
      </c>
      <c r="F148" s="170"/>
      <c r="G148" s="50"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50">
        <f t="shared" si="0"/>
        <v>0</v>
      </c>
      <c r="I148" s="50" t="s">
        <v>847</v>
      </c>
      <c r="J148" s="50" t="s">
        <v>842</v>
      </c>
      <c r="K148" s="50" t="s">
        <v>842</v>
      </c>
    </row>
    <row r="149" spans="4:11" ht="20.100000000000001" customHeight="1" x14ac:dyDescent="0.25">
      <c r="D149" s="171" t="str">
        <v>Anaerobic digestion</v>
      </c>
      <c r="E149" s="175" t="str">
        <v>Paper and cardboard</v>
      </c>
      <c r="F149" s="170"/>
      <c r="G149" s="50"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50">
        <f t="shared" si="0"/>
        <v>0</v>
      </c>
      <c r="I149" s="50" t="s">
        <v>847</v>
      </c>
      <c r="J149" s="50" t="s">
        <v>842</v>
      </c>
      <c r="K149" s="50" t="s">
        <v>842</v>
      </c>
    </row>
    <row r="150" spans="4:11" ht="20.100000000000001" customHeight="1" x14ac:dyDescent="0.25"/>
    <row r="151" spans="4:11" ht="20.100000000000001" customHeight="1" x14ac:dyDescent="0.25">
      <c r="D151" s="180" t="s">
        <v>800</v>
      </c>
      <c r="E151" s="181">
        <f>SUM(K116:K149)</f>
        <v>438.82805000000002</v>
      </c>
      <c r="F151" s="182" t="str">
        <f>$E$103</f>
        <v>t CO2e</v>
      </c>
    </row>
    <row r="152" spans="4:11" ht="20.100000000000001" customHeight="1" x14ac:dyDescent="0.25"/>
    <row r="153" spans="4:11" ht="20.100000000000001" customHeight="1" x14ac:dyDescent="0.25"/>
    <row r="154" spans="4:11" ht="20.100000000000001" customHeight="1" x14ac:dyDescent="0.25">
      <c r="D154" s="58" t="s">
        <v>801</v>
      </c>
    </row>
    <row r="155" spans="4:11" ht="20.100000000000001" customHeight="1" x14ac:dyDescent="0.25">
      <c r="D155" s="59" t="s">
        <v>802</v>
      </c>
    </row>
    <row r="156" spans="4:11" ht="20.100000000000001" customHeight="1" x14ac:dyDescent="0.25">
      <c r="D156" s="47" t="s">
        <v>791</v>
      </c>
      <c r="E156" s="47" t="s">
        <v>792</v>
      </c>
      <c r="F156" s="47"/>
      <c r="G156" s="47" t="s">
        <v>843</v>
      </c>
      <c r="H156" s="60" t="s">
        <v>844</v>
      </c>
      <c r="I156" s="60" t="s">
        <v>795</v>
      </c>
      <c r="J156" s="60" t="s">
        <v>845</v>
      </c>
      <c r="K156" s="60" t="s">
        <v>846</v>
      </c>
    </row>
    <row r="157" spans="4:11" ht="20.100000000000001" customHeight="1" x14ac:dyDescent="0.25">
      <c r="D157" s="171" t="str" cm="1">
        <f t="array" ref="D157:D190">Table_SourceData_WasteSolid_WasteTreatmentEFs[Treatment type t]</f>
        <v>Landfill</v>
      </c>
      <c r="E157" s="175" t="str" cm="1">
        <f t="array" ref="E157:E190">Table_SourceData_WasteSolid_WasteTreatmentEFs[Waste type w]</f>
        <v>Food waste (including animal carcasses, spoiled animal feed or crop)</v>
      </c>
      <c r="F157" s="213"/>
      <c r="G157" s="50"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50">
        <f t="shared" ref="H157:H190" si="3">I59</f>
        <v>25</v>
      </c>
      <c r="I157" s="50">
        <f>G157+H157</f>
        <v>75</v>
      </c>
      <c r="J157" s="50" cm="1">
        <f t="array" ref="J157">Common_InputFunctions.Utility_LookupValueInTableTwoColumns(D157,E157,Table_SourceData_WasteSolid_WasteTreatmentEFs[Treatment type t],Table_SourceData_WasteSolid_WasteTreatmentEFs[Waste type w],Table_SourceData_WasteSolid_WasteTreatmentEFs[EFwt])</f>
        <v>2.1</v>
      </c>
      <c r="K157" s="50" cm="1">
        <f t="array" ref="K157">WasteSolid_Equations.VEERG_10_1_1_1__1_EmissionsFromWasteManagement(I157, J157)</f>
        <v>157.5</v>
      </c>
    </row>
    <row r="158" spans="4:11" ht="20.100000000000001" customHeight="1" x14ac:dyDescent="0.25">
      <c r="D158" s="171" t="str">
        <v>Landfill</v>
      </c>
      <c r="E158" s="175" t="str">
        <v>Paper and cardboard</v>
      </c>
      <c r="F158" s="213"/>
      <c r="G158" s="50"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50">
        <f t="shared" si="3"/>
        <v>4.5</v>
      </c>
      <c r="I158" s="50">
        <f t="shared" ref="I158:I167" si="4">G158+H158</f>
        <v>54.5</v>
      </c>
      <c r="J158" s="50" cm="1">
        <f t="array" ref="J158">Common_InputFunctions.Utility_LookupValueInTableTwoColumns(D158,E158,Table_SourceData_WasteSolid_WasteTreatmentEFs[Treatment type t],Table_SourceData_WasteSolid_WasteTreatmentEFs[Waste type w],Table_SourceData_WasteSolid_WasteTreatmentEFs[EFwt])</f>
        <v>3.3</v>
      </c>
      <c r="K158" s="50" cm="1">
        <f t="array" ref="K158">WasteSolid_Equations.VEERG_10_1_1_1__1_EmissionsFromWasteManagement(I158, J158)</f>
        <v>179.85</v>
      </c>
    </row>
    <row r="159" spans="4:11" ht="20.100000000000001" customHeight="1" x14ac:dyDescent="0.25">
      <c r="D159" s="171" t="str">
        <v>Landfill</v>
      </c>
      <c r="E159" s="175" t="str">
        <v>Green waste (including crop residues or prunings)</v>
      </c>
      <c r="F159" s="213"/>
      <c r="G159" s="50"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50">
        <f t="shared" si="3"/>
        <v>12</v>
      </c>
      <c r="I159" s="50">
        <f t="shared" si="4"/>
        <v>62</v>
      </c>
      <c r="J159" s="50" cm="1">
        <f t="array" ref="J159">Common_InputFunctions.Utility_LookupValueInTableTwoColumns(D159,E159,Table_SourceData_WasteSolid_WasteTreatmentEFs[Treatment type t],Table_SourceData_WasteSolid_WasteTreatmentEFs[Waste type w],Table_SourceData_WasteSolid_WasteTreatmentEFs[EFwt])</f>
        <v>1.6</v>
      </c>
      <c r="K159" s="50" cm="1">
        <f t="array" ref="K159">WasteSolid_Equations.VEERG_10_1_1_1__1_EmissionsFromWasteManagement(I159, J159)</f>
        <v>99.2</v>
      </c>
    </row>
    <row r="160" spans="4:11" ht="20.100000000000001" customHeight="1" x14ac:dyDescent="0.25">
      <c r="D160" s="171" t="str">
        <v>Landfill</v>
      </c>
      <c r="E160" s="175" t="str">
        <v>Wood</v>
      </c>
      <c r="F160" s="213"/>
      <c r="G160" s="50"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50">
        <f t="shared" si="3"/>
        <v>0</v>
      </c>
      <c r="I160" s="50">
        <f t="shared" si="4"/>
        <v>0</v>
      </c>
      <c r="J160" s="50" cm="1">
        <f t="array" ref="J160">Common_InputFunctions.Utility_LookupValueInTableTwoColumns(D160,E160,Table_SourceData_WasteSolid_WasteTreatmentEFs[Treatment type t],Table_SourceData_WasteSolid_WasteTreatmentEFs[Waste type w],Table_SourceData_WasteSolid_WasteTreatmentEFs[EFwt])</f>
        <v>0.7</v>
      </c>
      <c r="K160" s="50" cm="1">
        <f t="array" ref="K160">WasteSolid_Equations.VEERG_10_1_1_1__1_EmissionsFromWasteManagement(I160, J160)</f>
        <v>0</v>
      </c>
    </row>
    <row r="161" spans="4:11" ht="20.100000000000001" customHeight="1" x14ac:dyDescent="0.25">
      <c r="D161" s="171" t="str">
        <v>Landfill</v>
      </c>
      <c r="E161" s="175" t="str">
        <v>Textiles</v>
      </c>
      <c r="F161" s="213"/>
      <c r="G161" s="50"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50">
        <f t="shared" si="3"/>
        <v>0</v>
      </c>
      <c r="I161" s="50">
        <f t="shared" si="4"/>
        <v>0</v>
      </c>
      <c r="J161" s="50" cm="1">
        <f t="array" ref="J161">Common_InputFunctions.Utility_LookupValueInTableTwoColumns(D161,E161,Table_SourceData_WasteSolid_WasteTreatmentEFs[Treatment type t],Table_SourceData_WasteSolid_WasteTreatmentEFs[Waste type w],Table_SourceData_WasteSolid_WasteTreatmentEFs[EFwt])</f>
        <v>2</v>
      </c>
      <c r="K161" s="50" cm="1">
        <f t="array" ref="K161">WasteSolid_Equations.VEERG_10_1_1_1__1_EmissionsFromWasteManagement(I161, J161)</f>
        <v>0</v>
      </c>
    </row>
    <row r="162" spans="4:11" ht="20.100000000000001" customHeight="1" x14ac:dyDescent="0.25">
      <c r="D162" s="171" t="str">
        <v>Landfill</v>
      </c>
      <c r="E162" s="175" t="str">
        <v>Sludge</v>
      </c>
      <c r="F162" s="213"/>
      <c r="G162" s="50"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50">
        <f t="shared" si="3"/>
        <v>0</v>
      </c>
      <c r="I162" s="50">
        <f t="shared" si="4"/>
        <v>0</v>
      </c>
      <c r="J162" s="50" cm="1">
        <f t="array" ref="J162">Common_InputFunctions.Utility_LookupValueInTableTwoColumns(D162,E162,Table_SourceData_WasteSolid_WasteTreatmentEFs[Treatment type t],Table_SourceData_WasteSolid_WasteTreatmentEFs[Waste type w],Table_SourceData_WasteSolid_WasteTreatmentEFs[EFwt])</f>
        <v>0.4</v>
      </c>
      <c r="K162" s="50" cm="1">
        <f t="array" ref="K162">WasteSolid_Equations.VEERG_10_1_1_1__1_EmissionsFromWasteManagement(I162, J162)</f>
        <v>0</v>
      </c>
    </row>
    <row r="163" spans="4:11" ht="20.100000000000001" customHeight="1" x14ac:dyDescent="0.25">
      <c r="D163" s="171" t="str">
        <v>Landfill</v>
      </c>
      <c r="E163" s="175" t="str">
        <v>Rubber and leather</v>
      </c>
      <c r="F163" s="213"/>
      <c r="G163" s="50"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50">
        <f t="shared" si="3"/>
        <v>0</v>
      </c>
      <c r="I163" s="50">
        <f t="shared" si="4"/>
        <v>0</v>
      </c>
      <c r="J163" s="50" cm="1">
        <f t="array" ref="J163">Common_InputFunctions.Utility_LookupValueInTableTwoColumns(D163,E163,Table_SourceData_WasteSolid_WasteTreatmentEFs[Treatment type t],Table_SourceData_WasteSolid_WasteTreatmentEFs[Waste type w],Table_SourceData_WasteSolid_WasteTreatmentEFs[EFwt])</f>
        <v>3.3</v>
      </c>
      <c r="K163" s="50" cm="1">
        <f t="array" ref="K163">WasteSolid_Equations.VEERG_10_1_1_1__1_EmissionsFromWasteManagement(I163, J163)</f>
        <v>0</v>
      </c>
    </row>
    <row r="164" spans="4:11" ht="20.100000000000001" customHeight="1" x14ac:dyDescent="0.25">
      <c r="D164" s="171" t="str">
        <v>Landfill</v>
      </c>
      <c r="E164" s="175" t="str">
        <v>Inert waste (including concrete, metal, plastic or glass)</v>
      </c>
      <c r="F164" s="213"/>
      <c r="G164" s="50"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50">
        <f t="shared" si="3"/>
        <v>0</v>
      </c>
      <c r="I164" s="50">
        <f t="shared" si="4"/>
        <v>0</v>
      </c>
      <c r="J164" s="50" cm="1">
        <f t="array" ref="J164">Common_InputFunctions.Utility_LookupValueInTableTwoColumns(D164,E164,Table_SourceData_WasteSolid_WasteTreatmentEFs[Treatment type t],Table_SourceData_WasteSolid_WasteTreatmentEFs[Waste type w],Table_SourceData_WasteSolid_WasteTreatmentEFs[EFwt])</f>
        <v>0</v>
      </c>
      <c r="K164" s="50" cm="1">
        <f t="array" ref="K164">WasteSolid_Equations.VEERG_10_1_1_1__1_EmissionsFromWasteManagement(I164, J164)</f>
        <v>0</v>
      </c>
    </row>
    <row r="165" spans="4:11" ht="20.100000000000001" customHeight="1" x14ac:dyDescent="0.25">
      <c r="D165" s="171" t="str">
        <v>Landfill</v>
      </c>
      <c r="E165" s="175" t="str">
        <v>Municipal solid waste</v>
      </c>
      <c r="F165" s="213"/>
      <c r="G165" s="50"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50">
        <f t="shared" si="3"/>
        <v>0</v>
      </c>
      <c r="I165" s="50">
        <f t="shared" si="4"/>
        <v>0</v>
      </c>
      <c r="J165" s="50" cm="1">
        <f t="array" ref="J165">Common_InputFunctions.Utility_LookupValueInTableTwoColumns(D165,E165,Table_SourceData_WasteSolid_WasteTreatmentEFs[Treatment type t],Table_SourceData_WasteSolid_WasteTreatmentEFs[Waste type w],Table_SourceData_WasteSolid_WasteTreatmentEFs[EFwt])</f>
        <v>1.6</v>
      </c>
      <c r="K165" s="50" cm="1">
        <f t="array" ref="K165">WasteSolid_Equations.VEERG_10_1_1_1__1_EmissionsFromWasteManagement(I165, J165)</f>
        <v>0</v>
      </c>
    </row>
    <row r="166" spans="4:11" ht="20.100000000000001" customHeight="1" x14ac:dyDescent="0.25">
      <c r="D166" s="171" t="str">
        <v>Landfill</v>
      </c>
      <c r="E166" s="175" t="str">
        <v>Commercial and industrial waste</v>
      </c>
      <c r="F166" s="213"/>
      <c r="G166" s="50"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50">
        <f t="shared" si="3"/>
        <v>0</v>
      </c>
      <c r="I166" s="50">
        <f t="shared" si="4"/>
        <v>0</v>
      </c>
      <c r="J166" s="50" cm="1">
        <f t="array" ref="J166">Common_InputFunctions.Utility_LookupValueInTableTwoColumns(D166,E166,Table_SourceData_WasteSolid_WasteTreatmentEFs[Treatment type t],Table_SourceData_WasteSolid_WasteTreatmentEFs[Waste type w],Table_SourceData_WasteSolid_WasteTreatmentEFs[EFwt])</f>
        <v>1.3</v>
      </c>
      <c r="K166" s="50" cm="1">
        <f t="array" ref="K166">WasteSolid_Equations.VEERG_10_1_1_1__1_EmissionsFromWasteManagement(I166, J166)</f>
        <v>0</v>
      </c>
    </row>
    <row r="167" spans="4:11" ht="20.100000000000001" customHeight="1" x14ac:dyDescent="0.25">
      <c r="D167" s="171" t="str">
        <v>Landfill</v>
      </c>
      <c r="E167" s="175" t="str">
        <v>Construction and demolition waste</v>
      </c>
      <c r="F167" s="213"/>
      <c r="G167" s="50"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50">
        <f t="shared" si="3"/>
        <v>0</v>
      </c>
      <c r="I167" s="50">
        <f t="shared" si="4"/>
        <v>0</v>
      </c>
      <c r="J167" s="50" cm="1">
        <f t="array" ref="J167">Common_InputFunctions.Utility_LookupValueInTableTwoColumns(D167,E167,Table_SourceData_WasteSolid_WasteTreatmentEFs[Treatment type t],Table_SourceData_WasteSolid_WasteTreatmentEFs[Waste type w],Table_SourceData_WasteSolid_WasteTreatmentEFs[EFwt])</f>
        <v>0.2</v>
      </c>
      <c r="K167" s="50" cm="1">
        <f t="array" ref="K167">WasteSolid_Equations.VEERG_10_1_1_1__1_EmissionsFromWasteManagement(I167, J167)</f>
        <v>0</v>
      </c>
    </row>
    <row r="168" spans="4:11" ht="20.100000000000001" customHeight="1" x14ac:dyDescent="0.25">
      <c r="D168" s="171" t="str">
        <v>Incineration</v>
      </c>
      <c r="E168" s="175" t="str">
        <v>Food waste, green waste, wood, sludge</v>
      </c>
      <c r="F168" s="213"/>
      <c r="G168" s="50" t="s">
        <v>842</v>
      </c>
      <c r="H168" s="50" t="str">
        <f t="shared" si="3"/>
        <v>Not used</v>
      </c>
      <c r="I168" s="50">
        <f>SUM(G169:G172)+SUM(H169:H172)</f>
        <v>62</v>
      </c>
      <c r="J168" s="50" cm="1">
        <f t="array" ref="J168">Common_InputFunctions.Utility_LookupValueInTableTwoColumns(D168,E168,Table_SourceData_WasteSolid_WasteTreatmentEFs[Treatment type t],Table_SourceData_WasteSolid_WasteTreatmentEFs[Waste type w],Table_SourceData_WasteSolid_WasteTreatmentEFs[EFwt])</f>
        <v>0</v>
      </c>
      <c r="K168" s="50" cm="1">
        <f t="array" ref="K168">WasteSolid_Equations.VEERG_10_1_1_1__1_EmissionsFromWasteManagement(I168, J168)</f>
        <v>0</v>
      </c>
    </row>
    <row r="169" spans="4:11" ht="20.100000000000001" customHeight="1" x14ac:dyDescent="0.25">
      <c r="D169" s="171" t="str">
        <v>Incineration</v>
      </c>
      <c r="E169" s="175" t="str">
        <v>Food waste (including animal carcasses, spoiled animal feed or crop)</v>
      </c>
      <c r="F169" s="213"/>
      <c r="G169" s="50"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50">
        <f t="shared" si="3"/>
        <v>0</v>
      </c>
      <c r="I169" s="50" t="s">
        <v>847</v>
      </c>
      <c r="J169" s="50" t="s">
        <v>842</v>
      </c>
      <c r="K169" s="50" t="s">
        <v>842</v>
      </c>
    </row>
    <row r="170" spans="4:11" ht="20.100000000000001" customHeight="1" x14ac:dyDescent="0.25">
      <c r="D170" s="171" t="str">
        <v>Incineration</v>
      </c>
      <c r="E170" s="175" t="str">
        <v>Green waste (including crop residues or prunings)</v>
      </c>
      <c r="F170" s="213"/>
      <c r="G170" s="50"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50">
        <f t="shared" si="3"/>
        <v>12</v>
      </c>
      <c r="I170" s="50" t="s">
        <v>847</v>
      </c>
      <c r="J170" s="50" t="s">
        <v>842</v>
      </c>
      <c r="K170" s="50" t="s">
        <v>842</v>
      </c>
    </row>
    <row r="171" spans="4:11" ht="20.100000000000001" customHeight="1" x14ac:dyDescent="0.25">
      <c r="D171" s="171" t="str">
        <v>Incineration</v>
      </c>
      <c r="E171" s="175" t="str">
        <v>Wood</v>
      </c>
      <c r="F171" s="213"/>
      <c r="G171" s="50"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50">
        <f t="shared" si="3"/>
        <v>0</v>
      </c>
      <c r="I171" s="50" t="s">
        <v>847</v>
      </c>
      <c r="J171" s="50" t="s">
        <v>842</v>
      </c>
      <c r="K171" s="50" t="s">
        <v>842</v>
      </c>
    </row>
    <row r="172" spans="4:11" ht="20.100000000000001" customHeight="1" x14ac:dyDescent="0.25">
      <c r="D172" s="171" t="str">
        <v>Incineration</v>
      </c>
      <c r="E172" s="175" t="str">
        <v>Sludge</v>
      </c>
      <c r="F172" s="213"/>
      <c r="G172" s="50"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50">
        <f t="shared" si="3"/>
        <v>0</v>
      </c>
      <c r="I172" s="50" t="s">
        <v>847</v>
      </c>
      <c r="J172" s="50" t="s">
        <v>842</v>
      </c>
      <c r="K172" s="50" t="s">
        <v>842</v>
      </c>
    </row>
    <row r="173" spans="4:11" ht="20.100000000000001" customHeight="1" x14ac:dyDescent="0.25">
      <c r="D173" s="171" t="str">
        <v>Incineration</v>
      </c>
      <c r="E173" s="175" t="str">
        <v>Paper and cardboard</v>
      </c>
      <c r="F173" s="213"/>
      <c r="G173" s="50"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50">
        <f t="shared" si="3"/>
        <v>0</v>
      </c>
      <c r="I173" s="50">
        <f t="shared" ref="I173:I178" si="5">G173+H173</f>
        <v>0</v>
      </c>
      <c r="J173" s="50"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50" cm="1">
        <f t="array" ref="K173">WasteSolid_Equations.VEERG_10_1_1_1__1_EmissionsFromWasteManagement(I173, J173)</f>
        <v>0</v>
      </c>
    </row>
    <row r="174" spans="4:11" ht="20.100000000000001" customHeight="1" x14ac:dyDescent="0.25">
      <c r="D174" s="171" t="str">
        <v>Incineration</v>
      </c>
      <c r="E174" s="175" t="str">
        <v>Textiles</v>
      </c>
      <c r="F174" s="213"/>
      <c r="G174" s="50"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50">
        <f t="shared" si="3"/>
        <v>0</v>
      </c>
      <c r="I174" s="50">
        <f t="shared" si="5"/>
        <v>0</v>
      </c>
      <c r="J174" s="50"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50" cm="1">
        <f t="array" ref="K174">WasteSolid_Equations.VEERG_10_1_1_1__1_EmissionsFromWasteManagement(I174, J174)</f>
        <v>0</v>
      </c>
    </row>
    <row r="175" spans="4:11" ht="20.100000000000001" customHeight="1" x14ac:dyDescent="0.25">
      <c r="D175" s="171" t="str">
        <v>Incineration</v>
      </c>
      <c r="E175" s="175" t="str">
        <v>Rubber and leather</v>
      </c>
      <c r="F175" s="213"/>
      <c r="G175" s="50"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50">
        <f t="shared" si="3"/>
        <v>0</v>
      </c>
      <c r="I175" s="50">
        <f t="shared" si="5"/>
        <v>0</v>
      </c>
      <c r="J175" s="50" cm="1">
        <f t="array" ref="J175">Common_InputFunctions.Utility_LookupValueInTableTwoColumns(D175,E175,Table_SourceData_WasteSolid_WasteTreatmentEFs[Treatment type t],Table_SourceData_WasteSolid_WasteTreatmentEFs[Waste type w],Table_SourceData_WasteSolid_WasteTreatmentEFs[EFwt])</f>
        <v>0.4919</v>
      </c>
      <c r="K175" s="50" cm="1">
        <f t="array" ref="K175">WasteSolid_Equations.VEERG_10_1_1_1__1_EmissionsFromWasteManagement(I175, J175)</f>
        <v>0</v>
      </c>
    </row>
    <row r="176" spans="4:11" ht="20.100000000000001" customHeight="1" x14ac:dyDescent="0.25">
      <c r="D176" s="171" t="str">
        <v>Incineration</v>
      </c>
      <c r="E176" s="175" t="str">
        <v>Inert waste (including concrete, metal, plastic or glass)</v>
      </c>
      <c r="F176" s="213"/>
      <c r="G176" s="50"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50">
        <f t="shared" si="3"/>
        <v>0</v>
      </c>
      <c r="I176" s="50">
        <f t="shared" si="5"/>
        <v>0</v>
      </c>
      <c r="J176" s="50" cm="1">
        <f t="array" ref="J176">Common_InputFunctions.Utility_LookupValueInTableTwoColumns(D176,E176,Table_SourceData_WasteSolid_WasteTreatmentEFs[Treatment type t],Table_SourceData_WasteSolid_WasteTreatmentEFs[Waste type w],Table_SourceData_WasteSolid_WasteTreatmentEFs[EFwt])</f>
        <v>0.11</v>
      </c>
      <c r="K176" s="50" cm="1">
        <f t="array" ref="K176">WasteSolid_Equations.VEERG_10_1_1_1__1_EmissionsFromWasteManagement(I176, J176)</f>
        <v>0</v>
      </c>
    </row>
    <row r="177" spans="4:11" ht="20.100000000000001" customHeight="1" x14ac:dyDescent="0.25">
      <c r="D177" s="171" t="str">
        <v>Incineration</v>
      </c>
      <c r="E177" s="175" t="str">
        <v>Municipal solid waste</v>
      </c>
      <c r="F177" s="170"/>
      <c r="G177" s="50"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50">
        <f t="shared" si="3"/>
        <v>0</v>
      </c>
      <c r="I177" s="50">
        <f t="shared" si="5"/>
        <v>0</v>
      </c>
      <c r="J177" s="50"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50" cm="1">
        <f t="array" ref="K177">WasteSolid_Equations.VEERG_10_1_1_1__1_EmissionsFromWasteManagement(I177, J177)</f>
        <v>0</v>
      </c>
    </row>
    <row r="178" spans="4:11" ht="20.100000000000001" customHeight="1" x14ac:dyDescent="0.25">
      <c r="D178" s="171" t="str">
        <v>Incineration</v>
      </c>
      <c r="E178" s="175" t="str">
        <v>Commercial and industrial waste</v>
      </c>
      <c r="F178" s="170"/>
      <c r="G178" s="50"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50">
        <f t="shared" si="3"/>
        <v>0</v>
      </c>
      <c r="I178" s="50">
        <f t="shared" si="5"/>
        <v>0</v>
      </c>
      <c r="J178" s="50" cm="1">
        <f t="array" ref="J178">Common_InputFunctions.Utility_LookupValueInTableTwoColumns(D178,E178,Table_SourceData_WasteSolid_WasteTreatmentEFs[Treatment type t],Table_SourceData_WasteSolid_WasteTreatmentEFs[Waste type w],Table_SourceData_WasteSolid_WasteTreatmentEFs[EFwt])</f>
        <v>1.649</v>
      </c>
      <c r="K178" s="50" cm="1">
        <f t="array" ref="K178">WasteSolid_Equations.VEERG_10_1_1_1__1_EmissionsFromWasteManagement(I178, J178)</f>
        <v>0</v>
      </c>
    </row>
    <row r="179" spans="4:11" ht="20.100000000000001" customHeight="1" x14ac:dyDescent="0.25">
      <c r="D179" s="171" t="str">
        <v>Composting</v>
      </c>
      <c r="E179" s="175" t="str">
        <v>All organic waste</v>
      </c>
      <c r="F179" s="170"/>
      <c r="G179" s="50" t="s">
        <v>842</v>
      </c>
      <c r="H179" s="50" t="str">
        <f t="shared" si="3"/>
        <v>Not used</v>
      </c>
      <c r="I179" s="50">
        <f>SUM(G180:G184)+SUM(H180:H184)</f>
        <v>100</v>
      </c>
      <c r="J179" s="50"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50" cm="1">
        <f t="array" ref="K179">WasteSolid_Equations.VEERG_10_1_1_1__1_EmissionsFromWasteManagement(I179, J179)</f>
        <v>4.5999999999999996</v>
      </c>
    </row>
    <row r="180" spans="4:11" ht="20.100000000000001" customHeight="1" x14ac:dyDescent="0.25">
      <c r="D180" s="171" t="str">
        <v>Composting</v>
      </c>
      <c r="E180" s="175" t="str">
        <v>Food waste (including animal carcasses, spoiled animal feed or crop)</v>
      </c>
      <c r="F180" s="170"/>
      <c r="G180" s="50"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50">
        <f t="shared" si="3"/>
        <v>0</v>
      </c>
      <c r="I180" s="50" t="s">
        <v>847</v>
      </c>
      <c r="J180" s="50" t="s">
        <v>842</v>
      </c>
      <c r="K180" s="50" t="s">
        <v>842</v>
      </c>
    </row>
    <row r="181" spans="4:11" ht="20.100000000000001" customHeight="1" x14ac:dyDescent="0.25">
      <c r="D181" s="171" t="str">
        <v>Composting</v>
      </c>
      <c r="E181" s="175" t="str">
        <v>Green waste (including crop residues or prunings)</v>
      </c>
      <c r="F181" s="170"/>
      <c r="G181" s="50"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50">
        <f t="shared" si="3"/>
        <v>0</v>
      </c>
      <c r="I181" s="50" t="s">
        <v>847</v>
      </c>
      <c r="J181" s="50" t="s">
        <v>842</v>
      </c>
      <c r="K181" s="50" t="s">
        <v>842</v>
      </c>
    </row>
    <row r="182" spans="4:11" ht="20.100000000000001" customHeight="1" x14ac:dyDescent="0.25">
      <c r="D182" s="171" t="str">
        <v>Composting</v>
      </c>
      <c r="E182" s="175" t="str">
        <v>Wood</v>
      </c>
      <c r="F182" s="170"/>
      <c r="G182" s="50"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50">
        <f t="shared" si="3"/>
        <v>0</v>
      </c>
      <c r="I182" s="50" t="s">
        <v>847</v>
      </c>
      <c r="J182" s="50" t="s">
        <v>842</v>
      </c>
      <c r="K182" s="50" t="s">
        <v>842</v>
      </c>
    </row>
    <row r="183" spans="4:11" ht="20.100000000000001" customHeight="1" x14ac:dyDescent="0.25">
      <c r="D183" s="171" t="str">
        <v>Composting</v>
      </c>
      <c r="E183" s="175" t="str">
        <v>Sludge</v>
      </c>
      <c r="F183" s="170"/>
      <c r="G183" s="50"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50">
        <f t="shared" si="3"/>
        <v>0</v>
      </c>
      <c r="I183" s="50" t="s">
        <v>847</v>
      </c>
      <c r="J183" s="50" t="s">
        <v>842</v>
      </c>
      <c r="K183" s="50" t="s">
        <v>842</v>
      </c>
    </row>
    <row r="184" spans="4:11" ht="20.100000000000001" customHeight="1" x14ac:dyDescent="0.25">
      <c r="D184" s="171" t="str">
        <v>Composting</v>
      </c>
      <c r="E184" s="175" t="str">
        <v>Paper and cardboard</v>
      </c>
      <c r="F184" s="170"/>
      <c r="G184" s="50"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50">
        <f t="shared" si="3"/>
        <v>0</v>
      </c>
      <c r="I184" s="50" t="s">
        <v>847</v>
      </c>
      <c r="J184" s="50" t="s">
        <v>842</v>
      </c>
      <c r="K184" s="50" t="s">
        <v>842</v>
      </c>
    </row>
    <row r="185" spans="4:11" ht="20.100000000000001" customHeight="1" x14ac:dyDescent="0.25">
      <c r="D185" s="171" t="str">
        <v>Anaerobic digestion</v>
      </c>
      <c r="E185" s="175" t="str">
        <v>All organic waste</v>
      </c>
      <c r="F185" s="170"/>
      <c r="G185" s="50" t="s">
        <v>842</v>
      </c>
      <c r="H185" s="50" t="str">
        <f t="shared" si="3"/>
        <v>Not used</v>
      </c>
      <c r="I185" s="50">
        <f>SUM(G186:G190)+SUM(H186:H190)</f>
        <v>0</v>
      </c>
      <c r="J185" s="50"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50" cm="1">
        <f t="array" ref="K185">WasteSolid_Equations.VEERG_10_1_1_1__1_EmissionsFromWasteManagement(I185, J185)</f>
        <v>0</v>
      </c>
    </row>
    <row r="186" spans="4:11" ht="20.100000000000001" customHeight="1" x14ac:dyDescent="0.25">
      <c r="D186" s="171" t="str">
        <v>Anaerobic digestion</v>
      </c>
      <c r="E186" s="175" t="str">
        <v>Food waste (including animal carcasses, spoiled animal feed or crop)</v>
      </c>
      <c r="F186" s="170"/>
      <c r="G186" s="50"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50">
        <f t="shared" si="3"/>
        <v>0</v>
      </c>
      <c r="I186" s="50" t="s">
        <v>847</v>
      </c>
      <c r="J186" s="50" t="s">
        <v>842</v>
      </c>
      <c r="K186" s="50" t="s">
        <v>842</v>
      </c>
    </row>
    <row r="187" spans="4:11" ht="20.100000000000001" customHeight="1" x14ac:dyDescent="0.25">
      <c r="D187" s="171" t="str">
        <v>Anaerobic digestion</v>
      </c>
      <c r="E187" s="175" t="str">
        <v>Green waste (including crop residues or prunings)</v>
      </c>
      <c r="F187" s="170"/>
      <c r="G187" s="50"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50">
        <f t="shared" si="3"/>
        <v>0</v>
      </c>
      <c r="I187" s="50" t="s">
        <v>847</v>
      </c>
      <c r="J187" s="50" t="s">
        <v>842</v>
      </c>
      <c r="K187" s="50" t="s">
        <v>842</v>
      </c>
    </row>
    <row r="188" spans="4:11" ht="20.100000000000001" customHeight="1" x14ac:dyDescent="0.25">
      <c r="D188" s="171" t="str">
        <v>Anaerobic digestion</v>
      </c>
      <c r="E188" s="175" t="str">
        <v>Wood</v>
      </c>
      <c r="F188" s="170"/>
      <c r="G188" s="50"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50">
        <f t="shared" si="3"/>
        <v>0</v>
      </c>
      <c r="I188" s="50" t="s">
        <v>847</v>
      </c>
      <c r="J188" s="50" t="s">
        <v>842</v>
      </c>
      <c r="K188" s="50" t="s">
        <v>842</v>
      </c>
    </row>
    <row r="189" spans="4:11" ht="20.100000000000001" customHeight="1" x14ac:dyDescent="0.25">
      <c r="D189" s="171" t="str">
        <v>Anaerobic digestion</v>
      </c>
      <c r="E189" s="175" t="str">
        <v>Sludge</v>
      </c>
      <c r="F189" s="170"/>
      <c r="G189" s="50"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50">
        <f t="shared" si="3"/>
        <v>0</v>
      </c>
      <c r="I189" s="50" t="s">
        <v>847</v>
      </c>
      <c r="J189" s="50" t="s">
        <v>842</v>
      </c>
      <c r="K189" s="50" t="s">
        <v>842</v>
      </c>
    </row>
    <row r="190" spans="4:11" ht="20.100000000000001" customHeight="1" x14ac:dyDescent="0.25">
      <c r="D190" s="171" t="str">
        <v>Anaerobic digestion</v>
      </c>
      <c r="E190" s="175" t="str">
        <v>Paper and cardboard</v>
      </c>
      <c r="F190" s="170"/>
      <c r="G190" s="50"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50">
        <f t="shared" si="3"/>
        <v>0</v>
      </c>
      <c r="I190" s="50" t="s">
        <v>847</v>
      </c>
      <c r="J190" s="50" t="s">
        <v>842</v>
      </c>
      <c r="K190" s="50" t="s">
        <v>842</v>
      </c>
    </row>
    <row r="191" spans="4:11" ht="20.100000000000001" customHeight="1" x14ac:dyDescent="0.25"/>
    <row r="192" spans="4:11" ht="20.100000000000001" customHeight="1" x14ac:dyDescent="0.25">
      <c r="D192" s="180" t="s">
        <v>800</v>
      </c>
      <c r="E192" s="181">
        <f>SUM(K157:K190)</f>
        <v>441.15000000000003</v>
      </c>
      <c r="F192" s="182"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28CA2BC5-3D29-4AC2-974A-EEC50F02B25E}"/>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U90"/>
  <sheetViews>
    <sheetView showGridLines="0" topLeftCell="C1" zoomScale="85" zoomScaleNormal="85" workbookViewId="0">
      <selection activeCell="H103" sqref="H10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3:21" ht="30" customHeight="1" x14ac:dyDescent="0.35">
      <c r="C1" s="1" t="s">
        <v>852</v>
      </c>
      <c r="D1" s="1"/>
      <c r="E1" s="1"/>
      <c r="F1" s="1"/>
      <c r="G1" s="1"/>
      <c r="H1" s="1"/>
      <c r="I1" s="1"/>
      <c r="J1" s="1"/>
      <c r="K1" s="1"/>
      <c r="M1" s="1"/>
      <c r="N1" s="1"/>
      <c r="O1" s="1"/>
      <c r="P1" s="1"/>
      <c r="Q1" s="1"/>
      <c r="R1" s="1"/>
      <c r="S1" s="1"/>
      <c r="T1" s="1"/>
      <c r="U1" s="1"/>
    </row>
    <row r="2" spans="3:21" ht="20.100000000000001" customHeight="1" x14ac:dyDescent="0.25">
      <c r="C2" s="2"/>
      <c r="D2" s="2"/>
      <c r="E2" s="2"/>
      <c r="F2" s="2"/>
      <c r="G2" s="2"/>
      <c r="H2" s="2"/>
      <c r="I2" s="2"/>
      <c r="J2" s="2"/>
      <c r="K2" s="2"/>
      <c r="M2" s="2"/>
      <c r="N2" s="2"/>
      <c r="O2" s="2"/>
      <c r="P2" s="2"/>
      <c r="Q2" s="2"/>
      <c r="R2" s="2"/>
      <c r="S2" s="2"/>
      <c r="T2" s="2"/>
      <c r="U2" s="2"/>
    </row>
    <row r="3" spans="3:21" ht="20.100000000000001" customHeight="1" x14ac:dyDescent="0.25">
      <c r="C3" s="5"/>
      <c r="D3" s="5" t="s">
        <v>407</v>
      </c>
      <c r="E3" s="5"/>
      <c r="F3" s="5"/>
      <c r="G3" s="5"/>
      <c r="H3" s="5"/>
      <c r="I3" s="5"/>
      <c r="J3" s="5"/>
      <c r="K3" s="5"/>
      <c r="M3" s="5"/>
      <c r="N3" s="5" t="s">
        <v>408</v>
      </c>
      <c r="O3" s="5"/>
      <c r="P3" s="5"/>
      <c r="Q3" s="5"/>
      <c r="R3" s="5"/>
      <c r="S3" s="5"/>
      <c r="T3" s="5"/>
      <c r="U3" s="5"/>
    </row>
    <row r="4" spans="3:21" ht="20.100000000000001" customHeight="1" x14ac:dyDescent="0.25"/>
    <row r="5" spans="3: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3: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3:21" ht="20.100000000000001" customHeight="1" x14ac:dyDescent="0.25">
      <c r="D7" s="176" t="s">
        <v>626</v>
      </c>
      <c r="E7" s="176" t="str" cm="1">
        <f t="array" aca="1" ref="E7" ca="1">Common_InputFunctions.Utility_DisplayFunctionName(E19)</f>
        <v>=Fertiliser_Equations_OrganicN2O.VEERG_5_2_1_1__1_OrganicFertiliserApplicationN2OEmissions</v>
      </c>
      <c r="N7" s="176" t="s">
        <v>626</v>
      </c>
      <c r="O7" s="176" t="str" cm="1">
        <f t="array" aca="1" ref="O7" ca="1">Common_InputFunctions.Utility_DisplayFunctionName(O19)</f>
        <v>=Fertiliser_Equations_OrganicN2O.VEERG_5_2_1_1__1_OrganicFertiliserApplicationN2OEmissions</v>
      </c>
    </row>
    <row r="8" spans="3:21" ht="20.100000000000001" customHeight="1" x14ac:dyDescent="0.25"/>
    <row r="9" spans="3:21" ht="20.100000000000001" customHeight="1" x14ac:dyDescent="0.25"/>
    <row r="10" spans="3:21" ht="20.100000000000001" customHeight="1" x14ac:dyDescent="0.25">
      <c r="D10" s="28" t="s">
        <v>627</v>
      </c>
      <c r="E10" s="8" t="str" cm="1">
        <f t="array" ref="E10">Fertiliser_Equations_OrganicN2O.VEERG_5_2_1_1__1_OrganicFertiliserApplicationN2OEmissions_Variable()</f>
        <v>E_N2O</v>
      </c>
      <c r="N10" s="28" t="s">
        <v>627</v>
      </c>
      <c r="O10" s="8" t="str" cm="1">
        <f t="array" ref="O10">Fertiliser_Equations_OrganicN2O.VEERG_5_2_1_1__1_OrganicFertiliserApplicationN2OEmissions_Variable()</f>
        <v>E_N2O</v>
      </c>
    </row>
    <row r="11" spans="3:21" ht="20.100000000000001" customHeight="1" x14ac:dyDescent="0.25">
      <c r="D11" s="28" t="s">
        <v>96</v>
      </c>
      <c r="E11" s="13" t="str" cm="1">
        <f t="array" ref="E11">Fertiliser_Equations_OrganicN2O.VEERG_5_2_1_1__1_OrganicFertiliserApplicationN2OEmissions_Unit()</f>
        <v>t N2O</v>
      </c>
      <c r="N11" s="28" t="s">
        <v>96</v>
      </c>
      <c r="O11" s="13" t="str" cm="1">
        <f t="array" ref="O11">Fertiliser_Equations_OrganicN2O.VEERG_5_2_1_1__1_OrganicFertiliserApplicationN2OEmissions_Unit()</f>
        <v>t N2O</v>
      </c>
    </row>
    <row r="12" spans="3:21" ht="20.100000000000001" customHeight="1" x14ac:dyDescent="0.25"/>
    <row r="13" spans="3:21"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X_Cell_ManureSentOffsite_MassNitrogenManure_Method1</f>
        <v>1000</v>
      </c>
      <c r="N13" s="171" t="str" cm="1">
        <f t="array" ref="N13:O17">_xlfn.CHOOSECOLS(Fertiliser_Equations_OrganicN2O.VEERG_5_2_1_1__1_OrganicFertiliserApplicationN2OEmissions_Arguments(), 1, 2)</f>
        <v>MNSoil_jf</v>
      </c>
      <c r="O13" s="175" t="str">
        <v>mass of nitrogen in organic fertiliser type f applied to production system j</v>
      </c>
      <c r="P13" s="209"/>
      <c r="Q13" s="170"/>
      <c r="R13" s="171" t="str" cm="1">
        <f t="array" ref="R13:S17">_xlfn.CHOOSECOLS(Fertiliser_Equations_OrganicN2O.VEERG_5_2_1_1__1_OrganicFertiliserApplicationN2OEmissions_Arguments(), 3,4)</f>
        <v>kg N</v>
      </c>
      <c r="S13" s="173" t="str">
        <v>Calculated from 5.2.1.1 (2)</v>
      </c>
      <c r="T13" s="171">
        <f>X_Cell_ManureSentOffsite_MassNitrogenManure_Method2</f>
        <v>2000</v>
      </c>
    </row>
    <row r="14" spans="3:21"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c r="N14" s="171" t="str">
        <v>EF_N2Oi</v>
      </c>
      <c r="O14" s="175" t="str">
        <v>emission factor for direct nitrous oxide emissions from organic fertiliser applied to soils and aquatic systems in climate zone i</v>
      </c>
      <c r="P14" s="209"/>
      <c r="Q14" s="170"/>
      <c r="R14" s="171" t="str">
        <v>kg N2O-N/kg N</v>
      </c>
      <c r="S14" s="173" t="str">
        <v>Lookup</v>
      </c>
      <c r="T14" s="171"/>
    </row>
    <row r="15" spans="3:21"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c r="N15" s="171" t="str">
        <v>C_N2O</v>
      </c>
      <c r="O15" s="175" t="str">
        <v>factor to convert elemental mass of nitrous oxide to molecular mass</v>
      </c>
      <c r="P15" s="209"/>
      <c r="Q15" s="170"/>
      <c r="R15" s="171" t="str">
        <v/>
      </c>
      <c r="S15" s="173" t="str">
        <v>Constant</v>
      </c>
      <c r="T15" s="171"/>
    </row>
    <row r="16" spans="3:21" ht="20.100000000000001" customHeight="1" x14ac:dyDescent="0.25">
      <c r="D16" s="171" t="str">
        <v>j</v>
      </c>
      <c r="E16" s="175" t="str">
        <v>Production system</v>
      </c>
      <c r="F16" s="209"/>
      <c r="G16" s="170"/>
      <c r="H16" s="171" t="str">
        <v/>
      </c>
      <c r="I16" s="172" t="str">
        <v>Input</v>
      </c>
      <c r="J16" s="171" t="str">
        <f>X_Cell_ManureSentOffsite_ManureProductionSystem</f>
        <v>Crop</v>
      </c>
      <c r="N16" s="171" t="str">
        <v>j</v>
      </c>
      <c r="O16" s="175" t="str">
        <v>Production system</v>
      </c>
      <c r="P16" s="209"/>
      <c r="Q16" s="170"/>
      <c r="R16" s="171" t="str">
        <v/>
      </c>
      <c r="S16" s="172" t="str">
        <v>Input</v>
      </c>
      <c r="T16" s="171"/>
    </row>
    <row r="17" spans="4:20" ht="20.100000000000001" customHeight="1" x14ac:dyDescent="0.25">
      <c r="D17" s="171" t="str">
        <v>i</v>
      </c>
      <c r="E17" s="175" t="str">
        <v>Wet or dry climate zone</v>
      </c>
      <c r="F17" s="209"/>
      <c r="G17" s="170"/>
      <c r="H17" s="171" t="str">
        <v/>
      </c>
      <c r="I17" s="172" t="str">
        <v>Input</v>
      </c>
      <c r="J17" s="171" t="str">
        <f>X_Cell_Site_WetOrDryClimateZone</f>
        <v>Dry climate zone</v>
      </c>
      <c r="N17" s="171" t="str">
        <v>i</v>
      </c>
      <c r="O17" s="175" t="str">
        <v>Wet or dry climate zone</v>
      </c>
      <c r="P17" s="209"/>
      <c r="Q17" s="170"/>
      <c r="R17" s="171" t="str">
        <v/>
      </c>
      <c r="S17" s="172" t="str">
        <v>Input</v>
      </c>
      <c r="T17" s="171"/>
    </row>
    <row r="18" spans="4:20" ht="20.100000000000001" customHeight="1" x14ac:dyDescent="0.25"/>
    <row r="19" spans="4:20" ht="20.100000000000001" customHeight="1" x14ac:dyDescent="0.25">
      <c r="D19" s="180" t="s">
        <v>746</v>
      </c>
      <c r="E19" s="181" cm="1">
        <f t="array" ref="E19">Fertiliser_Equations_OrganicN2O.VEERG_5_2_1_1__1_OrganicFertiliserApplicationN2OEmissions(J13,J14,J15)</f>
        <v>7.8571428571428577E-3</v>
      </c>
      <c r="F19" s="182" t="str">
        <f>$E$11</f>
        <v>t N2O</v>
      </c>
      <c r="N19" s="180" t="s">
        <v>746</v>
      </c>
      <c r="O19" s="181" cm="1">
        <f t="array" ref="O19">Fertiliser_Equations_OrganicN2O.VEERG_5_2_1_1__1_OrganicFertiliserApplicationN2OEmissions(T13,J14,J15)</f>
        <v>1.5714285714285715E-2</v>
      </c>
      <c r="P19" s="182" t="str">
        <f>$E$11</f>
        <v>t N2O</v>
      </c>
    </row>
    <row r="20" spans="4:20" ht="20.100000000000001" customHeight="1" x14ac:dyDescent="0.25"/>
    <row r="21" spans="4:20" ht="20.100000000000001" customHeight="1" x14ac:dyDescent="0.25"/>
    <row r="22" spans="4:20" ht="20.100000000000001" customHeight="1" x14ac:dyDescent="0.25"/>
    <row r="23" spans="4:20" ht="20.100000000000001" customHeight="1" x14ac:dyDescent="0.25"/>
    <row r="24" spans="4:2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4: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4:20" ht="20.100000000000001" customHeight="1" x14ac:dyDescent="0.25">
      <c r="D26" s="176" t="s">
        <v>626</v>
      </c>
      <c r="E26" s="176" t="str" cm="1">
        <f t="array" aca="1" ref="E26" ca="1">Common_InputFunctions.Utility_DisplayFunctionName(E35)</f>
        <v>=Fertiliser_Equations_AtmosphericDeposition.VEERG_5_4_1_3__2_MassOfNitrogenVolatilisedFromOrganicFertiliser</v>
      </c>
      <c r="N26" s="176" t="s">
        <v>626</v>
      </c>
      <c r="O26" s="176" t="str" cm="1">
        <f t="array" aca="1" ref="O26" ca="1">Common_InputFunctions.Utility_DisplayFunctionName(O35)</f>
        <v>=Fertiliser_Equations_AtmosphericDeposition.VEERG_5_4_1_3__2_MassOfNitrogenVolatilisedFromOrganicFertiliser</v>
      </c>
    </row>
    <row r="27" spans="4:20" ht="20.100000000000001" customHeight="1" x14ac:dyDescent="0.25"/>
    <row r="28" spans="4:20" ht="20.100000000000001" customHeight="1" x14ac:dyDescent="0.25"/>
    <row r="29" spans="4:20" ht="20.100000000000001" customHeight="1" x14ac:dyDescent="0.25">
      <c r="D29" s="28" t="s">
        <v>627</v>
      </c>
      <c r="E29" s="8" t="str" cm="1">
        <f t="array" ref="E29">Fertiliser_Equations_AtmosphericDeposition.VEERG_5_4_1_3__2_MassOfNitrogenVolatilisedFromOrganicFertiliser_Variable()</f>
        <v>M_volorganicjf</v>
      </c>
      <c r="N29" s="28" t="s">
        <v>627</v>
      </c>
      <c r="O29" s="8" t="str" cm="1">
        <f t="array" ref="O29">Fertiliser_Equations_AtmosphericDeposition.VEERG_5_4_1_3__2_MassOfNitrogenVolatilisedFromOrganicFertiliser_Variable()</f>
        <v>M_volorganicjf</v>
      </c>
    </row>
    <row r="30" spans="4:20" ht="20.100000000000001" customHeight="1" x14ac:dyDescent="0.25">
      <c r="D30" s="28" t="s">
        <v>96</v>
      </c>
      <c r="E30" s="13" t="str" cm="1">
        <f t="array" ref="E30">Fertiliser_Equations_AtmosphericDeposition.VEERG_5_4_1_3__2_MassOfNitrogenVolatilisedFromOrganicFertiliser_Unit()</f>
        <v>kg N</v>
      </c>
      <c r="N30" s="28" t="s">
        <v>96</v>
      </c>
      <c r="O30" s="13" t="str" cm="1">
        <f t="array" ref="O30">Fertiliser_Equations_AtmosphericDeposition.VEERG_5_4_1_3__2_MassOfNitrogenVolatilisedFromOrganicFertiliser_Unit()</f>
        <v>kg N</v>
      </c>
    </row>
    <row r="31" spans="4:20" ht="20.100000000000001" customHeight="1" x14ac:dyDescent="0.25"/>
    <row r="32" spans="4:2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X_Cell_ManureSentOffsite_MassNitrogenManure_Method1</f>
        <v>1000</v>
      </c>
      <c r="N32" s="171" t="str" cm="1">
        <f t="array" ref="N32:O33">_xlfn.CHOOSECOLS(Fertiliser_Equations_AtmosphericDeposition.VEERG_5_4_1_3__2_MassOfNitrogenVolatilisedFromOrganicFertiliser_Arguments(), 1, 2)</f>
        <v>MNSoil_jf</v>
      </c>
      <c r="O32" s="171" t="str">
        <v>mass of nitrogen in organic fertiliser type f applied to production system j</v>
      </c>
      <c r="P32" s="171"/>
      <c r="Q32" s="171" t="str" cm="1">
        <f t="array" ref="Q32:R33">_xlfn.CHOOSECOLS(Fertiliser_Equations_AtmosphericDeposition.VEERG_5_4_1_3__2_MassOfNitrogenVolatilisedFromOrganicFertiliser_Arguments(), 3,4)</f>
        <v>kg N</v>
      </c>
      <c r="R32" s="173" t="str">
        <v>Calculated from 5.2.1.1 (2)</v>
      </c>
      <c r="S32" s="171">
        <f>X_Cell_ManureSentOffsite_MassNitrogenManure_Method2</f>
        <v>2000</v>
      </c>
    </row>
    <row r="33" spans="4:1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c r="N33" s="171" t="str">
        <v>FracGASM_soil</v>
      </c>
      <c r="O33" s="171" t="str">
        <v>fraction of organic fertiliser N that volatilises</v>
      </c>
      <c r="P33" s="171"/>
      <c r="Q33" s="171" t="str">
        <v>(kg NH3-N + NOx-N)/kg N</v>
      </c>
      <c r="R33" s="173" t="str">
        <v>Constant</v>
      </c>
      <c r="S33" s="171"/>
    </row>
    <row r="34" spans="4:19" ht="20.100000000000001" customHeight="1" x14ac:dyDescent="0.25"/>
    <row r="35" spans="4:19" ht="20.100000000000001" customHeight="1" x14ac:dyDescent="0.25">
      <c r="D35" s="178" t="s">
        <v>748</v>
      </c>
      <c r="E35" s="101" cm="1">
        <f t="array" ref="E35">Fertiliser_Equations_AtmosphericDeposition.VEERG_5_4_1_3__2_MassOfNitrogenVolatilisedFromOrganicFertiliser(I32,I33)</f>
        <v>210</v>
      </c>
      <c r="F35" s="179" t="str">
        <f>E30</f>
        <v>kg N</v>
      </c>
      <c r="N35" s="178" t="s">
        <v>748</v>
      </c>
      <c r="O35" s="101" cm="1">
        <f t="array" ref="O35">Fertiliser_Equations_AtmosphericDeposition.VEERG_5_4_1_3__2_MassOfNitrogenVolatilisedFromOrganicFertiliser(S32,I33)</f>
        <v>420</v>
      </c>
      <c r="P35" s="179" t="str">
        <f>O30</f>
        <v>kg N</v>
      </c>
    </row>
    <row r="36" spans="4:19" ht="20.100000000000001" customHeight="1" x14ac:dyDescent="0.25"/>
    <row r="37" spans="4:19" ht="20.100000000000001" customHeight="1" x14ac:dyDescent="0.25"/>
    <row r="38" spans="4:19" ht="20.100000000000001" customHeight="1" x14ac:dyDescent="0.25"/>
    <row r="39" spans="4:19" ht="20.100000000000001" customHeight="1" x14ac:dyDescent="0.25"/>
    <row r="40" spans="4: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4: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4:19" ht="20.100000000000001" customHeight="1" x14ac:dyDescent="0.25">
      <c r="D42" s="176" t="s">
        <v>626</v>
      </c>
      <c r="E42" s="176" t="str" cm="1">
        <f t="array" aca="1" ref="E42" ca="1">Common_InputFunctions.Utility_DisplayFunctionName(E55)</f>
        <v>=Fertiliser_Equations_AtmosphericDeposition.VEERG_5_4_1_3__1_OrganicFertiliserAtmosphericDepositionN2OEmissions</v>
      </c>
      <c r="N42" s="176" t="s">
        <v>626</v>
      </c>
      <c r="O42" s="176" t="str" cm="1">
        <f t="array" aca="1" ref="O42" ca="1">Common_InputFunctions.Utility_DisplayFunctionName(O55)</f>
        <v>=Fertiliser_Equations_AtmosphericDeposition.VEERG_5_4_1_3__1_OrganicFertiliserAtmosphericDepositionN2OEmissions</v>
      </c>
    </row>
    <row r="43" spans="4:19" ht="20.100000000000001" customHeight="1" x14ac:dyDescent="0.25"/>
    <row r="44" spans="4:19" ht="20.100000000000001" customHeight="1" x14ac:dyDescent="0.25"/>
    <row r="45" spans="4:19" ht="20.100000000000001" customHeight="1" x14ac:dyDescent="0.25">
      <c r="D45" s="28" t="s">
        <v>627</v>
      </c>
      <c r="E45" s="8" t="str" cm="1">
        <f t="array" ref="E45">Fertiliser_Equations_AtmosphericDeposition.VEERG_5_4_1_3__1_OrganicFertiliserAtmosphericDepositionN2OEmissions_Variable()</f>
        <v>E_adorganic</v>
      </c>
      <c r="N45" s="28" t="s">
        <v>627</v>
      </c>
      <c r="O45" s="8" t="str" cm="1">
        <f t="array" ref="O45">Fertiliser_Equations_AtmosphericDeposition.VEERG_5_4_1_3__1_OrganicFertiliserAtmosphericDepositionN2OEmissions_Variable()</f>
        <v>E_adorganic</v>
      </c>
    </row>
    <row r="46" spans="4:19" ht="20.100000000000001" customHeight="1" x14ac:dyDescent="0.25">
      <c r="D46" s="28" t="s">
        <v>96</v>
      </c>
      <c r="E46" s="13" t="str" cm="1">
        <f t="array" ref="E46">Fertiliser_Equations_AtmosphericDeposition.VEERG_5_4_1_3__1_OrganicFertiliserAtmosphericDepositionN2OEmissions_Unit()</f>
        <v>t N2O</v>
      </c>
      <c r="N46" s="28" t="s">
        <v>96</v>
      </c>
      <c r="O46" s="13" t="str" cm="1">
        <f t="array" ref="O46">Fertiliser_Equations_AtmosphericDeposition.VEERG_5_4_1_3__1_OrganicFertiliserAtmosphericDepositionN2OEmissions_Unit()</f>
        <v>t N2O</v>
      </c>
    </row>
    <row r="47" spans="4:19" ht="20.100000000000001" customHeight="1" x14ac:dyDescent="0.25"/>
    <row r="48" spans="4:1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c r="N48" s="171" t="str" cm="1">
        <f t="array" ref="N48:O53">_xlfn.CHOOSECOLS(Fertiliser_Equations_AtmosphericDeposition.VEERG_5_4_1_3__1_OrganicFertiliserAtmosphericDepositionN2OEmissions_Arguments(), 1, 2)</f>
        <v>M_volorganicjf</v>
      </c>
      <c r="O48" s="175" t="str">
        <v>mass of nitrogen volatilised from organic fertiliser applied to production system</v>
      </c>
      <c r="P48" s="170"/>
      <c r="Q48" s="171" t="str" cm="1">
        <f t="array" ref="Q48:R53">_xlfn.CHOOSECOLS(Fertiliser_Equations_AtmosphericDeposition.VEERG_5_4_1_3__1_OrganicFertiliserAtmosphericDepositionN2OEmissions_Arguments(), 3,4)</f>
        <v>kg N</v>
      </c>
      <c r="R48" s="173" t="str">
        <v>Calculated from 5.4.1.3 (2)</v>
      </c>
      <c r="S48" s="171">
        <f>O35</f>
        <v>420</v>
      </c>
    </row>
    <row r="49" spans="4:1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71" t="str">
        <v>EF_N2Oj</v>
      </c>
      <c r="O49" s="175" t="str">
        <v>emission factor for atmospheric deposition in production system j</v>
      </c>
      <c r="P49" s="170"/>
      <c r="Q49" s="171" t="str">
        <v>kg N2O-N/kg N</v>
      </c>
      <c r="R49" s="173" t="str">
        <v>Constant</v>
      </c>
      <c r="S49" s="171"/>
    </row>
    <row r="50" spans="4:1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c r="N50" s="171" t="str">
        <v>C_N2O</v>
      </c>
      <c r="O50" s="175" t="str">
        <v>factor to convert elemental mass of nitrous oxide to molecular mass</v>
      </c>
      <c r="P50" s="170"/>
      <c r="Q50" s="171" t="str">
        <v/>
      </c>
      <c r="R50" s="173" t="str">
        <v>Constant</v>
      </c>
      <c r="S50" s="210"/>
    </row>
    <row r="51" spans="4:19" ht="20.100000000000001" customHeight="1" x14ac:dyDescent="0.25">
      <c r="D51" s="171" t="str">
        <v>j</v>
      </c>
      <c r="E51" s="175" t="str">
        <v>Production system</v>
      </c>
      <c r="F51" s="170"/>
      <c r="G51" s="171" t="str">
        <v/>
      </c>
      <c r="H51" s="172" t="str">
        <v>Input</v>
      </c>
      <c r="I51" s="171" t="str">
        <f>X_Cell_ManureSentOffsite_ManureProductionSystem</f>
        <v>Crop</v>
      </c>
      <c r="N51" s="171" t="str">
        <v>j</v>
      </c>
      <c r="O51" s="175" t="str">
        <v>Production system</v>
      </c>
      <c r="P51" s="170"/>
      <c r="Q51" s="171" t="str">
        <v/>
      </c>
      <c r="R51" s="172" t="str">
        <v>Input</v>
      </c>
      <c r="S51" s="171"/>
    </row>
    <row r="52" spans="4:19" ht="20.100000000000001" customHeight="1" x14ac:dyDescent="0.25">
      <c r="D52" s="171" t="str">
        <v>ir</v>
      </c>
      <c r="E52" s="175" t="str">
        <v>irrigation method</v>
      </c>
      <c r="F52" s="170"/>
      <c r="G52" s="171" t="str">
        <v/>
      </c>
      <c r="H52" s="172" t="str">
        <v>Input</v>
      </c>
      <c r="I52" s="171" t="str">
        <f>X_Cell_ManureSentOffsite_ManureIrrigationMethod</f>
        <v>Sprinkler irrigation</v>
      </c>
      <c r="N52" s="171" t="str">
        <v>ir</v>
      </c>
      <c r="O52" s="175" t="str">
        <v>irrigation method</v>
      </c>
      <c r="P52" s="170"/>
      <c r="Q52" s="171" t="str">
        <v/>
      </c>
      <c r="R52" s="172" t="str">
        <v>Input</v>
      </c>
      <c r="S52" s="171"/>
    </row>
    <row r="53" spans="4:19" ht="20.100000000000001" customHeight="1" x14ac:dyDescent="0.25">
      <c r="D53" s="171" t="str">
        <v>r</v>
      </c>
      <c r="E53" s="175" t="str">
        <v>rainfall region</v>
      </c>
      <c r="F53" s="170"/>
      <c r="G53" s="171" t="str">
        <v/>
      </c>
      <c r="H53" s="172" t="str">
        <v>Input</v>
      </c>
      <c r="I53" s="171" t="str">
        <f>X_Cell_Site_RainfallZone</f>
        <v>Low rainfall</v>
      </c>
      <c r="N53" s="171" t="str">
        <v>r</v>
      </c>
      <c r="O53" s="175" t="str">
        <v>rainfall region</v>
      </c>
      <c r="P53" s="170"/>
      <c r="Q53" s="171" t="str">
        <v/>
      </c>
      <c r="R53" s="172" t="str">
        <v>Input</v>
      </c>
      <c r="S53" s="171"/>
    </row>
    <row r="54" spans="4:19" ht="20.100000000000001" customHeight="1" x14ac:dyDescent="0.25"/>
    <row r="55" spans="4:19" ht="20.100000000000001" customHeight="1" x14ac:dyDescent="0.25">
      <c r="D55" s="180" t="s">
        <v>762</v>
      </c>
      <c r="E55" s="181" cm="1">
        <f t="array" ref="E55">Fertiliser_Equations_AtmosphericDeposition.VEERG_5_4_1_3__1_OrganicFertiliserAtmosphericDepositionN2OEmissions(I48,I49,I50)</f>
        <v>2.31E-3</v>
      </c>
      <c r="F55" s="182" t="str">
        <f>$E$46</f>
        <v>t N2O</v>
      </c>
      <c r="N55" s="180" t="s">
        <v>762</v>
      </c>
      <c r="O55" s="181" cm="1">
        <f t="array" ref="O55">Fertiliser_Equations_AtmosphericDeposition.VEERG_5_4_1_3__1_OrganicFertiliserAtmosphericDepositionN2OEmissions(S48,I49,I50)</f>
        <v>4.62E-3</v>
      </c>
      <c r="P55" s="182"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6" t="s">
        <v>626</v>
      </c>
      <c r="E61" s="176" t="str" cm="1">
        <f t="array" aca="1" ref="E61" ca="1">Common_InputFunctions.Utility_DisplayFunctionName(E74)</f>
        <v>=Fertiliser_Equations_LeachingAndRunoff.VEERG_5_5_1_1__3_MassOfNitrogenLeachedFromOrganicFertiliser</v>
      </c>
      <c r="N61" s="176" t="s">
        <v>626</v>
      </c>
      <c r="O61" s="176"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8" t="s">
        <v>627</v>
      </c>
      <c r="E64" s="8" t="str" cm="1">
        <f t="array" ref="E64">Fertiliser_Equations_LeachingAndRunoff.VEERG_5_5_1_1__3_MassOfNitrogenLeachedFromOrganicFertiliser_Variable()</f>
        <v>M_leachorganicj</v>
      </c>
      <c r="N64" s="28" t="s">
        <v>627</v>
      </c>
      <c r="O64" s="8" t="str" cm="1">
        <f t="array" ref="O64">Fertiliser_Equations_LeachingAndRunoff.VEERG_5_5_1_1__3_MassOfNitrogenLeachedFromOrganicFertiliser_Variable()</f>
        <v>M_leachorganicj</v>
      </c>
    </row>
    <row r="65" spans="4:19" ht="20.100000000000001" customHeight="1" x14ac:dyDescent="0.25">
      <c r="D65" s="28" t="s">
        <v>96</v>
      </c>
      <c r="E65" s="13" t="str" cm="1">
        <f t="array" ref="E65">Fertiliser_Equations_LeachingAndRunoff.VEERG_5_5_1_1__3_MassOfNitrogenLeachedFromOrganicFertiliser_Unit()</f>
        <v>kg N</v>
      </c>
      <c r="N65" s="28"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X_Cell_ManureSentOffsite_MassNitrogenManure_Method1</f>
        <v>1000</v>
      </c>
      <c r="N67" s="171" t="str" cm="1">
        <f t="array" ref="N67:O72">_xlfn.CHOOSECOLS(Fertiliser_Equations_LeachingAndRunoff.VEERG_5_5_1_1__3_MassOfNitrogenLeachedFromOrganicFertiliser_Arguments(), 1, 2)</f>
        <v>MNSoil_jf</v>
      </c>
      <c r="O67" s="175" t="str">
        <v>mass of nitrogen in organic fertiliser</v>
      </c>
      <c r="P67" s="170"/>
      <c r="Q67" s="171" t="str" cm="1">
        <f t="array" ref="Q67:R72">_xlfn.CHOOSECOLS(Fertiliser_Equations_LeachingAndRunoff.VEERG_5_5_1_1__3_MassOfNitrogenLeachedFromOrganicFertiliser_Arguments(), 3,4)</f>
        <v>kg N</v>
      </c>
      <c r="R67" s="173" t="str">
        <v>Calculated from 5.2.1.1 (2)</v>
      </c>
      <c r="S67" s="171">
        <f>X_Cell_ManureSentOffsite_MassNitrogenManure_Method2</f>
        <v>2000</v>
      </c>
    </row>
    <row r="68" spans="4:1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c r="N68" s="171" t="str">
        <v>FracWETj</v>
      </c>
      <c r="O68" s="175" t="str">
        <v>fraction of N available for leaching and runoff</v>
      </c>
      <c r="P68" s="170"/>
      <c r="Q68" s="171" t="str">
        <v>fraction</v>
      </c>
      <c r="R68" s="173" t="str">
        <v>Constant</v>
      </c>
      <c r="S68" s="171"/>
    </row>
    <row r="69" spans="4:1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c r="N69" s="171" t="str">
        <v>FracLEACH</v>
      </c>
      <c r="O69" s="175" t="str">
        <v>fraction of N that is lost through leaching and runoff</v>
      </c>
      <c r="P69" s="170"/>
      <c r="Q69" s="171" t="str">
        <v>fraction</v>
      </c>
      <c r="R69" s="173" t="str">
        <v>Constant</v>
      </c>
      <c r="S69" s="171"/>
    </row>
    <row r="70" spans="4:19" ht="20.100000000000001" customHeight="1" x14ac:dyDescent="0.25">
      <c r="D70" s="171" t="str">
        <v>z</v>
      </c>
      <c r="E70" s="175" t="str">
        <v>location in leaching zone</v>
      </c>
      <c r="F70" s="170"/>
      <c r="G70" s="171" t="str">
        <v/>
      </c>
      <c r="H70" s="172" t="str">
        <v>Input</v>
      </c>
      <c r="I70" s="171" t="str">
        <f>X_Cell_Site_LeachingZone</f>
        <v>NO - Not in leaching zone</v>
      </c>
      <c r="N70" s="171" t="str">
        <v>z</v>
      </c>
      <c r="O70" s="175" t="str">
        <v>location in leaching zone</v>
      </c>
      <c r="P70" s="170"/>
      <c r="Q70" s="171" t="str">
        <v/>
      </c>
      <c r="R70" s="172" t="str">
        <v>Input</v>
      </c>
      <c r="S70" s="171"/>
    </row>
    <row r="71" spans="4:19" ht="20.100000000000001" customHeight="1" x14ac:dyDescent="0.25">
      <c r="D71" s="171" t="str">
        <v>j</v>
      </c>
      <c r="E71" s="175" t="str">
        <v>production system</v>
      </c>
      <c r="F71" s="170"/>
      <c r="G71" s="171" t="str">
        <v/>
      </c>
      <c r="H71" s="172" t="str">
        <v>Input</v>
      </c>
      <c r="I71" s="171" t="str">
        <f>X_Cell_ManureSentOffsite_ManureProductionSystem</f>
        <v>Crop</v>
      </c>
      <c r="N71" s="171" t="str">
        <v>j</v>
      </c>
      <c r="O71" s="175" t="str">
        <v>production system</v>
      </c>
      <c r="P71" s="170"/>
      <c r="Q71" s="171" t="str">
        <v/>
      </c>
      <c r="R71" s="172" t="str">
        <v>Input</v>
      </c>
      <c r="S71" s="171"/>
    </row>
    <row r="72" spans="4:19" ht="20.100000000000001" customHeight="1" x14ac:dyDescent="0.25">
      <c r="D72" s="171" t="str">
        <v>ir</v>
      </c>
      <c r="E72" s="175" t="str">
        <v>irrigation method</v>
      </c>
      <c r="F72" s="170"/>
      <c r="G72" s="171" t="str">
        <v/>
      </c>
      <c r="H72" s="172" t="str">
        <v>Input</v>
      </c>
      <c r="I72" s="171" t="str">
        <f>X_Cell_ManureSentOffsite_ManureIrrigationMethod</f>
        <v>Sprinkler irrigation</v>
      </c>
      <c r="N72" s="171" t="str">
        <v>ir</v>
      </c>
      <c r="O72" s="175" t="str">
        <v>irrigation method</v>
      </c>
      <c r="P72" s="170"/>
      <c r="Q72" s="171" t="str">
        <v/>
      </c>
      <c r="R72" s="172" t="str">
        <v>Input</v>
      </c>
      <c r="S72" s="171"/>
    </row>
    <row r="73" spans="4:19" ht="20.100000000000001" customHeight="1" x14ac:dyDescent="0.25"/>
    <row r="74" spans="4:19" ht="20.100000000000001" customHeight="1" x14ac:dyDescent="0.25">
      <c r="D74" s="178" t="s">
        <v>763</v>
      </c>
      <c r="E74" s="101" cm="1">
        <f t="array" ref="E74">Fertiliser_Equations_LeachingAndRunoff.VEERG_5_5_1_1__3_MassOfNitrogenLeachedFromOrganicFertiliser(I67,I68,I69)</f>
        <v>240</v>
      </c>
      <c r="F74" s="179" t="str">
        <f>$E$65</f>
        <v>kg N</v>
      </c>
      <c r="N74" s="178" t="s">
        <v>763</v>
      </c>
      <c r="O74" s="101" cm="1">
        <f t="array" ref="O74">Fertiliser_Equations_LeachingAndRunoff.VEERG_5_5_1_1__3_MassOfNitrogenLeachedFromOrganicFertiliser(S67,I68,I69)</f>
        <v>480</v>
      </c>
      <c r="P74" s="179"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6" t="s">
        <v>626</v>
      </c>
      <c r="E79" s="176" t="str" cm="1">
        <f t="array" aca="1" ref="E79" ca="1">Common_InputFunctions.Utility_DisplayFunctionName(E90)</f>
        <v>=Fertiliser_Equations_LeachingAndRunoff.VEERG_5_5_1_1__1_FertiliserLeachingAndRunoffN2OEmissions</v>
      </c>
      <c r="N79" s="176" t="s">
        <v>626</v>
      </c>
      <c r="O79" s="176"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8" t="s">
        <v>627</v>
      </c>
      <c r="E82" s="8" t="str" cm="1">
        <f t="array" ref="E82">Fertiliser_Equations_LeachingAndRunoff.VEERG_5_5_1_1__1_FertiliserLeachingAndRunoffN2OEmissions_Variable()</f>
        <v>E_fertleach</v>
      </c>
      <c r="N82" s="28" t="s">
        <v>627</v>
      </c>
      <c r="O82" s="8" t="str" cm="1">
        <f t="array" ref="O82">Fertiliser_Equations_LeachingAndRunoff.VEERG_5_5_1_1__1_FertiliserLeachingAndRunoffN2OEmissions_Variable()</f>
        <v>E_fertleach</v>
      </c>
    </row>
    <row r="83" spans="4:20" x14ac:dyDescent="0.25">
      <c r="D83" s="28" t="s">
        <v>96</v>
      </c>
      <c r="E83" s="13" t="str" cm="1">
        <f t="array" ref="E83">Fertiliser_Equations_LeachingAndRunoff.VEERG_5_5_1_1__1_FertiliserLeachingAndRunoffN2OEmissions_Unit()</f>
        <v>t N2O</v>
      </c>
      <c r="N83" s="28" t="s">
        <v>96</v>
      </c>
      <c r="O83" s="13" t="str" cm="1">
        <f t="array" ref="O83">Fertiliser_Equations_LeachingAndRunoff.VEERG_5_5_1_1__1_FertiliserLeachingAndRunoffN2OEmissions_Unit()</f>
        <v>t N2O</v>
      </c>
    </row>
    <row r="85" spans="4:2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c r="N85" s="171" t="str" cm="1">
        <f t="array" ref="N85:O88">_xlfn.CHOOSECOLS(Fertiliser_Equations_LeachingAndRunoff.VEERG_5_5_1_1__1_FertiliserLeachingAndRunoffN2OEmissions_Arguments(), 1, 2)</f>
        <v>M_leachinorganicj</v>
      </c>
      <c r="O85" s="175" t="str">
        <v>mass of nitrogen lost through leaching and runoff from inorganic fertiliser application in production system j</v>
      </c>
      <c r="P85" s="209"/>
      <c r="Q85" s="170"/>
      <c r="R85" s="171" t="str" cm="1">
        <f t="array" ref="R85:S88">_xlfn.CHOOSECOLS(Fertiliser_Equations_LeachingAndRunoff.VEERG_5_5_1_1__1_FertiliserLeachingAndRunoffN2OEmissions_Arguments(), 3,4)</f>
        <v>kg N</v>
      </c>
      <c r="S85" s="173" t="str">
        <v>Calculated from 5.5.1.1 (2)</v>
      </c>
      <c r="T85" s="171"/>
    </row>
    <row r="86" spans="4:2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c r="N86" s="171" t="str">
        <v>M_leachorganicj</v>
      </c>
      <c r="O86" s="175" t="str">
        <v>mass of nitrogen lost through leaching and runoff from organic fertiliser application</v>
      </c>
      <c r="P86" s="209"/>
      <c r="Q86" s="170"/>
      <c r="R86" s="171" t="str">
        <v>kg N</v>
      </c>
      <c r="S86" s="173" t="str">
        <v>Calculated from 5.5.1.1 (3)</v>
      </c>
      <c r="T86" s="171">
        <f>O74</f>
        <v>480</v>
      </c>
    </row>
    <row r="87" spans="4:20" x14ac:dyDescent="0.25">
      <c r="D87" s="171" t="str">
        <v>EF_leach</v>
      </c>
      <c r="E87" s="175" t="str">
        <v>emission factor for nitrogen leaching and runoff</v>
      </c>
      <c r="F87" s="209"/>
      <c r="G87" s="170"/>
      <c r="H87" s="171" t="str">
        <v>kg N2O-N/kg N</v>
      </c>
      <c r="I87" s="173" t="str">
        <v>Constant</v>
      </c>
      <c r="J87" s="171">
        <f>'Constants - Fertiliser'!$E$83</f>
        <v>1.0999999999999999E-2</v>
      </c>
      <c r="N87" s="171" t="str">
        <v>EF_leach</v>
      </c>
      <c r="O87" s="175" t="str">
        <v>emission factor for nitrogen leaching and runoff</v>
      </c>
      <c r="P87" s="209"/>
      <c r="Q87" s="170"/>
      <c r="R87" s="171" t="str">
        <v>kg N2O-N/kg N</v>
      </c>
      <c r="S87" s="173" t="str">
        <v>Constant</v>
      </c>
      <c r="T87" s="171"/>
    </row>
    <row r="88" spans="4:2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c r="N88" s="171" t="str">
        <v>C_N2O</v>
      </c>
      <c r="O88" s="175" t="str">
        <v>factor to convert elemental mass of nitrous oxide to molecular mass</v>
      </c>
      <c r="P88" s="209"/>
      <c r="Q88" s="170"/>
      <c r="R88" s="171" t="str">
        <v/>
      </c>
      <c r="S88" s="173" t="str">
        <v>Constant</v>
      </c>
      <c r="T88" s="210"/>
    </row>
    <row r="90" spans="4:20" ht="23.25" x14ac:dyDescent="0.25">
      <c r="D90" s="180" t="s">
        <v>764</v>
      </c>
      <c r="E90" s="181" cm="1">
        <f t="array" ref="E90">Fertiliser_Equations_LeachingAndRunoff.VEERG_5_5_1_1__1_FertiliserLeachingAndRunoffN2OEmissions(J85,J86,J87,J88)</f>
        <v>4.1485714285714277E-3</v>
      </c>
      <c r="F90" s="182" t="str">
        <f>$E$83</f>
        <v>t N2O</v>
      </c>
      <c r="N90" s="180" t="s">
        <v>764</v>
      </c>
      <c r="O90" s="181" cm="1">
        <f t="array" ref="O90">Fertiliser_Equations_LeachingAndRunoff.VEERG_5_5_1_1__1_FertiliserLeachingAndRunoffN2OEmissions(J85,T86,J87,J88)</f>
        <v>8.2971428571428554E-3</v>
      </c>
      <c r="P90" s="182"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8791-1697-4AFC-A46C-5A54B7BE7BBE}">
  <dimension ref="A1:R342"/>
  <sheetViews>
    <sheetView showGridLines="0" topLeftCell="A20" zoomScale="85" zoomScaleNormal="85"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710</v>
      </c>
    </row>
    <row r="2" spans="1:18" s="2" customFormat="1" ht="20.100000000000001" customHeight="1" x14ac:dyDescent="0.25"/>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626</v>
      </c>
      <c r="E7" s="176" t="str" cm="1">
        <f t="array" aca="1" ref="E7" ca="1">Common_InputFunctions.Utility_DisplayFunctionName(N25)</f>
        <v>=Fuel_Equations.VEERG_8_1_1_1__1_FuelCombustionTransport</v>
      </c>
      <c r="K7" s="176" t="s">
        <v>626</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627</v>
      </c>
      <c r="E11" s="8" t="str" cm="1">
        <f t="array" ref="E11">Fuel_Equations.VEERG_8_1_1_1__1_FuelCombustionTransport_Variable()</f>
        <v>E_g</v>
      </c>
      <c r="K11" s="28" t="s">
        <v>627</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96</v>
      </c>
      <c r="E12" s="13" t="str" cm="1">
        <f t="array" ref="E12">Fuel_Equations.VEERG_8_1_1_1__1_FuelCombustionTransport_Unit()</f>
        <v>t CO2-e</v>
      </c>
      <c r="K12" s="28" t="s">
        <v>96</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129</v>
      </c>
    </row>
    <row r="24" spans="1:17" ht="20.100000000000001" customHeight="1" x14ac:dyDescent="0.25">
      <c r="D24" s="60" t="s">
        <v>130</v>
      </c>
      <c r="E24" s="60" t="s">
        <v>131</v>
      </c>
      <c r="F24" s="60" t="s">
        <v>132</v>
      </c>
      <c r="G24" s="60" t="s">
        <v>711</v>
      </c>
      <c r="H24" s="60" t="s">
        <v>712</v>
      </c>
      <c r="I24" s="60" t="s">
        <v>713</v>
      </c>
      <c r="J24" s="60" t="s">
        <v>714</v>
      </c>
      <c r="K24" s="60" t="s">
        <v>715</v>
      </c>
      <c r="L24" s="47" t="s">
        <v>716</v>
      </c>
      <c r="M24" s="60" t="s">
        <v>717</v>
      </c>
      <c r="N24" s="60" t="s">
        <v>718</v>
      </c>
      <c r="O24" s="60" t="s">
        <v>719</v>
      </c>
      <c r="P24" s="60" t="s">
        <v>720</v>
      </c>
      <c r="Q24" s="60" t="s">
        <v>721</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10</v>
      </c>
      <c r="M26" s="185" t="str" cm="1">
        <f t="array" ref="M26">Common_InputFunctions.Utility_LookupValueInTable(F26,Table_FuelTypes_Units[Fuel type],Table_FuelTypes_Units[Unit])</f>
        <v>kL</v>
      </c>
      <c r="N26" s="186" cm="1">
        <f t="array" ref="N26">Fuel_Equations.VEERG_8_1_1_1__1_FuelCombustionTransport($L26,$G26,$H26)</f>
        <v>26.981400000000001</v>
      </c>
      <c r="O26" s="186" cm="1">
        <f t="array" ref="O26">Fuel_Equations.VEERG_8_1_1_1__1_FuelCombustionTransport($L26,$G26,$I26)</f>
        <v>3.8600000000000001E-3</v>
      </c>
      <c r="P26" s="186" cm="1">
        <f t="array" ref="P26">Fuel_Equations.VEERG_8_1_1_1__1_FuelCombustionTransport($L26,$G26,$J26)</f>
        <v>0.193</v>
      </c>
      <c r="Q26" s="186" cm="1">
        <f t="array" ref="Q26">Scope3_Equations.VEERG_15_11_1_1__2_UpstreamTransportFuelEmissions(L26,G26,K26)</f>
        <v>6.6778000000000004</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10</v>
      </c>
      <c r="M33" s="192" t="str" cm="1">
        <f t="array" ref="M33">Common_InputFunctions.Utility_LookupValueInTable(F33,Table_FuelTypes_Units[Fuel type],Table_FuelTypes_Units[Unit])</f>
        <v>kL</v>
      </c>
      <c r="N33" s="193" cm="1">
        <f t="array" ref="N33">Fuel_Equations.VEERG_8_1_1_1__1_FuelCombustionTransport($L33,$G33,$H33)</f>
        <v>26.981400000000001</v>
      </c>
      <c r="O33" s="193" cm="1">
        <f t="array" ref="O33">Fuel_Equations.VEERG_8_1_1_1__1_FuelCombustionTransport($L33,$G33,$I33)</f>
        <v>0.1158</v>
      </c>
      <c r="P33" s="193" cm="1">
        <f t="array" ref="P33">Fuel_Equations.VEERG_8_1_1_1__1_FuelCombustionTransport($L33,$G33,$J33)</f>
        <v>0.193</v>
      </c>
      <c r="Q33" s="194" cm="1">
        <f t="array" ref="Q33">Scope3_Equations.VEERG_15_11_1_1__2_UpstreamTransportFuelEmissions(L33,G33,K33)</f>
        <v>6.6778000000000004</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v>
      </c>
      <c r="M34" s="192" t="str" cm="1">
        <f t="array" ref="M34">Common_InputFunctions.Utility_LookupValueInTable(F34,Table_FuelTypes_Units[Fuel type],Table_FuelTypes_Units[Unit])</f>
        <v>kL</v>
      </c>
      <c r="N34" s="193" cm="1">
        <f t="array" ref="N34">Fuel_Equations.VEERG_8_1_1_1__1_FuelCombustionTransport($L34,$G34,$H34)</f>
        <v>0</v>
      </c>
      <c r="O34" s="193" cm="1">
        <f t="array" ref="O34">Fuel_Equations.VEERG_8_1_1_1__1_FuelCombustionTransport($L34,$G34,$I34)</f>
        <v>0</v>
      </c>
      <c r="P34" s="193" cm="1">
        <f t="array" ref="P34">Fuel_Equations.VEERG_8_1_1_1__1_FuelCombustionTransport($L34,$G34,$J34)</f>
        <v>0</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v>
      </c>
      <c r="M38" s="185" t="str" cm="1">
        <f t="array" ref="M38">Common_InputFunctions.Utility_LookupValueInTable(F38,Table_FuelTypes_Units[Fuel type],Table_FuelTypes_Units[Unit])</f>
        <v>kL</v>
      </c>
      <c r="N38" s="186" cm="1">
        <f t="array" ref="N38">Fuel_Equations.VEERG_8_1_1_1__1_FuelCombustionTransport($L38,$G38,$H38)</f>
        <v>0</v>
      </c>
      <c r="O38" s="186" cm="1">
        <f t="array" ref="O38">Fuel_Equations.VEERG_8_1_1_1__1_FuelCombustionTransport($L38,$G38,$I38)</f>
        <v>0</v>
      </c>
      <c r="P38" s="186" cm="1">
        <f t="array" ref="P38">Fuel_Equations.VEERG_8_1_1_1__1_FuelCombustionTransport($L38,$G38,$J38)</f>
        <v>0</v>
      </c>
      <c r="Q38" s="186" cm="1">
        <f t="array" ref="Q38">Scope3_Equations.VEERG_15_11_1_1__2_UpstreamTransportFuelEmissions(L38,G38,K38)</f>
        <v>0</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10</v>
      </c>
      <c r="M39" s="185" t="str" cm="1">
        <f t="array" ref="M39">Common_InputFunctions.Utility_LookupValueInTable(F39,Table_FuelTypes_Units[Fuel type],Table_FuelTypes_Units[Unit])</f>
        <v>kL</v>
      </c>
      <c r="N39" s="186" cm="1">
        <f t="array" ref="N39">Fuel_Equations.VEERG_8_1_1_1__1_FuelCombustionTransport($L39,$G39,$H39)</f>
        <v>29.219199999999997</v>
      </c>
      <c r="O39" s="186" cm="1">
        <f t="array" ref="O39">Fuel_Equations.VEERG_8_1_1_1__1_FuelCombustionTransport($L39,$G39,$I39)</f>
        <v>7.9400000000000012E-2</v>
      </c>
      <c r="P39" s="186" cm="1">
        <f t="array" ref="P39">Fuel_Equations.VEERG_8_1_1_1__1_FuelCombustionTransport($L39,$G39,$J39)</f>
        <v>0.19850000000000001</v>
      </c>
      <c r="Q39" s="186" cm="1">
        <f t="array" ref="Q39">Scope3_Equations.VEERG_15_11_1_1__2_UpstreamTransportFuelEmissions(L39,G39,K39)</f>
        <v>7.1459999999999999</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722</v>
      </c>
      <c r="E43" s="200">
        <f>SUM(N25:N32)</f>
        <v>26.981400000000001</v>
      </c>
      <c r="F43" s="68" t="str">
        <f>$E$12</f>
        <v>t CO2-e</v>
      </c>
    </row>
    <row r="44" spans="1:17" ht="20.100000000000001" customHeight="1" x14ac:dyDescent="0.25">
      <c r="D44" s="7" t="s">
        <v>723</v>
      </c>
      <c r="E44" s="200">
        <f>SUM(O25:O32)</f>
        <v>3.8600000000000001E-3</v>
      </c>
      <c r="F44" s="68" t="str">
        <f t="shared" ref="F44:F46" si="1">$E$12</f>
        <v>t CO2-e</v>
      </c>
    </row>
    <row r="45" spans="1:17" ht="20.100000000000001" customHeight="1" x14ac:dyDescent="0.25">
      <c r="D45" s="7" t="s">
        <v>724</v>
      </c>
      <c r="E45" s="200">
        <f>SUM(P25:P32)</f>
        <v>0.193</v>
      </c>
      <c r="F45" s="68" t="str">
        <f t="shared" si="1"/>
        <v>t CO2-e</v>
      </c>
    </row>
    <row r="46" spans="1:17" ht="20.100000000000001" customHeight="1" x14ac:dyDescent="0.25">
      <c r="D46" s="7" t="s">
        <v>725</v>
      </c>
      <c r="E46" s="200">
        <f>SUM(Q25:Q32)</f>
        <v>6.6778000000000004</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722</v>
      </c>
      <c r="E49" s="200">
        <f>SUM(N33:N33)</f>
        <v>26.981400000000001</v>
      </c>
      <c r="F49" s="68" t="str">
        <f t="shared" ref="F49:F52" si="2">$E$12</f>
        <v>t CO2-e</v>
      </c>
      <c r="H49" s="17"/>
      <c r="I49" s="17"/>
      <c r="J49" s="17"/>
      <c r="L49" s="17"/>
      <c r="M49" s="17"/>
      <c r="N49" s="17"/>
      <c r="O49" s="17"/>
      <c r="P49" s="17"/>
      <c r="Q49" s="17"/>
    </row>
    <row r="50" spans="4:17" ht="20.100000000000001" customHeight="1" x14ac:dyDescent="0.25">
      <c r="D50" s="7" t="s">
        <v>723</v>
      </c>
      <c r="E50" s="200">
        <f>SUM(O33:O33)</f>
        <v>0.1158</v>
      </c>
      <c r="F50" s="68" t="str">
        <f t="shared" si="2"/>
        <v>t CO2-e</v>
      </c>
      <c r="H50" s="17"/>
      <c r="I50" s="17"/>
      <c r="J50" s="17"/>
      <c r="L50" s="17"/>
      <c r="M50" s="17"/>
      <c r="N50" s="17"/>
      <c r="O50" s="17"/>
      <c r="P50" s="17"/>
      <c r="Q50" s="17"/>
    </row>
    <row r="51" spans="4:17" ht="20.100000000000001" customHeight="1" x14ac:dyDescent="0.25">
      <c r="D51" s="7" t="s">
        <v>724</v>
      </c>
      <c r="E51" s="200">
        <f>SUM(P33:P33)</f>
        <v>0.193</v>
      </c>
      <c r="F51" s="68" t="str">
        <f t="shared" si="2"/>
        <v>t CO2-e</v>
      </c>
      <c r="H51" s="17"/>
      <c r="I51" s="17"/>
      <c r="J51" s="17"/>
      <c r="L51" s="17"/>
      <c r="M51" s="17"/>
      <c r="N51" s="17"/>
      <c r="O51" s="17"/>
      <c r="P51" s="17"/>
      <c r="Q51" s="17"/>
    </row>
    <row r="52" spans="4:17" ht="20.100000000000001" customHeight="1" x14ac:dyDescent="0.25">
      <c r="D52" s="7" t="s">
        <v>725</v>
      </c>
      <c r="E52" s="200">
        <f>SUM(Q33)</f>
        <v>6.6778000000000004</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722</v>
      </c>
      <c r="E55" s="200">
        <f>SUM(N34:N36)</f>
        <v>0</v>
      </c>
      <c r="F55" s="68" t="str">
        <f t="shared" ref="F55:F58" si="3">$E$12</f>
        <v>t CO2-e</v>
      </c>
      <c r="G55" s="17"/>
      <c r="H55" s="17"/>
      <c r="I55" s="17"/>
      <c r="J55" s="17"/>
      <c r="L55" s="17"/>
      <c r="M55" s="17"/>
      <c r="N55" s="17"/>
      <c r="O55" s="17"/>
      <c r="P55" s="17"/>
      <c r="Q55" s="17"/>
    </row>
    <row r="56" spans="4:17" ht="20.100000000000001" customHeight="1" x14ac:dyDescent="0.25">
      <c r="D56" s="7" t="s">
        <v>723</v>
      </c>
      <c r="E56" s="200">
        <f>SUM(O34:O36)</f>
        <v>0</v>
      </c>
      <c r="F56" s="68" t="str">
        <f t="shared" si="3"/>
        <v>t CO2-e</v>
      </c>
      <c r="G56" s="17"/>
      <c r="H56" s="17"/>
      <c r="I56" s="17"/>
      <c r="J56" s="17"/>
      <c r="L56" s="17"/>
      <c r="M56" s="17"/>
      <c r="N56" s="17"/>
      <c r="O56" s="17"/>
      <c r="P56" s="17"/>
      <c r="Q56" s="17"/>
    </row>
    <row r="57" spans="4:17" ht="20.100000000000001" customHeight="1" x14ac:dyDescent="0.25">
      <c r="D57" s="7" t="s">
        <v>724</v>
      </c>
      <c r="E57" s="200">
        <f>SUM(P34:P36)</f>
        <v>0</v>
      </c>
      <c r="F57" s="68" t="str">
        <f t="shared" si="3"/>
        <v>t CO2-e</v>
      </c>
      <c r="G57" s="17"/>
      <c r="H57" s="17"/>
      <c r="I57" s="17"/>
      <c r="J57" s="17"/>
      <c r="L57" s="17"/>
      <c r="M57" s="17"/>
      <c r="N57" s="17"/>
      <c r="O57" s="17"/>
      <c r="P57" s="17"/>
      <c r="Q57" s="17"/>
    </row>
    <row r="58" spans="4:17" ht="20.100000000000001" customHeight="1" x14ac:dyDescent="0.25">
      <c r="D58" s="7" t="s">
        <v>725</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722</v>
      </c>
      <c r="E61" s="200">
        <f>SUM(N37:N39)</f>
        <v>29.219199999999997</v>
      </c>
      <c r="F61" s="68" t="str">
        <f t="shared" ref="F61:F64" si="4">$E$12</f>
        <v>t CO2-e</v>
      </c>
      <c r="G61" s="17"/>
      <c r="H61" s="17"/>
      <c r="I61" s="17"/>
      <c r="J61" s="17"/>
      <c r="L61" s="17"/>
      <c r="M61" s="17"/>
      <c r="N61" s="17"/>
      <c r="O61" s="17"/>
      <c r="P61" s="17"/>
      <c r="Q61" s="17"/>
    </row>
    <row r="62" spans="4:17" ht="20.100000000000001" customHeight="1" x14ac:dyDescent="0.25">
      <c r="D62" s="7" t="s">
        <v>723</v>
      </c>
      <c r="E62" s="200">
        <f>SUM(O37:O39)</f>
        <v>7.9400000000000012E-2</v>
      </c>
      <c r="F62" s="68" t="str">
        <f t="shared" si="4"/>
        <v>t CO2-e</v>
      </c>
      <c r="G62" s="17"/>
      <c r="H62" s="17"/>
      <c r="I62" s="17"/>
      <c r="J62" s="17"/>
      <c r="L62" s="17"/>
      <c r="M62" s="17"/>
      <c r="N62" s="17"/>
      <c r="O62" s="17"/>
      <c r="P62" s="17"/>
      <c r="Q62" s="17"/>
    </row>
    <row r="63" spans="4:17" ht="20.100000000000001" customHeight="1" x14ac:dyDescent="0.25">
      <c r="D63" s="7" t="s">
        <v>724</v>
      </c>
      <c r="E63" s="200">
        <f>SUM(P37:P39)</f>
        <v>0.19850000000000001</v>
      </c>
      <c r="F63" s="68" t="str">
        <f t="shared" si="4"/>
        <v>t CO2-e</v>
      </c>
      <c r="G63" s="17"/>
      <c r="H63" s="17"/>
      <c r="I63" s="17"/>
      <c r="J63" s="17"/>
      <c r="L63" s="17"/>
      <c r="M63" s="17"/>
      <c r="N63" s="17"/>
      <c r="O63" s="17"/>
      <c r="P63" s="17"/>
      <c r="Q63" s="17"/>
    </row>
    <row r="64" spans="4:17" ht="20.100000000000001" customHeight="1" x14ac:dyDescent="0.25">
      <c r="D64" s="7" t="s">
        <v>725</v>
      </c>
      <c r="E64" s="200">
        <f>SUM(Q37:Q39)</f>
        <v>7.1459999999999999</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726</v>
      </c>
      <c r="E66" s="203"/>
      <c r="F66" s="199"/>
      <c r="G66" s="17"/>
      <c r="H66" s="17"/>
      <c r="I66" s="17"/>
      <c r="J66" s="17"/>
      <c r="L66" s="17"/>
      <c r="M66" s="17"/>
      <c r="N66" s="17"/>
      <c r="O66" s="17"/>
      <c r="P66" s="17"/>
      <c r="Q66" s="17"/>
    </row>
    <row r="67" spans="1:17" ht="20.100000000000001" customHeight="1" x14ac:dyDescent="0.25">
      <c r="D67" s="7" t="s">
        <v>722</v>
      </c>
      <c r="E67" s="200">
        <f>E43+E49+E55+E61</f>
        <v>83.182000000000002</v>
      </c>
      <c r="F67" s="68" t="str">
        <f t="shared" ref="F67:F70" si="5">$E$12</f>
        <v>t CO2-e</v>
      </c>
      <c r="G67" s="17"/>
    </row>
    <row r="68" spans="1:17" ht="20.100000000000001" customHeight="1" x14ac:dyDescent="0.25">
      <c r="D68" s="7" t="s">
        <v>723</v>
      </c>
      <c r="E68" s="200">
        <f t="shared" ref="E68:E70" si="6">E44+E50+E56+E62</f>
        <v>0.19906000000000001</v>
      </c>
      <c r="F68" s="68" t="str">
        <f t="shared" si="5"/>
        <v>t CO2-e</v>
      </c>
      <c r="G68" s="17"/>
    </row>
    <row r="69" spans="1:17" ht="20.100000000000001" customHeight="1" x14ac:dyDescent="0.25">
      <c r="A69" s="56" t="str">
        <f>HYPERLINK("#A1", "▲ Back to top")</f>
        <v>▲ Back to top</v>
      </c>
      <c r="D69" s="7" t="s">
        <v>724</v>
      </c>
      <c r="E69" s="200">
        <f t="shared" si="6"/>
        <v>0.58450000000000002</v>
      </c>
      <c r="F69" s="68" t="str">
        <f t="shared" si="5"/>
        <v>t CO2-e</v>
      </c>
      <c r="G69" s="17"/>
    </row>
    <row r="70" spans="1:17" ht="20.100000000000001" customHeight="1" x14ac:dyDescent="0.25">
      <c r="D70" s="7" t="s">
        <v>725</v>
      </c>
      <c r="E70" s="200">
        <f t="shared" si="6"/>
        <v>20.5016</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18A2A84F-074A-4060-A12C-85F0EB678772}"/>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920D-288A-4BE4-B640-026D6A161DE1}">
  <dimension ref="A1:R165"/>
  <sheetViews>
    <sheetView showGridLines="0" topLeftCell="A10" zoomScaleNormal="100"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727</v>
      </c>
    </row>
    <row r="2" spans="1:18" s="2" customFormat="1" ht="20.100000000000001" customHeight="1" x14ac:dyDescent="0.25">
      <c r="A2" s="3"/>
    </row>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626</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626</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627</v>
      </c>
      <c r="E11" s="8" t="str" cm="1">
        <f t="array" ref="E11">Fuel_Equations.VEERG_8_2_1_1__1_FuelCombustionStationary_Variable()</f>
        <v>E_g</v>
      </c>
      <c r="K11" s="28" t="s">
        <v>627</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96</v>
      </c>
      <c r="E12" s="13" t="str" cm="1">
        <f t="array" ref="E12">Fuel_Equations.VEERG_8_2_1_1__1_FuelCombustionStationary_Unit()</f>
        <v>t CO2-e</v>
      </c>
      <c r="K12" s="28" t="s">
        <v>96</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t="str">
        <v>Input</v>
      </c>
      <c r="P17" s="171" t="str">
        <f>X_Cell_Site_State</f>
        <v>Western Australia</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t="str">
        <v>Input</v>
      </c>
      <c r="P18" s="171" t="str">
        <f>X_Cell_Fuel_IsMetroLocation</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728</v>
      </c>
    </row>
    <row r="24" spans="1:17" ht="20.100000000000001" customHeight="1" x14ac:dyDescent="0.25">
      <c r="D24" s="60" t="s">
        <v>130</v>
      </c>
      <c r="E24" s="60" t="s">
        <v>131</v>
      </c>
      <c r="F24" s="60" t="s">
        <v>132</v>
      </c>
      <c r="G24" s="60" t="s">
        <v>729</v>
      </c>
      <c r="H24" s="60" t="s">
        <v>730</v>
      </c>
      <c r="I24" s="60" t="s">
        <v>731</v>
      </c>
      <c r="J24" s="60" t="s">
        <v>732</v>
      </c>
      <c r="K24" s="60" t="s">
        <v>733</v>
      </c>
      <c r="L24" s="47" t="s">
        <v>734</v>
      </c>
      <c r="M24" s="60" t="s">
        <v>717</v>
      </c>
      <c r="N24" s="60" t="s">
        <v>718</v>
      </c>
      <c r="O24" s="60" t="s">
        <v>719</v>
      </c>
      <c r="P24" s="60" t="s">
        <v>720</v>
      </c>
      <c r="Q24" s="60" t="s">
        <v>735</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10</v>
      </c>
      <c r="M32" s="192" t="str" cm="1">
        <f t="array" ref="M32">Common_InputFunctions.Utility_LookupValueInTable(F32,Table_FuelTypes_Units[Fuel type],Table_FuelTypes_Units[Unit])</f>
        <v>kL</v>
      </c>
      <c r="N32" s="206" cm="1">
        <f t="array" ref="N32">Fuel_Equations.VEERG_8_2_1_1__1_FuelCombustionStationary($L32,$G32,H32)</f>
        <v>23.050800000000002</v>
      </c>
      <c r="O32" s="206" cm="1">
        <f t="array" ref="O32">Fuel_Equations.VEERG_8_2_1_1__1_FuelCombustionStationary($L32,$G32,I32)</f>
        <v>6.8400000000000002E-2</v>
      </c>
      <c r="P32" s="206" cm="1">
        <f t="array" ref="P32">Fuel_Equations.VEERG_8_2_1_1__1_FuelCombustionStationary($L32,$G32,J32)</f>
        <v>6.8400000000000002E-2</v>
      </c>
      <c r="Q32" s="206" cm="1">
        <f t="array" ref="Q32">Fuel_Equations.VEERG_8_2_1_1__1_FuelCombustionStationary($L32,$G32,IF(ISNUMBER(K32), K32, 0))</f>
        <v>5.8823999999999996</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territory],Table_Fuel_EFs_StationaryGaseous34[#Headers],Table_Fuel_EFs_StationaryGaseous34[#Data]),0)</f>
        <v>4.0999999999999996</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territory],Table_Fuel_EFs_StationaryGaseous34[#Headers],Table_Fuel_EFs_StationaryGaseous34[#Data]),0)</f>
        <v>4.0999999999999996</v>
      </c>
      <c r="L40" s="185" cm="1">
        <f t="array" ref="L40">Fuel_InputFunctions.Fuel_TotalConsumption(Table_Input_Fuel[Amount consumed], Table_Input_Fuel[Fuel use (select)], D40, Table_Input_Fuel[Fuel type (select)],F40)</f>
        <v>100</v>
      </c>
      <c r="M40" s="185" t="str" cm="1">
        <f t="array" ref="M40">Common_InputFunctions.Utility_LookupValueInTable(F40,Table_FuelTypes_Units[Fuel type],Table_FuelTypes_Units[Unit])</f>
        <v>GJ</v>
      </c>
      <c r="N40" s="204" cm="1">
        <f t="array" ref="N40">Fuel_Equations.VEERG_8_2_1_1__1_FuelCombustionStationary($L40,$G40,H40)</f>
        <v>6.0200000000000005</v>
      </c>
      <c r="O40" s="204" cm="1">
        <f t="array" ref="O40">Fuel_Equations.VEERG_8_2_1_1__1_FuelCombustionStationary($L40,$G40,I40)</f>
        <v>4.0000000000000001E-3</v>
      </c>
      <c r="P40" s="204" cm="1">
        <f t="array" ref="P40">Fuel_Equations.VEERG_8_2_1_1__1_FuelCombustionStationary($L40,$G40,J40)</f>
        <v>3.0000000000000001E-3</v>
      </c>
      <c r="Q40" s="204" cm="1">
        <f t="array" ref="Q40">Fuel_Equations.VEERG_8_2_1_1__1_FuelCombustionStationary($L40,$G40,IF(ISNUMBER(K40), K40, 0))</f>
        <v>0.41</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722</v>
      </c>
      <c r="E43" s="200">
        <f>SUM(N25:N31)</f>
        <v>0</v>
      </c>
      <c r="F43" s="68" t="str">
        <f>$E$12</f>
        <v>t CO2-e</v>
      </c>
    </row>
    <row r="44" spans="1:17" ht="20.100000000000001" customHeight="1" x14ac:dyDescent="0.25">
      <c r="D44" s="7" t="s">
        <v>723</v>
      </c>
      <c r="E44" s="200">
        <f>SUM(O25:O31)</f>
        <v>0</v>
      </c>
      <c r="F44" s="68" t="str">
        <f t="shared" ref="F44:F46" si="2">$E$12</f>
        <v>t CO2-e</v>
      </c>
    </row>
    <row r="45" spans="1:17" ht="20.100000000000001" customHeight="1" x14ac:dyDescent="0.25">
      <c r="D45" s="7" t="s">
        <v>724</v>
      </c>
      <c r="E45" s="200">
        <f>SUM(P25:P31)</f>
        <v>0</v>
      </c>
      <c r="F45" s="68" t="str">
        <f t="shared" si="2"/>
        <v>t CO2-e</v>
      </c>
    </row>
    <row r="46" spans="1:17" ht="20.100000000000001" customHeight="1" x14ac:dyDescent="0.25">
      <c r="D46" s="7" t="s">
        <v>725</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722</v>
      </c>
      <c r="E49" s="200">
        <f>SUM(N32:N40)</f>
        <v>29.070800000000002</v>
      </c>
      <c r="F49" s="68" t="str">
        <f t="shared" ref="F49:F52" si="3">$E$12</f>
        <v>t CO2-e</v>
      </c>
      <c r="H49" s="17"/>
      <c r="I49" s="17"/>
      <c r="J49" s="17"/>
      <c r="L49" s="17"/>
      <c r="N49" s="17"/>
      <c r="O49" s="17"/>
      <c r="P49" s="17"/>
      <c r="Q49" s="17"/>
    </row>
    <row r="50" spans="4:17" ht="20.100000000000001" customHeight="1" x14ac:dyDescent="0.25">
      <c r="D50" s="7" t="s">
        <v>723</v>
      </c>
      <c r="E50" s="200">
        <f>SUM(O32:O40)</f>
        <v>7.2400000000000006E-2</v>
      </c>
      <c r="F50" s="68" t="str">
        <f t="shared" si="3"/>
        <v>t CO2-e</v>
      </c>
      <c r="H50" s="17"/>
      <c r="I50" s="17"/>
      <c r="J50" s="17"/>
      <c r="L50" s="17"/>
      <c r="N50" s="17"/>
      <c r="O50" s="17"/>
      <c r="P50" s="17"/>
      <c r="Q50" s="17"/>
    </row>
    <row r="51" spans="4:17" ht="20.100000000000001" customHeight="1" x14ac:dyDescent="0.25">
      <c r="D51" s="7" t="s">
        <v>724</v>
      </c>
      <c r="E51" s="200">
        <f>SUM(P32:P40)</f>
        <v>7.1400000000000005E-2</v>
      </c>
      <c r="F51" s="68" t="str">
        <f t="shared" si="3"/>
        <v>t CO2-e</v>
      </c>
      <c r="H51" s="17"/>
      <c r="I51" s="17"/>
      <c r="J51" s="17"/>
      <c r="L51" s="17"/>
      <c r="N51" s="17"/>
      <c r="O51" s="17"/>
      <c r="P51" s="17"/>
      <c r="Q51" s="17"/>
    </row>
    <row r="52" spans="4:17" ht="20.100000000000001" customHeight="1" x14ac:dyDescent="0.25">
      <c r="D52" s="7" t="s">
        <v>725</v>
      </c>
      <c r="E52" s="200">
        <f>SUM(Q32:Q40)</f>
        <v>6.2923999999999998</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736</v>
      </c>
      <c r="E54" s="201"/>
      <c r="F54" s="199"/>
      <c r="G54" s="17"/>
      <c r="H54" s="17"/>
      <c r="I54" s="17"/>
      <c r="J54" s="17"/>
      <c r="L54" s="17"/>
      <c r="N54" s="17"/>
      <c r="O54" s="17"/>
      <c r="P54" s="17"/>
      <c r="Q54" s="17"/>
    </row>
    <row r="55" spans="4:17" ht="20.100000000000001" customHeight="1" x14ac:dyDescent="0.25">
      <c r="D55" s="7" t="s">
        <v>722</v>
      </c>
      <c r="E55" s="200">
        <f>E43+E49</f>
        <v>29.070800000000002</v>
      </c>
      <c r="F55" s="68" t="str">
        <f t="shared" ref="F55:F58" si="4">$E$12</f>
        <v>t CO2-e</v>
      </c>
      <c r="G55" s="17"/>
      <c r="H55" s="17"/>
      <c r="I55" s="17"/>
      <c r="J55" s="17"/>
      <c r="L55" s="17"/>
      <c r="N55" s="17"/>
      <c r="O55" s="17"/>
      <c r="P55" s="17"/>
      <c r="Q55" s="17"/>
    </row>
    <row r="56" spans="4:17" ht="20.100000000000001" customHeight="1" x14ac:dyDescent="0.25">
      <c r="D56" s="7" t="s">
        <v>723</v>
      </c>
      <c r="E56" s="200">
        <f>E44+E50</f>
        <v>7.2400000000000006E-2</v>
      </c>
      <c r="F56" s="68" t="str">
        <f t="shared" si="4"/>
        <v>t CO2-e</v>
      </c>
      <c r="H56" s="17"/>
    </row>
    <row r="57" spans="4:17" ht="20.100000000000001" customHeight="1" x14ac:dyDescent="0.25">
      <c r="D57" s="7" t="s">
        <v>724</v>
      </c>
      <c r="E57" s="200">
        <f>E45+E51</f>
        <v>7.1400000000000005E-2</v>
      </c>
      <c r="F57" s="68" t="str">
        <f t="shared" si="4"/>
        <v>t CO2-e</v>
      </c>
      <c r="G57" s="17"/>
      <c r="H57" s="17"/>
      <c r="I57" s="17"/>
      <c r="J57" s="17"/>
      <c r="L57" s="17"/>
      <c r="N57" s="17"/>
      <c r="O57" s="17"/>
      <c r="P57" s="17"/>
      <c r="Q57" s="17"/>
    </row>
    <row r="58" spans="4:17" ht="20.100000000000001" customHeight="1" x14ac:dyDescent="0.25">
      <c r="D58" s="7" t="s">
        <v>725</v>
      </c>
      <c r="E58" s="200">
        <f>E46+E52</f>
        <v>6.2923999999999998</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356</v>
      </c>
      <c r="K32" s="8" t="s">
        <v>428</v>
      </c>
    </row>
    <row r="33" spans="4:12" ht="20.100000000000001" customHeight="1" x14ac:dyDescent="0.25">
      <c r="D33" s="10" t="s">
        <v>314</v>
      </c>
      <c r="E33" s="10" t="s">
        <v>215</v>
      </c>
      <c r="F33" s="10" t="s">
        <v>315</v>
      </c>
      <c r="G33" s="10" t="s">
        <v>281</v>
      </c>
      <c r="H33" s="10" t="s">
        <v>282</v>
      </c>
      <c r="I33" s="10" t="s">
        <v>357</v>
      </c>
      <c r="K33" s="10" t="s">
        <v>381</v>
      </c>
      <c r="L33" s="10" t="s">
        <v>511</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311</v>
      </c>
      <c r="L34" s="10" t="s">
        <v>332</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332</v>
      </c>
      <c r="L35" s="10" t="s">
        <v>332</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388</v>
      </c>
      <c r="L36" s="10" t="s">
        <v>388</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385</v>
      </c>
      <c r="L37" s="10" t="s">
        <v>385</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338</v>
      </c>
      <c r="L38" s="10" t="s">
        <v>338</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432</v>
      </c>
      <c r="L39" s="10" t="s">
        <v>339</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431</v>
      </c>
      <c r="L40" s="10" t="s">
        <v>339</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433</v>
      </c>
      <c r="L41" s="10" t="s">
        <v>339</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434</v>
      </c>
      <c r="L42" s="10" t="s">
        <v>430</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435</v>
      </c>
      <c r="L43" s="10" t="s">
        <v>430</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436</v>
      </c>
      <c r="L44" s="10" t="s">
        <v>430</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437</v>
      </c>
      <c r="L45" s="10" t="s">
        <v>333</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438</v>
      </c>
      <c r="L46" s="10" t="s">
        <v>333</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439</v>
      </c>
      <c r="L47" s="10" t="s">
        <v>333</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440</v>
      </c>
      <c r="L48" s="10" t="s">
        <v>333</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331</v>
      </c>
      <c r="L49" s="8" t="s">
        <v>331</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359</v>
      </c>
    </row>
    <row r="77" spans="4:9" ht="20.100000000000001" customHeight="1" x14ac:dyDescent="0.25">
      <c r="D77" s="10" t="s">
        <v>314</v>
      </c>
      <c r="E77" s="10" t="s">
        <v>215</v>
      </c>
      <c r="F77" s="10" t="s">
        <v>315</v>
      </c>
      <c r="G77" s="10" t="s">
        <v>281</v>
      </c>
      <c r="H77" s="10" t="s">
        <v>282</v>
      </c>
      <c r="I77" s="10" t="s">
        <v>357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314</v>
      </c>
      <c r="E82" s="10" t="s">
        <v>215</v>
      </c>
      <c r="F82" s="10" t="s">
        <v>315</v>
      </c>
      <c r="G82" s="10" t="s">
        <v>281</v>
      </c>
      <c r="H82" s="10" t="s">
        <v>282</v>
      </c>
      <c r="I82" s="10" t="s">
        <v>357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360</v>
      </c>
    </row>
    <row r="89" spans="4:16" ht="20.100000000000001" customHeight="1" x14ac:dyDescent="0.25">
      <c r="D89" s="10" t="s">
        <v>314</v>
      </c>
      <c r="E89" s="10" t="s">
        <v>215</v>
      </c>
      <c r="F89" s="10" t="s">
        <v>315</v>
      </c>
      <c r="G89" s="10" t="s">
        <v>281</v>
      </c>
      <c r="H89" s="10" t="s">
        <v>282</v>
      </c>
      <c r="I89" s="10" t="s">
        <v>357</v>
      </c>
      <c r="K89" s="10" t="s">
        <v>215</v>
      </c>
      <c r="L89" s="10" t="s">
        <v>381</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215</v>
      </c>
      <c r="O90" s="10" t="s">
        <v>381</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215</v>
      </c>
      <c r="L98" s="10" t="s">
        <v>381</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215</v>
      </c>
      <c r="O105" s="10" t="s">
        <v>381</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215</v>
      </c>
      <c r="L110" s="10" t="s">
        <v>381</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215</v>
      </c>
      <c r="O118" s="10" t="s">
        <v>381</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215</v>
      </c>
      <c r="L125" s="10" t="s">
        <v>381</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215</v>
      </c>
      <c r="O131" s="10" t="s">
        <v>381</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215</v>
      </c>
      <c r="L138" s="10" t="s">
        <v>381</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215</v>
      </c>
      <c r="O144" s="10" t="s">
        <v>381</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215</v>
      </c>
      <c r="L151" s="157" t="s">
        <v>381</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215</v>
      </c>
      <c r="O152" s="10" t="s">
        <v>381</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215</v>
      </c>
      <c r="L153" s="10" t="s">
        <v>381</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215</v>
      </c>
      <c r="O154" s="10" t="s">
        <v>381</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215</v>
      </c>
      <c r="L155" s="10" t="s">
        <v>381</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215</v>
      </c>
      <c r="O156" s="10" t="s">
        <v>381</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215</v>
      </c>
      <c r="L157" s="10" t="s">
        <v>381</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215</v>
      </c>
      <c r="O158" s="10" t="s">
        <v>381</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314</v>
      </c>
      <c r="E161" s="10" t="s">
        <v>215</v>
      </c>
      <c r="F161" s="10" t="s">
        <v>315</v>
      </c>
      <c r="G161" s="10" t="s">
        <v>281</v>
      </c>
      <c r="H161" s="10" t="s">
        <v>282</v>
      </c>
      <c r="I161" s="10" t="s">
        <v>357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314</v>
      </c>
      <c r="E167" s="10" t="s">
        <v>215</v>
      </c>
      <c r="F167" s="10" t="s">
        <v>315</v>
      </c>
      <c r="G167" s="10" t="s">
        <v>281</v>
      </c>
      <c r="H167" s="10" t="s">
        <v>282</v>
      </c>
      <c r="I167" s="10" t="s">
        <v>357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345</v>
      </c>
    </row>
    <row r="173" spans="4:13" ht="20.100000000000001" customHeight="1" x14ac:dyDescent="0.25">
      <c r="D173" s="10" t="s">
        <v>314</v>
      </c>
      <c r="E173" s="10" t="s">
        <v>215</v>
      </c>
      <c r="F173" s="10" t="s">
        <v>315</v>
      </c>
      <c r="G173" s="10" t="s">
        <v>279</v>
      </c>
      <c r="H173" s="10" t="s">
        <v>171</v>
      </c>
      <c r="I173" s="10" t="s">
        <v>172</v>
      </c>
      <c r="J173" s="10" t="s">
        <v>280</v>
      </c>
      <c r="K173" s="10" t="s">
        <v>281</v>
      </c>
      <c r="L173" s="10" t="s">
        <v>282</v>
      </c>
      <c r="M173" s="10" t="s">
        <v>357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361</v>
      </c>
      <c r="N200" s="10"/>
      <c r="O200" s="10"/>
      <c r="P200" s="10"/>
    </row>
    <row r="201" spans="4:16" ht="20.100000000000001" customHeight="1" x14ac:dyDescent="0.25">
      <c r="D201" s="10" t="s">
        <v>314</v>
      </c>
      <c r="E201" s="10" t="s">
        <v>215</v>
      </c>
      <c r="F201" s="10" t="s">
        <v>315</v>
      </c>
      <c r="G201" s="10" t="s">
        <v>281</v>
      </c>
      <c r="H201" s="10" t="s">
        <v>282</v>
      </c>
      <c r="I201" s="10" t="s">
        <v>357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362</v>
      </c>
    </row>
    <row r="212" spans="4:16" ht="20.100000000000001" customHeight="1" x14ac:dyDescent="0.25">
      <c r="D212" s="10" t="s">
        <v>314</v>
      </c>
      <c r="E212" s="10" t="s">
        <v>215</v>
      </c>
      <c r="F212" s="10" t="s">
        <v>315</v>
      </c>
      <c r="G212" s="10" t="s">
        <v>281</v>
      </c>
      <c r="H212" s="10" t="s">
        <v>282</v>
      </c>
      <c r="I212" s="10" t="s">
        <v>357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363</v>
      </c>
    </row>
    <row r="219" spans="4:16" ht="20.100000000000001" customHeight="1" x14ac:dyDescent="0.25">
      <c r="D219" s="10" t="s">
        <v>314</v>
      </c>
      <c r="E219" s="10" t="s">
        <v>215</v>
      </c>
      <c r="F219" s="10" t="s">
        <v>315</v>
      </c>
      <c r="G219" s="10" t="s">
        <v>281</v>
      </c>
      <c r="H219" s="10" t="s">
        <v>282</v>
      </c>
      <c r="I219" s="10" t="s">
        <v>357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364</v>
      </c>
    </row>
    <row r="234" spans="4:9" ht="20.100000000000001" customHeight="1" x14ac:dyDescent="0.25">
      <c r="D234" s="10" t="s">
        <v>314</v>
      </c>
      <c r="E234" s="10" t="s">
        <v>215</v>
      </c>
      <c r="F234" s="10" t="s">
        <v>315</v>
      </c>
      <c r="G234" s="10" t="s">
        <v>281</v>
      </c>
      <c r="H234" s="10" t="s">
        <v>282</v>
      </c>
      <c r="I234" s="10" t="s">
        <v>357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74C2-C0D5-4732-AFB0-12B2B9477BFD}">
  <sheetPr>
    <tabColor theme="2" tint="-0.499984740745262"/>
  </sheetPr>
  <dimension ref="A1:AI165"/>
  <sheetViews>
    <sheetView showGridLines="0" topLeftCell="A29" zoomScale="85" zoomScaleNormal="85" workbookViewId="0">
      <selection activeCell="H29" sqref="H29"/>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767</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Solid waste'!A1", "Solid waste")</f>
        <v>Solid waste</v>
      </c>
      <c r="D8" s="12" t="str">
        <v>Fixed typo 'paper and carboard' to 'paper and cardboard'</v>
      </c>
    </row>
    <row r="9" spans="1:35" ht="20.100000000000001" customHeight="1" x14ac:dyDescent="0.25">
      <c r="A9" s="16"/>
      <c r="D9" s="12" t="str">
        <v>Fixed typo 'prunnings' to 'prunings'</v>
      </c>
    </row>
    <row r="10" spans="1:35" ht="20.100000000000001" customHeight="1" x14ac:dyDescent="0.25">
      <c r="A10" s="21" t="s">
        <v>77</v>
      </c>
      <c r="D10" s="12" t="str">
        <v>Added EF source column with specific references</v>
      </c>
    </row>
    <row r="11" spans="1:35" ht="20.100000000000001" customHeight="1" x14ac:dyDescent="0.25">
      <c r="A11" s="16" t="str">
        <f>HYPERLINK("#'10.1.1-2 Solid waste treatment'!A1", "10.1.1-2 Solid waste treatment")</f>
        <v>10.1.1-2 Solid waste treatment</v>
      </c>
      <c r="D11" s="12" t="str">
        <v>Added sub-categories for 'Incineration: Food waste, green waste, wood, sludge' in order to use volume to mass conversion factor values</v>
      </c>
    </row>
    <row r="12" spans="1:35" ht="20.100000000000001" customHeight="1" x14ac:dyDescent="0.25">
      <c r="A12" s="16"/>
      <c r="D12" s="12" t="str">
        <v>Added sub-categories for 'Composting: All organic waste' in order to use volume to mass conversion factor values</v>
      </c>
    </row>
    <row r="13" spans="1:35" ht="20.100000000000001" customHeight="1" x14ac:dyDescent="0.25">
      <c r="A13" s="23" t="s">
        <v>78</v>
      </c>
      <c r="D13" s="12" t="str">
        <v>Added sub-categories for 'Anaerobic digestion: All organic waste' in order to use volume to mass conversion factor values</v>
      </c>
    </row>
    <row r="14" spans="1:35" ht="20.100000000000001" customHeight="1" x14ac:dyDescent="0.25">
      <c r="A14" s="24" t="str">
        <f>HYPERLINK("#'Constants - Solid waste'!A1", "Constants - Solid waste")</f>
        <v>Constants - Solid waste</v>
      </c>
      <c r="D14" s="8" t="str" cm="1">
        <f t="array" ref="D14">WasteSolid_SourceData.Waste_EmissionFactorsForWasteTreatment_Variable()</f>
        <v>EFwt</v>
      </c>
    </row>
    <row r="15" spans="1:35" ht="20.100000000000001" customHeight="1" x14ac:dyDescent="0.25">
      <c r="A15" s="16" t="str">
        <f>HYPERLINK("#'Constants - Common'!A1", "Constants - Common")</f>
        <v>Constants - Common</v>
      </c>
      <c r="D15" s="13" t="str" cm="1">
        <f t="array" ref="D15">WasteSolid_SourceData.Waste_EmissionFactorsForWasteTreatment_Unit()</f>
        <v>t CO2e / t</v>
      </c>
      <c r="I15" s="8" t="s">
        <v>768</v>
      </c>
      <c r="K15" s="8" t="s">
        <v>769</v>
      </c>
      <c r="M15" s="8" t="s">
        <v>770</v>
      </c>
      <c r="O15" s="8" t="s">
        <v>771</v>
      </c>
    </row>
    <row r="16" spans="1:35" ht="20.100000000000001" customHeight="1" x14ac:dyDescent="0.25">
      <c r="D16" s="10" t="s">
        <v>772</v>
      </c>
      <c r="E16" s="10" t="s">
        <v>773</v>
      </c>
      <c r="F16" s="10" t="s">
        <v>774</v>
      </c>
      <c r="G16" s="10" t="s">
        <v>775</v>
      </c>
      <c r="I16" s="10" t="s">
        <v>773</v>
      </c>
      <c r="K16" s="164" t="s">
        <v>773</v>
      </c>
      <c r="M16" s="164" t="s">
        <v>773</v>
      </c>
      <c r="O16" s="164" t="s">
        <v>773</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4"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4"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4"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4"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4"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4"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4"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4"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4"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4"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4"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4"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6" t="str">
        <f>HYPERLINK("#A1", "▲ Back to top")</f>
        <v>▲ Back to top</v>
      </c>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4"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4"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9" t="str" cm="1">
        <f t="array" ref="D52">WasteSolid_SourceData.Waste_WasteVolumeToMassConversion_Title()</f>
        <v>Volume to mass conversion factor for various waste types</v>
      </c>
    </row>
    <row r="53" spans="1:7" ht="20.100000000000001" customHeight="1" x14ac:dyDescent="0.25">
      <c r="D53" s="11" t="str" cm="1">
        <f t="array" ref="D53">WasteSolid_SourceData.Waste_WasteVolumeToMassConversion_Source()</f>
        <v>VEERG 2026: Table A.4.1.2</v>
      </c>
    </row>
    <row r="54" spans="1:7" ht="20.100000000000001" customHeight="1" x14ac:dyDescent="0.25">
      <c r="D54" s="12" t="str" cm="1">
        <f t="array" ref="D54">WasteSolid_SourceData.Waste_WasteVolumeToMassConversion_Variation()</f>
        <v>VARIATION OF SOURCE: Changed column header CFw to VTMw to match title variable.</v>
      </c>
    </row>
    <row r="55" spans="1:7" ht="20.100000000000001" customHeight="1" x14ac:dyDescent="0.25">
      <c r="D55" s="8" t="str" cm="1">
        <f t="array" ref="D55">WasteSolid_SourceData.Waste_WasteVolumeToMassConversion_Variable()</f>
        <v>VTMw</v>
      </c>
    </row>
    <row r="56" spans="1:7" ht="20.100000000000001" customHeight="1" x14ac:dyDescent="0.25">
      <c r="D56" s="13" t="str" cm="1">
        <f t="array" ref="D56">WasteSolid_SourceData.Waste_WasteVolumeToMassConversion_Unit()</f>
        <v>t/m3</v>
      </c>
    </row>
    <row r="57" spans="1:7" ht="20.100000000000001" customHeight="1" x14ac:dyDescent="0.25">
      <c r="D57" s="10" t="s">
        <v>773</v>
      </c>
      <c r="E57" s="10" t="s">
        <v>776</v>
      </c>
    </row>
    <row r="58" spans="1: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6"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32C8-09D9-4A4C-943B-104D65869694}">
  <dimension ref="A1:AI165"/>
  <sheetViews>
    <sheetView showGridLines="0" topLeftCell="A138" zoomScaleNormal="100" workbookViewId="0">
      <selection activeCell="F143" sqref="F143"/>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708</v>
      </c>
      <c r="F112" s="20" t="s">
        <v>709</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17"/>
      <c r="K130" s="17"/>
      <c r="L130" s="17"/>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17"/>
      <c r="K131" s="17"/>
      <c r="L131" s="17"/>
    </row>
    <row r="132" spans="4:33" ht="20.100000000000001" customHeight="1" x14ac:dyDescent="0.25">
      <c r="D132" s="35" t="str">
        <f>$D$144</f>
        <v>Diesel</v>
      </c>
      <c r="E132" s="35" t="str">
        <f>$D$144</f>
        <v>Diesel</v>
      </c>
      <c r="F132" s="35" t="str">
        <f>$D$151</f>
        <v>Jet A1, Jet B</v>
      </c>
      <c r="G132" s="35" t="str">
        <f>$D$144</f>
        <v>Diesel</v>
      </c>
      <c r="H132" s="35"/>
      <c r="I132" s="35" t="str">
        <f>$D$144</f>
        <v>Diesel</v>
      </c>
      <c r="J132" s="17"/>
      <c r="K132" s="17"/>
      <c r="L132" s="17"/>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94</v>
      </c>
      <c r="J133" s="17"/>
      <c r="K133" s="17"/>
      <c r="L133" s="17"/>
    </row>
    <row r="134" spans="4:33" ht="20.100000000000001" customHeight="1" x14ac:dyDescent="0.25">
      <c r="D134" s="35" t="str">
        <f>$D$146</f>
        <v>Biodiesel</v>
      </c>
      <c r="E134" s="35" t="str">
        <f>$D$146</f>
        <v>Biodiesel</v>
      </c>
      <c r="F134" s="34"/>
      <c r="G134" s="35" t="str">
        <f>$D$160</f>
        <v>Fuel oil</v>
      </c>
      <c r="H134" s="35"/>
      <c r="I134" s="35"/>
      <c r="J134" s="17"/>
      <c r="K134" s="17"/>
      <c r="L134" s="17"/>
    </row>
    <row r="135" spans="4:33" ht="20.100000000000001" customHeight="1" x14ac:dyDescent="0.25">
      <c r="D135" s="35" t="str">
        <f>$D$147</f>
        <v>Ethanol</v>
      </c>
      <c r="E135" s="35" t="str">
        <f>$D$147</f>
        <v>Ethanol</v>
      </c>
      <c r="F135" s="34"/>
      <c r="G135" s="35" t="str">
        <f>$D$147</f>
        <v>Ethanol</v>
      </c>
      <c r="H135" s="35"/>
      <c r="I135" s="35"/>
      <c r="J135" s="17"/>
      <c r="K135" s="17"/>
      <c r="L135" s="17"/>
    </row>
    <row r="136" spans="4:33" ht="20.100000000000001" customHeight="1" x14ac:dyDescent="0.25">
      <c r="D136" s="35" t="str">
        <f>$D$148</f>
        <v>Other biofuels</v>
      </c>
      <c r="E136" s="35" t="str">
        <f>$D$148</f>
        <v>Other biofuels</v>
      </c>
      <c r="F136" s="34"/>
      <c r="G136" s="35" t="str">
        <f>$D$146</f>
        <v>Biodiesel</v>
      </c>
      <c r="H136" s="35"/>
      <c r="I136" s="35"/>
      <c r="J136" s="17"/>
      <c r="K136" s="17"/>
      <c r="L136" s="17"/>
    </row>
    <row r="137" spans="4:33" ht="20.100000000000001" customHeight="1" x14ac:dyDescent="0.25">
      <c r="D137" s="35" t="str">
        <f>$D$149</f>
        <v>Renewable diesel</v>
      </c>
      <c r="E137" s="35" t="str">
        <f>$D$149</f>
        <v>Renewable diesel</v>
      </c>
      <c r="F137" s="34"/>
      <c r="G137" s="35" t="str">
        <f>$D$149</f>
        <v>Renewable diesel</v>
      </c>
      <c r="H137" s="35"/>
      <c r="I137" s="35"/>
      <c r="J137" s="17"/>
      <c r="K137" s="17"/>
      <c r="L137" s="17"/>
    </row>
    <row r="138" spans="4:33" ht="20.100000000000001" customHeight="1" x14ac:dyDescent="0.25">
      <c r="D138" s="34"/>
      <c r="E138" s="36" t="str">
        <f>$D$161</f>
        <v>Natural gas (via pipeline) in GJ</v>
      </c>
      <c r="F138" s="36"/>
      <c r="G138" s="35" t="str">
        <f>$D$148</f>
        <v>Other biofuels</v>
      </c>
      <c r="H138" s="35"/>
      <c r="I138" s="35"/>
      <c r="J138" s="17"/>
      <c r="K138" s="17"/>
      <c r="L138" s="17"/>
    </row>
    <row r="139" spans="4:33" ht="20.100000000000001" customHeight="1" x14ac:dyDescent="0.25">
      <c r="D139" s="36"/>
      <c r="E139" s="36" t="str">
        <f>$D$162</f>
        <v>Town gas in GJ</v>
      </c>
      <c r="F139" s="36"/>
      <c r="G139" s="36"/>
      <c r="H139" s="36"/>
      <c r="I139" s="36"/>
      <c r="J139" s="17"/>
      <c r="K139" s="17"/>
      <c r="L139" s="17"/>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95</v>
      </c>
      <c r="E142" s="3" t="s">
        <v>96</v>
      </c>
      <c r="F142" s="3" t="s">
        <v>907</v>
      </c>
      <c r="G142" s="17"/>
      <c r="H142" s="17"/>
      <c r="I142" s="17"/>
      <c r="J142" s="17"/>
      <c r="K142" s="17"/>
      <c r="L142" s="17"/>
      <c r="M142" s="17"/>
      <c r="AG142" s="8"/>
    </row>
    <row r="143" spans="4:33" ht="20.100000000000001" customHeight="1" x14ac:dyDescent="0.25">
      <c r="D143" s="35" t="s">
        <v>97</v>
      </c>
      <c r="E143" s="3" t="s">
        <v>98</v>
      </c>
      <c r="F143" s="3" t="s">
        <v>908</v>
      </c>
      <c r="G143" s="17"/>
      <c r="H143" s="17"/>
      <c r="I143" s="17"/>
      <c r="J143" s="17"/>
      <c r="K143" s="17"/>
      <c r="L143" s="17"/>
      <c r="M143" s="17"/>
      <c r="AG143" s="8"/>
    </row>
    <row r="144" spans="4:33" ht="20.100000000000001" customHeight="1" x14ac:dyDescent="0.25">
      <c r="D144" s="35" t="s">
        <v>99</v>
      </c>
      <c r="E144" s="3" t="s">
        <v>98</v>
      </c>
      <c r="F144" s="3" t="s">
        <v>908</v>
      </c>
      <c r="G144" s="17"/>
      <c r="H144" s="17"/>
      <c r="I144" s="17"/>
      <c r="J144" s="17"/>
      <c r="K144" s="17"/>
      <c r="L144" s="17"/>
      <c r="M144" s="17"/>
      <c r="AG144" s="8"/>
    </row>
    <row r="145" spans="4:33" ht="20.100000000000001" customHeight="1" x14ac:dyDescent="0.25">
      <c r="D145" s="35" t="s">
        <v>100</v>
      </c>
      <c r="E145" s="3" t="s">
        <v>98</v>
      </c>
      <c r="F145" s="3" t="s">
        <v>908</v>
      </c>
      <c r="G145" s="17"/>
      <c r="H145" s="17"/>
      <c r="I145" s="17"/>
      <c r="J145" s="17"/>
      <c r="K145" s="17"/>
      <c r="L145" s="17"/>
      <c r="M145" s="17"/>
      <c r="AG145" s="8"/>
    </row>
    <row r="146" spans="4:33" ht="20.100000000000001" customHeight="1" x14ac:dyDescent="0.25">
      <c r="D146" s="35" t="s">
        <v>101</v>
      </c>
      <c r="E146" s="3" t="s">
        <v>98</v>
      </c>
      <c r="F146" s="3" t="s">
        <v>908</v>
      </c>
      <c r="G146" s="17"/>
      <c r="H146" s="17"/>
      <c r="I146" s="17"/>
      <c r="J146" s="17"/>
      <c r="K146" s="17"/>
      <c r="L146" s="17"/>
      <c r="M146" s="17"/>
      <c r="AG146" s="8"/>
    </row>
    <row r="147" spans="4:33" ht="20.100000000000001" customHeight="1" x14ac:dyDescent="0.25">
      <c r="D147" s="35" t="s">
        <v>102</v>
      </c>
      <c r="E147" s="3" t="s">
        <v>98</v>
      </c>
      <c r="F147" s="3" t="s">
        <v>908</v>
      </c>
      <c r="G147" s="17"/>
      <c r="H147" s="17"/>
      <c r="I147" s="17"/>
      <c r="J147" s="17"/>
      <c r="K147" s="17"/>
      <c r="L147" s="17"/>
      <c r="M147" s="17"/>
      <c r="AG147" s="8"/>
    </row>
    <row r="148" spans="4:33" ht="20.100000000000001" customHeight="1" x14ac:dyDescent="0.25">
      <c r="D148" s="35" t="s">
        <v>103</v>
      </c>
      <c r="E148" s="3" t="s">
        <v>98</v>
      </c>
      <c r="F148" s="3" t="s">
        <v>908</v>
      </c>
      <c r="G148" s="17"/>
      <c r="H148" s="17"/>
      <c r="I148" s="17"/>
      <c r="J148" s="17"/>
      <c r="K148" s="17"/>
      <c r="L148" s="17"/>
      <c r="M148" s="17"/>
      <c r="AG148" s="8"/>
    </row>
    <row r="149" spans="4:33" ht="20.100000000000001" customHeight="1" x14ac:dyDescent="0.25">
      <c r="D149" s="35" t="s">
        <v>104</v>
      </c>
      <c r="E149" s="3" t="s">
        <v>98</v>
      </c>
      <c r="F149" s="3" t="s">
        <v>908</v>
      </c>
      <c r="G149" s="17"/>
      <c r="H149" s="17"/>
      <c r="I149" s="17"/>
      <c r="J149" s="17"/>
      <c r="K149" s="17"/>
      <c r="L149" s="17"/>
      <c r="M149" s="17"/>
      <c r="AG149" s="8"/>
    </row>
    <row r="150" spans="4:33" ht="20.100000000000001" customHeight="1" x14ac:dyDescent="0.25">
      <c r="D150" s="35" t="s">
        <v>105</v>
      </c>
      <c r="E150" s="3" t="s">
        <v>98</v>
      </c>
      <c r="F150" s="3" t="s">
        <v>908</v>
      </c>
      <c r="G150" s="17"/>
      <c r="H150" s="17"/>
      <c r="I150" s="17"/>
      <c r="J150" s="17"/>
      <c r="K150" s="17"/>
      <c r="L150" s="17"/>
      <c r="M150" s="17"/>
      <c r="AG150" s="8"/>
    </row>
    <row r="151" spans="4:33" ht="20.100000000000001" customHeight="1" x14ac:dyDescent="0.25">
      <c r="D151" s="35" t="s">
        <v>106</v>
      </c>
      <c r="E151" s="3" t="s">
        <v>98</v>
      </c>
      <c r="F151" s="3" t="s">
        <v>908</v>
      </c>
      <c r="G151" s="17"/>
      <c r="H151" s="17"/>
      <c r="I151" s="17"/>
      <c r="J151" s="17"/>
      <c r="K151" s="17"/>
      <c r="L151" s="17"/>
      <c r="M151" s="17"/>
      <c r="AG151" s="8"/>
    </row>
    <row r="152" spans="4:33" ht="20.100000000000001" customHeight="1" x14ac:dyDescent="0.25">
      <c r="D152" s="37" t="s">
        <v>107</v>
      </c>
      <c r="E152" s="14" t="s">
        <v>98</v>
      </c>
      <c r="F152" s="3" t="s">
        <v>908</v>
      </c>
      <c r="G152" s="17"/>
      <c r="H152" s="17"/>
      <c r="I152" s="17"/>
      <c r="J152" s="17"/>
      <c r="K152" s="17"/>
      <c r="L152" s="17"/>
      <c r="M152" s="17"/>
      <c r="AG152" s="8"/>
    </row>
    <row r="153" spans="4:33" ht="20.100000000000001" customHeight="1" x14ac:dyDescent="0.25">
      <c r="D153" s="37" t="s">
        <v>108</v>
      </c>
      <c r="E153" s="14" t="s">
        <v>98</v>
      </c>
      <c r="F153" s="3" t="s">
        <v>908</v>
      </c>
      <c r="G153" s="17"/>
      <c r="H153" s="17"/>
      <c r="I153" s="17"/>
      <c r="J153" s="17"/>
      <c r="K153" s="17"/>
      <c r="L153" s="17"/>
      <c r="M153" s="17"/>
      <c r="AG153" s="8"/>
    </row>
    <row r="154" spans="4:33" ht="20.100000000000001" customHeight="1" x14ac:dyDescent="0.25">
      <c r="D154" s="37" t="s">
        <v>109</v>
      </c>
      <c r="E154" s="14" t="s">
        <v>98</v>
      </c>
      <c r="F154" s="3" t="s">
        <v>908</v>
      </c>
      <c r="G154" s="17"/>
      <c r="H154" s="17"/>
      <c r="I154" s="17"/>
      <c r="J154" s="17"/>
      <c r="K154" s="17"/>
      <c r="L154" s="17"/>
      <c r="M154" s="17"/>
      <c r="AG154" s="8"/>
    </row>
    <row r="155" spans="4:33" ht="20.100000000000001" customHeight="1" x14ac:dyDescent="0.25">
      <c r="D155" s="37" t="s">
        <v>110</v>
      </c>
      <c r="E155" s="14" t="s">
        <v>98</v>
      </c>
      <c r="F155" s="3" t="s">
        <v>908</v>
      </c>
      <c r="G155" s="17"/>
      <c r="H155" s="17"/>
      <c r="I155" s="17"/>
      <c r="J155" s="17"/>
      <c r="K155" s="17"/>
      <c r="L155" s="17"/>
      <c r="M155" s="17"/>
      <c r="AG155" s="8"/>
    </row>
    <row r="156" spans="4:33" ht="20.100000000000001" customHeight="1" x14ac:dyDescent="0.25">
      <c r="D156" s="37" t="s">
        <v>111</v>
      </c>
      <c r="E156" s="14" t="s">
        <v>98</v>
      </c>
      <c r="F156" s="3" t="s">
        <v>908</v>
      </c>
      <c r="G156" s="17"/>
      <c r="H156" s="17"/>
      <c r="I156" s="17"/>
      <c r="J156" s="17"/>
      <c r="K156" s="17"/>
      <c r="L156" s="17"/>
      <c r="M156" s="17"/>
      <c r="AG156" s="8"/>
    </row>
    <row r="157" spans="4:33" ht="20.100000000000001" customHeight="1" x14ac:dyDescent="0.25">
      <c r="D157" s="37" t="s">
        <v>112</v>
      </c>
      <c r="E157" s="14" t="s">
        <v>98</v>
      </c>
      <c r="F157" s="3" t="s">
        <v>908</v>
      </c>
      <c r="G157" s="17"/>
      <c r="H157" s="17"/>
      <c r="I157" s="17"/>
      <c r="J157" s="17"/>
      <c r="K157" s="17"/>
      <c r="L157" s="17"/>
      <c r="M157" s="17"/>
      <c r="AG157" s="8"/>
    </row>
    <row r="158" spans="4:33" ht="20.100000000000001" customHeight="1" x14ac:dyDescent="0.25">
      <c r="D158" s="37" t="s">
        <v>113</v>
      </c>
      <c r="E158" s="14" t="s">
        <v>98</v>
      </c>
      <c r="F158" s="3" t="s">
        <v>908</v>
      </c>
      <c r="G158" s="17"/>
      <c r="H158" s="17"/>
      <c r="I158" s="17"/>
      <c r="J158" s="17"/>
      <c r="K158" s="17"/>
      <c r="L158" s="17"/>
      <c r="M158" s="17"/>
      <c r="AG158" s="8"/>
    </row>
    <row r="159" spans="4:33" ht="20.100000000000001" customHeight="1" x14ac:dyDescent="0.25">
      <c r="D159" s="37" t="s">
        <v>114</v>
      </c>
      <c r="E159" s="14" t="s">
        <v>98</v>
      </c>
      <c r="F159" s="3" t="s">
        <v>908</v>
      </c>
      <c r="G159" s="17"/>
      <c r="H159" s="17"/>
      <c r="I159" s="17"/>
      <c r="J159" s="17"/>
      <c r="K159" s="17"/>
      <c r="L159" s="17"/>
      <c r="M159" s="17"/>
      <c r="AG159" s="8"/>
    </row>
    <row r="160" spans="4:33" ht="20.100000000000001" customHeight="1" x14ac:dyDescent="0.25">
      <c r="D160" s="37" t="s">
        <v>94</v>
      </c>
      <c r="E160" s="14" t="s">
        <v>98</v>
      </c>
      <c r="F160" s="3" t="s">
        <v>908</v>
      </c>
      <c r="G160" s="17"/>
      <c r="H160" s="17"/>
      <c r="I160" s="17"/>
      <c r="J160" s="17"/>
      <c r="K160" s="17"/>
      <c r="L160" s="17"/>
      <c r="M160" s="17"/>
      <c r="AG160" s="8"/>
    </row>
    <row r="161" spans="4:33" ht="20.100000000000001" customHeight="1" x14ac:dyDescent="0.25">
      <c r="D161" s="36"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307-2F1A-48B4-AE6A-9CC651A995C1}">
  <sheetPr>
    <tabColor theme="2" tint="-0.499984740745262"/>
  </sheetPr>
  <dimension ref="A1:W452"/>
  <sheetViews>
    <sheetView showGridLines="0" topLeftCell="A27" zoomScaleNormal="100" workbookViewId="0">
      <selection activeCell="G45" sqref="G45"/>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569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570</v>
      </c>
      <c r="E8" s="10" t="s">
        <v>571</v>
      </c>
      <c r="F8" s="10" t="s">
        <v>572</v>
      </c>
      <c r="G8" s="10" t="s">
        <v>573</v>
      </c>
      <c r="H8" s="10" t="s">
        <v>574</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575</v>
      </c>
      <c r="E19" s="10" t="s">
        <v>576</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577</v>
      </c>
      <c r="G26" s="9" t="s">
        <v>578</v>
      </c>
      <c r="J26" s="9" t="s">
        <v>579</v>
      </c>
      <c r="M26" s="8"/>
    </row>
    <row r="27" spans="1:13" ht="20.100000000000001" customHeight="1" x14ac:dyDescent="0.25">
      <c r="M27" s="8"/>
    </row>
    <row r="28" spans="1:13" ht="20.100000000000001" customHeight="1" x14ac:dyDescent="0.25">
      <c r="D28" s="163" t="s">
        <v>520</v>
      </c>
      <c r="E28" s="10" t="s">
        <v>325</v>
      </c>
      <c r="G28" s="163" t="s">
        <v>520</v>
      </c>
      <c r="H28" s="10" t="s">
        <v>325</v>
      </c>
      <c r="J28" s="163" t="s">
        <v>520</v>
      </c>
      <c r="K28" s="10" t="s">
        <v>325</v>
      </c>
      <c r="M28" s="8"/>
    </row>
    <row r="29" spans="1:13" ht="20.100000000000001" customHeight="1" x14ac:dyDescent="0.25">
      <c r="D29" s="10" t="s">
        <v>58</v>
      </c>
      <c r="E29" s="10" t="s">
        <v>580</v>
      </c>
      <c r="G29" s="10" t="s">
        <v>58</v>
      </c>
      <c r="H29" s="10" t="s">
        <v>580</v>
      </c>
      <c r="J29" s="10" t="s">
        <v>55</v>
      </c>
      <c r="K29" s="10" t="s">
        <v>581</v>
      </c>
      <c r="M29" s="8"/>
    </row>
    <row r="30" spans="1:13" ht="20.100000000000001" customHeight="1" x14ac:dyDescent="0.25">
      <c r="D30" s="10" t="s">
        <v>582</v>
      </c>
      <c r="E30" s="10" t="s">
        <v>583</v>
      </c>
      <c r="G30" s="10" t="s">
        <v>582</v>
      </c>
      <c r="H30" s="10" t="s">
        <v>583</v>
      </c>
      <c r="J30" s="10" t="s">
        <v>54</v>
      </c>
      <c r="K30" s="10" t="s">
        <v>584</v>
      </c>
      <c r="M30" s="8"/>
    </row>
    <row r="31" spans="1:13" ht="20.100000000000001" customHeight="1" x14ac:dyDescent="0.25">
      <c r="D31" s="10" t="s">
        <v>585</v>
      </c>
      <c r="E31" s="10" t="s">
        <v>586</v>
      </c>
      <c r="G31" s="10" t="s">
        <v>585</v>
      </c>
      <c r="H31" s="10" t="s">
        <v>586</v>
      </c>
      <c r="J31" s="8" t="s">
        <v>51</v>
      </c>
      <c r="K31" s="8" t="s">
        <v>587</v>
      </c>
      <c r="M31" s="8"/>
    </row>
    <row r="32" spans="1:13" ht="20.100000000000001" customHeight="1" x14ac:dyDescent="0.25">
      <c r="D32" s="10" t="s">
        <v>62</v>
      </c>
      <c r="E32" s="10" t="s">
        <v>588</v>
      </c>
      <c r="G32" s="10" t="s">
        <v>62</v>
      </c>
      <c r="H32" s="10" t="s">
        <v>588</v>
      </c>
      <c r="J32" s="10" t="s">
        <v>60</v>
      </c>
      <c r="K32" s="10" t="s">
        <v>589</v>
      </c>
      <c r="M32" s="8"/>
    </row>
    <row r="33" spans="4:13" ht="20.100000000000001" customHeight="1" x14ac:dyDescent="0.25">
      <c r="D33" s="10" t="s">
        <v>55</v>
      </c>
      <c r="E33" s="10" t="s">
        <v>581</v>
      </c>
      <c r="G33" s="8" t="s">
        <v>590</v>
      </c>
      <c r="H33" s="10" t="s">
        <v>590</v>
      </c>
      <c r="J33" s="10" t="s">
        <v>61</v>
      </c>
      <c r="K33" s="10" t="s">
        <v>591</v>
      </c>
      <c r="M33" s="8"/>
    </row>
    <row r="34" spans="4:13" ht="20.100000000000001" customHeight="1" x14ac:dyDescent="0.25">
      <c r="D34" s="10" t="s">
        <v>54</v>
      </c>
      <c r="E34" s="10" t="s">
        <v>584</v>
      </c>
      <c r="J34" s="8" t="s">
        <v>590</v>
      </c>
      <c r="K34" s="10" t="s">
        <v>590</v>
      </c>
      <c r="M34" s="8"/>
    </row>
    <row r="35" spans="4:13" ht="20.100000000000001" customHeight="1" x14ac:dyDescent="0.25">
      <c r="D35" s="8" t="s">
        <v>51</v>
      </c>
      <c r="E35" s="8" t="s">
        <v>587</v>
      </c>
      <c r="M35" s="8"/>
    </row>
    <row r="36" spans="4:13" ht="20.100000000000001" customHeight="1" x14ac:dyDescent="0.25">
      <c r="D36" s="10" t="s">
        <v>60</v>
      </c>
      <c r="E36" s="10" t="s">
        <v>589</v>
      </c>
      <c r="M36" s="8"/>
    </row>
    <row r="37" spans="4:13" ht="20.100000000000001" customHeight="1" x14ac:dyDescent="0.25">
      <c r="D37" s="10" t="s">
        <v>61</v>
      </c>
      <c r="E37" s="10" t="s">
        <v>591</v>
      </c>
      <c r="M37" s="8"/>
    </row>
    <row r="38" spans="4:13" ht="20.100000000000001" customHeight="1" x14ac:dyDescent="0.25">
      <c r="D38" s="8" t="s">
        <v>590</v>
      </c>
      <c r="E38" s="10" t="s">
        <v>590</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592</v>
      </c>
      <c r="G42" s="9" t="s">
        <v>910</v>
      </c>
      <c r="J42" s="9" t="s">
        <v>142</v>
      </c>
      <c r="M42" s="8"/>
    </row>
    <row r="43" spans="4:13" ht="20.100000000000001" customHeight="1" x14ac:dyDescent="0.25">
      <c r="M43" s="8"/>
    </row>
    <row r="44" spans="4:13" ht="20.100000000000001" customHeight="1" x14ac:dyDescent="0.25">
      <c r="D44" s="10" t="s">
        <v>144</v>
      </c>
      <c r="G44" s="10" t="s">
        <v>144</v>
      </c>
      <c r="J44" s="10" t="s">
        <v>43</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J47" s="8" t="s">
        <v>154</v>
      </c>
      <c r="M47" s="8"/>
    </row>
    <row r="48" spans="4:13" ht="20.100000000000001" customHeight="1" x14ac:dyDescent="0.25">
      <c r="J48" s="8" t="s">
        <v>157</v>
      </c>
      <c r="M48" s="8"/>
    </row>
    <row r="49" spans="4:14" ht="20.100000000000001" customHeight="1" x14ac:dyDescent="0.25">
      <c r="J49" s="8" t="s">
        <v>159</v>
      </c>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528</v>
      </c>
      <c r="E59" s="10" t="s">
        <v>593</v>
      </c>
      <c r="F59" s="10" t="s">
        <v>332</v>
      </c>
      <c r="G59" s="10" t="s">
        <v>311</v>
      </c>
      <c r="H59" s="10" t="s">
        <v>333</v>
      </c>
      <c r="I59" s="10" t="s">
        <v>430</v>
      </c>
      <c r="J59" s="10" t="s">
        <v>338</v>
      </c>
      <c r="K59" s="10" t="s">
        <v>388</v>
      </c>
      <c r="L59" s="10" t="s">
        <v>339</v>
      </c>
      <c r="M59" s="10" t="s">
        <v>385</v>
      </c>
      <c r="N59" s="10" t="s">
        <v>545</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520</v>
      </c>
      <c r="E75" s="10" t="s">
        <v>551</v>
      </c>
      <c r="F75" s="10" t="s">
        <v>545</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557</v>
      </c>
      <c r="E84" s="10" t="s">
        <v>558</v>
      </c>
      <c r="F84" s="10" t="s">
        <v>529</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557</v>
      </c>
      <c r="E97" s="10" t="s">
        <v>559</v>
      </c>
      <c r="F97" s="10" t="s">
        <v>529</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594</v>
      </c>
      <c r="E119" s="10" t="s">
        <v>560</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0DD3-D972-4D5D-86B9-B5F219D9C277}">
  <dimension ref="A1:W452"/>
  <sheetViews>
    <sheetView showGridLines="0" topLeftCell="A86" zoomScale="85" zoomScaleNormal="85" workbookViewId="0">
      <selection activeCell="F112" sqref="F112"/>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542</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Swine'!A1", "Swine")</f>
        <v>Swine</v>
      </c>
      <c r="D9" s="10" t="s">
        <v>146</v>
      </c>
      <c r="G9" s="10" t="s">
        <v>147</v>
      </c>
      <c r="M9" s="8"/>
    </row>
    <row r="10" spans="1:21" ht="20.100000000000001" customHeight="1" x14ac:dyDescent="0.25">
      <c r="A10" s="16"/>
      <c r="D10" s="8" t="s">
        <v>149</v>
      </c>
      <c r="G10" s="10" t="s">
        <v>151</v>
      </c>
      <c r="M10" s="8"/>
    </row>
    <row r="11" spans="1:21" ht="20.100000000000001" customHeight="1" x14ac:dyDescent="0.25">
      <c r="A11" s="21" t="s">
        <v>77</v>
      </c>
      <c r="G11" s="8" t="s">
        <v>154</v>
      </c>
      <c r="M11" s="8"/>
    </row>
    <row r="12" spans="1:21" ht="20.100000000000001" customHeight="1" x14ac:dyDescent="0.25">
      <c r="A12" s="16" t="str">
        <f>HYPERLINK("#'4.5.1.1-2 Methane'!A1", "4.5.1.1-2 Methane")</f>
        <v>4.5.1.1-2 Methane</v>
      </c>
      <c r="G12" s="8" t="s">
        <v>157</v>
      </c>
      <c r="M12" s="8"/>
    </row>
    <row r="13" spans="1:21" ht="20.100000000000001" customHeight="1" x14ac:dyDescent="0.25">
      <c r="A13" s="16" t="str">
        <f>HYPERLINK("#'4.5.1.3-4 Direct N2O'!A1", "4.5.1.3-4 Direct N2O")</f>
        <v>4.5.1.3-4 Direct N2O</v>
      </c>
      <c r="G13" s="8" t="s">
        <v>159</v>
      </c>
      <c r="M13" s="8"/>
    </row>
    <row r="14" spans="1:21" ht="20.100000000000001" customHeight="1" x14ac:dyDescent="0.25">
      <c r="A14" s="16" t="str">
        <f>HYPERLINK("#'4.5.1.5-6 Atmos Dep'!A1", "4.5.1.5-6 Soil atm. deposition")</f>
        <v>4.5.1.5-6 Soil atm. deposition</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HYPERLINK("#'4.5.1.7-8 Leaching and runoff'!A1", "4.5.1.7-8 Leaching &amp; runoff")</f>
        <v>4.5.1.7-8 Leaching &amp; runoff</v>
      </c>
      <c r="D15" s="11" t="str" cm="1">
        <f t="array" ref="D15">SourceData_Swine.SourceData_Swine_FracLEACH_DrylotMMS_Source()</f>
        <v>VEERG 2026: 4.5.2.3 CONSTANT</v>
      </c>
      <c r="M15" s="8"/>
    </row>
    <row r="16" spans="1:21" ht="20.100000000000001" customHeight="1" x14ac:dyDescent="0.25">
      <c r="A16" s="16" t="str">
        <f>HYPERLINK("#'4.5.1.9 Manure applied to soils'!A1", "4.5.1.9 Manure applied to soils")</f>
        <v>4.5.1.9 Manure applied to soils</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23" t="s">
        <v>78</v>
      </c>
      <c r="M18" s="8"/>
    </row>
    <row r="19" spans="1:13" ht="20.100000000000001" customHeight="1" x14ac:dyDescent="0.25">
      <c r="A19" s="16" t="str">
        <f>HYPERLINK("#'Constants - Swine'!A1", "Constants - Swine")</f>
        <v>Constants - Swine</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HYPERLINK("#'Constants - Livestock'!A1", "Constants - Livestock")</f>
        <v>Constants - Livestock</v>
      </c>
      <c r="D20" s="11" t="e" cm="1">
        <f t="array" aca="1" ref="D20" ca="1">SourceData_Swine.SourceData_Swine_MethaneVolatileSolidsEmissionsPotential_Source()</f>
        <v>#NAME?</v>
      </c>
      <c r="M20" s="8"/>
    </row>
    <row r="21" spans="1:13" ht="20.100000000000001" customHeight="1" x14ac:dyDescent="0.25">
      <c r="A21" s="16" t="str">
        <f>HYPERLINK("#'Constants - Common'!A1", "Constants - Common")</f>
        <v>Constants - Common</v>
      </c>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HYPERLINK("#'Acknowledgements'!A1", "Acknowledgements")</f>
        <v>Acknowledgements</v>
      </c>
      <c r="M22" s="8"/>
    </row>
    <row r="23" spans="1:13" ht="20.100000000000001" customHeight="1" x14ac:dyDescent="0.25">
      <c r="M23" s="8"/>
    </row>
    <row r="24" spans="1:13" ht="20.100000000000001" customHeight="1" x14ac:dyDescent="0.25">
      <c r="A24" s="16"/>
      <c r="D24" s="9" t="str" cm="1">
        <f t="array" ref="D24">SourceData_Swine.SourceData_Swine_MMS_MCFs_Title()</f>
        <v>Methane conversion factor for temperature zone and manure management system.</v>
      </c>
      <c r="H24" s="161" t="s">
        <v>543</v>
      </c>
      <c r="M24" s="8"/>
    </row>
    <row r="25" spans="1:13" ht="20.100000000000001" customHeight="1" x14ac:dyDescent="0.25">
      <c r="D25" s="11" t="str" cm="1">
        <f t="array" ref="D25">SourceData_Swine.SourceData_Swine_MMS_MCFs_Source()</f>
        <v>VEERG 2026: Table A.1.6.4: Swine - MCFs (MCFim)</v>
      </c>
      <c r="H25" s="161" t="s">
        <v>544</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520</v>
      </c>
      <c r="E28" s="10" t="s">
        <v>332</v>
      </c>
      <c r="F28" s="10" t="s">
        <v>311</v>
      </c>
      <c r="G28" s="10" t="s">
        <v>333</v>
      </c>
      <c r="H28" s="10" t="s">
        <v>430</v>
      </c>
      <c r="I28" s="10" t="s">
        <v>388</v>
      </c>
      <c r="J28" s="10" t="s">
        <v>385</v>
      </c>
      <c r="K28" s="10" t="s">
        <v>338</v>
      </c>
      <c r="L28" s="10" t="s">
        <v>339</v>
      </c>
      <c r="M28" s="10" t="s">
        <v>545</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546</v>
      </c>
      <c r="G38" s="9" t="s">
        <v>547</v>
      </c>
      <c r="K38" s="9" t="s">
        <v>548</v>
      </c>
      <c r="M38" s="8"/>
    </row>
    <row r="39" spans="4:13" ht="20.100000000000001" customHeight="1" x14ac:dyDescent="0.25">
      <c r="M39" s="8"/>
    </row>
    <row r="40" spans="4:13" ht="20.100000000000001" customHeight="1" x14ac:dyDescent="0.25">
      <c r="D40" s="163" t="s">
        <v>520</v>
      </c>
      <c r="E40" s="10" t="s">
        <v>325</v>
      </c>
      <c r="G40" s="163" t="s">
        <v>520</v>
      </c>
      <c r="H40" s="10" t="s">
        <v>325</v>
      </c>
      <c r="K40" s="163" t="s">
        <v>520</v>
      </c>
      <c r="L40" s="10" t="s">
        <v>325</v>
      </c>
      <c r="M40" s="8"/>
    </row>
    <row r="41" spans="4:13" ht="20.100000000000001" customHeight="1" x14ac:dyDescent="0.25">
      <c r="D41" s="10" t="s">
        <v>50</v>
      </c>
      <c r="E41" s="10" t="s">
        <v>912</v>
      </c>
      <c r="G41" s="10" t="s">
        <v>50</v>
      </c>
      <c r="H41" s="10" t="s">
        <v>912</v>
      </c>
      <c r="K41" s="10" t="s">
        <v>50</v>
      </c>
      <c r="L41" s="10" t="s">
        <v>912</v>
      </c>
      <c r="M41" s="8"/>
    </row>
    <row r="42" spans="4:13" ht="20.100000000000001" customHeight="1" x14ac:dyDescent="0.25">
      <c r="D42" s="10" t="s">
        <v>55</v>
      </c>
      <c r="E42" s="10" t="s">
        <v>581</v>
      </c>
      <c r="G42" s="10" t="s">
        <v>917</v>
      </c>
      <c r="H42" s="10" t="s">
        <v>918</v>
      </c>
      <c r="K42" s="10" t="s">
        <v>55</v>
      </c>
      <c r="L42" s="10" t="s">
        <v>581</v>
      </c>
      <c r="M42" s="8"/>
    </row>
    <row r="43" spans="4:13" ht="20.100000000000001" customHeight="1" x14ac:dyDescent="0.25">
      <c r="D43" s="10" t="s">
        <v>917</v>
      </c>
      <c r="E43" s="10" t="s">
        <v>918</v>
      </c>
      <c r="G43" s="10" t="s">
        <v>51</v>
      </c>
      <c r="H43" s="10" t="s">
        <v>587</v>
      </c>
      <c r="K43" s="10" t="s">
        <v>917</v>
      </c>
      <c r="L43" s="10" t="s">
        <v>918</v>
      </c>
      <c r="M43" s="8"/>
    </row>
    <row r="44" spans="4:13" ht="20.100000000000001" customHeight="1" x14ac:dyDescent="0.25">
      <c r="D44" s="10" t="s">
        <v>51</v>
      </c>
      <c r="E44" s="10" t="s">
        <v>587</v>
      </c>
      <c r="G44" s="10" t="s">
        <v>57</v>
      </c>
      <c r="H44" s="10" t="s">
        <v>919</v>
      </c>
      <c r="K44" s="10" t="s">
        <v>51</v>
      </c>
      <c r="L44" s="10" t="s">
        <v>587</v>
      </c>
      <c r="M44" s="8"/>
    </row>
    <row r="45" spans="4:13" ht="20.100000000000001" customHeight="1" x14ac:dyDescent="0.25">
      <c r="D45" s="10" t="s">
        <v>57</v>
      </c>
      <c r="E45" s="10" t="s">
        <v>919</v>
      </c>
      <c r="G45" s="10" t="s">
        <v>56</v>
      </c>
      <c r="H45" s="10" t="s">
        <v>920</v>
      </c>
      <c r="K45" s="10" t="s">
        <v>57</v>
      </c>
      <c r="L45" s="10" t="s">
        <v>919</v>
      </c>
      <c r="M45" s="8"/>
    </row>
    <row r="46" spans="4:13" ht="20.100000000000001" customHeight="1" x14ac:dyDescent="0.25">
      <c r="D46" s="10" t="s">
        <v>56</v>
      </c>
      <c r="E46" s="10" t="s">
        <v>920</v>
      </c>
      <c r="K46" s="10" t="s">
        <v>56</v>
      </c>
      <c r="L46" s="10" t="s">
        <v>920</v>
      </c>
      <c r="M46" s="8"/>
    </row>
    <row r="47" spans="4:13" ht="20.100000000000001" customHeight="1" x14ac:dyDescent="0.25">
      <c r="D47" s="10" t="s">
        <v>61</v>
      </c>
      <c r="E47" s="10" t="s">
        <v>591</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549</v>
      </c>
      <c r="G51" s="9" t="s">
        <v>550</v>
      </c>
      <c r="M51" s="8"/>
    </row>
    <row r="52" spans="1:13" ht="20.100000000000001" customHeight="1" x14ac:dyDescent="0.25">
      <c r="M52" s="8"/>
    </row>
    <row r="53" spans="1:13" ht="20.100000000000001" customHeight="1" x14ac:dyDescent="0.25">
      <c r="D53" s="163" t="s">
        <v>520</v>
      </c>
      <c r="E53" s="10" t="s">
        <v>551</v>
      </c>
      <c r="G53" s="10" t="s">
        <v>144</v>
      </c>
      <c r="M53" s="8"/>
    </row>
    <row r="54" spans="1:13" ht="20.100000000000001" customHeight="1" x14ac:dyDescent="0.25">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
        <v>917</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
        <v>51</v>
      </c>
      <c r="E57" s="10">
        <v>0.75</v>
      </c>
      <c r="M57" s="8"/>
    </row>
    <row r="58" spans="1:13" ht="20.100000000000001" customHeight="1" x14ac:dyDescent="0.25">
      <c r="D58" s="10" t="s">
        <v>57</v>
      </c>
      <c r="E58" s="10">
        <v>0.05</v>
      </c>
      <c r="M58" s="8"/>
    </row>
    <row r="59" spans="1:13" ht="20.100000000000001" customHeight="1" x14ac:dyDescent="0.25">
      <c r="D59" s="10" t="s">
        <v>56</v>
      </c>
      <c r="E59" s="10">
        <v>0</v>
      </c>
      <c r="M59" s="8"/>
    </row>
    <row r="60" spans="1:13" ht="20.100000000000001" customHeight="1" x14ac:dyDescent="0.25">
      <c r="D60" s="10" t="s">
        <v>61</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318</v>
      </c>
      <c r="E67" s="10" t="s">
        <v>552</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318</v>
      </c>
      <c r="E78" s="10" t="s">
        <v>553</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318</v>
      </c>
      <c r="E89" s="10" t="s">
        <v>554</v>
      </c>
      <c r="F89" s="10" t="s">
        <v>555</v>
      </c>
      <c r="G89" s="10" t="s">
        <v>556</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557</v>
      </c>
      <c r="E99" s="10" t="s">
        <v>558</v>
      </c>
      <c r="F99" s="10" t="s">
        <v>529</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557</v>
      </c>
      <c r="E111" s="10" t="s">
        <v>559</v>
      </c>
      <c r="F111" s="10" t="s">
        <v>529</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M120" s="8"/>
    </row>
    <row r="121" spans="1:22" ht="20.100000000000001" customHeight="1" x14ac:dyDescent="0.25">
      <c r="M121" s="8"/>
    </row>
    <row r="122" spans="1:22" ht="20.100000000000001" customHeight="1" x14ac:dyDescent="0.25">
      <c r="M122" s="8"/>
    </row>
    <row r="123" spans="1:22" ht="20.100000000000001" customHeight="1" x14ac:dyDescent="0.25">
      <c r="M123" s="8"/>
    </row>
    <row r="124" spans="1:22" ht="20.100000000000001" customHeight="1" x14ac:dyDescent="0.25">
      <c r="M124" s="8"/>
    </row>
    <row r="125" spans="1:22" ht="20.100000000000001" customHeight="1" x14ac:dyDescent="0.25">
      <c r="M125" s="8"/>
      <c r="V125" s="8"/>
    </row>
    <row r="126" spans="1:22" ht="20.100000000000001" customHeight="1" x14ac:dyDescent="0.25">
      <c r="M126" s="8"/>
      <c r="V126" s="8"/>
    </row>
    <row r="127" spans="1:22" ht="20.100000000000001" customHeight="1" x14ac:dyDescent="0.25">
      <c r="M127" s="8"/>
      <c r="V127" s="8"/>
    </row>
    <row r="128" spans="1: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9E9A-3CA0-4614-A18D-EFC25643C20A}">
  <dimension ref="A1:V288"/>
  <sheetViews>
    <sheetView showGridLines="0" zoomScale="85" zoomScaleNormal="85" workbookViewId="0">
      <selection activeCell="A9" sqref="A9"/>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517</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
        <v>518</v>
      </c>
      <c r="G5" s="9" t="s">
        <v>519</v>
      </c>
      <c r="J5" s="9" t="s">
        <v>142</v>
      </c>
      <c r="M5" s="8"/>
    </row>
    <row r="6" spans="1:21" ht="20.100000000000001" customHeight="1" x14ac:dyDescent="0.25">
      <c r="A6" s="18"/>
      <c r="M6" s="8"/>
    </row>
    <row r="7" spans="1:21" ht="20.100000000000001" customHeight="1" x14ac:dyDescent="0.25">
      <c r="A7" s="19" t="s">
        <v>67</v>
      </c>
      <c r="D7" s="163" t="s">
        <v>520</v>
      </c>
      <c r="E7" s="10" t="s">
        <v>325</v>
      </c>
      <c r="G7" s="10" t="s">
        <v>144</v>
      </c>
      <c r="J7" s="10" t="s">
        <v>43</v>
      </c>
      <c r="M7" s="8"/>
    </row>
    <row r="8" spans="1:21" ht="20.100000000000001" customHeight="1" x14ac:dyDescent="0.25">
      <c r="A8" s="16" t="str">
        <f>HYPERLINK("#'Input - Site'!A1", "Site")</f>
        <v>Site</v>
      </c>
      <c r="D8" s="10" t="s">
        <v>50</v>
      </c>
      <c r="E8" s="10" t="s">
        <v>912</v>
      </c>
      <c r="G8" s="10" t="str">
        <f>'Constants - Common'!$F$187</f>
        <v>Pasture</v>
      </c>
      <c r="J8" s="10" t="s">
        <v>147</v>
      </c>
      <c r="M8" s="8"/>
    </row>
    <row r="9" spans="1:21" ht="20.100000000000001" customHeight="1" x14ac:dyDescent="0.25">
      <c r="A9" s="16" t="str">
        <f>HYPERLINK("#'Input - Dairy'!A1", "Dairy")</f>
        <v>Dairy</v>
      </c>
      <c r="D9" s="10" t="s">
        <v>913</v>
      </c>
      <c r="E9" s="10" t="s">
        <v>914</v>
      </c>
      <c r="G9" s="8" t="str">
        <f>'Constants - Common'!$F$188</f>
        <v>Crop</v>
      </c>
      <c r="J9" s="10" t="s">
        <v>151</v>
      </c>
      <c r="M9" s="8"/>
    </row>
    <row r="10" spans="1:21" ht="20.100000000000001" customHeight="1" x14ac:dyDescent="0.25">
      <c r="A10" s="16"/>
      <c r="D10" s="10" t="s">
        <v>915</v>
      </c>
      <c r="E10" s="10" t="s">
        <v>916</v>
      </c>
      <c r="J10" s="8" t="s">
        <v>154</v>
      </c>
      <c r="M10" s="8"/>
    </row>
    <row r="11" spans="1:21" ht="20.100000000000001" customHeight="1" x14ac:dyDescent="0.25">
      <c r="A11" s="21" t="s">
        <v>77</v>
      </c>
      <c r="D11" s="10" t="s">
        <v>55</v>
      </c>
      <c r="E11" s="10" t="s">
        <v>581</v>
      </c>
      <c r="J11" s="8" t="s">
        <v>157</v>
      </c>
      <c r="M11" s="8"/>
    </row>
    <row r="12" spans="1:21" ht="20.100000000000001" customHeight="1" x14ac:dyDescent="0.25">
      <c r="A12" s="16" t="str">
        <f>HYPERLINK("#'4.3.1.1-2 Methane'!A1", "4.3.1.1-2 Methane")</f>
        <v>4.3.1.1-2 Methane</v>
      </c>
      <c r="J12" s="8" t="s">
        <v>159</v>
      </c>
      <c r="M12" s="8"/>
    </row>
    <row r="13" spans="1:21" ht="20.100000000000001" customHeight="1" x14ac:dyDescent="0.25">
      <c r="A13" s="16" t="str">
        <f>HYPERLINK("#'4.3.1.3-4 Direct N20'!A1", "4.3.1.3-4 Direct N2O")</f>
        <v>4.3.1.3-4 Direct N2O</v>
      </c>
      <c r="M13" s="8"/>
    </row>
    <row r="14" spans="1:21" ht="20.100000000000001" customHeight="1" x14ac:dyDescent="0.25">
      <c r="A14" s="16" t="str">
        <f>HYPERLINK("#'4.3.1.5 Atmos Deposition'!A1", "4.3.1.5 Atmospheric deposition")</f>
        <v>4.3.1.5 Atmospheric deposition</v>
      </c>
      <c r="M14" s="8"/>
    </row>
    <row r="15" spans="1:21" ht="20.100000000000001" customHeight="1" x14ac:dyDescent="0.25">
      <c r="A15" s="16" t="str">
        <f>HYPERLINK("#'4.3.1.6-7 Leaching and runoff'!A1", "4.3.1.6-7 Leaching and runoff")</f>
        <v>4.3.1.6-7 Leaching and runoff</v>
      </c>
      <c r="M15" s="8"/>
    </row>
    <row r="16" spans="1:21" ht="20.100000000000001" customHeight="1" x14ac:dyDescent="0.25">
      <c r="A16" s="16" t="str">
        <f>HYPERLINK("#'4.3.1.8 Manure applied to soils'!A1", "4.3.1.8 Manure applied to soils")</f>
        <v>4.3.1.8 Manure applied to soils</v>
      </c>
      <c r="D16" s="9" t="str" cm="1">
        <f t="array" ref="D16">SourceData_Dairy.SourceData_Dairy_LiveweightCowsAndHeifers_Title()</f>
        <v>Table A.1.3.1: Dairy cattle - Liveweight (kg) - Cows and Heifers (Wj)</v>
      </c>
      <c r="M16" s="8"/>
    </row>
    <row r="17" spans="1:13" ht="20.100000000000001" customHeight="1" x14ac:dyDescent="0.25">
      <c r="A17" s="16" t="str">
        <f>HYPERLINK("#'4.3.1.9 Soil direct N2O'!A1", "4.3.1.9 Soil direct N2O")</f>
        <v>4.3.1.9 Soil direct N2O</v>
      </c>
      <c r="D17" s="11" t="str" cm="1">
        <f t="array" ref="D17">SourceData_Dairy.SourceData_Dairy_LiveweightCowsAndHeifers_Source()</f>
        <v>VEERG 2026: Table A.1.3.1</v>
      </c>
      <c r="M17" s="8"/>
    </row>
    <row r="18" spans="1:13" ht="20.100000000000001" customHeight="1" x14ac:dyDescent="0.25">
      <c r="A18" s="16" t="str">
        <f>HYPERLINK("#'4.3.1.10-11 Soil Atmos Dep'!A1", "4.3.1.10-11 Soil atm. deposition")</f>
        <v>4.3.1.10-11 Soil atm. deposition</v>
      </c>
      <c r="D18" s="8" t="str" cm="1">
        <f t="array" ref="D18">SourceData_Dairy.SourceData_Dairy_LiveweightCowsAndHeifers_Variable()</f>
        <v>Wj</v>
      </c>
      <c r="M18" s="8"/>
    </row>
    <row r="19" spans="1:13" ht="20.100000000000001" customHeight="1" x14ac:dyDescent="0.25">
      <c r="A19" s="16" t="str">
        <f>HYPERLINK("#'4.3.1.12-13 Soil leach runoff'!A1", "4.3.1.12-13 Soil leach &amp; runoff")</f>
        <v>4.3.1.12-13 Soil leach &amp; runoff</v>
      </c>
      <c r="D19" s="13" t="str" cm="1">
        <f t="array" ref="D19">SourceData_Dairy.SourceData_Dairy_LiveweightCowsAndHeifers_Unit()</f>
        <v>kg</v>
      </c>
      <c r="M19" s="8"/>
    </row>
    <row r="20" spans="1:13" ht="20.100000000000001" customHeight="1" x14ac:dyDescent="0.25">
      <c r="A20" s="16"/>
      <c r="D20" s="12" t="e" cm="1">
        <f t="array" aca="1" ref="D20" ca="1">SourceData_Dairy.SourceData_Dairy_LiveweightCowsAndHeifers_Variation()</f>
        <v>#NAME?</v>
      </c>
      <c r="M20" s="8"/>
    </row>
    <row r="21" spans="1:13" ht="20.100000000000001" customHeight="1" x14ac:dyDescent="0.25">
      <c r="A21" s="23" t="s">
        <v>78</v>
      </c>
      <c r="D21" s="10" t="s">
        <v>499</v>
      </c>
      <c r="E21" s="10" t="s">
        <v>512</v>
      </c>
      <c r="F21" s="10" t="s">
        <v>521</v>
      </c>
      <c r="G21" s="10" t="s">
        <v>513</v>
      </c>
      <c r="M21" s="8"/>
    </row>
    <row r="22" spans="1:13" ht="20.100000000000001" customHeight="1" x14ac:dyDescent="0.25">
      <c r="A22" s="24" t="str">
        <f>HYPERLINK("#'Constants - Dairy'!A1", "Constants - Dairy")</f>
        <v>Constants - Dairy</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HYPERLINK("#'Constants - Livestock'!A1", "Constants - Livestock")</f>
        <v>Constants - Livestock</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HYPERLINK("#'Constants - Common'!A1", "Constants - Common")</f>
        <v>Constants - Common</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HYPERLINK("#'Acknowledgements'!A1", "Acknowledgements")</f>
        <v>Acknowledgements</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499</v>
      </c>
      <c r="E38" s="10" t="s">
        <v>522</v>
      </c>
      <c r="F38" s="10" t="s">
        <v>523</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512</v>
      </c>
      <c r="E46" s="10" t="s">
        <v>521</v>
      </c>
      <c r="F46" s="10" t="s">
        <v>513</v>
      </c>
      <c r="G46" s="10" t="s">
        <v>522</v>
      </c>
      <c r="H46" s="10" t="s">
        <v>523</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512</v>
      </c>
      <c r="E54" s="164" t="s">
        <v>521</v>
      </c>
      <c r="F54" s="164" t="s">
        <v>513</v>
      </c>
      <c r="G54" s="164" t="s">
        <v>522</v>
      </c>
      <c r="H54" s="164" t="s">
        <v>523</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524</v>
      </c>
      <c r="E62" s="10" t="s">
        <v>525</v>
      </c>
      <c r="F62" s="10" t="s">
        <v>526</v>
      </c>
      <c r="G62" s="10" t="s">
        <v>527</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528</v>
      </c>
      <c r="E72" s="10" t="s">
        <v>311</v>
      </c>
      <c r="F72" s="10" t="s">
        <v>332</v>
      </c>
      <c r="G72" s="10" t="s">
        <v>430</v>
      </c>
      <c r="H72" s="10" t="s">
        <v>333</v>
      </c>
      <c r="I72" s="10" t="s">
        <v>388</v>
      </c>
      <c r="J72" s="10" t="s">
        <v>385</v>
      </c>
      <c r="K72" s="10" t="s">
        <v>338</v>
      </c>
      <c r="L72" s="10" t="s">
        <v>339</v>
      </c>
      <c r="M72" s="10" t="s">
        <v>529</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528</v>
      </c>
      <c r="E86" s="10" t="s">
        <v>530</v>
      </c>
      <c r="F86" s="10" t="s">
        <v>531</v>
      </c>
      <c r="G86" s="10" t="s">
        <v>529</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524</v>
      </c>
      <c r="E98" s="10" t="s">
        <v>532</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524</v>
      </c>
      <c r="E107" s="10" t="s">
        <v>533</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534</v>
      </c>
      <c r="E116" s="10" t="s">
        <v>146</v>
      </c>
      <c r="F116" s="10" t="s">
        <v>535</v>
      </c>
      <c r="G116" s="10" t="s">
        <v>536</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528</v>
      </c>
      <c r="E128" s="10" t="s">
        <v>530</v>
      </c>
      <c r="F128" s="10" t="s">
        <v>529</v>
      </c>
      <c r="G128" s="161" t="s">
        <v>537</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524</v>
      </c>
      <c r="E141" s="10" t="s">
        <v>538</v>
      </c>
      <c r="F141" s="10" t="s">
        <v>539</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6" t="str">
        <f>HYPERLINK("#A1", "▲ Back to top")</f>
        <v>▲ Back to top</v>
      </c>
      <c r="D215" s="28"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8"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8"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8"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3AA6-A1A9-4CFA-B95B-52BC230D3C3B}">
  <dimension ref="A1:V483"/>
  <sheetViews>
    <sheetView showGridLines="0" topLeftCell="A436" zoomScale="70" zoomScaleNormal="70" workbookViewId="0">
      <selection activeCell="D444" sqref="D444"/>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442</v>
      </c>
      <c r="G5" s="9" t="s">
        <v>142</v>
      </c>
      <c r="M5" s="8" t="s">
        <v>443</v>
      </c>
      <c r="O5" s="8" t="s">
        <v>444</v>
      </c>
      <c r="Q5" s="8" t="s">
        <v>445</v>
      </c>
      <c r="S5" s="8" t="s">
        <v>446</v>
      </c>
    </row>
    <row r="6" spans="1:21" ht="20.100000000000001" customHeight="1" x14ac:dyDescent="0.25">
      <c r="A6" s="19" t="s">
        <v>67</v>
      </c>
      <c r="M6" s="8"/>
    </row>
    <row r="7" spans="1:21" ht="20.100000000000001" customHeight="1" x14ac:dyDescent="0.25">
      <c r="A7" s="16" t="str">
        <f>HYPERLINK("#'Input - Site'!A1", "Site")</f>
        <v>Site</v>
      </c>
      <c r="D7" s="10" t="s">
        <v>144</v>
      </c>
      <c r="G7" s="10" t="s">
        <v>43</v>
      </c>
      <c r="M7" s="3" t="s">
        <v>381</v>
      </c>
      <c r="O7" s="10" t="s">
        <v>381</v>
      </c>
      <c r="Q7" s="10" t="s">
        <v>381</v>
      </c>
      <c r="S7" s="10" t="s">
        <v>381</v>
      </c>
    </row>
    <row r="8" spans="1:21" ht="20.100000000000001" customHeight="1" x14ac:dyDescent="0.25">
      <c r="A8" s="16" t="str">
        <f>HYPERLINK("#'Input - Pasture Beef'!A1", "Pasture Beef")</f>
        <v>Pasture Beef</v>
      </c>
      <c r="D8" s="10" t="str">
        <f>'Constants - Common'!$F$187</f>
        <v>Pasture</v>
      </c>
      <c r="G8" s="10" t="s">
        <v>147</v>
      </c>
      <c r="M8" s="10" t="s">
        <v>447</v>
      </c>
      <c r="O8" s="10" t="s">
        <v>448</v>
      </c>
      <c r="Q8" s="10" t="s">
        <v>449</v>
      </c>
      <c r="S8" s="10" t="s">
        <v>429</v>
      </c>
    </row>
    <row r="9" spans="1:21" ht="20.100000000000001" customHeight="1" x14ac:dyDescent="0.25">
      <c r="A9" s="16"/>
      <c r="D9" s="8" t="str">
        <f>'Constants - Common'!$F$188</f>
        <v>Crop</v>
      </c>
      <c r="G9" s="10" t="s">
        <v>151</v>
      </c>
      <c r="M9" s="10" t="s">
        <v>450</v>
      </c>
      <c r="O9" s="10" t="s">
        <v>451</v>
      </c>
      <c r="Q9" s="10" t="s">
        <v>452</v>
      </c>
    </row>
    <row r="10" spans="1:21" ht="20.100000000000001" customHeight="1" x14ac:dyDescent="0.25">
      <c r="A10" s="21" t="s">
        <v>77</v>
      </c>
      <c r="G10" s="8" t="s">
        <v>154</v>
      </c>
      <c r="M10" s="10" t="s">
        <v>453</v>
      </c>
      <c r="O10" s="10" t="s">
        <v>454</v>
      </c>
      <c r="Q10" s="10" t="s">
        <v>455</v>
      </c>
      <c r="S10" s="8" t="s">
        <v>456</v>
      </c>
    </row>
    <row r="11" spans="1:21" ht="20.100000000000001" customHeight="1" x14ac:dyDescent="0.25">
      <c r="A11" s="16" t="str">
        <f>HYPERLINK("#'4.2.1.1-2 Methane'!A1", "4.2.1.1-2 Methane")</f>
        <v>4.2.1.1-2 Methane</v>
      </c>
      <c r="G11" s="8" t="s">
        <v>157</v>
      </c>
      <c r="M11" s="8"/>
      <c r="Q11" s="10" t="s">
        <v>457</v>
      </c>
    </row>
    <row r="12" spans="1:21" ht="20.100000000000001" customHeight="1" x14ac:dyDescent="0.25">
      <c r="A12" s="16" t="str">
        <f>HYPERLINK("#'4.2.1.3-4 Soil direct N2O'!A1", "4.2.1.3-4 Soil direct N2O")</f>
        <v>4.2.1.3-4 Soil direct N2O</v>
      </c>
      <c r="G12" s="8" t="s">
        <v>159</v>
      </c>
      <c r="M12" s="8"/>
      <c r="S12" s="10" t="s">
        <v>381</v>
      </c>
    </row>
    <row r="13" spans="1:21" ht="20.100000000000001" customHeight="1" x14ac:dyDescent="0.25">
      <c r="A13" s="16" t="str">
        <f>HYPERLINK("#'4.2.1.5-6 Soil Atmos Dep'!A1", "4.2.1.5-6 Soil atm. deposition")</f>
        <v>4.2.1.5-6 Soil atm. deposition</v>
      </c>
      <c r="M13" s="8"/>
      <c r="S13" s="10" t="s">
        <v>429</v>
      </c>
    </row>
    <row r="14" spans="1:21" ht="20.100000000000001" customHeight="1" x14ac:dyDescent="0.25">
      <c r="A14" s="16" t="str">
        <f>HYPERLINK("#'4.2.1.7-8 Soil leach runoff'!A1", "4.2.1.7-8 Soil leach &amp; runoff")</f>
        <v>4.2.1.7-8 Soil leach &amp; runoff</v>
      </c>
      <c r="D14" s="9" t="str" cm="1">
        <f t="array" ref="D14">SourceData_PastureBeef.SourceData_PastureBeef_Liveweight_Title()</f>
        <v>Beef pasture cattle - Liveweight (kg) (Wjkl)</v>
      </c>
      <c r="M14" s="8"/>
    </row>
    <row r="15" spans="1:21" ht="20.100000000000001" customHeight="1" x14ac:dyDescent="0.25">
      <c r="A15" s="16"/>
      <c r="D15" s="11" t="str" cm="1">
        <f t="array" ref="D15">SourceData_PastureBeef.SourceData_PastureBeef_Liveweight_Source()</f>
        <v>VEERG 2026: Table A.1.2.1</v>
      </c>
      <c r="M15" s="8"/>
      <c r="S15" s="8" t="s">
        <v>458</v>
      </c>
    </row>
    <row r="16" spans="1:21" ht="20.100000000000001" customHeight="1" x14ac:dyDescent="0.25">
      <c r="A16" s="23" t="s">
        <v>78</v>
      </c>
      <c r="D16" s="8" t="str" cm="1">
        <f t="array" ref="D16">SourceData_PastureBeef.SourceData_PastureBeef_Liveweight_Variable()</f>
        <v>Wjkl</v>
      </c>
      <c r="M16" s="8"/>
    </row>
    <row r="17" spans="1:19" ht="20.100000000000001" customHeight="1" x14ac:dyDescent="0.25">
      <c r="A17" s="16" t="str">
        <f>HYPERLINK("#'Constants - Pasture Beef'!A1", "Constants - Pasture Beef")</f>
        <v>Constants - Pasture Beef</v>
      </c>
      <c r="D17" s="13" t="str" cm="1">
        <f t="array" ref="D17">SourceData_PastureBeef.SourceData_PastureBeef_Liveweight_Unit()</f>
        <v>kg</v>
      </c>
      <c r="M17" s="8"/>
      <c r="O17" s="8" t="s">
        <v>510</v>
      </c>
      <c r="S17" s="10" t="s">
        <v>381</v>
      </c>
    </row>
    <row r="18" spans="1:19" ht="20.100000000000001" customHeight="1" x14ac:dyDescent="0.25">
      <c r="A18" s="16" t="str">
        <f>HYPERLINK("#'Constants - Livestock'!A1", "Constants - Livestock")</f>
        <v>Constants - Livestock</v>
      </c>
      <c r="D18" s="10" t="s">
        <v>276</v>
      </c>
      <c r="E18" s="10" t="s">
        <v>381</v>
      </c>
      <c r="F18" s="10" t="s">
        <v>47</v>
      </c>
      <c r="G18" s="10" t="s">
        <v>459</v>
      </c>
      <c r="H18" s="10" t="s">
        <v>460</v>
      </c>
      <c r="I18" s="10" t="s">
        <v>461</v>
      </c>
      <c r="J18" s="10" t="s">
        <v>462</v>
      </c>
      <c r="K18" s="10" t="s">
        <v>463</v>
      </c>
      <c r="L18" s="10" t="s">
        <v>464</v>
      </c>
      <c r="M18" s="10" t="s">
        <v>465</v>
      </c>
      <c r="O18" s="10" t="s">
        <v>283</v>
      </c>
      <c r="S18" s="10" t="s">
        <v>429</v>
      </c>
    </row>
    <row r="19" spans="1:19" ht="20.100000000000001" customHeight="1" x14ac:dyDescent="0.25">
      <c r="A19" s="16" t="str">
        <f>HYPERLINK("#'Constants - Common'!A1", "Constants - Common")</f>
        <v>Constants - Common</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479</v>
      </c>
    </row>
    <row r="20" spans="1:19" ht="20.100000000000001" customHeight="1" x14ac:dyDescent="0.25">
      <c r="A20" s="16" t="str">
        <f>HYPERLINK("#'Acknowledgements'!A1", "Acknowledgements")</f>
        <v>Acknowledgements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480</v>
      </c>
      <c r="S20" s="8" t="s">
        <v>466</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481</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482</v>
      </c>
      <c r="S22" s="10" t="s">
        <v>381</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483</v>
      </c>
      <c r="S23" s="10" t="s">
        <v>429</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484</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485</v>
      </c>
      <c r="S25" s="8" t="s">
        <v>467</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486</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487</v>
      </c>
      <c r="S27" s="10" t="s">
        <v>381</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488</v>
      </c>
      <c r="S28" s="10" t="s">
        <v>429</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428</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381</v>
      </c>
      <c r="P32" s="10" t="s">
        <v>511</v>
      </c>
    </row>
    <row r="33" spans="4:16"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311</v>
      </c>
      <c r="P33" s="10" t="s">
        <v>332</v>
      </c>
    </row>
    <row r="34" spans="4:16"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332</v>
      </c>
      <c r="P34" s="10" t="s">
        <v>332</v>
      </c>
    </row>
    <row r="35" spans="4:16"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388</v>
      </c>
      <c r="P35" s="10" t="s">
        <v>388</v>
      </c>
    </row>
    <row r="36" spans="4:16"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385</v>
      </c>
      <c r="P36" s="10" t="s">
        <v>385</v>
      </c>
    </row>
    <row r="37" spans="4:16"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338</v>
      </c>
      <c r="P37" s="10" t="s">
        <v>338</v>
      </c>
    </row>
    <row r="38" spans="4:16"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432</v>
      </c>
      <c r="P38" s="10" t="s">
        <v>339</v>
      </c>
    </row>
    <row r="39" spans="4:16"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431</v>
      </c>
      <c r="P39" s="10" t="s">
        <v>339</v>
      </c>
    </row>
    <row r="40" spans="4:16"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433</v>
      </c>
      <c r="P40" s="10" t="s">
        <v>339</v>
      </c>
    </row>
    <row r="41" spans="4:16"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434</v>
      </c>
      <c r="P41" s="10" t="s">
        <v>430</v>
      </c>
    </row>
    <row r="42" spans="4:16"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435</v>
      </c>
      <c r="P42" s="10" t="s">
        <v>430</v>
      </c>
    </row>
    <row r="43" spans="4:16"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436</v>
      </c>
      <c r="P43" s="10" t="s">
        <v>430</v>
      </c>
    </row>
    <row r="44" spans="4:16"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437</v>
      </c>
      <c r="P44" s="10" t="s">
        <v>333</v>
      </c>
    </row>
    <row r="45" spans="4:16"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438</v>
      </c>
      <c r="P45" s="10" t="s">
        <v>333</v>
      </c>
    </row>
    <row r="46" spans="4:16"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439</v>
      </c>
      <c r="P46" s="10" t="s">
        <v>333</v>
      </c>
    </row>
    <row r="47" spans="4:16" ht="20.100000000000001" customHeight="1" x14ac:dyDescent="0.25">
      <c r="M47" s="8"/>
      <c r="O47" s="10" t="s">
        <v>440</v>
      </c>
      <c r="P47" s="10" t="s">
        <v>333</v>
      </c>
    </row>
    <row r="48" spans="4:16" ht="20.100000000000001" customHeight="1" x14ac:dyDescent="0.25">
      <c r="M48" s="8"/>
      <c r="O48" s="8" t="s">
        <v>331</v>
      </c>
      <c r="P48" s="8" t="s">
        <v>331</v>
      </c>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276</v>
      </c>
      <c r="E53" s="10" t="s">
        <v>381</v>
      </c>
      <c r="F53" s="10" t="s">
        <v>47</v>
      </c>
      <c r="G53" s="10" t="s">
        <v>468</v>
      </c>
      <c r="H53" s="10" t="s">
        <v>469</v>
      </c>
      <c r="I53" s="10" t="s">
        <v>470</v>
      </c>
      <c r="J53" s="10" t="s">
        <v>471</v>
      </c>
      <c r="K53" s="10" t="s">
        <v>472</v>
      </c>
      <c r="L53" s="10" t="s">
        <v>473</v>
      </c>
      <c r="M53" s="10" t="s">
        <v>474</v>
      </c>
      <c r="N53" s="10" t="s">
        <v>475</v>
      </c>
      <c r="O53" s="10" t="s">
        <v>476</v>
      </c>
      <c r="P53" s="10" t="s">
        <v>477</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478</v>
      </c>
      <c r="M84" s="8"/>
    </row>
    <row r="85" spans="4:22" ht="20.100000000000001" customHeight="1" x14ac:dyDescent="0.25">
      <c r="D85" s="10" t="s">
        <v>276</v>
      </c>
      <c r="E85" s="10" t="s">
        <v>381</v>
      </c>
      <c r="F85" s="10" t="s">
        <v>47</v>
      </c>
      <c r="G85" s="160" t="s">
        <v>479</v>
      </c>
      <c r="H85" s="160" t="s">
        <v>480</v>
      </c>
      <c r="I85" s="160" t="s">
        <v>481</v>
      </c>
      <c r="J85" s="160" t="s">
        <v>482</v>
      </c>
      <c r="K85" s="160" t="s">
        <v>483</v>
      </c>
      <c r="L85" s="160" t="s">
        <v>484</v>
      </c>
      <c r="M85" s="160" t="s">
        <v>485</v>
      </c>
      <c r="N85" s="160" t="s">
        <v>486</v>
      </c>
      <c r="O85" s="160" t="s">
        <v>487</v>
      </c>
      <c r="P85" s="160" t="s">
        <v>488</v>
      </c>
      <c r="V85" s="8"/>
    </row>
    <row r="86" spans="4:22" ht="20.100000000000001" customHeight="1" x14ac:dyDescent="0.25">
      <c r="D86" s="10" t="s">
        <v>311</v>
      </c>
      <c r="E86" s="10" t="s">
        <v>429</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311</v>
      </c>
      <c r="E87" s="10" t="s">
        <v>429</v>
      </c>
      <c r="F87" s="10" t="s">
        <v>489</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311</v>
      </c>
      <c r="E88" s="10" t="s">
        <v>429</v>
      </c>
      <c r="F88" s="10" t="s">
        <v>490</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311</v>
      </c>
      <c r="E89" s="10" t="s">
        <v>429</v>
      </c>
      <c r="F89" s="10" t="s">
        <v>491</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332</v>
      </c>
      <c r="E90" s="10" t="s">
        <v>429</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332</v>
      </c>
      <c r="E91" s="10" t="s">
        <v>429</v>
      </c>
      <c r="F91" s="10" t="s">
        <v>489</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332</v>
      </c>
      <c r="E92" s="10" t="s">
        <v>429</v>
      </c>
      <c r="F92" s="10" t="s">
        <v>490</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332</v>
      </c>
      <c r="E93" s="10" t="s">
        <v>429</v>
      </c>
      <c r="F93" s="10" t="s">
        <v>491</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388</v>
      </c>
      <c r="E94" s="10" t="s">
        <v>429</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388</v>
      </c>
      <c r="E95" s="10" t="s">
        <v>429</v>
      </c>
      <c r="F95" s="10" t="s">
        <v>489</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388</v>
      </c>
      <c r="E96" s="10" t="s">
        <v>429</v>
      </c>
      <c r="F96" s="10" t="s">
        <v>490</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388</v>
      </c>
      <c r="E97" s="10" t="s">
        <v>429</v>
      </c>
      <c r="F97" s="10" t="s">
        <v>491</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385</v>
      </c>
      <c r="E98" s="10" t="s">
        <v>429</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385</v>
      </c>
      <c r="E99" s="10" t="s">
        <v>429</v>
      </c>
      <c r="F99" s="10" t="s">
        <v>489</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385</v>
      </c>
      <c r="E100" s="10" t="s">
        <v>429</v>
      </c>
      <c r="F100" s="10" t="s">
        <v>490</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385</v>
      </c>
      <c r="E101" s="10" t="s">
        <v>429</v>
      </c>
      <c r="F101" s="10" t="s">
        <v>491</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338</v>
      </c>
      <c r="E102" s="10" t="s">
        <v>429</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338</v>
      </c>
      <c r="E103" s="10" t="s">
        <v>429</v>
      </c>
      <c r="F103" s="10" t="s">
        <v>489</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338</v>
      </c>
      <c r="E104" s="10" t="s">
        <v>429</v>
      </c>
      <c r="F104" s="10" t="s">
        <v>490</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338</v>
      </c>
      <c r="E105" s="10" t="s">
        <v>429</v>
      </c>
      <c r="F105" s="10" t="s">
        <v>491</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339</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339</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339</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339</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339</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339</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339</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339</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339</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339</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339</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339</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430</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430</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430</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430</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430</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430</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430</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430</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430</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430</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430</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430</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333</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333</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333</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333</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333</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333</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333</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333</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333</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333</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333</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333</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333</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333</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333</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333</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331</v>
      </c>
      <c r="E146" s="8" t="s">
        <v>429</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331</v>
      </c>
      <c r="E147" s="8" t="s">
        <v>429</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4:16" ht="20.100000000000001" customHeight="1" x14ac:dyDescent="0.25">
      <c r="D148" s="8" t="s">
        <v>331</v>
      </c>
      <c r="E148" s="8" t="s">
        <v>429</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4:16" ht="20.100000000000001" customHeight="1" x14ac:dyDescent="0.25">
      <c r="D149" s="8" t="s">
        <v>331</v>
      </c>
      <c r="E149" s="8" t="s">
        <v>429</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276</v>
      </c>
      <c r="E154" s="10" t="s">
        <v>381</v>
      </c>
      <c r="F154" s="10" t="s">
        <v>47</v>
      </c>
      <c r="G154" s="10" t="s">
        <v>468</v>
      </c>
      <c r="H154" s="10" t="s">
        <v>469</v>
      </c>
      <c r="I154" s="10" t="s">
        <v>492</v>
      </c>
      <c r="J154" s="10" t="s">
        <v>462</v>
      </c>
      <c r="K154" s="10" t="s">
        <v>493</v>
      </c>
      <c r="L154" s="10" t="s">
        <v>474</v>
      </c>
      <c r="M154" s="10" t="s">
        <v>494</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276</v>
      </c>
      <c r="E189" s="10" t="s">
        <v>381</v>
      </c>
      <c r="F189" s="10" t="s">
        <v>47</v>
      </c>
      <c r="G189" s="10" t="s">
        <v>468</v>
      </c>
      <c r="H189" s="10" t="s">
        <v>469</v>
      </c>
      <c r="I189" s="10" t="s">
        <v>492</v>
      </c>
      <c r="J189" s="10" t="s">
        <v>462</v>
      </c>
      <c r="K189" s="10" t="s">
        <v>495</v>
      </c>
      <c r="L189" s="10" t="s">
        <v>496</v>
      </c>
      <c r="M189" s="10" t="s">
        <v>474</v>
      </c>
      <c r="N189" s="10" t="s">
        <v>475</v>
      </c>
      <c r="O189" s="10" t="s">
        <v>476</v>
      </c>
      <c r="P189" s="10" t="s">
        <v>477</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478</v>
      </c>
      <c r="M220" s="8"/>
    </row>
    <row r="221" spans="4:16" x14ac:dyDescent="0.25">
      <c r="M221" s="8"/>
    </row>
    <row r="222" spans="4:16" x14ac:dyDescent="0.25">
      <c r="D222" s="10" t="s">
        <v>276</v>
      </c>
      <c r="E222" s="10" t="s">
        <v>381</v>
      </c>
      <c r="F222" s="10" t="s">
        <v>47</v>
      </c>
      <c r="G222" s="160" t="s">
        <v>479</v>
      </c>
      <c r="H222" s="160" t="s">
        <v>480</v>
      </c>
      <c r="I222" s="160" t="s">
        <v>481</v>
      </c>
      <c r="J222" s="160" t="s">
        <v>482</v>
      </c>
      <c r="K222" s="160" t="s">
        <v>483</v>
      </c>
      <c r="L222" s="160" t="s">
        <v>484</v>
      </c>
      <c r="M222" s="160" t="s">
        <v>485</v>
      </c>
      <c r="N222" s="160" t="s">
        <v>486</v>
      </c>
      <c r="O222" s="160" t="s">
        <v>487</v>
      </c>
      <c r="P222" s="160" t="s">
        <v>488</v>
      </c>
    </row>
    <row r="223" spans="4:16" x14ac:dyDescent="0.25">
      <c r="D223" s="10" t="s">
        <v>311</v>
      </c>
      <c r="E223" s="10" t="s">
        <v>429</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311</v>
      </c>
      <c r="E224" s="10" t="s">
        <v>429</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311</v>
      </c>
      <c r="E225" s="10" t="s">
        <v>429</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311</v>
      </c>
      <c r="E226" s="10" t="s">
        <v>429</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332</v>
      </c>
      <c r="E227" s="10" t="s">
        <v>429</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332</v>
      </c>
      <c r="E228" s="10" t="s">
        <v>429</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332</v>
      </c>
      <c r="E229" s="10" t="s">
        <v>429</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332</v>
      </c>
      <c r="E230" s="10" t="s">
        <v>429</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388</v>
      </c>
      <c r="E231" s="10" t="s">
        <v>429</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388</v>
      </c>
      <c r="E232" s="10" t="s">
        <v>429</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388</v>
      </c>
      <c r="E233" s="10" t="s">
        <v>429</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388</v>
      </c>
      <c r="E234" s="10" t="s">
        <v>429</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385</v>
      </c>
      <c r="E235" s="10" t="s">
        <v>429</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385</v>
      </c>
      <c r="E236" s="10" t="s">
        <v>429</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385</v>
      </c>
      <c r="E237" s="10" t="s">
        <v>429</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385</v>
      </c>
      <c r="E238" s="10" t="s">
        <v>429</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338</v>
      </c>
      <c r="E239" s="10" t="s">
        <v>429</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338</v>
      </c>
      <c r="E240" s="10" t="s">
        <v>429</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338</v>
      </c>
      <c r="E241" s="10" t="s">
        <v>429</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338</v>
      </c>
      <c r="E242" s="10" t="s">
        <v>429</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339</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339</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339</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339</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339</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339</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339</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339</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339</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339</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339</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339</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430</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430</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430</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430</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430</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430</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430</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430</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430</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430</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430</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430</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333</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333</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333</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333</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333</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333</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333</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333</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333</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333</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333</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333</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333</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333</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333</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333</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276</v>
      </c>
      <c r="E290" s="10" t="s">
        <v>381</v>
      </c>
      <c r="F290" s="10" t="s">
        <v>497</v>
      </c>
      <c r="G290" s="10" t="s">
        <v>489</v>
      </c>
      <c r="H290" s="10" t="s">
        <v>490</v>
      </c>
      <c r="I290" s="10" t="s">
        <v>491</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276</v>
      </c>
      <c r="E313" s="10" t="s">
        <v>381</v>
      </c>
      <c r="F313" s="10" t="s">
        <v>497</v>
      </c>
      <c r="G313" s="10" t="s">
        <v>489</v>
      </c>
      <c r="H313" s="10" t="s">
        <v>490</v>
      </c>
      <c r="I313" s="10" t="s">
        <v>491</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498</v>
      </c>
      <c r="M333" s="8"/>
    </row>
    <row r="334" spans="4:13" x14ac:dyDescent="0.25">
      <c r="D334" s="10" t="s">
        <v>499</v>
      </c>
      <c r="E334" s="10" t="s">
        <v>47</v>
      </c>
      <c r="F334" s="10" t="s">
        <v>500</v>
      </c>
      <c r="G334" s="10" t="s">
        <v>501</v>
      </c>
      <c r="I334" s="10" t="s">
        <v>499</v>
      </c>
      <c r="J334" s="10" t="s">
        <v>47</v>
      </c>
      <c r="K334" s="10" t="s">
        <v>500</v>
      </c>
      <c r="L334" s="10" t="s">
        <v>501</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502</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503</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502</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503</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276</v>
      </c>
      <c r="E350" s="10" t="s">
        <v>504</v>
      </c>
      <c r="F350" s="10" t="s">
        <v>505</v>
      </c>
      <c r="G350" s="10" t="s">
        <v>470</v>
      </c>
      <c r="H350" s="10" t="s">
        <v>471</v>
      </c>
      <c r="I350" s="10" t="s">
        <v>506</v>
      </c>
      <c r="J350" s="10" t="s">
        <v>474</v>
      </c>
      <c r="K350" s="10" t="s">
        <v>494</v>
      </c>
      <c r="L350" s="10" t="s">
        <v>507</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276</v>
      </c>
      <c r="E361" s="160" t="s">
        <v>479</v>
      </c>
      <c r="F361" s="160" t="s">
        <v>480</v>
      </c>
      <c r="G361" s="160" t="s">
        <v>481</v>
      </c>
      <c r="H361" s="160" t="s">
        <v>482</v>
      </c>
      <c r="I361" s="160" t="s">
        <v>483</v>
      </c>
      <c r="J361" s="160" t="s">
        <v>484</v>
      </c>
      <c r="K361" s="160" t="s">
        <v>485</v>
      </c>
      <c r="L361" s="160" t="s">
        <v>486</v>
      </c>
      <c r="M361" s="160" t="s">
        <v>487</v>
      </c>
      <c r="N361" s="160" t="s">
        <v>488</v>
      </c>
      <c r="O361" s="10" t="s">
        <v>507</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508</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276</v>
      </c>
      <c r="E377" s="10" t="s">
        <v>381</v>
      </c>
      <c r="F377" s="10" t="s">
        <v>62</v>
      </c>
      <c r="G377" s="10" t="s">
        <v>509</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276</v>
      </c>
      <c r="E400" s="10" t="s">
        <v>381</v>
      </c>
      <c r="F400" s="10" t="s">
        <v>62</v>
      </c>
      <c r="G400" s="10" t="s">
        <v>509</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ht="15" customHeight="1" x14ac:dyDescent="0.25">
      <c r="D442" s="10" t="s">
        <v>314</v>
      </c>
      <c r="E442" s="10" t="s">
        <v>215</v>
      </c>
      <c r="F442" s="10" t="s">
        <v>315</v>
      </c>
      <c r="G442" s="10" t="s">
        <v>281</v>
      </c>
      <c r="H442" s="10" t="s">
        <v>282</v>
      </c>
      <c r="I442" s="10" t="s">
        <v>357</v>
      </c>
      <c r="M442" s="8"/>
    </row>
    <row r="443" spans="4:13" x14ac:dyDescent="0.25">
      <c r="D443" s="10" t="str" cm="1">
        <f t="array" ref="D443">Common_InputFunctions.Utility_DisplayArrayInTable(Scope3_SourceData.Scope3_Livestock_Data(), Table_SourceData_Scope3_Animals173[[#Headers],[Category]], 0, 2)</f>
        <v>Beef cattle</v>
      </c>
      <c r="E443" s="10" t="str" cm="1">
        <f t="array" ref="E443">Common_InputFunctions.Utility_DisplayArrayInTable(Scope3_SourceData.Scope3_Livestock_Data(), Table_SourceData_Scope3_Animals173[[#Headers],[Category]], 0, 2)</f>
        <v>Cattle, for manufacturing beef</v>
      </c>
      <c r="F443" s="10" t="str" cm="1">
        <f t="array" ref="F443">Common_InputFunctions.Utility_DisplayArrayInTable(Scope3_SourceData.Scope3_Livestock_Data(), Table_SourceData_Scope3_Animals173[[#Headers],[Category]], 0, 2)</f>
        <v>Australia</v>
      </c>
      <c r="G443" s="10" t="str" cm="1">
        <f t="array" ref="G443">Common_InputFunctions.Utility_DisplayArrayInTable(Scope3_SourceData.Scope3_Livestock_Data(), Table_SourceData_Scope3_Animals173[[#Headers],[Category]], 0, 2)</f>
        <v>kg liveweight</v>
      </c>
      <c r="H443" s="10" cm="1">
        <f t="array" ref="H443">Common_InputFunctions.Utility_DisplayArrayInTable(Scope3_SourceData.Scope3_Livestock_Data(), Table_SourceData_Scope3_Animals173[[#Headers],[Category]], 0, 2)</f>
        <v>11</v>
      </c>
      <c r="I443" s="10" t="str" cm="1">
        <f t="array" ref="I443">Common_InputFunctions.Utility_DisplayArrayInTable(Scope3_SourceData.Scope3_Livestock_Data(), Table_SourceData_Scope3_Animals173[[#Headers],[Category]], 0, 2)</f>
        <v>at market</v>
      </c>
      <c r="M443" s="8"/>
    </row>
    <row r="444" spans="4:13" x14ac:dyDescent="0.25">
      <c r="D444" s="10" t="str" cm="1">
        <f t="array" ref="D444">Common_InputFunctions.Utility_DisplayArrayInTable(Scope3_SourceData.Scope3_Livestock_Data(), Table_SourceData_Scope3_Animals173[[#Headers],[Category]], 0, 2)</f>
        <v>Beef cattle</v>
      </c>
      <c r="E444" s="10" t="str" cm="1">
        <f t="array" ref="E444">Common_InputFunctions.Utility_DisplayArrayInTable(Scope3_SourceData.Scope3_Livestock_Data(), Table_SourceData_Scope3_Animals173[[#Headers],[Category]], 0, 2)</f>
        <v>Cattle, for manufacturing beef</v>
      </c>
      <c r="F444" s="10" t="str" cm="1">
        <f t="array" ref="F444">Common_InputFunctions.Utility_DisplayArrayInTable(Scope3_SourceData.Scope3_Livestock_Data(), Table_SourceData_Scope3_Animals173[[#Headers],[Category]], 0, 2)</f>
        <v>NSW</v>
      </c>
      <c r="G444" s="10" t="str" cm="1">
        <f t="array" ref="G444">Common_InputFunctions.Utility_DisplayArrayInTable(Scope3_SourceData.Scope3_Livestock_Data(), Table_SourceData_Scope3_Animals173[[#Headers],[Category]], 0, 2)</f>
        <v>kg liveweight</v>
      </c>
      <c r="H444" s="10" cm="1">
        <f t="array" ref="H444">Common_InputFunctions.Utility_DisplayArrayInTable(Scope3_SourceData.Scope3_Livestock_Data(), Table_SourceData_Scope3_Animals173[[#Headers],[Category]], 0, 2)</f>
        <v>8.2100000000000009</v>
      </c>
      <c r="I444" s="10" t="str" cm="1">
        <f t="array" ref="I444">Common_InputFunctions.Utility_DisplayArrayInTable(Scope3_SourceData.Scope3_Livestock_Data(), Table_SourceData_Scope3_Animals173[[#Headers],[Category]], 0, 2)</f>
        <v>at market</v>
      </c>
      <c r="M444" s="8"/>
    </row>
    <row r="445" spans="4:13" x14ac:dyDescent="0.25">
      <c r="D445" s="10" t="str" cm="1">
        <f t="array" ref="D445">Common_InputFunctions.Utility_DisplayArrayInTable(Scope3_SourceData.Scope3_Livestock_Data(), Table_SourceData_Scope3_Animals173[[#Headers],[Category]], 0, 2)</f>
        <v>Beef cattle</v>
      </c>
      <c r="E445" s="10" t="str" cm="1">
        <f t="array" ref="E445">Common_InputFunctions.Utility_DisplayArrayInTable(Scope3_SourceData.Scope3_Livestock_Data(), Table_SourceData_Scope3_Animals173[[#Headers],[Category]], 0, 2)</f>
        <v>Cattle, for manufacturing beef</v>
      </c>
      <c r="F445" s="10" t="str" cm="1">
        <f t="array" ref="F445">Common_InputFunctions.Utility_DisplayArrayInTable(Scope3_SourceData.Scope3_Livestock_Data(), Table_SourceData_Scope3_Animals173[[#Headers],[Category]], 0, 2)</f>
        <v>NT</v>
      </c>
      <c r="G445" s="10" t="str" cm="1">
        <f t="array" ref="G445">Common_InputFunctions.Utility_DisplayArrayInTable(Scope3_SourceData.Scope3_Livestock_Data(), Table_SourceData_Scope3_Animals173[[#Headers],[Category]], 0, 2)</f>
        <v>kg liveweight</v>
      </c>
      <c r="H445" s="10" cm="1">
        <f t="array" ref="H445">Common_InputFunctions.Utility_DisplayArrayInTable(Scope3_SourceData.Scope3_Livestock_Data(), Table_SourceData_Scope3_Animals173[[#Headers],[Category]], 0, 2)</f>
        <v>12.2</v>
      </c>
      <c r="I445" s="10" t="str" cm="1">
        <f t="array" ref="I445">Common_InputFunctions.Utility_DisplayArrayInTable(Scope3_SourceData.Scope3_Livestock_Data(), Table_SourceData_Scope3_Animals173[[#Headers],[Category]], 0, 2)</f>
        <v>at market</v>
      </c>
      <c r="M445" s="8"/>
    </row>
    <row r="446" spans="4:13" x14ac:dyDescent="0.25">
      <c r="D446" s="10" t="str" cm="1">
        <f t="array" ref="D446">Common_InputFunctions.Utility_DisplayArrayInTable(Scope3_SourceData.Scope3_Livestock_Data(), Table_SourceData_Scope3_Animals173[[#Headers],[Category]], 0, 2)</f>
        <v>Beef cattle</v>
      </c>
      <c r="E446" s="10" t="str" cm="1">
        <f t="array" ref="E446">Common_InputFunctions.Utility_DisplayArrayInTable(Scope3_SourceData.Scope3_Livestock_Data(), Table_SourceData_Scope3_Animals173[[#Headers],[Category]], 0, 2)</f>
        <v>Cattle, for manufacturing beef</v>
      </c>
      <c r="F446" s="10" t="str" cm="1">
        <f t="array" ref="F446">Common_InputFunctions.Utility_DisplayArrayInTable(Scope3_SourceData.Scope3_Livestock_Data(), Table_SourceData_Scope3_Animals173[[#Headers],[Category]], 0, 2)</f>
        <v>QLD</v>
      </c>
      <c r="G446" s="10" t="str" cm="1">
        <f t="array" ref="G446">Common_InputFunctions.Utility_DisplayArrayInTable(Scope3_SourceData.Scope3_Livestock_Data(), Table_SourceData_Scope3_Animals173[[#Headers],[Category]], 0, 2)</f>
        <v>kg liveweight</v>
      </c>
      <c r="H446" s="10" cm="1">
        <f t="array" ref="H446">Common_InputFunctions.Utility_DisplayArrayInTable(Scope3_SourceData.Scope3_Livestock_Data(), Table_SourceData_Scope3_Animals173[[#Headers],[Category]], 0, 2)</f>
        <v>10.9</v>
      </c>
      <c r="I446" s="10" t="str" cm="1">
        <f t="array" ref="I446">Common_InputFunctions.Utility_DisplayArrayInTable(Scope3_SourceData.Scope3_Livestock_Data(), Table_SourceData_Scope3_Animals173[[#Headers],[Category]], 0, 2)</f>
        <v>at market</v>
      </c>
      <c r="M446" s="8"/>
    </row>
    <row r="447" spans="4:13" x14ac:dyDescent="0.25">
      <c r="D447" s="10" t="str" cm="1">
        <f t="array" ref="D447">Common_InputFunctions.Utility_DisplayArrayInTable(Scope3_SourceData.Scope3_Livestock_Data(), Table_SourceData_Scope3_Animals173[[#Headers],[Category]], 0, 2)</f>
        <v>Beef cattle</v>
      </c>
      <c r="E447" s="10" t="str" cm="1">
        <f t="array" ref="E447">Common_InputFunctions.Utility_DisplayArrayInTable(Scope3_SourceData.Scope3_Livestock_Data(), Table_SourceData_Scope3_Animals173[[#Headers],[Category]], 0, 2)</f>
        <v>Cattle, for manufacturing beef</v>
      </c>
      <c r="F447" s="10" t="str" cm="1">
        <f t="array" ref="F447">Common_InputFunctions.Utility_DisplayArrayInTable(Scope3_SourceData.Scope3_Livestock_Data(), Table_SourceData_Scope3_Animals173[[#Headers],[Category]], 0, 2)</f>
        <v>SA</v>
      </c>
      <c r="G447" s="10" t="str" cm="1">
        <f t="array" ref="G447">Common_InputFunctions.Utility_DisplayArrayInTable(Scope3_SourceData.Scope3_Livestock_Data(), Table_SourceData_Scope3_Animals173[[#Headers],[Category]], 0, 2)</f>
        <v>kg liveweight</v>
      </c>
      <c r="H447" s="10" cm="1">
        <f t="array" ref="H447">Common_InputFunctions.Utility_DisplayArrayInTable(Scope3_SourceData.Scope3_Livestock_Data(), Table_SourceData_Scope3_Animals173[[#Headers],[Category]], 0, 2)</f>
        <v>7.63</v>
      </c>
      <c r="I447" s="10" t="str" cm="1">
        <f t="array" ref="I447">Common_InputFunctions.Utility_DisplayArrayInTable(Scope3_SourceData.Scope3_Livestock_Data(), Table_SourceData_Scope3_Animals173[[#Headers],[Category]], 0, 2)</f>
        <v>at market</v>
      </c>
      <c r="M447" s="8"/>
    </row>
    <row r="448" spans="4:13" x14ac:dyDescent="0.25">
      <c r="D448" s="10" t="str" cm="1">
        <f t="array" ref="D448">Common_InputFunctions.Utility_DisplayArrayInTable(Scope3_SourceData.Scope3_Livestock_Data(), Table_SourceData_Scope3_Animals173[[#Headers],[Category]], 0, 2)</f>
        <v>Beef cattle</v>
      </c>
      <c r="E448" s="10" t="str" cm="1">
        <f t="array" ref="E448">Common_InputFunctions.Utility_DisplayArrayInTable(Scope3_SourceData.Scope3_Livestock_Data(), Table_SourceData_Scope3_Animals173[[#Headers],[Category]], 0, 2)</f>
        <v>Cattle, for manufacturing beef</v>
      </c>
      <c r="F448" s="10" t="str" cm="1">
        <f t="array" ref="F448">Common_InputFunctions.Utility_DisplayArrayInTable(Scope3_SourceData.Scope3_Livestock_Data(), Table_SourceData_Scope3_Animals173[[#Headers],[Category]], 0, 2)</f>
        <v>TAS</v>
      </c>
      <c r="G448" s="10" t="str" cm="1">
        <f t="array" ref="G448">Common_InputFunctions.Utility_DisplayArrayInTable(Scope3_SourceData.Scope3_Livestock_Data(), Table_SourceData_Scope3_Animals173[[#Headers],[Category]], 0, 2)</f>
        <v>kg liveweight</v>
      </c>
      <c r="H448" s="10" cm="1">
        <f t="array" ref="H448">Common_InputFunctions.Utility_DisplayArrayInTable(Scope3_SourceData.Scope3_Livestock_Data(), Table_SourceData_Scope3_Animals173[[#Headers],[Category]], 0, 2)</f>
        <v>8.75</v>
      </c>
      <c r="I448" s="10" t="str" cm="1">
        <f t="array" ref="I448">Common_InputFunctions.Utility_DisplayArrayInTable(Scope3_SourceData.Scope3_Livestock_Data(), Table_SourceData_Scope3_Animals173[[#Headers],[Category]], 0, 2)</f>
        <v>at market</v>
      </c>
      <c r="M448" s="8"/>
    </row>
    <row r="449" spans="4:13" x14ac:dyDescent="0.25">
      <c r="D449" s="10" t="str" cm="1">
        <f t="array" ref="D449">Common_InputFunctions.Utility_DisplayArrayInTable(Scope3_SourceData.Scope3_Livestock_Data(), Table_SourceData_Scope3_Animals173[[#Headers],[Category]], 0, 2)</f>
        <v>Beef cattle</v>
      </c>
      <c r="E449" s="10" t="str" cm="1">
        <f t="array" ref="E449">Common_InputFunctions.Utility_DisplayArrayInTable(Scope3_SourceData.Scope3_Livestock_Data(), Table_SourceData_Scope3_Animals173[[#Headers],[Category]], 0, 2)</f>
        <v>Cattle, for manufacturing beef</v>
      </c>
      <c r="F449" s="10" t="str" cm="1">
        <f t="array" ref="F449">Common_InputFunctions.Utility_DisplayArrayInTable(Scope3_SourceData.Scope3_Livestock_Data(), Table_SourceData_Scope3_Animals173[[#Headers],[Category]], 0, 2)</f>
        <v>VIC</v>
      </c>
      <c r="G449" s="10" t="str" cm="1">
        <f t="array" ref="G449">Common_InputFunctions.Utility_DisplayArrayInTable(Scope3_SourceData.Scope3_Livestock_Data(), Table_SourceData_Scope3_Animals173[[#Headers],[Category]], 0, 2)</f>
        <v>kg liveweight</v>
      </c>
      <c r="H449" s="10" cm="1">
        <f t="array" ref="H449">Common_InputFunctions.Utility_DisplayArrayInTable(Scope3_SourceData.Scope3_Livestock_Data(), Table_SourceData_Scope3_Animals173[[#Headers],[Category]], 0, 2)</f>
        <v>8.17</v>
      </c>
      <c r="I449" s="10" t="str" cm="1">
        <f t="array" ref="I449">Common_InputFunctions.Utility_DisplayArrayInTable(Scope3_SourceData.Scope3_Livestock_Data(), Table_SourceData_Scope3_Animals173[[#Headers],[Category]], 0, 2)</f>
        <v>at market</v>
      </c>
      <c r="M449" s="8"/>
    </row>
    <row r="450" spans="4:13" x14ac:dyDescent="0.25">
      <c r="D450" s="10" t="str" cm="1">
        <f t="array" ref="D450">Common_InputFunctions.Utility_DisplayArrayInTable(Scope3_SourceData.Scope3_Livestock_Data(), Table_SourceData_Scope3_Animals173[[#Headers],[Category]], 0, 2)</f>
        <v>Beef cattle</v>
      </c>
      <c r="E450" s="10" t="str" cm="1">
        <f t="array" ref="E450">Common_InputFunctions.Utility_DisplayArrayInTable(Scope3_SourceData.Scope3_Livestock_Data(), Table_SourceData_Scope3_Animals173[[#Headers],[Category]], 0, 2)</f>
        <v>Cattle, for manufacturing beef</v>
      </c>
      <c r="F450" s="10" t="str" cm="1">
        <f t="array" ref="F450">Common_InputFunctions.Utility_DisplayArrayInTable(Scope3_SourceData.Scope3_Livestock_Data(), Table_SourceData_Scope3_Animals173[[#Headers],[Category]], 0, 2)</f>
        <v>WA</v>
      </c>
      <c r="G450" s="10" t="str" cm="1">
        <f t="array" ref="G450">Common_InputFunctions.Utility_DisplayArrayInTable(Scope3_SourceData.Scope3_Livestock_Data(), Table_SourceData_Scope3_Animals173[[#Headers],[Category]], 0, 2)</f>
        <v>kg liveweight</v>
      </c>
      <c r="H450" s="10" cm="1">
        <f t="array" ref="H450">Common_InputFunctions.Utility_DisplayArrayInTable(Scope3_SourceData.Scope3_Livestock_Data(), Table_SourceData_Scope3_Animals173[[#Headers],[Category]], 0, 2)</f>
        <v>13.1</v>
      </c>
      <c r="I450" s="10" t="str" cm="1">
        <f t="array" ref="I450">Common_InputFunctions.Utility_DisplayArrayInTable(Scope3_SourceData.Scope3_Livestock_Data(), Table_SourceData_Scope3_Animals173[[#Headers],[Category]], 0, 2)</f>
        <v>at market</v>
      </c>
      <c r="M450" s="8"/>
    </row>
    <row r="451" spans="4:13" x14ac:dyDescent="0.25">
      <c r="D451" s="10" t="str" cm="1">
        <f t="array" ref="D451">Common_InputFunctions.Utility_DisplayArrayInTable(Scope3_SourceData.Scope3_Livestock_Data(), Table_SourceData_Scope3_Animals173[[#Headers],[Category]], 0, 2)</f>
        <v>Beef cattle</v>
      </c>
      <c r="E451" s="10" t="str" cm="1">
        <f t="array" ref="E451">Common_InputFunctions.Utility_DisplayArrayInTable(Scope3_SourceData.Scope3_Livestock_Data(), Table_SourceData_Scope3_Animals173[[#Headers],[Category]], 0, 2)</f>
        <v>Cattle, for prime beef</v>
      </c>
      <c r="F451" s="10" t="str" cm="1">
        <f t="array" ref="F451">Common_InputFunctions.Utility_DisplayArrayInTable(Scope3_SourceData.Scope3_Livestock_Data(), Table_SourceData_Scope3_Animals173[[#Headers],[Category]], 0, 2)</f>
        <v>Australia</v>
      </c>
      <c r="G451" s="10" t="str" cm="1">
        <f t="array" ref="G451">Common_InputFunctions.Utility_DisplayArrayInTable(Scope3_SourceData.Scope3_Livestock_Data(), Table_SourceData_Scope3_Animals173[[#Headers],[Category]], 0, 2)</f>
        <v>kg liveweight</v>
      </c>
      <c r="H451" s="10" cm="1">
        <f t="array" ref="H451">Common_InputFunctions.Utility_DisplayArrayInTable(Scope3_SourceData.Scope3_Livestock_Data(), Table_SourceData_Scope3_Animals173[[#Headers],[Category]], 0, 2)</f>
        <v>14.5</v>
      </c>
      <c r="I451" s="10" t="str" cm="1">
        <f t="array" ref="I451">Common_InputFunctions.Utility_DisplayArrayInTable(Scope3_SourceData.Scope3_Livestock_Data(), Table_SourceData_Scope3_Animals173[[#Headers],[Category]], 0, 2)</f>
        <v>at market</v>
      </c>
      <c r="M451" s="8"/>
    </row>
    <row r="452" spans="4:13" x14ac:dyDescent="0.25">
      <c r="D452" s="10" t="str" cm="1">
        <f t="array" ref="D452">Common_InputFunctions.Utility_DisplayArrayInTable(Scope3_SourceData.Scope3_Livestock_Data(), Table_SourceData_Scope3_Animals173[[#Headers],[Category]], 0, 2)</f>
        <v>Beef cattle</v>
      </c>
      <c r="E452" s="10" t="str" cm="1">
        <f t="array" ref="E452">Common_InputFunctions.Utility_DisplayArrayInTable(Scope3_SourceData.Scope3_Livestock_Data(), Table_SourceData_Scope3_Animals173[[#Headers],[Category]], 0, 2)</f>
        <v>Cattle, for prime beef</v>
      </c>
      <c r="F452" s="10" t="str" cm="1">
        <f t="array" ref="F452">Common_InputFunctions.Utility_DisplayArrayInTable(Scope3_SourceData.Scope3_Livestock_Data(), Table_SourceData_Scope3_Animals173[[#Headers],[Category]], 0, 2)</f>
        <v>NSW</v>
      </c>
      <c r="G452" s="10" t="str" cm="1">
        <f t="array" ref="G452">Common_InputFunctions.Utility_DisplayArrayInTable(Scope3_SourceData.Scope3_Livestock_Data(), Table_SourceData_Scope3_Animals173[[#Headers],[Category]], 0, 2)</f>
        <v>kg liveweight</v>
      </c>
      <c r="H452" s="10" cm="1">
        <f t="array" ref="H452">Common_InputFunctions.Utility_DisplayArrayInTable(Scope3_SourceData.Scope3_Livestock_Data(), Table_SourceData_Scope3_Animals173[[#Headers],[Category]], 0, 2)</f>
        <v>11.3</v>
      </c>
      <c r="I452" s="10" t="str" cm="1">
        <f t="array" ref="I452">Common_InputFunctions.Utility_DisplayArrayInTable(Scope3_SourceData.Scope3_Livestock_Data(), Table_SourceData_Scope3_Animals173[[#Headers],[Category]], 0, 2)</f>
        <v>at market</v>
      </c>
      <c r="M452" s="8"/>
    </row>
    <row r="453" spans="4:13" x14ac:dyDescent="0.25">
      <c r="D453" s="10" t="str" cm="1">
        <f t="array" ref="D453">Common_InputFunctions.Utility_DisplayArrayInTable(Scope3_SourceData.Scope3_Livestock_Data(), Table_SourceData_Scope3_Animals173[[#Headers],[Category]], 0, 2)</f>
        <v>Beef cattle</v>
      </c>
      <c r="E453" s="10" t="str" cm="1">
        <f t="array" ref="E453">Common_InputFunctions.Utility_DisplayArrayInTable(Scope3_SourceData.Scope3_Livestock_Data(), Table_SourceData_Scope3_Animals173[[#Headers],[Category]], 0, 2)</f>
        <v>Cattle, for prime beef</v>
      </c>
      <c r="F453" s="10" t="str" cm="1">
        <f t="array" ref="F453">Common_InputFunctions.Utility_DisplayArrayInTable(Scope3_SourceData.Scope3_Livestock_Data(), Table_SourceData_Scope3_Animals173[[#Headers],[Category]], 0, 2)</f>
        <v>NT</v>
      </c>
      <c r="G453" s="10" t="str" cm="1">
        <f t="array" ref="G453">Common_InputFunctions.Utility_DisplayArrayInTable(Scope3_SourceData.Scope3_Livestock_Data(), Table_SourceData_Scope3_Animals173[[#Headers],[Category]], 0, 2)</f>
        <v>kg liveweight</v>
      </c>
      <c r="H453" s="10" cm="1">
        <f t="array" ref="H453">Common_InputFunctions.Utility_DisplayArrayInTable(Scope3_SourceData.Scope3_Livestock_Data(), Table_SourceData_Scope3_Animals173[[#Headers],[Category]], 0, 2)</f>
        <v>18.899999999999999</v>
      </c>
      <c r="I453" s="10" t="str" cm="1">
        <f t="array" ref="I453">Common_InputFunctions.Utility_DisplayArrayInTable(Scope3_SourceData.Scope3_Livestock_Data(), Table_SourceData_Scope3_Animals173[[#Headers],[Category]], 0, 2)</f>
        <v>at market</v>
      </c>
      <c r="M453" s="8"/>
    </row>
    <row r="454" spans="4:13" x14ac:dyDescent="0.25">
      <c r="D454" s="10" t="str" cm="1">
        <f t="array" ref="D454">Common_InputFunctions.Utility_DisplayArrayInTable(Scope3_SourceData.Scope3_Livestock_Data(), Table_SourceData_Scope3_Animals173[[#Headers],[Category]], 0, 2)</f>
        <v>Beef cattle</v>
      </c>
      <c r="E454" s="10" t="str" cm="1">
        <f t="array" ref="E454">Common_InputFunctions.Utility_DisplayArrayInTable(Scope3_SourceData.Scope3_Livestock_Data(), Table_SourceData_Scope3_Animals173[[#Headers],[Category]], 0, 2)</f>
        <v>Cattle, for prime beef</v>
      </c>
      <c r="F454" s="10" t="str" cm="1">
        <f t="array" ref="F454">Common_InputFunctions.Utility_DisplayArrayInTable(Scope3_SourceData.Scope3_Livestock_Data(), Table_SourceData_Scope3_Animals173[[#Headers],[Category]], 0, 2)</f>
        <v>QLD</v>
      </c>
      <c r="G454" s="10" t="str" cm="1">
        <f t="array" ref="G454">Common_InputFunctions.Utility_DisplayArrayInTable(Scope3_SourceData.Scope3_Livestock_Data(), Table_SourceData_Scope3_Animals173[[#Headers],[Category]], 0, 2)</f>
        <v>kg liveweight</v>
      </c>
      <c r="H454" s="10" cm="1">
        <f t="array" ref="H454">Common_InputFunctions.Utility_DisplayArrayInTable(Scope3_SourceData.Scope3_Livestock_Data(), Table_SourceData_Scope3_Animals173[[#Headers],[Category]], 0, 2)</f>
        <v>13.9</v>
      </c>
      <c r="I454" s="10" t="str" cm="1">
        <f t="array" ref="I454">Common_InputFunctions.Utility_DisplayArrayInTable(Scope3_SourceData.Scope3_Livestock_Data(), Table_SourceData_Scope3_Animals173[[#Headers],[Category]], 0, 2)</f>
        <v>at market</v>
      </c>
      <c r="M454" s="8"/>
    </row>
    <row r="455" spans="4:13" x14ac:dyDescent="0.25">
      <c r="D455" s="10" t="str" cm="1">
        <f t="array" ref="D455">Common_InputFunctions.Utility_DisplayArrayInTable(Scope3_SourceData.Scope3_Livestock_Data(), Table_SourceData_Scope3_Animals173[[#Headers],[Category]], 0, 2)</f>
        <v>Beef cattle</v>
      </c>
      <c r="E455" s="10" t="str" cm="1">
        <f t="array" ref="E455">Common_InputFunctions.Utility_DisplayArrayInTable(Scope3_SourceData.Scope3_Livestock_Data(), Table_SourceData_Scope3_Animals173[[#Headers],[Category]], 0, 2)</f>
        <v>Cattle, for prime beef</v>
      </c>
      <c r="F455" s="10" t="str" cm="1">
        <f t="array" ref="F455">Common_InputFunctions.Utility_DisplayArrayInTable(Scope3_SourceData.Scope3_Livestock_Data(), Table_SourceData_Scope3_Animals173[[#Headers],[Category]], 0, 2)</f>
        <v>SA</v>
      </c>
      <c r="G455" s="10" t="str" cm="1">
        <f t="array" ref="G455">Common_InputFunctions.Utility_DisplayArrayInTable(Scope3_SourceData.Scope3_Livestock_Data(), Table_SourceData_Scope3_Animals173[[#Headers],[Category]], 0, 2)</f>
        <v>kg liveweight</v>
      </c>
      <c r="H455" s="10" cm="1">
        <f t="array" ref="H455">Common_InputFunctions.Utility_DisplayArrayInTable(Scope3_SourceData.Scope3_Livestock_Data(), Table_SourceData_Scope3_Animals173[[#Headers],[Category]], 0, 2)</f>
        <v>12.3</v>
      </c>
      <c r="I455" s="10" t="str" cm="1">
        <f t="array" ref="I455">Common_InputFunctions.Utility_DisplayArrayInTable(Scope3_SourceData.Scope3_Livestock_Data(), Table_SourceData_Scope3_Animals173[[#Headers],[Category]], 0, 2)</f>
        <v>at market</v>
      </c>
    </row>
    <row r="456" spans="4:13" x14ac:dyDescent="0.25">
      <c r="D456" s="10" t="str" cm="1">
        <f t="array" ref="D456">Common_InputFunctions.Utility_DisplayArrayInTable(Scope3_SourceData.Scope3_Livestock_Data(), Table_SourceData_Scope3_Animals173[[#Headers],[Category]], 0, 2)</f>
        <v>Beef cattle</v>
      </c>
      <c r="E456" s="10" t="str" cm="1">
        <f t="array" ref="E456">Common_InputFunctions.Utility_DisplayArrayInTable(Scope3_SourceData.Scope3_Livestock_Data(), Table_SourceData_Scope3_Animals173[[#Headers],[Category]], 0, 2)</f>
        <v>Cattle, for prime beef</v>
      </c>
      <c r="F456" s="10" t="str" cm="1">
        <f t="array" ref="F456">Common_InputFunctions.Utility_DisplayArrayInTable(Scope3_SourceData.Scope3_Livestock_Data(), Table_SourceData_Scope3_Animals173[[#Headers],[Category]], 0, 2)</f>
        <v>TAS</v>
      </c>
      <c r="G456" s="10" t="str" cm="1">
        <f t="array" ref="G456">Common_InputFunctions.Utility_DisplayArrayInTable(Scope3_SourceData.Scope3_Livestock_Data(), Table_SourceData_Scope3_Animals173[[#Headers],[Category]], 0, 2)</f>
        <v>kg liveweight</v>
      </c>
      <c r="H456" s="10" cm="1">
        <f t="array" ref="H456">Common_InputFunctions.Utility_DisplayArrayInTable(Scope3_SourceData.Scope3_Livestock_Data(), Table_SourceData_Scope3_Animals173[[#Headers],[Category]], 0, 2)</f>
        <v>11.5</v>
      </c>
      <c r="I456" s="10" t="str" cm="1">
        <f t="array" ref="I456">Common_InputFunctions.Utility_DisplayArrayInTable(Scope3_SourceData.Scope3_Livestock_Data(), Table_SourceData_Scope3_Animals173[[#Headers],[Category]], 0, 2)</f>
        <v>at market</v>
      </c>
    </row>
    <row r="457" spans="4:13" x14ac:dyDescent="0.25">
      <c r="D457" s="10" t="str" cm="1">
        <f t="array" ref="D457">Common_InputFunctions.Utility_DisplayArrayInTable(Scope3_SourceData.Scope3_Livestock_Data(), Table_SourceData_Scope3_Animals173[[#Headers],[Category]], 0, 2)</f>
        <v>Beef cattle</v>
      </c>
      <c r="E457" s="10" t="str" cm="1">
        <f t="array" ref="E457">Common_InputFunctions.Utility_DisplayArrayInTable(Scope3_SourceData.Scope3_Livestock_Data(), Table_SourceData_Scope3_Animals173[[#Headers],[Category]], 0, 2)</f>
        <v>Cattle, for prime beef</v>
      </c>
      <c r="F457" s="10" t="str" cm="1">
        <f t="array" ref="F457">Common_InputFunctions.Utility_DisplayArrayInTable(Scope3_SourceData.Scope3_Livestock_Data(), Table_SourceData_Scope3_Animals173[[#Headers],[Category]], 0, 2)</f>
        <v>VIC</v>
      </c>
      <c r="G457" s="10" t="str" cm="1">
        <f t="array" ref="G457">Common_InputFunctions.Utility_DisplayArrayInTable(Scope3_SourceData.Scope3_Livestock_Data(), Table_SourceData_Scope3_Animals173[[#Headers],[Category]], 0, 2)</f>
        <v>kg liveweight</v>
      </c>
      <c r="H457" s="10" cm="1">
        <f t="array" ref="H457">Common_InputFunctions.Utility_DisplayArrayInTable(Scope3_SourceData.Scope3_Livestock_Data(), Table_SourceData_Scope3_Animals173[[#Headers],[Category]], 0, 2)</f>
        <v>11.5</v>
      </c>
      <c r="I457" s="10" t="str" cm="1">
        <f t="array" ref="I457">Common_InputFunctions.Utility_DisplayArrayInTable(Scope3_SourceData.Scope3_Livestock_Data(), Table_SourceData_Scope3_Animals173[[#Headers],[Category]], 0, 2)</f>
        <v>at market</v>
      </c>
    </row>
    <row r="458" spans="4:13" x14ac:dyDescent="0.25">
      <c r="D458" s="10" t="str" cm="1">
        <f t="array" ref="D458">Common_InputFunctions.Utility_DisplayArrayInTable(Scope3_SourceData.Scope3_Livestock_Data(), Table_SourceData_Scope3_Animals173[[#Headers],[Category]], 0, 2)</f>
        <v>Beef cattle</v>
      </c>
      <c r="E458" s="10" t="str" cm="1">
        <f t="array" ref="E458">Common_InputFunctions.Utility_DisplayArrayInTable(Scope3_SourceData.Scope3_Livestock_Data(), Table_SourceData_Scope3_Animals173[[#Headers],[Category]], 0, 2)</f>
        <v>Cattle, for prime beef</v>
      </c>
      <c r="F458" s="10" t="str" cm="1">
        <f t="array" ref="F458">Common_InputFunctions.Utility_DisplayArrayInTable(Scope3_SourceData.Scope3_Livestock_Data(), Table_SourceData_Scope3_Animals173[[#Headers],[Category]], 0, 2)</f>
        <v>WA</v>
      </c>
      <c r="G458" s="10" t="str" cm="1">
        <f t="array" ref="G458">Common_InputFunctions.Utility_DisplayArrayInTable(Scope3_SourceData.Scope3_Livestock_Data(), Table_SourceData_Scope3_Animals173[[#Headers],[Category]], 0, 2)</f>
        <v>kg liveweight</v>
      </c>
      <c r="H458" s="10" cm="1">
        <f t="array" ref="H458">Common_InputFunctions.Utility_DisplayArrayInTable(Scope3_SourceData.Scope3_Livestock_Data(), Table_SourceData_Scope3_Animals173[[#Headers],[Category]], 0, 2)</f>
        <v>20.8</v>
      </c>
      <c r="I458" s="10" t="str" cm="1">
        <f t="array" ref="I458">Common_InputFunctions.Utility_DisplayArrayInTable(Scope3_SourceData.Scope3_Livestock_Data(), Table_SourceData_Scope3_Animals173[[#Headers],[Category]], 0, 2)</f>
        <v>at market</v>
      </c>
    </row>
    <row r="459" spans="4:13" x14ac:dyDescent="0.25">
      <c r="D459" s="10" t="str" cm="1">
        <f t="array" ref="D459">Common_InputFunctions.Utility_DisplayArrayInTable(Scope3_SourceData.Scope3_Livestock_Data(), Table_SourceData_Scope3_Animals173[[#Headers],[Category]], 0, 2)</f>
        <v>Beef cattle</v>
      </c>
      <c r="E459" s="10" t="str" cm="1">
        <f t="array" ref="E459">Common_InputFunctions.Utility_DisplayArrayInTable(Scope3_SourceData.Scope3_Livestock_Data(), Table_SourceData_Scope3_Animals173[[#Headers],[Category]], 0, 2)</f>
        <v>Cattle, weaners</v>
      </c>
      <c r="F459" s="10" t="str" cm="1">
        <f t="array" ref="F459">Common_InputFunctions.Utility_DisplayArrayInTable(Scope3_SourceData.Scope3_Livestock_Data(), Table_SourceData_Scope3_Animals173[[#Headers],[Category]], 0, 2)</f>
        <v>Australia</v>
      </c>
      <c r="G459" s="10" t="str" cm="1">
        <f t="array" ref="G459">Common_InputFunctions.Utility_DisplayArrayInTable(Scope3_SourceData.Scope3_Livestock_Data(), Table_SourceData_Scope3_Animals173[[#Headers],[Category]], 0, 2)</f>
        <v>kg liveweight</v>
      </c>
      <c r="H459" s="10" cm="1">
        <f t="array" ref="H459">Common_InputFunctions.Utility_DisplayArrayInTable(Scope3_SourceData.Scope3_Livestock_Data(), Table_SourceData_Scope3_Animals173[[#Headers],[Category]], 0, 2)</f>
        <v>15.5</v>
      </c>
      <c r="I459" s="10" t="str" cm="1">
        <f t="array" ref="I459">Common_InputFunctions.Utility_DisplayArrayInTable(Scope3_SourceData.Scope3_Livestock_Data(), Table_SourceData_Scope3_Animals173[[#Headers],[Category]], 0, 2)</f>
        <v>at market</v>
      </c>
    </row>
    <row r="460" spans="4:13" x14ac:dyDescent="0.25">
      <c r="D460" s="10" t="str" cm="1">
        <f t="array" ref="D460">Common_InputFunctions.Utility_DisplayArrayInTable(Scope3_SourceData.Scope3_Livestock_Data(), Table_SourceData_Scope3_Animals173[[#Headers],[Category]], 0, 2)</f>
        <v>Beef cattle</v>
      </c>
      <c r="E460" s="10" t="str" cm="1">
        <f t="array" ref="E460">Common_InputFunctions.Utility_DisplayArrayInTable(Scope3_SourceData.Scope3_Livestock_Data(), Table_SourceData_Scope3_Animals173[[#Headers],[Category]], 0, 2)</f>
        <v>Cattle, weaners</v>
      </c>
      <c r="F460" s="10" t="str" cm="1">
        <f t="array" ref="F460">Common_InputFunctions.Utility_DisplayArrayInTable(Scope3_SourceData.Scope3_Livestock_Data(), Table_SourceData_Scope3_Animals173[[#Headers],[Category]], 0, 2)</f>
        <v>NSW</v>
      </c>
      <c r="G460" s="10" t="str" cm="1">
        <f t="array" ref="G460">Common_InputFunctions.Utility_DisplayArrayInTable(Scope3_SourceData.Scope3_Livestock_Data(), Table_SourceData_Scope3_Animals173[[#Headers],[Category]], 0, 2)</f>
        <v>kg liveweight</v>
      </c>
      <c r="H460" s="10" cm="1">
        <f t="array" ref="H460">Common_InputFunctions.Utility_DisplayArrayInTable(Scope3_SourceData.Scope3_Livestock_Data(), Table_SourceData_Scope3_Animals173[[#Headers],[Category]], 0, 2)</f>
        <v>12.7</v>
      </c>
      <c r="I460" s="10" t="str" cm="1">
        <f t="array" ref="I460">Common_InputFunctions.Utility_DisplayArrayInTable(Scope3_SourceData.Scope3_Livestock_Data(), Table_SourceData_Scope3_Animals173[[#Headers],[Category]], 0, 2)</f>
        <v>at market</v>
      </c>
    </row>
    <row r="461" spans="4:13" x14ac:dyDescent="0.25">
      <c r="D461" s="10" t="str" cm="1">
        <f t="array" ref="D461">Common_InputFunctions.Utility_DisplayArrayInTable(Scope3_SourceData.Scope3_Livestock_Data(), Table_SourceData_Scope3_Animals173[[#Headers],[Category]], 0, 2)</f>
        <v>Beef cattle</v>
      </c>
      <c r="E461" s="10" t="str" cm="1">
        <f t="array" ref="E461">Common_InputFunctions.Utility_DisplayArrayInTable(Scope3_SourceData.Scope3_Livestock_Data(), Table_SourceData_Scope3_Animals173[[#Headers],[Category]], 0, 2)</f>
        <v>Cattle, weaners</v>
      </c>
      <c r="F461" s="10" t="str" cm="1">
        <f t="array" ref="F461">Common_InputFunctions.Utility_DisplayArrayInTable(Scope3_SourceData.Scope3_Livestock_Data(), Table_SourceData_Scope3_Animals173[[#Headers],[Category]], 0, 2)</f>
        <v>NT</v>
      </c>
      <c r="G461" s="10" t="str" cm="1">
        <f t="array" ref="G461">Common_InputFunctions.Utility_DisplayArrayInTable(Scope3_SourceData.Scope3_Livestock_Data(), Table_SourceData_Scope3_Animals173[[#Headers],[Category]], 0, 2)</f>
        <v>kg liveweight</v>
      </c>
      <c r="H461" s="10" cm="1">
        <f t="array" ref="H461">Common_InputFunctions.Utility_DisplayArrayInTable(Scope3_SourceData.Scope3_Livestock_Data(), Table_SourceData_Scope3_Animals173[[#Headers],[Category]], 0, 2)</f>
        <v>19.100000000000001</v>
      </c>
      <c r="I461" s="10" t="str" cm="1">
        <f t="array" ref="I461">Common_InputFunctions.Utility_DisplayArrayInTable(Scope3_SourceData.Scope3_Livestock_Data(), Table_SourceData_Scope3_Animals173[[#Headers],[Category]], 0, 2)</f>
        <v>at market</v>
      </c>
    </row>
    <row r="462" spans="4:13" x14ac:dyDescent="0.25">
      <c r="D462" s="10" t="str" cm="1">
        <f t="array" ref="D462">Common_InputFunctions.Utility_DisplayArrayInTable(Scope3_SourceData.Scope3_Livestock_Data(), Table_SourceData_Scope3_Animals173[[#Headers],[Category]], 0, 2)</f>
        <v>Beef cattle</v>
      </c>
      <c r="E462" s="10" t="str" cm="1">
        <f t="array" ref="E462">Common_InputFunctions.Utility_DisplayArrayInTable(Scope3_SourceData.Scope3_Livestock_Data(), Table_SourceData_Scope3_Animals173[[#Headers],[Category]], 0, 2)</f>
        <v>Cattle, weaners</v>
      </c>
      <c r="F462" s="10" t="str" cm="1">
        <f t="array" ref="F462">Common_InputFunctions.Utility_DisplayArrayInTable(Scope3_SourceData.Scope3_Livestock_Data(), Table_SourceData_Scope3_Animals173[[#Headers],[Category]], 0, 2)</f>
        <v>QLD</v>
      </c>
      <c r="G462" s="10" t="str" cm="1">
        <f t="array" ref="G462">Common_InputFunctions.Utility_DisplayArrayInTable(Scope3_SourceData.Scope3_Livestock_Data(), Table_SourceData_Scope3_Animals173[[#Headers],[Category]], 0, 2)</f>
        <v>kg liveweight</v>
      </c>
      <c r="H462" s="10" cm="1">
        <f t="array" ref="H462">Common_InputFunctions.Utility_DisplayArrayInTable(Scope3_SourceData.Scope3_Livestock_Data(), Table_SourceData_Scope3_Animals173[[#Headers],[Category]], 0, 2)</f>
        <v>20.5</v>
      </c>
      <c r="I462" s="10" t="str" cm="1">
        <f t="array" ref="I462">Common_InputFunctions.Utility_DisplayArrayInTable(Scope3_SourceData.Scope3_Livestock_Data(), Table_SourceData_Scope3_Animals173[[#Headers],[Category]], 0, 2)</f>
        <v>at market</v>
      </c>
    </row>
    <row r="463" spans="4:13" x14ac:dyDescent="0.25">
      <c r="D463" s="10" t="str" cm="1">
        <f t="array" ref="D463">Common_InputFunctions.Utility_DisplayArrayInTable(Scope3_SourceData.Scope3_Livestock_Data(), Table_SourceData_Scope3_Animals173[[#Headers],[Category]], 0, 2)</f>
        <v>Beef cattle</v>
      </c>
      <c r="E463" s="10" t="str" cm="1">
        <f t="array" ref="E463">Common_InputFunctions.Utility_DisplayArrayInTable(Scope3_SourceData.Scope3_Livestock_Data(), Table_SourceData_Scope3_Animals173[[#Headers],[Category]], 0, 2)</f>
        <v>Cattle, weaners</v>
      </c>
      <c r="F463" s="10" t="str" cm="1">
        <f t="array" ref="F463">Common_InputFunctions.Utility_DisplayArrayInTable(Scope3_SourceData.Scope3_Livestock_Data(), Table_SourceData_Scope3_Animals173[[#Headers],[Category]], 0, 2)</f>
        <v>SA</v>
      </c>
      <c r="G463" s="10" t="str" cm="1">
        <f t="array" ref="G463">Common_InputFunctions.Utility_DisplayArrayInTable(Scope3_SourceData.Scope3_Livestock_Data(), Table_SourceData_Scope3_Animals173[[#Headers],[Category]], 0, 2)</f>
        <v>kg liveweight</v>
      </c>
      <c r="H463" s="10" cm="1">
        <f t="array" ref="H463">Common_InputFunctions.Utility_DisplayArrayInTable(Scope3_SourceData.Scope3_Livestock_Data(), Table_SourceData_Scope3_Animals173[[#Headers],[Category]], 0, 2)</f>
        <v>10.8</v>
      </c>
      <c r="I463" s="10" t="str" cm="1">
        <f t="array" ref="I463">Common_InputFunctions.Utility_DisplayArrayInTable(Scope3_SourceData.Scope3_Livestock_Data(), Table_SourceData_Scope3_Animals173[[#Headers],[Category]], 0, 2)</f>
        <v>at market</v>
      </c>
    </row>
    <row r="464" spans="4:13" x14ac:dyDescent="0.25">
      <c r="D464" s="10" t="str" cm="1">
        <f t="array" ref="D464">Common_InputFunctions.Utility_DisplayArrayInTable(Scope3_SourceData.Scope3_Livestock_Data(), Table_SourceData_Scope3_Animals173[[#Headers],[Category]], 0, 2)</f>
        <v>Beef cattle</v>
      </c>
      <c r="E464" s="10" t="str" cm="1">
        <f t="array" ref="E464">Common_InputFunctions.Utility_DisplayArrayInTable(Scope3_SourceData.Scope3_Livestock_Data(), Table_SourceData_Scope3_Animals173[[#Headers],[Category]], 0, 2)</f>
        <v>Cattle, weaners</v>
      </c>
      <c r="F464" s="10" t="str" cm="1">
        <f t="array" ref="F464">Common_InputFunctions.Utility_DisplayArrayInTable(Scope3_SourceData.Scope3_Livestock_Data(), Table_SourceData_Scope3_Animals173[[#Headers],[Category]], 0, 2)</f>
        <v>TAS</v>
      </c>
      <c r="G464" s="10" t="str" cm="1">
        <f t="array" ref="G464">Common_InputFunctions.Utility_DisplayArrayInTable(Scope3_SourceData.Scope3_Livestock_Data(), Table_SourceData_Scope3_Animals173[[#Headers],[Category]], 0, 2)</f>
        <v>kg liveweight</v>
      </c>
      <c r="H464" s="10" cm="1">
        <f t="array" ref="H464">Common_InputFunctions.Utility_DisplayArrayInTable(Scope3_SourceData.Scope3_Livestock_Data(), Table_SourceData_Scope3_Animals173[[#Headers],[Category]], 0, 2)</f>
        <v>13.4</v>
      </c>
      <c r="I464" s="10" t="str" cm="1">
        <f t="array" ref="I464">Common_InputFunctions.Utility_DisplayArrayInTable(Scope3_SourceData.Scope3_Livestock_Data(), Table_SourceData_Scope3_Animals173[[#Headers],[Category]], 0, 2)</f>
        <v>at market</v>
      </c>
    </row>
    <row r="465" spans="4:9" x14ac:dyDescent="0.25">
      <c r="D465" s="10" t="str" cm="1">
        <f t="array" ref="D465">Common_InputFunctions.Utility_DisplayArrayInTable(Scope3_SourceData.Scope3_Livestock_Data(), Table_SourceData_Scope3_Animals173[[#Headers],[Category]], 0, 2)</f>
        <v>Beef cattle</v>
      </c>
      <c r="E465" s="10" t="str" cm="1">
        <f t="array" ref="E465">Common_InputFunctions.Utility_DisplayArrayInTable(Scope3_SourceData.Scope3_Livestock_Data(), Table_SourceData_Scope3_Animals173[[#Headers],[Category]], 0, 2)</f>
        <v>Cattle, weaners</v>
      </c>
      <c r="F465" s="10" t="str" cm="1">
        <f t="array" ref="F465">Common_InputFunctions.Utility_DisplayArrayInTable(Scope3_SourceData.Scope3_Livestock_Data(), Table_SourceData_Scope3_Animals173[[#Headers],[Category]], 0, 2)</f>
        <v>VIC</v>
      </c>
      <c r="G465" s="10" t="str" cm="1">
        <f t="array" ref="G465">Common_InputFunctions.Utility_DisplayArrayInTable(Scope3_SourceData.Scope3_Livestock_Data(), Table_SourceData_Scope3_Animals173[[#Headers],[Category]], 0, 2)</f>
        <v>kg liveweight</v>
      </c>
      <c r="H465" s="10" cm="1">
        <f t="array" ref="H465">Common_InputFunctions.Utility_DisplayArrayInTable(Scope3_SourceData.Scope3_Livestock_Data(), Table_SourceData_Scope3_Animals173[[#Headers],[Category]], 0, 2)</f>
        <v>12</v>
      </c>
      <c r="I465" s="10" t="str" cm="1">
        <f t="array" ref="I465">Common_InputFunctions.Utility_DisplayArrayInTable(Scope3_SourceData.Scope3_Livestock_Data(), Table_SourceData_Scope3_Animals173[[#Headers],[Category]], 0, 2)</f>
        <v>at market</v>
      </c>
    </row>
    <row r="466" spans="4:9" x14ac:dyDescent="0.25">
      <c r="D466" s="10" t="str" cm="1">
        <f t="array" ref="D466">Common_InputFunctions.Utility_DisplayArrayInTable(Scope3_SourceData.Scope3_Livestock_Data(), Table_SourceData_Scope3_Animals173[[#Headers],[Category]], 0, 2)</f>
        <v>Beef cattle</v>
      </c>
      <c r="E466" s="10" t="str" cm="1">
        <f t="array" ref="E466">Common_InputFunctions.Utility_DisplayArrayInTable(Scope3_SourceData.Scope3_Livestock_Data(), Table_SourceData_Scope3_Animals173[[#Headers],[Category]], 0, 2)</f>
        <v>Cattle, weaners</v>
      </c>
      <c r="F466" s="10" t="str" cm="1">
        <f t="array" ref="F466">Common_InputFunctions.Utility_DisplayArrayInTable(Scope3_SourceData.Scope3_Livestock_Data(), Table_SourceData_Scope3_Animals173[[#Headers],[Category]], 0, 2)</f>
        <v>WA</v>
      </c>
      <c r="G466" s="10" t="str" cm="1">
        <f t="array" ref="G466">Common_InputFunctions.Utility_DisplayArrayInTable(Scope3_SourceData.Scope3_Livestock_Data(), Table_SourceData_Scope3_Animals173[[#Headers],[Category]], 0, 2)</f>
        <v>kg liveweight</v>
      </c>
      <c r="H466" s="10" cm="1">
        <f t="array" ref="H466">Common_InputFunctions.Utility_DisplayArrayInTable(Scope3_SourceData.Scope3_Livestock_Data(), Table_SourceData_Scope3_Animals173[[#Headers],[Category]], 0, 2)</f>
        <v>12.4</v>
      </c>
      <c r="I466" s="10" t="str" cm="1">
        <f t="array" ref="I466">Common_InputFunctions.Utility_DisplayArrayInTable(Scope3_SourceData.Scope3_Livestock_Data(), Table_SourceData_Scope3_Animals173[[#Headers],[Category]], 0, 2)</f>
        <v>at market</v>
      </c>
    </row>
    <row r="467" spans="4:9" x14ac:dyDescent="0.25">
      <c r="D467" s="10" t="str" cm="1">
        <f t="array" ref="D467">Common_InputFunctions.Utility_DisplayArrayInTable(Scope3_SourceData.Scope3_Livestock_Data(), Table_SourceData_Scope3_Animals173[[#Headers],[Category]], 0, 2)</f>
        <v>Chickens</v>
      </c>
      <c r="E467" s="10" t="str" cm="1">
        <f t="array" ref="E467">Common_InputFunctions.Utility_DisplayArrayInTable(Scope3_SourceData.Scope3_Livestock_Data(), Table_SourceData_Scope3_Animals173[[#Headers],[Category]], 0, 2)</f>
        <v>Chickens</v>
      </c>
      <c r="F467" s="10" t="str" cm="1">
        <f t="array" ref="F467">Common_InputFunctions.Utility_DisplayArrayInTable(Scope3_SourceData.Scope3_Livestock_Data(), Table_SourceData_Scope3_Animals173[[#Headers],[Category]], 0, 2)</f>
        <v>Australia</v>
      </c>
      <c r="G467" s="10" t="str" cm="1">
        <f t="array" ref="G467">Common_InputFunctions.Utility_DisplayArrayInTable(Scope3_SourceData.Scope3_Livestock_Data(), Table_SourceData_Scope3_Animals173[[#Headers],[Category]], 0, 2)</f>
        <v>kg liveweight</v>
      </c>
      <c r="H467" s="10" cm="1">
        <f t="array" ref="H467">Common_InputFunctions.Utility_DisplayArrayInTable(Scope3_SourceData.Scope3_Livestock_Data(), Table_SourceData_Scope3_Animals173[[#Headers],[Category]], 0, 2)</f>
        <v>1.36</v>
      </c>
      <c r="I467" s="10" t="str" cm="1">
        <f t="array" ref="I467">Common_InputFunctions.Utility_DisplayArrayInTable(Scope3_SourceData.Scope3_Livestock_Data(), Table_SourceData_Scope3_Animals173[[#Headers],[Category]], 0, 2)</f>
        <v>at market</v>
      </c>
    </row>
    <row r="468" spans="4:9" x14ac:dyDescent="0.25">
      <c r="D468" s="10" t="str" cm="1">
        <f t="array" ref="D468">Common_InputFunctions.Utility_DisplayArrayInTable(Scope3_SourceData.Scope3_Livestock_Data(), Table_SourceData_Scope3_Animals173[[#Headers],[Category]], 0, 2)</f>
        <v>Dairy cattle</v>
      </c>
      <c r="E468" s="10" t="str" cm="1">
        <f t="array" ref="E468">Common_InputFunctions.Utility_DisplayArrayInTable(Scope3_SourceData.Scope3_Livestock_Data(), Table_SourceData_Scope3_Animals173[[#Headers],[Category]], 0, 2)</f>
        <v>Dairy cows</v>
      </c>
      <c r="F468" s="10" t="str" cm="1">
        <f t="array" ref="F468">Common_InputFunctions.Utility_DisplayArrayInTable(Scope3_SourceData.Scope3_Livestock_Data(), Table_SourceData_Scope3_Animals173[[#Headers],[Category]], 0, 2)</f>
        <v>VIC</v>
      </c>
      <c r="G468" s="10" t="str" cm="1">
        <f t="array" ref="G468">Common_InputFunctions.Utility_DisplayArrayInTable(Scope3_SourceData.Scope3_Livestock_Data(), Table_SourceData_Scope3_Animals173[[#Headers],[Category]], 0, 2)</f>
        <v>kg liveweight</v>
      </c>
      <c r="H468" s="10" cm="1">
        <f t="array" ref="H468">Common_InputFunctions.Utility_DisplayArrayInTable(Scope3_SourceData.Scope3_Livestock_Data(), Table_SourceData_Scope3_Animals173[[#Headers],[Category]], 0, 2)</f>
        <v>4.41</v>
      </c>
      <c r="I468" s="10" t="str" cm="1">
        <f t="array" ref="I468">Common_InputFunctions.Utility_DisplayArrayInTable(Scope3_SourceData.Scope3_Livestock_Data(), Table_SourceData_Scope3_Animals173[[#Headers],[Category]], 0, 2)</f>
        <v>at market</v>
      </c>
    </row>
    <row r="469" spans="4:9" x14ac:dyDescent="0.25">
      <c r="D469" s="10" t="str" cm="1">
        <f t="array" ref="D469">Common_InputFunctions.Utility_DisplayArrayInTable(Scope3_SourceData.Scope3_Livestock_Data(), Table_SourceData_Scope3_Animals173[[#Headers],[Category]], 0, 2)</f>
        <v>Pigs</v>
      </c>
      <c r="E469" s="10" t="str" cm="1">
        <f t="array" ref="E469">Common_InputFunctions.Utility_DisplayArrayInTable(Scope3_SourceData.Scope3_Livestock_Data(), Table_SourceData_Scope3_Animals173[[#Headers],[Category]], 0, 2)</f>
        <v>Pigs</v>
      </c>
      <c r="F469" s="10" t="str" cm="1">
        <f t="array" ref="F469">Common_InputFunctions.Utility_DisplayArrayInTable(Scope3_SourceData.Scope3_Livestock_Data(), Table_SourceData_Scope3_Animals173[[#Headers],[Category]], 0, 2)</f>
        <v>Australia</v>
      </c>
      <c r="G469" s="10" t="str" cm="1">
        <f t="array" ref="G469">Common_InputFunctions.Utility_DisplayArrayInTable(Scope3_SourceData.Scope3_Livestock_Data(), Table_SourceData_Scope3_Animals173[[#Headers],[Category]], 0, 2)</f>
        <v>kg liveweight</v>
      </c>
      <c r="H469" s="10" cm="1">
        <f t="array" ref="H469">Common_InputFunctions.Utility_DisplayArrayInTable(Scope3_SourceData.Scope3_Livestock_Data(), Table_SourceData_Scope3_Animals173[[#Headers],[Category]], 0, 2)</f>
        <v>3.38</v>
      </c>
      <c r="I469" s="10" t="str" cm="1">
        <f t="array" ref="I469">Common_InputFunctions.Utility_DisplayArrayInTable(Scope3_SourceData.Scope3_Livestock_Data(), Table_SourceData_Scope3_Animals173[[#Headers],[Category]], 0, 2)</f>
        <v>at market</v>
      </c>
    </row>
    <row r="470" spans="4:9" x14ac:dyDescent="0.25">
      <c r="D470" s="10" t="str" cm="1">
        <f t="array" ref="D470">Common_InputFunctions.Utility_DisplayArrayInTable(Scope3_SourceData.Scope3_Livestock_Data(), Table_SourceData_Scope3_Animals173[[#Headers],[Category]], 0, 2)</f>
        <v>Sheep</v>
      </c>
      <c r="E470" s="10" t="str" cm="1">
        <f t="array" ref="E470">Common_InputFunctions.Utility_DisplayArrayInTable(Scope3_SourceData.Scope3_Livestock_Data(), Table_SourceData_Scope3_Animals173[[#Headers],[Category]], 0, 2)</f>
        <v>Sheep, for mutton</v>
      </c>
      <c r="F470" s="10" t="str" cm="1">
        <f t="array" ref="F470">Common_InputFunctions.Utility_DisplayArrayInTable(Scope3_SourceData.Scope3_Livestock_Data(), Table_SourceData_Scope3_Animals173[[#Headers],[Category]], 0, 2)</f>
        <v>Australia</v>
      </c>
      <c r="G470" s="10" t="str" cm="1">
        <f t="array" ref="G470">Common_InputFunctions.Utility_DisplayArrayInTable(Scope3_SourceData.Scope3_Livestock_Data(), Table_SourceData_Scope3_Animals173[[#Headers],[Category]], 0, 2)</f>
        <v>kg liveweight</v>
      </c>
      <c r="H470" s="10" cm="1">
        <f t="array" ref="H470">Common_InputFunctions.Utility_DisplayArrayInTable(Scope3_SourceData.Scope3_Livestock_Data(), Table_SourceData_Scope3_Animals173[[#Headers],[Category]], 0, 2)</f>
        <v>6.81</v>
      </c>
      <c r="I470" s="10" t="str" cm="1">
        <f t="array" ref="I470">Common_InputFunctions.Utility_DisplayArrayInTable(Scope3_SourceData.Scope3_Livestock_Data(), Table_SourceData_Scope3_Animals173[[#Headers],[Category]], 0, 2)</f>
        <v>at market</v>
      </c>
    </row>
    <row r="471" spans="4:9" x14ac:dyDescent="0.25">
      <c r="D471" s="10" t="str" cm="1">
        <f t="array" ref="D471">Common_InputFunctions.Utility_DisplayArrayInTable(Scope3_SourceData.Scope3_Livestock_Data(), Table_SourceData_Scope3_Animals173[[#Headers],[Category]], 0, 2)</f>
        <v>Sheep</v>
      </c>
      <c r="E471" s="10" t="str" cm="1">
        <f t="array" ref="E471">Common_InputFunctions.Utility_DisplayArrayInTable(Scope3_SourceData.Scope3_Livestock_Data(), Table_SourceData_Scope3_Animals173[[#Headers],[Category]], 0, 2)</f>
        <v>Sheep, for mutton</v>
      </c>
      <c r="F471" s="10" t="str" cm="1">
        <f t="array" ref="F471">Common_InputFunctions.Utility_DisplayArrayInTable(Scope3_SourceData.Scope3_Livestock_Data(), Table_SourceData_Scope3_Animals173[[#Headers],[Category]], 0, 2)</f>
        <v>NSW</v>
      </c>
      <c r="G471" s="10" t="str" cm="1">
        <f t="array" ref="G471">Common_InputFunctions.Utility_DisplayArrayInTable(Scope3_SourceData.Scope3_Livestock_Data(), Table_SourceData_Scope3_Animals173[[#Headers],[Category]], 0, 2)</f>
        <v>kg liveweight</v>
      </c>
      <c r="H471" s="10" cm="1">
        <f t="array" ref="H471">Common_InputFunctions.Utility_DisplayArrayInTable(Scope3_SourceData.Scope3_Livestock_Data(), Table_SourceData_Scope3_Animals173[[#Headers],[Category]], 0, 2)</f>
        <v>2.2599999999999998</v>
      </c>
      <c r="I471" s="10" t="str" cm="1">
        <f t="array" ref="I471">Common_InputFunctions.Utility_DisplayArrayInTable(Scope3_SourceData.Scope3_Livestock_Data(), Table_SourceData_Scope3_Animals173[[#Headers],[Category]], 0, 2)</f>
        <v>at market</v>
      </c>
    </row>
    <row r="472" spans="4:9" x14ac:dyDescent="0.25">
      <c r="D472" s="10" t="str" cm="1">
        <f t="array" ref="D472">Common_InputFunctions.Utility_DisplayArrayInTable(Scope3_SourceData.Scope3_Livestock_Data(), Table_SourceData_Scope3_Animals173[[#Headers],[Category]], 0, 2)</f>
        <v>Sheep</v>
      </c>
      <c r="E472" s="10" t="str" cm="1">
        <f t="array" ref="E472">Common_InputFunctions.Utility_DisplayArrayInTable(Scope3_SourceData.Scope3_Livestock_Data(), Table_SourceData_Scope3_Animals173[[#Headers],[Category]], 0, 2)</f>
        <v>Sheep, for mutton</v>
      </c>
      <c r="F472" s="10" t="str" cm="1">
        <f t="array" ref="F472">Common_InputFunctions.Utility_DisplayArrayInTable(Scope3_SourceData.Scope3_Livestock_Data(), Table_SourceData_Scope3_Animals173[[#Headers],[Category]], 0, 2)</f>
        <v>QLD</v>
      </c>
      <c r="G472" s="10" t="str" cm="1">
        <f t="array" ref="G472">Common_InputFunctions.Utility_DisplayArrayInTable(Scope3_SourceData.Scope3_Livestock_Data(), Table_SourceData_Scope3_Animals173[[#Headers],[Category]], 0, 2)</f>
        <v>kg liveweight</v>
      </c>
      <c r="H472" s="10" cm="1">
        <f t="array" ref="H472">Common_InputFunctions.Utility_DisplayArrayInTable(Scope3_SourceData.Scope3_Livestock_Data(), Table_SourceData_Scope3_Animals173[[#Headers],[Category]], 0, 2)</f>
        <v>6.33</v>
      </c>
      <c r="I472" s="10" t="str" cm="1">
        <f t="array" ref="I472">Common_InputFunctions.Utility_DisplayArrayInTable(Scope3_SourceData.Scope3_Livestock_Data(), Table_SourceData_Scope3_Animals173[[#Headers],[Category]], 0, 2)</f>
        <v>at market</v>
      </c>
    </row>
    <row r="473" spans="4:9" x14ac:dyDescent="0.25">
      <c r="D473" s="10" t="str" cm="1">
        <f t="array" ref="D473">Common_InputFunctions.Utility_DisplayArrayInTable(Scope3_SourceData.Scope3_Livestock_Data(), Table_SourceData_Scope3_Animals173[[#Headers],[Category]], 0, 2)</f>
        <v>Sheep</v>
      </c>
      <c r="E473" s="10" t="str" cm="1">
        <f t="array" ref="E473">Common_InputFunctions.Utility_DisplayArrayInTable(Scope3_SourceData.Scope3_Livestock_Data(), Table_SourceData_Scope3_Animals173[[#Headers],[Category]], 0, 2)</f>
        <v>Sheep, for mutton</v>
      </c>
      <c r="F473" s="10" t="str" cm="1">
        <f t="array" ref="F473">Common_InputFunctions.Utility_DisplayArrayInTable(Scope3_SourceData.Scope3_Livestock_Data(), Table_SourceData_Scope3_Animals173[[#Headers],[Category]], 0, 2)</f>
        <v>SA</v>
      </c>
      <c r="G473" s="10" t="str" cm="1">
        <f t="array" ref="G473">Common_InputFunctions.Utility_DisplayArrayInTable(Scope3_SourceData.Scope3_Livestock_Data(), Table_SourceData_Scope3_Animals173[[#Headers],[Category]], 0, 2)</f>
        <v>kg liveweight</v>
      </c>
      <c r="H473" s="10" cm="1">
        <f t="array" ref="H473">Common_InputFunctions.Utility_DisplayArrayInTable(Scope3_SourceData.Scope3_Livestock_Data(), Table_SourceData_Scope3_Animals173[[#Headers],[Category]], 0, 2)</f>
        <v>6.18</v>
      </c>
      <c r="I473" s="10" t="str" cm="1">
        <f t="array" ref="I473">Common_InputFunctions.Utility_DisplayArrayInTable(Scope3_SourceData.Scope3_Livestock_Data(), Table_SourceData_Scope3_Animals173[[#Headers],[Category]], 0, 2)</f>
        <v>at market</v>
      </c>
    </row>
    <row r="474" spans="4:9" x14ac:dyDescent="0.25">
      <c r="D474" s="10" t="str" cm="1">
        <f t="array" ref="D474">Common_InputFunctions.Utility_DisplayArrayInTable(Scope3_SourceData.Scope3_Livestock_Data(), Table_SourceData_Scope3_Animals173[[#Headers],[Category]], 0, 2)</f>
        <v>Sheep</v>
      </c>
      <c r="E474" s="10" t="str" cm="1">
        <f t="array" ref="E474">Common_InputFunctions.Utility_DisplayArrayInTable(Scope3_SourceData.Scope3_Livestock_Data(), Table_SourceData_Scope3_Animals173[[#Headers],[Category]], 0, 2)</f>
        <v>Sheep, for mutton</v>
      </c>
      <c r="F474" s="10" t="str" cm="1">
        <f t="array" ref="F474">Common_InputFunctions.Utility_DisplayArrayInTable(Scope3_SourceData.Scope3_Livestock_Data(), Table_SourceData_Scope3_Animals173[[#Headers],[Category]], 0, 2)</f>
        <v>TAS</v>
      </c>
      <c r="G474" s="10" t="str" cm="1">
        <f t="array" ref="G474">Common_InputFunctions.Utility_DisplayArrayInTable(Scope3_SourceData.Scope3_Livestock_Data(), Table_SourceData_Scope3_Animals173[[#Headers],[Category]], 0, 2)</f>
        <v>kg liveweight</v>
      </c>
      <c r="H474" s="10" cm="1">
        <f t="array" ref="H474">Common_InputFunctions.Utility_DisplayArrayInTable(Scope3_SourceData.Scope3_Livestock_Data(), Table_SourceData_Scope3_Animals173[[#Headers],[Category]], 0, 2)</f>
        <v>7.5</v>
      </c>
      <c r="I474" s="10" t="str" cm="1">
        <f t="array" ref="I474">Common_InputFunctions.Utility_DisplayArrayInTable(Scope3_SourceData.Scope3_Livestock_Data(), Table_SourceData_Scope3_Animals173[[#Headers],[Category]], 0, 2)</f>
        <v>at market</v>
      </c>
    </row>
    <row r="475" spans="4:9" x14ac:dyDescent="0.25">
      <c r="D475" s="10" t="str" cm="1">
        <f t="array" ref="D475">Common_InputFunctions.Utility_DisplayArrayInTable(Scope3_SourceData.Scope3_Livestock_Data(), Table_SourceData_Scope3_Animals173[[#Headers],[Category]], 0, 2)</f>
        <v>Sheep</v>
      </c>
      <c r="E475" s="10" t="str" cm="1">
        <f t="array" ref="E475">Common_InputFunctions.Utility_DisplayArrayInTable(Scope3_SourceData.Scope3_Livestock_Data(), Table_SourceData_Scope3_Animals173[[#Headers],[Category]], 0, 2)</f>
        <v>Sheep, for mutton</v>
      </c>
      <c r="F475" s="10" t="str" cm="1">
        <f t="array" ref="F475">Common_InputFunctions.Utility_DisplayArrayInTable(Scope3_SourceData.Scope3_Livestock_Data(), Table_SourceData_Scope3_Animals173[[#Headers],[Category]], 0, 2)</f>
        <v>VIC</v>
      </c>
      <c r="G475" s="10" t="str" cm="1">
        <f t="array" ref="G475">Common_InputFunctions.Utility_DisplayArrayInTable(Scope3_SourceData.Scope3_Livestock_Data(), Table_SourceData_Scope3_Animals173[[#Headers],[Category]], 0, 2)</f>
        <v>kg liveweight</v>
      </c>
      <c r="H475" s="10" cm="1">
        <f t="array" ref="H475">Common_InputFunctions.Utility_DisplayArrayInTable(Scope3_SourceData.Scope3_Livestock_Data(), Table_SourceData_Scope3_Animals173[[#Headers],[Category]], 0, 2)</f>
        <v>8.08</v>
      </c>
      <c r="I475" s="10" t="str" cm="1">
        <f t="array" ref="I475">Common_InputFunctions.Utility_DisplayArrayInTable(Scope3_SourceData.Scope3_Livestock_Data(), Table_SourceData_Scope3_Animals173[[#Headers],[Category]], 0, 2)</f>
        <v>at market</v>
      </c>
    </row>
    <row r="476" spans="4:9" x14ac:dyDescent="0.25">
      <c r="D476" s="10" t="str" cm="1">
        <f t="array" ref="D476">Common_InputFunctions.Utility_DisplayArrayInTable(Scope3_SourceData.Scope3_Livestock_Data(), Table_SourceData_Scope3_Animals173[[#Headers],[Category]], 0, 2)</f>
        <v>Sheep</v>
      </c>
      <c r="E476" s="10" t="str" cm="1">
        <f t="array" ref="E476">Common_InputFunctions.Utility_DisplayArrayInTable(Scope3_SourceData.Scope3_Livestock_Data(), Table_SourceData_Scope3_Animals173[[#Headers],[Category]], 0, 2)</f>
        <v>Sheep, for mutton</v>
      </c>
      <c r="F476" s="10" t="str" cm="1">
        <f t="array" ref="F476">Common_InputFunctions.Utility_DisplayArrayInTable(Scope3_SourceData.Scope3_Livestock_Data(), Table_SourceData_Scope3_Animals173[[#Headers],[Category]], 0, 2)</f>
        <v>WA</v>
      </c>
      <c r="G476" s="10" t="str" cm="1">
        <f t="array" ref="G476">Common_InputFunctions.Utility_DisplayArrayInTable(Scope3_SourceData.Scope3_Livestock_Data(), Table_SourceData_Scope3_Animals173[[#Headers],[Category]], 0, 2)</f>
        <v>kg liveweight</v>
      </c>
      <c r="H476" s="10" cm="1">
        <f t="array" ref="H476">Common_InputFunctions.Utility_DisplayArrayInTable(Scope3_SourceData.Scope3_Livestock_Data(), Table_SourceData_Scope3_Animals173[[#Headers],[Category]], 0, 2)</f>
        <v>5.45</v>
      </c>
      <c r="I476" s="10" t="str" cm="1">
        <f t="array" ref="I476">Common_InputFunctions.Utility_DisplayArrayInTable(Scope3_SourceData.Scope3_Livestock_Data(), Table_SourceData_Scope3_Animals173[[#Headers],[Category]], 0, 2)</f>
        <v>at market</v>
      </c>
    </row>
    <row r="477" spans="4:9" x14ac:dyDescent="0.25">
      <c r="D477" s="10" t="str" cm="1">
        <f t="array" ref="D477">Common_InputFunctions.Utility_DisplayArrayInTable(Scope3_SourceData.Scope3_Livestock_Data(), Table_SourceData_Scope3_Animals173[[#Headers],[Category]], 0, 2)</f>
        <v>Sheep</v>
      </c>
      <c r="E477" s="10" t="str" cm="1">
        <f t="array" ref="E477">Common_InputFunctions.Utility_DisplayArrayInTable(Scope3_SourceData.Scope3_Livestock_Data(), Table_SourceData_Scope3_Animals173[[#Headers],[Category]], 0, 2)</f>
        <v>Sheep, for prime lamb</v>
      </c>
      <c r="F477" s="10" t="str" cm="1">
        <f t="array" ref="F477">Common_InputFunctions.Utility_DisplayArrayInTable(Scope3_SourceData.Scope3_Livestock_Data(), Table_SourceData_Scope3_Animals173[[#Headers],[Category]], 0, 2)</f>
        <v>Australia</v>
      </c>
      <c r="G477" s="10" t="str" cm="1">
        <f t="array" ref="G477">Common_InputFunctions.Utility_DisplayArrayInTable(Scope3_SourceData.Scope3_Livestock_Data(), Table_SourceData_Scope3_Animals173[[#Headers],[Category]], 0, 2)</f>
        <v>kg liveweight</v>
      </c>
      <c r="H477" s="10" cm="1">
        <f t="array" ref="H477">Common_InputFunctions.Utility_DisplayArrayInTable(Scope3_SourceData.Scope3_Livestock_Data(), Table_SourceData_Scope3_Animals173[[#Headers],[Category]], 0, 2)</f>
        <v>7.15</v>
      </c>
      <c r="I477" s="10" t="str" cm="1">
        <f t="array" ref="I477">Common_InputFunctions.Utility_DisplayArrayInTable(Scope3_SourceData.Scope3_Livestock_Data(), Table_SourceData_Scope3_Animals173[[#Headers],[Category]], 0, 2)</f>
        <v>at market</v>
      </c>
    </row>
    <row r="478" spans="4:9" x14ac:dyDescent="0.25">
      <c r="D478" s="10" t="str" cm="1">
        <f t="array" ref="D478">Common_InputFunctions.Utility_DisplayArrayInTable(Scope3_SourceData.Scope3_Livestock_Data(), Table_SourceData_Scope3_Animals173[[#Headers],[Category]], 0, 2)</f>
        <v>Sheep</v>
      </c>
      <c r="E478" s="10" t="str" cm="1">
        <f t="array" ref="E478">Common_InputFunctions.Utility_DisplayArrayInTable(Scope3_SourceData.Scope3_Livestock_Data(), Table_SourceData_Scope3_Animals173[[#Headers],[Category]], 0, 2)</f>
        <v>Sheep, for prime lamb</v>
      </c>
      <c r="F478" s="10" t="str" cm="1">
        <f t="array" ref="F478">Common_InputFunctions.Utility_DisplayArrayInTable(Scope3_SourceData.Scope3_Livestock_Data(), Table_SourceData_Scope3_Animals173[[#Headers],[Category]], 0, 2)</f>
        <v>NSW</v>
      </c>
      <c r="G478" s="10" t="str" cm="1">
        <f t="array" ref="G478">Common_InputFunctions.Utility_DisplayArrayInTable(Scope3_SourceData.Scope3_Livestock_Data(), Table_SourceData_Scope3_Animals173[[#Headers],[Category]], 0, 2)</f>
        <v>kg liveweight</v>
      </c>
      <c r="H478" s="10" cm="1">
        <f t="array" ref="H478">Common_InputFunctions.Utility_DisplayArrayInTable(Scope3_SourceData.Scope3_Livestock_Data(), Table_SourceData_Scope3_Animals173[[#Headers],[Category]], 0, 2)</f>
        <v>8.2899999999999991</v>
      </c>
      <c r="I478" s="10" t="str" cm="1">
        <f t="array" ref="I478">Common_InputFunctions.Utility_DisplayArrayInTable(Scope3_SourceData.Scope3_Livestock_Data(), Table_SourceData_Scope3_Animals173[[#Headers],[Category]], 0, 2)</f>
        <v>at market</v>
      </c>
    </row>
    <row r="479" spans="4:9" x14ac:dyDescent="0.25">
      <c r="D479" s="10" t="str" cm="1">
        <f t="array" ref="D479">Common_InputFunctions.Utility_DisplayArrayInTable(Scope3_SourceData.Scope3_Livestock_Data(), Table_SourceData_Scope3_Animals173[[#Headers],[Category]], 0, 2)</f>
        <v>Sheep</v>
      </c>
      <c r="E479" s="10" t="str" cm="1">
        <f t="array" ref="E479">Common_InputFunctions.Utility_DisplayArrayInTable(Scope3_SourceData.Scope3_Livestock_Data(), Table_SourceData_Scope3_Animals173[[#Headers],[Category]], 0, 2)</f>
        <v>Sheep, for prime lamb</v>
      </c>
      <c r="F479" s="10" t="str" cm="1">
        <f t="array" ref="F479">Common_InputFunctions.Utility_DisplayArrayInTable(Scope3_SourceData.Scope3_Livestock_Data(), Table_SourceData_Scope3_Animals173[[#Headers],[Category]], 0, 2)</f>
        <v>QLD</v>
      </c>
      <c r="G479" s="10" t="str" cm="1">
        <f t="array" ref="G479">Common_InputFunctions.Utility_DisplayArrayInTable(Scope3_SourceData.Scope3_Livestock_Data(), Table_SourceData_Scope3_Animals173[[#Headers],[Category]], 0, 2)</f>
        <v>kg liveweight</v>
      </c>
      <c r="H479" s="10" cm="1">
        <f t="array" ref="H479">Common_InputFunctions.Utility_DisplayArrayInTable(Scope3_SourceData.Scope3_Livestock_Data(), Table_SourceData_Scope3_Animals173[[#Headers],[Category]], 0, 2)</f>
        <v>6.39</v>
      </c>
      <c r="I479" s="10" t="str" cm="1">
        <f t="array" ref="I479">Common_InputFunctions.Utility_DisplayArrayInTable(Scope3_SourceData.Scope3_Livestock_Data(), Table_SourceData_Scope3_Animals173[[#Headers],[Category]], 0, 2)</f>
        <v>at market</v>
      </c>
    </row>
    <row r="480" spans="4:9" x14ac:dyDescent="0.25">
      <c r="D480" s="10" t="str" cm="1">
        <f t="array" ref="D480">Common_InputFunctions.Utility_DisplayArrayInTable(Scope3_SourceData.Scope3_Livestock_Data(), Table_SourceData_Scope3_Animals173[[#Headers],[Category]], 0, 2)</f>
        <v>Sheep</v>
      </c>
      <c r="E480" s="10" t="str" cm="1">
        <f t="array" ref="E480">Common_InputFunctions.Utility_DisplayArrayInTable(Scope3_SourceData.Scope3_Livestock_Data(), Table_SourceData_Scope3_Animals173[[#Headers],[Category]], 0, 2)</f>
        <v>Sheep, for prime lamb</v>
      </c>
      <c r="F480" s="10" t="str" cm="1">
        <f t="array" ref="F480">Common_InputFunctions.Utility_DisplayArrayInTable(Scope3_SourceData.Scope3_Livestock_Data(), Table_SourceData_Scope3_Animals173[[#Headers],[Category]], 0, 2)</f>
        <v>SA</v>
      </c>
      <c r="G480" s="10" t="str" cm="1">
        <f t="array" ref="G480">Common_InputFunctions.Utility_DisplayArrayInTable(Scope3_SourceData.Scope3_Livestock_Data(), Table_SourceData_Scope3_Animals173[[#Headers],[Category]], 0, 2)</f>
        <v>kg liveweight</v>
      </c>
      <c r="H480" s="10" cm="1">
        <f t="array" ref="H480">Common_InputFunctions.Utility_DisplayArrayInTable(Scope3_SourceData.Scope3_Livestock_Data(), Table_SourceData_Scope3_Animals173[[#Headers],[Category]], 0, 2)</f>
        <v>6.87</v>
      </c>
      <c r="I480" s="10" t="str" cm="1">
        <f t="array" ref="I480">Common_InputFunctions.Utility_DisplayArrayInTable(Scope3_SourceData.Scope3_Livestock_Data(), Table_SourceData_Scope3_Animals173[[#Headers],[Category]], 0, 2)</f>
        <v>at market</v>
      </c>
    </row>
    <row r="481" spans="4:9" x14ac:dyDescent="0.25">
      <c r="D481" s="10" t="str" cm="1">
        <f t="array" ref="D481">Common_InputFunctions.Utility_DisplayArrayInTable(Scope3_SourceData.Scope3_Livestock_Data(), Table_SourceData_Scope3_Animals173[[#Headers],[Category]], 0, 2)</f>
        <v>Sheep</v>
      </c>
      <c r="E481" s="10" t="str" cm="1">
        <f t="array" ref="E481">Common_InputFunctions.Utility_DisplayArrayInTable(Scope3_SourceData.Scope3_Livestock_Data(), Table_SourceData_Scope3_Animals173[[#Headers],[Category]], 0, 2)</f>
        <v>Sheep, for prime lamb</v>
      </c>
      <c r="F481" s="10" t="str" cm="1">
        <f t="array" ref="F481">Common_InputFunctions.Utility_DisplayArrayInTable(Scope3_SourceData.Scope3_Livestock_Data(), Table_SourceData_Scope3_Animals173[[#Headers],[Category]], 0, 2)</f>
        <v>TAS</v>
      </c>
      <c r="G481" s="10" t="str" cm="1">
        <f t="array" ref="G481">Common_InputFunctions.Utility_DisplayArrayInTable(Scope3_SourceData.Scope3_Livestock_Data(), Table_SourceData_Scope3_Animals173[[#Headers],[Category]], 0, 2)</f>
        <v>kg liveweight</v>
      </c>
      <c r="H481" s="10" cm="1">
        <f t="array" ref="H481">Common_InputFunctions.Utility_DisplayArrayInTable(Scope3_SourceData.Scope3_Livestock_Data(), Table_SourceData_Scope3_Animals173[[#Headers],[Category]], 0, 2)</f>
        <v>8.66</v>
      </c>
      <c r="I481" s="10" t="str" cm="1">
        <f t="array" ref="I481">Common_InputFunctions.Utility_DisplayArrayInTable(Scope3_SourceData.Scope3_Livestock_Data(), Table_SourceData_Scope3_Animals173[[#Headers],[Category]], 0, 2)</f>
        <v>at market</v>
      </c>
    </row>
    <row r="482" spans="4:9" x14ac:dyDescent="0.25">
      <c r="D482" s="10" t="str" cm="1">
        <f t="array" ref="D482">Common_InputFunctions.Utility_DisplayArrayInTable(Scope3_SourceData.Scope3_Livestock_Data(), Table_SourceData_Scope3_Animals173[[#Headers],[Category]], 0, 2)</f>
        <v>Sheep</v>
      </c>
      <c r="E482" s="10" t="str" cm="1">
        <f t="array" ref="E482">Common_InputFunctions.Utility_DisplayArrayInTable(Scope3_SourceData.Scope3_Livestock_Data(), Table_SourceData_Scope3_Animals173[[#Headers],[Category]], 0, 2)</f>
        <v>Sheep, for prime lamb</v>
      </c>
      <c r="F482" s="10" t="str" cm="1">
        <f t="array" ref="F482">Common_InputFunctions.Utility_DisplayArrayInTable(Scope3_SourceData.Scope3_Livestock_Data(), Table_SourceData_Scope3_Animals173[[#Headers],[Category]], 0, 2)</f>
        <v>VIC</v>
      </c>
      <c r="G482" s="10" t="str" cm="1">
        <f t="array" ref="G482">Common_InputFunctions.Utility_DisplayArrayInTable(Scope3_SourceData.Scope3_Livestock_Data(), Table_SourceData_Scope3_Animals173[[#Headers],[Category]], 0, 2)</f>
        <v>kg liveweight</v>
      </c>
      <c r="H482" s="10" cm="1">
        <f t="array" ref="H482">Common_InputFunctions.Utility_DisplayArrayInTable(Scope3_SourceData.Scope3_Livestock_Data(), Table_SourceData_Scope3_Animals173[[#Headers],[Category]], 0, 2)</f>
        <v>10</v>
      </c>
      <c r="I482" s="10" t="str" cm="1">
        <f t="array" ref="I482">Common_InputFunctions.Utility_DisplayArrayInTable(Scope3_SourceData.Scope3_Livestock_Data(), Table_SourceData_Scope3_Animals173[[#Headers],[Category]], 0, 2)</f>
        <v>at market</v>
      </c>
    </row>
    <row r="483" spans="4:9" x14ac:dyDescent="0.25">
      <c r="D483" s="10" t="str" cm="1">
        <f t="array" ref="D483">Common_InputFunctions.Utility_DisplayArrayInTable(Scope3_SourceData.Scope3_Livestock_Data(), Table_SourceData_Scope3_Animals173[[#Headers],[Category]], 0, 2)</f>
        <v>Sheep</v>
      </c>
      <c r="E483" s="10" t="str" cm="1">
        <f t="array" ref="E483">Common_InputFunctions.Utility_DisplayArrayInTable(Scope3_SourceData.Scope3_Livestock_Data(), Table_SourceData_Scope3_Animals173[[#Headers],[Category]], 0, 2)</f>
        <v>Sheep, for prime lamb</v>
      </c>
      <c r="F483" s="10" t="str" cm="1">
        <f t="array" ref="F483">Common_InputFunctions.Utility_DisplayArrayInTable(Scope3_SourceData.Scope3_Livestock_Data(), Table_SourceData_Scope3_Animals173[[#Headers],[Category]], 0, 2)</f>
        <v>WA</v>
      </c>
      <c r="G483" s="10" t="str" cm="1">
        <f t="array" ref="G483">Common_InputFunctions.Utility_DisplayArrayInTable(Scope3_SourceData.Scope3_Livestock_Data(), Table_SourceData_Scope3_Animals173[[#Headers],[Category]], 0, 2)</f>
        <v>kg liveweight</v>
      </c>
      <c r="H483" s="10" cm="1">
        <f t="array" ref="H483">Common_InputFunctions.Utility_DisplayArrayInTable(Scope3_SourceData.Scope3_Livestock_Data(), Table_SourceData_Scope3_Animals173[[#Headers],[Category]], 0, 2)</f>
        <v>5.67</v>
      </c>
      <c r="I483" s="10" t="str" cm="1">
        <f t="array" ref="I483">Common_InputFunctions.Utility_DisplayArrayInTable(Scope3_SourceData.Scope3_Livestock_Data(), Table_SourceData_Scope3_Animals173[[#Headers],[Category]],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C263-9675-4779-AE2F-00FCF9A5167D}">
  <dimension ref="A1:M65"/>
  <sheetViews>
    <sheetView showGridLines="0" topLeftCell="A12" workbookViewId="0">
      <selection activeCell="D29" sqref="D29:G66"/>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146" t="e" vm="1">
        <v>#VALUE!</v>
      </c>
      <c r="C1" s="1" t="s">
        <v>911</v>
      </c>
      <c r="D1" s="1"/>
      <c r="E1" s="1"/>
      <c r="F1" s="1"/>
      <c r="G1" s="1"/>
      <c r="H1" s="1"/>
      <c r="I1" s="1"/>
      <c r="J1" s="1"/>
      <c r="K1" s="1"/>
      <c r="L1" s="1"/>
      <c r="M1" s="1"/>
    </row>
    <row r="2" spans="1:13" ht="20.100000000000001" customHeight="1" x14ac:dyDescent="0.25">
      <c r="A2" s="4"/>
      <c r="C2" s="2"/>
      <c r="D2" s="2"/>
      <c r="E2" s="2"/>
      <c r="F2" s="2"/>
      <c r="G2" s="2"/>
      <c r="H2" s="2"/>
      <c r="I2" s="2"/>
      <c r="J2" s="2"/>
      <c r="K2" s="2"/>
      <c r="L2" s="2"/>
      <c r="M2" s="2"/>
    </row>
    <row r="3" spans="1:13" ht="20.100000000000001" customHeight="1" x14ac:dyDescent="0.25">
      <c r="A3" s="16" t="str">
        <f>HYPERLINK("#'Home'!A1", "Home")</f>
        <v>Home</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s="18"/>
    </row>
    <row r="6" spans="1:13" ht="20.100000000000001" customHeight="1" x14ac:dyDescent="0.25">
      <c r="A6" s="19" t="s">
        <v>67</v>
      </c>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6" t="str">
        <f>HYPERLINK("#'Input - Site'!A1", "Site")</f>
        <v>Site</v>
      </c>
      <c r="D7" s="7" t="str" cm="1">
        <f t="array" ref="D7">CommonLivestock_SourceData.SourceData_Livestock_Common_SymbolsMMS_Vairable()</f>
        <v>MMS</v>
      </c>
      <c r="E7" s="7"/>
      <c r="F7" s="7"/>
      <c r="G7" s="7"/>
      <c r="H7" s="7"/>
    </row>
    <row r="8" spans="1:13" ht="20.100000000000001" customHeight="1" x14ac:dyDescent="0.25">
      <c r="A8" s="16" t="str">
        <f>HYPERLINK("#'Input - Pasture Beef'!A1", "Pasture Beef")</f>
        <v>Pasture Beef</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c r="D9" s="15" t="s">
        <v>323</v>
      </c>
      <c r="E9" s="10" t="s">
        <v>324</v>
      </c>
      <c r="F9" s="10" t="s">
        <v>325</v>
      </c>
      <c r="G9" s="7"/>
    </row>
    <row r="10" spans="1:13" ht="20.100000000000001" customHeight="1" x14ac:dyDescent="0.25">
      <c r="A10" s="21" t="s">
        <v>77</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HYPERLINK("#'4.2.1.1-2 Methane'!A1", "4.2.1.1-2 Methane")</f>
        <v>4.2.1.1-2 Methane</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HYPERLINK("#'4.2.1.3-4 Soil direct N2O'!A1", "4.2.1.3-4 Soil direct N2O")</f>
        <v>4.2.1.3-4 Soil direct N2O</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HYPERLINK("#'4.2.1.5-6 Soil Atmos Dep'!A1", "4.2.1.5-6 Soil atm. deposition")</f>
        <v>4.2.1.5-6 Soil atm. deposition</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HYPERLINK("#'4.2.1.7-8 Soil leach runoff'!A1", "4.2.1.7-8 Soil leach &amp; runoff")</f>
        <v>4.2.1.7-8 Soil leach &amp; runoff</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23" t="s">
        <v>78</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HYPERLINK("#'Constants - Pasture Beef'!A1", "Constants - Pasture Beef")</f>
        <v>Constants - Pasture Beef</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HYPERLINK("#'Constants - Livestock'!A1", "Constants - Livestock")</f>
        <v>Constants - Livestock</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HYPERLINK("#'Constants - Common'!A1", "Constants - Common")</f>
        <v>Constants - Common</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HYPERLINK("#'Acknowledgements'!A1", "Acknowledgements")</f>
        <v>Acknowledgements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G28" s="7"/>
      <c r="H28" s="7"/>
    </row>
    <row r="29" spans="1:8" ht="20.100000000000001" customHeight="1" x14ac:dyDescent="0.25">
      <c r="D29" s="9" t="str" cm="1">
        <f t="array" ref="D29">CommonLivestock_SourceData.SourceData_Livestock_Product_BeefCattle_Title()</f>
        <v>Beef cattle products for scope 3</v>
      </c>
    </row>
    <row r="30" spans="1:8" ht="20.100000000000001" customHeight="1" x14ac:dyDescent="0.25">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10" t="s">
        <v>215</v>
      </c>
      <c r="E31" s="10" t="s">
        <v>326</v>
      </c>
      <c r="F31" s="8" t="s">
        <v>327</v>
      </c>
    </row>
    <row r="32" spans="1:8" ht="20.100000000000001" customHeight="1" x14ac:dyDescent="0.25">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9" t="str" cm="1">
        <f t="array" ref="D41">CommonLivestock_SourceData.SourceData_Livestock_Product_Sheep_Title()</f>
        <v>Sheep products for scope 3</v>
      </c>
    </row>
    <row r="42" spans="4:6" ht="20.100000000000001" customHeight="1" x14ac:dyDescent="0.25">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10" t="s">
        <v>215</v>
      </c>
      <c r="E43" s="10" t="s">
        <v>326</v>
      </c>
      <c r="F43" s="8" t="s">
        <v>328</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9" t="str" cm="1">
        <f t="array" ref="D52">CommonLivestock_SourceData.SourceData_Livestock_Product_Chickens_Title()</f>
        <v>Chickens products for scope 3</v>
      </c>
    </row>
    <row r="53" spans="4:6" ht="20.100000000000001" customHeight="1" x14ac:dyDescent="0.25">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10" t="s">
        <v>215</v>
      </c>
      <c r="E54" s="10" t="s">
        <v>326</v>
      </c>
      <c r="F54" s="8" t="s">
        <v>334</v>
      </c>
    </row>
    <row r="55" spans="4:6" ht="20.100000000000001" customHeight="1" x14ac:dyDescent="0.2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9" t="str" cm="1">
        <f t="array" ref="D57">CommonLivestock_SourceData.SourceData_Livestock_Product_Dairycattle_Title()</f>
        <v>Dairy cattle products for scope 3</v>
      </c>
    </row>
    <row r="58" spans="4:6" ht="20.100000000000001" customHeight="1" x14ac:dyDescent="0.25">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10" t="s">
        <v>215</v>
      </c>
      <c r="E59" s="10" t="s">
        <v>326</v>
      </c>
      <c r="F59" s="8" t="s">
        <v>335</v>
      </c>
    </row>
    <row r="60" spans="4:6" ht="20.100000000000001" customHeight="1" x14ac:dyDescent="0.25">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9" t="str" cm="1">
        <f t="array" ref="D62">CommonLivestock_SourceData.SourceData_Livestock_Product_Pigs_Title()</f>
        <v>Pigs products for scope 3</v>
      </c>
    </row>
    <row r="63" spans="4:6" ht="20.100000000000001" customHeight="1" x14ac:dyDescent="0.25">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10" t="s">
        <v>215</v>
      </c>
      <c r="E64" s="10" t="s">
        <v>326</v>
      </c>
      <c r="F64" s="8" t="s">
        <v>336</v>
      </c>
    </row>
    <row r="65" spans="4:5" x14ac:dyDescent="0.2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DAB3-FD63-483F-A61D-20CD08374DF2}">
  <dimension ref="A1:AI165"/>
  <sheetViews>
    <sheetView showGridLines="0" topLeftCell="E17" zoomScaleNormal="100" workbookViewId="0">
      <selection activeCell="J42" sqref="J42:J46"/>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133</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140</v>
      </c>
      <c r="F40" s="9" t="s">
        <v>141</v>
      </c>
      <c r="H40" s="9" t="s">
        <v>142</v>
      </c>
      <c r="J40" s="9" t="s">
        <v>143</v>
      </c>
    </row>
    <row r="41" spans="4:10" ht="20.100000000000001" customHeight="1" x14ac:dyDescent="0.25">
      <c r="D41" s="10" t="s">
        <v>144</v>
      </c>
      <c r="F41" s="10" t="s">
        <v>144</v>
      </c>
      <c r="H41" s="10" t="s">
        <v>43</v>
      </c>
      <c r="J41" s="10" t="s">
        <v>145</v>
      </c>
    </row>
    <row r="42" spans="4:10" ht="20.100000000000001" customHeight="1" x14ac:dyDescent="0.25">
      <c r="D42" s="10" t="s">
        <v>146</v>
      </c>
      <c r="F42" s="10" t="s">
        <v>146</v>
      </c>
      <c r="H42" s="10" t="s">
        <v>147</v>
      </c>
      <c r="J42" s="10" t="s">
        <v>148</v>
      </c>
    </row>
    <row r="43" spans="4:10" ht="20.100000000000001" customHeight="1" x14ac:dyDescent="0.25">
      <c r="D43" s="8" t="s">
        <v>149</v>
      </c>
      <c r="F43" s="8" t="s">
        <v>150</v>
      </c>
      <c r="H43" s="10" t="s">
        <v>151</v>
      </c>
      <c r="J43" s="8" t="s">
        <v>152</v>
      </c>
    </row>
    <row r="44" spans="4:10" ht="20.100000000000001" customHeight="1" x14ac:dyDescent="0.25">
      <c r="F44" s="8" t="s">
        <v>153</v>
      </c>
      <c r="H44" s="8" t="s">
        <v>154</v>
      </c>
      <c r="J44" s="8" t="s">
        <v>155</v>
      </c>
    </row>
    <row r="45" spans="4:10" ht="20.100000000000001" customHeight="1" x14ac:dyDescent="0.25">
      <c r="F45" s="8" t="s">
        <v>156</v>
      </c>
      <c r="H45" s="8" t="s">
        <v>157</v>
      </c>
      <c r="J45" s="8" t="s">
        <v>158</v>
      </c>
    </row>
    <row r="46" spans="4:10" ht="20.100000000000001" customHeight="1" x14ac:dyDescent="0.25">
      <c r="H46" s="8" t="s">
        <v>159</v>
      </c>
      <c r="J46" s="8" t="s">
        <v>160</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134</v>
      </c>
      <c r="E50" s="10" t="s">
        <v>161</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162</v>
      </c>
      <c r="E65" s="10" t="s">
        <v>163</v>
      </c>
      <c r="F65" s="10" t="s">
        <v>164</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8" t="s">
        <v>909</v>
      </c>
    </row>
    <row r="87" spans="4:31" ht="20.100000000000001" customHeight="1" x14ac:dyDescent="0.25">
      <c r="D87" s="9" t="s">
        <v>165</v>
      </c>
      <c r="E87" s="17"/>
      <c r="F87" s="17"/>
      <c r="G87" s="17"/>
      <c r="H87" s="17"/>
      <c r="I87" s="17"/>
      <c r="J87" s="17"/>
      <c r="K87" s="17"/>
      <c r="L87" s="17"/>
      <c r="N87" s="17" t="s">
        <v>909</v>
      </c>
      <c r="O87" s="17"/>
      <c r="P87" s="17"/>
      <c r="Q87" s="17"/>
      <c r="R87" s="17"/>
      <c r="S87" s="17"/>
      <c r="T87" s="17"/>
      <c r="U87" s="17"/>
    </row>
    <row r="88" spans="4:31" ht="20.100000000000001" customHeight="1" x14ac:dyDescent="0.25">
      <c r="D88" s="17"/>
    </row>
    <row r="89" spans="4:31" ht="20.100000000000001" customHeight="1" x14ac:dyDescent="0.25">
      <c r="D89" s="66" t="s">
        <v>166</v>
      </c>
      <c r="E89" s="10" t="s">
        <v>167</v>
      </c>
      <c r="F89" s="10" t="s">
        <v>168</v>
      </c>
      <c r="G89" s="67" t="s">
        <v>169</v>
      </c>
      <c r="H89" s="67" t="s">
        <v>96</v>
      </c>
      <c r="I89" s="67" t="s">
        <v>170</v>
      </c>
      <c r="J89" s="67" t="s">
        <v>171</v>
      </c>
      <c r="K89" s="67" t="s">
        <v>172</v>
      </c>
      <c r="L89" s="67" t="s">
        <v>173</v>
      </c>
      <c r="M89" s="67" t="s">
        <v>174</v>
      </c>
      <c r="N89" s="67" t="s">
        <v>175</v>
      </c>
      <c r="O89" s="10" t="s">
        <v>176</v>
      </c>
      <c r="P89" s="10" t="s">
        <v>177</v>
      </c>
      <c r="Q89" s="10" t="s">
        <v>178</v>
      </c>
      <c r="R89" s="67" t="s">
        <v>179</v>
      </c>
      <c r="S89" s="67" t="s">
        <v>180</v>
      </c>
      <c r="T89" s="10" t="s">
        <v>181</v>
      </c>
      <c r="U89" s="67" t="s">
        <v>182</v>
      </c>
      <c r="V89" s="67" t="s">
        <v>183</v>
      </c>
      <c r="W89" s="67" t="s">
        <v>184</v>
      </c>
      <c r="X89" s="67" t="s">
        <v>185</v>
      </c>
      <c r="Y89" s="67" t="s">
        <v>186</v>
      </c>
      <c r="Z89" s="10" t="s">
        <v>187</v>
      </c>
      <c r="AA89" s="10" t="s">
        <v>188</v>
      </c>
      <c r="AB89" s="10" t="s">
        <v>189</v>
      </c>
      <c r="AC89" s="10" t="s">
        <v>190</v>
      </c>
      <c r="AD89" s="10" t="s">
        <v>191</v>
      </c>
      <c r="AE89" s="10" t="s">
        <v>192</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0,4)</f>
        <v>L</v>
      </c>
      <c r="I90" s="65" cm="1">
        <f t="array" ref="I90">Common_InputFunctions.Utility_DisplayArrayInTable(Fertiliser_SourceData.Fertiliser_Products_Data1(),FertiliserProducts[[#Headers],[Include or Exclude]], 0,4)</f>
        <v>1.26</v>
      </c>
      <c r="J90" s="65" t="str" cm="1">
        <f t="array" ref="J90">Common_InputFunctions.Utility_DisplayArrayInTable(Fertiliser_SourceData.Fertiliser_Products_Data1(),FertiliserProducts[[#Headers],[Include or Exclude]], 0,4)</f>
        <v/>
      </c>
      <c r="K90" s="65" t="str" cm="1">
        <f t="array" ref="K90">Common_InputFunctions.Utility_DisplayArrayInTable(Fertiliser_SourceData.Fertiliser_Products_Data1(),FertiliserProducts[[#Headers],[Include or Exclude]], 0,4)</f>
        <v/>
      </c>
      <c r="L90" s="65" t="str" cm="1">
        <f t="array" ref="L90">Common_InputFunctions.Utility_DisplayArrayInTable(Fertiliser_SourceData.Fertiliser_Products_Data1(),FertiliserProducts[[#Headers],[Include or Exclude]], 0,4)</f>
        <v>Potassium - Generic</v>
      </c>
      <c r="M90" s="65" cm="1">
        <f t="array" ref="M90">Common_InputFunctions.Utility_DisplayArrayInTable(Fertiliser_SourceData.Fertiliser_Products_Data1(),FertiliserProducts[[#Headers],[Include or Exclude]], 0,4)</f>
        <v>0.22500000000000001</v>
      </c>
      <c r="N90" s="65" t="str" cm="1">
        <f t="array" ref="N90">Common_InputFunctions.Utility_DisplayArrayInTable(Fertiliser_SourceData.Fertiliser_Products_Data1(),FertiliserProducts[[#Headers],[Include or Exclude]], 0,4)</f>
        <v>Phosphorus - Generic</v>
      </c>
      <c r="O90" s="65" cm="1">
        <f t="array" ref="O90">Common_InputFunctions.Utility_DisplayArrayInTable(Fertiliser_SourceData.Fertiliser_Products_Data1(),FertiliserProducts[[#Headers],[Include or Exclude]], 0,4)</f>
        <v>0.04</v>
      </c>
      <c r="P90" s="65" t="str" cm="1">
        <f t="array" ref="P90">Common_InputFunctions.Utility_DisplayArrayInTable(Fertiliser_SourceData.Fertiliser_Products_Data1(),FertiliserProducts[[#Headers],[Include or Exclude]], 0,4)</f>
        <v>Nitrogen - Generic</v>
      </c>
      <c r="Q90" s="65" cm="1">
        <f t="array" ref="Q90">Common_InputFunctions.Utility_DisplayArrayInTable(Fertiliser_SourceData.Fertiliser_Products_Data1(),FertiliserProducts[[#Headers],[Include or Exclude]], 0,4)</f>
        <v>2.5999999999999999E-2</v>
      </c>
      <c r="R90" s="65" t="str" cm="1">
        <f t="array" ref="R90">Common_InputFunctions.Utility_DisplayArrayInTable(Fertiliser_SourceData.Fertiliser_Products_Data1(),FertiliserProducts[[#Headers],[Include or Exclude]], 0,4)</f>
        <v/>
      </c>
      <c r="S90" s="65" t="str" cm="1">
        <f t="array" ref="S90">Common_InputFunctions.Utility_DisplayArrayInTable(Fertiliser_SourceData.Fertiliser_Products_Data1(),FertiliserProducts[[#Headers],[Include or Exclude]], 0,4)</f>
        <v/>
      </c>
      <c r="T90" s="65" t="str" cm="1">
        <f t="array" ref="T90">Common_InputFunctions.Utility_DisplayArrayInTable(Fertiliser_SourceData.Fertiliser_Products_Data1(),FertiliserProducts[[#Headers],[Include or Exclude]], 0,4)</f>
        <v/>
      </c>
      <c r="U90" s="65" t="str" cm="1">
        <f t="array" ref="U90">Common_InputFunctions.Utility_DisplayArrayInTable(Fertiliser_SourceData.Fertiliser_Products_Data1(),FertiliserProducts[[#Headers],[Include or Exclude]], 0,4)</f>
        <v/>
      </c>
      <c r="V90" s="65" t="str" cm="1">
        <f t="array" ref="V90">Common_InputFunctions.Utility_DisplayArrayInTable(Fertiliser_SourceData.Fertiliser_Products_Data1(),FertiliserProducts[[#Headers],[Include or Exclude]], 0,4)</f>
        <v/>
      </c>
      <c r="W90" s="65" t="str" cm="1">
        <f t="array" ref="W90">Common_InputFunctions.Utility_DisplayArrayInTable(Fertiliser_SourceData.Fertiliser_Products_Data1(),FertiliserProducts[[#Headers],[Include or Exclude]], 0,4)</f>
        <v/>
      </c>
      <c r="X90" s="65" t="str" cm="1">
        <f t="array" ref="X90">Common_InputFunctions.Utility_DisplayArrayInTable(Fertiliser_SourceData.Fertiliser_Products_Data1(),FertiliserProducts[[#Headers],[Include or Exclude]], 0,4)</f>
        <v/>
      </c>
      <c r="Y90" s="65" t="str" cm="1">
        <f t="array" ref="Y90">Common_InputFunctions.Utility_DisplayArrayInTable(Fertiliser_SourceData.Fertiliser_Products_Data1(),FertiliserProducts[[#Headers],[Include or Exclude]], 0,4)</f>
        <v/>
      </c>
      <c r="Z90" s="65" t="str" cm="1">
        <f t="array" ref="Z90">Common_InputFunctions.Utility_DisplayArrayInTable(Fertiliser_SourceData.Fertiliser_Products_Data1(),FertiliserProducts[[#Headers],[Include or Exclude]], 0,4)</f>
        <v/>
      </c>
      <c r="AA90" s="65" t="str" cm="1">
        <f t="array" ref="AA90">Common_InputFunctions.Utility_DisplayArrayInTable(Fertiliser_SourceData.Fertiliser_Products_Data1(),FertiliserProducts[[#Headers],[Include or Exclude]], 0,4)</f>
        <v/>
      </c>
      <c r="AB90" s="65" t="str" cm="1">
        <f t="array" ref="AB90">Common_InputFunctions.Utility_DisplayArrayInTable(Fertiliser_SourceData.Fertiliser_Products_Data1(),FertiliserProducts[[#Headers],[Include or Exclude]], 0,4)</f>
        <v/>
      </c>
      <c r="AC90" s="65" t="str" cm="1">
        <f t="array" ref="AC90">Common_InputFunctions.Utility_DisplayArrayInTable(Fertiliser_SourceData.Fertiliser_Products_Data1(),FertiliserProducts[[#Headers],[Include or Exclude]], 0,4)</f>
        <v/>
      </c>
      <c r="AD90" s="65" t="str" cm="1">
        <f t="array" ref="AD90">Common_InputFunctions.Utility_DisplayArrayInTable(Fertiliser_SourceData.Fertiliser_Products_Data1(),FertiliserProducts[[#Headers],[Include or Exclude]], 0,4)</f>
        <v/>
      </c>
      <c r="AE90" s="65" t="str" cm="1">
        <f t="array" ref="AE90">Common_InputFunctions.Utility_DisplayArrayInTable(Fertiliser_SourceData.Fertiliser_Products_Data1(),FertiliserProducts[[#Headers],[Include or Exclude]], 0,4)</f>
        <v/>
      </c>
    </row>
    <row r="91" spans="4:31" ht="20.100000000000001" customHeight="1" x14ac:dyDescent="0.25">
      <c r="D91" s="65" t="str" cm="1">
        <f t="array" ref="D91">Common_InputFunctions.Utility_DisplayArrayInTable(Fertiliser_SourceData.Fertiliser_Products_Data1(),FertiliserProducts[[#Headers],[Include or Exclude]], -1)</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0,4)</f>
        <v>L</v>
      </c>
      <c r="I91" s="65" cm="1">
        <f t="array" ref="I91">Common_InputFunctions.Utility_DisplayArrayInTable(Fertiliser_SourceData.Fertiliser_Products_Data1(),FertiliserProducts[[#Headers],[Include or Exclude]], 0,4)</f>
        <v>1.26</v>
      </c>
      <c r="J91" s="65" t="str" cm="1">
        <f t="array" ref="J91">Common_InputFunctions.Utility_DisplayArrayInTable(Fertiliser_SourceData.Fertiliser_Products_Data1(),FertiliserProducts[[#Headers],[Include or Exclude]], 0,4)</f>
        <v/>
      </c>
      <c r="K91" s="65" t="str" cm="1">
        <f t="array" ref="K91">Common_InputFunctions.Utility_DisplayArrayInTable(Fertiliser_SourceData.Fertiliser_Products_Data1(),FertiliserProducts[[#Headers],[Include or Exclude]], 0,4)</f>
        <v/>
      </c>
      <c r="L91" s="65" t="str" cm="1">
        <f t="array" ref="L91">Common_InputFunctions.Utility_DisplayArrayInTable(Fertiliser_SourceData.Fertiliser_Products_Data1(),FertiliserProducts[[#Headers],[Include or Exclude]], 0,4)</f>
        <v>Potassium - Generic</v>
      </c>
      <c r="M91" s="65" cm="1">
        <f t="array" ref="M91">Common_InputFunctions.Utility_DisplayArrayInTable(Fertiliser_SourceData.Fertiliser_Products_Data1(),FertiliserProducts[[#Headers],[Include or Exclude]], 0,4)</f>
        <v>0.105</v>
      </c>
      <c r="N91" s="65" t="str" cm="1">
        <f t="array" ref="N91">Common_InputFunctions.Utility_DisplayArrayInTable(Fertiliser_SourceData.Fertiliser_Products_Data1(),FertiliserProducts[[#Headers],[Include or Exclude]], 0,4)</f>
        <v>Nitrogen - Generic</v>
      </c>
      <c r="O91" s="65" cm="1">
        <f t="array" ref="O91">Common_InputFunctions.Utility_DisplayArrayInTable(Fertiliser_SourceData.Fertiliser_Products_Data1(),FertiliserProducts[[#Headers],[Include or Exclude]], 0,4)</f>
        <v>9.6000000000000002E-2</v>
      </c>
      <c r="P91" s="65" t="str" cm="1">
        <f t="array" ref="P91">Common_InputFunctions.Utility_DisplayArrayInTable(Fertiliser_SourceData.Fertiliser_Products_Data1(),FertiliserProducts[[#Headers],[Include or Exclude]], 0,4)</f>
        <v>Phosphorus - Generic</v>
      </c>
      <c r="Q91" s="65" cm="1">
        <f t="array" ref="Q91">Common_InputFunctions.Utility_DisplayArrayInTable(Fertiliser_SourceData.Fertiliser_Products_Data1(),FertiliserProducts[[#Headers],[Include or Exclude]], 0,4)</f>
        <v>0.05</v>
      </c>
      <c r="R91" s="65" t="str" cm="1">
        <f t="array" ref="R91">Common_InputFunctions.Utility_DisplayArrayInTable(Fertiliser_SourceData.Fertiliser_Products_Data1(),FertiliserProducts[[#Headers],[Include or Exclude]], 0,4)</f>
        <v/>
      </c>
      <c r="S91" s="65" t="str" cm="1">
        <f t="array" ref="S91">Common_InputFunctions.Utility_DisplayArrayInTable(Fertiliser_SourceData.Fertiliser_Products_Data1(),FertiliserProducts[[#Headers],[Include or Exclude]], 0,4)</f>
        <v/>
      </c>
      <c r="T91" s="65" t="str" cm="1">
        <f t="array" ref="T91">Common_InputFunctions.Utility_DisplayArrayInTable(Fertiliser_SourceData.Fertiliser_Products_Data1(),FertiliserProducts[[#Headers],[Include or Exclude]], 0,4)</f>
        <v/>
      </c>
      <c r="U91" s="65" t="str" cm="1">
        <f t="array" ref="U91">Common_InputFunctions.Utility_DisplayArrayInTable(Fertiliser_SourceData.Fertiliser_Products_Data1(),FertiliserProducts[[#Headers],[Include or Exclude]], 0,4)</f>
        <v/>
      </c>
      <c r="V91" s="65" t="str" cm="1">
        <f t="array" ref="V91">Common_InputFunctions.Utility_DisplayArrayInTable(Fertiliser_SourceData.Fertiliser_Products_Data1(),FertiliserProducts[[#Headers],[Include or Exclude]], 0,4)</f>
        <v/>
      </c>
      <c r="W91" s="65" t="str" cm="1">
        <f t="array" ref="W91">Common_InputFunctions.Utility_DisplayArrayInTable(Fertiliser_SourceData.Fertiliser_Products_Data1(),FertiliserProducts[[#Headers],[Include or Exclude]], 0,4)</f>
        <v/>
      </c>
      <c r="X91" s="65" t="str" cm="1">
        <f t="array" ref="X91">Common_InputFunctions.Utility_DisplayArrayInTable(Fertiliser_SourceData.Fertiliser_Products_Data1(),FertiliserProducts[[#Headers],[Include or Exclude]], 0,4)</f>
        <v/>
      </c>
      <c r="Y91" s="65" t="str" cm="1">
        <f t="array" ref="Y91">Common_InputFunctions.Utility_DisplayArrayInTable(Fertiliser_SourceData.Fertiliser_Products_Data1(),FertiliserProducts[[#Headers],[Include or Exclude]], 0,4)</f>
        <v/>
      </c>
      <c r="Z91" s="65" t="str" cm="1">
        <f t="array" ref="Z91">Common_InputFunctions.Utility_DisplayArrayInTable(Fertiliser_SourceData.Fertiliser_Products_Data1(),FertiliserProducts[[#Headers],[Include or Exclude]], 0,4)</f>
        <v/>
      </c>
      <c r="AA91" s="65" t="str" cm="1">
        <f t="array" ref="AA91">Common_InputFunctions.Utility_DisplayArrayInTable(Fertiliser_SourceData.Fertiliser_Products_Data1(),FertiliserProducts[[#Headers],[Include or Exclude]], 0,4)</f>
        <v/>
      </c>
      <c r="AB91" s="65" t="str" cm="1">
        <f t="array" ref="AB91">Common_InputFunctions.Utility_DisplayArrayInTable(Fertiliser_SourceData.Fertiliser_Products_Data1(),FertiliserProducts[[#Headers],[Include or Exclude]], 0,4)</f>
        <v/>
      </c>
      <c r="AC91" s="65" t="str" cm="1">
        <f t="array" ref="AC91">Common_InputFunctions.Utility_DisplayArrayInTable(Fertiliser_SourceData.Fertiliser_Products_Data1(),FertiliserProducts[[#Headers],[Include or Exclude]], 0,4)</f>
        <v/>
      </c>
      <c r="AD91" s="65" t="str" cm="1">
        <f t="array" ref="AD91">Common_InputFunctions.Utility_DisplayArrayInTable(Fertiliser_SourceData.Fertiliser_Products_Data1(),FertiliserProducts[[#Headers],[Include or Exclude]], 0,4)</f>
        <v/>
      </c>
      <c r="AE91" s="65" t="str" cm="1">
        <f t="array" ref="AE91">Common_InputFunctions.Utility_DisplayArrayInTable(Fertiliser_SourceData.Fertiliser_Products_Data1(),FertiliserProducts[[#Headers],[Include or Exclude]], 0,4)</f>
        <v/>
      </c>
    </row>
    <row r="92" spans="4:31" ht="20.100000000000001" customHeight="1" x14ac:dyDescent="0.25">
      <c r="D92" s="65" t="str" cm="1">
        <f t="array" ref="D92">Common_InputFunctions.Utility_DisplayArrayInTable(Fertiliser_SourceData.Fertiliser_Products_Data1(),FertiliserProducts[[#Headers],[Include or Exclude]], -1)</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0,4)</f>
        <v>L</v>
      </c>
      <c r="I92" s="65" cm="1">
        <f t="array" ref="I92">Common_InputFunctions.Utility_DisplayArrayInTable(Fertiliser_SourceData.Fertiliser_Products_Data1(),FertiliserProducts[[#Headers],[Include or Exclude]], 0,4)</f>
        <v>1.24</v>
      </c>
      <c r="J92" s="65" t="str" cm="1">
        <f t="array" ref="J92">Common_InputFunctions.Utility_DisplayArrayInTable(Fertiliser_SourceData.Fertiliser_Products_Data1(),FertiliserProducts[[#Headers],[Include or Exclude]], 0,4)</f>
        <v/>
      </c>
      <c r="K92" s="65" t="str" cm="1">
        <f t="array" ref="K92">Common_InputFunctions.Utility_DisplayArrayInTable(Fertiliser_SourceData.Fertiliser_Products_Data1(),FertiliserProducts[[#Headers],[Include or Exclude]], 0,4)</f>
        <v/>
      </c>
      <c r="L92" s="65" t="str" cm="1">
        <f t="array" ref="L92">Common_InputFunctions.Utility_DisplayArrayInTable(Fertiliser_SourceData.Fertiliser_Products_Data1(),FertiliserProducts[[#Headers],[Include or Exclude]], 0,4)</f>
        <v>Nitrogen - Ammoniacal</v>
      </c>
      <c r="M92" s="65" cm="1">
        <f t="array" ref="M92">Common_InputFunctions.Utility_DisplayArrayInTable(Fertiliser_SourceData.Fertiliser_Products_Data1(),FertiliserProducts[[#Headers],[Include or Exclude]], 0,4)</f>
        <v>0.223</v>
      </c>
      <c r="N92" s="65" t="str" cm="1">
        <f t="array" ref="N92">Common_InputFunctions.Utility_DisplayArrayInTable(Fertiliser_SourceData.Fertiliser_Products_Data1(),FertiliserProducts[[#Headers],[Include or Exclude]], 0,4)</f>
        <v/>
      </c>
      <c r="O92" s="65" t="str" cm="1">
        <f t="array" ref="O92">Common_InputFunctions.Utility_DisplayArrayInTable(Fertiliser_SourceData.Fertiliser_Products_Data1(),FertiliserProducts[[#Headers],[Include or Exclude]], 0,4)</f>
        <v/>
      </c>
      <c r="P92" s="65" t="str" cm="1">
        <f t="array" ref="P92">Common_InputFunctions.Utility_DisplayArrayInTable(Fertiliser_SourceData.Fertiliser_Products_Data1(),FertiliserProducts[[#Headers],[Include or Exclude]], 0,4)</f>
        <v/>
      </c>
      <c r="Q92" s="65" t="str" cm="1">
        <f t="array" ref="Q92">Common_InputFunctions.Utility_DisplayArrayInTable(Fertiliser_SourceData.Fertiliser_Products_Data1(),FertiliserProducts[[#Headers],[Include or Exclude]], 0,4)</f>
        <v/>
      </c>
      <c r="R92" s="65" t="str" cm="1">
        <f t="array" ref="R92">Common_InputFunctions.Utility_DisplayArrayInTable(Fertiliser_SourceData.Fertiliser_Products_Data1(),FertiliserProducts[[#Headers],[Include or Exclude]], 0,4)</f>
        <v/>
      </c>
      <c r="S92" s="65" t="str" cm="1">
        <f t="array" ref="S92">Common_InputFunctions.Utility_DisplayArrayInTable(Fertiliser_SourceData.Fertiliser_Products_Data1(),FertiliserProducts[[#Headers],[Include or Exclude]], 0,4)</f>
        <v/>
      </c>
      <c r="T92" s="65" t="str" cm="1">
        <f t="array" ref="T92">Common_InputFunctions.Utility_DisplayArrayInTable(Fertiliser_SourceData.Fertiliser_Products_Data1(),FertiliserProducts[[#Headers],[Include or Exclude]], 0,4)</f>
        <v/>
      </c>
      <c r="U92" s="65" t="str" cm="1">
        <f t="array" ref="U92">Common_InputFunctions.Utility_DisplayArrayInTable(Fertiliser_SourceData.Fertiliser_Products_Data1(),FertiliserProducts[[#Headers],[Include or Exclude]], 0,4)</f>
        <v/>
      </c>
      <c r="V92" s="65" t="str" cm="1">
        <f t="array" ref="V92">Common_InputFunctions.Utility_DisplayArrayInTable(Fertiliser_SourceData.Fertiliser_Products_Data1(),FertiliserProducts[[#Headers],[Include or Exclude]], 0,4)</f>
        <v/>
      </c>
      <c r="W92" s="65" t="str" cm="1">
        <f t="array" ref="W92">Common_InputFunctions.Utility_DisplayArrayInTable(Fertiliser_SourceData.Fertiliser_Products_Data1(),FertiliserProducts[[#Headers],[Include or Exclude]], 0,4)</f>
        <v/>
      </c>
      <c r="X92" s="65" t="str" cm="1">
        <f t="array" ref="X92">Common_InputFunctions.Utility_DisplayArrayInTable(Fertiliser_SourceData.Fertiliser_Products_Data1(),FertiliserProducts[[#Headers],[Include or Exclude]], 0,4)</f>
        <v/>
      </c>
      <c r="Y92" s="65" t="str" cm="1">
        <f t="array" ref="Y92">Common_InputFunctions.Utility_DisplayArrayInTable(Fertiliser_SourceData.Fertiliser_Products_Data1(),FertiliserProducts[[#Headers],[Include or Exclude]], 0,4)</f>
        <v/>
      </c>
      <c r="Z92" s="65" t="str" cm="1">
        <f t="array" ref="Z92">Common_InputFunctions.Utility_DisplayArrayInTable(Fertiliser_SourceData.Fertiliser_Products_Data1(),FertiliserProducts[[#Headers],[Include or Exclude]], 0,4)</f>
        <v/>
      </c>
      <c r="AA92" s="65" t="str" cm="1">
        <f t="array" ref="AA92">Common_InputFunctions.Utility_DisplayArrayInTable(Fertiliser_SourceData.Fertiliser_Products_Data1(),FertiliserProducts[[#Headers],[Include or Exclude]], 0,4)</f>
        <v/>
      </c>
      <c r="AB92" s="65" t="str" cm="1">
        <f t="array" ref="AB92">Common_InputFunctions.Utility_DisplayArrayInTable(Fertiliser_SourceData.Fertiliser_Products_Data1(),FertiliserProducts[[#Headers],[Include or Exclude]], 0,4)</f>
        <v/>
      </c>
      <c r="AC92" s="65" t="str" cm="1">
        <f t="array" ref="AC92">Common_InputFunctions.Utility_DisplayArrayInTable(Fertiliser_SourceData.Fertiliser_Products_Data1(),FertiliserProducts[[#Headers],[Include or Exclude]], 0,4)</f>
        <v/>
      </c>
      <c r="AD92" s="65" t="str" cm="1">
        <f t="array" ref="AD92">Common_InputFunctions.Utility_DisplayArrayInTable(Fertiliser_SourceData.Fertiliser_Products_Data1(),FertiliserProducts[[#Headers],[Include or Exclude]], 0,4)</f>
        <v/>
      </c>
      <c r="AE92" s="65" t="str" cm="1">
        <f t="array" ref="AE92">Common_InputFunctions.Utility_DisplayArrayInTable(Fertiliser_SourceData.Fertiliser_Products_Data1(),FertiliserProducts[[#Headers],[Include or Exclude]], 0,4)</f>
        <v/>
      </c>
    </row>
    <row r="93" spans="4:31" ht="20.100000000000001" customHeight="1" x14ac:dyDescent="0.25">
      <c r="D93" s="65" t="str" cm="1">
        <f t="array" ref="D93">Common_InputFunctions.Utility_DisplayArrayInTable(Fertiliser_SourceData.Fertiliser_Products_Data1(),FertiliserProducts[[#Headers],[Include or Exclude]], -1)</f>
        <v>Include</v>
      </c>
      <c r="E93" s="65" t="str" cm="1">
        <f t="array" ref="E93">Common_InputFunctions.Utility_DisplayArrayInTable(Fertiliser_SourceData.Fertiliser_Products_Data1(),FertiliserProducts[[#Headers],[Include or Exclude]], 0)</f>
        <v>Use Lime EF for calcium</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NitroCal</v>
      </c>
      <c r="H93" s="65" t="str" cm="1">
        <f t="array" ref="H93">Common_InputFunctions.Utility_DisplayArrayInTable(Fertiliser_SourceData.Fertiliser_Products_Data1(),FertiliserProducts[[#Headers],[Include or Exclude]], 0,4)</f>
        <v>L</v>
      </c>
      <c r="I93" s="65" cm="1">
        <f t="array" ref="I93">Common_InputFunctions.Utility_DisplayArrayInTable(Fertiliser_SourceData.Fertiliser_Products_Data1(),FertiliserProducts[[#Headers],[Include or Exclude]], 0,4)</f>
        <v>1.5</v>
      </c>
      <c r="J93" s="65" t="str" cm="1">
        <f t="array" ref="J93">Common_InputFunctions.Utility_DisplayArrayInTable(Fertiliser_SourceData.Fertiliser_Products_Data1(),FertiliserProducts[[#Headers],[Include or Exclude]], 0,4)</f>
        <v/>
      </c>
      <c r="K93" s="65" t="str" cm="1">
        <f t="array" ref="K93">Common_InputFunctions.Utility_DisplayArrayInTable(Fertiliser_SourceData.Fertiliser_Products_Data1(),FertiliserProducts[[#Headers],[Include or Exclude]], 0,4)</f>
        <v/>
      </c>
      <c r="L93" s="65" t="str" cm="1">
        <f t="array" ref="L93">Common_InputFunctions.Utility_DisplayArrayInTable(Fertiliser_SourceData.Fertiliser_Products_Data1(),FertiliserProducts[[#Headers],[Include or Exclude]], 0,4)</f>
        <v>Calcium - Generic</v>
      </c>
      <c r="M93" s="65" cm="1">
        <f t="array" ref="M93">Common_InputFunctions.Utility_DisplayArrayInTable(Fertiliser_SourceData.Fertiliser_Products_Data1(),FertiliserProducts[[#Headers],[Include or Exclude]], 0,4)</f>
        <v>0.16200000000000001</v>
      </c>
      <c r="N93" s="65" t="str" cm="1">
        <f t="array" ref="N93">Common_InputFunctions.Utility_DisplayArrayInTable(Fertiliser_SourceData.Fertiliser_Products_Data1(),FertiliserProducts[[#Headers],[Include or Exclude]], 0,4)</f>
        <v>Nitrogen - Nitrate</v>
      </c>
      <c r="O93" s="65" cm="1">
        <f t="array" ref="O93">Common_InputFunctions.Utility_DisplayArrayInTable(Fertiliser_SourceData.Fertiliser_Products_Data1(),FertiliserProducts[[#Headers],[Include or Exclude]], 0,4)</f>
        <v>0.13200000000000001</v>
      </c>
      <c r="P93" s="65" t="str" cm="1">
        <f t="array" ref="P93">Common_InputFunctions.Utility_DisplayArrayInTable(Fertiliser_SourceData.Fertiliser_Products_Data1(),FertiliserProducts[[#Headers],[Include or Exclude]], 0,4)</f>
        <v/>
      </c>
      <c r="Q93" s="65" t="str" cm="1">
        <f t="array" ref="Q93">Common_InputFunctions.Utility_DisplayArrayInTable(Fertiliser_SourceData.Fertiliser_Products_Data1(),FertiliserProducts[[#Headers],[Include or Exclude]], 0,4)</f>
        <v/>
      </c>
      <c r="R93" s="65" t="str" cm="1">
        <f t="array" ref="R93">Common_InputFunctions.Utility_DisplayArrayInTable(Fertiliser_SourceData.Fertiliser_Products_Data1(),FertiliserProducts[[#Headers],[Include or Exclude]], 0,4)</f>
        <v/>
      </c>
      <c r="S93" s="65" t="str" cm="1">
        <f t="array" ref="S93">Common_InputFunctions.Utility_DisplayArrayInTable(Fertiliser_SourceData.Fertiliser_Products_Data1(),FertiliserProducts[[#Headers],[Include or Exclude]], 0,4)</f>
        <v/>
      </c>
      <c r="T93" s="65" t="str" cm="1">
        <f t="array" ref="T93">Common_InputFunctions.Utility_DisplayArrayInTable(Fertiliser_SourceData.Fertiliser_Products_Data1(),FertiliserProducts[[#Headers],[Include or Exclude]], 0,4)</f>
        <v/>
      </c>
      <c r="U93" s="65" t="str" cm="1">
        <f t="array" ref="U93">Common_InputFunctions.Utility_DisplayArrayInTable(Fertiliser_SourceData.Fertiliser_Products_Data1(),FertiliserProducts[[#Headers],[Include or Exclude]], 0,4)</f>
        <v/>
      </c>
      <c r="V93" s="65" t="str" cm="1">
        <f t="array" ref="V93">Common_InputFunctions.Utility_DisplayArrayInTable(Fertiliser_SourceData.Fertiliser_Products_Data1(),FertiliserProducts[[#Headers],[Include or Exclude]], 0,4)</f>
        <v/>
      </c>
      <c r="W93" s="65" t="str" cm="1">
        <f t="array" ref="W93">Common_InputFunctions.Utility_DisplayArrayInTable(Fertiliser_SourceData.Fertiliser_Products_Data1(),FertiliserProducts[[#Headers],[Include or Exclude]], 0,4)</f>
        <v/>
      </c>
      <c r="X93" s="65" t="str" cm="1">
        <f t="array" ref="X93">Common_InputFunctions.Utility_DisplayArrayInTable(Fertiliser_SourceData.Fertiliser_Products_Data1(),FertiliserProducts[[#Headers],[Include or Exclude]], 0,4)</f>
        <v/>
      </c>
      <c r="Y93" s="65" t="str" cm="1">
        <f t="array" ref="Y93">Common_InputFunctions.Utility_DisplayArrayInTable(Fertiliser_SourceData.Fertiliser_Products_Data1(),FertiliserProducts[[#Headers],[Include or Exclude]], 0,4)</f>
        <v/>
      </c>
      <c r="Z93" s="65" t="str" cm="1">
        <f t="array" ref="Z93">Common_InputFunctions.Utility_DisplayArrayInTable(Fertiliser_SourceData.Fertiliser_Products_Data1(),FertiliserProducts[[#Headers],[Include or Exclude]], 0,4)</f>
        <v/>
      </c>
      <c r="AA93" s="65" t="str" cm="1">
        <f t="array" ref="AA93">Common_InputFunctions.Utility_DisplayArrayInTable(Fertiliser_SourceData.Fertiliser_Products_Data1(),FertiliserProducts[[#Headers],[Include or Exclude]], 0,4)</f>
        <v/>
      </c>
      <c r="AB93" s="65" t="str" cm="1">
        <f t="array" ref="AB93">Common_InputFunctions.Utility_DisplayArrayInTable(Fertiliser_SourceData.Fertiliser_Products_Data1(),FertiliserProducts[[#Headers],[Include or Exclude]], 0,4)</f>
        <v/>
      </c>
      <c r="AC93" s="65" t="str" cm="1">
        <f t="array" ref="AC93">Common_InputFunctions.Utility_DisplayArrayInTable(Fertiliser_SourceData.Fertiliser_Products_Data1(),FertiliserProducts[[#Headers],[Include or Exclude]], 0,4)</f>
        <v/>
      </c>
      <c r="AD93" s="65" t="str" cm="1">
        <f t="array" ref="AD93">Common_InputFunctions.Utility_DisplayArrayInTable(Fertiliser_SourceData.Fertiliser_Products_Data1(),FertiliserProducts[[#Headers],[Include or Exclude]], 0,4)</f>
        <v/>
      </c>
      <c r="AE93" s="65" t="str" cm="1">
        <f t="array" ref="AE93">Common_InputFunctions.Utility_DisplayArrayInTable(Fertiliser_SourceData.Fertiliser_Products_Data1(),FertiliserProducts[[#Headers],[Include or Exclude]], 0,4)</f>
        <v/>
      </c>
    </row>
    <row r="94" spans="4:31" ht="20.100000000000001" customHeight="1" x14ac:dyDescent="0.25">
      <c r="D94" s="65" t="str" cm="1">
        <f t="array" ref="D94">Common_InputFunctions.Utility_DisplayArrayInTable(Fertiliser_SourceData.Fertiliser_Products_Data1(),FertiliserProducts[[#Headers],[Include or Exclude]], -1)</f>
        <v>Include</v>
      </c>
      <c r="E94" s="65" t="str" cm="1">
        <f t="array" ref="E94">Common_InputFunctions.Utility_DisplayArrayInTable(Fertiliser_SourceData.Fertiliser_Products_Data1(),FertiliserProducts[[#Headers],[Include or Exclude]], 0)</f>
        <v>Use Lime EF for calcium</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NitroCal (VI)</v>
      </c>
      <c r="H94" s="65" t="str" cm="1">
        <f t="array" ref="H94">Common_InputFunctions.Utility_DisplayArrayInTable(Fertiliser_SourceData.Fertiliser_Products_Data1(),FertiliserProducts[[#Headers],[Include or Exclude]], 0,4)</f>
        <v>L</v>
      </c>
      <c r="I94" s="65" cm="1">
        <f t="array" ref="I94">Common_InputFunctions.Utility_DisplayArrayInTable(Fertiliser_SourceData.Fertiliser_Products_Data1(),FertiliserProducts[[#Headers],[Include or Exclude]], 0,4)</f>
        <v>1.5</v>
      </c>
      <c r="J94" s="65" t="str" cm="1">
        <f t="array" ref="J94">Common_InputFunctions.Utility_DisplayArrayInTable(Fertiliser_SourceData.Fertiliser_Products_Data1(),FertiliserProducts[[#Headers],[Include or Exclude]], 0,4)</f>
        <v/>
      </c>
      <c r="K94" s="65" t="str" cm="1">
        <f t="array" ref="K94">Common_InputFunctions.Utility_DisplayArrayInTable(Fertiliser_SourceData.Fertiliser_Products_Data1(),FertiliserProducts[[#Headers],[Include or Exclude]], 0,4)</f>
        <v/>
      </c>
      <c r="L94" s="65" t="str" cm="1">
        <f t="array" ref="L94">Common_InputFunctions.Utility_DisplayArrayInTable(Fertiliser_SourceData.Fertiliser_Products_Data1(),FertiliserProducts[[#Headers],[Include or Exclude]], 0,4)</f>
        <v>Calcium - Generic</v>
      </c>
      <c r="M94" s="65" cm="1">
        <f t="array" ref="M94">Common_InputFunctions.Utility_DisplayArrayInTable(Fertiliser_SourceData.Fertiliser_Products_Data1(),FertiliserProducts[[#Headers],[Include or Exclude]], 0,4)</f>
        <v>0.187</v>
      </c>
      <c r="N94" s="65" t="str" cm="1">
        <f t="array" ref="N94">Common_InputFunctions.Utility_DisplayArrayInTable(Fertiliser_SourceData.Fertiliser_Products_Data1(),FertiliserProducts[[#Headers],[Include or Exclude]], 0,4)</f>
        <v>Nitrogen - Nitrate</v>
      </c>
      <c r="O94" s="65" cm="1">
        <f t="array" ref="O94">Common_InputFunctions.Utility_DisplayArrayInTable(Fertiliser_SourceData.Fertiliser_Products_Data1(),FertiliserProducts[[#Headers],[Include or Exclude]], 0,4)</f>
        <v>0.13200000000000001</v>
      </c>
      <c r="P94" s="65" t="str" cm="1">
        <f t="array" ref="P94">Common_InputFunctions.Utility_DisplayArrayInTable(Fertiliser_SourceData.Fertiliser_Products_Data1(),FertiliserProducts[[#Headers],[Include or Exclude]], 0,4)</f>
        <v/>
      </c>
      <c r="Q94" s="65" t="str" cm="1">
        <f t="array" ref="Q94">Common_InputFunctions.Utility_DisplayArrayInTable(Fertiliser_SourceData.Fertiliser_Products_Data1(),FertiliserProducts[[#Headers],[Include or Exclude]], 0,4)</f>
        <v/>
      </c>
      <c r="R94" s="65" t="str" cm="1">
        <f t="array" ref="R94">Common_InputFunctions.Utility_DisplayArrayInTable(Fertiliser_SourceData.Fertiliser_Products_Data1(),FertiliserProducts[[#Headers],[Include or Exclude]], 0,4)</f>
        <v/>
      </c>
      <c r="S94" s="65" t="str" cm="1">
        <f t="array" ref="S94">Common_InputFunctions.Utility_DisplayArrayInTable(Fertiliser_SourceData.Fertiliser_Products_Data1(),FertiliserProducts[[#Headers],[Include or Exclude]], 0,4)</f>
        <v/>
      </c>
      <c r="T94" s="65" t="str" cm="1">
        <f t="array" ref="T94">Common_InputFunctions.Utility_DisplayArrayInTable(Fertiliser_SourceData.Fertiliser_Products_Data1(),FertiliserProducts[[#Headers],[Include or Exclude]], 0,4)</f>
        <v/>
      </c>
      <c r="U94" s="65" t="str" cm="1">
        <f t="array" ref="U94">Common_InputFunctions.Utility_DisplayArrayInTable(Fertiliser_SourceData.Fertiliser_Products_Data1(),FertiliserProducts[[#Headers],[Include or Exclude]], 0,4)</f>
        <v/>
      </c>
      <c r="V94" s="65" t="str" cm="1">
        <f t="array" ref="V94">Common_InputFunctions.Utility_DisplayArrayInTable(Fertiliser_SourceData.Fertiliser_Products_Data1(),FertiliserProducts[[#Headers],[Include or Exclude]], 0,4)</f>
        <v/>
      </c>
      <c r="W94" s="65" t="str" cm="1">
        <f t="array" ref="W94">Common_InputFunctions.Utility_DisplayArrayInTable(Fertiliser_SourceData.Fertiliser_Products_Data1(),FertiliserProducts[[#Headers],[Include or Exclude]], 0,4)</f>
        <v/>
      </c>
      <c r="X94" s="65" t="str" cm="1">
        <f t="array" ref="X94">Common_InputFunctions.Utility_DisplayArrayInTable(Fertiliser_SourceData.Fertiliser_Products_Data1(),FertiliserProducts[[#Headers],[Include or Exclude]], 0,4)</f>
        <v/>
      </c>
      <c r="Y94" s="65" t="str" cm="1">
        <f t="array" ref="Y94">Common_InputFunctions.Utility_DisplayArrayInTable(Fertiliser_SourceData.Fertiliser_Products_Data1(),FertiliserProducts[[#Headers],[Include or Exclude]], 0,4)</f>
        <v/>
      </c>
      <c r="Z94" s="65" t="str" cm="1">
        <f t="array" ref="Z94">Common_InputFunctions.Utility_DisplayArrayInTable(Fertiliser_SourceData.Fertiliser_Products_Data1(),FertiliserProducts[[#Headers],[Include or Exclude]], 0,4)</f>
        <v/>
      </c>
      <c r="AA94" s="65" t="str" cm="1">
        <f t="array" ref="AA94">Common_InputFunctions.Utility_DisplayArrayInTable(Fertiliser_SourceData.Fertiliser_Products_Data1(),FertiliserProducts[[#Headers],[Include or Exclude]], 0,4)</f>
        <v/>
      </c>
      <c r="AB94" s="65" t="str" cm="1">
        <f t="array" ref="AB94">Common_InputFunctions.Utility_DisplayArrayInTable(Fertiliser_SourceData.Fertiliser_Products_Data1(),FertiliserProducts[[#Headers],[Include or Exclude]], 0,4)</f>
        <v/>
      </c>
      <c r="AC94" s="65" t="str" cm="1">
        <f t="array" ref="AC94">Common_InputFunctions.Utility_DisplayArrayInTable(Fertiliser_SourceData.Fertiliser_Products_Data1(),FertiliserProducts[[#Headers],[Include or Exclude]], 0,4)</f>
        <v/>
      </c>
      <c r="AD94" s="65" t="str" cm="1">
        <f t="array" ref="AD94">Common_InputFunctions.Utility_DisplayArrayInTable(Fertiliser_SourceData.Fertiliser_Products_Data1(),FertiliserProducts[[#Headers],[Include or Exclude]], 0,4)</f>
        <v/>
      </c>
      <c r="AE94" s="65" t="str" cm="1">
        <f t="array" ref="AE94">Common_InputFunctions.Utility_DisplayArrayInTable(Fertiliser_SourceData.Fertiliser_Products_Data1(),FertiliserProducts[[#Headers],[Include or Exclude]], 0,4)</f>
        <v/>
      </c>
    </row>
    <row r="95" spans="4:31" ht="20.100000000000001" customHeight="1" x14ac:dyDescent="0.25">
      <c r="D95" s="65" t="str" cm="1">
        <f t="array" ref="D95">Common_InputFunctions.Utility_DisplayArrayInTable(Fertiliser_SourceData.Fertiliser_Products_Data1(),FertiliserProducts[[#Headers],[Include or Exclude]], -1)</f>
        <v>Include</v>
      </c>
      <c r="E95" s="65" t="str" cm="1">
        <f t="array" ref="E95">Common_InputFunctions.Utility_DisplayArrayInTable(Fertiliser_SourceData.Fertiliser_Products_Data1(),FertiliserProducts[[#Headers],[Include or Exclude]], 0)</f>
        <v>Use Lime EF for calcium</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NitroCal Ultimate</v>
      </c>
      <c r="H95" s="65" t="str" cm="1">
        <f t="array" ref="H95">Common_InputFunctions.Utility_DisplayArrayInTable(Fertiliser_SourceData.Fertiliser_Products_Data1(),FertiliserProducts[[#Headers],[Include or Exclude]], 0,4)</f>
        <v>L</v>
      </c>
      <c r="I95" s="65" cm="1">
        <f t="array" ref="I95">Common_InputFunctions.Utility_DisplayArrayInTable(Fertiliser_SourceData.Fertiliser_Products_Data1(),FertiliserProducts[[#Headers],[Include or Exclude]], 0,4)</f>
        <v>1.5</v>
      </c>
      <c r="J95" s="65" t="str" cm="1">
        <f t="array" ref="J95">Common_InputFunctions.Utility_DisplayArrayInTable(Fertiliser_SourceData.Fertiliser_Products_Data1(),FertiliserProducts[[#Headers],[Include or Exclude]], 0,4)</f>
        <v/>
      </c>
      <c r="K95" s="65" t="str" cm="1">
        <f t="array" ref="K95">Common_InputFunctions.Utility_DisplayArrayInTable(Fertiliser_SourceData.Fertiliser_Products_Data1(),FertiliserProducts[[#Headers],[Include or Exclude]], 0,4)</f>
        <v/>
      </c>
      <c r="L95" s="65" t="str" cm="1">
        <f t="array" ref="L95">Common_InputFunctions.Utility_DisplayArrayInTable(Fertiliser_SourceData.Fertiliser_Products_Data1(),FertiliserProducts[[#Headers],[Include or Exclude]], 0,4)</f>
        <v>Calcium - Generic</v>
      </c>
      <c r="M95" s="65" cm="1">
        <f t="array" ref="M95">Common_InputFunctions.Utility_DisplayArrayInTable(Fertiliser_SourceData.Fertiliser_Products_Data1(),FertiliserProducts[[#Headers],[Include or Exclude]], 0,4)</f>
        <v>0.183</v>
      </c>
      <c r="N95" s="65" t="str" cm="1">
        <f t="array" ref="N95">Common_InputFunctions.Utility_DisplayArrayInTable(Fertiliser_SourceData.Fertiliser_Products_Data1(),FertiliserProducts[[#Headers],[Include or Exclude]], 0,4)</f>
        <v>Nitrogen  - Nitrate</v>
      </c>
      <c r="O95" s="65" cm="1">
        <f t="array" ref="O95">Common_InputFunctions.Utility_DisplayArrayInTable(Fertiliser_SourceData.Fertiliser_Products_Data1(),FertiliserProducts[[#Headers],[Include or Exclude]], 0,4)</f>
        <v>0.13200000000000001</v>
      </c>
      <c r="P95" s="65" t="str" cm="1">
        <f t="array" ref="P95">Common_InputFunctions.Utility_DisplayArrayInTable(Fertiliser_SourceData.Fertiliser_Products_Data1(),FertiliserProducts[[#Headers],[Include or Exclude]], 0,4)</f>
        <v/>
      </c>
      <c r="Q95" s="65" t="str" cm="1">
        <f t="array" ref="Q95">Common_InputFunctions.Utility_DisplayArrayInTable(Fertiliser_SourceData.Fertiliser_Products_Data1(),FertiliserProducts[[#Headers],[Include or Exclude]], 0,4)</f>
        <v/>
      </c>
      <c r="R95" s="65" t="str" cm="1">
        <f t="array" ref="R95">Common_InputFunctions.Utility_DisplayArrayInTable(Fertiliser_SourceData.Fertiliser_Products_Data1(),FertiliserProducts[[#Headers],[Include or Exclude]], 0,4)</f>
        <v/>
      </c>
      <c r="S95" s="65" t="str" cm="1">
        <f t="array" ref="S95">Common_InputFunctions.Utility_DisplayArrayInTable(Fertiliser_SourceData.Fertiliser_Products_Data1(),FertiliserProducts[[#Headers],[Include or Exclude]], 0,4)</f>
        <v/>
      </c>
      <c r="T95" s="65" t="str" cm="1">
        <f t="array" ref="T95">Common_InputFunctions.Utility_DisplayArrayInTable(Fertiliser_SourceData.Fertiliser_Products_Data1(),FertiliserProducts[[#Headers],[Include or Exclude]], 0,4)</f>
        <v/>
      </c>
      <c r="U95" s="65" t="str" cm="1">
        <f t="array" ref="U95">Common_InputFunctions.Utility_DisplayArrayInTable(Fertiliser_SourceData.Fertiliser_Products_Data1(),FertiliserProducts[[#Headers],[Include or Exclude]], 0,4)</f>
        <v/>
      </c>
      <c r="V95" s="65" t="str" cm="1">
        <f t="array" ref="V95">Common_InputFunctions.Utility_DisplayArrayInTable(Fertiliser_SourceData.Fertiliser_Products_Data1(),FertiliserProducts[[#Headers],[Include or Exclude]], 0,4)</f>
        <v/>
      </c>
      <c r="W95" s="65" t="str" cm="1">
        <f t="array" ref="W95">Common_InputFunctions.Utility_DisplayArrayInTable(Fertiliser_SourceData.Fertiliser_Products_Data1(),FertiliserProducts[[#Headers],[Include or Exclude]], 0,4)</f>
        <v/>
      </c>
      <c r="X95" s="65" t="str" cm="1">
        <f t="array" ref="X95">Common_InputFunctions.Utility_DisplayArrayInTable(Fertiliser_SourceData.Fertiliser_Products_Data1(),FertiliserProducts[[#Headers],[Include or Exclude]], 0,4)</f>
        <v/>
      </c>
      <c r="Y95" s="65" t="str" cm="1">
        <f t="array" ref="Y95">Common_InputFunctions.Utility_DisplayArrayInTable(Fertiliser_SourceData.Fertiliser_Products_Data1(),FertiliserProducts[[#Headers],[Include or Exclude]], 0,4)</f>
        <v/>
      </c>
      <c r="Z95" s="65" t="str" cm="1">
        <f t="array" ref="Z95">Common_InputFunctions.Utility_DisplayArrayInTable(Fertiliser_SourceData.Fertiliser_Products_Data1(),FertiliserProducts[[#Headers],[Include or Exclude]], 0,4)</f>
        <v/>
      </c>
      <c r="AA95" s="65" t="str" cm="1">
        <f t="array" ref="AA95">Common_InputFunctions.Utility_DisplayArrayInTable(Fertiliser_SourceData.Fertiliser_Products_Data1(),FertiliserProducts[[#Headers],[Include or Exclude]], 0,4)</f>
        <v/>
      </c>
      <c r="AB95" s="65" t="str" cm="1">
        <f t="array" ref="AB95">Common_InputFunctions.Utility_DisplayArrayInTable(Fertiliser_SourceData.Fertiliser_Products_Data1(),FertiliserProducts[[#Headers],[Include or Exclude]], 0,4)</f>
        <v/>
      </c>
      <c r="AC95" s="65" t="str" cm="1">
        <f t="array" ref="AC95">Common_InputFunctions.Utility_DisplayArrayInTable(Fertiliser_SourceData.Fertiliser_Products_Data1(),FertiliserProducts[[#Headers],[Include or Exclude]], 0,4)</f>
        <v/>
      </c>
      <c r="AD95" s="65" t="str" cm="1">
        <f t="array" ref="AD95">Common_InputFunctions.Utility_DisplayArrayInTable(Fertiliser_SourceData.Fertiliser_Products_Data1(),FertiliserProducts[[#Headers],[Include or Exclude]], 0,4)</f>
        <v/>
      </c>
      <c r="AE95" s="65" t="str" cm="1">
        <f t="array" ref="AE95">Common_InputFunctions.Utility_DisplayArrayInTable(Fertiliser_SourceData.Fertiliser_Products_Data1(),FertiliserProducts[[#Headers],[Include or Exclude]], 0,4)</f>
        <v/>
      </c>
    </row>
    <row r="96" spans="4:31" ht="20.100000000000001" customHeight="1" x14ac:dyDescent="0.25">
      <c r="D96" s="65" t="str" cm="1">
        <f t="array" ref="D96">Common_InputFunctions.Utility_DisplayArrayInTable(Fertiliser_SourceData.Fertiliser_Products_Data1(),FertiliserProducts[[#Headers],[Include or Exclude]], -1)</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Start</v>
      </c>
      <c r="H96" s="65" t="str" cm="1">
        <f t="array" ref="H96">Common_InputFunctions.Utility_DisplayArrayInTable(Fertiliser_SourceData.Fertiliser_Products_Data1(),FertiliserProducts[[#Headers],[Include or Exclude]], 0,4)</f>
        <v>L</v>
      </c>
      <c r="I96" s="65" cm="1">
        <f t="array" ref="I96">Common_InputFunctions.Utility_DisplayArrayInTable(Fertiliser_SourceData.Fertiliser_Products_Data1(),FertiliserProducts[[#Headers],[Include or Exclude]], 0,4)</f>
        <v>1.25</v>
      </c>
      <c r="J96" s="65" t="str" cm="1">
        <f t="array" ref="J96">Common_InputFunctions.Utility_DisplayArrayInTable(Fertiliser_SourceData.Fertiliser_Products_Data1(),FertiliserProducts[[#Headers],[Include or Exclude]], 0,4)</f>
        <v/>
      </c>
      <c r="K96" s="65" t="str" cm="1">
        <f t="array" ref="K96">Common_InputFunctions.Utility_DisplayArrayInTable(Fertiliser_SourceData.Fertiliser_Products_Data1(),FertiliserProducts[[#Headers],[Include or Exclude]], 0,4)</f>
        <v/>
      </c>
      <c r="L96" s="65" t="str" cm="1">
        <f t="array" ref="L96">Common_InputFunctions.Utility_DisplayArrayInTable(Fertiliser_SourceData.Fertiliser_Products_Data1(),FertiliserProducts[[#Headers],[Include or Exclude]], 0,4)</f>
        <v>Nitrogen - Generic</v>
      </c>
      <c r="M96" s="65" cm="1">
        <f t="array" ref="M96">Common_InputFunctions.Utility_DisplayArrayInTable(Fertiliser_SourceData.Fertiliser_Products_Data1(),FertiliserProducts[[#Headers],[Include or Exclude]], 0,4)</f>
        <v>0.10299999999999999</v>
      </c>
      <c r="N96" s="65" t="str" cm="1">
        <f t="array" ref="N96">Common_InputFunctions.Utility_DisplayArrayInTable(Fertiliser_SourceData.Fertiliser_Products_Data1(),FertiliserProducts[[#Headers],[Include or Exclude]], 0,4)</f>
        <v>Phosphorus - Generic</v>
      </c>
      <c r="O96" s="65" cm="1">
        <f t="array" ref="O96">Common_InputFunctions.Utility_DisplayArrayInTable(Fertiliser_SourceData.Fertiliser_Products_Data1(),FertiliserProducts[[#Headers],[Include or Exclude]], 0,4)</f>
        <v>0.1</v>
      </c>
      <c r="P96" s="65" t="str" cm="1">
        <f t="array" ref="P96">Common_InputFunctions.Utility_DisplayArrayInTable(Fertiliser_SourceData.Fertiliser_Products_Data1(),FertiliserProducts[[#Headers],[Include or Exclude]], 0,4)</f>
        <v>Potassium - Generic</v>
      </c>
      <c r="Q96" s="65" cm="1">
        <f t="array" ref="Q96">Common_InputFunctions.Utility_DisplayArrayInTable(Fertiliser_SourceData.Fertiliser_Products_Data1(),FertiliserProducts[[#Headers],[Include or Exclude]], 0,4)</f>
        <v>3.4000000000000002E-2</v>
      </c>
      <c r="R96" s="65" t="str" cm="1">
        <f t="array" ref="R96">Common_InputFunctions.Utility_DisplayArrayInTable(Fertiliser_SourceData.Fertiliser_Products_Data1(),FertiliserProducts[[#Headers],[Include or Exclude]], 0,4)</f>
        <v/>
      </c>
      <c r="S96" s="65" t="str" cm="1">
        <f t="array" ref="S96">Common_InputFunctions.Utility_DisplayArrayInTable(Fertiliser_SourceData.Fertiliser_Products_Data1(),FertiliserProducts[[#Headers],[Include or Exclude]], 0,4)</f>
        <v/>
      </c>
      <c r="T96" s="65" t="str" cm="1">
        <f t="array" ref="T96">Common_InputFunctions.Utility_DisplayArrayInTable(Fertiliser_SourceData.Fertiliser_Products_Data1(),FertiliserProducts[[#Headers],[Include or Exclude]], 0,4)</f>
        <v/>
      </c>
      <c r="U96" s="65" t="str" cm="1">
        <f t="array" ref="U96">Common_InputFunctions.Utility_DisplayArrayInTable(Fertiliser_SourceData.Fertiliser_Products_Data1(),FertiliserProducts[[#Headers],[Include or Exclude]], 0,4)</f>
        <v/>
      </c>
      <c r="V96" s="65" t="str" cm="1">
        <f t="array" ref="V96">Common_InputFunctions.Utility_DisplayArrayInTable(Fertiliser_SourceData.Fertiliser_Products_Data1(),FertiliserProducts[[#Headers],[Include or Exclude]], 0,4)</f>
        <v/>
      </c>
      <c r="W96" s="65" t="str" cm="1">
        <f t="array" ref="W96">Common_InputFunctions.Utility_DisplayArrayInTable(Fertiliser_SourceData.Fertiliser_Products_Data1(),FertiliserProducts[[#Headers],[Include or Exclude]], 0,4)</f>
        <v/>
      </c>
      <c r="X96" s="65" t="str" cm="1">
        <f t="array" ref="X96">Common_InputFunctions.Utility_DisplayArrayInTable(Fertiliser_SourceData.Fertiliser_Products_Data1(),FertiliserProducts[[#Headers],[Include or Exclude]], 0,4)</f>
        <v/>
      </c>
      <c r="Y96" s="65" t="str" cm="1">
        <f t="array" ref="Y96">Common_InputFunctions.Utility_DisplayArrayInTable(Fertiliser_SourceData.Fertiliser_Products_Data1(),FertiliserProducts[[#Headers],[Include or Exclude]], 0,4)</f>
        <v/>
      </c>
      <c r="Z96" s="65" t="str" cm="1">
        <f t="array" ref="Z96">Common_InputFunctions.Utility_DisplayArrayInTable(Fertiliser_SourceData.Fertiliser_Products_Data1(),FertiliserProducts[[#Headers],[Include or Exclude]], 0,4)</f>
        <v/>
      </c>
      <c r="AA96" s="65" t="str" cm="1">
        <f t="array" ref="AA96">Common_InputFunctions.Utility_DisplayArrayInTable(Fertiliser_SourceData.Fertiliser_Products_Data1(),FertiliserProducts[[#Headers],[Include or Exclude]], 0,4)</f>
        <v/>
      </c>
      <c r="AB96" s="65" t="str" cm="1">
        <f t="array" ref="AB96">Common_InputFunctions.Utility_DisplayArrayInTable(Fertiliser_SourceData.Fertiliser_Products_Data1(),FertiliserProducts[[#Headers],[Include or Exclude]], 0,4)</f>
        <v/>
      </c>
      <c r="AC96" s="65" t="str" cm="1">
        <f t="array" ref="AC96">Common_InputFunctions.Utility_DisplayArrayInTable(Fertiliser_SourceData.Fertiliser_Products_Data1(),FertiliserProducts[[#Headers],[Include or Exclude]], 0,4)</f>
        <v/>
      </c>
      <c r="AD96" s="65" t="str" cm="1">
        <f t="array" ref="AD96">Common_InputFunctions.Utility_DisplayArrayInTable(Fertiliser_SourceData.Fertiliser_Products_Data1(),FertiliserProducts[[#Headers],[Include or Exclude]], 0,4)</f>
        <v/>
      </c>
      <c r="AE96" s="65" t="str" cm="1">
        <f t="array" ref="AE96">Common_InputFunctions.Utility_DisplayArrayInTable(Fertiliser_SourceData.Fertiliser_Products_Data1(),FertiliserProducts[[#Headers],[Include or Exclude]], 0,4)</f>
        <v/>
      </c>
    </row>
    <row r="97" spans="4:31" ht="20.100000000000001" customHeight="1" x14ac:dyDescent="0.25">
      <c r="D97" s="65" t="str" cm="1">
        <f t="array" ref="D97">Common_InputFunctions.Utility_DisplayArrayInTable(Fertiliser_SourceData.Fertiliser_Products_Data1(),FertiliserProducts[[#Headers],[Include or Exclude]], -1)</f>
        <v>Include</v>
      </c>
      <c r="E97" s="65" t="str" cm="1">
        <f t="array" ref="E97">Common_InputFunctions.Utility_DisplayArrayInTable(Fertiliser_SourceData.Fertiliser_Products_Data1(),FertiliserProducts[[#Headers],[Include or Exclude]], 0)</f>
        <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Aqua Thio-Complete</v>
      </c>
      <c r="H97" s="65" t="str" cm="1">
        <f t="array" ref="H97">Common_InputFunctions.Utility_DisplayArrayInTable(Fertiliser_SourceData.Fertiliser_Products_Data1(),FertiliserProducts[[#Headers],[Include or Exclude]], 0,4)</f>
        <v>L</v>
      </c>
      <c r="I97" s="65" cm="1">
        <f t="array" ref="I97">Common_InputFunctions.Utility_DisplayArrayInTable(Fertiliser_SourceData.Fertiliser_Products_Data1(),FertiliserProducts[[#Headers],[Include or Exclude]], 0,4)</f>
        <v>1.43</v>
      </c>
      <c r="J97" s="65" t="str" cm="1">
        <f t="array" ref="J97">Common_InputFunctions.Utility_DisplayArrayInTable(Fertiliser_SourceData.Fertiliser_Products_Data1(),FertiliserProducts[[#Headers],[Include or Exclude]], 0,4)</f>
        <v/>
      </c>
      <c r="K97" s="65" t="str" cm="1">
        <f t="array" ref="K97">Common_InputFunctions.Utility_DisplayArrayInTable(Fertiliser_SourceData.Fertiliser_Products_Data1(),FertiliserProducts[[#Headers],[Include or Exclude]], 0,4)</f>
        <v/>
      </c>
      <c r="L97" s="65" t="str" cm="1">
        <f t="array" ref="L97">Common_InputFunctions.Utility_DisplayArrayInTable(Fertiliser_SourceData.Fertiliser_Products_Data1(),FertiliserProducts[[#Headers],[Include or Exclude]], 0,4)</f>
        <v>Potassium - Generic</v>
      </c>
      <c r="M97" s="65" cm="1">
        <f t="array" ref="M97">Common_InputFunctions.Utility_DisplayArrayInTable(Fertiliser_SourceData.Fertiliser_Products_Data1(),FertiliserProducts[[#Headers],[Include or Exclude]], 0,4)</f>
        <v>0.22500000000000001</v>
      </c>
      <c r="N97" s="65" t="str" cm="1">
        <f t="array" ref="N97">Common_InputFunctions.Utility_DisplayArrayInTable(Fertiliser_SourceData.Fertiliser_Products_Data1(),FertiliserProducts[[#Headers],[Include or Exclude]], 0,4)</f>
        <v>Phosphorus - Generic</v>
      </c>
      <c r="O97" s="65" cm="1">
        <f t="array" ref="O97">Common_InputFunctions.Utility_DisplayArrayInTable(Fertiliser_SourceData.Fertiliser_Products_Data1(),FertiliserProducts[[#Headers],[Include or Exclude]], 0,4)</f>
        <v>3.7999999999999999E-2</v>
      </c>
      <c r="P97" s="65" t="str" cm="1">
        <f t="array" ref="P97">Common_InputFunctions.Utility_DisplayArrayInTable(Fertiliser_SourceData.Fertiliser_Products_Data1(),FertiliserProducts[[#Headers],[Include or Exclude]], 0,4)</f>
        <v>Nitrogen - Generic</v>
      </c>
      <c r="Q97" s="65" cm="1">
        <f t="array" ref="Q97">Common_InputFunctions.Utility_DisplayArrayInTable(Fertiliser_SourceData.Fertiliser_Products_Data1(),FertiliserProducts[[#Headers],[Include or Exclude]], 0,4)</f>
        <v>2.5000000000000001E-2</v>
      </c>
      <c r="R97" s="65" t="str" cm="1">
        <f t="array" ref="R97">Common_InputFunctions.Utility_DisplayArrayInTable(Fertiliser_SourceData.Fertiliser_Products_Data1(),FertiliserProducts[[#Headers],[Include or Exclude]], 0,4)</f>
        <v/>
      </c>
      <c r="S97" s="65" t="str" cm="1">
        <f t="array" ref="S97">Common_InputFunctions.Utility_DisplayArrayInTable(Fertiliser_SourceData.Fertiliser_Products_Data1(),FertiliserProducts[[#Headers],[Include or Exclude]], 0,4)</f>
        <v/>
      </c>
      <c r="T97" s="65" t="str" cm="1">
        <f t="array" ref="T97">Common_InputFunctions.Utility_DisplayArrayInTable(Fertiliser_SourceData.Fertiliser_Products_Data1(),FertiliserProducts[[#Headers],[Include or Exclude]], 0,4)</f>
        <v/>
      </c>
      <c r="U97" s="65" t="str" cm="1">
        <f t="array" ref="U97">Common_InputFunctions.Utility_DisplayArrayInTable(Fertiliser_SourceData.Fertiliser_Products_Data1(),FertiliserProducts[[#Headers],[Include or Exclude]], 0,4)</f>
        <v/>
      </c>
      <c r="V97" s="65" t="str" cm="1">
        <f t="array" ref="V97">Common_InputFunctions.Utility_DisplayArrayInTable(Fertiliser_SourceData.Fertiliser_Products_Data1(),FertiliserProducts[[#Headers],[Include or Exclude]], 0,4)</f>
        <v/>
      </c>
      <c r="W97" s="65" t="str" cm="1">
        <f t="array" ref="W97">Common_InputFunctions.Utility_DisplayArrayInTable(Fertiliser_SourceData.Fertiliser_Products_Data1(),FertiliserProducts[[#Headers],[Include or Exclude]], 0,4)</f>
        <v/>
      </c>
      <c r="X97" s="65" t="str" cm="1">
        <f t="array" ref="X97">Common_InputFunctions.Utility_DisplayArrayInTable(Fertiliser_SourceData.Fertiliser_Products_Data1(),FertiliserProducts[[#Headers],[Include or Exclude]], 0,4)</f>
        <v/>
      </c>
      <c r="Y97" s="65" t="str" cm="1">
        <f t="array" ref="Y97">Common_InputFunctions.Utility_DisplayArrayInTable(Fertiliser_SourceData.Fertiliser_Products_Data1(),FertiliserProducts[[#Headers],[Include or Exclude]], 0,4)</f>
        <v/>
      </c>
      <c r="Z97" s="65" t="str" cm="1">
        <f t="array" ref="Z97">Common_InputFunctions.Utility_DisplayArrayInTable(Fertiliser_SourceData.Fertiliser_Products_Data1(),FertiliserProducts[[#Headers],[Include or Exclude]], 0,4)</f>
        <v/>
      </c>
      <c r="AA97" s="65" t="str" cm="1">
        <f t="array" ref="AA97">Common_InputFunctions.Utility_DisplayArrayInTable(Fertiliser_SourceData.Fertiliser_Products_Data1(),FertiliserProducts[[#Headers],[Include or Exclude]], 0,4)</f>
        <v/>
      </c>
      <c r="AB97" s="65" t="str" cm="1">
        <f t="array" ref="AB97">Common_InputFunctions.Utility_DisplayArrayInTable(Fertiliser_SourceData.Fertiliser_Products_Data1(),FertiliserProducts[[#Headers],[Include or Exclude]], 0,4)</f>
        <v/>
      </c>
      <c r="AC97" s="65" t="str" cm="1">
        <f t="array" ref="AC97">Common_InputFunctions.Utility_DisplayArrayInTable(Fertiliser_SourceData.Fertiliser_Products_Data1(),FertiliserProducts[[#Headers],[Include or Exclude]], 0,4)</f>
        <v/>
      </c>
      <c r="AD97" s="65" t="str" cm="1">
        <f t="array" ref="AD97">Common_InputFunctions.Utility_DisplayArrayInTable(Fertiliser_SourceData.Fertiliser_Products_Data1(),FertiliserProducts[[#Headers],[Include or Exclude]], 0,4)</f>
        <v/>
      </c>
      <c r="AE97" s="65" t="str" cm="1">
        <f t="array" ref="AE97">Common_InputFunctions.Utility_DisplayArrayInTable(Fertiliser_SourceData.Fertiliser_Products_Data1(),FertiliserProducts[[#Headers],[Include or Exclude]], 0,4)</f>
        <v/>
      </c>
    </row>
    <row r="98" spans="4:31" ht="20.100000000000001" customHeight="1" x14ac:dyDescent="0.25">
      <c r="D98" s="65" t="str" cm="1">
        <f t="array" ref="D98">Common_InputFunctions.Utility_DisplayArrayInTable(Fertiliser_SourceData.Fertiliser_Products_Data1(),FertiliserProducts[[#Headers],[Include or Exclude]], -1)</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Aqua Thio-Emerge</v>
      </c>
      <c r="H98" s="65" t="str" cm="1">
        <f t="array" ref="H98">Common_InputFunctions.Utility_DisplayArrayInTable(Fertiliser_SourceData.Fertiliser_Products_Data1(),FertiliserProducts[[#Headers],[Include or Exclude]], 0,4)</f>
        <v>L</v>
      </c>
      <c r="I98" s="65" cm="1">
        <f t="array" ref="I98">Common_InputFunctions.Utility_DisplayArrayInTable(Fertiliser_SourceData.Fertiliser_Products_Data1(),FertiliserProducts[[#Headers],[Include or Exclude]], 0,4)</f>
        <v>1.29</v>
      </c>
      <c r="J98" s="65" t="str" cm="1">
        <f t="array" ref="J98">Common_InputFunctions.Utility_DisplayArrayInTable(Fertiliser_SourceData.Fertiliser_Products_Data1(),FertiliserProducts[[#Headers],[Include or Exclude]], 0,4)</f>
        <v/>
      </c>
      <c r="K98" s="65" t="str" cm="1">
        <f t="array" ref="K98">Common_InputFunctions.Utility_DisplayArrayInTable(Fertiliser_SourceData.Fertiliser_Products_Data1(),FertiliserProducts[[#Headers],[Include or Exclude]], 0,4)</f>
        <v/>
      </c>
      <c r="L98" s="65" t="str" cm="1">
        <f t="array" ref="L98">Common_InputFunctions.Utility_DisplayArrayInTable(Fertiliser_SourceData.Fertiliser_Products_Data1(),FertiliserProducts[[#Headers],[Include or Exclude]], 0,4)</f>
        <v>Nitrogen - Generic</v>
      </c>
      <c r="M98" s="65" cm="1">
        <f t="array" ref="M98">Common_InputFunctions.Utility_DisplayArrayInTable(Fertiliser_SourceData.Fertiliser_Products_Data1(),FertiliserProducts[[#Headers],[Include or Exclude]], 0,4)</f>
        <v>0.105</v>
      </c>
      <c r="N98" s="65" t="str" cm="1">
        <f t="array" ref="N98">Common_InputFunctions.Utility_DisplayArrayInTable(Fertiliser_SourceData.Fertiliser_Products_Data1(),FertiliserProducts[[#Headers],[Include or Exclude]], 0,4)</f>
        <v>Phosphorus - Generic</v>
      </c>
      <c r="O98" s="65" cm="1">
        <f t="array" ref="O98">Common_InputFunctions.Utility_DisplayArrayInTable(Fertiliser_SourceData.Fertiliser_Products_Data1(),FertiliserProducts[[#Headers],[Include or Exclude]], 0,4)</f>
        <v>9.4E-2</v>
      </c>
      <c r="P98" s="65" t="str" cm="1">
        <f t="array" ref="P98">Common_InputFunctions.Utility_DisplayArrayInTable(Fertiliser_SourceData.Fertiliser_Products_Data1(),FertiliserProducts[[#Headers],[Include or Exclude]], 0,4)</f>
        <v>Potassium - Generic</v>
      </c>
      <c r="Q98" s="65" cm="1">
        <f t="array" ref="Q98">Common_InputFunctions.Utility_DisplayArrayInTable(Fertiliser_SourceData.Fertiliser_Products_Data1(),FertiliserProducts[[#Headers],[Include or Exclude]], 0,4)</f>
        <v>0.04</v>
      </c>
      <c r="R98" s="65" t="str" cm="1">
        <f t="array" ref="R98">Common_InputFunctions.Utility_DisplayArrayInTable(Fertiliser_SourceData.Fertiliser_Products_Data1(),FertiliserProducts[[#Headers],[Include or Exclude]], 0,4)</f>
        <v>Sulfur - Generic</v>
      </c>
      <c r="S98" s="65" cm="1">
        <f t="array" ref="S98">Common_InputFunctions.Utility_DisplayArrayInTable(Fertiliser_SourceData.Fertiliser_Products_Data1(),FertiliserProducts[[#Headers],[Include or Exclude]], 0,4)</f>
        <v>0.03</v>
      </c>
      <c r="T98" s="65" t="str" cm="1">
        <f t="array" ref="T98">Common_InputFunctions.Utility_DisplayArrayInTable(Fertiliser_SourceData.Fertiliser_Products_Data1(),FertiliserProducts[[#Headers],[Include or Exclude]], 0,4)</f>
        <v/>
      </c>
      <c r="U98" s="65" t="str" cm="1">
        <f t="array" ref="U98">Common_InputFunctions.Utility_DisplayArrayInTable(Fertiliser_SourceData.Fertiliser_Products_Data1(),FertiliserProducts[[#Headers],[Include or Exclude]], 0,4)</f>
        <v/>
      </c>
      <c r="V98" s="65" t="str" cm="1">
        <f t="array" ref="V98">Common_InputFunctions.Utility_DisplayArrayInTable(Fertiliser_SourceData.Fertiliser_Products_Data1(),FertiliserProducts[[#Headers],[Include or Exclude]], 0,4)</f>
        <v/>
      </c>
      <c r="W98" s="65" t="str" cm="1">
        <f t="array" ref="W98">Common_InputFunctions.Utility_DisplayArrayInTable(Fertiliser_SourceData.Fertiliser_Products_Data1(),FertiliserProducts[[#Headers],[Include or Exclude]], 0,4)</f>
        <v/>
      </c>
      <c r="X98" s="65" t="str" cm="1">
        <f t="array" ref="X98">Common_InputFunctions.Utility_DisplayArrayInTable(Fertiliser_SourceData.Fertiliser_Products_Data1(),FertiliserProducts[[#Headers],[Include or Exclude]], 0,4)</f>
        <v/>
      </c>
      <c r="Y98" s="65" t="str" cm="1">
        <f t="array" ref="Y98">Common_InputFunctions.Utility_DisplayArrayInTable(Fertiliser_SourceData.Fertiliser_Products_Data1(),FertiliserProducts[[#Headers],[Include or Exclude]], 0,4)</f>
        <v/>
      </c>
      <c r="Z98" s="65" t="str" cm="1">
        <f t="array" ref="Z98">Common_InputFunctions.Utility_DisplayArrayInTable(Fertiliser_SourceData.Fertiliser_Products_Data1(),FertiliserProducts[[#Headers],[Include or Exclude]], 0,4)</f>
        <v/>
      </c>
      <c r="AA98" s="65" t="str" cm="1">
        <f t="array" ref="AA98">Common_InputFunctions.Utility_DisplayArrayInTable(Fertiliser_SourceData.Fertiliser_Products_Data1(),FertiliserProducts[[#Headers],[Include or Exclude]], 0,4)</f>
        <v/>
      </c>
      <c r="AB98" s="65" t="str" cm="1">
        <f t="array" ref="AB98">Common_InputFunctions.Utility_DisplayArrayInTable(Fertiliser_SourceData.Fertiliser_Products_Data1(),FertiliserProducts[[#Headers],[Include or Exclude]], 0,4)</f>
        <v/>
      </c>
      <c r="AC98" s="65" t="str" cm="1">
        <f t="array" ref="AC98">Common_InputFunctions.Utility_DisplayArrayInTable(Fertiliser_SourceData.Fertiliser_Products_Data1(),FertiliserProducts[[#Headers],[Include or Exclude]], 0,4)</f>
        <v/>
      </c>
      <c r="AD98" s="65" t="str" cm="1">
        <f t="array" ref="AD98">Common_InputFunctions.Utility_DisplayArrayInTable(Fertiliser_SourceData.Fertiliser_Products_Data1(),FertiliserProducts[[#Headers],[Include or Exclude]], 0,4)</f>
        <v/>
      </c>
      <c r="AE98" s="65" t="str" cm="1">
        <f t="array" ref="AE98">Common_InputFunctions.Utility_DisplayArrayInTable(Fertiliser_SourceData.Fertiliser_Products_Data1(),FertiliserProducts[[#Headers],[Include or Exclude]], 0,4)</f>
        <v/>
      </c>
    </row>
    <row r="99" spans="4:31" ht="20.100000000000001" customHeight="1" x14ac:dyDescent="0.25">
      <c r="D99" s="65" t="str" cm="1">
        <f t="array" ref="D99">Common_InputFunctions.Utility_DisplayArrayInTable(Fertiliser_SourceData.Fertiliser_Products_Data1(),FertiliserProducts[[#Headers],[Include or Exclude]], -1)</f>
        <v>Exclude - Not relevant</v>
      </c>
      <c r="E99" s="65" t="str" cm="1">
        <f t="array" ref="E99">Common_InputFunctions.Utility_DisplayArrayInTable(Fertiliser_SourceData.Fertiliser_Products_Data1(),FertiliserProducts[[#Headers],[Include or Exclude]], 0)</f>
        <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Aqua Thio-Flourish</v>
      </c>
      <c r="H99" s="65" t="str" cm="1">
        <f t="array" ref="H99">Common_InputFunctions.Utility_DisplayArrayInTable(Fertiliser_SourceData.Fertiliser_Products_Data1(),FertiliserProducts[[#Headers],[Include or Exclude]], 0,4)</f>
        <v>L</v>
      </c>
      <c r="I99" s="65" cm="1">
        <f t="array" ref="I99">Common_InputFunctions.Utility_DisplayArrayInTable(Fertiliser_SourceData.Fertiliser_Products_Data1(),FertiliserProducts[[#Headers],[Include or Exclude]], 0,4)</f>
        <v>1.32</v>
      </c>
      <c r="J99" s="65" t="str" cm="1">
        <f t="array" ref="J99">Common_InputFunctions.Utility_DisplayArrayInTable(Fertiliser_SourceData.Fertiliser_Products_Data1(),FertiliserProducts[[#Headers],[Include or Exclude]], 0,4)</f>
        <v/>
      </c>
      <c r="K99" s="65" t="str" cm="1">
        <f t="array" ref="K99">Common_InputFunctions.Utility_DisplayArrayInTable(Fertiliser_SourceData.Fertiliser_Products_Data1(),FertiliserProducts[[#Headers],[Include or Exclude]], 0,4)</f>
        <v/>
      </c>
      <c r="L99" s="65" t="str" cm="1">
        <f t="array" ref="L99">Common_InputFunctions.Utility_DisplayArrayInTable(Fertiliser_SourceData.Fertiliser_Products_Data1(),FertiliserProducts[[#Headers],[Include or Exclude]], 0,4)</f>
        <v>Potassium - Generic</v>
      </c>
      <c r="M99" s="65" cm="1">
        <f t="array" ref="M99">Common_InputFunctions.Utility_DisplayArrayInTable(Fertiliser_SourceData.Fertiliser_Products_Data1(),FertiliserProducts[[#Headers],[Include or Exclude]], 0,4)</f>
        <v>0.108</v>
      </c>
      <c r="N99" s="65" t="str" cm="1">
        <f t="array" ref="N99">Common_InputFunctions.Utility_DisplayArrayInTable(Fertiliser_SourceData.Fertiliser_Products_Data1(),FertiliserProducts[[#Headers],[Include or Exclude]], 0,4)</f>
        <v>Nitrogen - Generic</v>
      </c>
      <c r="O99" s="65" cm="1">
        <f t="array" ref="O99">Common_InputFunctions.Utility_DisplayArrayInTable(Fertiliser_SourceData.Fertiliser_Products_Data1(),FertiliserProducts[[#Headers],[Include or Exclude]], 0,4)</f>
        <v>9.5000000000000001E-2</v>
      </c>
      <c r="P99" s="65" t="str" cm="1">
        <f t="array" ref="P99">Common_InputFunctions.Utility_DisplayArrayInTable(Fertiliser_SourceData.Fertiliser_Products_Data1(),FertiliserProducts[[#Headers],[Include or Exclude]], 0,4)</f>
        <v>Sulfur - Generic</v>
      </c>
      <c r="Q99" s="65" cm="1">
        <f t="array" ref="Q99">Common_InputFunctions.Utility_DisplayArrayInTable(Fertiliser_SourceData.Fertiliser_Products_Data1(),FertiliserProducts[[#Headers],[Include or Exclude]], 0,4)</f>
        <v>8.1000000000000003E-2</v>
      </c>
      <c r="R99" s="65" t="str" cm="1">
        <f t="array" ref="R99">Common_InputFunctions.Utility_DisplayArrayInTable(Fertiliser_SourceData.Fertiliser_Products_Data1(),FertiliserProducts[[#Headers],[Include or Exclude]], 0,4)</f>
        <v>Phosphorus - Generic</v>
      </c>
      <c r="S99" s="65" cm="1">
        <f t="array" ref="S99">Common_InputFunctions.Utility_DisplayArrayInTable(Fertiliser_SourceData.Fertiliser_Products_Data1(),FertiliserProducts[[#Headers],[Include or Exclude]], 0,4)</f>
        <v>4.7E-2</v>
      </c>
      <c r="T99" s="65" t="str" cm="1">
        <f t="array" ref="T99">Common_InputFunctions.Utility_DisplayArrayInTable(Fertiliser_SourceData.Fertiliser_Products_Data1(),FertiliserProducts[[#Headers],[Include or Exclude]], 0,4)</f>
        <v/>
      </c>
      <c r="U99" s="65" t="str" cm="1">
        <f t="array" ref="U99">Common_InputFunctions.Utility_DisplayArrayInTable(Fertiliser_SourceData.Fertiliser_Products_Data1(),FertiliserProducts[[#Headers],[Include or Exclude]], 0,4)</f>
        <v/>
      </c>
      <c r="V99" s="65" t="str" cm="1">
        <f t="array" ref="V99">Common_InputFunctions.Utility_DisplayArrayInTable(Fertiliser_SourceData.Fertiliser_Products_Data1(),FertiliserProducts[[#Headers],[Include or Exclude]], 0,4)</f>
        <v/>
      </c>
      <c r="W99" s="65" t="str" cm="1">
        <f t="array" ref="W99">Common_InputFunctions.Utility_DisplayArrayInTable(Fertiliser_SourceData.Fertiliser_Products_Data1(),FertiliserProducts[[#Headers],[Include or Exclude]], 0,4)</f>
        <v/>
      </c>
      <c r="X99" s="65" t="str" cm="1">
        <f t="array" ref="X99">Common_InputFunctions.Utility_DisplayArrayInTable(Fertiliser_SourceData.Fertiliser_Products_Data1(),FertiliserProducts[[#Headers],[Include or Exclude]], 0,4)</f>
        <v/>
      </c>
      <c r="Y99" s="65" t="str" cm="1">
        <f t="array" ref="Y99">Common_InputFunctions.Utility_DisplayArrayInTable(Fertiliser_SourceData.Fertiliser_Products_Data1(),FertiliserProducts[[#Headers],[Include or Exclude]], 0,4)</f>
        <v/>
      </c>
      <c r="Z99" s="65" t="str" cm="1">
        <f t="array" ref="Z99">Common_InputFunctions.Utility_DisplayArrayInTable(Fertiliser_SourceData.Fertiliser_Products_Data1(),FertiliserProducts[[#Headers],[Include or Exclude]], 0,4)</f>
        <v/>
      </c>
      <c r="AA99" s="65" t="str" cm="1">
        <f t="array" ref="AA99">Common_InputFunctions.Utility_DisplayArrayInTable(Fertiliser_SourceData.Fertiliser_Products_Data1(),FertiliserProducts[[#Headers],[Include or Exclude]], 0,4)</f>
        <v/>
      </c>
      <c r="AB99" s="65" t="str" cm="1">
        <f t="array" ref="AB99">Common_InputFunctions.Utility_DisplayArrayInTable(Fertiliser_SourceData.Fertiliser_Products_Data1(),FertiliserProducts[[#Headers],[Include or Exclude]], 0,4)</f>
        <v/>
      </c>
      <c r="AC99" s="65" t="str" cm="1">
        <f t="array" ref="AC99">Common_InputFunctions.Utility_DisplayArrayInTable(Fertiliser_SourceData.Fertiliser_Products_Data1(),FertiliserProducts[[#Headers],[Include or Exclude]], 0,4)</f>
        <v/>
      </c>
      <c r="AD99" s="65" t="str" cm="1">
        <f t="array" ref="AD99">Common_InputFunctions.Utility_DisplayArrayInTable(Fertiliser_SourceData.Fertiliser_Products_Data1(),FertiliserProducts[[#Headers],[Include or Exclude]], 0,4)</f>
        <v/>
      </c>
      <c r="AE99" s="65" t="str" cm="1">
        <f t="array" ref="AE99">Common_InputFunctions.Utility_DisplayArrayInTable(Fertiliser_SourceData.Fertiliser_Products_Data1(),FertiliserProducts[[#Headers],[Include or Exclude]], 0,4)</f>
        <v/>
      </c>
    </row>
    <row r="100" spans="4:31" ht="20.100000000000001" customHeight="1" x14ac:dyDescent="0.25">
      <c r="D100" s="65" t="str" cm="1">
        <f t="array" ref="D100">Common_InputFunctions.Utility_DisplayArrayInTable(Fertiliser_SourceData.Fertiliser_Products_Data1(),FertiliserProducts[[#Headers],[Include or Exclude]], -1)</f>
        <v>Exclude - Not relevant</v>
      </c>
      <c r="E100" s="65" t="str" cm="1">
        <f t="array" ref="E100">Common_InputFunctions.Utility_DisplayArrayInTable(Fertiliser_SourceData.Fertiliser_Products_Data1(),FertiliserProducts[[#Headers],[Include or Exclude]], 0)</f>
        <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Asco Fol Plus</v>
      </c>
      <c r="H100" s="65" t="str" cm="1">
        <f t="array" ref="H100">Common_InputFunctions.Utility_DisplayArrayInTable(Fertiliser_SourceData.Fertiliser_Products_Data1(),FertiliserProducts[[#Headers],[Include or Exclude]], 0,4)</f>
        <v/>
      </c>
      <c r="I100" s="65" t="str" cm="1">
        <f t="array" ref="I100">Common_InputFunctions.Utility_DisplayArrayInTable(Fertiliser_SourceData.Fertiliser_Products_Data1(),FertiliserProducts[[#Headers],[Include or Exclude]], 0,4)</f>
        <v/>
      </c>
      <c r="J100" s="65" t="str" cm="1">
        <f t="array" ref="J100">Common_InputFunctions.Utility_DisplayArrayInTable(Fertiliser_SourceData.Fertiliser_Products_Data1(),FertiliserProducts[[#Headers],[Include or Exclude]], 0,4)</f>
        <v/>
      </c>
      <c r="K100" s="65" t="str" cm="1">
        <f t="array" ref="K100">Common_InputFunctions.Utility_DisplayArrayInTable(Fertiliser_SourceData.Fertiliser_Products_Data1(),FertiliserProducts[[#Headers],[Include or Exclude]], 0,4)</f>
        <v/>
      </c>
      <c r="L100" s="65" t="str" cm="1">
        <f t="array" ref="L100">Common_InputFunctions.Utility_DisplayArrayInTable(Fertiliser_SourceData.Fertiliser_Products_Data1(),FertiliserProducts[[#Headers],[Include or Exclude]], 0,4)</f>
        <v/>
      </c>
      <c r="M100" s="65" t="str" cm="1">
        <f t="array" ref="M100">Common_InputFunctions.Utility_DisplayArrayInTable(Fertiliser_SourceData.Fertiliser_Products_Data1(),FertiliserProducts[[#Headers],[Include or Exclude]], 0,4)</f>
        <v/>
      </c>
      <c r="N100" s="65" t="str" cm="1">
        <f t="array" ref="N100">Common_InputFunctions.Utility_DisplayArrayInTable(Fertiliser_SourceData.Fertiliser_Products_Data1(),FertiliserProducts[[#Headers],[Include or Exclude]], 0,4)</f>
        <v/>
      </c>
      <c r="O100" s="65" t="str" cm="1">
        <f t="array" ref="O100">Common_InputFunctions.Utility_DisplayArrayInTable(Fertiliser_SourceData.Fertiliser_Products_Data1(),FertiliserProducts[[#Headers],[Include or Exclude]], 0,4)</f>
        <v/>
      </c>
      <c r="P100" s="65" t="str" cm="1">
        <f t="array" ref="P100">Common_InputFunctions.Utility_DisplayArrayInTable(Fertiliser_SourceData.Fertiliser_Products_Data1(),FertiliserProducts[[#Headers],[Include or Exclude]], 0,4)</f>
        <v/>
      </c>
      <c r="Q100" s="65" t="str" cm="1">
        <f t="array" ref="Q100">Common_InputFunctions.Utility_DisplayArrayInTable(Fertiliser_SourceData.Fertiliser_Products_Data1(),FertiliserProducts[[#Headers],[Include or Exclude]], 0,4)</f>
        <v/>
      </c>
      <c r="R100" s="65" t="str" cm="1">
        <f t="array" ref="R100">Common_InputFunctions.Utility_DisplayArrayInTable(Fertiliser_SourceData.Fertiliser_Products_Data1(),FertiliserProducts[[#Headers],[Include or Exclude]], 0,4)</f>
        <v/>
      </c>
      <c r="S100" s="65" t="str" cm="1">
        <f t="array" ref="S100">Common_InputFunctions.Utility_DisplayArrayInTable(Fertiliser_SourceData.Fertiliser_Products_Data1(),FertiliserProducts[[#Headers],[Include or Exclude]], 0,4)</f>
        <v/>
      </c>
      <c r="T100" s="65" t="str" cm="1">
        <f t="array" ref="T100">Common_InputFunctions.Utility_DisplayArrayInTable(Fertiliser_SourceData.Fertiliser_Products_Data1(),FertiliserProducts[[#Headers],[Include or Exclude]], 0,4)</f>
        <v/>
      </c>
      <c r="U100" s="65" t="str" cm="1">
        <f t="array" ref="U100">Common_InputFunctions.Utility_DisplayArrayInTable(Fertiliser_SourceData.Fertiliser_Products_Data1(),FertiliserProducts[[#Headers],[Include or Exclude]], 0,4)</f>
        <v/>
      </c>
      <c r="V100" s="65" t="str" cm="1">
        <f t="array" ref="V100">Common_InputFunctions.Utility_DisplayArrayInTable(Fertiliser_SourceData.Fertiliser_Products_Data1(),FertiliserProducts[[#Headers],[Include or Exclude]], 0,4)</f>
        <v/>
      </c>
      <c r="W100" s="65" t="str" cm="1">
        <f t="array" ref="W100">Common_InputFunctions.Utility_DisplayArrayInTable(Fertiliser_SourceData.Fertiliser_Products_Data1(),FertiliserProducts[[#Headers],[Include or Exclude]], 0,4)</f>
        <v/>
      </c>
      <c r="X100" s="65" t="str" cm="1">
        <f t="array" ref="X100">Common_InputFunctions.Utility_DisplayArrayInTable(Fertiliser_SourceData.Fertiliser_Products_Data1(),FertiliserProducts[[#Headers],[Include or Exclude]], 0,4)</f>
        <v/>
      </c>
      <c r="Y100" s="65" t="str" cm="1">
        <f t="array" ref="Y100">Common_InputFunctions.Utility_DisplayArrayInTable(Fertiliser_SourceData.Fertiliser_Products_Data1(),FertiliserProducts[[#Headers],[Include or Exclude]], 0,4)</f>
        <v/>
      </c>
      <c r="Z100" s="65" t="str" cm="1">
        <f t="array" ref="Z100">Common_InputFunctions.Utility_DisplayArrayInTable(Fertiliser_SourceData.Fertiliser_Products_Data1(),FertiliserProducts[[#Headers],[Include or Exclude]], 0,4)</f>
        <v/>
      </c>
      <c r="AA100" s="65" t="str" cm="1">
        <f t="array" ref="AA100">Common_InputFunctions.Utility_DisplayArrayInTable(Fertiliser_SourceData.Fertiliser_Products_Data1(),FertiliserProducts[[#Headers],[Include or Exclude]], 0,4)</f>
        <v/>
      </c>
      <c r="AB100" s="65" t="str" cm="1">
        <f t="array" ref="AB100">Common_InputFunctions.Utility_DisplayArrayInTable(Fertiliser_SourceData.Fertiliser_Products_Data1(),FertiliserProducts[[#Headers],[Include or Exclude]], 0,4)</f>
        <v/>
      </c>
      <c r="AC100" s="65" t="str" cm="1">
        <f t="array" ref="AC100">Common_InputFunctions.Utility_DisplayArrayInTable(Fertiliser_SourceData.Fertiliser_Products_Data1(),FertiliserProducts[[#Headers],[Include or Exclude]], 0,4)</f>
        <v/>
      </c>
      <c r="AD100" s="65" t="str" cm="1">
        <f t="array" ref="AD100">Common_InputFunctions.Utility_DisplayArrayInTable(Fertiliser_SourceData.Fertiliser_Products_Data1(),FertiliserProducts[[#Headers],[Include or Exclude]], 0,4)</f>
        <v/>
      </c>
      <c r="AE100" s="65" t="str" cm="1">
        <f t="array" ref="AE100">Common_InputFunctions.Utility_DisplayArrayInTable(Fertiliser_SourceData.Fertiliser_Products_Data1(),FertiliserProducts[[#Headers],[Include or Exclude]], 0,4)</f>
        <v/>
      </c>
    </row>
    <row r="101" spans="4:31" ht="20.100000000000001" customHeight="1" x14ac:dyDescent="0.25">
      <c r="D101" s="65" t="str" cm="1">
        <f t="array" ref="D101">Common_InputFunctions.Utility_DisplayArrayInTable(Fertiliser_SourceData.Fertiliser_Products_Data1(),FertiliserProducts[[#Headers],[Include or Exclude]], -1)</f>
        <v>Exclude - Not relevant</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Campbells fertilisers Australia</v>
      </c>
      <c r="G101" s="65" t="str" cm="1">
        <f t="array" ref="G101">Common_InputFunctions.Utility_DisplayArrayInTable(Fertiliser_SourceData.Fertiliser_Products_Data1(),FertiliserProducts[[#Headers],[Include or Exclude]], 0)</f>
        <v>Asco Plus</v>
      </c>
      <c r="H101" s="65" t="str" cm="1">
        <f t="array" ref="H101">Common_InputFunctions.Utility_DisplayArrayInTable(Fertiliser_SourceData.Fertiliser_Products_Data1(),FertiliserProducts[[#Headers],[Include or Exclude]], 0,4)</f>
        <v/>
      </c>
      <c r="I101" s="65" t="str" cm="1">
        <f t="array" ref="I101">Common_InputFunctions.Utility_DisplayArrayInTable(Fertiliser_SourceData.Fertiliser_Products_Data1(),FertiliserProducts[[#Headers],[Include or Exclude]], 0,4)</f>
        <v/>
      </c>
      <c r="J101" s="65" t="str" cm="1">
        <f t="array" ref="J101">Common_InputFunctions.Utility_DisplayArrayInTable(Fertiliser_SourceData.Fertiliser_Products_Data1(),FertiliserProducts[[#Headers],[Include or Exclude]], 0,4)</f>
        <v/>
      </c>
      <c r="K101" s="65" t="str" cm="1">
        <f t="array" ref="K101">Common_InputFunctions.Utility_DisplayArrayInTable(Fertiliser_SourceData.Fertiliser_Products_Data1(),FertiliserProducts[[#Headers],[Include or Exclude]], 0,4)</f>
        <v/>
      </c>
      <c r="L101" s="65" t="str" cm="1">
        <f t="array" ref="L101">Common_InputFunctions.Utility_DisplayArrayInTable(Fertiliser_SourceData.Fertiliser_Products_Data1(),FertiliserProducts[[#Headers],[Include or Exclude]], 0,4)</f>
        <v/>
      </c>
      <c r="M101" s="65" t="str" cm="1">
        <f t="array" ref="M101">Common_InputFunctions.Utility_DisplayArrayInTable(Fertiliser_SourceData.Fertiliser_Products_Data1(),FertiliserProducts[[#Headers],[Include or Exclude]], 0,4)</f>
        <v/>
      </c>
      <c r="N101" s="65" t="str" cm="1">
        <f t="array" ref="N101">Common_InputFunctions.Utility_DisplayArrayInTable(Fertiliser_SourceData.Fertiliser_Products_Data1(),FertiliserProducts[[#Headers],[Include or Exclude]], 0,4)</f>
        <v/>
      </c>
      <c r="O101" s="65" t="str" cm="1">
        <f t="array" ref="O101">Common_InputFunctions.Utility_DisplayArrayInTable(Fertiliser_SourceData.Fertiliser_Products_Data1(),FertiliserProducts[[#Headers],[Include or Exclude]], 0,4)</f>
        <v/>
      </c>
      <c r="P101" s="65" t="str" cm="1">
        <f t="array" ref="P101">Common_InputFunctions.Utility_DisplayArrayInTable(Fertiliser_SourceData.Fertiliser_Products_Data1(),FertiliserProducts[[#Headers],[Include or Exclude]], 0,4)</f>
        <v/>
      </c>
      <c r="Q101" s="65" t="str" cm="1">
        <f t="array" ref="Q101">Common_InputFunctions.Utility_DisplayArrayInTable(Fertiliser_SourceData.Fertiliser_Products_Data1(),FertiliserProducts[[#Headers],[Include or Exclude]], 0,4)</f>
        <v/>
      </c>
      <c r="R101" s="65" t="str" cm="1">
        <f t="array" ref="R101">Common_InputFunctions.Utility_DisplayArrayInTable(Fertiliser_SourceData.Fertiliser_Products_Data1(),FertiliserProducts[[#Headers],[Include or Exclude]], 0,4)</f>
        <v/>
      </c>
      <c r="S101" s="65" t="str" cm="1">
        <f t="array" ref="S101">Common_InputFunctions.Utility_DisplayArrayInTable(Fertiliser_SourceData.Fertiliser_Products_Data1(),FertiliserProducts[[#Headers],[Include or Exclude]], 0,4)</f>
        <v/>
      </c>
      <c r="T101" s="65" t="str" cm="1">
        <f t="array" ref="T101">Common_InputFunctions.Utility_DisplayArrayInTable(Fertiliser_SourceData.Fertiliser_Products_Data1(),FertiliserProducts[[#Headers],[Include or Exclude]], 0,4)</f>
        <v/>
      </c>
      <c r="U101" s="65" t="str" cm="1">
        <f t="array" ref="U101">Common_InputFunctions.Utility_DisplayArrayInTable(Fertiliser_SourceData.Fertiliser_Products_Data1(),FertiliserProducts[[#Headers],[Include or Exclude]], 0,4)</f>
        <v/>
      </c>
      <c r="V101" s="65" t="str" cm="1">
        <f t="array" ref="V101">Common_InputFunctions.Utility_DisplayArrayInTable(Fertiliser_SourceData.Fertiliser_Products_Data1(),FertiliserProducts[[#Headers],[Include or Exclude]], 0,4)</f>
        <v/>
      </c>
      <c r="W101" s="65" t="str" cm="1">
        <f t="array" ref="W101">Common_InputFunctions.Utility_DisplayArrayInTable(Fertiliser_SourceData.Fertiliser_Products_Data1(),FertiliserProducts[[#Headers],[Include or Exclude]], 0,4)</f>
        <v/>
      </c>
      <c r="X101" s="65" t="str" cm="1">
        <f t="array" ref="X101">Common_InputFunctions.Utility_DisplayArrayInTable(Fertiliser_SourceData.Fertiliser_Products_Data1(),FertiliserProducts[[#Headers],[Include or Exclude]], 0,4)</f>
        <v/>
      </c>
      <c r="Y101" s="65" t="str" cm="1">
        <f t="array" ref="Y101">Common_InputFunctions.Utility_DisplayArrayInTable(Fertiliser_SourceData.Fertiliser_Products_Data1(),FertiliserProducts[[#Headers],[Include or Exclude]], 0,4)</f>
        <v/>
      </c>
      <c r="Z101" s="65" t="str" cm="1">
        <f t="array" ref="Z101">Common_InputFunctions.Utility_DisplayArrayInTable(Fertiliser_SourceData.Fertiliser_Products_Data1(),FertiliserProducts[[#Headers],[Include or Exclude]], 0,4)</f>
        <v/>
      </c>
      <c r="AA101" s="65" t="str" cm="1">
        <f t="array" ref="AA101">Common_InputFunctions.Utility_DisplayArrayInTable(Fertiliser_SourceData.Fertiliser_Products_Data1(),FertiliserProducts[[#Headers],[Include or Exclude]], 0,4)</f>
        <v/>
      </c>
      <c r="AB101" s="65" t="str" cm="1">
        <f t="array" ref="AB101">Common_InputFunctions.Utility_DisplayArrayInTable(Fertiliser_SourceData.Fertiliser_Products_Data1(),FertiliserProducts[[#Headers],[Include or Exclude]], 0,4)</f>
        <v/>
      </c>
      <c r="AC101" s="65" t="str" cm="1">
        <f t="array" ref="AC101">Common_InputFunctions.Utility_DisplayArrayInTable(Fertiliser_SourceData.Fertiliser_Products_Data1(),FertiliserProducts[[#Headers],[Include or Exclude]], 0,4)</f>
        <v/>
      </c>
      <c r="AD101" s="65" t="str" cm="1">
        <f t="array" ref="AD101">Common_InputFunctions.Utility_DisplayArrayInTable(Fertiliser_SourceData.Fertiliser_Products_Data1(),FertiliserProducts[[#Headers],[Include or Exclude]], 0,4)</f>
        <v/>
      </c>
      <c r="AE101" s="65" t="str" cm="1">
        <f t="array" ref="AE101">Common_InputFunctions.Utility_DisplayArrayInTable(Fertiliser_SourceData.Fertiliser_Products_Data1(),FertiliserProducts[[#Headers],[Include or Exclude]], 0,4)</f>
        <v/>
      </c>
    </row>
    <row r="102" spans="4:31" ht="20.100000000000001" customHeight="1" x14ac:dyDescent="0.25">
      <c r="D102" s="65" t="str" cm="1">
        <f t="array" ref="D102">Common_InputFunctions.Utility_DisplayArrayInTable(Fertiliser_SourceData.Fertiliser_Products_Data1(),FertiliserProducts[[#Headers],[Include or Exclude]], -1)</f>
        <v>Exclude - Not relevant</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Campbells fertilisers Australia</v>
      </c>
      <c r="G102" s="65" t="str" cm="1">
        <f t="array" ref="G102">Common_InputFunctions.Utility_DisplayArrayInTable(Fertiliser_SourceData.Fertiliser_Products_Data1(),FertiliserProducts[[#Headers],[Include or Exclude]], 0)</f>
        <v>Asco Rhizo Plus</v>
      </c>
      <c r="H102" s="65" t="str" cm="1">
        <f t="array" ref="H102">Common_InputFunctions.Utility_DisplayArrayInTable(Fertiliser_SourceData.Fertiliser_Products_Data1(),FertiliserProducts[[#Headers],[Include or Exclude]], 0,4)</f>
        <v/>
      </c>
      <c r="I102" s="65" t="str" cm="1">
        <f t="array" ref="I102">Common_InputFunctions.Utility_DisplayArrayInTable(Fertiliser_SourceData.Fertiliser_Products_Data1(),FertiliserProducts[[#Headers],[Include or Exclude]], 0,4)</f>
        <v/>
      </c>
      <c r="J102" s="65" t="str" cm="1">
        <f t="array" ref="J102">Common_InputFunctions.Utility_DisplayArrayInTable(Fertiliser_SourceData.Fertiliser_Products_Data1(),FertiliserProducts[[#Headers],[Include or Exclude]], 0,4)</f>
        <v/>
      </c>
      <c r="K102" s="65" t="str" cm="1">
        <f t="array" ref="K102">Common_InputFunctions.Utility_DisplayArrayInTable(Fertiliser_SourceData.Fertiliser_Products_Data1(),FertiliserProducts[[#Headers],[Include or Exclude]], 0,4)</f>
        <v/>
      </c>
      <c r="L102" s="65" t="str" cm="1">
        <f t="array" ref="L102">Common_InputFunctions.Utility_DisplayArrayInTable(Fertiliser_SourceData.Fertiliser_Products_Data1(),FertiliserProducts[[#Headers],[Include or Exclude]], 0,4)</f>
        <v/>
      </c>
      <c r="M102" s="65" t="str" cm="1">
        <f t="array" ref="M102">Common_InputFunctions.Utility_DisplayArrayInTable(Fertiliser_SourceData.Fertiliser_Products_Data1(),FertiliserProducts[[#Headers],[Include or Exclude]], 0,4)</f>
        <v/>
      </c>
      <c r="N102" s="65" t="str" cm="1">
        <f t="array" ref="N102">Common_InputFunctions.Utility_DisplayArrayInTable(Fertiliser_SourceData.Fertiliser_Products_Data1(),FertiliserProducts[[#Headers],[Include or Exclude]], 0,4)</f>
        <v/>
      </c>
      <c r="O102" s="65" t="str" cm="1">
        <f t="array" ref="O102">Common_InputFunctions.Utility_DisplayArrayInTable(Fertiliser_SourceData.Fertiliser_Products_Data1(),FertiliserProducts[[#Headers],[Include or Exclude]], 0,4)</f>
        <v/>
      </c>
      <c r="P102" s="65" t="str" cm="1">
        <f t="array" ref="P102">Common_InputFunctions.Utility_DisplayArrayInTable(Fertiliser_SourceData.Fertiliser_Products_Data1(),FertiliserProducts[[#Headers],[Include or Exclude]], 0,4)</f>
        <v/>
      </c>
      <c r="Q102" s="65" t="str" cm="1">
        <f t="array" ref="Q102">Common_InputFunctions.Utility_DisplayArrayInTable(Fertiliser_SourceData.Fertiliser_Products_Data1(),FertiliserProducts[[#Headers],[Include or Exclude]], 0,4)</f>
        <v/>
      </c>
      <c r="R102" s="65" t="str" cm="1">
        <f t="array" ref="R102">Common_InputFunctions.Utility_DisplayArrayInTable(Fertiliser_SourceData.Fertiliser_Products_Data1(),FertiliserProducts[[#Headers],[Include or Exclude]], 0,4)</f>
        <v/>
      </c>
      <c r="S102" s="65" t="str" cm="1">
        <f t="array" ref="S102">Common_InputFunctions.Utility_DisplayArrayInTable(Fertiliser_SourceData.Fertiliser_Products_Data1(),FertiliserProducts[[#Headers],[Include or Exclude]], 0,4)</f>
        <v/>
      </c>
      <c r="T102" s="65" t="str" cm="1">
        <f t="array" ref="T102">Common_InputFunctions.Utility_DisplayArrayInTable(Fertiliser_SourceData.Fertiliser_Products_Data1(),FertiliserProducts[[#Headers],[Include or Exclude]], 0,4)</f>
        <v/>
      </c>
      <c r="U102" s="65" t="str" cm="1">
        <f t="array" ref="U102">Common_InputFunctions.Utility_DisplayArrayInTable(Fertiliser_SourceData.Fertiliser_Products_Data1(),FertiliserProducts[[#Headers],[Include or Exclude]], 0,4)</f>
        <v/>
      </c>
      <c r="V102" s="65" t="str" cm="1">
        <f t="array" ref="V102">Common_InputFunctions.Utility_DisplayArrayInTable(Fertiliser_SourceData.Fertiliser_Products_Data1(),FertiliserProducts[[#Headers],[Include or Exclude]], 0,4)</f>
        <v/>
      </c>
      <c r="W102" s="65" t="str" cm="1">
        <f t="array" ref="W102">Common_InputFunctions.Utility_DisplayArrayInTable(Fertiliser_SourceData.Fertiliser_Products_Data1(),FertiliserProducts[[#Headers],[Include or Exclude]], 0,4)</f>
        <v/>
      </c>
      <c r="X102" s="65" t="str" cm="1">
        <f t="array" ref="X102">Common_InputFunctions.Utility_DisplayArrayInTable(Fertiliser_SourceData.Fertiliser_Products_Data1(),FertiliserProducts[[#Headers],[Include or Exclude]], 0,4)</f>
        <v/>
      </c>
      <c r="Y102" s="65" t="str" cm="1">
        <f t="array" ref="Y102">Common_InputFunctions.Utility_DisplayArrayInTable(Fertiliser_SourceData.Fertiliser_Products_Data1(),FertiliserProducts[[#Headers],[Include or Exclude]], 0,4)</f>
        <v/>
      </c>
      <c r="Z102" s="65" t="str" cm="1">
        <f t="array" ref="Z102">Common_InputFunctions.Utility_DisplayArrayInTable(Fertiliser_SourceData.Fertiliser_Products_Data1(),FertiliserProducts[[#Headers],[Include or Exclude]], 0,4)</f>
        <v/>
      </c>
      <c r="AA102" s="65" t="str" cm="1">
        <f t="array" ref="AA102">Common_InputFunctions.Utility_DisplayArrayInTable(Fertiliser_SourceData.Fertiliser_Products_Data1(),FertiliserProducts[[#Headers],[Include or Exclude]], 0,4)</f>
        <v/>
      </c>
      <c r="AB102" s="65" t="str" cm="1">
        <f t="array" ref="AB102">Common_InputFunctions.Utility_DisplayArrayInTable(Fertiliser_SourceData.Fertiliser_Products_Data1(),FertiliserProducts[[#Headers],[Include or Exclude]], 0,4)</f>
        <v/>
      </c>
      <c r="AC102" s="65" t="str" cm="1">
        <f t="array" ref="AC102">Common_InputFunctions.Utility_DisplayArrayInTable(Fertiliser_SourceData.Fertiliser_Products_Data1(),FertiliserProducts[[#Headers],[Include or Exclude]], 0,4)</f>
        <v/>
      </c>
      <c r="AD102" s="65" t="str" cm="1">
        <f t="array" ref="AD102">Common_InputFunctions.Utility_DisplayArrayInTable(Fertiliser_SourceData.Fertiliser_Products_Data1(),FertiliserProducts[[#Headers],[Include or Exclude]], 0,4)</f>
        <v/>
      </c>
      <c r="AE102" s="65" t="str" cm="1">
        <f t="array" ref="AE102">Common_InputFunctions.Utility_DisplayArrayInTable(Fertiliser_SourceData.Fertiliser_Products_Data1(),FertiliserProducts[[#Headers],[Include or Exclude]], 0,4)</f>
        <v/>
      </c>
    </row>
    <row r="103" spans="4:31" ht="20.100000000000001" customHeight="1" x14ac:dyDescent="0.25">
      <c r="D103" s="65" t="str" cm="1">
        <f t="array" ref="D103">Common_InputFunctions.Utility_DisplayArrayInTable(Fertiliser_SourceData.Fertiliser_Products_Data1(),FertiliserProducts[[#Headers],[Include or Exclude]], -1)</f>
        <v>Include - Absent ingredients &lt; 2%</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Campbells fertilisers Australia</v>
      </c>
      <c r="G103" s="65" t="str" cm="1">
        <f t="array" ref="G103">Common_InputFunctions.Utility_DisplayArrayInTable(Fertiliser_SourceData.Fertiliser_Products_Data1(),FertiliserProducts[[#Headers],[Include or Exclude]], 0)</f>
        <v>Benefit PZ</v>
      </c>
      <c r="H103" s="65" t="str" cm="1">
        <f t="array" ref="H103">Common_InputFunctions.Utility_DisplayArrayInTable(Fertiliser_SourceData.Fertiliser_Products_Data1(),FertiliserProducts[[#Headers],[Include or Exclude]], 0,4)</f>
        <v/>
      </c>
      <c r="I103" s="65" t="str" cm="1">
        <f t="array" ref="I103">Common_InputFunctions.Utility_DisplayArrayInTable(Fertiliser_SourceData.Fertiliser_Products_Data1(),FertiliserProducts[[#Headers],[Include or Exclude]], 0,4)</f>
        <v/>
      </c>
      <c r="J103" s="65" t="str" cm="1">
        <f t="array" ref="J103">Common_InputFunctions.Utility_DisplayArrayInTable(Fertiliser_SourceData.Fertiliser_Products_Data1(),FertiliserProducts[[#Headers],[Include or Exclude]], 0,4)</f>
        <v/>
      </c>
      <c r="K103" s="65" t="str" cm="1">
        <f t="array" ref="K103">Common_InputFunctions.Utility_DisplayArrayInTable(Fertiliser_SourceData.Fertiliser_Products_Data1(),FertiliserProducts[[#Headers],[Include or Exclude]], 0,4)</f>
        <v/>
      </c>
      <c r="L103" s="65" t="str" cm="1">
        <f t="array" ref="L103">Common_InputFunctions.Utility_DisplayArrayInTable(Fertiliser_SourceData.Fertiliser_Products_Data1(),FertiliserProducts[[#Headers],[Include or Exclude]], 0,4)</f>
        <v/>
      </c>
      <c r="M103" s="65" t="str" cm="1">
        <f t="array" ref="M103">Common_InputFunctions.Utility_DisplayArrayInTable(Fertiliser_SourceData.Fertiliser_Products_Data1(),FertiliserProducts[[#Headers],[Include or Exclude]], 0,4)</f>
        <v/>
      </c>
      <c r="N103" s="65" t="str" cm="1">
        <f t="array" ref="N103">Common_InputFunctions.Utility_DisplayArrayInTable(Fertiliser_SourceData.Fertiliser_Products_Data1(),FertiliserProducts[[#Headers],[Include or Exclude]], 0,4)</f>
        <v/>
      </c>
      <c r="O103" s="65" t="str" cm="1">
        <f t="array" ref="O103">Common_InputFunctions.Utility_DisplayArrayInTable(Fertiliser_SourceData.Fertiliser_Products_Data1(),FertiliserProducts[[#Headers],[Include or Exclude]], 0,4)</f>
        <v/>
      </c>
      <c r="P103" s="65" t="str" cm="1">
        <f t="array" ref="P103">Common_InputFunctions.Utility_DisplayArrayInTable(Fertiliser_SourceData.Fertiliser_Products_Data1(),FertiliserProducts[[#Headers],[Include or Exclude]], 0,4)</f>
        <v/>
      </c>
      <c r="Q103" s="65" t="str" cm="1">
        <f t="array" ref="Q103">Common_InputFunctions.Utility_DisplayArrayInTable(Fertiliser_SourceData.Fertiliser_Products_Data1(),FertiliserProducts[[#Headers],[Include or Exclude]], 0,4)</f>
        <v/>
      </c>
      <c r="R103" s="65" t="str" cm="1">
        <f t="array" ref="R103">Common_InputFunctions.Utility_DisplayArrayInTable(Fertiliser_SourceData.Fertiliser_Products_Data1(),FertiliserProducts[[#Headers],[Include or Exclude]], 0,4)</f>
        <v/>
      </c>
      <c r="S103" s="65" t="str" cm="1">
        <f t="array" ref="S103">Common_InputFunctions.Utility_DisplayArrayInTable(Fertiliser_SourceData.Fertiliser_Products_Data1(),FertiliserProducts[[#Headers],[Include or Exclude]], 0,4)</f>
        <v/>
      </c>
      <c r="T103" s="65" t="str" cm="1">
        <f t="array" ref="T103">Common_InputFunctions.Utility_DisplayArrayInTable(Fertiliser_SourceData.Fertiliser_Products_Data1(),FertiliserProducts[[#Headers],[Include or Exclude]], 0,4)</f>
        <v/>
      </c>
      <c r="U103" s="65" t="str" cm="1">
        <f t="array" ref="U103">Common_InputFunctions.Utility_DisplayArrayInTable(Fertiliser_SourceData.Fertiliser_Products_Data1(),FertiliserProducts[[#Headers],[Include or Exclude]], 0,4)</f>
        <v/>
      </c>
      <c r="V103" s="65" t="str" cm="1">
        <f t="array" ref="V103">Common_InputFunctions.Utility_DisplayArrayInTable(Fertiliser_SourceData.Fertiliser_Products_Data1(),FertiliserProducts[[#Headers],[Include or Exclude]], 0,4)</f>
        <v/>
      </c>
      <c r="W103" s="65" t="str" cm="1">
        <f t="array" ref="W103">Common_InputFunctions.Utility_DisplayArrayInTable(Fertiliser_SourceData.Fertiliser_Products_Data1(),FertiliserProducts[[#Headers],[Include or Exclude]], 0,4)</f>
        <v/>
      </c>
      <c r="X103" s="65" t="str" cm="1">
        <f t="array" ref="X103">Common_InputFunctions.Utility_DisplayArrayInTable(Fertiliser_SourceData.Fertiliser_Products_Data1(),FertiliserProducts[[#Headers],[Include or Exclude]], 0,4)</f>
        <v/>
      </c>
      <c r="Y103" s="65" t="str" cm="1">
        <f t="array" ref="Y103">Common_InputFunctions.Utility_DisplayArrayInTable(Fertiliser_SourceData.Fertiliser_Products_Data1(),FertiliserProducts[[#Headers],[Include or Exclude]], 0,4)</f>
        <v/>
      </c>
      <c r="Z103" s="65" t="str" cm="1">
        <f t="array" ref="Z103">Common_InputFunctions.Utility_DisplayArrayInTable(Fertiliser_SourceData.Fertiliser_Products_Data1(),FertiliserProducts[[#Headers],[Include or Exclude]], 0,4)</f>
        <v/>
      </c>
      <c r="AA103" s="65" t="str" cm="1">
        <f t="array" ref="AA103">Common_InputFunctions.Utility_DisplayArrayInTable(Fertiliser_SourceData.Fertiliser_Products_Data1(),FertiliserProducts[[#Headers],[Include or Exclude]], 0,4)</f>
        <v/>
      </c>
      <c r="AB103" s="65" t="str" cm="1">
        <f t="array" ref="AB103">Common_InputFunctions.Utility_DisplayArrayInTable(Fertiliser_SourceData.Fertiliser_Products_Data1(),FertiliserProducts[[#Headers],[Include or Exclude]], 0,4)</f>
        <v/>
      </c>
      <c r="AC103" s="65" t="str" cm="1">
        <f t="array" ref="AC103">Common_InputFunctions.Utility_DisplayArrayInTable(Fertiliser_SourceData.Fertiliser_Products_Data1(),FertiliserProducts[[#Headers],[Include or Exclude]], 0,4)</f>
        <v/>
      </c>
      <c r="AD103" s="65" t="str" cm="1">
        <f t="array" ref="AD103">Common_InputFunctions.Utility_DisplayArrayInTable(Fertiliser_SourceData.Fertiliser_Products_Data1(),FertiliserProducts[[#Headers],[Include or Exclude]], 0,4)</f>
        <v/>
      </c>
      <c r="AE103" s="65" t="str" cm="1">
        <f t="array" ref="AE103">Common_InputFunctions.Utility_DisplayArrayInTable(Fertiliser_SourceData.Fertiliser_Products_Data1(),FertiliserProducts[[#Headers],[Include or Exclude]], 0,4)</f>
        <v/>
      </c>
    </row>
    <row r="104" spans="4:31" ht="20.100000000000001" customHeight="1" x14ac:dyDescent="0.25">
      <c r="D104" s="65" t="str" cm="1">
        <f t="array" ref="D104">Common_InputFunctions.Utility_DisplayArrayInTable(Fertiliser_SourceData.Fertiliser_Products_Data1(),FertiliserProducts[[#Headers],[Include or Exclude]], -1)</f>
        <v>Exclude - Not relevant</v>
      </c>
      <c r="E104" s="65" t="str" cm="1">
        <f t="array" ref="E104">Common_InputFunctions.Utility_DisplayArrayInTable(Fertiliser_SourceData.Fertiliser_Products_Data1(),FertiliserProducts[[#Headers],[Include or Exclude]], 0)</f>
        <v>Amount of urea calculated from urea nitrogen amount</v>
      </c>
      <c r="F104" s="65" t="str" cm="1">
        <f t="array" ref="F104">Common_InputFunctions.Utility_DisplayArrayInTable(Fertiliser_SourceData.Fertiliser_Products_Data1(),FertiliserProducts[[#Headers],[Include or Exclude]], 0)</f>
        <v>Campbells fertilisers Australia</v>
      </c>
      <c r="G104" s="65" t="str" cm="1">
        <f t="array" ref="G104">Common_InputFunctions.Utility_DisplayArrayInTable(Fertiliser_SourceData.Fertiliser_Products_Data1(),FertiliserProducts[[#Headers],[Include or Exclude]], 0)</f>
        <v>Boost-It</v>
      </c>
      <c r="H104" s="65" t="str" cm="1">
        <f t="array" ref="H104">Common_InputFunctions.Utility_DisplayArrayInTable(Fertiliser_SourceData.Fertiliser_Products_Data1(),FertiliserProducts[[#Headers],[Include or Exclude]], 0,4)</f>
        <v>kg</v>
      </c>
      <c r="I104" s="65" cm="1">
        <f t="array" ref="I104">Common_InputFunctions.Utility_DisplayArrayInTable(Fertiliser_SourceData.Fertiliser_Products_Data1(),FertiliserProducts[[#Headers],[Include or Exclude]], 0,4)</f>
        <v>1</v>
      </c>
      <c r="J104" s="65" t="str" cm="1">
        <f t="array" ref="J104">Common_InputFunctions.Utility_DisplayArrayInTable(Fertiliser_SourceData.Fertiliser_Products_Data1(),FertiliserProducts[[#Headers],[Include or Exclude]], 0,4)</f>
        <v/>
      </c>
      <c r="K104" s="65" t="str" cm="1">
        <f t="array" ref="K104">Common_InputFunctions.Utility_DisplayArrayInTable(Fertiliser_SourceData.Fertiliser_Products_Data1(),FertiliserProducts[[#Headers],[Include or Exclude]], 0,4)</f>
        <v/>
      </c>
      <c r="L104" s="65" t="str" cm="1">
        <f t="array" ref="L104">Common_InputFunctions.Utility_DisplayArrayInTable(Fertiliser_SourceData.Fertiliser_Products_Data1(),FertiliserProducts[[#Headers],[Include or Exclude]], 0,4)</f>
        <v>Urea</v>
      </c>
      <c r="M104" s="65" cm="1">
        <f t="array" ref="M104">Common_InputFunctions.Utility_DisplayArrayInTable(Fertiliser_SourceData.Fertiliser_Products_Data1(),FertiliserProducts[[#Headers],[Include or Exclude]], 0,4)</f>
        <v>0.52173913000000005</v>
      </c>
      <c r="N104" s="65" t="str" cm="1">
        <f t="array" ref="N104">Common_InputFunctions.Utility_DisplayArrayInTable(Fertiliser_SourceData.Fertiliser_Products_Data1(),FertiliserProducts[[#Headers],[Include or Exclude]], 0,4)</f>
        <v>Potassium - Generic</v>
      </c>
      <c r="O104" s="65" cm="1">
        <f t="array" ref="O104">Common_InputFunctions.Utility_DisplayArrayInTable(Fertiliser_SourceData.Fertiliser_Products_Data1(),FertiliserProducts[[#Headers],[Include or Exclude]], 0,4)</f>
        <v>0.08</v>
      </c>
      <c r="P104" s="65" t="str" cm="1">
        <f t="array" ref="P104">Common_InputFunctions.Utility_DisplayArrayInTable(Fertiliser_SourceData.Fertiliser_Products_Data1(),FertiliserProducts[[#Headers],[Include or Exclude]], 0,4)</f>
        <v>Sulfur - Generic</v>
      </c>
      <c r="Q104" s="65" cm="1">
        <f t="array" ref="Q104">Common_InputFunctions.Utility_DisplayArrayInTable(Fertiliser_SourceData.Fertiliser_Products_Data1(),FertiliserProducts[[#Headers],[Include or Exclude]], 0,4)</f>
        <v>5.2999999999999999E-2</v>
      </c>
      <c r="R104" s="65" t="str" cm="1">
        <f t="array" ref="R104">Common_InputFunctions.Utility_DisplayArrayInTable(Fertiliser_SourceData.Fertiliser_Products_Data1(),FertiliserProducts[[#Headers],[Include or Exclude]], 0,4)</f>
        <v>Phosphorus - Generic</v>
      </c>
      <c r="S104" s="65" cm="1">
        <f t="array" ref="S104">Common_InputFunctions.Utility_DisplayArrayInTable(Fertiliser_SourceData.Fertiliser_Products_Data1(),FertiliserProducts[[#Headers],[Include or Exclude]], 0,4)</f>
        <v>5.1999999999999998E-2</v>
      </c>
      <c r="T104" s="65" t="str" cm="1">
        <f t="array" ref="T104">Common_InputFunctions.Utility_DisplayArrayInTable(Fertiliser_SourceData.Fertiliser_Products_Data1(),FertiliserProducts[[#Headers],[Include or Exclude]], 0,4)</f>
        <v>Magnesium</v>
      </c>
      <c r="U104" s="65" cm="1">
        <f t="array" ref="U104">Common_InputFunctions.Utility_DisplayArrayInTable(Fertiliser_SourceData.Fertiliser_Products_Data1(),FertiliserProducts[[#Headers],[Include or Exclude]], 0,4)</f>
        <v>1.2999999999999999E-2</v>
      </c>
      <c r="V104" s="65" t="str" cm="1">
        <f t="array" ref="V104">Common_InputFunctions.Utility_DisplayArrayInTable(Fertiliser_SourceData.Fertiliser_Products_Data1(),FertiliserProducts[[#Headers],[Include or Exclude]], 0,4)</f>
        <v>Zinc</v>
      </c>
      <c r="W104" s="65" cm="1">
        <f t="array" ref="W104">Common_InputFunctions.Utility_DisplayArrayInTable(Fertiliser_SourceData.Fertiliser_Products_Data1(),FertiliserProducts[[#Headers],[Include or Exclude]], 0,4)</f>
        <v>2E-3</v>
      </c>
      <c r="X104" s="65" t="str" cm="1">
        <f t="array" ref="X104">Common_InputFunctions.Utility_DisplayArrayInTable(Fertiliser_SourceData.Fertiliser_Products_Data1(),FertiliserProducts[[#Headers],[Include or Exclude]], 0,4)</f>
        <v>Manganese</v>
      </c>
      <c r="Y104" s="65" cm="1">
        <f t="array" ref="Y104">Common_InputFunctions.Utility_DisplayArrayInTable(Fertiliser_SourceData.Fertiliser_Products_Data1(),FertiliserProducts[[#Headers],[Include or Exclude]], 0,4)</f>
        <v>3.5000000000000001E-3</v>
      </c>
      <c r="Z104" s="65" t="str" cm="1">
        <f t="array" ref="Z104">Common_InputFunctions.Utility_DisplayArrayInTable(Fertiliser_SourceData.Fertiliser_Products_Data1(),FertiliserProducts[[#Headers],[Include or Exclude]], 0,4)</f>
        <v>Iron</v>
      </c>
      <c r="AA104" s="65" cm="1">
        <f t="array" ref="AA104">Common_InputFunctions.Utility_DisplayArrayInTable(Fertiliser_SourceData.Fertiliser_Products_Data1(),FertiliserProducts[[#Headers],[Include or Exclude]], 0,4)</f>
        <v>1.2999999999999999E-3</v>
      </c>
      <c r="AB104" s="65" t="str" cm="1">
        <f t="array" ref="AB104">Common_InputFunctions.Utility_DisplayArrayInTable(Fertiliser_SourceData.Fertiliser_Products_Data1(),FertiliserProducts[[#Headers],[Include or Exclude]], 0,4)</f>
        <v>Copper</v>
      </c>
      <c r="AC104" s="65" cm="1">
        <f t="array" ref="AC104">Common_InputFunctions.Utility_DisplayArrayInTable(Fertiliser_SourceData.Fertiliser_Products_Data1(),FertiliserProducts[[#Headers],[Include or Exclude]], 0,4)</f>
        <v>6.9999999999999999E-4</v>
      </c>
      <c r="AD104" s="65" t="str" cm="1">
        <f t="array" ref="AD104">Common_InputFunctions.Utility_DisplayArrayInTable(Fertiliser_SourceData.Fertiliser_Products_Data1(),FertiliserProducts[[#Headers],[Include or Exclude]], 0,4)</f>
        <v>Boron</v>
      </c>
      <c r="AE104" s="65" cm="1">
        <f t="array" ref="AE104">Common_InputFunctions.Utility_DisplayArrayInTable(Fertiliser_SourceData.Fertiliser_Products_Data1(),FertiliserProducts[[#Headers],[Include or Exclude]], 0,4)</f>
        <v>6.9999999999999999E-4</v>
      </c>
    </row>
    <row r="105" spans="4:31" ht="20.100000000000001" customHeight="1" x14ac:dyDescent="0.25">
      <c r="D105" s="65" t="str" cm="1">
        <f t="array" ref="D105">Common_InputFunctions.Utility_DisplayArrayInTable(Fertiliser_SourceData.Fertiliser_Products_Data1(),FertiliserProducts[[#Headers],[Include or Exclude]], -1)</f>
        <v>Exclude - Not relevant</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Campbells fertilisers Australia</v>
      </c>
      <c r="G105" s="65" t="str" cm="1">
        <f t="array" ref="G105">Common_InputFunctions.Utility_DisplayArrayInTable(Fertiliser_SourceData.Fertiliser_Products_Data1(),FertiliserProducts[[#Headers],[Include or Exclude]], 0)</f>
        <v>Boroplus</v>
      </c>
      <c r="H105" s="65" t="str" cm="1">
        <f t="array" ref="H105">Common_InputFunctions.Utility_DisplayArrayInTable(Fertiliser_SourceData.Fertiliser_Products_Data1(),FertiliserProducts[[#Headers],[Include or Exclude]], 0,4)</f>
        <v/>
      </c>
      <c r="I105" s="65" t="str" cm="1">
        <f t="array" ref="I105">Common_InputFunctions.Utility_DisplayArrayInTable(Fertiliser_SourceData.Fertiliser_Products_Data1(),FertiliserProducts[[#Headers],[Include or Exclude]], 0,4)</f>
        <v/>
      </c>
      <c r="J105" s="65" t="str" cm="1">
        <f t="array" ref="J105">Common_InputFunctions.Utility_DisplayArrayInTable(Fertiliser_SourceData.Fertiliser_Products_Data1(),FertiliserProducts[[#Headers],[Include or Exclude]], 0,4)</f>
        <v/>
      </c>
      <c r="K105" s="65" t="str" cm="1">
        <f t="array" ref="K105">Common_InputFunctions.Utility_DisplayArrayInTable(Fertiliser_SourceData.Fertiliser_Products_Data1(),FertiliserProducts[[#Headers],[Include or Exclude]], 0,4)</f>
        <v/>
      </c>
      <c r="L105" s="65" t="str" cm="1">
        <f t="array" ref="L105">Common_InputFunctions.Utility_DisplayArrayInTable(Fertiliser_SourceData.Fertiliser_Products_Data1(),FertiliserProducts[[#Headers],[Include or Exclude]], 0,4)</f>
        <v/>
      </c>
      <c r="M105" s="65" t="str" cm="1">
        <f t="array" ref="M105">Common_InputFunctions.Utility_DisplayArrayInTable(Fertiliser_SourceData.Fertiliser_Products_Data1(),FertiliserProducts[[#Headers],[Include or Exclude]], 0,4)</f>
        <v/>
      </c>
      <c r="N105" s="65" t="str" cm="1">
        <f t="array" ref="N105">Common_InputFunctions.Utility_DisplayArrayInTable(Fertiliser_SourceData.Fertiliser_Products_Data1(),FertiliserProducts[[#Headers],[Include or Exclude]], 0,4)</f>
        <v/>
      </c>
      <c r="O105" s="65" t="str" cm="1">
        <f t="array" ref="O105">Common_InputFunctions.Utility_DisplayArrayInTable(Fertiliser_SourceData.Fertiliser_Products_Data1(),FertiliserProducts[[#Headers],[Include or Exclude]], 0,4)</f>
        <v/>
      </c>
      <c r="P105" s="65" t="str" cm="1">
        <f t="array" ref="P105">Common_InputFunctions.Utility_DisplayArrayInTable(Fertiliser_SourceData.Fertiliser_Products_Data1(),FertiliserProducts[[#Headers],[Include or Exclude]], 0,4)</f>
        <v/>
      </c>
      <c r="Q105" s="65" t="str" cm="1">
        <f t="array" ref="Q105">Common_InputFunctions.Utility_DisplayArrayInTable(Fertiliser_SourceData.Fertiliser_Products_Data1(),FertiliserProducts[[#Headers],[Include or Exclude]], 0,4)</f>
        <v/>
      </c>
      <c r="R105" s="65" t="str" cm="1">
        <f t="array" ref="R105">Common_InputFunctions.Utility_DisplayArrayInTable(Fertiliser_SourceData.Fertiliser_Products_Data1(),FertiliserProducts[[#Headers],[Include or Exclude]], 0,4)</f>
        <v/>
      </c>
      <c r="S105" s="65" t="str" cm="1">
        <f t="array" ref="S105">Common_InputFunctions.Utility_DisplayArrayInTable(Fertiliser_SourceData.Fertiliser_Products_Data1(),FertiliserProducts[[#Headers],[Include or Exclude]], 0,4)</f>
        <v/>
      </c>
      <c r="T105" s="65" t="str" cm="1">
        <f t="array" ref="T105">Common_InputFunctions.Utility_DisplayArrayInTable(Fertiliser_SourceData.Fertiliser_Products_Data1(),FertiliserProducts[[#Headers],[Include or Exclude]], 0,4)</f>
        <v/>
      </c>
      <c r="U105" s="65" t="str" cm="1">
        <f t="array" ref="U105">Common_InputFunctions.Utility_DisplayArrayInTable(Fertiliser_SourceData.Fertiliser_Products_Data1(),FertiliserProducts[[#Headers],[Include or Exclude]], 0,4)</f>
        <v/>
      </c>
      <c r="V105" s="65" t="str" cm="1">
        <f t="array" ref="V105">Common_InputFunctions.Utility_DisplayArrayInTable(Fertiliser_SourceData.Fertiliser_Products_Data1(),FertiliserProducts[[#Headers],[Include or Exclude]], 0,4)</f>
        <v/>
      </c>
      <c r="W105" s="65" t="str" cm="1">
        <f t="array" ref="W105">Common_InputFunctions.Utility_DisplayArrayInTable(Fertiliser_SourceData.Fertiliser_Products_Data1(),FertiliserProducts[[#Headers],[Include or Exclude]], 0,4)</f>
        <v/>
      </c>
      <c r="X105" s="65" t="str" cm="1">
        <f t="array" ref="X105">Common_InputFunctions.Utility_DisplayArrayInTable(Fertiliser_SourceData.Fertiliser_Products_Data1(),FertiliserProducts[[#Headers],[Include or Exclude]], 0,4)</f>
        <v/>
      </c>
      <c r="Y105" s="65" t="str" cm="1">
        <f t="array" ref="Y105">Common_InputFunctions.Utility_DisplayArrayInTable(Fertiliser_SourceData.Fertiliser_Products_Data1(),FertiliserProducts[[#Headers],[Include or Exclude]], 0,4)</f>
        <v/>
      </c>
      <c r="Z105" s="65" t="str" cm="1">
        <f t="array" ref="Z105">Common_InputFunctions.Utility_DisplayArrayInTable(Fertiliser_SourceData.Fertiliser_Products_Data1(),FertiliserProducts[[#Headers],[Include or Exclude]], 0,4)</f>
        <v/>
      </c>
      <c r="AA105" s="65" t="str" cm="1">
        <f t="array" ref="AA105">Common_InputFunctions.Utility_DisplayArrayInTable(Fertiliser_SourceData.Fertiliser_Products_Data1(),FertiliserProducts[[#Headers],[Include or Exclude]], 0,4)</f>
        <v/>
      </c>
      <c r="AB105" s="65" t="str" cm="1">
        <f t="array" ref="AB105">Common_InputFunctions.Utility_DisplayArrayInTable(Fertiliser_SourceData.Fertiliser_Products_Data1(),FertiliserProducts[[#Headers],[Include or Exclude]], 0,4)</f>
        <v/>
      </c>
      <c r="AC105" s="65" t="str" cm="1">
        <f t="array" ref="AC105">Common_InputFunctions.Utility_DisplayArrayInTable(Fertiliser_SourceData.Fertiliser_Products_Data1(),FertiliserProducts[[#Headers],[Include or Exclude]], 0,4)</f>
        <v/>
      </c>
      <c r="AD105" s="65" t="str" cm="1">
        <f t="array" ref="AD105">Common_InputFunctions.Utility_DisplayArrayInTable(Fertiliser_SourceData.Fertiliser_Products_Data1(),FertiliserProducts[[#Headers],[Include or Exclude]], 0,4)</f>
        <v/>
      </c>
      <c r="AE105" s="65" t="str" cm="1">
        <f t="array" ref="AE105">Common_InputFunctions.Utility_DisplayArrayInTable(Fertiliser_SourceData.Fertiliser_Products_Data1(),FertiliserProducts[[#Headers],[Include or Exclude]], 0,4)</f>
        <v/>
      </c>
    </row>
    <row r="106" spans="4:31" ht="20.100000000000001" customHeight="1" x14ac:dyDescent="0.25">
      <c r="D106" s="65" t="str" cm="1">
        <f t="array" ref="D106">Common_InputFunctions.Utility_DisplayArrayInTable(Fertiliser_SourceData.Fertiliser_Products_Data1(),FertiliserProducts[[#Headers],[Include or Exclude]], -1)</f>
        <v>Exclude - Not relevant</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Campbells fertilisers Australia</v>
      </c>
      <c r="G106" s="65" t="str" cm="1">
        <f t="array" ref="G106">Common_InputFunctions.Utility_DisplayArrayInTable(Fertiliser_SourceData.Fertiliser_Products_Data1(),FertiliserProducts[[#Headers],[Include or Exclude]], 0)</f>
        <v>Brevisol Range</v>
      </c>
      <c r="H106" s="65" t="str" cm="1">
        <f t="array" ref="H106">Common_InputFunctions.Utility_DisplayArrayInTable(Fertiliser_SourceData.Fertiliser_Products_Data1(),FertiliserProducts[[#Headers],[Include or Exclude]], 0,4)</f>
        <v/>
      </c>
      <c r="I106" s="65" t="str" cm="1">
        <f t="array" ref="I106">Common_InputFunctions.Utility_DisplayArrayInTable(Fertiliser_SourceData.Fertiliser_Products_Data1(),FertiliserProducts[[#Headers],[Include or Exclude]], 0,4)</f>
        <v/>
      </c>
      <c r="J106" s="65" t="str" cm="1">
        <f t="array" ref="J106">Common_InputFunctions.Utility_DisplayArrayInTable(Fertiliser_SourceData.Fertiliser_Products_Data1(),FertiliserProducts[[#Headers],[Include or Exclude]], 0,4)</f>
        <v/>
      </c>
      <c r="K106" s="65" t="str" cm="1">
        <f t="array" ref="K106">Common_InputFunctions.Utility_DisplayArrayInTable(Fertiliser_SourceData.Fertiliser_Products_Data1(),FertiliserProducts[[#Headers],[Include or Exclude]], 0,4)</f>
        <v/>
      </c>
      <c r="L106" s="65" t="str" cm="1">
        <f t="array" ref="L106">Common_InputFunctions.Utility_DisplayArrayInTable(Fertiliser_SourceData.Fertiliser_Products_Data1(),FertiliserProducts[[#Headers],[Include or Exclude]], 0,4)</f>
        <v/>
      </c>
      <c r="M106" s="65" t="str" cm="1">
        <f t="array" ref="M106">Common_InputFunctions.Utility_DisplayArrayInTable(Fertiliser_SourceData.Fertiliser_Products_Data1(),FertiliserProducts[[#Headers],[Include or Exclude]], 0,4)</f>
        <v/>
      </c>
      <c r="N106" s="65" t="str" cm="1">
        <f t="array" ref="N106">Common_InputFunctions.Utility_DisplayArrayInTable(Fertiliser_SourceData.Fertiliser_Products_Data1(),FertiliserProducts[[#Headers],[Include or Exclude]], 0,4)</f>
        <v/>
      </c>
      <c r="O106" s="65" t="str" cm="1">
        <f t="array" ref="O106">Common_InputFunctions.Utility_DisplayArrayInTable(Fertiliser_SourceData.Fertiliser_Products_Data1(),FertiliserProducts[[#Headers],[Include or Exclude]], 0,4)</f>
        <v/>
      </c>
      <c r="P106" s="65" t="str" cm="1">
        <f t="array" ref="P106">Common_InputFunctions.Utility_DisplayArrayInTable(Fertiliser_SourceData.Fertiliser_Products_Data1(),FertiliserProducts[[#Headers],[Include or Exclude]], 0,4)</f>
        <v/>
      </c>
      <c r="Q106" s="65" t="str" cm="1">
        <f t="array" ref="Q106">Common_InputFunctions.Utility_DisplayArrayInTable(Fertiliser_SourceData.Fertiliser_Products_Data1(),FertiliserProducts[[#Headers],[Include or Exclude]], 0,4)</f>
        <v/>
      </c>
      <c r="R106" s="65" t="str" cm="1">
        <f t="array" ref="R106">Common_InputFunctions.Utility_DisplayArrayInTable(Fertiliser_SourceData.Fertiliser_Products_Data1(),FertiliserProducts[[#Headers],[Include or Exclude]], 0,4)</f>
        <v/>
      </c>
      <c r="S106" s="65" t="str" cm="1">
        <f t="array" ref="S106">Common_InputFunctions.Utility_DisplayArrayInTable(Fertiliser_SourceData.Fertiliser_Products_Data1(),FertiliserProducts[[#Headers],[Include or Exclude]], 0,4)</f>
        <v/>
      </c>
      <c r="T106" s="65" t="str" cm="1">
        <f t="array" ref="T106">Common_InputFunctions.Utility_DisplayArrayInTable(Fertiliser_SourceData.Fertiliser_Products_Data1(),FertiliserProducts[[#Headers],[Include or Exclude]], 0,4)</f>
        <v/>
      </c>
      <c r="U106" s="65" t="str" cm="1">
        <f t="array" ref="U106">Common_InputFunctions.Utility_DisplayArrayInTable(Fertiliser_SourceData.Fertiliser_Products_Data1(),FertiliserProducts[[#Headers],[Include or Exclude]], 0,4)</f>
        <v/>
      </c>
      <c r="V106" s="65" t="str" cm="1">
        <f t="array" ref="V106">Common_InputFunctions.Utility_DisplayArrayInTable(Fertiliser_SourceData.Fertiliser_Products_Data1(),FertiliserProducts[[#Headers],[Include or Exclude]], 0,4)</f>
        <v/>
      </c>
      <c r="W106" s="65" t="str" cm="1">
        <f t="array" ref="W106">Common_InputFunctions.Utility_DisplayArrayInTable(Fertiliser_SourceData.Fertiliser_Products_Data1(),FertiliserProducts[[#Headers],[Include or Exclude]], 0,4)</f>
        <v/>
      </c>
      <c r="X106" s="65" t="str" cm="1">
        <f t="array" ref="X106">Common_InputFunctions.Utility_DisplayArrayInTable(Fertiliser_SourceData.Fertiliser_Products_Data1(),FertiliserProducts[[#Headers],[Include or Exclude]], 0,4)</f>
        <v/>
      </c>
      <c r="Y106" s="65" t="str" cm="1">
        <f t="array" ref="Y106">Common_InputFunctions.Utility_DisplayArrayInTable(Fertiliser_SourceData.Fertiliser_Products_Data1(),FertiliserProducts[[#Headers],[Include or Exclude]], 0,4)</f>
        <v/>
      </c>
      <c r="Z106" s="65" t="str" cm="1">
        <f t="array" ref="Z106">Common_InputFunctions.Utility_DisplayArrayInTable(Fertiliser_SourceData.Fertiliser_Products_Data1(),FertiliserProducts[[#Headers],[Include or Exclude]], 0,4)</f>
        <v/>
      </c>
      <c r="AA106" s="65" t="str" cm="1">
        <f t="array" ref="AA106">Common_InputFunctions.Utility_DisplayArrayInTable(Fertiliser_SourceData.Fertiliser_Products_Data1(),FertiliserProducts[[#Headers],[Include or Exclude]], 0,4)</f>
        <v/>
      </c>
      <c r="AB106" s="65" t="str" cm="1">
        <f t="array" ref="AB106">Common_InputFunctions.Utility_DisplayArrayInTable(Fertiliser_SourceData.Fertiliser_Products_Data1(),FertiliserProducts[[#Headers],[Include or Exclude]], 0,4)</f>
        <v/>
      </c>
      <c r="AC106" s="65" t="str" cm="1">
        <f t="array" ref="AC106">Common_InputFunctions.Utility_DisplayArrayInTable(Fertiliser_SourceData.Fertiliser_Products_Data1(),FertiliserProducts[[#Headers],[Include or Exclude]], 0,4)</f>
        <v/>
      </c>
      <c r="AD106" s="65" t="str" cm="1">
        <f t="array" ref="AD106">Common_InputFunctions.Utility_DisplayArrayInTable(Fertiliser_SourceData.Fertiliser_Products_Data1(),FertiliserProducts[[#Headers],[Include or Exclude]], 0,4)</f>
        <v/>
      </c>
      <c r="AE106" s="65" t="str" cm="1">
        <f t="array" ref="AE106">Common_InputFunctions.Utility_DisplayArrayInTable(Fertiliser_SourceData.Fertiliser_Products_Data1(),FertiliserProducts[[#Headers],[Include or Exclude]], 0,4)</f>
        <v/>
      </c>
    </row>
    <row r="107" spans="4:31" ht="20.100000000000001" customHeight="1" x14ac:dyDescent="0.25">
      <c r="D107" s="65" t="str" cm="1">
        <f t="array" ref="D107">Common_InputFunctions.Utility_DisplayArrayInTable(Fertiliser_SourceData.Fertiliser_Products_Data1(),FertiliserProducts[[#Headers],[Include or Exclude]], -1)</f>
        <v>Include</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Campbells fertilisers Australia</v>
      </c>
      <c r="G107" s="65" t="str" cm="1">
        <f t="array" ref="G107">Common_InputFunctions.Utility_DisplayArrayInTable(Fertiliser_SourceData.Fertiliser_Products_Data1(),FertiliserProducts[[#Headers],[Include or Exclude]], 0)</f>
        <v>Brexil Line</v>
      </c>
      <c r="H107" s="65" t="str" cm="1">
        <f t="array" ref="H107">Common_InputFunctions.Utility_DisplayArrayInTable(Fertiliser_SourceData.Fertiliser_Products_Data1(),FertiliserProducts[[#Headers],[Include or Exclude]], 0,4)</f>
        <v/>
      </c>
      <c r="I107" s="65" t="str" cm="1">
        <f t="array" ref="I107">Common_InputFunctions.Utility_DisplayArrayInTable(Fertiliser_SourceData.Fertiliser_Products_Data1(),FertiliserProducts[[#Headers],[Include or Exclude]], 0,4)</f>
        <v/>
      </c>
      <c r="J107" s="65" t="str" cm="1">
        <f t="array" ref="J107">Common_InputFunctions.Utility_DisplayArrayInTable(Fertiliser_SourceData.Fertiliser_Products_Data1(),FertiliserProducts[[#Headers],[Include or Exclude]], 0,4)</f>
        <v/>
      </c>
      <c r="K107" s="65" t="str" cm="1">
        <f t="array" ref="K107">Common_InputFunctions.Utility_DisplayArrayInTable(Fertiliser_SourceData.Fertiliser_Products_Data1(),FertiliserProducts[[#Headers],[Include or Exclude]], 0,4)</f>
        <v/>
      </c>
      <c r="L107" s="65" t="str" cm="1">
        <f t="array" ref="L107">Common_InputFunctions.Utility_DisplayArrayInTable(Fertiliser_SourceData.Fertiliser_Products_Data1(),FertiliserProducts[[#Headers],[Include or Exclude]], 0,4)</f>
        <v/>
      </c>
      <c r="M107" s="65" t="str" cm="1">
        <f t="array" ref="M107">Common_InputFunctions.Utility_DisplayArrayInTable(Fertiliser_SourceData.Fertiliser_Products_Data1(),FertiliserProducts[[#Headers],[Include or Exclude]], 0,4)</f>
        <v/>
      </c>
      <c r="N107" s="65" t="str" cm="1">
        <f t="array" ref="N107">Common_InputFunctions.Utility_DisplayArrayInTable(Fertiliser_SourceData.Fertiliser_Products_Data1(),FertiliserProducts[[#Headers],[Include or Exclude]], 0,4)</f>
        <v/>
      </c>
      <c r="O107" s="65" t="str" cm="1">
        <f t="array" ref="O107">Common_InputFunctions.Utility_DisplayArrayInTable(Fertiliser_SourceData.Fertiliser_Products_Data1(),FertiliserProducts[[#Headers],[Include or Exclude]], 0,4)</f>
        <v/>
      </c>
      <c r="P107" s="65" t="str" cm="1">
        <f t="array" ref="P107">Common_InputFunctions.Utility_DisplayArrayInTable(Fertiliser_SourceData.Fertiliser_Products_Data1(),FertiliserProducts[[#Headers],[Include or Exclude]], 0,4)</f>
        <v/>
      </c>
      <c r="Q107" s="65" t="str" cm="1">
        <f t="array" ref="Q107">Common_InputFunctions.Utility_DisplayArrayInTable(Fertiliser_SourceData.Fertiliser_Products_Data1(),FertiliserProducts[[#Headers],[Include or Exclude]], 0,4)</f>
        <v/>
      </c>
      <c r="R107" s="65" t="str" cm="1">
        <f t="array" ref="R107">Common_InputFunctions.Utility_DisplayArrayInTable(Fertiliser_SourceData.Fertiliser_Products_Data1(),FertiliserProducts[[#Headers],[Include or Exclude]], 0,4)</f>
        <v/>
      </c>
      <c r="S107" s="65" t="str" cm="1">
        <f t="array" ref="S107">Common_InputFunctions.Utility_DisplayArrayInTable(Fertiliser_SourceData.Fertiliser_Products_Data1(),FertiliserProducts[[#Headers],[Include or Exclude]], 0,4)</f>
        <v/>
      </c>
      <c r="T107" s="65" t="str" cm="1">
        <f t="array" ref="T107">Common_InputFunctions.Utility_DisplayArrayInTable(Fertiliser_SourceData.Fertiliser_Products_Data1(),FertiliserProducts[[#Headers],[Include or Exclude]], 0,4)</f>
        <v/>
      </c>
      <c r="U107" s="65" t="str" cm="1">
        <f t="array" ref="U107">Common_InputFunctions.Utility_DisplayArrayInTable(Fertiliser_SourceData.Fertiliser_Products_Data1(),FertiliserProducts[[#Headers],[Include or Exclude]], 0,4)</f>
        <v/>
      </c>
      <c r="V107" s="65" t="str" cm="1">
        <f t="array" ref="V107">Common_InputFunctions.Utility_DisplayArrayInTable(Fertiliser_SourceData.Fertiliser_Products_Data1(),FertiliserProducts[[#Headers],[Include or Exclude]], 0,4)</f>
        <v/>
      </c>
      <c r="W107" s="65" t="str" cm="1">
        <f t="array" ref="W107">Common_InputFunctions.Utility_DisplayArrayInTable(Fertiliser_SourceData.Fertiliser_Products_Data1(),FertiliserProducts[[#Headers],[Include or Exclude]], 0,4)</f>
        <v/>
      </c>
      <c r="X107" s="65" t="str" cm="1">
        <f t="array" ref="X107">Common_InputFunctions.Utility_DisplayArrayInTable(Fertiliser_SourceData.Fertiliser_Products_Data1(),FertiliserProducts[[#Headers],[Include or Exclude]], 0,4)</f>
        <v/>
      </c>
      <c r="Y107" s="65" t="str" cm="1">
        <f t="array" ref="Y107">Common_InputFunctions.Utility_DisplayArrayInTable(Fertiliser_SourceData.Fertiliser_Products_Data1(),FertiliserProducts[[#Headers],[Include or Exclude]], 0,4)</f>
        <v/>
      </c>
      <c r="Z107" s="65" t="str" cm="1">
        <f t="array" ref="Z107">Common_InputFunctions.Utility_DisplayArrayInTable(Fertiliser_SourceData.Fertiliser_Products_Data1(),FertiliserProducts[[#Headers],[Include or Exclude]], 0,4)</f>
        <v/>
      </c>
      <c r="AA107" s="65" t="str" cm="1">
        <f t="array" ref="AA107">Common_InputFunctions.Utility_DisplayArrayInTable(Fertiliser_SourceData.Fertiliser_Products_Data1(),FertiliserProducts[[#Headers],[Include or Exclude]], 0,4)</f>
        <v/>
      </c>
      <c r="AB107" s="65" t="str" cm="1">
        <f t="array" ref="AB107">Common_InputFunctions.Utility_DisplayArrayInTable(Fertiliser_SourceData.Fertiliser_Products_Data1(),FertiliserProducts[[#Headers],[Include or Exclude]], 0,4)</f>
        <v/>
      </c>
      <c r="AC107" s="65" t="str" cm="1">
        <f t="array" ref="AC107">Common_InputFunctions.Utility_DisplayArrayInTable(Fertiliser_SourceData.Fertiliser_Products_Data1(),FertiliserProducts[[#Headers],[Include or Exclude]], 0,4)</f>
        <v/>
      </c>
      <c r="AD107" s="65" t="str" cm="1">
        <f t="array" ref="AD107">Common_InputFunctions.Utility_DisplayArrayInTable(Fertiliser_SourceData.Fertiliser_Products_Data1(),FertiliserProducts[[#Headers],[Include or Exclude]], 0,4)</f>
        <v/>
      </c>
      <c r="AE107" s="65" t="str" cm="1">
        <f t="array" ref="AE107">Common_InputFunctions.Utility_DisplayArrayInTable(Fertiliser_SourceData.Fertiliser_Products_Data1(),FertiliserProducts[[#Headers],[Include or Exclude]], 0,4)</f>
        <v/>
      </c>
    </row>
    <row r="108" spans="4:31" ht="20.100000000000001" customHeight="1" x14ac:dyDescent="0.25">
      <c r="D108" s="65" t="str" cm="1">
        <f t="array" ref="D108">Common_InputFunctions.Utility_DisplayArrayInTable(Fertiliser_SourceData.Fertiliser_Products_Data1(),FertiliserProducts[[#Headers],[Include or Exclude]], -1)</f>
        <v>Exclude - Absent ingredients &gt; 2%</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Campbells fertilisers Australia</v>
      </c>
      <c r="G108" s="65" t="str" cm="1">
        <f t="array" ref="G108">Common_InputFunctions.Utility_DisplayArrayInTable(Fertiliser_SourceData.Fertiliser_Products_Data1(),FertiliserProducts[[#Headers],[Include or Exclude]], 0)</f>
        <v>Bronze</v>
      </c>
      <c r="H108" s="65" t="str" cm="1">
        <f t="array" ref="H108">Common_InputFunctions.Utility_DisplayArrayInTable(Fertiliser_SourceData.Fertiliser_Products_Data1(),FertiliserProducts[[#Headers],[Include or Exclude]], 0,4)</f>
        <v>kg</v>
      </c>
      <c r="I108" s="65" t="str" cm="1">
        <f t="array" ref="I108">Common_InputFunctions.Utility_DisplayArrayInTable(Fertiliser_SourceData.Fertiliser_Products_Data1(),FertiliserProducts[[#Headers],[Include or Exclude]], 0,4)</f>
        <v/>
      </c>
      <c r="J108" s="65" t="str" cm="1">
        <f t="array" ref="J108">Common_InputFunctions.Utility_DisplayArrayInTable(Fertiliser_SourceData.Fertiliser_Products_Data1(),FertiliserProducts[[#Headers],[Include or Exclude]], 0,4)</f>
        <v/>
      </c>
      <c r="K108" s="65" t="str" cm="1">
        <f t="array" ref="K108">Common_InputFunctions.Utility_DisplayArrayInTable(Fertiliser_SourceData.Fertiliser_Products_Data1(),FertiliserProducts[[#Headers],[Include or Exclude]], 0,4)</f>
        <v/>
      </c>
      <c r="L108" s="65" t="str" cm="1">
        <f t="array" ref="L108">Common_InputFunctions.Utility_DisplayArrayInTable(Fertiliser_SourceData.Fertiliser_Products_Data1(),FertiliserProducts[[#Headers],[Include or Exclude]], 0,4)</f>
        <v>Muriate of Potash (MOP)</v>
      </c>
      <c r="M108" s="65" cm="1">
        <f t="array" ref="M108">Common_InputFunctions.Utility_DisplayArrayInTable(Fertiliser_SourceData.Fertiliser_Products_Data1(),FertiliserProducts[[#Headers],[Include or Exclude]], 0,4)</f>
        <v>0.23200000000000001</v>
      </c>
      <c r="N108" s="65" t="str" cm="1">
        <f t="array" ref="N108">Common_InputFunctions.Utility_DisplayArrayInTable(Fertiliser_SourceData.Fertiliser_Products_Data1(),FertiliserProducts[[#Headers],[Include or Exclude]], 0,4)</f>
        <v>Nitrogen - Generic</v>
      </c>
      <c r="O108" s="65" cm="1">
        <f t="array" ref="O108">Common_InputFunctions.Utility_DisplayArrayInTable(Fertiliser_SourceData.Fertiliser_Products_Data1(),FertiliserProducts[[#Headers],[Include or Exclude]], 0,4)</f>
        <v>0.17</v>
      </c>
      <c r="P108" s="65" t="str" cm="1">
        <f t="array" ref="P108">Common_InputFunctions.Utility_DisplayArrayInTable(Fertiliser_SourceData.Fertiliser_Products_Data1(),FertiliserProducts[[#Headers],[Include or Exclude]], 0,4)</f>
        <v>Sulfur - Generic</v>
      </c>
      <c r="Q108" s="65" cm="1">
        <f t="array" ref="Q108">Common_InputFunctions.Utility_DisplayArrayInTable(Fertiliser_SourceData.Fertiliser_Products_Data1(),FertiliserProducts[[#Headers],[Include or Exclude]], 0,4)</f>
        <v>5.0000000000000001E-3</v>
      </c>
      <c r="R108" s="65" t="str" cm="1">
        <f t="array" ref="R108">Common_InputFunctions.Utility_DisplayArrayInTable(Fertiliser_SourceData.Fertiliser_Products_Data1(),FertiliserProducts[[#Headers],[Include or Exclude]], 0,4)</f>
        <v>Magnesium</v>
      </c>
      <c r="S108" s="65" cm="1">
        <f t="array" ref="S108">Common_InputFunctions.Utility_DisplayArrayInTable(Fertiliser_SourceData.Fertiliser_Products_Data1(),FertiliserProducts[[#Headers],[Include or Exclude]], 0,4)</f>
        <v>2.3999999999999998E-3</v>
      </c>
      <c r="T108" s="65" t="str" cm="1">
        <f t="array" ref="T108">Common_InputFunctions.Utility_DisplayArrayInTable(Fertiliser_SourceData.Fertiliser_Products_Data1(),FertiliserProducts[[#Headers],[Include or Exclude]], 0,4)</f>
        <v>Phosphorus - Generic</v>
      </c>
      <c r="U108" s="65" cm="1">
        <f t="array" ref="U108">Common_InputFunctions.Utility_DisplayArrayInTable(Fertiliser_SourceData.Fertiliser_Products_Data1(),FertiliserProducts[[#Headers],[Include or Exclude]], 0,4)</f>
        <v>4.0000000000000002E-4</v>
      </c>
      <c r="V108" s="65" t="str" cm="1">
        <f t="array" ref="V108">Common_InputFunctions.Utility_DisplayArrayInTable(Fertiliser_SourceData.Fertiliser_Products_Data1(),FertiliserProducts[[#Headers],[Include or Exclude]], 0,4)</f>
        <v/>
      </c>
      <c r="W108" s="65" t="str" cm="1">
        <f t="array" ref="W108">Common_InputFunctions.Utility_DisplayArrayInTable(Fertiliser_SourceData.Fertiliser_Products_Data1(),FertiliserProducts[[#Headers],[Include or Exclude]], 0,4)</f>
        <v/>
      </c>
      <c r="X108" s="65" t="str" cm="1">
        <f t="array" ref="X108">Common_InputFunctions.Utility_DisplayArrayInTable(Fertiliser_SourceData.Fertiliser_Products_Data1(),FertiliserProducts[[#Headers],[Include or Exclude]], 0,4)</f>
        <v/>
      </c>
      <c r="Y108" s="65" t="str" cm="1">
        <f t="array" ref="Y108">Common_InputFunctions.Utility_DisplayArrayInTable(Fertiliser_SourceData.Fertiliser_Products_Data1(),FertiliserProducts[[#Headers],[Include or Exclude]], 0,4)</f>
        <v/>
      </c>
      <c r="Z108" s="65" t="str" cm="1">
        <f t="array" ref="Z108">Common_InputFunctions.Utility_DisplayArrayInTable(Fertiliser_SourceData.Fertiliser_Products_Data1(),FertiliserProducts[[#Headers],[Include or Exclude]], 0,4)</f>
        <v/>
      </c>
      <c r="AA108" s="65" t="str" cm="1">
        <f t="array" ref="AA108">Common_InputFunctions.Utility_DisplayArrayInTable(Fertiliser_SourceData.Fertiliser_Products_Data1(),FertiliserProducts[[#Headers],[Include or Exclude]], 0,4)</f>
        <v/>
      </c>
      <c r="AB108" s="65" t="str" cm="1">
        <f t="array" ref="AB108">Common_InputFunctions.Utility_DisplayArrayInTable(Fertiliser_SourceData.Fertiliser_Products_Data1(),FertiliserProducts[[#Headers],[Include or Exclude]], 0,4)</f>
        <v/>
      </c>
      <c r="AC108" s="65" t="str" cm="1">
        <f t="array" ref="AC108">Common_InputFunctions.Utility_DisplayArrayInTable(Fertiliser_SourceData.Fertiliser_Products_Data1(),FertiliserProducts[[#Headers],[Include or Exclude]], 0,4)</f>
        <v/>
      </c>
      <c r="AD108" s="65" t="str" cm="1">
        <f t="array" ref="AD108">Common_InputFunctions.Utility_DisplayArrayInTable(Fertiliser_SourceData.Fertiliser_Products_Data1(),FertiliserProducts[[#Headers],[Include or Exclude]], 0,4)</f>
        <v/>
      </c>
      <c r="AE108" s="65" t="str" cm="1">
        <f t="array" ref="AE108">Common_InputFunctions.Utility_DisplayArrayInTable(Fertiliser_SourceData.Fertiliser_Products_Data1(),FertiliserProducts[[#Headers],[Include or Exclude]], 0,4)</f>
        <v/>
      </c>
    </row>
    <row r="109" spans="4:31" ht="20.100000000000001" customHeight="1" x14ac:dyDescent="0.25">
      <c r="D109" s="65" t="str" cm="1">
        <f t="array" ref="D109">Common_InputFunctions.Utility_DisplayArrayInTable(Fertiliser_SourceData.Fertiliser_Products_Data1(),FertiliserProducts[[#Headers],[Include or Exclude]], -1)</f>
        <v>Exclude - Not relevant</v>
      </c>
      <c r="E109" s="65" t="str" cm="1">
        <f t="array" ref="E109">Common_InputFunctions.Utility_DisplayArrayInTable(Fertiliser_SourceData.Fertiliser_Products_Data1(),FertiliserProducts[[#Headers],[Include or Exclude]], 0)</f>
        <v/>
      </c>
      <c r="F109" s="65" t="str" cm="1">
        <f t="array" ref="F109">Common_InputFunctions.Utility_DisplayArrayInTable(Fertiliser_SourceData.Fertiliser_Products_Data1(),FertiliserProducts[[#Headers],[Include or Exclude]], 0)</f>
        <v>Campbells fertilisers Australia</v>
      </c>
      <c r="G109" s="65" t="str" cm="1">
        <f t="array" ref="G109">Common_InputFunctions.Utility_DisplayArrayInTable(Fertiliser_SourceData.Fertiliser_Products_Data1(),FertiliserProducts[[#Headers],[Include or Exclude]], 0)</f>
        <v>Bud-Wiser Dry</v>
      </c>
      <c r="H109" s="65" t="str" cm="1">
        <f t="array" ref="H109">Common_InputFunctions.Utility_DisplayArrayInTable(Fertiliser_SourceData.Fertiliser_Products_Data1(),FertiliserProducts[[#Headers],[Include or Exclude]], 0,4)</f>
        <v>kg</v>
      </c>
      <c r="I109" s="65" t="str" cm="1">
        <f t="array" ref="I109">Common_InputFunctions.Utility_DisplayArrayInTable(Fertiliser_SourceData.Fertiliser_Products_Data1(),FertiliserProducts[[#Headers],[Include or Exclude]], 0,4)</f>
        <v/>
      </c>
      <c r="J109" s="65" t="str" cm="1">
        <f t="array" ref="J109">Common_InputFunctions.Utility_DisplayArrayInTable(Fertiliser_SourceData.Fertiliser_Products_Data1(),FertiliserProducts[[#Headers],[Include or Exclude]], 0,4)</f>
        <v/>
      </c>
      <c r="K109" s="65" t="str" cm="1">
        <f t="array" ref="K109">Common_InputFunctions.Utility_DisplayArrayInTable(Fertiliser_SourceData.Fertiliser_Products_Data1(),FertiliserProducts[[#Headers],[Include or Exclude]], 0,4)</f>
        <v/>
      </c>
      <c r="L109" s="65" t="str" cm="1">
        <f t="array" ref="L109">Common_InputFunctions.Utility_DisplayArrayInTable(Fertiliser_SourceData.Fertiliser_Products_Data1(),FertiliserProducts[[#Headers],[Include or Exclude]], 0,4)</f>
        <v>Sulfur - Generic</v>
      </c>
      <c r="M109" s="65" cm="1">
        <f t="array" ref="M109">Common_InputFunctions.Utility_DisplayArrayInTable(Fertiliser_SourceData.Fertiliser_Products_Data1(),FertiliserProducts[[#Headers],[Include or Exclude]], 0,4)</f>
        <v>9.4E-2</v>
      </c>
      <c r="N109" s="65" t="str" cm="1">
        <f t="array" ref="N109">Common_InputFunctions.Utility_DisplayArrayInTable(Fertiliser_SourceData.Fertiliser_Products_Data1(),FertiliserProducts[[#Headers],[Include or Exclude]], 0,4)</f>
        <v>Magnesium</v>
      </c>
      <c r="O109" s="65" cm="1">
        <f t="array" ref="O109">Common_InputFunctions.Utility_DisplayArrayInTable(Fertiliser_SourceData.Fertiliser_Products_Data1(),FertiliserProducts[[#Headers],[Include or Exclude]], 0,4)</f>
        <v>0.06</v>
      </c>
      <c r="P109" s="65" t="str" cm="1">
        <f t="array" ref="P109">Common_InputFunctions.Utility_DisplayArrayInTable(Fertiliser_SourceData.Fertiliser_Products_Data1(),FertiliserProducts[[#Headers],[Include or Exclude]], 0,4)</f>
        <v>Boron</v>
      </c>
      <c r="Q109" s="65" cm="1">
        <f t="array" ref="Q109">Common_InputFunctions.Utility_DisplayArrayInTable(Fertiliser_SourceData.Fertiliser_Products_Data1(),FertiliserProducts[[#Headers],[Include or Exclude]], 0,4)</f>
        <v>4.4999999999999998E-2</v>
      </c>
      <c r="R109" s="65" t="str" cm="1">
        <f t="array" ref="R109">Common_InputFunctions.Utility_DisplayArrayInTable(Fertiliser_SourceData.Fertiliser_Products_Data1(),FertiliserProducts[[#Headers],[Include or Exclude]], 0,4)</f>
        <v>Zinc</v>
      </c>
      <c r="S109" s="65" cm="1">
        <f t="array" ref="S109">Common_InputFunctions.Utility_DisplayArrayInTable(Fertiliser_SourceData.Fertiliser_Products_Data1(),FertiliserProducts[[#Headers],[Include or Exclude]], 0,4)</f>
        <v>2.7E-2</v>
      </c>
      <c r="T109" s="65" t="str" cm="1">
        <f t="array" ref="T109">Common_InputFunctions.Utility_DisplayArrayInTable(Fertiliser_SourceData.Fertiliser_Products_Data1(),FertiliserProducts[[#Headers],[Include or Exclude]], 0,4)</f>
        <v/>
      </c>
      <c r="U109" s="65" t="str" cm="1">
        <f t="array" ref="U109">Common_InputFunctions.Utility_DisplayArrayInTable(Fertiliser_SourceData.Fertiliser_Products_Data1(),FertiliserProducts[[#Headers],[Include or Exclude]], 0,4)</f>
        <v/>
      </c>
      <c r="V109" s="65" t="str" cm="1">
        <f t="array" ref="V109">Common_InputFunctions.Utility_DisplayArrayInTable(Fertiliser_SourceData.Fertiliser_Products_Data1(),FertiliserProducts[[#Headers],[Include or Exclude]], 0,4)</f>
        <v/>
      </c>
      <c r="W109" s="65" t="str" cm="1">
        <f t="array" ref="W109">Common_InputFunctions.Utility_DisplayArrayInTable(Fertiliser_SourceData.Fertiliser_Products_Data1(),FertiliserProducts[[#Headers],[Include or Exclude]], 0,4)</f>
        <v/>
      </c>
      <c r="X109" s="65" t="str" cm="1">
        <f t="array" ref="X109">Common_InputFunctions.Utility_DisplayArrayInTable(Fertiliser_SourceData.Fertiliser_Products_Data1(),FertiliserProducts[[#Headers],[Include or Exclude]], 0,4)</f>
        <v/>
      </c>
      <c r="Y109" s="65" t="str" cm="1">
        <f t="array" ref="Y109">Common_InputFunctions.Utility_DisplayArrayInTable(Fertiliser_SourceData.Fertiliser_Products_Data1(),FertiliserProducts[[#Headers],[Include or Exclude]], 0,4)</f>
        <v/>
      </c>
      <c r="Z109" s="65" t="str" cm="1">
        <f t="array" ref="Z109">Common_InputFunctions.Utility_DisplayArrayInTable(Fertiliser_SourceData.Fertiliser_Products_Data1(),FertiliserProducts[[#Headers],[Include or Exclude]], 0,4)</f>
        <v/>
      </c>
      <c r="AA109" s="65" t="str" cm="1">
        <f t="array" ref="AA109">Common_InputFunctions.Utility_DisplayArrayInTable(Fertiliser_SourceData.Fertiliser_Products_Data1(),FertiliserProducts[[#Headers],[Include or Exclude]], 0,4)</f>
        <v/>
      </c>
      <c r="AB109" s="65" t="str" cm="1">
        <f t="array" ref="AB109">Common_InputFunctions.Utility_DisplayArrayInTable(Fertiliser_SourceData.Fertiliser_Products_Data1(),FertiliserProducts[[#Headers],[Include or Exclude]], 0,4)</f>
        <v/>
      </c>
      <c r="AC109" s="65" t="str" cm="1">
        <f t="array" ref="AC109">Common_InputFunctions.Utility_DisplayArrayInTable(Fertiliser_SourceData.Fertiliser_Products_Data1(),FertiliserProducts[[#Headers],[Include or Exclude]], 0,4)</f>
        <v/>
      </c>
      <c r="AD109" s="65" t="str" cm="1">
        <f t="array" ref="AD109">Common_InputFunctions.Utility_DisplayArrayInTable(Fertiliser_SourceData.Fertiliser_Products_Data1(),FertiliserProducts[[#Headers],[Include or Exclude]], 0,4)</f>
        <v/>
      </c>
      <c r="AE109" s="65" t="str" cm="1">
        <f t="array" ref="AE109">Common_InputFunctions.Utility_DisplayArrayInTable(Fertiliser_SourceData.Fertiliser_Products_Data1(),FertiliserProducts[[#Headers],[Include or Exclude]], 0,4)</f>
        <v/>
      </c>
    </row>
    <row r="110" spans="4:31" ht="20.100000000000001" customHeight="1" x14ac:dyDescent="0.25">
      <c r="D110" s="65" t="str" cm="1">
        <f t="array" ref="D110">Common_InputFunctions.Utility_DisplayArrayInTable(Fertiliser_SourceData.Fertiliser_Products_Data1(),FertiliserProducts[[#Headers],[Include or Exclude]], -1)</f>
        <v>Exclude - Not relevant</v>
      </c>
      <c r="E110" s="65" t="str" cm="1">
        <f t="array" ref="E110">Common_InputFunctions.Utility_DisplayArrayInTable(Fertiliser_SourceData.Fertiliser_Products_Data1(),FertiliserProducts[[#Headers],[Include or Exclude]], 0)</f>
        <v/>
      </c>
      <c r="F110" s="65" t="str" cm="1">
        <f t="array" ref="F110">Common_InputFunctions.Utility_DisplayArrayInTable(Fertiliser_SourceData.Fertiliser_Products_Data1(),FertiliserProducts[[#Headers],[Include or Exclude]], 0)</f>
        <v>Campbells fertilisers Australia</v>
      </c>
      <c r="G110" s="65" t="str" cm="1">
        <f t="array" ref="G110">Common_InputFunctions.Utility_DisplayArrayInTable(Fertiliser_SourceData.Fertiliser_Products_Data1(),FertiliserProducts[[#Headers],[Include or Exclude]], 0)</f>
        <v>Calbit C</v>
      </c>
      <c r="H110" s="65" t="str" cm="1">
        <f t="array" ref="H110">Common_InputFunctions.Utility_DisplayArrayInTable(Fertiliser_SourceData.Fertiliser_Products_Data1(),FertiliserProducts[[#Headers],[Include or Exclude]], 0,4)</f>
        <v>L</v>
      </c>
      <c r="I110" s="65" t="str" cm="1">
        <f t="array" ref="I110">Common_InputFunctions.Utility_DisplayArrayInTable(Fertiliser_SourceData.Fertiliser_Products_Data1(),FertiliserProducts[[#Headers],[Include or Exclude]], 0,4)</f>
        <v/>
      </c>
      <c r="J110" s="65" t="str" cm="1">
        <f t="array" ref="J110">Common_InputFunctions.Utility_DisplayArrayInTable(Fertiliser_SourceData.Fertiliser_Products_Data1(),FertiliserProducts[[#Headers],[Include or Exclude]], 0,4)</f>
        <v/>
      </c>
      <c r="K110" s="65" t="str" cm="1">
        <f t="array" ref="K110">Common_InputFunctions.Utility_DisplayArrayInTable(Fertiliser_SourceData.Fertiliser_Products_Data1(),FertiliserProducts[[#Headers],[Include or Exclude]], 0,4)</f>
        <v/>
      </c>
      <c r="L110" s="65" t="str" cm="1">
        <f t="array" ref="L110">Common_InputFunctions.Utility_DisplayArrayInTable(Fertiliser_SourceData.Fertiliser_Products_Data1(),FertiliserProducts[[#Headers],[Include or Exclude]], 0,4)</f>
        <v/>
      </c>
      <c r="M110" s="65" t="str" cm="1">
        <f t="array" ref="M110">Common_InputFunctions.Utility_DisplayArrayInTable(Fertiliser_SourceData.Fertiliser_Products_Data1(),FertiliserProducts[[#Headers],[Include or Exclude]], 0,4)</f>
        <v/>
      </c>
      <c r="N110" s="65" t="str" cm="1">
        <f t="array" ref="N110">Common_InputFunctions.Utility_DisplayArrayInTable(Fertiliser_SourceData.Fertiliser_Products_Data1(),FertiliserProducts[[#Headers],[Include or Exclude]], 0,4)</f>
        <v/>
      </c>
      <c r="O110" s="65" t="str" cm="1">
        <f t="array" ref="O110">Common_InputFunctions.Utility_DisplayArrayInTable(Fertiliser_SourceData.Fertiliser_Products_Data1(),FertiliserProducts[[#Headers],[Include or Exclude]], 0,4)</f>
        <v/>
      </c>
      <c r="P110" s="65" t="str" cm="1">
        <f t="array" ref="P110">Common_InputFunctions.Utility_DisplayArrayInTable(Fertiliser_SourceData.Fertiliser_Products_Data1(),FertiliserProducts[[#Headers],[Include or Exclude]], 0,4)</f>
        <v/>
      </c>
      <c r="Q110" s="65" t="str" cm="1">
        <f t="array" ref="Q110">Common_InputFunctions.Utility_DisplayArrayInTable(Fertiliser_SourceData.Fertiliser_Products_Data1(),FertiliserProducts[[#Headers],[Include or Exclude]], 0,4)</f>
        <v/>
      </c>
      <c r="R110" s="65" t="str" cm="1">
        <f t="array" ref="R110">Common_InputFunctions.Utility_DisplayArrayInTable(Fertiliser_SourceData.Fertiliser_Products_Data1(),FertiliserProducts[[#Headers],[Include or Exclude]], 0,4)</f>
        <v/>
      </c>
      <c r="S110" s="65" t="str" cm="1">
        <f t="array" ref="S110">Common_InputFunctions.Utility_DisplayArrayInTable(Fertiliser_SourceData.Fertiliser_Products_Data1(),FertiliserProducts[[#Headers],[Include or Exclude]], 0,4)</f>
        <v/>
      </c>
      <c r="T110" s="65" t="str" cm="1">
        <f t="array" ref="T110">Common_InputFunctions.Utility_DisplayArrayInTable(Fertiliser_SourceData.Fertiliser_Products_Data1(),FertiliserProducts[[#Headers],[Include or Exclude]], 0,4)</f>
        <v/>
      </c>
      <c r="U110" s="65" t="str" cm="1">
        <f t="array" ref="U110">Common_InputFunctions.Utility_DisplayArrayInTable(Fertiliser_SourceData.Fertiliser_Products_Data1(),FertiliserProducts[[#Headers],[Include or Exclude]], 0,4)</f>
        <v/>
      </c>
      <c r="V110" s="65" t="str" cm="1">
        <f t="array" ref="V110">Common_InputFunctions.Utility_DisplayArrayInTable(Fertiliser_SourceData.Fertiliser_Products_Data1(),FertiliserProducts[[#Headers],[Include or Exclude]], 0,4)</f>
        <v/>
      </c>
      <c r="W110" s="65" t="str" cm="1">
        <f t="array" ref="W110">Common_InputFunctions.Utility_DisplayArrayInTable(Fertiliser_SourceData.Fertiliser_Products_Data1(),FertiliserProducts[[#Headers],[Include or Exclude]], 0,4)</f>
        <v/>
      </c>
      <c r="X110" s="65" t="str" cm="1">
        <f t="array" ref="X110">Common_InputFunctions.Utility_DisplayArrayInTable(Fertiliser_SourceData.Fertiliser_Products_Data1(),FertiliserProducts[[#Headers],[Include or Exclude]], 0,4)</f>
        <v/>
      </c>
      <c r="Y110" s="65" t="str" cm="1">
        <f t="array" ref="Y110">Common_InputFunctions.Utility_DisplayArrayInTable(Fertiliser_SourceData.Fertiliser_Products_Data1(),FertiliserProducts[[#Headers],[Include or Exclude]], 0,4)</f>
        <v/>
      </c>
      <c r="Z110" s="65" t="str" cm="1">
        <f t="array" ref="Z110">Common_InputFunctions.Utility_DisplayArrayInTable(Fertiliser_SourceData.Fertiliser_Products_Data1(),FertiliserProducts[[#Headers],[Include or Exclude]], 0,4)</f>
        <v/>
      </c>
      <c r="AA110" s="65" t="str" cm="1">
        <f t="array" ref="AA110">Common_InputFunctions.Utility_DisplayArrayInTable(Fertiliser_SourceData.Fertiliser_Products_Data1(),FertiliserProducts[[#Headers],[Include or Exclude]], 0,4)</f>
        <v/>
      </c>
      <c r="AB110" s="65" t="str" cm="1">
        <f t="array" ref="AB110">Common_InputFunctions.Utility_DisplayArrayInTable(Fertiliser_SourceData.Fertiliser_Products_Data1(),FertiliserProducts[[#Headers],[Include or Exclude]], 0,4)</f>
        <v/>
      </c>
      <c r="AC110" s="65" t="str" cm="1">
        <f t="array" ref="AC110">Common_InputFunctions.Utility_DisplayArrayInTable(Fertiliser_SourceData.Fertiliser_Products_Data1(),FertiliserProducts[[#Headers],[Include or Exclude]], 0,4)</f>
        <v/>
      </c>
      <c r="AD110" s="65" t="str" cm="1">
        <f t="array" ref="AD110">Common_InputFunctions.Utility_DisplayArrayInTable(Fertiliser_SourceData.Fertiliser_Products_Data1(),FertiliserProducts[[#Headers],[Include or Exclude]], 0,4)</f>
        <v/>
      </c>
      <c r="AE110" s="65" t="str" cm="1">
        <f t="array" ref="AE110">Common_InputFunctions.Utility_DisplayArrayInTable(Fertiliser_SourceData.Fertiliser_Products_Data1(),FertiliserProducts[[#Headers],[Include or Exclude]], 0,4)</f>
        <v/>
      </c>
    </row>
    <row r="111" spans="4:31" ht="20.100000000000001" customHeight="1" x14ac:dyDescent="0.25">
      <c r="D111" s="65" t="str" cm="1">
        <f t="array" ref="D111">Common_InputFunctions.Utility_DisplayArrayInTable(Fertiliser_SourceData.Fertiliser_Products_Data1(),FertiliserProducts[[#Headers],[Include or Exclude]], -1)</f>
        <v>Include</v>
      </c>
      <c r="E111" s="65" t="str" cm="1">
        <f t="array" ref="E111">Common_InputFunctions.Utility_DisplayArrayInTable(Fertiliser_SourceData.Fertiliser_Products_Data1(),FertiliserProducts[[#Headers],[Include or Exclude]], 0)</f>
        <v/>
      </c>
      <c r="F111" s="65" t="str" cm="1">
        <f t="array" ref="F111">Common_InputFunctions.Utility_DisplayArrayInTable(Fertiliser_SourceData.Fertiliser_Products_Data1(),FertiliserProducts[[#Headers],[Include or Exclude]], 0)</f>
        <v>Campbells fertilisers Australia</v>
      </c>
      <c r="G111" s="65" t="str" cm="1">
        <f t="array" ref="G111">Common_InputFunctions.Utility_DisplayArrayInTable(Fertiliser_SourceData.Fertiliser_Products_Data1(),FertiliserProducts[[#Headers],[Include or Exclude]], 0)</f>
        <v>Calcium 175</v>
      </c>
      <c r="H111" s="65" t="str" cm="1">
        <f t="array" ref="H111">Common_InputFunctions.Utility_DisplayArrayInTable(Fertiliser_SourceData.Fertiliser_Products_Data1(),FertiliserProducts[[#Headers],[Include or Exclude]], 0,4)</f>
        <v>L</v>
      </c>
      <c r="I111" s="65" t="str" cm="1">
        <f t="array" ref="I111">Common_InputFunctions.Utility_DisplayArrayInTable(Fertiliser_SourceData.Fertiliser_Products_Data1(),FertiliserProducts[[#Headers],[Include or Exclude]], 0,4)</f>
        <v/>
      </c>
      <c r="J111" s="65" t="str" cm="1">
        <f t="array" ref="J111">Common_InputFunctions.Utility_DisplayArrayInTable(Fertiliser_SourceData.Fertiliser_Products_Data1(),FertiliserProducts[[#Headers],[Include or Exclude]], 0,4)</f>
        <v/>
      </c>
      <c r="K111" s="65" t="str" cm="1">
        <f t="array" ref="K111">Common_InputFunctions.Utility_DisplayArrayInTable(Fertiliser_SourceData.Fertiliser_Products_Data1(),FertiliserProducts[[#Headers],[Include or Exclude]], 0,4)</f>
        <v/>
      </c>
      <c r="L111" s="65" t="str" cm="1">
        <f t="array" ref="L111">Common_InputFunctions.Utility_DisplayArrayInTable(Fertiliser_SourceData.Fertiliser_Products_Data1(),FertiliserProducts[[#Headers],[Include or Exclude]], 0,4)</f>
        <v/>
      </c>
      <c r="M111" s="65" t="str" cm="1">
        <f t="array" ref="M111">Common_InputFunctions.Utility_DisplayArrayInTable(Fertiliser_SourceData.Fertiliser_Products_Data1(),FertiliserProducts[[#Headers],[Include or Exclude]], 0,4)</f>
        <v/>
      </c>
      <c r="N111" s="65" t="str" cm="1">
        <f t="array" ref="N111">Common_InputFunctions.Utility_DisplayArrayInTable(Fertiliser_SourceData.Fertiliser_Products_Data1(),FertiliserProducts[[#Headers],[Include or Exclude]], 0,4)</f>
        <v/>
      </c>
      <c r="O111" s="65" t="str" cm="1">
        <f t="array" ref="O111">Common_InputFunctions.Utility_DisplayArrayInTable(Fertiliser_SourceData.Fertiliser_Products_Data1(),FertiliserProducts[[#Headers],[Include or Exclude]], 0,4)</f>
        <v/>
      </c>
      <c r="P111" s="65" t="str" cm="1">
        <f t="array" ref="P111">Common_InputFunctions.Utility_DisplayArrayInTable(Fertiliser_SourceData.Fertiliser_Products_Data1(),FertiliserProducts[[#Headers],[Include or Exclude]], 0,4)</f>
        <v/>
      </c>
      <c r="Q111" s="65" t="str" cm="1">
        <f t="array" ref="Q111">Common_InputFunctions.Utility_DisplayArrayInTable(Fertiliser_SourceData.Fertiliser_Products_Data1(),FertiliserProducts[[#Headers],[Include or Exclude]], 0,4)</f>
        <v/>
      </c>
      <c r="R111" s="65" t="str" cm="1">
        <f t="array" ref="R111">Common_InputFunctions.Utility_DisplayArrayInTable(Fertiliser_SourceData.Fertiliser_Products_Data1(),FertiliserProducts[[#Headers],[Include or Exclude]], 0,4)</f>
        <v/>
      </c>
      <c r="S111" s="65" t="str" cm="1">
        <f t="array" ref="S111">Common_InputFunctions.Utility_DisplayArrayInTable(Fertiliser_SourceData.Fertiliser_Products_Data1(),FertiliserProducts[[#Headers],[Include or Exclude]], 0,4)</f>
        <v/>
      </c>
      <c r="T111" s="65" t="str" cm="1">
        <f t="array" ref="T111">Common_InputFunctions.Utility_DisplayArrayInTable(Fertiliser_SourceData.Fertiliser_Products_Data1(),FertiliserProducts[[#Headers],[Include or Exclude]], 0,4)</f>
        <v/>
      </c>
      <c r="U111" s="65" t="str" cm="1">
        <f t="array" ref="U111">Common_InputFunctions.Utility_DisplayArrayInTable(Fertiliser_SourceData.Fertiliser_Products_Data1(),FertiliserProducts[[#Headers],[Include or Exclude]], 0,4)</f>
        <v/>
      </c>
      <c r="V111" s="65" t="str" cm="1">
        <f t="array" ref="V111">Common_InputFunctions.Utility_DisplayArrayInTable(Fertiliser_SourceData.Fertiliser_Products_Data1(),FertiliserProducts[[#Headers],[Include or Exclude]], 0,4)</f>
        <v/>
      </c>
      <c r="W111" s="65" t="str" cm="1">
        <f t="array" ref="W111">Common_InputFunctions.Utility_DisplayArrayInTable(Fertiliser_SourceData.Fertiliser_Products_Data1(),FertiliserProducts[[#Headers],[Include or Exclude]], 0,4)</f>
        <v/>
      </c>
      <c r="X111" s="65" t="str" cm="1">
        <f t="array" ref="X111">Common_InputFunctions.Utility_DisplayArrayInTable(Fertiliser_SourceData.Fertiliser_Products_Data1(),FertiliserProducts[[#Headers],[Include or Exclude]], 0,4)</f>
        <v/>
      </c>
      <c r="Y111" s="65" t="str" cm="1">
        <f t="array" ref="Y111">Common_InputFunctions.Utility_DisplayArrayInTable(Fertiliser_SourceData.Fertiliser_Products_Data1(),FertiliserProducts[[#Headers],[Include or Exclude]], 0,4)</f>
        <v/>
      </c>
      <c r="Z111" s="65" t="str" cm="1">
        <f t="array" ref="Z111">Common_InputFunctions.Utility_DisplayArrayInTable(Fertiliser_SourceData.Fertiliser_Products_Data1(),FertiliserProducts[[#Headers],[Include or Exclude]], 0,4)</f>
        <v/>
      </c>
      <c r="AA111" s="65" t="str" cm="1">
        <f t="array" ref="AA111">Common_InputFunctions.Utility_DisplayArrayInTable(Fertiliser_SourceData.Fertiliser_Products_Data1(),FertiliserProducts[[#Headers],[Include or Exclude]], 0,4)</f>
        <v/>
      </c>
      <c r="AB111" s="65" t="str" cm="1">
        <f t="array" ref="AB111">Common_InputFunctions.Utility_DisplayArrayInTable(Fertiliser_SourceData.Fertiliser_Products_Data1(),FertiliserProducts[[#Headers],[Include or Exclude]], 0,4)</f>
        <v/>
      </c>
      <c r="AC111" s="65" t="str" cm="1">
        <f t="array" ref="AC111">Common_InputFunctions.Utility_DisplayArrayInTable(Fertiliser_SourceData.Fertiliser_Products_Data1(),FertiliserProducts[[#Headers],[Include or Exclude]], 0,4)</f>
        <v/>
      </c>
      <c r="AD111" s="65" t="str" cm="1">
        <f t="array" ref="AD111">Common_InputFunctions.Utility_DisplayArrayInTable(Fertiliser_SourceData.Fertiliser_Products_Data1(),FertiliserProducts[[#Headers],[Include or Exclude]], 0,4)</f>
        <v/>
      </c>
      <c r="AE111" s="65" t="str" cm="1">
        <f t="array" ref="AE111">Common_InputFunctions.Utility_DisplayArrayInTable(Fertiliser_SourceData.Fertiliser_Products_Data1(),FertiliserProducts[[#Headers],[Include or Exclude]], 0,4)</f>
        <v/>
      </c>
    </row>
    <row r="112" spans="4:31" ht="20.100000000000001" customHeight="1" x14ac:dyDescent="0.25">
      <c r="D112" s="65" t="str" cm="1">
        <f t="array" ref="D112">Common_InputFunctions.Utility_DisplayArrayInTable(Fertiliser_SourceData.Fertiliser_Products_Data1(),FertiliserProducts[[#Headers],[Include or Exclude]], -1)</f>
        <v/>
      </c>
      <c r="E112" s="65" t="str" cm="1">
        <f t="array" ref="E112">Common_InputFunctions.Utility_DisplayArrayInTable(Fertiliser_SourceData.Fertiliser_Products_Data1(),FertiliserProducts[[#Headers],[Include or Exclude]], 0)</f>
        <v>Use Lime EF for calcium</v>
      </c>
      <c r="F112" s="65" t="str" cm="1">
        <f t="array" ref="F112">Common_InputFunctions.Utility_DisplayArrayInTable(Fertiliser_SourceData.Fertiliser_Products_Data1(),FertiliserProducts[[#Headers],[Include or Exclude]], 0)</f>
        <v>Campbells fertilisers Australia</v>
      </c>
      <c r="G112" s="65" t="str" cm="1">
        <f t="array" ref="G112">Common_InputFunctions.Utility_DisplayArrayInTable(Fertiliser_SourceData.Fertiliser_Products_Data1(),FertiliserProducts[[#Headers],[Include or Exclude]], 0)</f>
        <v>CalPhos</v>
      </c>
      <c r="H112" s="65" t="str" cm="1">
        <f t="array" ref="H112">Common_InputFunctions.Utility_DisplayArrayInTable(Fertiliser_SourceData.Fertiliser_Products_Data1(),FertiliserProducts[[#Headers],[Include or Exclude]], 0,4)</f>
        <v>L</v>
      </c>
      <c r="I112" s="65" cm="1">
        <f t="array" ref="I112">Common_InputFunctions.Utility_DisplayArrayInTable(Fertiliser_SourceData.Fertiliser_Products_Data1(),FertiliserProducts[[#Headers],[Include or Exclude]], 0,4)</f>
        <v>1.2849999999999999</v>
      </c>
      <c r="J112" s="65" t="str" cm="1">
        <f t="array" ref="J112">Common_InputFunctions.Utility_DisplayArrayInTable(Fertiliser_SourceData.Fertiliser_Products_Data1(),FertiliserProducts[[#Headers],[Include or Exclude]], 0,4)</f>
        <v/>
      </c>
      <c r="K112" s="65" t="str" cm="1">
        <f t="array" ref="K112">Common_InputFunctions.Utility_DisplayArrayInTable(Fertiliser_SourceData.Fertiliser_Products_Data1(),FertiliserProducts[[#Headers],[Include or Exclude]], 0,4)</f>
        <v/>
      </c>
      <c r="L112" s="65" t="str" cm="1">
        <f t="array" ref="L112">Common_InputFunctions.Utility_DisplayArrayInTable(Fertiliser_SourceData.Fertiliser_Products_Data1(),FertiliserProducts[[#Headers],[Include or Exclude]], 0,4)</f>
        <v>Phosphorus - Generic</v>
      </c>
      <c r="M112" s="65" cm="1">
        <f t="array" ref="M112">Common_InputFunctions.Utility_DisplayArrayInTable(Fertiliser_SourceData.Fertiliser_Products_Data1(),FertiliserProducts[[#Headers],[Include or Exclude]], 0,4)</f>
        <v>0.13500000000000001</v>
      </c>
      <c r="N112" s="65" t="str" cm="1">
        <f t="array" ref="N112">Common_InputFunctions.Utility_DisplayArrayInTable(Fertiliser_SourceData.Fertiliser_Products_Data1(),FertiliserProducts[[#Headers],[Include or Exclude]], 0,4)</f>
        <v>Calcium - Generic</v>
      </c>
      <c r="O112" s="65" cm="1">
        <f t="array" ref="O112">Common_InputFunctions.Utility_DisplayArrayInTable(Fertiliser_SourceData.Fertiliser_Products_Data1(),FertiliserProducts[[#Headers],[Include or Exclude]], 0,4)</f>
        <v>0.04</v>
      </c>
      <c r="P112" s="65" t="str" cm="1">
        <f t="array" ref="P112">Common_InputFunctions.Utility_DisplayArrayInTable(Fertiliser_SourceData.Fertiliser_Products_Data1(),FertiliserProducts[[#Headers],[Include or Exclude]], 0,4)</f>
        <v/>
      </c>
      <c r="Q112" s="65" t="str" cm="1">
        <f t="array" ref="Q112">Common_InputFunctions.Utility_DisplayArrayInTable(Fertiliser_SourceData.Fertiliser_Products_Data1(),FertiliserProducts[[#Headers],[Include or Exclude]], 0,4)</f>
        <v/>
      </c>
      <c r="R112" s="65" t="str" cm="1">
        <f t="array" ref="R112">Common_InputFunctions.Utility_DisplayArrayInTable(Fertiliser_SourceData.Fertiliser_Products_Data1(),FertiliserProducts[[#Headers],[Include or Exclude]], 0,4)</f>
        <v/>
      </c>
      <c r="S112" s="65" t="str" cm="1">
        <f t="array" ref="S112">Common_InputFunctions.Utility_DisplayArrayInTable(Fertiliser_SourceData.Fertiliser_Products_Data1(),FertiliserProducts[[#Headers],[Include or Exclude]], 0,4)</f>
        <v/>
      </c>
      <c r="T112" s="65" t="str" cm="1">
        <f t="array" ref="T112">Common_InputFunctions.Utility_DisplayArrayInTable(Fertiliser_SourceData.Fertiliser_Products_Data1(),FertiliserProducts[[#Headers],[Include or Exclude]], 0,4)</f>
        <v/>
      </c>
      <c r="U112" s="65" t="str" cm="1">
        <f t="array" ref="U112">Common_InputFunctions.Utility_DisplayArrayInTable(Fertiliser_SourceData.Fertiliser_Products_Data1(),FertiliserProducts[[#Headers],[Include or Exclude]], 0,4)</f>
        <v/>
      </c>
      <c r="V112" s="65" t="str" cm="1">
        <f t="array" ref="V112">Common_InputFunctions.Utility_DisplayArrayInTable(Fertiliser_SourceData.Fertiliser_Products_Data1(),FertiliserProducts[[#Headers],[Include or Exclude]], 0,4)</f>
        <v/>
      </c>
      <c r="W112" s="65" t="str" cm="1">
        <f t="array" ref="W112">Common_InputFunctions.Utility_DisplayArrayInTable(Fertiliser_SourceData.Fertiliser_Products_Data1(),FertiliserProducts[[#Headers],[Include or Exclude]], 0,4)</f>
        <v/>
      </c>
      <c r="X112" s="65" t="str" cm="1">
        <f t="array" ref="X112">Common_InputFunctions.Utility_DisplayArrayInTable(Fertiliser_SourceData.Fertiliser_Products_Data1(),FertiliserProducts[[#Headers],[Include or Exclude]], 0,4)</f>
        <v/>
      </c>
      <c r="Y112" s="65" t="str" cm="1">
        <f t="array" ref="Y112">Common_InputFunctions.Utility_DisplayArrayInTable(Fertiliser_SourceData.Fertiliser_Products_Data1(),FertiliserProducts[[#Headers],[Include or Exclude]], 0,4)</f>
        <v/>
      </c>
      <c r="Z112" s="65" t="str" cm="1">
        <f t="array" ref="Z112">Common_InputFunctions.Utility_DisplayArrayInTable(Fertiliser_SourceData.Fertiliser_Products_Data1(),FertiliserProducts[[#Headers],[Include or Exclude]], 0,4)</f>
        <v/>
      </c>
      <c r="AA112" s="65" t="str" cm="1">
        <f t="array" ref="AA112">Common_InputFunctions.Utility_DisplayArrayInTable(Fertiliser_SourceData.Fertiliser_Products_Data1(),FertiliserProducts[[#Headers],[Include or Exclude]], 0,4)</f>
        <v/>
      </c>
      <c r="AB112" s="65" t="str" cm="1">
        <f t="array" ref="AB112">Common_InputFunctions.Utility_DisplayArrayInTable(Fertiliser_SourceData.Fertiliser_Products_Data1(),FertiliserProducts[[#Headers],[Include or Exclude]], 0,4)</f>
        <v/>
      </c>
      <c r="AC112" s="65" t="str" cm="1">
        <f t="array" ref="AC112">Common_InputFunctions.Utility_DisplayArrayInTable(Fertiliser_SourceData.Fertiliser_Products_Data1(),FertiliserProducts[[#Headers],[Include or Exclude]], 0,4)</f>
        <v/>
      </c>
      <c r="AD112" s="65" t="str" cm="1">
        <f t="array" ref="AD112">Common_InputFunctions.Utility_DisplayArrayInTable(Fertiliser_SourceData.Fertiliser_Products_Data1(),FertiliserProducts[[#Headers],[Include or Exclude]], 0,4)</f>
        <v/>
      </c>
      <c r="AE112" s="65" t="str" cm="1">
        <f t="array" ref="AE112">Common_InputFunctions.Utility_DisplayArrayInTable(Fertiliser_SourceData.Fertiliser_Products_Data1(),FertiliserProducts[[#Headers],[Include or Exclude]], 0,4)</f>
        <v/>
      </c>
    </row>
    <row r="113" spans="4:31" ht="20.100000000000001" customHeight="1" x14ac:dyDescent="0.25">
      <c r="D113" s="65" t="str" cm="1">
        <f t="array" ref="D113">Common_InputFunctions.Utility_DisplayArrayInTable(Fertiliser_SourceData.Fertiliser_Products_Data1(),FertiliserProducts[[#Headers],[Include or Exclude]], -1)</f>
        <v/>
      </c>
      <c r="E113" s="65" t="str" cm="1">
        <f t="array" ref="E113">Common_InputFunctions.Utility_DisplayArrayInTable(Fertiliser_SourceData.Fertiliser_Products_Data1(),FertiliserProducts[[#Headers],[Include or Exclude]], 0)</f>
        <v/>
      </c>
      <c r="F113" s="65" t="str" cm="1">
        <f t="array" ref="F113">Common_InputFunctions.Utility_DisplayArrayInTable(Fertiliser_SourceData.Fertiliser_Products_Data1(),FertiliserProducts[[#Headers],[Include or Exclude]], 0)</f>
        <v/>
      </c>
      <c r="G113" s="65" t="str" cm="1">
        <f t="array" ref="G113">Common_InputFunctions.Utility_DisplayArrayInTable(Fertiliser_SourceData.Fertiliser_Products_Data1(),FertiliserProducts[[#Headers],[Include or Exclude]], 0)</f>
        <v/>
      </c>
      <c r="H113" s="65" t="str" cm="1">
        <f t="array" ref="H113">Common_InputFunctions.Utility_DisplayArrayInTable(Fertiliser_SourceData.Fertiliser_Products_Data1(),FertiliserProducts[[#Headers],[Include or Exclude]], 0,4)</f>
        <v/>
      </c>
      <c r="I113" s="65" t="str" cm="1">
        <f t="array" ref="I113">Common_InputFunctions.Utility_DisplayArrayInTable(Fertiliser_SourceData.Fertiliser_Products_Data1(),FertiliserProducts[[#Headers],[Include or Exclude]], 0,4)</f>
        <v/>
      </c>
      <c r="J113" s="65" t="str" cm="1">
        <f t="array" ref="J113">Common_InputFunctions.Utility_DisplayArrayInTable(Fertiliser_SourceData.Fertiliser_Products_Data1(),FertiliserProducts[[#Headers],[Include or Exclude]], 0,4)</f>
        <v/>
      </c>
      <c r="K113" s="65" t="str" cm="1">
        <f t="array" ref="K113">Common_InputFunctions.Utility_DisplayArrayInTable(Fertiliser_SourceData.Fertiliser_Products_Data1(),FertiliserProducts[[#Headers],[Include or Exclude]], 0,4)</f>
        <v/>
      </c>
      <c r="L113" s="65" t="str" cm="1">
        <f t="array" ref="L113">Common_InputFunctions.Utility_DisplayArrayInTable(Fertiliser_SourceData.Fertiliser_Products_Data1(),FertiliserProducts[[#Headers],[Include or Exclude]], 0,4)</f>
        <v/>
      </c>
      <c r="M113" s="65" t="str" cm="1">
        <f t="array" ref="M113">Common_InputFunctions.Utility_DisplayArrayInTable(Fertiliser_SourceData.Fertiliser_Products_Data1(),FertiliserProducts[[#Headers],[Include or Exclude]], 0,4)</f>
        <v/>
      </c>
      <c r="N113" s="65" t="str" cm="1">
        <f t="array" ref="N113">Common_InputFunctions.Utility_DisplayArrayInTable(Fertiliser_SourceData.Fertiliser_Products_Data1(),FertiliserProducts[[#Headers],[Include or Exclude]], 0,4)</f>
        <v/>
      </c>
      <c r="O113" s="65" t="str" cm="1">
        <f t="array" ref="O113">Common_InputFunctions.Utility_DisplayArrayInTable(Fertiliser_SourceData.Fertiliser_Products_Data1(),FertiliserProducts[[#Headers],[Include or Exclude]], 0,4)</f>
        <v/>
      </c>
      <c r="P113" s="65" t="str" cm="1">
        <f t="array" ref="P113">Common_InputFunctions.Utility_DisplayArrayInTable(Fertiliser_SourceData.Fertiliser_Products_Data1(),FertiliserProducts[[#Headers],[Include or Exclude]], 0,4)</f>
        <v/>
      </c>
      <c r="Q113" s="65" t="str" cm="1">
        <f t="array" ref="Q113">Common_InputFunctions.Utility_DisplayArrayInTable(Fertiliser_SourceData.Fertiliser_Products_Data1(),FertiliserProducts[[#Headers],[Include or Exclude]], 0,4)</f>
        <v/>
      </c>
      <c r="R113" s="65" t="str" cm="1">
        <f t="array" ref="R113">Common_InputFunctions.Utility_DisplayArrayInTable(Fertiliser_SourceData.Fertiliser_Products_Data1(),FertiliserProducts[[#Headers],[Include or Exclude]], 0,4)</f>
        <v/>
      </c>
      <c r="S113" s="65" t="str" cm="1">
        <f t="array" ref="S113">Common_InputFunctions.Utility_DisplayArrayInTable(Fertiliser_SourceData.Fertiliser_Products_Data1(),FertiliserProducts[[#Headers],[Include or Exclude]], 0,4)</f>
        <v/>
      </c>
      <c r="T113" s="65" t="str" cm="1">
        <f t="array" ref="T113">Common_InputFunctions.Utility_DisplayArrayInTable(Fertiliser_SourceData.Fertiliser_Products_Data1(),FertiliserProducts[[#Headers],[Include or Exclude]], 0,4)</f>
        <v/>
      </c>
      <c r="U113" s="65" t="str" cm="1">
        <f t="array" ref="U113">Common_InputFunctions.Utility_DisplayArrayInTable(Fertiliser_SourceData.Fertiliser_Products_Data1(),FertiliserProducts[[#Headers],[Include or Exclude]], 0,4)</f>
        <v/>
      </c>
      <c r="V113" s="65" t="str" cm="1">
        <f t="array" ref="V113">Common_InputFunctions.Utility_DisplayArrayInTable(Fertiliser_SourceData.Fertiliser_Products_Data1(),FertiliserProducts[[#Headers],[Include or Exclude]], 0,4)</f>
        <v/>
      </c>
      <c r="W113" s="65" t="str" cm="1">
        <f t="array" ref="W113">Common_InputFunctions.Utility_DisplayArrayInTable(Fertiliser_SourceData.Fertiliser_Products_Data1(),FertiliserProducts[[#Headers],[Include or Exclude]], 0,4)</f>
        <v/>
      </c>
      <c r="X113" s="65" t="str" cm="1">
        <f t="array" ref="X113">Common_InputFunctions.Utility_DisplayArrayInTable(Fertiliser_SourceData.Fertiliser_Products_Data1(),FertiliserProducts[[#Headers],[Include or Exclude]], 0,4)</f>
        <v/>
      </c>
      <c r="Y113" s="65" t="str" cm="1">
        <f t="array" ref="Y113">Common_InputFunctions.Utility_DisplayArrayInTable(Fertiliser_SourceData.Fertiliser_Products_Data1(),FertiliserProducts[[#Headers],[Include or Exclude]], 0,4)</f>
        <v/>
      </c>
      <c r="Z113" s="65" t="str" cm="1">
        <f t="array" ref="Z113">Common_InputFunctions.Utility_DisplayArrayInTable(Fertiliser_SourceData.Fertiliser_Products_Data1(),FertiliserProducts[[#Headers],[Include or Exclude]], 0,4)</f>
        <v/>
      </c>
      <c r="AA113" s="65" t="str" cm="1">
        <f t="array" ref="AA113">Common_InputFunctions.Utility_DisplayArrayInTable(Fertiliser_SourceData.Fertiliser_Products_Data1(),FertiliserProducts[[#Headers],[Include or Exclude]], 0,4)</f>
        <v/>
      </c>
      <c r="AB113" s="65" t="str" cm="1">
        <f t="array" ref="AB113">Common_InputFunctions.Utility_DisplayArrayInTable(Fertiliser_SourceData.Fertiliser_Products_Data1(),FertiliserProducts[[#Headers],[Include or Exclude]], 0,4)</f>
        <v/>
      </c>
      <c r="AC113" s="65" t="str" cm="1">
        <f t="array" ref="AC113">Common_InputFunctions.Utility_DisplayArrayInTable(Fertiliser_SourceData.Fertiliser_Products_Data1(),FertiliserProducts[[#Headers],[Include or Exclude]], 0,4)</f>
        <v/>
      </c>
      <c r="AD113" s="65" t="str" cm="1">
        <f t="array" ref="AD113">Common_InputFunctions.Utility_DisplayArrayInTable(Fertiliser_SourceData.Fertiliser_Products_Data1(),FertiliserProducts[[#Headers],[Include or Exclude]], 0,4)</f>
        <v/>
      </c>
      <c r="AE113" s="65" t="str" cm="1">
        <f t="array" ref="AE113">Common_InputFunctions.Utility_DisplayArrayInTable(Fertiliser_SourceData.Fertiliser_Products_Data1(),FertiliserProducts[[#Headers],[Include or Exclude]], 0,4)</f>
        <v/>
      </c>
    </row>
    <row r="114" spans="4:31" ht="20.100000000000001" customHeight="1" x14ac:dyDescent="0.25">
      <c r="D114" s="65" t="str" cm="1">
        <f t="array" ref="D114">Common_InputFunctions.Utility_DisplayArrayInTable(Fertiliser_SourceData.Fertiliser_Products_Data1(),FertiliserProducts[[#Headers],[Include or Exclude]], -1)</f>
        <v/>
      </c>
      <c r="E114" s="65" t="str" cm="1">
        <f t="array" ref="E114">Common_InputFunctions.Utility_DisplayArrayInTable(Fertiliser_SourceData.Fertiliser_Products_Data1(),FertiliserProducts[[#Headers],[Include or Exclude]], 0)</f>
        <v/>
      </c>
      <c r="F114" s="65" t="str" cm="1">
        <f t="array" ref="F114">Common_InputFunctions.Utility_DisplayArrayInTable(Fertiliser_SourceData.Fertiliser_Products_Data1(),FertiliserProducts[[#Headers],[Include or Exclude]], 0)</f>
        <v/>
      </c>
      <c r="G114" s="65" t="str" cm="1">
        <f t="array" ref="G114">Common_InputFunctions.Utility_DisplayArrayInTable(Fertiliser_SourceData.Fertiliser_Products_Data1(),FertiliserProducts[[#Headers],[Include or Exclude]], 0)</f>
        <v/>
      </c>
      <c r="H114" s="65" t="str" cm="1">
        <f t="array" ref="H114">Common_InputFunctions.Utility_DisplayArrayInTable(Fertiliser_SourceData.Fertiliser_Products_Data1(),FertiliserProducts[[#Headers],[Include or Exclude]], 0,4)</f>
        <v/>
      </c>
      <c r="I114" s="65" t="str" cm="1">
        <f t="array" ref="I114">Common_InputFunctions.Utility_DisplayArrayInTable(Fertiliser_SourceData.Fertiliser_Products_Data1(),FertiliserProducts[[#Headers],[Include or Exclude]], 0,4)</f>
        <v/>
      </c>
      <c r="J114" s="65" t="str" cm="1">
        <f t="array" ref="J114">Common_InputFunctions.Utility_DisplayArrayInTable(Fertiliser_SourceData.Fertiliser_Products_Data1(),FertiliserProducts[[#Headers],[Include or Exclude]], 0,4)</f>
        <v/>
      </c>
      <c r="K114" s="65" t="str" cm="1">
        <f t="array" ref="K114">Common_InputFunctions.Utility_DisplayArrayInTable(Fertiliser_SourceData.Fertiliser_Products_Data1(),FertiliserProducts[[#Headers],[Include or Exclude]], 0,4)</f>
        <v/>
      </c>
      <c r="L114" s="65" t="str" cm="1">
        <f t="array" ref="L114">Common_InputFunctions.Utility_DisplayArrayInTable(Fertiliser_SourceData.Fertiliser_Products_Data1(),FertiliserProducts[[#Headers],[Include or Exclude]], 0,4)</f>
        <v/>
      </c>
      <c r="M114" s="65" t="str" cm="1">
        <f t="array" ref="M114">Common_InputFunctions.Utility_DisplayArrayInTable(Fertiliser_SourceData.Fertiliser_Products_Data1(),FertiliserProducts[[#Headers],[Include or Exclude]], 0,4)</f>
        <v/>
      </c>
      <c r="N114" s="65" t="str" cm="1">
        <f t="array" ref="N114">Common_InputFunctions.Utility_DisplayArrayInTable(Fertiliser_SourceData.Fertiliser_Products_Data1(),FertiliserProducts[[#Headers],[Include or Exclude]], 0,4)</f>
        <v/>
      </c>
      <c r="O114" s="65" t="str" cm="1">
        <f t="array" ref="O114">Common_InputFunctions.Utility_DisplayArrayInTable(Fertiliser_SourceData.Fertiliser_Products_Data1(),FertiliserProducts[[#Headers],[Include or Exclude]], 0,4)</f>
        <v/>
      </c>
      <c r="P114" s="65" t="str" cm="1">
        <f t="array" ref="P114">Common_InputFunctions.Utility_DisplayArrayInTable(Fertiliser_SourceData.Fertiliser_Products_Data1(),FertiliserProducts[[#Headers],[Include or Exclude]], 0,4)</f>
        <v/>
      </c>
      <c r="Q114" s="65" t="str" cm="1">
        <f t="array" ref="Q114">Common_InputFunctions.Utility_DisplayArrayInTable(Fertiliser_SourceData.Fertiliser_Products_Data1(),FertiliserProducts[[#Headers],[Include or Exclude]], 0,4)</f>
        <v/>
      </c>
      <c r="R114" s="65" t="str" cm="1">
        <f t="array" ref="R114">Common_InputFunctions.Utility_DisplayArrayInTable(Fertiliser_SourceData.Fertiliser_Products_Data1(),FertiliserProducts[[#Headers],[Include or Exclude]], 0,4)</f>
        <v/>
      </c>
      <c r="S114" s="65" t="str" cm="1">
        <f t="array" ref="S114">Common_InputFunctions.Utility_DisplayArrayInTable(Fertiliser_SourceData.Fertiliser_Products_Data1(),FertiliserProducts[[#Headers],[Include or Exclude]], 0,4)</f>
        <v/>
      </c>
      <c r="T114" s="65" t="str" cm="1">
        <f t="array" ref="T114">Common_InputFunctions.Utility_DisplayArrayInTable(Fertiliser_SourceData.Fertiliser_Products_Data1(),FertiliserProducts[[#Headers],[Include or Exclude]], 0,4)</f>
        <v/>
      </c>
      <c r="U114" s="65" t="str" cm="1">
        <f t="array" ref="U114">Common_InputFunctions.Utility_DisplayArrayInTable(Fertiliser_SourceData.Fertiliser_Products_Data1(),FertiliserProducts[[#Headers],[Include or Exclude]], 0,4)</f>
        <v/>
      </c>
      <c r="V114" s="65" t="str" cm="1">
        <f t="array" ref="V114">Common_InputFunctions.Utility_DisplayArrayInTable(Fertiliser_SourceData.Fertiliser_Products_Data1(),FertiliserProducts[[#Headers],[Include or Exclude]], 0,4)</f>
        <v/>
      </c>
      <c r="W114" s="65" t="str" cm="1">
        <f t="array" ref="W114">Common_InputFunctions.Utility_DisplayArrayInTable(Fertiliser_SourceData.Fertiliser_Products_Data1(),FertiliserProducts[[#Headers],[Include or Exclude]], 0,4)</f>
        <v/>
      </c>
      <c r="X114" s="65" t="str" cm="1">
        <f t="array" ref="X114">Common_InputFunctions.Utility_DisplayArrayInTable(Fertiliser_SourceData.Fertiliser_Products_Data1(),FertiliserProducts[[#Headers],[Include or Exclude]], 0,4)</f>
        <v/>
      </c>
      <c r="Y114" s="65" t="str" cm="1">
        <f t="array" ref="Y114">Common_InputFunctions.Utility_DisplayArrayInTable(Fertiliser_SourceData.Fertiliser_Products_Data1(),FertiliserProducts[[#Headers],[Include or Exclude]], 0,4)</f>
        <v/>
      </c>
      <c r="Z114" s="65" t="str" cm="1">
        <f t="array" ref="Z114">Common_InputFunctions.Utility_DisplayArrayInTable(Fertiliser_SourceData.Fertiliser_Products_Data1(),FertiliserProducts[[#Headers],[Include or Exclude]], 0,4)</f>
        <v/>
      </c>
      <c r="AA114" s="65" t="str" cm="1">
        <f t="array" ref="AA114">Common_InputFunctions.Utility_DisplayArrayInTable(Fertiliser_SourceData.Fertiliser_Products_Data1(),FertiliserProducts[[#Headers],[Include or Exclude]], 0,4)</f>
        <v/>
      </c>
      <c r="AB114" s="65" t="str" cm="1">
        <f t="array" ref="AB114">Common_InputFunctions.Utility_DisplayArrayInTable(Fertiliser_SourceData.Fertiliser_Products_Data1(),FertiliserProducts[[#Headers],[Include or Exclude]], 0,4)</f>
        <v/>
      </c>
      <c r="AC114" s="65" t="str" cm="1">
        <f t="array" ref="AC114">Common_InputFunctions.Utility_DisplayArrayInTable(Fertiliser_SourceData.Fertiliser_Products_Data1(),FertiliserProducts[[#Headers],[Include or Exclude]], 0,4)</f>
        <v/>
      </c>
      <c r="AD114" s="65" t="str" cm="1">
        <f t="array" ref="AD114">Common_InputFunctions.Utility_DisplayArrayInTable(Fertiliser_SourceData.Fertiliser_Products_Data1(),FertiliserProducts[[#Headers],[Include or Exclude]], 0,4)</f>
        <v/>
      </c>
      <c r="AE114" s="65" t="str" cm="1">
        <f t="array" ref="AE114">Common_InputFunctions.Utility_DisplayArrayInTable(Fertiliser_SourceData.Fertiliser_Products_Data1(),FertiliserProducts[[#Headers],[Include or Exclude]], 0,4)</f>
        <v/>
      </c>
    </row>
    <row r="115" spans="4:31" ht="20.100000000000001" customHeight="1" x14ac:dyDescent="0.25">
      <c r="D115" s="65" t="str" cm="1">
        <f t="array" ref="D115">Common_InputFunctions.Utility_DisplayArrayInTable(Fertiliser_SourceData.Fertiliser_Products_Data1(),FertiliserProducts[[#Headers],[Include or Exclude]], -1)</f>
        <v/>
      </c>
      <c r="E115" s="65" t="str" cm="1">
        <f t="array" ref="E115">Common_InputFunctions.Utility_DisplayArrayInTable(Fertiliser_SourceData.Fertiliser_Products_Data1(),FertiliserProducts[[#Headers],[Include or Exclude]], 0)</f>
        <v/>
      </c>
      <c r="F115" s="65" t="str" cm="1">
        <f t="array" ref="F115">Common_InputFunctions.Utility_DisplayArrayInTable(Fertiliser_SourceData.Fertiliser_Products_Data1(),FertiliserProducts[[#Headers],[Include or Exclude]], 0)</f>
        <v/>
      </c>
      <c r="G115" s="65" t="str" cm="1">
        <f t="array" ref="G115">Common_InputFunctions.Utility_DisplayArrayInTable(Fertiliser_SourceData.Fertiliser_Products_Data1(),FertiliserProducts[[#Headers],[Include or Exclude]], 0)</f>
        <v/>
      </c>
      <c r="H115" s="65" t="str" cm="1">
        <f t="array" ref="H115">Common_InputFunctions.Utility_DisplayArrayInTable(Fertiliser_SourceData.Fertiliser_Products_Data1(),FertiliserProducts[[#Headers],[Include or Exclude]], 0,4)</f>
        <v/>
      </c>
      <c r="I115" s="65" t="str" cm="1">
        <f t="array" ref="I115">Common_InputFunctions.Utility_DisplayArrayInTable(Fertiliser_SourceData.Fertiliser_Products_Data1(),FertiliserProducts[[#Headers],[Include or Exclude]], 0,4)</f>
        <v/>
      </c>
      <c r="J115" s="65" t="str" cm="1">
        <f t="array" ref="J115">Common_InputFunctions.Utility_DisplayArrayInTable(Fertiliser_SourceData.Fertiliser_Products_Data1(),FertiliserProducts[[#Headers],[Include or Exclude]], 0,4)</f>
        <v/>
      </c>
      <c r="K115" s="65" t="str" cm="1">
        <f t="array" ref="K115">Common_InputFunctions.Utility_DisplayArrayInTable(Fertiliser_SourceData.Fertiliser_Products_Data1(),FertiliserProducts[[#Headers],[Include or Exclude]], 0,4)</f>
        <v/>
      </c>
      <c r="L115" s="65" t="str" cm="1">
        <f t="array" ref="L115">Common_InputFunctions.Utility_DisplayArrayInTable(Fertiliser_SourceData.Fertiliser_Products_Data1(),FertiliserProducts[[#Headers],[Include or Exclude]], 0,4)</f>
        <v/>
      </c>
      <c r="M115" s="65" t="str" cm="1">
        <f t="array" ref="M115">Common_InputFunctions.Utility_DisplayArrayInTable(Fertiliser_SourceData.Fertiliser_Products_Data1(),FertiliserProducts[[#Headers],[Include or Exclude]], 0,4)</f>
        <v/>
      </c>
      <c r="N115" s="65" t="str" cm="1">
        <f t="array" ref="N115">Common_InputFunctions.Utility_DisplayArrayInTable(Fertiliser_SourceData.Fertiliser_Products_Data1(),FertiliserProducts[[#Headers],[Include or Exclude]], 0,4)</f>
        <v/>
      </c>
      <c r="O115" s="65" t="str" cm="1">
        <f t="array" ref="O115">Common_InputFunctions.Utility_DisplayArrayInTable(Fertiliser_SourceData.Fertiliser_Products_Data1(),FertiliserProducts[[#Headers],[Include or Exclude]], 0,4)</f>
        <v/>
      </c>
      <c r="P115" s="65" t="str" cm="1">
        <f t="array" ref="P115">Common_InputFunctions.Utility_DisplayArrayInTable(Fertiliser_SourceData.Fertiliser_Products_Data1(),FertiliserProducts[[#Headers],[Include or Exclude]], 0,4)</f>
        <v/>
      </c>
      <c r="Q115" s="65" t="str" cm="1">
        <f t="array" ref="Q115">Common_InputFunctions.Utility_DisplayArrayInTable(Fertiliser_SourceData.Fertiliser_Products_Data1(),FertiliserProducts[[#Headers],[Include or Exclude]], 0,4)</f>
        <v/>
      </c>
      <c r="R115" s="65" t="str" cm="1">
        <f t="array" ref="R115">Common_InputFunctions.Utility_DisplayArrayInTable(Fertiliser_SourceData.Fertiliser_Products_Data1(),FertiliserProducts[[#Headers],[Include or Exclude]], 0,4)</f>
        <v/>
      </c>
      <c r="S115" s="65" t="str" cm="1">
        <f t="array" ref="S115">Common_InputFunctions.Utility_DisplayArrayInTable(Fertiliser_SourceData.Fertiliser_Products_Data1(),FertiliserProducts[[#Headers],[Include or Exclude]], 0,4)</f>
        <v/>
      </c>
      <c r="T115" s="65" t="str" cm="1">
        <f t="array" ref="T115">Common_InputFunctions.Utility_DisplayArrayInTable(Fertiliser_SourceData.Fertiliser_Products_Data1(),FertiliserProducts[[#Headers],[Include or Exclude]], 0,4)</f>
        <v/>
      </c>
      <c r="U115" s="65" t="str" cm="1">
        <f t="array" ref="U115">Common_InputFunctions.Utility_DisplayArrayInTable(Fertiliser_SourceData.Fertiliser_Products_Data1(),FertiliserProducts[[#Headers],[Include or Exclude]], 0,4)</f>
        <v/>
      </c>
      <c r="V115" s="65" t="str" cm="1">
        <f t="array" ref="V115">Common_InputFunctions.Utility_DisplayArrayInTable(Fertiliser_SourceData.Fertiliser_Products_Data1(),FertiliserProducts[[#Headers],[Include or Exclude]], 0,4)</f>
        <v/>
      </c>
      <c r="W115" s="65" t="str" cm="1">
        <f t="array" ref="W115">Common_InputFunctions.Utility_DisplayArrayInTable(Fertiliser_SourceData.Fertiliser_Products_Data1(),FertiliserProducts[[#Headers],[Include or Exclude]], 0,4)</f>
        <v/>
      </c>
      <c r="X115" s="65" t="str" cm="1">
        <f t="array" ref="X115">Common_InputFunctions.Utility_DisplayArrayInTable(Fertiliser_SourceData.Fertiliser_Products_Data1(),FertiliserProducts[[#Headers],[Include or Exclude]], 0,4)</f>
        <v/>
      </c>
      <c r="Y115" s="65" t="str" cm="1">
        <f t="array" ref="Y115">Common_InputFunctions.Utility_DisplayArrayInTable(Fertiliser_SourceData.Fertiliser_Products_Data1(),FertiliserProducts[[#Headers],[Include or Exclude]], 0,4)</f>
        <v/>
      </c>
      <c r="Z115" s="65" t="str" cm="1">
        <f t="array" ref="Z115">Common_InputFunctions.Utility_DisplayArrayInTable(Fertiliser_SourceData.Fertiliser_Products_Data1(),FertiliserProducts[[#Headers],[Include or Exclude]], 0,4)</f>
        <v/>
      </c>
      <c r="AA115" s="65" t="str" cm="1">
        <f t="array" ref="AA115">Common_InputFunctions.Utility_DisplayArrayInTable(Fertiliser_SourceData.Fertiliser_Products_Data1(),FertiliserProducts[[#Headers],[Include or Exclude]], 0,4)</f>
        <v/>
      </c>
      <c r="AB115" s="65" t="str" cm="1">
        <f t="array" ref="AB115">Common_InputFunctions.Utility_DisplayArrayInTable(Fertiliser_SourceData.Fertiliser_Products_Data1(),FertiliserProducts[[#Headers],[Include or Exclude]], 0,4)</f>
        <v/>
      </c>
      <c r="AC115" s="65" t="str" cm="1">
        <f t="array" ref="AC115">Common_InputFunctions.Utility_DisplayArrayInTable(Fertiliser_SourceData.Fertiliser_Products_Data1(),FertiliserProducts[[#Headers],[Include or Exclude]], 0,4)</f>
        <v/>
      </c>
      <c r="AD115" s="65" t="str" cm="1">
        <f t="array" ref="AD115">Common_InputFunctions.Utility_DisplayArrayInTable(Fertiliser_SourceData.Fertiliser_Products_Data1(),FertiliserProducts[[#Headers],[Include or Exclude]], 0,4)</f>
        <v/>
      </c>
      <c r="AE115" s="65" t="str" cm="1">
        <f t="array" ref="AE115">Common_InputFunctions.Utility_DisplayArrayInTable(Fertiliser_SourceData.Fertiliser_Products_Data1(),FertiliserProducts[[#Headers],[Include or Exclude]], 0,4)</f>
        <v/>
      </c>
    </row>
    <row r="116" spans="4:31" ht="20.100000000000001" customHeight="1" x14ac:dyDescent="0.25">
      <c r="D116" s="65" t="str" cm="1">
        <f t="array" ref="D116">Common_InputFunctions.Utility_DisplayArrayInTable(Fertiliser_SourceData.Fertiliser_Products_Data1(),FertiliserProducts[[#Headers],[Include or Exclude]], -1)</f>
        <v/>
      </c>
      <c r="E116" s="65" t="str" cm="1">
        <f t="array" ref="E116">Common_InputFunctions.Utility_DisplayArrayInTable(Fertiliser_SourceData.Fertiliser_Products_Data1(),FertiliserProducts[[#Headers],[Include or Exclude]], 0)</f>
        <v/>
      </c>
      <c r="F116" s="65" t="str" cm="1">
        <f t="array" ref="F116">Common_InputFunctions.Utility_DisplayArrayInTable(Fertiliser_SourceData.Fertiliser_Products_Data1(),FertiliserProducts[[#Headers],[Include or Exclude]], 0)</f>
        <v/>
      </c>
      <c r="G116" s="65" t="str" cm="1">
        <f t="array" ref="G116">Common_InputFunctions.Utility_DisplayArrayInTable(Fertiliser_SourceData.Fertiliser_Products_Data1(),FertiliserProducts[[#Headers],[Include or Exclude]], 0)</f>
        <v/>
      </c>
      <c r="H116" s="65" t="str" cm="1">
        <f t="array" ref="H116">Common_InputFunctions.Utility_DisplayArrayInTable(Fertiliser_SourceData.Fertiliser_Products_Data1(),FertiliserProducts[[#Headers],[Include or Exclude]], 0,4)</f>
        <v/>
      </c>
      <c r="I116" s="65" t="str" cm="1">
        <f t="array" ref="I116">Common_InputFunctions.Utility_DisplayArrayInTable(Fertiliser_SourceData.Fertiliser_Products_Data1(),FertiliserProducts[[#Headers],[Include or Exclude]], 0,4)</f>
        <v/>
      </c>
      <c r="J116" s="65" t="str" cm="1">
        <f t="array" ref="J116">Common_InputFunctions.Utility_DisplayArrayInTable(Fertiliser_SourceData.Fertiliser_Products_Data1(),FertiliserProducts[[#Headers],[Include or Exclude]], 0,4)</f>
        <v/>
      </c>
      <c r="K116" s="65" t="str" cm="1">
        <f t="array" ref="K116">Common_InputFunctions.Utility_DisplayArrayInTable(Fertiliser_SourceData.Fertiliser_Products_Data1(),FertiliserProducts[[#Headers],[Include or Exclude]], 0,4)</f>
        <v/>
      </c>
      <c r="L116" s="65" t="str" cm="1">
        <f t="array" ref="L116">Common_InputFunctions.Utility_DisplayArrayInTable(Fertiliser_SourceData.Fertiliser_Products_Data1(),FertiliserProducts[[#Headers],[Include or Exclude]], 0,4)</f>
        <v/>
      </c>
      <c r="M116" s="65" t="str" cm="1">
        <f t="array" ref="M116">Common_InputFunctions.Utility_DisplayArrayInTable(Fertiliser_SourceData.Fertiliser_Products_Data1(),FertiliserProducts[[#Headers],[Include or Exclude]], 0,4)</f>
        <v/>
      </c>
      <c r="N116" s="65" t="str" cm="1">
        <f t="array" ref="N116">Common_InputFunctions.Utility_DisplayArrayInTable(Fertiliser_SourceData.Fertiliser_Products_Data1(),FertiliserProducts[[#Headers],[Include or Exclude]], 0,4)</f>
        <v/>
      </c>
      <c r="O116" s="65" t="str" cm="1">
        <f t="array" ref="O116">Common_InputFunctions.Utility_DisplayArrayInTable(Fertiliser_SourceData.Fertiliser_Products_Data1(),FertiliserProducts[[#Headers],[Include or Exclude]], 0,4)</f>
        <v/>
      </c>
      <c r="P116" s="65" t="str" cm="1">
        <f t="array" ref="P116">Common_InputFunctions.Utility_DisplayArrayInTable(Fertiliser_SourceData.Fertiliser_Products_Data1(),FertiliserProducts[[#Headers],[Include or Exclude]], 0,4)</f>
        <v/>
      </c>
      <c r="Q116" s="65" t="str" cm="1">
        <f t="array" ref="Q116">Common_InputFunctions.Utility_DisplayArrayInTable(Fertiliser_SourceData.Fertiliser_Products_Data1(),FertiliserProducts[[#Headers],[Include or Exclude]], 0,4)</f>
        <v/>
      </c>
      <c r="R116" s="65" t="str" cm="1">
        <f t="array" ref="R116">Common_InputFunctions.Utility_DisplayArrayInTable(Fertiliser_SourceData.Fertiliser_Products_Data1(),FertiliserProducts[[#Headers],[Include or Exclude]], 0,4)</f>
        <v/>
      </c>
      <c r="S116" s="65" t="str" cm="1">
        <f t="array" ref="S116">Common_InputFunctions.Utility_DisplayArrayInTable(Fertiliser_SourceData.Fertiliser_Products_Data1(),FertiliserProducts[[#Headers],[Include or Exclude]], 0,4)</f>
        <v/>
      </c>
      <c r="T116" s="65" t="str" cm="1">
        <f t="array" ref="T116">Common_InputFunctions.Utility_DisplayArrayInTable(Fertiliser_SourceData.Fertiliser_Products_Data1(),FertiliserProducts[[#Headers],[Include or Exclude]], 0,4)</f>
        <v/>
      </c>
      <c r="U116" s="65" t="str" cm="1">
        <f t="array" ref="U116">Common_InputFunctions.Utility_DisplayArrayInTable(Fertiliser_SourceData.Fertiliser_Products_Data1(),FertiliserProducts[[#Headers],[Include or Exclude]], 0,4)</f>
        <v/>
      </c>
      <c r="V116" s="65" t="str" cm="1">
        <f t="array" ref="V116">Common_InputFunctions.Utility_DisplayArrayInTable(Fertiliser_SourceData.Fertiliser_Products_Data1(),FertiliserProducts[[#Headers],[Include or Exclude]], 0,4)</f>
        <v/>
      </c>
      <c r="W116" s="65" t="str" cm="1">
        <f t="array" ref="W116">Common_InputFunctions.Utility_DisplayArrayInTable(Fertiliser_SourceData.Fertiliser_Products_Data1(),FertiliserProducts[[#Headers],[Include or Exclude]], 0,4)</f>
        <v/>
      </c>
      <c r="X116" s="65" t="str" cm="1">
        <f t="array" ref="X116">Common_InputFunctions.Utility_DisplayArrayInTable(Fertiliser_SourceData.Fertiliser_Products_Data1(),FertiliserProducts[[#Headers],[Include or Exclude]], 0,4)</f>
        <v/>
      </c>
      <c r="Y116" s="65" t="str" cm="1">
        <f t="array" ref="Y116">Common_InputFunctions.Utility_DisplayArrayInTable(Fertiliser_SourceData.Fertiliser_Products_Data1(),FertiliserProducts[[#Headers],[Include or Exclude]], 0,4)</f>
        <v/>
      </c>
      <c r="Z116" s="65" t="str" cm="1">
        <f t="array" ref="Z116">Common_InputFunctions.Utility_DisplayArrayInTable(Fertiliser_SourceData.Fertiliser_Products_Data1(),FertiliserProducts[[#Headers],[Include or Exclude]], 0,4)</f>
        <v/>
      </c>
      <c r="AA116" s="65" t="str" cm="1">
        <f t="array" ref="AA116">Common_InputFunctions.Utility_DisplayArrayInTable(Fertiliser_SourceData.Fertiliser_Products_Data1(),FertiliserProducts[[#Headers],[Include or Exclude]], 0,4)</f>
        <v/>
      </c>
      <c r="AB116" s="65" t="str" cm="1">
        <f t="array" ref="AB116">Common_InputFunctions.Utility_DisplayArrayInTable(Fertiliser_SourceData.Fertiliser_Products_Data1(),FertiliserProducts[[#Headers],[Include or Exclude]], 0,4)</f>
        <v/>
      </c>
      <c r="AC116" s="65" t="str" cm="1">
        <f t="array" ref="AC116">Common_InputFunctions.Utility_DisplayArrayInTable(Fertiliser_SourceData.Fertiliser_Products_Data1(),FertiliserProducts[[#Headers],[Include or Exclude]], 0,4)</f>
        <v/>
      </c>
      <c r="AD116" s="65" t="str" cm="1">
        <f t="array" ref="AD116">Common_InputFunctions.Utility_DisplayArrayInTable(Fertiliser_SourceData.Fertiliser_Products_Data1(),FertiliserProducts[[#Headers],[Include or Exclude]], 0,4)</f>
        <v/>
      </c>
      <c r="AE116" s="65" t="str" cm="1">
        <f t="array" ref="AE116">Common_InputFunctions.Utility_DisplayArrayInTable(Fertiliser_SourceData.Fertiliser_Products_Data1(),FertiliserProducts[[#Headers],[Include or Exclude]], 0,4)</f>
        <v/>
      </c>
    </row>
    <row r="117" spans="4:31" ht="20.100000000000001" customHeight="1" x14ac:dyDescent="0.25">
      <c r="D117" s="65" t="str" cm="1">
        <f t="array" ref="D117">Common_InputFunctions.Utility_DisplayArrayInTable(Fertiliser_SourceData.Fertiliser_Products_Data1(),FertiliserProducts[[#Headers],[Include or Exclude]], -1)</f>
        <v/>
      </c>
      <c r="E117" s="65" t="str" cm="1">
        <f t="array" ref="E117">Common_InputFunctions.Utility_DisplayArrayInTable(Fertiliser_SourceData.Fertiliser_Products_Data1(),FertiliserProducts[[#Headers],[Include or Exclude]], 0)</f>
        <v/>
      </c>
      <c r="F117" s="65" t="str" cm="1">
        <f t="array" ref="F117">Common_InputFunctions.Utility_DisplayArrayInTable(Fertiliser_SourceData.Fertiliser_Products_Data1(),FertiliserProducts[[#Headers],[Include or Exclude]], 0)</f>
        <v/>
      </c>
      <c r="G117" s="65" t="str" cm="1">
        <f t="array" ref="G117">Common_InputFunctions.Utility_DisplayArrayInTable(Fertiliser_SourceData.Fertiliser_Products_Data1(),FertiliserProducts[[#Headers],[Include or Exclude]], 0)</f>
        <v/>
      </c>
      <c r="H117" s="65" t="str" cm="1">
        <f t="array" ref="H117">Common_InputFunctions.Utility_DisplayArrayInTable(Fertiliser_SourceData.Fertiliser_Products_Data1(),FertiliserProducts[[#Headers],[Include or Exclude]], 0,4)</f>
        <v/>
      </c>
      <c r="I117" s="65" t="str" cm="1">
        <f t="array" ref="I117">Common_InputFunctions.Utility_DisplayArrayInTable(Fertiliser_SourceData.Fertiliser_Products_Data1(),FertiliserProducts[[#Headers],[Include or Exclude]], 0,4)</f>
        <v/>
      </c>
      <c r="J117" s="65" t="str" cm="1">
        <f t="array" ref="J117">Common_InputFunctions.Utility_DisplayArrayInTable(Fertiliser_SourceData.Fertiliser_Products_Data1(),FertiliserProducts[[#Headers],[Include or Exclude]], 0,4)</f>
        <v/>
      </c>
      <c r="K117" s="65" t="str" cm="1">
        <f t="array" ref="K117">Common_InputFunctions.Utility_DisplayArrayInTable(Fertiliser_SourceData.Fertiliser_Products_Data1(),FertiliserProducts[[#Headers],[Include or Exclude]], 0,4)</f>
        <v/>
      </c>
      <c r="L117" s="65" t="str" cm="1">
        <f t="array" ref="L117">Common_InputFunctions.Utility_DisplayArrayInTable(Fertiliser_SourceData.Fertiliser_Products_Data1(),FertiliserProducts[[#Headers],[Include or Exclude]], 0,4)</f>
        <v/>
      </c>
      <c r="M117" s="65" t="str" cm="1">
        <f t="array" ref="M117">Common_InputFunctions.Utility_DisplayArrayInTable(Fertiliser_SourceData.Fertiliser_Products_Data1(),FertiliserProducts[[#Headers],[Include or Exclude]], 0,4)</f>
        <v/>
      </c>
      <c r="N117" s="65" t="str" cm="1">
        <f t="array" ref="N117">Common_InputFunctions.Utility_DisplayArrayInTable(Fertiliser_SourceData.Fertiliser_Products_Data1(),FertiliserProducts[[#Headers],[Include or Exclude]], 0,4)</f>
        <v/>
      </c>
      <c r="O117" s="65" t="str" cm="1">
        <f t="array" ref="O117">Common_InputFunctions.Utility_DisplayArrayInTable(Fertiliser_SourceData.Fertiliser_Products_Data1(),FertiliserProducts[[#Headers],[Include or Exclude]], 0,4)</f>
        <v/>
      </c>
      <c r="P117" s="65" t="str" cm="1">
        <f t="array" ref="P117">Common_InputFunctions.Utility_DisplayArrayInTable(Fertiliser_SourceData.Fertiliser_Products_Data1(),FertiliserProducts[[#Headers],[Include or Exclude]], 0,4)</f>
        <v/>
      </c>
      <c r="Q117" s="65" t="str" cm="1">
        <f t="array" ref="Q117">Common_InputFunctions.Utility_DisplayArrayInTable(Fertiliser_SourceData.Fertiliser_Products_Data1(),FertiliserProducts[[#Headers],[Include or Exclude]], 0,4)</f>
        <v/>
      </c>
      <c r="R117" s="65" t="str" cm="1">
        <f t="array" ref="R117">Common_InputFunctions.Utility_DisplayArrayInTable(Fertiliser_SourceData.Fertiliser_Products_Data1(),FertiliserProducts[[#Headers],[Include or Exclude]], 0,4)</f>
        <v/>
      </c>
      <c r="S117" s="65" t="str" cm="1">
        <f t="array" ref="S117">Common_InputFunctions.Utility_DisplayArrayInTable(Fertiliser_SourceData.Fertiliser_Products_Data1(),FertiliserProducts[[#Headers],[Include or Exclude]], 0,4)</f>
        <v/>
      </c>
      <c r="T117" s="65" t="str" cm="1">
        <f t="array" ref="T117">Common_InputFunctions.Utility_DisplayArrayInTable(Fertiliser_SourceData.Fertiliser_Products_Data1(),FertiliserProducts[[#Headers],[Include or Exclude]], 0,4)</f>
        <v/>
      </c>
      <c r="U117" s="65" t="str" cm="1">
        <f t="array" ref="U117">Common_InputFunctions.Utility_DisplayArrayInTable(Fertiliser_SourceData.Fertiliser_Products_Data1(),FertiliserProducts[[#Headers],[Include or Exclude]], 0,4)</f>
        <v/>
      </c>
      <c r="V117" s="65" t="str" cm="1">
        <f t="array" ref="V117">Common_InputFunctions.Utility_DisplayArrayInTable(Fertiliser_SourceData.Fertiliser_Products_Data1(),FertiliserProducts[[#Headers],[Include or Exclude]], 0,4)</f>
        <v/>
      </c>
      <c r="W117" s="65" t="str" cm="1">
        <f t="array" ref="W117">Common_InputFunctions.Utility_DisplayArrayInTable(Fertiliser_SourceData.Fertiliser_Products_Data1(),FertiliserProducts[[#Headers],[Include or Exclude]], 0,4)</f>
        <v/>
      </c>
      <c r="X117" s="65" t="str" cm="1">
        <f t="array" ref="X117">Common_InputFunctions.Utility_DisplayArrayInTable(Fertiliser_SourceData.Fertiliser_Products_Data1(),FertiliserProducts[[#Headers],[Include or Exclude]], 0,4)</f>
        <v/>
      </c>
      <c r="Y117" s="65" t="str" cm="1">
        <f t="array" ref="Y117">Common_InputFunctions.Utility_DisplayArrayInTable(Fertiliser_SourceData.Fertiliser_Products_Data1(),FertiliserProducts[[#Headers],[Include or Exclude]], 0,4)</f>
        <v/>
      </c>
      <c r="Z117" s="65" t="str" cm="1">
        <f t="array" ref="Z117">Common_InputFunctions.Utility_DisplayArrayInTable(Fertiliser_SourceData.Fertiliser_Products_Data1(),FertiliserProducts[[#Headers],[Include or Exclude]], 0,4)</f>
        <v/>
      </c>
      <c r="AA117" s="65" t="str" cm="1">
        <f t="array" ref="AA117">Common_InputFunctions.Utility_DisplayArrayInTable(Fertiliser_SourceData.Fertiliser_Products_Data1(),FertiliserProducts[[#Headers],[Include or Exclude]], 0,4)</f>
        <v/>
      </c>
      <c r="AB117" s="65" t="str" cm="1">
        <f t="array" ref="AB117">Common_InputFunctions.Utility_DisplayArrayInTable(Fertiliser_SourceData.Fertiliser_Products_Data1(),FertiliserProducts[[#Headers],[Include or Exclude]], 0,4)</f>
        <v/>
      </c>
      <c r="AC117" s="65" t="str" cm="1">
        <f t="array" ref="AC117">Common_InputFunctions.Utility_DisplayArrayInTable(Fertiliser_SourceData.Fertiliser_Products_Data1(),FertiliserProducts[[#Headers],[Include or Exclude]], 0,4)</f>
        <v/>
      </c>
      <c r="AD117" s="65" t="str" cm="1">
        <f t="array" ref="AD117">Common_InputFunctions.Utility_DisplayArrayInTable(Fertiliser_SourceData.Fertiliser_Products_Data1(),FertiliserProducts[[#Headers],[Include or Exclude]], 0,4)</f>
        <v/>
      </c>
      <c r="AE117" s="65" t="str" cm="1">
        <f t="array" ref="AE117">Common_InputFunctions.Utility_DisplayArrayInTable(Fertiliser_SourceData.Fertiliser_Products_Data1(),FertiliserProducts[[#Headers],[Include or Exclude]], 0,4)</f>
        <v/>
      </c>
    </row>
    <row r="118" spans="4:31" ht="20.100000000000001" customHeight="1" x14ac:dyDescent="0.25">
      <c r="D118" s="65" t="str" cm="1">
        <f t="array" ref="D118">Common_InputFunctions.Utility_DisplayArrayInTable(Fertiliser_SourceData.Fertiliser_Products_Data1(),FertiliserProducts[[#Headers],[Include or Exclude]], -1)</f>
        <v/>
      </c>
      <c r="E118" s="65" t="str" cm="1">
        <f t="array" ref="E118">Common_InputFunctions.Utility_DisplayArrayInTable(Fertiliser_SourceData.Fertiliser_Products_Data1(),FertiliserProducts[[#Headers],[Include or Exclude]], 0)</f>
        <v/>
      </c>
      <c r="F118" s="65" t="str" cm="1">
        <f t="array" ref="F118">Common_InputFunctions.Utility_DisplayArrayInTable(Fertiliser_SourceData.Fertiliser_Products_Data1(),FertiliserProducts[[#Headers],[Include or Exclude]], 0)</f>
        <v/>
      </c>
      <c r="G118" s="65" t="str" cm="1">
        <f t="array" ref="G118">Common_InputFunctions.Utility_DisplayArrayInTable(Fertiliser_SourceData.Fertiliser_Products_Data1(),FertiliserProducts[[#Headers],[Include or Exclude]], 0)</f>
        <v/>
      </c>
      <c r="H118" s="65" t="str" cm="1">
        <f t="array" ref="H118">Common_InputFunctions.Utility_DisplayArrayInTable(Fertiliser_SourceData.Fertiliser_Products_Data1(),FertiliserProducts[[#Headers],[Include or Exclude]], 0,4)</f>
        <v/>
      </c>
      <c r="I118" s="65" t="str" cm="1">
        <f t="array" ref="I118">Common_InputFunctions.Utility_DisplayArrayInTable(Fertiliser_SourceData.Fertiliser_Products_Data1(),FertiliserProducts[[#Headers],[Include or Exclude]], 0,4)</f>
        <v/>
      </c>
      <c r="J118" s="65" t="str" cm="1">
        <f t="array" ref="J118">Common_InputFunctions.Utility_DisplayArrayInTable(Fertiliser_SourceData.Fertiliser_Products_Data1(),FertiliserProducts[[#Headers],[Include or Exclude]], 0,4)</f>
        <v/>
      </c>
      <c r="K118" s="65" t="str" cm="1">
        <f t="array" ref="K118">Common_InputFunctions.Utility_DisplayArrayInTable(Fertiliser_SourceData.Fertiliser_Products_Data1(),FertiliserProducts[[#Headers],[Include or Exclude]], 0,4)</f>
        <v/>
      </c>
      <c r="L118" s="65" t="str" cm="1">
        <f t="array" ref="L118">Common_InputFunctions.Utility_DisplayArrayInTable(Fertiliser_SourceData.Fertiliser_Products_Data1(),FertiliserProducts[[#Headers],[Include or Exclude]], 0,4)</f>
        <v/>
      </c>
      <c r="M118" s="65" t="str" cm="1">
        <f t="array" ref="M118">Common_InputFunctions.Utility_DisplayArrayInTable(Fertiliser_SourceData.Fertiliser_Products_Data1(),FertiliserProducts[[#Headers],[Include or Exclude]], 0,4)</f>
        <v/>
      </c>
      <c r="N118" s="65" t="str" cm="1">
        <f t="array" ref="N118">Common_InputFunctions.Utility_DisplayArrayInTable(Fertiliser_SourceData.Fertiliser_Products_Data1(),FertiliserProducts[[#Headers],[Include or Exclude]], 0,4)</f>
        <v/>
      </c>
      <c r="O118" s="65" t="str" cm="1">
        <f t="array" ref="O118">Common_InputFunctions.Utility_DisplayArrayInTable(Fertiliser_SourceData.Fertiliser_Products_Data1(),FertiliserProducts[[#Headers],[Include or Exclude]], 0,4)</f>
        <v/>
      </c>
      <c r="P118" s="65" t="str" cm="1">
        <f t="array" ref="P118">Common_InputFunctions.Utility_DisplayArrayInTable(Fertiliser_SourceData.Fertiliser_Products_Data1(),FertiliserProducts[[#Headers],[Include or Exclude]], 0,4)</f>
        <v/>
      </c>
      <c r="Q118" s="65" t="str" cm="1">
        <f t="array" ref="Q118">Common_InputFunctions.Utility_DisplayArrayInTable(Fertiliser_SourceData.Fertiliser_Products_Data1(),FertiliserProducts[[#Headers],[Include or Exclude]], 0,4)</f>
        <v/>
      </c>
      <c r="R118" s="65" t="str" cm="1">
        <f t="array" ref="R118">Common_InputFunctions.Utility_DisplayArrayInTable(Fertiliser_SourceData.Fertiliser_Products_Data1(),FertiliserProducts[[#Headers],[Include or Exclude]], 0,4)</f>
        <v/>
      </c>
      <c r="S118" s="65" t="str" cm="1">
        <f t="array" ref="S118">Common_InputFunctions.Utility_DisplayArrayInTable(Fertiliser_SourceData.Fertiliser_Products_Data1(),FertiliserProducts[[#Headers],[Include or Exclude]], 0,4)</f>
        <v/>
      </c>
      <c r="T118" s="65" t="str" cm="1">
        <f t="array" ref="T118">Common_InputFunctions.Utility_DisplayArrayInTable(Fertiliser_SourceData.Fertiliser_Products_Data1(),FertiliserProducts[[#Headers],[Include or Exclude]], 0,4)</f>
        <v/>
      </c>
      <c r="U118" s="65" t="str" cm="1">
        <f t="array" ref="U118">Common_InputFunctions.Utility_DisplayArrayInTable(Fertiliser_SourceData.Fertiliser_Products_Data1(),FertiliserProducts[[#Headers],[Include or Exclude]], 0,4)</f>
        <v/>
      </c>
      <c r="V118" s="65" t="str" cm="1">
        <f t="array" ref="V118">Common_InputFunctions.Utility_DisplayArrayInTable(Fertiliser_SourceData.Fertiliser_Products_Data1(),FertiliserProducts[[#Headers],[Include or Exclude]], 0,4)</f>
        <v/>
      </c>
      <c r="W118" s="65" t="str" cm="1">
        <f t="array" ref="W118">Common_InputFunctions.Utility_DisplayArrayInTable(Fertiliser_SourceData.Fertiliser_Products_Data1(),FertiliserProducts[[#Headers],[Include or Exclude]], 0,4)</f>
        <v/>
      </c>
      <c r="X118" s="65" t="str" cm="1">
        <f t="array" ref="X118">Common_InputFunctions.Utility_DisplayArrayInTable(Fertiliser_SourceData.Fertiliser_Products_Data1(),FertiliserProducts[[#Headers],[Include or Exclude]], 0,4)</f>
        <v/>
      </c>
      <c r="Y118" s="65" t="str" cm="1">
        <f t="array" ref="Y118">Common_InputFunctions.Utility_DisplayArrayInTable(Fertiliser_SourceData.Fertiliser_Products_Data1(),FertiliserProducts[[#Headers],[Include or Exclude]], 0,4)</f>
        <v/>
      </c>
      <c r="Z118" s="65" t="str" cm="1">
        <f t="array" ref="Z118">Common_InputFunctions.Utility_DisplayArrayInTable(Fertiliser_SourceData.Fertiliser_Products_Data1(),FertiliserProducts[[#Headers],[Include or Exclude]], 0,4)</f>
        <v/>
      </c>
      <c r="AA118" s="65" t="str" cm="1">
        <f t="array" ref="AA118">Common_InputFunctions.Utility_DisplayArrayInTable(Fertiliser_SourceData.Fertiliser_Products_Data1(),FertiliserProducts[[#Headers],[Include or Exclude]], 0,4)</f>
        <v/>
      </c>
      <c r="AB118" s="65" t="str" cm="1">
        <f t="array" ref="AB118">Common_InputFunctions.Utility_DisplayArrayInTable(Fertiliser_SourceData.Fertiliser_Products_Data1(),FertiliserProducts[[#Headers],[Include or Exclude]], 0,4)</f>
        <v/>
      </c>
      <c r="AC118" s="65" t="str" cm="1">
        <f t="array" ref="AC118">Common_InputFunctions.Utility_DisplayArrayInTable(Fertiliser_SourceData.Fertiliser_Products_Data1(),FertiliserProducts[[#Headers],[Include or Exclude]], 0,4)</f>
        <v/>
      </c>
      <c r="AD118" s="65" t="str" cm="1">
        <f t="array" ref="AD118">Common_InputFunctions.Utility_DisplayArrayInTable(Fertiliser_SourceData.Fertiliser_Products_Data1(),FertiliserProducts[[#Headers],[Include or Exclude]], 0,4)</f>
        <v/>
      </c>
      <c r="AE118" s="65" t="str" cm="1">
        <f t="array" ref="AE118">Common_InputFunctions.Utility_DisplayArrayInTable(Fertiliser_SourceData.Fertiliser_Products_Data1(),FertiliserProducts[[#Headers],[Include or Exclude]], 0,4)</f>
        <v/>
      </c>
    </row>
    <row r="119" spans="4:31" ht="20.100000000000001" customHeight="1" x14ac:dyDescent="0.25">
      <c r="D119" s="65" t="str" cm="1">
        <f t="array" ref="D119">Common_InputFunctions.Utility_DisplayArrayInTable(Fertiliser_SourceData.Fertiliser_Products_Data1(),FertiliserProducts[[#Headers],[Include or Exclude]], -1)</f>
        <v/>
      </c>
      <c r="E119" s="65" t="str" cm="1">
        <f t="array" ref="E119">Common_InputFunctions.Utility_DisplayArrayInTable(Fertiliser_SourceData.Fertiliser_Products_Data1(),FertiliserProducts[[#Headers],[Include or Exclude]], 0)</f>
        <v/>
      </c>
      <c r="F119" s="65" t="str" cm="1">
        <f t="array" ref="F119">Common_InputFunctions.Utility_DisplayArrayInTable(Fertiliser_SourceData.Fertiliser_Products_Data1(),FertiliserProducts[[#Headers],[Include or Exclude]], 0)</f>
        <v/>
      </c>
      <c r="G119" s="65" t="str" cm="1">
        <f t="array" ref="G119">Common_InputFunctions.Utility_DisplayArrayInTable(Fertiliser_SourceData.Fertiliser_Products_Data1(),FertiliserProducts[[#Headers],[Include or Exclude]], 0)</f>
        <v/>
      </c>
      <c r="H119" s="65" t="str" cm="1">
        <f t="array" ref="H119">Common_InputFunctions.Utility_DisplayArrayInTable(Fertiliser_SourceData.Fertiliser_Products_Data1(),FertiliserProducts[[#Headers],[Include or Exclude]], 0,4)</f>
        <v/>
      </c>
      <c r="I119" s="65" t="str" cm="1">
        <f t="array" ref="I119">Common_InputFunctions.Utility_DisplayArrayInTable(Fertiliser_SourceData.Fertiliser_Products_Data1(),FertiliserProducts[[#Headers],[Include or Exclude]], 0,4)</f>
        <v/>
      </c>
      <c r="J119" s="65" t="str" cm="1">
        <f t="array" ref="J119">Common_InputFunctions.Utility_DisplayArrayInTable(Fertiliser_SourceData.Fertiliser_Products_Data1(),FertiliserProducts[[#Headers],[Include or Exclude]], 0,4)</f>
        <v/>
      </c>
      <c r="K119" s="65" t="str" cm="1">
        <f t="array" ref="K119">Common_InputFunctions.Utility_DisplayArrayInTable(Fertiliser_SourceData.Fertiliser_Products_Data1(),FertiliserProducts[[#Headers],[Include or Exclude]], 0,4)</f>
        <v/>
      </c>
      <c r="L119" s="65" t="str" cm="1">
        <f t="array" ref="L119">Common_InputFunctions.Utility_DisplayArrayInTable(Fertiliser_SourceData.Fertiliser_Products_Data1(),FertiliserProducts[[#Headers],[Include or Exclude]], 0,4)</f>
        <v/>
      </c>
      <c r="M119" s="65" t="str" cm="1">
        <f t="array" ref="M119">Common_InputFunctions.Utility_DisplayArrayInTable(Fertiliser_SourceData.Fertiliser_Products_Data1(),FertiliserProducts[[#Headers],[Include or Exclude]], 0,4)</f>
        <v/>
      </c>
      <c r="N119" s="65" t="str" cm="1">
        <f t="array" ref="N119">Common_InputFunctions.Utility_DisplayArrayInTable(Fertiliser_SourceData.Fertiliser_Products_Data1(),FertiliserProducts[[#Headers],[Include or Exclude]], 0,4)</f>
        <v/>
      </c>
      <c r="O119" s="65" t="str" cm="1">
        <f t="array" ref="O119">Common_InputFunctions.Utility_DisplayArrayInTable(Fertiliser_SourceData.Fertiliser_Products_Data1(),FertiliserProducts[[#Headers],[Include or Exclude]], 0,4)</f>
        <v/>
      </c>
      <c r="P119" s="65" t="str" cm="1">
        <f t="array" ref="P119">Common_InputFunctions.Utility_DisplayArrayInTable(Fertiliser_SourceData.Fertiliser_Products_Data1(),FertiliserProducts[[#Headers],[Include or Exclude]], 0,4)</f>
        <v/>
      </c>
      <c r="Q119" s="65" t="str" cm="1">
        <f t="array" ref="Q119">Common_InputFunctions.Utility_DisplayArrayInTable(Fertiliser_SourceData.Fertiliser_Products_Data1(),FertiliserProducts[[#Headers],[Include or Exclude]], 0,4)</f>
        <v/>
      </c>
      <c r="R119" s="65" t="str" cm="1">
        <f t="array" ref="R119">Common_InputFunctions.Utility_DisplayArrayInTable(Fertiliser_SourceData.Fertiliser_Products_Data1(),FertiliserProducts[[#Headers],[Include or Exclude]], 0,4)</f>
        <v/>
      </c>
      <c r="S119" s="65" t="str" cm="1">
        <f t="array" ref="S119">Common_InputFunctions.Utility_DisplayArrayInTable(Fertiliser_SourceData.Fertiliser_Products_Data1(),FertiliserProducts[[#Headers],[Include or Exclude]], 0,4)</f>
        <v/>
      </c>
      <c r="T119" s="65" t="str" cm="1">
        <f t="array" ref="T119">Common_InputFunctions.Utility_DisplayArrayInTable(Fertiliser_SourceData.Fertiliser_Products_Data1(),FertiliserProducts[[#Headers],[Include or Exclude]], 0,4)</f>
        <v/>
      </c>
      <c r="U119" s="65" t="str" cm="1">
        <f t="array" ref="U119">Common_InputFunctions.Utility_DisplayArrayInTable(Fertiliser_SourceData.Fertiliser_Products_Data1(),FertiliserProducts[[#Headers],[Include or Exclude]], 0,4)</f>
        <v/>
      </c>
      <c r="V119" s="65" t="str" cm="1">
        <f t="array" ref="V119">Common_InputFunctions.Utility_DisplayArrayInTable(Fertiliser_SourceData.Fertiliser_Products_Data1(),FertiliserProducts[[#Headers],[Include or Exclude]], 0,4)</f>
        <v/>
      </c>
      <c r="W119" s="65" t="str" cm="1">
        <f t="array" ref="W119">Common_InputFunctions.Utility_DisplayArrayInTable(Fertiliser_SourceData.Fertiliser_Products_Data1(),FertiliserProducts[[#Headers],[Include or Exclude]], 0,4)</f>
        <v/>
      </c>
      <c r="X119" s="65" t="str" cm="1">
        <f t="array" ref="X119">Common_InputFunctions.Utility_DisplayArrayInTable(Fertiliser_SourceData.Fertiliser_Products_Data1(),FertiliserProducts[[#Headers],[Include or Exclude]], 0,4)</f>
        <v/>
      </c>
      <c r="Y119" s="65" t="str" cm="1">
        <f t="array" ref="Y119">Common_InputFunctions.Utility_DisplayArrayInTable(Fertiliser_SourceData.Fertiliser_Products_Data1(),FertiliserProducts[[#Headers],[Include or Exclude]], 0,4)</f>
        <v/>
      </c>
      <c r="Z119" s="65" t="str" cm="1">
        <f t="array" ref="Z119">Common_InputFunctions.Utility_DisplayArrayInTable(Fertiliser_SourceData.Fertiliser_Products_Data1(),FertiliserProducts[[#Headers],[Include or Exclude]], 0,4)</f>
        <v/>
      </c>
      <c r="AA119" s="65" t="str" cm="1">
        <f t="array" ref="AA119">Common_InputFunctions.Utility_DisplayArrayInTable(Fertiliser_SourceData.Fertiliser_Products_Data1(),FertiliserProducts[[#Headers],[Include or Exclude]], 0,4)</f>
        <v/>
      </c>
      <c r="AB119" s="65" t="str" cm="1">
        <f t="array" ref="AB119">Common_InputFunctions.Utility_DisplayArrayInTable(Fertiliser_SourceData.Fertiliser_Products_Data1(),FertiliserProducts[[#Headers],[Include or Exclude]], 0,4)</f>
        <v/>
      </c>
      <c r="AC119" s="65" t="str" cm="1">
        <f t="array" ref="AC119">Common_InputFunctions.Utility_DisplayArrayInTable(Fertiliser_SourceData.Fertiliser_Products_Data1(),FertiliserProducts[[#Headers],[Include or Exclude]], 0,4)</f>
        <v/>
      </c>
      <c r="AD119" s="65" t="str" cm="1">
        <f t="array" ref="AD119">Common_InputFunctions.Utility_DisplayArrayInTable(Fertiliser_SourceData.Fertiliser_Products_Data1(),FertiliserProducts[[#Headers],[Include or Exclude]], 0,4)</f>
        <v/>
      </c>
      <c r="AE119" s="65" t="str" cm="1">
        <f t="array" ref="AE119">Common_InputFunctions.Utility_DisplayArrayInTable(Fertiliser_SourceData.Fertiliser_Products_Data1(),FertiliserProducts[[#Headers],[Include or Exclude]], 0,4)</f>
        <v/>
      </c>
    </row>
    <row r="120" spans="4:31" ht="20.100000000000001" customHeight="1" x14ac:dyDescent="0.25">
      <c r="D120" s="65" t="str" cm="1">
        <f t="array" ref="D120">Common_InputFunctions.Utility_DisplayArrayInTable(Fertiliser_SourceData.Fertiliser_Products_Data1(),FertiliserProducts[[#Headers],[Include or Exclude]], -1)</f>
        <v/>
      </c>
      <c r="E120" s="65" t="str" cm="1">
        <f t="array" ref="E120">Common_InputFunctions.Utility_DisplayArrayInTable(Fertiliser_SourceData.Fertiliser_Products_Data1(),FertiliserProducts[[#Headers],[Include or Exclude]], 0)</f>
        <v/>
      </c>
      <c r="F120" s="65" t="str" cm="1">
        <f t="array" ref="F120">Common_InputFunctions.Utility_DisplayArrayInTable(Fertiliser_SourceData.Fertiliser_Products_Data1(),FertiliserProducts[[#Headers],[Include or Exclude]], 0)</f>
        <v/>
      </c>
      <c r="G120" s="65" t="str" cm="1">
        <f t="array" ref="G120">Common_InputFunctions.Utility_DisplayArrayInTable(Fertiliser_SourceData.Fertiliser_Products_Data1(),FertiliserProducts[[#Headers],[Include or Exclude]], 0)</f>
        <v/>
      </c>
      <c r="H120" s="65" t="str" cm="1">
        <f t="array" ref="H120">Common_InputFunctions.Utility_DisplayArrayInTable(Fertiliser_SourceData.Fertiliser_Products_Data1(),FertiliserProducts[[#Headers],[Include or Exclude]], 0,4)</f>
        <v/>
      </c>
      <c r="I120" s="65" t="str" cm="1">
        <f t="array" ref="I120">Common_InputFunctions.Utility_DisplayArrayInTable(Fertiliser_SourceData.Fertiliser_Products_Data1(),FertiliserProducts[[#Headers],[Include or Exclude]], 0,4)</f>
        <v/>
      </c>
      <c r="J120" s="65" t="str" cm="1">
        <f t="array" ref="J120">Common_InputFunctions.Utility_DisplayArrayInTable(Fertiliser_SourceData.Fertiliser_Products_Data1(),FertiliserProducts[[#Headers],[Include or Exclude]], 0,4)</f>
        <v/>
      </c>
      <c r="K120" s="65" t="str" cm="1">
        <f t="array" ref="K120">Common_InputFunctions.Utility_DisplayArrayInTable(Fertiliser_SourceData.Fertiliser_Products_Data1(),FertiliserProducts[[#Headers],[Include or Exclude]], 0,4)</f>
        <v/>
      </c>
      <c r="L120" s="65" t="str" cm="1">
        <f t="array" ref="L120">Common_InputFunctions.Utility_DisplayArrayInTable(Fertiliser_SourceData.Fertiliser_Products_Data1(),FertiliserProducts[[#Headers],[Include or Exclude]], 0,4)</f>
        <v/>
      </c>
      <c r="M120" s="65" t="str" cm="1">
        <f t="array" ref="M120">Common_InputFunctions.Utility_DisplayArrayInTable(Fertiliser_SourceData.Fertiliser_Products_Data1(),FertiliserProducts[[#Headers],[Include or Exclude]], 0,4)</f>
        <v/>
      </c>
      <c r="N120" s="65" t="str" cm="1">
        <f t="array" ref="N120">Common_InputFunctions.Utility_DisplayArrayInTable(Fertiliser_SourceData.Fertiliser_Products_Data1(),FertiliserProducts[[#Headers],[Include or Exclude]], 0,4)</f>
        <v/>
      </c>
      <c r="O120" s="65" t="str" cm="1">
        <f t="array" ref="O120">Common_InputFunctions.Utility_DisplayArrayInTable(Fertiliser_SourceData.Fertiliser_Products_Data1(),FertiliserProducts[[#Headers],[Include or Exclude]], 0,4)</f>
        <v/>
      </c>
      <c r="P120" s="65" t="str" cm="1">
        <f t="array" ref="P120">Common_InputFunctions.Utility_DisplayArrayInTable(Fertiliser_SourceData.Fertiliser_Products_Data1(),FertiliserProducts[[#Headers],[Include or Exclude]], 0,4)</f>
        <v/>
      </c>
      <c r="Q120" s="65" t="str" cm="1">
        <f t="array" ref="Q120">Common_InputFunctions.Utility_DisplayArrayInTable(Fertiliser_SourceData.Fertiliser_Products_Data1(),FertiliserProducts[[#Headers],[Include or Exclude]], 0,4)</f>
        <v/>
      </c>
      <c r="R120" s="65" t="str" cm="1">
        <f t="array" ref="R120">Common_InputFunctions.Utility_DisplayArrayInTable(Fertiliser_SourceData.Fertiliser_Products_Data1(),FertiliserProducts[[#Headers],[Include or Exclude]], 0,4)</f>
        <v/>
      </c>
      <c r="S120" s="65" t="str" cm="1">
        <f t="array" ref="S120">Common_InputFunctions.Utility_DisplayArrayInTable(Fertiliser_SourceData.Fertiliser_Products_Data1(),FertiliserProducts[[#Headers],[Include or Exclude]], 0,4)</f>
        <v/>
      </c>
      <c r="T120" s="65" t="str" cm="1">
        <f t="array" ref="T120">Common_InputFunctions.Utility_DisplayArrayInTable(Fertiliser_SourceData.Fertiliser_Products_Data1(),FertiliserProducts[[#Headers],[Include or Exclude]], 0,4)</f>
        <v/>
      </c>
      <c r="U120" s="65" t="str" cm="1">
        <f t="array" ref="U120">Common_InputFunctions.Utility_DisplayArrayInTable(Fertiliser_SourceData.Fertiliser_Products_Data1(),FertiliserProducts[[#Headers],[Include or Exclude]], 0,4)</f>
        <v/>
      </c>
      <c r="V120" s="65" t="str" cm="1">
        <f t="array" ref="V120">Common_InputFunctions.Utility_DisplayArrayInTable(Fertiliser_SourceData.Fertiliser_Products_Data1(),FertiliserProducts[[#Headers],[Include or Exclude]], 0,4)</f>
        <v/>
      </c>
      <c r="W120" s="65" t="str" cm="1">
        <f t="array" ref="W120">Common_InputFunctions.Utility_DisplayArrayInTable(Fertiliser_SourceData.Fertiliser_Products_Data1(),FertiliserProducts[[#Headers],[Include or Exclude]], 0,4)</f>
        <v/>
      </c>
      <c r="X120" s="65" t="str" cm="1">
        <f t="array" ref="X120">Common_InputFunctions.Utility_DisplayArrayInTable(Fertiliser_SourceData.Fertiliser_Products_Data1(),FertiliserProducts[[#Headers],[Include or Exclude]], 0,4)</f>
        <v/>
      </c>
      <c r="Y120" s="65" t="str" cm="1">
        <f t="array" ref="Y120">Common_InputFunctions.Utility_DisplayArrayInTable(Fertiliser_SourceData.Fertiliser_Products_Data1(),FertiliserProducts[[#Headers],[Include or Exclude]], 0,4)</f>
        <v/>
      </c>
      <c r="Z120" s="65" t="str" cm="1">
        <f t="array" ref="Z120">Common_InputFunctions.Utility_DisplayArrayInTable(Fertiliser_SourceData.Fertiliser_Products_Data1(),FertiliserProducts[[#Headers],[Include or Exclude]], 0,4)</f>
        <v/>
      </c>
      <c r="AA120" s="65" t="str" cm="1">
        <f t="array" ref="AA120">Common_InputFunctions.Utility_DisplayArrayInTable(Fertiliser_SourceData.Fertiliser_Products_Data1(),FertiliserProducts[[#Headers],[Include or Exclude]], 0,4)</f>
        <v/>
      </c>
      <c r="AB120" s="65" t="str" cm="1">
        <f t="array" ref="AB120">Common_InputFunctions.Utility_DisplayArrayInTable(Fertiliser_SourceData.Fertiliser_Products_Data1(),FertiliserProducts[[#Headers],[Include or Exclude]], 0,4)</f>
        <v/>
      </c>
      <c r="AC120" s="65" t="str" cm="1">
        <f t="array" ref="AC120">Common_InputFunctions.Utility_DisplayArrayInTable(Fertiliser_SourceData.Fertiliser_Products_Data1(),FertiliserProducts[[#Headers],[Include or Exclude]], 0,4)</f>
        <v/>
      </c>
      <c r="AD120" s="65" t="str" cm="1">
        <f t="array" ref="AD120">Common_InputFunctions.Utility_DisplayArrayInTable(Fertiliser_SourceData.Fertiliser_Products_Data1(),FertiliserProducts[[#Headers],[Include or Exclude]], 0,4)</f>
        <v/>
      </c>
      <c r="AE120" s="65" t="str" cm="1">
        <f t="array" ref="AE120">Common_InputFunctions.Utility_DisplayArrayInTable(Fertiliser_SourceData.Fertiliser_Products_Data1(),FertiliserProducts[[#Headers],[Include or Exclude]], 0,4)</f>
        <v/>
      </c>
    </row>
    <row r="121" spans="4:31" ht="20.100000000000001" customHeight="1" x14ac:dyDescent="0.25">
      <c r="D121" s="65" t="str" cm="1">
        <f t="array" ref="D121">Common_InputFunctions.Utility_DisplayArrayInTable(Fertiliser_SourceData.Fertiliser_Products_Data1(),FertiliserProducts[[#Headers],[Include or Exclude]], -1)</f>
        <v/>
      </c>
      <c r="E121" s="65" t="str" cm="1">
        <f t="array" ref="E121">Common_InputFunctions.Utility_DisplayArrayInTable(Fertiliser_SourceData.Fertiliser_Products_Data1(),FertiliserProducts[[#Headers],[Include or Exclude]], 0)</f>
        <v/>
      </c>
      <c r="F121" s="65" t="str" cm="1">
        <f t="array" ref="F121">Common_InputFunctions.Utility_DisplayArrayInTable(Fertiliser_SourceData.Fertiliser_Products_Data1(),FertiliserProducts[[#Headers],[Include or Exclude]], 0)</f>
        <v/>
      </c>
      <c r="G121" s="65" t="str" cm="1">
        <f t="array" ref="G121">Common_InputFunctions.Utility_DisplayArrayInTable(Fertiliser_SourceData.Fertiliser_Products_Data1(),FertiliserProducts[[#Headers],[Include or Exclude]], 0)</f>
        <v/>
      </c>
      <c r="H121" s="65" t="str" cm="1">
        <f t="array" ref="H121">Common_InputFunctions.Utility_DisplayArrayInTable(Fertiliser_SourceData.Fertiliser_Products_Data1(),FertiliserProducts[[#Headers],[Include or Exclude]], 0,4)</f>
        <v/>
      </c>
      <c r="I121" s="65" t="str" cm="1">
        <f t="array" ref="I121">Common_InputFunctions.Utility_DisplayArrayInTable(Fertiliser_SourceData.Fertiliser_Products_Data1(),FertiliserProducts[[#Headers],[Include or Exclude]], 0,4)</f>
        <v/>
      </c>
      <c r="J121" s="65" t="str" cm="1">
        <f t="array" ref="J121">Common_InputFunctions.Utility_DisplayArrayInTable(Fertiliser_SourceData.Fertiliser_Products_Data1(),FertiliserProducts[[#Headers],[Include or Exclude]], 0,4)</f>
        <v/>
      </c>
      <c r="K121" s="65" t="str" cm="1">
        <f t="array" ref="K121">Common_InputFunctions.Utility_DisplayArrayInTable(Fertiliser_SourceData.Fertiliser_Products_Data1(),FertiliserProducts[[#Headers],[Include or Exclude]], 0,4)</f>
        <v/>
      </c>
      <c r="L121" s="65" t="str" cm="1">
        <f t="array" ref="L121">Common_InputFunctions.Utility_DisplayArrayInTable(Fertiliser_SourceData.Fertiliser_Products_Data1(),FertiliserProducts[[#Headers],[Include or Exclude]], 0,4)</f>
        <v/>
      </c>
      <c r="M121" s="65" t="str" cm="1">
        <f t="array" ref="M121">Common_InputFunctions.Utility_DisplayArrayInTable(Fertiliser_SourceData.Fertiliser_Products_Data1(),FertiliserProducts[[#Headers],[Include or Exclude]], 0,4)</f>
        <v/>
      </c>
      <c r="N121" s="65" t="str" cm="1">
        <f t="array" ref="N121">Common_InputFunctions.Utility_DisplayArrayInTable(Fertiliser_SourceData.Fertiliser_Products_Data1(),FertiliserProducts[[#Headers],[Include or Exclude]], 0,4)</f>
        <v/>
      </c>
      <c r="O121" s="65" t="str" cm="1">
        <f t="array" ref="O121">Common_InputFunctions.Utility_DisplayArrayInTable(Fertiliser_SourceData.Fertiliser_Products_Data1(),FertiliserProducts[[#Headers],[Include or Exclude]], 0,4)</f>
        <v/>
      </c>
      <c r="P121" s="65" t="str" cm="1">
        <f t="array" ref="P121">Common_InputFunctions.Utility_DisplayArrayInTable(Fertiliser_SourceData.Fertiliser_Products_Data1(),FertiliserProducts[[#Headers],[Include or Exclude]], 0,4)</f>
        <v/>
      </c>
      <c r="Q121" s="65" t="str" cm="1">
        <f t="array" ref="Q121">Common_InputFunctions.Utility_DisplayArrayInTable(Fertiliser_SourceData.Fertiliser_Products_Data1(),FertiliserProducts[[#Headers],[Include or Exclude]], 0,4)</f>
        <v/>
      </c>
      <c r="R121" s="65" t="str" cm="1">
        <f t="array" ref="R121">Common_InputFunctions.Utility_DisplayArrayInTable(Fertiliser_SourceData.Fertiliser_Products_Data1(),FertiliserProducts[[#Headers],[Include or Exclude]], 0,4)</f>
        <v/>
      </c>
      <c r="S121" s="65" t="str" cm="1">
        <f t="array" ref="S121">Common_InputFunctions.Utility_DisplayArrayInTable(Fertiliser_SourceData.Fertiliser_Products_Data1(),FertiliserProducts[[#Headers],[Include or Exclude]], 0,4)</f>
        <v/>
      </c>
      <c r="T121" s="65" t="str" cm="1">
        <f t="array" ref="T121">Common_InputFunctions.Utility_DisplayArrayInTable(Fertiliser_SourceData.Fertiliser_Products_Data1(),FertiliserProducts[[#Headers],[Include or Exclude]], 0,4)</f>
        <v/>
      </c>
      <c r="U121" s="65" t="str" cm="1">
        <f t="array" ref="U121">Common_InputFunctions.Utility_DisplayArrayInTable(Fertiliser_SourceData.Fertiliser_Products_Data1(),FertiliserProducts[[#Headers],[Include or Exclude]], 0,4)</f>
        <v/>
      </c>
      <c r="V121" s="65" t="str" cm="1">
        <f t="array" ref="V121">Common_InputFunctions.Utility_DisplayArrayInTable(Fertiliser_SourceData.Fertiliser_Products_Data1(),FertiliserProducts[[#Headers],[Include or Exclude]], 0,4)</f>
        <v/>
      </c>
      <c r="W121" s="65" t="str" cm="1">
        <f t="array" ref="W121">Common_InputFunctions.Utility_DisplayArrayInTable(Fertiliser_SourceData.Fertiliser_Products_Data1(),FertiliserProducts[[#Headers],[Include or Exclude]], 0,4)</f>
        <v/>
      </c>
      <c r="X121" s="65" t="str" cm="1">
        <f t="array" ref="X121">Common_InputFunctions.Utility_DisplayArrayInTable(Fertiliser_SourceData.Fertiliser_Products_Data1(),FertiliserProducts[[#Headers],[Include or Exclude]], 0,4)</f>
        <v/>
      </c>
      <c r="Y121" s="65" t="str" cm="1">
        <f t="array" ref="Y121">Common_InputFunctions.Utility_DisplayArrayInTable(Fertiliser_SourceData.Fertiliser_Products_Data1(),FertiliserProducts[[#Headers],[Include or Exclude]], 0,4)</f>
        <v/>
      </c>
      <c r="Z121" s="65" t="str" cm="1">
        <f t="array" ref="Z121">Common_InputFunctions.Utility_DisplayArrayInTable(Fertiliser_SourceData.Fertiliser_Products_Data1(),FertiliserProducts[[#Headers],[Include or Exclude]], 0,4)</f>
        <v/>
      </c>
      <c r="AA121" s="65" t="str" cm="1">
        <f t="array" ref="AA121">Common_InputFunctions.Utility_DisplayArrayInTable(Fertiliser_SourceData.Fertiliser_Products_Data1(),FertiliserProducts[[#Headers],[Include or Exclude]], 0,4)</f>
        <v/>
      </c>
      <c r="AB121" s="65" t="str" cm="1">
        <f t="array" ref="AB121">Common_InputFunctions.Utility_DisplayArrayInTable(Fertiliser_SourceData.Fertiliser_Products_Data1(),FertiliserProducts[[#Headers],[Include or Exclude]], 0,4)</f>
        <v/>
      </c>
      <c r="AC121" s="65" t="str" cm="1">
        <f t="array" ref="AC121">Common_InputFunctions.Utility_DisplayArrayInTable(Fertiliser_SourceData.Fertiliser_Products_Data1(),FertiliserProducts[[#Headers],[Include or Exclude]], 0,4)</f>
        <v/>
      </c>
      <c r="AD121" s="65" t="str" cm="1">
        <f t="array" ref="AD121">Common_InputFunctions.Utility_DisplayArrayInTable(Fertiliser_SourceData.Fertiliser_Products_Data1(),FertiliserProducts[[#Headers],[Include or Exclude]], 0,4)</f>
        <v/>
      </c>
      <c r="AE121" s="65" t="str" cm="1">
        <f t="array" ref="AE121">Common_InputFunctions.Utility_DisplayArrayInTable(Fertiliser_SourceData.Fertiliser_Products_Data1(),FertiliserProducts[[#Headers],[Include or Exclude]], 0,4)</f>
        <v/>
      </c>
    </row>
    <row r="122" spans="4:31" ht="20.100000000000001" customHeight="1" x14ac:dyDescent="0.25">
      <c r="D122" s="65" t="str" cm="1">
        <f t="array" ref="D122">Common_InputFunctions.Utility_DisplayArrayInTable(Fertiliser_SourceData.Fertiliser_Products_Data1(),FertiliserProducts[[#Headers],[Include or Exclude]], -1)</f>
        <v/>
      </c>
      <c r="E122" s="65" t="str" cm="1">
        <f t="array" ref="E122">Common_InputFunctions.Utility_DisplayArrayInTable(Fertiliser_SourceData.Fertiliser_Products_Data1(),FertiliserProducts[[#Headers],[Include or Exclude]], 0)</f>
        <v/>
      </c>
      <c r="F122" s="65" t="str" cm="1">
        <f t="array" ref="F122">Common_InputFunctions.Utility_DisplayArrayInTable(Fertiliser_SourceData.Fertiliser_Products_Data1(),FertiliserProducts[[#Headers],[Include or Exclude]], 0)</f>
        <v/>
      </c>
      <c r="G122" s="65" t="str" cm="1">
        <f t="array" ref="G122">Common_InputFunctions.Utility_DisplayArrayInTable(Fertiliser_SourceData.Fertiliser_Products_Data1(),FertiliserProducts[[#Headers],[Include or Exclude]], 0)</f>
        <v/>
      </c>
      <c r="H122" s="65" t="str" cm="1">
        <f t="array" ref="H122">Common_InputFunctions.Utility_DisplayArrayInTable(Fertiliser_SourceData.Fertiliser_Products_Data1(),FertiliserProducts[[#Headers],[Include or Exclude]], 0,4)</f>
        <v/>
      </c>
      <c r="I122" s="65" t="str" cm="1">
        <f t="array" ref="I122">Common_InputFunctions.Utility_DisplayArrayInTable(Fertiliser_SourceData.Fertiliser_Products_Data1(),FertiliserProducts[[#Headers],[Include or Exclude]], 0,4)</f>
        <v/>
      </c>
      <c r="J122" s="65" t="str" cm="1">
        <f t="array" ref="J122">Common_InputFunctions.Utility_DisplayArrayInTable(Fertiliser_SourceData.Fertiliser_Products_Data1(),FertiliserProducts[[#Headers],[Include or Exclude]], 0,4)</f>
        <v/>
      </c>
      <c r="K122" s="65" t="str" cm="1">
        <f t="array" ref="K122">Common_InputFunctions.Utility_DisplayArrayInTable(Fertiliser_SourceData.Fertiliser_Products_Data1(),FertiliserProducts[[#Headers],[Include or Exclude]], 0,4)</f>
        <v/>
      </c>
      <c r="L122" s="65" t="str" cm="1">
        <f t="array" ref="L122">Common_InputFunctions.Utility_DisplayArrayInTable(Fertiliser_SourceData.Fertiliser_Products_Data1(),FertiliserProducts[[#Headers],[Include or Exclude]], 0,4)</f>
        <v/>
      </c>
      <c r="M122" s="65" t="str" cm="1">
        <f t="array" ref="M122">Common_InputFunctions.Utility_DisplayArrayInTable(Fertiliser_SourceData.Fertiliser_Products_Data1(),FertiliserProducts[[#Headers],[Include or Exclude]], 0,4)</f>
        <v/>
      </c>
      <c r="N122" s="65" t="str" cm="1">
        <f t="array" ref="N122">Common_InputFunctions.Utility_DisplayArrayInTable(Fertiliser_SourceData.Fertiliser_Products_Data1(),FertiliserProducts[[#Headers],[Include or Exclude]], 0,4)</f>
        <v/>
      </c>
      <c r="O122" s="65" t="str" cm="1">
        <f t="array" ref="O122">Common_InputFunctions.Utility_DisplayArrayInTable(Fertiliser_SourceData.Fertiliser_Products_Data1(),FertiliserProducts[[#Headers],[Include or Exclude]], 0,4)</f>
        <v/>
      </c>
      <c r="P122" s="65" t="str" cm="1">
        <f t="array" ref="P122">Common_InputFunctions.Utility_DisplayArrayInTable(Fertiliser_SourceData.Fertiliser_Products_Data1(),FertiliserProducts[[#Headers],[Include or Exclude]], 0,4)</f>
        <v/>
      </c>
      <c r="Q122" s="65" t="str" cm="1">
        <f t="array" ref="Q122">Common_InputFunctions.Utility_DisplayArrayInTable(Fertiliser_SourceData.Fertiliser_Products_Data1(),FertiliserProducts[[#Headers],[Include or Exclude]], 0,4)</f>
        <v/>
      </c>
      <c r="R122" s="65" t="str" cm="1">
        <f t="array" ref="R122">Common_InputFunctions.Utility_DisplayArrayInTable(Fertiliser_SourceData.Fertiliser_Products_Data1(),FertiliserProducts[[#Headers],[Include or Exclude]], 0,4)</f>
        <v/>
      </c>
      <c r="S122" s="65" t="str" cm="1">
        <f t="array" ref="S122">Common_InputFunctions.Utility_DisplayArrayInTable(Fertiliser_SourceData.Fertiliser_Products_Data1(),FertiliserProducts[[#Headers],[Include or Exclude]], 0,4)</f>
        <v/>
      </c>
      <c r="T122" s="65" t="str" cm="1">
        <f t="array" ref="T122">Common_InputFunctions.Utility_DisplayArrayInTable(Fertiliser_SourceData.Fertiliser_Products_Data1(),FertiliserProducts[[#Headers],[Include or Exclude]], 0,4)</f>
        <v/>
      </c>
      <c r="U122" s="65" t="str" cm="1">
        <f t="array" ref="U122">Common_InputFunctions.Utility_DisplayArrayInTable(Fertiliser_SourceData.Fertiliser_Products_Data1(),FertiliserProducts[[#Headers],[Include or Exclude]], 0,4)</f>
        <v/>
      </c>
      <c r="V122" s="65" t="str" cm="1">
        <f t="array" ref="V122">Common_InputFunctions.Utility_DisplayArrayInTable(Fertiliser_SourceData.Fertiliser_Products_Data1(),FertiliserProducts[[#Headers],[Include or Exclude]], 0,4)</f>
        <v/>
      </c>
      <c r="W122" s="65" t="str" cm="1">
        <f t="array" ref="W122">Common_InputFunctions.Utility_DisplayArrayInTable(Fertiliser_SourceData.Fertiliser_Products_Data1(),FertiliserProducts[[#Headers],[Include or Exclude]], 0,4)</f>
        <v/>
      </c>
      <c r="X122" s="65" t="str" cm="1">
        <f t="array" ref="X122">Common_InputFunctions.Utility_DisplayArrayInTable(Fertiliser_SourceData.Fertiliser_Products_Data1(),FertiliserProducts[[#Headers],[Include or Exclude]], 0,4)</f>
        <v/>
      </c>
      <c r="Y122" s="65" t="str" cm="1">
        <f t="array" ref="Y122">Common_InputFunctions.Utility_DisplayArrayInTable(Fertiliser_SourceData.Fertiliser_Products_Data1(),FertiliserProducts[[#Headers],[Include or Exclude]], 0,4)</f>
        <v/>
      </c>
      <c r="Z122" s="65" t="str" cm="1">
        <f t="array" ref="Z122">Common_InputFunctions.Utility_DisplayArrayInTable(Fertiliser_SourceData.Fertiliser_Products_Data1(),FertiliserProducts[[#Headers],[Include or Exclude]], 0,4)</f>
        <v/>
      </c>
      <c r="AA122" s="65" t="str" cm="1">
        <f t="array" ref="AA122">Common_InputFunctions.Utility_DisplayArrayInTable(Fertiliser_SourceData.Fertiliser_Products_Data1(),FertiliserProducts[[#Headers],[Include or Exclude]], 0,4)</f>
        <v/>
      </c>
      <c r="AB122" s="65" t="str" cm="1">
        <f t="array" ref="AB122">Common_InputFunctions.Utility_DisplayArrayInTable(Fertiliser_SourceData.Fertiliser_Products_Data1(),FertiliserProducts[[#Headers],[Include or Exclude]], 0,4)</f>
        <v/>
      </c>
      <c r="AC122" s="65" t="str" cm="1">
        <f t="array" ref="AC122">Common_InputFunctions.Utility_DisplayArrayInTable(Fertiliser_SourceData.Fertiliser_Products_Data1(),FertiliserProducts[[#Headers],[Include or Exclude]], 0,4)</f>
        <v/>
      </c>
      <c r="AD122" s="65" t="str" cm="1">
        <f t="array" ref="AD122">Common_InputFunctions.Utility_DisplayArrayInTable(Fertiliser_SourceData.Fertiliser_Products_Data1(),FertiliserProducts[[#Headers],[Include or Exclude]], 0,4)</f>
        <v/>
      </c>
      <c r="AE122" s="65" t="str" cm="1">
        <f t="array" ref="AE122">Common_InputFunctions.Utility_DisplayArrayInTable(Fertiliser_SourceData.Fertiliser_Products_Data1(),FertiliserProducts[[#Headers],[Include or Exclude]], 0,4)</f>
        <v/>
      </c>
    </row>
    <row r="123" spans="4:31" ht="20.100000000000001" customHeight="1" x14ac:dyDescent="0.25">
      <c r="D123" s="65" t="str" cm="1">
        <f t="array" ref="D123">Common_InputFunctions.Utility_DisplayArrayInTable(Fertiliser_SourceData.Fertiliser_Products_Data1(),FertiliserProducts[[#Headers],[Include or Exclude]], -1)</f>
        <v/>
      </c>
      <c r="E123" s="65" t="str" cm="1">
        <f t="array" ref="E123">Common_InputFunctions.Utility_DisplayArrayInTable(Fertiliser_SourceData.Fertiliser_Products_Data1(),FertiliserProducts[[#Headers],[Include or Exclude]], 0)</f>
        <v/>
      </c>
      <c r="F123" s="65" t="str" cm="1">
        <f t="array" ref="F123">Common_InputFunctions.Utility_DisplayArrayInTable(Fertiliser_SourceData.Fertiliser_Products_Data1(),FertiliserProducts[[#Headers],[Include or Exclude]], 0)</f>
        <v/>
      </c>
      <c r="G123" s="65" t="str" cm="1">
        <f t="array" ref="G123">Common_InputFunctions.Utility_DisplayArrayInTable(Fertiliser_SourceData.Fertiliser_Products_Data1(),FertiliserProducts[[#Headers],[Include or Exclude]], 0)</f>
        <v/>
      </c>
      <c r="H123" s="65" t="str" cm="1">
        <f t="array" ref="H123">Common_InputFunctions.Utility_DisplayArrayInTable(Fertiliser_SourceData.Fertiliser_Products_Data1(),FertiliserProducts[[#Headers],[Include or Exclude]], 0,4)</f>
        <v/>
      </c>
      <c r="I123" s="65" t="str" cm="1">
        <f t="array" ref="I123">Common_InputFunctions.Utility_DisplayArrayInTable(Fertiliser_SourceData.Fertiliser_Products_Data1(),FertiliserProducts[[#Headers],[Include or Exclude]], 0,4)</f>
        <v/>
      </c>
      <c r="J123" s="65" t="str" cm="1">
        <f t="array" ref="J123">Common_InputFunctions.Utility_DisplayArrayInTable(Fertiliser_SourceData.Fertiliser_Products_Data1(),FertiliserProducts[[#Headers],[Include or Exclude]], 0,4)</f>
        <v/>
      </c>
      <c r="K123" s="65" t="str" cm="1">
        <f t="array" ref="K123">Common_InputFunctions.Utility_DisplayArrayInTable(Fertiliser_SourceData.Fertiliser_Products_Data1(),FertiliserProducts[[#Headers],[Include or Exclude]], 0,4)</f>
        <v/>
      </c>
      <c r="L123" s="65" t="str" cm="1">
        <f t="array" ref="L123">Common_InputFunctions.Utility_DisplayArrayInTable(Fertiliser_SourceData.Fertiliser_Products_Data1(),FertiliserProducts[[#Headers],[Include or Exclude]], 0,4)</f>
        <v/>
      </c>
      <c r="M123" s="65" t="str" cm="1">
        <f t="array" ref="M123">Common_InputFunctions.Utility_DisplayArrayInTable(Fertiliser_SourceData.Fertiliser_Products_Data1(),FertiliserProducts[[#Headers],[Include or Exclude]], 0,4)</f>
        <v/>
      </c>
      <c r="N123" s="65" t="str" cm="1">
        <f t="array" ref="N123">Common_InputFunctions.Utility_DisplayArrayInTable(Fertiliser_SourceData.Fertiliser_Products_Data1(),FertiliserProducts[[#Headers],[Include or Exclude]], 0,4)</f>
        <v/>
      </c>
      <c r="O123" s="65" t="str" cm="1">
        <f t="array" ref="O123">Common_InputFunctions.Utility_DisplayArrayInTable(Fertiliser_SourceData.Fertiliser_Products_Data1(),FertiliserProducts[[#Headers],[Include or Exclude]], 0,4)</f>
        <v/>
      </c>
      <c r="P123" s="65" t="str" cm="1">
        <f t="array" ref="P123">Common_InputFunctions.Utility_DisplayArrayInTable(Fertiliser_SourceData.Fertiliser_Products_Data1(),FertiliserProducts[[#Headers],[Include or Exclude]], 0,4)</f>
        <v/>
      </c>
      <c r="Q123" s="65" t="str" cm="1">
        <f t="array" ref="Q123">Common_InputFunctions.Utility_DisplayArrayInTable(Fertiliser_SourceData.Fertiliser_Products_Data1(),FertiliserProducts[[#Headers],[Include or Exclude]], 0,4)</f>
        <v/>
      </c>
      <c r="R123" s="65" t="str" cm="1">
        <f t="array" ref="R123">Common_InputFunctions.Utility_DisplayArrayInTable(Fertiliser_SourceData.Fertiliser_Products_Data1(),FertiliserProducts[[#Headers],[Include or Exclude]], 0,4)</f>
        <v/>
      </c>
      <c r="S123" s="65" t="str" cm="1">
        <f t="array" ref="S123">Common_InputFunctions.Utility_DisplayArrayInTable(Fertiliser_SourceData.Fertiliser_Products_Data1(),FertiliserProducts[[#Headers],[Include or Exclude]], 0,4)</f>
        <v/>
      </c>
      <c r="T123" s="65" t="str" cm="1">
        <f t="array" ref="T123">Common_InputFunctions.Utility_DisplayArrayInTable(Fertiliser_SourceData.Fertiliser_Products_Data1(),FertiliserProducts[[#Headers],[Include or Exclude]], 0,4)</f>
        <v/>
      </c>
      <c r="U123" s="65" t="str" cm="1">
        <f t="array" ref="U123">Common_InputFunctions.Utility_DisplayArrayInTable(Fertiliser_SourceData.Fertiliser_Products_Data1(),FertiliserProducts[[#Headers],[Include or Exclude]], 0,4)</f>
        <v/>
      </c>
      <c r="V123" s="65" t="str" cm="1">
        <f t="array" ref="V123">Common_InputFunctions.Utility_DisplayArrayInTable(Fertiliser_SourceData.Fertiliser_Products_Data1(),FertiliserProducts[[#Headers],[Include or Exclude]], 0,4)</f>
        <v/>
      </c>
      <c r="W123" s="65" t="str" cm="1">
        <f t="array" ref="W123">Common_InputFunctions.Utility_DisplayArrayInTable(Fertiliser_SourceData.Fertiliser_Products_Data1(),FertiliserProducts[[#Headers],[Include or Exclude]], 0,4)</f>
        <v/>
      </c>
      <c r="X123" s="65" t="str" cm="1">
        <f t="array" ref="X123">Common_InputFunctions.Utility_DisplayArrayInTable(Fertiliser_SourceData.Fertiliser_Products_Data1(),FertiliserProducts[[#Headers],[Include or Exclude]], 0,4)</f>
        <v/>
      </c>
      <c r="Y123" s="65" t="str" cm="1">
        <f t="array" ref="Y123">Common_InputFunctions.Utility_DisplayArrayInTable(Fertiliser_SourceData.Fertiliser_Products_Data1(),FertiliserProducts[[#Headers],[Include or Exclude]], 0,4)</f>
        <v/>
      </c>
      <c r="Z123" s="65" t="str" cm="1">
        <f t="array" ref="Z123">Common_InputFunctions.Utility_DisplayArrayInTable(Fertiliser_SourceData.Fertiliser_Products_Data1(),FertiliserProducts[[#Headers],[Include or Exclude]], 0,4)</f>
        <v/>
      </c>
      <c r="AA123" s="65" t="str" cm="1">
        <f t="array" ref="AA123">Common_InputFunctions.Utility_DisplayArrayInTable(Fertiliser_SourceData.Fertiliser_Products_Data1(),FertiliserProducts[[#Headers],[Include or Exclude]], 0,4)</f>
        <v/>
      </c>
      <c r="AB123" s="65" t="str" cm="1">
        <f t="array" ref="AB123">Common_InputFunctions.Utility_DisplayArrayInTable(Fertiliser_SourceData.Fertiliser_Products_Data1(),FertiliserProducts[[#Headers],[Include or Exclude]], 0,4)</f>
        <v/>
      </c>
      <c r="AC123" s="65" t="str" cm="1">
        <f t="array" ref="AC123">Common_InputFunctions.Utility_DisplayArrayInTable(Fertiliser_SourceData.Fertiliser_Products_Data1(),FertiliserProducts[[#Headers],[Include or Exclude]], 0,4)</f>
        <v/>
      </c>
      <c r="AD123" s="65" t="str" cm="1">
        <f t="array" ref="AD123">Common_InputFunctions.Utility_DisplayArrayInTable(Fertiliser_SourceData.Fertiliser_Products_Data1(),FertiliserProducts[[#Headers],[Include or Exclude]], 0,4)</f>
        <v/>
      </c>
      <c r="AE123" s="65" t="str" cm="1">
        <f t="array" ref="AE123">Common_InputFunctions.Utility_DisplayArrayInTable(Fertiliser_SourceData.Fertiliser_Products_Data1(),FertiliserProducts[[#Headers],[Include or Exclude]], 0,4)</f>
        <v/>
      </c>
    </row>
    <row r="124" spans="4:31" ht="20.100000000000001" customHeight="1" x14ac:dyDescent="0.25">
      <c r="D124" s="65" t="str" cm="1">
        <f t="array" ref="D124">Common_InputFunctions.Utility_DisplayArrayInTable(Fertiliser_SourceData.Fertiliser_Products_Data1(),FertiliserProducts[[#Headers],[Include or Exclude]], -1)</f>
        <v/>
      </c>
      <c r="E124" s="65" t="str" cm="1">
        <f t="array" ref="E124">Common_InputFunctions.Utility_DisplayArrayInTable(Fertiliser_SourceData.Fertiliser_Products_Data1(),FertiliserProducts[[#Headers],[Include or Exclude]], 0)</f>
        <v/>
      </c>
      <c r="F124" s="65" t="str" cm="1">
        <f t="array" ref="F124">Common_InputFunctions.Utility_DisplayArrayInTable(Fertiliser_SourceData.Fertiliser_Products_Data1(),FertiliserProducts[[#Headers],[Include or Exclude]], 0)</f>
        <v/>
      </c>
      <c r="G124" s="65" t="str" cm="1">
        <f t="array" ref="G124">Common_InputFunctions.Utility_DisplayArrayInTable(Fertiliser_SourceData.Fertiliser_Products_Data1(),FertiliserProducts[[#Headers],[Include or Exclude]], 0)</f>
        <v/>
      </c>
      <c r="H124" s="65" t="str" cm="1">
        <f t="array" ref="H124">Common_InputFunctions.Utility_DisplayArrayInTable(Fertiliser_SourceData.Fertiliser_Products_Data1(),FertiliserProducts[[#Headers],[Include or Exclude]], 0,4)</f>
        <v/>
      </c>
      <c r="I124" s="65" t="str" cm="1">
        <f t="array" ref="I124">Common_InputFunctions.Utility_DisplayArrayInTable(Fertiliser_SourceData.Fertiliser_Products_Data1(),FertiliserProducts[[#Headers],[Include or Exclude]], 0,4)</f>
        <v/>
      </c>
      <c r="J124" s="65" t="str" cm="1">
        <f t="array" ref="J124">Common_InputFunctions.Utility_DisplayArrayInTable(Fertiliser_SourceData.Fertiliser_Products_Data1(),FertiliserProducts[[#Headers],[Include or Exclude]], 0,4)</f>
        <v/>
      </c>
      <c r="K124" s="65" t="str" cm="1">
        <f t="array" ref="K124">Common_InputFunctions.Utility_DisplayArrayInTable(Fertiliser_SourceData.Fertiliser_Products_Data1(),FertiliserProducts[[#Headers],[Include or Exclude]], 0,4)</f>
        <v/>
      </c>
      <c r="L124" s="65" t="str" cm="1">
        <f t="array" ref="L124">Common_InputFunctions.Utility_DisplayArrayInTable(Fertiliser_SourceData.Fertiliser_Products_Data1(),FertiliserProducts[[#Headers],[Include or Exclude]], 0,4)</f>
        <v/>
      </c>
      <c r="M124" s="65" t="str" cm="1">
        <f t="array" ref="M124">Common_InputFunctions.Utility_DisplayArrayInTable(Fertiliser_SourceData.Fertiliser_Products_Data1(),FertiliserProducts[[#Headers],[Include or Exclude]], 0,4)</f>
        <v/>
      </c>
      <c r="N124" s="65" t="str" cm="1">
        <f t="array" ref="N124">Common_InputFunctions.Utility_DisplayArrayInTable(Fertiliser_SourceData.Fertiliser_Products_Data1(),FertiliserProducts[[#Headers],[Include or Exclude]], 0,4)</f>
        <v/>
      </c>
      <c r="O124" s="65" t="str" cm="1">
        <f t="array" ref="O124">Common_InputFunctions.Utility_DisplayArrayInTable(Fertiliser_SourceData.Fertiliser_Products_Data1(),FertiliserProducts[[#Headers],[Include or Exclude]], 0,4)</f>
        <v/>
      </c>
      <c r="P124" s="65" t="str" cm="1">
        <f t="array" ref="P124">Common_InputFunctions.Utility_DisplayArrayInTable(Fertiliser_SourceData.Fertiliser_Products_Data1(),FertiliserProducts[[#Headers],[Include or Exclude]], 0,4)</f>
        <v/>
      </c>
      <c r="Q124" s="65" t="str" cm="1">
        <f t="array" ref="Q124">Common_InputFunctions.Utility_DisplayArrayInTable(Fertiliser_SourceData.Fertiliser_Products_Data1(),FertiliserProducts[[#Headers],[Include or Exclude]], 0,4)</f>
        <v/>
      </c>
      <c r="R124" s="65" t="str" cm="1">
        <f t="array" ref="R124">Common_InputFunctions.Utility_DisplayArrayInTable(Fertiliser_SourceData.Fertiliser_Products_Data1(),FertiliserProducts[[#Headers],[Include or Exclude]], 0,4)</f>
        <v/>
      </c>
      <c r="S124" s="65" t="str" cm="1">
        <f t="array" ref="S124">Common_InputFunctions.Utility_DisplayArrayInTable(Fertiliser_SourceData.Fertiliser_Products_Data1(),FertiliserProducts[[#Headers],[Include or Exclude]], 0,4)</f>
        <v/>
      </c>
      <c r="T124" s="65" t="str" cm="1">
        <f t="array" ref="T124">Common_InputFunctions.Utility_DisplayArrayInTable(Fertiliser_SourceData.Fertiliser_Products_Data1(),FertiliserProducts[[#Headers],[Include or Exclude]], 0,4)</f>
        <v/>
      </c>
      <c r="U124" s="65" t="str" cm="1">
        <f t="array" ref="U124">Common_InputFunctions.Utility_DisplayArrayInTable(Fertiliser_SourceData.Fertiliser_Products_Data1(),FertiliserProducts[[#Headers],[Include or Exclude]], 0,4)</f>
        <v/>
      </c>
      <c r="V124" s="65" t="str" cm="1">
        <f t="array" ref="V124">Common_InputFunctions.Utility_DisplayArrayInTable(Fertiliser_SourceData.Fertiliser_Products_Data1(),FertiliserProducts[[#Headers],[Include or Exclude]], 0,4)</f>
        <v/>
      </c>
      <c r="W124" s="65" t="str" cm="1">
        <f t="array" ref="W124">Common_InputFunctions.Utility_DisplayArrayInTable(Fertiliser_SourceData.Fertiliser_Products_Data1(),FertiliserProducts[[#Headers],[Include or Exclude]], 0,4)</f>
        <v/>
      </c>
      <c r="X124" s="65" t="str" cm="1">
        <f t="array" ref="X124">Common_InputFunctions.Utility_DisplayArrayInTable(Fertiliser_SourceData.Fertiliser_Products_Data1(),FertiliserProducts[[#Headers],[Include or Exclude]], 0,4)</f>
        <v/>
      </c>
      <c r="Y124" s="65" t="str" cm="1">
        <f t="array" ref="Y124">Common_InputFunctions.Utility_DisplayArrayInTable(Fertiliser_SourceData.Fertiliser_Products_Data1(),FertiliserProducts[[#Headers],[Include or Exclude]], 0,4)</f>
        <v/>
      </c>
      <c r="Z124" s="65" t="str" cm="1">
        <f t="array" ref="Z124">Common_InputFunctions.Utility_DisplayArrayInTable(Fertiliser_SourceData.Fertiliser_Products_Data1(),FertiliserProducts[[#Headers],[Include or Exclude]], 0,4)</f>
        <v/>
      </c>
      <c r="AA124" s="65" t="str" cm="1">
        <f t="array" ref="AA124">Common_InputFunctions.Utility_DisplayArrayInTable(Fertiliser_SourceData.Fertiliser_Products_Data1(),FertiliserProducts[[#Headers],[Include or Exclude]], 0,4)</f>
        <v/>
      </c>
      <c r="AB124" s="65" t="str" cm="1">
        <f t="array" ref="AB124">Common_InputFunctions.Utility_DisplayArrayInTable(Fertiliser_SourceData.Fertiliser_Products_Data1(),FertiliserProducts[[#Headers],[Include or Exclude]], 0,4)</f>
        <v/>
      </c>
      <c r="AC124" s="65" t="str" cm="1">
        <f t="array" ref="AC124">Common_InputFunctions.Utility_DisplayArrayInTable(Fertiliser_SourceData.Fertiliser_Products_Data1(),FertiliserProducts[[#Headers],[Include or Exclude]], 0,4)</f>
        <v/>
      </c>
      <c r="AD124" s="65" t="str" cm="1">
        <f t="array" ref="AD124">Common_InputFunctions.Utility_DisplayArrayInTable(Fertiliser_SourceData.Fertiliser_Products_Data1(),FertiliserProducts[[#Headers],[Include or Exclude]], 0,4)</f>
        <v/>
      </c>
      <c r="AE124" s="65" t="str" cm="1">
        <f t="array" ref="AE124">Common_InputFunctions.Utility_DisplayArrayInTable(Fertiliser_SourceData.Fertiliser_Products_Data1(),FertiliserProducts[[#Headers],[Include or Exclude]], 0,4)</f>
        <v/>
      </c>
    </row>
    <row r="125" spans="4:31" ht="20.100000000000001" customHeight="1" x14ac:dyDescent="0.25">
      <c r="D125" s="65" t="str" cm="1">
        <f t="array" ref="D125">Common_InputFunctions.Utility_DisplayArrayInTable(Fertiliser_SourceData.Fertiliser_Products_Data1(),FertiliserProducts[[#Headers],[Include or Exclude]], -1)</f>
        <v/>
      </c>
      <c r="E125" s="65" t="str" cm="1">
        <f t="array" ref="E125">Common_InputFunctions.Utility_DisplayArrayInTable(Fertiliser_SourceData.Fertiliser_Products_Data1(),FertiliserProducts[[#Headers],[Include or Exclude]], 0)</f>
        <v/>
      </c>
      <c r="F125" s="65" t="str" cm="1">
        <f t="array" ref="F125">Common_InputFunctions.Utility_DisplayArrayInTable(Fertiliser_SourceData.Fertiliser_Products_Data1(),FertiliserProducts[[#Headers],[Include or Exclude]], 0)</f>
        <v/>
      </c>
      <c r="G125" s="65" t="str" cm="1">
        <f t="array" ref="G125">Common_InputFunctions.Utility_DisplayArrayInTable(Fertiliser_SourceData.Fertiliser_Products_Data1(),FertiliserProducts[[#Headers],[Include or Exclude]], 0)</f>
        <v/>
      </c>
      <c r="H125" s="65" t="str" cm="1">
        <f t="array" ref="H125">Common_InputFunctions.Utility_DisplayArrayInTable(Fertiliser_SourceData.Fertiliser_Products_Data1(),FertiliserProducts[[#Headers],[Include or Exclude]], 0,4)</f>
        <v/>
      </c>
      <c r="I125" s="65" t="str" cm="1">
        <f t="array" ref="I125">Common_InputFunctions.Utility_DisplayArrayInTable(Fertiliser_SourceData.Fertiliser_Products_Data1(),FertiliserProducts[[#Headers],[Include or Exclude]], 0,4)</f>
        <v/>
      </c>
      <c r="J125" s="65" t="str" cm="1">
        <f t="array" ref="J125">Common_InputFunctions.Utility_DisplayArrayInTable(Fertiliser_SourceData.Fertiliser_Products_Data1(),FertiliserProducts[[#Headers],[Include or Exclude]], 0,4)</f>
        <v/>
      </c>
      <c r="K125" s="65" t="str" cm="1">
        <f t="array" ref="K125">Common_InputFunctions.Utility_DisplayArrayInTable(Fertiliser_SourceData.Fertiliser_Products_Data1(),FertiliserProducts[[#Headers],[Include or Exclude]], 0,4)</f>
        <v/>
      </c>
      <c r="L125" s="65" t="str" cm="1">
        <f t="array" ref="L125">Common_InputFunctions.Utility_DisplayArrayInTable(Fertiliser_SourceData.Fertiliser_Products_Data1(),FertiliserProducts[[#Headers],[Include or Exclude]], 0,4)</f>
        <v/>
      </c>
      <c r="M125" s="65" t="str" cm="1">
        <f t="array" ref="M125">Common_InputFunctions.Utility_DisplayArrayInTable(Fertiliser_SourceData.Fertiliser_Products_Data1(),FertiliserProducts[[#Headers],[Include or Exclude]], 0,4)</f>
        <v/>
      </c>
      <c r="N125" s="65" t="str" cm="1">
        <f t="array" ref="N125">Common_InputFunctions.Utility_DisplayArrayInTable(Fertiliser_SourceData.Fertiliser_Products_Data1(),FertiliserProducts[[#Headers],[Include or Exclude]], 0,4)</f>
        <v/>
      </c>
      <c r="O125" s="65" t="str" cm="1">
        <f t="array" ref="O125">Common_InputFunctions.Utility_DisplayArrayInTable(Fertiliser_SourceData.Fertiliser_Products_Data1(),FertiliserProducts[[#Headers],[Include or Exclude]], 0,4)</f>
        <v/>
      </c>
      <c r="P125" s="65" t="str" cm="1">
        <f t="array" ref="P125">Common_InputFunctions.Utility_DisplayArrayInTable(Fertiliser_SourceData.Fertiliser_Products_Data1(),FertiliserProducts[[#Headers],[Include or Exclude]], 0,4)</f>
        <v/>
      </c>
      <c r="Q125" s="65" t="str" cm="1">
        <f t="array" ref="Q125">Common_InputFunctions.Utility_DisplayArrayInTable(Fertiliser_SourceData.Fertiliser_Products_Data1(),FertiliserProducts[[#Headers],[Include or Exclude]], 0,4)</f>
        <v/>
      </c>
      <c r="R125" s="65" t="str" cm="1">
        <f t="array" ref="R125">Common_InputFunctions.Utility_DisplayArrayInTable(Fertiliser_SourceData.Fertiliser_Products_Data1(),FertiliserProducts[[#Headers],[Include or Exclude]], 0,4)</f>
        <v/>
      </c>
      <c r="S125" s="65" t="str" cm="1">
        <f t="array" ref="S125">Common_InputFunctions.Utility_DisplayArrayInTable(Fertiliser_SourceData.Fertiliser_Products_Data1(),FertiliserProducts[[#Headers],[Include or Exclude]], 0,4)</f>
        <v/>
      </c>
      <c r="T125" s="65" t="str" cm="1">
        <f t="array" ref="T125">Common_InputFunctions.Utility_DisplayArrayInTable(Fertiliser_SourceData.Fertiliser_Products_Data1(),FertiliserProducts[[#Headers],[Include or Exclude]], 0,4)</f>
        <v/>
      </c>
      <c r="U125" s="65" t="str" cm="1">
        <f t="array" ref="U125">Common_InputFunctions.Utility_DisplayArrayInTable(Fertiliser_SourceData.Fertiliser_Products_Data1(),FertiliserProducts[[#Headers],[Include or Exclude]], 0,4)</f>
        <v/>
      </c>
      <c r="V125" s="65" t="str" cm="1">
        <f t="array" ref="V125">Common_InputFunctions.Utility_DisplayArrayInTable(Fertiliser_SourceData.Fertiliser_Products_Data1(),FertiliserProducts[[#Headers],[Include or Exclude]], 0,4)</f>
        <v/>
      </c>
      <c r="W125" s="65" t="str" cm="1">
        <f t="array" ref="W125">Common_InputFunctions.Utility_DisplayArrayInTable(Fertiliser_SourceData.Fertiliser_Products_Data1(),FertiliserProducts[[#Headers],[Include or Exclude]], 0,4)</f>
        <v/>
      </c>
      <c r="X125" s="65" t="str" cm="1">
        <f t="array" ref="X125">Common_InputFunctions.Utility_DisplayArrayInTable(Fertiliser_SourceData.Fertiliser_Products_Data1(),FertiliserProducts[[#Headers],[Include or Exclude]], 0,4)</f>
        <v/>
      </c>
      <c r="Y125" s="65" t="str" cm="1">
        <f t="array" ref="Y125">Common_InputFunctions.Utility_DisplayArrayInTable(Fertiliser_SourceData.Fertiliser_Products_Data1(),FertiliserProducts[[#Headers],[Include or Exclude]], 0,4)</f>
        <v/>
      </c>
      <c r="Z125" s="65" t="str" cm="1">
        <f t="array" ref="Z125">Common_InputFunctions.Utility_DisplayArrayInTable(Fertiliser_SourceData.Fertiliser_Products_Data1(),FertiliserProducts[[#Headers],[Include or Exclude]], 0,4)</f>
        <v/>
      </c>
      <c r="AA125" s="65" t="str" cm="1">
        <f t="array" ref="AA125">Common_InputFunctions.Utility_DisplayArrayInTable(Fertiliser_SourceData.Fertiliser_Products_Data1(),FertiliserProducts[[#Headers],[Include or Exclude]], 0,4)</f>
        <v/>
      </c>
      <c r="AB125" s="65" t="str" cm="1">
        <f t="array" ref="AB125">Common_InputFunctions.Utility_DisplayArrayInTable(Fertiliser_SourceData.Fertiliser_Products_Data1(),FertiliserProducts[[#Headers],[Include or Exclude]], 0,4)</f>
        <v/>
      </c>
      <c r="AC125" s="65" t="str" cm="1">
        <f t="array" ref="AC125">Common_InputFunctions.Utility_DisplayArrayInTable(Fertiliser_SourceData.Fertiliser_Products_Data1(),FertiliserProducts[[#Headers],[Include or Exclude]], 0,4)</f>
        <v/>
      </c>
      <c r="AD125" s="65" t="str" cm="1">
        <f t="array" ref="AD125">Common_InputFunctions.Utility_DisplayArrayInTable(Fertiliser_SourceData.Fertiliser_Products_Data1(),FertiliserProducts[[#Headers],[Include or Exclude]], 0,4)</f>
        <v/>
      </c>
      <c r="AE125" s="65" t="str" cm="1">
        <f t="array" ref="AE125">Common_InputFunctions.Utility_DisplayArrayInTable(Fertiliser_SourceData.Fertiliser_Products_Data1(),FertiliserProducts[[#Headers],[Include or Exclude]], 0,4)</f>
        <v/>
      </c>
    </row>
    <row r="126" spans="4:31" ht="20.100000000000001" customHeight="1" x14ac:dyDescent="0.25">
      <c r="D126" s="65" t="str" cm="1">
        <f t="array" ref="D126">Common_InputFunctions.Utility_DisplayArrayInTable(Fertiliser_SourceData.Fertiliser_Products_Data1(),FertiliserProducts[[#Headers],[Include or Exclude]], -1)</f>
        <v/>
      </c>
      <c r="E126" s="65" t="str" cm="1">
        <f t="array" ref="E126">Common_InputFunctions.Utility_DisplayArrayInTable(Fertiliser_SourceData.Fertiliser_Products_Data1(),FertiliserProducts[[#Headers],[Include or Exclude]], 0)</f>
        <v/>
      </c>
      <c r="F126" s="65" t="str" cm="1">
        <f t="array" ref="F126">Common_InputFunctions.Utility_DisplayArrayInTable(Fertiliser_SourceData.Fertiliser_Products_Data1(),FertiliserProducts[[#Headers],[Include or Exclude]], 0)</f>
        <v/>
      </c>
      <c r="G126" s="65" t="str" cm="1">
        <f t="array" ref="G126">Common_InputFunctions.Utility_DisplayArrayInTable(Fertiliser_SourceData.Fertiliser_Products_Data1(),FertiliserProducts[[#Headers],[Include or Exclude]], 0)</f>
        <v/>
      </c>
      <c r="H126" s="65" t="str" cm="1">
        <f t="array" ref="H126">Common_InputFunctions.Utility_DisplayArrayInTable(Fertiliser_SourceData.Fertiliser_Products_Data1(),FertiliserProducts[[#Headers],[Include or Exclude]], 0,4)</f>
        <v/>
      </c>
      <c r="I126" s="65" t="str" cm="1">
        <f t="array" ref="I126">Common_InputFunctions.Utility_DisplayArrayInTable(Fertiliser_SourceData.Fertiliser_Products_Data1(),FertiliserProducts[[#Headers],[Include or Exclude]], 0,4)</f>
        <v/>
      </c>
      <c r="J126" s="65" t="str" cm="1">
        <f t="array" ref="J126">Common_InputFunctions.Utility_DisplayArrayInTable(Fertiliser_SourceData.Fertiliser_Products_Data1(),FertiliserProducts[[#Headers],[Include or Exclude]], 0,4)</f>
        <v/>
      </c>
      <c r="K126" s="65" t="str" cm="1">
        <f t="array" ref="K126">Common_InputFunctions.Utility_DisplayArrayInTable(Fertiliser_SourceData.Fertiliser_Products_Data1(),FertiliserProducts[[#Headers],[Include or Exclude]], 0,4)</f>
        <v/>
      </c>
      <c r="L126" s="65" t="str" cm="1">
        <f t="array" ref="L126">Common_InputFunctions.Utility_DisplayArrayInTable(Fertiliser_SourceData.Fertiliser_Products_Data1(),FertiliserProducts[[#Headers],[Include or Exclude]], 0,4)</f>
        <v/>
      </c>
      <c r="M126" s="65" t="str" cm="1">
        <f t="array" ref="M126">Common_InputFunctions.Utility_DisplayArrayInTable(Fertiliser_SourceData.Fertiliser_Products_Data1(),FertiliserProducts[[#Headers],[Include or Exclude]], 0,4)</f>
        <v/>
      </c>
      <c r="N126" s="65" t="str" cm="1">
        <f t="array" ref="N126">Common_InputFunctions.Utility_DisplayArrayInTable(Fertiliser_SourceData.Fertiliser_Products_Data1(),FertiliserProducts[[#Headers],[Include or Exclude]], 0,4)</f>
        <v/>
      </c>
      <c r="O126" s="65" t="str" cm="1">
        <f t="array" ref="O126">Common_InputFunctions.Utility_DisplayArrayInTable(Fertiliser_SourceData.Fertiliser_Products_Data1(),FertiliserProducts[[#Headers],[Include or Exclude]], 0,4)</f>
        <v/>
      </c>
      <c r="P126" s="65" t="str" cm="1">
        <f t="array" ref="P126">Common_InputFunctions.Utility_DisplayArrayInTable(Fertiliser_SourceData.Fertiliser_Products_Data1(),FertiliserProducts[[#Headers],[Include or Exclude]], 0,4)</f>
        <v/>
      </c>
      <c r="Q126" s="65" t="str" cm="1">
        <f t="array" ref="Q126">Common_InputFunctions.Utility_DisplayArrayInTable(Fertiliser_SourceData.Fertiliser_Products_Data1(),FertiliserProducts[[#Headers],[Include or Exclude]], 0,4)</f>
        <v/>
      </c>
      <c r="R126" s="65" t="str" cm="1">
        <f t="array" ref="R126">Common_InputFunctions.Utility_DisplayArrayInTable(Fertiliser_SourceData.Fertiliser_Products_Data1(),FertiliserProducts[[#Headers],[Include or Exclude]], 0,4)</f>
        <v/>
      </c>
      <c r="S126" s="65" t="str" cm="1">
        <f t="array" ref="S126">Common_InputFunctions.Utility_DisplayArrayInTable(Fertiliser_SourceData.Fertiliser_Products_Data1(),FertiliserProducts[[#Headers],[Include or Exclude]], 0,4)</f>
        <v/>
      </c>
      <c r="T126" s="65" t="str" cm="1">
        <f t="array" ref="T126">Common_InputFunctions.Utility_DisplayArrayInTable(Fertiliser_SourceData.Fertiliser_Products_Data1(),FertiliserProducts[[#Headers],[Include or Exclude]], 0,4)</f>
        <v/>
      </c>
      <c r="U126" s="65" t="str" cm="1">
        <f t="array" ref="U126">Common_InputFunctions.Utility_DisplayArrayInTable(Fertiliser_SourceData.Fertiliser_Products_Data1(),FertiliserProducts[[#Headers],[Include or Exclude]], 0,4)</f>
        <v/>
      </c>
      <c r="V126" s="65" t="str" cm="1">
        <f t="array" ref="V126">Common_InputFunctions.Utility_DisplayArrayInTable(Fertiliser_SourceData.Fertiliser_Products_Data1(),FertiliserProducts[[#Headers],[Include or Exclude]], 0,4)</f>
        <v/>
      </c>
      <c r="W126" s="65" t="str" cm="1">
        <f t="array" ref="W126">Common_InputFunctions.Utility_DisplayArrayInTable(Fertiliser_SourceData.Fertiliser_Products_Data1(),FertiliserProducts[[#Headers],[Include or Exclude]], 0,4)</f>
        <v/>
      </c>
      <c r="X126" s="65" t="str" cm="1">
        <f t="array" ref="X126">Common_InputFunctions.Utility_DisplayArrayInTable(Fertiliser_SourceData.Fertiliser_Products_Data1(),FertiliserProducts[[#Headers],[Include or Exclude]], 0,4)</f>
        <v/>
      </c>
      <c r="Y126" s="65" t="str" cm="1">
        <f t="array" ref="Y126">Common_InputFunctions.Utility_DisplayArrayInTable(Fertiliser_SourceData.Fertiliser_Products_Data1(),FertiliserProducts[[#Headers],[Include or Exclude]], 0,4)</f>
        <v/>
      </c>
      <c r="Z126" s="65" t="str" cm="1">
        <f t="array" ref="Z126">Common_InputFunctions.Utility_DisplayArrayInTable(Fertiliser_SourceData.Fertiliser_Products_Data1(),FertiliserProducts[[#Headers],[Include or Exclude]], 0,4)</f>
        <v/>
      </c>
      <c r="AA126" s="65" t="str" cm="1">
        <f t="array" ref="AA126">Common_InputFunctions.Utility_DisplayArrayInTable(Fertiliser_SourceData.Fertiliser_Products_Data1(),FertiliserProducts[[#Headers],[Include or Exclude]], 0,4)</f>
        <v/>
      </c>
      <c r="AB126" s="65" t="str" cm="1">
        <f t="array" ref="AB126">Common_InputFunctions.Utility_DisplayArrayInTable(Fertiliser_SourceData.Fertiliser_Products_Data1(),FertiliserProducts[[#Headers],[Include or Exclude]], 0,4)</f>
        <v/>
      </c>
      <c r="AC126" s="65" t="str" cm="1">
        <f t="array" ref="AC126">Common_InputFunctions.Utility_DisplayArrayInTable(Fertiliser_SourceData.Fertiliser_Products_Data1(),FertiliserProducts[[#Headers],[Include or Exclude]], 0,4)</f>
        <v/>
      </c>
      <c r="AD126" s="65" t="str" cm="1">
        <f t="array" ref="AD126">Common_InputFunctions.Utility_DisplayArrayInTable(Fertiliser_SourceData.Fertiliser_Products_Data1(),FertiliserProducts[[#Headers],[Include or Exclude]], 0,4)</f>
        <v/>
      </c>
      <c r="AE126" s="65" t="str" cm="1">
        <f t="array" ref="AE126">Common_InputFunctions.Utility_DisplayArrayInTable(Fertiliser_SourceData.Fertiliser_Products_Data1(),FertiliserProducts[[#Headers],[Include or Exclude]], 0,4)</f>
        <v/>
      </c>
    </row>
    <row r="127" spans="4:31" ht="20.100000000000001" customHeight="1" x14ac:dyDescent="0.25">
      <c r="D127" s="65" t="str" cm="1">
        <f t="array" ref="D127">Common_InputFunctions.Utility_DisplayArrayInTable(Fertiliser_SourceData.Fertiliser_Products_Data1(),FertiliserProducts[[#Headers],[Include or Exclude]], -1)</f>
        <v/>
      </c>
      <c r="E127" s="65" t="str" cm="1">
        <f t="array" ref="E127">Common_InputFunctions.Utility_DisplayArrayInTable(Fertiliser_SourceData.Fertiliser_Products_Data1(),FertiliserProducts[[#Headers],[Include or Exclude]], 0)</f>
        <v/>
      </c>
      <c r="F127" s="65" t="str" cm="1">
        <f t="array" ref="F127">Common_InputFunctions.Utility_DisplayArrayInTable(Fertiliser_SourceData.Fertiliser_Products_Data1(),FertiliserProducts[[#Headers],[Include or Exclude]], 0)</f>
        <v/>
      </c>
      <c r="G127" s="65" t="str" cm="1">
        <f t="array" ref="G127">Common_InputFunctions.Utility_DisplayArrayInTable(Fertiliser_SourceData.Fertiliser_Products_Data1(),FertiliserProducts[[#Headers],[Include or Exclude]], 0)</f>
        <v/>
      </c>
      <c r="H127" s="65" t="str" cm="1">
        <f t="array" ref="H127">Common_InputFunctions.Utility_DisplayArrayInTable(Fertiliser_SourceData.Fertiliser_Products_Data1(),FertiliserProducts[[#Headers],[Include or Exclude]], 0,4)</f>
        <v/>
      </c>
      <c r="I127" s="65" t="str" cm="1">
        <f t="array" ref="I127">Common_InputFunctions.Utility_DisplayArrayInTable(Fertiliser_SourceData.Fertiliser_Products_Data1(),FertiliserProducts[[#Headers],[Include or Exclude]], 0,4)</f>
        <v/>
      </c>
      <c r="J127" s="65" t="str" cm="1">
        <f t="array" ref="J127">Common_InputFunctions.Utility_DisplayArrayInTable(Fertiliser_SourceData.Fertiliser_Products_Data1(),FertiliserProducts[[#Headers],[Include or Exclude]], 0,4)</f>
        <v/>
      </c>
      <c r="K127" s="65" t="str" cm="1">
        <f t="array" ref="K127">Common_InputFunctions.Utility_DisplayArrayInTable(Fertiliser_SourceData.Fertiliser_Products_Data1(),FertiliserProducts[[#Headers],[Include or Exclude]], 0,4)</f>
        <v/>
      </c>
      <c r="L127" s="65" t="str" cm="1">
        <f t="array" ref="L127">Common_InputFunctions.Utility_DisplayArrayInTable(Fertiliser_SourceData.Fertiliser_Products_Data1(),FertiliserProducts[[#Headers],[Include or Exclude]], 0,4)</f>
        <v/>
      </c>
      <c r="M127" s="65" t="str" cm="1">
        <f t="array" ref="M127">Common_InputFunctions.Utility_DisplayArrayInTable(Fertiliser_SourceData.Fertiliser_Products_Data1(),FertiliserProducts[[#Headers],[Include or Exclude]], 0,4)</f>
        <v/>
      </c>
      <c r="N127" s="65" t="str" cm="1">
        <f t="array" ref="N127">Common_InputFunctions.Utility_DisplayArrayInTable(Fertiliser_SourceData.Fertiliser_Products_Data1(),FertiliserProducts[[#Headers],[Include or Exclude]], 0,4)</f>
        <v/>
      </c>
      <c r="O127" s="65" t="str" cm="1">
        <f t="array" ref="O127">Common_InputFunctions.Utility_DisplayArrayInTable(Fertiliser_SourceData.Fertiliser_Products_Data1(),FertiliserProducts[[#Headers],[Include or Exclude]], 0,4)</f>
        <v/>
      </c>
      <c r="P127" s="65" t="str" cm="1">
        <f t="array" ref="P127">Common_InputFunctions.Utility_DisplayArrayInTable(Fertiliser_SourceData.Fertiliser_Products_Data1(),FertiliserProducts[[#Headers],[Include or Exclude]], 0,4)</f>
        <v/>
      </c>
      <c r="Q127" s="65" t="str" cm="1">
        <f t="array" ref="Q127">Common_InputFunctions.Utility_DisplayArrayInTable(Fertiliser_SourceData.Fertiliser_Products_Data1(),FertiliserProducts[[#Headers],[Include or Exclude]], 0,4)</f>
        <v/>
      </c>
      <c r="R127" s="65" t="str" cm="1">
        <f t="array" ref="R127">Common_InputFunctions.Utility_DisplayArrayInTable(Fertiliser_SourceData.Fertiliser_Products_Data1(),FertiliserProducts[[#Headers],[Include or Exclude]], 0,4)</f>
        <v/>
      </c>
      <c r="S127" s="65" t="str" cm="1">
        <f t="array" ref="S127">Common_InputFunctions.Utility_DisplayArrayInTable(Fertiliser_SourceData.Fertiliser_Products_Data1(),FertiliserProducts[[#Headers],[Include or Exclude]], 0,4)</f>
        <v/>
      </c>
      <c r="T127" s="65" t="str" cm="1">
        <f t="array" ref="T127">Common_InputFunctions.Utility_DisplayArrayInTable(Fertiliser_SourceData.Fertiliser_Products_Data1(),FertiliserProducts[[#Headers],[Include or Exclude]], 0,4)</f>
        <v/>
      </c>
      <c r="U127" s="65" t="str" cm="1">
        <f t="array" ref="U127">Common_InputFunctions.Utility_DisplayArrayInTable(Fertiliser_SourceData.Fertiliser_Products_Data1(),FertiliserProducts[[#Headers],[Include or Exclude]], 0,4)</f>
        <v/>
      </c>
      <c r="V127" s="65" t="str" cm="1">
        <f t="array" ref="V127">Common_InputFunctions.Utility_DisplayArrayInTable(Fertiliser_SourceData.Fertiliser_Products_Data1(),FertiliserProducts[[#Headers],[Include or Exclude]], 0,4)</f>
        <v/>
      </c>
      <c r="W127" s="65" t="str" cm="1">
        <f t="array" ref="W127">Common_InputFunctions.Utility_DisplayArrayInTable(Fertiliser_SourceData.Fertiliser_Products_Data1(),FertiliserProducts[[#Headers],[Include or Exclude]], 0,4)</f>
        <v/>
      </c>
      <c r="X127" s="65" t="str" cm="1">
        <f t="array" ref="X127">Common_InputFunctions.Utility_DisplayArrayInTable(Fertiliser_SourceData.Fertiliser_Products_Data1(),FertiliserProducts[[#Headers],[Include or Exclude]], 0,4)</f>
        <v/>
      </c>
      <c r="Y127" s="65" t="str" cm="1">
        <f t="array" ref="Y127">Common_InputFunctions.Utility_DisplayArrayInTable(Fertiliser_SourceData.Fertiliser_Products_Data1(),FertiliserProducts[[#Headers],[Include or Exclude]], 0,4)</f>
        <v/>
      </c>
      <c r="Z127" s="65" t="str" cm="1">
        <f t="array" ref="Z127">Common_InputFunctions.Utility_DisplayArrayInTable(Fertiliser_SourceData.Fertiliser_Products_Data1(),FertiliserProducts[[#Headers],[Include or Exclude]], 0,4)</f>
        <v/>
      </c>
      <c r="AA127" s="65" t="str" cm="1">
        <f t="array" ref="AA127">Common_InputFunctions.Utility_DisplayArrayInTable(Fertiliser_SourceData.Fertiliser_Products_Data1(),FertiliserProducts[[#Headers],[Include or Exclude]], 0,4)</f>
        <v/>
      </c>
      <c r="AB127" s="65" t="str" cm="1">
        <f t="array" ref="AB127">Common_InputFunctions.Utility_DisplayArrayInTable(Fertiliser_SourceData.Fertiliser_Products_Data1(),FertiliserProducts[[#Headers],[Include or Exclude]], 0,4)</f>
        <v/>
      </c>
      <c r="AC127" s="65" t="str" cm="1">
        <f t="array" ref="AC127">Common_InputFunctions.Utility_DisplayArrayInTable(Fertiliser_SourceData.Fertiliser_Products_Data1(),FertiliserProducts[[#Headers],[Include or Exclude]], 0,4)</f>
        <v/>
      </c>
      <c r="AD127" s="65" t="str" cm="1">
        <f t="array" ref="AD127">Common_InputFunctions.Utility_DisplayArrayInTable(Fertiliser_SourceData.Fertiliser_Products_Data1(),FertiliserProducts[[#Headers],[Include or Exclude]], 0,4)</f>
        <v/>
      </c>
      <c r="AE127" s="65" t="str" cm="1">
        <f t="array" ref="AE127">Common_InputFunctions.Utility_DisplayArrayInTable(Fertiliser_SourceData.Fertiliser_Products_Data1(),FertiliserProducts[[#Headers],[Include or Exclude]], 0,4)</f>
        <v/>
      </c>
    </row>
    <row r="128" spans="4:31" ht="20.100000000000001" customHeight="1" x14ac:dyDescent="0.25">
      <c r="D128" s="65" t="str" cm="1">
        <f t="array" ref="D128">Common_InputFunctions.Utility_DisplayArrayInTable(Fertiliser_SourceData.Fertiliser_Products_Data1(),FertiliserProducts[[#Headers],[Include or Exclude]], -1)</f>
        <v/>
      </c>
      <c r="E128" s="65" t="str" cm="1">
        <f t="array" ref="E128">Common_InputFunctions.Utility_DisplayArrayInTable(Fertiliser_SourceData.Fertiliser_Products_Data1(),FertiliserProducts[[#Headers],[Include or Exclude]], 0)</f>
        <v/>
      </c>
      <c r="F128" s="65" t="str" cm="1">
        <f t="array" ref="F128">Common_InputFunctions.Utility_DisplayArrayInTable(Fertiliser_SourceData.Fertiliser_Products_Data1(),FertiliserProducts[[#Headers],[Include or Exclude]], 0)</f>
        <v/>
      </c>
      <c r="G128" s="65" t="str" cm="1">
        <f t="array" ref="G128">Common_InputFunctions.Utility_DisplayArrayInTable(Fertiliser_SourceData.Fertiliser_Products_Data1(),FertiliserProducts[[#Headers],[Include or Exclude]], 0)</f>
        <v/>
      </c>
      <c r="H128" s="65" t="str" cm="1">
        <f t="array" ref="H128">Common_InputFunctions.Utility_DisplayArrayInTable(Fertiliser_SourceData.Fertiliser_Products_Data1(),FertiliserProducts[[#Headers],[Include or Exclude]], 0,4)</f>
        <v/>
      </c>
      <c r="I128" s="65" t="str" cm="1">
        <f t="array" ref="I128">Common_InputFunctions.Utility_DisplayArrayInTable(Fertiliser_SourceData.Fertiliser_Products_Data1(),FertiliserProducts[[#Headers],[Include or Exclude]], 0,4)</f>
        <v/>
      </c>
      <c r="J128" s="65" t="str" cm="1">
        <f t="array" ref="J128">Common_InputFunctions.Utility_DisplayArrayInTable(Fertiliser_SourceData.Fertiliser_Products_Data1(),FertiliserProducts[[#Headers],[Include or Exclude]], 0,4)</f>
        <v/>
      </c>
      <c r="K128" s="65" t="str" cm="1">
        <f t="array" ref="K128">Common_InputFunctions.Utility_DisplayArrayInTable(Fertiliser_SourceData.Fertiliser_Products_Data1(),FertiliserProducts[[#Headers],[Include or Exclude]], 0,4)</f>
        <v/>
      </c>
      <c r="L128" s="65" t="str" cm="1">
        <f t="array" ref="L128">Common_InputFunctions.Utility_DisplayArrayInTable(Fertiliser_SourceData.Fertiliser_Products_Data1(),FertiliserProducts[[#Headers],[Include or Exclude]], 0,4)</f>
        <v/>
      </c>
      <c r="M128" s="65" t="str" cm="1">
        <f t="array" ref="M128">Common_InputFunctions.Utility_DisplayArrayInTable(Fertiliser_SourceData.Fertiliser_Products_Data1(),FertiliserProducts[[#Headers],[Include or Exclude]], 0,4)</f>
        <v/>
      </c>
      <c r="N128" s="65" t="str" cm="1">
        <f t="array" ref="N128">Common_InputFunctions.Utility_DisplayArrayInTable(Fertiliser_SourceData.Fertiliser_Products_Data1(),FertiliserProducts[[#Headers],[Include or Exclude]], 0,4)</f>
        <v/>
      </c>
      <c r="O128" s="65" t="str" cm="1">
        <f t="array" ref="O128">Common_InputFunctions.Utility_DisplayArrayInTable(Fertiliser_SourceData.Fertiliser_Products_Data1(),FertiliserProducts[[#Headers],[Include or Exclude]], 0,4)</f>
        <v/>
      </c>
      <c r="P128" s="65" t="str" cm="1">
        <f t="array" ref="P128">Common_InputFunctions.Utility_DisplayArrayInTable(Fertiliser_SourceData.Fertiliser_Products_Data1(),FertiliserProducts[[#Headers],[Include or Exclude]], 0,4)</f>
        <v/>
      </c>
      <c r="Q128" s="65" t="str" cm="1">
        <f t="array" ref="Q128">Common_InputFunctions.Utility_DisplayArrayInTable(Fertiliser_SourceData.Fertiliser_Products_Data1(),FertiliserProducts[[#Headers],[Include or Exclude]], 0,4)</f>
        <v/>
      </c>
      <c r="R128" s="65" t="str" cm="1">
        <f t="array" ref="R128">Common_InputFunctions.Utility_DisplayArrayInTable(Fertiliser_SourceData.Fertiliser_Products_Data1(),FertiliserProducts[[#Headers],[Include or Exclude]], 0,4)</f>
        <v/>
      </c>
      <c r="S128" s="65" t="str" cm="1">
        <f t="array" ref="S128">Common_InputFunctions.Utility_DisplayArrayInTable(Fertiliser_SourceData.Fertiliser_Products_Data1(),FertiliserProducts[[#Headers],[Include or Exclude]], 0,4)</f>
        <v/>
      </c>
      <c r="T128" s="65" t="str" cm="1">
        <f t="array" ref="T128">Common_InputFunctions.Utility_DisplayArrayInTable(Fertiliser_SourceData.Fertiliser_Products_Data1(),FertiliserProducts[[#Headers],[Include or Exclude]], 0,4)</f>
        <v/>
      </c>
      <c r="U128" s="65" t="str" cm="1">
        <f t="array" ref="U128">Common_InputFunctions.Utility_DisplayArrayInTable(Fertiliser_SourceData.Fertiliser_Products_Data1(),FertiliserProducts[[#Headers],[Include or Exclude]], 0,4)</f>
        <v/>
      </c>
      <c r="V128" s="65" t="str" cm="1">
        <f t="array" ref="V128">Common_InputFunctions.Utility_DisplayArrayInTable(Fertiliser_SourceData.Fertiliser_Products_Data1(),FertiliserProducts[[#Headers],[Include or Exclude]], 0,4)</f>
        <v/>
      </c>
      <c r="W128" s="65" t="str" cm="1">
        <f t="array" ref="W128">Common_InputFunctions.Utility_DisplayArrayInTable(Fertiliser_SourceData.Fertiliser_Products_Data1(),FertiliserProducts[[#Headers],[Include or Exclude]], 0,4)</f>
        <v/>
      </c>
      <c r="X128" s="65" t="str" cm="1">
        <f t="array" ref="X128">Common_InputFunctions.Utility_DisplayArrayInTable(Fertiliser_SourceData.Fertiliser_Products_Data1(),FertiliserProducts[[#Headers],[Include or Exclude]], 0,4)</f>
        <v/>
      </c>
      <c r="Y128" s="65" t="str" cm="1">
        <f t="array" ref="Y128">Common_InputFunctions.Utility_DisplayArrayInTable(Fertiliser_SourceData.Fertiliser_Products_Data1(),FertiliserProducts[[#Headers],[Include or Exclude]], 0,4)</f>
        <v/>
      </c>
      <c r="Z128" s="65" t="str" cm="1">
        <f t="array" ref="Z128">Common_InputFunctions.Utility_DisplayArrayInTable(Fertiliser_SourceData.Fertiliser_Products_Data1(),FertiliserProducts[[#Headers],[Include or Exclude]], 0,4)</f>
        <v/>
      </c>
      <c r="AA128" s="65" t="str" cm="1">
        <f t="array" ref="AA128">Common_InputFunctions.Utility_DisplayArrayInTable(Fertiliser_SourceData.Fertiliser_Products_Data1(),FertiliserProducts[[#Headers],[Include or Exclude]], 0,4)</f>
        <v/>
      </c>
      <c r="AB128" s="65" t="str" cm="1">
        <f t="array" ref="AB128">Common_InputFunctions.Utility_DisplayArrayInTable(Fertiliser_SourceData.Fertiliser_Products_Data1(),FertiliserProducts[[#Headers],[Include or Exclude]], 0,4)</f>
        <v/>
      </c>
      <c r="AC128" s="65" t="str" cm="1">
        <f t="array" ref="AC128">Common_InputFunctions.Utility_DisplayArrayInTable(Fertiliser_SourceData.Fertiliser_Products_Data1(),FertiliserProducts[[#Headers],[Include or Exclude]], 0,4)</f>
        <v/>
      </c>
      <c r="AD128" s="65" t="str" cm="1">
        <f t="array" ref="AD128">Common_InputFunctions.Utility_DisplayArrayInTable(Fertiliser_SourceData.Fertiliser_Products_Data1(),FertiliserProducts[[#Headers],[Include or Exclude]], 0,4)</f>
        <v/>
      </c>
      <c r="AE128" s="65" t="str" cm="1">
        <f t="array" ref="AE128">Common_InputFunctions.Utility_DisplayArrayInTable(Fertiliser_SourceData.Fertiliser_Products_Data1(),FertiliserProducts[[#Headers],[Include or Exclude]], 0,4)</f>
        <v/>
      </c>
    </row>
    <row r="129" spans="4:31" ht="20.100000000000001" customHeight="1" x14ac:dyDescent="0.25">
      <c r="D129" s="65" t="str" cm="1">
        <f t="array" ref="D129">Common_InputFunctions.Utility_DisplayArrayInTable(Fertiliser_SourceData.Fertiliser_Products_Data1(),FertiliserProducts[[#Headers],[Include or Exclude]], -1)</f>
        <v/>
      </c>
      <c r="E129" s="65" t="str" cm="1">
        <f t="array" ref="E129">Common_InputFunctions.Utility_DisplayArrayInTable(Fertiliser_SourceData.Fertiliser_Products_Data1(),FertiliserProducts[[#Headers],[Include or Exclude]], 0)</f>
        <v/>
      </c>
      <c r="F129" s="65" t="str" cm="1">
        <f t="array" ref="F129">Common_InputFunctions.Utility_DisplayArrayInTable(Fertiliser_SourceData.Fertiliser_Products_Data1(),FertiliserProducts[[#Headers],[Include or Exclude]], 0)</f>
        <v/>
      </c>
      <c r="G129" s="65" t="str" cm="1">
        <f t="array" ref="G129">Common_InputFunctions.Utility_DisplayArrayInTable(Fertiliser_SourceData.Fertiliser_Products_Data1(),FertiliserProducts[[#Headers],[Include or Exclude]], 0)</f>
        <v/>
      </c>
      <c r="H129" s="65" t="str" cm="1">
        <f t="array" ref="H129">Common_InputFunctions.Utility_DisplayArrayInTable(Fertiliser_SourceData.Fertiliser_Products_Data1(),FertiliserProducts[[#Headers],[Include or Exclude]], 0,4)</f>
        <v/>
      </c>
      <c r="I129" s="65" t="str" cm="1">
        <f t="array" ref="I129">Common_InputFunctions.Utility_DisplayArrayInTable(Fertiliser_SourceData.Fertiliser_Products_Data1(),FertiliserProducts[[#Headers],[Include or Exclude]], 0,4)</f>
        <v/>
      </c>
      <c r="J129" s="65" t="str" cm="1">
        <f t="array" ref="J129">Common_InputFunctions.Utility_DisplayArrayInTable(Fertiliser_SourceData.Fertiliser_Products_Data1(),FertiliserProducts[[#Headers],[Include or Exclude]], 0,4)</f>
        <v/>
      </c>
      <c r="K129" s="65" t="str" cm="1">
        <f t="array" ref="K129">Common_InputFunctions.Utility_DisplayArrayInTable(Fertiliser_SourceData.Fertiliser_Products_Data1(),FertiliserProducts[[#Headers],[Include or Exclude]], 0,4)</f>
        <v/>
      </c>
      <c r="L129" s="65" t="str" cm="1">
        <f t="array" ref="L129">Common_InputFunctions.Utility_DisplayArrayInTable(Fertiliser_SourceData.Fertiliser_Products_Data1(),FertiliserProducts[[#Headers],[Include or Exclude]], 0,4)</f>
        <v/>
      </c>
      <c r="M129" s="65" t="str" cm="1">
        <f t="array" ref="M129">Common_InputFunctions.Utility_DisplayArrayInTable(Fertiliser_SourceData.Fertiliser_Products_Data1(),FertiliserProducts[[#Headers],[Include or Exclude]], 0,4)</f>
        <v/>
      </c>
      <c r="N129" s="65" t="str" cm="1">
        <f t="array" ref="N129">Common_InputFunctions.Utility_DisplayArrayInTable(Fertiliser_SourceData.Fertiliser_Products_Data1(),FertiliserProducts[[#Headers],[Include or Exclude]], 0,4)</f>
        <v/>
      </c>
      <c r="O129" s="65" t="str" cm="1">
        <f t="array" ref="O129">Common_InputFunctions.Utility_DisplayArrayInTable(Fertiliser_SourceData.Fertiliser_Products_Data1(),FertiliserProducts[[#Headers],[Include or Exclude]], 0,4)</f>
        <v/>
      </c>
      <c r="P129" s="65" t="str" cm="1">
        <f t="array" ref="P129">Common_InputFunctions.Utility_DisplayArrayInTable(Fertiliser_SourceData.Fertiliser_Products_Data1(),FertiliserProducts[[#Headers],[Include or Exclude]], 0,4)</f>
        <v/>
      </c>
      <c r="Q129" s="65" t="str" cm="1">
        <f t="array" ref="Q129">Common_InputFunctions.Utility_DisplayArrayInTable(Fertiliser_SourceData.Fertiliser_Products_Data1(),FertiliserProducts[[#Headers],[Include or Exclude]], 0,4)</f>
        <v/>
      </c>
      <c r="R129" s="65" t="str" cm="1">
        <f t="array" ref="R129">Common_InputFunctions.Utility_DisplayArrayInTable(Fertiliser_SourceData.Fertiliser_Products_Data1(),FertiliserProducts[[#Headers],[Include or Exclude]], 0,4)</f>
        <v/>
      </c>
      <c r="S129" s="65" t="str" cm="1">
        <f t="array" ref="S129">Common_InputFunctions.Utility_DisplayArrayInTable(Fertiliser_SourceData.Fertiliser_Products_Data1(),FertiliserProducts[[#Headers],[Include or Exclude]], 0,4)</f>
        <v/>
      </c>
      <c r="T129" s="65" t="str" cm="1">
        <f t="array" ref="T129">Common_InputFunctions.Utility_DisplayArrayInTable(Fertiliser_SourceData.Fertiliser_Products_Data1(),FertiliserProducts[[#Headers],[Include or Exclude]], 0,4)</f>
        <v/>
      </c>
      <c r="U129" s="65" t="str" cm="1">
        <f t="array" ref="U129">Common_InputFunctions.Utility_DisplayArrayInTable(Fertiliser_SourceData.Fertiliser_Products_Data1(),FertiliserProducts[[#Headers],[Include or Exclude]], 0,4)</f>
        <v/>
      </c>
      <c r="V129" s="65" t="str" cm="1">
        <f t="array" ref="V129">Common_InputFunctions.Utility_DisplayArrayInTable(Fertiliser_SourceData.Fertiliser_Products_Data1(),FertiliserProducts[[#Headers],[Include or Exclude]], 0,4)</f>
        <v/>
      </c>
      <c r="W129" s="65" t="str" cm="1">
        <f t="array" ref="W129">Common_InputFunctions.Utility_DisplayArrayInTable(Fertiliser_SourceData.Fertiliser_Products_Data1(),FertiliserProducts[[#Headers],[Include or Exclude]], 0,4)</f>
        <v/>
      </c>
      <c r="X129" s="65" t="str" cm="1">
        <f t="array" ref="X129">Common_InputFunctions.Utility_DisplayArrayInTable(Fertiliser_SourceData.Fertiliser_Products_Data1(),FertiliserProducts[[#Headers],[Include or Exclude]], 0,4)</f>
        <v/>
      </c>
      <c r="Y129" s="65" t="str" cm="1">
        <f t="array" ref="Y129">Common_InputFunctions.Utility_DisplayArrayInTable(Fertiliser_SourceData.Fertiliser_Products_Data1(),FertiliserProducts[[#Headers],[Include or Exclude]], 0,4)</f>
        <v/>
      </c>
      <c r="Z129" s="65" t="str" cm="1">
        <f t="array" ref="Z129">Common_InputFunctions.Utility_DisplayArrayInTable(Fertiliser_SourceData.Fertiliser_Products_Data1(),FertiliserProducts[[#Headers],[Include or Exclude]], 0,4)</f>
        <v/>
      </c>
      <c r="AA129" s="65" t="str" cm="1">
        <f t="array" ref="AA129">Common_InputFunctions.Utility_DisplayArrayInTable(Fertiliser_SourceData.Fertiliser_Products_Data1(),FertiliserProducts[[#Headers],[Include or Exclude]], 0,4)</f>
        <v/>
      </c>
      <c r="AB129" s="65" t="str" cm="1">
        <f t="array" ref="AB129">Common_InputFunctions.Utility_DisplayArrayInTable(Fertiliser_SourceData.Fertiliser_Products_Data1(),FertiliserProducts[[#Headers],[Include or Exclude]], 0,4)</f>
        <v/>
      </c>
      <c r="AC129" s="65" t="str" cm="1">
        <f t="array" ref="AC129">Common_InputFunctions.Utility_DisplayArrayInTable(Fertiliser_SourceData.Fertiliser_Products_Data1(),FertiliserProducts[[#Headers],[Include or Exclude]], 0,4)</f>
        <v/>
      </c>
      <c r="AD129" s="65" t="str" cm="1">
        <f t="array" ref="AD129">Common_InputFunctions.Utility_DisplayArrayInTable(Fertiliser_SourceData.Fertiliser_Products_Data1(),FertiliserProducts[[#Headers],[Include or Exclude]], 0,4)</f>
        <v/>
      </c>
      <c r="AE129" s="65" t="str" cm="1">
        <f t="array" ref="AE129">Common_InputFunctions.Utility_DisplayArrayInTable(Fertiliser_SourceData.Fertiliser_Products_Data1(),FertiliserProducts[[#Headers],[Include or Exclude]], 0,4)</f>
        <v/>
      </c>
    </row>
    <row r="130" spans="4:31" ht="20.100000000000001" customHeight="1" x14ac:dyDescent="0.25">
      <c r="D130" s="65" t="str" cm="1">
        <f t="array" ref="D130">Common_InputFunctions.Utility_DisplayArrayInTable(Fertiliser_SourceData.Fertiliser_Products_Data1(),FertiliserProducts[[#Headers],[Include or Exclude]], -1)</f>
        <v/>
      </c>
      <c r="E130" s="65" t="str" cm="1">
        <f t="array" ref="E130">Common_InputFunctions.Utility_DisplayArrayInTable(Fertiliser_SourceData.Fertiliser_Products_Data1(),FertiliserProducts[[#Headers],[Include or Exclude]], 0)</f>
        <v/>
      </c>
      <c r="F130" s="65" t="str" cm="1">
        <f t="array" ref="F130">Common_InputFunctions.Utility_DisplayArrayInTable(Fertiliser_SourceData.Fertiliser_Products_Data1(),FertiliserProducts[[#Headers],[Include or Exclude]], 0)</f>
        <v/>
      </c>
      <c r="G130" s="65" t="str" cm="1">
        <f t="array" ref="G130">Common_InputFunctions.Utility_DisplayArrayInTable(Fertiliser_SourceData.Fertiliser_Products_Data1(),FertiliserProducts[[#Headers],[Include or Exclude]], 0)</f>
        <v/>
      </c>
      <c r="H130" s="65" t="str" cm="1">
        <f t="array" ref="H130">Common_InputFunctions.Utility_DisplayArrayInTable(Fertiliser_SourceData.Fertiliser_Products_Data1(),FertiliserProducts[[#Headers],[Include or Exclude]], 0,4)</f>
        <v/>
      </c>
      <c r="I130" s="65" t="str" cm="1">
        <f t="array" ref="I130">Common_InputFunctions.Utility_DisplayArrayInTable(Fertiliser_SourceData.Fertiliser_Products_Data1(),FertiliserProducts[[#Headers],[Include or Exclude]], 0,4)</f>
        <v/>
      </c>
      <c r="J130" s="65" t="str" cm="1">
        <f t="array" ref="J130">Common_InputFunctions.Utility_DisplayArrayInTable(Fertiliser_SourceData.Fertiliser_Products_Data1(),FertiliserProducts[[#Headers],[Include or Exclude]], 0,4)</f>
        <v/>
      </c>
      <c r="K130" s="65" t="str" cm="1">
        <f t="array" ref="K130">Common_InputFunctions.Utility_DisplayArrayInTable(Fertiliser_SourceData.Fertiliser_Products_Data1(),FertiliserProducts[[#Headers],[Include or Exclude]], 0,4)</f>
        <v/>
      </c>
      <c r="L130" s="65" t="str" cm="1">
        <f t="array" ref="L130">Common_InputFunctions.Utility_DisplayArrayInTable(Fertiliser_SourceData.Fertiliser_Products_Data1(),FertiliserProducts[[#Headers],[Include or Exclude]], 0,4)</f>
        <v/>
      </c>
      <c r="M130" s="65" t="str" cm="1">
        <f t="array" ref="M130">Common_InputFunctions.Utility_DisplayArrayInTable(Fertiliser_SourceData.Fertiliser_Products_Data1(),FertiliserProducts[[#Headers],[Include or Exclude]], 0,4)</f>
        <v/>
      </c>
      <c r="N130" s="65" t="str" cm="1">
        <f t="array" ref="N130">Common_InputFunctions.Utility_DisplayArrayInTable(Fertiliser_SourceData.Fertiliser_Products_Data1(),FertiliserProducts[[#Headers],[Include or Exclude]], 0,4)</f>
        <v/>
      </c>
      <c r="O130" s="65" t="str" cm="1">
        <f t="array" ref="O130">Common_InputFunctions.Utility_DisplayArrayInTable(Fertiliser_SourceData.Fertiliser_Products_Data1(),FertiliserProducts[[#Headers],[Include or Exclude]], 0,4)</f>
        <v/>
      </c>
      <c r="P130" s="65" t="str" cm="1">
        <f t="array" ref="P130">Common_InputFunctions.Utility_DisplayArrayInTable(Fertiliser_SourceData.Fertiliser_Products_Data1(),FertiliserProducts[[#Headers],[Include or Exclude]], 0,4)</f>
        <v/>
      </c>
      <c r="Q130" s="65" t="str" cm="1">
        <f t="array" ref="Q130">Common_InputFunctions.Utility_DisplayArrayInTable(Fertiliser_SourceData.Fertiliser_Products_Data1(),FertiliserProducts[[#Headers],[Include or Exclude]], 0,4)</f>
        <v/>
      </c>
      <c r="R130" s="65" t="str" cm="1">
        <f t="array" ref="R130">Common_InputFunctions.Utility_DisplayArrayInTable(Fertiliser_SourceData.Fertiliser_Products_Data1(),FertiliserProducts[[#Headers],[Include or Exclude]], 0,4)</f>
        <v/>
      </c>
      <c r="S130" s="65" t="str" cm="1">
        <f t="array" ref="S130">Common_InputFunctions.Utility_DisplayArrayInTable(Fertiliser_SourceData.Fertiliser_Products_Data1(),FertiliserProducts[[#Headers],[Include or Exclude]], 0,4)</f>
        <v/>
      </c>
      <c r="T130" s="65" t="str" cm="1">
        <f t="array" ref="T130">Common_InputFunctions.Utility_DisplayArrayInTable(Fertiliser_SourceData.Fertiliser_Products_Data1(),FertiliserProducts[[#Headers],[Include or Exclude]], 0,4)</f>
        <v/>
      </c>
      <c r="U130" s="65" t="str" cm="1">
        <f t="array" ref="U130">Common_InputFunctions.Utility_DisplayArrayInTable(Fertiliser_SourceData.Fertiliser_Products_Data1(),FertiliserProducts[[#Headers],[Include or Exclude]], 0,4)</f>
        <v/>
      </c>
      <c r="V130" s="65" t="str" cm="1">
        <f t="array" ref="V130">Common_InputFunctions.Utility_DisplayArrayInTable(Fertiliser_SourceData.Fertiliser_Products_Data1(),FertiliserProducts[[#Headers],[Include or Exclude]], 0,4)</f>
        <v/>
      </c>
      <c r="W130" s="65" t="str" cm="1">
        <f t="array" ref="W130">Common_InputFunctions.Utility_DisplayArrayInTable(Fertiliser_SourceData.Fertiliser_Products_Data1(),FertiliserProducts[[#Headers],[Include or Exclude]], 0,4)</f>
        <v/>
      </c>
      <c r="X130" s="65" t="str" cm="1">
        <f t="array" ref="X130">Common_InputFunctions.Utility_DisplayArrayInTable(Fertiliser_SourceData.Fertiliser_Products_Data1(),FertiliserProducts[[#Headers],[Include or Exclude]], 0,4)</f>
        <v/>
      </c>
      <c r="Y130" s="65" t="str" cm="1">
        <f t="array" ref="Y130">Common_InputFunctions.Utility_DisplayArrayInTable(Fertiliser_SourceData.Fertiliser_Products_Data1(),FertiliserProducts[[#Headers],[Include or Exclude]], 0,4)</f>
        <v/>
      </c>
      <c r="Z130" s="65" t="str" cm="1">
        <f t="array" ref="Z130">Common_InputFunctions.Utility_DisplayArrayInTable(Fertiliser_SourceData.Fertiliser_Products_Data1(),FertiliserProducts[[#Headers],[Include or Exclude]], 0,4)</f>
        <v/>
      </c>
      <c r="AA130" s="65" t="str" cm="1">
        <f t="array" ref="AA130">Common_InputFunctions.Utility_DisplayArrayInTable(Fertiliser_SourceData.Fertiliser_Products_Data1(),FertiliserProducts[[#Headers],[Include or Exclude]], 0,4)</f>
        <v/>
      </c>
      <c r="AB130" s="65" t="str" cm="1">
        <f t="array" ref="AB130">Common_InputFunctions.Utility_DisplayArrayInTable(Fertiliser_SourceData.Fertiliser_Products_Data1(),FertiliserProducts[[#Headers],[Include or Exclude]], 0,4)</f>
        <v/>
      </c>
      <c r="AC130" s="65" t="str" cm="1">
        <f t="array" ref="AC130">Common_InputFunctions.Utility_DisplayArrayInTable(Fertiliser_SourceData.Fertiliser_Products_Data1(),FertiliserProducts[[#Headers],[Include or Exclude]], 0,4)</f>
        <v/>
      </c>
      <c r="AD130" s="65" t="str" cm="1">
        <f t="array" ref="AD130">Common_InputFunctions.Utility_DisplayArrayInTable(Fertiliser_SourceData.Fertiliser_Products_Data1(),FertiliserProducts[[#Headers],[Include or Exclude]], 0,4)</f>
        <v/>
      </c>
      <c r="AE130" s="65" t="str" cm="1">
        <f t="array" ref="AE130">Common_InputFunctions.Utility_DisplayArrayInTable(Fertiliser_SourceData.Fertiliser_Products_Data1(),FertiliserProducts[[#Headers],[Include or Exclude]], 0,4)</f>
        <v/>
      </c>
    </row>
    <row r="131" spans="4:31" ht="20.100000000000001" customHeight="1" x14ac:dyDescent="0.25">
      <c r="D131" s="65" t="str" cm="1">
        <f t="array" ref="D131">Common_InputFunctions.Utility_DisplayArrayInTable(Fertiliser_SourceData.Fertiliser_Products_Data1(),FertiliserProducts[[#Headers],[Include or Exclude]], -1)</f>
        <v/>
      </c>
      <c r="E131" s="65" t="str" cm="1">
        <f t="array" ref="E131">Common_InputFunctions.Utility_DisplayArrayInTable(Fertiliser_SourceData.Fertiliser_Products_Data1(),FertiliserProducts[[#Headers],[Include or Exclude]], 0)</f>
        <v/>
      </c>
      <c r="F131" s="65" t="str" cm="1">
        <f t="array" ref="F131">Common_InputFunctions.Utility_DisplayArrayInTable(Fertiliser_SourceData.Fertiliser_Products_Data1(),FertiliserProducts[[#Headers],[Include or Exclude]], 0)</f>
        <v/>
      </c>
      <c r="G131" s="65" t="str" cm="1">
        <f t="array" ref="G131">Common_InputFunctions.Utility_DisplayArrayInTable(Fertiliser_SourceData.Fertiliser_Products_Data1(),FertiliserProducts[[#Headers],[Include or Exclude]], 0)</f>
        <v/>
      </c>
      <c r="H131" s="65" t="str" cm="1">
        <f t="array" ref="H131">Common_InputFunctions.Utility_DisplayArrayInTable(Fertiliser_SourceData.Fertiliser_Products_Data1(),FertiliserProducts[[#Headers],[Include or Exclude]], 0,4)</f>
        <v/>
      </c>
      <c r="I131" s="65" t="str" cm="1">
        <f t="array" ref="I131">Common_InputFunctions.Utility_DisplayArrayInTable(Fertiliser_SourceData.Fertiliser_Products_Data1(),FertiliserProducts[[#Headers],[Include or Exclude]], 0,4)</f>
        <v/>
      </c>
      <c r="J131" s="65" t="str" cm="1">
        <f t="array" ref="J131">Common_InputFunctions.Utility_DisplayArrayInTable(Fertiliser_SourceData.Fertiliser_Products_Data1(),FertiliserProducts[[#Headers],[Include or Exclude]], 0,4)</f>
        <v/>
      </c>
      <c r="K131" s="65" t="str" cm="1">
        <f t="array" ref="K131">Common_InputFunctions.Utility_DisplayArrayInTable(Fertiliser_SourceData.Fertiliser_Products_Data1(),FertiliserProducts[[#Headers],[Include or Exclude]], 0,4)</f>
        <v/>
      </c>
      <c r="L131" s="65" t="str" cm="1">
        <f t="array" ref="L131">Common_InputFunctions.Utility_DisplayArrayInTable(Fertiliser_SourceData.Fertiliser_Products_Data1(),FertiliserProducts[[#Headers],[Include or Exclude]], 0,4)</f>
        <v/>
      </c>
      <c r="M131" s="65" t="str" cm="1">
        <f t="array" ref="M131">Common_InputFunctions.Utility_DisplayArrayInTable(Fertiliser_SourceData.Fertiliser_Products_Data1(),FertiliserProducts[[#Headers],[Include or Exclude]], 0,4)</f>
        <v/>
      </c>
      <c r="N131" s="65" t="str" cm="1">
        <f t="array" ref="N131">Common_InputFunctions.Utility_DisplayArrayInTable(Fertiliser_SourceData.Fertiliser_Products_Data1(),FertiliserProducts[[#Headers],[Include or Exclude]], 0,4)</f>
        <v/>
      </c>
      <c r="O131" s="65" t="str" cm="1">
        <f t="array" ref="O131">Common_InputFunctions.Utility_DisplayArrayInTable(Fertiliser_SourceData.Fertiliser_Products_Data1(),FertiliserProducts[[#Headers],[Include or Exclude]], 0,4)</f>
        <v/>
      </c>
      <c r="P131" s="65" t="str" cm="1">
        <f t="array" ref="P131">Common_InputFunctions.Utility_DisplayArrayInTable(Fertiliser_SourceData.Fertiliser_Products_Data1(),FertiliserProducts[[#Headers],[Include or Exclude]], 0,4)</f>
        <v/>
      </c>
      <c r="Q131" s="65" t="str" cm="1">
        <f t="array" ref="Q131">Common_InputFunctions.Utility_DisplayArrayInTable(Fertiliser_SourceData.Fertiliser_Products_Data1(),FertiliserProducts[[#Headers],[Include or Exclude]], 0,4)</f>
        <v/>
      </c>
      <c r="R131" s="65" t="str" cm="1">
        <f t="array" ref="R131">Common_InputFunctions.Utility_DisplayArrayInTable(Fertiliser_SourceData.Fertiliser_Products_Data1(),FertiliserProducts[[#Headers],[Include or Exclude]], 0,4)</f>
        <v/>
      </c>
      <c r="S131" s="65" t="str" cm="1">
        <f t="array" ref="S131">Common_InputFunctions.Utility_DisplayArrayInTable(Fertiliser_SourceData.Fertiliser_Products_Data1(),FertiliserProducts[[#Headers],[Include or Exclude]], 0,4)</f>
        <v/>
      </c>
      <c r="T131" s="65" t="str" cm="1">
        <f t="array" ref="T131">Common_InputFunctions.Utility_DisplayArrayInTable(Fertiliser_SourceData.Fertiliser_Products_Data1(),FertiliserProducts[[#Headers],[Include or Exclude]], 0,4)</f>
        <v/>
      </c>
      <c r="U131" s="65" t="str" cm="1">
        <f t="array" ref="U131">Common_InputFunctions.Utility_DisplayArrayInTable(Fertiliser_SourceData.Fertiliser_Products_Data1(),FertiliserProducts[[#Headers],[Include or Exclude]], 0,4)</f>
        <v/>
      </c>
      <c r="V131" s="65" t="str" cm="1">
        <f t="array" ref="V131">Common_InputFunctions.Utility_DisplayArrayInTable(Fertiliser_SourceData.Fertiliser_Products_Data1(),FertiliserProducts[[#Headers],[Include or Exclude]], 0,4)</f>
        <v/>
      </c>
      <c r="W131" s="65" t="str" cm="1">
        <f t="array" ref="W131">Common_InputFunctions.Utility_DisplayArrayInTable(Fertiliser_SourceData.Fertiliser_Products_Data1(),FertiliserProducts[[#Headers],[Include or Exclude]], 0,4)</f>
        <v/>
      </c>
      <c r="X131" s="65" t="str" cm="1">
        <f t="array" ref="X131">Common_InputFunctions.Utility_DisplayArrayInTable(Fertiliser_SourceData.Fertiliser_Products_Data1(),FertiliserProducts[[#Headers],[Include or Exclude]], 0,4)</f>
        <v/>
      </c>
      <c r="Y131" s="65" t="str" cm="1">
        <f t="array" ref="Y131">Common_InputFunctions.Utility_DisplayArrayInTable(Fertiliser_SourceData.Fertiliser_Products_Data1(),FertiliserProducts[[#Headers],[Include or Exclude]], 0,4)</f>
        <v/>
      </c>
      <c r="Z131" s="65" t="str" cm="1">
        <f t="array" ref="Z131">Common_InputFunctions.Utility_DisplayArrayInTable(Fertiliser_SourceData.Fertiliser_Products_Data1(),FertiliserProducts[[#Headers],[Include or Exclude]], 0,4)</f>
        <v/>
      </c>
      <c r="AA131" s="65" t="str" cm="1">
        <f t="array" ref="AA131">Common_InputFunctions.Utility_DisplayArrayInTable(Fertiliser_SourceData.Fertiliser_Products_Data1(),FertiliserProducts[[#Headers],[Include or Exclude]], 0,4)</f>
        <v/>
      </c>
      <c r="AB131" s="65" t="str" cm="1">
        <f t="array" ref="AB131">Common_InputFunctions.Utility_DisplayArrayInTable(Fertiliser_SourceData.Fertiliser_Products_Data1(),FertiliserProducts[[#Headers],[Include or Exclude]], 0,4)</f>
        <v/>
      </c>
      <c r="AC131" s="65" t="str" cm="1">
        <f t="array" ref="AC131">Common_InputFunctions.Utility_DisplayArrayInTable(Fertiliser_SourceData.Fertiliser_Products_Data1(),FertiliserProducts[[#Headers],[Include or Exclude]], 0,4)</f>
        <v/>
      </c>
      <c r="AD131" s="65" t="str" cm="1">
        <f t="array" ref="AD131">Common_InputFunctions.Utility_DisplayArrayInTable(Fertiliser_SourceData.Fertiliser_Products_Data1(),FertiliserProducts[[#Headers],[Include or Exclude]], 0,4)</f>
        <v/>
      </c>
      <c r="AE131" s="65" t="str" cm="1">
        <f t="array" ref="AE131">Common_InputFunctions.Utility_DisplayArrayInTable(Fertiliser_SourceData.Fertiliser_Products_Data1(),FertiliserProducts[[#Headers],[Include or Exclude]], 0,4)</f>
        <v/>
      </c>
    </row>
    <row r="132" spans="4:31" ht="20.100000000000001" customHeight="1" x14ac:dyDescent="0.25">
      <c r="D132" s="65" t="str" cm="1">
        <f t="array" ref="D132">Common_InputFunctions.Utility_DisplayArrayInTable(Fertiliser_SourceData.Fertiliser_Products_Data1(),FertiliserProducts[[#Headers],[Include or Exclude]], -1)</f>
        <v/>
      </c>
      <c r="E132" s="65" t="str" cm="1">
        <f t="array" ref="E132">Common_InputFunctions.Utility_DisplayArrayInTable(Fertiliser_SourceData.Fertiliser_Products_Data1(),FertiliserProducts[[#Headers],[Include or Exclude]], 0)</f>
        <v/>
      </c>
      <c r="F132" s="65" t="str" cm="1">
        <f t="array" ref="F132">Common_InputFunctions.Utility_DisplayArrayInTable(Fertiliser_SourceData.Fertiliser_Products_Data1(),FertiliserProducts[[#Headers],[Include or Exclude]], 0)</f>
        <v/>
      </c>
      <c r="G132" s="65" t="str" cm="1">
        <f t="array" ref="G132">Common_InputFunctions.Utility_DisplayArrayInTable(Fertiliser_SourceData.Fertiliser_Products_Data1(),FertiliserProducts[[#Headers],[Include or Exclude]], 0)</f>
        <v/>
      </c>
      <c r="H132" s="65" t="str" cm="1">
        <f t="array" ref="H132">Common_InputFunctions.Utility_DisplayArrayInTable(Fertiliser_SourceData.Fertiliser_Products_Data1(),FertiliserProducts[[#Headers],[Include or Exclude]], 0,4)</f>
        <v/>
      </c>
      <c r="I132" s="65" t="str" cm="1">
        <f t="array" ref="I132">Common_InputFunctions.Utility_DisplayArrayInTable(Fertiliser_SourceData.Fertiliser_Products_Data1(),FertiliserProducts[[#Headers],[Include or Exclude]], 0,4)</f>
        <v/>
      </c>
      <c r="J132" s="65" t="str" cm="1">
        <f t="array" ref="J132">Common_InputFunctions.Utility_DisplayArrayInTable(Fertiliser_SourceData.Fertiliser_Products_Data1(),FertiliserProducts[[#Headers],[Include or Exclude]], 0,4)</f>
        <v/>
      </c>
      <c r="K132" s="65" t="str" cm="1">
        <f t="array" ref="K132">Common_InputFunctions.Utility_DisplayArrayInTable(Fertiliser_SourceData.Fertiliser_Products_Data1(),FertiliserProducts[[#Headers],[Include or Exclude]], 0,4)</f>
        <v/>
      </c>
      <c r="L132" s="65" t="str" cm="1">
        <f t="array" ref="L132">Common_InputFunctions.Utility_DisplayArrayInTable(Fertiliser_SourceData.Fertiliser_Products_Data1(),FertiliserProducts[[#Headers],[Include or Exclude]], 0,4)</f>
        <v/>
      </c>
      <c r="M132" s="65" t="str" cm="1">
        <f t="array" ref="M132">Common_InputFunctions.Utility_DisplayArrayInTable(Fertiliser_SourceData.Fertiliser_Products_Data1(),FertiliserProducts[[#Headers],[Include or Exclude]], 0,4)</f>
        <v/>
      </c>
      <c r="N132" s="65" t="str" cm="1">
        <f t="array" ref="N132">Common_InputFunctions.Utility_DisplayArrayInTable(Fertiliser_SourceData.Fertiliser_Products_Data1(),FertiliserProducts[[#Headers],[Include or Exclude]], 0,4)</f>
        <v/>
      </c>
      <c r="O132" s="65" t="str" cm="1">
        <f t="array" ref="O132">Common_InputFunctions.Utility_DisplayArrayInTable(Fertiliser_SourceData.Fertiliser_Products_Data1(),FertiliserProducts[[#Headers],[Include or Exclude]], 0,4)</f>
        <v/>
      </c>
      <c r="P132" s="65" t="str" cm="1">
        <f t="array" ref="P132">Common_InputFunctions.Utility_DisplayArrayInTable(Fertiliser_SourceData.Fertiliser_Products_Data1(),FertiliserProducts[[#Headers],[Include or Exclude]], 0,4)</f>
        <v/>
      </c>
      <c r="Q132" s="65" t="str" cm="1">
        <f t="array" ref="Q132">Common_InputFunctions.Utility_DisplayArrayInTable(Fertiliser_SourceData.Fertiliser_Products_Data1(),FertiliserProducts[[#Headers],[Include or Exclude]], 0,4)</f>
        <v/>
      </c>
      <c r="R132" s="65" t="str" cm="1">
        <f t="array" ref="R132">Common_InputFunctions.Utility_DisplayArrayInTable(Fertiliser_SourceData.Fertiliser_Products_Data1(),FertiliserProducts[[#Headers],[Include or Exclude]], 0,4)</f>
        <v/>
      </c>
      <c r="S132" s="65" t="str" cm="1">
        <f t="array" ref="S132">Common_InputFunctions.Utility_DisplayArrayInTable(Fertiliser_SourceData.Fertiliser_Products_Data1(),FertiliserProducts[[#Headers],[Include or Exclude]], 0,4)</f>
        <v/>
      </c>
      <c r="T132" s="65" t="str" cm="1">
        <f t="array" ref="T132">Common_InputFunctions.Utility_DisplayArrayInTable(Fertiliser_SourceData.Fertiliser_Products_Data1(),FertiliserProducts[[#Headers],[Include or Exclude]], 0,4)</f>
        <v/>
      </c>
      <c r="U132" s="65" t="str" cm="1">
        <f t="array" ref="U132">Common_InputFunctions.Utility_DisplayArrayInTable(Fertiliser_SourceData.Fertiliser_Products_Data1(),FertiliserProducts[[#Headers],[Include or Exclude]], 0,4)</f>
        <v/>
      </c>
      <c r="V132" s="65" t="str" cm="1">
        <f t="array" ref="V132">Common_InputFunctions.Utility_DisplayArrayInTable(Fertiliser_SourceData.Fertiliser_Products_Data1(),FertiliserProducts[[#Headers],[Include or Exclude]], 0,4)</f>
        <v/>
      </c>
      <c r="W132" s="65" t="str" cm="1">
        <f t="array" ref="W132">Common_InputFunctions.Utility_DisplayArrayInTable(Fertiliser_SourceData.Fertiliser_Products_Data1(),FertiliserProducts[[#Headers],[Include or Exclude]], 0,4)</f>
        <v/>
      </c>
      <c r="X132" s="65" t="str" cm="1">
        <f t="array" ref="X132">Common_InputFunctions.Utility_DisplayArrayInTable(Fertiliser_SourceData.Fertiliser_Products_Data1(),FertiliserProducts[[#Headers],[Include or Exclude]], 0,4)</f>
        <v/>
      </c>
      <c r="Y132" s="65" t="str" cm="1">
        <f t="array" ref="Y132">Common_InputFunctions.Utility_DisplayArrayInTable(Fertiliser_SourceData.Fertiliser_Products_Data1(),FertiliserProducts[[#Headers],[Include or Exclude]], 0,4)</f>
        <v/>
      </c>
      <c r="Z132" s="65" t="str" cm="1">
        <f t="array" ref="Z132">Common_InputFunctions.Utility_DisplayArrayInTable(Fertiliser_SourceData.Fertiliser_Products_Data1(),FertiliserProducts[[#Headers],[Include or Exclude]], 0,4)</f>
        <v/>
      </c>
      <c r="AA132" s="65" t="str" cm="1">
        <f t="array" ref="AA132">Common_InputFunctions.Utility_DisplayArrayInTable(Fertiliser_SourceData.Fertiliser_Products_Data1(),FertiliserProducts[[#Headers],[Include or Exclude]], 0,4)</f>
        <v/>
      </c>
      <c r="AB132" s="65" t="str" cm="1">
        <f t="array" ref="AB132">Common_InputFunctions.Utility_DisplayArrayInTable(Fertiliser_SourceData.Fertiliser_Products_Data1(),FertiliserProducts[[#Headers],[Include or Exclude]], 0,4)</f>
        <v/>
      </c>
      <c r="AC132" s="65" t="str" cm="1">
        <f t="array" ref="AC132">Common_InputFunctions.Utility_DisplayArrayInTable(Fertiliser_SourceData.Fertiliser_Products_Data1(),FertiliserProducts[[#Headers],[Include or Exclude]], 0,4)</f>
        <v/>
      </c>
      <c r="AD132" s="65" t="str" cm="1">
        <f t="array" ref="AD132">Common_InputFunctions.Utility_DisplayArrayInTable(Fertiliser_SourceData.Fertiliser_Products_Data1(),FertiliserProducts[[#Headers],[Include or Exclude]], 0,4)</f>
        <v/>
      </c>
      <c r="AE132" s="65" t="str" cm="1">
        <f t="array" ref="AE132">Common_InputFunctions.Utility_DisplayArrayInTable(Fertiliser_SourceData.Fertiliser_Products_Data1(),FertiliserProducts[[#Headers],[Include or Exclude]], 0,4)</f>
        <v/>
      </c>
    </row>
    <row r="133" spans="4:31" ht="20.100000000000001" customHeight="1" x14ac:dyDescent="0.25">
      <c r="D133" s="65" t="str" cm="1">
        <f t="array" ref="D133">Common_InputFunctions.Utility_DisplayArrayInTable(Fertiliser_SourceData.Fertiliser_Products_Data1(),FertiliserProducts[[#Headers],[Include or Exclude]], -1)</f>
        <v/>
      </c>
      <c r="E133" s="65" t="str" cm="1">
        <f t="array" ref="E133">Common_InputFunctions.Utility_DisplayArrayInTable(Fertiliser_SourceData.Fertiliser_Products_Data1(),FertiliserProducts[[#Headers],[Include or Exclude]], 0)</f>
        <v/>
      </c>
      <c r="F133" s="65" t="str" cm="1">
        <f t="array" ref="F133">Common_InputFunctions.Utility_DisplayArrayInTable(Fertiliser_SourceData.Fertiliser_Products_Data1(),FertiliserProducts[[#Headers],[Include or Exclude]], 0)</f>
        <v/>
      </c>
      <c r="G133" s="65" t="str" cm="1">
        <f t="array" ref="G133">Common_InputFunctions.Utility_DisplayArrayInTable(Fertiliser_SourceData.Fertiliser_Products_Data1(),FertiliserProducts[[#Headers],[Include or Exclude]], 0)</f>
        <v/>
      </c>
      <c r="H133" s="65" t="str" cm="1">
        <f t="array" ref="H133">Common_InputFunctions.Utility_DisplayArrayInTable(Fertiliser_SourceData.Fertiliser_Products_Data1(),FertiliserProducts[[#Headers],[Include or Exclude]], 0,4)</f>
        <v/>
      </c>
      <c r="I133" s="65" t="str" cm="1">
        <f t="array" ref="I133">Common_InputFunctions.Utility_DisplayArrayInTable(Fertiliser_SourceData.Fertiliser_Products_Data1(),FertiliserProducts[[#Headers],[Include or Exclude]], 0,4)</f>
        <v/>
      </c>
      <c r="J133" s="65" t="str" cm="1">
        <f t="array" ref="J133">Common_InputFunctions.Utility_DisplayArrayInTable(Fertiliser_SourceData.Fertiliser_Products_Data1(),FertiliserProducts[[#Headers],[Include or Exclude]], 0,4)</f>
        <v/>
      </c>
      <c r="K133" s="65" t="str" cm="1">
        <f t="array" ref="K133">Common_InputFunctions.Utility_DisplayArrayInTable(Fertiliser_SourceData.Fertiliser_Products_Data1(),FertiliserProducts[[#Headers],[Include or Exclude]], 0,4)</f>
        <v/>
      </c>
      <c r="L133" s="65" t="str" cm="1">
        <f t="array" ref="L133">Common_InputFunctions.Utility_DisplayArrayInTable(Fertiliser_SourceData.Fertiliser_Products_Data1(),FertiliserProducts[[#Headers],[Include or Exclude]], 0,4)</f>
        <v/>
      </c>
      <c r="M133" s="65" t="str" cm="1">
        <f t="array" ref="M133">Common_InputFunctions.Utility_DisplayArrayInTable(Fertiliser_SourceData.Fertiliser_Products_Data1(),FertiliserProducts[[#Headers],[Include or Exclude]], 0,4)</f>
        <v/>
      </c>
      <c r="N133" s="65" t="str" cm="1">
        <f t="array" ref="N133">Common_InputFunctions.Utility_DisplayArrayInTable(Fertiliser_SourceData.Fertiliser_Products_Data1(),FertiliserProducts[[#Headers],[Include or Exclude]], 0,4)</f>
        <v/>
      </c>
      <c r="O133" s="65" t="str" cm="1">
        <f t="array" ref="O133">Common_InputFunctions.Utility_DisplayArrayInTable(Fertiliser_SourceData.Fertiliser_Products_Data1(),FertiliserProducts[[#Headers],[Include or Exclude]], 0,4)</f>
        <v/>
      </c>
      <c r="P133" s="65" t="str" cm="1">
        <f t="array" ref="P133">Common_InputFunctions.Utility_DisplayArrayInTable(Fertiliser_SourceData.Fertiliser_Products_Data1(),FertiliserProducts[[#Headers],[Include or Exclude]], 0,4)</f>
        <v/>
      </c>
      <c r="Q133" s="65" t="str" cm="1">
        <f t="array" ref="Q133">Common_InputFunctions.Utility_DisplayArrayInTable(Fertiliser_SourceData.Fertiliser_Products_Data1(),FertiliserProducts[[#Headers],[Include or Exclude]], 0,4)</f>
        <v/>
      </c>
      <c r="R133" s="65" t="str" cm="1">
        <f t="array" ref="R133">Common_InputFunctions.Utility_DisplayArrayInTable(Fertiliser_SourceData.Fertiliser_Products_Data1(),FertiliserProducts[[#Headers],[Include or Exclude]], 0,4)</f>
        <v/>
      </c>
      <c r="S133" s="65" t="str" cm="1">
        <f t="array" ref="S133">Common_InputFunctions.Utility_DisplayArrayInTable(Fertiliser_SourceData.Fertiliser_Products_Data1(),FertiliserProducts[[#Headers],[Include or Exclude]], 0,4)</f>
        <v/>
      </c>
      <c r="T133" s="65" t="str" cm="1">
        <f t="array" ref="T133">Common_InputFunctions.Utility_DisplayArrayInTable(Fertiliser_SourceData.Fertiliser_Products_Data1(),FertiliserProducts[[#Headers],[Include or Exclude]], 0,4)</f>
        <v/>
      </c>
      <c r="U133" s="65" t="str" cm="1">
        <f t="array" ref="U133">Common_InputFunctions.Utility_DisplayArrayInTable(Fertiliser_SourceData.Fertiliser_Products_Data1(),FertiliserProducts[[#Headers],[Include or Exclude]], 0,4)</f>
        <v/>
      </c>
      <c r="V133" s="65" t="str" cm="1">
        <f t="array" ref="V133">Common_InputFunctions.Utility_DisplayArrayInTable(Fertiliser_SourceData.Fertiliser_Products_Data1(),FertiliserProducts[[#Headers],[Include or Exclude]], 0,4)</f>
        <v/>
      </c>
      <c r="W133" s="65" t="str" cm="1">
        <f t="array" ref="W133">Common_InputFunctions.Utility_DisplayArrayInTable(Fertiliser_SourceData.Fertiliser_Products_Data1(),FertiliserProducts[[#Headers],[Include or Exclude]], 0,4)</f>
        <v/>
      </c>
      <c r="X133" s="65" t="str" cm="1">
        <f t="array" ref="X133">Common_InputFunctions.Utility_DisplayArrayInTable(Fertiliser_SourceData.Fertiliser_Products_Data1(),FertiliserProducts[[#Headers],[Include or Exclude]], 0,4)</f>
        <v/>
      </c>
      <c r="Y133" s="65" t="str" cm="1">
        <f t="array" ref="Y133">Common_InputFunctions.Utility_DisplayArrayInTable(Fertiliser_SourceData.Fertiliser_Products_Data1(),FertiliserProducts[[#Headers],[Include or Exclude]], 0,4)</f>
        <v/>
      </c>
      <c r="Z133" s="65" t="str" cm="1">
        <f t="array" ref="Z133">Common_InputFunctions.Utility_DisplayArrayInTable(Fertiliser_SourceData.Fertiliser_Products_Data1(),FertiliserProducts[[#Headers],[Include or Exclude]], 0,4)</f>
        <v/>
      </c>
      <c r="AA133" s="65" t="str" cm="1">
        <f t="array" ref="AA133">Common_InputFunctions.Utility_DisplayArrayInTable(Fertiliser_SourceData.Fertiliser_Products_Data1(),FertiliserProducts[[#Headers],[Include or Exclude]], 0,4)</f>
        <v/>
      </c>
      <c r="AB133" s="65" t="str" cm="1">
        <f t="array" ref="AB133">Common_InputFunctions.Utility_DisplayArrayInTable(Fertiliser_SourceData.Fertiliser_Products_Data1(),FertiliserProducts[[#Headers],[Include or Exclude]], 0,4)</f>
        <v/>
      </c>
      <c r="AC133" s="65" t="str" cm="1">
        <f t="array" ref="AC133">Common_InputFunctions.Utility_DisplayArrayInTable(Fertiliser_SourceData.Fertiliser_Products_Data1(),FertiliserProducts[[#Headers],[Include or Exclude]], 0,4)</f>
        <v/>
      </c>
      <c r="AD133" s="65" t="str" cm="1">
        <f t="array" ref="AD133">Common_InputFunctions.Utility_DisplayArrayInTable(Fertiliser_SourceData.Fertiliser_Products_Data1(),FertiliserProducts[[#Headers],[Include or Exclude]], 0,4)</f>
        <v/>
      </c>
      <c r="AE133" s="65" t="str" cm="1">
        <f t="array" ref="AE133">Common_InputFunctions.Utility_DisplayArrayInTable(Fertiliser_SourceData.Fertiliser_Products_Data1(),FertiliserProducts[[#Headers],[Include or Exclude]], 0,4)</f>
        <v/>
      </c>
    </row>
    <row r="134" spans="4:31" ht="20.100000000000001" customHeight="1" x14ac:dyDescent="0.25">
      <c r="D134" s="65" t="str" cm="1">
        <f t="array" ref="D134">Common_InputFunctions.Utility_DisplayArrayInTable(Fertiliser_SourceData.Fertiliser_Products_Data1(),FertiliserProducts[[#Headers],[Include or Exclude]], -1)</f>
        <v/>
      </c>
      <c r="E134" s="65" t="str" cm="1">
        <f t="array" ref="E134">Common_InputFunctions.Utility_DisplayArrayInTable(Fertiliser_SourceData.Fertiliser_Products_Data1(),FertiliserProducts[[#Headers],[Include or Exclude]], 0)</f>
        <v/>
      </c>
      <c r="F134" s="65" t="str" cm="1">
        <f t="array" ref="F134">Common_InputFunctions.Utility_DisplayArrayInTable(Fertiliser_SourceData.Fertiliser_Products_Data1(),FertiliserProducts[[#Headers],[Include or Exclude]], 0)</f>
        <v/>
      </c>
      <c r="G134" s="65" t="str" cm="1">
        <f t="array" ref="G134">Common_InputFunctions.Utility_DisplayArrayInTable(Fertiliser_SourceData.Fertiliser_Products_Data1(),FertiliserProducts[[#Headers],[Include or Exclude]], 0)</f>
        <v/>
      </c>
      <c r="H134" s="65" t="str" cm="1">
        <f t="array" ref="H134">Common_InputFunctions.Utility_DisplayArrayInTable(Fertiliser_SourceData.Fertiliser_Products_Data1(),FertiliserProducts[[#Headers],[Include or Exclude]], 0,4)</f>
        <v/>
      </c>
      <c r="I134" s="65" t="str" cm="1">
        <f t="array" ref="I134">Common_InputFunctions.Utility_DisplayArrayInTable(Fertiliser_SourceData.Fertiliser_Products_Data1(),FertiliserProducts[[#Headers],[Include or Exclude]], 0,4)</f>
        <v/>
      </c>
      <c r="J134" s="65" t="str" cm="1">
        <f t="array" ref="J134">Common_InputFunctions.Utility_DisplayArrayInTable(Fertiliser_SourceData.Fertiliser_Products_Data1(),FertiliserProducts[[#Headers],[Include or Exclude]], 0,4)</f>
        <v/>
      </c>
      <c r="K134" s="65" t="str" cm="1">
        <f t="array" ref="K134">Common_InputFunctions.Utility_DisplayArrayInTable(Fertiliser_SourceData.Fertiliser_Products_Data1(),FertiliserProducts[[#Headers],[Include or Exclude]], 0,4)</f>
        <v/>
      </c>
      <c r="L134" s="65" t="str" cm="1">
        <f t="array" ref="L134">Common_InputFunctions.Utility_DisplayArrayInTable(Fertiliser_SourceData.Fertiliser_Products_Data1(),FertiliserProducts[[#Headers],[Include or Exclude]], 0,4)</f>
        <v/>
      </c>
      <c r="M134" s="65" t="str" cm="1">
        <f t="array" ref="M134">Common_InputFunctions.Utility_DisplayArrayInTable(Fertiliser_SourceData.Fertiliser_Products_Data1(),FertiliserProducts[[#Headers],[Include or Exclude]], 0,4)</f>
        <v/>
      </c>
      <c r="N134" s="65" t="str" cm="1">
        <f t="array" ref="N134">Common_InputFunctions.Utility_DisplayArrayInTable(Fertiliser_SourceData.Fertiliser_Products_Data1(),FertiliserProducts[[#Headers],[Include or Exclude]], 0,4)</f>
        <v/>
      </c>
      <c r="O134" s="65" t="str" cm="1">
        <f t="array" ref="O134">Common_InputFunctions.Utility_DisplayArrayInTable(Fertiliser_SourceData.Fertiliser_Products_Data1(),FertiliserProducts[[#Headers],[Include or Exclude]], 0,4)</f>
        <v/>
      </c>
      <c r="P134" s="65" t="str" cm="1">
        <f t="array" ref="P134">Common_InputFunctions.Utility_DisplayArrayInTable(Fertiliser_SourceData.Fertiliser_Products_Data1(),FertiliserProducts[[#Headers],[Include or Exclude]], 0,4)</f>
        <v/>
      </c>
      <c r="Q134" s="65" t="str" cm="1">
        <f t="array" ref="Q134">Common_InputFunctions.Utility_DisplayArrayInTable(Fertiliser_SourceData.Fertiliser_Products_Data1(),FertiliserProducts[[#Headers],[Include or Exclude]], 0,4)</f>
        <v/>
      </c>
      <c r="R134" s="65" t="str" cm="1">
        <f t="array" ref="R134">Common_InputFunctions.Utility_DisplayArrayInTable(Fertiliser_SourceData.Fertiliser_Products_Data1(),FertiliserProducts[[#Headers],[Include or Exclude]], 0,4)</f>
        <v/>
      </c>
      <c r="S134" s="65" t="str" cm="1">
        <f t="array" ref="S134">Common_InputFunctions.Utility_DisplayArrayInTable(Fertiliser_SourceData.Fertiliser_Products_Data1(),FertiliserProducts[[#Headers],[Include or Exclude]], 0,4)</f>
        <v/>
      </c>
      <c r="T134" s="65" t="str" cm="1">
        <f t="array" ref="T134">Common_InputFunctions.Utility_DisplayArrayInTable(Fertiliser_SourceData.Fertiliser_Products_Data1(),FertiliserProducts[[#Headers],[Include or Exclude]], 0,4)</f>
        <v/>
      </c>
      <c r="U134" s="65" t="str" cm="1">
        <f t="array" ref="U134">Common_InputFunctions.Utility_DisplayArrayInTable(Fertiliser_SourceData.Fertiliser_Products_Data1(),FertiliserProducts[[#Headers],[Include or Exclude]], 0,4)</f>
        <v/>
      </c>
      <c r="V134" s="65" t="str" cm="1">
        <f t="array" ref="V134">Common_InputFunctions.Utility_DisplayArrayInTable(Fertiliser_SourceData.Fertiliser_Products_Data1(),FertiliserProducts[[#Headers],[Include or Exclude]], 0,4)</f>
        <v/>
      </c>
      <c r="W134" s="65" t="str" cm="1">
        <f t="array" ref="W134">Common_InputFunctions.Utility_DisplayArrayInTable(Fertiliser_SourceData.Fertiliser_Products_Data1(),FertiliserProducts[[#Headers],[Include or Exclude]], 0,4)</f>
        <v/>
      </c>
      <c r="X134" s="65" t="str" cm="1">
        <f t="array" ref="X134">Common_InputFunctions.Utility_DisplayArrayInTable(Fertiliser_SourceData.Fertiliser_Products_Data1(),FertiliserProducts[[#Headers],[Include or Exclude]], 0,4)</f>
        <v/>
      </c>
      <c r="Y134" s="65" t="str" cm="1">
        <f t="array" ref="Y134">Common_InputFunctions.Utility_DisplayArrayInTable(Fertiliser_SourceData.Fertiliser_Products_Data1(),FertiliserProducts[[#Headers],[Include or Exclude]], 0,4)</f>
        <v/>
      </c>
      <c r="Z134" s="65" t="str" cm="1">
        <f t="array" ref="Z134">Common_InputFunctions.Utility_DisplayArrayInTable(Fertiliser_SourceData.Fertiliser_Products_Data1(),FertiliserProducts[[#Headers],[Include or Exclude]], 0,4)</f>
        <v/>
      </c>
      <c r="AA134" s="65" t="str" cm="1">
        <f t="array" ref="AA134">Common_InputFunctions.Utility_DisplayArrayInTable(Fertiliser_SourceData.Fertiliser_Products_Data1(),FertiliserProducts[[#Headers],[Include or Exclude]], 0,4)</f>
        <v/>
      </c>
      <c r="AB134" s="65" t="str" cm="1">
        <f t="array" ref="AB134">Common_InputFunctions.Utility_DisplayArrayInTable(Fertiliser_SourceData.Fertiliser_Products_Data1(),FertiliserProducts[[#Headers],[Include or Exclude]], 0,4)</f>
        <v/>
      </c>
      <c r="AC134" s="65" t="str" cm="1">
        <f t="array" ref="AC134">Common_InputFunctions.Utility_DisplayArrayInTable(Fertiliser_SourceData.Fertiliser_Products_Data1(),FertiliserProducts[[#Headers],[Include or Exclude]], 0,4)</f>
        <v/>
      </c>
      <c r="AD134" s="65" t="str" cm="1">
        <f t="array" ref="AD134">Common_InputFunctions.Utility_DisplayArrayInTable(Fertiliser_SourceData.Fertiliser_Products_Data1(),FertiliserProducts[[#Headers],[Include or Exclude]], 0,4)</f>
        <v/>
      </c>
      <c r="AE134" s="65" t="str" cm="1">
        <f t="array" ref="AE134">Common_InputFunctions.Utility_DisplayArrayInTable(Fertiliser_SourceData.Fertiliser_Products_Data1(),FertiliserProducts[[#Headers],[Include or Exclude]], 0,4)</f>
        <v/>
      </c>
    </row>
    <row r="135" spans="4:31" ht="20.100000000000001" customHeight="1" x14ac:dyDescent="0.25">
      <c r="D135" s="65" t="str" cm="1">
        <f t="array" ref="D135">Common_InputFunctions.Utility_DisplayArrayInTable(Fertiliser_SourceData.Fertiliser_Products_Data1(),FertiliserProducts[[#Headers],[Include or Exclude]], -1)</f>
        <v/>
      </c>
      <c r="E135" s="65" t="str" cm="1">
        <f t="array" ref="E135">Common_InputFunctions.Utility_DisplayArrayInTable(Fertiliser_SourceData.Fertiliser_Products_Data1(),FertiliserProducts[[#Headers],[Include or Exclude]], 0)</f>
        <v/>
      </c>
      <c r="F135" s="65" t="str" cm="1">
        <f t="array" ref="F135">Common_InputFunctions.Utility_DisplayArrayInTable(Fertiliser_SourceData.Fertiliser_Products_Data1(),FertiliserProducts[[#Headers],[Include or Exclude]], 0)</f>
        <v/>
      </c>
      <c r="G135" s="65" t="str" cm="1">
        <f t="array" ref="G135">Common_InputFunctions.Utility_DisplayArrayInTable(Fertiliser_SourceData.Fertiliser_Products_Data1(),FertiliserProducts[[#Headers],[Include or Exclude]], 0)</f>
        <v/>
      </c>
      <c r="H135" s="65" t="str" cm="1">
        <f t="array" ref="H135">Common_InputFunctions.Utility_DisplayArrayInTable(Fertiliser_SourceData.Fertiliser_Products_Data1(),FertiliserProducts[[#Headers],[Include or Exclude]], 0,4)</f>
        <v/>
      </c>
      <c r="I135" s="65" t="str" cm="1">
        <f t="array" ref="I135">Common_InputFunctions.Utility_DisplayArrayInTable(Fertiliser_SourceData.Fertiliser_Products_Data1(),FertiliserProducts[[#Headers],[Include or Exclude]], 0,4)</f>
        <v/>
      </c>
      <c r="J135" s="65" t="str" cm="1">
        <f t="array" ref="J135">Common_InputFunctions.Utility_DisplayArrayInTable(Fertiliser_SourceData.Fertiliser_Products_Data1(),FertiliserProducts[[#Headers],[Include or Exclude]], 0,4)</f>
        <v/>
      </c>
      <c r="K135" s="65" t="str" cm="1">
        <f t="array" ref="K135">Common_InputFunctions.Utility_DisplayArrayInTable(Fertiliser_SourceData.Fertiliser_Products_Data1(),FertiliserProducts[[#Headers],[Include or Exclude]], 0,4)</f>
        <v/>
      </c>
      <c r="L135" s="65" t="str" cm="1">
        <f t="array" ref="L135">Common_InputFunctions.Utility_DisplayArrayInTable(Fertiliser_SourceData.Fertiliser_Products_Data1(),FertiliserProducts[[#Headers],[Include or Exclude]], 0,4)</f>
        <v/>
      </c>
      <c r="M135" s="65" t="str" cm="1">
        <f t="array" ref="M135">Common_InputFunctions.Utility_DisplayArrayInTable(Fertiliser_SourceData.Fertiliser_Products_Data1(),FertiliserProducts[[#Headers],[Include or Exclude]], 0,4)</f>
        <v/>
      </c>
      <c r="N135" s="65" t="str" cm="1">
        <f t="array" ref="N135">Common_InputFunctions.Utility_DisplayArrayInTable(Fertiliser_SourceData.Fertiliser_Products_Data1(),FertiliserProducts[[#Headers],[Include or Exclude]], 0,4)</f>
        <v/>
      </c>
      <c r="O135" s="65" t="str" cm="1">
        <f t="array" ref="O135">Common_InputFunctions.Utility_DisplayArrayInTable(Fertiliser_SourceData.Fertiliser_Products_Data1(),FertiliserProducts[[#Headers],[Include or Exclude]], 0,4)</f>
        <v/>
      </c>
      <c r="P135" s="65" t="str" cm="1">
        <f t="array" ref="P135">Common_InputFunctions.Utility_DisplayArrayInTable(Fertiliser_SourceData.Fertiliser_Products_Data1(),FertiliserProducts[[#Headers],[Include or Exclude]], 0,4)</f>
        <v/>
      </c>
      <c r="Q135" s="65" t="str" cm="1">
        <f t="array" ref="Q135">Common_InputFunctions.Utility_DisplayArrayInTable(Fertiliser_SourceData.Fertiliser_Products_Data1(),FertiliserProducts[[#Headers],[Include or Exclude]], 0,4)</f>
        <v/>
      </c>
      <c r="R135" s="65" t="str" cm="1">
        <f t="array" ref="R135">Common_InputFunctions.Utility_DisplayArrayInTable(Fertiliser_SourceData.Fertiliser_Products_Data1(),FertiliserProducts[[#Headers],[Include or Exclude]], 0,4)</f>
        <v/>
      </c>
      <c r="S135" s="65" t="str" cm="1">
        <f t="array" ref="S135">Common_InputFunctions.Utility_DisplayArrayInTable(Fertiliser_SourceData.Fertiliser_Products_Data1(),FertiliserProducts[[#Headers],[Include or Exclude]], 0,4)</f>
        <v/>
      </c>
      <c r="T135" s="65" t="str" cm="1">
        <f t="array" ref="T135">Common_InputFunctions.Utility_DisplayArrayInTable(Fertiliser_SourceData.Fertiliser_Products_Data1(),FertiliserProducts[[#Headers],[Include or Exclude]], 0,4)</f>
        <v/>
      </c>
      <c r="U135" s="65" t="str" cm="1">
        <f t="array" ref="U135">Common_InputFunctions.Utility_DisplayArrayInTable(Fertiliser_SourceData.Fertiliser_Products_Data1(),FertiliserProducts[[#Headers],[Include or Exclude]], 0,4)</f>
        <v/>
      </c>
      <c r="V135" s="65" t="str" cm="1">
        <f t="array" ref="V135">Common_InputFunctions.Utility_DisplayArrayInTable(Fertiliser_SourceData.Fertiliser_Products_Data1(),FertiliserProducts[[#Headers],[Include or Exclude]], 0,4)</f>
        <v/>
      </c>
      <c r="W135" s="65" t="str" cm="1">
        <f t="array" ref="W135">Common_InputFunctions.Utility_DisplayArrayInTable(Fertiliser_SourceData.Fertiliser_Products_Data1(),FertiliserProducts[[#Headers],[Include or Exclude]], 0,4)</f>
        <v/>
      </c>
      <c r="X135" s="65" t="str" cm="1">
        <f t="array" ref="X135">Common_InputFunctions.Utility_DisplayArrayInTable(Fertiliser_SourceData.Fertiliser_Products_Data1(),FertiliserProducts[[#Headers],[Include or Exclude]], 0,4)</f>
        <v/>
      </c>
      <c r="Y135" s="65" t="str" cm="1">
        <f t="array" ref="Y135">Common_InputFunctions.Utility_DisplayArrayInTable(Fertiliser_SourceData.Fertiliser_Products_Data1(),FertiliserProducts[[#Headers],[Include or Exclude]], 0,4)</f>
        <v/>
      </c>
      <c r="Z135" s="65" t="str" cm="1">
        <f t="array" ref="Z135">Common_InputFunctions.Utility_DisplayArrayInTable(Fertiliser_SourceData.Fertiliser_Products_Data1(),FertiliserProducts[[#Headers],[Include or Exclude]], 0,4)</f>
        <v/>
      </c>
      <c r="AA135" s="65" t="str" cm="1">
        <f t="array" ref="AA135">Common_InputFunctions.Utility_DisplayArrayInTable(Fertiliser_SourceData.Fertiliser_Products_Data1(),FertiliserProducts[[#Headers],[Include or Exclude]], 0,4)</f>
        <v/>
      </c>
      <c r="AB135" s="65" t="str" cm="1">
        <f t="array" ref="AB135">Common_InputFunctions.Utility_DisplayArrayInTable(Fertiliser_SourceData.Fertiliser_Products_Data1(),FertiliserProducts[[#Headers],[Include or Exclude]], 0,4)</f>
        <v/>
      </c>
      <c r="AC135" s="65" t="str" cm="1">
        <f t="array" ref="AC135">Common_InputFunctions.Utility_DisplayArrayInTable(Fertiliser_SourceData.Fertiliser_Products_Data1(),FertiliserProducts[[#Headers],[Include or Exclude]], 0,4)</f>
        <v/>
      </c>
      <c r="AD135" s="65" t="str" cm="1">
        <f t="array" ref="AD135">Common_InputFunctions.Utility_DisplayArrayInTable(Fertiliser_SourceData.Fertiliser_Products_Data1(),FertiliserProducts[[#Headers],[Include or Exclude]], 0,4)</f>
        <v/>
      </c>
      <c r="AE135" s="65" t="str" cm="1">
        <f t="array" ref="AE135">Common_InputFunctions.Utility_DisplayArrayInTable(Fertiliser_SourceData.Fertiliser_Products_Data1(),FertiliserProducts[[#Headers],[Include or Exclude]], 0,4)</f>
        <v/>
      </c>
    </row>
    <row r="136" spans="4:31" ht="20.100000000000001" customHeight="1" x14ac:dyDescent="0.25">
      <c r="D136" s="65" t="str" cm="1">
        <f t="array" ref="D136">Common_InputFunctions.Utility_DisplayArrayInTable(Fertiliser_SourceData.Fertiliser_Products_Data1(),FertiliserProducts[[#Headers],[Include or Exclude]], -1)</f>
        <v/>
      </c>
      <c r="E136" s="65" t="str" cm="1">
        <f t="array" ref="E136">Common_InputFunctions.Utility_DisplayArrayInTable(Fertiliser_SourceData.Fertiliser_Products_Data1(),FertiliserProducts[[#Headers],[Include or Exclude]], 0)</f>
        <v/>
      </c>
      <c r="F136" s="65" t="str" cm="1">
        <f t="array" ref="F136">Common_InputFunctions.Utility_DisplayArrayInTable(Fertiliser_SourceData.Fertiliser_Products_Data1(),FertiliserProducts[[#Headers],[Include or Exclude]], 0)</f>
        <v/>
      </c>
      <c r="G136" s="65" t="str" cm="1">
        <f t="array" ref="G136">Common_InputFunctions.Utility_DisplayArrayInTable(Fertiliser_SourceData.Fertiliser_Products_Data1(),FertiliserProducts[[#Headers],[Include or Exclude]], 0)</f>
        <v/>
      </c>
      <c r="H136" s="65" t="str" cm="1">
        <f t="array" ref="H136">Common_InputFunctions.Utility_DisplayArrayInTable(Fertiliser_SourceData.Fertiliser_Products_Data1(),FertiliserProducts[[#Headers],[Include or Exclude]], 0,4)</f>
        <v/>
      </c>
      <c r="I136" s="65" t="str" cm="1">
        <f t="array" ref="I136">Common_InputFunctions.Utility_DisplayArrayInTable(Fertiliser_SourceData.Fertiliser_Products_Data1(),FertiliserProducts[[#Headers],[Include or Exclude]], 0,4)</f>
        <v/>
      </c>
      <c r="J136" s="65" t="str" cm="1">
        <f t="array" ref="J136">Common_InputFunctions.Utility_DisplayArrayInTable(Fertiliser_SourceData.Fertiliser_Products_Data1(),FertiliserProducts[[#Headers],[Include or Exclude]], 0,4)</f>
        <v/>
      </c>
      <c r="K136" s="65" t="str" cm="1">
        <f t="array" ref="K136">Common_InputFunctions.Utility_DisplayArrayInTable(Fertiliser_SourceData.Fertiliser_Products_Data1(),FertiliserProducts[[#Headers],[Include or Exclude]], 0,4)</f>
        <v/>
      </c>
      <c r="L136" s="65" t="str" cm="1">
        <f t="array" ref="L136">Common_InputFunctions.Utility_DisplayArrayInTable(Fertiliser_SourceData.Fertiliser_Products_Data1(),FertiliserProducts[[#Headers],[Include or Exclude]], 0,4)</f>
        <v/>
      </c>
      <c r="M136" s="65" t="str" cm="1">
        <f t="array" ref="M136">Common_InputFunctions.Utility_DisplayArrayInTable(Fertiliser_SourceData.Fertiliser_Products_Data1(),FertiliserProducts[[#Headers],[Include or Exclude]], 0,4)</f>
        <v/>
      </c>
      <c r="N136" s="65" t="str" cm="1">
        <f t="array" ref="N136">Common_InputFunctions.Utility_DisplayArrayInTable(Fertiliser_SourceData.Fertiliser_Products_Data1(),FertiliserProducts[[#Headers],[Include or Exclude]], 0,4)</f>
        <v/>
      </c>
      <c r="O136" s="65" t="str" cm="1">
        <f t="array" ref="O136">Common_InputFunctions.Utility_DisplayArrayInTable(Fertiliser_SourceData.Fertiliser_Products_Data1(),FertiliserProducts[[#Headers],[Include or Exclude]], 0,4)</f>
        <v/>
      </c>
      <c r="P136" s="65" t="str" cm="1">
        <f t="array" ref="P136">Common_InputFunctions.Utility_DisplayArrayInTable(Fertiliser_SourceData.Fertiliser_Products_Data1(),FertiliserProducts[[#Headers],[Include or Exclude]], 0,4)</f>
        <v/>
      </c>
      <c r="Q136" s="65" t="str" cm="1">
        <f t="array" ref="Q136">Common_InputFunctions.Utility_DisplayArrayInTable(Fertiliser_SourceData.Fertiliser_Products_Data1(),FertiliserProducts[[#Headers],[Include or Exclude]], 0,4)</f>
        <v/>
      </c>
      <c r="R136" s="65" t="str" cm="1">
        <f t="array" ref="R136">Common_InputFunctions.Utility_DisplayArrayInTable(Fertiliser_SourceData.Fertiliser_Products_Data1(),FertiliserProducts[[#Headers],[Include or Exclude]], 0,4)</f>
        <v/>
      </c>
      <c r="S136" s="65" t="str" cm="1">
        <f t="array" ref="S136">Common_InputFunctions.Utility_DisplayArrayInTable(Fertiliser_SourceData.Fertiliser_Products_Data1(),FertiliserProducts[[#Headers],[Include or Exclude]], 0,4)</f>
        <v/>
      </c>
      <c r="T136" s="65" t="str" cm="1">
        <f t="array" ref="T136">Common_InputFunctions.Utility_DisplayArrayInTable(Fertiliser_SourceData.Fertiliser_Products_Data1(),FertiliserProducts[[#Headers],[Include or Exclude]], 0,4)</f>
        <v/>
      </c>
      <c r="U136" s="65" t="str" cm="1">
        <f t="array" ref="U136">Common_InputFunctions.Utility_DisplayArrayInTable(Fertiliser_SourceData.Fertiliser_Products_Data1(),FertiliserProducts[[#Headers],[Include or Exclude]], 0,4)</f>
        <v/>
      </c>
      <c r="V136" s="65" t="str" cm="1">
        <f t="array" ref="V136">Common_InputFunctions.Utility_DisplayArrayInTable(Fertiliser_SourceData.Fertiliser_Products_Data1(),FertiliserProducts[[#Headers],[Include or Exclude]], 0,4)</f>
        <v/>
      </c>
      <c r="W136" s="65" t="str" cm="1">
        <f t="array" ref="W136">Common_InputFunctions.Utility_DisplayArrayInTable(Fertiliser_SourceData.Fertiliser_Products_Data1(),FertiliserProducts[[#Headers],[Include or Exclude]], 0,4)</f>
        <v/>
      </c>
      <c r="X136" s="65" t="str" cm="1">
        <f t="array" ref="X136">Common_InputFunctions.Utility_DisplayArrayInTable(Fertiliser_SourceData.Fertiliser_Products_Data1(),FertiliserProducts[[#Headers],[Include or Exclude]], 0,4)</f>
        <v/>
      </c>
      <c r="Y136" s="65" t="str" cm="1">
        <f t="array" ref="Y136">Common_InputFunctions.Utility_DisplayArrayInTable(Fertiliser_SourceData.Fertiliser_Products_Data1(),FertiliserProducts[[#Headers],[Include or Exclude]], 0,4)</f>
        <v/>
      </c>
      <c r="Z136" s="65" t="str" cm="1">
        <f t="array" ref="Z136">Common_InputFunctions.Utility_DisplayArrayInTable(Fertiliser_SourceData.Fertiliser_Products_Data1(),FertiliserProducts[[#Headers],[Include or Exclude]], 0,4)</f>
        <v/>
      </c>
      <c r="AA136" s="65" t="str" cm="1">
        <f t="array" ref="AA136">Common_InputFunctions.Utility_DisplayArrayInTable(Fertiliser_SourceData.Fertiliser_Products_Data1(),FertiliserProducts[[#Headers],[Include or Exclude]], 0,4)</f>
        <v/>
      </c>
      <c r="AB136" s="65" t="str" cm="1">
        <f t="array" ref="AB136">Common_InputFunctions.Utility_DisplayArrayInTable(Fertiliser_SourceData.Fertiliser_Products_Data1(),FertiliserProducts[[#Headers],[Include or Exclude]], 0,4)</f>
        <v/>
      </c>
      <c r="AC136" s="65" t="str" cm="1">
        <f t="array" ref="AC136">Common_InputFunctions.Utility_DisplayArrayInTable(Fertiliser_SourceData.Fertiliser_Products_Data1(),FertiliserProducts[[#Headers],[Include or Exclude]], 0,4)</f>
        <v/>
      </c>
      <c r="AD136" s="65" t="str" cm="1">
        <f t="array" ref="AD136">Common_InputFunctions.Utility_DisplayArrayInTable(Fertiliser_SourceData.Fertiliser_Products_Data1(),FertiliserProducts[[#Headers],[Include or Exclude]], 0,4)</f>
        <v/>
      </c>
      <c r="AE136" s="65" t="str" cm="1">
        <f t="array" ref="AE136">Common_InputFunctions.Utility_DisplayArrayInTable(Fertiliser_SourceData.Fertiliser_Products_Data1(),FertiliserProducts[[#Headers],[Include or Exclude]], 0,4)</f>
        <v/>
      </c>
    </row>
    <row r="137" spans="4:31" ht="20.100000000000001" customHeight="1" x14ac:dyDescent="0.25">
      <c r="D137" s="65" t="str" cm="1">
        <f t="array" ref="D137">Common_InputFunctions.Utility_DisplayArrayInTable(Fertiliser_SourceData.Fertiliser_Products_Data1(),FertiliserProducts[[#Headers],[Include or Exclude]], -1)</f>
        <v/>
      </c>
      <c r="E137" s="65" t="str" cm="1">
        <f t="array" ref="E137">Common_InputFunctions.Utility_DisplayArrayInTable(Fertiliser_SourceData.Fertiliser_Products_Data1(),FertiliserProducts[[#Headers],[Include or Exclude]], 0)</f>
        <v/>
      </c>
      <c r="F137" s="65" t="str" cm="1">
        <f t="array" ref="F137">Common_InputFunctions.Utility_DisplayArrayInTable(Fertiliser_SourceData.Fertiliser_Products_Data1(),FertiliserProducts[[#Headers],[Include or Exclude]], 0)</f>
        <v/>
      </c>
      <c r="G137" s="65" t="str" cm="1">
        <f t="array" ref="G137">Common_InputFunctions.Utility_DisplayArrayInTable(Fertiliser_SourceData.Fertiliser_Products_Data1(),FertiliserProducts[[#Headers],[Include or Exclude]], 0)</f>
        <v/>
      </c>
      <c r="H137" s="65" t="str" cm="1">
        <f t="array" ref="H137">Common_InputFunctions.Utility_DisplayArrayInTable(Fertiliser_SourceData.Fertiliser_Products_Data1(),FertiliserProducts[[#Headers],[Include or Exclude]], 0,4)</f>
        <v/>
      </c>
      <c r="I137" s="65" t="str" cm="1">
        <f t="array" ref="I137">Common_InputFunctions.Utility_DisplayArrayInTable(Fertiliser_SourceData.Fertiliser_Products_Data1(),FertiliserProducts[[#Headers],[Include or Exclude]], 0,4)</f>
        <v/>
      </c>
      <c r="J137" s="65" t="str" cm="1">
        <f t="array" ref="J137">Common_InputFunctions.Utility_DisplayArrayInTable(Fertiliser_SourceData.Fertiliser_Products_Data1(),FertiliserProducts[[#Headers],[Include or Exclude]], 0,4)</f>
        <v/>
      </c>
      <c r="K137" s="65" t="str" cm="1">
        <f t="array" ref="K137">Common_InputFunctions.Utility_DisplayArrayInTable(Fertiliser_SourceData.Fertiliser_Products_Data1(),FertiliserProducts[[#Headers],[Include or Exclude]], 0,4)</f>
        <v/>
      </c>
      <c r="L137" s="65" t="str" cm="1">
        <f t="array" ref="L137">Common_InputFunctions.Utility_DisplayArrayInTable(Fertiliser_SourceData.Fertiliser_Products_Data1(),FertiliserProducts[[#Headers],[Include or Exclude]], 0,4)</f>
        <v/>
      </c>
      <c r="M137" s="65" t="str" cm="1">
        <f t="array" ref="M137">Common_InputFunctions.Utility_DisplayArrayInTable(Fertiliser_SourceData.Fertiliser_Products_Data1(),FertiliserProducts[[#Headers],[Include or Exclude]], 0,4)</f>
        <v/>
      </c>
      <c r="N137" s="65" t="str" cm="1">
        <f t="array" ref="N137">Common_InputFunctions.Utility_DisplayArrayInTable(Fertiliser_SourceData.Fertiliser_Products_Data1(),FertiliserProducts[[#Headers],[Include or Exclude]], 0,4)</f>
        <v/>
      </c>
      <c r="O137" s="65" t="str" cm="1">
        <f t="array" ref="O137">Common_InputFunctions.Utility_DisplayArrayInTable(Fertiliser_SourceData.Fertiliser_Products_Data1(),FertiliserProducts[[#Headers],[Include or Exclude]], 0,4)</f>
        <v/>
      </c>
      <c r="P137" s="65" t="str" cm="1">
        <f t="array" ref="P137">Common_InputFunctions.Utility_DisplayArrayInTable(Fertiliser_SourceData.Fertiliser_Products_Data1(),FertiliserProducts[[#Headers],[Include or Exclude]], 0,4)</f>
        <v/>
      </c>
      <c r="Q137" s="65" t="str" cm="1">
        <f t="array" ref="Q137">Common_InputFunctions.Utility_DisplayArrayInTable(Fertiliser_SourceData.Fertiliser_Products_Data1(),FertiliserProducts[[#Headers],[Include or Exclude]], 0,4)</f>
        <v/>
      </c>
      <c r="R137" s="65" t="str" cm="1">
        <f t="array" ref="R137">Common_InputFunctions.Utility_DisplayArrayInTable(Fertiliser_SourceData.Fertiliser_Products_Data1(),FertiliserProducts[[#Headers],[Include or Exclude]], 0,4)</f>
        <v/>
      </c>
      <c r="S137" s="65" t="str" cm="1">
        <f t="array" ref="S137">Common_InputFunctions.Utility_DisplayArrayInTable(Fertiliser_SourceData.Fertiliser_Products_Data1(),FertiliserProducts[[#Headers],[Include or Exclude]], 0,4)</f>
        <v/>
      </c>
      <c r="T137" s="65" t="str" cm="1">
        <f t="array" ref="T137">Common_InputFunctions.Utility_DisplayArrayInTable(Fertiliser_SourceData.Fertiliser_Products_Data1(),FertiliserProducts[[#Headers],[Include or Exclude]], 0,4)</f>
        <v/>
      </c>
      <c r="U137" s="65" t="str" cm="1">
        <f t="array" ref="U137">Common_InputFunctions.Utility_DisplayArrayInTable(Fertiliser_SourceData.Fertiliser_Products_Data1(),FertiliserProducts[[#Headers],[Include or Exclude]], 0,4)</f>
        <v/>
      </c>
      <c r="V137" s="65" t="str" cm="1">
        <f t="array" ref="V137">Common_InputFunctions.Utility_DisplayArrayInTable(Fertiliser_SourceData.Fertiliser_Products_Data1(),FertiliserProducts[[#Headers],[Include or Exclude]], 0,4)</f>
        <v/>
      </c>
      <c r="W137" s="65" t="str" cm="1">
        <f t="array" ref="W137">Common_InputFunctions.Utility_DisplayArrayInTable(Fertiliser_SourceData.Fertiliser_Products_Data1(),FertiliserProducts[[#Headers],[Include or Exclude]], 0,4)</f>
        <v/>
      </c>
      <c r="X137" s="65" t="str" cm="1">
        <f t="array" ref="X137">Common_InputFunctions.Utility_DisplayArrayInTable(Fertiliser_SourceData.Fertiliser_Products_Data1(),FertiliserProducts[[#Headers],[Include or Exclude]], 0,4)</f>
        <v/>
      </c>
      <c r="Y137" s="65" t="str" cm="1">
        <f t="array" ref="Y137">Common_InputFunctions.Utility_DisplayArrayInTable(Fertiliser_SourceData.Fertiliser_Products_Data1(),FertiliserProducts[[#Headers],[Include or Exclude]], 0,4)</f>
        <v/>
      </c>
      <c r="Z137" s="65" t="str" cm="1">
        <f t="array" ref="Z137">Common_InputFunctions.Utility_DisplayArrayInTable(Fertiliser_SourceData.Fertiliser_Products_Data1(),FertiliserProducts[[#Headers],[Include or Exclude]], 0,4)</f>
        <v/>
      </c>
      <c r="AA137" s="65" t="str" cm="1">
        <f t="array" ref="AA137">Common_InputFunctions.Utility_DisplayArrayInTable(Fertiliser_SourceData.Fertiliser_Products_Data1(),FertiliserProducts[[#Headers],[Include or Exclude]], 0,4)</f>
        <v/>
      </c>
      <c r="AB137" s="65" t="str" cm="1">
        <f t="array" ref="AB137">Common_InputFunctions.Utility_DisplayArrayInTable(Fertiliser_SourceData.Fertiliser_Products_Data1(),FertiliserProducts[[#Headers],[Include or Exclude]], 0,4)</f>
        <v/>
      </c>
      <c r="AC137" s="65" t="str" cm="1">
        <f t="array" ref="AC137">Common_InputFunctions.Utility_DisplayArrayInTable(Fertiliser_SourceData.Fertiliser_Products_Data1(),FertiliserProducts[[#Headers],[Include or Exclude]], 0,4)</f>
        <v/>
      </c>
      <c r="AD137" s="65" t="str" cm="1">
        <f t="array" ref="AD137">Common_InputFunctions.Utility_DisplayArrayInTable(Fertiliser_SourceData.Fertiliser_Products_Data1(),FertiliserProducts[[#Headers],[Include or Exclude]], 0,4)</f>
        <v/>
      </c>
      <c r="AE137" s="65" t="str" cm="1">
        <f t="array" ref="AE137">Common_InputFunctions.Utility_DisplayArrayInTable(Fertiliser_SourceData.Fertiliser_Products_Data1(),FertiliserProducts[[#Headers],[Include or Exclude]], 0,4)</f>
        <v/>
      </c>
    </row>
    <row r="138" spans="4:31" ht="20.100000000000001" customHeight="1" x14ac:dyDescent="0.25">
      <c r="D138" s="65" t="str" cm="1">
        <f t="array" ref="D138">Common_InputFunctions.Utility_DisplayArrayInTable(Fertiliser_SourceData.Fertiliser_Products_Data1(),FertiliserProducts[[#Headers],[Include or Exclude]], -1)</f>
        <v/>
      </c>
      <c r="E138" s="65" t="str" cm="1">
        <f t="array" ref="E138">Common_InputFunctions.Utility_DisplayArrayInTable(Fertiliser_SourceData.Fertiliser_Products_Data1(),FertiliserProducts[[#Headers],[Include or Exclude]], 0)</f>
        <v/>
      </c>
      <c r="F138" s="65" t="str" cm="1">
        <f t="array" ref="F138">Common_InputFunctions.Utility_DisplayArrayInTable(Fertiliser_SourceData.Fertiliser_Products_Data1(),FertiliserProducts[[#Headers],[Include or Exclude]], 0)</f>
        <v/>
      </c>
      <c r="G138" s="65" t="str" cm="1">
        <f t="array" ref="G138">Common_InputFunctions.Utility_DisplayArrayInTable(Fertiliser_SourceData.Fertiliser_Products_Data1(),FertiliserProducts[[#Headers],[Include or Exclude]], 0)</f>
        <v/>
      </c>
      <c r="H138" s="65" t="str" cm="1">
        <f t="array" ref="H138">Common_InputFunctions.Utility_DisplayArrayInTable(Fertiliser_SourceData.Fertiliser_Products_Data1(),FertiliserProducts[[#Headers],[Include or Exclude]], 0,4)</f>
        <v/>
      </c>
      <c r="I138" s="65" t="str" cm="1">
        <f t="array" ref="I138">Common_InputFunctions.Utility_DisplayArrayInTable(Fertiliser_SourceData.Fertiliser_Products_Data1(),FertiliserProducts[[#Headers],[Include or Exclude]], 0,4)</f>
        <v/>
      </c>
      <c r="J138" s="65" t="str" cm="1">
        <f t="array" ref="J138">Common_InputFunctions.Utility_DisplayArrayInTable(Fertiliser_SourceData.Fertiliser_Products_Data1(),FertiliserProducts[[#Headers],[Include or Exclude]], 0,4)</f>
        <v/>
      </c>
      <c r="K138" s="65" t="str" cm="1">
        <f t="array" ref="K138">Common_InputFunctions.Utility_DisplayArrayInTable(Fertiliser_SourceData.Fertiliser_Products_Data1(),FertiliserProducts[[#Headers],[Include or Exclude]], 0,4)</f>
        <v/>
      </c>
      <c r="L138" s="65" t="str" cm="1">
        <f t="array" ref="L138">Common_InputFunctions.Utility_DisplayArrayInTable(Fertiliser_SourceData.Fertiliser_Products_Data1(),FertiliserProducts[[#Headers],[Include or Exclude]], 0,4)</f>
        <v/>
      </c>
      <c r="M138" s="65" t="str" cm="1">
        <f t="array" ref="M138">Common_InputFunctions.Utility_DisplayArrayInTable(Fertiliser_SourceData.Fertiliser_Products_Data1(),FertiliserProducts[[#Headers],[Include or Exclude]], 0,4)</f>
        <v/>
      </c>
      <c r="N138" s="65" t="str" cm="1">
        <f t="array" ref="N138">Common_InputFunctions.Utility_DisplayArrayInTable(Fertiliser_SourceData.Fertiliser_Products_Data1(),FertiliserProducts[[#Headers],[Include or Exclude]], 0,4)</f>
        <v/>
      </c>
      <c r="O138" s="65" t="str" cm="1">
        <f t="array" ref="O138">Common_InputFunctions.Utility_DisplayArrayInTable(Fertiliser_SourceData.Fertiliser_Products_Data1(),FertiliserProducts[[#Headers],[Include or Exclude]], 0,4)</f>
        <v/>
      </c>
      <c r="P138" s="65" t="str" cm="1">
        <f t="array" ref="P138">Common_InputFunctions.Utility_DisplayArrayInTable(Fertiliser_SourceData.Fertiliser_Products_Data1(),FertiliserProducts[[#Headers],[Include or Exclude]], 0,4)</f>
        <v/>
      </c>
      <c r="Q138" s="65" t="str" cm="1">
        <f t="array" ref="Q138">Common_InputFunctions.Utility_DisplayArrayInTable(Fertiliser_SourceData.Fertiliser_Products_Data1(),FertiliserProducts[[#Headers],[Include or Exclude]], 0,4)</f>
        <v/>
      </c>
      <c r="R138" s="65" t="str" cm="1">
        <f t="array" ref="R138">Common_InputFunctions.Utility_DisplayArrayInTable(Fertiliser_SourceData.Fertiliser_Products_Data1(),FertiliserProducts[[#Headers],[Include or Exclude]], 0,4)</f>
        <v/>
      </c>
      <c r="S138" s="65" t="str" cm="1">
        <f t="array" ref="S138">Common_InputFunctions.Utility_DisplayArrayInTable(Fertiliser_SourceData.Fertiliser_Products_Data1(),FertiliserProducts[[#Headers],[Include or Exclude]], 0,4)</f>
        <v/>
      </c>
      <c r="T138" s="65" t="str" cm="1">
        <f t="array" ref="T138">Common_InputFunctions.Utility_DisplayArrayInTable(Fertiliser_SourceData.Fertiliser_Products_Data1(),FertiliserProducts[[#Headers],[Include or Exclude]], 0,4)</f>
        <v/>
      </c>
      <c r="U138" s="65" t="str" cm="1">
        <f t="array" ref="U138">Common_InputFunctions.Utility_DisplayArrayInTable(Fertiliser_SourceData.Fertiliser_Products_Data1(),FertiliserProducts[[#Headers],[Include or Exclude]], 0,4)</f>
        <v/>
      </c>
      <c r="V138" s="65" t="str" cm="1">
        <f t="array" ref="V138">Common_InputFunctions.Utility_DisplayArrayInTable(Fertiliser_SourceData.Fertiliser_Products_Data1(),FertiliserProducts[[#Headers],[Include or Exclude]], 0,4)</f>
        <v/>
      </c>
      <c r="W138" s="65" t="str" cm="1">
        <f t="array" ref="W138">Common_InputFunctions.Utility_DisplayArrayInTable(Fertiliser_SourceData.Fertiliser_Products_Data1(),FertiliserProducts[[#Headers],[Include or Exclude]], 0,4)</f>
        <v/>
      </c>
      <c r="X138" s="65" t="str" cm="1">
        <f t="array" ref="X138">Common_InputFunctions.Utility_DisplayArrayInTable(Fertiliser_SourceData.Fertiliser_Products_Data1(),FertiliserProducts[[#Headers],[Include or Exclude]], 0,4)</f>
        <v/>
      </c>
      <c r="Y138" s="65" t="str" cm="1">
        <f t="array" ref="Y138">Common_InputFunctions.Utility_DisplayArrayInTable(Fertiliser_SourceData.Fertiliser_Products_Data1(),FertiliserProducts[[#Headers],[Include or Exclude]], 0,4)</f>
        <v/>
      </c>
      <c r="Z138" s="65" t="str" cm="1">
        <f t="array" ref="Z138">Common_InputFunctions.Utility_DisplayArrayInTable(Fertiliser_SourceData.Fertiliser_Products_Data1(),FertiliserProducts[[#Headers],[Include or Exclude]], 0,4)</f>
        <v/>
      </c>
      <c r="AA138" s="65" t="str" cm="1">
        <f t="array" ref="AA138">Common_InputFunctions.Utility_DisplayArrayInTable(Fertiliser_SourceData.Fertiliser_Products_Data1(),FertiliserProducts[[#Headers],[Include or Exclude]], 0,4)</f>
        <v/>
      </c>
      <c r="AB138" s="65" t="str" cm="1">
        <f t="array" ref="AB138">Common_InputFunctions.Utility_DisplayArrayInTable(Fertiliser_SourceData.Fertiliser_Products_Data1(),FertiliserProducts[[#Headers],[Include or Exclude]], 0,4)</f>
        <v/>
      </c>
      <c r="AC138" s="65" t="str" cm="1">
        <f t="array" ref="AC138">Common_InputFunctions.Utility_DisplayArrayInTable(Fertiliser_SourceData.Fertiliser_Products_Data1(),FertiliserProducts[[#Headers],[Include or Exclude]], 0,4)</f>
        <v/>
      </c>
      <c r="AD138" s="65" t="str" cm="1">
        <f t="array" ref="AD138">Common_InputFunctions.Utility_DisplayArrayInTable(Fertiliser_SourceData.Fertiliser_Products_Data1(),FertiliserProducts[[#Headers],[Include or Exclude]], 0,4)</f>
        <v/>
      </c>
      <c r="AE138" s="65" t="str" cm="1">
        <f t="array" ref="AE138">Common_InputFunctions.Utility_DisplayArrayInTable(Fertiliser_SourceData.Fertiliser_Products_Data1(),FertiliserProducts[[#Headers],[Include or Exclude]], 0,4)</f>
        <v/>
      </c>
    </row>
    <row r="139" spans="4:31" ht="20.100000000000001" customHeight="1" x14ac:dyDescent="0.25">
      <c r="D139" s="65" t="str" cm="1">
        <f t="array" ref="D139">Common_InputFunctions.Utility_DisplayArrayInTable(Fertiliser_SourceData.Fertiliser_Products_Data1(),FertiliserProducts[[#Headers],[Include or Exclude]], -1)</f>
        <v/>
      </c>
      <c r="E139" s="65" t="str" cm="1">
        <f t="array" ref="E139">Common_InputFunctions.Utility_DisplayArrayInTable(Fertiliser_SourceData.Fertiliser_Products_Data1(),FertiliserProducts[[#Headers],[Include or Exclude]], 0)</f>
        <v/>
      </c>
      <c r="F139" s="65" t="str" cm="1">
        <f t="array" ref="F139">Common_InputFunctions.Utility_DisplayArrayInTable(Fertiliser_SourceData.Fertiliser_Products_Data1(),FertiliserProducts[[#Headers],[Include or Exclude]], 0)</f>
        <v/>
      </c>
      <c r="G139" s="65" t="str" cm="1">
        <f t="array" ref="G139">Common_InputFunctions.Utility_DisplayArrayInTable(Fertiliser_SourceData.Fertiliser_Products_Data1(),FertiliserProducts[[#Headers],[Include or Exclude]], 0)</f>
        <v/>
      </c>
      <c r="H139" s="65" t="str" cm="1">
        <f t="array" ref="H139">Common_InputFunctions.Utility_DisplayArrayInTable(Fertiliser_SourceData.Fertiliser_Products_Data1(),FertiliserProducts[[#Headers],[Include or Exclude]], 0,4)</f>
        <v/>
      </c>
      <c r="I139" s="65" t="str" cm="1">
        <f t="array" ref="I139">Common_InputFunctions.Utility_DisplayArrayInTable(Fertiliser_SourceData.Fertiliser_Products_Data1(),FertiliserProducts[[#Headers],[Include or Exclude]], 0,4)</f>
        <v/>
      </c>
      <c r="J139" s="65" t="str" cm="1">
        <f t="array" ref="J139">Common_InputFunctions.Utility_DisplayArrayInTable(Fertiliser_SourceData.Fertiliser_Products_Data1(),FertiliserProducts[[#Headers],[Include or Exclude]], 0,4)</f>
        <v/>
      </c>
      <c r="K139" s="65" t="str" cm="1">
        <f t="array" ref="K139">Common_InputFunctions.Utility_DisplayArrayInTable(Fertiliser_SourceData.Fertiliser_Products_Data1(),FertiliserProducts[[#Headers],[Include or Exclude]], 0,4)</f>
        <v/>
      </c>
      <c r="L139" s="65" t="str" cm="1">
        <f t="array" ref="L139">Common_InputFunctions.Utility_DisplayArrayInTable(Fertiliser_SourceData.Fertiliser_Products_Data1(),FertiliserProducts[[#Headers],[Include or Exclude]], 0,4)</f>
        <v/>
      </c>
      <c r="M139" s="65" t="str" cm="1">
        <f t="array" ref="M139">Common_InputFunctions.Utility_DisplayArrayInTable(Fertiliser_SourceData.Fertiliser_Products_Data1(),FertiliserProducts[[#Headers],[Include or Exclude]], 0,4)</f>
        <v/>
      </c>
      <c r="N139" s="65" t="str" cm="1">
        <f t="array" ref="N139">Common_InputFunctions.Utility_DisplayArrayInTable(Fertiliser_SourceData.Fertiliser_Products_Data1(),FertiliserProducts[[#Headers],[Include or Exclude]], 0,4)</f>
        <v/>
      </c>
      <c r="O139" s="65" t="str" cm="1">
        <f t="array" ref="O139">Common_InputFunctions.Utility_DisplayArrayInTable(Fertiliser_SourceData.Fertiliser_Products_Data1(),FertiliserProducts[[#Headers],[Include or Exclude]], 0,4)</f>
        <v/>
      </c>
      <c r="P139" s="65" t="str" cm="1">
        <f t="array" ref="P139">Common_InputFunctions.Utility_DisplayArrayInTable(Fertiliser_SourceData.Fertiliser_Products_Data1(),FertiliserProducts[[#Headers],[Include or Exclude]], 0,4)</f>
        <v/>
      </c>
      <c r="Q139" s="65" t="str" cm="1">
        <f t="array" ref="Q139">Common_InputFunctions.Utility_DisplayArrayInTable(Fertiliser_SourceData.Fertiliser_Products_Data1(),FertiliserProducts[[#Headers],[Include or Exclude]], 0,4)</f>
        <v/>
      </c>
      <c r="R139" s="65" t="str" cm="1">
        <f t="array" ref="R139">Common_InputFunctions.Utility_DisplayArrayInTable(Fertiliser_SourceData.Fertiliser_Products_Data1(),FertiliserProducts[[#Headers],[Include or Exclude]], 0,4)</f>
        <v/>
      </c>
      <c r="S139" s="65" t="str" cm="1">
        <f t="array" ref="S139">Common_InputFunctions.Utility_DisplayArrayInTable(Fertiliser_SourceData.Fertiliser_Products_Data1(),FertiliserProducts[[#Headers],[Include or Exclude]], 0,4)</f>
        <v/>
      </c>
      <c r="T139" s="65" t="str" cm="1">
        <f t="array" ref="T139">Common_InputFunctions.Utility_DisplayArrayInTable(Fertiliser_SourceData.Fertiliser_Products_Data1(),FertiliserProducts[[#Headers],[Include or Exclude]], 0,4)</f>
        <v/>
      </c>
      <c r="U139" s="65" t="str" cm="1">
        <f t="array" ref="U139">Common_InputFunctions.Utility_DisplayArrayInTable(Fertiliser_SourceData.Fertiliser_Products_Data1(),FertiliserProducts[[#Headers],[Include or Exclude]], 0,4)</f>
        <v/>
      </c>
      <c r="V139" s="65" t="str" cm="1">
        <f t="array" ref="V139">Common_InputFunctions.Utility_DisplayArrayInTable(Fertiliser_SourceData.Fertiliser_Products_Data1(),FertiliserProducts[[#Headers],[Include or Exclude]], 0,4)</f>
        <v/>
      </c>
      <c r="W139" s="65" t="str" cm="1">
        <f t="array" ref="W139">Common_InputFunctions.Utility_DisplayArrayInTable(Fertiliser_SourceData.Fertiliser_Products_Data1(),FertiliserProducts[[#Headers],[Include or Exclude]], 0,4)</f>
        <v/>
      </c>
      <c r="X139" s="65" t="str" cm="1">
        <f t="array" ref="X139">Common_InputFunctions.Utility_DisplayArrayInTable(Fertiliser_SourceData.Fertiliser_Products_Data1(),FertiliserProducts[[#Headers],[Include or Exclude]], 0,4)</f>
        <v/>
      </c>
      <c r="Y139" s="65" t="str" cm="1">
        <f t="array" ref="Y139">Common_InputFunctions.Utility_DisplayArrayInTable(Fertiliser_SourceData.Fertiliser_Products_Data1(),FertiliserProducts[[#Headers],[Include or Exclude]], 0,4)</f>
        <v/>
      </c>
      <c r="Z139" s="65" t="str" cm="1">
        <f t="array" ref="Z139">Common_InputFunctions.Utility_DisplayArrayInTable(Fertiliser_SourceData.Fertiliser_Products_Data1(),FertiliserProducts[[#Headers],[Include or Exclude]], 0,4)</f>
        <v/>
      </c>
      <c r="AA139" s="65" t="str" cm="1">
        <f t="array" ref="AA139">Common_InputFunctions.Utility_DisplayArrayInTable(Fertiliser_SourceData.Fertiliser_Products_Data1(),FertiliserProducts[[#Headers],[Include or Exclude]], 0,4)</f>
        <v/>
      </c>
      <c r="AB139" s="65" t="str" cm="1">
        <f t="array" ref="AB139">Common_InputFunctions.Utility_DisplayArrayInTable(Fertiliser_SourceData.Fertiliser_Products_Data1(),FertiliserProducts[[#Headers],[Include or Exclude]], 0,4)</f>
        <v/>
      </c>
      <c r="AC139" s="65" t="str" cm="1">
        <f t="array" ref="AC139">Common_InputFunctions.Utility_DisplayArrayInTable(Fertiliser_SourceData.Fertiliser_Products_Data1(),FertiliserProducts[[#Headers],[Include or Exclude]], 0,4)</f>
        <v/>
      </c>
      <c r="AD139" s="65" t="str" cm="1">
        <f t="array" ref="AD139">Common_InputFunctions.Utility_DisplayArrayInTable(Fertiliser_SourceData.Fertiliser_Products_Data1(),FertiliserProducts[[#Headers],[Include or Exclude]], 0,4)</f>
        <v/>
      </c>
      <c r="AE139" s="65" t="str" cm="1">
        <f t="array" ref="AE139">Common_InputFunctions.Utility_DisplayArrayInTable(Fertiliser_SourceData.Fertiliser_Products_Data1(),FertiliserProducts[[#Headers],[Include or Exclude]], 0,4)</f>
        <v/>
      </c>
    </row>
    <row r="140" spans="4:31" ht="20.100000000000001" customHeight="1" x14ac:dyDescent="0.25">
      <c r="D140" s="65" t="str" cm="1">
        <f t="array" ref="D140">Common_InputFunctions.Utility_DisplayArrayInTable(Fertiliser_SourceData.Fertiliser_Products_Data1(),FertiliserProducts[[#Headers],[Include or Exclude]], -1)</f>
        <v/>
      </c>
      <c r="E140" s="65" t="str" cm="1">
        <f t="array" ref="E140">Common_InputFunctions.Utility_DisplayArrayInTable(Fertiliser_SourceData.Fertiliser_Products_Data1(),FertiliserProducts[[#Headers],[Include or Exclude]], 0)</f>
        <v/>
      </c>
      <c r="F140" s="65" t="str" cm="1">
        <f t="array" ref="F140">Common_InputFunctions.Utility_DisplayArrayInTable(Fertiliser_SourceData.Fertiliser_Products_Data1(),FertiliserProducts[[#Headers],[Include or Exclude]], 0)</f>
        <v/>
      </c>
      <c r="G140" s="65" t="str" cm="1">
        <f t="array" ref="G140">Common_InputFunctions.Utility_DisplayArrayInTable(Fertiliser_SourceData.Fertiliser_Products_Data1(),FertiliserProducts[[#Headers],[Include or Exclude]], 0)</f>
        <v/>
      </c>
      <c r="H140" s="65" t="str" cm="1">
        <f t="array" ref="H140">Common_InputFunctions.Utility_DisplayArrayInTable(Fertiliser_SourceData.Fertiliser_Products_Data1(),FertiliserProducts[[#Headers],[Include or Exclude]], 0,4)</f>
        <v/>
      </c>
      <c r="I140" s="65" t="str" cm="1">
        <f t="array" ref="I140">Common_InputFunctions.Utility_DisplayArrayInTable(Fertiliser_SourceData.Fertiliser_Products_Data1(),FertiliserProducts[[#Headers],[Include or Exclude]], 0,4)</f>
        <v/>
      </c>
      <c r="J140" s="65" t="str" cm="1">
        <f t="array" ref="J140">Common_InputFunctions.Utility_DisplayArrayInTable(Fertiliser_SourceData.Fertiliser_Products_Data1(),FertiliserProducts[[#Headers],[Include or Exclude]], 0,4)</f>
        <v/>
      </c>
      <c r="K140" s="65" t="str" cm="1">
        <f t="array" ref="K140">Common_InputFunctions.Utility_DisplayArrayInTable(Fertiliser_SourceData.Fertiliser_Products_Data1(),FertiliserProducts[[#Headers],[Include or Exclude]], 0,4)</f>
        <v/>
      </c>
      <c r="L140" s="65" t="str" cm="1">
        <f t="array" ref="L140">Common_InputFunctions.Utility_DisplayArrayInTable(Fertiliser_SourceData.Fertiliser_Products_Data1(),FertiliserProducts[[#Headers],[Include or Exclude]], 0,4)</f>
        <v/>
      </c>
      <c r="M140" s="65" t="str" cm="1">
        <f t="array" ref="M140">Common_InputFunctions.Utility_DisplayArrayInTable(Fertiliser_SourceData.Fertiliser_Products_Data1(),FertiliserProducts[[#Headers],[Include or Exclude]], 0,4)</f>
        <v/>
      </c>
      <c r="N140" s="65" t="str" cm="1">
        <f t="array" ref="N140">Common_InputFunctions.Utility_DisplayArrayInTable(Fertiliser_SourceData.Fertiliser_Products_Data1(),FertiliserProducts[[#Headers],[Include or Exclude]], 0,4)</f>
        <v/>
      </c>
      <c r="O140" s="65" t="str" cm="1">
        <f t="array" ref="O140">Common_InputFunctions.Utility_DisplayArrayInTable(Fertiliser_SourceData.Fertiliser_Products_Data1(),FertiliserProducts[[#Headers],[Include or Exclude]], 0,4)</f>
        <v/>
      </c>
      <c r="P140" s="65" t="str" cm="1">
        <f t="array" ref="P140">Common_InputFunctions.Utility_DisplayArrayInTable(Fertiliser_SourceData.Fertiliser_Products_Data1(),FertiliserProducts[[#Headers],[Include or Exclude]], 0,4)</f>
        <v/>
      </c>
      <c r="Q140" s="65" t="str" cm="1">
        <f t="array" ref="Q140">Common_InputFunctions.Utility_DisplayArrayInTable(Fertiliser_SourceData.Fertiliser_Products_Data1(),FertiliserProducts[[#Headers],[Include or Exclude]], 0,4)</f>
        <v/>
      </c>
      <c r="R140" s="65" t="str" cm="1">
        <f t="array" ref="R140">Common_InputFunctions.Utility_DisplayArrayInTable(Fertiliser_SourceData.Fertiliser_Products_Data1(),FertiliserProducts[[#Headers],[Include or Exclude]], 0,4)</f>
        <v/>
      </c>
      <c r="S140" s="65" t="str" cm="1">
        <f t="array" ref="S140">Common_InputFunctions.Utility_DisplayArrayInTable(Fertiliser_SourceData.Fertiliser_Products_Data1(),FertiliserProducts[[#Headers],[Include or Exclude]], 0,4)</f>
        <v/>
      </c>
      <c r="T140" s="65" t="str" cm="1">
        <f t="array" ref="T140">Common_InputFunctions.Utility_DisplayArrayInTable(Fertiliser_SourceData.Fertiliser_Products_Data1(),FertiliserProducts[[#Headers],[Include or Exclude]], 0,4)</f>
        <v/>
      </c>
      <c r="U140" s="65" t="str" cm="1">
        <f t="array" ref="U140">Common_InputFunctions.Utility_DisplayArrayInTable(Fertiliser_SourceData.Fertiliser_Products_Data1(),FertiliserProducts[[#Headers],[Include or Exclude]], 0,4)</f>
        <v/>
      </c>
      <c r="V140" s="65" t="str" cm="1">
        <f t="array" ref="V140">Common_InputFunctions.Utility_DisplayArrayInTable(Fertiliser_SourceData.Fertiliser_Products_Data1(),FertiliserProducts[[#Headers],[Include or Exclude]], 0,4)</f>
        <v/>
      </c>
      <c r="W140" s="65" t="str" cm="1">
        <f t="array" ref="W140">Common_InputFunctions.Utility_DisplayArrayInTable(Fertiliser_SourceData.Fertiliser_Products_Data1(),FertiliserProducts[[#Headers],[Include or Exclude]], 0,4)</f>
        <v/>
      </c>
      <c r="X140" s="65" t="str" cm="1">
        <f t="array" ref="X140">Common_InputFunctions.Utility_DisplayArrayInTable(Fertiliser_SourceData.Fertiliser_Products_Data1(),FertiliserProducts[[#Headers],[Include or Exclude]], 0,4)</f>
        <v/>
      </c>
      <c r="Y140" s="65" t="str" cm="1">
        <f t="array" ref="Y140">Common_InputFunctions.Utility_DisplayArrayInTable(Fertiliser_SourceData.Fertiliser_Products_Data1(),FertiliserProducts[[#Headers],[Include or Exclude]], 0,4)</f>
        <v/>
      </c>
      <c r="Z140" s="65" t="str" cm="1">
        <f t="array" ref="Z140">Common_InputFunctions.Utility_DisplayArrayInTable(Fertiliser_SourceData.Fertiliser_Products_Data1(),FertiliserProducts[[#Headers],[Include or Exclude]], 0,4)</f>
        <v/>
      </c>
      <c r="AA140" s="65" t="str" cm="1">
        <f t="array" ref="AA140">Common_InputFunctions.Utility_DisplayArrayInTable(Fertiliser_SourceData.Fertiliser_Products_Data1(),FertiliserProducts[[#Headers],[Include or Exclude]], 0,4)</f>
        <v/>
      </c>
      <c r="AB140" s="65" t="str" cm="1">
        <f t="array" ref="AB140">Common_InputFunctions.Utility_DisplayArrayInTable(Fertiliser_SourceData.Fertiliser_Products_Data1(),FertiliserProducts[[#Headers],[Include or Exclude]], 0,4)</f>
        <v/>
      </c>
      <c r="AC140" s="65" t="str" cm="1">
        <f t="array" ref="AC140">Common_InputFunctions.Utility_DisplayArrayInTable(Fertiliser_SourceData.Fertiliser_Products_Data1(),FertiliserProducts[[#Headers],[Include or Exclude]], 0,4)</f>
        <v/>
      </c>
      <c r="AD140" s="65" t="str" cm="1">
        <f t="array" ref="AD140">Common_InputFunctions.Utility_DisplayArrayInTable(Fertiliser_SourceData.Fertiliser_Products_Data1(),FertiliserProducts[[#Headers],[Include or Exclude]], 0,4)</f>
        <v/>
      </c>
      <c r="AE140" s="65" t="str" cm="1">
        <f t="array" ref="AE140">Common_InputFunctions.Utility_DisplayArrayInTable(Fertiliser_SourceData.Fertiliser_Products_Data1(),FertiliserProducts[[#Headers],[Include or Exclude]], 0,4)</f>
        <v/>
      </c>
    </row>
    <row r="141" spans="4:31" ht="20.100000000000001" customHeight="1" x14ac:dyDescent="0.25">
      <c r="D141" s="65" t="str" cm="1">
        <f t="array" ref="D141">Common_InputFunctions.Utility_DisplayArrayInTable(Fertiliser_SourceData.Fertiliser_Products_Data1(),FertiliserProducts[[#Headers],[Include or Exclude]], -1)</f>
        <v/>
      </c>
      <c r="E141" s="65" t="str" cm="1">
        <f t="array" ref="E141">Common_InputFunctions.Utility_DisplayArrayInTable(Fertiliser_SourceData.Fertiliser_Products_Data1(),FertiliserProducts[[#Headers],[Include or Exclude]], 0)</f>
        <v/>
      </c>
      <c r="F141" s="65" t="str" cm="1">
        <f t="array" ref="F141">Common_InputFunctions.Utility_DisplayArrayInTable(Fertiliser_SourceData.Fertiliser_Products_Data1(),FertiliserProducts[[#Headers],[Include or Exclude]], 0)</f>
        <v/>
      </c>
      <c r="G141" s="65" t="str" cm="1">
        <f t="array" ref="G141">Common_InputFunctions.Utility_DisplayArrayInTable(Fertiliser_SourceData.Fertiliser_Products_Data1(),FertiliserProducts[[#Headers],[Include or Exclude]], 0)</f>
        <v/>
      </c>
      <c r="H141" s="65" t="str" cm="1">
        <f t="array" ref="H141">Common_InputFunctions.Utility_DisplayArrayInTable(Fertiliser_SourceData.Fertiliser_Products_Data1(),FertiliserProducts[[#Headers],[Include or Exclude]], 0,4)</f>
        <v/>
      </c>
      <c r="I141" s="65" t="str" cm="1">
        <f t="array" ref="I141">Common_InputFunctions.Utility_DisplayArrayInTable(Fertiliser_SourceData.Fertiliser_Products_Data1(),FertiliserProducts[[#Headers],[Include or Exclude]], 0,4)</f>
        <v/>
      </c>
      <c r="J141" s="65" t="str" cm="1">
        <f t="array" ref="J141">Common_InputFunctions.Utility_DisplayArrayInTable(Fertiliser_SourceData.Fertiliser_Products_Data1(),FertiliserProducts[[#Headers],[Include or Exclude]], 0,4)</f>
        <v/>
      </c>
      <c r="K141" s="65" t="str" cm="1">
        <f t="array" ref="K141">Common_InputFunctions.Utility_DisplayArrayInTable(Fertiliser_SourceData.Fertiliser_Products_Data1(),FertiliserProducts[[#Headers],[Include or Exclude]], 0,4)</f>
        <v/>
      </c>
      <c r="L141" s="65" t="str" cm="1">
        <f t="array" ref="L141">Common_InputFunctions.Utility_DisplayArrayInTable(Fertiliser_SourceData.Fertiliser_Products_Data1(),FertiliserProducts[[#Headers],[Include or Exclude]], 0,4)</f>
        <v/>
      </c>
      <c r="M141" s="65" t="str" cm="1">
        <f t="array" ref="M141">Common_InputFunctions.Utility_DisplayArrayInTable(Fertiliser_SourceData.Fertiliser_Products_Data1(),FertiliserProducts[[#Headers],[Include or Exclude]], 0,4)</f>
        <v/>
      </c>
      <c r="N141" s="65" t="str" cm="1">
        <f t="array" ref="N141">Common_InputFunctions.Utility_DisplayArrayInTable(Fertiliser_SourceData.Fertiliser_Products_Data1(),FertiliserProducts[[#Headers],[Include or Exclude]], 0,4)</f>
        <v/>
      </c>
      <c r="O141" s="65" t="str" cm="1">
        <f t="array" ref="O141">Common_InputFunctions.Utility_DisplayArrayInTable(Fertiliser_SourceData.Fertiliser_Products_Data1(),FertiliserProducts[[#Headers],[Include or Exclude]], 0,4)</f>
        <v/>
      </c>
      <c r="P141" s="65" t="str" cm="1">
        <f t="array" ref="P141">Common_InputFunctions.Utility_DisplayArrayInTable(Fertiliser_SourceData.Fertiliser_Products_Data1(),FertiliserProducts[[#Headers],[Include or Exclude]], 0,4)</f>
        <v/>
      </c>
      <c r="Q141" s="65" t="str" cm="1">
        <f t="array" ref="Q141">Common_InputFunctions.Utility_DisplayArrayInTable(Fertiliser_SourceData.Fertiliser_Products_Data1(),FertiliserProducts[[#Headers],[Include or Exclude]], 0,4)</f>
        <v/>
      </c>
      <c r="R141" s="65" t="str" cm="1">
        <f t="array" ref="R141">Common_InputFunctions.Utility_DisplayArrayInTable(Fertiliser_SourceData.Fertiliser_Products_Data1(),FertiliserProducts[[#Headers],[Include or Exclude]], 0,4)</f>
        <v/>
      </c>
      <c r="S141" s="65" t="str" cm="1">
        <f t="array" ref="S141">Common_InputFunctions.Utility_DisplayArrayInTable(Fertiliser_SourceData.Fertiliser_Products_Data1(),FertiliserProducts[[#Headers],[Include or Exclude]], 0,4)</f>
        <v/>
      </c>
      <c r="T141" s="65" t="str" cm="1">
        <f t="array" ref="T141">Common_InputFunctions.Utility_DisplayArrayInTable(Fertiliser_SourceData.Fertiliser_Products_Data1(),FertiliserProducts[[#Headers],[Include or Exclude]], 0,4)</f>
        <v/>
      </c>
      <c r="U141" s="65" t="str" cm="1">
        <f t="array" ref="U141">Common_InputFunctions.Utility_DisplayArrayInTable(Fertiliser_SourceData.Fertiliser_Products_Data1(),FertiliserProducts[[#Headers],[Include or Exclude]], 0,4)</f>
        <v/>
      </c>
      <c r="V141" s="65" t="str" cm="1">
        <f t="array" ref="V141">Common_InputFunctions.Utility_DisplayArrayInTable(Fertiliser_SourceData.Fertiliser_Products_Data1(),FertiliserProducts[[#Headers],[Include or Exclude]], 0,4)</f>
        <v/>
      </c>
      <c r="W141" s="65" t="str" cm="1">
        <f t="array" ref="W141">Common_InputFunctions.Utility_DisplayArrayInTable(Fertiliser_SourceData.Fertiliser_Products_Data1(),FertiliserProducts[[#Headers],[Include or Exclude]], 0,4)</f>
        <v/>
      </c>
      <c r="X141" s="65" t="str" cm="1">
        <f t="array" ref="X141">Common_InputFunctions.Utility_DisplayArrayInTable(Fertiliser_SourceData.Fertiliser_Products_Data1(),FertiliserProducts[[#Headers],[Include or Exclude]], 0,4)</f>
        <v/>
      </c>
      <c r="Y141" s="65" t="str" cm="1">
        <f t="array" ref="Y141">Common_InputFunctions.Utility_DisplayArrayInTable(Fertiliser_SourceData.Fertiliser_Products_Data1(),FertiliserProducts[[#Headers],[Include or Exclude]], 0,4)</f>
        <v/>
      </c>
      <c r="Z141" s="65" t="str" cm="1">
        <f t="array" ref="Z141">Common_InputFunctions.Utility_DisplayArrayInTable(Fertiliser_SourceData.Fertiliser_Products_Data1(),FertiliserProducts[[#Headers],[Include or Exclude]], 0,4)</f>
        <v/>
      </c>
      <c r="AA141" s="65" t="str" cm="1">
        <f t="array" ref="AA141">Common_InputFunctions.Utility_DisplayArrayInTable(Fertiliser_SourceData.Fertiliser_Products_Data1(),FertiliserProducts[[#Headers],[Include or Exclude]], 0,4)</f>
        <v/>
      </c>
      <c r="AB141" s="65" t="str" cm="1">
        <f t="array" ref="AB141">Common_InputFunctions.Utility_DisplayArrayInTable(Fertiliser_SourceData.Fertiliser_Products_Data1(),FertiliserProducts[[#Headers],[Include or Exclude]], 0,4)</f>
        <v/>
      </c>
      <c r="AC141" s="65" t="str" cm="1">
        <f t="array" ref="AC141">Common_InputFunctions.Utility_DisplayArrayInTable(Fertiliser_SourceData.Fertiliser_Products_Data1(),FertiliserProducts[[#Headers],[Include or Exclude]], 0,4)</f>
        <v/>
      </c>
      <c r="AD141" s="65" t="str" cm="1">
        <f t="array" ref="AD141">Common_InputFunctions.Utility_DisplayArrayInTable(Fertiliser_SourceData.Fertiliser_Products_Data1(),FertiliserProducts[[#Headers],[Include or Exclude]], 0,4)</f>
        <v/>
      </c>
      <c r="AE141" s="65" t="str" cm="1">
        <f t="array" ref="AE141">Common_InputFunctions.Utility_DisplayArrayInTable(Fertiliser_SourceData.Fertiliser_Products_Data1(),FertiliserProducts[[#Headers],[Include or Exclude]], 0,4)</f>
        <v/>
      </c>
    </row>
    <row r="142" spans="4:31" ht="20.100000000000001" customHeight="1" x14ac:dyDescent="0.25">
      <c r="D142" s="65" t="str" cm="1">
        <f t="array" ref="D142">Common_InputFunctions.Utility_DisplayArrayInTable(Fertiliser_SourceData.Fertiliser_Products_Data1(),FertiliserProducts[[#Headers],[Include or Exclude]], -1)</f>
        <v/>
      </c>
      <c r="E142" s="65" t="str" cm="1">
        <f t="array" ref="E142">Common_InputFunctions.Utility_DisplayArrayInTable(Fertiliser_SourceData.Fertiliser_Products_Data1(),FertiliserProducts[[#Headers],[Include or Exclude]], 0)</f>
        <v/>
      </c>
      <c r="F142" s="65" t="str" cm="1">
        <f t="array" ref="F142">Common_InputFunctions.Utility_DisplayArrayInTable(Fertiliser_SourceData.Fertiliser_Products_Data1(),FertiliserProducts[[#Headers],[Include or Exclude]], 0)</f>
        <v/>
      </c>
      <c r="G142" s="65" t="str" cm="1">
        <f t="array" ref="G142">Common_InputFunctions.Utility_DisplayArrayInTable(Fertiliser_SourceData.Fertiliser_Products_Data1(),FertiliserProducts[[#Headers],[Include or Exclude]], 0)</f>
        <v/>
      </c>
      <c r="H142" s="65" t="str" cm="1">
        <f t="array" ref="H142">Common_InputFunctions.Utility_DisplayArrayInTable(Fertiliser_SourceData.Fertiliser_Products_Data1(),FertiliserProducts[[#Headers],[Include or Exclude]], 0,4)</f>
        <v/>
      </c>
      <c r="I142" s="65" t="str" cm="1">
        <f t="array" ref="I142">Common_InputFunctions.Utility_DisplayArrayInTable(Fertiliser_SourceData.Fertiliser_Products_Data1(),FertiliserProducts[[#Headers],[Include or Exclude]], 0,4)</f>
        <v/>
      </c>
      <c r="J142" s="65" t="str" cm="1">
        <f t="array" ref="J142">Common_InputFunctions.Utility_DisplayArrayInTable(Fertiliser_SourceData.Fertiliser_Products_Data1(),FertiliserProducts[[#Headers],[Include or Exclude]], 0,4)</f>
        <v/>
      </c>
      <c r="K142" s="65" t="str" cm="1">
        <f t="array" ref="K142">Common_InputFunctions.Utility_DisplayArrayInTable(Fertiliser_SourceData.Fertiliser_Products_Data1(),FertiliserProducts[[#Headers],[Include or Exclude]], 0,4)</f>
        <v/>
      </c>
      <c r="L142" s="65" t="str" cm="1">
        <f t="array" ref="L142">Common_InputFunctions.Utility_DisplayArrayInTable(Fertiliser_SourceData.Fertiliser_Products_Data1(),FertiliserProducts[[#Headers],[Include or Exclude]], 0,4)</f>
        <v/>
      </c>
      <c r="M142" s="65" t="str" cm="1">
        <f t="array" ref="M142">Common_InputFunctions.Utility_DisplayArrayInTable(Fertiliser_SourceData.Fertiliser_Products_Data1(),FertiliserProducts[[#Headers],[Include or Exclude]], 0,4)</f>
        <v/>
      </c>
      <c r="N142" s="65" t="str" cm="1">
        <f t="array" ref="N142">Common_InputFunctions.Utility_DisplayArrayInTable(Fertiliser_SourceData.Fertiliser_Products_Data1(),FertiliserProducts[[#Headers],[Include or Exclude]], 0,4)</f>
        <v/>
      </c>
      <c r="O142" s="65" t="str" cm="1">
        <f t="array" ref="O142">Common_InputFunctions.Utility_DisplayArrayInTable(Fertiliser_SourceData.Fertiliser_Products_Data1(),FertiliserProducts[[#Headers],[Include or Exclude]], 0,4)</f>
        <v/>
      </c>
      <c r="P142" s="65" t="str" cm="1">
        <f t="array" ref="P142">Common_InputFunctions.Utility_DisplayArrayInTable(Fertiliser_SourceData.Fertiliser_Products_Data1(),FertiliserProducts[[#Headers],[Include or Exclude]], 0,4)</f>
        <v/>
      </c>
      <c r="Q142" s="65" t="str" cm="1">
        <f t="array" ref="Q142">Common_InputFunctions.Utility_DisplayArrayInTable(Fertiliser_SourceData.Fertiliser_Products_Data1(),FertiliserProducts[[#Headers],[Include or Exclude]], 0,4)</f>
        <v/>
      </c>
      <c r="R142" s="65" t="str" cm="1">
        <f t="array" ref="R142">Common_InputFunctions.Utility_DisplayArrayInTable(Fertiliser_SourceData.Fertiliser_Products_Data1(),FertiliserProducts[[#Headers],[Include or Exclude]], 0,4)</f>
        <v/>
      </c>
      <c r="S142" s="65" t="str" cm="1">
        <f t="array" ref="S142">Common_InputFunctions.Utility_DisplayArrayInTable(Fertiliser_SourceData.Fertiliser_Products_Data1(),FertiliserProducts[[#Headers],[Include or Exclude]], 0,4)</f>
        <v/>
      </c>
      <c r="T142" s="65" t="str" cm="1">
        <f t="array" ref="T142">Common_InputFunctions.Utility_DisplayArrayInTable(Fertiliser_SourceData.Fertiliser_Products_Data1(),FertiliserProducts[[#Headers],[Include or Exclude]], 0,4)</f>
        <v/>
      </c>
      <c r="U142" s="65" t="str" cm="1">
        <f t="array" ref="U142">Common_InputFunctions.Utility_DisplayArrayInTable(Fertiliser_SourceData.Fertiliser_Products_Data1(),FertiliserProducts[[#Headers],[Include or Exclude]], 0,4)</f>
        <v/>
      </c>
      <c r="V142" s="65" t="str" cm="1">
        <f t="array" ref="V142">Common_InputFunctions.Utility_DisplayArrayInTable(Fertiliser_SourceData.Fertiliser_Products_Data1(),FertiliserProducts[[#Headers],[Include or Exclude]], 0,4)</f>
        <v/>
      </c>
      <c r="W142" s="65" t="str" cm="1">
        <f t="array" ref="W142">Common_InputFunctions.Utility_DisplayArrayInTable(Fertiliser_SourceData.Fertiliser_Products_Data1(),FertiliserProducts[[#Headers],[Include or Exclude]], 0,4)</f>
        <v/>
      </c>
      <c r="X142" s="65" t="str" cm="1">
        <f t="array" ref="X142">Common_InputFunctions.Utility_DisplayArrayInTable(Fertiliser_SourceData.Fertiliser_Products_Data1(),FertiliserProducts[[#Headers],[Include or Exclude]], 0,4)</f>
        <v/>
      </c>
      <c r="Y142" s="65" t="str" cm="1">
        <f t="array" ref="Y142">Common_InputFunctions.Utility_DisplayArrayInTable(Fertiliser_SourceData.Fertiliser_Products_Data1(),FertiliserProducts[[#Headers],[Include or Exclude]], 0,4)</f>
        <v/>
      </c>
      <c r="Z142" s="65" t="str" cm="1">
        <f t="array" ref="Z142">Common_InputFunctions.Utility_DisplayArrayInTable(Fertiliser_SourceData.Fertiliser_Products_Data1(),FertiliserProducts[[#Headers],[Include or Exclude]], 0,4)</f>
        <v/>
      </c>
      <c r="AA142" s="65" t="str" cm="1">
        <f t="array" ref="AA142">Common_InputFunctions.Utility_DisplayArrayInTable(Fertiliser_SourceData.Fertiliser_Products_Data1(),FertiliserProducts[[#Headers],[Include or Exclude]], 0,4)</f>
        <v/>
      </c>
      <c r="AB142" s="65" t="str" cm="1">
        <f t="array" ref="AB142">Common_InputFunctions.Utility_DisplayArrayInTable(Fertiliser_SourceData.Fertiliser_Products_Data1(),FertiliserProducts[[#Headers],[Include or Exclude]], 0,4)</f>
        <v/>
      </c>
      <c r="AC142" s="65" t="str" cm="1">
        <f t="array" ref="AC142">Common_InputFunctions.Utility_DisplayArrayInTable(Fertiliser_SourceData.Fertiliser_Products_Data1(),FertiliserProducts[[#Headers],[Include or Exclude]], 0,4)</f>
        <v/>
      </c>
      <c r="AD142" s="65" t="str" cm="1">
        <f t="array" ref="AD142">Common_InputFunctions.Utility_DisplayArrayInTable(Fertiliser_SourceData.Fertiliser_Products_Data1(),FertiliserProducts[[#Headers],[Include or Exclude]], 0,4)</f>
        <v/>
      </c>
      <c r="AE142" s="65" t="str" cm="1">
        <f t="array" ref="AE142">Common_InputFunctions.Utility_DisplayArrayInTable(Fertiliser_SourceData.Fertiliser_Products_Data1(),FertiliserProducts[[#Headers],[Include or Exclude]], 0,4)</f>
        <v/>
      </c>
    </row>
    <row r="143" spans="4:31" ht="20.100000000000001" customHeight="1" x14ac:dyDescent="0.25">
      <c r="D143" s="65" t="str" cm="1">
        <f t="array" ref="D143">Common_InputFunctions.Utility_DisplayArrayInTable(Fertiliser_SourceData.Fertiliser_Products_Data1(),FertiliserProducts[[#Headers],[Include or Exclude]], -1)</f>
        <v/>
      </c>
      <c r="E143" s="65" t="str" cm="1">
        <f t="array" ref="E143">Common_InputFunctions.Utility_DisplayArrayInTable(Fertiliser_SourceData.Fertiliser_Products_Data1(),FertiliserProducts[[#Headers],[Include or Exclude]], 0)</f>
        <v/>
      </c>
      <c r="F143" s="65" t="str" cm="1">
        <f t="array" ref="F143">Common_InputFunctions.Utility_DisplayArrayInTable(Fertiliser_SourceData.Fertiliser_Products_Data1(),FertiliserProducts[[#Headers],[Include or Exclude]], 0)</f>
        <v/>
      </c>
      <c r="G143" s="65" t="str" cm="1">
        <f t="array" ref="G143">Common_InputFunctions.Utility_DisplayArrayInTable(Fertiliser_SourceData.Fertiliser_Products_Data1(),FertiliserProducts[[#Headers],[Include or Exclude]], 0)</f>
        <v/>
      </c>
      <c r="H143" s="65" t="str" cm="1">
        <f t="array" ref="H143">Common_InputFunctions.Utility_DisplayArrayInTable(Fertiliser_SourceData.Fertiliser_Products_Data1(),FertiliserProducts[[#Headers],[Include or Exclude]], 0,4)</f>
        <v/>
      </c>
      <c r="I143" s="65" t="str" cm="1">
        <f t="array" ref="I143">Common_InputFunctions.Utility_DisplayArrayInTable(Fertiliser_SourceData.Fertiliser_Products_Data1(),FertiliserProducts[[#Headers],[Include or Exclude]], 0,4)</f>
        <v/>
      </c>
      <c r="J143" s="65" t="str" cm="1">
        <f t="array" ref="J143">Common_InputFunctions.Utility_DisplayArrayInTable(Fertiliser_SourceData.Fertiliser_Products_Data1(),FertiliserProducts[[#Headers],[Include or Exclude]], 0,4)</f>
        <v/>
      </c>
      <c r="K143" s="65" t="str" cm="1">
        <f t="array" ref="K143">Common_InputFunctions.Utility_DisplayArrayInTable(Fertiliser_SourceData.Fertiliser_Products_Data1(),FertiliserProducts[[#Headers],[Include or Exclude]], 0,4)</f>
        <v/>
      </c>
      <c r="L143" s="65" t="str" cm="1">
        <f t="array" ref="L143">Common_InputFunctions.Utility_DisplayArrayInTable(Fertiliser_SourceData.Fertiliser_Products_Data1(),FertiliserProducts[[#Headers],[Include or Exclude]], 0,4)</f>
        <v/>
      </c>
      <c r="M143" s="65" t="str" cm="1">
        <f t="array" ref="M143">Common_InputFunctions.Utility_DisplayArrayInTable(Fertiliser_SourceData.Fertiliser_Products_Data1(),FertiliserProducts[[#Headers],[Include or Exclude]], 0,4)</f>
        <v/>
      </c>
      <c r="N143" s="65" t="str" cm="1">
        <f t="array" ref="N143">Common_InputFunctions.Utility_DisplayArrayInTable(Fertiliser_SourceData.Fertiliser_Products_Data1(),FertiliserProducts[[#Headers],[Include or Exclude]], 0,4)</f>
        <v/>
      </c>
      <c r="O143" s="65" t="str" cm="1">
        <f t="array" ref="O143">Common_InputFunctions.Utility_DisplayArrayInTable(Fertiliser_SourceData.Fertiliser_Products_Data1(),FertiliserProducts[[#Headers],[Include or Exclude]], 0,4)</f>
        <v/>
      </c>
      <c r="P143" s="65" t="str" cm="1">
        <f t="array" ref="P143">Common_InputFunctions.Utility_DisplayArrayInTable(Fertiliser_SourceData.Fertiliser_Products_Data1(),FertiliserProducts[[#Headers],[Include or Exclude]], 0,4)</f>
        <v/>
      </c>
      <c r="Q143" s="65" t="str" cm="1">
        <f t="array" ref="Q143">Common_InputFunctions.Utility_DisplayArrayInTable(Fertiliser_SourceData.Fertiliser_Products_Data1(),FertiliserProducts[[#Headers],[Include or Exclude]], 0,4)</f>
        <v/>
      </c>
      <c r="R143" s="65" t="str" cm="1">
        <f t="array" ref="R143">Common_InputFunctions.Utility_DisplayArrayInTable(Fertiliser_SourceData.Fertiliser_Products_Data1(),FertiliserProducts[[#Headers],[Include or Exclude]], 0,4)</f>
        <v/>
      </c>
      <c r="S143" s="65" t="str" cm="1">
        <f t="array" ref="S143">Common_InputFunctions.Utility_DisplayArrayInTable(Fertiliser_SourceData.Fertiliser_Products_Data1(),FertiliserProducts[[#Headers],[Include or Exclude]], 0,4)</f>
        <v/>
      </c>
      <c r="T143" s="65" t="str" cm="1">
        <f t="array" ref="T143">Common_InputFunctions.Utility_DisplayArrayInTable(Fertiliser_SourceData.Fertiliser_Products_Data1(),FertiliserProducts[[#Headers],[Include or Exclude]], 0,4)</f>
        <v/>
      </c>
      <c r="U143" s="65" t="str" cm="1">
        <f t="array" ref="U143">Common_InputFunctions.Utility_DisplayArrayInTable(Fertiliser_SourceData.Fertiliser_Products_Data1(),FertiliserProducts[[#Headers],[Include or Exclude]], 0,4)</f>
        <v/>
      </c>
      <c r="V143" s="65" t="str" cm="1">
        <f t="array" ref="V143">Common_InputFunctions.Utility_DisplayArrayInTable(Fertiliser_SourceData.Fertiliser_Products_Data1(),FertiliserProducts[[#Headers],[Include or Exclude]], 0,4)</f>
        <v/>
      </c>
      <c r="W143" s="65" t="str" cm="1">
        <f t="array" ref="W143">Common_InputFunctions.Utility_DisplayArrayInTable(Fertiliser_SourceData.Fertiliser_Products_Data1(),FertiliserProducts[[#Headers],[Include or Exclude]], 0,4)</f>
        <v/>
      </c>
      <c r="X143" s="65" t="str" cm="1">
        <f t="array" ref="X143">Common_InputFunctions.Utility_DisplayArrayInTable(Fertiliser_SourceData.Fertiliser_Products_Data1(),FertiliserProducts[[#Headers],[Include or Exclude]], 0,4)</f>
        <v/>
      </c>
      <c r="Y143" s="65" t="str" cm="1">
        <f t="array" ref="Y143">Common_InputFunctions.Utility_DisplayArrayInTable(Fertiliser_SourceData.Fertiliser_Products_Data1(),FertiliserProducts[[#Headers],[Include or Exclude]], 0,4)</f>
        <v/>
      </c>
      <c r="Z143" s="65" t="str" cm="1">
        <f t="array" ref="Z143">Common_InputFunctions.Utility_DisplayArrayInTable(Fertiliser_SourceData.Fertiliser_Products_Data1(),FertiliserProducts[[#Headers],[Include or Exclude]], 0,4)</f>
        <v/>
      </c>
      <c r="AA143" s="65" t="str" cm="1">
        <f t="array" ref="AA143">Common_InputFunctions.Utility_DisplayArrayInTable(Fertiliser_SourceData.Fertiliser_Products_Data1(),FertiliserProducts[[#Headers],[Include or Exclude]], 0,4)</f>
        <v/>
      </c>
      <c r="AB143" s="65" t="str" cm="1">
        <f t="array" ref="AB143">Common_InputFunctions.Utility_DisplayArrayInTable(Fertiliser_SourceData.Fertiliser_Products_Data1(),FertiliserProducts[[#Headers],[Include or Exclude]], 0,4)</f>
        <v/>
      </c>
      <c r="AC143" s="65" t="str" cm="1">
        <f t="array" ref="AC143">Common_InputFunctions.Utility_DisplayArrayInTable(Fertiliser_SourceData.Fertiliser_Products_Data1(),FertiliserProducts[[#Headers],[Include or Exclude]], 0,4)</f>
        <v/>
      </c>
      <c r="AD143" s="65" t="str" cm="1">
        <f t="array" ref="AD143">Common_InputFunctions.Utility_DisplayArrayInTable(Fertiliser_SourceData.Fertiliser_Products_Data1(),FertiliserProducts[[#Headers],[Include or Exclude]], 0,4)</f>
        <v/>
      </c>
      <c r="AE143" s="65" t="str" cm="1">
        <f t="array" ref="AE143">Common_InputFunctions.Utility_DisplayArrayInTable(Fertiliser_SourceData.Fertiliser_Products_Data1(),FertiliserProducts[[#Headers],[Include or Exclude]], 0,4)</f>
        <v/>
      </c>
    </row>
    <row r="144" spans="4:31" ht="20.100000000000001" customHeight="1" x14ac:dyDescent="0.25">
      <c r="D144" s="65" t="str" cm="1">
        <f t="array" ref="D144">Common_InputFunctions.Utility_DisplayArrayInTable(Fertiliser_SourceData.Fertiliser_Products_Data1(),FertiliserProducts[[#Headers],[Include or Exclude]], -1)</f>
        <v/>
      </c>
      <c r="E144" s="65" t="str" cm="1">
        <f t="array" ref="E144">Common_InputFunctions.Utility_DisplayArrayInTable(Fertiliser_SourceData.Fertiliser_Products_Data1(),FertiliserProducts[[#Headers],[Include or Exclude]], 0)</f>
        <v/>
      </c>
      <c r="F144" s="65" t="str" cm="1">
        <f t="array" ref="F144">Common_InputFunctions.Utility_DisplayArrayInTable(Fertiliser_SourceData.Fertiliser_Products_Data1(),FertiliserProducts[[#Headers],[Include or Exclude]], 0)</f>
        <v/>
      </c>
      <c r="G144" s="65" t="str" cm="1">
        <f t="array" ref="G144">Common_InputFunctions.Utility_DisplayArrayInTable(Fertiliser_SourceData.Fertiliser_Products_Data1(),FertiliserProducts[[#Headers],[Include or Exclude]], 0)</f>
        <v/>
      </c>
      <c r="H144" s="65" t="str" cm="1">
        <f t="array" ref="H144">Common_InputFunctions.Utility_DisplayArrayInTable(Fertiliser_SourceData.Fertiliser_Products_Data1(),FertiliserProducts[[#Headers],[Include or Exclude]], 0,4)</f>
        <v/>
      </c>
      <c r="I144" s="65" t="str" cm="1">
        <f t="array" ref="I144">Common_InputFunctions.Utility_DisplayArrayInTable(Fertiliser_SourceData.Fertiliser_Products_Data1(),FertiliserProducts[[#Headers],[Include or Exclude]], 0,4)</f>
        <v/>
      </c>
      <c r="J144" s="65" t="str" cm="1">
        <f t="array" ref="J144">Common_InputFunctions.Utility_DisplayArrayInTable(Fertiliser_SourceData.Fertiliser_Products_Data1(),FertiliserProducts[[#Headers],[Include or Exclude]], 0,4)</f>
        <v/>
      </c>
      <c r="K144" s="65" t="str" cm="1">
        <f t="array" ref="K144">Common_InputFunctions.Utility_DisplayArrayInTable(Fertiliser_SourceData.Fertiliser_Products_Data1(),FertiliserProducts[[#Headers],[Include or Exclude]], 0,4)</f>
        <v/>
      </c>
      <c r="L144" s="65" t="str" cm="1">
        <f t="array" ref="L144">Common_InputFunctions.Utility_DisplayArrayInTable(Fertiliser_SourceData.Fertiliser_Products_Data1(),FertiliserProducts[[#Headers],[Include or Exclude]], 0,4)</f>
        <v/>
      </c>
      <c r="M144" s="65" t="str" cm="1">
        <f t="array" ref="M144">Common_InputFunctions.Utility_DisplayArrayInTable(Fertiliser_SourceData.Fertiliser_Products_Data1(),FertiliserProducts[[#Headers],[Include or Exclude]], 0,4)</f>
        <v/>
      </c>
      <c r="N144" s="65" t="str" cm="1">
        <f t="array" ref="N144">Common_InputFunctions.Utility_DisplayArrayInTable(Fertiliser_SourceData.Fertiliser_Products_Data1(),FertiliserProducts[[#Headers],[Include or Exclude]], 0,4)</f>
        <v/>
      </c>
      <c r="O144" s="65" t="str" cm="1">
        <f t="array" ref="O144">Common_InputFunctions.Utility_DisplayArrayInTable(Fertiliser_SourceData.Fertiliser_Products_Data1(),FertiliserProducts[[#Headers],[Include or Exclude]], 0,4)</f>
        <v/>
      </c>
      <c r="P144" s="65" t="str" cm="1">
        <f t="array" ref="P144">Common_InputFunctions.Utility_DisplayArrayInTable(Fertiliser_SourceData.Fertiliser_Products_Data1(),FertiliserProducts[[#Headers],[Include or Exclude]], 0,4)</f>
        <v/>
      </c>
      <c r="Q144" s="65" t="str" cm="1">
        <f t="array" ref="Q144">Common_InputFunctions.Utility_DisplayArrayInTable(Fertiliser_SourceData.Fertiliser_Products_Data1(),FertiliserProducts[[#Headers],[Include or Exclude]], 0,4)</f>
        <v/>
      </c>
      <c r="R144" s="65" t="str" cm="1">
        <f t="array" ref="R144">Common_InputFunctions.Utility_DisplayArrayInTable(Fertiliser_SourceData.Fertiliser_Products_Data1(),FertiliserProducts[[#Headers],[Include or Exclude]], 0,4)</f>
        <v/>
      </c>
      <c r="S144" s="65" t="str" cm="1">
        <f t="array" ref="S144">Common_InputFunctions.Utility_DisplayArrayInTable(Fertiliser_SourceData.Fertiliser_Products_Data1(),FertiliserProducts[[#Headers],[Include or Exclude]], 0,4)</f>
        <v/>
      </c>
      <c r="T144" s="65" t="str" cm="1">
        <f t="array" ref="T144">Common_InputFunctions.Utility_DisplayArrayInTable(Fertiliser_SourceData.Fertiliser_Products_Data1(),FertiliserProducts[[#Headers],[Include or Exclude]], 0,4)</f>
        <v/>
      </c>
      <c r="U144" s="65" t="str" cm="1">
        <f t="array" ref="U144">Common_InputFunctions.Utility_DisplayArrayInTable(Fertiliser_SourceData.Fertiliser_Products_Data1(),FertiliserProducts[[#Headers],[Include or Exclude]], 0,4)</f>
        <v/>
      </c>
      <c r="V144" s="65" t="str" cm="1">
        <f t="array" ref="V144">Common_InputFunctions.Utility_DisplayArrayInTable(Fertiliser_SourceData.Fertiliser_Products_Data1(),FertiliserProducts[[#Headers],[Include or Exclude]], 0,4)</f>
        <v/>
      </c>
      <c r="W144" s="65" t="str" cm="1">
        <f t="array" ref="W144">Common_InputFunctions.Utility_DisplayArrayInTable(Fertiliser_SourceData.Fertiliser_Products_Data1(),FertiliserProducts[[#Headers],[Include or Exclude]], 0,4)</f>
        <v/>
      </c>
      <c r="X144" s="65" t="str" cm="1">
        <f t="array" ref="X144">Common_InputFunctions.Utility_DisplayArrayInTable(Fertiliser_SourceData.Fertiliser_Products_Data1(),FertiliserProducts[[#Headers],[Include or Exclude]], 0,4)</f>
        <v/>
      </c>
      <c r="Y144" s="65" t="str" cm="1">
        <f t="array" ref="Y144">Common_InputFunctions.Utility_DisplayArrayInTable(Fertiliser_SourceData.Fertiliser_Products_Data1(),FertiliserProducts[[#Headers],[Include or Exclude]], 0,4)</f>
        <v/>
      </c>
      <c r="Z144" s="65" t="str" cm="1">
        <f t="array" ref="Z144">Common_InputFunctions.Utility_DisplayArrayInTable(Fertiliser_SourceData.Fertiliser_Products_Data1(),FertiliserProducts[[#Headers],[Include or Exclude]], 0,4)</f>
        <v/>
      </c>
      <c r="AA144" s="65" t="str" cm="1">
        <f t="array" ref="AA144">Common_InputFunctions.Utility_DisplayArrayInTable(Fertiliser_SourceData.Fertiliser_Products_Data1(),FertiliserProducts[[#Headers],[Include or Exclude]], 0,4)</f>
        <v/>
      </c>
      <c r="AB144" s="65" t="str" cm="1">
        <f t="array" ref="AB144">Common_InputFunctions.Utility_DisplayArrayInTable(Fertiliser_SourceData.Fertiliser_Products_Data1(),FertiliserProducts[[#Headers],[Include or Exclude]], 0,4)</f>
        <v/>
      </c>
      <c r="AC144" s="65" t="str" cm="1">
        <f t="array" ref="AC144">Common_InputFunctions.Utility_DisplayArrayInTable(Fertiliser_SourceData.Fertiliser_Products_Data1(),FertiliserProducts[[#Headers],[Include or Exclude]], 0,4)</f>
        <v/>
      </c>
      <c r="AD144" s="65" t="str" cm="1">
        <f t="array" ref="AD144">Common_InputFunctions.Utility_DisplayArrayInTable(Fertiliser_SourceData.Fertiliser_Products_Data1(),FertiliserProducts[[#Headers],[Include or Exclude]], 0,4)</f>
        <v/>
      </c>
      <c r="AE144" s="65" t="str" cm="1">
        <f t="array" ref="AE144">Common_InputFunctions.Utility_DisplayArrayInTable(Fertiliser_SourceData.Fertiliser_Products_Data1(),FertiliserProducts[[#Headers],[Include or Exclude]], 0,4)</f>
        <v/>
      </c>
    </row>
    <row r="145" spans="4:31" ht="20.100000000000001" customHeight="1" x14ac:dyDescent="0.25">
      <c r="D145" s="65" t="str" cm="1">
        <f t="array" ref="D145">Common_InputFunctions.Utility_DisplayArrayInTable(Fertiliser_SourceData.Fertiliser_Products_Data1(),FertiliserProducts[[#Headers],[Include or Exclude]], -1)</f>
        <v/>
      </c>
      <c r="E145" s="65" t="str" cm="1">
        <f t="array" ref="E145">Common_InputFunctions.Utility_DisplayArrayInTable(Fertiliser_SourceData.Fertiliser_Products_Data1(),FertiliserProducts[[#Headers],[Include or Exclude]], 0)</f>
        <v/>
      </c>
      <c r="F145" s="65" t="str" cm="1">
        <f t="array" ref="F145">Common_InputFunctions.Utility_DisplayArrayInTable(Fertiliser_SourceData.Fertiliser_Products_Data1(),FertiliserProducts[[#Headers],[Include or Exclude]], 0)</f>
        <v/>
      </c>
      <c r="G145" s="65" t="str" cm="1">
        <f t="array" ref="G145">Common_InputFunctions.Utility_DisplayArrayInTable(Fertiliser_SourceData.Fertiliser_Products_Data1(),FertiliserProducts[[#Headers],[Include or Exclude]], 0)</f>
        <v/>
      </c>
      <c r="H145" s="65" t="str" cm="1">
        <f t="array" ref="H145">Common_InputFunctions.Utility_DisplayArrayInTable(Fertiliser_SourceData.Fertiliser_Products_Data1(),FertiliserProducts[[#Headers],[Include or Exclude]], 0,4)</f>
        <v/>
      </c>
      <c r="I145" s="65" t="str" cm="1">
        <f t="array" ref="I145">Common_InputFunctions.Utility_DisplayArrayInTable(Fertiliser_SourceData.Fertiliser_Products_Data1(),FertiliserProducts[[#Headers],[Include or Exclude]], 0,4)</f>
        <v/>
      </c>
      <c r="J145" s="65" t="str" cm="1">
        <f t="array" ref="J145">Common_InputFunctions.Utility_DisplayArrayInTable(Fertiliser_SourceData.Fertiliser_Products_Data1(),FertiliserProducts[[#Headers],[Include or Exclude]], 0,4)</f>
        <v/>
      </c>
      <c r="K145" s="65" t="str" cm="1">
        <f t="array" ref="K145">Common_InputFunctions.Utility_DisplayArrayInTable(Fertiliser_SourceData.Fertiliser_Products_Data1(),FertiliserProducts[[#Headers],[Include or Exclude]], 0,4)</f>
        <v/>
      </c>
      <c r="L145" s="65" t="str" cm="1">
        <f t="array" ref="L145">Common_InputFunctions.Utility_DisplayArrayInTable(Fertiliser_SourceData.Fertiliser_Products_Data1(),FertiliserProducts[[#Headers],[Include or Exclude]], 0,4)</f>
        <v/>
      </c>
      <c r="M145" s="65" t="str" cm="1">
        <f t="array" ref="M145">Common_InputFunctions.Utility_DisplayArrayInTable(Fertiliser_SourceData.Fertiliser_Products_Data1(),FertiliserProducts[[#Headers],[Include or Exclude]], 0,4)</f>
        <v/>
      </c>
      <c r="N145" s="65" t="str" cm="1">
        <f t="array" ref="N145">Common_InputFunctions.Utility_DisplayArrayInTable(Fertiliser_SourceData.Fertiliser_Products_Data1(),FertiliserProducts[[#Headers],[Include or Exclude]], 0,4)</f>
        <v/>
      </c>
      <c r="O145" s="65" t="str" cm="1">
        <f t="array" ref="O145">Common_InputFunctions.Utility_DisplayArrayInTable(Fertiliser_SourceData.Fertiliser_Products_Data1(),FertiliserProducts[[#Headers],[Include or Exclude]], 0,4)</f>
        <v/>
      </c>
      <c r="P145" s="65" t="str" cm="1">
        <f t="array" ref="P145">Common_InputFunctions.Utility_DisplayArrayInTable(Fertiliser_SourceData.Fertiliser_Products_Data1(),FertiliserProducts[[#Headers],[Include or Exclude]], 0,4)</f>
        <v/>
      </c>
      <c r="Q145" s="65" t="str" cm="1">
        <f t="array" ref="Q145">Common_InputFunctions.Utility_DisplayArrayInTable(Fertiliser_SourceData.Fertiliser_Products_Data1(),FertiliserProducts[[#Headers],[Include or Exclude]], 0,4)</f>
        <v/>
      </c>
      <c r="R145" s="65" t="str" cm="1">
        <f t="array" ref="R145">Common_InputFunctions.Utility_DisplayArrayInTable(Fertiliser_SourceData.Fertiliser_Products_Data1(),FertiliserProducts[[#Headers],[Include or Exclude]], 0,4)</f>
        <v/>
      </c>
      <c r="S145" s="65" t="str" cm="1">
        <f t="array" ref="S145">Common_InputFunctions.Utility_DisplayArrayInTable(Fertiliser_SourceData.Fertiliser_Products_Data1(),FertiliserProducts[[#Headers],[Include or Exclude]], 0,4)</f>
        <v/>
      </c>
      <c r="T145" s="65" t="str" cm="1">
        <f t="array" ref="T145">Common_InputFunctions.Utility_DisplayArrayInTable(Fertiliser_SourceData.Fertiliser_Products_Data1(),FertiliserProducts[[#Headers],[Include or Exclude]], 0,4)</f>
        <v/>
      </c>
      <c r="U145" s="65" t="str" cm="1">
        <f t="array" ref="U145">Common_InputFunctions.Utility_DisplayArrayInTable(Fertiliser_SourceData.Fertiliser_Products_Data1(),FertiliserProducts[[#Headers],[Include or Exclude]], 0,4)</f>
        <v/>
      </c>
      <c r="V145" s="65" t="str" cm="1">
        <f t="array" ref="V145">Common_InputFunctions.Utility_DisplayArrayInTable(Fertiliser_SourceData.Fertiliser_Products_Data1(),FertiliserProducts[[#Headers],[Include or Exclude]], 0,4)</f>
        <v/>
      </c>
      <c r="W145" s="65" t="str" cm="1">
        <f t="array" ref="W145">Common_InputFunctions.Utility_DisplayArrayInTable(Fertiliser_SourceData.Fertiliser_Products_Data1(),FertiliserProducts[[#Headers],[Include or Exclude]], 0,4)</f>
        <v/>
      </c>
      <c r="X145" s="65" t="str" cm="1">
        <f t="array" ref="X145">Common_InputFunctions.Utility_DisplayArrayInTable(Fertiliser_SourceData.Fertiliser_Products_Data1(),FertiliserProducts[[#Headers],[Include or Exclude]], 0,4)</f>
        <v/>
      </c>
      <c r="Y145" s="65" t="str" cm="1">
        <f t="array" ref="Y145">Common_InputFunctions.Utility_DisplayArrayInTable(Fertiliser_SourceData.Fertiliser_Products_Data1(),FertiliserProducts[[#Headers],[Include or Exclude]], 0,4)</f>
        <v/>
      </c>
      <c r="Z145" s="65" t="str" cm="1">
        <f t="array" ref="Z145">Common_InputFunctions.Utility_DisplayArrayInTable(Fertiliser_SourceData.Fertiliser_Products_Data1(),FertiliserProducts[[#Headers],[Include or Exclude]], 0,4)</f>
        <v/>
      </c>
      <c r="AA145" s="65" t="str" cm="1">
        <f t="array" ref="AA145">Common_InputFunctions.Utility_DisplayArrayInTable(Fertiliser_SourceData.Fertiliser_Products_Data1(),FertiliserProducts[[#Headers],[Include or Exclude]], 0,4)</f>
        <v/>
      </c>
      <c r="AB145" s="65" t="str" cm="1">
        <f t="array" ref="AB145">Common_InputFunctions.Utility_DisplayArrayInTable(Fertiliser_SourceData.Fertiliser_Products_Data1(),FertiliserProducts[[#Headers],[Include or Exclude]], 0,4)</f>
        <v/>
      </c>
      <c r="AC145" s="65" t="str" cm="1">
        <f t="array" ref="AC145">Common_InputFunctions.Utility_DisplayArrayInTable(Fertiliser_SourceData.Fertiliser_Products_Data1(),FertiliserProducts[[#Headers],[Include or Exclude]], 0,4)</f>
        <v/>
      </c>
      <c r="AD145" s="65" t="str" cm="1">
        <f t="array" ref="AD145">Common_InputFunctions.Utility_DisplayArrayInTable(Fertiliser_SourceData.Fertiliser_Products_Data1(),FertiliserProducts[[#Headers],[Include or Exclude]], 0,4)</f>
        <v/>
      </c>
      <c r="AE145" s="65" t="str" cm="1">
        <f t="array" ref="AE145">Common_InputFunctions.Utility_DisplayArrayInTable(Fertiliser_SourceData.Fertiliser_Products_Data1(),FertiliserProducts[[#Headers],[Include or Exclude]], 0,4)</f>
        <v/>
      </c>
    </row>
    <row r="146" spans="4:31" ht="20.100000000000001" customHeight="1" x14ac:dyDescent="0.25">
      <c r="D146" s="65" t="str" cm="1">
        <f t="array" ref="D146">Common_InputFunctions.Utility_DisplayArrayInTable(Fertiliser_SourceData.Fertiliser_Products_Data1(),FertiliserProducts[[#Headers],[Include or Exclude]], -1)</f>
        <v/>
      </c>
      <c r="E146" s="65" t="str" cm="1">
        <f t="array" ref="E146">Common_InputFunctions.Utility_DisplayArrayInTable(Fertiliser_SourceData.Fertiliser_Products_Data1(),FertiliserProducts[[#Headers],[Include or Exclude]], 0)</f>
        <v/>
      </c>
      <c r="F146" s="65" t="str" cm="1">
        <f t="array" ref="F146">Common_InputFunctions.Utility_DisplayArrayInTable(Fertiliser_SourceData.Fertiliser_Products_Data1(),FertiliserProducts[[#Headers],[Include or Exclude]], 0)</f>
        <v/>
      </c>
      <c r="G146" s="65" t="str" cm="1">
        <f t="array" ref="G146">Common_InputFunctions.Utility_DisplayArrayInTable(Fertiliser_SourceData.Fertiliser_Products_Data1(),FertiliserProducts[[#Headers],[Include or Exclude]], 0)</f>
        <v/>
      </c>
      <c r="H146" s="65" t="str" cm="1">
        <f t="array" ref="H146">Common_InputFunctions.Utility_DisplayArrayInTable(Fertiliser_SourceData.Fertiliser_Products_Data1(),FertiliserProducts[[#Headers],[Include or Exclude]], 0,4)</f>
        <v/>
      </c>
      <c r="I146" s="65" t="str" cm="1">
        <f t="array" ref="I146">Common_InputFunctions.Utility_DisplayArrayInTable(Fertiliser_SourceData.Fertiliser_Products_Data1(),FertiliserProducts[[#Headers],[Include or Exclude]], 0,4)</f>
        <v/>
      </c>
      <c r="J146" s="65" t="str" cm="1">
        <f t="array" ref="J146">Common_InputFunctions.Utility_DisplayArrayInTable(Fertiliser_SourceData.Fertiliser_Products_Data1(),FertiliserProducts[[#Headers],[Include or Exclude]], 0,4)</f>
        <v/>
      </c>
      <c r="K146" s="65" t="str" cm="1">
        <f t="array" ref="K146">Common_InputFunctions.Utility_DisplayArrayInTable(Fertiliser_SourceData.Fertiliser_Products_Data1(),FertiliserProducts[[#Headers],[Include or Exclude]], 0,4)</f>
        <v/>
      </c>
      <c r="L146" s="65" t="str" cm="1">
        <f t="array" ref="L146">Common_InputFunctions.Utility_DisplayArrayInTable(Fertiliser_SourceData.Fertiliser_Products_Data1(),FertiliserProducts[[#Headers],[Include or Exclude]], 0,4)</f>
        <v/>
      </c>
      <c r="M146" s="65" t="str" cm="1">
        <f t="array" ref="M146">Common_InputFunctions.Utility_DisplayArrayInTable(Fertiliser_SourceData.Fertiliser_Products_Data1(),FertiliserProducts[[#Headers],[Include or Exclude]], 0,4)</f>
        <v/>
      </c>
      <c r="N146" s="65" t="str" cm="1">
        <f t="array" ref="N146">Common_InputFunctions.Utility_DisplayArrayInTable(Fertiliser_SourceData.Fertiliser_Products_Data1(),FertiliserProducts[[#Headers],[Include or Exclude]], 0,4)</f>
        <v/>
      </c>
      <c r="O146" s="65" t="str" cm="1">
        <f t="array" ref="O146">Common_InputFunctions.Utility_DisplayArrayInTable(Fertiliser_SourceData.Fertiliser_Products_Data1(),FertiliserProducts[[#Headers],[Include or Exclude]], 0,4)</f>
        <v/>
      </c>
      <c r="P146" s="65" t="str" cm="1">
        <f t="array" ref="P146">Common_InputFunctions.Utility_DisplayArrayInTable(Fertiliser_SourceData.Fertiliser_Products_Data1(),FertiliserProducts[[#Headers],[Include or Exclude]], 0,4)</f>
        <v/>
      </c>
      <c r="Q146" s="65" t="str" cm="1">
        <f t="array" ref="Q146">Common_InputFunctions.Utility_DisplayArrayInTable(Fertiliser_SourceData.Fertiliser_Products_Data1(),FertiliserProducts[[#Headers],[Include or Exclude]], 0,4)</f>
        <v/>
      </c>
      <c r="R146" s="65" t="str" cm="1">
        <f t="array" ref="R146">Common_InputFunctions.Utility_DisplayArrayInTable(Fertiliser_SourceData.Fertiliser_Products_Data1(),FertiliserProducts[[#Headers],[Include or Exclude]], 0,4)</f>
        <v/>
      </c>
      <c r="S146" s="65" t="str" cm="1">
        <f t="array" ref="S146">Common_InputFunctions.Utility_DisplayArrayInTable(Fertiliser_SourceData.Fertiliser_Products_Data1(),FertiliserProducts[[#Headers],[Include or Exclude]], 0,4)</f>
        <v/>
      </c>
      <c r="T146" s="65" t="str" cm="1">
        <f t="array" ref="T146">Common_InputFunctions.Utility_DisplayArrayInTable(Fertiliser_SourceData.Fertiliser_Products_Data1(),FertiliserProducts[[#Headers],[Include or Exclude]], 0,4)</f>
        <v/>
      </c>
      <c r="U146" s="65" t="str" cm="1">
        <f t="array" ref="U146">Common_InputFunctions.Utility_DisplayArrayInTable(Fertiliser_SourceData.Fertiliser_Products_Data1(),FertiliserProducts[[#Headers],[Include or Exclude]], 0,4)</f>
        <v/>
      </c>
      <c r="V146" s="65" t="str" cm="1">
        <f t="array" ref="V146">Common_InputFunctions.Utility_DisplayArrayInTable(Fertiliser_SourceData.Fertiliser_Products_Data1(),FertiliserProducts[[#Headers],[Include or Exclude]], 0,4)</f>
        <v/>
      </c>
      <c r="W146" s="65" t="str" cm="1">
        <f t="array" ref="W146">Common_InputFunctions.Utility_DisplayArrayInTable(Fertiliser_SourceData.Fertiliser_Products_Data1(),FertiliserProducts[[#Headers],[Include or Exclude]], 0,4)</f>
        <v/>
      </c>
      <c r="X146" s="65" t="str" cm="1">
        <f t="array" ref="X146">Common_InputFunctions.Utility_DisplayArrayInTable(Fertiliser_SourceData.Fertiliser_Products_Data1(),FertiliserProducts[[#Headers],[Include or Exclude]], 0,4)</f>
        <v/>
      </c>
      <c r="Y146" s="65" t="str" cm="1">
        <f t="array" ref="Y146">Common_InputFunctions.Utility_DisplayArrayInTable(Fertiliser_SourceData.Fertiliser_Products_Data1(),FertiliserProducts[[#Headers],[Include or Exclude]], 0,4)</f>
        <v/>
      </c>
      <c r="Z146" s="65" t="str" cm="1">
        <f t="array" ref="Z146">Common_InputFunctions.Utility_DisplayArrayInTable(Fertiliser_SourceData.Fertiliser_Products_Data1(),FertiliserProducts[[#Headers],[Include or Exclude]], 0,4)</f>
        <v/>
      </c>
      <c r="AA146" s="65" t="str" cm="1">
        <f t="array" ref="AA146">Common_InputFunctions.Utility_DisplayArrayInTable(Fertiliser_SourceData.Fertiliser_Products_Data1(),FertiliserProducts[[#Headers],[Include or Exclude]], 0,4)</f>
        <v/>
      </c>
      <c r="AB146" s="65" t="str" cm="1">
        <f t="array" ref="AB146">Common_InputFunctions.Utility_DisplayArrayInTable(Fertiliser_SourceData.Fertiliser_Products_Data1(),FertiliserProducts[[#Headers],[Include or Exclude]], 0,4)</f>
        <v/>
      </c>
      <c r="AC146" s="65" t="str" cm="1">
        <f t="array" ref="AC146">Common_InputFunctions.Utility_DisplayArrayInTable(Fertiliser_SourceData.Fertiliser_Products_Data1(),FertiliserProducts[[#Headers],[Include or Exclude]], 0,4)</f>
        <v/>
      </c>
      <c r="AD146" s="65" t="str" cm="1">
        <f t="array" ref="AD146">Common_InputFunctions.Utility_DisplayArrayInTable(Fertiliser_SourceData.Fertiliser_Products_Data1(),FertiliserProducts[[#Headers],[Include or Exclude]], 0,4)</f>
        <v/>
      </c>
      <c r="AE146" s="65" t="str" cm="1">
        <f t="array" ref="AE146">Common_InputFunctions.Utility_DisplayArrayInTable(Fertiliser_SourceData.Fertiliser_Products_Data1(),FertiliserProducts[[#Headers],[Include or Exclude]], 0,4)</f>
        <v/>
      </c>
    </row>
    <row r="147" spans="4:31" ht="20.100000000000001" customHeight="1" x14ac:dyDescent="0.25">
      <c r="D147" s="65" t="str" cm="1">
        <f t="array" ref="D147">Common_InputFunctions.Utility_DisplayArrayInTable(Fertiliser_SourceData.Fertiliser_Products_Data1(),FertiliserProducts[[#Headers],[Include or Exclude]], -1)</f>
        <v/>
      </c>
      <c r="E147" s="65" t="str" cm="1">
        <f t="array" ref="E147">Common_InputFunctions.Utility_DisplayArrayInTable(Fertiliser_SourceData.Fertiliser_Products_Data1(),FertiliserProducts[[#Headers],[Include or Exclude]], 0)</f>
        <v/>
      </c>
      <c r="F147" s="65" t="str" cm="1">
        <f t="array" ref="F147">Common_InputFunctions.Utility_DisplayArrayInTable(Fertiliser_SourceData.Fertiliser_Products_Data1(),FertiliserProducts[[#Headers],[Include or Exclude]], 0)</f>
        <v/>
      </c>
      <c r="G147" s="65" t="str" cm="1">
        <f t="array" ref="G147">Common_InputFunctions.Utility_DisplayArrayInTable(Fertiliser_SourceData.Fertiliser_Products_Data1(),FertiliserProducts[[#Headers],[Include or Exclude]], 0)</f>
        <v/>
      </c>
      <c r="H147" s="65" t="str" cm="1">
        <f t="array" ref="H147">Common_InputFunctions.Utility_DisplayArrayInTable(Fertiliser_SourceData.Fertiliser_Products_Data1(),FertiliserProducts[[#Headers],[Include or Exclude]], 0,4)</f>
        <v/>
      </c>
      <c r="I147" s="65" t="str" cm="1">
        <f t="array" ref="I147">Common_InputFunctions.Utility_DisplayArrayInTable(Fertiliser_SourceData.Fertiliser_Products_Data1(),FertiliserProducts[[#Headers],[Include or Exclude]], 0,4)</f>
        <v/>
      </c>
      <c r="J147" s="65" t="str" cm="1">
        <f t="array" ref="J147">Common_InputFunctions.Utility_DisplayArrayInTable(Fertiliser_SourceData.Fertiliser_Products_Data1(),FertiliserProducts[[#Headers],[Include or Exclude]], 0,4)</f>
        <v/>
      </c>
      <c r="K147" s="65" t="str" cm="1">
        <f t="array" ref="K147">Common_InputFunctions.Utility_DisplayArrayInTable(Fertiliser_SourceData.Fertiliser_Products_Data1(),FertiliserProducts[[#Headers],[Include or Exclude]], 0,4)</f>
        <v/>
      </c>
      <c r="L147" s="65" t="str" cm="1">
        <f t="array" ref="L147">Common_InputFunctions.Utility_DisplayArrayInTable(Fertiliser_SourceData.Fertiliser_Products_Data1(),FertiliserProducts[[#Headers],[Include or Exclude]], 0,4)</f>
        <v/>
      </c>
      <c r="M147" s="65" t="str" cm="1">
        <f t="array" ref="M147">Common_InputFunctions.Utility_DisplayArrayInTable(Fertiliser_SourceData.Fertiliser_Products_Data1(),FertiliserProducts[[#Headers],[Include or Exclude]], 0,4)</f>
        <v/>
      </c>
      <c r="N147" s="65" t="str" cm="1">
        <f t="array" ref="N147">Common_InputFunctions.Utility_DisplayArrayInTable(Fertiliser_SourceData.Fertiliser_Products_Data1(),FertiliserProducts[[#Headers],[Include or Exclude]], 0,4)</f>
        <v/>
      </c>
      <c r="O147" s="65" t="str" cm="1">
        <f t="array" ref="O147">Common_InputFunctions.Utility_DisplayArrayInTable(Fertiliser_SourceData.Fertiliser_Products_Data1(),FertiliserProducts[[#Headers],[Include or Exclude]], 0,4)</f>
        <v/>
      </c>
      <c r="P147" s="65" t="str" cm="1">
        <f t="array" ref="P147">Common_InputFunctions.Utility_DisplayArrayInTable(Fertiliser_SourceData.Fertiliser_Products_Data1(),FertiliserProducts[[#Headers],[Include or Exclude]], 0,4)</f>
        <v/>
      </c>
      <c r="Q147" s="65" t="str" cm="1">
        <f t="array" ref="Q147">Common_InputFunctions.Utility_DisplayArrayInTable(Fertiliser_SourceData.Fertiliser_Products_Data1(),FertiliserProducts[[#Headers],[Include or Exclude]], 0,4)</f>
        <v/>
      </c>
      <c r="R147" s="65" t="str" cm="1">
        <f t="array" ref="R147">Common_InputFunctions.Utility_DisplayArrayInTable(Fertiliser_SourceData.Fertiliser_Products_Data1(),FertiliserProducts[[#Headers],[Include or Exclude]], 0,4)</f>
        <v/>
      </c>
      <c r="S147" s="65" t="str" cm="1">
        <f t="array" ref="S147">Common_InputFunctions.Utility_DisplayArrayInTable(Fertiliser_SourceData.Fertiliser_Products_Data1(),FertiliserProducts[[#Headers],[Include or Exclude]], 0,4)</f>
        <v/>
      </c>
      <c r="T147" s="65" t="str" cm="1">
        <f t="array" ref="T147">Common_InputFunctions.Utility_DisplayArrayInTable(Fertiliser_SourceData.Fertiliser_Products_Data1(),FertiliserProducts[[#Headers],[Include or Exclude]], 0,4)</f>
        <v/>
      </c>
      <c r="U147" s="65" t="str" cm="1">
        <f t="array" ref="U147">Common_InputFunctions.Utility_DisplayArrayInTable(Fertiliser_SourceData.Fertiliser_Products_Data1(),FertiliserProducts[[#Headers],[Include or Exclude]], 0,4)</f>
        <v/>
      </c>
      <c r="V147" s="65" t="str" cm="1">
        <f t="array" ref="V147">Common_InputFunctions.Utility_DisplayArrayInTable(Fertiliser_SourceData.Fertiliser_Products_Data1(),FertiliserProducts[[#Headers],[Include or Exclude]], 0,4)</f>
        <v/>
      </c>
      <c r="W147" s="65" t="str" cm="1">
        <f t="array" ref="W147">Common_InputFunctions.Utility_DisplayArrayInTable(Fertiliser_SourceData.Fertiliser_Products_Data1(),FertiliserProducts[[#Headers],[Include or Exclude]], 0,4)</f>
        <v/>
      </c>
      <c r="X147" s="65" t="str" cm="1">
        <f t="array" ref="X147">Common_InputFunctions.Utility_DisplayArrayInTable(Fertiliser_SourceData.Fertiliser_Products_Data1(),FertiliserProducts[[#Headers],[Include or Exclude]], 0,4)</f>
        <v/>
      </c>
      <c r="Y147" s="65" t="str" cm="1">
        <f t="array" ref="Y147">Common_InputFunctions.Utility_DisplayArrayInTable(Fertiliser_SourceData.Fertiliser_Products_Data1(),FertiliserProducts[[#Headers],[Include or Exclude]], 0,4)</f>
        <v/>
      </c>
      <c r="Z147" s="65" t="str" cm="1">
        <f t="array" ref="Z147">Common_InputFunctions.Utility_DisplayArrayInTable(Fertiliser_SourceData.Fertiliser_Products_Data1(),FertiliserProducts[[#Headers],[Include or Exclude]], 0,4)</f>
        <v/>
      </c>
      <c r="AA147" s="65" t="str" cm="1">
        <f t="array" ref="AA147">Common_InputFunctions.Utility_DisplayArrayInTable(Fertiliser_SourceData.Fertiliser_Products_Data1(),FertiliserProducts[[#Headers],[Include or Exclude]], 0,4)</f>
        <v/>
      </c>
      <c r="AB147" s="65" t="str" cm="1">
        <f t="array" ref="AB147">Common_InputFunctions.Utility_DisplayArrayInTable(Fertiliser_SourceData.Fertiliser_Products_Data1(),FertiliserProducts[[#Headers],[Include or Exclude]], 0,4)</f>
        <v/>
      </c>
      <c r="AC147" s="65" t="str" cm="1">
        <f t="array" ref="AC147">Common_InputFunctions.Utility_DisplayArrayInTable(Fertiliser_SourceData.Fertiliser_Products_Data1(),FertiliserProducts[[#Headers],[Include or Exclude]], 0,4)</f>
        <v/>
      </c>
      <c r="AD147" s="65" t="str" cm="1">
        <f t="array" ref="AD147">Common_InputFunctions.Utility_DisplayArrayInTable(Fertiliser_SourceData.Fertiliser_Products_Data1(),FertiliserProducts[[#Headers],[Include or Exclude]], 0,4)</f>
        <v/>
      </c>
      <c r="AE147" s="65" t="str" cm="1">
        <f t="array" ref="AE147">Common_InputFunctions.Utility_DisplayArrayInTable(Fertiliser_SourceData.Fertiliser_Products_Data1(),FertiliserProducts[[#Headers],[Include or Exclude]], 0,4)</f>
        <v/>
      </c>
    </row>
    <row r="148" spans="4:31" ht="20.100000000000001" customHeight="1" x14ac:dyDescent="0.25">
      <c r="D148" s="65" t="str" cm="1">
        <f t="array" ref="D148">Common_InputFunctions.Utility_DisplayArrayInTable(Fertiliser_SourceData.Fertiliser_Products_Data1(),FertiliserProducts[[#Headers],[Include or Exclude]], -1)</f>
        <v/>
      </c>
      <c r="E148" s="65" t="str" cm="1">
        <f t="array" ref="E148">Common_InputFunctions.Utility_DisplayArrayInTable(Fertiliser_SourceData.Fertiliser_Products_Data1(),FertiliserProducts[[#Headers],[Include or Exclude]], 0)</f>
        <v/>
      </c>
      <c r="F148" s="65" t="str" cm="1">
        <f t="array" ref="F148">Common_InputFunctions.Utility_DisplayArrayInTable(Fertiliser_SourceData.Fertiliser_Products_Data1(),FertiliserProducts[[#Headers],[Include or Exclude]], 0)</f>
        <v/>
      </c>
      <c r="G148" s="65" t="str" cm="1">
        <f t="array" ref="G148">Common_InputFunctions.Utility_DisplayArrayInTable(Fertiliser_SourceData.Fertiliser_Products_Data1(),FertiliserProducts[[#Headers],[Include or Exclude]], 0)</f>
        <v/>
      </c>
      <c r="H148" s="65" t="str" cm="1">
        <f t="array" ref="H148">Common_InputFunctions.Utility_DisplayArrayInTable(Fertiliser_SourceData.Fertiliser_Products_Data1(),FertiliserProducts[[#Headers],[Include or Exclude]], 0,4)</f>
        <v/>
      </c>
      <c r="I148" s="65" t="str" cm="1">
        <f t="array" ref="I148">Common_InputFunctions.Utility_DisplayArrayInTable(Fertiliser_SourceData.Fertiliser_Products_Data1(),FertiliserProducts[[#Headers],[Include or Exclude]], 0,4)</f>
        <v/>
      </c>
      <c r="J148" s="65" t="str" cm="1">
        <f t="array" ref="J148">Common_InputFunctions.Utility_DisplayArrayInTable(Fertiliser_SourceData.Fertiliser_Products_Data1(),FertiliserProducts[[#Headers],[Include or Exclude]], 0,4)</f>
        <v/>
      </c>
      <c r="K148" s="65" t="str" cm="1">
        <f t="array" ref="K148">Common_InputFunctions.Utility_DisplayArrayInTable(Fertiliser_SourceData.Fertiliser_Products_Data1(),FertiliserProducts[[#Headers],[Include or Exclude]], 0,4)</f>
        <v/>
      </c>
      <c r="L148" s="65" t="str" cm="1">
        <f t="array" ref="L148">Common_InputFunctions.Utility_DisplayArrayInTable(Fertiliser_SourceData.Fertiliser_Products_Data1(),FertiliserProducts[[#Headers],[Include or Exclude]], 0,4)</f>
        <v/>
      </c>
      <c r="M148" s="65" t="str" cm="1">
        <f t="array" ref="M148">Common_InputFunctions.Utility_DisplayArrayInTable(Fertiliser_SourceData.Fertiliser_Products_Data1(),FertiliserProducts[[#Headers],[Include or Exclude]], 0,4)</f>
        <v/>
      </c>
      <c r="N148" s="65" t="str" cm="1">
        <f t="array" ref="N148">Common_InputFunctions.Utility_DisplayArrayInTable(Fertiliser_SourceData.Fertiliser_Products_Data1(),FertiliserProducts[[#Headers],[Include or Exclude]], 0,4)</f>
        <v/>
      </c>
      <c r="O148" s="65" t="str" cm="1">
        <f t="array" ref="O148">Common_InputFunctions.Utility_DisplayArrayInTable(Fertiliser_SourceData.Fertiliser_Products_Data1(),FertiliserProducts[[#Headers],[Include or Exclude]], 0,4)</f>
        <v/>
      </c>
      <c r="P148" s="65" t="str" cm="1">
        <f t="array" ref="P148">Common_InputFunctions.Utility_DisplayArrayInTable(Fertiliser_SourceData.Fertiliser_Products_Data1(),FertiliserProducts[[#Headers],[Include or Exclude]], 0,4)</f>
        <v/>
      </c>
      <c r="Q148" s="65" t="str" cm="1">
        <f t="array" ref="Q148">Common_InputFunctions.Utility_DisplayArrayInTable(Fertiliser_SourceData.Fertiliser_Products_Data1(),FertiliserProducts[[#Headers],[Include or Exclude]], 0,4)</f>
        <v/>
      </c>
      <c r="R148" s="65" t="str" cm="1">
        <f t="array" ref="R148">Common_InputFunctions.Utility_DisplayArrayInTable(Fertiliser_SourceData.Fertiliser_Products_Data1(),FertiliserProducts[[#Headers],[Include or Exclude]], 0,4)</f>
        <v/>
      </c>
      <c r="S148" s="65" t="str" cm="1">
        <f t="array" ref="S148">Common_InputFunctions.Utility_DisplayArrayInTable(Fertiliser_SourceData.Fertiliser_Products_Data1(),FertiliserProducts[[#Headers],[Include or Exclude]], 0,4)</f>
        <v/>
      </c>
      <c r="T148" s="65" t="str" cm="1">
        <f t="array" ref="T148">Common_InputFunctions.Utility_DisplayArrayInTable(Fertiliser_SourceData.Fertiliser_Products_Data1(),FertiliserProducts[[#Headers],[Include or Exclude]], 0,4)</f>
        <v/>
      </c>
      <c r="U148" s="65" t="str" cm="1">
        <f t="array" ref="U148">Common_InputFunctions.Utility_DisplayArrayInTable(Fertiliser_SourceData.Fertiliser_Products_Data1(),FertiliserProducts[[#Headers],[Include or Exclude]], 0,4)</f>
        <v/>
      </c>
      <c r="V148" s="65" t="str" cm="1">
        <f t="array" ref="V148">Common_InputFunctions.Utility_DisplayArrayInTable(Fertiliser_SourceData.Fertiliser_Products_Data1(),FertiliserProducts[[#Headers],[Include or Exclude]], 0,4)</f>
        <v/>
      </c>
      <c r="W148" s="65" t="str" cm="1">
        <f t="array" ref="W148">Common_InputFunctions.Utility_DisplayArrayInTable(Fertiliser_SourceData.Fertiliser_Products_Data1(),FertiliserProducts[[#Headers],[Include or Exclude]], 0,4)</f>
        <v/>
      </c>
      <c r="X148" s="65" t="str" cm="1">
        <f t="array" ref="X148">Common_InputFunctions.Utility_DisplayArrayInTable(Fertiliser_SourceData.Fertiliser_Products_Data1(),FertiliserProducts[[#Headers],[Include or Exclude]], 0,4)</f>
        <v/>
      </c>
      <c r="Y148" s="65" t="str" cm="1">
        <f t="array" ref="Y148">Common_InputFunctions.Utility_DisplayArrayInTable(Fertiliser_SourceData.Fertiliser_Products_Data1(),FertiliserProducts[[#Headers],[Include or Exclude]], 0,4)</f>
        <v/>
      </c>
      <c r="Z148" s="65" t="str" cm="1">
        <f t="array" ref="Z148">Common_InputFunctions.Utility_DisplayArrayInTable(Fertiliser_SourceData.Fertiliser_Products_Data1(),FertiliserProducts[[#Headers],[Include or Exclude]], 0,4)</f>
        <v/>
      </c>
      <c r="AA148" s="65" t="str" cm="1">
        <f t="array" ref="AA148">Common_InputFunctions.Utility_DisplayArrayInTable(Fertiliser_SourceData.Fertiliser_Products_Data1(),FertiliserProducts[[#Headers],[Include or Exclude]], 0,4)</f>
        <v/>
      </c>
      <c r="AB148" s="65" t="str" cm="1">
        <f t="array" ref="AB148">Common_InputFunctions.Utility_DisplayArrayInTable(Fertiliser_SourceData.Fertiliser_Products_Data1(),FertiliserProducts[[#Headers],[Include or Exclude]], 0,4)</f>
        <v/>
      </c>
      <c r="AC148" s="65" t="str" cm="1">
        <f t="array" ref="AC148">Common_InputFunctions.Utility_DisplayArrayInTable(Fertiliser_SourceData.Fertiliser_Products_Data1(),FertiliserProducts[[#Headers],[Include or Exclude]], 0,4)</f>
        <v/>
      </c>
      <c r="AD148" s="65" t="str" cm="1">
        <f t="array" ref="AD148">Common_InputFunctions.Utility_DisplayArrayInTable(Fertiliser_SourceData.Fertiliser_Products_Data1(),FertiliserProducts[[#Headers],[Include or Exclude]], 0,4)</f>
        <v/>
      </c>
      <c r="AE148" s="65" t="str" cm="1">
        <f t="array" ref="AE148">Common_InputFunctions.Utility_DisplayArrayInTable(Fertiliser_SourceData.Fertiliser_Products_Data1(),FertiliserProducts[[#Headers],[Include or Exclude]], 0,4)</f>
        <v/>
      </c>
    </row>
    <row r="149" spans="4:31" ht="20.100000000000001" customHeight="1" x14ac:dyDescent="0.25">
      <c r="D149" s="65" t="str" cm="1">
        <f t="array" ref="D149">Common_InputFunctions.Utility_DisplayArrayInTable(Fertiliser_SourceData.Fertiliser_Products_Data1(),FertiliserProducts[[#Headers],[Include or Exclude]], -1)</f>
        <v/>
      </c>
      <c r="E149" s="65" t="str" cm="1">
        <f t="array" ref="E149">Common_InputFunctions.Utility_DisplayArrayInTable(Fertiliser_SourceData.Fertiliser_Products_Data1(),FertiliserProducts[[#Headers],[Include or Exclude]], 0)</f>
        <v/>
      </c>
      <c r="F149" s="65" t="str" cm="1">
        <f t="array" ref="F149">Common_InputFunctions.Utility_DisplayArrayInTable(Fertiliser_SourceData.Fertiliser_Products_Data1(),FertiliserProducts[[#Headers],[Include or Exclude]], 0)</f>
        <v/>
      </c>
      <c r="G149" s="65" t="str" cm="1">
        <f t="array" ref="G149">Common_InputFunctions.Utility_DisplayArrayInTable(Fertiliser_SourceData.Fertiliser_Products_Data1(),FertiliserProducts[[#Headers],[Include or Exclude]], 0)</f>
        <v/>
      </c>
      <c r="H149" s="65" t="str" cm="1">
        <f t="array" ref="H149">Common_InputFunctions.Utility_DisplayArrayInTable(Fertiliser_SourceData.Fertiliser_Products_Data1(),FertiliserProducts[[#Headers],[Include or Exclude]], 0,4)</f>
        <v/>
      </c>
      <c r="I149" s="65" t="str" cm="1">
        <f t="array" ref="I149">Common_InputFunctions.Utility_DisplayArrayInTable(Fertiliser_SourceData.Fertiliser_Products_Data1(),FertiliserProducts[[#Headers],[Include or Exclude]], 0,4)</f>
        <v/>
      </c>
      <c r="J149" s="65" t="str" cm="1">
        <f t="array" ref="J149">Common_InputFunctions.Utility_DisplayArrayInTable(Fertiliser_SourceData.Fertiliser_Products_Data1(),FertiliserProducts[[#Headers],[Include or Exclude]], 0,4)</f>
        <v/>
      </c>
      <c r="K149" s="65" t="str" cm="1">
        <f t="array" ref="K149">Common_InputFunctions.Utility_DisplayArrayInTable(Fertiliser_SourceData.Fertiliser_Products_Data1(),FertiliserProducts[[#Headers],[Include or Exclude]], 0,4)</f>
        <v/>
      </c>
      <c r="L149" s="65" t="str" cm="1">
        <f t="array" ref="L149">Common_InputFunctions.Utility_DisplayArrayInTable(Fertiliser_SourceData.Fertiliser_Products_Data1(),FertiliserProducts[[#Headers],[Include or Exclude]], 0,4)</f>
        <v/>
      </c>
      <c r="M149" s="65" t="str" cm="1">
        <f t="array" ref="M149">Common_InputFunctions.Utility_DisplayArrayInTable(Fertiliser_SourceData.Fertiliser_Products_Data1(),FertiliserProducts[[#Headers],[Include or Exclude]], 0,4)</f>
        <v/>
      </c>
      <c r="N149" s="65" t="str" cm="1">
        <f t="array" ref="N149">Common_InputFunctions.Utility_DisplayArrayInTable(Fertiliser_SourceData.Fertiliser_Products_Data1(),FertiliserProducts[[#Headers],[Include or Exclude]], 0,4)</f>
        <v/>
      </c>
      <c r="O149" s="65" t="str" cm="1">
        <f t="array" ref="O149">Common_InputFunctions.Utility_DisplayArrayInTable(Fertiliser_SourceData.Fertiliser_Products_Data1(),FertiliserProducts[[#Headers],[Include or Exclude]], 0,4)</f>
        <v/>
      </c>
      <c r="P149" s="65" t="str" cm="1">
        <f t="array" ref="P149">Common_InputFunctions.Utility_DisplayArrayInTable(Fertiliser_SourceData.Fertiliser_Products_Data1(),FertiliserProducts[[#Headers],[Include or Exclude]], 0,4)</f>
        <v/>
      </c>
      <c r="Q149" s="65" t="str" cm="1">
        <f t="array" ref="Q149">Common_InputFunctions.Utility_DisplayArrayInTable(Fertiliser_SourceData.Fertiliser_Products_Data1(),FertiliserProducts[[#Headers],[Include or Exclude]], 0,4)</f>
        <v/>
      </c>
      <c r="R149" s="65" t="str" cm="1">
        <f t="array" ref="R149">Common_InputFunctions.Utility_DisplayArrayInTable(Fertiliser_SourceData.Fertiliser_Products_Data1(),FertiliserProducts[[#Headers],[Include or Exclude]], 0,4)</f>
        <v/>
      </c>
      <c r="S149" s="65" t="str" cm="1">
        <f t="array" ref="S149">Common_InputFunctions.Utility_DisplayArrayInTable(Fertiliser_SourceData.Fertiliser_Products_Data1(),FertiliserProducts[[#Headers],[Include or Exclude]], 0,4)</f>
        <v/>
      </c>
      <c r="T149" s="65" t="str" cm="1">
        <f t="array" ref="T149">Common_InputFunctions.Utility_DisplayArrayInTable(Fertiliser_SourceData.Fertiliser_Products_Data1(),FertiliserProducts[[#Headers],[Include or Exclude]], 0,4)</f>
        <v/>
      </c>
      <c r="U149" s="65" t="str" cm="1">
        <f t="array" ref="U149">Common_InputFunctions.Utility_DisplayArrayInTable(Fertiliser_SourceData.Fertiliser_Products_Data1(),FertiliserProducts[[#Headers],[Include or Exclude]], 0,4)</f>
        <v/>
      </c>
      <c r="V149" s="65" t="str" cm="1">
        <f t="array" ref="V149">Common_InputFunctions.Utility_DisplayArrayInTable(Fertiliser_SourceData.Fertiliser_Products_Data1(),FertiliserProducts[[#Headers],[Include or Exclude]], 0,4)</f>
        <v/>
      </c>
      <c r="W149" s="65" t="str" cm="1">
        <f t="array" ref="W149">Common_InputFunctions.Utility_DisplayArrayInTable(Fertiliser_SourceData.Fertiliser_Products_Data1(),FertiliserProducts[[#Headers],[Include or Exclude]], 0,4)</f>
        <v/>
      </c>
      <c r="X149" s="65" t="str" cm="1">
        <f t="array" ref="X149">Common_InputFunctions.Utility_DisplayArrayInTable(Fertiliser_SourceData.Fertiliser_Products_Data1(),FertiliserProducts[[#Headers],[Include or Exclude]], 0,4)</f>
        <v/>
      </c>
      <c r="Y149" s="65" t="str" cm="1">
        <f t="array" ref="Y149">Common_InputFunctions.Utility_DisplayArrayInTable(Fertiliser_SourceData.Fertiliser_Products_Data1(),FertiliserProducts[[#Headers],[Include or Exclude]], 0,4)</f>
        <v/>
      </c>
      <c r="Z149" s="65" t="str" cm="1">
        <f t="array" ref="Z149">Common_InputFunctions.Utility_DisplayArrayInTable(Fertiliser_SourceData.Fertiliser_Products_Data1(),FertiliserProducts[[#Headers],[Include or Exclude]], 0,4)</f>
        <v/>
      </c>
      <c r="AA149" s="65" t="str" cm="1">
        <f t="array" ref="AA149">Common_InputFunctions.Utility_DisplayArrayInTable(Fertiliser_SourceData.Fertiliser_Products_Data1(),FertiliserProducts[[#Headers],[Include or Exclude]], 0,4)</f>
        <v/>
      </c>
      <c r="AB149" s="65" t="str" cm="1">
        <f t="array" ref="AB149">Common_InputFunctions.Utility_DisplayArrayInTable(Fertiliser_SourceData.Fertiliser_Products_Data1(),FertiliserProducts[[#Headers],[Include or Exclude]], 0,4)</f>
        <v/>
      </c>
      <c r="AC149" s="65" t="str" cm="1">
        <f t="array" ref="AC149">Common_InputFunctions.Utility_DisplayArrayInTable(Fertiliser_SourceData.Fertiliser_Products_Data1(),FertiliserProducts[[#Headers],[Include or Exclude]], 0,4)</f>
        <v/>
      </c>
      <c r="AD149" s="65" t="str" cm="1">
        <f t="array" ref="AD149">Common_InputFunctions.Utility_DisplayArrayInTable(Fertiliser_SourceData.Fertiliser_Products_Data1(),FertiliserProducts[[#Headers],[Include or Exclude]], 0,4)</f>
        <v/>
      </c>
      <c r="AE149" s="65" t="str" cm="1">
        <f t="array" ref="AE149">Common_InputFunctions.Utility_DisplayArrayInTable(Fertiliser_SourceData.Fertiliser_Products_Data1(),FertiliserProducts[[#Headers],[Include or Exclude]], 0,4)</f>
        <v/>
      </c>
    </row>
    <row r="150" spans="4:31" ht="20.100000000000001" customHeight="1" x14ac:dyDescent="0.25">
      <c r="D150" s="65" t="str" cm="1">
        <f t="array" ref="D150">Common_InputFunctions.Utility_DisplayArrayInTable(Fertiliser_SourceData.Fertiliser_Products_Data1(),FertiliserProducts[[#Headers],[Include or Exclude]], -1)</f>
        <v/>
      </c>
      <c r="E150" s="65" t="str" cm="1">
        <f t="array" ref="E150">Common_InputFunctions.Utility_DisplayArrayInTable(Fertiliser_SourceData.Fertiliser_Products_Data1(),FertiliserProducts[[#Headers],[Include or Exclude]], 0)</f>
        <v/>
      </c>
      <c r="F150" s="65" t="str" cm="1">
        <f t="array" ref="F150">Common_InputFunctions.Utility_DisplayArrayInTable(Fertiliser_SourceData.Fertiliser_Products_Data1(),FertiliserProducts[[#Headers],[Include or Exclude]], 0)</f>
        <v/>
      </c>
      <c r="G150" s="65" t="str" cm="1">
        <f t="array" ref="G150">Common_InputFunctions.Utility_DisplayArrayInTable(Fertiliser_SourceData.Fertiliser_Products_Data1(),FertiliserProducts[[#Headers],[Include or Exclude]], 0)</f>
        <v/>
      </c>
      <c r="H150" s="65" t="str" cm="1">
        <f t="array" ref="H150">Common_InputFunctions.Utility_DisplayArrayInTable(Fertiliser_SourceData.Fertiliser_Products_Data1(),FertiliserProducts[[#Headers],[Include or Exclude]], 0,4)</f>
        <v/>
      </c>
      <c r="I150" s="65" t="str" cm="1">
        <f t="array" ref="I150">Common_InputFunctions.Utility_DisplayArrayInTable(Fertiliser_SourceData.Fertiliser_Products_Data1(),FertiliserProducts[[#Headers],[Include or Exclude]], 0,4)</f>
        <v/>
      </c>
      <c r="J150" s="65" t="str" cm="1">
        <f t="array" ref="J150">Common_InputFunctions.Utility_DisplayArrayInTable(Fertiliser_SourceData.Fertiliser_Products_Data1(),FertiliserProducts[[#Headers],[Include or Exclude]], 0,4)</f>
        <v/>
      </c>
      <c r="K150" s="65" t="str" cm="1">
        <f t="array" ref="K150">Common_InputFunctions.Utility_DisplayArrayInTable(Fertiliser_SourceData.Fertiliser_Products_Data1(),FertiliserProducts[[#Headers],[Include or Exclude]], 0,4)</f>
        <v/>
      </c>
      <c r="L150" s="65" t="str" cm="1">
        <f t="array" ref="L150">Common_InputFunctions.Utility_DisplayArrayInTable(Fertiliser_SourceData.Fertiliser_Products_Data1(),FertiliserProducts[[#Headers],[Include or Exclude]], 0,4)</f>
        <v/>
      </c>
      <c r="M150" s="65" t="str" cm="1">
        <f t="array" ref="M150">Common_InputFunctions.Utility_DisplayArrayInTable(Fertiliser_SourceData.Fertiliser_Products_Data1(),FertiliserProducts[[#Headers],[Include or Exclude]], 0,4)</f>
        <v/>
      </c>
      <c r="N150" s="65" t="str" cm="1">
        <f t="array" ref="N150">Common_InputFunctions.Utility_DisplayArrayInTable(Fertiliser_SourceData.Fertiliser_Products_Data1(),FertiliserProducts[[#Headers],[Include or Exclude]], 0,4)</f>
        <v/>
      </c>
      <c r="O150" s="65" t="str" cm="1">
        <f t="array" ref="O150">Common_InputFunctions.Utility_DisplayArrayInTable(Fertiliser_SourceData.Fertiliser_Products_Data1(),FertiliserProducts[[#Headers],[Include or Exclude]], 0,4)</f>
        <v/>
      </c>
      <c r="P150" s="65" t="str" cm="1">
        <f t="array" ref="P150">Common_InputFunctions.Utility_DisplayArrayInTable(Fertiliser_SourceData.Fertiliser_Products_Data1(),FertiliserProducts[[#Headers],[Include or Exclude]], 0,4)</f>
        <v/>
      </c>
      <c r="Q150" s="65" t="str" cm="1">
        <f t="array" ref="Q150">Common_InputFunctions.Utility_DisplayArrayInTable(Fertiliser_SourceData.Fertiliser_Products_Data1(),FertiliserProducts[[#Headers],[Include or Exclude]], 0,4)</f>
        <v/>
      </c>
      <c r="R150" s="65" t="str" cm="1">
        <f t="array" ref="R150">Common_InputFunctions.Utility_DisplayArrayInTable(Fertiliser_SourceData.Fertiliser_Products_Data1(),FertiliserProducts[[#Headers],[Include or Exclude]], 0,4)</f>
        <v/>
      </c>
      <c r="S150" s="65" t="str" cm="1">
        <f t="array" ref="S150">Common_InputFunctions.Utility_DisplayArrayInTable(Fertiliser_SourceData.Fertiliser_Products_Data1(),FertiliserProducts[[#Headers],[Include or Exclude]], 0,4)</f>
        <v/>
      </c>
      <c r="T150" s="65" t="str" cm="1">
        <f t="array" ref="T150">Common_InputFunctions.Utility_DisplayArrayInTable(Fertiliser_SourceData.Fertiliser_Products_Data1(),FertiliserProducts[[#Headers],[Include or Exclude]], 0,4)</f>
        <v/>
      </c>
      <c r="U150" s="65" t="str" cm="1">
        <f t="array" ref="U150">Common_InputFunctions.Utility_DisplayArrayInTable(Fertiliser_SourceData.Fertiliser_Products_Data1(),FertiliserProducts[[#Headers],[Include or Exclude]], 0,4)</f>
        <v/>
      </c>
      <c r="V150" s="65" t="str" cm="1">
        <f t="array" ref="V150">Common_InputFunctions.Utility_DisplayArrayInTable(Fertiliser_SourceData.Fertiliser_Products_Data1(),FertiliserProducts[[#Headers],[Include or Exclude]], 0,4)</f>
        <v/>
      </c>
      <c r="W150" s="65" t="str" cm="1">
        <f t="array" ref="W150">Common_InputFunctions.Utility_DisplayArrayInTable(Fertiliser_SourceData.Fertiliser_Products_Data1(),FertiliserProducts[[#Headers],[Include or Exclude]], 0,4)</f>
        <v/>
      </c>
      <c r="X150" s="65" t="str" cm="1">
        <f t="array" ref="X150">Common_InputFunctions.Utility_DisplayArrayInTable(Fertiliser_SourceData.Fertiliser_Products_Data1(),FertiliserProducts[[#Headers],[Include or Exclude]], 0,4)</f>
        <v/>
      </c>
      <c r="Y150" s="65" t="str" cm="1">
        <f t="array" ref="Y150">Common_InputFunctions.Utility_DisplayArrayInTable(Fertiliser_SourceData.Fertiliser_Products_Data1(),FertiliserProducts[[#Headers],[Include or Exclude]], 0,4)</f>
        <v/>
      </c>
      <c r="Z150" s="65" t="str" cm="1">
        <f t="array" ref="Z150">Common_InputFunctions.Utility_DisplayArrayInTable(Fertiliser_SourceData.Fertiliser_Products_Data1(),FertiliserProducts[[#Headers],[Include or Exclude]], 0,4)</f>
        <v/>
      </c>
      <c r="AA150" s="65" t="str" cm="1">
        <f t="array" ref="AA150">Common_InputFunctions.Utility_DisplayArrayInTable(Fertiliser_SourceData.Fertiliser_Products_Data1(),FertiliserProducts[[#Headers],[Include or Exclude]], 0,4)</f>
        <v/>
      </c>
      <c r="AB150" s="65" t="str" cm="1">
        <f t="array" ref="AB150">Common_InputFunctions.Utility_DisplayArrayInTable(Fertiliser_SourceData.Fertiliser_Products_Data1(),FertiliserProducts[[#Headers],[Include or Exclude]], 0,4)</f>
        <v/>
      </c>
      <c r="AC150" s="65" t="str" cm="1">
        <f t="array" ref="AC150">Common_InputFunctions.Utility_DisplayArrayInTable(Fertiliser_SourceData.Fertiliser_Products_Data1(),FertiliserProducts[[#Headers],[Include or Exclude]], 0,4)</f>
        <v/>
      </c>
      <c r="AD150" s="65" t="str" cm="1">
        <f t="array" ref="AD150">Common_InputFunctions.Utility_DisplayArrayInTable(Fertiliser_SourceData.Fertiliser_Products_Data1(),FertiliserProducts[[#Headers],[Include or Exclude]], 0,4)</f>
        <v/>
      </c>
      <c r="AE150" s="65" t="str" cm="1">
        <f t="array" ref="AE150">Common_InputFunctions.Utility_DisplayArrayInTable(Fertiliser_SourceData.Fertiliser_Products_Data1(),FertiliserProducts[[#Headers],[Include or Exclude]], 0,4)</f>
        <v/>
      </c>
    </row>
    <row r="151" spans="4:31" ht="20.100000000000001" customHeight="1" x14ac:dyDescent="0.25">
      <c r="D151" s="65" t="str" cm="1">
        <f t="array" ref="D151">Common_InputFunctions.Utility_DisplayArrayInTable(Fertiliser_SourceData.Fertiliser_Products_Data1(),FertiliserProducts[[#Headers],[Include or Exclude]], -1)</f>
        <v/>
      </c>
      <c r="E151" s="65" t="str" cm="1">
        <f t="array" ref="E151">Common_InputFunctions.Utility_DisplayArrayInTable(Fertiliser_SourceData.Fertiliser_Products_Data1(),FertiliserProducts[[#Headers],[Include or Exclude]], 0)</f>
        <v/>
      </c>
      <c r="F151" s="65" t="str" cm="1">
        <f t="array" ref="F151">Common_InputFunctions.Utility_DisplayArrayInTable(Fertiliser_SourceData.Fertiliser_Products_Data1(),FertiliserProducts[[#Headers],[Include or Exclude]], 0)</f>
        <v/>
      </c>
      <c r="G151" s="65" t="str" cm="1">
        <f t="array" ref="G151">Common_InputFunctions.Utility_DisplayArrayInTable(Fertiliser_SourceData.Fertiliser_Products_Data1(),FertiliserProducts[[#Headers],[Include or Exclude]], 0)</f>
        <v/>
      </c>
      <c r="H151" s="65" t="str" cm="1">
        <f t="array" ref="H151">Common_InputFunctions.Utility_DisplayArrayInTable(Fertiliser_SourceData.Fertiliser_Products_Data1(),FertiliserProducts[[#Headers],[Include or Exclude]], 0,4)</f>
        <v/>
      </c>
      <c r="I151" s="65" t="str" cm="1">
        <f t="array" ref="I151">Common_InputFunctions.Utility_DisplayArrayInTable(Fertiliser_SourceData.Fertiliser_Products_Data1(),FertiliserProducts[[#Headers],[Include or Exclude]], 0,4)</f>
        <v/>
      </c>
      <c r="J151" s="65" t="str" cm="1">
        <f t="array" ref="J151">Common_InputFunctions.Utility_DisplayArrayInTable(Fertiliser_SourceData.Fertiliser_Products_Data1(),FertiliserProducts[[#Headers],[Include or Exclude]], 0,4)</f>
        <v/>
      </c>
      <c r="K151" s="65" t="str" cm="1">
        <f t="array" ref="K151">Common_InputFunctions.Utility_DisplayArrayInTable(Fertiliser_SourceData.Fertiliser_Products_Data1(),FertiliserProducts[[#Headers],[Include or Exclude]], 0,4)</f>
        <v/>
      </c>
      <c r="L151" s="65" t="str" cm="1">
        <f t="array" ref="L151">Common_InputFunctions.Utility_DisplayArrayInTable(Fertiliser_SourceData.Fertiliser_Products_Data1(),FertiliserProducts[[#Headers],[Include or Exclude]], 0,4)</f>
        <v/>
      </c>
      <c r="M151" s="65" t="str" cm="1">
        <f t="array" ref="M151">Common_InputFunctions.Utility_DisplayArrayInTable(Fertiliser_SourceData.Fertiliser_Products_Data1(),FertiliserProducts[[#Headers],[Include or Exclude]], 0,4)</f>
        <v/>
      </c>
      <c r="N151" s="65" t="str" cm="1">
        <f t="array" ref="N151">Common_InputFunctions.Utility_DisplayArrayInTable(Fertiliser_SourceData.Fertiliser_Products_Data1(),FertiliserProducts[[#Headers],[Include or Exclude]], 0,4)</f>
        <v/>
      </c>
      <c r="O151" s="65" t="str" cm="1">
        <f t="array" ref="O151">Common_InputFunctions.Utility_DisplayArrayInTable(Fertiliser_SourceData.Fertiliser_Products_Data1(),FertiliserProducts[[#Headers],[Include or Exclude]], 0,4)</f>
        <v/>
      </c>
      <c r="P151" s="65" t="str" cm="1">
        <f t="array" ref="P151">Common_InputFunctions.Utility_DisplayArrayInTable(Fertiliser_SourceData.Fertiliser_Products_Data1(),FertiliserProducts[[#Headers],[Include or Exclude]], 0,4)</f>
        <v/>
      </c>
      <c r="Q151" s="65" t="str" cm="1">
        <f t="array" ref="Q151">Common_InputFunctions.Utility_DisplayArrayInTable(Fertiliser_SourceData.Fertiliser_Products_Data1(),FertiliserProducts[[#Headers],[Include or Exclude]], 0,4)</f>
        <v/>
      </c>
      <c r="R151" s="65" t="str" cm="1">
        <f t="array" ref="R151">Common_InputFunctions.Utility_DisplayArrayInTable(Fertiliser_SourceData.Fertiliser_Products_Data1(),FertiliserProducts[[#Headers],[Include or Exclude]], 0,4)</f>
        <v/>
      </c>
      <c r="S151" s="65" t="str" cm="1">
        <f t="array" ref="S151">Common_InputFunctions.Utility_DisplayArrayInTable(Fertiliser_SourceData.Fertiliser_Products_Data1(),FertiliserProducts[[#Headers],[Include or Exclude]], 0,4)</f>
        <v/>
      </c>
      <c r="T151" s="65" t="str" cm="1">
        <f t="array" ref="T151">Common_InputFunctions.Utility_DisplayArrayInTable(Fertiliser_SourceData.Fertiliser_Products_Data1(),FertiliserProducts[[#Headers],[Include or Exclude]], 0,4)</f>
        <v/>
      </c>
      <c r="U151" s="65" t="str" cm="1">
        <f t="array" ref="U151">Common_InputFunctions.Utility_DisplayArrayInTable(Fertiliser_SourceData.Fertiliser_Products_Data1(),FertiliserProducts[[#Headers],[Include or Exclude]], 0,4)</f>
        <v/>
      </c>
      <c r="V151" s="65" t="str" cm="1">
        <f t="array" ref="V151">Common_InputFunctions.Utility_DisplayArrayInTable(Fertiliser_SourceData.Fertiliser_Products_Data1(),FertiliserProducts[[#Headers],[Include or Exclude]], 0,4)</f>
        <v/>
      </c>
      <c r="W151" s="65" t="str" cm="1">
        <f t="array" ref="W151">Common_InputFunctions.Utility_DisplayArrayInTable(Fertiliser_SourceData.Fertiliser_Products_Data1(),FertiliserProducts[[#Headers],[Include or Exclude]], 0,4)</f>
        <v/>
      </c>
      <c r="X151" s="65" t="str" cm="1">
        <f t="array" ref="X151">Common_InputFunctions.Utility_DisplayArrayInTable(Fertiliser_SourceData.Fertiliser_Products_Data1(),FertiliserProducts[[#Headers],[Include or Exclude]], 0,4)</f>
        <v/>
      </c>
      <c r="Y151" s="65" t="str" cm="1">
        <f t="array" ref="Y151">Common_InputFunctions.Utility_DisplayArrayInTable(Fertiliser_SourceData.Fertiliser_Products_Data1(),FertiliserProducts[[#Headers],[Include or Exclude]], 0,4)</f>
        <v/>
      </c>
      <c r="Z151" s="65" t="str" cm="1">
        <f t="array" ref="Z151">Common_InputFunctions.Utility_DisplayArrayInTable(Fertiliser_SourceData.Fertiliser_Products_Data1(),FertiliserProducts[[#Headers],[Include or Exclude]], 0,4)</f>
        <v/>
      </c>
      <c r="AA151" s="65" t="str" cm="1">
        <f t="array" ref="AA151">Common_InputFunctions.Utility_DisplayArrayInTable(Fertiliser_SourceData.Fertiliser_Products_Data1(),FertiliserProducts[[#Headers],[Include or Exclude]], 0,4)</f>
        <v/>
      </c>
      <c r="AB151" s="65" t="str" cm="1">
        <f t="array" ref="AB151">Common_InputFunctions.Utility_DisplayArrayInTable(Fertiliser_SourceData.Fertiliser_Products_Data1(),FertiliserProducts[[#Headers],[Include or Exclude]], 0,4)</f>
        <v/>
      </c>
      <c r="AC151" s="65" t="str" cm="1">
        <f t="array" ref="AC151">Common_InputFunctions.Utility_DisplayArrayInTable(Fertiliser_SourceData.Fertiliser_Products_Data1(),FertiliserProducts[[#Headers],[Include or Exclude]], 0,4)</f>
        <v/>
      </c>
      <c r="AD151" s="65" t="str" cm="1">
        <f t="array" ref="AD151">Common_InputFunctions.Utility_DisplayArrayInTable(Fertiliser_SourceData.Fertiliser_Products_Data1(),FertiliserProducts[[#Headers],[Include or Exclude]], 0,4)</f>
        <v/>
      </c>
      <c r="AE151" s="65" t="str" cm="1">
        <f t="array" ref="AE151">Common_InputFunctions.Utility_DisplayArrayInTable(Fertiliser_SourceData.Fertiliser_Products_Data1(),FertiliserProducts[[#Headers],[Include or Exclude]], 0,4)</f>
        <v/>
      </c>
    </row>
    <row r="152" spans="4:31" ht="20.100000000000001" customHeight="1" x14ac:dyDescent="0.25">
      <c r="D152" s="65" t="str" cm="1">
        <f t="array" ref="D152">Common_InputFunctions.Utility_DisplayArrayInTable(Fertiliser_SourceData.Fertiliser_Products_Data1(),FertiliserProducts[[#Headers],[Include or Exclude]], -1)</f>
        <v/>
      </c>
      <c r="E152" s="65" t="str" cm="1">
        <f t="array" ref="E152">Common_InputFunctions.Utility_DisplayArrayInTable(Fertiliser_SourceData.Fertiliser_Products_Data1(),FertiliserProducts[[#Headers],[Include or Exclude]], 0)</f>
        <v/>
      </c>
      <c r="F152" s="65" t="str" cm="1">
        <f t="array" ref="F152">Common_InputFunctions.Utility_DisplayArrayInTable(Fertiliser_SourceData.Fertiliser_Products_Data1(),FertiliserProducts[[#Headers],[Include or Exclude]], 0)</f>
        <v/>
      </c>
      <c r="G152" s="65" t="str" cm="1">
        <f t="array" ref="G152">Common_InputFunctions.Utility_DisplayArrayInTable(Fertiliser_SourceData.Fertiliser_Products_Data1(),FertiliserProducts[[#Headers],[Include or Exclude]], 0)</f>
        <v/>
      </c>
      <c r="H152" s="65" t="str" cm="1">
        <f t="array" ref="H152">Common_InputFunctions.Utility_DisplayArrayInTable(Fertiliser_SourceData.Fertiliser_Products_Data1(),FertiliserProducts[[#Headers],[Include or Exclude]], 0,4)</f>
        <v/>
      </c>
      <c r="I152" s="65" t="str" cm="1">
        <f t="array" ref="I152">Common_InputFunctions.Utility_DisplayArrayInTable(Fertiliser_SourceData.Fertiliser_Products_Data1(),FertiliserProducts[[#Headers],[Include or Exclude]], 0,4)</f>
        <v/>
      </c>
      <c r="J152" s="65" t="str" cm="1">
        <f t="array" ref="J152">Common_InputFunctions.Utility_DisplayArrayInTable(Fertiliser_SourceData.Fertiliser_Products_Data1(),FertiliserProducts[[#Headers],[Include or Exclude]], 0,4)</f>
        <v/>
      </c>
      <c r="K152" s="65" t="str" cm="1">
        <f t="array" ref="K152">Common_InputFunctions.Utility_DisplayArrayInTable(Fertiliser_SourceData.Fertiliser_Products_Data1(),FertiliserProducts[[#Headers],[Include or Exclude]], 0,4)</f>
        <v/>
      </c>
      <c r="L152" s="65" t="str" cm="1">
        <f t="array" ref="L152">Common_InputFunctions.Utility_DisplayArrayInTable(Fertiliser_SourceData.Fertiliser_Products_Data1(),FertiliserProducts[[#Headers],[Include or Exclude]], 0,4)</f>
        <v/>
      </c>
      <c r="M152" s="65" t="str" cm="1">
        <f t="array" ref="M152">Common_InputFunctions.Utility_DisplayArrayInTable(Fertiliser_SourceData.Fertiliser_Products_Data1(),FertiliserProducts[[#Headers],[Include or Exclude]], 0,4)</f>
        <v/>
      </c>
      <c r="N152" s="65" t="str" cm="1">
        <f t="array" ref="N152">Common_InputFunctions.Utility_DisplayArrayInTable(Fertiliser_SourceData.Fertiliser_Products_Data1(),FertiliserProducts[[#Headers],[Include or Exclude]], 0,4)</f>
        <v/>
      </c>
      <c r="O152" s="65" t="str" cm="1">
        <f t="array" ref="O152">Common_InputFunctions.Utility_DisplayArrayInTable(Fertiliser_SourceData.Fertiliser_Products_Data1(),FertiliserProducts[[#Headers],[Include or Exclude]], 0,4)</f>
        <v/>
      </c>
      <c r="P152" s="65" t="str" cm="1">
        <f t="array" ref="P152">Common_InputFunctions.Utility_DisplayArrayInTable(Fertiliser_SourceData.Fertiliser_Products_Data1(),FertiliserProducts[[#Headers],[Include or Exclude]], 0,4)</f>
        <v/>
      </c>
      <c r="Q152" s="65" t="str" cm="1">
        <f t="array" ref="Q152">Common_InputFunctions.Utility_DisplayArrayInTable(Fertiliser_SourceData.Fertiliser_Products_Data1(),FertiliserProducts[[#Headers],[Include or Exclude]], 0,4)</f>
        <v/>
      </c>
      <c r="R152" s="65" t="str" cm="1">
        <f t="array" ref="R152">Common_InputFunctions.Utility_DisplayArrayInTable(Fertiliser_SourceData.Fertiliser_Products_Data1(),FertiliserProducts[[#Headers],[Include or Exclude]], 0,4)</f>
        <v/>
      </c>
      <c r="S152" s="65" t="str" cm="1">
        <f t="array" ref="S152">Common_InputFunctions.Utility_DisplayArrayInTable(Fertiliser_SourceData.Fertiliser_Products_Data1(),FertiliserProducts[[#Headers],[Include or Exclude]], 0,4)</f>
        <v/>
      </c>
      <c r="T152" s="65" t="str" cm="1">
        <f t="array" ref="T152">Common_InputFunctions.Utility_DisplayArrayInTable(Fertiliser_SourceData.Fertiliser_Products_Data1(),FertiliserProducts[[#Headers],[Include or Exclude]], 0,4)</f>
        <v/>
      </c>
      <c r="U152" s="65" t="str" cm="1">
        <f t="array" ref="U152">Common_InputFunctions.Utility_DisplayArrayInTable(Fertiliser_SourceData.Fertiliser_Products_Data1(),FertiliserProducts[[#Headers],[Include or Exclude]], 0,4)</f>
        <v/>
      </c>
      <c r="V152" s="65" t="str" cm="1">
        <f t="array" ref="V152">Common_InputFunctions.Utility_DisplayArrayInTable(Fertiliser_SourceData.Fertiliser_Products_Data1(),FertiliserProducts[[#Headers],[Include or Exclude]], 0,4)</f>
        <v/>
      </c>
      <c r="W152" s="65" t="str" cm="1">
        <f t="array" ref="W152">Common_InputFunctions.Utility_DisplayArrayInTable(Fertiliser_SourceData.Fertiliser_Products_Data1(),FertiliserProducts[[#Headers],[Include or Exclude]], 0,4)</f>
        <v/>
      </c>
      <c r="X152" s="65" t="str" cm="1">
        <f t="array" ref="X152">Common_InputFunctions.Utility_DisplayArrayInTable(Fertiliser_SourceData.Fertiliser_Products_Data1(),FertiliserProducts[[#Headers],[Include or Exclude]], 0,4)</f>
        <v/>
      </c>
      <c r="Y152" s="65" t="str" cm="1">
        <f t="array" ref="Y152">Common_InputFunctions.Utility_DisplayArrayInTable(Fertiliser_SourceData.Fertiliser_Products_Data1(),FertiliserProducts[[#Headers],[Include or Exclude]], 0,4)</f>
        <v/>
      </c>
      <c r="Z152" s="65" t="str" cm="1">
        <f t="array" ref="Z152">Common_InputFunctions.Utility_DisplayArrayInTable(Fertiliser_SourceData.Fertiliser_Products_Data1(),FertiliserProducts[[#Headers],[Include or Exclude]], 0,4)</f>
        <v/>
      </c>
      <c r="AA152" s="65" t="str" cm="1">
        <f t="array" ref="AA152">Common_InputFunctions.Utility_DisplayArrayInTable(Fertiliser_SourceData.Fertiliser_Products_Data1(),FertiliserProducts[[#Headers],[Include or Exclude]], 0,4)</f>
        <v/>
      </c>
      <c r="AB152" s="65" t="str" cm="1">
        <f t="array" ref="AB152">Common_InputFunctions.Utility_DisplayArrayInTable(Fertiliser_SourceData.Fertiliser_Products_Data1(),FertiliserProducts[[#Headers],[Include or Exclude]], 0,4)</f>
        <v/>
      </c>
      <c r="AC152" s="65" t="str" cm="1">
        <f t="array" ref="AC152">Common_InputFunctions.Utility_DisplayArrayInTable(Fertiliser_SourceData.Fertiliser_Products_Data1(),FertiliserProducts[[#Headers],[Include or Exclude]], 0,4)</f>
        <v/>
      </c>
      <c r="AD152" s="65" t="str" cm="1">
        <f t="array" ref="AD152">Common_InputFunctions.Utility_DisplayArrayInTable(Fertiliser_SourceData.Fertiliser_Products_Data1(),FertiliserProducts[[#Headers],[Include or Exclude]], 0,4)</f>
        <v/>
      </c>
      <c r="AE152" s="65" t="str" cm="1">
        <f t="array" ref="AE152">Common_InputFunctions.Utility_DisplayArrayInTable(Fertiliser_SourceData.Fertiliser_Products_Data1(),FertiliserProducts[[#Headers],[Include or Exclude]], 0,4)</f>
        <v/>
      </c>
    </row>
    <row r="153" spans="4:31" ht="20.100000000000001" customHeight="1" x14ac:dyDescent="0.25">
      <c r="D153" s="65" t="str" cm="1">
        <f t="array" ref="D153">Common_InputFunctions.Utility_DisplayArrayInTable(Fertiliser_SourceData.Fertiliser_Products_Data1(),FertiliserProducts[[#Headers],[Include or Exclude]], -1)</f>
        <v/>
      </c>
      <c r="E153" s="65" t="str" cm="1">
        <f t="array" ref="E153">Common_InputFunctions.Utility_DisplayArrayInTable(Fertiliser_SourceData.Fertiliser_Products_Data1(),FertiliserProducts[[#Headers],[Include or Exclude]], 0)</f>
        <v/>
      </c>
      <c r="F153" s="65" t="str" cm="1">
        <f t="array" ref="F153">Common_InputFunctions.Utility_DisplayArrayInTable(Fertiliser_SourceData.Fertiliser_Products_Data1(),FertiliserProducts[[#Headers],[Include or Exclude]], 0)</f>
        <v/>
      </c>
      <c r="G153" s="65" t="str" cm="1">
        <f t="array" ref="G153">Common_InputFunctions.Utility_DisplayArrayInTable(Fertiliser_SourceData.Fertiliser_Products_Data1(),FertiliserProducts[[#Headers],[Include or Exclude]], 0)</f>
        <v/>
      </c>
      <c r="H153" s="65" t="str" cm="1">
        <f t="array" ref="H153">Common_InputFunctions.Utility_DisplayArrayInTable(Fertiliser_SourceData.Fertiliser_Products_Data1(),FertiliserProducts[[#Headers],[Include or Exclude]], 0,4)</f>
        <v/>
      </c>
      <c r="I153" s="65" t="str" cm="1">
        <f t="array" ref="I153">Common_InputFunctions.Utility_DisplayArrayInTable(Fertiliser_SourceData.Fertiliser_Products_Data1(),FertiliserProducts[[#Headers],[Include or Exclude]], 0,4)</f>
        <v/>
      </c>
      <c r="J153" s="65" t="str" cm="1">
        <f t="array" ref="J153">Common_InputFunctions.Utility_DisplayArrayInTable(Fertiliser_SourceData.Fertiliser_Products_Data1(),FertiliserProducts[[#Headers],[Include or Exclude]], 0,4)</f>
        <v/>
      </c>
      <c r="K153" s="65" t="str" cm="1">
        <f t="array" ref="K153">Common_InputFunctions.Utility_DisplayArrayInTable(Fertiliser_SourceData.Fertiliser_Products_Data1(),FertiliserProducts[[#Headers],[Include or Exclude]], 0,4)</f>
        <v/>
      </c>
      <c r="L153" s="65" t="str" cm="1">
        <f t="array" ref="L153">Common_InputFunctions.Utility_DisplayArrayInTable(Fertiliser_SourceData.Fertiliser_Products_Data1(),FertiliserProducts[[#Headers],[Include or Exclude]], 0,4)</f>
        <v/>
      </c>
      <c r="M153" s="65" t="str" cm="1">
        <f t="array" ref="M153">Common_InputFunctions.Utility_DisplayArrayInTable(Fertiliser_SourceData.Fertiliser_Products_Data1(),FertiliserProducts[[#Headers],[Include or Exclude]], 0,4)</f>
        <v/>
      </c>
      <c r="N153" s="65" t="str" cm="1">
        <f t="array" ref="N153">Common_InputFunctions.Utility_DisplayArrayInTable(Fertiliser_SourceData.Fertiliser_Products_Data1(),FertiliserProducts[[#Headers],[Include or Exclude]], 0,4)</f>
        <v/>
      </c>
      <c r="O153" s="65" t="str" cm="1">
        <f t="array" ref="O153">Common_InputFunctions.Utility_DisplayArrayInTable(Fertiliser_SourceData.Fertiliser_Products_Data1(),FertiliserProducts[[#Headers],[Include or Exclude]], 0,4)</f>
        <v/>
      </c>
      <c r="P153" s="65" t="str" cm="1">
        <f t="array" ref="P153">Common_InputFunctions.Utility_DisplayArrayInTable(Fertiliser_SourceData.Fertiliser_Products_Data1(),FertiliserProducts[[#Headers],[Include or Exclude]], 0,4)</f>
        <v/>
      </c>
      <c r="Q153" s="65" t="str" cm="1">
        <f t="array" ref="Q153">Common_InputFunctions.Utility_DisplayArrayInTable(Fertiliser_SourceData.Fertiliser_Products_Data1(),FertiliserProducts[[#Headers],[Include or Exclude]], 0,4)</f>
        <v/>
      </c>
      <c r="R153" s="65" t="str" cm="1">
        <f t="array" ref="R153">Common_InputFunctions.Utility_DisplayArrayInTable(Fertiliser_SourceData.Fertiliser_Products_Data1(),FertiliserProducts[[#Headers],[Include or Exclude]], 0,4)</f>
        <v/>
      </c>
      <c r="S153" s="65" t="str" cm="1">
        <f t="array" ref="S153">Common_InputFunctions.Utility_DisplayArrayInTable(Fertiliser_SourceData.Fertiliser_Products_Data1(),FertiliserProducts[[#Headers],[Include or Exclude]], 0,4)</f>
        <v/>
      </c>
      <c r="T153" s="65" t="str" cm="1">
        <f t="array" ref="T153">Common_InputFunctions.Utility_DisplayArrayInTable(Fertiliser_SourceData.Fertiliser_Products_Data1(),FertiliserProducts[[#Headers],[Include or Exclude]], 0,4)</f>
        <v/>
      </c>
      <c r="U153" s="65" t="str" cm="1">
        <f t="array" ref="U153">Common_InputFunctions.Utility_DisplayArrayInTable(Fertiliser_SourceData.Fertiliser_Products_Data1(),FertiliserProducts[[#Headers],[Include or Exclude]], 0,4)</f>
        <v/>
      </c>
      <c r="V153" s="65" t="str" cm="1">
        <f t="array" ref="V153">Common_InputFunctions.Utility_DisplayArrayInTable(Fertiliser_SourceData.Fertiliser_Products_Data1(),FertiliserProducts[[#Headers],[Include or Exclude]], 0,4)</f>
        <v/>
      </c>
      <c r="W153" s="65" t="str" cm="1">
        <f t="array" ref="W153">Common_InputFunctions.Utility_DisplayArrayInTable(Fertiliser_SourceData.Fertiliser_Products_Data1(),FertiliserProducts[[#Headers],[Include or Exclude]], 0,4)</f>
        <v/>
      </c>
      <c r="X153" s="65" t="str" cm="1">
        <f t="array" ref="X153">Common_InputFunctions.Utility_DisplayArrayInTable(Fertiliser_SourceData.Fertiliser_Products_Data1(),FertiliserProducts[[#Headers],[Include or Exclude]], 0,4)</f>
        <v/>
      </c>
      <c r="Y153" s="65" t="str" cm="1">
        <f t="array" ref="Y153">Common_InputFunctions.Utility_DisplayArrayInTable(Fertiliser_SourceData.Fertiliser_Products_Data1(),FertiliserProducts[[#Headers],[Include or Exclude]], 0,4)</f>
        <v/>
      </c>
      <c r="Z153" s="65" t="str" cm="1">
        <f t="array" ref="Z153">Common_InputFunctions.Utility_DisplayArrayInTable(Fertiliser_SourceData.Fertiliser_Products_Data1(),FertiliserProducts[[#Headers],[Include or Exclude]], 0,4)</f>
        <v/>
      </c>
      <c r="AA153" s="65" t="str" cm="1">
        <f t="array" ref="AA153">Common_InputFunctions.Utility_DisplayArrayInTable(Fertiliser_SourceData.Fertiliser_Products_Data1(),FertiliserProducts[[#Headers],[Include or Exclude]], 0,4)</f>
        <v/>
      </c>
      <c r="AB153" s="65" t="str" cm="1">
        <f t="array" ref="AB153">Common_InputFunctions.Utility_DisplayArrayInTable(Fertiliser_SourceData.Fertiliser_Products_Data1(),FertiliserProducts[[#Headers],[Include or Exclude]], 0,4)</f>
        <v/>
      </c>
      <c r="AC153" s="65" t="str" cm="1">
        <f t="array" ref="AC153">Common_InputFunctions.Utility_DisplayArrayInTable(Fertiliser_SourceData.Fertiliser_Products_Data1(),FertiliserProducts[[#Headers],[Include or Exclude]], 0,4)</f>
        <v/>
      </c>
      <c r="AD153" s="65" t="str" cm="1">
        <f t="array" ref="AD153">Common_InputFunctions.Utility_DisplayArrayInTable(Fertiliser_SourceData.Fertiliser_Products_Data1(),FertiliserProducts[[#Headers],[Include or Exclude]], 0,4)</f>
        <v/>
      </c>
      <c r="AE153" s="65"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4FFF-2392-4049-B3FC-3A93A2F9B110}">
  <dimension ref="A1:AI165"/>
  <sheetViews>
    <sheetView showGridLines="0" topLeftCell="A7" zoomScaleNormal="100" workbookViewId="0">
      <selection activeCell="A4" sqref="A4"/>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224</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225</v>
      </c>
      <c r="E9" s="26" t="s">
        <v>226</v>
      </c>
      <c r="F9" s="26" t="s">
        <v>227</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225</v>
      </c>
      <c r="E24" s="65" t="s">
        <v>228</v>
      </c>
      <c r="F24" s="65" t="s">
        <v>229</v>
      </c>
      <c r="G24" s="65" t="s">
        <v>230</v>
      </c>
      <c r="H24" s="65" t="s">
        <v>231</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86D-A7AD-4255-B0F2-5286B6190488}">
  <sheetPr>
    <tabColor theme="2" tint="-0.499984740745262"/>
  </sheetPr>
  <dimension ref="A1:BY259"/>
  <sheetViews>
    <sheetView showGridLines="0"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140</vt:i4>
      </vt:variant>
    </vt:vector>
  </HeadingPairs>
  <TitlesOfParts>
    <vt:vector size="167" baseType="lpstr">
      <vt:lpstr>Overview</vt:lpstr>
      <vt:lpstr>Results</vt:lpstr>
      <vt:lpstr>Input - Site</vt:lpstr>
      <vt:lpstr>Input - Fuel</vt:lpstr>
      <vt:lpstr>Input - Fertiliser</vt:lpstr>
      <vt:lpstr>Input - Farm Inputs</vt:lpstr>
      <vt:lpstr>Input - Livestock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2026-07-28T23:52:15Z</dcterms:modified>
</cp:coreProperties>
</file>